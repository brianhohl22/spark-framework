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3.xml" ContentType="application/vnd.openxmlformats-officedocument.spreadsheetml.table+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8.xml" ContentType="application/vnd.openxmlformats-officedocument.spreadsheetml.table+xml"/>
  <Override PartName="/xl/worksheets/sheet24.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115" yWindow="225" windowWidth="19560" windowHeight="13710" tabRatio="600" firstSheet="0" activeTab="0" autoFilterDateGrouping="1"/>
  </bookViews>
  <sheets>
    <sheet xmlns:r="http://schemas.openxmlformats.org/officeDocument/2006/relationships" name="Framework" sheetId="1" state="visible" r:id="rId1"/>
    <sheet xmlns:r="http://schemas.openxmlformats.org/officeDocument/2006/relationships" name="Draft for Ms Mitchell" sheetId="2" state="visible" r:id="rId2"/>
    <sheet xmlns:r="http://schemas.openxmlformats.org/officeDocument/2006/relationships" name="SPARK Flow Visual" sheetId="3" state="visible" r:id="rId3"/>
    <sheet xmlns:r="http://schemas.openxmlformats.org/officeDocument/2006/relationships" name="Quality Indicators" sheetId="4" state="visible" r:id="rId4"/>
    <sheet xmlns:r="http://schemas.openxmlformats.org/officeDocument/2006/relationships" name="QI Decision Map" sheetId="5" state="visible" r:id="rId5"/>
    <sheet xmlns:r="http://schemas.openxmlformats.org/officeDocument/2006/relationships" name="Rubric" sheetId="6" state="visible" r:id="rId6"/>
    <sheet xmlns:r="http://schemas.openxmlformats.org/officeDocument/2006/relationships" name="Ongoing Program Review Rubric" sheetId="7" state="visible" r:id="rId7"/>
    <sheet xmlns:r="http://schemas.openxmlformats.org/officeDocument/2006/relationships" name="Interpretation Guide (Existing)" sheetId="8" state="visible" r:id="rId8"/>
    <sheet xmlns:r="http://schemas.openxmlformats.org/officeDocument/2006/relationships" name="MV Evidence Pack (Existing)" sheetId="9" state="visible" r:id="rId9"/>
    <sheet xmlns:r="http://schemas.openxmlformats.org/officeDocument/2006/relationships" name="Evidence Requests (Programs)" sheetId="10" state="visible" r:id="rId10"/>
    <sheet xmlns:r="http://schemas.openxmlformats.org/officeDocument/2006/relationships" name="Evidence Library" sheetId="11" state="visible" r:id="rId11"/>
    <sheet xmlns:r="http://schemas.openxmlformats.org/officeDocument/2006/relationships" name="QI Evidence Map" sheetId="12" state="visible" r:id="rId12"/>
    <sheet xmlns:r="http://schemas.openxmlformats.org/officeDocument/2006/relationships" name="Program Snapshot" sheetId="13" state="visible" r:id="rId13"/>
    <sheet xmlns:r="http://schemas.openxmlformats.org/officeDocument/2006/relationships" name="Program Deep Dive" sheetId="14" state="visible" r:id="rId14"/>
    <sheet xmlns:r="http://schemas.openxmlformats.org/officeDocument/2006/relationships" name="Review Tracker" sheetId="15" state="visible" r:id="rId15"/>
    <sheet xmlns:r="http://schemas.openxmlformats.org/officeDocument/2006/relationships" name="Concept Studies Tracker" sheetId="16" state="visible" r:id="rId16"/>
    <sheet xmlns:r="http://schemas.openxmlformats.org/officeDocument/2006/relationships" name="Governance &amp; Intake Channels" sheetId="17" state="visible" r:id="rId17"/>
    <sheet xmlns:r="http://schemas.openxmlformats.org/officeDocument/2006/relationships" name="Intake Use Cases" sheetId="18" state="visible" r:id="rId18"/>
    <sheet xmlns:r="http://schemas.openxmlformats.org/officeDocument/2006/relationships" name="Idea Submission (Light)" sheetId="19" state="visible" r:id="rId19"/>
    <sheet xmlns:r="http://schemas.openxmlformats.org/officeDocument/2006/relationships" name="Intake Form Design" sheetId="20" state="visible" r:id="rId20"/>
    <sheet xmlns:r="http://schemas.openxmlformats.org/officeDocument/2006/relationships" name="Idea Log" sheetId="21" state="visible" r:id="rId21"/>
    <sheet xmlns:r="http://schemas.openxmlformats.org/officeDocument/2006/relationships" name="Idea Heatmap (Design)" sheetId="22" state="visible" r:id="rId22"/>
    <sheet xmlns:r="http://schemas.openxmlformats.org/officeDocument/2006/relationships" name="Triage Tracker" sheetId="23" state="visible" r:id="rId23"/>
    <sheet xmlns:r="http://schemas.openxmlformats.org/officeDocument/2006/relationships" name="Templates" sheetId="24" state="visible" r:id="rId24"/>
    <sheet xmlns:r="http://schemas.openxmlformats.org/officeDocument/2006/relationships" name="Landscape Visuals" sheetId="25" state="visible" r:id="rId25"/>
    <sheet xmlns:r="http://schemas.openxmlformats.org/officeDocument/2006/relationships" name="Landscape Assessment" sheetId="26" state="visible" r:id="rId26"/>
    <sheet xmlns:r="http://schemas.openxmlformats.org/officeDocument/2006/relationships" name="Mobility &amp; Choice Signals" sheetId="27" state="visible" r:id="rId27"/>
    <sheet xmlns:r="http://schemas.openxmlformats.org/officeDocument/2006/relationships" name="Benchmarking &amp; Trend Scan" sheetId="28" state="visible" r:id="rId28"/>
    <sheet xmlns:r="http://schemas.openxmlformats.org/officeDocument/2006/relationships" name="System Data Flow" sheetId="29" state="visible" r:id="rId29"/>
    <sheet xmlns:r="http://schemas.openxmlformats.org/officeDocument/2006/relationships" name="Portfolio Prioritization" sheetId="30" state="visible" r:id="rId30"/>
    <sheet xmlns:r="http://schemas.openxmlformats.org/officeDocument/2006/relationships" name="MSA - QI Review" sheetId="31" state="visible" r:id="rId31"/>
    <sheet xmlns:r="http://schemas.openxmlformats.org/officeDocument/2006/relationships" name="STEAM - QI Review" sheetId="32" state="visible" r:id="rId32"/>
  </sheets>
  <definedNames/>
  <calcPr calcId="19102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FFFFFFFF"/>
      <sz val="11"/>
    </font>
    <font>
      <name val="Calibri"/>
      <b val="1"/>
      <sz val="14"/>
    </font>
    <font>
      <name val="Calibri"/>
      <b val="1"/>
      <color rgb="FFFFFFFF"/>
      <sz val="11"/>
    </font>
    <font>
      <name val="Calibri"/>
      <b val="1"/>
      <color rgb="FF1F4E79"/>
      <sz val="14"/>
    </font>
    <font>
      <name val="Calibri"/>
      <b val="1"/>
      <color rgb="FF1F4E79"/>
      <sz val="12"/>
    </font>
    <font>
      <name val="Calibri"/>
      <color rgb="FF000000"/>
      <sz val="11"/>
    </font>
    <font>
      <name val="Calibri"/>
      <i val="1"/>
      <sz val="10"/>
    </font>
    <font>
      <name val="Calibri"/>
      <b val="1"/>
      <sz val="11"/>
    </font>
    <font>
      <name val="Calibri"/>
      <b val="1"/>
      <color rgb="FFC00000"/>
      <sz val="11"/>
    </font>
    <font>
      <name val="Calibri"/>
      <b val="1"/>
      <color rgb="FFFFFFFF"/>
      <sz val="11"/>
    </font>
    <font>
      <name val="Calibri"/>
      <b val="1"/>
      <sz val="14"/>
    </font>
    <font>
      <name val="Calibri"/>
      <b val="1"/>
      <sz val="11"/>
    </font>
    <font>
      <name val="Calibri"/>
      <i val="1"/>
      <color rgb="FF404040"/>
      <sz val="11"/>
    </font>
    <font>
      <name val="Calibri"/>
      <b val="1"/>
      <color rgb="FF1F4E79"/>
      <sz val="11"/>
    </font>
    <font>
      <name val="Calibri"/>
      <family val="2"/>
      <b val="1"/>
      <color rgb="FFFFFFFF"/>
      <sz val="11"/>
    </font>
    <font>
      <name val="Calibri"/>
      <family val="2"/>
      <color theme="1"/>
      <sz val="15"/>
      <scheme val="minor"/>
    </font>
    <font>
      <name val="Calibri"/>
      <family val="2"/>
      <b val="1"/>
      <color rgb="FF1F4E79"/>
      <sz val="11"/>
    </font>
    <font>
      <name val="Calibri"/>
      <family val="2"/>
      <b val="1"/>
      <color rgb="FF1F4E79"/>
      <sz val="14"/>
    </font>
    <font>
      <name val="Calibri"/>
      <family val="2"/>
      <b val="1"/>
      <sz val="11"/>
    </font>
    <font>
      <name val="Calibri"/>
      <family val="2"/>
      <b val="1"/>
      <sz val="14"/>
    </font>
    <font>
      <name val="Calibri"/>
      <family val="2"/>
      <color rgb="FF000000"/>
      <sz val="11"/>
    </font>
    <font>
      <name val="Calibri"/>
      <b val="1"/>
      <sz val="12"/>
    </font>
    <font>
      <name val="Calibri"/>
      <b val="1"/>
      <sz val="11"/>
    </font>
    <font>
      <b val="1"/>
      <color rgb="00FFFFFF"/>
    </font>
    <font>
      <b val="1"/>
      <color rgb="000F6B6F"/>
      <sz val="18"/>
    </font>
    <font>
      <i val="1"/>
      <color rgb="00555555"/>
      <sz val="11"/>
    </font>
    <font>
      <b val="1"/>
      <color rgb="000F6B6F"/>
      <sz val="12"/>
    </font>
    <font>
      <color rgb="00222222"/>
      <sz val="11"/>
    </font>
  </fonts>
  <fills count="26">
    <fill>
      <patternFill/>
    </fill>
    <fill>
      <patternFill patternType="gray125"/>
    </fill>
    <fill>
      <patternFill patternType="solid">
        <fgColor rgb="FF2F5597"/>
      </patternFill>
    </fill>
    <fill>
      <patternFill patternType="solid">
        <fgColor rgb="FF1F4E79"/>
      </patternFill>
    </fill>
    <fill>
      <patternFill patternType="solid">
        <fgColor rgb="FF305496"/>
      </patternFill>
    </fill>
    <fill>
      <patternFill patternType="solid">
        <fgColor rgb="FF1F4E79"/>
      </patternFill>
    </fill>
    <fill>
      <patternFill patternType="solid">
        <fgColor rgb="FFFFFFFF"/>
      </patternFill>
    </fill>
    <fill>
      <patternFill patternType="solid">
        <fgColor rgb="FFF2F2F2"/>
      </patternFill>
    </fill>
    <fill>
      <patternFill patternType="solid">
        <fgColor rgb="FFD9E1F2"/>
      </patternFill>
    </fill>
    <fill>
      <patternFill patternType="solid">
        <fgColor rgb="FFE7EFFA"/>
      </patternFill>
    </fill>
    <fill>
      <patternFill patternType="solid">
        <fgColor theme="4" tint="0.5999633777886288"/>
        <bgColor indexed="65"/>
      </patternFill>
    </fill>
    <fill>
      <patternFill patternType="solid">
        <fgColor theme="4" tint="0.7999511703848384"/>
        <bgColor indexed="65"/>
      </patternFill>
    </fill>
    <fill>
      <patternFill patternType="solid">
        <fgColor rgb="FF305496"/>
      </patternFill>
    </fill>
    <fill>
      <patternFill patternType="solid">
        <fgColor rgb="FFE2EFDA"/>
      </patternFill>
    </fill>
    <fill>
      <patternFill patternType="solid">
        <fgColor rgb="FFBDD7EE"/>
      </patternFill>
    </fill>
    <fill>
      <patternFill patternType="solid">
        <fgColor rgb="FFFFF2CC"/>
      </patternFill>
    </fill>
    <fill>
      <patternFill patternType="solid">
        <fgColor rgb="FFD9E1F2"/>
      </patternFill>
    </fill>
    <fill>
      <patternFill patternType="solid">
        <fgColor theme="0"/>
        <bgColor indexed="64"/>
      </patternFill>
    </fill>
    <fill>
      <patternFill patternType="solid">
        <fgColor theme="4" tint="0.5999938962981048"/>
        <bgColor theme="4" tint="0.5999938962981048"/>
      </patternFill>
    </fill>
    <fill>
      <patternFill patternType="solid">
        <fgColor theme="4" tint="0.7999816888943144"/>
        <bgColor theme="4" tint="0.7999816888943144"/>
      </patternFill>
    </fill>
    <fill>
      <patternFill patternType="solid">
        <fgColor rgb="FFFFF2CC"/>
      </patternFill>
    </fill>
    <fill>
      <patternFill patternType="solid">
        <fgColor rgb="000F6B6F"/>
      </patternFill>
    </fill>
    <fill>
      <patternFill patternType="solid">
        <fgColor rgb="00F3F5F7"/>
      </patternFill>
    </fill>
    <fill>
      <patternFill patternType="solid">
        <fgColor rgb="00FFFFFF"/>
      </patternFill>
    </fill>
    <fill>
      <patternFill patternType="solid">
        <fgColor rgb="00D9F1F1"/>
      </patternFill>
    </fill>
    <fill>
      <patternFill patternType="solid">
        <fgColor rgb="00F8FBFB"/>
      </patternFill>
    </fill>
  </fills>
  <borders count="27">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rgb="FFD9D9D9"/>
      </left>
      <right/>
      <top/>
      <bottom/>
      <diagonal/>
    </border>
    <border>
      <left style="thin">
        <color rgb="FFD9D9D9"/>
      </left>
      <right/>
      <top style="thin">
        <color rgb="FFD9D9D9"/>
      </top>
      <bottom style="thin">
        <color rgb="FFD9D9D9"/>
      </bottom>
      <diagonal/>
    </border>
    <border>
      <left style="thin">
        <color rgb="FF999999"/>
      </left>
      <right style="thin">
        <color rgb="FF999999"/>
      </right>
      <top style="thin">
        <color rgb="FF999999"/>
      </top>
      <bottom style="thin">
        <color rgb="FF999999"/>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right style="thin">
        <color rgb="FFA6A6A6"/>
      </right>
      <top style="thin">
        <color rgb="FFA6A6A6"/>
      </top>
      <bottom/>
      <diagonal/>
    </border>
    <border>
      <left/>
      <right/>
      <top style="thin">
        <color rgb="FFD9D9D9"/>
      </top>
      <bottom/>
      <diagonal/>
    </border>
    <border>
      <left/>
      <right style="thin">
        <color rgb="FFD9D9D9"/>
      </right>
      <top style="thin">
        <color rgb="FFD9D9D9"/>
      </top>
      <bottom/>
      <diagonal/>
    </border>
    <border>
      <left/>
      <right/>
      <top style="thin">
        <color rgb="FF9E9E9E"/>
      </top>
      <bottom/>
      <diagonal/>
    </border>
    <border>
      <left/>
      <right style="thin">
        <color rgb="FF9E9E9E"/>
      </right>
      <top style="thin">
        <color rgb="FF9E9E9E"/>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style="thin">
        <color rgb="00D9D9D9"/>
      </top>
      <bottom style="thin">
        <color rgb="00D9D9D9"/>
      </bottom>
      <diagonal/>
    </border>
  </borders>
  <cellStyleXfs count="1">
    <xf numFmtId="0" fontId="0" fillId="0" borderId="0"/>
  </cellStyleXfs>
  <cellXfs count="111">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1" fillId="4" borderId="4" applyAlignment="1" pivotButton="0" quotePrefix="0" xfId="0">
      <alignment horizontal="center" vertical="center" wrapText="1"/>
    </xf>
    <xf numFmtId="0" fontId="0" fillId="0" borderId="4" applyAlignment="1" pivotButton="0" quotePrefix="0" xfId="0">
      <alignment vertical="top" wrapText="1"/>
    </xf>
    <xf numFmtId="0" fontId="0" fillId="0" borderId="2" pivotButton="0" quotePrefix="0" xfId="0"/>
    <xf numFmtId="0" fontId="0" fillId="0" borderId="3" pivotButton="0" quotePrefix="0" xfId="0"/>
    <xf numFmtId="0" fontId="3" fillId="5" borderId="5" applyAlignment="1" pivotButton="0" quotePrefix="0" xfId="0">
      <alignment horizontal="center" vertical="center" wrapText="1"/>
    </xf>
    <xf numFmtId="0" fontId="0" fillId="6" borderId="5" applyAlignment="1" pivotButton="0" quotePrefix="0" xfId="0">
      <alignment vertical="top" wrapText="1"/>
    </xf>
    <xf numFmtId="0" fontId="0" fillId="7" borderId="5" applyAlignment="1" pivotButton="0" quotePrefix="0" xfId="0">
      <alignment vertical="top" wrapText="1"/>
    </xf>
    <xf numFmtId="0" fontId="5" fillId="3" borderId="1" applyAlignment="1" pivotButton="0" quotePrefix="0" xfId="0">
      <alignment vertical="top" wrapText="1"/>
    </xf>
    <xf numFmtId="0" fontId="2" fillId="6" borderId="5" applyAlignment="1" pivotButton="0" quotePrefix="0" xfId="0">
      <alignment vertical="top" wrapText="1"/>
    </xf>
    <xf numFmtId="0" fontId="1" fillId="6" borderId="5" applyAlignment="1" pivotButton="0" quotePrefix="0" xfId="0">
      <alignment vertical="top" wrapText="1"/>
    </xf>
    <xf numFmtId="9" fontId="0" fillId="6" borderId="5" applyAlignment="1" pivotButton="0" quotePrefix="0" xfId="0">
      <alignment vertical="top" wrapText="1"/>
    </xf>
    <xf numFmtId="9" fontId="0" fillId="7" borderId="5" applyAlignment="1" pivotButton="0" quotePrefix="0" xfId="0">
      <alignment vertical="top" wrapText="1"/>
    </xf>
    <xf numFmtId="0" fontId="0" fillId="0" borderId="6" pivotButton="0" quotePrefix="0" xfId="0"/>
    <xf numFmtId="0" fontId="0" fillId="0" borderId="7" pivotButton="0" quotePrefix="0" xfId="0"/>
    <xf numFmtId="0" fontId="3" fillId="5" borderId="5" applyAlignment="1" pivotButton="0" quotePrefix="0" xfId="0">
      <alignment vertical="center" wrapText="1"/>
    </xf>
    <xf numFmtId="0" fontId="0" fillId="10" borderId="9" applyAlignment="1" pivotButton="0" quotePrefix="0" xfId="0">
      <alignment vertical="top" wrapText="1"/>
    </xf>
    <xf numFmtId="0" fontId="0" fillId="11" borderId="8" applyAlignment="1" pivotButton="0" quotePrefix="0" xfId="0">
      <alignment vertical="top" wrapText="1"/>
    </xf>
    <xf numFmtId="0" fontId="8" fillId="8" borderId="12" applyAlignment="1" pivotButton="0" quotePrefix="0" xfId="0">
      <alignment horizontal="center" vertical="center" wrapText="1"/>
    </xf>
    <xf numFmtId="0" fontId="0" fillId="0" borderId="12" applyAlignment="1" pivotButton="0" quotePrefix="0" xfId="0">
      <alignment vertical="top" wrapText="1"/>
    </xf>
    <xf numFmtId="0" fontId="8" fillId="0" borderId="12" applyAlignment="1" pivotButton="0" quotePrefix="0" xfId="0">
      <alignment horizontal="right"/>
    </xf>
    <xf numFmtId="0" fontId="0" fillId="0" borderId="12" pivotButton="0" quotePrefix="0" xfId="0"/>
    <xf numFmtId="0" fontId="10" fillId="12" borderId="13" applyAlignment="1" pivotButton="0" quotePrefix="0" xfId="0">
      <alignment horizontal="center" vertical="center" wrapText="1"/>
    </xf>
    <xf numFmtId="0" fontId="0" fillId="0" borderId="13" applyAlignment="1" pivotButton="0" quotePrefix="0" xfId="0">
      <alignment vertical="top" wrapText="1"/>
    </xf>
    <xf numFmtId="0" fontId="0" fillId="10" borderId="13" applyAlignment="1" pivotButton="0" quotePrefix="0" xfId="0">
      <alignment vertical="top" wrapText="1"/>
    </xf>
    <xf numFmtId="0" fontId="0" fillId="11" borderId="13" applyAlignment="1" pivotButton="0" quotePrefix="0" xfId="0">
      <alignment vertical="top" wrapText="1"/>
    </xf>
    <xf numFmtId="0" fontId="0" fillId="0" borderId="0" applyAlignment="1" pivotButton="0" quotePrefix="0" xfId="0">
      <alignment horizontal="center" vertical="center" wrapText="1"/>
    </xf>
    <xf numFmtId="0" fontId="12" fillId="0" borderId="0" pivotButton="0" quotePrefix="0" xfId="0"/>
    <xf numFmtId="0" fontId="0" fillId="6" borderId="13" applyAlignment="1" pivotButton="0" quotePrefix="0" xfId="0">
      <alignment vertical="top" wrapText="1"/>
    </xf>
    <xf numFmtId="0" fontId="0" fillId="7" borderId="13" applyAlignment="1" pivotButton="0" quotePrefix="0" xfId="0">
      <alignment vertical="top" wrapText="1"/>
    </xf>
    <xf numFmtId="0" fontId="12" fillId="0" borderId="0" applyAlignment="1" pivotButton="0" quotePrefix="0" xfId="0">
      <alignment vertical="top" wrapText="1"/>
    </xf>
    <xf numFmtId="0" fontId="5" fillId="0" borderId="13" applyAlignment="1" pivotButton="0" quotePrefix="0" xfId="0">
      <alignment vertical="top" wrapText="1"/>
    </xf>
    <xf numFmtId="0" fontId="3" fillId="5" borderId="13" applyAlignment="1" pivotButton="0" quotePrefix="0" xfId="0">
      <alignment vertical="top" wrapText="1"/>
    </xf>
    <xf numFmtId="0" fontId="1" fillId="12" borderId="13" applyAlignment="1" pivotButton="0" quotePrefix="0" xfId="0">
      <alignment horizontal="center" vertical="center" wrapText="1"/>
    </xf>
    <xf numFmtId="0" fontId="16" fillId="0" borderId="0" applyAlignment="1" pivotButton="0" quotePrefix="0" xfId="0">
      <alignment horizontal="center" vertical="center" wrapText="1"/>
    </xf>
    <xf numFmtId="0" fontId="6" fillId="0" borderId="0" applyAlignment="1" pivotButton="0" quotePrefix="0" xfId="0">
      <alignment horizontal="left" vertical="top" wrapText="1"/>
    </xf>
    <xf numFmtId="0" fontId="15" fillId="12" borderId="13" applyAlignment="1" pivotButton="0" quotePrefix="0" xfId="0">
      <alignment horizontal="center" vertical="center" wrapText="1"/>
    </xf>
    <xf numFmtId="0" fontId="0" fillId="17" borderId="0" applyAlignment="1" pivotButton="0" quotePrefix="0" xfId="0">
      <alignment vertical="top" wrapText="1"/>
    </xf>
    <xf numFmtId="0" fontId="19" fillId="0" borderId="0" pivotButton="0" quotePrefix="0" xfId="0"/>
    <xf numFmtId="0" fontId="0" fillId="6" borderId="13" applyAlignment="1" pivotButton="0" quotePrefix="0" xfId="0">
      <alignment horizontal="center" vertical="center" wrapText="1"/>
    </xf>
    <xf numFmtId="0" fontId="0" fillId="7" borderId="13" applyAlignment="1" pivotButton="0" quotePrefix="0" xfId="0">
      <alignment horizontal="center" vertical="center" wrapText="1"/>
    </xf>
    <xf numFmtId="0" fontId="21" fillId="0" borderId="0" applyAlignment="1" pivotButton="0" quotePrefix="1" xfId="0">
      <alignment horizontal="left" vertical="top" wrapText="1"/>
    </xf>
    <xf numFmtId="0" fontId="0" fillId="6" borderId="0" applyAlignment="1" pivotButton="0" quotePrefix="0" xfId="0">
      <alignment horizontal="center" vertical="center" wrapText="1"/>
    </xf>
    <xf numFmtId="0" fontId="0" fillId="6" borderId="0" applyAlignment="1" pivotButton="0" quotePrefix="0" xfId="0">
      <alignment vertical="top" wrapText="1"/>
    </xf>
    <xf numFmtId="0" fontId="11" fillId="0" borderId="0" applyAlignment="1" pivotButton="0" quotePrefix="0" xfId="0">
      <alignment horizontal="left" vertical="center"/>
    </xf>
    <xf numFmtId="0" fontId="9" fillId="0" borderId="0" applyAlignment="1" pivotButton="0" quotePrefix="0" xfId="0">
      <alignment wrapText="1"/>
    </xf>
    <xf numFmtId="0" fontId="0" fillId="18" borderId="4" applyAlignment="1" pivotButton="0" quotePrefix="0" xfId="0">
      <alignment vertical="top" wrapText="1"/>
    </xf>
    <xf numFmtId="0" fontId="0" fillId="19" borderId="4" applyAlignment="1" pivotButton="0" quotePrefix="0" xfId="0">
      <alignment vertical="top" wrapText="1"/>
    </xf>
    <xf numFmtId="0" fontId="10" fillId="2" borderId="0" applyAlignment="1" pivotButton="0" quotePrefix="0" xfId="0">
      <alignment horizontal="center" vertical="center" wrapText="1"/>
    </xf>
    <xf numFmtId="0" fontId="22" fillId="0" borderId="0" pivotButton="0" quotePrefix="0" xfId="0"/>
    <xf numFmtId="0" fontId="23" fillId="20" borderId="0" applyAlignment="1" pivotButton="0" quotePrefix="0" xfId="0">
      <alignment vertical="top" wrapText="1"/>
    </xf>
    <xf numFmtId="0" fontId="0" fillId="0" borderId="0" pivotButton="0" quotePrefix="0" xfId="0"/>
    <xf numFmtId="0" fontId="0" fillId="0" borderId="0" applyAlignment="1" pivotButton="0" quotePrefix="0" xfId="0">
      <alignment vertical="top" wrapText="1"/>
    </xf>
    <xf numFmtId="0" fontId="11" fillId="0" borderId="0" applyAlignment="1" pivotButton="0" quotePrefix="0" xfId="0">
      <alignment horizontal="left" vertical="center" wrapText="1"/>
    </xf>
    <xf numFmtId="0" fontId="14" fillId="0" borderId="0" pivotButton="0" quotePrefix="0" xfId="0"/>
    <xf numFmtId="0" fontId="14" fillId="15" borderId="13" applyAlignment="1" pivotButton="0" quotePrefix="0" xfId="0">
      <alignment horizontal="center" vertical="center" wrapText="1"/>
    </xf>
    <xf numFmtId="0" fontId="0" fillId="0" borderId="15" pivotButton="0" quotePrefix="0" xfId="0"/>
    <xf numFmtId="0" fontId="14" fillId="14" borderId="13" applyAlignment="1" pivotButton="0" quotePrefix="0" xfId="0">
      <alignment horizontal="center" vertical="center" wrapText="1"/>
    </xf>
    <xf numFmtId="0" fontId="0" fillId="0" borderId="14" pivotButton="0" quotePrefix="0" xfId="0"/>
    <xf numFmtId="0" fontId="12" fillId="0" borderId="0" pivotButton="0" quotePrefix="0" xfId="0"/>
    <xf numFmtId="0" fontId="14" fillId="16" borderId="13" applyAlignment="1" pivotButton="0" quotePrefix="0" xfId="0">
      <alignment horizontal="center" vertical="center" wrapText="1"/>
    </xf>
    <xf numFmtId="0" fontId="14" fillId="13" borderId="13" applyAlignment="1" pivotButton="0" quotePrefix="0" xfId="0">
      <alignment horizontal="center" vertical="center" wrapText="1"/>
    </xf>
    <xf numFmtId="0" fontId="17" fillId="13" borderId="13" applyAlignment="1" pivotButton="0" quotePrefix="0" xfId="0">
      <alignment horizontal="center" vertical="center" wrapText="1"/>
    </xf>
    <xf numFmtId="0" fontId="7" fillId="0" borderId="0" pivotButton="0" quotePrefix="0" xfId="0"/>
    <xf numFmtId="0" fontId="2" fillId="0" borderId="0" pivotButton="0" quotePrefix="0" xfId="0"/>
    <xf numFmtId="0" fontId="8" fillId="0" borderId="0" pivotButton="0" quotePrefix="0" xfId="0"/>
    <xf numFmtId="0" fontId="21" fillId="0" borderId="0" applyAlignment="1" pivotButton="0" quotePrefix="1" xfId="0">
      <alignment horizontal="left" vertical="top" wrapText="1"/>
    </xf>
    <xf numFmtId="0" fontId="18" fillId="8" borderId="0" applyAlignment="1" pivotButton="0" quotePrefix="0" xfId="0">
      <alignment vertical="center" wrapText="1"/>
    </xf>
    <xf numFmtId="0" fontId="6" fillId="0" borderId="0" applyAlignment="1" pivotButton="0" quotePrefix="0" xfId="0">
      <alignment horizontal="left" vertical="top" wrapText="1"/>
    </xf>
    <xf numFmtId="0" fontId="20" fillId="0" borderId="0" applyAlignment="1" pivotButton="0" quotePrefix="0" xfId="0">
      <alignment horizontal="left" vertical="center"/>
    </xf>
    <xf numFmtId="0" fontId="13" fillId="0" borderId="0" applyAlignment="1" pivotButton="0" quotePrefix="0" xfId="0">
      <alignment vertical="top" wrapText="1"/>
    </xf>
    <xf numFmtId="0" fontId="11" fillId="0" borderId="0" applyAlignment="1" pivotButton="0" quotePrefix="0" xfId="0">
      <alignment horizontal="left" vertical="center"/>
    </xf>
    <xf numFmtId="0" fontId="13" fillId="0" borderId="0" pivotButton="0" quotePrefix="0" xfId="0"/>
    <xf numFmtId="0" fontId="0" fillId="7" borderId="5" applyAlignment="1" pivotButton="0" quotePrefix="0" xfId="0">
      <alignment vertical="top" wrapText="1"/>
    </xf>
    <xf numFmtId="0" fontId="0" fillId="0" borderId="6" pivotButton="0" quotePrefix="0" xfId="0"/>
    <xf numFmtId="0" fontId="0" fillId="0" borderId="7" pivotButton="0" quotePrefix="0" xfId="0"/>
    <xf numFmtId="0" fontId="5" fillId="3" borderId="1" applyAlignment="1" pivotButton="0" quotePrefix="0" xfId="0">
      <alignment vertical="top" wrapText="1"/>
    </xf>
    <xf numFmtId="0" fontId="0" fillId="0" borderId="2" pivotButton="0" quotePrefix="0" xfId="0"/>
    <xf numFmtId="0" fontId="0" fillId="0" borderId="3" pivotButton="0" quotePrefix="0" xfId="0"/>
    <xf numFmtId="0" fontId="4" fillId="8" borderId="1" applyAlignment="1" pivotButton="0" quotePrefix="0" xfId="0">
      <alignment vertical="center" wrapText="1"/>
    </xf>
    <xf numFmtId="0" fontId="0" fillId="6" borderId="10" applyAlignment="1" pivotButton="0" quotePrefix="0" xfId="0">
      <alignment horizontal="left" vertical="top" wrapText="1"/>
    </xf>
    <xf numFmtId="0" fontId="0" fillId="6" borderId="10" applyAlignment="1" pivotButton="0" quotePrefix="0" xfId="0">
      <alignment vertical="top" wrapText="1"/>
    </xf>
    <xf numFmtId="0" fontId="3" fillId="5" borderId="10" applyAlignment="1" pivotButton="0" quotePrefix="0" xfId="0">
      <alignment horizontal="center" vertical="center" wrapText="1"/>
    </xf>
    <xf numFmtId="0" fontId="3" fillId="5" borderId="11" applyAlignment="1" pivotButton="0" quotePrefix="0" xfId="0">
      <alignment horizontal="center" vertical="center" wrapText="1"/>
    </xf>
    <xf numFmtId="0" fontId="0" fillId="6" borderId="11" applyAlignment="1" pivotButton="0" quotePrefix="0" xfId="0">
      <alignment vertical="top" wrapText="1"/>
    </xf>
    <xf numFmtId="0" fontId="11" fillId="8" borderId="0" applyAlignment="1" pivotButton="0" quotePrefix="0" xfId="0">
      <alignment horizontal="left" vertical="center" wrapText="1"/>
    </xf>
    <xf numFmtId="0" fontId="0" fillId="6" borderId="11" applyAlignment="1" pivotButton="0" quotePrefix="0" xfId="0">
      <alignment horizontal="left" vertical="top" wrapText="1"/>
    </xf>
    <xf numFmtId="0" fontId="5" fillId="9" borderId="0" applyAlignment="1" pivotButton="0" quotePrefix="0" xfId="0">
      <alignment vertical="top" wrapText="1"/>
    </xf>
    <xf numFmtId="0" fontId="4" fillId="8" borderId="0" applyAlignment="1" pivotButton="0" quotePrefix="0" xfId="0">
      <alignment vertical="center" wrapText="1"/>
    </xf>
    <xf numFmtId="0" fontId="5" fillId="0" borderId="0" applyAlignment="1" pivotButton="0" quotePrefix="0" xfId="0">
      <alignment vertical="top" wrapText="1"/>
    </xf>
    <xf numFmtId="0" fontId="0" fillId="6" borderId="13" applyAlignment="1" pivotButton="0" quotePrefix="0" xfId="0">
      <alignment vertical="top" wrapText="1"/>
    </xf>
    <xf numFmtId="0" fontId="0" fillId="7" borderId="13" applyAlignment="1" pivotButton="0" quotePrefix="0" xfId="0">
      <alignment vertical="top" wrapText="1"/>
    </xf>
    <xf numFmtId="0" fontId="0" fillId="0" borderId="13" applyAlignment="1" pivotButton="0" quotePrefix="0" xfId="0">
      <alignment vertical="top" wrapText="1"/>
    </xf>
    <xf numFmtId="0" fontId="3" fillId="5" borderId="13" applyAlignment="1" pivotButton="0" quotePrefix="0" xfId="0">
      <alignment vertical="top" wrapText="1"/>
    </xf>
    <xf numFmtId="0" fontId="4" fillId="8" borderId="0" applyAlignment="1" pivotButton="0" quotePrefix="0" xfId="0">
      <alignment horizontal="left" vertical="center" wrapText="1"/>
    </xf>
    <xf numFmtId="0" fontId="8" fillId="20" borderId="0" applyAlignment="1" pivotButton="0" quotePrefix="0" xfId="0">
      <alignment vertical="top" wrapText="1"/>
    </xf>
    <xf numFmtId="0" fontId="24" fillId="21" borderId="22" applyAlignment="1" pivotButton="0" quotePrefix="0" xfId="0">
      <alignment horizontal="center" vertical="center" wrapText="1"/>
    </xf>
    <xf numFmtId="0" fontId="0" fillId="0" borderId="22" applyAlignment="1" pivotButton="0" quotePrefix="0" xfId="0">
      <alignment vertical="top" wrapText="1"/>
    </xf>
    <xf numFmtId="0" fontId="25" fillId="0" borderId="0" applyAlignment="1" pivotButton="0" quotePrefix="0" xfId="0">
      <alignment horizontal="center" vertical="center"/>
    </xf>
    <xf numFmtId="0" fontId="26" fillId="0" borderId="0" applyAlignment="1" pivotButton="0" quotePrefix="0" xfId="0">
      <alignment horizontal="center" vertical="center" wrapText="1"/>
    </xf>
    <xf numFmtId="0" fontId="27" fillId="22" borderId="0" applyAlignment="1" pivotButton="0" quotePrefix="0" xfId="0">
      <alignment vertical="center"/>
    </xf>
    <xf numFmtId="0" fontId="28" fillId="0" borderId="0" applyAlignment="1" pivotButton="0" quotePrefix="0" xfId="0">
      <alignment vertical="top" wrapText="1"/>
    </xf>
    <xf numFmtId="0" fontId="28" fillId="23" borderId="22" applyAlignment="1" pivotButton="0" quotePrefix="0" xfId="0">
      <alignment vertical="top" wrapText="1"/>
    </xf>
    <xf numFmtId="0" fontId="28" fillId="0" borderId="22" pivotButton="0" quotePrefix="0" xfId="0"/>
    <xf numFmtId="0" fontId="0" fillId="0" borderId="25" pivotButton="0" quotePrefix="0" xfId="0"/>
    <xf numFmtId="0" fontId="28" fillId="24" borderId="22" applyAlignment="1" pivotButton="0" quotePrefix="0" xfId="0">
      <alignment vertical="top" wrapText="1"/>
    </xf>
    <xf numFmtId="0" fontId="28" fillId="25" borderId="22" applyAlignment="1" pivotButton="0" quotePrefix="0" xfId="0">
      <alignment vertical="top" wrapText="1"/>
    </xf>
    <xf numFmtId="0" fontId="0" fillId="0" borderId="2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ables/table1.xml><?xml version="1.0" encoding="utf-8"?>
<table xmlns="http://schemas.openxmlformats.org/spreadsheetml/2006/main" id="1" name="QualityIndicators" displayName="QualityIndicators" ref="A1:H46" headerRowCount="1">
  <autoFilter ref="A1:H46"/>
  <tableColumns count="8">
    <tableColumn id="1" name="Domain"/>
    <tableColumn id="2" name="Indicator / Guiding Question"/>
    <tableColumn id="3" name="QI ID"/>
    <tableColumn id="4" name="Evidence artifacts (summary)"/>
    <tableColumn id="5" name="Evidence IDs (pool)"/>
    <tableColumn id="6" name="Where to find (quick)"/>
    <tableColumn id="7" name="Strong evidence / 'goodness' look-fors (summary)"/>
    <tableColumn id="8" name="Program-specific notes"/>
  </tableColumns>
  <tableStyleInfo name="TableStyleMedium9" showFirstColumn="0" showLastColumn="0" showRowStripes="1" showColumnStripes="0"/>
</table>
</file>

<file path=xl/tables/table2.xml><?xml version="1.0" encoding="utf-8"?>
<table xmlns="http://schemas.openxmlformats.org/spreadsheetml/2006/main" id="2" name="QIDecisionMap" displayName="QIDecisionMap" ref="A1:I46" headerRowCount="1">
  <autoFilter ref="A1:I46"/>
  <tableColumns count="9">
    <tableColumn id="1" name="QI ID"/>
    <tableColumn id="2" name="Domain"/>
    <tableColumn id="3" name="Indicator / Guiding Question"/>
    <tableColumn id="4" name="Evaluation theme (refined)"/>
    <tableColumn id="5" name="Candidate: triage gate?"/>
    <tableColumn id="6" name="Candidate: full review scored?"/>
    <tableColumn id="7" name="Ongoing: annual review focus"/>
    <tableColumn id="8" name="Continue decision driver?"/>
    <tableColumn id="9" name="Notes"/>
  </tableColumns>
  <tableStyleInfo name="TableStyleMedium9" showFirstColumn="0" showLastColumn="0" showRowStripes="1" showColumnStripes="0"/>
</table>
</file>

<file path=xl/tables/table3.xml><?xml version="1.0" encoding="utf-8"?>
<table xmlns="http://schemas.openxmlformats.org/spreadsheetml/2006/main" id="3" name="EvidenceLibrary" displayName="EvidenceLibrary" ref="A1:F50" headerRowCount="1">
  <autoFilter ref="A1:F50"/>
  <tableColumns count="6">
    <tableColumn id="1" name="Evidence ID"/>
    <tableColumn id="2" name="Evidence artifact"/>
    <tableColumn id="3" name="Description"/>
    <tableColumn id="4" name="Where to find / likely sources"/>
    <tableColumn id="5" name="Confidentiality"/>
    <tableColumn id="6" name="Notes / program applicability"/>
  </tableColumns>
  <tableStyleInfo name="TableStyleMedium9" showFirstColumn="0" showLastColumn="0" showRowStripes="1" showColumnStripes="0"/>
</table>
</file>

<file path=xl/tables/table4.xml><?xml version="1.0" encoding="utf-8"?>
<table xmlns="http://schemas.openxmlformats.org/spreadsheetml/2006/main" id="4" name="QIEvidenceMap" displayName="QIEvidenceMap" ref="A1:J102" headerRowCount="1">
  <autoFilter ref="A1:J102"/>
  <tableColumns count="10">
    <tableColumn id="1" name="QI ID"/>
    <tableColumn id="2" name="Domain"/>
    <tableColumn id="3" name="Indicator / Guiding Question"/>
    <tableColumn id="4" name="Evidence ID"/>
    <tableColumn id="5" name="Evidence artifact"/>
    <tableColumn id="6" name="Priority (Must/Should/Could)"/>
    <tableColumn id="7" name="Program applicability"/>
    <tableColumn id="8" name="Where to find / likely sources"/>
    <tableColumn id="9" name="What 'good' looks like (look-fors)"/>
    <tableColumn id="10" name="Notes"/>
  </tableColumns>
  <tableStyleInfo name="TableStyleMedium9" showFirstColumn="0" showLastColumn="0" showRowStripes="1" showColumnStripes="0"/>
</table>
</file>

<file path=xl/tables/table5.xml><?xml version="1.0" encoding="utf-8"?>
<table xmlns="http://schemas.openxmlformats.org/spreadsheetml/2006/main" id="5" name="ProgramSnapshot" displayName="ProgramSnapshot" ref="A1:G7" headerRowCount="1">
  <autoFilter ref="A1:G7"/>
  <tableColumns count="7">
    <tableColumn id="1" name="Program"/>
    <tableColumn id="2" name="SUSD sites / grades"/>
    <tableColumn id="3" name="Purpose / value proposition"/>
    <tableColumn id="4" name="Signature components"/>
    <tableColumn id="5" name="Entry / participation"/>
    <tableColumn id="6" name="Notable student outcomes / credentials"/>
    <tableColumn id="7" name="Primary source URLs"/>
  </tableColumns>
  <tableStyleInfo name="TableStyleMedium9" showFirstColumn="0" showLastColumn="0" showRowStripes="1" showColumnStripes="0"/>
</table>
</file>

<file path=xl/tables/table6.xml><?xml version="1.0" encoding="utf-8"?>
<table xmlns="http://schemas.openxmlformats.org/spreadsheetml/2006/main" id="6" name="ProgramDeepDive" displayName="ProgramDeepDive" ref="A1:D43" headerRowCount="1">
  <autoFilter ref="A1:D43"/>
  <tableColumns count="4">
    <tableColumn id="1" name="Program"/>
    <tableColumn id="2" name="Topic"/>
    <tableColumn id="3" name="Details"/>
    <tableColumn id="4" name="Primary source URLs"/>
  </tableColumns>
  <tableStyleInfo name="TableStyleMedium9" showFirstColumn="0" showLastColumn="0" showRowStripes="1" showColumnStripes="0"/>
</table>
</file>

<file path=xl/tables/table7.xml><?xml version="1.0" encoding="utf-8"?>
<table xmlns="http://schemas.openxmlformats.org/spreadsheetml/2006/main" id="7" name="ReviewTracker" displayName="ReviewTracker" ref="A1:J7" headerRowCount="1">
  <autoFilter ref="A1:J7"/>
  <tableColumns count="10">
    <tableColumn id="1" name="Program"/>
    <tableColumn id="2" name="Sites / grades"/>
    <tableColumn id="3" name="Lane"/>
    <tableColumn id="4" name="Reviewer pair"/>
    <tableColumn id="5" name="Evidence owner/contact"/>
    <tableColumn id="6" name="Key evidence needed (Must)"/>
    <tableColumn id="7" name="Status"/>
    <tableColumn id="8" name="Draft summary due"/>
    <tableColumn id="9" name="Notes / risks"/>
    <tableColumn id="10" name="Primary source URLs"/>
  </tableColumns>
  <tableStyleInfo name="TableStyleMedium9" showFirstColumn="0" showLastColumn="0" showRowStripes="1" showColumnStripes="0"/>
</table>
</file>

<file path=xl/tables/table8.xml><?xml version="1.0" encoding="utf-8"?>
<table xmlns="http://schemas.openxmlformats.org/spreadsheetml/2006/main" id="8" name="TriageTracker" displayName="TriageTracker" ref="A1:P2" headerRowCount="1">
  <autoFilter ref="A1:P2"/>
  <tableColumns count="16">
    <tableColumn id="1" name="Intake ID"/>
    <tableColumn id="2" name="Program"/>
    <tableColumn id="3" name="Proposer / sponsor"/>
    <tableColumn id="4" name="Date received"/>
    <tableColumn id="5" name="Triage decision (Decline / Waitlist / More info / Proceed)"/>
    <tableColumn id="6" name="Alignment (QI-01)"/>
    <tableColumn id="7" name="Need/demand (QI-03/07)"/>
    <tableColumn id="8" name="Differentiation (QI-05)"/>
    <tableColumn id="9" name="Equity/access (QI-11/12)"/>
    <tableColumn id="10" name="Feasibility (QI-14/15/18/42)"/>
    <tableColumn id="11" name="Evaluation plan (QI-32/33)"/>
    <tableColumn id="12" name="Key rationale / notes"/>
    <tableColumn id="13" name="Follow-ups requested"/>
    <tableColumn id="14" name="Owner"/>
    <tableColumn id="15" name="Due date"/>
    <tableColumn id="16" name="Link to intake packet"/>
  </tableColumns>
  <tableStyleInfo name="TableStyleMedium9" showFirstColumn="0" showLastColumn="0" showRowStripes="1" showColumnStripes="0"/>
</table>
</file>

<file path=xl/tables/table9.xml><?xml version="1.0" encoding="utf-8"?>
<table xmlns="http://schemas.openxmlformats.org/spreadsheetml/2006/main" id="9" name="NewProgramTemplate" displayName="NewProgramTemplate" ref="A1:C13" headerRowCount="1">
  <autoFilter ref="A1:C13"/>
  <tableColumns count="3">
    <tableColumn id="1" name="Section"/>
    <tableColumn id="2" name="Guiding prompts"/>
    <tableColumn id="3" name="Response (draft)"/>
  </tableColumns>
  <tableStyleInfo name="TableStyleMedium9" showFirstColumn="0" showLastColumn="0" showRowStripes="1" showColumnStripes="0"/>
</table>
</file>

<file path=xl/tables/table10.xml><?xml version="1.0" encoding="utf-8"?>
<table xmlns="http://schemas.openxmlformats.org/spreadsheetml/2006/main" id="10" name="OngoingReviewTemplate" displayName="OngoingReviewTemplate" ref="A15:C29" headerRowCount="1">
  <autoFilter ref="A15:C29"/>
  <tableColumns count="3">
    <tableColumn id="1" name="Section"/>
    <tableColumn id="2" name="Guiding prompts"/>
    <tableColumn id="3" name="Response (draf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11.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_rels/sheet23.xml.rels><Relationships xmlns="http://schemas.openxmlformats.org/package/2006/relationships"><Relationship Type="http://schemas.openxmlformats.org/officeDocument/2006/relationships/table" Target="/xl/tables/table8.xml" Id="rId1"/></Relationships>
</file>

<file path=xl/worksheets/_rels/sheet24.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s>
</file>

<file path=xl/worksheets/sheet1.xml><?xml version="1.0" encoding="utf-8"?>
<worksheet xmlns="http://schemas.openxmlformats.org/spreadsheetml/2006/main">
  <sheetPr>
    <outlinePr summaryBelow="1" summaryRight="1"/>
    <pageSetUpPr/>
  </sheetPr>
  <dimension ref="A1:G11"/>
  <sheetViews>
    <sheetView showGridLines="0" tabSelected="1" zoomScale="80" zoomScaleNormal="80" workbookViewId="0">
      <pane xSplit="1" ySplit="1" topLeftCell="B2" activePane="bottomRight" state="frozen"/>
      <selection pane="topRight" activeCell="B1" sqref="B1"/>
      <selection pane="bottomLeft" activeCell="A2" sqref="A2"/>
      <selection pane="bottomRight" activeCell="B5" sqref="B5"/>
    </sheetView>
  </sheetViews>
  <sheetFormatPr baseColWidth="8" defaultRowHeight="14.5"/>
  <cols>
    <col width="34" customWidth="1" style="54" min="1" max="1"/>
    <col width="40" customWidth="1" style="54" min="2" max="2"/>
    <col width="22" customWidth="1" style="54" min="3" max="3"/>
    <col width="44" customWidth="1" style="54" min="4" max="4"/>
    <col width="22" customWidth="1" style="54" min="5" max="5"/>
    <col width="42" customWidth="1" style="54" min="6" max="6"/>
    <col width="34" customWidth="1" style="54" min="7" max="7"/>
  </cols>
  <sheetData>
    <row r="1" ht="36" customHeight="1" s="54">
      <c r="A1" s="53" t="inlineStr">
        <is>
          <t>SCOPE NOTE (Feb 2026 baseline review): This SPARK review is focused on implementation and system alignment (strengths, sustainability, coherence across sites). It is NOT evaluating whether these programs 'should exist' or re-litigating research validity. Where the rubric/QIs reference 'research base' or 'market demand,' capture what is documented and focus scoring on clarity of local success metrics, monitoring routines, and improvement actions.</t>
        </is>
      </c>
    </row>
    <row r="2" ht="36" customHeight="1" s="54"/>
    <row r="3" ht="83" customHeight="1" s="54">
      <c r="A3" s="25" t="inlineStr">
        <is>
          <t>Module / stage</t>
        </is>
      </c>
      <c r="B3" s="25" t="inlineStr">
        <is>
          <t>Purpose</t>
        </is>
      </c>
      <c r="C3" s="25" t="inlineStr">
        <is>
          <t>Trigger / cadence</t>
        </is>
      </c>
      <c r="D3" s="25" t="inlineStr">
        <is>
          <t>Sequencing / focus</t>
        </is>
      </c>
      <c r="E3" s="25" t="inlineStr">
        <is>
          <t>Primary QI domains</t>
        </is>
      </c>
      <c r="F3" s="25" t="inlineStr">
        <is>
          <t>Primary outputs (shareable)</t>
        </is>
      </c>
      <c r="G3" s="3" t="inlineStr">
        <is>
          <t>Notes / decision gates</t>
        </is>
      </c>
    </row>
    <row r="4" ht="72.5" customHeight="1" s="54">
      <c r="A4" s="95" t="inlineStr">
        <is>
          <t>Candidate pipeline — Idea capture + Pre‑Triage (lightweight)</t>
        </is>
      </c>
      <c r="B4" s="95" t="inlineStr">
        <is>
          <t>Provide a common, low-friction way to capture ideas (formal/informal), check for overlap with existing programs, and route to the right next step.</t>
        </is>
      </c>
      <c r="C4" s="95" t="inlineStr">
        <is>
          <t>Continuous intake; reviewed on a predictable cadence (e.g., monthly/quarterly triage window) to manage capacity.</t>
        </is>
      </c>
      <c r="D4" s="95" t="inlineStr">
        <is>
          <t>Use Light Idea Submission → inventory/overlap check → pre‑triage outcome: Decline tactfully / Defer / Request info / Promote to Triage or Concept Study.</t>
        </is>
      </c>
      <c r="E4" s="95" t="inlineStr">
        <is>
          <t>Alignment &amp; Purpose; Equity &amp; Accessibility; Cost &amp; Resources; Data &amp; Evaluation; Sustainability; Community/Stakeholder (high level).</t>
        </is>
      </c>
      <c r="F4" s="95" t="inlineStr">
        <is>
          <t>Idea Log + response template; Pre‑Triage decision record; next-step assignment.</t>
        </is>
      </c>
      <c r="G4" s="55" t="inlineStr">
        <is>
          <t>Hard gates should be rare and well-defined; most 'No' results should route to 'More info' or 'Revise &amp; resubmit'.</t>
        </is>
      </c>
    </row>
    <row r="5" ht="76" customHeight="1" s="54">
      <c r="A5" s="95" t="inlineStr">
        <is>
          <t>Candidate pipeline — Triage screen (fast, SPARK-assisted)</t>
        </is>
      </c>
      <c r="B5" s="95" t="inlineStr">
        <is>
          <t>Quickly determine whether a candidate is ready for full rubric review, needs more information, or should be deferred/waitlisted.</t>
        </is>
      </c>
      <c r="C5" s="95" t="inlineStr">
        <is>
          <t>Triage windows (e.g., monthly/quarterly) or ad hoc for board-directed timelines.</t>
        </is>
      </c>
      <c r="D5" s="95" t="inlineStr">
        <is>
          <t>Light evidence aligned to Quality Indicators; outcome options: Decline / Defer / Request info / Proceed to Full Review (proposal) OR Concept Study (if large concept).</t>
        </is>
      </c>
      <c r="E5" s="95" t="inlineStr">
        <is>
          <t>1–5 (early checks), 8–10 (basic evaluation + sustainability flags)</t>
        </is>
      </c>
      <c r="F5" s="95" t="inlineStr">
        <is>
          <t>Triage Tracker entry + rationale; request list; assigned sponsor; pathway decision.</t>
        </is>
      </c>
    </row>
    <row r="6" ht="72.5" customHeight="1" s="54">
      <c r="A6" s="95" t="inlineStr">
        <is>
          <t>Concept Study / Feasibility Scan — SPARK concept subgroups</t>
        </is>
      </c>
      <c r="B6" s="95" t="inlineStr">
        <is>
          <t>Explore large-scale concepts (e.g., magnet/hub schools) into 2–3 viable options and recommend whether to proceed to formal proposal review.</t>
        </is>
      </c>
      <c r="C6" s="95" t="inlineStr">
        <is>
          <t>Often board/leadership commissioned or SPARK-prioritized; 4–8 weeks typical (can be shorter for an initial scan).</t>
        </is>
      </c>
      <c r="D6" s="95" t="inlineStr">
        <is>
          <t>Start with a light triage/charter (scope, non-negotiables, constraints). Then: current-state baseline → benchmarking/exemplars → option set + trade-offs → preliminary feasibility envelope.</t>
        </is>
      </c>
      <c r="E6" s="95" t="inlineStr">
        <is>
          <t>Alignment &amp; Purpose; Evidence &amp; Effectiveness; Equity &amp; Accessibility; Cost &amp; Resources; Implementation Feasibility; Stakeholder Support; Sustainability.</t>
        </is>
      </c>
      <c r="F6" s="95" t="inlineStr">
        <is>
          <t>Concept Brief (1–2 pages) + option set &amp; trade-offs + preliminary resource envelope + recommended pathway (Proceed / More feasibility / Pause).</t>
        </is>
      </c>
      <c r="G6" s="55" t="inlineStr">
        <is>
          <t>Not a formal scorecard stage; use Quality Indicators as evidence prompts. If proceeding, convert to Intake + Rubric-based proposal review.</t>
        </is>
      </c>
    </row>
    <row r="7" ht="58" customHeight="1" s="54">
      <c r="A7" s="95" t="inlineStr">
        <is>
          <t>Should we do it? — Full review (structured)</t>
        </is>
      </c>
      <c r="B7" s="95" t="inlineStr">
        <is>
          <t>Make a recommendation to approve / pilot / approve with conditions / decline; define resourcing and evaluation expectations.</t>
        </is>
      </c>
      <c r="C7" s="95" t="inlineStr">
        <is>
          <t>After triage → 'Proceed'; typically 3–6 weeks depending on complexity.</t>
        </is>
      </c>
      <c r="D7" s="95" t="inlineStr">
        <is>
          <t>Evidence pack + interviews + rubric scoring by domain; document strengths, gaps, and conditions for success.</t>
        </is>
      </c>
      <c r="E7" s="95" t="inlineStr">
        <is>
          <t>All 10 Quality Indicator domains.</t>
        </is>
      </c>
      <c r="F7" s="95" t="inlineStr">
        <is>
          <t>Decision memo (1–2 pages) + rubric scorecard + conditions/support plan + evaluation plan &amp; cadence.</t>
        </is>
      </c>
      <c r="G7" s="55" t="inlineStr">
        <is>
          <t>Use quality indicators to gather evidence; use rubric to summarize strength of evidence into 4/3/2/1 ratings.</t>
        </is>
      </c>
    </row>
    <row r="8" ht="58" customHeight="1" s="54">
      <c r="A8" s="95" t="inlineStr">
        <is>
          <t>How’s it going? — Annual program review (ongoing)</t>
        </is>
      </c>
      <c r="B8" s="95" t="inlineStr">
        <is>
          <t>Assess implementation + outcomes of existing programs; identify support needs and improvement actions.</t>
        </is>
      </c>
      <c r="C8" s="95" t="inlineStr">
        <is>
          <t>Annual (or semester) cycle; also on trigger (complaints, costs, staffing risk, outcomes drop).</t>
        </is>
      </c>
      <c r="D8" s="95" t="inlineStr">
        <is>
          <t>Start with outcomes/evidence and trend; then implementation fidelity &amp; operating model; then context (demand/alignment) and sustainability.</t>
        </is>
      </c>
      <c r="E8" s="95" t="inlineStr">
        <is>
          <t>Data &amp; Evaluation; Evidence &amp; Effectiveness; Implementation Feasibility; Equity &amp; Accessibility; Sustainability; then remaining domains.</t>
        </is>
      </c>
      <c r="F8" s="95" t="inlineStr">
        <is>
          <t>Annual program review summary (one-pager) + action plan (owners, due dates) + risk/escalation flags.</t>
        </is>
      </c>
      <c r="G8" s="55" t="inlineStr">
        <is>
          <t>Keep the annual update lightweight but consistent; reserve deep dives for red flags or major redesign decisions.</t>
        </is>
      </c>
    </row>
    <row r="9" ht="101.5" customHeight="1" s="54">
      <c r="A9" s="27" t="inlineStr">
        <is>
          <t>Should we continue? — Renewal / continue decision</t>
        </is>
      </c>
      <c r="B9" s="27" t="inlineStr">
        <is>
          <t>Decide continue / continue with conditions / expand / pause / sunset based on evidence + context.</t>
        </is>
      </c>
      <c r="C9" s="27" t="inlineStr">
        <is>
          <t>Every 3–5 years, or sooner if repeated red flags; uses annual review outputs as inputs.</t>
        </is>
      </c>
      <c r="D9" s="27" t="inlineStr">
        <is>
          <t>Apply decision logic that weights trends, equity, sustainability, and mission alignment; consider redesign vs sunset.</t>
        </is>
      </c>
      <c r="E9" s="27" t="inlineStr">
        <is>
          <t>All domains, with emphasis on Alignment, Equity, Outcomes, Sustainability, Cost/Capacity.</t>
        </is>
      </c>
      <c r="F9" s="27" t="inlineStr">
        <is>
          <t>Recommendation + decision rationale; if needed: redesign plan, scale plan, or sunset/transition plan.</t>
        </is>
      </c>
      <c r="G9" s="19" t="inlineStr">
        <is>
          <t>A strong 'how’s it going' process makes the 'continue?' decision evidence-driven and less ad hoc.</t>
        </is>
      </c>
    </row>
    <row r="10" ht="87" customHeight="1" s="54">
      <c r="A10" s="28" t="inlineStr">
        <is>
          <t>Portfolio Landscape Assessment (periodic)</t>
        </is>
      </c>
      <c r="B10" s="28" t="inlineStr">
        <is>
          <t>Create a repeatable, portfolio-level view of what programs exist, who they serve, how demand/choice is shifting, and where gaps/opportunities exist—feeding priorities into intake.</t>
        </is>
      </c>
      <c r="C10" s="28" t="inlineStr">
        <is>
          <t>Annual (recommended) + optional semiannual light refresh</t>
        </is>
      </c>
      <c r="D10" s="28" t="inlineStr">
        <is>
          <t>Inventory → demand/capacity → outcomes/equity → synthesize → set priorities → feed intake focus areas</t>
        </is>
      </c>
      <c r="E10" s="28" t="inlineStr">
        <is>
          <t>Alignment; Evidence; Equity; Data &amp; Evaluation; Sustainability; Cost/Resources (as maturity allows)</t>
        </is>
      </c>
      <c r="F10" s="28" t="inlineStr">
        <is>
          <t>Landscape Brief + Opportunity Register + Portfolio Priorities statement + (optional) Candidate idea heatmap for current cycle.</t>
        </is>
      </c>
      <c r="G10" s="20" t="inlineStr">
        <is>
          <t>Feeds candidate prioritization and concept studies; keep scope stable year-to-year.</t>
        </is>
      </c>
    </row>
    <row r="11" ht="101.5" customHeight="1" s="54">
      <c r="A11" s="27" t="inlineStr">
        <is>
          <t>Cross-cutting signal layers (Mobility/choice + Benchmarks + Trend scan)</t>
        </is>
      </c>
      <c r="B11" s="27" t="inlineStr">
        <is>
          <t>Provide context signals that inform landscape priorities, help interpret demand/choice, and support program improvement—without becoming the scoring tool.</t>
        </is>
      </c>
      <c r="C11" s="27" t="inlineStr">
        <is>
          <t>Mobility collected continuously; summarized on landscape cadence. Benchmarks/trends refreshed annually (light semiannual optional).</t>
        </is>
      </c>
      <c r="D11" s="27" t="inlineStr">
        <is>
          <t>Used as triangulation inputs: entries/exits + reasons; peer examples; trend prompts. Not used as standalone justification.</t>
        </is>
      </c>
      <c r="E11" s="27" t="inlineStr">
        <is>
          <t>2–3, 8–10 (demand/choice/equity; evaluation; sustainability/adaptability)</t>
        </is>
      </c>
      <c r="F11" s="27" t="inlineStr">
        <is>
          <t>Mobility/choice dashboard; benchmark matrix; trend radar/log.</t>
        </is>
      </c>
      <c r="G11" s="19" t="inlineStr">
        <is>
          <t>Use as triangulation only; document uncertainty and avoid over-weighting any single signal.</t>
        </is>
      </c>
    </row>
  </sheetData>
  <mergeCells count="1">
    <mergeCell ref="A1:F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F1"/>
    </sheetView>
  </sheetViews>
  <sheetFormatPr baseColWidth="8" defaultRowHeight="14.5"/>
  <cols>
    <col width="24" customWidth="1" style="54" min="1" max="6"/>
  </cols>
  <sheetData>
    <row r="1" ht="18.65" customHeight="1" s="54">
      <c r="A1" s="56" t="inlineStr">
        <is>
          <t>Draft summary for Ms. Mitchell (Intake + Landscape updates after 2/4 Program Review meeting)</t>
        </is>
      </c>
    </row>
    <row r="3">
      <c r="A3" s="57" t="inlineStr">
        <is>
          <t>What changed based on meeting notes</t>
        </is>
      </c>
    </row>
    <row r="4" ht="80" customHeight="1" s="54">
      <c r="A4" s="55" t="inlineStr">
        <is>
          <t>- Added a common capture for formal/informal ideas via Light Idea Submission + Idea Log (supports consistent responses to emails and a heat map dashboard).
- Clarified stage-specific sequencing: candidate proposals follow the rubric order; ongoing reviews start with data/evaluation and remain non-numeric by default.
- Integrated mobility/choice (entries + exits) into Landscape Assessment as a recurring demand/access lens (collected continuously; summarized on landscape cadence).
- Added facilities/space utilization as an optional landscape input to connect concept work (e.g., hub/magnet) with closure/repurpose realities.
- Added real-world intake use cases (email from AP, community request, board directive, etc.) to make entry channels actionable.
- Added an ‘Ongoing Program Review Rubric’ (descriptive) to complement the scored proposal rubric and reflect the team’s caution about points scoring for existing programs.</t>
        </is>
      </c>
    </row>
    <row r="6" ht="53.4" customHeight="1" s="54">
      <c r="A6" s="57" t="inlineStr">
        <is>
          <t>Proposed intake pipeline (high-level)</t>
        </is>
      </c>
    </row>
    <row r="7">
      <c r="A7" s="55" t="inlineStr">
        <is>
          <t>1) Explore inventory/portfolio priorities (Program Directory)
2) Submit Light Idea (low friction)
3) Pre‑Triage screen: overlap check + route
4) Triage (cadenced): decline/defer/more info/promote
5) If promoted: Concept Study (large/commissioned) OR Full Intake + rubric-based review
6) Decision + conditions + evaluation cadence</t>
        </is>
      </c>
    </row>
    <row r="8" ht="33.4" customHeight="1" s="54"/>
    <row r="9">
      <c r="A9" s="57" t="inlineStr">
        <is>
          <t>Landscape assessment (high-level)</t>
        </is>
      </c>
    </row>
    <row r="10" ht="46.65" customHeight="1" s="54">
      <c r="A10" s="55" t="inlineStr">
        <is>
          <t>Annual landscape: refresh inventory + candidate idea heatmap + demand/choice (incl mobility) + outcomes/equity + constraints; produce priorities statement to guide intake.
Mobility/choice is collected continuously but summarized on landscape cadence.</t>
        </is>
      </c>
    </row>
    <row r="12" ht="26.65" customHeight="1" s="54">
      <c r="A12" s="57" t="inlineStr">
        <is>
          <t>Open questions / decisions needed</t>
        </is>
      </c>
    </row>
    <row r="13">
      <c r="A13" s="55" t="inlineStr">
        <is>
          <t>- What cadence for triage windows (monthly vs quarterly)?
- What should be public-facing vs internal-only (inventory directory, priorities, simplified idea status)?
- Threshold: when does a site-level pilot become a ‘signature program’ requiring SPARK review?
- Which rubric to use for ongoing programs: descriptive (recommended) vs numeric (only for calibration)?</t>
        </is>
      </c>
    </row>
    <row r="15">
      <c r="A15" s="57" t="inlineStr">
        <is>
          <t>Where to find supporting tabs</t>
        </is>
      </c>
    </row>
    <row r="16">
      <c r="A16" s="55" t="inlineStr">
        <is>
          <t>- Governance &amp; Intake Channels (plus Intake Use Cases)
- Idea Submission (Light), Idea Log, Idea Heatmap (Design)
- Intake Form Design (Full)
- Landscape Assessment + Mobility &amp; Choice Signals
- SPARK Flow Visual
- Rubric (New program proposal rubric) + Ongoing Program Review Rubric</t>
        </is>
      </c>
    </row>
  </sheetData>
  <mergeCells count="11">
    <mergeCell ref="A16:F16"/>
    <mergeCell ref="A10:F10"/>
    <mergeCell ref="A13:F13"/>
    <mergeCell ref="A1:F1"/>
    <mergeCell ref="A9:F9"/>
    <mergeCell ref="A6:F6"/>
    <mergeCell ref="A12:F12"/>
    <mergeCell ref="A4:F4"/>
    <mergeCell ref="A3:F3"/>
    <mergeCell ref="A15:F15"/>
    <mergeCell ref="A7:F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52"/>
  <sheetViews>
    <sheetView zoomScale="60" zoomScaleNormal="60" workbookViewId="0">
      <selection activeCell="G20" sqref="G20"/>
    </sheetView>
  </sheetViews>
  <sheetFormatPr baseColWidth="8" defaultRowHeight="14.5"/>
  <cols>
    <col width="16" customWidth="1" style="54" min="1" max="14"/>
  </cols>
  <sheetData>
    <row r="1" ht="18.65" customHeight="1" s="54">
      <c r="A1" s="56" t="inlineStr">
        <is>
          <t>SPARK Operating Flow (draft) — how ideas, evidence, and decisions move through the system</t>
        </is>
      </c>
    </row>
    <row r="3" ht="28" customHeight="1" s="54">
      <c r="A3" s="64" t="inlineStr">
        <is>
          <t>Landscape Assessment (annual)
Portfolio priorities + opportunity register</t>
        </is>
      </c>
      <c r="B3" s="61" t="n"/>
      <c r="C3" s="59" t="n"/>
      <c r="D3" s="37" t="inlineStr">
        <is>
          <t>→</t>
        </is>
      </c>
      <c r="E3" s="65" t="inlineStr">
        <is>
          <t>Program Directory / Inventory
Public-facing exploration + contacts</t>
        </is>
      </c>
      <c r="F3" s="61" t="n"/>
      <c r="G3" s="59" t="n"/>
      <c r="H3" s="37" t="inlineStr">
        <is>
          <t>→</t>
        </is>
      </c>
      <c r="I3" s="60" t="inlineStr">
        <is>
          <t>Idea Capture
Light idea submission + logging</t>
        </is>
      </c>
      <c r="J3" s="61" t="n"/>
      <c r="K3" s="59" t="n"/>
      <c r="L3" s="37" t="inlineStr">
        <is>
          <t>→</t>
        </is>
      </c>
      <c r="M3" s="60" t="inlineStr">
        <is>
          <t>Pre‑Triage Screen
Overlap check + route</t>
        </is>
      </c>
      <c r="N3" s="59" t="n"/>
    </row>
    <row r="5" ht="29.5" customHeight="1" s="54">
      <c r="A5" s="58" t="inlineStr">
        <is>
          <t>Triage (cadenced)
Decline / Defer / More info / Promote</t>
        </is>
      </c>
      <c r="B5" s="61" t="n"/>
      <c r="C5" s="59" t="n"/>
      <c r="D5" s="37" t="inlineStr">
        <is>
          <t>→</t>
        </is>
      </c>
      <c r="E5" s="63" t="inlineStr">
        <is>
          <t>Concept Study (if large/commissioned)
Option set + feasibility envelope</t>
        </is>
      </c>
      <c r="F5" s="61" t="n"/>
      <c r="G5" s="59" t="n"/>
      <c r="H5" s="37" t="inlineStr">
        <is>
          <t>→</t>
        </is>
      </c>
      <c r="I5" s="63" t="inlineStr">
        <is>
          <t>Full Review (rubric)
Ms. Mitchell rubric + evidence pack</t>
        </is>
      </c>
      <c r="J5" s="61" t="n"/>
      <c r="K5" s="59" t="n"/>
      <c r="L5" s="37" t="inlineStr">
        <is>
          <t>→</t>
        </is>
      </c>
      <c r="M5" s="58" t="inlineStr">
        <is>
          <t>Decision
Approve/Pilot/Conditions/Waitlist</t>
        </is>
      </c>
      <c r="N5" s="59" t="n"/>
    </row>
    <row r="7" ht="32" customHeight="1" s="54">
      <c r="A7" s="63" t="inlineStr">
        <is>
          <t>Implementation
Owner + resources + launch plan</t>
        </is>
      </c>
      <c r="B7" s="61" t="n"/>
      <c r="C7" s="61" t="n"/>
      <c r="D7" s="59" t="n"/>
      <c r="E7" s="37" t="inlineStr">
        <is>
          <t>→</t>
        </is>
      </c>
      <c r="F7" s="60" t="inlineStr">
        <is>
          <t>Ongoing Program Review (annual)
Qualitative strengths/growth + support plan</t>
        </is>
      </c>
      <c r="G7" s="61" t="n"/>
      <c r="H7" s="61" t="n"/>
      <c r="I7" s="59" t="n"/>
      <c r="J7" s="37" t="inlineStr">
        <is>
          <t>→</t>
        </is>
      </c>
      <c r="K7" s="58" t="inlineStr">
        <is>
          <t>Continue / Expand / Redesign / Sunset
Evidence-driven renewal logic</t>
        </is>
      </c>
      <c r="L7" s="61" t="n"/>
      <c r="M7" s="61" t="n"/>
      <c r="N7" s="59" t="n"/>
    </row>
    <row r="9" ht="32" customHeight="1" s="54">
      <c r="A9" s="64" t="inlineStr">
        <is>
          <t>Cross-cutting signals
Mobility/choice + benchmarks + trends</t>
        </is>
      </c>
      <c r="B9" s="61" t="n"/>
      <c r="C9" s="61" t="n"/>
      <c r="D9" s="59" t="n"/>
      <c r="E9" s="29" t="inlineStr">
        <is>
          <t>feed into</t>
        </is>
      </c>
      <c r="F9" s="64" t="inlineStr">
        <is>
          <t>Landscape + Intake + Reviews
Triangulation inputs (not scoring)</t>
        </is>
      </c>
      <c r="G9" s="61" t="n"/>
      <c r="H9" s="61" t="n"/>
      <c r="I9" s="59" t="n"/>
      <c r="J9" s="37" t="inlineStr">
        <is>
          <t>↔</t>
        </is>
      </c>
      <c r="K9" s="64" t="inlineStr">
        <is>
          <t>Evidence Library + QI Mapping
Core + program-specific evidence</t>
        </is>
      </c>
      <c r="L9" s="61" t="n"/>
      <c r="M9" s="61" t="n"/>
      <c r="N9" s="59" t="n"/>
    </row>
    <row r="11" ht="32" customHeight="1" s="54"/>
    <row r="12">
      <c r="A12" s="62" t="inlineStr">
        <is>
          <t>Legend</t>
        </is>
      </c>
    </row>
    <row r="13" ht="32" customHeight="1" s="54">
      <c r="A13" s="64" t="inlineStr">
        <is>
          <t>Data/Signals</t>
        </is>
      </c>
      <c r="B13" s="59" t="n"/>
      <c r="C13" s="60" t="inlineStr">
        <is>
          <t>Process Stage</t>
        </is>
      </c>
      <c r="D13" s="59" t="n"/>
      <c r="E13" s="58" t="inlineStr">
        <is>
          <t>Decision Point</t>
        </is>
      </c>
      <c r="F13" s="59" t="n"/>
      <c r="G13" s="63" t="inlineStr">
        <is>
          <t>Concept/Review Work</t>
        </is>
      </c>
      <c r="H13" s="59" t="n"/>
    </row>
    <row r="25" ht="14.5" customHeight="1" s="54"/>
    <row r="26">
      <c r="F26" s="65" t="inlineStr">
        <is>
          <t>Program Directory / Inventory</t>
        </is>
      </c>
      <c r="G26" s="61" t="n"/>
      <c r="H26" s="59" t="n"/>
    </row>
    <row r="28" ht="14.5" customHeight="1" s="54"/>
    <row r="31" ht="14.5" customHeight="1" s="54"/>
    <row r="34">
      <c r="B34" s="65" t="inlineStr">
        <is>
          <t>Public-facing exploration + contacts</t>
        </is>
      </c>
      <c r="C34" s="61" t="n"/>
      <c r="D34" s="59" t="n"/>
    </row>
    <row r="37">
      <c r="F37" s="60" t="inlineStr">
        <is>
          <t>Idea Capture
Light idea submission + logging</t>
        </is>
      </c>
      <c r="G37" s="61" t="n"/>
      <c r="H37" s="59" t="n"/>
      <c r="J37" s="60" t="inlineStr">
        <is>
          <t>Pre‑Triage Screen
Overlap check + route</t>
        </is>
      </c>
      <c r="K37" s="59" t="n"/>
    </row>
    <row r="40">
      <c r="B40" s="64" t="inlineStr">
        <is>
          <t>Landscape Assessment (annual)
Portfolio priorities + opportunity register</t>
        </is>
      </c>
      <c r="C40" s="61" t="n"/>
      <c r="D40" s="59" t="n"/>
    </row>
    <row r="45">
      <c r="J45" s="58" t="inlineStr">
        <is>
          <t>Triage (cadenced)
Decline / Defer / More info / Promote</t>
        </is>
      </c>
      <c r="K45" s="61" t="n"/>
      <c r="L45" s="59" t="n"/>
    </row>
    <row r="49">
      <c r="J49" s="63" t="inlineStr">
        <is>
          <t>Concept Study (if large/commissioned)
Option set + feasibility envelope</t>
        </is>
      </c>
      <c r="K49" s="61" t="n"/>
      <c r="L49" s="59" t="n"/>
    </row>
    <row r="52">
      <c r="J52" s="63" t="inlineStr">
        <is>
          <t>Full Review (rubric)
Ms. Mitchell rubric + evidence pack</t>
        </is>
      </c>
      <c r="K52" s="61" t="n"/>
      <c r="L52" s="59" t="n"/>
      <c r="N52" s="58" t="inlineStr">
        <is>
          <t>Decision
Approve/Pilot/Conditions/Waitlist</t>
        </is>
      </c>
      <c r="O52" s="59" t="n"/>
    </row>
  </sheetData>
  <mergeCells count="29">
    <mergeCell ref="J49:L49"/>
    <mergeCell ref="F9:I9"/>
    <mergeCell ref="J45:L45"/>
    <mergeCell ref="F26:H26"/>
    <mergeCell ref="J37:K37"/>
    <mergeCell ref="A3:C3"/>
    <mergeCell ref="K7:N7"/>
    <mergeCell ref="M5:N5"/>
    <mergeCell ref="I3:K3"/>
    <mergeCell ref="B34:D34"/>
    <mergeCell ref="A1:N1"/>
    <mergeCell ref="A9:D9"/>
    <mergeCell ref="A5:C5"/>
    <mergeCell ref="I5:K5"/>
    <mergeCell ref="B40:D40"/>
    <mergeCell ref="E13:F13"/>
    <mergeCell ref="G13:H13"/>
    <mergeCell ref="K9:N9"/>
    <mergeCell ref="F37:H37"/>
    <mergeCell ref="N52:O52"/>
    <mergeCell ref="A12:B12"/>
    <mergeCell ref="F7:I7"/>
    <mergeCell ref="J52:L52"/>
    <mergeCell ref="A7:D7"/>
    <mergeCell ref="M3:N3"/>
    <mergeCell ref="E3:G3"/>
    <mergeCell ref="E5:G5"/>
    <mergeCell ref="A13:B13"/>
    <mergeCell ref="C13:D1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B4" sqref="B4"/>
    </sheetView>
  </sheetViews>
  <sheetFormatPr baseColWidth="8" defaultRowHeight="14.5"/>
  <cols>
    <col width="22" customWidth="1" style="54" min="1" max="1"/>
    <col width="48" customWidth="1" style="54" min="2" max="2"/>
    <col width="16" customWidth="1" style="54" min="3" max="3"/>
    <col width="34" customWidth="1" style="54" min="4" max="4"/>
    <col width="18" customWidth="1" style="54" min="5" max="5"/>
    <col width="30" customWidth="1" style="54" min="6" max="6"/>
    <col width="34" customWidth="1" style="54" min="7" max="7"/>
    <col width="28" customWidth="1" style="54" min="8" max="8"/>
    <col width="26.4" customWidth="1" style="54" min="9" max="9"/>
    <col width="16" customWidth="1" style="54" min="10" max="10"/>
    <col width="31.2" customWidth="1" style="54" min="11" max="11"/>
  </cols>
  <sheetData>
    <row r="1" ht="28" customHeight="1" s="54">
      <c r="A1" s="99" t="inlineStr">
        <is>
          <t>Domain</t>
        </is>
      </c>
      <c r="B1" s="99" t="inlineStr">
        <is>
          <t>Indicator / Guiding Question</t>
        </is>
      </c>
      <c r="C1" s="99" t="inlineStr">
        <is>
          <t>QI ID</t>
        </is>
      </c>
      <c r="D1" s="99" t="inlineStr">
        <is>
          <t>Evidence artifacts (summary)</t>
        </is>
      </c>
      <c r="E1" s="99" t="inlineStr">
        <is>
          <t>Evidence IDs (pool)</t>
        </is>
      </c>
      <c r="F1" s="99" t="inlineStr">
        <is>
          <t>Where to find (quick)</t>
        </is>
      </c>
      <c r="G1" s="99" t="inlineStr">
        <is>
          <t>Strong evidence / 'goodness' look-fors (summary)</t>
        </is>
      </c>
      <c r="H1" s="99" t="inlineStr">
        <is>
          <t>Program-specific notes</t>
        </is>
      </c>
      <c r="I1" s="99" t="inlineStr">
        <is>
          <t>Lens (Existing review)</t>
        </is>
      </c>
      <c r="J1" s="99" t="inlineStr">
        <is>
          <t>Tier (1/2/3)</t>
        </is>
      </c>
      <c r="K1" s="99" t="inlineStr">
        <is>
          <t>Public-safe? (Y/N/Partial)</t>
        </is>
      </c>
    </row>
    <row r="2" ht="87" customHeight="1" s="54">
      <c r="A2" s="55" t="inlineStr">
        <is>
          <t>Alignment &amp; Purpose</t>
        </is>
      </c>
      <c r="B2" s="55" t="inlineStr">
        <is>
          <t>Aligns with district/school mission, vision, and strategic goals</t>
        </is>
      </c>
      <c r="C2" s="55" t="inlineStr">
        <is>
          <t>QI-01</t>
        </is>
      </c>
      <c r="D2" s="55" t="inlineStr">
        <is>
          <t>- Mission/strategic alignment crosswalk
- Program overview / charter</t>
        </is>
      </c>
      <c r="E2" s="55" t="inlineStr">
        <is>
          <t>E02, E01</t>
        </is>
      </c>
      <c r="F2" s="55" t="inlineStr">
        <is>
          <t>- District strategic plan; school improvement plan; program proposal; site admin notes
- SUSD program page; school site page; program handbook; board/committee docs</t>
        </is>
      </c>
      <c r="G2" s="55" t="inlineStr">
        <is>
          <t>- Shows explicit link to mission/strategic priorities (not just a tagline)…
- Clear, accurate, and current (this year)…</t>
        </is>
      </c>
      <c r="H2" s="55" t="n"/>
      <c r="I2" s="100" t="n"/>
      <c r="J2" s="100" t="n"/>
      <c r="K2" s="100" t="n"/>
    </row>
    <row r="3" ht="43.5" customHeight="1" s="54">
      <c r="A3" s="55" t="inlineStr">
        <is>
          <t>Alignment &amp; Purpose</t>
        </is>
      </c>
      <c r="B3" s="55" t="inlineStr">
        <is>
          <t>Supports curriculum standards (local/state/national)</t>
        </is>
      </c>
      <c r="C3" s="55" t="inlineStr">
        <is>
          <t>QI-02</t>
        </is>
      </c>
      <c r="D3" s="55" t="inlineStr">
        <is>
          <t>- Standards &amp; curriculum alignment map</t>
        </is>
      </c>
      <c r="E3" s="55" t="inlineStr">
        <is>
          <t>E03, P01</t>
        </is>
      </c>
      <c r="F3" s="55" t="inlineStr">
        <is>
          <t>- Curriculum dept; course catalogs; unit plans; provider frameworks</t>
        </is>
      </c>
      <c r="G3" s="55" t="inlineStr">
        <is>
          <t>- Includes clear alignment to AZ standards and/or program frameworks…</t>
        </is>
      </c>
      <c r="H3" s="55" t="inlineStr">
        <is>
          <t>Optional program-specific evidence: IB (P01).</t>
        </is>
      </c>
      <c r="I3" s="100" t="n"/>
      <c r="J3" s="100" t="n"/>
      <c r="K3" s="100" t="n"/>
    </row>
    <row r="4" ht="87" customHeight="1" s="54">
      <c r="A4" s="55" t="inlineStr">
        <is>
          <t>Alignment &amp; Purpose</t>
        </is>
      </c>
      <c r="B4" s="55" t="inlineStr">
        <is>
          <t>Clear evidence of need for the program</t>
        </is>
      </c>
      <c r="C4" s="55" t="inlineStr">
        <is>
          <t>QI-03</t>
        </is>
      </c>
      <c r="D4" s="55" t="inlineStr">
        <is>
          <t>- Needs assessment / problem statement with data
- Demand / participation evidence</t>
        </is>
      </c>
      <c r="E4" s="55" t="inlineStr">
        <is>
          <t>E04, E08</t>
        </is>
      </c>
      <c r="F4" s="55" t="inlineStr">
        <is>
          <t>- District assessment dashboards; enrollment trends; surveys; SIP needs assessment
- Enrollment office reports; Infinite Campus exports; application forms</t>
        </is>
      </c>
      <c r="G4" s="55" t="inlineStr">
        <is>
          <t>- Uses local data (baseline + trend) and/or clearly documented stakeholder demand…</t>
        </is>
      </c>
      <c r="H4" s="55" t="n"/>
      <c r="I4" s="100" t="n"/>
      <c r="J4" s="100" t="n"/>
      <c r="K4" s="100" t="n"/>
    </row>
    <row r="5" ht="58" customHeight="1" s="54">
      <c r="A5" s="55" t="inlineStr">
        <is>
          <t>Alignment &amp; Purpose</t>
        </is>
      </c>
      <c r="B5" s="55" t="inlineStr">
        <is>
          <t>Intended outcomes are well-defined and measurable</t>
        </is>
      </c>
      <c r="C5" s="55" t="inlineStr">
        <is>
          <t>QI-04</t>
        </is>
      </c>
      <c r="D5" s="55" t="inlineStr">
        <is>
          <t>- Outcomes &amp; logic model (SMART goals)
- KPI/metrics definition sheet</t>
        </is>
      </c>
      <c r="E5" s="55" t="inlineStr">
        <is>
          <t>E05, E10</t>
        </is>
      </c>
      <c r="F5" s="55" t="inlineStr">
        <is>
          <t>- Program plan; SIP; grant proposal; logic model doc
- Program evaluation plan; dashboard spec; data office</t>
        </is>
      </c>
      <c r="G5" s="55" t="inlineStr">
        <is>
          <t>- SMART outcomes with baseline, target, timeline, and owner…</t>
        </is>
      </c>
      <c r="H5" s="55" t="n"/>
      <c r="I5" s="100" t="n"/>
      <c r="J5" s="100" t="n"/>
      <c r="K5" s="100" t="n"/>
    </row>
    <row r="6" ht="87" customHeight="1" s="54">
      <c r="A6" s="55" t="inlineStr">
        <is>
          <t>Alignment &amp; Purpose</t>
        </is>
      </c>
      <c r="B6" s="55" t="inlineStr">
        <is>
          <t>Serves an unmet need vs. duplicates existing programming</t>
        </is>
      </c>
      <c r="C6" s="55" t="inlineStr">
        <is>
          <t>QI-05</t>
        </is>
      </c>
      <c r="D6" s="55" t="inlineStr">
        <is>
          <t>- Program landscape / duplication analysis
- Program overview / charter
- Current-state baseline documentation (SUSD)</t>
        </is>
      </c>
      <c r="E6" s="55" t="inlineStr">
        <is>
          <t>E06, E01, E46</t>
        </is>
      </c>
      <c r="F6" s="55" t="inlineStr">
        <is>
          <t>- Program office; school choice/enrollment docs; C&amp;I inventory
- SUSD program page; school site page; program handbook; board/committee docs
- Board-adopted scope &amp; sequence/service model docs; existing handbooks</t>
        </is>
      </c>
      <c r="G6" s="55" t="inlineStr">
        <is>
          <t>- Identifies similar offerings and clarifies differentiation…</t>
        </is>
      </c>
      <c r="H6" s="55" t="inlineStr">
        <is>
          <t>For concept studies, baseline documentation helps clarify what already exists before claiming 'unmet need'.</t>
        </is>
      </c>
      <c r="I6" s="100" t="n"/>
      <c r="J6" s="100" t="n"/>
      <c r="K6" s="100" t="n"/>
    </row>
    <row r="7" ht="43.5" customHeight="1" s="54">
      <c r="A7" s="55" t="inlineStr">
        <is>
          <t>Evidence &amp; Effectiveness</t>
        </is>
      </c>
      <c r="B7" s="55" t="inlineStr">
        <is>
          <t>Research-based or evidence-informed</t>
        </is>
      </c>
      <c r="C7" s="55" t="inlineStr">
        <is>
          <t>QI-06</t>
        </is>
      </c>
      <c r="D7" s="55" t="inlineStr">
        <is>
          <t>- Research base / evidence summary</t>
        </is>
      </c>
      <c r="E7" s="55" t="inlineStr">
        <is>
          <t>E07, P03, P04, P01, P05</t>
        </is>
      </c>
      <c r="F7" s="55" t="inlineStr">
        <is>
          <t>- Provider research briefs; peer-reviewed literature; What Works Clearinghouse-style summaries</t>
        </is>
      </c>
      <c r="G7" s="55" t="inlineStr">
        <is>
          <t>- Cites credible research and explains applicability to SUSD context…</t>
        </is>
      </c>
      <c r="H7" s="55" t="inlineStr">
        <is>
          <t>Optional program-specific evidence: AVID, DLI, IB, STEAM (P03, P04, P01, P05).</t>
        </is>
      </c>
      <c r="I7" s="100" t="n"/>
      <c r="J7" s="100" t="n"/>
      <c r="K7" s="100" t="n"/>
    </row>
    <row r="8" ht="43.5" customHeight="1" s="54">
      <c r="A8" s="55" t="inlineStr">
        <is>
          <t>Evidence &amp; Effectiveness</t>
        </is>
      </c>
      <c r="B8" s="55" t="inlineStr">
        <is>
          <t>Market demand for specialized programming</t>
        </is>
      </c>
      <c r="C8" s="55" t="inlineStr">
        <is>
          <t>QI-07</t>
        </is>
      </c>
      <c r="D8" s="55" t="inlineStr">
        <is>
          <t>- Demand / participation evidence</t>
        </is>
      </c>
      <c r="E8" s="55" t="inlineStr">
        <is>
          <t>E08, E36</t>
        </is>
      </c>
      <c r="F8" s="55" t="inlineStr">
        <is>
          <t>- Enrollment office reports; Infinite Campus exports; application forms</t>
        </is>
      </c>
      <c r="G8" s="55" t="inlineStr">
        <is>
          <t>- Shows demand over multiple years where possible…</t>
        </is>
      </c>
      <c r="H8" s="55" t="n"/>
      <c r="I8" s="100" t="n"/>
      <c r="J8" s="100" t="n"/>
      <c r="K8" s="100" t="n"/>
    </row>
    <row r="9" ht="87" customHeight="1" s="54">
      <c r="A9" s="55" t="inlineStr">
        <is>
          <t>Evidence &amp; Effectiveness</t>
        </is>
      </c>
      <c r="B9" s="55" t="inlineStr">
        <is>
          <t>Proven results in similar contexts (size, demographics)</t>
        </is>
      </c>
      <c r="C9" s="55" t="inlineStr">
        <is>
          <t>QI-08</t>
        </is>
      </c>
      <c r="D9" s="55" t="inlineStr">
        <is>
          <t>- Comparable program benchmarks
- External validation / case studies / testimonials</t>
        </is>
      </c>
      <c r="E9" s="55" t="inlineStr">
        <is>
          <t>E09, E11</t>
        </is>
      </c>
      <c r="F9" s="55" t="inlineStr">
        <is>
          <t>- Peer district reports; provider comparative data; state reports
- Provider reports; accreditation/certification documentation; survey summaries</t>
        </is>
      </c>
      <c r="G9" s="55" t="inlineStr">
        <is>
          <t>- Benchmarks are from truly comparable contexts and include context notes…</t>
        </is>
      </c>
      <c r="H9" s="55" t="n"/>
      <c r="I9" s="100" t="n"/>
      <c r="J9" s="100" t="n"/>
      <c r="K9" s="100" t="n"/>
    </row>
    <row r="10" ht="43.5" customHeight="1" s="54">
      <c r="A10" s="55" t="inlineStr">
        <is>
          <t>Evidence &amp; Effectiveness</t>
        </is>
      </c>
      <c r="B10" s="55" t="inlineStr">
        <is>
          <t>Clear success metrics (academic, behavioral, social-emotional, etc.)</t>
        </is>
      </c>
      <c r="C10" s="55" t="inlineStr">
        <is>
          <t>QI-09</t>
        </is>
      </c>
      <c r="D10" s="55" t="inlineStr">
        <is>
          <t>- KPI/metrics definition sheet</t>
        </is>
      </c>
      <c r="E10" s="55" t="inlineStr">
        <is>
          <t>E10, P02, P04, P03, P05, P07</t>
        </is>
      </c>
      <c r="F10" s="55" t="inlineStr">
        <is>
          <t>- Program evaluation plan; dashboard spec; data office</t>
        </is>
      </c>
      <c r="G10" s="55" t="inlineStr">
        <is>
          <t>- Metrics are defined (formula, source, cadence)…</t>
        </is>
      </c>
      <c r="H10" s="55" t="inlineStr">
        <is>
          <t>Optional program-specific evidence: AVID, DLI, IB, MSA, STEAM (P02, P04, P03, P05, P07).</t>
        </is>
      </c>
      <c r="I10" s="100" t="n"/>
      <c r="J10" s="100" t="n"/>
      <c r="K10" s="100" t="n"/>
    </row>
    <row r="11" ht="58" customHeight="1" s="54">
      <c r="A11" s="55" t="inlineStr">
        <is>
          <t>Evidence &amp; Effectiveness</t>
        </is>
      </c>
      <c r="B11" s="55" t="inlineStr">
        <is>
          <t>Pilot studies, case studies, or testimonials</t>
        </is>
      </c>
      <c r="C11" s="55" t="inlineStr">
        <is>
          <t>QI-10</t>
        </is>
      </c>
      <c r="D11" s="55" t="inlineStr">
        <is>
          <t>- External validation / case studies / testimonials</t>
        </is>
      </c>
      <c r="E11" s="55" t="inlineStr">
        <is>
          <t>E11, E30</t>
        </is>
      </c>
      <c r="F11" s="55" t="inlineStr">
        <is>
          <t>- Provider reports; accreditation/certification documentation; survey summaries</t>
        </is>
      </c>
      <c r="G11" s="55" t="inlineStr">
        <is>
          <t>- Third-party or structured evidence with methods…</t>
        </is>
      </c>
      <c r="H11" s="55" t="n"/>
      <c r="I11" s="100" t="n"/>
      <c r="J11" s="100" t="n"/>
      <c r="K11" s="100" t="n"/>
    </row>
    <row r="12" ht="87" customHeight="1" s="54">
      <c r="A12" s="55" t="inlineStr">
        <is>
          <t>Equity &amp; Accessibility</t>
        </is>
      </c>
      <c r="B12" s="55" t="inlineStr">
        <is>
          <t>Benefits all students, including those with diverse needs</t>
        </is>
      </c>
      <c r="C12" s="55" t="inlineStr">
        <is>
          <t>QI-11</t>
        </is>
      </c>
      <c r="D12" s="55" t="inlineStr">
        <is>
          <t>- Participation &amp; access equity profile
- Family engagement &amp; education plan</t>
        </is>
      </c>
      <c r="E12" s="55" t="inlineStr">
        <is>
          <t>E12, E24</t>
        </is>
      </c>
      <c r="F12" s="55" t="inlineStr">
        <is>
          <t>- Enrollment/SIS; program rosters; transportation routes; outreach logs
- Family engagement office; site comms; newsletters; meeting agendas</t>
        </is>
      </c>
      <c r="G12" s="55" t="inlineStr">
        <is>
          <t>- Participation reflects intended access goals…</t>
        </is>
      </c>
      <c r="H12" s="55" t="n"/>
      <c r="I12" s="100" t="n"/>
      <c r="J12" s="100" t="n"/>
      <c r="K12" s="100" t="n"/>
    </row>
    <row r="13" ht="58" customHeight="1" s="54">
      <c r="A13" s="55" t="inlineStr">
        <is>
          <t>Equity &amp; Accessibility</t>
        </is>
      </c>
      <c r="B13" s="55" t="inlineStr">
        <is>
          <t>Accessible for English learners and students with disabilities</t>
        </is>
      </c>
      <c r="C13" s="55" t="inlineStr">
        <is>
          <t>QI-12</t>
        </is>
      </c>
      <c r="D13" s="55" t="inlineStr">
        <is>
          <t>- Accessibility &amp; supports plan (EL/SPED)
- PD needs assessment &amp; plan</t>
        </is>
      </c>
      <c r="E13" s="55" t="inlineStr">
        <is>
          <t>E13, E20</t>
        </is>
      </c>
      <c r="F13" s="55" t="inlineStr">
        <is>
          <t>- Special Education/EL dept; site plans; accommodation guides
- PD office; program lead; provider training plan</t>
        </is>
      </c>
      <c r="G13" s="55" t="inlineStr">
        <is>
          <t>- Specific EL/SPED supports are designed in (not added later)…</t>
        </is>
      </c>
      <c r="H13" s="55" t="n"/>
      <c r="I13" s="100" t="n"/>
      <c r="J13" s="100" t="n"/>
      <c r="K13" s="100" t="n"/>
    </row>
    <row r="14" ht="72.5" customHeight="1" s="54">
      <c r="A14" s="55" t="inlineStr">
        <is>
          <t>Equity &amp; Accessibility</t>
        </is>
      </c>
      <c r="B14" s="55" t="inlineStr">
        <is>
          <t>Helps close achievement/opportunity gaps</t>
        </is>
      </c>
      <c r="C14" s="55" t="inlineStr">
        <is>
          <t>QI-13</t>
        </is>
      </c>
      <c r="D14" s="55" t="inlineStr">
        <is>
          <t>- Gap-closure analysis (outcomes disaggregated)
- KPI/metrics definition sheet</t>
        </is>
      </c>
      <c r="E14" s="55" t="inlineStr">
        <is>
          <t>E14, E10</t>
        </is>
      </c>
      <c r="F14" s="55" t="inlineStr">
        <is>
          <t>- Assessment dashboards; discipline/attendance reports; course completion
- Program evaluation plan; dashboard spec; data office</t>
        </is>
      </c>
      <c r="G14" s="55" t="inlineStr">
        <is>
          <t>- Disaggregated outcome trends show movement toward closing gaps…</t>
        </is>
      </c>
      <c r="H14" s="55" t="n"/>
      <c r="I14" s="100" t="n"/>
      <c r="J14" s="100" t="n"/>
      <c r="K14" s="100" t="n"/>
    </row>
    <row r="15" ht="101.5" customHeight="1" s="54">
      <c r="A15" s="55" t="inlineStr">
        <is>
          <t>Cost &amp; Resources</t>
        </is>
      </c>
      <c r="B15" s="55" t="inlineStr">
        <is>
          <t>Total cost (startup, annual, materials, tech, licensing)</t>
        </is>
      </c>
      <c r="C15" s="55" t="inlineStr">
        <is>
          <t>QI-14</t>
        </is>
      </c>
      <c r="D15" s="55" t="inlineStr">
        <is>
          <t>- Total cost model
- Facilities/tech/materials inventory
- Staffing model &amp; qualifications
- Preliminary feasibility envelope (rough)</t>
        </is>
      </c>
      <c r="E15" s="55" t="inlineStr">
        <is>
          <t>E15, E18, E19, E49</t>
        </is>
      </c>
      <c r="F15" s="55" t="inlineStr">
        <is>
          <t>- Finance/budget docs; purchasing; grant budgets; staffing allocations
- IT; facilities; site inventory; vendor agreements
- HR; site master schedule; staffing allocations
- Finance/HR/Facilities/Transportation initial estimate (concept stage)</t>
        </is>
      </c>
      <c r="G15" s="55" t="inlineStr">
        <is>
          <t>- Complete cost picture (startup + ongoing) with assumptions…</t>
        </is>
      </c>
      <c r="H15" s="55" t="inlineStr">
        <is>
          <t>At concept stage, E49 provides a rough range; full E15/E18/E19 required before implementation approval.</t>
        </is>
      </c>
      <c r="I15" s="100" t="n"/>
      <c r="J15" s="100" t="n"/>
      <c r="K15" s="100" t="n"/>
    </row>
    <row r="16" ht="72.5" customHeight="1" s="54">
      <c r="A16" s="55" t="inlineStr">
        <is>
          <t>Cost &amp; Resources</t>
        </is>
      </c>
      <c r="B16" s="55" t="inlineStr">
        <is>
          <t>Budget and/or sustainable funding exists</t>
        </is>
      </c>
      <c r="C16" s="55" t="inlineStr">
        <is>
          <t>QI-15</t>
        </is>
      </c>
      <c r="D16" s="55" t="inlineStr">
        <is>
          <t>- Funding plan &amp; sustainability assumptions
- Total cost model</t>
        </is>
      </c>
      <c r="E16" s="55" t="inlineStr">
        <is>
          <t>E16, E15</t>
        </is>
      </c>
      <c r="F16" s="55" t="inlineStr">
        <is>
          <t>- Finance; grants office; program budget narrative
- Finance/budget docs; purchasing; grant budgets; staffing allocations</t>
        </is>
      </c>
      <c r="G16" s="55" t="inlineStr">
        <is>
          <t>- Identifies stable funding sources and cliff risks…</t>
        </is>
      </c>
      <c r="H16" s="55" t="n"/>
      <c r="I16" s="100" t="n"/>
      <c r="J16" s="100" t="n"/>
      <c r="K16" s="100" t="n"/>
    </row>
    <row r="17" ht="29" customHeight="1" s="54">
      <c r="A17" s="55" t="inlineStr">
        <is>
          <t>Cost &amp; Resources</t>
        </is>
      </c>
      <c r="B17" s="55" t="inlineStr">
        <is>
          <t>Grants/external financial resources considered</t>
        </is>
      </c>
      <c r="C17" s="55" t="inlineStr">
        <is>
          <t>QI-16</t>
        </is>
      </c>
      <c r="D17" s="55" t="inlineStr">
        <is>
          <t>- Grants/external funding pipeline</t>
        </is>
      </c>
      <c r="E17" s="55" t="inlineStr">
        <is>
          <t>E17, E37</t>
        </is>
      </c>
      <c r="F17" s="55" t="inlineStr">
        <is>
          <t>- Grants office; foundation; partner MOUs</t>
        </is>
      </c>
      <c r="G17" s="55" t="n"/>
      <c r="H17" s="55" t="n"/>
      <c r="I17" s="100" t="n"/>
      <c r="J17" s="100" t="n"/>
      <c r="K17" s="100" t="n"/>
    </row>
    <row r="18" ht="72.5" customHeight="1" s="54">
      <c r="A18" s="55" t="inlineStr">
        <is>
          <t>Cost &amp; Resources</t>
        </is>
      </c>
      <c r="B18" s="55" t="inlineStr">
        <is>
          <t>Materials/facilities/tech required; ongoing maintenance costs</t>
        </is>
      </c>
      <c r="C18" s="55" t="inlineStr">
        <is>
          <t>QI-17</t>
        </is>
      </c>
      <c r="D18" s="55" t="inlineStr">
        <is>
          <t>- Facilities/tech/materials inventory
- Total cost model</t>
        </is>
      </c>
      <c r="E18" s="55" t="inlineStr">
        <is>
          <t>E18, E15</t>
        </is>
      </c>
      <c r="F18" s="55" t="inlineStr">
        <is>
          <t>- IT; facilities; site inventory; vendor agreements
- Finance/budget docs; purchasing; grant budgets; staffing allocations</t>
        </is>
      </c>
      <c r="G18" s="55" t="inlineStr">
        <is>
          <t>- Inventory matches program design…</t>
        </is>
      </c>
      <c r="H18" s="55" t="n"/>
      <c r="I18" s="100" t="n"/>
      <c r="J18" s="100" t="n"/>
      <c r="K18" s="100" t="n"/>
    </row>
    <row r="19" ht="72.5" customHeight="1" s="54">
      <c r="A19" s="55" t="inlineStr">
        <is>
          <t>Cost &amp; Resources</t>
        </is>
      </c>
      <c r="B19" s="55" t="inlineStr">
        <is>
          <t>Staffing needed (new hires, reassignment, volunteers)</t>
        </is>
      </c>
      <c r="C19" s="55" t="inlineStr">
        <is>
          <t>QI-18</t>
        </is>
      </c>
      <c r="D19" s="55" t="inlineStr">
        <is>
          <t>- Staffing model &amp; qualifications
- Workload &amp; capacity analysis
- Preliminary feasibility envelope (rough)</t>
        </is>
      </c>
      <c r="E19" s="55" t="inlineStr">
        <is>
          <t>E19, E23, E49</t>
        </is>
      </c>
      <c r="F19" s="55" t="inlineStr">
        <is>
          <t>- HR; site master schedule; staffing allocations
- Master schedule; duty schedules; teacher survey; time-on-task studies
- HR + sponsor feasibility estimate (concept stage)</t>
        </is>
      </c>
      <c r="G19" s="55" t="inlineStr">
        <is>
          <t>- Roles and qualifications are explicit…</t>
        </is>
      </c>
      <c r="H19" s="55" t="inlineStr">
        <is>
          <t>For magnet/hub concepts, staffing feasibility should include hard-to-fill roles and pipeline assumptions.</t>
        </is>
      </c>
      <c r="I19" s="100" t="n"/>
      <c r="J19" s="100" t="n"/>
      <c r="K19" s="100" t="n"/>
    </row>
    <row r="20" ht="29" customHeight="1" s="54">
      <c r="A20" s="55" t="inlineStr">
        <is>
          <t>Training &amp; Support</t>
        </is>
      </c>
      <c r="B20" s="55" t="inlineStr">
        <is>
          <t>Staff professional development needs identified</t>
        </is>
      </c>
      <c r="C20" s="55" t="inlineStr">
        <is>
          <t>QI-19</t>
        </is>
      </c>
      <c r="D20" s="55" t="inlineStr">
        <is>
          <t>- PD needs assessment &amp; plan</t>
        </is>
      </c>
      <c r="E20" s="55" t="inlineStr">
        <is>
          <t>E20, E26</t>
        </is>
      </c>
      <c r="F20" s="55" t="inlineStr">
        <is>
          <t>- PD office; program lead; provider training plan</t>
        </is>
      </c>
      <c r="G20" s="55" t="inlineStr">
        <is>
          <t>- PD plan matches the program’s instructional demands…</t>
        </is>
      </c>
      <c r="H20" s="55" t="n"/>
      <c r="I20" s="100" t="n"/>
      <c r="J20" s="100" t="n"/>
      <c r="K20" s="100" t="n"/>
    </row>
    <row r="21" ht="58" customHeight="1" s="54">
      <c r="A21" s="55" t="inlineStr">
        <is>
          <t>Training &amp; Support</t>
        </is>
      </c>
      <c r="B21" s="55" t="inlineStr">
        <is>
          <t>Training is available, high-quality, and affordable</t>
        </is>
      </c>
      <c r="C21" s="55" t="inlineStr">
        <is>
          <t>QI-20</t>
        </is>
      </c>
      <c r="D21" s="55" t="inlineStr">
        <is>
          <t>- Training quality/cost evidence
- PD needs assessment &amp; plan</t>
        </is>
      </c>
      <c r="E21" s="55" t="inlineStr">
        <is>
          <t>E21, E20</t>
        </is>
      </c>
      <c r="F21" s="55" t="inlineStr">
        <is>
          <t>- Provider contracts; PD feedback surveys; invoices
- PD office; program lead; provider training plan</t>
        </is>
      </c>
      <c r="G21" s="55" t="inlineStr">
        <is>
          <t>- Training is high-quality (agenda + outcomes)…</t>
        </is>
      </c>
      <c r="H21" s="55" t="n"/>
      <c r="I21" s="100" t="n"/>
      <c r="J21" s="100" t="n"/>
      <c r="K21" s="100" t="n"/>
    </row>
    <row r="22" ht="29" customHeight="1" s="54">
      <c r="A22" s="55" t="inlineStr">
        <is>
          <t>Training &amp; Support</t>
        </is>
      </c>
      <c r="B22" s="55" t="inlineStr">
        <is>
          <t>Ongoing support/troubleshooting/updates provided</t>
        </is>
      </c>
      <c r="C22" s="55" t="inlineStr">
        <is>
          <t>QI-21</t>
        </is>
      </c>
      <c r="D22" s="55" t="inlineStr">
        <is>
          <t>- Ongoing support / coaching model</t>
        </is>
      </c>
      <c r="E22" s="55" t="inlineStr">
        <is>
          <t>E22, E27</t>
        </is>
      </c>
      <c r="F22" s="55" t="inlineStr">
        <is>
          <t>- Program lead notes; coaching logs; PLC agendas</t>
        </is>
      </c>
      <c r="G22" s="55" t="inlineStr">
        <is>
          <t>- Support is ongoing, responsive, and scheduled…</t>
        </is>
      </c>
      <c r="H22" s="55" t="n"/>
      <c r="I22" s="100" t="n"/>
      <c r="J22" s="100" t="n"/>
      <c r="K22" s="100" t="n"/>
    </row>
    <row r="23" ht="72.5" customHeight="1" s="54">
      <c r="A23" s="55" t="inlineStr">
        <is>
          <t>Training &amp; Support</t>
        </is>
      </c>
      <c r="B23" s="55" t="inlineStr">
        <is>
          <t>Program manageable given staff workload</t>
        </is>
      </c>
      <c r="C23" s="55" t="inlineStr">
        <is>
          <t>QI-22</t>
        </is>
      </c>
      <c r="D23" s="55" t="inlineStr">
        <is>
          <t>- Workload &amp; capacity analysis
- Instructional planning impact analysis</t>
        </is>
      </c>
      <c r="E23" s="55" t="inlineStr">
        <is>
          <t>E23, E26</t>
        </is>
      </c>
      <c r="F23" s="55" t="inlineStr">
        <is>
          <t>- Master schedule; duty schedules; teacher survey; time-on-task studies
- Teacher survey; PLC agendas; admin observations</t>
        </is>
      </c>
      <c r="G23" s="55" t="inlineStr">
        <is>
          <t>- Workload impacts quantified and mitigations identified…</t>
        </is>
      </c>
      <c r="H23" s="55" t="n"/>
      <c r="I23" s="100" t="n"/>
      <c r="J23" s="100" t="n"/>
      <c r="K23" s="100" t="n"/>
    </row>
    <row r="24" ht="72.5" customHeight="1" s="54">
      <c r="A24" s="55" t="inlineStr">
        <is>
          <t>Training &amp; Support</t>
        </is>
      </c>
      <c r="B24" s="55" t="inlineStr">
        <is>
          <t>Parent education and support for the program theme</t>
        </is>
      </c>
      <c r="C24" s="55" t="inlineStr">
        <is>
          <t>QI-23</t>
        </is>
      </c>
      <c r="D24" s="55" t="inlineStr">
        <is>
          <t>- Family engagement &amp; education plan
- Communications artifacts &amp; clarity</t>
        </is>
      </c>
      <c r="E24" s="55" t="inlineStr">
        <is>
          <t>E24, E38</t>
        </is>
      </c>
      <c r="F24" s="55" t="inlineStr">
        <is>
          <t>- Family engagement office; site comms; newsletters; meeting agendas
- Website; brochures; parent nights; social posts</t>
        </is>
      </c>
      <c r="G24" s="55" t="inlineStr">
        <is>
          <t>- Family supports are accessible (translation, multiple formats)…</t>
        </is>
      </c>
      <c r="H24" s="55" t="n"/>
      <c r="I24" s="100" t="n"/>
      <c r="J24" s="100" t="n"/>
      <c r="K24" s="100" t="n"/>
    </row>
    <row r="25" ht="58" customHeight="1" s="54">
      <c r="A25" s="55" t="inlineStr">
        <is>
          <t>Impact on Students &amp; Staff</t>
        </is>
      </c>
      <c r="B25" s="55" t="inlineStr">
        <is>
          <t>Effect on student daily schedule/workload</t>
        </is>
      </c>
      <c r="C25" s="55" t="inlineStr">
        <is>
          <t>QI-24</t>
        </is>
      </c>
      <c r="D25" s="55" t="inlineStr">
        <is>
          <t>- Student schedule/workload analysis
- Implementation fidelity evidence</t>
        </is>
      </c>
      <c r="E25" s="55" t="inlineStr">
        <is>
          <t>E25, E27</t>
        </is>
      </c>
      <c r="F25" s="55" t="inlineStr">
        <is>
          <t>- Master schedules; student handbooks; course outlines
- Instructional coach notes; admin walkthroughs; program checklists</t>
        </is>
      </c>
      <c r="G25" s="55" t="inlineStr">
        <is>
          <t>- Student schedule impacts understood…</t>
        </is>
      </c>
      <c r="H25" s="55" t="n"/>
      <c r="I25" s="100" t="n"/>
      <c r="J25" s="100" t="n"/>
      <c r="K25" s="100" t="n"/>
    </row>
    <row r="26" ht="72.5" customHeight="1" s="54">
      <c r="A26" s="55" t="inlineStr">
        <is>
          <t>Impact on Students &amp; Staff</t>
        </is>
      </c>
      <c r="B26" s="55" t="inlineStr">
        <is>
          <t>Impact on teacher planning/instruction/prep time</t>
        </is>
      </c>
      <c r="C26" s="55" t="inlineStr">
        <is>
          <t>QI-25</t>
        </is>
      </c>
      <c r="D26" s="55" t="inlineStr">
        <is>
          <t>- Instructional planning impact analysis
- Workload &amp; capacity analysis</t>
        </is>
      </c>
      <c r="E26" s="55" t="inlineStr">
        <is>
          <t>E26, E23</t>
        </is>
      </c>
      <c r="F26" s="55" t="inlineStr">
        <is>
          <t>- Teacher survey; PLC agendas; admin observations
- Master schedule; duty schedules; teacher survey; time-on-task studies</t>
        </is>
      </c>
      <c r="G26" s="55" t="inlineStr">
        <is>
          <t>- Planning burden is understood…</t>
        </is>
      </c>
      <c r="H26" s="55" t="n"/>
      <c r="I26" s="100" t="n"/>
      <c r="J26" s="100" t="n"/>
      <c r="K26" s="100" t="n"/>
    </row>
    <row r="27" ht="58" customHeight="1" s="54">
      <c r="A27" s="55" t="inlineStr">
        <is>
          <t>Impact on Students &amp; Staff</t>
        </is>
      </c>
      <c r="B27" s="55" t="inlineStr">
        <is>
          <t>Enhances learning vs. adds unnecessary complexity</t>
        </is>
      </c>
      <c r="C27" s="55" t="inlineStr">
        <is>
          <t>QI-26</t>
        </is>
      </c>
      <c r="D27" s="55" t="inlineStr">
        <is>
          <t>- Implementation fidelity evidence
- KPI/metrics definition sheet</t>
        </is>
      </c>
      <c r="E27" s="55" t="inlineStr">
        <is>
          <t>E27, E10, E28</t>
        </is>
      </c>
      <c r="F27" s="55" t="inlineStr">
        <is>
          <t>- Instructional coach notes; admin walkthroughs; program checklists
- Program evaluation plan; dashboard spec; data office</t>
        </is>
      </c>
      <c r="G27" s="55" t="inlineStr">
        <is>
          <t>- Fidelity tool is used consistently…</t>
        </is>
      </c>
      <c r="H27" s="55" t="n"/>
      <c r="I27" s="100" t="n"/>
      <c r="J27" s="100" t="n"/>
      <c r="K27" s="100" t="n"/>
    </row>
    <row r="28" ht="43.5" customHeight="1" s="54">
      <c r="A28" s="55" t="inlineStr">
        <is>
          <t>Impact on Students &amp; Staff</t>
        </is>
      </c>
      <c r="B28" s="55" t="inlineStr">
        <is>
          <t>Improves school culture/climate</t>
        </is>
      </c>
      <c r="C28" s="55" t="inlineStr">
        <is>
          <t>QI-27</t>
        </is>
      </c>
      <c r="D28" s="55" t="inlineStr">
        <is>
          <t>- Culture/climate indicators</t>
        </is>
      </c>
      <c r="E28" s="55" t="inlineStr">
        <is>
          <t>E28, E36</t>
        </is>
      </c>
      <c r="F28" s="55" t="inlineStr">
        <is>
          <t>- Panorama/other survey; discipline dashboards; focus groups</t>
        </is>
      </c>
      <c r="G28" s="55" t="inlineStr">
        <is>
          <t>- Climate/culture indicators show positive trends…</t>
        </is>
      </c>
      <c r="H28" s="55" t="n"/>
      <c r="I28" s="100" t="n"/>
      <c r="J28" s="100" t="n"/>
      <c r="K28" s="100" t="n"/>
    </row>
    <row r="29" ht="72.5" customHeight="1" s="54">
      <c r="A29" s="55" t="inlineStr">
        <is>
          <t>Implementation Feasibility</t>
        </is>
      </c>
      <c r="B29" s="55" t="inlineStr">
        <is>
          <t>Realistic rollout timeline</t>
        </is>
      </c>
      <c r="C29" s="55" t="inlineStr">
        <is>
          <t>QI-28</t>
        </is>
      </c>
      <c r="D29" s="55" t="inlineStr">
        <is>
          <t>- Implementation plan &amp; timeline
- Roles &amp; responsibilities (RACI)</t>
        </is>
      </c>
      <c r="E29" s="55" t="inlineStr">
        <is>
          <t>E29, E31</t>
        </is>
      </c>
      <c r="F29" s="55" t="inlineStr">
        <is>
          <t>- Program implementation doc; project management tool; board updates
- Program governance docs; org chart; committee notes</t>
        </is>
      </c>
      <c r="G29" s="55" t="inlineStr">
        <is>
          <t>- Timeline is realistic with owners and dependencies…</t>
        </is>
      </c>
      <c r="H29" s="55" t="n"/>
      <c r="I29" s="100" t="n"/>
      <c r="J29" s="100" t="n"/>
      <c r="K29" s="100" t="n"/>
    </row>
    <row r="30" ht="72.5" customHeight="1" s="54">
      <c r="A30" s="55" t="inlineStr">
        <is>
          <t>Implementation Feasibility</t>
        </is>
      </c>
      <c r="B30" s="55" t="inlineStr">
        <is>
          <t>Can be piloted before full adoption</t>
        </is>
      </c>
      <c r="C30" s="55" t="inlineStr">
        <is>
          <t>QI-29</t>
        </is>
      </c>
      <c r="D30" s="55" t="inlineStr">
        <is>
          <t>- Pilot plan / staged rollout design
- Implementation plan &amp; timeline</t>
        </is>
      </c>
      <c r="E30" s="55" t="inlineStr">
        <is>
          <t>E30, E29</t>
        </is>
      </c>
      <c r="F30" s="55" t="inlineStr">
        <is>
          <t>- Program lead; pilot proposal; evaluation plan
- Program implementation doc; project management tool; board updates</t>
        </is>
      </c>
      <c r="G30" s="55" t="inlineStr">
        <is>
          <t>- Pilot has clear scope and learning agenda…</t>
        </is>
      </c>
      <c r="H30" s="55" t="n"/>
      <c r="I30" s="100" t="n"/>
      <c r="J30" s="100" t="n"/>
      <c r="K30" s="100" t="n"/>
    </row>
    <row r="31" ht="72.5" customHeight="1" s="54">
      <c r="A31" s="55" t="inlineStr">
        <is>
          <t>Implementation Feasibility</t>
        </is>
      </c>
      <c r="B31" s="55" t="inlineStr">
        <is>
          <t>Roles/responsibilities clearly defined</t>
        </is>
      </c>
      <c r="C31" s="55" t="inlineStr">
        <is>
          <t>QI-30</t>
        </is>
      </c>
      <c r="D31" s="55" t="inlineStr">
        <is>
          <t>- Roles &amp; responsibilities (RACI)
- Implementation plan &amp; timeline</t>
        </is>
      </c>
      <c r="E31" s="55" t="inlineStr">
        <is>
          <t>E31, E29</t>
        </is>
      </c>
      <c r="F31" s="55" t="inlineStr">
        <is>
          <t>- Program governance docs; org chart; committee notes
- Program implementation doc; project management tool; board updates</t>
        </is>
      </c>
      <c r="G31" s="55" t="inlineStr">
        <is>
          <t>- RACI is specific with named individuals/roles…</t>
        </is>
      </c>
      <c r="H31" s="55" t="n"/>
      <c r="I31" s="100" t="n"/>
      <c r="J31" s="100" t="n"/>
      <c r="K31" s="100" t="n"/>
    </row>
    <row r="32" ht="58" customHeight="1" s="54">
      <c r="A32" s="55" t="inlineStr">
        <is>
          <t>Implementation Feasibility</t>
        </is>
      </c>
      <c r="B32" s="55" t="inlineStr">
        <is>
          <t>Assessment and monitoring tools included</t>
        </is>
      </c>
      <c r="C32" s="55" t="inlineStr">
        <is>
          <t>QI-31</t>
        </is>
      </c>
      <c r="D32" s="55" t="inlineStr">
        <is>
          <t>- Assessment &amp; monitoring tools
- Data cycle (collection → review → action)</t>
        </is>
      </c>
      <c r="E32" s="55" t="inlineStr">
        <is>
          <t>E32, E33</t>
        </is>
      </c>
      <c r="F32" s="55" t="inlineStr">
        <is>
          <t>- Assessment dept; provider tools; shared drives
- Data team agendas; dashboards; improvement plans</t>
        </is>
      </c>
      <c r="G32" s="55" t="inlineStr">
        <is>
          <t>- Tools align to outcomes and are feasible to administer…</t>
        </is>
      </c>
      <c r="H32" s="55" t="n"/>
      <c r="I32" s="100" t="n"/>
      <c r="J32" s="100" t="n"/>
      <c r="K32" s="100" t="n"/>
    </row>
    <row r="33" ht="58" customHeight="1" s="54">
      <c r="A33" s="55" t="inlineStr">
        <is>
          <t>Data &amp; Evaluation</t>
        </is>
      </c>
      <c r="B33" s="55" t="inlineStr">
        <is>
          <t>How success will be measured</t>
        </is>
      </c>
      <c r="C33" s="55" t="inlineStr">
        <is>
          <t>QI-32</t>
        </is>
      </c>
      <c r="D33" s="55" t="inlineStr">
        <is>
          <t>- KPI/metrics definition sheet
- Benchmarks/targets &amp; comparators</t>
        </is>
      </c>
      <c r="E33" s="55" t="inlineStr">
        <is>
          <t>E10, E34</t>
        </is>
      </c>
      <c r="F33" s="55" t="inlineStr">
        <is>
          <t>- Program evaluation plan; dashboard spec; data office
- Evaluation plan; dashboard; SIP goals</t>
        </is>
      </c>
      <c r="G33" s="55" t="inlineStr">
        <is>
          <t>- Metrics are defined (formula, source, cadence)…</t>
        </is>
      </c>
      <c r="H33" s="55" t="n"/>
      <c r="I33" s="100" t="n"/>
      <c r="J33" s="100" t="n"/>
      <c r="K33" s="100" t="n"/>
    </row>
    <row r="34" ht="58" customHeight="1" s="54">
      <c r="A34" s="55" t="inlineStr">
        <is>
          <t>Data &amp; Evaluation</t>
        </is>
      </c>
      <c r="B34" s="55" t="inlineStr">
        <is>
          <t>Plan for regular data collection, review, and action based on results (expand/close/adjust)</t>
        </is>
      </c>
      <c r="C34" s="55" t="inlineStr">
        <is>
          <t>QI-33</t>
        </is>
      </c>
      <c r="D34" s="55" t="inlineStr">
        <is>
          <t>- Data cycle (collection → review → action)
- Continuous improvement/change log</t>
        </is>
      </c>
      <c r="E34" s="55" t="inlineStr">
        <is>
          <t>E33, E35</t>
        </is>
      </c>
      <c r="F34" s="55" t="inlineStr">
        <is>
          <t>- Data team agendas; dashboards; improvement plans
- Program lead notes; revision history; meeting minutes</t>
        </is>
      </c>
      <c r="G34" s="55" t="inlineStr">
        <is>
          <t>- Regular cadence with agendas/dashboards…</t>
        </is>
      </c>
      <c r="H34" s="55" t="n"/>
      <c r="I34" s="100" t="n"/>
      <c r="J34" s="100" t="n"/>
      <c r="K34" s="100" t="n"/>
    </row>
    <row r="35" ht="58" customHeight="1" s="54">
      <c r="A35" s="55" t="inlineStr">
        <is>
          <t>Data &amp; Evaluation</t>
        </is>
      </c>
      <c r="B35" s="55" t="inlineStr">
        <is>
          <t>Clear benchmarks and performance indicators</t>
        </is>
      </c>
      <c r="C35" s="55" t="inlineStr">
        <is>
          <t>QI-34</t>
        </is>
      </c>
      <c r="D35" s="55" t="inlineStr">
        <is>
          <t>- Benchmarks/targets &amp; comparators
- KPI/metrics definition sheet</t>
        </is>
      </c>
      <c r="E35" s="55" t="inlineStr">
        <is>
          <t>E34, E10</t>
        </is>
      </c>
      <c r="F35" s="55" t="inlineStr">
        <is>
          <t>- Evaluation plan; dashboard; SIP goals
- Program evaluation plan; dashboard spec; data office</t>
        </is>
      </c>
      <c r="G35" s="55" t="inlineStr">
        <is>
          <t>- Benchmarks are measurable and time-bound…</t>
        </is>
      </c>
      <c r="H35" s="55" t="n"/>
      <c r="I35" s="100" t="n"/>
      <c r="J35" s="100" t="n"/>
      <c r="K35" s="100" t="n"/>
    </row>
    <row r="36" ht="58" customHeight="1" s="54">
      <c r="A36" s="55" t="inlineStr">
        <is>
          <t>Data &amp; Evaluation</t>
        </is>
      </c>
      <c r="B36" s="55" t="inlineStr">
        <is>
          <t>Program can be modified based on data</t>
        </is>
      </c>
      <c r="C36" s="55" t="inlineStr">
        <is>
          <t>QI-35</t>
        </is>
      </c>
      <c r="D36" s="55" t="inlineStr">
        <is>
          <t>- Continuous improvement/change log
- Data cycle (collection → review → action)</t>
        </is>
      </c>
      <c r="E36" s="55" t="inlineStr">
        <is>
          <t>E35, E33</t>
        </is>
      </c>
      <c r="F36" s="55" t="inlineStr">
        <is>
          <t>- Program lead notes; revision history; meeting minutes
- Data team agendas; dashboards; improvement plans</t>
        </is>
      </c>
      <c r="G36" s="55" t="inlineStr">
        <is>
          <t>- Documented iterations based on evidence…</t>
        </is>
      </c>
      <c r="H36" s="55" t="n"/>
      <c r="I36" s="100" t="n"/>
      <c r="J36" s="100" t="n"/>
      <c r="K36" s="100" t="n"/>
    </row>
    <row r="37" ht="29" customHeight="1" s="54">
      <c r="A37" s="55" t="inlineStr">
        <is>
          <t>Community Partners &amp; Stakeholder Support</t>
        </is>
      </c>
      <c r="B37" s="55" t="inlineStr">
        <is>
          <t>Teachers/administrators/students/families consulted</t>
        </is>
      </c>
      <c r="C37" s="55" t="inlineStr">
        <is>
          <t>QI-36</t>
        </is>
      </c>
      <c r="D37" s="55" t="inlineStr">
        <is>
          <t>- Stakeholder consultation artifacts</t>
        </is>
      </c>
      <c r="E37" s="55" t="inlineStr">
        <is>
          <t>E36, E38</t>
        </is>
      </c>
      <c r="F37" s="55" t="inlineStr">
        <is>
          <t>- Meeting minutes; survey exports; engagement logs</t>
        </is>
      </c>
      <c r="G37" s="55" t="inlineStr">
        <is>
          <t>- Consultation includes representative voices…</t>
        </is>
      </c>
      <c r="H37" s="55" t="n"/>
      <c r="I37" s="100" t="n"/>
      <c r="J37" s="100" t="n"/>
      <c r="K37" s="100" t="n"/>
    </row>
    <row r="38" ht="58" customHeight="1" s="54">
      <c r="A38" s="55" t="inlineStr">
        <is>
          <t>Community Partners &amp; Stakeholder Support</t>
        </is>
      </c>
      <c r="B38" s="55" t="inlineStr">
        <is>
          <t>Community/business partners consulted and leveraged</t>
        </is>
      </c>
      <c r="C38" s="55" t="inlineStr">
        <is>
          <t>QI-37</t>
        </is>
      </c>
      <c r="D38" s="55" t="inlineStr">
        <is>
          <t>- Partner agreements (MOUs) &amp; leverage
- Stakeholder consultation artifacts</t>
        </is>
      </c>
      <c r="E38" s="55" t="inlineStr">
        <is>
          <t>E37, E36</t>
        </is>
      </c>
      <c r="F38" s="55" t="inlineStr">
        <is>
          <t>- Legal/contracts; partner MOUs; internship agreements
- Meeting minutes; survey exports; engagement logs</t>
        </is>
      </c>
      <c r="G38" s="55" t="n"/>
      <c r="H38" s="55" t="n"/>
      <c r="I38" s="100" t="n"/>
      <c r="J38" s="100" t="n"/>
      <c r="K38" s="100" t="n"/>
    </row>
    <row r="39" ht="58" customHeight="1" s="54">
      <c r="A39" s="55" t="inlineStr">
        <is>
          <t>Community Partners &amp; Stakeholder Support</t>
        </is>
      </c>
      <c r="B39" s="55" t="inlineStr">
        <is>
          <t>Broad support vs. potential resistance assessed</t>
        </is>
      </c>
      <c r="C39" s="55" t="inlineStr">
        <is>
          <t>QI-38</t>
        </is>
      </c>
      <c r="D39" s="55" t="inlineStr">
        <is>
          <t>- Support/resistance &amp; risk assessment
- Stakeholder consultation artifacts</t>
        </is>
      </c>
      <c r="E39" s="55" t="inlineStr">
        <is>
          <t>E39, E36</t>
        </is>
      </c>
      <c r="F39" s="55" t="inlineStr">
        <is>
          <t>- Survey analysis; risk register; comms feedback
- Meeting minutes; survey exports; engagement logs</t>
        </is>
      </c>
      <c r="G39" s="55" t="inlineStr">
        <is>
          <t>- Support levels quantified…</t>
        </is>
      </c>
      <c r="H39" s="55" t="n"/>
      <c r="I39" s="100" t="n"/>
      <c r="J39" s="100" t="n"/>
      <c r="K39" s="100" t="n"/>
    </row>
    <row r="40" ht="29" customHeight="1" s="54">
      <c r="A40" s="55" t="inlineStr">
        <is>
          <t>Community Partners &amp; Stakeholder Support</t>
        </is>
      </c>
      <c r="B40" s="55" t="inlineStr">
        <is>
          <t>Communication is clear and transparent</t>
        </is>
      </c>
      <c r="C40" s="55" t="inlineStr">
        <is>
          <t>QI-39</t>
        </is>
      </c>
      <c r="D40" s="55" t="inlineStr">
        <is>
          <t>- Communications artifacts &amp; clarity</t>
        </is>
      </c>
      <c r="E40" s="55" t="inlineStr">
        <is>
          <t>E38, E24</t>
        </is>
      </c>
      <c r="F40" s="55" t="inlineStr">
        <is>
          <t>- Website; brochures; parent nights; social posts</t>
        </is>
      </c>
      <c r="G40" s="55" t="inlineStr">
        <is>
          <t>- Materials are clear, consistent, and accessible…</t>
        </is>
      </c>
      <c r="H40" s="55" t="n"/>
      <c r="I40" s="100" t="n"/>
      <c r="J40" s="100" t="n"/>
      <c r="K40" s="100" t="n"/>
    </row>
    <row r="41" ht="72.5" customHeight="1" s="54">
      <c r="A41" s="55" t="inlineStr">
        <is>
          <t>Community Partners &amp; Stakeholder Support</t>
        </is>
      </c>
      <c r="B41" s="55" t="inlineStr">
        <is>
          <t>Families/community/business partners understand program specifics</t>
        </is>
      </c>
      <c r="C41" s="55" t="inlineStr">
        <is>
          <t>QI-40</t>
        </is>
      </c>
      <c r="D41" s="55" t="inlineStr">
        <is>
          <t>- Communications artifacts &amp; clarity
- Family engagement &amp; education plan</t>
        </is>
      </c>
      <c r="E41" s="55" t="inlineStr">
        <is>
          <t>E38, E24</t>
        </is>
      </c>
      <c r="F41" s="55" t="inlineStr">
        <is>
          <t>- Website; brochures; parent nights; social posts
- Family engagement office; site comms; newsletters; meeting agendas</t>
        </is>
      </c>
      <c r="G41" s="55" t="inlineStr">
        <is>
          <t>- Materials are clear, consistent, and accessible…</t>
        </is>
      </c>
      <c r="H41" s="55" t="n"/>
      <c r="I41" s="100" t="n"/>
      <c r="J41" s="100" t="n"/>
      <c r="K41" s="100" t="n"/>
    </row>
    <row r="42" ht="29" customHeight="1" s="54">
      <c r="A42" s="55" t="inlineStr">
        <is>
          <t>Sustainability</t>
        </is>
      </c>
      <c r="B42" s="55" t="inlineStr">
        <is>
          <t>Program can be maintained over time</t>
        </is>
      </c>
      <c r="C42" s="55" t="inlineStr">
        <is>
          <t>QI-41</t>
        </is>
      </c>
      <c r="D42" s="55" t="inlineStr">
        <is>
          <t>- Sustainability plan (multi-year)
- Preliminary feasibility envelope (rough)</t>
        </is>
      </c>
      <c r="E42" s="55" t="inlineStr">
        <is>
          <t>E40, E29, E49</t>
        </is>
      </c>
      <c r="F42" s="55" t="inlineStr">
        <is>
          <t>- Program plan; budget; HR; governance docs
- Sponsor feasibility memo (concept stage)</t>
        </is>
      </c>
      <c r="G42" s="55" t="inlineStr">
        <is>
          <t>- Multi-year plan includes minimum resourcing…</t>
        </is>
      </c>
      <c r="H42" s="55" t="inlineStr">
        <is>
          <t>Use E49 early; require multi-year sustainability plan (E40) before full implementation.</t>
        </is>
      </c>
      <c r="I42" s="100" t="n"/>
      <c r="J42" s="100" t="n"/>
      <c r="K42" s="100" t="n"/>
    </row>
    <row r="43" ht="87" customHeight="1" s="54">
      <c r="A43" s="55" t="inlineStr">
        <is>
          <t>Sustainability</t>
        </is>
      </c>
      <c r="B43" s="55" t="inlineStr">
        <is>
          <t>Funding and staffing stable for multiple years</t>
        </is>
      </c>
      <c r="C43" s="55" t="inlineStr">
        <is>
          <t>QI-42</t>
        </is>
      </c>
      <c r="D43" s="55" t="inlineStr">
        <is>
          <t>- Sustainability plan (multi-year)
- Funding plan &amp; sustainability assumptions
- Staffing model &amp; qualifications
- Preliminary feasibility envelope (rough)</t>
        </is>
      </c>
      <c r="E43" s="55" t="inlineStr">
        <is>
          <t>E40, E16, E19, E49</t>
        </is>
      </c>
      <c r="F43" s="55" t="inlineStr">
        <is>
          <t>- Program plan; budget; HR; governance docs
- Finance; grants office; program budget narrative
- HR; site master schedule; staffing allocations
- Finance/HR feasibility estimate (concept stage)</t>
        </is>
      </c>
      <c r="G43" s="55" t="inlineStr">
        <is>
          <t>- Multi-year plan includes minimum resourcing…</t>
        </is>
      </c>
      <c r="H43" s="55" t="inlineStr">
        <is>
          <t>A board/leadership-directed study should still surface funding/staffing stability risks early.</t>
        </is>
      </c>
      <c r="I43" s="100" t="n"/>
      <c r="J43" s="100" t="n"/>
      <c r="K43" s="100" t="n"/>
    </row>
    <row r="44" ht="87" customHeight="1" s="54">
      <c r="A44" s="55" t="inlineStr">
        <is>
          <t>Sustainability</t>
        </is>
      </c>
      <c r="B44" s="55" t="inlineStr">
        <is>
          <t>Integrates with existing systems (vs. replacing too much at once)</t>
        </is>
      </c>
      <c r="C44" s="55" t="inlineStr">
        <is>
          <t>QI-43</t>
        </is>
      </c>
      <c r="D44" s="55" t="inlineStr">
        <is>
          <t>- Program landscape / duplication analysis
- Implementation plan &amp; timeline</t>
        </is>
      </c>
      <c r="E44" s="55" t="inlineStr">
        <is>
          <t>E06, E29, E03</t>
        </is>
      </c>
      <c r="F44" s="55" t="inlineStr">
        <is>
          <t>- Program office; school choice/enrollment docs; C&amp;I inventory
- Program implementation doc; project management tool; board updates</t>
        </is>
      </c>
      <c r="G44" s="55" t="n"/>
      <c r="H44" s="55" t="n"/>
      <c r="I44" s="100" t="n"/>
      <c r="J44" s="100" t="n"/>
      <c r="K44" s="100" t="n"/>
    </row>
    <row r="45" ht="58" customHeight="1" s="54">
      <c r="A45" s="55" t="inlineStr">
        <is>
          <t>Sustainability</t>
        </is>
      </c>
      <c r="B45" s="55" t="inlineStr">
        <is>
          <t>Can adapt to future needs</t>
        </is>
      </c>
      <c r="C45" s="55" t="inlineStr">
        <is>
          <t>QI-44</t>
        </is>
      </c>
      <c r="D45" s="55" t="inlineStr">
        <is>
          <t>- Adaptability/innovation plan
- Continuous improvement/change log</t>
        </is>
      </c>
      <c r="E45" s="55" t="inlineStr">
        <is>
          <t>E42, E35</t>
        </is>
      </c>
      <c r="F45" s="55" t="inlineStr">
        <is>
          <t>- Program roadmap; evaluation findings; curriculum review cycle
- Program lead notes; revision history; meeting minutes</t>
        </is>
      </c>
      <c r="G45" s="55" t="inlineStr">
        <is>
          <t>- Roadmap balances fidelity + evolution…</t>
        </is>
      </c>
      <c r="H45" s="55" t="n"/>
      <c r="I45" s="100" t="n"/>
      <c r="J45" s="100" t="n"/>
      <c r="K45" s="100" t="n"/>
    </row>
    <row r="46" ht="58" customHeight="1" s="54">
      <c r="A46" s="55" t="inlineStr">
        <is>
          <t>Sustainability</t>
        </is>
      </c>
      <c r="B46" s="55" t="inlineStr">
        <is>
          <t>Plan to maintain consistency during leadership transitions</t>
        </is>
      </c>
      <c r="C46" s="55" t="inlineStr">
        <is>
          <t>QI-45</t>
        </is>
      </c>
      <c r="D46" s="55" t="inlineStr">
        <is>
          <t>- Leadership transition / continuity plan
- Sustainability plan (multi-year)</t>
        </is>
      </c>
      <c r="E46" s="55" t="inlineStr">
        <is>
          <t>E41, E40</t>
        </is>
      </c>
      <c r="F46" s="55" t="inlineStr">
        <is>
          <t>- Program handbook; SOPs; succession planning
- Program plan; budget; HR; governance docs</t>
        </is>
      </c>
      <c r="G46" s="55" t="inlineStr">
        <is>
          <t>- Playbooks/SOPs exist…</t>
        </is>
      </c>
      <c r="H46" s="55" t="n"/>
      <c r="I46" s="100" t="n"/>
      <c r="J46" s="100" t="n"/>
      <c r="K46" s="100"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10" sqref="D10"/>
    </sheetView>
  </sheetViews>
  <sheetFormatPr baseColWidth="8" defaultRowHeight="14.5"/>
  <cols>
    <col width="10" customWidth="1" style="54" min="1" max="1"/>
    <col width="22" customWidth="1" style="54" min="2" max="2"/>
    <col width="48" customWidth="1" style="54" min="3" max="3"/>
    <col width="26" customWidth="1" style="54" min="4" max="4"/>
    <col width="20" customWidth="1" style="54" min="5" max="5"/>
    <col width="22" customWidth="1" style="54" min="6" max="7"/>
    <col width="20" customWidth="1" style="54" min="8" max="8"/>
    <col width="26" customWidth="1" style="54" min="9" max="9"/>
  </cols>
  <sheetData>
    <row r="1" ht="28" customHeight="1" s="54">
      <c r="A1" s="3" t="inlineStr">
        <is>
          <t>QI ID</t>
        </is>
      </c>
      <c r="B1" s="3" t="inlineStr">
        <is>
          <t>Domain</t>
        </is>
      </c>
      <c r="C1" s="3" t="inlineStr">
        <is>
          <t>Indicator / Guiding Question</t>
        </is>
      </c>
      <c r="D1" s="3" t="inlineStr">
        <is>
          <t>Evaluation theme (refined)</t>
        </is>
      </c>
      <c r="E1" s="3" t="inlineStr">
        <is>
          <t>Candidate: triage gate?</t>
        </is>
      </c>
      <c r="F1" s="3" t="inlineStr">
        <is>
          <t>Candidate: full review scored?</t>
        </is>
      </c>
      <c r="G1" s="3" t="inlineStr">
        <is>
          <t>Ongoing: annual review focus</t>
        </is>
      </c>
      <c r="H1" s="3" t="inlineStr">
        <is>
          <t>Continue decision driver?</t>
        </is>
      </c>
      <c r="I1" s="3" t="inlineStr">
        <is>
          <t>Notes</t>
        </is>
      </c>
    </row>
    <row r="2" ht="29" customHeight="1" s="54">
      <c r="A2" s="55" t="inlineStr">
        <is>
          <t>QI-01</t>
        </is>
      </c>
      <c r="B2" s="55" t="inlineStr">
        <is>
          <t>Alignment &amp; Purpose</t>
        </is>
      </c>
      <c r="C2" s="55" t="inlineStr">
        <is>
          <t>Aligns with district/school mission, vision, and strategic goals</t>
        </is>
      </c>
      <c r="D2" s="55" t="inlineStr">
        <is>
          <t>Strategic fit &amp; differentiation</t>
        </is>
      </c>
      <c r="E2" s="55" t="inlineStr">
        <is>
          <t>Hard gate</t>
        </is>
      </c>
      <c r="F2" s="55" t="inlineStr">
        <is>
          <t>Yes</t>
        </is>
      </c>
      <c r="G2" s="55" t="inlineStr">
        <is>
          <t>Secondary</t>
        </is>
      </c>
      <c r="H2" s="55" t="inlineStr">
        <is>
          <t>Yes</t>
        </is>
      </c>
      <c r="I2" s="55" t="n"/>
    </row>
    <row r="3">
      <c r="A3" s="55" t="inlineStr">
        <is>
          <t>QI-02</t>
        </is>
      </c>
      <c r="B3" s="55" t="inlineStr">
        <is>
          <t>Alignment &amp; Purpose</t>
        </is>
      </c>
      <c r="C3" s="55" t="inlineStr">
        <is>
          <t>Supports curriculum standards (local/state/national)</t>
        </is>
      </c>
      <c r="D3" s="55" t="inlineStr">
        <is>
          <t>Strategic fit &amp; differentiation</t>
        </is>
      </c>
      <c r="E3" s="55" t="inlineStr">
        <is>
          <t>Soft gate</t>
        </is>
      </c>
      <c r="F3" s="55" t="inlineStr">
        <is>
          <t>Yes</t>
        </is>
      </c>
      <c r="G3" s="55" t="inlineStr">
        <is>
          <t>Secondary</t>
        </is>
      </c>
      <c r="H3" s="55" t="inlineStr">
        <is>
          <t>Yes</t>
        </is>
      </c>
      <c r="I3" s="55" t="n"/>
    </row>
    <row r="4" ht="29" customHeight="1" s="54">
      <c r="A4" s="55" t="inlineStr">
        <is>
          <t>QI-03</t>
        </is>
      </c>
      <c r="B4" s="55" t="inlineStr">
        <is>
          <t>Alignment &amp; Purpose</t>
        </is>
      </c>
      <c r="C4" s="55" t="inlineStr">
        <is>
          <t>Clear evidence of need for the program</t>
        </is>
      </c>
      <c r="D4" s="55" t="inlineStr">
        <is>
          <t>Need, demand &amp; stakeholder value</t>
        </is>
      </c>
      <c r="E4" s="55" t="inlineStr">
        <is>
          <t>Hard gate</t>
        </is>
      </c>
      <c r="F4" s="55" t="inlineStr">
        <is>
          <t>Yes</t>
        </is>
      </c>
      <c r="G4" s="55" t="inlineStr">
        <is>
          <t>Secondary</t>
        </is>
      </c>
      <c r="H4" s="55" t="inlineStr">
        <is>
          <t>Yes</t>
        </is>
      </c>
      <c r="I4" s="55" t="n"/>
    </row>
    <row r="5" ht="29" customHeight="1" s="54">
      <c r="A5" s="55" t="inlineStr">
        <is>
          <t>QI-04</t>
        </is>
      </c>
      <c r="B5" s="55" t="inlineStr">
        <is>
          <t>Alignment &amp; Purpose</t>
        </is>
      </c>
      <c r="C5" s="55" t="inlineStr">
        <is>
          <t>Intended outcomes are well-defined and measurable</t>
        </is>
      </c>
      <c r="D5" s="55" t="inlineStr">
        <is>
          <t>Implementation &amp; operating model</t>
        </is>
      </c>
      <c r="E5" s="55" t="inlineStr">
        <is>
          <t>Soft gate</t>
        </is>
      </c>
      <c r="F5" s="55" t="inlineStr">
        <is>
          <t>Yes</t>
        </is>
      </c>
      <c r="G5" s="55" t="inlineStr">
        <is>
          <t>Secondary</t>
        </is>
      </c>
      <c r="H5" s="55" t="inlineStr">
        <is>
          <t>Yes</t>
        </is>
      </c>
      <c r="I5" s="55" t="n"/>
    </row>
    <row r="6" ht="29" customHeight="1" s="54">
      <c r="A6" s="55" t="inlineStr">
        <is>
          <t>QI-05</t>
        </is>
      </c>
      <c r="B6" s="55" t="inlineStr">
        <is>
          <t>Alignment &amp; Purpose</t>
        </is>
      </c>
      <c r="C6" s="55" t="inlineStr">
        <is>
          <t>Serves an unmet need vs. duplicates existing programming</t>
        </is>
      </c>
      <c r="D6" s="55" t="inlineStr">
        <is>
          <t>Strategic fit &amp; differentiation</t>
        </is>
      </c>
      <c r="E6" s="55" t="inlineStr">
        <is>
          <t>Hard gate</t>
        </is>
      </c>
      <c r="F6" s="55" t="inlineStr">
        <is>
          <t>Yes</t>
        </is>
      </c>
      <c r="G6" s="55" t="inlineStr">
        <is>
          <t>Secondary</t>
        </is>
      </c>
      <c r="H6" s="55" t="inlineStr">
        <is>
          <t>Yes</t>
        </is>
      </c>
      <c r="I6" s="55" t="n"/>
    </row>
    <row r="7" ht="29" customHeight="1" s="54">
      <c r="A7" s="55" t="inlineStr">
        <is>
          <t>QI-06</t>
        </is>
      </c>
      <c r="B7" s="55" t="inlineStr">
        <is>
          <t>Evidence &amp; Effectiveness</t>
        </is>
      </c>
      <c r="C7" s="55" t="inlineStr">
        <is>
          <t>Research-based or evidence-informed</t>
        </is>
      </c>
      <c r="D7" s="55" t="inlineStr">
        <is>
          <t>Evidence, measurement &amp; continuous improvement</t>
        </is>
      </c>
      <c r="E7" s="55" t="inlineStr">
        <is>
          <t>Soft gate</t>
        </is>
      </c>
      <c r="F7" s="55" t="inlineStr">
        <is>
          <t>Yes</t>
        </is>
      </c>
      <c r="G7" s="55" t="inlineStr">
        <is>
          <t>Primary</t>
        </is>
      </c>
      <c r="H7" s="55" t="n"/>
      <c r="I7" s="55" t="n"/>
    </row>
    <row r="8" ht="29" customHeight="1" s="54">
      <c r="A8" s="55" t="inlineStr">
        <is>
          <t>QI-07</t>
        </is>
      </c>
      <c r="B8" s="55" t="inlineStr">
        <is>
          <t>Evidence &amp; Effectiveness</t>
        </is>
      </c>
      <c r="C8" s="55" t="inlineStr">
        <is>
          <t>Market demand for specialized programming</t>
        </is>
      </c>
      <c r="D8" s="55" t="inlineStr">
        <is>
          <t>Evidence, measurement &amp; continuous improvement</t>
        </is>
      </c>
      <c r="E8" s="55" t="inlineStr">
        <is>
          <t>Soft gate</t>
        </is>
      </c>
      <c r="F8" s="55" t="inlineStr">
        <is>
          <t>Yes</t>
        </is>
      </c>
      <c r="G8" s="55" t="inlineStr">
        <is>
          <t>Primary</t>
        </is>
      </c>
      <c r="H8" s="55" t="n"/>
      <c r="I8" s="55" t="n"/>
    </row>
    <row r="9" ht="29" customHeight="1" s="54">
      <c r="A9" s="55" t="inlineStr">
        <is>
          <t>QI-08</t>
        </is>
      </c>
      <c r="B9" s="55" t="inlineStr">
        <is>
          <t>Evidence &amp; Effectiveness</t>
        </is>
      </c>
      <c r="C9" s="55" t="inlineStr">
        <is>
          <t>Proven results in similar contexts (size, demographics)</t>
        </is>
      </c>
      <c r="D9" s="55" t="inlineStr">
        <is>
          <t>Evidence, measurement &amp; continuous improvement</t>
        </is>
      </c>
      <c r="E9" s="55" t="n"/>
      <c r="F9" s="55" t="inlineStr">
        <is>
          <t>Yes</t>
        </is>
      </c>
      <c r="G9" s="55" t="inlineStr">
        <is>
          <t>Primary</t>
        </is>
      </c>
      <c r="H9" s="55" t="n"/>
      <c r="I9" s="55" t="n"/>
    </row>
    <row r="10" ht="29" customHeight="1" s="54">
      <c r="A10" s="55" t="inlineStr">
        <is>
          <t>QI-09</t>
        </is>
      </c>
      <c r="B10" s="55" t="inlineStr">
        <is>
          <t>Evidence &amp; Effectiveness</t>
        </is>
      </c>
      <c r="C10" s="55" t="inlineStr">
        <is>
          <t>Clear success metrics (academic, behavioral, social-emotional, etc.)</t>
        </is>
      </c>
      <c r="D10" s="55" t="inlineStr">
        <is>
          <t>Evidence, measurement &amp; continuous improvement</t>
        </is>
      </c>
      <c r="E10" s="55" t="inlineStr">
        <is>
          <t>Soft gate</t>
        </is>
      </c>
      <c r="F10" s="55" t="inlineStr">
        <is>
          <t>Yes</t>
        </is>
      </c>
      <c r="G10" s="55" t="inlineStr">
        <is>
          <t>Primary</t>
        </is>
      </c>
      <c r="H10" s="55" t="n"/>
      <c r="I10" s="55" t="n"/>
    </row>
    <row r="11" ht="29" customHeight="1" s="54">
      <c r="A11" s="55" t="inlineStr">
        <is>
          <t>QI-10</t>
        </is>
      </c>
      <c r="B11" s="55" t="inlineStr">
        <is>
          <t>Evidence &amp; Effectiveness</t>
        </is>
      </c>
      <c r="C11" s="55" t="inlineStr">
        <is>
          <t>Pilot studies, case studies, or testimonials</t>
        </is>
      </c>
      <c r="D11" s="55" t="inlineStr">
        <is>
          <t>Evidence, measurement &amp; continuous improvement</t>
        </is>
      </c>
      <c r="E11" s="55" t="n"/>
      <c r="F11" s="55" t="inlineStr">
        <is>
          <t>Yes</t>
        </is>
      </c>
      <c r="G11" s="55" t="inlineStr">
        <is>
          <t>Primary</t>
        </is>
      </c>
      <c r="H11" s="55" t="n"/>
      <c r="I11" s="55" t="n"/>
    </row>
    <row r="12">
      <c r="A12" s="55" t="inlineStr">
        <is>
          <t>QI-11</t>
        </is>
      </c>
      <c r="B12" s="55" t="inlineStr">
        <is>
          <t>Equity &amp; Accessibility</t>
        </is>
      </c>
      <c r="C12" s="55" t="inlineStr">
        <is>
          <t>Benefits all students, including those with diverse needs</t>
        </is>
      </c>
      <c r="D12" s="55" t="inlineStr">
        <is>
          <t>Equity &amp; access</t>
        </is>
      </c>
      <c r="E12" s="55" t="inlineStr">
        <is>
          <t>Soft gate</t>
        </is>
      </c>
      <c r="F12" s="55" t="inlineStr">
        <is>
          <t>Yes</t>
        </is>
      </c>
      <c r="G12" s="55" t="inlineStr">
        <is>
          <t>Primary</t>
        </is>
      </c>
      <c r="H12" s="55" t="inlineStr">
        <is>
          <t>Yes</t>
        </is>
      </c>
      <c r="I12" s="55" t="n"/>
    </row>
    <row r="13" ht="29" customHeight="1" s="54">
      <c r="A13" s="55" t="inlineStr">
        <is>
          <t>QI-12</t>
        </is>
      </c>
      <c r="B13" s="55" t="inlineStr">
        <is>
          <t>Equity &amp; Accessibility</t>
        </is>
      </c>
      <c r="C13" s="55" t="inlineStr">
        <is>
          <t>Accessible for English learners and students with disabilities</t>
        </is>
      </c>
      <c r="D13" s="55" t="inlineStr">
        <is>
          <t>Equity &amp; access</t>
        </is>
      </c>
      <c r="E13" s="55" t="inlineStr">
        <is>
          <t>Soft gate</t>
        </is>
      </c>
      <c r="F13" s="55" t="inlineStr">
        <is>
          <t>Yes</t>
        </is>
      </c>
      <c r="G13" s="55" t="inlineStr">
        <is>
          <t>Primary</t>
        </is>
      </c>
      <c r="H13" s="55" t="inlineStr">
        <is>
          <t>Yes</t>
        </is>
      </c>
      <c r="I13" s="55" t="n"/>
    </row>
    <row r="14">
      <c r="A14" s="55" t="inlineStr">
        <is>
          <t>QI-13</t>
        </is>
      </c>
      <c r="B14" s="55" t="inlineStr">
        <is>
          <t>Equity &amp; Accessibility</t>
        </is>
      </c>
      <c r="C14" s="55" t="inlineStr">
        <is>
          <t>Helps close achievement/opportunity gaps</t>
        </is>
      </c>
      <c r="D14" s="55" t="inlineStr">
        <is>
          <t>Equity &amp; access</t>
        </is>
      </c>
      <c r="E14" s="55" t="inlineStr">
        <is>
          <t>Soft gate</t>
        </is>
      </c>
      <c r="F14" s="55" t="inlineStr">
        <is>
          <t>Yes</t>
        </is>
      </c>
      <c r="G14" s="55" t="inlineStr">
        <is>
          <t>Primary</t>
        </is>
      </c>
      <c r="H14" s="55" t="inlineStr">
        <is>
          <t>Yes</t>
        </is>
      </c>
      <c r="I14" s="55" t="n"/>
    </row>
    <row r="15" ht="29" customHeight="1" s="54">
      <c r="A15" s="55" t="inlineStr">
        <is>
          <t>QI-14</t>
        </is>
      </c>
      <c r="B15" s="55" t="inlineStr">
        <is>
          <t>Cost &amp; Resources</t>
        </is>
      </c>
      <c r="C15" s="55" t="inlineStr">
        <is>
          <t>Total cost (startup, annual, materials, tech, licensing)</t>
        </is>
      </c>
      <c r="D15" s="55" t="inlineStr">
        <is>
          <t>Feasibility, resources &amp; sustainability</t>
        </is>
      </c>
      <c r="E15" s="55" t="inlineStr">
        <is>
          <t>Soft gate</t>
        </is>
      </c>
      <c r="F15" s="55" t="inlineStr">
        <is>
          <t>Yes</t>
        </is>
      </c>
      <c r="G15" s="55" t="inlineStr">
        <is>
          <t>Primary</t>
        </is>
      </c>
      <c r="H15" s="55" t="inlineStr">
        <is>
          <t>Yes</t>
        </is>
      </c>
      <c r="I15" s="55" t="n"/>
    </row>
    <row r="16" ht="29" customHeight="1" s="54">
      <c r="A16" s="55" t="inlineStr">
        <is>
          <t>QI-15</t>
        </is>
      </c>
      <c r="B16" s="55" t="inlineStr">
        <is>
          <t>Cost &amp; Resources</t>
        </is>
      </c>
      <c r="C16" s="55" t="inlineStr">
        <is>
          <t>Budget and/or sustainable funding exists</t>
        </is>
      </c>
      <c r="D16" s="55" t="inlineStr">
        <is>
          <t>Feasibility, resources &amp; sustainability</t>
        </is>
      </c>
      <c r="E16" s="55" t="inlineStr">
        <is>
          <t>Hard gate</t>
        </is>
      </c>
      <c r="F16" s="55" t="inlineStr">
        <is>
          <t>Yes</t>
        </is>
      </c>
      <c r="G16" s="55" t="inlineStr">
        <is>
          <t>Primary</t>
        </is>
      </c>
      <c r="H16" s="55" t="inlineStr">
        <is>
          <t>Yes</t>
        </is>
      </c>
      <c r="I16" s="55" t="n"/>
    </row>
    <row r="17" ht="29" customHeight="1" s="54">
      <c r="A17" s="55" t="inlineStr">
        <is>
          <t>QI-16</t>
        </is>
      </c>
      <c r="B17" s="55" t="inlineStr">
        <is>
          <t>Cost &amp; Resources</t>
        </is>
      </c>
      <c r="C17" s="55" t="inlineStr">
        <is>
          <t>Grants/external financial resources considered</t>
        </is>
      </c>
      <c r="D17" s="55" t="inlineStr">
        <is>
          <t>Feasibility, resources &amp; sustainability</t>
        </is>
      </c>
      <c r="E17" s="55" t="inlineStr">
        <is>
          <t>Soft gate</t>
        </is>
      </c>
      <c r="F17" s="55" t="inlineStr">
        <is>
          <t>Yes</t>
        </is>
      </c>
      <c r="G17" s="55" t="inlineStr">
        <is>
          <t>Secondary</t>
        </is>
      </c>
      <c r="H17" s="55" t="inlineStr">
        <is>
          <t>Yes</t>
        </is>
      </c>
      <c r="I17" s="55" t="n"/>
    </row>
    <row r="18" ht="29" customHeight="1" s="54">
      <c r="A18" s="55" t="inlineStr">
        <is>
          <t>QI-17</t>
        </is>
      </c>
      <c r="B18" s="55" t="inlineStr">
        <is>
          <t>Cost &amp; Resources</t>
        </is>
      </c>
      <c r="C18" s="55" t="inlineStr">
        <is>
          <t>Materials/facilities/tech required; ongoing maintenance costs</t>
        </is>
      </c>
      <c r="D18" s="55" t="inlineStr">
        <is>
          <t>Feasibility, resources &amp; sustainability</t>
        </is>
      </c>
      <c r="E18" s="55" t="n"/>
      <c r="F18" s="55" t="inlineStr">
        <is>
          <t>Yes</t>
        </is>
      </c>
      <c r="G18" s="55" t="inlineStr">
        <is>
          <t>Secondary</t>
        </is>
      </c>
      <c r="H18" s="55" t="inlineStr">
        <is>
          <t>Yes</t>
        </is>
      </c>
      <c r="I18" s="55" t="n"/>
    </row>
    <row r="19" ht="29" customHeight="1" s="54">
      <c r="A19" s="55" t="inlineStr">
        <is>
          <t>QI-18</t>
        </is>
      </c>
      <c r="B19" s="55" t="inlineStr">
        <is>
          <t>Cost &amp; Resources</t>
        </is>
      </c>
      <c r="C19" s="55" t="inlineStr">
        <is>
          <t>Staffing needed (new hires, reassignment, volunteers)</t>
        </is>
      </c>
      <c r="D19" s="55" t="inlineStr">
        <is>
          <t>Feasibility, resources &amp; sustainability</t>
        </is>
      </c>
      <c r="E19" s="55" t="inlineStr">
        <is>
          <t>Hard gate</t>
        </is>
      </c>
      <c r="F19" s="55" t="inlineStr">
        <is>
          <t>Yes</t>
        </is>
      </c>
      <c r="G19" s="55" t="inlineStr">
        <is>
          <t>Primary</t>
        </is>
      </c>
      <c r="H19" s="55" t="inlineStr">
        <is>
          <t>Yes</t>
        </is>
      </c>
      <c r="I19" s="55" t="n"/>
    </row>
    <row r="20" ht="29" customHeight="1" s="54">
      <c r="A20" s="55" t="inlineStr">
        <is>
          <t>QI-19</t>
        </is>
      </c>
      <c r="B20" s="55" t="inlineStr">
        <is>
          <t>Training &amp; Support</t>
        </is>
      </c>
      <c r="C20" s="55" t="inlineStr">
        <is>
          <t>Staff professional development needs identified</t>
        </is>
      </c>
      <c r="D20" s="55" t="inlineStr">
        <is>
          <t>Implementation &amp; operating model</t>
        </is>
      </c>
      <c r="E20" s="55" t="inlineStr">
        <is>
          <t>Soft gate</t>
        </is>
      </c>
      <c r="F20" s="55" t="inlineStr">
        <is>
          <t>Yes</t>
        </is>
      </c>
      <c r="G20" s="55" t="inlineStr">
        <is>
          <t>Secondary</t>
        </is>
      </c>
      <c r="H20" s="55" t="n"/>
      <c r="I20" s="55" t="n"/>
    </row>
    <row r="21" ht="29" customHeight="1" s="54">
      <c r="A21" s="55" t="inlineStr">
        <is>
          <t>QI-20</t>
        </is>
      </c>
      <c r="B21" s="55" t="inlineStr">
        <is>
          <t>Training &amp; Support</t>
        </is>
      </c>
      <c r="C21" s="55" t="inlineStr">
        <is>
          <t>Training is available, high-quality, and affordable</t>
        </is>
      </c>
      <c r="D21" s="55" t="inlineStr">
        <is>
          <t>Implementation &amp; operating model</t>
        </is>
      </c>
      <c r="E21" s="55" t="inlineStr">
        <is>
          <t>Soft gate</t>
        </is>
      </c>
      <c r="F21" s="55" t="inlineStr">
        <is>
          <t>Yes</t>
        </is>
      </c>
      <c r="G21" s="55" t="inlineStr">
        <is>
          <t>Primary</t>
        </is>
      </c>
      <c r="H21" s="55" t="n"/>
      <c r="I21" s="55" t="n"/>
    </row>
    <row r="22" ht="29" customHeight="1" s="54">
      <c r="A22" s="55" t="inlineStr">
        <is>
          <t>QI-21</t>
        </is>
      </c>
      <c r="B22" s="55" t="inlineStr">
        <is>
          <t>Training &amp; Support</t>
        </is>
      </c>
      <c r="C22" s="55" t="inlineStr">
        <is>
          <t>Ongoing support/troubleshooting/updates provided</t>
        </is>
      </c>
      <c r="D22" s="55" t="inlineStr">
        <is>
          <t>Implementation &amp; operating model</t>
        </is>
      </c>
      <c r="E22" s="55" t="inlineStr">
        <is>
          <t>Soft gate</t>
        </is>
      </c>
      <c r="F22" s="55" t="inlineStr">
        <is>
          <t>Yes</t>
        </is>
      </c>
      <c r="G22" s="55" t="inlineStr">
        <is>
          <t>Primary</t>
        </is>
      </c>
      <c r="H22" s="55" t="inlineStr">
        <is>
          <t>Yes</t>
        </is>
      </c>
      <c r="I22" s="55" t="n"/>
    </row>
    <row r="23" ht="29" customHeight="1" s="54">
      <c r="A23" s="55" t="inlineStr">
        <is>
          <t>QI-22</t>
        </is>
      </c>
      <c r="B23" s="55" t="inlineStr">
        <is>
          <t>Training &amp; Support</t>
        </is>
      </c>
      <c r="C23" s="55" t="inlineStr">
        <is>
          <t>Program manageable given staff workload</t>
        </is>
      </c>
      <c r="D23" s="55" t="inlineStr">
        <is>
          <t>Implementation &amp; operating model</t>
        </is>
      </c>
      <c r="E23" s="55" t="inlineStr">
        <is>
          <t>Soft gate</t>
        </is>
      </c>
      <c r="F23" s="55" t="inlineStr">
        <is>
          <t>Yes</t>
        </is>
      </c>
      <c r="G23" s="55" t="inlineStr">
        <is>
          <t>Primary</t>
        </is>
      </c>
      <c r="H23" s="55" t="inlineStr">
        <is>
          <t>Yes</t>
        </is>
      </c>
      <c r="I23" s="55" t="n"/>
    </row>
    <row r="24" ht="29" customHeight="1" s="54">
      <c r="A24" s="55" t="inlineStr">
        <is>
          <t>QI-23</t>
        </is>
      </c>
      <c r="B24" s="55" t="inlineStr">
        <is>
          <t>Training &amp; Support</t>
        </is>
      </c>
      <c r="C24" s="55" t="inlineStr">
        <is>
          <t>Parent education and support for the program theme</t>
        </is>
      </c>
      <c r="D24" s="55" t="inlineStr">
        <is>
          <t>Implementation &amp; operating model</t>
        </is>
      </c>
      <c r="E24" s="55" t="n"/>
      <c r="F24" s="55" t="inlineStr">
        <is>
          <t>Yes</t>
        </is>
      </c>
      <c r="G24" s="55" t="inlineStr">
        <is>
          <t>Secondary</t>
        </is>
      </c>
      <c r="H24" s="55" t="n"/>
      <c r="I24" s="55" t="n"/>
    </row>
    <row r="25" ht="29" customHeight="1" s="54">
      <c r="A25" s="55" t="inlineStr">
        <is>
          <t>QI-24</t>
        </is>
      </c>
      <c r="B25" s="55" t="inlineStr">
        <is>
          <t>Impact on Students &amp; Staff</t>
        </is>
      </c>
      <c r="C25" s="55" t="inlineStr">
        <is>
          <t>Effect on student daily schedule/workload</t>
        </is>
      </c>
      <c r="D25" s="55" t="inlineStr">
        <is>
          <t>Implementation &amp; operating model</t>
        </is>
      </c>
      <c r="E25" s="55" t="n"/>
      <c r="F25" s="55" t="inlineStr">
        <is>
          <t>Yes</t>
        </is>
      </c>
      <c r="G25" s="55" t="inlineStr">
        <is>
          <t>Primary</t>
        </is>
      </c>
      <c r="H25" s="55" t="n"/>
      <c r="I25" s="55" t="n"/>
    </row>
    <row r="26" ht="29" customHeight="1" s="54">
      <c r="A26" s="55" t="inlineStr">
        <is>
          <t>QI-25</t>
        </is>
      </c>
      <c r="B26" s="55" t="inlineStr">
        <is>
          <t>Impact on Students &amp; Staff</t>
        </is>
      </c>
      <c r="C26" s="55" t="inlineStr">
        <is>
          <t>Impact on teacher planning/instruction/prep time</t>
        </is>
      </c>
      <c r="D26" s="55" t="inlineStr">
        <is>
          <t>Implementation &amp; operating model</t>
        </is>
      </c>
      <c r="E26" s="55" t="n"/>
      <c r="F26" s="55" t="inlineStr">
        <is>
          <t>Yes</t>
        </is>
      </c>
      <c r="G26" s="55" t="inlineStr">
        <is>
          <t>Primary</t>
        </is>
      </c>
      <c r="H26" s="55" t="inlineStr">
        <is>
          <t>Yes</t>
        </is>
      </c>
      <c r="I26" s="55" t="n"/>
    </row>
    <row r="27" ht="29" customHeight="1" s="54">
      <c r="A27" s="55" t="inlineStr">
        <is>
          <t>QI-26</t>
        </is>
      </c>
      <c r="B27" s="55" t="inlineStr">
        <is>
          <t>Impact on Students &amp; Staff</t>
        </is>
      </c>
      <c r="C27" s="55" t="inlineStr">
        <is>
          <t>Enhances learning vs. adds unnecessary complexity</t>
        </is>
      </c>
      <c r="D27" s="55" t="inlineStr">
        <is>
          <t>Implementation &amp; operating model</t>
        </is>
      </c>
      <c r="E27" s="55" t="n"/>
      <c r="F27" s="55" t="inlineStr">
        <is>
          <t>Yes</t>
        </is>
      </c>
      <c r="G27" s="55" t="inlineStr">
        <is>
          <t>Primary</t>
        </is>
      </c>
      <c r="H27" s="55" t="n"/>
      <c r="I27" s="55" t="n"/>
    </row>
    <row r="28" ht="29" customHeight="1" s="54">
      <c r="A28" s="55" t="inlineStr">
        <is>
          <t>QI-27</t>
        </is>
      </c>
      <c r="B28" s="55" t="inlineStr">
        <is>
          <t>Impact on Students &amp; Staff</t>
        </is>
      </c>
      <c r="C28" s="55" t="inlineStr">
        <is>
          <t>Improves school culture/climate</t>
        </is>
      </c>
      <c r="D28" s="55" t="inlineStr">
        <is>
          <t>Implementation &amp; operating model</t>
        </is>
      </c>
      <c r="E28" s="55" t="n"/>
      <c r="F28" s="55" t="inlineStr">
        <is>
          <t>Yes</t>
        </is>
      </c>
      <c r="G28" s="55" t="inlineStr">
        <is>
          <t>Primary</t>
        </is>
      </c>
      <c r="H28" s="55" t="inlineStr">
        <is>
          <t>Yes</t>
        </is>
      </c>
      <c r="I28" s="55" t="n"/>
    </row>
    <row r="29" ht="29" customHeight="1" s="54">
      <c r="A29" s="55" t="inlineStr">
        <is>
          <t>QI-28</t>
        </is>
      </c>
      <c r="B29" s="55" t="inlineStr">
        <is>
          <t>Implementation Feasibility</t>
        </is>
      </c>
      <c r="C29" s="55" t="inlineStr">
        <is>
          <t>Realistic rollout timeline</t>
        </is>
      </c>
      <c r="D29" s="55" t="inlineStr">
        <is>
          <t>Implementation &amp; operating model</t>
        </is>
      </c>
      <c r="E29" s="55" t="inlineStr">
        <is>
          <t>Soft gate</t>
        </is>
      </c>
      <c r="F29" s="55" t="inlineStr">
        <is>
          <t>Yes</t>
        </is>
      </c>
      <c r="G29" s="55" t="inlineStr">
        <is>
          <t>Primary</t>
        </is>
      </c>
      <c r="H29" s="55" t="inlineStr">
        <is>
          <t>Yes</t>
        </is>
      </c>
      <c r="I29" s="55" t="n"/>
    </row>
    <row r="30" ht="29" customHeight="1" s="54">
      <c r="A30" s="55" t="inlineStr">
        <is>
          <t>QI-29</t>
        </is>
      </c>
      <c r="B30" s="55" t="inlineStr">
        <is>
          <t>Implementation Feasibility</t>
        </is>
      </c>
      <c r="C30" s="55" t="inlineStr">
        <is>
          <t>Can be piloted before full adoption</t>
        </is>
      </c>
      <c r="D30" s="55" t="inlineStr">
        <is>
          <t>Implementation &amp; operating model</t>
        </is>
      </c>
      <c r="E30" s="55" t="n"/>
      <c r="F30" s="55" t="inlineStr">
        <is>
          <t>Yes</t>
        </is>
      </c>
      <c r="G30" s="55" t="inlineStr">
        <is>
          <t>Secondary</t>
        </is>
      </c>
      <c r="H30" s="55" t="n"/>
      <c r="I30" s="55" t="n"/>
    </row>
    <row r="31" ht="29" customHeight="1" s="54">
      <c r="A31" s="55" t="inlineStr">
        <is>
          <t>QI-30</t>
        </is>
      </c>
      <c r="B31" s="55" t="inlineStr">
        <is>
          <t>Implementation Feasibility</t>
        </is>
      </c>
      <c r="C31" s="55" t="inlineStr">
        <is>
          <t>Roles/responsibilities clearly defined</t>
        </is>
      </c>
      <c r="D31" s="55" t="inlineStr">
        <is>
          <t>Implementation &amp; operating model</t>
        </is>
      </c>
      <c r="E31" s="55" t="inlineStr">
        <is>
          <t>Soft gate</t>
        </is>
      </c>
      <c r="F31" s="55" t="inlineStr">
        <is>
          <t>Yes</t>
        </is>
      </c>
      <c r="G31" s="55" t="inlineStr">
        <is>
          <t>Secondary</t>
        </is>
      </c>
      <c r="H31" s="55" t="n"/>
      <c r="I31" s="55" t="n"/>
    </row>
    <row r="32" ht="29" customHeight="1" s="54">
      <c r="A32" s="55" t="inlineStr">
        <is>
          <t>QI-31</t>
        </is>
      </c>
      <c r="B32" s="55" t="inlineStr">
        <is>
          <t>Implementation Feasibility</t>
        </is>
      </c>
      <c r="C32" s="55" t="inlineStr">
        <is>
          <t>Assessment and monitoring tools included</t>
        </is>
      </c>
      <c r="D32" s="55" t="inlineStr">
        <is>
          <t>Implementation &amp; operating model</t>
        </is>
      </c>
      <c r="E32" s="55" t="inlineStr">
        <is>
          <t>Soft gate</t>
        </is>
      </c>
      <c r="F32" s="55" t="inlineStr">
        <is>
          <t>Yes</t>
        </is>
      </c>
      <c r="G32" s="55" t="inlineStr">
        <is>
          <t>Primary</t>
        </is>
      </c>
      <c r="H32" s="55" t="inlineStr">
        <is>
          <t>Yes</t>
        </is>
      </c>
      <c r="I32" s="55" t="n"/>
    </row>
    <row r="33" ht="29" customHeight="1" s="54">
      <c r="A33" s="55" t="inlineStr">
        <is>
          <t>QI-32</t>
        </is>
      </c>
      <c r="B33" s="55" t="inlineStr">
        <is>
          <t>Data &amp; Evaluation</t>
        </is>
      </c>
      <c r="C33" s="55" t="inlineStr">
        <is>
          <t>How success will be measured</t>
        </is>
      </c>
      <c r="D33" s="55" t="inlineStr">
        <is>
          <t>Evidence, measurement &amp; continuous improvement</t>
        </is>
      </c>
      <c r="E33" s="55" t="inlineStr">
        <is>
          <t>Soft gate</t>
        </is>
      </c>
      <c r="F33" s="55" t="inlineStr">
        <is>
          <t>Yes</t>
        </is>
      </c>
      <c r="G33" s="55" t="inlineStr">
        <is>
          <t>Primary</t>
        </is>
      </c>
      <c r="H33" s="55" t="inlineStr">
        <is>
          <t>Yes</t>
        </is>
      </c>
      <c r="I33" s="55" t="n"/>
    </row>
    <row r="34" ht="29" customHeight="1" s="54">
      <c r="A34" s="55" t="inlineStr">
        <is>
          <t>QI-33</t>
        </is>
      </c>
      <c r="B34" s="55" t="inlineStr">
        <is>
          <t>Data &amp; Evaluation</t>
        </is>
      </c>
      <c r="C34" s="55" t="inlineStr">
        <is>
          <t>Plan for regular data collection, review, and action based on results (expand/close/adjust)</t>
        </is>
      </c>
      <c r="D34" s="55" t="inlineStr">
        <is>
          <t>Evidence, measurement &amp; continuous improvement</t>
        </is>
      </c>
      <c r="E34" s="55" t="inlineStr">
        <is>
          <t>Soft gate</t>
        </is>
      </c>
      <c r="F34" s="55" t="inlineStr">
        <is>
          <t>Yes</t>
        </is>
      </c>
      <c r="G34" s="55" t="inlineStr">
        <is>
          <t>Primary</t>
        </is>
      </c>
      <c r="H34" s="55" t="inlineStr">
        <is>
          <t>Yes</t>
        </is>
      </c>
      <c r="I34" s="55" t="n"/>
    </row>
    <row r="35" ht="29" customHeight="1" s="54">
      <c r="A35" s="55" t="inlineStr">
        <is>
          <t>QI-34</t>
        </is>
      </c>
      <c r="B35" s="55" t="inlineStr">
        <is>
          <t>Data &amp; Evaluation</t>
        </is>
      </c>
      <c r="C35" s="55" t="inlineStr">
        <is>
          <t>Clear benchmarks and performance indicators</t>
        </is>
      </c>
      <c r="D35" s="55" t="inlineStr">
        <is>
          <t>Evidence, measurement &amp; continuous improvement</t>
        </is>
      </c>
      <c r="E35" s="55" t="inlineStr">
        <is>
          <t>Soft gate</t>
        </is>
      </c>
      <c r="F35" s="55" t="inlineStr">
        <is>
          <t>Yes</t>
        </is>
      </c>
      <c r="G35" s="55" t="inlineStr">
        <is>
          <t>Primary</t>
        </is>
      </c>
      <c r="H35" s="55" t="inlineStr">
        <is>
          <t>Yes</t>
        </is>
      </c>
      <c r="I35" s="55" t="n"/>
    </row>
    <row r="36" ht="29" customHeight="1" s="54">
      <c r="A36" s="55" t="inlineStr">
        <is>
          <t>QI-35</t>
        </is>
      </c>
      <c r="B36" s="55" t="inlineStr">
        <is>
          <t>Data &amp; Evaluation</t>
        </is>
      </c>
      <c r="C36" s="55" t="inlineStr">
        <is>
          <t>Program can be modified based on data</t>
        </is>
      </c>
      <c r="D36" s="55" t="inlineStr">
        <is>
          <t>Evidence, measurement &amp; continuous improvement</t>
        </is>
      </c>
      <c r="E36" s="55" t="n"/>
      <c r="F36" s="55" t="inlineStr">
        <is>
          <t>Yes</t>
        </is>
      </c>
      <c r="G36" s="55" t="inlineStr">
        <is>
          <t>Primary</t>
        </is>
      </c>
      <c r="H36" s="55" t="inlineStr">
        <is>
          <t>Yes</t>
        </is>
      </c>
      <c r="I36" s="55" t="n"/>
    </row>
    <row r="37" ht="29" customHeight="1" s="54">
      <c r="A37" s="55" t="inlineStr">
        <is>
          <t>QI-36</t>
        </is>
      </c>
      <c r="B37" s="55" t="inlineStr">
        <is>
          <t>Community Partners &amp; Stakeholder Support</t>
        </is>
      </c>
      <c r="C37" s="55" t="inlineStr">
        <is>
          <t>Teachers/administrators/students/families consulted</t>
        </is>
      </c>
      <c r="D37" s="55" t="inlineStr">
        <is>
          <t>Need, demand &amp; stakeholder value</t>
        </is>
      </c>
      <c r="E37" s="55" t="inlineStr">
        <is>
          <t>Soft gate</t>
        </is>
      </c>
      <c r="F37" s="55" t="inlineStr">
        <is>
          <t>Yes</t>
        </is>
      </c>
      <c r="G37" s="55" t="inlineStr">
        <is>
          <t>Secondary</t>
        </is>
      </c>
      <c r="H37" s="55" t="inlineStr">
        <is>
          <t>Yes</t>
        </is>
      </c>
      <c r="I37" s="55" t="n"/>
    </row>
    <row r="38" ht="29" customHeight="1" s="54">
      <c r="A38" s="55" t="inlineStr">
        <is>
          <t>QI-37</t>
        </is>
      </c>
      <c r="B38" s="55" t="inlineStr">
        <is>
          <t>Community Partners &amp; Stakeholder Support</t>
        </is>
      </c>
      <c r="C38" s="55" t="inlineStr">
        <is>
          <t>Community/business partners consulted and leveraged</t>
        </is>
      </c>
      <c r="D38" s="55" t="inlineStr">
        <is>
          <t>Need, demand &amp; stakeholder value</t>
        </is>
      </c>
      <c r="E38" s="55" t="n"/>
      <c r="F38" s="55" t="inlineStr">
        <is>
          <t>Yes</t>
        </is>
      </c>
      <c r="G38" s="55" t="inlineStr">
        <is>
          <t>Secondary</t>
        </is>
      </c>
      <c r="H38" s="55" t="inlineStr">
        <is>
          <t>Yes</t>
        </is>
      </c>
      <c r="I38" s="55" t="n"/>
    </row>
    <row r="39" ht="29" customHeight="1" s="54">
      <c r="A39" s="55" t="inlineStr">
        <is>
          <t>QI-38</t>
        </is>
      </c>
      <c r="B39" s="55" t="inlineStr">
        <is>
          <t>Community Partners &amp; Stakeholder Support</t>
        </is>
      </c>
      <c r="C39" s="55" t="inlineStr">
        <is>
          <t>Broad support vs. potential resistance assessed</t>
        </is>
      </c>
      <c r="D39" s="55" t="inlineStr">
        <is>
          <t>Need, demand &amp; stakeholder value</t>
        </is>
      </c>
      <c r="E39" s="55" t="inlineStr">
        <is>
          <t>Soft gate</t>
        </is>
      </c>
      <c r="F39" s="55" t="inlineStr">
        <is>
          <t>Yes</t>
        </is>
      </c>
      <c r="G39" s="55" t="inlineStr">
        <is>
          <t>Secondary</t>
        </is>
      </c>
      <c r="H39" s="55" t="inlineStr">
        <is>
          <t>Yes</t>
        </is>
      </c>
      <c r="I39" s="55" t="n"/>
    </row>
    <row r="40" ht="29" customHeight="1" s="54">
      <c r="A40" s="55" t="inlineStr">
        <is>
          <t>QI-39</t>
        </is>
      </c>
      <c r="B40" s="55" t="inlineStr">
        <is>
          <t>Community Partners &amp; Stakeholder Support</t>
        </is>
      </c>
      <c r="C40" s="55" t="inlineStr">
        <is>
          <t>Communication is clear and transparent</t>
        </is>
      </c>
      <c r="D40" s="55" t="inlineStr">
        <is>
          <t>Need, demand &amp; stakeholder value</t>
        </is>
      </c>
      <c r="E40" s="55" t="inlineStr">
        <is>
          <t>Soft gate</t>
        </is>
      </c>
      <c r="F40" s="55" t="inlineStr">
        <is>
          <t>Yes</t>
        </is>
      </c>
      <c r="G40" s="55" t="inlineStr">
        <is>
          <t>Secondary</t>
        </is>
      </c>
      <c r="H40" s="55" t="inlineStr">
        <is>
          <t>Yes</t>
        </is>
      </c>
      <c r="I40" s="55" t="n"/>
    </row>
    <row r="41" ht="29" customHeight="1" s="54">
      <c r="A41" s="55" t="inlineStr">
        <is>
          <t>QI-40</t>
        </is>
      </c>
      <c r="B41" s="55" t="inlineStr">
        <is>
          <t>Community Partners &amp; Stakeholder Support</t>
        </is>
      </c>
      <c r="C41" s="55" t="inlineStr">
        <is>
          <t>Families/community/business partners understand program specifics</t>
        </is>
      </c>
      <c r="D41" s="55" t="inlineStr">
        <is>
          <t>Need, demand &amp; stakeholder value</t>
        </is>
      </c>
      <c r="E41" s="55" t="n"/>
      <c r="F41" s="55" t="inlineStr">
        <is>
          <t>Yes</t>
        </is>
      </c>
      <c r="G41" s="55" t="inlineStr">
        <is>
          <t>Secondary</t>
        </is>
      </c>
      <c r="H41" s="55" t="inlineStr">
        <is>
          <t>Yes</t>
        </is>
      </c>
      <c r="I41" s="55" t="n"/>
    </row>
    <row r="42" ht="29" customHeight="1" s="54">
      <c r="A42" s="55" t="inlineStr">
        <is>
          <t>QI-41</t>
        </is>
      </c>
      <c r="B42" s="55" t="inlineStr">
        <is>
          <t>Sustainability</t>
        </is>
      </c>
      <c r="C42" s="55" t="inlineStr">
        <is>
          <t>Program can be maintained over time</t>
        </is>
      </c>
      <c r="D42" s="55" t="inlineStr">
        <is>
          <t>Feasibility, resources &amp; sustainability</t>
        </is>
      </c>
      <c r="E42" s="55" t="inlineStr">
        <is>
          <t>Soft gate</t>
        </is>
      </c>
      <c r="F42" s="55" t="inlineStr">
        <is>
          <t>Yes</t>
        </is>
      </c>
      <c r="G42" s="55" t="inlineStr">
        <is>
          <t>Primary</t>
        </is>
      </c>
      <c r="H42" s="55" t="inlineStr">
        <is>
          <t>Yes</t>
        </is>
      </c>
      <c r="I42" s="55" t="n"/>
    </row>
    <row r="43" ht="29" customHeight="1" s="54">
      <c r="A43" s="55" t="inlineStr">
        <is>
          <t>QI-42</t>
        </is>
      </c>
      <c r="B43" s="55" t="inlineStr">
        <is>
          <t>Sustainability</t>
        </is>
      </c>
      <c r="C43" s="55" t="inlineStr">
        <is>
          <t>Funding and staffing stable for multiple years</t>
        </is>
      </c>
      <c r="D43" s="55" t="inlineStr">
        <is>
          <t>Feasibility, resources &amp; sustainability</t>
        </is>
      </c>
      <c r="E43" s="55" t="inlineStr">
        <is>
          <t>Hard gate</t>
        </is>
      </c>
      <c r="F43" s="55" t="inlineStr">
        <is>
          <t>Yes</t>
        </is>
      </c>
      <c r="G43" s="55" t="inlineStr">
        <is>
          <t>Primary</t>
        </is>
      </c>
      <c r="H43" s="55" t="inlineStr">
        <is>
          <t>Yes</t>
        </is>
      </c>
      <c r="I43" s="55" t="n"/>
    </row>
    <row r="44" ht="29" customHeight="1" s="54">
      <c r="A44" s="55" t="inlineStr">
        <is>
          <t>QI-43</t>
        </is>
      </c>
      <c r="B44" s="55" t="inlineStr">
        <is>
          <t>Sustainability</t>
        </is>
      </c>
      <c r="C44" s="55" t="inlineStr">
        <is>
          <t>Integrates with existing systems (vs. replacing too much at once)</t>
        </is>
      </c>
      <c r="D44" s="55" t="inlineStr">
        <is>
          <t>Feasibility, resources &amp; sustainability</t>
        </is>
      </c>
      <c r="E44" s="55" t="inlineStr">
        <is>
          <t>Soft gate</t>
        </is>
      </c>
      <c r="F44" s="55" t="inlineStr">
        <is>
          <t>Yes</t>
        </is>
      </c>
      <c r="G44" s="55" t="inlineStr">
        <is>
          <t>Primary</t>
        </is>
      </c>
      <c r="H44" s="55" t="inlineStr">
        <is>
          <t>Yes</t>
        </is>
      </c>
      <c r="I44" s="55" t="n"/>
    </row>
    <row r="45" ht="29" customHeight="1" s="54">
      <c r="A45" s="55" t="inlineStr">
        <is>
          <t>QI-44</t>
        </is>
      </c>
      <c r="B45" s="55" t="inlineStr">
        <is>
          <t>Sustainability</t>
        </is>
      </c>
      <c r="C45" s="55" t="inlineStr">
        <is>
          <t>Can adapt to future needs</t>
        </is>
      </c>
      <c r="D45" s="55" t="inlineStr">
        <is>
          <t>Feasibility, resources &amp; sustainability</t>
        </is>
      </c>
      <c r="E45" s="55" t="n"/>
      <c r="F45" s="55" t="inlineStr">
        <is>
          <t>Yes</t>
        </is>
      </c>
      <c r="G45" s="55" t="inlineStr">
        <is>
          <t>Primary</t>
        </is>
      </c>
      <c r="H45" s="55" t="inlineStr">
        <is>
          <t>Yes</t>
        </is>
      </c>
      <c r="I45" s="55" t="n"/>
    </row>
    <row r="46" ht="29" customHeight="1" s="54">
      <c r="A46" s="55" t="inlineStr">
        <is>
          <t>QI-45</t>
        </is>
      </c>
      <c r="B46" s="55" t="inlineStr">
        <is>
          <t>Sustainability</t>
        </is>
      </c>
      <c r="C46" s="55" t="inlineStr">
        <is>
          <t>Plan to maintain consistency during leadership transitions</t>
        </is>
      </c>
      <c r="D46" s="55" t="inlineStr">
        <is>
          <t>Feasibility, resources &amp; sustainability</t>
        </is>
      </c>
      <c r="E46" s="55" t="n"/>
      <c r="F46" s="55" t="inlineStr">
        <is>
          <t>Yes</t>
        </is>
      </c>
      <c r="G46" s="55" t="inlineStr">
        <is>
          <t>Primary</t>
        </is>
      </c>
      <c r="H46" s="55" t="inlineStr">
        <is>
          <t>Yes</t>
        </is>
      </c>
      <c r="I46" s="55"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9"/>
  <sheetViews>
    <sheetView workbookViewId="0">
      <selection activeCell="A1" sqref="A1:F1"/>
    </sheetView>
  </sheetViews>
  <sheetFormatPr baseColWidth="8" defaultRowHeight="14.5"/>
  <cols>
    <col width="26" customWidth="1" style="54" min="1" max="1"/>
    <col width="42" customWidth="1" style="54" min="2" max="2"/>
    <col width="32" customWidth="1" style="54" min="3" max="5"/>
    <col width="12" customWidth="1" style="54" min="6" max="6"/>
  </cols>
  <sheetData>
    <row r="1" ht="19" customHeight="1" s="54">
      <c r="A1" s="67" t="inlineStr">
        <is>
          <t>Program Proposal Evaluation Rubric</t>
        </is>
      </c>
    </row>
    <row r="2">
      <c r="A2" s="66" t="inlineStr">
        <is>
          <t>Scoring Scale: 4=Strong/Fully Meets | 3=Meets | 2=Partial | 1=Does Not Meet | 0=Not Addressed</t>
        </is>
      </c>
    </row>
    <row r="4">
      <c r="A4" s="21" t="inlineStr">
        <is>
          <t>Category</t>
        </is>
      </c>
      <c r="B4" s="21" t="inlineStr">
        <is>
          <t>4 – Strong</t>
        </is>
      </c>
      <c r="C4" s="21" t="inlineStr">
        <is>
          <t>3 – Meets</t>
        </is>
      </c>
      <c r="D4" s="21" t="inlineStr">
        <is>
          <t>2 – Partial</t>
        </is>
      </c>
      <c r="E4" s="21" t="inlineStr">
        <is>
          <t>1 – Does Not Meet</t>
        </is>
      </c>
      <c r="F4" s="21" t="inlineStr">
        <is>
          <t>Score (0–4)</t>
        </is>
      </c>
    </row>
    <row r="5" ht="19.4" customHeight="1" s="54">
      <c r="A5" s="22" t="inlineStr">
        <is>
          <t>1. Alignment &amp; Purpose</t>
        </is>
      </c>
      <c r="B5" s="22" t="inlineStr">
        <is>
          <t>Strong alignment to mission/strategic goals; clear need with data; outcomes are measurable</t>
        </is>
      </c>
      <c r="C5" s="22" t="inlineStr">
        <is>
          <t>Alignment present; need identified; outcomes mostly measurable</t>
        </is>
      </c>
      <c r="D5" s="22" t="inlineStr">
        <is>
          <t>Alignment vague; weak evidence of need; outcomes unclear</t>
        </is>
      </c>
      <c r="E5" s="22" t="inlineStr">
        <is>
          <t>Not aligned; need not demonstrated; outcomes missing</t>
        </is>
      </c>
      <c r="F5" s="22" t="n"/>
    </row>
    <row r="6" ht="19.4" customHeight="1" s="54">
      <c r="A6" s="22" t="inlineStr">
        <is>
          <t>2. Evidence &amp; Effectiveness</t>
        </is>
      </c>
      <c r="B6" s="22" t="inlineStr">
        <is>
          <t>Strong research base and proven results in similar contexts; clear success metrics</t>
        </is>
      </c>
      <c r="C6" s="22" t="inlineStr">
        <is>
          <t>Some evidence/research; some comparable results; metrics defined</t>
        </is>
      </c>
      <c r="D6" s="22" t="inlineStr">
        <is>
          <t>Minimal evidence; results not comparable; metrics weak</t>
        </is>
      </c>
      <c r="E6" s="22" t="inlineStr">
        <is>
          <t>No evidence base or unclear claims</t>
        </is>
      </c>
      <c r="F6" s="22" t="n"/>
    </row>
    <row r="7" ht="19.4" customHeight="1" s="54">
      <c r="A7" s="22" t="inlineStr">
        <is>
          <t>3. Equity &amp; Accessibility</t>
        </is>
      </c>
      <c r="B7" s="22" t="inlineStr">
        <is>
          <t>Strong plan for EL/SPED access; explicitly supports equity and gap-closing</t>
        </is>
      </c>
      <c r="C7" s="22" t="inlineStr">
        <is>
          <t>Accessibility generally addressed; equity benefits noted</t>
        </is>
      </c>
      <c r="D7" s="22" t="inlineStr">
        <is>
          <t>Limited accessibility supports; equity impact unclear</t>
        </is>
      </c>
      <c r="E7" s="22" t="inlineStr">
        <is>
          <t>Excludes or overlooks diverse learners; equity not considered</t>
        </is>
      </c>
      <c r="F7" s="22" t="n"/>
    </row>
    <row r="8" ht="19.4" customHeight="1" s="54">
      <c r="A8" s="22" t="inlineStr">
        <is>
          <t>4. Cost &amp; Resources</t>
        </is>
      </c>
      <c r="B8" s="22" t="inlineStr">
        <is>
          <t>Full cost breakdown; funding plan is sustainable; resources clearly identified</t>
        </is>
      </c>
      <c r="C8" s="22" t="inlineStr">
        <is>
          <t>Costs mostly clear; funding plan reasonable; resources identified</t>
        </is>
      </c>
      <c r="D8" s="22" t="inlineStr">
        <is>
          <t>Costs incomplete; funding uncertain; resources vague</t>
        </is>
      </c>
      <c r="E8" s="22" t="inlineStr">
        <is>
          <t>Costs not provided or unrealistic; no funding/resource plan</t>
        </is>
      </c>
      <c r="F8" s="22" t="n"/>
    </row>
    <row r="9" ht="19.4" customHeight="1" s="54">
      <c r="A9" s="22" t="inlineStr">
        <is>
          <t>5. Training &amp; Support</t>
        </is>
      </c>
      <c r="B9" s="22" t="inlineStr">
        <is>
          <t>Training plan is high-quality, affordable, and realistic; strong ongoing support</t>
        </is>
      </c>
      <c r="C9" s="22" t="inlineStr">
        <is>
          <t>Training included; ongoing support available</t>
        </is>
      </c>
      <c r="D9" s="22" t="inlineStr">
        <is>
          <t>Training unclear or limited; support insufficient</t>
        </is>
      </c>
      <c r="E9" s="22" t="inlineStr">
        <is>
          <t>No training plan; no support</t>
        </is>
      </c>
      <c r="F9" s="22" t="n"/>
    </row>
    <row r="10" ht="19.4" customHeight="1" s="54">
      <c r="A10" s="22" t="inlineStr">
        <is>
          <t>6. Impact on Students &amp; Staff</t>
        </is>
      </c>
      <c r="B10" s="22" t="inlineStr">
        <is>
          <t>Clearly improves learning/culture; minimal disruption; workload manageable</t>
        </is>
      </c>
      <c r="C10" s="22" t="inlineStr">
        <is>
          <t>Positive impact expected; moderate adjustments needed</t>
        </is>
      </c>
      <c r="D10" s="22" t="inlineStr">
        <is>
          <t>Impact uncertain; may increase complexity/workload</t>
        </is>
      </c>
      <c r="E10" s="22" t="inlineStr">
        <is>
          <t>Likely negative impact; major disruption; adds complexity</t>
        </is>
      </c>
      <c r="F10" s="22" t="n"/>
    </row>
    <row r="11" ht="19.4" customHeight="1" s="54">
      <c r="A11" s="22" t="inlineStr">
        <is>
          <t>7. Implementation Feasibility</t>
        </is>
      </c>
      <c r="B11" s="22" t="inlineStr">
        <is>
          <t>Clear timeline; roles defined; pilot plan included; monitoring tools identified</t>
        </is>
      </c>
      <c r="C11" s="22" t="inlineStr">
        <is>
          <t>Timeline and roles mostly clear; feasibility reasonable</t>
        </is>
      </c>
      <c r="D11" s="22" t="inlineStr">
        <is>
          <t>Timeline unclear; roles incomplete; pilot/monitoring weak</t>
        </is>
      </c>
      <c r="E11" s="22" t="inlineStr">
        <is>
          <t>Not feasible; no plan for rollout or accountability</t>
        </is>
      </c>
      <c r="F11" s="22" t="n"/>
    </row>
    <row r="12" ht="19.4" customHeight="1" s="54">
      <c r="A12" s="22" t="inlineStr">
        <is>
          <t>8. Data &amp; Evaluation</t>
        </is>
      </c>
      <c r="B12" s="22" t="inlineStr">
        <is>
          <t>Strong evaluation plan with benchmarks, data cycle, and improvement plan</t>
        </is>
      </c>
      <c r="C12" s="22" t="inlineStr">
        <is>
          <t>Evaluation plan exists; metrics identified</t>
        </is>
      </c>
      <c r="D12" s="22" t="inlineStr">
        <is>
          <t>Evaluation vague; benchmarks missing</t>
        </is>
      </c>
      <c r="E12" s="22" t="inlineStr">
        <is>
          <t>No evaluation plan or metrics</t>
        </is>
      </c>
      <c r="F12" s="22" t="n"/>
    </row>
    <row r="13" ht="19.4" customHeight="1" s="54">
      <c r="A13" s="22" t="inlineStr">
        <is>
          <t>9. Community &amp; Stakeholder Support</t>
        </is>
      </c>
      <c r="B13" s="22" t="inlineStr">
        <is>
          <t>Broad consultation; clear support; strong communication plan</t>
        </is>
      </c>
      <c r="C13" s="22" t="inlineStr">
        <is>
          <t>Some consultation; support mostly positive</t>
        </is>
      </c>
      <c r="D13" s="22" t="inlineStr">
        <is>
          <t>Minimal consultation; mixed support; plan unclear</t>
        </is>
      </c>
      <c r="E13" s="22" t="inlineStr">
        <is>
          <t>No stakeholder input; resistance likely; no comms plan</t>
        </is>
      </c>
      <c r="F13" s="22" t="n"/>
    </row>
    <row r="14" ht="19.4" customHeight="1" s="54">
      <c r="A14" s="22" t="inlineStr">
        <is>
          <t>10. Sustainability</t>
        </is>
      </c>
      <c r="B14" s="22" t="inlineStr">
        <is>
          <t>Multi-year sustainability strong; integrates well with systems; adaptable</t>
        </is>
      </c>
      <c r="C14" s="22" t="inlineStr">
        <is>
          <t>Sustainable with minor risks; reasonable integration</t>
        </is>
      </c>
      <c r="D14" s="22" t="inlineStr">
        <is>
          <t>Sustainability uncertain; integration issues possible</t>
        </is>
      </c>
      <c r="E14" s="22" t="inlineStr">
        <is>
          <t>Not sustainable; disrupts systems; not adaptable</t>
        </is>
      </c>
      <c r="F14" s="22" t="n"/>
    </row>
    <row r="16">
      <c r="E16" s="23" t="inlineStr">
        <is>
          <t>Total Score (0–40):</t>
        </is>
      </c>
      <c r="F16" s="24" t="n"/>
    </row>
    <row r="18">
      <c r="A18" s="68" t="inlineStr">
        <is>
          <t>Recommendation (check one):</t>
        </is>
      </c>
    </row>
    <row r="19">
      <c r="A19" t="inlineStr">
        <is>
          <t>☐ Approve for implementation   ☐ Approve for pilot only   ☐ Revise and resubmit   ☐ Do not approve at this time</t>
        </is>
      </c>
    </row>
  </sheetData>
  <mergeCells count="4">
    <mergeCell ref="A19:F19"/>
    <mergeCell ref="A2:F2"/>
    <mergeCell ref="A1:F1"/>
    <mergeCell ref="A18:F18"/>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37"/>
  <sheetViews>
    <sheetView workbookViewId="0">
      <selection activeCell="A9" sqref="A9"/>
    </sheetView>
  </sheetViews>
  <sheetFormatPr baseColWidth="8" defaultRowHeight="14.5"/>
  <cols>
    <col width="30" customWidth="1" style="54" min="1" max="1"/>
    <col width="45" customWidth="1" style="54" min="2" max="5"/>
    <col width="18" customWidth="1" style="54" min="6" max="6"/>
    <col width="40" customWidth="1" style="54" min="7" max="7"/>
  </cols>
  <sheetData>
    <row r="1" ht="36" customHeight="1" s="54">
      <c r="A1" s="53" t="inlineStr">
        <is>
          <t>SCOPE NOTE (Feb 2026 baseline review): This SPARK review is focused on implementation and system alignment (strengths, sustainability, coherence across sites). It is NOT evaluating whether these programs 'should exist' or re-litigating research validity. Where the rubric/QIs reference 'research base' or 'market demand,' capture what is documented and focus scoring on clarity of local success metrics, monitoring routines, and improvement actions.</t>
        </is>
      </c>
    </row>
    <row r="2" ht="36" customHeight="1" s="54"/>
    <row r="3" ht="18.5" customHeight="1" s="54">
      <c r="A3" s="74" t="inlineStr">
        <is>
          <t>Program Review Rubric</t>
        </is>
      </c>
    </row>
    <row r="4">
      <c r="A4" t="inlineStr">
        <is>
          <t xml:space="preserve">Name of Program being reviewed: </t>
        </is>
      </c>
    </row>
    <row r="5">
      <c r="A5" t="inlineStr">
        <is>
          <t xml:space="preserve">Name of Reviewer: </t>
        </is>
      </c>
    </row>
    <row r="6" ht="29" customHeight="1" s="54"/>
    <row r="7" ht="29" customHeight="1" s="54">
      <c r="A7" s="25" t="inlineStr">
        <is>
          <t>Category</t>
        </is>
      </c>
      <c r="B7" s="25" t="inlineStr">
        <is>
          <t>4 – Strong</t>
        </is>
      </c>
      <c r="C7" s="25" t="inlineStr">
        <is>
          <t>3 – Meets</t>
        </is>
      </c>
      <c r="D7" s="25" t="inlineStr">
        <is>
          <t>2 – Partial</t>
        </is>
      </c>
      <c r="E7" s="25" t="inlineStr">
        <is>
          <t>1 – Does Not Meet</t>
        </is>
      </c>
      <c r="F7" s="25" t="inlineStr">
        <is>
          <t>Optional score (1–4)</t>
        </is>
      </c>
      <c r="G7" s="25" t="inlineStr">
        <is>
          <t>Evidence / notes</t>
        </is>
      </c>
    </row>
    <row r="8" ht="29" customHeight="1" s="54">
      <c r="A8" s="95" t="inlineStr">
        <is>
          <t>1. Alignment &amp; Purpose</t>
        </is>
      </c>
      <c r="B8" s="95" t="inlineStr">
        <is>
          <t>Strong alignment to mission/strategic goals; clear need with data; outcomes are measurable</t>
        </is>
      </c>
      <c r="C8" s="95" t="inlineStr">
        <is>
          <t>Alignment present; need identified; outcomes mostly measurable</t>
        </is>
      </c>
      <c r="D8" s="95" t="inlineStr">
        <is>
          <t>Alignment vague; weak evidence of need; outcomes unclear</t>
        </is>
      </c>
      <c r="E8" s="95" t="inlineStr">
        <is>
          <t>Not aligned; need not demonstrated; outcomes missing</t>
        </is>
      </c>
      <c r="F8" s="95" t="n"/>
      <c r="G8" s="95" t="n"/>
    </row>
    <row r="9" ht="29" customHeight="1" s="54">
      <c r="A9" s="95" t="inlineStr">
        <is>
          <t>2. Evidence &amp; Effectiveness</t>
        </is>
      </c>
      <c r="B9" s="95" t="inlineStr">
        <is>
          <t>Clear local definition of success + evidence that the program is being monitored (metrics + routines). Evidence sources are credible (district/site data, implementation artifacts, stakeholder feedback).</t>
        </is>
      </c>
      <c r="C9" s="95" t="inlineStr">
        <is>
          <t>Some local success metrics are defined and periodically reviewed; evidence exists but is incomplete or inconsistently collected.</t>
        </is>
      </c>
      <c r="D9" s="95" t="inlineStr">
        <is>
          <t>Success metrics are vague or inconsistently tracked; evidence is largely anecdotal; limited use of data for improvement.</t>
        </is>
      </c>
      <c r="E9" s="95" t="inlineStr">
        <is>
          <t>No clear success metrics or monitoring routines; little/no usable evidence of implementation results.</t>
        </is>
      </c>
      <c r="F9" s="95" t="n"/>
      <c r="G9" s="95" t="n"/>
    </row>
    <row r="10" ht="43.5" customHeight="1" s="54">
      <c r="A10" s="95" t="inlineStr">
        <is>
          <t>3. Equity &amp; Accessibility</t>
        </is>
      </c>
      <c r="B10" s="95" t="inlineStr">
        <is>
          <t>Strong plan for EL/SPED access; explicitly supports equity and gap-closing</t>
        </is>
      </c>
      <c r="C10" s="95" t="inlineStr">
        <is>
          <t>Accessibility generally addressed; equity benefits noted</t>
        </is>
      </c>
      <c r="D10" s="95" t="inlineStr">
        <is>
          <t>Limited accessibility supports; equity impact unclear</t>
        </is>
      </c>
      <c r="E10" s="95" t="inlineStr">
        <is>
          <t>Excludes or overlooks diverse learners; equity not considered</t>
        </is>
      </c>
      <c r="F10" s="95" t="n"/>
      <c r="G10" s="95" t="n"/>
    </row>
    <row r="11" ht="29" customHeight="1" s="54">
      <c r="A11" s="95" t="inlineStr">
        <is>
          <t>4. Cost &amp; Resources</t>
        </is>
      </c>
      <c r="B11" s="95" t="inlineStr">
        <is>
          <t>Full cost breakdown; funding plan is sustainable; resources clearly identified</t>
        </is>
      </c>
      <c r="C11" s="95" t="inlineStr">
        <is>
          <t>Costs mostly clear; funding plan reasonable; resources identified</t>
        </is>
      </c>
      <c r="D11" s="95" t="inlineStr">
        <is>
          <t>Costs incomplete; funding uncertain; resources vague</t>
        </is>
      </c>
      <c r="E11" s="95" t="inlineStr">
        <is>
          <t>Costs not provided or unrealistic; no funding/resource plan</t>
        </is>
      </c>
      <c r="F11" s="95" t="n"/>
      <c r="G11" s="95" t="n"/>
    </row>
    <row r="12" ht="29" customHeight="1" s="54">
      <c r="A12" s="95" t="inlineStr">
        <is>
          <t>5. Training &amp; Support</t>
        </is>
      </c>
      <c r="B12" s="95" t="inlineStr">
        <is>
          <t>Training plan is high-quality, affordable, and realistic; strong ongoing support, annual plan to support new teachers and new program staff</t>
        </is>
      </c>
      <c r="C12" s="95" t="inlineStr">
        <is>
          <t>Training included; ongoing support available, consideration of on-going training needs</t>
        </is>
      </c>
      <c r="D12" s="95" t="inlineStr">
        <is>
          <t>Training unclear or limited; support insufficient, limited or no mention of on-going training plan</t>
        </is>
      </c>
      <c r="E12" s="95" t="inlineStr">
        <is>
          <t>No training plan; no support</t>
        </is>
      </c>
      <c r="F12" s="95" t="n"/>
      <c r="G12" s="95" t="n"/>
    </row>
    <row r="13" ht="29" customHeight="1" s="54">
      <c r="A13" s="95" t="inlineStr">
        <is>
          <t>6. Impact on Students &amp; Staff</t>
        </is>
      </c>
      <c r="B13" s="95" t="inlineStr">
        <is>
          <t>Clearly improves learning/culture; minimal disruption; workload manageable</t>
        </is>
      </c>
      <c r="C13" s="95" t="inlineStr">
        <is>
          <t>Positive impact expected; moderate adjustments needed</t>
        </is>
      </c>
      <c r="D13" s="95" t="inlineStr">
        <is>
          <t>Impact uncertain; may increase complexity/workload</t>
        </is>
      </c>
      <c r="E13" s="95" t="inlineStr">
        <is>
          <t>Likely negative impact; major disruption; adds complexity</t>
        </is>
      </c>
      <c r="F13" s="95" t="n"/>
      <c r="G13" s="95" t="n"/>
    </row>
    <row r="14" ht="29" customHeight="1" s="54">
      <c r="A14" s="95" t="inlineStr">
        <is>
          <t>7. Implementation Feasibility</t>
        </is>
      </c>
      <c r="B14" s="95" t="inlineStr">
        <is>
          <t>Clear timeline; roles defined; pilot plan included; monitoring tools identified</t>
        </is>
      </c>
      <c r="C14" s="95" t="inlineStr">
        <is>
          <t>Timeline and roles mostly clear; feasibility reasonable</t>
        </is>
      </c>
      <c r="D14" s="95" t="inlineStr">
        <is>
          <t>Timeline unclear; roles incomplete; pilot/monitoring weak</t>
        </is>
      </c>
      <c r="E14" s="95" t="inlineStr">
        <is>
          <t>Not feasible; no plan for rollout or accountability</t>
        </is>
      </c>
      <c r="F14" s="95" t="n"/>
      <c r="G14" s="95" t="n"/>
    </row>
    <row r="15" ht="58" customHeight="1" s="54">
      <c r="A15" s="95" t="inlineStr">
        <is>
          <t>8. Data &amp; Evaluation</t>
        </is>
      </c>
      <c r="B15" s="95" t="inlineStr">
        <is>
          <t>Strong evaluation plan with benchmarks, data cycle, and improvement plan</t>
        </is>
      </c>
      <c r="C15" s="95" t="inlineStr">
        <is>
          <t>Evaluation plan exists; metrics identified</t>
        </is>
      </c>
      <c r="D15" s="95" t="inlineStr">
        <is>
          <t>Evaluation vague; benchmarks missing</t>
        </is>
      </c>
      <c r="E15" s="95" t="inlineStr">
        <is>
          <t>No evaluation plan or metrics</t>
        </is>
      </c>
      <c r="F15" s="95" t="n"/>
      <c r="G15" s="95" t="n"/>
    </row>
    <row r="16" ht="29" customHeight="1" s="54">
      <c r="A16" s="95" t="inlineStr">
        <is>
          <t>9. Community &amp; Stakeholder Support</t>
        </is>
      </c>
      <c r="B16" s="95" t="inlineStr">
        <is>
          <t>Broad consultation; clear support; strong communication plan</t>
        </is>
      </c>
      <c r="C16" s="95" t="inlineStr">
        <is>
          <t>Some consultation; support mostly positive</t>
        </is>
      </c>
      <c r="D16" s="95" t="inlineStr">
        <is>
          <t>Minimal consultation; mixed support; plan unclear</t>
        </is>
      </c>
      <c r="E16" s="95" t="inlineStr">
        <is>
          <t>No stakeholder input; resistance likely; no comms plan</t>
        </is>
      </c>
      <c r="F16" s="95" t="n"/>
      <c r="G16" s="95" t="n"/>
    </row>
    <row r="17" ht="58" customHeight="1" s="54">
      <c r="A17" s="95" t="inlineStr">
        <is>
          <t>10. Sustainability</t>
        </is>
      </c>
      <c r="B17" s="95" t="inlineStr">
        <is>
          <t>Multi-year sustainability strong; integrates well with systems; adaptable, clear leadership and staff succession plan in place so that program can live far beyond curent leadership and staff.</t>
        </is>
      </c>
      <c r="C17" s="95" t="inlineStr">
        <is>
          <t>Sustainable with minor risks; reasonable integration, limited consideration or plans related to leadership or staff changes</t>
        </is>
      </c>
      <c r="D17" s="95" t="inlineStr">
        <is>
          <t>Sustainability uncertain; integration issues possible, limited information about how theme will withstand the test of time</t>
        </is>
      </c>
      <c r="E17" s="95" t="inlineStr">
        <is>
          <t>Not sustainable; disrupts systems; not adaptable, limited buy-in outside of team generating idea</t>
        </is>
      </c>
      <c r="F17" s="95" t="n"/>
      <c r="G17" s="95" t="n"/>
    </row>
    <row r="20">
      <c r="A20" t="inlineStr">
        <is>
          <t>Areas of Program Strengths</t>
        </is>
      </c>
      <c r="C20" t="inlineStr">
        <is>
          <t>Areas for Consideration/Refinement</t>
        </is>
      </c>
      <c r="E20" t="inlineStr">
        <is>
          <t>Next Steps or Recommendations</t>
        </is>
      </c>
    </row>
    <row r="35"/>
    <row r="37" ht="87" customHeight="1" s="54">
      <c r="A37" s="48" t="inlineStr">
        <is>
          <t>Use: ongoing / existing program annual review (descriptive). Optional scoring can be used for calibration only—use caution with numeric ratings for existing programs.</t>
        </is>
      </c>
    </row>
  </sheetData>
  <mergeCells count="2">
    <mergeCell ref="A1:E1"/>
    <mergeCell ref="A35:E35"/>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22" customWidth="1" style="54" min="1" max="1"/>
    <col width="70" customWidth="1" style="54" min="2" max="2"/>
    <col width="35" customWidth="1" style="54" min="3" max="3"/>
    <col width="24" customWidth="1" style="54" min="4" max="4"/>
    <col width="24" customWidth="1" style="54" min="5" max="5"/>
  </cols>
  <sheetData>
    <row r="1" ht="32" customHeight="1" s="54">
      <c r="A1" s="101" t="inlineStr">
        <is>
          <t>Existing Program Review – Interpretation Guide (Baseline + Annual Updates)</t>
        </is>
      </c>
    </row>
    <row r="2" ht="22" customHeight="1" s="54">
      <c r="A2" s="102" t="inlineStr">
        <is>
          <t>Purpose: implementation &amp; system alignment baseline that supports consistent annual updates (not a re-validation of program ‘worthiness’).</t>
        </is>
      </c>
    </row>
    <row r="4" ht="20" customHeight="1" s="54">
      <c r="A4" s="103" t="inlineStr">
        <is>
          <t>1) Scope (this cycle)</t>
        </is>
      </c>
    </row>
    <row r="5" ht="90" customHeight="1" s="54">
      <c r="A5" s="104" t="inlineStr">
        <is>
          <t>IN SCOPE (baseline review):
• Document current implementation (what is core vs variable across sites)
• Check system alignment (enrollment pathways, staffing/roles, PD/support, comms, resources)
• Verify local monitoring cadence (KPIs, data review rhythm, actions taken)
• Identify strengths and opportunities to strengthen sustainability &amp; coherence
OUT OF SCOPE (this cycle):
• Re-evaluating the research base/validity of established programs
• Re-opening budget/program continuation decisions</t>
        </is>
      </c>
    </row>
    <row r="6"/>
    <row r="8" ht="20" customHeight="1" s="54">
      <c r="A8" s="103" t="inlineStr">
        <is>
          <t>2) Three-lens model (how to interpret the QIs for existing programs)</t>
        </is>
      </c>
    </row>
    <row r="9">
      <c r="A9" s="99" t="inlineStr">
        <is>
          <t>Lens</t>
        </is>
      </c>
      <c r="B9" s="99" t="inlineStr">
        <is>
          <t>What we look for</t>
        </is>
      </c>
      <c r="C9" s="99" t="inlineStr">
        <is>
          <t>QI domains most associated</t>
        </is>
      </c>
      <c r="D9" s="99" t="inlineStr">
        <is>
          <t>Notes</t>
        </is>
      </c>
    </row>
    <row r="10" ht="58" customHeight="1" s="54">
      <c r="A10" s="105" t="inlineStr">
        <is>
          <t>Lens 1 – Implementation Definition &amp; Fidelity</t>
        </is>
      </c>
      <c r="B10" s="105" t="inlineStr">
        <is>
          <t>Clear program definition; what students/teachers experience; core components vs allowed local variation; signs of drift or inconsistency.</t>
        </is>
      </c>
      <c r="C10" s="105" t="inlineStr">
        <is>
          <t>6 Impact; 7 Feasibility; parts of 1 Alignment</t>
        </is>
      </c>
      <c r="D10" s="106" t="inlineStr"/>
      <c r="E10" s="107" t="n"/>
    </row>
    <row r="11" ht="58" customHeight="1" s="54">
      <c r="A11" s="108" t="inlineStr">
        <is>
          <t>Lens 2 – System Alignment &amp; Coherence</t>
        </is>
      </c>
      <c r="B11" s="108" t="inlineStr">
        <is>
          <t>How the program plugs into district/site systems: enrollment pathways; staffing/roles; PD/support; resources; stakeholder communication; coherence across sites.</t>
        </is>
      </c>
      <c r="C11" s="108" t="inlineStr">
        <is>
          <t>1 Alignment; 3 Equity; 4 Resources; 5 Training; 9 Stakeholder</t>
        </is>
      </c>
      <c r="D11" s="106" t="inlineStr"/>
      <c r="E11" s="107" t="n"/>
    </row>
    <row r="12" ht="58" customHeight="1" s="54">
      <c r="A12" s="105" t="inlineStr">
        <is>
          <t>Lens 3 – Continuous Improvement &amp; Sustainability</t>
        </is>
      </c>
      <c r="B12" s="105" t="inlineStr">
        <is>
          <t>Local definition of success + monitoring cadence; evidence is used to improve (expand/adjust supports); sustainability risks (funding/staffing stability; succession).</t>
        </is>
      </c>
      <c r="C12" s="105" t="inlineStr">
        <is>
          <t>8 Data &amp; Evaluation; 10 Sustainability; parts of 2 Evidence</t>
        </is>
      </c>
      <c r="D12" s="106" t="inlineStr"/>
      <c r="E12" s="107" t="n"/>
    </row>
    <row r="13" ht="20" customHeight="1" s="54">
      <c r="A13" s="103" t="inlineStr">
        <is>
          <t>3) Translation rules for two high-risk domains</t>
        </is>
      </c>
    </row>
    <row r="14" ht="90" customHeight="1" s="54">
      <c r="A14" s="104" t="inlineStr">
        <is>
          <t>Evidence &amp; Effectiveness (Domain 2) – For existing programs, interpret as LOCAL monitoring quality:
• ‘Research-based’ → program has a clear theory of action / model definition + required implementation inputs.
• ‘Proven results’ → local success metrics are defined and tracked; we see evidence of review/action.
• ‘Market demand’ → demand &amp; access signals for capacity planning and communication (not program ‘worth’).
Data &amp; Evaluation (Domain 8) – Treat ‘expand/close’ language as improvement triggers:
• When data show strong implementation and outcomes → consider scaling supports / clarifying coherence.
• When data show gaps → adjust supports, clarify model, strengthen training/resources, and monitor again.
• ‘Close’ is not the default; the baseline goal is to strengthen and sustain.</t>
        </is>
      </c>
    </row>
    <row r="15"/>
    <row r="17">
      <c r="A17" s="103" t="inlineStr">
        <is>
          <t>4) Evidence tiers + two-view reporting (Public Summary + Internal Annex)</t>
        </is>
      </c>
    </row>
    <row r="18" ht="95" customHeight="1" s="54">
      <c r="A18" s="104" t="inlineStr">
        <is>
          <t>Evidence tiers:
• Tier 1 (Core) – required for baseline and annual updates (implementation definition, system alignment, monitoring cadence, sustainability).
• Tier 2 (Support) – clarifies practice; helps calibrate across sites (samples, walkthrough notes, comms artifacts).
• Tier 3 (Context) – landscape signals and optional triangulation; informs future improvement priorities.
Reporting views:
• Public-facing 1-pager: program description + strengths + opportunities + next steps (public-safe).
• Internal annex: evidence index, site-by-site notes, gaps/requests, and optional scoring/maturity + confidence.</t>
        </is>
      </c>
    </row>
    <row r="19"/>
  </sheetData>
  <mergeCells count="13">
    <mergeCell ref="A4:E4"/>
    <mergeCell ref="D10:E10"/>
    <mergeCell ref="A2:E2"/>
    <mergeCell ref="D11:E11"/>
    <mergeCell ref="A18:E19"/>
    <mergeCell ref="A1:E1"/>
    <mergeCell ref="A14:E15"/>
    <mergeCell ref="A5:E6"/>
    <mergeCell ref="A8:E8"/>
    <mergeCell ref="A13:E13"/>
    <mergeCell ref="D9:E9"/>
    <mergeCell ref="A17:E17"/>
    <mergeCell ref="D12:E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8" customWidth="1" style="54" min="1" max="1"/>
    <col width="40" customWidth="1" style="54" min="2" max="2"/>
    <col width="18" customWidth="1" style="54" min="3" max="3"/>
    <col width="60" customWidth="1" style="54" min="4" max="4"/>
    <col width="2" customWidth="1" style="54" min="5" max="5"/>
    <col width="2" customWidth="1" style="54" min="6" max="6"/>
  </cols>
  <sheetData>
    <row r="1">
      <c r="A1" s="99" t="inlineStr">
        <is>
          <t>Pack item (core evidence)</t>
        </is>
      </c>
      <c r="B1" s="99" t="inlineStr">
        <is>
          <t>Why / what it answers</t>
        </is>
      </c>
      <c r="C1" s="99" t="inlineStr">
        <is>
          <t>QI domains / rubric link</t>
        </is>
      </c>
      <c r="D1" s="99" t="inlineStr">
        <is>
          <t>Typical owner</t>
        </is>
      </c>
      <c r="E1" s="99" t="inlineStr">
        <is>
          <t>Public-safe? (Y/N/Partial)</t>
        </is>
      </c>
      <c r="F1" s="99" t="inlineStr">
        <is>
          <t>Notes / program-specific examples</t>
        </is>
      </c>
    </row>
    <row r="2" ht="55" customHeight="1" s="54">
      <c r="A2" s="105" t="inlineStr">
        <is>
          <t>Program charter / model definition (non‑negotiables + allowable variation)</t>
        </is>
      </c>
      <c r="B2" s="105" t="inlineStr">
        <is>
          <t>Defines what ‘implementation’ means so sites can be compared fairly; supports coherence.</t>
        </is>
      </c>
      <c r="C2" s="105" t="inlineStr">
        <is>
          <t>QI 1,6,7; lenses 1–2</t>
        </is>
      </c>
      <c r="D2" s="105" t="inlineStr">
        <is>
          <t>Program lead / site admin</t>
        </is>
      </c>
      <c r="E2" s="105" t="inlineStr">
        <is>
          <t>Y</t>
        </is>
      </c>
      <c r="F2" s="105" t="inlineStr">
        <is>
          <t>E.g., MSA cohort model definition; STEAM instructional model definition.</t>
        </is>
      </c>
    </row>
    <row r="3" ht="55" customHeight="1" s="54">
      <c r="A3" s="109" t="inlineStr">
        <is>
          <t>Program structure type + enrollment pathway (dedicated / schoolwide / within-school; how students access)</t>
        </is>
      </c>
      <c r="B3" s="109" t="inlineStr">
        <is>
          <t>Clarifies who participates and how; flags barriers and inconsistent processes.</t>
        </is>
      </c>
      <c r="C3" s="109" t="inlineStr">
        <is>
          <t>QI 1,3,7,9; lens 2</t>
        </is>
      </c>
      <c r="D3" s="109" t="inlineStr">
        <is>
          <t>Enrollment + program lead</t>
        </is>
      </c>
      <c r="E3" s="109" t="inlineStr">
        <is>
          <t>Partial</t>
        </is>
      </c>
      <c r="F3" s="109" t="inlineStr">
        <is>
          <t>Include application, criteria, timelines; boundary/open-enrollment notes.</t>
        </is>
      </c>
    </row>
    <row r="4" ht="55" customHeight="1" s="54">
      <c r="A4" s="105" t="inlineStr">
        <is>
          <t>Roles &amp; responsibilities (RACI) + staffing model</t>
        </is>
      </c>
      <c r="B4" s="105" t="inlineStr">
        <is>
          <t>Ensures the program is supported by defined roles; reduces fragility.</t>
        </is>
      </c>
      <c r="C4" s="105" t="inlineStr">
        <is>
          <t>QI 4,5,7,10; lens 2</t>
        </is>
      </c>
      <c r="D4" s="105" t="inlineStr">
        <is>
          <t>Site admin / HR / program lead</t>
        </is>
      </c>
      <c r="E4" s="105" t="inlineStr">
        <is>
          <t>N</t>
        </is>
      </c>
      <c r="F4" s="105" t="inlineStr">
        <is>
          <t>Coordinator roles, Innovation Center staffing, lead teachers, counseling workflow.</t>
        </is>
      </c>
    </row>
    <row r="5" ht="55" customHeight="1" s="54">
      <c r="A5" s="109" t="inlineStr">
        <is>
          <t>Schedule/operational model (how it works day-to-day)</t>
        </is>
      </c>
      <c r="B5" s="109" t="inlineStr">
        <is>
          <t>Makes implementation visible and comparable across sites.</t>
        </is>
      </c>
      <c r="C5" s="109" t="inlineStr">
        <is>
          <t>QI 6,7; lens 1</t>
        </is>
      </c>
      <c r="D5" s="109" t="inlineStr">
        <is>
          <t>Site admin / counseling</t>
        </is>
      </c>
      <c r="E5" s="109" t="inlineStr">
        <is>
          <t>Partial</t>
        </is>
      </c>
      <c r="F5" s="109" t="inlineStr">
        <is>
          <t>Master schedule sample; course sequences; lab time; pull-out vs embedded.</t>
        </is>
      </c>
    </row>
    <row r="6" ht="55" customHeight="1" s="54">
      <c r="A6" s="105" t="inlineStr">
        <is>
          <t>Professional learning &amp; ongoing support plan (PD, coaching, onboarding)</t>
        </is>
      </c>
      <c r="B6" s="105" t="inlineStr">
        <is>
          <t>Shows how the district supports quality implementation and coherence.</t>
        </is>
      </c>
      <c r="C6" s="105" t="inlineStr">
        <is>
          <t>QI 5,7,10; lens 2</t>
        </is>
      </c>
      <c r="D6" s="105" t="inlineStr">
        <is>
          <t>Curriculum/PD</t>
        </is>
      </c>
      <c r="E6" s="105" t="inlineStr">
        <is>
          <t>Partial</t>
        </is>
      </c>
      <c r="F6" s="105" t="inlineStr">
        <is>
          <t>Training requirements, cadence, support tickets/updates.</t>
        </is>
      </c>
    </row>
    <row r="7" ht="55" customHeight="1" s="54">
      <c r="A7" s="109" t="inlineStr">
        <is>
          <t>Resource model (core materials, facilities, tech; refresh/maintenance)</t>
        </is>
      </c>
      <c r="B7" s="109" t="inlineStr">
        <is>
          <t>Supports sustainability and equity (consistent access to resources).</t>
        </is>
      </c>
      <c r="C7" s="109" t="inlineStr">
        <is>
          <t>QI 4,10; lens 2–3</t>
        </is>
      </c>
      <c r="D7" s="109" t="inlineStr">
        <is>
          <t>Site admin / finance / IT</t>
        </is>
      </c>
      <c r="E7" s="109" t="inlineStr">
        <is>
          <t>N</t>
        </is>
      </c>
      <c r="F7" s="109" t="inlineStr">
        <is>
          <t>Consumables; lab/makerspace refresh cycles; licensing.</t>
        </is>
      </c>
    </row>
    <row r="8" ht="55" customHeight="1" s="54">
      <c r="A8" s="105" t="inlineStr">
        <is>
          <t>Local success metrics (KPIs) + definitions</t>
        </is>
      </c>
      <c r="B8" s="105" t="inlineStr">
        <is>
          <t>Reframes ‘effectiveness’ for existing programs: clarity of outcomes + how measured.</t>
        </is>
      </c>
      <c r="C8" s="105" t="inlineStr">
        <is>
          <t>QI 2,8; lens 3</t>
        </is>
      </c>
      <c r="D8" s="105" t="inlineStr">
        <is>
          <t>Assessment / program lead</t>
        </is>
      </c>
      <c r="E8" s="105" t="inlineStr">
        <is>
          <t>Partial</t>
        </is>
      </c>
      <c r="F8" s="105" t="inlineStr">
        <is>
          <t>3–6 KPIs max; include equity lens.</t>
        </is>
      </c>
    </row>
    <row r="9" ht="55" customHeight="1" s="54">
      <c r="A9" s="109" t="inlineStr">
        <is>
          <t>Data review cadence + actions taken (evidence of continuous improvement loop)</t>
        </is>
      </c>
      <c r="B9" s="109" t="inlineStr">
        <is>
          <t>Confirms that data are reviewed and used to adjust supports/implementation.</t>
        </is>
      </c>
      <c r="C9" s="109" t="inlineStr">
        <is>
          <t>QI 8; lens 3</t>
        </is>
      </c>
      <c r="D9" s="109" t="inlineStr">
        <is>
          <t>Program lead / site admin</t>
        </is>
      </c>
      <c r="E9" s="109" t="inlineStr">
        <is>
          <t>Partial</t>
        </is>
      </c>
      <c r="F9" s="109" t="inlineStr">
        <is>
          <t>Meeting notes, dashboards, action log; “expand/adjust supports” triggers.</t>
        </is>
      </c>
    </row>
    <row r="10" ht="55" customHeight="1" s="54">
      <c r="A10" s="105" t="inlineStr">
        <is>
          <t>Equity &amp; accessibility implementation evidence</t>
        </is>
      </c>
      <c r="B10" s="105" t="inlineStr">
        <is>
          <t>Shows how diverse learners access the program and are supported.</t>
        </is>
      </c>
      <c r="C10" s="105" t="inlineStr">
        <is>
          <t>QI 3; lens 2</t>
        </is>
      </c>
      <c r="D10" s="105" t="inlineStr">
        <is>
          <t>SpEd/EL + site</t>
        </is>
      </c>
      <c r="E10" s="105" t="inlineStr">
        <is>
          <t>N</t>
        </is>
      </c>
      <c r="F10" s="105" t="inlineStr">
        <is>
          <t>Accommodations, access supports, participation by subgroup (aggregated).</t>
        </is>
      </c>
    </row>
    <row r="11" ht="55" customHeight="1" s="54">
      <c r="A11" s="109" t="inlineStr">
        <is>
          <t>Stakeholder communication &amp; feedback loop (families/staff/students/partners)</t>
        </is>
      </c>
      <c r="B11" s="109" t="inlineStr">
        <is>
          <t>Aligns to coherence and sustainability; validates clarity of program specifics.</t>
        </is>
      </c>
      <c r="C11" s="109" t="inlineStr">
        <is>
          <t>QI 9,10; lens 2–3</t>
        </is>
      </c>
      <c r="D11" s="109" t="inlineStr">
        <is>
          <t>Comms / site admin</t>
        </is>
      </c>
      <c r="E11" s="109" t="inlineStr">
        <is>
          <t>Y/Partial</t>
        </is>
      </c>
      <c r="F11" s="109" t="inlineStr">
        <is>
          <t>Family-facing materials are public-safe; internal feedback details may not be.</t>
        </is>
      </c>
    </row>
    <row r="13" ht="20" customHeight="1" s="54">
      <c r="A13" s="103" t="inlineStr">
        <is>
          <t>Program-specific add-ons (examples) – used when needed to tell the implementation story</t>
        </is>
      </c>
    </row>
    <row r="14">
      <c r="A14" s="99" t="inlineStr">
        <is>
          <t>Program</t>
        </is>
      </c>
      <c r="B14" s="99" t="inlineStr">
        <is>
          <t>Add-on evidence example</t>
        </is>
      </c>
      <c r="C14" s="99" t="inlineStr">
        <is>
          <t>QI link</t>
        </is>
      </c>
      <c r="D14" s="99" t="inlineStr">
        <is>
          <t>Notes</t>
        </is>
      </c>
    </row>
    <row r="15" ht="42" customHeight="1" s="54">
      <c r="A15" s="109" t="inlineStr">
        <is>
          <t>MSA</t>
        </is>
      </c>
      <c r="B15" s="109" t="inlineStr">
        <is>
          <t>Recognition levels requirements; competition/field experience expectations; Innovation Center usage logs (aggregated)</t>
        </is>
      </c>
      <c r="C15" s="109" t="inlineStr">
        <is>
          <t>QI 6,8,10</t>
        </is>
      </c>
      <c r="D15" s="109" t="inlineStr">
        <is>
          <t>Useful for coherence across Saguaro vs Mohave.</t>
        </is>
      </c>
      <c r="E15" s="110" t="n"/>
      <c r="F15" s="107" t="n"/>
    </row>
    <row r="16" ht="42" customHeight="1" s="54">
      <c r="A16" s="105" t="inlineStr">
        <is>
          <t>STEAM/STEM Certified</t>
        </is>
      </c>
      <c r="B16" s="105" t="inlineStr">
        <is>
          <t>Cognia STEM certification report summary; evidence artifacts index used for certification</t>
        </is>
      </c>
      <c r="C16" s="105" t="inlineStr">
        <is>
          <t>QI 7,8,10</t>
        </is>
      </c>
      <c r="D16" s="105" t="inlineStr">
        <is>
          <t>Treat as implementation quality signal and maintenance expectations.</t>
        </is>
      </c>
      <c r="E16" s="110" t="n"/>
      <c r="F16" s="107" t="n"/>
    </row>
    <row r="17" ht="42" customHeight="1" s="54">
      <c r="A17" s="109" t="inlineStr">
        <is>
          <t>IB</t>
        </is>
      </c>
      <c r="B17" s="109" t="inlineStr">
        <is>
          <t>IB authorization/verification cycle artifacts; teacher training compliance records</t>
        </is>
      </c>
      <c r="C17" s="109" t="inlineStr">
        <is>
          <t>QI 5,7,10</t>
        </is>
      </c>
      <c r="D17" s="109" t="inlineStr">
        <is>
          <t>IB already has periodic review cycles—use as existing evidence.</t>
        </is>
      </c>
      <c r="E17" s="110" t="n"/>
      <c r="F17" s="107" t="n"/>
    </row>
    <row r="18" ht="42" customHeight="1" s="54">
      <c r="A18" s="105" t="inlineStr">
        <is>
          <t>DLI</t>
        </is>
      </c>
      <c r="B18" s="105" t="inlineStr">
        <is>
          <t>Language allocation model artifacts; biliteracy pathway artifacts; proficiency assessment plan</t>
        </is>
      </c>
      <c r="C18" s="105" t="inlineStr">
        <is>
          <t>QI 6,8,10</t>
        </is>
      </c>
      <c r="D18" s="105" t="inlineStr">
        <is>
          <t>Focus on coherence across the pathway sites.</t>
        </is>
      </c>
      <c r="E18" s="110" t="n"/>
      <c r="F18" s="107" t="n"/>
    </row>
    <row r="19" ht="42" customHeight="1" s="54">
      <c r="A19" s="109" t="inlineStr">
        <is>
          <t>AVID</t>
        </is>
      </c>
      <c r="B19" s="109" t="inlineStr">
        <is>
          <t>Site implementation plan; WICOR walkthrough tool; tutor program structure</t>
        </is>
      </c>
      <c r="C19" s="109" t="inlineStr">
        <is>
          <t>QI 5,7,8</t>
        </is>
      </c>
      <c r="D19" s="109" t="inlineStr">
        <is>
          <t>Focus on fidelity across sites and staff support.</t>
        </is>
      </c>
      <c r="E19" s="110" t="n"/>
      <c r="F19" s="107" t="n"/>
    </row>
    <row r="20" ht="42" customHeight="1" s="54">
      <c r="A20" s="105" t="inlineStr">
        <is>
          <t>Traditional</t>
        </is>
      </c>
      <c r="B20" s="105" t="inlineStr">
        <is>
          <t>Cornerstone fidelity checks; curriculum implementation artifacts</t>
        </is>
      </c>
      <c r="C20" s="105" t="inlineStr">
        <is>
          <t>QI 6,7,10</t>
        </is>
      </c>
      <c r="D20" s="105" t="inlineStr">
        <is>
          <t>Focus on consistency and support.</t>
        </is>
      </c>
      <c r="E20" s="110" t="n"/>
      <c r="F20" s="107" t="n"/>
    </row>
  </sheetData>
  <mergeCells count="7">
    <mergeCell ref="D19:F19"/>
    <mergeCell ref="A13:F13"/>
    <mergeCell ref="D18:F18"/>
    <mergeCell ref="D17:F17"/>
    <mergeCell ref="D20:F20"/>
    <mergeCell ref="D15:F15"/>
    <mergeCell ref="D16:F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2" customWidth="1" style="54" min="1" max="1"/>
    <col width="46" customWidth="1" style="54" min="2" max="2"/>
    <col width="20" customWidth="1" style="54" min="3" max="3"/>
    <col width="18" customWidth="1" style="54" min="4" max="4"/>
    <col width="6" customWidth="1" style="54" min="5" max="5"/>
    <col width="12" customWidth="1" style="54" min="6" max="6"/>
    <col width="28" customWidth="1" style="54" min="7" max="7"/>
    <col width="40" customWidth="1" style="54" min="8" max="8"/>
  </cols>
  <sheetData>
    <row r="1">
      <c r="A1" s="99" t="inlineStr">
        <is>
          <t>Program</t>
        </is>
      </c>
      <c r="B1" s="99" t="inlineStr">
        <is>
          <t>Evidence request (what we need)</t>
        </is>
      </c>
      <c r="C1" s="99" t="inlineStr">
        <is>
          <t>QI / rubric link</t>
        </is>
      </c>
      <c r="D1" s="99" t="inlineStr">
        <is>
          <t>Lens</t>
        </is>
      </c>
      <c r="E1" s="99" t="inlineStr">
        <is>
          <t>Tier</t>
        </is>
      </c>
      <c r="F1" s="99" t="inlineStr">
        <is>
          <t>Public-safe?</t>
        </is>
      </c>
      <c r="G1" s="99" t="inlineStr">
        <is>
          <t>Likely owner / where to source</t>
        </is>
      </c>
      <c r="H1" s="99" t="inlineStr">
        <is>
          <t>Rationale / how used</t>
        </is>
      </c>
    </row>
    <row r="2" ht="45" customHeight="1" s="54">
      <c r="A2" s="105" t="inlineStr">
        <is>
          <t>MSA (Saguaro &amp; Mohave)</t>
        </is>
      </c>
      <c r="B2" s="105" t="inlineStr">
        <is>
          <t>Program charter: core components + allowable variation across sites</t>
        </is>
      </c>
      <c r="C2" s="105" t="inlineStr">
        <is>
          <t>QI 1,6,7</t>
        </is>
      </c>
      <c r="D2" s="105" t="inlineStr">
        <is>
          <t>Lens 1/2</t>
        </is>
      </c>
      <c r="E2" s="105" t="n">
        <v>1</v>
      </c>
      <c r="F2" s="105" t="inlineStr">
        <is>
          <t>Y</t>
        </is>
      </c>
      <c r="G2" s="105" t="inlineStr">
        <is>
          <t>Program lead/site admin</t>
        </is>
      </c>
      <c r="H2" s="105" t="inlineStr">
        <is>
          <t>Defines baseline implementation and coherence across sites.</t>
        </is>
      </c>
    </row>
    <row r="3" ht="45" customHeight="1" s="54">
      <c r="A3" s="109" t="inlineStr">
        <is>
          <t>MSA (Saguaro &amp; Mohave)</t>
        </is>
      </c>
      <c r="B3" s="109" t="inlineStr">
        <is>
          <t>Enrollment &amp; participation by grade + subgroup (aggregated)</t>
        </is>
      </c>
      <c r="C3" s="109" t="inlineStr">
        <is>
          <t>QI 3,8</t>
        </is>
      </c>
      <c r="D3" s="109" t="inlineStr">
        <is>
          <t>Lens 2/3</t>
        </is>
      </c>
      <c r="E3" s="109" t="n">
        <v>1</v>
      </c>
      <c r="F3" s="109" t="inlineStr">
        <is>
          <t>Partial</t>
        </is>
      </c>
      <c r="G3" s="109" t="inlineStr">
        <is>
          <t>Enrollment/Data</t>
        </is>
      </c>
      <c r="H3" s="109" t="inlineStr">
        <is>
          <t>Equity/access lens; capacity planning; annual update.</t>
        </is>
      </c>
    </row>
    <row r="4" ht="45" customHeight="1" s="54">
      <c r="A4" s="105" t="inlineStr">
        <is>
          <t>MSA (Saguaro &amp; Mohave)</t>
        </is>
      </c>
      <c r="B4" s="105" t="inlineStr">
        <is>
          <t>Staffing/RACI + coordinator/counselor workflow (incl. Innovation Center)</t>
        </is>
      </c>
      <c r="C4" s="105" t="inlineStr">
        <is>
          <t>QI 4,5,7,10</t>
        </is>
      </c>
      <c r="D4" s="105" t="inlineStr">
        <is>
          <t>Lens 2</t>
        </is>
      </c>
      <c r="E4" s="105" t="n">
        <v>1</v>
      </c>
      <c r="F4" s="105" t="inlineStr">
        <is>
          <t>N</t>
        </is>
      </c>
      <c r="G4" s="105" t="inlineStr">
        <is>
          <t>Site admin/HR</t>
        </is>
      </c>
      <c r="H4" s="105" t="inlineStr">
        <is>
          <t>Sustainability and coherence; identifies single points of failure.</t>
        </is>
      </c>
    </row>
    <row r="5" ht="45" customHeight="1" s="54">
      <c r="A5" s="109" t="inlineStr">
        <is>
          <t>MSA (Saguaro &amp; Mohave)</t>
        </is>
      </c>
      <c r="B5" s="109" t="inlineStr">
        <is>
          <t>PD/support plan for teachers + onboarding expectations</t>
        </is>
      </c>
      <c r="C5" s="109" t="inlineStr">
        <is>
          <t>QI 5,7</t>
        </is>
      </c>
      <c r="D5" s="109" t="inlineStr">
        <is>
          <t>Lens 2</t>
        </is>
      </c>
      <c r="E5" s="109" t="n">
        <v>1</v>
      </c>
      <c r="F5" s="109" t="inlineStr">
        <is>
          <t>Partial</t>
        </is>
      </c>
      <c r="G5" s="109" t="inlineStr">
        <is>
          <t>Curriculum/PD</t>
        </is>
      </c>
      <c r="H5" s="109" t="inlineStr">
        <is>
          <t>Implementation support and consistency.</t>
        </is>
      </c>
    </row>
    <row r="6" ht="45" customHeight="1" s="54">
      <c r="A6" s="105" t="inlineStr">
        <is>
          <t>MSA (Saguaro &amp; Mohave)</t>
        </is>
      </c>
      <c r="B6" s="105" t="inlineStr">
        <is>
          <t>Annual KPI set + cadence (e.g., cohort persistence, recognition attainment, field experiences)</t>
        </is>
      </c>
      <c r="C6" s="105" t="inlineStr">
        <is>
          <t>QI 2,8</t>
        </is>
      </c>
      <c r="D6" s="105" t="inlineStr">
        <is>
          <t>Lens 3</t>
        </is>
      </c>
      <c r="E6" s="105" t="n">
        <v>1</v>
      </c>
      <c r="F6" s="105" t="inlineStr">
        <is>
          <t>Partial</t>
        </is>
      </c>
      <c r="G6" s="105" t="inlineStr">
        <is>
          <t>Program lead/Data</t>
        </is>
      </c>
      <c r="H6" s="105" t="inlineStr">
        <is>
          <t>Reframes ‘effectiveness’ as local monitoring + improvement.</t>
        </is>
      </c>
    </row>
    <row r="7" ht="45" customHeight="1" s="54">
      <c r="A7" s="109" t="inlineStr">
        <is>
          <t>STEAM/STEM (Laguna &amp; Navajo)</t>
        </is>
      </c>
      <c r="B7" s="109" t="inlineStr">
        <is>
          <t>Cognia STEM certification report summary/scores (site-level)</t>
        </is>
      </c>
      <c r="C7" s="109" t="inlineStr">
        <is>
          <t>QI 7,8,10</t>
        </is>
      </c>
      <c r="D7" s="109" t="inlineStr">
        <is>
          <t>Lens 3</t>
        </is>
      </c>
      <c r="E7" s="109" t="n">
        <v>1</v>
      </c>
      <c r="F7" s="109" t="inlineStr">
        <is>
          <t>Partial</t>
        </is>
      </c>
      <c r="G7" s="109" t="inlineStr">
        <is>
          <t>Site admin/Program lead</t>
        </is>
      </c>
      <c r="H7" s="109" t="inlineStr">
        <is>
          <t>Implementation baseline + expectations for maintenance.</t>
        </is>
      </c>
    </row>
    <row r="8" ht="45" customHeight="1" s="54">
      <c r="A8" s="105" t="inlineStr">
        <is>
          <t>STEAM/STEM (Laguna &amp; Navajo)</t>
        </is>
      </c>
      <c r="B8" s="105" t="inlineStr">
        <is>
          <t>Defined STEAM instructional model (core practices) + evidence of consistency</t>
        </is>
      </c>
      <c r="C8" s="105" t="inlineStr">
        <is>
          <t>QI 6,7</t>
        </is>
      </c>
      <c r="D8" s="105" t="inlineStr">
        <is>
          <t>Lens 1</t>
        </is>
      </c>
      <c r="E8" s="105" t="n">
        <v>1</v>
      </c>
      <c r="F8" s="105" t="inlineStr">
        <is>
          <t>Y/Partial</t>
        </is>
      </c>
      <c r="G8" s="105" t="inlineStr">
        <is>
          <t>Site admin/Lead teachers</t>
        </is>
      </c>
      <c r="H8" s="105" t="inlineStr">
        <is>
          <t>Clarifies what is expected in classrooms; coherence across sites.</t>
        </is>
      </c>
    </row>
    <row r="9" ht="45" customHeight="1" s="54">
      <c r="A9" s="109" t="inlineStr">
        <is>
          <t>STEAM/STEM (Laguna &amp; Navajo)</t>
        </is>
      </c>
      <c r="B9" s="109" t="inlineStr">
        <is>
          <t>PD/support + resource refresh/maintenance plan (labs/makerspaces)</t>
        </is>
      </c>
      <c r="C9" s="109" t="inlineStr">
        <is>
          <t>QI 4,5,10</t>
        </is>
      </c>
      <c r="D9" s="109" t="inlineStr">
        <is>
          <t>Lens 2/3</t>
        </is>
      </c>
      <c r="E9" s="109" t="n">
        <v>1</v>
      </c>
      <c r="F9" s="109" t="inlineStr">
        <is>
          <t>N</t>
        </is>
      </c>
      <c r="G9" s="109" t="inlineStr">
        <is>
          <t>Site admin/Finance</t>
        </is>
      </c>
      <c r="H9" s="109" t="inlineStr">
        <is>
          <t>Sustainability of equipment-heavy programming.</t>
        </is>
      </c>
    </row>
    <row r="10" ht="45" customHeight="1" s="54">
      <c r="A10" s="105" t="inlineStr">
        <is>
          <t>STEAM/STEM (Laguna &amp; Navajo)</t>
        </is>
      </c>
      <c r="B10" s="105" t="inlineStr">
        <is>
          <t>Student access/participation by subgroup + supports for EL/SPED (aggregated)</t>
        </is>
      </c>
      <c r="C10" s="105" t="inlineStr">
        <is>
          <t>QI 3</t>
        </is>
      </c>
      <c r="D10" s="105" t="inlineStr">
        <is>
          <t>Lens 2</t>
        </is>
      </c>
      <c r="E10" s="105" t="n">
        <v>1</v>
      </c>
      <c r="F10" s="105" t="inlineStr">
        <is>
          <t>N/Partial</t>
        </is>
      </c>
      <c r="G10" s="105" t="inlineStr">
        <is>
          <t>Site/SpEd/EL</t>
        </is>
      </c>
      <c r="H10" s="105" t="inlineStr">
        <is>
          <t>Equity and accessibility baseline.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0"/>
  <sheetViews>
    <sheetView showGridLines="0" zoomScale="85" zoomScaleNormal="85" workbookViewId="0">
      <pane xSplit="1" ySplit="1" topLeftCell="B2" activePane="bottomRight" state="frozen"/>
      <selection pane="topRight" activeCell="B1" sqref="B1"/>
      <selection pane="bottomLeft" activeCell="A2" sqref="A2"/>
      <selection pane="bottomRight" activeCell="D4" sqref="D4"/>
    </sheetView>
  </sheetViews>
  <sheetFormatPr baseColWidth="8" defaultRowHeight="14.5"/>
  <cols>
    <col width="16" customWidth="1" style="54" min="1" max="1"/>
    <col width="30" customWidth="1" style="54" min="2" max="2"/>
    <col width="52" customWidth="1" style="54" min="3" max="3"/>
    <col width="32" customWidth="1" style="54" min="4" max="4"/>
    <col width="18" customWidth="1" style="54" min="5" max="5"/>
    <col width="16" customWidth="1" style="54" min="6" max="6"/>
    <col width="26.4" customWidth="1" style="54" min="7" max="7"/>
    <col width="39.6" customWidth="1" style="54" min="8" max="8"/>
    <col width="40" customWidth="1" style="54" min="9" max="9"/>
  </cols>
  <sheetData>
    <row r="1" ht="43.5" customHeight="1" s="54">
      <c r="A1" s="99" t="inlineStr">
        <is>
          <t>Evidence ID</t>
        </is>
      </c>
      <c r="B1" s="99" t="inlineStr">
        <is>
          <t>Evidence artifact</t>
        </is>
      </c>
      <c r="C1" s="99" t="inlineStr">
        <is>
          <t>Description</t>
        </is>
      </c>
      <c r="D1" s="99" t="inlineStr">
        <is>
          <t>Where to find / likely sources</t>
        </is>
      </c>
      <c r="E1" s="99" t="inlineStr">
        <is>
          <t>Confidentiality</t>
        </is>
      </c>
      <c r="F1" s="99" t="inlineStr">
        <is>
          <t>Notes / program applicability</t>
        </is>
      </c>
      <c r="G1" s="99" t="inlineStr">
        <is>
          <t>Lens (Existing review)</t>
        </is>
      </c>
      <c r="H1" s="99" t="inlineStr">
        <is>
          <t>Tier (1=Core,2=Support,3=Context)</t>
        </is>
      </c>
      <c r="I1" s="99" t="inlineStr">
        <is>
          <t>Public-safe summary? (Y/N/Partial)</t>
        </is>
      </c>
    </row>
    <row r="2" ht="43.5" customHeight="1" s="54">
      <c r="A2" s="5" t="inlineStr">
        <is>
          <t>E01</t>
        </is>
      </c>
      <c r="B2" s="5" t="inlineStr">
        <is>
          <t>Program overview / charter</t>
        </is>
      </c>
      <c r="C2" s="5" t="inlineStr">
        <is>
          <t>One-page description of program purpose, model, core components, target students, and intended outcomes.</t>
        </is>
      </c>
      <c r="D2" s="5" t="inlineStr">
        <is>
          <t>SUSD program page; school site page; program handbook; board/committee docs</t>
        </is>
      </c>
      <c r="E2" s="5" t="inlineStr">
        <is>
          <t>Public/Internal</t>
        </is>
      </c>
      <c r="F2" s="5" t="inlineStr">
        <is>
          <t>Core artifact for orientation.</t>
        </is>
      </c>
      <c r="G2" s="100" t="n"/>
      <c r="H2" s="100" t="n"/>
      <c r="I2" s="100" t="inlineStr">
        <is>
          <t>Y</t>
        </is>
      </c>
    </row>
    <row r="3" ht="43.5" customHeight="1" s="54">
      <c r="A3" s="5" t="inlineStr">
        <is>
          <t>E02</t>
        </is>
      </c>
      <c r="B3" s="5" t="inlineStr">
        <is>
          <t>Mission/strategic alignment crosswalk</t>
        </is>
      </c>
      <c r="C3" s="5" t="inlineStr">
        <is>
          <t>Explicit mapping of program goals to district/school mission, vision, and strategic goals (and/or School Improvement Plan priorities).</t>
        </is>
      </c>
      <c r="D3" s="5" t="inlineStr">
        <is>
          <t>District strategic plan; school improvement plan; program proposal; site admin notes</t>
        </is>
      </c>
      <c r="E3" s="5" t="inlineStr">
        <is>
          <t>Internal</t>
        </is>
      </c>
      <c r="F3" s="5" t="inlineStr">
        <is>
          <t>Could be a 1-page crosswalk or slide.</t>
        </is>
      </c>
      <c r="G3" s="100" t="n"/>
      <c r="H3" s="100" t="n"/>
      <c r="I3" s="100" t="inlineStr">
        <is>
          <t>Partial</t>
        </is>
      </c>
    </row>
    <row r="4" ht="58" customHeight="1" s="54">
      <c r="A4" s="5" t="inlineStr">
        <is>
          <t>E03</t>
        </is>
      </c>
      <c r="B4" s="5" t="inlineStr">
        <is>
          <t>Standards &amp; curriculum alignment map</t>
        </is>
      </c>
      <c r="C4" s="5" t="inlineStr">
        <is>
          <t>Document showing how program curriculum/instruction aligns to Arizona standards (and any national/program standards) incl. pacing, course sequences.</t>
        </is>
      </c>
      <c r="D4" s="5" t="inlineStr">
        <is>
          <t>Curriculum dept; course catalogs; unit plans; provider frameworks</t>
        </is>
      </c>
      <c r="E4" s="5" t="inlineStr">
        <is>
          <t>Internal</t>
        </is>
      </c>
      <c r="F4" s="5" t="inlineStr">
        <is>
          <t>For IB/DLI also include program frameworks.</t>
        </is>
      </c>
      <c r="G4" s="100" t="n"/>
      <c r="H4" s="100" t="n"/>
      <c r="I4" s="100" t="inlineStr">
        <is>
          <t>Partial</t>
        </is>
      </c>
    </row>
    <row r="5" ht="43.5" customHeight="1" s="54">
      <c r="A5" s="5" t="inlineStr">
        <is>
          <t>E04</t>
        </is>
      </c>
      <c r="B5" s="5" t="inlineStr">
        <is>
          <t>Needs assessment / problem statement with data</t>
        </is>
      </c>
      <c r="C5" s="5" t="inlineStr">
        <is>
          <t>Evidence of unmet need: achievement data, access gaps, family interest, capacity constraints, or strategic rationale.</t>
        </is>
      </c>
      <c r="D5" s="5" t="inlineStr">
        <is>
          <t>District assessment dashboards; enrollment trends; surveys; SIP needs assessment</t>
        </is>
      </c>
      <c r="E5" s="5" t="inlineStr">
        <is>
          <t>Internal</t>
        </is>
      </c>
      <c r="F5" s="5" t="inlineStr">
        <is>
          <t>Should be data-backed, not anecdotal.</t>
        </is>
      </c>
      <c r="G5" s="100" t="n"/>
      <c r="H5" s="100" t="n"/>
      <c r="I5" s="100" t="inlineStr">
        <is>
          <t>Partial</t>
        </is>
      </c>
    </row>
    <row r="6" ht="43.5" customHeight="1" s="54">
      <c r="A6" s="5" t="inlineStr">
        <is>
          <t>E05</t>
        </is>
      </c>
      <c r="B6" s="5" t="inlineStr">
        <is>
          <t>Outcomes &amp; logic model (SMART goals)</t>
        </is>
      </c>
      <c r="C6" s="5" t="inlineStr">
        <is>
          <t>Defined outcomes and success criteria (inputs→activities→outputs→outcomes), with measurable targets and timelines.</t>
        </is>
      </c>
      <c r="D6" s="5" t="inlineStr">
        <is>
          <t>Program plan; SIP; grant proposal; logic model doc</t>
        </is>
      </c>
      <c r="E6" s="5" t="inlineStr">
        <is>
          <t>Internal</t>
        </is>
      </c>
      <c r="F6" s="5" t="inlineStr">
        <is>
          <t>Helps avoid 'activity-only' descriptions.</t>
        </is>
      </c>
      <c r="G6" s="100" t="n"/>
      <c r="H6" s="100" t="n"/>
      <c r="I6" s="100" t="inlineStr">
        <is>
          <t>Partial</t>
        </is>
      </c>
    </row>
    <row r="7" ht="43.5" customHeight="1" s="54">
      <c r="A7" s="5" t="inlineStr">
        <is>
          <t>E06</t>
        </is>
      </c>
      <c r="B7" s="5" t="inlineStr">
        <is>
          <t>Program landscape / duplication analysis</t>
        </is>
      </c>
      <c r="C7" s="5" t="inlineStr">
        <is>
          <t>Inventory of similar programs/services in SUSD and how this program differs or complements.</t>
        </is>
      </c>
      <c r="D7" s="5" t="inlineStr">
        <is>
          <t>Program office; school choice/enrollment docs; C&amp;I inventory</t>
        </is>
      </c>
      <c r="E7" s="5" t="inlineStr">
        <is>
          <t>Internal</t>
        </is>
      </c>
      <c r="F7" s="5" t="inlineStr">
        <is>
          <t>Focus on differentiation + value-add.</t>
        </is>
      </c>
      <c r="G7" s="100" t="n"/>
      <c r="H7" s="100" t="n"/>
      <c r="I7" s="100" t="inlineStr">
        <is>
          <t>Partial</t>
        </is>
      </c>
    </row>
    <row r="8" ht="58" customHeight="1" s="54">
      <c r="A8" s="5" t="inlineStr">
        <is>
          <t>E07</t>
        </is>
      </c>
      <c r="B8" s="5" t="inlineStr">
        <is>
          <t>Research base / evidence summary</t>
        </is>
      </c>
      <c r="C8" s="5" t="inlineStr">
        <is>
          <t>Citations or summary of research supporting program model (meta-analyses, studies, evidence tiers).</t>
        </is>
      </c>
      <c r="D8" s="5" t="inlineStr">
        <is>
          <t>Provider research briefs; peer-reviewed literature; What Works Clearinghouse-style summaries</t>
        </is>
      </c>
      <c r="E8" s="5" t="inlineStr">
        <is>
          <t>Public/Internal</t>
        </is>
      </c>
      <c r="F8" s="5" t="inlineStr">
        <is>
          <t>Should include quality and relevance to context.</t>
        </is>
      </c>
      <c r="G8" s="100" t="n"/>
      <c r="H8" s="100" t="n"/>
      <c r="I8" s="100" t="inlineStr">
        <is>
          <t>Y</t>
        </is>
      </c>
    </row>
    <row r="9" ht="43.5" customHeight="1" s="54">
      <c r="A9" s="5" t="inlineStr">
        <is>
          <t>E08</t>
        </is>
      </c>
      <c r="B9" s="5" t="inlineStr">
        <is>
          <t>Demand / participation evidence</t>
        </is>
      </c>
      <c r="C9" s="5" t="inlineStr">
        <is>
          <t>Applications, waitlists, lottery data, enrollment trends, participation rates, retention/attrition.</t>
        </is>
      </c>
      <c r="D9" s="5" t="inlineStr">
        <is>
          <t>Enrollment office reports; Infinite Campus exports; application forms</t>
        </is>
      </c>
      <c r="E9" s="5" t="inlineStr">
        <is>
          <t>Internal</t>
        </is>
      </c>
      <c r="F9" s="5" t="inlineStr">
        <is>
          <t>Disaggregate by subgroups where possible.</t>
        </is>
      </c>
      <c r="G9" s="100" t="n"/>
      <c r="H9" s="100" t="n"/>
      <c r="I9" s="100" t="inlineStr">
        <is>
          <t>Partial</t>
        </is>
      </c>
    </row>
    <row r="10" ht="43.5" customHeight="1" s="54">
      <c r="A10" s="5" t="inlineStr">
        <is>
          <t>E09</t>
        </is>
      </c>
      <c r="B10" s="5" t="inlineStr">
        <is>
          <t>Comparable program benchmarks</t>
        </is>
      </c>
      <c r="C10" s="5" t="inlineStr">
        <is>
          <t>Performance/implementation data from similar districts or schools; benchmarking reports.</t>
        </is>
      </c>
      <c r="D10" s="5" t="inlineStr">
        <is>
          <t>Peer district reports; provider comparative data; state reports</t>
        </is>
      </c>
      <c r="E10" s="5" t="inlineStr">
        <is>
          <t>Public/Internal</t>
        </is>
      </c>
      <c r="F10" s="5" t="inlineStr">
        <is>
          <t>Include context similarity notes.</t>
        </is>
      </c>
      <c r="G10" s="100" t="n"/>
      <c r="H10" s="100" t="n"/>
      <c r="I10" s="100" t="inlineStr">
        <is>
          <t>Y</t>
        </is>
      </c>
    </row>
    <row r="11" ht="43.5" customHeight="1" s="54">
      <c r="A11" s="5" t="inlineStr">
        <is>
          <t>E10</t>
        </is>
      </c>
      <c r="B11" s="5" t="inlineStr">
        <is>
          <t>KPI/metrics definition sheet</t>
        </is>
      </c>
      <c r="C11" s="5" t="inlineStr">
        <is>
          <t>List of core metrics (academic, SEL, attendance, behavior, etc.) with definitions, data source, cadence, and owner.</t>
        </is>
      </c>
      <c r="D11" s="5" t="inlineStr">
        <is>
          <t>Program evaluation plan; dashboard spec; data office</t>
        </is>
      </c>
      <c r="E11" s="5" t="inlineStr">
        <is>
          <t>Internal</t>
        </is>
      </c>
      <c r="F11" s="5" t="inlineStr">
        <is>
          <t>Avoid metric drift year to year.</t>
        </is>
      </c>
      <c r="G11" s="100" t="n"/>
      <c r="H11" s="100" t="n"/>
      <c r="I11" s="100" t="inlineStr">
        <is>
          <t>Partial</t>
        </is>
      </c>
    </row>
    <row r="12" ht="58" customHeight="1" s="54">
      <c r="A12" s="5" t="inlineStr">
        <is>
          <t>E11</t>
        </is>
      </c>
      <c r="B12" s="5" t="inlineStr">
        <is>
          <t>External validation / case studies / testimonials</t>
        </is>
      </c>
      <c r="C12" s="5" t="inlineStr">
        <is>
          <t>Third-party evaluations, certification reports, audit findings, or structured testimonials.</t>
        </is>
      </c>
      <c r="D12" s="5" t="inlineStr">
        <is>
          <t>Provider reports; accreditation/certification documentation; survey summaries</t>
        </is>
      </c>
      <c r="E12" s="5" t="inlineStr">
        <is>
          <t>Public/Internal</t>
        </is>
      </c>
      <c r="F12" s="5" t="inlineStr">
        <is>
          <t>Prefer structured evidence over anecdotes.</t>
        </is>
      </c>
      <c r="G12" s="100" t="n"/>
      <c r="H12" s="100" t="n"/>
      <c r="I12" s="100" t="inlineStr">
        <is>
          <t>Y</t>
        </is>
      </c>
    </row>
    <row r="13" ht="58" customHeight="1" s="54">
      <c r="A13" s="5" t="inlineStr">
        <is>
          <t>E12</t>
        </is>
      </c>
      <c r="B13" s="5" t="inlineStr">
        <is>
          <t>Participation &amp; access equity profile</t>
        </is>
      </c>
      <c r="C13" s="5" t="inlineStr">
        <is>
          <t>Who participates vs who doesn't: demographic breakdown, eligibility rules, recruitment/selection, barriers analysis.</t>
        </is>
      </c>
      <c r="D13" s="5" t="inlineStr">
        <is>
          <t>Enrollment/SIS; program rosters; transportation routes; outreach logs</t>
        </is>
      </c>
      <c r="E13" s="5" t="inlineStr">
        <is>
          <t>Internal</t>
        </is>
      </c>
      <c r="F13" s="5" t="inlineStr">
        <is>
          <t>Look for representativeness and barriers.</t>
        </is>
      </c>
      <c r="G13" s="100" t="n"/>
      <c r="H13" s="100" t="n"/>
      <c r="I13" s="100" t="inlineStr">
        <is>
          <t>Partial</t>
        </is>
      </c>
    </row>
    <row r="14" ht="58" customHeight="1" s="54">
      <c r="A14" s="5" t="inlineStr">
        <is>
          <t>E13</t>
        </is>
      </c>
      <c r="B14" s="5" t="inlineStr">
        <is>
          <t>Accessibility &amp; supports plan (EL/SPED)</t>
        </is>
      </c>
      <c r="C14" s="5" t="inlineStr">
        <is>
          <t>Design details for language supports, accommodations, co-teaching, staffing, IEP/504 alignment, UDL practices.</t>
        </is>
      </c>
      <c r="D14" s="5" t="inlineStr">
        <is>
          <t>Special Education/EL dept; site plans; accommodation guides</t>
        </is>
      </c>
      <c r="E14" s="5" t="inlineStr">
        <is>
          <t>Internal</t>
        </is>
      </c>
      <c r="F14" s="5" t="inlineStr">
        <is>
          <t>Include implementation fidelity evidence.</t>
        </is>
      </c>
      <c r="G14" s="100" t="n"/>
      <c r="H14" s="100" t="n"/>
      <c r="I14" s="100" t="inlineStr">
        <is>
          <t>Partial</t>
        </is>
      </c>
    </row>
    <row r="15" ht="58" customHeight="1" s="54">
      <c r="A15" s="5" t="inlineStr">
        <is>
          <t>E14</t>
        </is>
      </c>
      <c r="B15" s="5" t="inlineStr">
        <is>
          <t>Gap-closure analysis (outcomes disaggregated)</t>
        </is>
      </c>
      <c r="C15" s="5" t="inlineStr">
        <is>
          <t>Outcome data disaggregated by subgroup showing gap trends and program contribution where possible.</t>
        </is>
      </c>
      <c r="D15" s="5" t="inlineStr">
        <is>
          <t>Assessment dashboards; discipline/attendance reports; course completion</t>
        </is>
      </c>
      <c r="E15" s="5" t="inlineStr">
        <is>
          <t>Internal</t>
        </is>
      </c>
      <c r="F15" s="5" t="inlineStr">
        <is>
          <t>Use trend + comparison groups when available.</t>
        </is>
      </c>
      <c r="G15" s="100" t="n"/>
      <c r="H15" s="100" t="n"/>
      <c r="I15" s="100" t="inlineStr">
        <is>
          <t>Partial</t>
        </is>
      </c>
    </row>
    <row r="16" ht="58" customHeight="1" s="54">
      <c r="A16" s="5" t="inlineStr">
        <is>
          <t>E15</t>
        </is>
      </c>
      <c r="B16" s="5" t="inlineStr">
        <is>
          <t>Total cost model</t>
        </is>
      </c>
      <c r="C16" s="5" t="inlineStr">
        <is>
          <t>Start-up and ongoing costs (materials, licensing, staffing, training, transportation, facilities/tech) with assumptions.</t>
        </is>
      </c>
      <c r="D16" s="5" t="inlineStr">
        <is>
          <t>Finance/budget docs; purchasing; grant budgets; staffing allocations</t>
        </is>
      </c>
      <c r="E16" s="5" t="inlineStr">
        <is>
          <t>Internal</t>
        </is>
      </c>
      <c r="F16" s="5" t="inlineStr">
        <is>
          <t>Include per-pupil cost estimate if feasible.</t>
        </is>
      </c>
      <c r="G16" s="100" t="n"/>
      <c r="H16" s="100" t="n"/>
      <c r="I16" s="100" t="inlineStr">
        <is>
          <t>Partial</t>
        </is>
      </c>
    </row>
    <row r="17" ht="29" customHeight="1" s="54">
      <c r="A17" s="5" t="inlineStr">
        <is>
          <t>E16</t>
        </is>
      </c>
      <c r="B17" s="5" t="inlineStr">
        <is>
          <t>Funding plan &amp; sustainability assumptions</t>
        </is>
      </c>
      <c r="C17" s="5" t="inlineStr">
        <is>
          <t>Funding sources (M&amp;O, grants, donations) and multi-year assumptions; contingency plan.</t>
        </is>
      </c>
      <c r="D17" s="5" t="inlineStr">
        <is>
          <t>Finance; grants office; program budget narrative</t>
        </is>
      </c>
      <c r="E17" s="5" t="inlineStr">
        <is>
          <t>Internal</t>
        </is>
      </c>
      <c r="F17" s="5" t="inlineStr">
        <is>
          <t>Identify cliff risks.</t>
        </is>
      </c>
      <c r="G17" s="100" t="n"/>
      <c r="H17" s="100" t="n"/>
      <c r="I17" s="100" t="inlineStr">
        <is>
          <t>Partial</t>
        </is>
      </c>
    </row>
    <row r="18" ht="43.5" customHeight="1" s="54">
      <c r="A18" s="5" t="inlineStr">
        <is>
          <t>E17</t>
        </is>
      </c>
      <c r="B18" s="5" t="inlineStr">
        <is>
          <t>Grants/external funding pipeline</t>
        </is>
      </c>
      <c r="C18" s="5" t="inlineStr">
        <is>
          <t>Grant opportunities pursued, awarded, denied; donor/partner contributions; restrictions.</t>
        </is>
      </c>
      <c r="D18" s="5" t="inlineStr">
        <is>
          <t>Grants office; foundation; partner MOUs</t>
        </is>
      </c>
      <c r="E18" s="5" t="inlineStr">
        <is>
          <t>Internal</t>
        </is>
      </c>
      <c r="F18" s="5" t="inlineStr">
        <is>
          <t>Track compliance requirements.</t>
        </is>
      </c>
      <c r="G18" s="100" t="n"/>
      <c r="H18" s="100" t="n"/>
      <c r="I18" s="100" t="inlineStr">
        <is>
          <t>Partial</t>
        </is>
      </c>
    </row>
    <row r="19" ht="43.5" customHeight="1" s="54">
      <c r="A19" s="5" t="inlineStr">
        <is>
          <t>E18</t>
        </is>
      </c>
      <c r="B19" s="5" t="inlineStr">
        <is>
          <t>Facilities/tech/materials inventory</t>
        </is>
      </c>
      <c r="C19" s="5" t="inlineStr">
        <is>
          <t>List of required spaces, equipment, software, and maintenance cycles.</t>
        </is>
      </c>
      <c r="D19" s="5" t="inlineStr">
        <is>
          <t>IT; facilities; site inventory; vendor agreements</t>
        </is>
      </c>
      <c r="E19" s="5" t="inlineStr">
        <is>
          <t>Internal</t>
        </is>
      </c>
      <c r="F19" s="5" t="inlineStr">
        <is>
          <t>Include replacement schedule.</t>
        </is>
      </c>
      <c r="G19" s="100" t="n"/>
      <c r="H19" s="100" t="n"/>
      <c r="I19" s="100" t="inlineStr">
        <is>
          <t>Partial</t>
        </is>
      </c>
    </row>
    <row r="20" ht="29" customHeight="1" s="54">
      <c r="A20" s="5" t="inlineStr">
        <is>
          <t>E19</t>
        </is>
      </c>
      <c r="B20" s="5" t="inlineStr">
        <is>
          <t>Staffing model &amp; qualifications</t>
        </is>
      </c>
      <c r="C20" s="5" t="inlineStr">
        <is>
          <t>FTE needs, roles, required credentials/training, hiring pipeline, and coverage plan.</t>
        </is>
      </c>
      <c r="D20" s="5" t="inlineStr">
        <is>
          <t>HR; site master schedule; staffing allocations</t>
        </is>
      </c>
      <c r="E20" s="5" t="inlineStr">
        <is>
          <t>Internal</t>
        </is>
      </c>
      <c r="F20" s="5" t="inlineStr">
        <is>
          <t>Include hard-to-fill roles risks.</t>
        </is>
      </c>
      <c r="G20" s="100" t="n"/>
      <c r="H20" s="100" t="n"/>
      <c r="I20" s="100" t="inlineStr">
        <is>
          <t>Partial</t>
        </is>
      </c>
    </row>
    <row r="21" ht="43.5" customHeight="1" s="54">
      <c r="A21" s="5" t="inlineStr">
        <is>
          <t>E20</t>
        </is>
      </c>
      <c r="B21" s="5" t="inlineStr">
        <is>
          <t>PD needs assessment &amp; plan</t>
        </is>
      </c>
      <c r="C21" s="5" t="inlineStr">
        <is>
          <t>What staff need to learn and planned PD/coaching calendar (initial + ongoing).</t>
        </is>
      </c>
      <c r="D21" s="5" t="inlineStr">
        <is>
          <t>PD office; program lead; provider training plan</t>
        </is>
      </c>
      <c r="E21" s="5" t="inlineStr">
        <is>
          <t>Internal</t>
        </is>
      </c>
      <c r="F21" s="5" t="inlineStr">
        <is>
          <t>Include participation tracking.</t>
        </is>
      </c>
      <c r="G21" s="100" t="n"/>
      <c r="H21" s="100" t="n"/>
      <c r="I21" s="100" t="inlineStr">
        <is>
          <t>Partial</t>
        </is>
      </c>
    </row>
    <row r="22" ht="43.5" customHeight="1" s="54">
      <c r="A22" s="5" t="inlineStr">
        <is>
          <t>E21</t>
        </is>
      </c>
      <c r="B22" s="5" t="inlineStr">
        <is>
          <t>Training quality/cost evidence</t>
        </is>
      </c>
      <c r="C22" s="5" t="inlineStr">
        <is>
          <t>Training agendas, provider qualifications, cost per staff, evaluations, and follow-up supports.</t>
        </is>
      </c>
      <c r="D22" s="5" t="inlineStr">
        <is>
          <t>Provider contracts; PD feedback surveys; invoices</t>
        </is>
      </c>
      <c r="E22" s="5" t="inlineStr">
        <is>
          <t>Internal</t>
        </is>
      </c>
      <c r="F22" s="5" t="inlineStr">
        <is>
          <t>Look for job-embedded follow-up.</t>
        </is>
      </c>
      <c r="G22" s="100" t="n"/>
      <c r="H22" s="100" t="n"/>
      <c r="I22" s="100" t="inlineStr">
        <is>
          <t>Partial</t>
        </is>
      </c>
    </row>
    <row r="23" ht="43.5" customHeight="1" s="54">
      <c r="A23" s="5" t="inlineStr">
        <is>
          <t>E22</t>
        </is>
      </c>
      <c r="B23" s="5" t="inlineStr">
        <is>
          <t>Ongoing support / coaching model</t>
        </is>
      </c>
      <c r="C23" s="5" t="inlineStr">
        <is>
          <t>Coaching cycles, PLC structures, troubleshooting process, updates communications.</t>
        </is>
      </c>
      <c r="D23" s="5" t="inlineStr">
        <is>
          <t>Program lead notes; coaching logs; PLC agendas</t>
        </is>
      </c>
      <c r="E23" s="5" t="inlineStr">
        <is>
          <t>Internal</t>
        </is>
      </c>
      <c r="F23" s="5" t="inlineStr">
        <is>
          <t>Evidence of responsiveness.</t>
        </is>
      </c>
      <c r="G23" s="100" t="n"/>
      <c r="H23" s="100" t="n"/>
      <c r="I23" s="100" t="inlineStr">
        <is>
          <t>Partial</t>
        </is>
      </c>
    </row>
    <row r="24" ht="58" customHeight="1" s="54">
      <c r="A24" s="5" t="inlineStr">
        <is>
          <t>E23</t>
        </is>
      </c>
      <c r="B24" s="5" t="inlineStr">
        <is>
          <t>Workload &amp; capacity analysis</t>
        </is>
      </c>
      <c r="C24" s="5" t="inlineStr">
        <is>
          <t>Staff time requirements, scheduling impacts, additional duties; mitigation plan.</t>
        </is>
      </c>
      <c r="D24" s="5" t="inlineStr">
        <is>
          <t>Master schedule; duty schedules; teacher survey; time-on-task studies</t>
        </is>
      </c>
      <c r="E24" s="5" t="inlineStr">
        <is>
          <t>Internal</t>
        </is>
      </c>
      <c r="F24" s="5" t="inlineStr">
        <is>
          <t>Look for sustainability + workload equity.</t>
        </is>
      </c>
      <c r="G24" s="100" t="n"/>
      <c r="H24" s="100" t="n"/>
      <c r="I24" s="100" t="inlineStr">
        <is>
          <t>Partial</t>
        </is>
      </c>
    </row>
    <row r="25" ht="43.5" customHeight="1" s="54">
      <c r="A25" s="5" t="inlineStr">
        <is>
          <t>E24</t>
        </is>
      </c>
      <c r="B25" s="5" t="inlineStr">
        <is>
          <t>Family engagement &amp; education plan</t>
        </is>
      </c>
      <c r="C25" s="5" t="inlineStr">
        <is>
          <t>How families are informed, supported, and engaged (orientation, workshops, resources).</t>
        </is>
      </c>
      <c r="D25" s="5" t="inlineStr">
        <is>
          <t>Family engagement office; site comms; newsletters; meeting agendas</t>
        </is>
      </c>
      <c r="E25" s="5" t="inlineStr">
        <is>
          <t>Public/Internal</t>
        </is>
      </c>
      <c r="F25" s="5" t="inlineStr">
        <is>
          <t>Include translation/accessibility.</t>
        </is>
      </c>
      <c r="G25" s="100" t="n"/>
      <c r="H25" s="100" t="n"/>
      <c r="I25" s="100" t="inlineStr">
        <is>
          <t>Y</t>
        </is>
      </c>
    </row>
    <row r="26" ht="43.5" customHeight="1" s="54">
      <c r="A26" s="5" t="inlineStr">
        <is>
          <t>E25</t>
        </is>
      </c>
      <c r="B26" s="5" t="inlineStr">
        <is>
          <t>Student schedule/workload analysis</t>
        </is>
      </c>
      <c r="C26" s="5" t="inlineStr">
        <is>
          <t>Daily/weekly schedules, course requirements, homework load, participation demands.</t>
        </is>
      </c>
      <c r="D26" s="5" t="inlineStr">
        <is>
          <t>Master schedules; student handbooks; course outlines</t>
        </is>
      </c>
      <c r="E26" s="5" t="inlineStr">
        <is>
          <t>Internal</t>
        </is>
      </c>
      <c r="F26" s="5" t="inlineStr">
        <is>
          <t>Check equity of access + stress load.</t>
        </is>
      </c>
      <c r="G26" s="100" t="n"/>
      <c r="H26" s="100" t="n"/>
      <c r="I26" s="100" t="inlineStr">
        <is>
          <t>Partial</t>
        </is>
      </c>
    </row>
    <row r="27" ht="72.5" customHeight="1" s="54">
      <c r="A27" s="5" t="inlineStr">
        <is>
          <t>E26</t>
        </is>
      </c>
      <c r="B27" s="5" t="inlineStr">
        <is>
          <t>Instructional planning impact analysis</t>
        </is>
      </c>
      <c r="C27" s="5" t="inlineStr">
        <is>
          <t>Changes to planning time, collaboration needs, curriculum planning load, assessment load.</t>
        </is>
      </c>
      <c r="D27" s="5" t="inlineStr">
        <is>
          <t>Teacher survey; PLC agendas; admin observations</t>
        </is>
      </c>
      <c r="E27" s="5" t="inlineStr">
        <is>
          <t>Internal</t>
        </is>
      </c>
      <c r="F27" s="5" t="inlineStr">
        <is>
          <t>Include mitigation (common planning, release).</t>
        </is>
      </c>
      <c r="G27" s="100" t="n"/>
      <c r="H27" s="100" t="n"/>
      <c r="I27" s="100" t="inlineStr">
        <is>
          <t>Partial</t>
        </is>
      </c>
    </row>
    <row r="28" ht="43.5" customHeight="1" s="54">
      <c r="A28" s="5" t="inlineStr">
        <is>
          <t>E27</t>
        </is>
      </c>
      <c r="B28" s="5" t="inlineStr">
        <is>
          <t>Implementation fidelity evidence</t>
        </is>
      </c>
      <c r="C28" s="5" t="inlineStr">
        <is>
          <t>Observation tools, fidelity rubrics, walkthrough data, artifacts of practice (student work, lesson plans).</t>
        </is>
      </c>
      <c r="D28" s="5" t="inlineStr">
        <is>
          <t>Instructional coach notes; admin walkthroughs; program checklists</t>
        </is>
      </c>
      <c r="E28" s="5" t="inlineStr">
        <is>
          <t>Internal</t>
        </is>
      </c>
      <c r="F28" s="5" t="inlineStr">
        <is>
          <t>Triangulate across observers.</t>
        </is>
      </c>
      <c r="G28" s="100" t="n"/>
      <c r="H28" s="100" t="n"/>
      <c r="I28" s="100" t="inlineStr">
        <is>
          <t>Partial</t>
        </is>
      </c>
    </row>
    <row r="29" ht="29" customHeight="1" s="54">
      <c r="A29" s="5" t="inlineStr">
        <is>
          <t>E28</t>
        </is>
      </c>
      <c r="B29" s="5" t="inlineStr">
        <is>
          <t>Culture/climate indicators</t>
        </is>
      </c>
      <c r="C29" s="5" t="inlineStr">
        <is>
          <t>Climate survey results, attendance, behavior incidents, sense of belonging measures, qualitative feedback.</t>
        </is>
      </c>
      <c r="D29" s="5" t="inlineStr">
        <is>
          <t>Panorama/other survey; discipline dashboards; focus groups</t>
        </is>
      </c>
      <c r="E29" s="5" t="inlineStr">
        <is>
          <t>Internal</t>
        </is>
      </c>
      <c r="F29" s="5" t="inlineStr">
        <is>
          <t>Disaggregate by subgroup.</t>
        </is>
      </c>
      <c r="G29" s="100" t="n"/>
      <c r="H29" s="100" t="n"/>
      <c r="I29" s="100" t="inlineStr">
        <is>
          <t>Partial</t>
        </is>
      </c>
    </row>
    <row r="30" ht="43.5" customHeight="1" s="54">
      <c r="A30" s="5" t="inlineStr">
        <is>
          <t>E29</t>
        </is>
      </c>
      <c r="B30" s="5" t="inlineStr">
        <is>
          <t>Implementation plan &amp; timeline</t>
        </is>
      </c>
      <c r="C30" s="5" t="inlineStr">
        <is>
          <t>Project plan with milestones, dependencies, resourcing, and risk management.</t>
        </is>
      </c>
      <c r="D30" s="5" t="inlineStr">
        <is>
          <t>Program implementation doc; project management tool; board updates</t>
        </is>
      </c>
      <c r="E30" s="5" t="inlineStr">
        <is>
          <t>Internal</t>
        </is>
      </c>
      <c r="F30" s="5" t="inlineStr">
        <is>
          <t>Should be realistic + owned.</t>
        </is>
      </c>
      <c r="G30" s="100" t="n"/>
      <c r="H30" s="100" t="n"/>
      <c r="I30" s="100" t="inlineStr">
        <is>
          <t>Partial</t>
        </is>
      </c>
    </row>
    <row r="31" ht="43.5" customHeight="1" s="54">
      <c r="A31" s="5" t="inlineStr">
        <is>
          <t>E30</t>
        </is>
      </c>
      <c r="B31" s="5" t="inlineStr">
        <is>
          <t>Pilot plan / staged rollout design</t>
        </is>
      </c>
      <c r="C31" s="5" t="inlineStr">
        <is>
          <t>Pilot scope, selection rationale, success criteria, scaling decision points.</t>
        </is>
      </c>
      <c r="D31" s="5" t="inlineStr">
        <is>
          <t>Program lead; pilot proposal; evaluation plan</t>
        </is>
      </c>
      <c r="E31" s="5" t="inlineStr">
        <is>
          <t>Internal</t>
        </is>
      </c>
      <c r="F31" s="5" t="inlineStr">
        <is>
          <t>Include 'stop/adjust' criteria.</t>
        </is>
      </c>
      <c r="G31" s="100" t="n"/>
      <c r="H31" s="100" t="n"/>
      <c r="I31" s="100" t="inlineStr">
        <is>
          <t>Partial</t>
        </is>
      </c>
    </row>
    <row r="32" ht="43.5" customHeight="1" s="54">
      <c r="A32" s="5" t="inlineStr">
        <is>
          <t>E31</t>
        </is>
      </c>
      <c r="B32" s="5" t="inlineStr">
        <is>
          <t>Roles &amp; responsibilities (RACI)</t>
        </is>
      </c>
      <c r="C32" s="5" t="inlineStr">
        <is>
          <t>Named owners for key tasks (design, training, data, comms, budget, site implementation).</t>
        </is>
      </c>
      <c r="D32" s="5" t="inlineStr">
        <is>
          <t>Program governance docs; org chart; committee notes</t>
        </is>
      </c>
      <c r="E32" s="5" t="inlineStr">
        <is>
          <t>Internal</t>
        </is>
      </c>
      <c r="F32" s="5" t="inlineStr">
        <is>
          <t>Prevents orphaned work.</t>
        </is>
      </c>
      <c r="G32" s="100" t="n"/>
      <c r="H32" s="100" t="n"/>
      <c r="I32" s="100" t="inlineStr">
        <is>
          <t>Partial</t>
        </is>
      </c>
    </row>
    <row r="33" ht="43.5" customHeight="1" s="54">
      <c r="A33" s="5" t="inlineStr">
        <is>
          <t>E32</t>
        </is>
      </c>
      <c r="B33" s="5" t="inlineStr">
        <is>
          <t>Assessment &amp; monitoring tools</t>
        </is>
      </c>
      <c r="C33" s="5" t="inlineStr">
        <is>
          <t>Rubrics, progress monitoring tools, student performance tools, implementation checklists.</t>
        </is>
      </c>
      <c r="D33" s="5" t="inlineStr">
        <is>
          <t>Assessment dept; provider tools; shared drives</t>
        </is>
      </c>
      <c r="E33" s="5" t="inlineStr">
        <is>
          <t>Internal</t>
        </is>
      </c>
      <c r="F33" s="5" t="inlineStr">
        <is>
          <t>Ensure tools are used consistently.</t>
        </is>
      </c>
      <c r="G33" s="100" t="n"/>
      <c r="H33" s="100" t="n"/>
      <c r="I33" s="100" t="inlineStr">
        <is>
          <t>Partial</t>
        </is>
      </c>
    </row>
    <row r="34" ht="29" customHeight="1" s="54">
      <c r="A34" s="5" t="inlineStr">
        <is>
          <t>E33</t>
        </is>
      </c>
      <c r="B34" s="5" t="inlineStr">
        <is>
          <t>Data cycle (collection → review → action)</t>
        </is>
      </c>
      <c r="C34" s="5" t="inlineStr">
        <is>
          <t>Cadence, routines, meeting agendas, dashboards, and documented action steps.</t>
        </is>
      </c>
      <c r="D34" s="5" t="inlineStr">
        <is>
          <t>Data team agendas; dashboards; improvement plans</t>
        </is>
      </c>
      <c r="E34" s="5" t="inlineStr">
        <is>
          <t>Internal</t>
        </is>
      </c>
      <c r="F34" s="5" t="inlineStr">
        <is>
          <t>Look for closed-loop action.</t>
        </is>
      </c>
      <c r="G34" s="100" t="n"/>
      <c r="H34" s="100" t="n"/>
      <c r="I34" s="100" t="inlineStr">
        <is>
          <t>Partial</t>
        </is>
      </c>
    </row>
    <row r="35" ht="43.5" customHeight="1" s="54">
      <c r="A35" s="5" t="inlineStr">
        <is>
          <t>E34</t>
        </is>
      </c>
      <c r="B35" s="5" t="inlineStr">
        <is>
          <t>Benchmarks/targets &amp; comparators</t>
        </is>
      </c>
      <c r="C35" s="5" t="inlineStr">
        <is>
          <t>Baseline, targets, comparator groups, and expected timelines.</t>
        </is>
      </c>
      <c r="D35" s="5" t="inlineStr">
        <is>
          <t>Evaluation plan; dashboard; SIP goals</t>
        </is>
      </c>
      <c r="E35" s="5" t="inlineStr">
        <is>
          <t>Internal</t>
        </is>
      </c>
      <c r="F35" s="5" t="inlineStr">
        <is>
          <t>Avoid targets without baseline.</t>
        </is>
      </c>
      <c r="G35" s="100" t="n"/>
      <c r="H35" s="100" t="n"/>
      <c r="I35" s="100" t="inlineStr">
        <is>
          <t>Partial</t>
        </is>
      </c>
    </row>
    <row r="36" ht="43.5" customHeight="1" s="54">
      <c r="A36" s="5" t="inlineStr">
        <is>
          <t>E35</t>
        </is>
      </c>
      <c r="B36" s="5" t="inlineStr">
        <is>
          <t>Continuous improvement/change log</t>
        </is>
      </c>
      <c r="C36" s="5" t="inlineStr">
        <is>
          <t>Evidence program is refined: PDSA cycles, revisions, decision memos, lesson learned logs.</t>
        </is>
      </c>
      <c r="D36" s="5" t="inlineStr">
        <is>
          <t>Program lead notes; revision history; meeting minutes</t>
        </is>
      </c>
      <c r="E36" s="5" t="inlineStr">
        <is>
          <t>Internal</t>
        </is>
      </c>
      <c r="F36" s="5" t="inlineStr">
        <is>
          <t>Shows responsiveness not drift.</t>
        </is>
      </c>
      <c r="G36" s="100" t="n"/>
      <c r="H36" s="100" t="n"/>
      <c r="I36" s="100" t="inlineStr">
        <is>
          <t>Partial</t>
        </is>
      </c>
    </row>
    <row r="37" ht="29" customHeight="1" s="54">
      <c r="A37" s="5" t="inlineStr">
        <is>
          <t>E36</t>
        </is>
      </c>
      <c r="B37" s="5" t="inlineStr">
        <is>
          <t>Stakeholder consultation artifacts</t>
        </is>
      </c>
      <c r="C37" s="5" t="inlineStr">
        <is>
          <t>Survey results, focus group summaries, meeting notes, advisory committee input.</t>
        </is>
      </c>
      <c r="D37" s="5" t="inlineStr">
        <is>
          <t>Meeting minutes; survey exports; engagement logs</t>
        </is>
      </c>
      <c r="E37" s="5" t="inlineStr">
        <is>
          <t>Internal</t>
        </is>
      </c>
      <c r="F37" s="5" t="inlineStr">
        <is>
          <t>Representation matters.</t>
        </is>
      </c>
      <c r="G37" s="100" t="n"/>
      <c r="H37" s="100" t="n"/>
      <c r="I37" s="100" t="inlineStr">
        <is>
          <t>Partial</t>
        </is>
      </c>
    </row>
    <row r="38" ht="43.5" customHeight="1" s="54">
      <c r="A38" s="5" t="inlineStr">
        <is>
          <t>E37</t>
        </is>
      </c>
      <c r="B38" s="5" t="inlineStr">
        <is>
          <t>Partner agreements (MOUs) &amp; leverage</t>
        </is>
      </c>
      <c r="C38" s="5" t="inlineStr">
        <is>
          <t>Partner roles, contributions, expectations, and accountability mechanisms.</t>
        </is>
      </c>
      <c r="D38" s="5" t="inlineStr">
        <is>
          <t>Legal/contracts; partner MOUs; internship agreements</t>
        </is>
      </c>
      <c r="E38" s="5" t="inlineStr">
        <is>
          <t>Internal</t>
        </is>
      </c>
      <c r="F38" s="5" t="inlineStr">
        <is>
          <t>Include student safety/compliance.</t>
        </is>
      </c>
      <c r="G38" s="100" t="n"/>
      <c r="H38" s="100" t="n"/>
      <c r="I38" s="100" t="inlineStr">
        <is>
          <t>Partial</t>
        </is>
      </c>
    </row>
    <row r="39" ht="43.5" customHeight="1" s="54">
      <c r="A39" s="5" t="inlineStr">
        <is>
          <t>E38</t>
        </is>
      </c>
      <c r="B39" s="5" t="inlineStr">
        <is>
          <t>Communications artifacts &amp; clarity</t>
        </is>
      </c>
      <c r="C39" s="5" t="inlineStr">
        <is>
          <t>Program description, FAQs, recruitment materials, translations, website clarity checks.</t>
        </is>
      </c>
      <c r="D39" s="5" t="inlineStr">
        <is>
          <t>Website; brochures; parent nights; social posts</t>
        </is>
      </c>
      <c r="E39" s="5" t="inlineStr">
        <is>
          <t>Public/Internal</t>
        </is>
      </c>
      <c r="F39" s="5" t="inlineStr">
        <is>
          <t>Check for accessibility + accuracy.</t>
        </is>
      </c>
      <c r="G39" s="100" t="n"/>
      <c r="H39" s="100" t="n"/>
      <c r="I39" s="100" t="inlineStr">
        <is>
          <t>Y</t>
        </is>
      </c>
    </row>
    <row r="40" ht="29" customHeight="1" s="54">
      <c r="A40" s="5" t="inlineStr">
        <is>
          <t>E39</t>
        </is>
      </c>
      <c r="B40" s="5" t="inlineStr">
        <is>
          <t>Support/resistance &amp; risk assessment</t>
        </is>
      </c>
      <c r="C40" s="5" t="inlineStr">
        <is>
          <t>Analysis of stakeholder support, likely barriers, and mitigation strategies.</t>
        </is>
      </c>
      <c r="D40" s="5" t="inlineStr">
        <is>
          <t>Survey analysis; risk register; comms feedback</t>
        </is>
      </c>
      <c r="E40" s="5" t="inlineStr">
        <is>
          <t>Internal</t>
        </is>
      </c>
      <c r="F40" s="5" t="inlineStr">
        <is>
          <t>Proactive risk mgmt.</t>
        </is>
      </c>
      <c r="G40" s="100" t="n"/>
      <c r="H40" s="100" t="n"/>
      <c r="I40" s="100" t="inlineStr">
        <is>
          <t>Partial</t>
        </is>
      </c>
    </row>
    <row r="41" ht="58" customHeight="1" s="54">
      <c r="A41" s="5" t="inlineStr">
        <is>
          <t>E40</t>
        </is>
      </c>
      <c r="B41" s="5" t="inlineStr">
        <is>
          <t>Sustainability plan (multi-year)</t>
        </is>
      </c>
      <c r="C41" s="5" t="inlineStr">
        <is>
          <t>Plan for maintaining quality over time: staffing, funding, onboarding, evaluation cadence.</t>
        </is>
      </c>
      <c r="D41" s="5" t="inlineStr">
        <is>
          <t>Program plan; budget; HR; governance docs</t>
        </is>
      </c>
      <c r="E41" s="5" t="inlineStr">
        <is>
          <t>Internal</t>
        </is>
      </c>
      <c r="F41" s="5" t="inlineStr">
        <is>
          <t>Include minimum viable resourcing.</t>
        </is>
      </c>
      <c r="G41" s="100" t="n"/>
      <c r="H41" s="100" t="n"/>
      <c r="I41" s="100" t="inlineStr">
        <is>
          <t>Partial</t>
        </is>
      </c>
    </row>
    <row r="42" ht="29" customHeight="1" s="54">
      <c r="A42" s="5" t="inlineStr">
        <is>
          <t>E41</t>
        </is>
      </c>
      <c r="B42" s="5" t="inlineStr">
        <is>
          <t>Leadership transition / continuity plan</t>
        </is>
      </c>
      <c r="C42" s="5" t="inlineStr">
        <is>
          <t>Documentation to maintain consistency through turnover (playbooks, onboarding, training).</t>
        </is>
      </c>
      <c r="D42" s="5" t="inlineStr">
        <is>
          <t>Program handbook; SOPs; succession planning</t>
        </is>
      </c>
      <c r="E42" s="5" t="inlineStr">
        <is>
          <t>Internal</t>
        </is>
      </c>
      <c r="F42" s="5" t="inlineStr">
        <is>
          <t>Key-person risk reduction.</t>
        </is>
      </c>
      <c r="G42" s="100" t="n"/>
      <c r="H42" s="100" t="n"/>
      <c r="I42" s="100" t="inlineStr">
        <is>
          <t>Partial</t>
        </is>
      </c>
    </row>
    <row r="43" ht="29" customHeight="1" s="54">
      <c r="A43" s="5" t="inlineStr">
        <is>
          <t>E42</t>
        </is>
      </c>
      <c r="B43" s="5" t="inlineStr">
        <is>
          <t>Adaptability/innovation plan</t>
        </is>
      </c>
      <c r="C43" s="5" t="inlineStr">
        <is>
          <t>How program evolves with standards, student needs, technology, and community context.</t>
        </is>
      </c>
      <c r="D43" s="5" t="inlineStr">
        <is>
          <t>Program roadmap; evaluation findings; curriculum review cycle</t>
        </is>
      </c>
      <c r="E43" s="5" t="inlineStr">
        <is>
          <t>Internal</t>
        </is>
      </c>
      <c r="F43" s="5" t="inlineStr">
        <is>
          <t>Guardrails for change.</t>
        </is>
      </c>
      <c r="G43" s="100" t="n"/>
      <c r="H43" s="100" t="n"/>
      <c r="I43" s="100" t="inlineStr">
        <is>
          <t>Partial</t>
        </is>
      </c>
    </row>
    <row r="44" ht="159.5" customHeight="1" s="54">
      <c r="A44" s="5" t="inlineStr">
        <is>
          <t>E43</t>
        </is>
      </c>
      <c r="B44" s="5" t="inlineStr">
        <is>
          <t>Student mobility (entries &amp; exits) + reasons analysis (aggregated)</t>
        </is>
      </c>
      <c r="C44" s="5" t="inlineStr">
        <is>
          <t>Analysis of where exiting students go and why they leave (if known) AND where entering students come from and why they choose SUSD (if known), segmented by cohort; used as directional choice signal to inform need/demand, strengths to protect, and equity barriers.</t>
        </is>
      </c>
      <c r="D44" s="5" t="inlineStr">
        <is>
          <t>Enrollment/Data; withdrawal records; exit survey aggregates</t>
        </is>
      </c>
      <c r="E44" s="5" t="inlineStr">
        <is>
          <t>Internal (aggregate)</t>
        </is>
      </c>
      <c r="F44" s="5" t="inlineStr">
        <is>
          <t>Cadence: Annual (optional semiannual). Cross-cutting: informs need/demand, equity barriers, portfolio gap hypotheses, and strengths/competitive edge signals.</t>
        </is>
      </c>
      <c r="G44" s="100" t="n"/>
      <c r="H44" s="100" t="n"/>
      <c r="I44" s="100" t="inlineStr">
        <is>
          <t>Partial</t>
        </is>
      </c>
    </row>
    <row r="45" ht="145" customHeight="1" s="54">
      <c r="A45" s="5" t="inlineStr">
        <is>
          <t>E44</t>
        </is>
      </c>
      <c r="B45" s="5" t="inlineStr">
        <is>
          <t>Peer district benchmarking matrix</t>
        </is>
      </c>
      <c r="C45" s="5" t="inlineStr">
        <is>
          <t>Normalized table of comparable programs in peer districts/exemplars (model, entry, participation signals, outcome proxies).</t>
        </is>
      </c>
      <c r="D45" s="5" t="inlineStr">
        <is>
          <t>SPARK sub-team; public artifacts + notes</t>
        </is>
      </c>
      <c r="E45" s="5" t="inlineStr">
        <is>
          <t>Internal/Public</t>
        </is>
      </c>
      <c r="F45" s="5" t="inlineStr">
        <is>
          <t>Cadence: Annual. Cross-cutting: calibrates feasibility and evidence assumptions; supports comparable context notes.</t>
        </is>
      </c>
      <c r="G45" s="100" t="n"/>
      <c r="H45" s="100" t="n"/>
      <c r="I45" s="100" t="inlineStr">
        <is>
          <t>Y</t>
        </is>
      </c>
    </row>
    <row r="46" ht="174" customHeight="1" s="54">
      <c r="A46" s="5" t="inlineStr">
        <is>
          <t>E45</t>
        </is>
      </c>
      <c r="B46" s="5" t="inlineStr">
        <is>
          <t>Trend scan log + semiannual synthesis</t>
        </is>
      </c>
      <c r="C46" s="5" t="inlineStr">
        <is>
          <t>Lightweight log of emerging policy/research/technology/workforce signals; synthesized into a 'trend radar' and implications list.</t>
        </is>
      </c>
      <c r="D46" s="5" t="inlineStr">
        <is>
          <t>SPARK sub-team</t>
        </is>
      </c>
      <c r="E46" s="5" t="inlineStr">
        <is>
          <t>Internal</t>
        </is>
      </c>
      <c r="F46" s="5" t="inlineStr">
        <is>
          <t>Cadence: Monthly log + semiannual synthesis. Cross-cutting: context only (not sole justification); supports adaptability/sustainability discussions.</t>
        </is>
      </c>
      <c r="G46" s="100" t="n"/>
      <c r="H46" s="100" t="n"/>
      <c r="I46" s="100" t="inlineStr">
        <is>
          <t>Partial</t>
        </is>
      </c>
    </row>
    <row r="47" ht="29" customHeight="1" s="54">
      <c r="A47" s="55" t="inlineStr">
        <is>
          <t>E46</t>
        </is>
      </c>
      <c r="B47" s="55" t="inlineStr">
        <is>
          <t>Current-state baseline documentation (SUSD)</t>
        </is>
      </c>
      <c r="C47" s="55" t="inlineStr">
        <is>
          <t>Board-adopted scope &amp; sequence, service model documentation, handbooks, or existing-program descriptions that define what SUSD currently offers in this domain (baseline).</t>
        </is>
      </c>
      <c r="D47" s="55" t="inlineStr">
        <is>
          <t>Program owner dept; board docs; curriculum/service model docs; existing program pages</t>
        </is>
      </c>
      <c r="E47" s="55" t="inlineStr">
        <is>
          <t>Internal/Public</t>
        </is>
      </c>
      <c r="F47" s="55" t="inlineStr">
        <is>
          <t>Useful for concept studies: anchors 'what already exists' and prevents reinventing.</t>
        </is>
      </c>
      <c r="G47" s="100" t="n"/>
      <c r="H47" s="100" t="n"/>
      <c r="I47" s="100" t="inlineStr">
        <is>
          <t>Y</t>
        </is>
      </c>
    </row>
    <row r="48" ht="29" customHeight="1" s="54">
      <c r="A48" s="55" t="inlineStr">
        <is>
          <t>E47</t>
        </is>
      </c>
      <c r="B48" s="55" t="inlineStr">
        <is>
          <t>Concept Study Brief + option set (SPARK subgroup output)</t>
        </is>
      </c>
      <c r="C48" s="55" t="inlineStr">
        <is>
          <t>1–2 page concept brief summarizing: baseline, benchmarking, 2–3 design options, trade-offs, equity considerations, and recommended pathway (proceed/pause).</t>
        </is>
      </c>
      <c r="D48" s="55" t="inlineStr">
        <is>
          <t>Concept subgroup shared folder; SPARK meeting materials</t>
        </is>
      </c>
      <c r="E48" s="55" t="inlineStr">
        <is>
          <t>Internal</t>
        </is>
      </c>
      <c r="F48" s="55" t="inlineStr">
        <is>
          <t>Bridges concept exploration into formal intake; share executive summary for March whole group.</t>
        </is>
      </c>
      <c r="G48" s="100" t="n"/>
      <c r="H48" s="100" t="n"/>
      <c r="I48" s="100" t="inlineStr">
        <is>
          <t>Partial</t>
        </is>
      </c>
    </row>
    <row r="49" ht="29" customHeight="1" s="54">
      <c r="A49" s="55" t="inlineStr">
        <is>
          <t>E48</t>
        </is>
      </c>
      <c r="B49" s="55" t="inlineStr">
        <is>
          <t>Commissioned study charge / directive (Board/leadership)</t>
        </is>
      </c>
      <c r="C49" s="55" t="inlineStr">
        <is>
          <t>Formal statement of the request (who asked, why, what decision is needed, timeline, and scope). Could be an email, board agenda item, or charge memo.</t>
        </is>
      </c>
      <c r="D49" s="55" t="inlineStr">
        <is>
          <t>Sponsor email; board minutes/agendas; superintendent directive</t>
        </is>
      </c>
      <c r="E49" s="55" t="inlineStr">
        <is>
          <t>Internal</t>
        </is>
      </c>
      <c r="F49" s="55" t="inlineStr">
        <is>
          <t>Prevents scope creep and clarifies what 'success' of the study means.</t>
        </is>
      </c>
      <c r="G49" s="100" t="n"/>
      <c r="H49" s="100" t="n"/>
      <c r="I49" s="100" t="inlineStr">
        <is>
          <t>Partial</t>
        </is>
      </c>
    </row>
    <row r="50" ht="29" customHeight="1" s="54">
      <c r="A50" s="55" t="inlineStr">
        <is>
          <t>E49</t>
        </is>
      </c>
      <c r="B50" s="55" t="inlineStr">
        <is>
          <t>Preliminary feasibility envelope (rough)</t>
        </is>
      </c>
      <c r="C50" s="55" t="inlineStr">
        <is>
          <t>Early resource feasibility: facilities options, staffing/FTE, transportation, start-up and annual cost ranges, timeline constraints, and key assumptions/unknowns.</t>
        </is>
      </c>
      <c r="D50" s="55" t="inlineStr">
        <is>
          <t>Finance/HR/Facilities/Transportation inputs; sponsor notes; concept subgroup memo</t>
        </is>
      </c>
      <c r="E50" s="55" t="inlineStr">
        <is>
          <t>Internal</t>
        </is>
      </c>
      <c r="F50" s="55" t="inlineStr">
        <is>
          <t>Not a final budget—used for option comparison and gating into full proposal development.</t>
        </is>
      </c>
      <c r="G50" s="100" t="n"/>
      <c r="H50" s="100" t="n"/>
      <c r="I50" s="100" t="inlineStr">
        <is>
          <t>Partial</t>
        </is>
      </c>
    </row>
    <row r="51" ht="29" customHeight="1" s="54">
      <c r="A51" s="5" t="inlineStr">
        <is>
          <t>P01</t>
        </is>
      </c>
      <c r="B51" s="5" t="inlineStr">
        <is>
          <t>IB authorization &amp; evaluation documentation</t>
        </is>
      </c>
      <c r="C51" s="5" t="inlineStr">
        <is>
          <t>IB authorization letters/status, evaluation reports, and required IB self-study artifacts.</t>
        </is>
      </c>
      <c r="D51" s="5" t="inlineStr">
        <is>
          <t>IB coordinator; IB portal docs; site leadership</t>
        </is>
      </c>
      <c r="E51" s="5" t="inlineStr">
        <is>
          <t>Internal</t>
        </is>
      </c>
      <c r="F51" s="5" t="inlineStr">
        <is>
          <t>IB-specific.</t>
        </is>
      </c>
      <c r="G51" s="100" t="n"/>
      <c r="H51" s="100" t="n"/>
      <c r="I51" s="100" t="inlineStr">
        <is>
          <t>Partial</t>
        </is>
      </c>
    </row>
    <row r="52" ht="29" customHeight="1" s="54">
      <c r="A52" s="5" t="inlineStr">
        <is>
          <t>P02</t>
        </is>
      </c>
      <c r="B52" s="5" t="inlineStr">
        <is>
          <t>IB outcomes data</t>
        </is>
      </c>
      <c r="C52" s="5" t="inlineStr">
        <is>
          <t>DP exam results, participation, diploma award rates; PYP/MYP implementation artifacts.</t>
        </is>
      </c>
      <c r="D52" s="5" t="inlineStr">
        <is>
          <t>IB reports; school data; coordinator tracking</t>
        </is>
      </c>
      <c r="E52" s="5" t="inlineStr">
        <is>
          <t>Internal</t>
        </is>
      </c>
      <c r="F52" s="5" t="inlineStr">
        <is>
          <t>IB-specific.</t>
        </is>
      </c>
      <c r="G52" s="100" t="n"/>
      <c r="H52" s="100" t="n"/>
      <c r="I52" s="100" t="inlineStr">
        <is>
          <t>Partial</t>
        </is>
      </c>
    </row>
    <row r="53" ht="43.5" customHeight="1" s="54">
      <c r="A53" s="5" t="inlineStr">
        <is>
          <t>P03</t>
        </is>
      </c>
      <c r="B53" s="5" t="inlineStr">
        <is>
          <t>AVID certification &amp; data</t>
        </is>
      </c>
      <c r="C53" s="5" t="inlineStr">
        <is>
          <t>AVID certification status, implementation checklists, AVID student progress indicators.</t>
        </is>
      </c>
      <c r="D53" s="5" t="inlineStr">
        <is>
          <t>AVID coordinator; AVID Center tools; site logs</t>
        </is>
      </c>
      <c r="E53" s="5" t="inlineStr">
        <is>
          <t>Internal</t>
        </is>
      </c>
      <c r="F53" s="5" t="inlineStr">
        <is>
          <t>AVID-specific.</t>
        </is>
      </c>
      <c r="G53" s="100" t="n"/>
      <c r="H53" s="100" t="n"/>
      <c r="I53" s="100" t="inlineStr">
        <is>
          <t>Partial</t>
        </is>
      </c>
    </row>
    <row r="54" ht="29" customHeight="1" s="54">
      <c r="A54" s="5" t="inlineStr">
        <is>
          <t>P04</t>
        </is>
      </c>
      <c r="B54" s="5" t="inlineStr">
        <is>
          <t>Dual Language proficiency outcomes</t>
        </is>
      </c>
      <c r="C54" s="5" t="inlineStr">
        <is>
          <t>STAMP/AAPPL or other language proficiency assessments, Seal of Biliteracy metrics, program model fidelity.</t>
        </is>
      </c>
      <c r="D54" s="5" t="inlineStr">
        <is>
          <t>DLI coordinator; assessment dept; course/roster data</t>
        </is>
      </c>
      <c r="E54" s="5" t="inlineStr">
        <is>
          <t>Internal</t>
        </is>
      </c>
      <c r="F54" s="5" t="inlineStr">
        <is>
          <t>DLI-specific.</t>
        </is>
      </c>
      <c r="G54" s="100" t="n"/>
      <c r="H54" s="100" t="n"/>
      <c r="I54" s="100" t="inlineStr">
        <is>
          <t>Partial</t>
        </is>
      </c>
    </row>
    <row r="55" ht="29" customHeight="1" s="54">
      <c r="A55" s="5" t="inlineStr">
        <is>
          <t>P05</t>
        </is>
      </c>
      <c r="B55" s="5" t="inlineStr">
        <is>
          <t>STEM/STEAM certification evidence</t>
        </is>
      </c>
      <c r="C55" s="5" t="inlineStr">
        <is>
          <t>Cognia STEM certification report (or other), PBL artifacts, STEM integration evidence.</t>
        </is>
      </c>
      <c r="D55" s="5" t="inlineStr">
        <is>
          <t>Public: https://www.susd.org/academics/academic-programs/stem-certified-schools ; https://laguna.susd.org/academics ; https://navajo.susd.org/academics ; https://navajo.susd.org/our-school | Internal: Cognia report; STEM artifacts binder; PD plan; student showcases</t>
        </is>
      </c>
      <c r="E55" s="5" t="inlineStr">
        <is>
          <t>Public/Internal</t>
        </is>
      </c>
      <c r="F55" s="5" t="inlineStr">
        <is>
          <t>STEAM/STEM-specific.</t>
        </is>
      </c>
      <c r="G55" s="100" t="n"/>
      <c r="H55" s="100" t="n"/>
      <c r="I55" s="100" t="inlineStr">
        <is>
          <t>Y</t>
        </is>
      </c>
    </row>
    <row r="56" ht="29" customHeight="1" s="54">
      <c r="A56" s="5" t="inlineStr">
        <is>
          <t>P06</t>
        </is>
      </c>
      <c r="B56" s="5" t="inlineStr">
        <is>
          <t>Traditional model compact/expectations</t>
        </is>
      </c>
      <c r="C56" s="5" t="inlineStr">
        <is>
          <t>Family/student compact, behavior/discipline expectations, and fidelity to traditional model elements.</t>
        </is>
      </c>
      <c r="D56" s="5" t="inlineStr">
        <is>
          <t>Traditional school handbook; enrollment agreement</t>
        </is>
      </c>
      <c r="E56" s="5" t="inlineStr">
        <is>
          <t>Public/Internal</t>
        </is>
      </c>
      <c r="F56" s="5" t="inlineStr">
        <is>
          <t>Traditional-specific.</t>
        </is>
      </c>
      <c r="G56" s="100" t="n"/>
      <c r="H56" s="100" t="n"/>
      <c r="I56" s="100" t="inlineStr">
        <is>
          <t>Y</t>
        </is>
      </c>
    </row>
    <row r="57" ht="43.5" customHeight="1" s="54">
      <c r="A57" s="5" t="inlineStr">
        <is>
          <t>P07</t>
        </is>
      </c>
      <c r="B57" s="5" t="inlineStr">
        <is>
          <t>MSA pathway artifacts &amp; outcomes</t>
        </is>
      </c>
      <c r="C57" s="5" t="inlineStr">
        <is>
          <t>Course sequences/pathways, capstone/research/internships, STEM competition participation, postsecondary outcomes.</t>
        </is>
      </c>
      <c r="D57" s="5" t="inlineStr">
        <is>
          <t>Public: https://www.susd.org/academics/academic-programs/math-science-academy ; https://www.susd.org/academics/academic-programs/math-science-academy/levels-of-recognition ; https://saguaro.susd.org/academics/math-science-academy ; https://mohave.susd.org/academics/msa ; https://www.susd.org/departments/communications/post-viewer/~board/media-releases/post/mohave-middle-schools-math-science-academy-is-now-open-come-see-whats-possible | Internal: MSA coordinator/distinction coordinator; counseling; Innovation Center logs; course rosters/pathways; CTE/AP/DE records; competition logs; field experience records.</t>
        </is>
      </c>
      <c r="E57" s="5" t="inlineStr">
        <is>
          <t>Internal</t>
        </is>
      </c>
      <c r="F57" s="5" t="inlineStr">
        <is>
          <t>MSA-specific.</t>
        </is>
      </c>
      <c r="G57" s="100" t="n"/>
      <c r="H57" s="100" t="n"/>
      <c r="I57" s="100" t="inlineStr">
        <is>
          <t>Partial</t>
        </is>
      </c>
    </row>
    <row r="58" ht="43.5" customHeight="1" s="54">
      <c r="A58" s="5" t="inlineStr">
        <is>
          <t>E50</t>
        </is>
      </c>
      <c r="B58" s="5" t="inlineStr">
        <is>
          <t>MSA program overview (SUSD)</t>
        </is>
      </c>
      <c r="C58" s="5" t="inlineStr">
        <is>
          <t>District-level Math &amp; Science Academy overview: mission, history (started at Saguaro in 2008), cohort classes, distinction program requirements, competition and field experience expectations.</t>
        </is>
      </c>
      <c r="D58" s="5" t="inlineStr">
        <is>
          <t>https://www.susd.org/academics/academic-programs/math-science-academy</t>
        </is>
      </c>
      <c r="E58" s="5" t="inlineStr">
        <is>
          <t>Public</t>
        </is>
      </c>
      <c r="F58" s="5" t="inlineStr">
        <is>
          <t>MSA (district overview; Saguaro + Mohave).</t>
        </is>
      </c>
      <c r="G58" s="100" t="n"/>
      <c r="H58" s="100" t="n"/>
      <c r="I58" s="100" t="inlineStr">
        <is>
          <t>Y</t>
        </is>
      </c>
    </row>
    <row r="59" ht="43.5" customHeight="1" s="54">
      <c r="A59" s="5" t="inlineStr">
        <is>
          <t>E51</t>
        </is>
      </c>
      <c r="B59" s="5" t="inlineStr">
        <is>
          <t>MSA Levels of Recognition (SUSD)</t>
        </is>
      </c>
      <c r="C59" s="5" t="inlineStr">
        <is>
          <t>Details of MSA recognition levels (Academy Member, Academy Scholar, Commended Scholar, Distinguished Graduate) and specific course/competition/service/field experience requirements.</t>
        </is>
      </c>
      <c r="D59" s="5" t="inlineStr">
        <is>
          <t>https://www.susd.org/academics/academic-programs/math-science-academy/levels-of-recognition</t>
        </is>
      </c>
      <c r="E59" s="5" t="inlineStr">
        <is>
          <t>Public</t>
        </is>
      </c>
      <c r="F59" s="5" t="inlineStr">
        <is>
          <t>MSA (recognition/distinction requirements).</t>
        </is>
      </c>
      <c r="G59" s="100" t="n"/>
      <c r="H59" s="100" t="n"/>
      <c r="I59" s="100" t="inlineStr">
        <is>
          <t>Y</t>
        </is>
      </c>
    </row>
    <row r="60" ht="43.5" customHeight="1" s="54">
      <c r="A60" s="5" t="inlineStr">
        <is>
          <t>E52</t>
        </is>
      </c>
      <c r="B60" s="5" t="inlineStr">
        <is>
          <t>MSA school page (Saguaro HS)</t>
        </is>
      </c>
      <c r="C60" s="5" t="inlineStr">
        <is>
          <t>Saguaro High School MSA page with mission/inclusivity language, coordinator roles, and links to applications, competitive opportunities, recognition requirements, and documentation forms.</t>
        </is>
      </c>
      <c r="D60" s="5" t="inlineStr">
        <is>
          <t>https://saguaro.susd.org/academics/math-science-academy</t>
        </is>
      </c>
      <c r="E60" s="5" t="inlineStr">
        <is>
          <t>Public</t>
        </is>
      </c>
      <c r="F60" s="5" t="inlineStr">
        <is>
          <t>MSA (Saguaro implementation).</t>
        </is>
      </c>
      <c r="G60" s="100" t="n"/>
      <c r="H60" s="100" t="n"/>
      <c r="I60" s="100" t="inlineStr">
        <is>
          <t>Y</t>
        </is>
      </c>
    </row>
    <row r="61" ht="43.5" customHeight="1" s="54">
      <c r="A61" s="5" t="inlineStr">
        <is>
          <t>E53</t>
        </is>
      </c>
      <c r="B61" s="5" t="inlineStr">
        <is>
          <t>MSA school page (Mohave MS)</t>
        </is>
      </c>
      <c r="C61" s="5" t="inlineStr">
        <is>
          <t>Mohave Middle School MSA page describing launch, STEM learning experiences, Innovation Center resources, scholar distinction, accelerated pathways/high school credit, and transition to Saguaro MSA.</t>
        </is>
      </c>
      <c r="D61" s="5" t="inlineStr">
        <is>
          <t>https://mohave.susd.org/academics/msa</t>
        </is>
      </c>
      <c r="E61" s="5" t="inlineStr">
        <is>
          <t>Public</t>
        </is>
      </c>
      <c r="F61" s="5" t="inlineStr">
        <is>
          <t>MSA (Mohave implementation).</t>
        </is>
      </c>
      <c r="G61" s="100" t="n"/>
      <c r="H61" s="100" t="n"/>
      <c r="I61" s="100" t="inlineStr">
        <is>
          <t>Y</t>
        </is>
      </c>
    </row>
    <row r="62" ht="43.5" customHeight="1" s="54">
      <c r="A62" s="5" t="inlineStr">
        <is>
          <t>E54</t>
        </is>
      </c>
      <c r="B62" s="5" t="inlineStr">
        <is>
          <t>Mohave MSA launch media release (SUSD)</t>
        </is>
      </c>
      <c r="C62" s="5" t="inlineStr">
        <is>
          <t>District communications post announcing Mohave MSA opening (SY25–26), describing program features and community open house.</t>
        </is>
      </c>
      <c r="D62" s="5" t="inlineStr">
        <is>
          <t>https://www.susd.org/departments/communications/post-viewer/~board/media-releases/post/mohave-middle-schools-math-science-academy-is-now-open-come-see-whats-possible</t>
        </is>
      </c>
      <c r="E62" s="5" t="inlineStr">
        <is>
          <t>Public</t>
        </is>
      </c>
      <c r="F62" s="5" t="inlineStr">
        <is>
          <t>MSA (Mohave launch; context for demand/comms).</t>
        </is>
      </c>
      <c r="G62" s="100" t="n"/>
      <c r="H62" s="100" t="n"/>
      <c r="I62" s="100" t="inlineStr">
        <is>
          <t>Y</t>
        </is>
      </c>
    </row>
    <row r="63" ht="43.5" customHeight="1" s="54">
      <c r="A63" s="5" t="inlineStr">
        <is>
          <t>E55</t>
        </is>
      </c>
      <c r="B63" s="5" t="inlineStr">
        <is>
          <t>MSA competitive opportunities (Saguaro)</t>
        </is>
      </c>
      <c r="C63" s="5" t="inlineStr">
        <is>
          <t>Lists of STEM competitions and opportunities (e.g., AMC, Chemistry Olympiad, AzSEF, CyberPatriot) and related documentation expectations.</t>
        </is>
      </c>
      <c r="D63" s="5" t="inlineStr">
        <is>
          <t>https://saguaro.susd.org/academics/math-science-academy/msa-competitive-opportunities</t>
        </is>
      </c>
      <c r="E63" s="5" t="inlineStr">
        <is>
          <t>Public</t>
        </is>
      </c>
      <c r="F63" s="5" t="inlineStr">
        <is>
          <t>MSA (student experience; enrichment/competitions).</t>
        </is>
      </c>
      <c r="G63" s="100" t="n"/>
      <c r="H63" s="100" t="n"/>
      <c r="I63" s="100" t="inlineStr">
        <is>
          <t>Y</t>
        </is>
      </c>
    </row>
    <row r="64" ht="43.5" customHeight="1" s="54">
      <c r="A64" s="5" t="inlineStr">
        <is>
          <t>E56</t>
        </is>
      </c>
      <c r="B64" s="5" t="inlineStr">
        <is>
          <t>MSA field experience &amp; internships (Saguaro)</t>
        </is>
      </c>
      <c r="C64" s="5" t="inlineStr">
        <is>
          <t>Upperclassmen capstone/field experience guidance + program of study application details; indicates competition requirements and logging.</t>
        </is>
      </c>
      <c r="D64" s="5" t="inlineStr">
        <is>
          <t>https://saguaro.susd.org/academics/math-science-academy/juniors</t>
        </is>
      </c>
      <c r="E64" s="5" t="inlineStr">
        <is>
          <t>Public</t>
        </is>
      </c>
      <c r="F64" s="5" t="inlineStr">
        <is>
          <t>MSA (capstone/field experience; competitions).</t>
        </is>
      </c>
      <c r="G64" s="100" t="n"/>
      <c r="H64" s="100" t="n"/>
      <c r="I64" s="100" t="inlineStr">
        <is>
          <t>Y</t>
        </is>
      </c>
    </row>
    <row r="65" ht="43.5" customHeight="1" s="54">
      <c r="A65" s="5" t="inlineStr">
        <is>
          <t>E57</t>
        </is>
      </c>
      <c r="B65" s="5" t="inlineStr">
        <is>
          <t>MSA Coordinator role description (external posting)</t>
        </is>
      </c>
      <c r="C65" s="5" t="inlineStr">
        <is>
          <t>Job posting describing MSA coordinator responsibilities and Innovation Center maker-space equipment; useful for understanding staffing/operations and facilities.</t>
        </is>
      </c>
      <c r="D65" s="5" t="inlineStr">
        <is>
          <t>https://scottsdale.tedk12.com/hire/Admin/JobPostingPrintView.aspx?Internal=&amp;JobID=11116</t>
        </is>
      </c>
      <c r="E65" s="5" t="inlineStr">
        <is>
          <t>Public</t>
        </is>
      </c>
      <c r="F65" s="5" t="inlineStr">
        <is>
          <t>MSA (operations/staffing/facilities).</t>
        </is>
      </c>
      <c r="G65" s="100" t="n"/>
      <c r="H65" s="100" t="n"/>
      <c r="I65" s="100" t="inlineStr">
        <is>
          <t>Y</t>
        </is>
      </c>
    </row>
    <row r="66" ht="43.5" customHeight="1" s="54">
      <c r="A66" s="5" t="inlineStr">
        <is>
          <t>E58</t>
        </is>
      </c>
      <c r="B66" s="5" t="inlineStr">
        <is>
          <t>STEM Certified Schools overview (SUSD)</t>
        </is>
      </c>
      <c r="C66" s="5" t="inlineStr">
        <is>
          <t>District overview of Cognia STEM-accredited schools (Laguna, Navajo, Saguaro) and certification process (four domains; peer observations; artifacts).</t>
        </is>
      </c>
      <c r="D66" s="5" t="inlineStr">
        <is>
          <t>https://www.susd.org/academics/academic-programs/stem-certified-schools</t>
        </is>
      </c>
      <c r="E66" s="5" t="inlineStr">
        <is>
          <t>Public</t>
        </is>
      </c>
      <c r="F66" s="5" t="inlineStr">
        <is>
          <t>STEAM/STEM Certified Schools.</t>
        </is>
      </c>
      <c r="G66" s="100" t="n"/>
      <c r="H66" s="100" t="n"/>
      <c r="I66" s="100" t="inlineStr">
        <is>
          <t>Y</t>
        </is>
      </c>
    </row>
    <row r="67" ht="43.5" customHeight="1" s="54">
      <c r="A67" s="5" t="inlineStr">
        <is>
          <t>E59</t>
        </is>
      </c>
      <c r="B67" s="5" t="inlineStr">
        <is>
          <t>Laguna Academics (Cognia STEM + programs)</t>
        </is>
      </c>
      <c r="C67" s="5" t="inlineStr">
        <is>
          <t>Laguna academics page: Cognia STEM certification description + unique programs list (e.g., makerspace, science club/fair, robotics/coding).</t>
        </is>
      </c>
      <c r="D67" s="5" t="inlineStr">
        <is>
          <t>https://laguna.susd.org/academics</t>
        </is>
      </c>
      <c r="E67" s="5" t="inlineStr">
        <is>
          <t>Public</t>
        </is>
      </c>
      <c r="F67" s="5" t="inlineStr">
        <is>
          <t>STEAM (Laguna).</t>
        </is>
      </c>
      <c r="G67" s="100" t="n"/>
      <c r="H67" s="100" t="n"/>
      <c r="I67" s="100" t="inlineStr">
        <is>
          <t>Y</t>
        </is>
      </c>
    </row>
    <row r="68" ht="43.5" customHeight="1" s="54">
      <c r="A68" s="5" t="inlineStr">
        <is>
          <t>E60</t>
        </is>
      </c>
      <c r="B68" s="5" t="inlineStr">
        <is>
          <t>Navajo Academics (Cognia STEM + STEAM + programs)</t>
        </is>
      </c>
      <c r="C68" s="5" t="inlineStr">
        <is>
          <t>Navajo academics page: Cognia STEM certification description; STEAM definition; program list (e.g., enrichment clubs, early bird, after-school partnership).</t>
        </is>
      </c>
      <c r="D68" s="5" t="inlineStr">
        <is>
          <t>https://navajo.susd.org/academics</t>
        </is>
      </c>
      <c r="E68" s="5" t="inlineStr">
        <is>
          <t>Public</t>
        </is>
      </c>
      <c r="F68" s="5" t="inlineStr">
        <is>
          <t>STEAM (Navajo).</t>
        </is>
      </c>
      <c r="G68" s="100" t="n"/>
      <c r="H68" s="100" t="n"/>
      <c r="I68" s="100" t="inlineStr">
        <is>
          <t>Y</t>
        </is>
      </c>
    </row>
    <row r="69" ht="43.5" customHeight="1" s="54">
      <c r="A69" s="5" t="inlineStr">
        <is>
          <t>E61</t>
        </is>
      </c>
      <c r="B69" s="5" t="inlineStr">
        <is>
          <t>Navajo Our School (culture + partnerships)</t>
        </is>
      </c>
      <c r="C69" s="5" t="inlineStr">
        <is>
          <t>Navajo 'Our School' page: emphasis on 4Cs, Innovators Lab, partnerships (incl. Saguaro MSA) and family engagement events (e.g., Family STEAM nights).</t>
        </is>
      </c>
      <c r="D69" s="5" t="inlineStr">
        <is>
          <t>https://navajo.susd.org/our-school</t>
        </is>
      </c>
      <c r="E69" s="5" t="inlineStr">
        <is>
          <t>Public</t>
        </is>
      </c>
      <c r="F69" s="5" t="inlineStr">
        <is>
          <t>STEAM (Navajo culture/stakeholder engagement).</t>
        </is>
      </c>
      <c r="G69" s="100" t="n"/>
      <c r="H69" s="100" t="n"/>
      <c r="I69" s="100" t="inlineStr">
        <is>
          <t>Y</t>
        </is>
      </c>
    </row>
    <row r="70" ht="43.5" customHeight="1" s="54">
      <c r="A70" s="5" t="inlineStr">
        <is>
          <t>E62</t>
        </is>
      </c>
      <c r="B70" s="5" t="inlineStr">
        <is>
          <t>SUSD STEM K–12 overview</t>
        </is>
      </c>
      <c r="C70" s="5" t="inlineStr">
        <is>
          <t>District STEM K–12 page describing STEM learning experiences and district approach/resources.</t>
        </is>
      </c>
      <c r="D70" s="5" t="inlineStr">
        <is>
          <t>https://www.susd.org/stem-k12</t>
        </is>
      </c>
      <c r="E70" s="5" t="inlineStr">
        <is>
          <t>Public</t>
        </is>
      </c>
      <c r="F70" s="5" t="inlineStr">
        <is>
          <t>District STEM landscape context; STEAM relevance.</t>
        </is>
      </c>
      <c r="G70" s="100" t="n"/>
      <c r="H70" s="100" t="n"/>
      <c r="I70" s="100" t="inlineStr">
        <is>
          <t>Y</t>
        </is>
      </c>
    </row>
    <row r="71" ht="43.5" customHeight="1" s="54">
      <c r="A71" s="5" t="inlineStr">
        <is>
          <t>E63</t>
        </is>
      </c>
      <c r="B71" s="5" t="inlineStr">
        <is>
          <t>Cognia STEM certification standards (reference)</t>
        </is>
      </c>
      <c r="C71" s="5" t="inlineStr">
        <is>
          <t>External reference for what Cognia STEM certification entails (overview + standards/performance guidance).</t>
        </is>
      </c>
      <c r="D71" s="5" t="inlineStr">
        <is>
          <t>https://www.cognia.org/stem-certification/ ; https://www.cognia.org/wp-content/uploads/2022/08/Performance-Standards-for-STEM.pdf</t>
        </is>
      </c>
      <c r="E71" s="5" t="inlineStr">
        <is>
          <t>Public</t>
        </is>
      </c>
      <c r="F71" s="5" t="inlineStr">
        <is>
          <t>Reference/benchmark for STEM certification evidence expectations.</t>
        </is>
      </c>
      <c r="G71" s="100" t="n"/>
      <c r="H71" s="100" t="n"/>
      <c r="I71" s="100" t="inlineStr">
        <is>
          <t>Y</t>
        </is>
      </c>
    </row>
    <row r="72" ht="87" customHeight="1" s="54">
      <c r="A72" s="55" t="inlineStr">
        <is>
          <t>E64</t>
        </is>
      </c>
      <c r="B72" s="55" t="inlineStr">
        <is>
          <t>MSA Initial Application (cohort placement)</t>
        </is>
      </c>
      <c r="C72" s="55" t="inlineStr">
        <is>
          <t>Google Form for initial membership and optional cohort placement; includes student focus area selection and booster email opt-in/out.</t>
        </is>
      </c>
      <c r="D72" s="55" t="inlineStr">
        <is>
          <t>https://docs.google.com/forms/d/e/1FAIpQLScB0u8R3BUTkTAL3jTyQrvIOOSS-1JBGtRVGCLpTio2sONRSQ/viewform?usp=pp_url</t>
        </is>
      </c>
      <c r="E72" s="55" t="inlineStr">
        <is>
          <t>Public (form content visible)</t>
        </is>
      </c>
      <c r="F72" s="55" t="inlineStr">
        <is>
          <t>MSA (implementation: intake, cohort scheduling, family comms).</t>
        </is>
      </c>
      <c r="G72" s="100" t="n"/>
      <c r="H72" s="100" t="n"/>
      <c r="I72" s="100" t="inlineStr">
        <is>
          <t>Y</t>
        </is>
      </c>
    </row>
    <row r="73" ht="101.5" customHeight="1" s="54">
      <c r="A73" s="55" t="inlineStr">
        <is>
          <t>E65</t>
        </is>
      </c>
      <c r="B73" s="55" t="inlineStr">
        <is>
          <t>MSA Scholar / Commended Scholar / Distinction Application (upperclassman)</t>
        </is>
      </c>
      <c r="C73" s="55" t="inlineStr">
        <is>
          <t>Google Form for upperclassman recognition pathway; captures competitions, field experience, community service, and meeting request for Program of Study.</t>
        </is>
      </c>
      <c r="D73" s="55" t="inlineStr">
        <is>
          <t>https://docs.google.com/forms/d/e/1FAIpQLSeqaU6FJP4EKRoI_NkhfIZ-zFd_EH24u2R0b5fE1xMi6SlJ8Q/viewform?usp=pp_url</t>
        </is>
      </c>
      <c r="E73" s="55" t="inlineStr">
        <is>
          <t>Public (form content visible)</t>
        </is>
      </c>
      <c r="F73" s="55" t="inlineStr">
        <is>
          <t>MSA (implementation: progression/recognition requirements, advising).</t>
        </is>
      </c>
      <c r="G73" s="100" t="n"/>
      <c r="H73" s="100" t="n"/>
      <c r="I73" s="100" t="inlineStr">
        <is>
          <t>Y</t>
        </is>
      </c>
    </row>
    <row r="74" ht="87" customHeight="1" s="54">
      <c r="A74" s="55" t="inlineStr">
        <is>
          <t>E66</t>
        </is>
      </c>
      <c r="B74" s="55" t="inlineStr">
        <is>
          <t>MSA Student &amp; Parent Information Meeting flyer (Nov 2024)</t>
        </is>
      </c>
      <c r="C74" s="55" t="inlineStr">
        <is>
          <t>Flyer describing information meeting covering cohort application, levels of recognition, and Commended Scholar/Distinguished Graduate application process; hosted in Saguaro Innovation Center.</t>
        </is>
      </c>
      <c r="D74" s="55" t="inlineStr">
        <is>
          <t>https://www.susd.org/fs/resource-manager/view/fba819f9-911a-4b9c-bedb-ede911bb88fe</t>
        </is>
      </c>
      <c r="E74" s="55" t="inlineStr">
        <is>
          <t>Public</t>
        </is>
      </c>
      <c r="F74" s="55" t="inlineStr">
        <is>
          <t>MSA (stakeholder communication + implementation supports).</t>
        </is>
      </c>
      <c r="G74" s="100" t="n"/>
      <c r="H74" s="100" t="n"/>
      <c r="I74" s="100" t="inlineStr">
        <is>
          <t>Y</t>
        </is>
      </c>
    </row>
    <row r="75" ht="101.5" customHeight="1" s="54">
      <c r="A75" s="55" t="inlineStr">
        <is>
          <t>E67</t>
        </is>
      </c>
      <c r="B75" s="55" t="inlineStr">
        <is>
          <t>Saguaro HS School Profile PDF (2022–23) — includes MSA description</t>
        </is>
      </c>
      <c r="C75" s="55" t="inlineStr">
        <is>
          <t>School profile includes MSA student counts, senior cohort/candidates for distinction, and narrative describing MSA course load, Innovation Center access, Cognia STEM certification, recognition requirements, and examples of field experiences.</t>
        </is>
      </c>
      <c r="D75" s="55" t="inlineStr">
        <is>
          <t>https://saguaro.susd.org/fs/resource-manager/view/d02ac368-f793-4ac1-8232-2548c994d06c</t>
        </is>
      </c>
      <c r="E75" s="55" t="inlineStr">
        <is>
          <t>Public</t>
        </is>
      </c>
      <c r="F75" s="55" t="inlineStr">
        <is>
          <t>MSA (baseline scale + implementation features); also STEM certification context.</t>
        </is>
      </c>
      <c r="G75" s="100" t="n"/>
      <c r="H75" s="100" t="n"/>
      <c r="I75" s="100" t="inlineStr">
        <is>
          <t>Y</t>
        </is>
      </c>
    </row>
    <row r="76" ht="58" customHeight="1" s="54">
      <c r="A76" s="55" t="inlineStr">
        <is>
          <t>E68</t>
        </is>
      </c>
      <c r="B76" s="55" t="inlineStr">
        <is>
          <t>Governing Board meeting minutes recognizing Laguna &amp; Navajo Cognia STEM certification (May 24, 2022)</t>
        </is>
      </c>
      <c r="C76" s="55" t="inlineStr">
        <is>
          <t>Board minutes include recognition that Laguna and Navajo were awarded Cognia STEM certified school status.</t>
        </is>
      </c>
      <c r="D76" s="55" t="inlineStr">
        <is>
          <t>https://www.susd.org/fs/resource-manager/view/84349add-81d3-4ede-946c-730f3ecfe751</t>
        </is>
      </c>
      <c r="E76" s="55" t="inlineStr">
        <is>
          <t>Public</t>
        </is>
      </c>
      <c r="F76" s="55" t="inlineStr">
        <is>
          <t>STEM/STEAM (governance recognition; credibility).</t>
        </is>
      </c>
      <c r="G76" s="100" t="n"/>
      <c r="H76" s="100" t="n"/>
      <c r="I76" s="100" t="inlineStr">
        <is>
          <t>Y</t>
        </is>
      </c>
    </row>
    <row r="77" ht="72.5" customHeight="1" s="54">
      <c r="A77" s="55" t="inlineStr">
        <is>
          <t>E69</t>
        </is>
      </c>
      <c r="B77" s="55" t="inlineStr">
        <is>
          <t>Saguaro HS Academics page — Cognia STEM Certified School + Innovation Center</t>
        </is>
      </c>
      <c r="C77" s="55" t="inlineStr">
        <is>
          <t>Saguaro Academics page describes Cognia STEM certification review (4 domains; artifacts), identifies Innovation Center, and links to MSA.</t>
        </is>
      </c>
      <c r="D77" s="55" t="inlineStr">
        <is>
          <t>https://saguaro.susd.org/academics</t>
        </is>
      </c>
      <c r="E77" s="55" t="inlineStr">
        <is>
          <t>Public</t>
        </is>
      </c>
      <c r="F77" s="55" t="inlineStr">
        <is>
          <t>STEM/STEAM + MSA (schoolwide system alignment).</t>
        </is>
      </c>
      <c r="G77" s="100" t="n"/>
      <c r="H77" s="100" t="n"/>
      <c r="I77" s="100" t="inlineStr">
        <is>
          <t>Y</t>
        </is>
      </c>
    </row>
    <row r="78" ht="72.5" customHeight="1" s="54">
      <c r="A78" s="55" t="inlineStr">
        <is>
          <t>E70</t>
        </is>
      </c>
      <c r="B78" s="55" t="inlineStr">
        <is>
          <t>Laguna Elementary STEAM profile story/video index</t>
        </is>
      </c>
      <c r="C78" s="55" t="inlineStr">
        <is>
          <t>School story page highlighting STEAM identity and linking to district-produced video/podcast content; useful for communications and stakeholder engagement evidence.</t>
        </is>
      </c>
      <c r="D78" s="55" t="inlineStr">
        <is>
          <t>https://laguna.susd.org/our-school/our-stories</t>
        </is>
      </c>
      <c r="E78" s="55" t="inlineStr">
        <is>
          <t>Public</t>
        </is>
      </c>
      <c r="F78" s="55" t="inlineStr">
        <is>
          <t>STEAM (communications / stakeholder engagement).</t>
        </is>
      </c>
      <c r="G78" s="100" t="n"/>
      <c r="H78" s="100" t="n"/>
      <c r="I78" s="100" t="inlineStr">
        <is>
          <t>Y</t>
        </is>
      </c>
    </row>
    <row r="79" ht="72.5" customHeight="1" s="54">
      <c r="A79" s="55" t="inlineStr">
        <is>
          <t>E71</t>
        </is>
      </c>
      <c r="B79" s="55" t="inlineStr">
        <is>
          <t>Navajo Elementary STEAM program story/video index</t>
        </is>
      </c>
      <c r="C79" s="55" t="inlineStr">
        <is>
          <t>School story page linking to STEAM program video; useful for describing program model and communications evidence.</t>
        </is>
      </c>
      <c r="D79" s="55" t="inlineStr">
        <is>
          <t>https://navajo.susd.org/our-school/our-stories</t>
        </is>
      </c>
      <c r="E79" s="55" t="inlineStr">
        <is>
          <t>Public</t>
        </is>
      </c>
      <c r="F79" s="55" t="inlineStr">
        <is>
          <t>STEAM (communications / stakeholder engagement).</t>
        </is>
      </c>
      <c r="G79" s="100" t="n"/>
      <c r="H79" s="100" t="n"/>
      <c r="I79" s="100" t="inlineStr">
        <is>
          <t>Y</t>
        </is>
      </c>
    </row>
    <row r="80" ht="58" customHeight="1" s="54">
      <c r="A80" s="55" t="inlineStr">
        <is>
          <t>E72</t>
        </is>
      </c>
      <c r="B80" s="55" t="inlineStr">
        <is>
          <t>SUSD STEM K–12 page (overview)</t>
        </is>
      </c>
      <c r="C80" s="55" t="inlineStr">
        <is>
          <t>District page describing STEM schools and Cognia STEM accreditation; overlaps with STEM Certified Schools page but framed in K–12 innovation context.</t>
        </is>
      </c>
      <c r="D80" s="55" t="inlineStr">
        <is>
          <t>https://www.susd.org/stem-k12</t>
        </is>
      </c>
      <c r="E80" s="55" t="inlineStr">
        <is>
          <t>Public</t>
        </is>
      </c>
      <c r="F80" s="55" t="inlineStr">
        <is>
          <t>STEM/STEAM (district narrative/strategy).</t>
        </is>
      </c>
      <c r="G80" s="100" t="n"/>
      <c r="H80" s="100" t="n"/>
      <c r="I80" s="100" t="inlineStr">
        <is>
          <t>Y</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M137"/>
  <sheetViews>
    <sheetView showGridLines="0" zoomScale="85" zoomScaleNormal="85" workbookViewId="0">
      <pane xSplit="1" ySplit="1" topLeftCell="B2" activePane="bottomRight" state="frozen"/>
      <selection pane="topRight" activeCell="B1" sqref="B1"/>
      <selection pane="bottomLeft" activeCell="A2" sqref="A2"/>
      <selection pane="bottomRight" activeCell="G1" sqref="G1"/>
    </sheetView>
  </sheetViews>
  <sheetFormatPr baseColWidth="8" defaultRowHeight="14.5"/>
  <cols>
    <col width="16" customWidth="1" style="54" min="1" max="1"/>
    <col width="22" customWidth="1" style="54" min="2" max="2"/>
    <col width="44" customWidth="1" style="54" min="3" max="3"/>
    <col width="16" customWidth="1" style="54" min="4" max="4"/>
    <col width="30" customWidth="1" style="54" min="5" max="5"/>
    <col width="18" customWidth="1" style="54" min="6" max="7"/>
    <col width="16" customWidth="1" style="54" min="7" max="7"/>
    <col width="32" customWidth="1" style="54" min="8" max="8"/>
    <col width="40" customWidth="1" style="54" min="9" max="9"/>
    <col width="24" customWidth="1" style="54" min="10" max="10"/>
    <col width="26.4" customWidth="1" style="54" min="11" max="11"/>
    <col width="16" customWidth="1" style="54" min="12" max="12"/>
    <col width="31.2" customWidth="1" style="54" min="13" max="13"/>
  </cols>
  <sheetData>
    <row r="1" ht="43.5" customHeight="1" s="54">
      <c r="A1" s="99" t="inlineStr">
        <is>
          <t>QI ID</t>
        </is>
      </c>
      <c r="B1" s="99" t="inlineStr">
        <is>
          <t>Domain</t>
        </is>
      </c>
      <c r="C1" s="99" t="inlineStr">
        <is>
          <t>Indicator / Guiding Question</t>
        </is>
      </c>
      <c r="D1" s="99" t="inlineStr">
        <is>
          <t>Evidence ID</t>
        </is>
      </c>
      <c r="E1" s="99" t="inlineStr">
        <is>
          <t>Evidence artifact</t>
        </is>
      </c>
      <c r="F1" s="99" t="inlineStr">
        <is>
          <t>Priority (Must/Should/Could)</t>
        </is>
      </c>
      <c r="G1" s="99" t="inlineStr">
        <is>
          <t>Program applicability</t>
        </is>
      </c>
      <c r="H1" s="99" t="inlineStr">
        <is>
          <t>Where to find / likely sources</t>
        </is>
      </c>
      <c r="I1" s="99" t="inlineStr">
        <is>
          <t>What 'good' looks like (look-fors)</t>
        </is>
      </c>
      <c r="J1" s="99" t="inlineStr">
        <is>
          <t>Notes</t>
        </is>
      </c>
      <c r="K1" s="99" t="inlineStr">
        <is>
          <t>Lens (Existing review)</t>
        </is>
      </c>
      <c r="L1" s="99" t="inlineStr">
        <is>
          <t>Tier (1/2/3)</t>
        </is>
      </c>
      <c r="M1" s="99" t="inlineStr">
        <is>
          <t>Public-safe? (Y/N/Partial)</t>
        </is>
      </c>
    </row>
    <row r="2" ht="58" customHeight="1" s="54">
      <c r="A2" s="5" t="inlineStr">
        <is>
          <t>QI-01</t>
        </is>
      </c>
      <c r="B2" s="5" t="inlineStr">
        <is>
          <t>Alignment &amp; Purpose</t>
        </is>
      </c>
      <c r="C2" s="5" t="inlineStr">
        <is>
          <t>Aligns with district/school mission, vision, and strategic goals</t>
        </is>
      </c>
      <c r="D2" s="5" t="inlineStr">
        <is>
          <t>E02</t>
        </is>
      </c>
      <c r="E2" s="5" t="inlineStr">
        <is>
          <t>Mission/strategic alignment crosswalk</t>
        </is>
      </c>
      <c r="F2" s="5" t="inlineStr">
        <is>
          <t>Must</t>
        </is>
      </c>
      <c r="G2" s="5" t="inlineStr">
        <is>
          <t>All</t>
        </is>
      </c>
      <c r="H2" s="5" t="inlineStr">
        <is>
          <t>District strategic plan; school improvement plan; program proposal; site admin notes</t>
        </is>
      </c>
      <c r="I2" s="5" t="inlineStr">
        <is>
          <t>Shows explicit link to mission/strategic priorities (not just a tagline); includes 2–4 concrete connections and intended value-add; signed/owned by program/site leadership.</t>
        </is>
      </c>
      <c r="J2" s="5" t="n"/>
      <c r="K2" s="100" t="n"/>
      <c r="L2" s="100" t="n">
        <v>1</v>
      </c>
      <c r="M2" s="100" t="inlineStr">
        <is>
          <t>Partial</t>
        </is>
      </c>
    </row>
    <row r="3" ht="58" customHeight="1" s="54">
      <c r="A3" s="5" t="inlineStr">
        <is>
          <t>QI-01</t>
        </is>
      </c>
      <c r="B3" s="5" t="inlineStr">
        <is>
          <t>Alignment &amp; Purpose</t>
        </is>
      </c>
      <c r="C3" s="5" t="inlineStr">
        <is>
          <t>Aligns with district/school mission, vision, and strategic goals</t>
        </is>
      </c>
      <c r="D3" s="5" t="inlineStr">
        <is>
          <t>E01</t>
        </is>
      </c>
      <c r="E3" s="5" t="inlineStr">
        <is>
          <t>Program overview / charter</t>
        </is>
      </c>
      <c r="F3" s="5" t="inlineStr">
        <is>
          <t>Must</t>
        </is>
      </c>
      <c r="G3" s="5" t="inlineStr">
        <is>
          <t>All</t>
        </is>
      </c>
      <c r="H3" s="5" t="inlineStr">
        <is>
          <t>SUSD program page; school site page; program handbook; board/committee docs</t>
        </is>
      </c>
      <c r="I3" s="5" t="inlineStr">
        <is>
          <t>Clear, accurate, and current (this year); identifies core components (non-negotiables) and target students; aligns with what sites are actually doing.</t>
        </is>
      </c>
      <c r="J3" s="5" t="n"/>
      <c r="K3" s="100" t="n"/>
      <c r="L3" s="100" t="n">
        <v>1</v>
      </c>
      <c r="M3" s="100" t="inlineStr">
        <is>
          <t>Y</t>
        </is>
      </c>
    </row>
    <row r="4" ht="58" customHeight="1" s="54">
      <c r="A4" s="5" t="inlineStr">
        <is>
          <t>QI-02</t>
        </is>
      </c>
      <c r="B4" s="5" t="inlineStr">
        <is>
          <t>Alignment &amp; Purpose</t>
        </is>
      </c>
      <c r="C4" s="5" t="inlineStr">
        <is>
          <t>Supports curriculum standards (local/state/national)</t>
        </is>
      </c>
      <c r="D4" s="5" t="inlineStr">
        <is>
          <t>E03</t>
        </is>
      </c>
      <c r="E4" s="5" t="inlineStr">
        <is>
          <t>Standards &amp; curriculum alignment map</t>
        </is>
      </c>
      <c r="F4" s="5" t="inlineStr">
        <is>
          <t>Must</t>
        </is>
      </c>
      <c r="G4" s="5" t="inlineStr">
        <is>
          <t>All</t>
        </is>
      </c>
      <c r="H4" s="5" t="inlineStr">
        <is>
          <t>Curriculum dept; course catalogs; unit plans; provider frameworks</t>
        </is>
      </c>
      <c r="I4" s="5" t="inlineStr">
        <is>
          <t>Includes clear alignment to AZ standards and/or program frameworks; shows scope/sequence and assessment alignment; evidence of teacher use (pacing/units).</t>
        </is>
      </c>
      <c r="J4" s="5" t="n"/>
      <c r="K4" s="100" t="n"/>
      <c r="L4" s="100" t="n">
        <v>1</v>
      </c>
      <c r="M4" s="100" t="inlineStr">
        <is>
          <t>Partial</t>
        </is>
      </c>
    </row>
    <row r="5" ht="58" customHeight="1" s="54">
      <c r="A5" s="5" t="inlineStr">
        <is>
          <t>QI-02</t>
        </is>
      </c>
      <c r="B5" s="5" t="inlineStr">
        <is>
          <t>Alignment &amp; Purpose</t>
        </is>
      </c>
      <c r="C5" s="5" t="inlineStr">
        <is>
          <t>Supports curriculum standards (local/state/national)</t>
        </is>
      </c>
      <c r="D5" s="5" t="inlineStr">
        <is>
          <t>P01</t>
        </is>
      </c>
      <c r="E5" s="5" t="inlineStr">
        <is>
          <t>IB authorization &amp; evaluation documentation</t>
        </is>
      </c>
      <c r="F5" s="5" t="inlineStr">
        <is>
          <t>Could</t>
        </is>
      </c>
      <c r="G5" s="5" t="inlineStr">
        <is>
          <t>IB</t>
        </is>
      </c>
      <c r="H5" s="5" t="inlineStr">
        <is>
          <t>IB coordinator; IB portal docs; site leadership</t>
        </is>
      </c>
      <c r="I5" s="5" t="inlineStr">
        <is>
          <t>Authorization/evaluation status is current; findings and required actions documented; evidence of follow-through on recommendations.</t>
        </is>
      </c>
      <c r="J5" s="5" t="inlineStr">
        <is>
          <t>If applicable: show program standards/requirements alignment artifacts.</t>
        </is>
      </c>
      <c r="K5" s="100" t="n"/>
      <c r="L5" s="100" t="n">
        <v>3</v>
      </c>
      <c r="M5" s="100" t="inlineStr">
        <is>
          <t>Partial</t>
        </is>
      </c>
    </row>
    <row r="6" ht="58" customHeight="1" s="54">
      <c r="A6" s="5" t="inlineStr">
        <is>
          <t>QI-03</t>
        </is>
      </c>
      <c r="B6" s="5" t="inlineStr">
        <is>
          <t>Alignment &amp; Purpose</t>
        </is>
      </c>
      <c r="C6" s="5" t="inlineStr">
        <is>
          <t>Clear evidence of need for the program</t>
        </is>
      </c>
      <c r="D6" s="5" t="inlineStr">
        <is>
          <t>E04</t>
        </is>
      </c>
      <c r="E6" s="5" t="inlineStr">
        <is>
          <t>Needs assessment / problem statement with data</t>
        </is>
      </c>
      <c r="F6" s="5" t="inlineStr">
        <is>
          <t>Must</t>
        </is>
      </c>
      <c r="G6" s="5" t="inlineStr">
        <is>
          <t>All</t>
        </is>
      </c>
      <c r="H6" s="5" t="inlineStr">
        <is>
          <t>District assessment dashboards; enrollment trends; surveys; SIP needs assessment</t>
        </is>
      </c>
      <c r="I6" s="5" t="inlineStr">
        <is>
          <t>Uses local data (baseline + trend) and/or clearly documented stakeholder demand; identifies root cause and why this program is the right lever; includes who benefits.</t>
        </is>
      </c>
      <c r="J6" s="5" t="n"/>
      <c r="K6" s="100" t="n"/>
      <c r="L6" s="100" t="n">
        <v>1</v>
      </c>
      <c r="M6" s="100" t="inlineStr">
        <is>
          <t>Partial</t>
        </is>
      </c>
    </row>
    <row r="7" ht="58" customHeight="1" s="54">
      <c r="A7" s="5" t="inlineStr">
        <is>
          <t>QI-03</t>
        </is>
      </c>
      <c r="B7" s="5" t="inlineStr">
        <is>
          <t>Alignment &amp; Purpose</t>
        </is>
      </c>
      <c r="C7" s="5" t="inlineStr">
        <is>
          <t>Clear evidence of need for the program</t>
        </is>
      </c>
      <c r="D7" s="5" t="inlineStr">
        <is>
          <t>E08</t>
        </is>
      </c>
      <c r="E7" s="5" t="inlineStr">
        <is>
          <t>Demand / participation evidence</t>
        </is>
      </c>
      <c r="F7" s="5" t="inlineStr">
        <is>
          <t>Should</t>
        </is>
      </c>
      <c r="G7" s="5" t="inlineStr">
        <is>
          <t>All</t>
        </is>
      </c>
      <c r="H7" s="5" t="inlineStr">
        <is>
          <t>Enrollment office reports; Infinite Campus exports; application forms</t>
        </is>
      </c>
      <c r="I7" s="5" t="inlineStr">
        <is>
          <t>Shows demand over multiple years where possible; includes participation, retention, and waitlist/application patterns; disaggregated by subgroup and site.</t>
        </is>
      </c>
      <c r="J7" s="5" t="inlineStr">
        <is>
          <t>Demand and retention/attrition patterns help validate need.</t>
        </is>
      </c>
      <c r="K7" s="100" t="n"/>
      <c r="L7" s="100" t="n">
        <v>2</v>
      </c>
      <c r="M7" s="100" t="inlineStr">
        <is>
          <t>Partial</t>
        </is>
      </c>
    </row>
    <row r="8" ht="58" customHeight="1" s="54">
      <c r="A8" s="5" t="inlineStr">
        <is>
          <t>QI-04</t>
        </is>
      </c>
      <c r="B8" s="5" t="inlineStr">
        <is>
          <t>Alignment &amp; Purpose</t>
        </is>
      </c>
      <c r="C8" s="5" t="inlineStr">
        <is>
          <t>Intended outcomes are well-defined and measurable</t>
        </is>
      </c>
      <c r="D8" s="5" t="inlineStr">
        <is>
          <t>E05</t>
        </is>
      </c>
      <c r="E8" s="5" t="inlineStr">
        <is>
          <t>Outcomes &amp; logic model (SMART goals)</t>
        </is>
      </c>
      <c r="F8" s="5" t="inlineStr">
        <is>
          <t>Must</t>
        </is>
      </c>
      <c r="G8" s="5" t="inlineStr">
        <is>
          <t>All</t>
        </is>
      </c>
      <c r="H8" s="5" t="inlineStr">
        <is>
          <t>Program plan; SIP; grant proposal; logic model doc</t>
        </is>
      </c>
      <c r="I8" s="5" t="inlineStr">
        <is>
          <t>SMART outcomes with baseline, target, timeline, and owner; includes both implementation outputs and student outcomes; avoids vague language.</t>
        </is>
      </c>
      <c r="J8" s="5" t="n"/>
      <c r="K8" s="100" t="n"/>
      <c r="L8" s="100" t="n">
        <v>1</v>
      </c>
      <c r="M8" s="100" t="inlineStr">
        <is>
          <t>Partial</t>
        </is>
      </c>
    </row>
    <row r="9" ht="58" customHeight="1" s="54">
      <c r="A9" s="5" t="inlineStr">
        <is>
          <t>QI-04</t>
        </is>
      </c>
      <c r="B9" s="5" t="inlineStr">
        <is>
          <t>Alignment &amp; Purpose</t>
        </is>
      </c>
      <c r="C9" s="5" t="inlineStr">
        <is>
          <t>Intended outcomes are well-defined and measurable</t>
        </is>
      </c>
      <c r="D9" s="5" t="inlineStr">
        <is>
          <t>E10</t>
        </is>
      </c>
      <c r="E9" s="5" t="inlineStr">
        <is>
          <t>KPI/metrics definition sheet</t>
        </is>
      </c>
      <c r="F9" s="5" t="inlineStr">
        <is>
          <t>Should</t>
        </is>
      </c>
      <c r="G9" s="5" t="inlineStr">
        <is>
          <t>All</t>
        </is>
      </c>
      <c r="H9" s="5" t="inlineStr">
        <is>
          <t>Program evaluation plan; dashboard spec; data office</t>
        </is>
      </c>
      <c r="I9" s="5" t="inlineStr">
        <is>
          <t>Metrics are defined (formula, source, cadence); limited set of leading/lagging indicators; clear targets and who reviews them.</t>
        </is>
      </c>
      <c r="J9" s="5" t="n"/>
      <c r="K9" s="100" t="n"/>
      <c r="L9" s="100" t="n">
        <v>2</v>
      </c>
      <c r="M9" s="100" t="inlineStr">
        <is>
          <t>Partial</t>
        </is>
      </c>
    </row>
    <row r="10" ht="58" customHeight="1" s="54">
      <c r="A10" s="5" t="inlineStr">
        <is>
          <t>QI-05</t>
        </is>
      </c>
      <c r="B10" s="5" t="inlineStr">
        <is>
          <t>Alignment &amp; Purpose</t>
        </is>
      </c>
      <c r="C10" s="5" t="inlineStr">
        <is>
          <t>Serves an unmet need vs. duplicates existing programming</t>
        </is>
      </c>
      <c r="D10" s="5" t="inlineStr">
        <is>
          <t>E06</t>
        </is>
      </c>
      <c r="E10" s="5" t="inlineStr">
        <is>
          <t>Program landscape / duplication analysis</t>
        </is>
      </c>
      <c r="F10" s="5" t="inlineStr">
        <is>
          <t>Must</t>
        </is>
      </c>
      <c r="G10" s="5" t="inlineStr">
        <is>
          <t>All</t>
        </is>
      </c>
      <c r="H10" s="5" t="inlineStr">
        <is>
          <t>Program office; school choice/enrollment docs; C&amp;I inventory</t>
        </is>
      </c>
      <c r="I10" s="5" t="inlineStr">
        <is>
          <t>Identifies similar offerings and clarifies differentiation; articulates complementarity and avoids redundancy; includes decision rationale if overlap exists.</t>
        </is>
      </c>
      <c r="J10" s="5" t="n"/>
      <c r="K10" s="100" t="n"/>
      <c r="L10" s="100" t="n">
        <v>1</v>
      </c>
      <c r="M10" s="100" t="inlineStr">
        <is>
          <t>Partial</t>
        </is>
      </c>
    </row>
    <row r="11" ht="58" customHeight="1" s="54">
      <c r="A11" s="5" t="inlineStr">
        <is>
          <t>QI-05</t>
        </is>
      </c>
      <c r="B11" s="5" t="inlineStr">
        <is>
          <t>Alignment &amp; Purpose</t>
        </is>
      </c>
      <c r="C11" s="5" t="inlineStr">
        <is>
          <t>Serves an unmet need vs. duplicates existing programming</t>
        </is>
      </c>
      <c r="D11" s="5" t="inlineStr">
        <is>
          <t>E01</t>
        </is>
      </c>
      <c r="E11" s="5" t="inlineStr">
        <is>
          <t>Program overview / charter</t>
        </is>
      </c>
      <c r="F11" s="5" t="inlineStr">
        <is>
          <t>Should</t>
        </is>
      </c>
      <c r="G11" s="5" t="inlineStr">
        <is>
          <t>All</t>
        </is>
      </c>
      <c r="H11" s="5" t="inlineStr">
        <is>
          <t>SUSD program page; school site page; program handbook; board/committee docs</t>
        </is>
      </c>
      <c r="I11" s="5" t="inlineStr">
        <is>
          <t>Clear, accurate, and current (this year); identifies core components (non-negotiables) and target students; aligns with what sites are actually doing.</t>
        </is>
      </c>
      <c r="J11" s="5" t="inlineStr">
        <is>
          <t>Include differentiation statement in overview.</t>
        </is>
      </c>
      <c r="K11" s="100" t="n"/>
      <c r="L11" s="100" t="n">
        <v>2</v>
      </c>
      <c r="M11" s="100" t="inlineStr">
        <is>
          <t>Y</t>
        </is>
      </c>
    </row>
    <row r="12" ht="72.5" customHeight="1" s="54">
      <c r="A12" t="inlineStr">
        <is>
          <t>QI-05</t>
        </is>
      </c>
      <c r="B12" t="inlineStr">
        <is>
          <t>Alignment &amp; Purpose</t>
        </is>
      </c>
      <c r="C12" t="inlineStr">
        <is>
          <t>Serves an unmet need vs. duplicates existing programming</t>
        </is>
      </c>
      <c r="D12" t="inlineStr">
        <is>
          <t>E46</t>
        </is>
      </c>
      <c r="E12" t="inlineStr">
        <is>
          <t>Current-state baseline documentation (SUSD)</t>
        </is>
      </c>
      <c r="F12" t="inlineStr">
        <is>
          <t>Could</t>
        </is>
      </c>
      <c r="G12" t="inlineStr">
        <is>
          <t>All (concept studies)</t>
        </is>
      </c>
      <c r="H12" t="inlineStr">
        <is>
          <t>Board-adopted scope &amp; sequence/service model docs; existing program handbooks/pages</t>
        </is>
      </c>
      <c r="I12" t="inlineStr">
        <is>
          <t>Clearly describes what SUSD already offers (scope, eligibility, service delivery). Supports a credible differentiation/unmet-need claim.</t>
        </is>
      </c>
      <c r="J12" t="inlineStr">
        <is>
          <t>Especially useful for magnet/hub concept studies to avoid duplicating existing services.</t>
        </is>
      </c>
      <c r="K12" s="100" t="n"/>
      <c r="L12" s="100" t="n">
        <v>3</v>
      </c>
      <c r="M12" s="100" t="inlineStr">
        <is>
          <t>Y</t>
        </is>
      </c>
    </row>
    <row r="13" ht="43.5" customHeight="1" s="54">
      <c r="A13" s="5" t="inlineStr">
        <is>
          <t>QI-06</t>
        </is>
      </c>
      <c r="B13" s="5" t="inlineStr">
        <is>
          <t>Evidence &amp; Effectiveness</t>
        </is>
      </c>
      <c r="C13" s="5" t="inlineStr">
        <is>
          <t>Research-based or evidence-informed</t>
        </is>
      </c>
      <c r="D13" s="5" t="inlineStr">
        <is>
          <t>E07</t>
        </is>
      </c>
      <c r="E13" s="5" t="inlineStr">
        <is>
          <t>Research base / evidence summary</t>
        </is>
      </c>
      <c r="F13" s="5" t="inlineStr">
        <is>
          <t>Must</t>
        </is>
      </c>
      <c r="G13" s="5" t="inlineStr">
        <is>
          <t>All</t>
        </is>
      </c>
      <c r="H13" s="5" t="inlineStr">
        <is>
          <t>Provider research briefs; peer-reviewed literature; What Works Clearinghouse-style summaries</t>
        </is>
      </c>
      <c r="I13" s="5" t="inlineStr">
        <is>
          <t>Cites credible research and explains applicability to SUSD context; distinguishes evidence strength vs marketing; notes implementation conditions needed for success.</t>
        </is>
      </c>
      <c r="J13" s="5" t="n"/>
      <c r="K13" s="100" t="n"/>
      <c r="L13" s="100" t="n">
        <v>1</v>
      </c>
      <c r="M13" s="100" t="inlineStr">
        <is>
          <t>Y</t>
        </is>
      </c>
    </row>
    <row r="14" ht="43.5" customHeight="1" s="54">
      <c r="A14" s="5" t="inlineStr">
        <is>
          <t>QI-06</t>
        </is>
      </c>
      <c r="B14" s="5" t="inlineStr">
        <is>
          <t>Evidence &amp; Effectiveness</t>
        </is>
      </c>
      <c r="C14" s="5" t="inlineStr">
        <is>
          <t>Research-based or evidence-informed</t>
        </is>
      </c>
      <c r="D14" s="5" t="inlineStr">
        <is>
          <t>P03</t>
        </is>
      </c>
      <c r="E14" s="5" t="inlineStr">
        <is>
          <t>AVID certification &amp; data</t>
        </is>
      </c>
      <c r="F14" s="5" t="inlineStr">
        <is>
          <t>Could</t>
        </is>
      </c>
      <c r="G14" s="5" t="inlineStr">
        <is>
          <t>AVID</t>
        </is>
      </c>
      <c r="H14" s="5" t="inlineStr">
        <is>
          <t>AVID coordinator; AVID Center tools; site logs</t>
        </is>
      </c>
      <c r="I14" s="5" t="inlineStr">
        <is>
          <t>Certification/implementation measures are current; fidelity data collected; student progress indicators tracked and acted upon.</t>
        </is>
      </c>
      <c r="J14" s="5" t="inlineStr">
        <is>
          <t>AVID evidence base and implementation model artifacts if applicable.</t>
        </is>
      </c>
      <c r="K14" s="100" t="n"/>
      <c r="L14" s="100" t="n">
        <v>3</v>
      </c>
      <c r="M14" s="100" t="inlineStr">
        <is>
          <t>Partial</t>
        </is>
      </c>
    </row>
    <row r="15" ht="58" customHeight="1" s="54">
      <c r="A15" s="5" t="inlineStr">
        <is>
          <t>QI-06</t>
        </is>
      </c>
      <c r="B15" s="5" t="inlineStr">
        <is>
          <t>Evidence &amp; Effectiveness</t>
        </is>
      </c>
      <c r="C15" s="5" t="inlineStr">
        <is>
          <t>Research-based or evidence-informed</t>
        </is>
      </c>
      <c r="D15" s="5" t="inlineStr">
        <is>
          <t>P04</t>
        </is>
      </c>
      <c r="E15" s="5" t="inlineStr">
        <is>
          <t>Dual Language proficiency outcomes</t>
        </is>
      </c>
      <c r="F15" s="5" t="inlineStr">
        <is>
          <t>Could</t>
        </is>
      </c>
      <c r="G15" s="5" t="inlineStr">
        <is>
          <t>DLI</t>
        </is>
      </c>
      <c r="H15" s="5" t="inlineStr">
        <is>
          <t>DLI coordinator; assessment dept; course/roster data</t>
        </is>
      </c>
      <c r="I15" s="5" t="inlineStr">
        <is>
          <t>Language proficiency measured with valid tools; growth trends reported; model fidelity evidence; Seal of Biliteracy pipeline tracked.</t>
        </is>
      </c>
      <c r="J15" s="5" t="inlineStr">
        <is>
          <t>DLI research base references and model documentation.</t>
        </is>
      </c>
      <c r="K15" s="100" t="n"/>
      <c r="L15" s="100" t="n">
        <v>3</v>
      </c>
      <c r="M15" s="100" t="inlineStr">
        <is>
          <t>Partial</t>
        </is>
      </c>
    </row>
    <row r="16" ht="58" customHeight="1" s="54">
      <c r="A16" s="5" t="inlineStr">
        <is>
          <t>QI-06</t>
        </is>
      </c>
      <c r="B16" s="5" t="inlineStr">
        <is>
          <t>Evidence &amp; Effectiveness</t>
        </is>
      </c>
      <c r="C16" s="5" t="inlineStr">
        <is>
          <t>Research-based or evidence-informed</t>
        </is>
      </c>
      <c r="D16" s="5" t="inlineStr">
        <is>
          <t>P01</t>
        </is>
      </c>
      <c r="E16" s="5" t="inlineStr">
        <is>
          <t>IB authorization &amp; evaluation documentation</t>
        </is>
      </c>
      <c r="F16" s="5" t="inlineStr">
        <is>
          <t>Could</t>
        </is>
      </c>
      <c r="G16" s="5" t="inlineStr">
        <is>
          <t>IB</t>
        </is>
      </c>
      <c r="H16" s="5" t="inlineStr">
        <is>
          <t>IB coordinator; IB portal docs; site leadership</t>
        </is>
      </c>
      <c r="I16" s="5" t="inlineStr">
        <is>
          <t>Authorization/evaluation status is current; findings and required actions documented; evidence of follow-through on recommendations.</t>
        </is>
      </c>
      <c r="J16" s="5" t="inlineStr">
        <is>
          <t>IB standards framework documentation.</t>
        </is>
      </c>
      <c r="K16" s="100" t="n"/>
      <c r="L16" s="100" t="n">
        <v>3</v>
      </c>
      <c r="M16" s="100" t="inlineStr">
        <is>
          <t>Partial</t>
        </is>
      </c>
    </row>
    <row r="17" ht="58" customHeight="1" s="54">
      <c r="A17" s="5" t="inlineStr">
        <is>
          <t>QI-06</t>
        </is>
      </c>
      <c r="B17" s="5" t="inlineStr">
        <is>
          <t>Evidence &amp; Effectiveness</t>
        </is>
      </c>
      <c r="C17" s="5" t="inlineStr">
        <is>
          <t>Research-based or evidence-informed</t>
        </is>
      </c>
      <c r="D17" s="5" t="inlineStr">
        <is>
          <t>P05</t>
        </is>
      </c>
      <c r="E17" s="5" t="inlineStr">
        <is>
          <t>STEM/STEAM certification evidence</t>
        </is>
      </c>
      <c r="F17" s="5" t="inlineStr">
        <is>
          <t>Could</t>
        </is>
      </c>
      <c r="G17" s="5" t="inlineStr">
        <is>
          <t>STEAM</t>
        </is>
      </c>
      <c r="H17" s="5" t="inlineStr">
        <is>
          <t>Public: https://www.susd.org/academics/academic-programs/stem-certified-schools ; https://laguna.susd.org/academics ; https://navajo.susd.org/academics ; https://navajo.susd.org/our-school | Internal: Cognia report; STEM artifacts binder; PD plan; student showcases</t>
        </is>
      </c>
      <c r="I17" s="5" t="inlineStr">
        <is>
          <t>Certification status current; evidence of STEM/STEAM instructional practice; student artifacts/showcases; improvement plan for certification criteria.</t>
        </is>
      </c>
      <c r="J17" s="5" t="inlineStr">
        <is>
          <t>Certification criteria/research basis documentation.</t>
        </is>
      </c>
      <c r="K17" s="100" t="n"/>
      <c r="L17" s="100" t="n">
        <v>3</v>
      </c>
      <c r="M17" s="100" t="inlineStr">
        <is>
          <t>Y</t>
        </is>
      </c>
    </row>
    <row r="18" ht="58" customHeight="1" s="54">
      <c r="A18" s="5" t="inlineStr">
        <is>
          <t>QI-07</t>
        </is>
      </c>
      <c r="B18" s="5" t="inlineStr">
        <is>
          <t>Evidence &amp; Effectiveness</t>
        </is>
      </c>
      <c r="C18" s="5" t="inlineStr">
        <is>
          <t>Market demand for specialized programming</t>
        </is>
      </c>
      <c r="D18" s="5" t="inlineStr">
        <is>
          <t>E08</t>
        </is>
      </c>
      <c r="E18" s="5" t="inlineStr">
        <is>
          <t>Demand / participation evidence</t>
        </is>
      </c>
      <c r="F18" s="5" t="inlineStr">
        <is>
          <t>Must</t>
        </is>
      </c>
      <c r="G18" s="5" t="inlineStr">
        <is>
          <t>All</t>
        </is>
      </c>
      <c r="H18" s="5" t="inlineStr">
        <is>
          <t>Enrollment office reports; Infinite Campus exports; application forms</t>
        </is>
      </c>
      <c r="I18" s="5" t="inlineStr">
        <is>
          <t>Shows demand over multiple years where possible; includes participation, retention, and waitlist/application patterns; disaggregated by subgroup and site.</t>
        </is>
      </c>
      <c r="J18" s="5" t="n"/>
      <c r="K18" s="100" t="n"/>
      <c r="L18" s="100" t="n">
        <v>1</v>
      </c>
      <c r="M18" s="100" t="inlineStr">
        <is>
          <t>Partial</t>
        </is>
      </c>
    </row>
    <row r="19" ht="43.5" customHeight="1" s="54">
      <c r="A19" s="5" t="inlineStr">
        <is>
          <t>QI-07</t>
        </is>
      </c>
      <c r="B19" s="5" t="inlineStr">
        <is>
          <t>Evidence &amp; Effectiveness</t>
        </is>
      </c>
      <c r="C19" s="5" t="inlineStr">
        <is>
          <t>Market demand for specialized programming</t>
        </is>
      </c>
      <c r="D19" s="5" t="inlineStr">
        <is>
          <t>E36</t>
        </is>
      </c>
      <c r="E19" s="5" t="inlineStr">
        <is>
          <t>Stakeholder consultation artifacts</t>
        </is>
      </c>
      <c r="F19" s="5" t="inlineStr">
        <is>
          <t>Could</t>
        </is>
      </c>
      <c r="G19" s="5" t="inlineStr">
        <is>
          <t>All</t>
        </is>
      </c>
      <c r="H19" s="5" t="inlineStr">
        <is>
          <t>Meeting minutes; survey exports; engagement logs</t>
        </is>
      </c>
      <c r="I19" s="5" t="inlineStr">
        <is>
          <t>Consultation includes representative voices; results are summarized and used to make decisions; feedback loop back to stakeholders exists.</t>
        </is>
      </c>
      <c r="J19" s="5" t="inlineStr">
        <is>
          <t>If using surveys as demand signal, include consultation artifacts.</t>
        </is>
      </c>
      <c r="K19" s="100" t="n"/>
      <c r="L19" s="100" t="n">
        <v>3</v>
      </c>
      <c r="M19" s="100" t="inlineStr">
        <is>
          <t>Partial</t>
        </is>
      </c>
    </row>
    <row r="20" ht="58" customHeight="1" s="54">
      <c r="A20" s="5" t="inlineStr">
        <is>
          <t>QI-08</t>
        </is>
      </c>
      <c r="B20" s="5" t="inlineStr">
        <is>
          <t>Evidence &amp; Effectiveness</t>
        </is>
      </c>
      <c r="C20" s="5" t="inlineStr">
        <is>
          <t>Proven results in similar contexts (size, demographics)</t>
        </is>
      </c>
      <c r="D20" s="5" t="inlineStr">
        <is>
          <t>E09</t>
        </is>
      </c>
      <c r="E20" s="5" t="inlineStr">
        <is>
          <t>Comparable program benchmarks</t>
        </is>
      </c>
      <c r="F20" s="5" t="inlineStr">
        <is>
          <t>Must</t>
        </is>
      </c>
      <c r="G20" s="5" t="inlineStr">
        <is>
          <t>All</t>
        </is>
      </c>
      <c r="H20" s="5" t="inlineStr">
        <is>
          <t>Peer district reports; provider comparative data; state reports</t>
        </is>
      </c>
      <c r="I20" s="5" t="inlineStr">
        <is>
          <t>Benchmarks are from truly comparable contexts and include context notes; uses multiple comparators; avoids cherry-picking.</t>
        </is>
      </c>
      <c r="J20" s="5" t="n"/>
      <c r="K20" s="100" t="n"/>
      <c r="L20" s="100" t="n">
        <v>1</v>
      </c>
      <c r="M20" s="100" t="inlineStr">
        <is>
          <t>Y</t>
        </is>
      </c>
    </row>
    <row r="21" ht="58" customHeight="1" s="54">
      <c r="A21" s="5" t="inlineStr">
        <is>
          <t>QI-08</t>
        </is>
      </c>
      <c r="B21" s="5" t="inlineStr">
        <is>
          <t>Evidence &amp; Effectiveness</t>
        </is>
      </c>
      <c r="C21" s="5" t="inlineStr">
        <is>
          <t>Proven results in similar contexts (size, demographics)</t>
        </is>
      </c>
      <c r="D21" s="5" t="inlineStr">
        <is>
          <t>E11</t>
        </is>
      </c>
      <c r="E21" s="5" t="inlineStr">
        <is>
          <t>External validation / case studies / testimonials</t>
        </is>
      </c>
      <c r="F21" s="5" t="inlineStr">
        <is>
          <t>Should</t>
        </is>
      </c>
      <c r="G21" s="5" t="inlineStr">
        <is>
          <t>All</t>
        </is>
      </c>
      <c r="H21" s="5" t="inlineStr">
        <is>
          <t>Provider reports; accreditation/certification documentation; survey summaries</t>
        </is>
      </c>
      <c r="I21" s="5" t="inlineStr">
        <is>
          <t>Third-party or structured evidence with methods; testimonial evidence is representative and triangulated; clearly ties to program model.</t>
        </is>
      </c>
      <c r="J21" s="5" t="inlineStr">
        <is>
          <t>External validations/case studies strengthen this indicator.</t>
        </is>
      </c>
      <c r="K21" s="100" t="n"/>
      <c r="L21" s="100" t="n">
        <v>2</v>
      </c>
      <c r="M21" s="100" t="inlineStr">
        <is>
          <t>Y</t>
        </is>
      </c>
    </row>
    <row r="22" ht="58" customHeight="1" s="54">
      <c r="A22" s="5" t="inlineStr">
        <is>
          <t>QI-09</t>
        </is>
      </c>
      <c r="B22" s="5" t="inlineStr">
        <is>
          <t>Evidence &amp; Effectiveness</t>
        </is>
      </c>
      <c r="C22" s="5" t="inlineStr">
        <is>
          <t>Clear success metrics (academic, behavioral, social-emotional, etc.)</t>
        </is>
      </c>
      <c r="D22" s="5" t="inlineStr">
        <is>
          <t>E10</t>
        </is>
      </c>
      <c r="E22" s="5" t="inlineStr">
        <is>
          <t>KPI/metrics definition sheet</t>
        </is>
      </c>
      <c r="F22" s="5" t="inlineStr">
        <is>
          <t>Must</t>
        </is>
      </c>
      <c r="G22" s="5" t="inlineStr">
        <is>
          <t>All</t>
        </is>
      </c>
      <c r="H22" s="5" t="inlineStr">
        <is>
          <t>Program evaluation plan; dashboard spec; data office</t>
        </is>
      </c>
      <c r="I22" s="5" t="inlineStr">
        <is>
          <t>Metrics are defined (formula, source, cadence); limited set of leading/lagging indicators; clear targets and who reviews them.</t>
        </is>
      </c>
      <c r="J22" s="5" t="n"/>
      <c r="K22" s="100" t="n"/>
      <c r="L22" s="100" t="n">
        <v>1</v>
      </c>
      <c r="M22" s="100" t="inlineStr">
        <is>
          <t>Partial</t>
        </is>
      </c>
    </row>
    <row r="23" ht="43.5" customHeight="1" s="54">
      <c r="A23" s="5" t="inlineStr">
        <is>
          <t>QI-09</t>
        </is>
      </c>
      <c r="B23" s="5" t="inlineStr">
        <is>
          <t>Evidence &amp; Effectiveness</t>
        </is>
      </c>
      <c r="C23" s="5" t="inlineStr">
        <is>
          <t>Clear success metrics (academic, behavioral, social-emotional, etc.)</t>
        </is>
      </c>
      <c r="D23" s="5" t="inlineStr">
        <is>
          <t>P02</t>
        </is>
      </c>
      <c r="E23" s="5" t="inlineStr">
        <is>
          <t>IB outcomes data</t>
        </is>
      </c>
      <c r="F23" s="5" t="inlineStr">
        <is>
          <t>Could</t>
        </is>
      </c>
      <c r="G23" s="5" t="inlineStr">
        <is>
          <t>IB</t>
        </is>
      </c>
      <c r="H23" s="5" t="inlineStr">
        <is>
          <t>IB reports; school data; coordinator tracking</t>
        </is>
      </c>
      <c r="I23" s="5" t="inlineStr">
        <is>
          <t>Outcomes reported annually with trend; participation/completion tracked; disaggregated where possible; interpreted with context.</t>
        </is>
      </c>
      <c r="J23" s="5" t="inlineStr">
        <is>
          <t>IB outcomes measures (DP exams etc.).</t>
        </is>
      </c>
      <c r="K23" s="100" t="n"/>
      <c r="L23" s="100" t="n">
        <v>3</v>
      </c>
      <c r="M23" s="100" t="inlineStr">
        <is>
          <t>Partial</t>
        </is>
      </c>
    </row>
    <row r="24" ht="43.5" customHeight="1" s="54">
      <c r="A24" s="5" t="inlineStr">
        <is>
          <t>QI-09</t>
        </is>
      </c>
      <c r="B24" s="5" t="inlineStr">
        <is>
          <t>Evidence &amp; Effectiveness</t>
        </is>
      </c>
      <c r="C24" s="5" t="inlineStr">
        <is>
          <t>Clear success metrics (academic, behavioral, social-emotional, etc.)</t>
        </is>
      </c>
      <c r="D24" s="5" t="inlineStr">
        <is>
          <t>P04</t>
        </is>
      </c>
      <c r="E24" s="5" t="inlineStr">
        <is>
          <t>Dual Language proficiency outcomes</t>
        </is>
      </c>
      <c r="F24" s="5" t="inlineStr">
        <is>
          <t>Could</t>
        </is>
      </c>
      <c r="G24" s="5" t="inlineStr">
        <is>
          <t>DLI</t>
        </is>
      </c>
      <c r="H24" s="5" t="inlineStr">
        <is>
          <t>DLI coordinator; assessment dept; course/roster data</t>
        </is>
      </c>
      <c r="I24" s="5" t="inlineStr">
        <is>
          <t>Language proficiency measured with valid tools; growth trends reported; model fidelity evidence; Seal of Biliteracy pipeline tracked.</t>
        </is>
      </c>
      <c r="J24" s="5" t="inlineStr">
        <is>
          <t>Language proficiency outcomes.</t>
        </is>
      </c>
      <c r="K24" s="100" t="n"/>
      <c r="L24" s="100" t="n">
        <v>3</v>
      </c>
      <c r="M24" s="100" t="inlineStr">
        <is>
          <t>Partial</t>
        </is>
      </c>
    </row>
    <row r="25" ht="58" customHeight="1" s="54">
      <c r="A25" s="5" t="inlineStr">
        <is>
          <t>QI-09</t>
        </is>
      </c>
      <c r="B25" s="5" t="inlineStr">
        <is>
          <t>Evidence &amp; Effectiveness</t>
        </is>
      </c>
      <c r="C25" s="5" t="inlineStr">
        <is>
          <t>Clear success metrics (academic, behavioral, social-emotional, etc.)</t>
        </is>
      </c>
      <c r="D25" s="5" t="inlineStr">
        <is>
          <t>P03</t>
        </is>
      </c>
      <c r="E25" s="5" t="inlineStr">
        <is>
          <t>AVID certification &amp; data</t>
        </is>
      </c>
      <c r="F25" s="5" t="inlineStr">
        <is>
          <t>Could</t>
        </is>
      </c>
      <c r="G25" s="5" t="inlineStr">
        <is>
          <t>AVID</t>
        </is>
      </c>
      <c r="H25" s="5" t="inlineStr">
        <is>
          <t>AVID coordinator; AVID Center tools; site logs</t>
        </is>
      </c>
      <c r="I25" s="5" t="inlineStr">
        <is>
          <t>Certification/implementation measures are current; fidelity data collected; student progress indicators tracked and acted upon.</t>
        </is>
      </c>
      <c r="J25" s="5" t="inlineStr">
        <is>
          <t>AVID student success indicators.</t>
        </is>
      </c>
      <c r="K25" s="100" t="n"/>
      <c r="L25" s="100" t="n">
        <v>3</v>
      </c>
      <c r="M25" s="100" t="inlineStr">
        <is>
          <t>Partial</t>
        </is>
      </c>
    </row>
    <row r="26" ht="58" customHeight="1" s="54">
      <c r="A26" s="5" t="inlineStr">
        <is>
          <t>QI-09</t>
        </is>
      </c>
      <c r="B26" s="5" t="inlineStr">
        <is>
          <t>Evidence &amp; Effectiveness</t>
        </is>
      </c>
      <c r="C26" s="5" t="inlineStr">
        <is>
          <t>Clear success metrics (academic, behavioral, social-emotional, etc.)</t>
        </is>
      </c>
      <c r="D26" s="5" t="inlineStr">
        <is>
          <t>P05</t>
        </is>
      </c>
      <c r="E26" s="5" t="inlineStr">
        <is>
          <t>STEM/STEAM certification evidence</t>
        </is>
      </c>
      <c r="F26" s="5" t="inlineStr">
        <is>
          <t>Could</t>
        </is>
      </c>
      <c r="G26" s="5" t="inlineStr">
        <is>
          <t>STEAM</t>
        </is>
      </c>
      <c r="H26" s="5" t="inlineStr">
        <is>
          <t>Public: https://www.susd.org/academics/academic-programs/stem-certified-schools ; https://laguna.susd.org/academics ; https://navajo.susd.org/academics ; https://navajo.susd.org/our-school | Internal: Cognia report; STEM artifacts binder; PD plan; student showcases</t>
        </is>
      </c>
      <c r="I26" s="5" t="inlineStr">
        <is>
          <t>Certification status current; evidence of STEM/STEAM instructional practice; student artifacts/showcases; improvement plan for certification criteria.</t>
        </is>
      </c>
      <c r="J26" s="5" t="inlineStr">
        <is>
          <t>STEM/STEAM achievement indicators.</t>
        </is>
      </c>
      <c r="K26" s="100" t="n"/>
      <c r="L26" s="100" t="n">
        <v>3</v>
      </c>
      <c r="M26" s="100" t="inlineStr">
        <is>
          <t>Y</t>
        </is>
      </c>
    </row>
    <row r="27" ht="58" customHeight="1" s="54">
      <c r="A27" s="5" t="inlineStr">
        <is>
          <t>QI-09</t>
        </is>
      </c>
      <c r="B27" s="5" t="inlineStr">
        <is>
          <t>Evidence &amp; Effectiveness</t>
        </is>
      </c>
      <c r="C27" s="5" t="inlineStr">
        <is>
          <t>Clear success metrics (academic, behavioral, social-emotional, etc.)</t>
        </is>
      </c>
      <c r="D27" s="5" t="inlineStr">
        <is>
          <t>P07</t>
        </is>
      </c>
      <c r="E27" s="5" t="inlineStr">
        <is>
          <t>MSA pathway artifacts &amp; outcomes</t>
        </is>
      </c>
      <c r="F27" s="5" t="inlineStr">
        <is>
          <t>Could</t>
        </is>
      </c>
      <c r="G27" s="5" t="inlineStr">
        <is>
          <t>MSA</t>
        </is>
      </c>
      <c r="H27" s="5" t="inlineStr">
        <is>
          <t>Public: https://www.susd.org/academics/academic-programs/math-science-academy ; https://www.susd.org/academics/academic-programs/math-science-academy/levels-of-recognition ; https://saguaro.susd.org/academics/math-science-academy ; https://mohave.susd.org/academics/msa ; https://saguaro.susd.org/academics/math-science-academy/juniors | Internal: MSA coordinator/distinction coordinator; course rosters/pathways; competition/field experience logs</t>
        </is>
      </c>
      <c r="I27" s="5" t="inlineStr">
        <is>
          <t>Pathway artifacts show coherent sequence; participation and outcomes tracked (AP/DE/CTE, competitions, postsecondary); equity of access monitored.</t>
        </is>
      </c>
      <c r="J27" s="5" t="inlineStr">
        <is>
          <t>Pathway outcomes indicators.</t>
        </is>
      </c>
      <c r="K27" s="100" t="n"/>
      <c r="L27" s="100" t="n">
        <v>3</v>
      </c>
      <c r="M27" s="100" t="inlineStr">
        <is>
          <t>Partial</t>
        </is>
      </c>
    </row>
    <row r="28" ht="43.5" customHeight="1" s="54">
      <c r="A28" s="5" t="inlineStr">
        <is>
          <t>QI-10</t>
        </is>
      </c>
      <c r="B28" s="5" t="inlineStr">
        <is>
          <t>Evidence &amp; Effectiveness</t>
        </is>
      </c>
      <c r="C28" s="5" t="inlineStr">
        <is>
          <t>Pilot studies, case studies, or testimonials</t>
        </is>
      </c>
      <c r="D28" s="5" t="inlineStr">
        <is>
          <t>E11</t>
        </is>
      </c>
      <c r="E28" s="5" t="inlineStr">
        <is>
          <t>External validation / case studies / testimonials</t>
        </is>
      </c>
      <c r="F28" s="5" t="inlineStr">
        <is>
          <t>Must</t>
        </is>
      </c>
      <c r="G28" s="5" t="inlineStr">
        <is>
          <t>All</t>
        </is>
      </c>
      <c r="H28" s="5" t="inlineStr">
        <is>
          <t>Provider reports; accreditation/certification documentation; survey summaries</t>
        </is>
      </c>
      <c r="I28" s="5" t="inlineStr">
        <is>
          <t>Third-party or structured evidence with methods; testimonial evidence is representative and triangulated; clearly ties to program model.</t>
        </is>
      </c>
      <c r="J28" s="5" t="n"/>
      <c r="K28" s="100" t="n"/>
      <c r="L28" s="100" t="n">
        <v>1</v>
      </c>
      <c r="M28" s="100" t="inlineStr">
        <is>
          <t>Y</t>
        </is>
      </c>
    </row>
    <row r="29" ht="58" customHeight="1" s="54">
      <c r="A29" s="5" t="inlineStr">
        <is>
          <t>QI-10</t>
        </is>
      </c>
      <c r="B29" s="5" t="inlineStr">
        <is>
          <t>Evidence &amp; Effectiveness</t>
        </is>
      </c>
      <c r="C29" s="5" t="inlineStr">
        <is>
          <t>Pilot studies, case studies, or testimonials</t>
        </is>
      </c>
      <c r="D29" s="5" t="inlineStr">
        <is>
          <t>E30</t>
        </is>
      </c>
      <c r="E29" s="5" t="inlineStr">
        <is>
          <t>Pilot plan / staged rollout design</t>
        </is>
      </c>
      <c r="F29" s="5" t="inlineStr">
        <is>
          <t>Could</t>
        </is>
      </c>
      <c r="G29" s="5" t="inlineStr">
        <is>
          <t>All</t>
        </is>
      </c>
      <c r="H29" s="5" t="inlineStr">
        <is>
          <t>Program lead; pilot proposal; evaluation plan</t>
        </is>
      </c>
      <c r="I29" s="5" t="inlineStr">
        <is>
          <t>Pilot has clear scope and learning agenda; success criteria and decision points defined; includes scale-up plan if successful.</t>
        </is>
      </c>
      <c r="J29" s="5" t="inlineStr">
        <is>
          <t>Pilot evidence if program started as a pilot.</t>
        </is>
      </c>
      <c r="K29" s="100" t="n"/>
      <c r="L29" s="100" t="n">
        <v>3</v>
      </c>
      <c r="M29" s="100" t="inlineStr">
        <is>
          <t>Partial</t>
        </is>
      </c>
    </row>
    <row r="30" ht="43.5" customHeight="1" s="54">
      <c r="A30" s="5" t="inlineStr">
        <is>
          <t>QI-11</t>
        </is>
      </c>
      <c r="B30" s="5" t="inlineStr">
        <is>
          <t>Equity &amp; Accessibility</t>
        </is>
      </c>
      <c r="C30" s="5" t="inlineStr">
        <is>
          <t>Benefits all students, including those with diverse needs</t>
        </is>
      </c>
      <c r="D30" s="5" t="inlineStr">
        <is>
          <t>E12</t>
        </is>
      </c>
      <c r="E30" s="5" t="inlineStr">
        <is>
          <t>Participation &amp; access equity profile</t>
        </is>
      </c>
      <c r="F30" s="5" t="inlineStr">
        <is>
          <t>Must</t>
        </is>
      </c>
      <c r="G30" s="5" t="inlineStr">
        <is>
          <t>All</t>
        </is>
      </c>
      <c r="H30" s="5" t="inlineStr">
        <is>
          <t>Enrollment/SIS; program rosters; transportation routes; outreach logs</t>
        </is>
      </c>
      <c r="I30" s="5" t="inlineStr">
        <is>
          <t>Participation reflects intended access goals; selection criteria are transparent; barriers are identified with mitigation; disaggregated by subgroup.</t>
        </is>
      </c>
      <c r="J30" s="5" t="n"/>
      <c r="K30" s="100" t="n"/>
      <c r="L30" s="100" t="n">
        <v>1</v>
      </c>
      <c r="M30" s="100" t="inlineStr">
        <is>
          <t>Partial</t>
        </is>
      </c>
    </row>
    <row r="31" ht="58" customHeight="1" s="54">
      <c r="A31" s="5" t="inlineStr">
        <is>
          <t>QI-11</t>
        </is>
      </c>
      <c r="B31" s="5" t="inlineStr">
        <is>
          <t>Equity &amp; Accessibility</t>
        </is>
      </c>
      <c r="C31" s="5" t="inlineStr">
        <is>
          <t>Benefits all students, including those with diverse needs</t>
        </is>
      </c>
      <c r="D31" s="5" t="inlineStr">
        <is>
          <t>E24</t>
        </is>
      </c>
      <c r="E31" s="5" t="inlineStr">
        <is>
          <t>Family engagement &amp; education plan</t>
        </is>
      </c>
      <c r="F31" s="5" t="inlineStr">
        <is>
          <t>Should</t>
        </is>
      </c>
      <c r="G31" s="5" t="inlineStr">
        <is>
          <t>All</t>
        </is>
      </c>
      <c r="H31" s="5" t="inlineStr">
        <is>
          <t>Family engagement office; site comms; newsletters; meeting agendas</t>
        </is>
      </c>
      <c r="I31" s="5" t="inlineStr">
        <is>
          <t>Family supports are accessible (translation, multiple formats); clear onboarding; evidence of participation and satisfaction.</t>
        </is>
      </c>
      <c r="J31" s="5" t="inlineStr">
        <is>
          <t>Family engagement plan can mitigate access barriers.</t>
        </is>
      </c>
      <c r="K31" s="100" t="n"/>
      <c r="L31" s="100" t="n">
        <v>2</v>
      </c>
      <c r="M31" s="100" t="inlineStr">
        <is>
          <t>Y</t>
        </is>
      </c>
    </row>
    <row r="32" ht="43.5" customHeight="1" s="54">
      <c r="A32" s="5" t="inlineStr">
        <is>
          <t>QI-12</t>
        </is>
      </c>
      <c r="B32" s="5" t="inlineStr">
        <is>
          <t>Equity &amp; Accessibility</t>
        </is>
      </c>
      <c r="C32" s="5" t="inlineStr">
        <is>
          <t>Accessible for English learners and students with disabilities</t>
        </is>
      </c>
      <c r="D32" s="5" t="inlineStr">
        <is>
          <t>E13</t>
        </is>
      </c>
      <c r="E32" s="5" t="inlineStr">
        <is>
          <t>Accessibility &amp; supports plan (EL/SPED)</t>
        </is>
      </c>
      <c r="F32" s="5" t="inlineStr">
        <is>
          <t>Must</t>
        </is>
      </c>
      <c r="G32" s="5" t="inlineStr">
        <is>
          <t>All</t>
        </is>
      </c>
      <c r="H32" s="5" t="inlineStr">
        <is>
          <t>Special Education/EL dept; site plans; accommodation guides</t>
        </is>
      </c>
      <c r="I32" s="5" t="inlineStr">
        <is>
          <t>Specific EL/SPED supports are designed in (not added later); staffing/training supports implementation; evidence accommodations are used effectively.</t>
        </is>
      </c>
      <c r="J32" s="5" t="n"/>
      <c r="K32" s="100" t="n"/>
      <c r="L32" s="100" t="n">
        <v>1</v>
      </c>
      <c r="M32" s="100" t="inlineStr">
        <is>
          <t>Partial</t>
        </is>
      </c>
    </row>
    <row r="33" ht="58" customHeight="1" s="54">
      <c r="A33" s="5" t="inlineStr">
        <is>
          <t>QI-12</t>
        </is>
      </c>
      <c r="B33" s="5" t="inlineStr">
        <is>
          <t>Equity &amp; Accessibility</t>
        </is>
      </c>
      <c r="C33" s="5" t="inlineStr">
        <is>
          <t>Accessible for English learners and students with disabilities</t>
        </is>
      </c>
      <c r="D33" s="5" t="inlineStr">
        <is>
          <t>E20</t>
        </is>
      </c>
      <c r="E33" s="5" t="inlineStr">
        <is>
          <t>PD needs assessment &amp; plan</t>
        </is>
      </c>
      <c r="F33" s="5" t="inlineStr">
        <is>
          <t>Should</t>
        </is>
      </c>
      <c r="G33" s="5" t="inlineStr">
        <is>
          <t>All</t>
        </is>
      </c>
      <c r="H33" s="5" t="inlineStr">
        <is>
          <t>PD office; program lead; provider training plan</t>
        </is>
      </c>
      <c r="I33" s="5" t="inlineStr">
        <is>
          <t>PD plan matches the program’s instructional demands; includes onboarding + ongoing; participation tracking and impact checks exist.</t>
        </is>
      </c>
      <c r="J33" s="5" t="inlineStr">
        <is>
          <t>PD plan ensures supports are implemented with fidelity.</t>
        </is>
      </c>
      <c r="K33" s="100" t="n"/>
      <c r="L33" s="100" t="n">
        <v>2</v>
      </c>
      <c r="M33" s="100" t="inlineStr">
        <is>
          <t>Partial</t>
        </is>
      </c>
    </row>
    <row r="34" ht="58" customHeight="1" s="54">
      <c r="A34" s="5" t="inlineStr">
        <is>
          <t>QI-13</t>
        </is>
      </c>
      <c r="B34" s="5" t="inlineStr">
        <is>
          <t>Equity &amp; Accessibility</t>
        </is>
      </c>
      <c r="C34" s="5" t="inlineStr">
        <is>
          <t>Helps close achievement/opportunity gaps</t>
        </is>
      </c>
      <c r="D34" s="5" t="inlineStr">
        <is>
          <t>E14</t>
        </is>
      </c>
      <c r="E34" s="5" t="inlineStr">
        <is>
          <t>Gap-closure analysis (outcomes disaggregated)</t>
        </is>
      </c>
      <c r="F34" s="5" t="inlineStr">
        <is>
          <t>Must</t>
        </is>
      </c>
      <c r="G34" s="5" t="inlineStr">
        <is>
          <t>All</t>
        </is>
      </c>
      <c r="H34" s="5" t="inlineStr">
        <is>
          <t>Assessment dashboards; discipline/attendance reports; course completion</t>
        </is>
      </c>
      <c r="I34" s="5" t="inlineStr">
        <is>
          <t>Disaggregated outcome trends show movement toward closing gaps; includes comparator group when feasible; avoids attributing causality without support.</t>
        </is>
      </c>
      <c r="J34" s="5" t="n"/>
      <c r="K34" s="100" t="n"/>
      <c r="L34" s="100" t="n">
        <v>1</v>
      </c>
      <c r="M34" s="100" t="inlineStr">
        <is>
          <t>Partial</t>
        </is>
      </c>
    </row>
    <row r="35" ht="58" customHeight="1" s="54">
      <c r="A35" s="5" t="inlineStr">
        <is>
          <t>QI-13</t>
        </is>
      </c>
      <c r="B35" s="5" t="inlineStr">
        <is>
          <t>Equity &amp; Accessibility</t>
        </is>
      </c>
      <c r="C35" s="5" t="inlineStr">
        <is>
          <t>Helps close achievement/opportunity gaps</t>
        </is>
      </c>
      <c r="D35" s="5" t="inlineStr">
        <is>
          <t>E10</t>
        </is>
      </c>
      <c r="E35" s="5" t="inlineStr">
        <is>
          <t>KPI/metrics definition sheet</t>
        </is>
      </c>
      <c r="F35" s="5" t="inlineStr">
        <is>
          <t>Should</t>
        </is>
      </c>
      <c r="G35" s="5" t="inlineStr">
        <is>
          <t>All</t>
        </is>
      </c>
      <c r="H35" s="5" t="inlineStr">
        <is>
          <t>Program evaluation plan; dashboard spec; data office</t>
        </is>
      </c>
      <c r="I35" s="5" t="inlineStr">
        <is>
          <t>Metrics are defined (formula, source, cadence); limited set of leading/lagging indicators; clear targets and who reviews them.</t>
        </is>
      </c>
      <c r="J35" s="5" t="inlineStr">
        <is>
          <t>Ensure metrics include gap-closure targets.</t>
        </is>
      </c>
      <c r="K35" s="100" t="n"/>
      <c r="L35" s="100" t="n">
        <v>2</v>
      </c>
      <c r="M35" s="100" t="inlineStr">
        <is>
          <t>Partial</t>
        </is>
      </c>
    </row>
    <row r="36" ht="58" customHeight="1" s="54">
      <c r="A36" s="5" t="inlineStr">
        <is>
          <t>QI-14</t>
        </is>
      </c>
      <c r="B36" s="5" t="inlineStr">
        <is>
          <t>Cost &amp; Resources</t>
        </is>
      </c>
      <c r="C36" s="5" t="inlineStr">
        <is>
          <t>Total cost (startup, annual, materials, tech, licensing)</t>
        </is>
      </c>
      <c r="D36" s="5" t="inlineStr">
        <is>
          <t>E15</t>
        </is>
      </c>
      <c r="E36" s="5" t="inlineStr">
        <is>
          <t>Total cost model</t>
        </is>
      </c>
      <c r="F36" s="5" t="inlineStr">
        <is>
          <t>Must</t>
        </is>
      </c>
      <c r="G36" s="5" t="inlineStr">
        <is>
          <t>All</t>
        </is>
      </c>
      <c r="H36" s="5" t="inlineStr">
        <is>
          <t>Finance/budget docs; purchasing; grant budgets; staffing allocations</t>
        </is>
      </c>
      <c r="I36" s="5" t="inlineStr">
        <is>
          <t>Complete cost picture (startup + ongoing) with assumptions; includes per-pupil estimate and sensitivity (high/low) where feasible; costs align to actual invoices/staffing.</t>
        </is>
      </c>
      <c r="J36" s="5" t="n"/>
      <c r="K36" s="100" t="n"/>
      <c r="L36" s="100" t="n">
        <v>1</v>
      </c>
      <c r="M36" s="100" t="inlineStr">
        <is>
          <t>Partial</t>
        </is>
      </c>
    </row>
    <row r="37" ht="58" customHeight="1" s="54">
      <c r="A37" s="5" t="inlineStr">
        <is>
          <t>QI-14</t>
        </is>
      </c>
      <c r="B37" s="5" t="inlineStr">
        <is>
          <t>Cost &amp; Resources</t>
        </is>
      </c>
      <c r="C37" s="5" t="inlineStr">
        <is>
          <t>Total cost (startup, annual, materials, tech, licensing)</t>
        </is>
      </c>
      <c r="D37" s="5" t="inlineStr">
        <is>
          <t>E18</t>
        </is>
      </c>
      <c r="E37" s="5" t="inlineStr">
        <is>
          <t>Facilities/tech/materials inventory</t>
        </is>
      </c>
      <c r="F37" s="5" t="inlineStr">
        <is>
          <t>Should</t>
        </is>
      </c>
      <c r="G37" s="5" t="inlineStr">
        <is>
          <t>All</t>
        </is>
      </c>
      <c r="H37" s="5" t="inlineStr">
        <is>
          <t>IT; facilities; site inventory; vendor agreements</t>
        </is>
      </c>
      <c r="I37" s="5" t="inlineStr">
        <is>
          <t>Inventory matches program design; maintenance/replacement plan exists; tech/facilities constraints are identified early with mitigation.</t>
        </is>
      </c>
      <c r="J37" s="5" t="n"/>
      <c r="K37" s="100" t="n"/>
      <c r="L37" s="100" t="n">
        <v>2</v>
      </c>
      <c r="M37" s="100" t="inlineStr">
        <is>
          <t>Partial</t>
        </is>
      </c>
    </row>
    <row r="38" ht="43.5" customHeight="1" s="54">
      <c r="A38" s="5" t="inlineStr">
        <is>
          <t>QI-14</t>
        </is>
      </c>
      <c r="B38" s="5" t="inlineStr">
        <is>
          <t>Cost &amp; Resources</t>
        </is>
      </c>
      <c r="C38" s="5" t="inlineStr">
        <is>
          <t>Total cost (startup, annual, materials, tech, licensing)</t>
        </is>
      </c>
      <c r="D38" s="5" t="inlineStr">
        <is>
          <t>E19</t>
        </is>
      </c>
      <c r="E38" s="5" t="inlineStr">
        <is>
          <t>Staffing model &amp; qualifications</t>
        </is>
      </c>
      <c r="F38" s="5" t="inlineStr">
        <is>
          <t>Should</t>
        </is>
      </c>
      <c r="G38" s="5" t="inlineStr">
        <is>
          <t>All</t>
        </is>
      </c>
      <c r="H38" s="5" t="inlineStr">
        <is>
          <t>HR; site master schedule; staffing allocations</t>
        </is>
      </c>
      <c r="I38" s="5" t="inlineStr">
        <is>
          <t>Roles and qualifications are explicit; staffing is feasible with hiring market; coverage plan for absences/turnover; equitable staffing across sites.</t>
        </is>
      </c>
      <c r="J38" s="5" t="n"/>
      <c r="K38" s="100" t="n"/>
      <c r="L38" s="100" t="n">
        <v>2</v>
      </c>
      <c r="M38" s="100" t="inlineStr">
        <is>
          <t>Partial</t>
        </is>
      </c>
    </row>
    <row r="39" ht="58" customHeight="1" s="54">
      <c r="A39" s="5" t="inlineStr">
        <is>
          <t>QI-14</t>
        </is>
      </c>
      <c r="B39" s="5" t="inlineStr">
        <is>
          <t>Cost &amp; Resources</t>
        </is>
      </c>
      <c r="C39" s="5" t="inlineStr">
        <is>
          <t>Total cost (startup, annual, materials, tech, licensing)</t>
        </is>
      </c>
      <c r="D39" s="5" t="inlineStr">
        <is>
          <t>E49</t>
        </is>
      </c>
      <c r="E39" s="5" t="inlineStr">
        <is>
          <t>Preliminary feasibility envelope (rough)</t>
        </is>
      </c>
      <c r="F39" s="5" t="inlineStr">
        <is>
          <t>Could</t>
        </is>
      </c>
      <c r="G39" s="5" t="inlineStr">
        <is>
          <t>All (concept stage)</t>
        </is>
      </c>
      <c r="H39" s="5" t="inlineStr">
        <is>
          <t>Finance/HR/Facilities/Transportation initial estimate</t>
        </is>
      </c>
      <c r="I39" s="5" t="inlineStr">
        <is>
          <t>Provides cost ranges with assumptions; separates start-up vs annual; identifies major drivers (facilities, staffing, transport, materials).</t>
        </is>
      </c>
      <c r="J39" s="5" t="inlineStr">
        <is>
          <t>Early-stage feasibility; replace with full cost model (E15) before implementation.</t>
        </is>
      </c>
      <c r="K39" s="100" t="n"/>
      <c r="L39" s="100" t="n">
        <v>3</v>
      </c>
      <c r="M39" s="100" t="inlineStr">
        <is>
          <t>Partial</t>
        </is>
      </c>
    </row>
    <row r="40" ht="43.5" customHeight="1" s="54">
      <c r="A40" s="5" t="inlineStr">
        <is>
          <t>QI-15</t>
        </is>
      </c>
      <c r="B40" s="5" t="inlineStr">
        <is>
          <t>Cost &amp; Resources</t>
        </is>
      </c>
      <c r="C40" s="5" t="inlineStr">
        <is>
          <t>Budget and/or sustainable funding exists</t>
        </is>
      </c>
      <c r="D40" s="5" t="inlineStr">
        <is>
          <t>E16</t>
        </is>
      </c>
      <c r="E40" s="5" t="inlineStr">
        <is>
          <t>Funding plan &amp; sustainability assumptions</t>
        </is>
      </c>
      <c r="F40" s="5" t="inlineStr">
        <is>
          <t>Must</t>
        </is>
      </c>
      <c r="G40" s="5" t="inlineStr">
        <is>
          <t>All</t>
        </is>
      </c>
      <c r="H40" s="5" t="inlineStr">
        <is>
          <t>Finance; grants office; program budget narrative</t>
        </is>
      </c>
      <c r="I40" s="5" t="inlineStr">
        <is>
          <t>Identifies stable funding sources and cliff risks; multi-year projections are realistic; contingency plan exists.</t>
        </is>
      </c>
      <c r="J40" s="5" t="n"/>
      <c r="K40" s="100" t="n"/>
      <c r="L40" s="100" t="n">
        <v>1</v>
      </c>
      <c r="M40" s="100" t="inlineStr">
        <is>
          <t>Partial</t>
        </is>
      </c>
    </row>
    <row r="41" ht="43.5" customHeight="1" s="54">
      <c r="A41" s="5" t="inlineStr">
        <is>
          <t>QI-15</t>
        </is>
      </c>
      <c r="B41" s="5" t="inlineStr">
        <is>
          <t>Cost &amp; Resources</t>
        </is>
      </c>
      <c r="C41" s="5" t="inlineStr">
        <is>
          <t>Budget and/or sustainable funding exists</t>
        </is>
      </c>
      <c r="D41" s="5" t="inlineStr">
        <is>
          <t>E15</t>
        </is>
      </c>
      <c r="E41" s="5" t="inlineStr">
        <is>
          <t>Total cost model</t>
        </is>
      </c>
      <c r="F41" s="5" t="inlineStr">
        <is>
          <t>Should</t>
        </is>
      </c>
      <c r="G41" s="5" t="inlineStr">
        <is>
          <t>All</t>
        </is>
      </c>
      <c r="H41" s="5" t="inlineStr">
        <is>
          <t>Finance/budget docs; purchasing; grant budgets; staffing allocations</t>
        </is>
      </c>
      <c r="I41" s="5" t="inlineStr">
        <is>
          <t>Complete cost picture (startup + ongoing) with assumptions; includes per-pupil estimate and sensitivity (high/low) where feasible; costs align to actual invoices/staffing.</t>
        </is>
      </c>
      <c r="J41" s="5" t="inlineStr">
        <is>
          <t>Funding plan should tie to cost model.</t>
        </is>
      </c>
      <c r="K41" s="100" t="n"/>
      <c r="L41" s="100" t="n">
        <v>2</v>
      </c>
      <c r="M41" s="100" t="inlineStr">
        <is>
          <t>Partial</t>
        </is>
      </c>
    </row>
    <row r="42" ht="58" customHeight="1" s="54">
      <c r="A42" s="5" t="inlineStr">
        <is>
          <t>QI-16</t>
        </is>
      </c>
      <c r="B42" s="5" t="inlineStr">
        <is>
          <t>Cost &amp; Resources</t>
        </is>
      </c>
      <c r="C42" s="5" t="inlineStr">
        <is>
          <t>Grants/external financial resources considered</t>
        </is>
      </c>
      <c r="D42" s="5" t="inlineStr">
        <is>
          <t>E17</t>
        </is>
      </c>
      <c r="E42" s="5" t="inlineStr">
        <is>
          <t>Grants/external funding pipeline</t>
        </is>
      </c>
      <c r="F42" s="5" t="inlineStr">
        <is>
          <t>Should</t>
        </is>
      </c>
      <c r="G42" s="5" t="inlineStr">
        <is>
          <t>All</t>
        </is>
      </c>
      <c r="H42" s="5" t="inlineStr">
        <is>
          <t>Grants office; foundation; partner MOUs</t>
        </is>
      </c>
      <c r="I42" s="5" t="inlineStr">
        <is>
          <t>Clear pipeline and status; external funds align to program goals; compliance/allowability considerations documented.</t>
        </is>
      </c>
      <c r="J42" s="5" t="n"/>
      <c r="K42" s="100" t="n"/>
      <c r="L42" s="100" t="n">
        <v>2</v>
      </c>
      <c r="M42" s="100" t="inlineStr">
        <is>
          <t>Partial</t>
        </is>
      </c>
    </row>
    <row r="43" ht="58" customHeight="1" s="54">
      <c r="A43" s="5" t="inlineStr">
        <is>
          <t>QI-16</t>
        </is>
      </c>
      <c r="B43" s="5" t="inlineStr">
        <is>
          <t>Cost &amp; Resources</t>
        </is>
      </c>
      <c r="C43" s="5" t="inlineStr">
        <is>
          <t>Grants/external financial resources considered</t>
        </is>
      </c>
      <c r="D43" s="5" t="inlineStr">
        <is>
          <t>E37</t>
        </is>
      </c>
      <c r="E43" s="5" t="inlineStr">
        <is>
          <t>Partner agreements (MOUs) &amp; leverage</t>
        </is>
      </c>
      <c r="F43" s="5" t="inlineStr">
        <is>
          <t>Could</t>
        </is>
      </c>
      <c r="G43" s="5" t="inlineStr">
        <is>
          <t>All</t>
        </is>
      </c>
      <c r="H43" s="5" t="inlineStr">
        <is>
          <t>Legal/contracts; partner MOUs; internship agreements</t>
        </is>
      </c>
      <c r="I43" s="5" t="inlineStr">
        <is>
          <t>Agreements specify roles, resources, and outcomes; partner contributions are leveraged; monitoring/accountability defined.</t>
        </is>
      </c>
      <c r="J43" s="5" t="inlineStr">
        <is>
          <t>Partner funding/agreements evidence.</t>
        </is>
      </c>
      <c r="K43" s="100" t="n"/>
      <c r="L43" s="100" t="n">
        <v>3</v>
      </c>
      <c r="M43" s="100" t="inlineStr">
        <is>
          <t>Partial</t>
        </is>
      </c>
    </row>
    <row r="44" ht="58" customHeight="1" s="54">
      <c r="A44" s="5" t="inlineStr">
        <is>
          <t>QI-17</t>
        </is>
      </c>
      <c r="B44" s="5" t="inlineStr">
        <is>
          <t>Cost &amp; Resources</t>
        </is>
      </c>
      <c r="C44" s="5" t="inlineStr">
        <is>
          <t>Materials/facilities/tech required; ongoing maintenance costs</t>
        </is>
      </c>
      <c r="D44" s="5" t="inlineStr">
        <is>
          <t>E18</t>
        </is>
      </c>
      <c r="E44" s="5" t="inlineStr">
        <is>
          <t>Facilities/tech/materials inventory</t>
        </is>
      </c>
      <c r="F44" s="5" t="inlineStr">
        <is>
          <t>Must</t>
        </is>
      </c>
      <c r="G44" s="5" t="inlineStr">
        <is>
          <t>All</t>
        </is>
      </c>
      <c r="H44" s="5" t="inlineStr">
        <is>
          <t>IT; facilities; site inventory; vendor agreements</t>
        </is>
      </c>
      <c r="I44" s="5" t="inlineStr">
        <is>
          <t>Inventory matches program design; maintenance/replacement plan exists; tech/facilities constraints are identified early with mitigation.</t>
        </is>
      </c>
      <c r="J44" s="5" t="n"/>
      <c r="K44" s="100" t="n"/>
      <c r="L44" s="100" t="n">
        <v>1</v>
      </c>
      <c r="M44" s="100" t="inlineStr">
        <is>
          <t>Partial</t>
        </is>
      </c>
    </row>
    <row r="45" ht="43.5" customHeight="1" s="54">
      <c r="A45" s="5" t="inlineStr">
        <is>
          <t>QI-17</t>
        </is>
      </c>
      <c r="B45" s="5" t="inlineStr">
        <is>
          <t>Cost &amp; Resources</t>
        </is>
      </c>
      <c r="C45" s="5" t="inlineStr">
        <is>
          <t>Materials/facilities/tech required; ongoing maintenance costs</t>
        </is>
      </c>
      <c r="D45" s="5" t="inlineStr">
        <is>
          <t>E15</t>
        </is>
      </c>
      <c r="E45" s="5" t="inlineStr">
        <is>
          <t>Total cost model</t>
        </is>
      </c>
      <c r="F45" s="5" t="inlineStr">
        <is>
          <t>Should</t>
        </is>
      </c>
      <c r="G45" s="5" t="inlineStr">
        <is>
          <t>All</t>
        </is>
      </c>
      <c r="H45" s="5" t="inlineStr">
        <is>
          <t>Finance/budget docs; purchasing; grant budgets; staffing allocations</t>
        </is>
      </c>
      <c r="I45" s="5" t="inlineStr">
        <is>
          <t>Complete cost picture (startup + ongoing) with assumptions; includes per-pupil estimate and sensitivity (high/low) where feasible; costs align to actual invoices/staffing.</t>
        </is>
      </c>
      <c r="J45" s="5" t="n"/>
      <c r="K45" s="100" t="n"/>
      <c r="L45" s="100" t="n">
        <v>2</v>
      </c>
      <c r="M45" s="100" t="inlineStr">
        <is>
          <t>Partial</t>
        </is>
      </c>
    </row>
    <row r="46" ht="43.5" customHeight="1" s="54">
      <c r="A46" s="5" t="inlineStr">
        <is>
          <t>QI-18</t>
        </is>
      </c>
      <c r="B46" s="5" t="inlineStr">
        <is>
          <t>Cost &amp; Resources</t>
        </is>
      </c>
      <c r="C46" s="5" t="inlineStr">
        <is>
          <t>Staffing needed (new hires, reassignment, volunteers)</t>
        </is>
      </c>
      <c r="D46" s="5" t="inlineStr">
        <is>
          <t>E19</t>
        </is>
      </c>
      <c r="E46" s="5" t="inlineStr">
        <is>
          <t>Staffing model &amp; qualifications</t>
        </is>
      </c>
      <c r="F46" s="5" t="inlineStr">
        <is>
          <t>Must</t>
        </is>
      </c>
      <c r="G46" s="5" t="inlineStr">
        <is>
          <t>All</t>
        </is>
      </c>
      <c r="H46" s="5" t="inlineStr">
        <is>
          <t>HR; site master schedule; staffing allocations</t>
        </is>
      </c>
      <c r="I46" s="5" t="inlineStr">
        <is>
          <t>Roles and qualifications are explicit; staffing is feasible with hiring market; coverage plan for absences/turnover; equitable staffing across sites.</t>
        </is>
      </c>
      <c r="J46" s="5" t="n"/>
      <c r="K46" s="100" t="n"/>
      <c r="L46" s="100" t="n">
        <v>1</v>
      </c>
      <c r="M46" s="100" t="inlineStr">
        <is>
          <t>Partial</t>
        </is>
      </c>
    </row>
    <row r="47" ht="58" customHeight="1" s="54">
      <c r="A47" s="5" t="inlineStr">
        <is>
          <t>QI-18</t>
        </is>
      </c>
      <c r="B47" s="5" t="inlineStr">
        <is>
          <t>Cost &amp; Resources</t>
        </is>
      </c>
      <c r="C47" s="5" t="inlineStr">
        <is>
          <t>Staffing needed (new hires, reassignment, volunteers)</t>
        </is>
      </c>
      <c r="D47" s="5" t="inlineStr">
        <is>
          <t>E23</t>
        </is>
      </c>
      <c r="E47" s="5" t="inlineStr">
        <is>
          <t>Workload &amp; capacity analysis</t>
        </is>
      </c>
      <c r="F47" s="5" t="inlineStr">
        <is>
          <t>Should</t>
        </is>
      </c>
      <c r="G47" s="5" t="inlineStr">
        <is>
          <t>All</t>
        </is>
      </c>
      <c r="H47" s="5" t="inlineStr">
        <is>
          <t>Master schedule; duty schedules; teacher survey; time-on-task studies</t>
        </is>
      </c>
      <c r="I47" s="5" t="inlineStr">
        <is>
          <t>Workload impacts quantified and mitigations identified; staff report manageability; avoids uncompensated expectations.</t>
        </is>
      </c>
      <c r="J47" s="5" t="inlineStr">
        <is>
          <t>Capacity analysis to confirm feasibility.</t>
        </is>
      </c>
      <c r="K47" s="100" t="n"/>
      <c r="L47" s="100" t="n">
        <v>2</v>
      </c>
      <c r="M47" s="100" t="inlineStr">
        <is>
          <t>Partial</t>
        </is>
      </c>
    </row>
    <row r="48" ht="43.5" customHeight="1" s="54">
      <c r="A48" t="inlineStr">
        <is>
          <t>QI-18</t>
        </is>
      </c>
      <c r="B48" t="inlineStr">
        <is>
          <t>Cost &amp; Resources</t>
        </is>
      </c>
      <c r="C48" t="inlineStr">
        <is>
          <t>Staffing needed (new hires, reassignment, volunteers)</t>
        </is>
      </c>
      <c r="D48" t="inlineStr">
        <is>
          <t>E49</t>
        </is>
      </c>
      <c r="E48" t="inlineStr">
        <is>
          <t>Preliminary feasibility envelope (rough)</t>
        </is>
      </c>
      <c r="F48" t="inlineStr">
        <is>
          <t>Could</t>
        </is>
      </c>
      <c r="G48" t="inlineStr">
        <is>
          <t>All (concept stage)</t>
        </is>
      </c>
      <c r="H48" t="inlineStr">
        <is>
          <t>HR + sponsor feasibility estimate; staffing market/pipeline notes</t>
        </is>
      </c>
      <c r="I48" t="inlineStr">
        <is>
          <t>Identifies required roles, certification/training needs, and feasibility of recruitment/coverage; flags workload hotspots.</t>
        </is>
      </c>
      <c r="J48" t="inlineStr">
        <is>
          <t>Useful when concept is a new school model or hub with specialized staffing.</t>
        </is>
      </c>
      <c r="K48" s="100" t="n"/>
      <c r="L48" s="100" t="n">
        <v>3</v>
      </c>
      <c r="M48" s="100" t="inlineStr">
        <is>
          <t>Partial</t>
        </is>
      </c>
    </row>
    <row r="49" ht="43.5" customHeight="1" s="54">
      <c r="A49" s="5" t="inlineStr">
        <is>
          <t>QI-19</t>
        </is>
      </c>
      <c r="B49" s="5" t="inlineStr">
        <is>
          <t>Training &amp; Support</t>
        </is>
      </c>
      <c r="C49" s="5" t="inlineStr">
        <is>
          <t>Staff professional development needs identified</t>
        </is>
      </c>
      <c r="D49" s="5" t="inlineStr">
        <is>
          <t>E20</t>
        </is>
      </c>
      <c r="E49" s="5" t="inlineStr">
        <is>
          <t>PD needs assessment &amp; plan</t>
        </is>
      </c>
      <c r="F49" s="5" t="inlineStr">
        <is>
          <t>Must</t>
        </is>
      </c>
      <c r="G49" s="5" t="inlineStr">
        <is>
          <t>All</t>
        </is>
      </c>
      <c r="H49" s="5" t="inlineStr">
        <is>
          <t>PD office; program lead; provider training plan</t>
        </is>
      </c>
      <c r="I49" s="5" t="inlineStr">
        <is>
          <t>PD plan matches the program’s instructional demands; includes onboarding + ongoing; participation tracking and impact checks exist.</t>
        </is>
      </c>
      <c r="J49" s="5" t="n"/>
      <c r="K49" s="100" t="n"/>
      <c r="L49" s="100" t="n">
        <v>1</v>
      </c>
      <c r="M49" s="100" t="inlineStr">
        <is>
          <t>Partial</t>
        </is>
      </c>
    </row>
    <row r="50" ht="58" customHeight="1" s="54">
      <c r="A50" s="5" t="inlineStr">
        <is>
          <t>QI-19</t>
        </is>
      </c>
      <c r="B50" s="5" t="inlineStr">
        <is>
          <t>Training &amp; Support</t>
        </is>
      </c>
      <c r="C50" s="5" t="inlineStr">
        <is>
          <t>Staff professional development needs identified</t>
        </is>
      </c>
      <c r="D50" s="5" t="inlineStr">
        <is>
          <t>E26</t>
        </is>
      </c>
      <c r="E50" s="5" t="inlineStr">
        <is>
          <t>Instructional planning impact analysis</t>
        </is>
      </c>
      <c r="F50" s="5" t="inlineStr">
        <is>
          <t>Could</t>
        </is>
      </c>
      <c r="G50" s="5" t="inlineStr">
        <is>
          <t>All</t>
        </is>
      </c>
      <c r="H50" s="5" t="inlineStr">
        <is>
          <t>Teacher survey; PLC agendas; admin observations</t>
        </is>
      </c>
      <c r="I50" s="5" t="inlineStr">
        <is>
          <t>Planning burden is understood; collaboration structures exist; mitigations protect core instructional time; evidence teachers can sustain model.</t>
        </is>
      </c>
      <c r="J50" s="5" t="inlineStr">
        <is>
          <t>Planning impact may inform PD needs.</t>
        </is>
      </c>
      <c r="K50" s="100" t="n"/>
      <c r="L50" s="100" t="n">
        <v>3</v>
      </c>
      <c r="M50" s="100" t="inlineStr">
        <is>
          <t>Partial</t>
        </is>
      </c>
    </row>
    <row r="51" ht="58" customHeight="1" s="54">
      <c r="A51" s="5" t="inlineStr">
        <is>
          <t>QI-20</t>
        </is>
      </c>
      <c r="B51" s="5" t="inlineStr">
        <is>
          <t>Training &amp; Support</t>
        </is>
      </c>
      <c r="C51" s="5" t="inlineStr">
        <is>
          <t>Training is available, high-quality, and affordable</t>
        </is>
      </c>
      <c r="D51" s="5" t="inlineStr">
        <is>
          <t>E21</t>
        </is>
      </c>
      <c r="E51" s="5" t="inlineStr">
        <is>
          <t>Training quality/cost evidence</t>
        </is>
      </c>
      <c r="F51" s="5" t="inlineStr">
        <is>
          <t>Must</t>
        </is>
      </c>
      <c r="G51" s="5" t="inlineStr">
        <is>
          <t>All</t>
        </is>
      </c>
      <c r="H51" s="5" t="inlineStr">
        <is>
          <t>Provider contracts; PD feedback surveys; invoices</t>
        </is>
      </c>
      <c r="I51" s="5" t="inlineStr">
        <is>
          <t>Training is high-quality (agenda + outcomes); cost is reasonable; follow-up coaching and feedback loops exist.</t>
        </is>
      </c>
      <c r="J51" s="5" t="n"/>
      <c r="K51" s="100" t="n"/>
      <c r="L51" s="100" t="n">
        <v>1</v>
      </c>
      <c r="M51" s="100" t="inlineStr">
        <is>
          <t>Partial</t>
        </is>
      </c>
    </row>
    <row r="52" ht="43.5" customHeight="1" s="54">
      <c r="A52" s="5" t="inlineStr">
        <is>
          <t>QI-20</t>
        </is>
      </c>
      <c r="B52" s="5" t="inlineStr">
        <is>
          <t>Training &amp; Support</t>
        </is>
      </c>
      <c r="C52" s="5" t="inlineStr">
        <is>
          <t>Training is available, high-quality, and affordable</t>
        </is>
      </c>
      <c r="D52" s="5" t="inlineStr">
        <is>
          <t>E20</t>
        </is>
      </c>
      <c r="E52" s="5" t="inlineStr">
        <is>
          <t>PD needs assessment &amp; plan</t>
        </is>
      </c>
      <c r="F52" s="5" t="inlineStr">
        <is>
          <t>Should</t>
        </is>
      </c>
      <c r="G52" s="5" t="inlineStr">
        <is>
          <t>All</t>
        </is>
      </c>
      <c r="H52" s="5" t="inlineStr">
        <is>
          <t>PD office; program lead; provider training plan</t>
        </is>
      </c>
      <c r="I52" s="5" t="inlineStr">
        <is>
          <t>PD plan matches the program’s instructional demands; includes onboarding + ongoing; participation tracking and impact checks exist.</t>
        </is>
      </c>
      <c r="J52" s="5" t="n"/>
      <c r="K52" s="100" t="n"/>
      <c r="L52" s="100" t="n">
        <v>2</v>
      </c>
      <c r="M52" s="100" t="inlineStr">
        <is>
          <t>Partial</t>
        </is>
      </c>
    </row>
    <row r="53" ht="58" customHeight="1" s="54">
      <c r="A53" s="5" t="inlineStr">
        <is>
          <t>QI-21</t>
        </is>
      </c>
      <c r="B53" s="5" t="inlineStr">
        <is>
          <t>Training &amp; Support</t>
        </is>
      </c>
      <c r="C53" s="5" t="inlineStr">
        <is>
          <t>Ongoing support/troubleshooting/updates provided</t>
        </is>
      </c>
      <c r="D53" s="5" t="inlineStr">
        <is>
          <t>E22</t>
        </is>
      </c>
      <c r="E53" s="5" t="inlineStr">
        <is>
          <t>Ongoing support / coaching model</t>
        </is>
      </c>
      <c r="F53" s="5" t="inlineStr">
        <is>
          <t>Must</t>
        </is>
      </c>
      <c r="G53" s="5" t="inlineStr">
        <is>
          <t>All</t>
        </is>
      </c>
      <c r="H53" s="5" t="inlineStr">
        <is>
          <t>Program lead notes; coaching logs; PLC agendas</t>
        </is>
      </c>
      <c r="I53" s="5" t="inlineStr">
        <is>
          <t>Support is ongoing, responsive, and scheduled; clear escalation/troubleshooting; evidence of updates and implementation problem-solving.</t>
        </is>
      </c>
      <c r="J53" s="5" t="n"/>
      <c r="K53" s="100" t="n"/>
      <c r="L53" s="100" t="n">
        <v>1</v>
      </c>
      <c r="M53" s="100" t="inlineStr">
        <is>
          <t>Partial</t>
        </is>
      </c>
    </row>
    <row r="54" ht="43.5" customHeight="1" s="54">
      <c r="A54" s="5" t="inlineStr">
        <is>
          <t>QI-21</t>
        </is>
      </c>
      <c r="B54" s="5" t="inlineStr">
        <is>
          <t>Training &amp; Support</t>
        </is>
      </c>
      <c r="C54" s="5" t="inlineStr">
        <is>
          <t>Ongoing support/troubleshooting/updates provided</t>
        </is>
      </c>
      <c r="D54" s="5" t="inlineStr">
        <is>
          <t>E27</t>
        </is>
      </c>
      <c r="E54" s="5" t="inlineStr">
        <is>
          <t>Implementation fidelity evidence</t>
        </is>
      </c>
      <c r="F54" s="5" t="inlineStr">
        <is>
          <t>Could</t>
        </is>
      </c>
      <c r="G54" s="5" t="inlineStr">
        <is>
          <t>All</t>
        </is>
      </c>
      <c r="H54" s="5" t="inlineStr">
        <is>
          <t>Instructional coach notes; admin walkthroughs; program checklists</t>
        </is>
      </c>
      <c r="I54" s="5" t="inlineStr">
        <is>
          <t>Fidelity tool is used consistently; evidence of high-quality implementation across classrooms/sites; includes concrete artifacts (student work, lesson plans).</t>
        </is>
      </c>
      <c r="J54" s="5" t="inlineStr">
        <is>
          <t>Use fidelity data to target coaching.</t>
        </is>
      </c>
      <c r="K54" s="100" t="n"/>
      <c r="L54" s="100" t="n">
        <v>3</v>
      </c>
      <c r="M54" s="100" t="inlineStr">
        <is>
          <t>Partial</t>
        </is>
      </c>
    </row>
    <row r="55" ht="58" customHeight="1" s="54">
      <c r="A55" s="5" t="inlineStr">
        <is>
          <t>QI-22</t>
        </is>
      </c>
      <c r="B55" s="5" t="inlineStr">
        <is>
          <t>Training &amp; Support</t>
        </is>
      </c>
      <c r="C55" s="5" t="inlineStr">
        <is>
          <t>Program manageable given staff workload</t>
        </is>
      </c>
      <c r="D55" s="5" t="inlineStr">
        <is>
          <t>E23</t>
        </is>
      </c>
      <c r="E55" s="5" t="inlineStr">
        <is>
          <t>Workload &amp; capacity analysis</t>
        </is>
      </c>
      <c r="F55" s="5" t="inlineStr">
        <is>
          <t>Must</t>
        </is>
      </c>
      <c r="G55" s="5" t="inlineStr">
        <is>
          <t>All</t>
        </is>
      </c>
      <c r="H55" s="5" t="inlineStr">
        <is>
          <t>Master schedule; duty schedules; teacher survey; time-on-task studies</t>
        </is>
      </c>
      <c r="I55" s="5" t="inlineStr">
        <is>
          <t>Workload impacts quantified and mitigations identified; staff report manageability; avoids uncompensated expectations.</t>
        </is>
      </c>
      <c r="J55" s="5" t="n"/>
      <c r="K55" s="100" t="n"/>
      <c r="L55" s="100" t="n">
        <v>1</v>
      </c>
      <c r="M55" s="100" t="inlineStr">
        <is>
          <t>Partial</t>
        </is>
      </c>
    </row>
    <row r="56" ht="58" customHeight="1" s="54">
      <c r="A56" s="5" t="inlineStr">
        <is>
          <t>QI-22</t>
        </is>
      </c>
      <c r="B56" s="5" t="inlineStr">
        <is>
          <t>Training &amp; Support</t>
        </is>
      </c>
      <c r="C56" s="5" t="inlineStr">
        <is>
          <t>Program manageable given staff workload</t>
        </is>
      </c>
      <c r="D56" s="5" t="inlineStr">
        <is>
          <t>E26</t>
        </is>
      </c>
      <c r="E56" s="5" t="inlineStr">
        <is>
          <t>Instructional planning impact analysis</t>
        </is>
      </c>
      <c r="F56" s="5" t="inlineStr">
        <is>
          <t>Should</t>
        </is>
      </c>
      <c r="G56" s="5" t="inlineStr">
        <is>
          <t>All</t>
        </is>
      </c>
      <c r="H56" s="5" t="inlineStr">
        <is>
          <t>Teacher survey; PLC agendas; admin observations</t>
        </is>
      </c>
      <c r="I56" s="5" t="inlineStr">
        <is>
          <t>Planning burden is understood; collaboration structures exist; mitigations protect core instructional time; evidence teachers can sustain model.</t>
        </is>
      </c>
      <c r="J56" s="5" t="n"/>
      <c r="K56" s="100" t="n"/>
      <c r="L56" s="100" t="n">
        <v>2</v>
      </c>
      <c r="M56" s="100" t="inlineStr">
        <is>
          <t>Partial</t>
        </is>
      </c>
    </row>
    <row r="57" ht="58" customHeight="1" s="54">
      <c r="A57" s="5" t="inlineStr">
        <is>
          <t>QI-23</t>
        </is>
      </c>
      <c r="B57" s="5" t="inlineStr">
        <is>
          <t>Training &amp; Support</t>
        </is>
      </c>
      <c r="C57" s="5" t="inlineStr">
        <is>
          <t>Parent education and support for the program theme</t>
        </is>
      </c>
      <c r="D57" s="5" t="inlineStr">
        <is>
          <t>E24</t>
        </is>
      </c>
      <c r="E57" s="5" t="inlineStr">
        <is>
          <t>Family engagement &amp; education plan</t>
        </is>
      </c>
      <c r="F57" s="5" t="inlineStr">
        <is>
          <t>Must</t>
        </is>
      </c>
      <c r="G57" s="5" t="inlineStr">
        <is>
          <t>All</t>
        </is>
      </c>
      <c r="H57" s="5" t="inlineStr">
        <is>
          <t>Family engagement office; site comms; newsletters; meeting agendas</t>
        </is>
      </c>
      <c r="I57" s="5" t="inlineStr">
        <is>
          <t>Family supports are accessible (translation, multiple formats); clear onboarding; evidence of participation and satisfaction.</t>
        </is>
      </c>
      <c r="J57" s="5" t="n"/>
      <c r="K57" s="100" t="n"/>
      <c r="L57" s="100" t="n">
        <v>1</v>
      </c>
      <c r="M57" s="100" t="inlineStr">
        <is>
          <t>Y</t>
        </is>
      </c>
    </row>
    <row r="58" ht="58" customHeight="1" s="54">
      <c r="A58" s="5" t="inlineStr">
        <is>
          <t>QI-23</t>
        </is>
      </c>
      <c r="B58" s="5" t="inlineStr">
        <is>
          <t>Training &amp; Support</t>
        </is>
      </c>
      <c r="C58" s="5" t="inlineStr">
        <is>
          <t>Parent education and support for the program theme</t>
        </is>
      </c>
      <c r="D58" s="5" t="inlineStr">
        <is>
          <t>E38</t>
        </is>
      </c>
      <c r="E58" s="5" t="inlineStr">
        <is>
          <t>Communications artifacts &amp; clarity</t>
        </is>
      </c>
      <c r="F58" s="5" t="inlineStr">
        <is>
          <t>Should</t>
        </is>
      </c>
      <c r="G58" s="5" t="inlineStr">
        <is>
          <t>All</t>
        </is>
      </c>
      <c r="H58" s="5" t="inlineStr">
        <is>
          <t>Website; brochures; parent nights; social posts</t>
        </is>
      </c>
      <c r="I58" s="5" t="inlineStr">
        <is>
          <t>Materials are clear, consistent, and accessible; families/staff can explain program; translations available; FAQs address common misunderstandings.</t>
        </is>
      </c>
      <c r="J58" s="5" t="inlineStr">
        <is>
          <t>Comms materials support family education.</t>
        </is>
      </c>
      <c r="K58" s="100" t="n"/>
      <c r="L58" s="100" t="n">
        <v>2</v>
      </c>
      <c r="M58" s="100" t="inlineStr">
        <is>
          <t>Y</t>
        </is>
      </c>
    </row>
    <row r="59" ht="43.5" customHeight="1" s="54">
      <c r="A59" s="5" t="inlineStr">
        <is>
          <t>QI-24</t>
        </is>
      </c>
      <c r="B59" s="5" t="inlineStr">
        <is>
          <t>Impact on Students &amp; Staff</t>
        </is>
      </c>
      <c r="C59" s="5" t="inlineStr">
        <is>
          <t>Effect on student daily schedule/workload</t>
        </is>
      </c>
      <c r="D59" s="5" t="inlineStr">
        <is>
          <t>E25</t>
        </is>
      </c>
      <c r="E59" s="5" t="inlineStr">
        <is>
          <t>Student schedule/workload analysis</t>
        </is>
      </c>
      <c r="F59" s="5" t="inlineStr">
        <is>
          <t>Must</t>
        </is>
      </c>
      <c r="G59" s="5" t="inlineStr">
        <is>
          <t>All</t>
        </is>
      </c>
      <c r="H59" s="5" t="inlineStr">
        <is>
          <t>Master schedules; student handbooks; course outlines</t>
        </is>
      </c>
      <c r="I59" s="5" t="inlineStr">
        <is>
          <t>Student schedule impacts understood; workload is manageable and equitable; requirements are transparent; avoids excluding students via hidden time demands.</t>
        </is>
      </c>
      <c r="J59" s="5" t="n"/>
      <c r="K59" s="100" t="n"/>
      <c r="L59" s="100" t="n">
        <v>1</v>
      </c>
      <c r="M59" s="100" t="inlineStr">
        <is>
          <t>Partial</t>
        </is>
      </c>
    </row>
    <row r="60" ht="58" customHeight="1" s="54">
      <c r="A60" s="5" t="inlineStr">
        <is>
          <t>QI-24</t>
        </is>
      </c>
      <c r="B60" s="5" t="inlineStr">
        <is>
          <t>Impact on Students &amp; Staff</t>
        </is>
      </c>
      <c r="C60" s="5" t="inlineStr">
        <is>
          <t>Effect on student daily schedule/workload</t>
        </is>
      </c>
      <c r="D60" s="5" t="inlineStr">
        <is>
          <t>E27</t>
        </is>
      </c>
      <c r="E60" s="5" t="inlineStr">
        <is>
          <t>Implementation fidelity evidence</t>
        </is>
      </c>
      <c r="F60" s="5" t="inlineStr">
        <is>
          <t>Should</t>
        </is>
      </c>
      <c r="G60" s="5" t="inlineStr">
        <is>
          <t>All</t>
        </is>
      </c>
      <c r="H60" s="5" t="inlineStr">
        <is>
          <t>Instructional coach notes; admin walkthroughs; program checklists</t>
        </is>
      </c>
      <c r="I60" s="5" t="inlineStr">
        <is>
          <t>Fidelity tool is used consistently; evidence of high-quality implementation across classrooms/sites; includes concrete artifacts (student work, lesson plans).</t>
        </is>
      </c>
      <c r="J60" s="5" t="inlineStr">
        <is>
          <t>Link schedule design to actual learning model implementation.</t>
        </is>
      </c>
      <c r="K60" s="100" t="n"/>
      <c r="L60" s="100" t="n">
        <v>2</v>
      </c>
      <c r="M60" s="100" t="inlineStr">
        <is>
          <t>Partial</t>
        </is>
      </c>
    </row>
    <row r="61" ht="58" customHeight="1" s="54">
      <c r="A61" s="5" t="inlineStr">
        <is>
          <t>QI-25</t>
        </is>
      </c>
      <c r="B61" s="5" t="inlineStr">
        <is>
          <t>Impact on Students &amp; Staff</t>
        </is>
      </c>
      <c r="C61" s="5" t="inlineStr">
        <is>
          <t>Impact on teacher planning/instruction/prep time</t>
        </is>
      </c>
      <c r="D61" s="5" t="inlineStr">
        <is>
          <t>E26</t>
        </is>
      </c>
      <c r="E61" s="5" t="inlineStr">
        <is>
          <t>Instructional planning impact analysis</t>
        </is>
      </c>
      <c r="F61" s="5" t="inlineStr">
        <is>
          <t>Must</t>
        </is>
      </c>
      <c r="G61" s="5" t="inlineStr">
        <is>
          <t>All</t>
        </is>
      </c>
      <c r="H61" s="5" t="inlineStr">
        <is>
          <t>Teacher survey; PLC agendas; admin observations</t>
        </is>
      </c>
      <c r="I61" s="5" t="inlineStr">
        <is>
          <t>Planning burden is understood; collaboration structures exist; mitigations protect core instructional time; evidence teachers can sustain model.</t>
        </is>
      </c>
      <c r="J61" s="5" t="n"/>
      <c r="K61" s="100" t="n"/>
      <c r="L61" s="100" t="n">
        <v>1</v>
      </c>
      <c r="M61" s="100" t="inlineStr">
        <is>
          <t>Partial</t>
        </is>
      </c>
    </row>
    <row r="62" ht="43.5" customHeight="1" s="54">
      <c r="A62" s="5" t="inlineStr">
        <is>
          <t>QI-25</t>
        </is>
      </c>
      <c r="B62" s="5" t="inlineStr">
        <is>
          <t>Impact on Students &amp; Staff</t>
        </is>
      </c>
      <c r="C62" s="5" t="inlineStr">
        <is>
          <t>Impact on teacher planning/instruction/prep time</t>
        </is>
      </c>
      <c r="D62" s="5" t="inlineStr">
        <is>
          <t>E23</t>
        </is>
      </c>
      <c r="E62" s="5" t="inlineStr">
        <is>
          <t>Workload &amp; capacity analysis</t>
        </is>
      </c>
      <c r="F62" s="5" t="inlineStr">
        <is>
          <t>Should</t>
        </is>
      </c>
      <c r="G62" s="5" t="inlineStr">
        <is>
          <t>All</t>
        </is>
      </c>
      <c r="H62" s="5" t="inlineStr">
        <is>
          <t>Master schedule; duty schedules; teacher survey; time-on-task studies</t>
        </is>
      </c>
      <c r="I62" s="5" t="inlineStr">
        <is>
          <t>Workload impacts quantified and mitigations identified; staff report manageability; avoids uncompensated expectations.</t>
        </is>
      </c>
      <c r="J62" s="5" t="n"/>
      <c r="K62" s="100" t="n"/>
      <c r="L62" s="100" t="n">
        <v>2</v>
      </c>
      <c r="M62" s="100" t="inlineStr">
        <is>
          <t>Partial</t>
        </is>
      </c>
    </row>
    <row r="63" ht="43.5" customHeight="1" s="54">
      <c r="A63" s="5" t="inlineStr">
        <is>
          <t>QI-26</t>
        </is>
      </c>
      <c r="B63" s="5" t="inlineStr">
        <is>
          <t>Impact on Students &amp; Staff</t>
        </is>
      </c>
      <c r="C63" s="5" t="inlineStr">
        <is>
          <t>Enhances learning vs. adds unnecessary complexity</t>
        </is>
      </c>
      <c r="D63" s="5" t="inlineStr">
        <is>
          <t>E27</t>
        </is>
      </c>
      <c r="E63" s="5" t="inlineStr">
        <is>
          <t>Implementation fidelity evidence</t>
        </is>
      </c>
      <c r="F63" s="5" t="inlineStr">
        <is>
          <t>Must</t>
        </is>
      </c>
      <c r="G63" s="5" t="inlineStr">
        <is>
          <t>All</t>
        </is>
      </c>
      <c r="H63" s="5" t="inlineStr">
        <is>
          <t>Instructional coach notes; admin walkthroughs; program checklists</t>
        </is>
      </c>
      <c r="I63" s="5" t="inlineStr">
        <is>
          <t>Fidelity tool is used consistently; evidence of high-quality implementation across classrooms/sites; includes concrete artifacts (student work, lesson plans).</t>
        </is>
      </c>
      <c r="J63" s="5" t="n"/>
      <c r="K63" s="100" t="n"/>
      <c r="L63" s="100" t="n">
        <v>1</v>
      </c>
      <c r="M63" s="100" t="inlineStr">
        <is>
          <t>Partial</t>
        </is>
      </c>
    </row>
    <row r="64" ht="58" customHeight="1" s="54">
      <c r="A64" s="5" t="inlineStr">
        <is>
          <t>QI-26</t>
        </is>
      </c>
      <c r="B64" s="5" t="inlineStr">
        <is>
          <t>Impact on Students &amp; Staff</t>
        </is>
      </c>
      <c r="C64" s="5" t="inlineStr">
        <is>
          <t>Enhances learning vs. adds unnecessary complexity</t>
        </is>
      </c>
      <c r="D64" s="5" t="inlineStr">
        <is>
          <t>E10</t>
        </is>
      </c>
      <c r="E64" s="5" t="inlineStr">
        <is>
          <t>KPI/metrics definition sheet</t>
        </is>
      </c>
      <c r="F64" s="5" t="inlineStr">
        <is>
          <t>Should</t>
        </is>
      </c>
      <c r="G64" s="5" t="inlineStr">
        <is>
          <t>All</t>
        </is>
      </c>
      <c r="H64" s="5" t="inlineStr">
        <is>
          <t>Program evaluation plan; dashboard spec; data office</t>
        </is>
      </c>
      <c r="I64" s="5" t="inlineStr">
        <is>
          <t>Metrics are defined (formula, source, cadence); limited set of leading/lagging indicators; clear targets and who reviews them.</t>
        </is>
      </c>
      <c r="J64" s="5" t="n"/>
      <c r="K64" s="100" t="n"/>
      <c r="L64" s="100" t="n">
        <v>2</v>
      </c>
      <c r="M64" s="100" t="inlineStr">
        <is>
          <t>Partial</t>
        </is>
      </c>
    </row>
    <row r="65" ht="43.5" customHeight="1" s="54">
      <c r="A65" s="5" t="inlineStr">
        <is>
          <t>QI-26</t>
        </is>
      </c>
      <c r="B65" s="5" t="inlineStr">
        <is>
          <t>Impact on Students &amp; Staff</t>
        </is>
      </c>
      <c r="C65" s="5" t="inlineStr">
        <is>
          <t>Enhances learning vs. adds unnecessary complexity</t>
        </is>
      </c>
      <c r="D65" s="5" t="inlineStr">
        <is>
          <t>E28</t>
        </is>
      </c>
      <c r="E65" s="5" t="inlineStr">
        <is>
          <t>Culture/climate indicators</t>
        </is>
      </c>
      <c r="F65" s="5" t="inlineStr">
        <is>
          <t>Could</t>
        </is>
      </c>
      <c r="G65" s="5" t="inlineStr">
        <is>
          <t>All</t>
        </is>
      </c>
      <c r="H65" s="5" t="inlineStr">
        <is>
          <t>Panorama/other survey; discipline dashboards; focus groups</t>
        </is>
      </c>
      <c r="I65" s="5" t="inlineStr">
        <is>
          <t>Climate/culture indicators show positive trends; includes subgroup views; action steps exist when indicators dip.</t>
        </is>
      </c>
      <c r="J65" s="5" t="inlineStr">
        <is>
          <t>Culture and climate may be part of 'learning value-add'.</t>
        </is>
      </c>
      <c r="K65" s="100" t="n"/>
      <c r="L65" s="100" t="n">
        <v>3</v>
      </c>
      <c r="M65" s="100" t="inlineStr">
        <is>
          <t>Partial</t>
        </is>
      </c>
    </row>
    <row r="66" ht="43.5" customHeight="1" s="54">
      <c r="A66" s="5" t="inlineStr">
        <is>
          <t>QI-27</t>
        </is>
      </c>
      <c r="B66" s="5" t="inlineStr">
        <is>
          <t>Impact on Students &amp; Staff</t>
        </is>
      </c>
      <c r="C66" s="5" t="inlineStr">
        <is>
          <t>Improves school culture/climate</t>
        </is>
      </c>
      <c r="D66" s="5" t="inlineStr">
        <is>
          <t>E28</t>
        </is>
      </c>
      <c r="E66" s="5" t="inlineStr">
        <is>
          <t>Culture/climate indicators</t>
        </is>
      </c>
      <c r="F66" s="5" t="inlineStr">
        <is>
          <t>Must</t>
        </is>
      </c>
      <c r="G66" s="5" t="inlineStr">
        <is>
          <t>All</t>
        </is>
      </c>
      <c r="H66" s="5" t="inlineStr">
        <is>
          <t>Panorama/other survey; discipline dashboards; focus groups</t>
        </is>
      </c>
      <c r="I66" s="5" t="inlineStr">
        <is>
          <t>Climate/culture indicators show positive trends; includes subgroup views; action steps exist when indicators dip.</t>
        </is>
      </c>
      <c r="J66" s="5" t="n"/>
      <c r="K66" s="100" t="n"/>
      <c r="L66" s="100" t="n">
        <v>1</v>
      </c>
      <c r="M66" s="100" t="inlineStr">
        <is>
          <t>Partial</t>
        </is>
      </c>
    </row>
    <row r="67" ht="43.5" customHeight="1" s="54">
      <c r="A67" s="5" t="inlineStr">
        <is>
          <t>QI-27</t>
        </is>
      </c>
      <c r="B67" s="5" t="inlineStr">
        <is>
          <t>Impact on Students &amp; Staff</t>
        </is>
      </c>
      <c r="C67" s="5" t="inlineStr">
        <is>
          <t>Improves school culture/climate</t>
        </is>
      </c>
      <c r="D67" s="5" t="inlineStr">
        <is>
          <t>E36</t>
        </is>
      </c>
      <c r="E67" s="5" t="inlineStr">
        <is>
          <t>Stakeholder consultation artifacts</t>
        </is>
      </c>
      <c r="F67" s="5" t="inlineStr">
        <is>
          <t>Could</t>
        </is>
      </c>
      <c r="G67" s="5" t="inlineStr">
        <is>
          <t>All</t>
        </is>
      </c>
      <c r="H67" s="5" t="inlineStr">
        <is>
          <t>Meeting minutes; survey exports; engagement logs</t>
        </is>
      </c>
      <c r="I67" s="5" t="inlineStr">
        <is>
          <t>Consultation includes representative voices; results are summarized and used to make decisions; feedback loop back to stakeholders exists.</t>
        </is>
      </c>
      <c r="J67" s="5" t="inlineStr">
        <is>
          <t>Qualitative feedback helps interpret culture/climate data.</t>
        </is>
      </c>
      <c r="K67" s="100" t="n"/>
      <c r="L67" s="100" t="n">
        <v>3</v>
      </c>
      <c r="M67" s="100" t="inlineStr">
        <is>
          <t>Partial</t>
        </is>
      </c>
    </row>
    <row r="68" ht="43.5" customHeight="1" s="54">
      <c r="A68" s="5" t="inlineStr">
        <is>
          <t>QI-28</t>
        </is>
      </c>
      <c r="B68" s="5" t="inlineStr">
        <is>
          <t>Implementation Feasibility</t>
        </is>
      </c>
      <c r="C68" s="5" t="inlineStr">
        <is>
          <t>Realistic rollout timeline</t>
        </is>
      </c>
      <c r="D68" s="5" t="inlineStr">
        <is>
          <t>E29</t>
        </is>
      </c>
      <c r="E68" s="5" t="inlineStr">
        <is>
          <t>Implementation plan &amp; timeline</t>
        </is>
      </c>
      <c r="F68" s="5" t="inlineStr">
        <is>
          <t>Must</t>
        </is>
      </c>
      <c r="G68" s="5" t="inlineStr">
        <is>
          <t>All</t>
        </is>
      </c>
      <c r="H68" s="5" t="inlineStr">
        <is>
          <t>Program implementation doc; project management tool; board updates</t>
        </is>
      </c>
      <c r="I68" s="5" t="inlineStr">
        <is>
          <t>Timeline is realistic with owners and dependencies; risks identified with mitigation; progress tracking exists.</t>
        </is>
      </c>
      <c r="J68" s="5" t="n"/>
      <c r="K68" s="100" t="n"/>
      <c r="L68" s="100" t="n">
        <v>1</v>
      </c>
      <c r="M68" s="100" t="inlineStr">
        <is>
          <t>Partial</t>
        </is>
      </c>
    </row>
    <row r="69" ht="43.5" customHeight="1" s="54">
      <c r="A69" s="5" t="inlineStr">
        <is>
          <t>QI-28</t>
        </is>
      </c>
      <c r="B69" s="5" t="inlineStr">
        <is>
          <t>Implementation Feasibility</t>
        </is>
      </c>
      <c r="C69" s="5" t="inlineStr">
        <is>
          <t>Realistic rollout timeline</t>
        </is>
      </c>
      <c r="D69" s="5" t="inlineStr">
        <is>
          <t>E31</t>
        </is>
      </c>
      <c r="E69" s="5" t="inlineStr">
        <is>
          <t>Roles &amp; responsibilities (RACI)</t>
        </is>
      </c>
      <c r="F69" s="5" t="inlineStr">
        <is>
          <t>Should</t>
        </is>
      </c>
      <c r="G69" s="5" t="inlineStr">
        <is>
          <t>All</t>
        </is>
      </c>
      <c r="H69" s="5" t="inlineStr">
        <is>
          <t>Program governance docs; org chart; committee notes</t>
        </is>
      </c>
      <c r="I69" s="5" t="inlineStr">
        <is>
          <t>RACI is specific with named individuals/roles; avoids shared ambiguity; updated at least annually.</t>
        </is>
      </c>
      <c r="J69" s="5" t="inlineStr">
        <is>
          <t>Tie timeline milestones to named owners.</t>
        </is>
      </c>
      <c r="K69" s="100" t="n"/>
      <c r="L69" s="100" t="n">
        <v>2</v>
      </c>
      <c r="M69" s="100" t="inlineStr">
        <is>
          <t>Partial</t>
        </is>
      </c>
    </row>
    <row r="70" ht="43.5" customHeight="1" s="54">
      <c r="A70" s="5" t="inlineStr">
        <is>
          <t>QI-29</t>
        </is>
      </c>
      <c r="B70" s="5" t="inlineStr">
        <is>
          <t>Implementation Feasibility</t>
        </is>
      </c>
      <c r="C70" s="5" t="inlineStr">
        <is>
          <t>Can be piloted before full adoption</t>
        </is>
      </c>
      <c r="D70" s="5" t="inlineStr">
        <is>
          <t>E30</t>
        </is>
      </c>
      <c r="E70" s="5" t="inlineStr">
        <is>
          <t>Pilot plan / staged rollout design</t>
        </is>
      </c>
      <c r="F70" s="5" t="inlineStr">
        <is>
          <t>Must</t>
        </is>
      </c>
      <c r="G70" s="5" t="inlineStr">
        <is>
          <t>All</t>
        </is>
      </c>
      <c r="H70" s="5" t="inlineStr">
        <is>
          <t>Program lead; pilot proposal; evaluation plan</t>
        </is>
      </c>
      <c r="I70" s="5" t="inlineStr">
        <is>
          <t>Pilot has clear scope and learning agenda; success criteria and decision points defined; includes scale-up plan if successful.</t>
        </is>
      </c>
      <c r="J70" s="5" t="n"/>
      <c r="K70" s="100" t="n"/>
      <c r="L70" s="100" t="n">
        <v>1</v>
      </c>
      <c r="M70" s="100" t="inlineStr">
        <is>
          <t>Partial</t>
        </is>
      </c>
    </row>
    <row r="71" ht="43.5" customHeight="1" s="54">
      <c r="A71" s="5" t="inlineStr">
        <is>
          <t>QI-29</t>
        </is>
      </c>
      <c r="B71" s="5" t="inlineStr">
        <is>
          <t>Implementation Feasibility</t>
        </is>
      </c>
      <c r="C71" s="5" t="inlineStr">
        <is>
          <t>Can be piloted before full adoption</t>
        </is>
      </c>
      <c r="D71" s="5" t="inlineStr">
        <is>
          <t>E29</t>
        </is>
      </c>
      <c r="E71" s="5" t="inlineStr">
        <is>
          <t>Implementation plan &amp; timeline</t>
        </is>
      </c>
      <c r="F71" s="5" t="inlineStr">
        <is>
          <t>Should</t>
        </is>
      </c>
      <c r="G71" s="5" t="inlineStr">
        <is>
          <t>All</t>
        </is>
      </c>
      <c r="H71" s="5" t="inlineStr">
        <is>
          <t>Program implementation doc; project management tool; board updates</t>
        </is>
      </c>
      <c r="I71" s="5" t="inlineStr">
        <is>
          <t>Timeline is realistic with owners and dependencies; risks identified with mitigation; progress tracking exists.</t>
        </is>
      </c>
      <c r="J71" s="5" t="n"/>
      <c r="K71" s="100" t="n"/>
      <c r="L71" s="100" t="n">
        <v>2</v>
      </c>
      <c r="M71" s="100" t="inlineStr">
        <is>
          <t>Partial</t>
        </is>
      </c>
    </row>
    <row r="72" ht="43.5" customHeight="1" s="54">
      <c r="A72" s="5" t="inlineStr">
        <is>
          <t>QI-30</t>
        </is>
      </c>
      <c r="B72" s="5" t="inlineStr">
        <is>
          <t>Implementation Feasibility</t>
        </is>
      </c>
      <c r="C72" s="5" t="inlineStr">
        <is>
          <t>Roles/responsibilities clearly defined</t>
        </is>
      </c>
      <c r="D72" s="5" t="inlineStr">
        <is>
          <t>E31</t>
        </is>
      </c>
      <c r="E72" s="5" t="inlineStr">
        <is>
          <t>Roles &amp; responsibilities (RACI)</t>
        </is>
      </c>
      <c r="F72" s="5" t="inlineStr">
        <is>
          <t>Must</t>
        </is>
      </c>
      <c r="G72" s="5" t="inlineStr">
        <is>
          <t>All</t>
        </is>
      </c>
      <c r="H72" s="5" t="inlineStr">
        <is>
          <t>Program governance docs; org chart; committee notes</t>
        </is>
      </c>
      <c r="I72" s="5" t="inlineStr">
        <is>
          <t>RACI is specific with named individuals/roles; avoids shared ambiguity; updated at least annually.</t>
        </is>
      </c>
      <c r="J72" s="5" t="n"/>
      <c r="K72" s="100" t="n"/>
      <c r="L72" s="100" t="n">
        <v>1</v>
      </c>
      <c r="M72" s="100" t="inlineStr">
        <is>
          <t>Partial</t>
        </is>
      </c>
    </row>
    <row r="73" ht="58" customHeight="1" s="54">
      <c r="A73" s="5" t="inlineStr">
        <is>
          <t>QI-30</t>
        </is>
      </c>
      <c r="B73" s="5" t="inlineStr">
        <is>
          <t>Implementation Feasibility</t>
        </is>
      </c>
      <c r="C73" s="5" t="inlineStr">
        <is>
          <t>Roles/responsibilities clearly defined</t>
        </is>
      </c>
      <c r="D73" s="5" t="inlineStr">
        <is>
          <t>E29</t>
        </is>
      </c>
      <c r="E73" s="5" t="inlineStr">
        <is>
          <t>Implementation plan &amp; timeline</t>
        </is>
      </c>
      <c r="F73" s="5" t="inlineStr">
        <is>
          <t>Should</t>
        </is>
      </c>
      <c r="G73" s="5" t="inlineStr">
        <is>
          <t>All</t>
        </is>
      </c>
      <c r="H73" s="5" t="inlineStr">
        <is>
          <t>Program implementation doc; project management tool; board updates</t>
        </is>
      </c>
      <c r="I73" s="5" t="inlineStr">
        <is>
          <t>Timeline is realistic with owners and dependencies; risks identified with mitigation; progress tracking exists.</t>
        </is>
      </c>
      <c r="J73" s="5" t="n"/>
      <c r="K73" s="100" t="n"/>
      <c r="L73" s="100" t="n">
        <v>2</v>
      </c>
      <c r="M73" s="100" t="inlineStr">
        <is>
          <t>Partial</t>
        </is>
      </c>
    </row>
    <row r="74" ht="43.5" customHeight="1" s="54">
      <c r="A74" s="5" t="inlineStr">
        <is>
          <t>QI-31</t>
        </is>
      </c>
      <c r="B74" s="5" t="inlineStr">
        <is>
          <t>Implementation Feasibility</t>
        </is>
      </c>
      <c r="C74" s="5" t="inlineStr">
        <is>
          <t>Assessment and monitoring tools included</t>
        </is>
      </c>
      <c r="D74" s="5" t="inlineStr">
        <is>
          <t>E32</t>
        </is>
      </c>
      <c r="E74" s="5" t="inlineStr">
        <is>
          <t>Assessment &amp; monitoring tools</t>
        </is>
      </c>
      <c r="F74" s="5" t="inlineStr">
        <is>
          <t>Must</t>
        </is>
      </c>
      <c r="G74" s="5" t="inlineStr">
        <is>
          <t>All</t>
        </is>
      </c>
      <c r="H74" s="5" t="inlineStr">
        <is>
          <t>Assessment dept; provider tools; shared drives</t>
        </is>
      </c>
      <c r="I74" s="5" t="inlineStr">
        <is>
          <t>Tools align to outcomes and are feasible to administer; consistent use across sites; data is actually reviewed.</t>
        </is>
      </c>
      <c r="J74" s="5" t="n"/>
      <c r="K74" s="100" t="n"/>
      <c r="L74" s="100" t="n">
        <v>1</v>
      </c>
      <c r="M74" s="100" t="inlineStr">
        <is>
          <t>Partial</t>
        </is>
      </c>
    </row>
    <row r="75" ht="43.5" customHeight="1" s="54">
      <c r="A75" s="5" t="inlineStr">
        <is>
          <t>QI-31</t>
        </is>
      </c>
      <c r="B75" s="5" t="inlineStr">
        <is>
          <t>Implementation Feasibility</t>
        </is>
      </c>
      <c r="C75" s="5" t="inlineStr">
        <is>
          <t>Assessment and monitoring tools included</t>
        </is>
      </c>
      <c r="D75" s="5" t="inlineStr">
        <is>
          <t>E33</t>
        </is>
      </c>
      <c r="E75" s="5" t="inlineStr">
        <is>
          <t>Data cycle (collection → review → action)</t>
        </is>
      </c>
      <c r="F75" s="5" t="inlineStr">
        <is>
          <t>Should</t>
        </is>
      </c>
      <c r="G75" s="5" t="inlineStr">
        <is>
          <t>All</t>
        </is>
      </c>
      <c r="H75" s="5" t="inlineStr">
        <is>
          <t>Data team agendas; dashboards; improvement plans</t>
        </is>
      </c>
      <c r="I75" s="5" t="inlineStr">
        <is>
          <t>Regular cadence with agendas/dashboards; documented actions and follow-up; closed-loop improvement is visible.</t>
        </is>
      </c>
      <c r="J75" s="5" t="n"/>
      <c r="K75" s="100" t="n"/>
      <c r="L75" s="100" t="n">
        <v>2</v>
      </c>
      <c r="M75" s="100" t="inlineStr">
        <is>
          <t>Partial</t>
        </is>
      </c>
    </row>
    <row r="76" ht="43.5" customHeight="1" s="54">
      <c r="A76" s="5" t="inlineStr">
        <is>
          <t>QI-32</t>
        </is>
      </c>
      <c r="B76" s="5" t="inlineStr">
        <is>
          <t>Data &amp; Evaluation</t>
        </is>
      </c>
      <c r="C76" s="5" t="inlineStr">
        <is>
          <t>How success will be measured</t>
        </is>
      </c>
      <c r="D76" s="5" t="inlineStr">
        <is>
          <t>E10</t>
        </is>
      </c>
      <c r="E76" s="5" t="inlineStr">
        <is>
          <t>KPI/metrics definition sheet</t>
        </is>
      </c>
      <c r="F76" s="5" t="inlineStr">
        <is>
          <t>Must</t>
        </is>
      </c>
      <c r="G76" s="5" t="inlineStr">
        <is>
          <t>All</t>
        </is>
      </c>
      <c r="H76" s="5" t="inlineStr">
        <is>
          <t>Program evaluation plan; dashboard spec; data office</t>
        </is>
      </c>
      <c r="I76" s="5" t="inlineStr">
        <is>
          <t>Metrics are defined (formula, source, cadence); limited set of leading/lagging indicators; clear targets and who reviews them.</t>
        </is>
      </c>
      <c r="J76" s="5" t="n"/>
      <c r="K76" s="100" t="n"/>
      <c r="L76" s="100" t="n">
        <v>1</v>
      </c>
      <c r="M76" s="100" t="inlineStr">
        <is>
          <t>Partial</t>
        </is>
      </c>
    </row>
    <row r="77" ht="43.5" customHeight="1" s="54">
      <c r="A77" s="5" t="inlineStr">
        <is>
          <t>QI-32</t>
        </is>
      </c>
      <c r="B77" s="5" t="inlineStr">
        <is>
          <t>Data &amp; Evaluation</t>
        </is>
      </c>
      <c r="C77" s="5" t="inlineStr">
        <is>
          <t>How success will be measured</t>
        </is>
      </c>
      <c r="D77" s="5" t="inlineStr">
        <is>
          <t>E34</t>
        </is>
      </c>
      <c r="E77" s="5" t="inlineStr">
        <is>
          <t>Benchmarks/targets &amp; comparators</t>
        </is>
      </c>
      <c r="F77" s="5" t="inlineStr">
        <is>
          <t>Should</t>
        </is>
      </c>
      <c r="G77" s="5" t="inlineStr">
        <is>
          <t>All</t>
        </is>
      </c>
      <c r="H77" s="5" t="inlineStr">
        <is>
          <t>Evaluation plan; dashboard; SIP goals</t>
        </is>
      </c>
      <c r="I77" s="5" t="inlineStr">
        <is>
          <t>Benchmarks are measurable and time-bound; baseline established; comparator logic is clear; targets are ambitious but plausible.</t>
        </is>
      </c>
      <c r="J77" s="5" t="n"/>
      <c r="K77" s="100" t="n"/>
      <c r="L77" s="100" t="n">
        <v>2</v>
      </c>
      <c r="M77" s="100" t="inlineStr">
        <is>
          <t>Partial</t>
        </is>
      </c>
    </row>
    <row r="78" ht="58" customHeight="1" s="54">
      <c r="A78" s="5" t="inlineStr">
        <is>
          <t>QI-33</t>
        </is>
      </c>
      <c r="B78" s="5" t="inlineStr">
        <is>
          <t>Data &amp; Evaluation</t>
        </is>
      </c>
      <c r="C78" s="5" t="inlineStr">
        <is>
          <t>Plan for regular data collection, review, and action based on results (expand/close/adjust)</t>
        </is>
      </c>
      <c r="D78" s="5" t="inlineStr">
        <is>
          <t>E33</t>
        </is>
      </c>
      <c r="E78" s="5" t="inlineStr">
        <is>
          <t>Data cycle (collection → review → action)</t>
        </is>
      </c>
      <c r="F78" s="5" t="inlineStr">
        <is>
          <t>Must</t>
        </is>
      </c>
      <c r="G78" s="5" t="inlineStr">
        <is>
          <t>All</t>
        </is>
      </c>
      <c r="H78" s="5" t="inlineStr">
        <is>
          <t>Data team agendas; dashboards; improvement plans</t>
        </is>
      </c>
      <c r="I78" s="5" t="inlineStr">
        <is>
          <t>Regular cadence with agendas/dashboards; documented actions and follow-up; closed-loop improvement is visible.</t>
        </is>
      </c>
      <c r="J78" s="5" t="n"/>
      <c r="K78" s="100" t="n"/>
      <c r="L78" s="100" t="n">
        <v>1</v>
      </c>
      <c r="M78" s="100" t="inlineStr">
        <is>
          <t>Partial</t>
        </is>
      </c>
    </row>
    <row r="79" ht="43.5" customHeight="1" s="54">
      <c r="A79" s="5" t="inlineStr">
        <is>
          <t>QI-33</t>
        </is>
      </c>
      <c r="B79" s="5" t="inlineStr">
        <is>
          <t>Data &amp; Evaluation</t>
        </is>
      </c>
      <c r="C79" s="5" t="inlineStr">
        <is>
          <t>Plan for regular data collection, review, and action based on results (expand/close/adjust)</t>
        </is>
      </c>
      <c r="D79" s="5" t="inlineStr">
        <is>
          <t>E35</t>
        </is>
      </c>
      <c r="E79" s="5" t="inlineStr">
        <is>
          <t>Continuous improvement/change log</t>
        </is>
      </c>
      <c r="F79" s="5" t="inlineStr">
        <is>
          <t>Should</t>
        </is>
      </c>
      <c r="G79" s="5" t="inlineStr">
        <is>
          <t>All</t>
        </is>
      </c>
      <c r="H79" s="5" t="inlineStr">
        <is>
          <t>Program lead notes; revision history; meeting minutes</t>
        </is>
      </c>
      <c r="I79" s="5" t="inlineStr">
        <is>
          <t>Documented iterations based on evidence; changes are communicated and controlled; avoids drift from core model.</t>
        </is>
      </c>
      <c r="J79" s="5" t="n"/>
      <c r="K79" s="100" t="n"/>
      <c r="L79" s="100" t="n">
        <v>2</v>
      </c>
      <c r="M79" s="100" t="inlineStr">
        <is>
          <t>Partial</t>
        </is>
      </c>
    </row>
    <row r="80" ht="43.5" customHeight="1" s="54">
      <c r="A80" s="5" t="inlineStr">
        <is>
          <t>QI-34</t>
        </is>
      </c>
      <c r="B80" s="5" t="inlineStr">
        <is>
          <t>Data &amp; Evaluation</t>
        </is>
      </c>
      <c r="C80" s="5" t="inlineStr">
        <is>
          <t>Clear benchmarks and performance indicators</t>
        </is>
      </c>
      <c r="D80" s="5" t="inlineStr">
        <is>
          <t>E34</t>
        </is>
      </c>
      <c r="E80" s="5" t="inlineStr">
        <is>
          <t>Benchmarks/targets &amp; comparators</t>
        </is>
      </c>
      <c r="F80" s="5" t="inlineStr">
        <is>
          <t>Must</t>
        </is>
      </c>
      <c r="G80" s="5" t="inlineStr">
        <is>
          <t>All</t>
        </is>
      </c>
      <c r="H80" s="5" t="inlineStr">
        <is>
          <t>Evaluation plan; dashboard; SIP goals</t>
        </is>
      </c>
      <c r="I80" s="5" t="inlineStr">
        <is>
          <t>Benchmarks are measurable and time-bound; baseline established; comparator logic is clear; targets are ambitious but plausible.</t>
        </is>
      </c>
      <c r="J80" s="5" t="n"/>
      <c r="K80" s="100" t="n"/>
      <c r="L80" s="100" t="n">
        <v>1</v>
      </c>
      <c r="M80" s="100" t="inlineStr">
        <is>
          <t>Partial</t>
        </is>
      </c>
    </row>
    <row r="81" ht="58" customHeight="1" s="54">
      <c r="A81" s="5" t="inlineStr">
        <is>
          <t>QI-34</t>
        </is>
      </c>
      <c r="B81" s="5" t="inlineStr">
        <is>
          <t>Data &amp; Evaluation</t>
        </is>
      </c>
      <c r="C81" s="5" t="inlineStr">
        <is>
          <t>Clear benchmarks and performance indicators</t>
        </is>
      </c>
      <c r="D81" s="5" t="inlineStr">
        <is>
          <t>E10</t>
        </is>
      </c>
      <c r="E81" s="5" t="inlineStr">
        <is>
          <t>KPI/metrics definition sheet</t>
        </is>
      </c>
      <c r="F81" s="5" t="inlineStr">
        <is>
          <t>Should</t>
        </is>
      </c>
      <c r="G81" s="5" t="inlineStr">
        <is>
          <t>All</t>
        </is>
      </c>
      <c r="H81" s="5" t="inlineStr">
        <is>
          <t>Program evaluation plan; dashboard spec; data office</t>
        </is>
      </c>
      <c r="I81" s="5" t="inlineStr">
        <is>
          <t>Metrics are defined (formula, source, cadence); limited set of leading/lagging indicators; clear targets and who reviews them.</t>
        </is>
      </c>
      <c r="J81" s="5" t="n"/>
      <c r="K81" s="100" t="n"/>
      <c r="L81" s="100" t="n">
        <v>2</v>
      </c>
      <c r="M81" s="100" t="inlineStr">
        <is>
          <t>Partial</t>
        </is>
      </c>
    </row>
    <row r="82" ht="58" customHeight="1" s="54">
      <c r="A82" s="5" t="inlineStr">
        <is>
          <t>QI-35</t>
        </is>
      </c>
      <c r="B82" s="5" t="inlineStr">
        <is>
          <t>Data &amp; Evaluation</t>
        </is>
      </c>
      <c r="C82" s="5" t="inlineStr">
        <is>
          <t>Program can be modified based on data</t>
        </is>
      </c>
      <c r="D82" s="5" t="inlineStr">
        <is>
          <t>E35</t>
        </is>
      </c>
      <c r="E82" s="5" t="inlineStr">
        <is>
          <t>Continuous improvement/change log</t>
        </is>
      </c>
      <c r="F82" s="5" t="inlineStr">
        <is>
          <t>Must</t>
        </is>
      </c>
      <c r="G82" s="5" t="inlineStr">
        <is>
          <t>All</t>
        </is>
      </c>
      <c r="H82" s="5" t="inlineStr">
        <is>
          <t>Program lead notes; revision history; meeting minutes</t>
        </is>
      </c>
      <c r="I82" s="5" t="inlineStr">
        <is>
          <t>Documented iterations based on evidence; changes are communicated and controlled; avoids drift from core model.</t>
        </is>
      </c>
      <c r="J82" s="5" t="n"/>
      <c r="K82" s="100" t="n"/>
      <c r="L82" s="100" t="n">
        <v>1</v>
      </c>
      <c r="M82" s="100" t="inlineStr">
        <is>
          <t>Partial</t>
        </is>
      </c>
    </row>
    <row r="83" ht="43.5" customHeight="1" s="54">
      <c r="A83" s="5" t="inlineStr">
        <is>
          <t>QI-35</t>
        </is>
      </c>
      <c r="B83" s="5" t="inlineStr">
        <is>
          <t>Data &amp; Evaluation</t>
        </is>
      </c>
      <c r="C83" s="5" t="inlineStr">
        <is>
          <t>Program can be modified based on data</t>
        </is>
      </c>
      <c r="D83" s="5" t="inlineStr">
        <is>
          <t>E33</t>
        </is>
      </c>
      <c r="E83" s="5" t="inlineStr">
        <is>
          <t>Data cycle (collection → review → action)</t>
        </is>
      </c>
      <c r="F83" s="5" t="inlineStr">
        <is>
          <t>Should</t>
        </is>
      </c>
      <c r="G83" s="5" t="inlineStr">
        <is>
          <t>All</t>
        </is>
      </c>
      <c r="H83" s="5" t="inlineStr">
        <is>
          <t>Data team agendas; dashboards; improvement plans</t>
        </is>
      </c>
      <c r="I83" s="5" t="inlineStr">
        <is>
          <t>Regular cadence with agendas/dashboards; documented actions and follow-up; closed-loop improvement is visible.</t>
        </is>
      </c>
      <c r="J83" s="5" t="n"/>
      <c r="K83" s="100" t="n"/>
      <c r="L83" s="100" t="n">
        <v>2</v>
      </c>
      <c r="M83" s="100" t="inlineStr">
        <is>
          <t>Partial</t>
        </is>
      </c>
    </row>
    <row r="84" ht="58" customHeight="1" s="54">
      <c r="A84" s="5" t="inlineStr">
        <is>
          <t>QI-36</t>
        </is>
      </c>
      <c r="B84" s="5" t="inlineStr">
        <is>
          <t>Community Partners &amp; Stakeholder Support</t>
        </is>
      </c>
      <c r="C84" s="5" t="inlineStr">
        <is>
          <t>Teachers/administrators/students/families consulted</t>
        </is>
      </c>
      <c r="D84" s="5" t="inlineStr">
        <is>
          <t>E36</t>
        </is>
      </c>
      <c r="E84" s="5" t="inlineStr">
        <is>
          <t>Stakeholder consultation artifacts</t>
        </is>
      </c>
      <c r="F84" s="5" t="inlineStr">
        <is>
          <t>Must</t>
        </is>
      </c>
      <c r="G84" s="5" t="inlineStr">
        <is>
          <t>All</t>
        </is>
      </c>
      <c r="H84" s="5" t="inlineStr">
        <is>
          <t>Meeting minutes; survey exports; engagement logs</t>
        </is>
      </c>
      <c r="I84" s="5" t="inlineStr">
        <is>
          <t>Consultation includes representative voices; results are summarized and used to make decisions; feedback loop back to stakeholders exists.</t>
        </is>
      </c>
      <c r="J84" s="5" t="n"/>
      <c r="K84" s="100" t="n"/>
      <c r="L84" s="100" t="n">
        <v>1</v>
      </c>
      <c r="M84" s="100" t="inlineStr">
        <is>
          <t>Partial</t>
        </is>
      </c>
    </row>
    <row r="85" ht="43.5" customHeight="1" s="54">
      <c r="A85" s="5" t="inlineStr">
        <is>
          <t>QI-36</t>
        </is>
      </c>
      <c r="B85" s="5" t="inlineStr">
        <is>
          <t>Community Partners &amp; Stakeholder Support</t>
        </is>
      </c>
      <c r="C85" s="5" t="inlineStr">
        <is>
          <t>Teachers/administrators/students/families consulted</t>
        </is>
      </c>
      <c r="D85" s="5" t="inlineStr">
        <is>
          <t>E38</t>
        </is>
      </c>
      <c r="E85" s="5" t="inlineStr">
        <is>
          <t>Communications artifacts &amp; clarity</t>
        </is>
      </c>
      <c r="F85" s="5" t="inlineStr">
        <is>
          <t>Could</t>
        </is>
      </c>
      <c r="G85" s="5" t="inlineStr">
        <is>
          <t>All</t>
        </is>
      </c>
      <c r="H85" s="5" t="inlineStr">
        <is>
          <t>Website; brochures; parent nights; social posts</t>
        </is>
      </c>
      <c r="I85" s="5" t="inlineStr">
        <is>
          <t>Materials are clear, consistent, and accessible; families/staff can explain program; translations available; FAQs address common misunderstandings.</t>
        </is>
      </c>
      <c r="J85" s="5" t="inlineStr">
        <is>
          <t>Ensure comms includes feedback loop.</t>
        </is>
      </c>
      <c r="K85" s="100" t="n"/>
      <c r="L85" s="100" t="n">
        <v>3</v>
      </c>
      <c r="M85" s="100" t="inlineStr">
        <is>
          <t>Y</t>
        </is>
      </c>
    </row>
    <row r="86" ht="58" customHeight="1" s="54">
      <c r="A86" s="5" t="inlineStr">
        <is>
          <t>QI-37</t>
        </is>
      </c>
      <c r="B86" s="5" t="inlineStr">
        <is>
          <t>Community Partners &amp; Stakeholder Support</t>
        </is>
      </c>
      <c r="C86" s="5" t="inlineStr">
        <is>
          <t>Community/business partners consulted and leveraged</t>
        </is>
      </c>
      <c r="D86" s="5" t="inlineStr">
        <is>
          <t>E37</t>
        </is>
      </c>
      <c r="E86" s="5" t="inlineStr">
        <is>
          <t>Partner agreements (MOUs) &amp; leverage</t>
        </is>
      </c>
      <c r="F86" s="5" t="inlineStr">
        <is>
          <t>Should</t>
        </is>
      </c>
      <c r="G86" s="5" t="inlineStr">
        <is>
          <t>All</t>
        </is>
      </c>
      <c r="H86" s="5" t="inlineStr">
        <is>
          <t>Legal/contracts; partner MOUs; internship agreements</t>
        </is>
      </c>
      <c r="I86" s="5" t="inlineStr">
        <is>
          <t>Agreements specify roles, resources, and outcomes; partner contributions are leveraged; monitoring/accountability defined.</t>
        </is>
      </c>
      <c r="J86" s="5" t="n"/>
      <c r="K86" s="100" t="n"/>
      <c r="L86" s="100" t="n">
        <v>2</v>
      </c>
      <c r="M86" s="100" t="inlineStr">
        <is>
          <t>Partial</t>
        </is>
      </c>
    </row>
    <row r="87" ht="58" customHeight="1" s="54">
      <c r="A87" s="5" t="inlineStr">
        <is>
          <t>QI-37</t>
        </is>
      </c>
      <c r="B87" s="5" t="inlineStr">
        <is>
          <t>Community Partners &amp; Stakeholder Support</t>
        </is>
      </c>
      <c r="C87" s="5" t="inlineStr">
        <is>
          <t>Community/business partners consulted and leveraged</t>
        </is>
      </c>
      <c r="D87" s="5" t="inlineStr">
        <is>
          <t>E36</t>
        </is>
      </c>
      <c r="E87" s="5" t="inlineStr">
        <is>
          <t>Stakeholder consultation artifacts</t>
        </is>
      </c>
      <c r="F87" s="5" t="inlineStr">
        <is>
          <t>Should</t>
        </is>
      </c>
      <c r="G87" s="5" t="inlineStr">
        <is>
          <t>All</t>
        </is>
      </c>
      <c r="H87" s="5" t="inlineStr">
        <is>
          <t>Meeting minutes; survey exports; engagement logs</t>
        </is>
      </c>
      <c r="I87" s="5" t="inlineStr">
        <is>
          <t>Consultation includes representative voices; results are summarized and used to make decisions; feedback loop back to stakeholders exists.</t>
        </is>
      </c>
      <c r="J87" s="5" t="n"/>
      <c r="K87" s="100" t="n"/>
      <c r="L87" s="100" t="n">
        <v>2</v>
      </c>
      <c r="M87" s="100" t="inlineStr">
        <is>
          <t>Partial</t>
        </is>
      </c>
    </row>
    <row r="88" ht="43.5" customHeight="1" s="54">
      <c r="A88" s="5" t="inlineStr">
        <is>
          <t>QI-38</t>
        </is>
      </c>
      <c r="B88" s="5" t="inlineStr">
        <is>
          <t>Community Partners &amp; Stakeholder Support</t>
        </is>
      </c>
      <c r="C88" s="5" t="inlineStr">
        <is>
          <t>Broad support vs. potential resistance assessed</t>
        </is>
      </c>
      <c r="D88" s="5" t="inlineStr">
        <is>
          <t>E39</t>
        </is>
      </c>
      <c r="E88" s="5" t="inlineStr">
        <is>
          <t>Support/resistance &amp; risk assessment</t>
        </is>
      </c>
      <c r="F88" s="5" t="inlineStr">
        <is>
          <t>Must</t>
        </is>
      </c>
      <c r="G88" s="5" t="inlineStr">
        <is>
          <t>All</t>
        </is>
      </c>
      <c r="H88" s="5" t="inlineStr">
        <is>
          <t>Survey analysis; risk register; comms feedback</t>
        </is>
      </c>
      <c r="I88" s="5" t="inlineStr">
        <is>
          <t>Support levels quantified; risks/barriers identified early; mitigation actions assigned; resistance is monitored.</t>
        </is>
      </c>
      <c r="J88" s="5" t="n"/>
      <c r="K88" s="100" t="n"/>
      <c r="L88" s="100" t="n">
        <v>1</v>
      </c>
      <c r="M88" s="100" t="inlineStr">
        <is>
          <t>Partial</t>
        </is>
      </c>
    </row>
    <row r="89" ht="58" customHeight="1" s="54">
      <c r="A89" s="5" t="inlineStr">
        <is>
          <t>QI-38</t>
        </is>
      </c>
      <c r="B89" s="5" t="inlineStr">
        <is>
          <t>Community Partners &amp; Stakeholder Support</t>
        </is>
      </c>
      <c r="C89" s="5" t="inlineStr">
        <is>
          <t>Broad support vs. potential resistance assessed</t>
        </is>
      </c>
      <c r="D89" s="5" t="inlineStr">
        <is>
          <t>E36</t>
        </is>
      </c>
      <c r="E89" s="5" t="inlineStr">
        <is>
          <t>Stakeholder consultation artifacts</t>
        </is>
      </c>
      <c r="F89" s="5" t="inlineStr">
        <is>
          <t>Should</t>
        </is>
      </c>
      <c r="G89" s="5" t="inlineStr">
        <is>
          <t>All</t>
        </is>
      </c>
      <c r="H89" s="5" t="inlineStr">
        <is>
          <t>Meeting minutes; survey exports; engagement logs</t>
        </is>
      </c>
      <c r="I89" s="5" t="inlineStr">
        <is>
          <t>Consultation includes representative voices; results are summarized and used to make decisions; feedback loop back to stakeholders exists.</t>
        </is>
      </c>
      <c r="J89" s="5" t="n"/>
      <c r="K89" s="100" t="n"/>
      <c r="L89" s="100" t="n">
        <v>2</v>
      </c>
      <c r="M89" s="100" t="inlineStr">
        <is>
          <t>Partial</t>
        </is>
      </c>
    </row>
    <row r="90" ht="43.5" customHeight="1" s="54">
      <c r="A90" s="5" t="inlineStr">
        <is>
          <t>QI-39</t>
        </is>
      </c>
      <c r="B90" s="5" t="inlineStr">
        <is>
          <t>Community Partners &amp; Stakeholder Support</t>
        </is>
      </c>
      <c r="C90" s="5" t="inlineStr">
        <is>
          <t>Communication is clear and transparent</t>
        </is>
      </c>
      <c r="D90" s="5" t="inlineStr">
        <is>
          <t>E38</t>
        </is>
      </c>
      <c r="E90" s="5" t="inlineStr">
        <is>
          <t>Communications artifacts &amp; clarity</t>
        </is>
      </c>
      <c r="F90" s="5" t="inlineStr">
        <is>
          <t>Must</t>
        </is>
      </c>
      <c r="G90" s="5" t="inlineStr">
        <is>
          <t>All</t>
        </is>
      </c>
      <c r="H90" s="5" t="inlineStr">
        <is>
          <t>Website; brochures; parent nights; social posts</t>
        </is>
      </c>
      <c r="I90" s="5" t="inlineStr">
        <is>
          <t>Materials are clear, consistent, and accessible; families/staff can explain program; translations available; FAQs address common misunderstandings.</t>
        </is>
      </c>
      <c r="J90" s="5" t="n"/>
      <c r="K90" s="100" t="n"/>
      <c r="L90" s="100" t="n">
        <v>1</v>
      </c>
      <c r="M90" s="100" t="inlineStr">
        <is>
          <t>Y</t>
        </is>
      </c>
    </row>
    <row r="91" ht="58" customHeight="1" s="54">
      <c r="A91" s="5" t="inlineStr">
        <is>
          <t>QI-39</t>
        </is>
      </c>
      <c r="B91" s="5" t="inlineStr">
        <is>
          <t>Community Partners &amp; Stakeholder Support</t>
        </is>
      </c>
      <c r="C91" s="5" t="inlineStr">
        <is>
          <t>Communication is clear and transparent</t>
        </is>
      </c>
      <c r="D91" s="5" t="inlineStr">
        <is>
          <t>E24</t>
        </is>
      </c>
      <c r="E91" s="5" t="inlineStr">
        <is>
          <t>Family engagement &amp; education plan</t>
        </is>
      </c>
      <c r="F91" s="5" t="inlineStr">
        <is>
          <t>Could</t>
        </is>
      </c>
      <c r="G91" s="5" t="inlineStr">
        <is>
          <t>All</t>
        </is>
      </c>
      <c r="H91" s="5" t="inlineStr">
        <is>
          <t>Family engagement office; site comms; newsletters; meeting agendas</t>
        </is>
      </c>
      <c r="I91" s="5" t="inlineStr">
        <is>
          <t>Family supports are accessible (translation, multiple formats); clear onboarding; evidence of participation and satisfaction.</t>
        </is>
      </c>
      <c r="J91" s="5" t="inlineStr">
        <is>
          <t>Family engagement is one channel of comms.</t>
        </is>
      </c>
      <c r="K91" s="100" t="n"/>
      <c r="L91" s="100" t="n">
        <v>3</v>
      </c>
      <c r="M91" s="100" t="inlineStr">
        <is>
          <t>Y</t>
        </is>
      </c>
    </row>
    <row r="92" ht="43.5" customHeight="1" s="54">
      <c r="A92" s="5" t="inlineStr">
        <is>
          <t>QI-40</t>
        </is>
      </c>
      <c r="B92" s="5" t="inlineStr">
        <is>
          <t>Community Partners &amp; Stakeholder Support</t>
        </is>
      </c>
      <c r="C92" s="5" t="inlineStr">
        <is>
          <t>Families/community/business partners understand program specifics</t>
        </is>
      </c>
      <c r="D92" s="5" t="inlineStr">
        <is>
          <t>E38</t>
        </is>
      </c>
      <c r="E92" s="5" t="inlineStr">
        <is>
          <t>Communications artifacts &amp; clarity</t>
        </is>
      </c>
      <c r="F92" s="5" t="inlineStr">
        <is>
          <t>Must</t>
        </is>
      </c>
      <c r="G92" s="5" t="inlineStr">
        <is>
          <t>All</t>
        </is>
      </c>
      <c r="H92" s="5" t="inlineStr">
        <is>
          <t>Website; brochures; parent nights; social posts</t>
        </is>
      </c>
      <c r="I92" s="5" t="inlineStr">
        <is>
          <t>Materials are clear, consistent, and accessible; families/staff can explain program; translations available; FAQs address common misunderstandings.</t>
        </is>
      </c>
      <c r="J92" s="5" t="n"/>
      <c r="K92" s="100" t="n"/>
      <c r="L92" s="100" t="n">
        <v>1</v>
      </c>
      <c r="M92" s="100" t="inlineStr">
        <is>
          <t>Y</t>
        </is>
      </c>
    </row>
    <row r="93" ht="58" customHeight="1" s="54">
      <c r="A93" s="5" t="inlineStr">
        <is>
          <t>QI-40</t>
        </is>
      </c>
      <c r="B93" s="5" t="inlineStr">
        <is>
          <t>Community Partners &amp; Stakeholder Support</t>
        </is>
      </c>
      <c r="C93" s="5" t="inlineStr">
        <is>
          <t>Families/community/business partners understand program specifics</t>
        </is>
      </c>
      <c r="D93" s="5" t="inlineStr">
        <is>
          <t>E24</t>
        </is>
      </c>
      <c r="E93" s="5" t="inlineStr">
        <is>
          <t>Family engagement &amp; education plan</t>
        </is>
      </c>
      <c r="F93" s="5" t="inlineStr">
        <is>
          <t>Should</t>
        </is>
      </c>
      <c r="G93" s="5" t="inlineStr">
        <is>
          <t>All</t>
        </is>
      </c>
      <c r="H93" s="5" t="inlineStr">
        <is>
          <t>Family engagement office; site comms; newsletters; meeting agendas</t>
        </is>
      </c>
      <c r="I93" s="5" t="inlineStr">
        <is>
          <t>Family supports are accessible (translation, multiple formats); clear onboarding; evidence of participation and satisfaction.</t>
        </is>
      </c>
      <c r="J93" s="5" t="n"/>
      <c r="K93" s="100" t="n"/>
      <c r="L93" s="100" t="n">
        <v>2</v>
      </c>
      <c r="M93" s="100" t="inlineStr">
        <is>
          <t>Y</t>
        </is>
      </c>
    </row>
    <row r="94" ht="43.5" customHeight="1" s="54">
      <c r="A94" s="5" t="inlineStr">
        <is>
          <t>QI-41</t>
        </is>
      </c>
      <c r="B94" s="5" t="inlineStr">
        <is>
          <t>Sustainability</t>
        </is>
      </c>
      <c r="C94" s="5" t="inlineStr">
        <is>
          <t>Program can be maintained over time</t>
        </is>
      </c>
      <c r="D94" s="5" t="inlineStr">
        <is>
          <t>E40</t>
        </is>
      </c>
      <c r="E94" s="5" t="inlineStr">
        <is>
          <t>Sustainability plan (multi-year)</t>
        </is>
      </c>
      <c r="F94" s="5" t="inlineStr">
        <is>
          <t>Must</t>
        </is>
      </c>
      <c r="G94" s="5" t="inlineStr">
        <is>
          <t>All</t>
        </is>
      </c>
      <c r="H94" s="5" t="inlineStr">
        <is>
          <t>Program plan; budget; HR; governance docs</t>
        </is>
      </c>
      <c r="I94" s="5" t="inlineStr">
        <is>
          <t>Multi-year plan includes minimum resourcing; governance and evaluation cadence defined; staffing pipeline and budget stability addressed.</t>
        </is>
      </c>
      <c r="J94" s="5" t="n"/>
      <c r="K94" s="100" t="n"/>
      <c r="L94" s="100" t="n">
        <v>1</v>
      </c>
      <c r="M94" s="100" t="inlineStr">
        <is>
          <t>Partial</t>
        </is>
      </c>
    </row>
    <row r="95" ht="58" customHeight="1" s="54">
      <c r="A95" s="5" t="inlineStr">
        <is>
          <t>QI-41</t>
        </is>
      </c>
      <c r="B95" s="5" t="inlineStr">
        <is>
          <t>Sustainability</t>
        </is>
      </c>
      <c r="C95" s="5" t="inlineStr">
        <is>
          <t>Program can be maintained over time</t>
        </is>
      </c>
      <c r="D95" s="5" t="inlineStr">
        <is>
          <t>E29</t>
        </is>
      </c>
      <c r="E95" s="5" t="inlineStr">
        <is>
          <t>Implementation plan &amp; timeline</t>
        </is>
      </c>
      <c r="F95" s="5" t="inlineStr">
        <is>
          <t>Could</t>
        </is>
      </c>
      <c r="G95" s="5" t="inlineStr">
        <is>
          <t>All</t>
        </is>
      </c>
      <c r="H95" s="5" t="inlineStr">
        <is>
          <t>Program implementation doc; project management tool; board updates</t>
        </is>
      </c>
      <c r="I95" s="5" t="inlineStr">
        <is>
          <t>Timeline is realistic with owners and dependencies; risks identified with mitigation; progress tracking exists.</t>
        </is>
      </c>
      <c r="J95" s="5" t="inlineStr">
        <is>
          <t>Sustainability should align to implementation reality.</t>
        </is>
      </c>
      <c r="K95" s="100" t="n"/>
      <c r="L95" s="100" t="n">
        <v>3</v>
      </c>
      <c r="M95" s="100" t="inlineStr">
        <is>
          <t>Partial</t>
        </is>
      </c>
    </row>
    <row r="96" ht="58" customHeight="1" s="54">
      <c r="A96" t="inlineStr">
        <is>
          <t>QI-41</t>
        </is>
      </c>
      <c r="B96" t="inlineStr">
        <is>
          <t>Sustainability</t>
        </is>
      </c>
      <c r="C96" t="inlineStr">
        <is>
          <t>Program can be maintained over time</t>
        </is>
      </c>
      <c r="D96" t="inlineStr">
        <is>
          <t>E49</t>
        </is>
      </c>
      <c r="E96" t="inlineStr">
        <is>
          <t>Preliminary feasibility envelope (rough)</t>
        </is>
      </c>
      <c r="F96" t="inlineStr">
        <is>
          <t>Could</t>
        </is>
      </c>
      <c r="G96" t="inlineStr">
        <is>
          <t>All (concept stage)</t>
        </is>
      </c>
      <c r="H96" t="inlineStr">
        <is>
          <t>Sponsor feasibility memo; finance/HR/facilities inputs</t>
        </is>
      </c>
      <c r="I96" t="inlineStr">
        <is>
          <t>Shows minimum resourcing required to maintain the program; includes key assumptions and unknowns.</t>
        </is>
      </c>
      <c r="J96" t="inlineStr">
        <is>
          <t>Pairs with E40 (full sustainability plan) later.</t>
        </is>
      </c>
      <c r="K96" s="100" t="n"/>
      <c r="L96" s="100" t="n">
        <v>3</v>
      </c>
      <c r="M96" s="100" t="inlineStr">
        <is>
          <t>Partial</t>
        </is>
      </c>
    </row>
    <row r="97" ht="43.5" customHeight="1" s="54">
      <c r="A97" s="5" t="inlineStr">
        <is>
          <t>QI-42</t>
        </is>
      </c>
      <c r="B97" s="5" t="inlineStr">
        <is>
          <t>Sustainability</t>
        </is>
      </c>
      <c r="C97" s="5" t="inlineStr">
        <is>
          <t>Funding and staffing stable for multiple years</t>
        </is>
      </c>
      <c r="D97" s="5" t="inlineStr">
        <is>
          <t>E40</t>
        </is>
      </c>
      <c r="E97" s="5" t="inlineStr">
        <is>
          <t>Sustainability plan (multi-year)</t>
        </is>
      </c>
      <c r="F97" s="5" t="inlineStr">
        <is>
          <t>Must</t>
        </is>
      </c>
      <c r="G97" s="5" t="inlineStr">
        <is>
          <t>All</t>
        </is>
      </c>
      <c r="H97" s="5" t="inlineStr">
        <is>
          <t>Program plan; budget; HR; governance docs</t>
        </is>
      </c>
      <c r="I97" s="5" t="inlineStr">
        <is>
          <t>Multi-year plan includes minimum resourcing; governance and evaluation cadence defined; staffing pipeline and budget stability addressed.</t>
        </is>
      </c>
      <c r="J97" s="5" t="n"/>
      <c r="K97" s="100" t="n"/>
      <c r="L97" s="100" t="n">
        <v>1</v>
      </c>
      <c r="M97" s="100" t="inlineStr">
        <is>
          <t>Partial</t>
        </is>
      </c>
    </row>
    <row r="98" ht="58" customHeight="1" s="54">
      <c r="A98" s="5" t="inlineStr">
        <is>
          <t>QI-42</t>
        </is>
      </c>
      <c r="B98" s="5" t="inlineStr">
        <is>
          <t>Sustainability</t>
        </is>
      </c>
      <c r="C98" s="5" t="inlineStr">
        <is>
          <t>Funding and staffing stable for multiple years</t>
        </is>
      </c>
      <c r="D98" s="5" t="inlineStr">
        <is>
          <t>E16</t>
        </is>
      </c>
      <c r="E98" s="5" t="inlineStr">
        <is>
          <t>Funding plan &amp; sustainability assumptions</t>
        </is>
      </c>
      <c r="F98" s="5" t="inlineStr">
        <is>
          <t>Should</t>
        </is>
      </c>
      <c r="G98" s="5" t="inlineStr">
        <is>
          <t>All</t>
        </is>
      </c>
      <c r="H98" s="5" t="inlineStr">
        <is>
          <t>Finance; grants office; program budget narrative</t>
        </is>
      </c>
      <c r="I98" s="5" t="inlineStr">
        <is>
          <t>Identifies stable funding sources and cliff risks; multi-year projections are realistic; contingency plan exists.</t>
        </is>
      </c>
      <c r="J98" s="5" t="n"/>
      <c r="K98" s="100" t="n"/>
      <c r="L98" s="100" t="n">
        <v>2</v>
      </c>
      <c r="M98" s="100" t="inlineStr">
        <is>
          <t>Partial</t>
        </is>
      </c>
    </row>
    <row r="99" ht="58" customHeight="1" s="54">
      <c r="A99" s="5" t="inlineStr">
        <is>
          <t>QI-42</t>
        </is>
      </c>
      <c r="B99" s="5" t="inlineStr">
        <is>
          <t>Sustainability</t>
        </is>
      </c>
      <c r="C99" s="5" t="inlineStr">
        <is>
          <t>Funding and staffing stable for multiple years</t>
        </is>
      </c>
      <c r="D99" s="5" t="inlineStr">
        <is>
          <t>E19</t>
        </is>
      </c>
      <c r="E99" s="5" t="inlineStr">
        <is>
          <t>Staffing model &amp; qualifications</t>
        </is>
      </c>
      <c r="F99" s="5" t="inlineStr">
        <is>
          <t>Should</t>
        </is>
      </c>
      <c r="G99" s="5" t="inlineStr">
        <is>
          <t>All</t>
        </is>
      </c>
      <c r="H99" s="5" t="inlineStr">
        <is>
          <t>HR; site master schedule; staffing allocations</t>
        </is>
      </c>
      <c r="I99" s="5" t="inlineStr">
        <is>
          <t>Roles and qualifications are explicit; staffing is feasible with hiring market; coverage plan for absences/turnover; equitable staffing across sites.</t>
        </is>
      </c>
      <c r="J99" s="5" t="n"/>
      <c r="K99" s="100" t="n"/>
      <c r="L99" s="100" t="n">
        <v>2</v>
      </c>
      <c r="M99" s="100" t="inlineStr">
        <is>
          <t>Partial</t>
        </is>
      </c>
    </row>
    <row r="100" ht="43.5" customHeight="1" s="54">
      <c r="A100" t="inlineStr">
        <is>
          <t>QI-42</t>
        </is>
      </c>
      <c r="B100" t="inlineStr">
        <is>
          <t>Sustainability</t>
        </is>
      </c>
      <c r="C100" t="inlineStr">
        <is>
          <t>Funding and staffing stable for multiple years</t>
        </is>
      </c>
      <c r="D100" t="inlineStr">
        <is>
          <t>E49</t>
        </is>
      </c>
      <c r="E100" t="inlineStr">
        <is>
          <t>Preliminary feasibility envelope (rough)</t>
        </is>
      </c>
      <c r="F100" t="inlineStr">
        <is>
          <t>Could</t>
        </is>
      </c>
      <c r="G100" t="inlineStr">
        <is>
          <t>All (concept stage)</t>
        </is>
      </c>
      <c r="H100" t="inlineStr">
        <is>
          <t>Finance/HR + sponsor feasibility estimate; facilities/transport notes</t>
        </is>
      </c>
      <c r="I100" t="inlineStr">
        <is>
          <t>Highlights multi-year funding/staffing risks early; identifies cliff risks and hard-to-fill roles assumptions.</t>
        </is>
      </c>
      <c r="J100" t="inlineStr">
        <is>
          <t>Use to surface stability risks before full implementation approval.</t>
        </is>
      </c>
      <c r="K100" s="100" t="n"/>
      <c r="L100" s="100" t="n">
        <v>3</v>
      </c>
      <c r="M100" s="100" t="inlineStr">
        <is>
          <t>Partial</t>
        </is>
      </c>
    </row>
    <row r="101" ht="43.5" customHeight="1" s="54">
      <c r="A101" s="5" t="inlineStr">
        <is>
          <t>QI-43</t>
        </is>
      </c>
      <c r="B101" s="5" t="inlineStr">
        <is>
          <t>Sustainability</t>
        </is>
      </c>
      <c r="C101" s="5" t="inlineStr">
        <is>
          <t>Integrates with existing systems (vs. replacing too much at once)</t>
        </is>
      </c>
      <c r="D101" s="5" t="inlineStr">
        <is>
          <t>E06</t>
        </is>
      </c>
      <c r="E101" s="5" t="inlineStr">
        <is>
          <t>Program landscape / duplication analysis</t>
        </is>
      </c>
      <c r="F101" s="5" t="inlineStr">
        <is>
          <t>Should</t>
        </is>
      </c>
      <c r="G101" s="5" t="inlineStr">
        <is>
          <t>All</t>
        </is>
      </c>
      <c r="H101" s="5" t="inlineStr">
        <is>
          <t>Program office; school choice/enrollment docs; C&amp;I inventory</t>
        </is>
      </c>
      <c r="I101" s="5" t="inlineStr">
        <is>
          <t>Identifies similar offerings and clarifies differentiation; articulates complementarity and avoids redundancy; includes decision rationale if overlap exists.</t>
        </is>
      </c>
      <c r="J101" s="5" t="n"/>
      <c r="K101" s="100" t="n"/>
      <c r="L101" s="100" t="n">
        <v>2</v>
      </c>
      <c r="M101" s="100" t="inlineStr">
        <is>
          <t>Partial</t>
        </is>
      </c>
    </row>
    <row r="102" ht="58" customHeight="1" s="54">
      <c r="A102" s="5" t="inlineStr">
        <is>
          <t>QI-43</t>
        </is>
      </c>
      <c r="B102" s="5" t="inlineStr">
        <is>
          <t>Sustainability</t>
        </is>
      </c>
      <c r="C102" s="5" t="inlineStr">
        <is>
          <t>Integrates with existing systems (vs. replacing too much at once)</t>
        </is>
      </c>
      <c r="D102" s="5" t="inlineStr">
        <is>
          <t>E29</t>
        </is>
      </c>
      <c r="E102" s="5" t="inlineStr">
        <is>
          <t>Implementation plan &amp; timeline</t>
        </is>
      </c>
      <c r="F102" s="5" t="inlineStr">
        <is>
          <t>Should</t>
        </is>
      </c>
      <c r="G102" s="5" t="inlineStr">
        <is>
          <t>All</t>
        </is>
      </c>
      <c r="H102" s="5" t="inlineStr">
        <is>
          <t>Program implementation doc; project management tool; board updates</t>
        </is>
      </c>
      <c r="I102" s="5" t="inlineStr">
        <is>
          <t>Timeline is realistic with owners and dependencies; risks identified with mitigation; progress tracking exists.</t>
        </is>
      </c>
      <c r="J102" s="5" t="n"/>
      <c r="K102" s="100" t="n"/>
      <c r="L102" s="100" t="n">
        <v>2</v>
      </c>
      <c r="M102" s="100" t="inlineStr">
        <is>
          <t>Partial</t>
        </is>
      </c>
    </row>
    <row r="103" ht="43.5" customHeight="1" s="54">
      <c r="A103" s="5" t="inlineStr">
        <is>
          <t>QI-43</t>
        </is>
      </c>
      <c r="B103" s="5" t="inlineStr">
        <is>
          <t>Sustainability</t>
        </is>
      </c>
      <c r="C103" s="5" t="inlineStr">
        <is>
          <t>Integrates with existing systems (vs. replacing too much at once)</t>
        </is>
      </c>
      <c r="D103" s="5" t="inlineStr">
        <is>
          <t>E03</t>
        </is>
      </c>
      <c r="E103" s="5" t="inlineStr">
        <is>
          <t>Standards &amp; curriculum alignment map</t>
        </is>
      </c>
      <c r="F103" s="5" t="inlineStr">
        <is>
          <t>Could</t>
        </is>
      </c>
      <c r="G103" s="5" t="inlineStr">
        <is>
          <t>All</t>
        </is>
      </c>
      <c r="H103" s="5" t="inlineStr">
        <is>
          <t>Curriculum dept; course catalogs; unit plans; provider frameworks</t>
        </is>
      </c>
      <c r="I103" s="5" t="inlineStr">
        <is>
          <t>Includes clear alignment to AZ standards and/or program frameworks; shows scope/sequence and assessment alignment; evidence of teacher use (pacing/units).</t>
        </is>
      </c>
      <c r="J103" s="5" t="inlineStr">
        <is>
          <t>Integration with curriculum systems, where relevant.</t>
        </is>
      </c>
      <c r="K103" s="100" t="n"/>
      <c r="L103" s="100" t="n">
        <v>3</v>
      </c>
      <c r="M103" s="100" t="inlineStr">
        <is>
          <t>Partial</t>
        </is>
      </c>
    </row>
    <row r="104" ht="43.5" customHeight="1" s="54">
      <c r="A104" s="49" t="inlineStr">
        <is>
          <t>QI-44</t>
        </is>
      </c>
      <c r="B104" s="49" t="inlineStr">
        <is>
          <t>Sustainability</t>
        </is>
      </c>
      <c r="C104" s="49" t="inlineStr">
        <is>
          <t>Can adapt to future needs</t>
        </is>
      </c>
      <c r="D104" s="49" t="inlineStr">
        <is>
          <t>E42</t>
        </is>
      </c>
      <c r="E104" s="49" t="inlineStr">
        <is>
          <t>Adaptability/innovation plan</t>
        </is>
      </c>
      <c r="F104" s="49" t="inlineStr">
        <is>
          <t>Must</t>
        </is>
      </c>
      <c r="G104" s="49" t="inlineStr">
        <is>
          <t>All</t>
        </is>
      </c>
      <c r="H104" s="49" t="inlineStr">
        <is>
          <t>Program roadmap; evaluation findings; curriculum review cycle</t>
        </is>
      </c>
      <c r="I104" s="49" t="inlineStr">
        <is>
          <t>Roadmap balances fidelity + evolution; triggers for change defined; stakeholder input included; alignment to standards/needs maintained.</t>
        </is>
      </c>
      <c r="J104" s="49" t="n"/>
      <c r="K104" s="100" t="n"/>
      <c r="L104" s="100" t="n">
        <v>1</v>
      </c>
      <c r="M104" s="100" t="inlineStr">
        <is>
          <t>Partial</t>
        </is>
      </c>
    </row>
    <row r="105" ht="43.5" customHeight="1" s="54">
      <c r="A105" s="50" t="inlineStr">
        <is>
          <t>QI-44</t>
        </is>
      </c>
      <c r="B105" s="50" t="inlineStr">
        <is>
          <t>Sustainability</t>
        </is>
      </c>
      <c r="C105" s="50" t="inlineStr">
        <is>
          <t>Can adapt to future needs</t>
        </is>
      </c>
      <c r="D105" s="50" t="inlineStr">
        <is>
          <t>E35</t>
        </is>
      </c>
      <c r="E105" s="50" t="inlineStr">
        <is>
          <t>Continuous improvement/change log</t>
        </is>
      </c>
      <c r="F105" s="50" t="inlineStr">
        <is>
          <t>Should</t>
        </is>
      </c>
      <c r="G105" s="50" t="inlineStr">
        <is>
          <t>All</t>
        </is>
      </c>
      <c r="H105" s="50" t="inlineStr">
        <is>
          <t>Program lead notes; revision history; meeting minutes</t>
        </is>
      </c>
      <c r="I105" s="50" t="inlineStr">
        <is>
          <t>Documented iterations based on evidence; changes are communicated and controlled; avoids drift from core model.</t>
        </is>
      </c>
      <c r="J105" s="50" t="inlineStr">
        <is>
          <t>Use improvement log to show adaptation over time.</t>
        </is>
      </c>
      <c r="K105" s="100" t="n"/>
      <c r="L105" s="100" t="n">
        <v>2</v>
      </c>
      <c r="M105" s="100" t="inlineStr">
        <is>
          <t>Partial</t>
        </is>
      </c>
    </row>
    <row r="106" ht="43.5" customHeight="1" s="54">
      <c r="A106" s="49" t="inlineStr">
        <is>
          <t>QI-45</t>
        </is>
      </c>
      <c r="B106" s="49" t="inlineStr">
        <is>
          <t>Sustainability</t>
        </is>
      </c>
      <c r="C106" s="49" t="inlineStr">
        <is>
          <t>Plan to maintain consistency during leadership transitions</t>
        </is>
      </c>
      <c r="D106" s="49" t="inlineStr">
        <is>
          <t>E41</t>
        </is>
      </c>
      <c r="E106" s="49" t="inlineStr">
        <is>
          <t>Leadership transition / continuity plan</t>
        </is>
      </c>
      <c r="F106" s="49" t="inlineStr">
        <is>
          <t>Must</t>
        </is>
      </c>
      <c r="G106" s="49" t="inlineStr">
        <is>
          <t>All</t>
        </is>
      </c>
      <c r="H106" s="49" t="inlineStr">
        <is>
          <t>Program handbook; SOPs; succession planning</t>
        </is>
      </c>
      <c r="I106" s="49" t="inlineStr">
        <is>
          <t>Playbooks/SOPs exist; onboarding and training for new leaders; key decisions and non-negotiables documented.</t>
        </is>
      </c>
      <c r="J106" s="49" t="n"/>
      <c r="K106" s="100" t="n"/>
      <c r="L106" s="100" t="n">
        <v>1</v>
      </c>
      <c r="M106" s="100" t="inlineStr">
        <is>
          <t>Partial</t>
        </is>
      </c>
    </row>
    <row r="107" ht="43.5" customHeight="1" s="54">
      <c r="A107" s="50" t="inlineStr">
        <is>
          <t>QI-45</t>
        </is>
      </c>
      <c r="B107" s="50" t="inlineStr">
        <is>
          <t>Sustainability</t>
        </is>
      </c>
      <c r="C107" s="50" t="inlineStr">
        <is>
          <t>Plan to maintain consistency during leadership transitions</t>
        </is>
      </c>
      <c r="D107" s="50" t="inlineStr">
        <is>
          <t>E40</t>
        </is>
      </c>
      <c r="E107" s="50" t="inlineStr">
        <is>
          <t>Sustainability plan (multi-year)</t>
        </is>
      </c>
      <c r="F107" s="50" t="inlineStr">
        <is>
          <t>Should</t>
        </is>
      </c>
      <c r="G107" s="50" t="inlineStr">
        <is>
          <t>All</t>
        </is>
      </c>
      <c r="H107" s="50" t="inlineStr">
        <is>
          <t>Program plan; budget; HR; governance docs</t>
        </is>
      </c>
      <c r="I107" s="50" t="inlineStr">
        <is>
          <t>Multi-year plan includes minimum resourcing; governance and evaluation cadence defined; staffing pipeline and budget stability addressed.</t>
        </is>
      </c>
      <c r="J107" s="50" t="n"/>
      <c r="K107" s="100" t="n"/>
      <c r="L107" s="100" t="n">
        <v>2</v>
      </c>
      <c r="M107" s="100" t="inlineStr">
        <is>
          <t>Partial</t>
        </is>
      </c>
    </row>
    <row r="108" ht="43.5" customHeight="1" s="54">
      <c r="A108" s="49" t="inlineStr">
        <is>
          <t>QI-03</t>
        </is>
      </c>
      <c r="B108" s="49" t="inlineStr">
        <is>
          <t>Alignment &amp; Purpose</t>
        </is>
      </c>
      <c r="C108" s="49" t="inlineStr">
        <is>
          <t>Clear evidence of need for the program</t>
        </is>
      </c>
      <c r="D108" s="49" t="inlineStr">
        <is>
          <t>E43</t>
        </is>
      </c>
      <c r="E108" s="49" t="inlineStr">
        <is>
          <t>Student mobility (entries &amp; exits) + reasons analysis (aggregated)</t>
        </is>
      </c>
      <c r="F108" s="49" t="inlineStr">
        <is>
          <t>Could</t>
        </is>
      </c>
      <c r="G108" s="49" t="inlineStr">
        <is>
          <t>All (contextual)</t>
        </is>
      </c>
      <c r="H108" s="49" t="inlineStr">
        <is>
          <t>Enrollment/Data; withdrawal records; exit survey aggregates</t>
        </is>
      </c>
      <c r="I108" s="49" t="inlineStr">
        <is>
          <t>Patterns are stable over time and segmented; reasons are aggregated; triangulated with demand and outcomes.</t>
        </is>
      </c>
      <c r="J108" s="49" t="inlineStr">
        <is>
          <t>Directional signal; do not treat as sole proof of need.</t>
        </is>
      </c>
      <c r="K108" s="100" t="n"/>
      <c r="L108" s="100" t="n">
        <v>3</v>
      </c>
      <c r="M108" s="100" t="inlineStr">
        <is>
          <t>Partial</t>
        </is>
      </c>
    </row>
    <row r="109" ht="43.5" customHeight="1" s="54">
      <c r="A109" s="50" t="inlineStr">
        <is>
          <t>QI-07</t>
        </is>
      </c>
      <c r="B109" s="50" t="inlineStr">
        <is>
          <t>Evidence &amp; Effectiveness</t>
        </is>
      </c>
      <c r="C109" s="50" t="inlineStr">
        <is>
          <t>Market demand for specialized programming</t>
        </is>
      </c>
      <c r="D109" s="50" t="inlineStr">
        <is>
          <t>E43</t>
        </is>
      </c>
      <c r="E109" s="50" t="inlineStr">
        <is>
          <t>Student mobility (entries &amp; exits) + reasons analysis (aggregated)</t>
        </is>
      </c>
      <c r="F109" s="50" t="inlineStr">
        <is>
          <t>Should</t>
        </is>
      </c>
      <c r="G109" s="50" t="inlineStr">
        <is>
          <t>All (contextual)</t>
        </is>
      </c>
      <c r="H109" s="50" t="inlineStr">
        <is>
          <t>Enrollment/Data; withdrawal records; exit survey aggregates</t>
        </is>
      </c>
      <c r="I109" s="50" t="inlineStr">
        <is>
          <t>Exit patterns complement application/waitlist data; includes destination mix and segment patterns; avoids over-attribution.</t>
        </is>
      </c>
      <c r="J109" s="50" t="inlineStr">
        <is>
          <t>Use especially when considering new offerings or redesign.</t>
        </is>
      </c>
      <c r="K109" s="100" t="n"/>
      <c r="L109" s="100" t="n">
        <v>2</v>
      </c>
      <c r="M109" s="100" t="inlineStr">
        <is>
          <t>Partial</t>
        </is>
      </c>
    </row>
    <row r="110" ht="43.5" customHeight="1" s="54">
      <c r="A110" s="49" t="inlineStr">
        <is>
          <t>QI-12</t>
        </is>
      </c>
      <c r="B110" s="49" t="inlineStr">
        <is>
          <t>Equity &amp; Accessibility</t>
        </is>
      </c>
      <c r="C110" s="49" t="inlineStr">
        <is>
          <t>Benefits all students, including those with diverse needs</t>
        </is>
      </c>
      <c r="D110" s="49" t="inlineStr">
        <is>
          <t>E43</t>
        </is>
      </c>
      <c r="E110" s="49" t="inlineStr">
        <is>
          <t>Student mobility (entries &amp; exits) + reasons analysis (aggregated)</t>
        </is>
      </c>
      <c r="F110" s="49" t="inlineStr">
        <is>
          <t>Could</t>
        </is>
      </c>
      <c r="G110" s="49" t="inlineStr">
        <is>
          <t>All (contextual)</t>
        </is>
      </c>
      <c r="H110" s="49" t="inlineStr">
        <is>
          <t>Enrollment/Data; exit survey aggregates</t>
        </is>
      </c>
      <c r="I110" s="49" t="inlineStr">
        <is>
          <t>Shows whether certain segments disproportionately exit; paired with participation equity profile to identify barriers.</t>
        </is>
      </c>
      <c r="J110" s="49" t="inlineStr">
        <is>
          <t>Beware small-n; apply suppression.</t>
        </is>
      </c>
      <c r="K110" s="100" t="n"/>
      <c r="L110" s="100" t="n">
        <v>3</v>
      </c>
      <c r="M110" s="100" t="inlineStr">
        <is>
          <t>Partial</t>
        </is>
      </c>
    </row>
    <row r="111" ht="43.5" customHeight="1" s="54">
      <c r="A111" s="50" t="inlineStr">
        <is>
          <t>QI-08</t>
        </is>
      </c>
      <c r="B111" s="50" t="inlineStr">
        <is>
          <t>Evidence &amp; Effectiveness</t>
        </is>
      </c>
      <c r="C111" s="50" t="inlineStr">
        <is>
          <t>Proven results in similar contexts (size, demographics)</t>
        </is>
      </c>
      <c r="D111" s="50" t="inlineStr">
        <is>
          <t>E44</t>
        </is>
      </c>
      <c r="E111" s="50" t="inlineStr">
        <is>
          <t>Peer district benchmarking matrix</t>
        </is>
      </c>
      <c r="F111" s="50" t="inlineStr">
        <is>
          <t>Should</t>
        </is>
      </c>
      <c r="G111" s="50" t="inlineStr">
        <is>
          <t>All</t>
        </is>
      </c>
      <c r="H111" s="50" t="inlineStr">
        <is>
          <t>SPARK sub-team; public artifacts + notes</t>
        </is>
      </c>
      <c r="I111" s="50" t="inlineStr">
        <is>
          <t>Includes context similarity notes; comparable metrics/outcome proxies; avoids cherry-picked exemplars.</t>
        </is>
      </c>
      <c r="J111" s="50" t="inlineStr">
        <is>
          <t>Calibration tool, not ranking.</t>
        </is>
      </c>
      <c r="K111" s="100" t="n"/>
      <c r="L111" s="100" t="n">
        <v>2</v>
      </c>
      <c r="M111" s="100" t="inlineStr">
        <is>
          <t>Y</t>
        </is>
      </c>
    </row>
    <row r="112" ht="43.5" customHeight="1" s="54">
      <c r="A112" s="49" t="inlineStr">
        <is>
          <t>QI-06</t>
        </is>
      </c>
      <c r="B112" s="49" t="inlineStr">
        <is>
          <t>Evidence &amp; Effectiveness</t>
        </is>
      </c>
      <c r="C112" s="49" t="inlineStr">
        <is>
          <t>Research-based or evidence-informed</t>
        </is>
      </c>
      <c r="D112" s="49" t="inlineStr">
        <is>
          <t>E44</t>
        </is>
      </c>
      <c r="E112" s="49" t="inlineStr">
        <is>
          <t>Peer district benchmarking matrix</t>
        </is>
      </c>
      <c r="F112" s="49" t="inlineStr">
        <is>
          <t>Could</t>
        </is>
      </c>
      <c r="G112" s="49" t="inlineStr">
        <is>
          <t>All</t>
        </is>
      </c>
      <c r="H112" s="49" t="inlineStr">
        <is>
          <t>SPARK sub-team</t>
        </is>
      </c>
      <c r="I112" s="49" t="inlineStr">
        <is>
          <t>Captures whether peers cite evidence base/implementation conditions; links to primary sources where possible.</t>
        </is>
      </c>
      <c r="J112" s="49" t="inlineStr">
        <is>
          <t>Secondary to research summary (E07).</t>
        </is>
      </c>
      <c r="K112" s="100" t="n"/>
      <c r="L112" s="100" t="n">
        <v>3</v>
      </c>
      <c r="M112" s="100" t="inlineStr">
        <is>
          <t>Y</t>
        </is>
      </c>
    </row>
    <row r="113" ht="43.5" customHeight="1" s="54">
      <c r="A113" s="50" t="inlineStr">
        <is>
          <t>QI-44</t>
        </is>
      </c>
      <c r="B113" s="50" t="inlineStr">
        <is>
          <t>Sustainability</t>
        </is>
      </c>
      <c r="C113" s="50" t="inlineStr">
        <is>
          <t>Can the program adapt to future needs?</t>
        </is>
      </c>
      <c r="D113" s="50" t="inlineStr">
        <is>
          <t>E45</t>
        </is>
      </c>
      <c r="E113" s="50" t="inlineStr">
        <is>
          <t>Trend scan log + semiannual synthesis</t>
        </is>
      </c>
      <c r="F113" s="50" t="inlineStr">
        <is>
          <t>Could</t>
        </is>
      </c>
      <c r="G113" s="50" t="inlineStr">
        <is>
          <t>All (context)</t>
        </is>
      </c>
      <c r="H113" s="50" t="inlineStr">
        <is>
          <t>SPARK sub-team</t>
        </is>
      </c>
      <c r="I113" s="50" t="inlineStr">
        <is>
          <t>Synthesis identifies plausible future shifts with confidence and time horizon; links to opportunities and risks.</t>
        </is>
      </c>
      <c r="J113" s="50" t="inlineStr">
        <is>
          <t>Context only—avoid deterministic claims.</t>
        </is>
      </c>
      <c r="K113" s="100" t="n"/>
      <c r="L113" s="100" t="n">
        <v>3</v>
      </c>
      <c r="M113" s="100" t="inlineStr">
        <is>
          <t>Partial</t>
        </is>
      </c>
    </row>
    <row r="114" ht="58" customHeight="1" s="54">
      <c r="A114" s="5" t="inlineStr">
        <is>
          <t>QI-01</t>
        </is>
      </c>
      <c r="B114" s="5" t="inlineStr">
        <is>
          <t>Alignment &amp; Purpose</t>
        </is>
      </c>
      <c r="C114" s="5" t="inlineStr">
        <is>
          <t>Aligns with district/school mission, vision, and strategic goals</t>
        </is>
      </c>
      <c r="D114" s="5" t="inlineStr">
        <is>
          <t>E50</t>
        </is>
      </c>
      <c r="E114" s="5" t="inlineStr">
        <is>
          <t>MSA program overview (SUSD)</t>
        </is>
      </c>
      <c r="F114" s="5" t="inlineStr">
        <is>
          <t>Should</t>
        </is>
      </c>
      <c r="G114" s="5" t="inlineStr">
        <is>
          <t>MSA</t>
        </is>
      </c>
      <c r="H114" s="5" t="inlineStr">
        <is>
          <t>https://www.susd.org/academics/academic-programs/math-science-academy</t>
        </is>
      </c>
      <c r="I114" s="5" t="inlineStr">
        <is>
          <t>Mission/strategic alignment is explicit; target outcomes and target population are clear.</t>
        </is>
      </c>
      <c r="J114" s="5" t="inlineStr">
        <is>
          <t>Public evidence; does not substitute for needs data/outcome data.</t>
        </is>
      </c>
      <c r="K114" s="100" t="n"/>
      <c r="L114" s="100" t="n">
        <v>2</v>
      </c>
      <c r="M114" s="100" t="inlineStr">
        <is>
          <t>Y</t>
        </is>
      </c>
    </row>
    <row r="115" ht="58" customHeight="1" s="54">
      <c r="A115" s="5" t="inlineStr">
        <is>
          <t>QI-01</t>
        </is>
      </c>
      <c r="B115" s="5" t="inlineStr">
        <is>
          <t>Alignment &amp; Purpose</t>
        </is>
      </c>
      <c r="C115" s="5" t="inlineStr">
        <is>
          <t>Aligns with district/school mission, vision, and strategic goals</t>
        </is>
      </c>
      <c r="D115" s="5" t="inlineStr">
        <is>
          <t>E58</t>
        </is>
      </c>
      <c r="E115" s="5" t="inlineStr">
        <is>
          <t>STEM Certified Schools overview (SUSD)</t>
        </is>
      </c>
      <c r="F115" s="5" t="inlineStr">
        <is>
          <t>Should</t>
        </is>
      </c>
      <c r="G115" s="5" t="inlineStr">
        <is>
          <t>STEAM / STEM Certified Schools</t>
        </is>
      </c>
      <c r="H115" s="5" t="inlineStr">
        <is>
          <t>https://www.susd.org/academics/academic-programs/stem-certified-schools</t>
        </is>
      </c>
      <c r="I115" s="5" t="inlineStr">
        <is>
          <t>Program purpose and alignment are explicit; describes certification framework and domains.</t>
        </is>
      </c>
      <c r="J115" s="5" t="inlineStr">
        <is>
          <t>Public evidence; does not substitute for site-level outcome data.</t>
        </is>
      </c>
      <c r="K115" s="100" t="n"/>
      <c r="L115" s="100" t="n">
        <v>2</v>
      </c>
      <c r="M115" s="100" t="inlineStr">
        <is>
          <t>Y</t>
        </is>
      </c>
    </row>
    <row r="116" ht="58" customHeight="1" s="54">
      <c r="A116" s="5" t="inlineStr">
        <is>
          <t>QI-11</t>
        </is>
      </c>
      <c r="B116" s="5" t="inlineStr">
        <is>
          <t>Equity &amp; Accessibility</t>
        </is>
      </c>
      <c r="C116" s="5" t="inlineStr">
        <is>
          <t>Benefits all students, including those with diverse needs</t>
        </is>
      </c>
      <c r="D116" s="5" t="inlineStr">
        <is>
          <t>E50</t>
        </is>
      </c>
      <c r="E116" s="5" t="inlineStr">
        <is>
          <t>MSA program overview (SUSD)</t>
        </is>
      </c>
      <c r="F116" s="5" t="inlineStr">
        <is>
          <t>Could</t>
        </is>
      </c>
      <c r="G116" s="5" t="inlineStr">
        <is>
          <t>MSA</t>
        </is>
      </c>
      <c r="H116" s="5" t="inlineStr">
        <is>
          <t>https://www.susd.org/academics/academic-programs/math-science-academy</t>
        </is>
      </c>
      <c r="I116" s="5" t="inlineStr">
        <is>
          <t>Evidence of inclusive access and supports; benefits beyond enrolled cohort are described.</t>
        </is>
      </c>
      <c r="J116" s="5" t="inlineStr">
        <is>
          <t>Need confirmation of supports for SPED/EL and barriers (transport, advising).</t>
        </is>
      </c>
      <c r="K116" s="100" t="n"/>
      <c r="L116" s="100" t="n">
        <v>3</v>
      </c>
      <c r="M116" s="100" t="inlineStr">
        <is>
          <t>Y</t>
        </is>
      </c>
    </row>
    <row r="117" ht="58" customHeight="1" s="54">
      <c r="A117" s="5" t="inlineStr">
        <is>
          <t>QI-11</t>
        </is>
      </c>
      <c r="B117" s="5" t="inlineStr">
        <is>
          <t>Equity &amp; Accessibility</t>
        </is>
      </c>
      <c r="C117" s="5" t="inlineStr">
        <is>
          <t>Benefits all students, including those with diverse needs</t>
        </is>
      </c>
      <c r="D117" s="5" t="inlineStr">
        <is>
          <t>E60</t>
        </is>
      </c>
      <c r="E117" s="5" t="inlineStr">
        <is>
          <t>Navajo Academics (Cognia STEM + STEAM + programs)</t>
        </is>
      </c>
      <c r="F117" s="5" t="inlineStr">
        <is>
          <t>Could</t>
        </is>
      </c>
      <c r="G117" s="5" t="inlineStr">
        <is>
          <t>STEAM / STEM Certified Schools</t>
        </is>
      </c>
      <c r="H117" s="5" t="inlineStr">
        <is>
          <t>https://navajo.susd.org/academics</t>
        </is>
      </c>
      <c r="I117" s="5" t="inlineStr">
        <is>
          <t>Evidence that program is part of core school experience; references enrichment/supports.</t>
        </is>
      </c>
      <c r="J117" s="5" t="inlineStr">
        <is>
          <t>Need subgroup outcome data + explicit access supports.</t>
        </is>
      </c>
      <c r="K117" s="100" t="n"/>
      <c r="L117" s="100" t="n">
        <v>3</v>
      </c>
      <c r="M117" s="100" t="inlineStr">
        <is>
          <t>Y</t>
        </is>
      </c>
    </row>
    <row r="118" ht="58" customHeight="1" s="54">
      <c r="A118" s="5" t="inlineStr">
        <is>
          <t>QI-17</t>
        </is>
      </c>
      <c r="B118" s="5" t="inlineStr">
        <is>
          <t>Cost &amp; Resources</t>
        </is>
      </c>
      <c r="C118" s="5" t="inlineStr">
        <is>
          <t>Materials/facilities/tech required; ongoing maintenance costs</t>
        </is>
      </c>
      <c r="D118" s="5" t="inlineStr">
        <is>
          <t>E53</t>
        </is>
      </c>
      <c r="E118" s="5" t="inlineStr">
        <is>
          <t>MSA school page (Mohave MS)</t>
        </is>
      </c>
      <c r="F118" s="5" t="inlineStr">
        <is>
          <t>Could</t>
        </is>
      </c>
      <c r="G118" s="5" t="inlineStr">
        <is>
          <t>MSA</t>
        </is>
      </c>
      <c r="H118" s="5" t="inlineStr">
        <is>
          <t>https://mohave.susd.org/academics/msa</t>
        </is>
      </c>
      <c r="I118" s="5" t="inlineStr">
        <is>
          <t>Facilities/tech needs are described at a high level (Innovation Center, robotics/coding/3D printing).</t>
        </is>
      </c>
      <c r="J118" s="5" t="inlineStr">
        <is>
          <t>Need inventory + maintenance cost model.</t>
        </is>
      </c>
      <c r="K118" s="100" t="n"/>
      <c r="L118" s="100" t="n">
        <v>3</v>
      </c>
      <c r="M118" s="100" t="inlineStr">
        <is>
          <t>Y</t>
        </is>
      </c>
    </row>
    <row r="119" ht="58" customHeight="1" s="54">
      <c r="A119" s="5" t="inlineStr">
        <is>
          <t>QI-18</t>
        </is>
      </c>
      <c r="B119" s="5" t="inlineStr">
        <is>
          <t>Cost &amp; Resources</t>
        </is>
      </c>
      <c r="C119" s="5" t="inlineStr">
        <is>
          <t>Staffing needed (new hires, reassignment, volunteers)</t>
        </is>
      </c>
      <c r="D119" s="5" t="inlineStr">
        <is>
          <t>E57</t>
        </is>
      </c>
      <c r="E119" s="5" t="inlineStr">
        <is>
          <t>MSA Coordinator role description (external posting)</t>
        </is>
      </c>
      <c r="F119" s="5" t="inlineStr">
        <is>
          <t>Could</t>
        </is>
      </c>
      <c r="G119" s="5" t="inlineStr">
        <is>
          <t>MSA</t>
        </is>
      </c>
      <c r="H119" s="5" t="inlineStr">
        <is>
          <t>https://scottsdale.tedk12.com/hire/Admin/JobPostingPrintView.aspx?Internal=&amp;JobID=11116</t>
        </is>
      </c>
      <c r="I119" s="5" t="inlineStr">
        <is>
          <t>Roles/qualifications and operational responsibilities are explicitly defined.</t>
        </is>
      </c>
      <c r="J119" s="5" t="inlineStr">
        <is>
          <t>Need current staffing plan + workload distribution.</t>
        </is>
      </c>
      <c r="K119" s="100" t="n"/>
      <c r="L119" s="100" t="n">
        <v>3</v>
      </c>
      <c r="M119" s="100" t="inlineStr">
        <is>
          <t>Y</t>
        </is>
      </c>
    </row>
    <row r="120" ht="58" customHeight="1" s="54">
      <c r="A120" s="5" t="inlineStr">
        <is>
          <t>QI-28</t>
        </is>
      </c>
      <c r="B120" s="5" t="inlineStr">
        <is>
          <t>Implementation Feasibility</t>
        </is>
      </c>
      <c r="C120" s="5" t="inlineStr">
        <is>
          <t>Realistic rollout timeline</t>
        </is>
      </c>
      <c r="D120" s="5" t="inlineStr">
        <is>
          <t>E54</t>
        </is>
      </c>
      <c r="E120" s="5" t="inlineStr">
        <is>
          <t>Mohave MSA launch media release (SUSD)</t>
        </is>
      </c>
      <c r="F120" s="5" t="inlineStr">
        <is>
          <t>Could</t>
        </is>
      </c>
      <c r="G120" s="5" t="inlineStr">
        <is>
          <t>MSA</t>
        </is>
      </c>
      <c r="H120" s="5" t="inlineStr">
        <is>
          <t>https://www.susd.org/departments/communications/post-viewer/~board/media-releases/post/mohave-middle-schools-math-science-academy-is-now-open-come-see-whats-possible</t>
        </is>
      </c>
      <c r="I120" s="5" t="inlineStr">
        <is>
          <t>Timeline is communicated; launch milestones and stakeholder outreach are visible.</t>
        </is>
      </c>
      <c r="J120" s="5" t="inlineStr">
        <is>
          <t>Need internal project plan and pilot/rollout lessons learned.</t>
        </is>
      </c>
      <c r="K120" s="100" t="n"/>
      <c r="L120" s="100" t="n">
        <v>3</v>
      </c>
      <c r="M120" s="100" t="inlineStr">
        <is>
          <t>Y</t>
        </is>
      </c>
    </row>
    <row r="121" ht="58" customHeight="1" s="54">
      <c r="A121" s="5" t="inlineStr">
        <is>
          <t>QI-37</t>
        </is>
      </c>
      <c r="B121" s="5" t="inlineStr">
        <is>
          <t>Community Partners &amp; Stakeholder Support</t>
        </is>
      </c>
      <c r="C121" s="5" t="inlineStr">
        <is>
          <t>Community/business partners consulted and leveraged</t>
        </is>
      </c>
      <c r="D121" s="5" t="inlineStr">
        <is>
          <t>E57</t>
        </is>
      </c>
      <c r="E121" s="5" t="inlineStr">
        <is>
          <t>MSA Coordinator role description (external posting)</t>
        </is>
      </c>
      <c r="F121" s="5" t="inlineStr">
        <is>
          <t>Could</t>
        </is>
      </c>
      <c r="G121" s="5" t="inlineStr">
        <is>
          <t>MSA</t>
        </is>
      </c>
      <c r="H121" s="5" t="inlineStr">
        <is>
          <t>https://scottsdale.tedk12.com/hire/Admin/JobPostingPrintView.aspx?Internal=&amp;JobID=11116</t>
        </is>
      </c>
      <c r="I121" s="5" t="inlineStr">
        <is>
          <t>Community/industry partnerships are explicit and active (liaison role).</t>
        </is>
      </c>
      <c r="J121" s="5" t="inlineStr">
        <is>
          <t>Need partner list + partnership outcomes.</t>
        </is>
      </c>
      <c r="K121" s="100" t="n"/>
      <c r="L121" s="100" t="n">
        <v>3</v>
      </c>
      <c r="M121" s="100" t="inlineStr">
        <is>
          <t>Y</t>
        </is>
      </c>
    </row>
    <row r="122" ht="58" customHeight="1" s="54">
      <c r="A122" s="5" t="inlineStr">
        <is>
          <t>QI-39</t>
        </is>
      </c>
      <c r="B122" s="5" t="inlineStr">
        <is>
          <t>Community Partners &amp; Stakeholder Support</t>
        </is>
      </c>
      <c r="C122" s="5" t="inlineStr">
        <is>
          <t>Communication is clear and transparent</t>
        </is>
      </c>
      <c r="D122" s="5" t="inlineStr">
        <is>
          <t>E54</t>
        </is>
      </c>
      <c r="E122" s="5" t="inlineStr">
        <is>
          <t>Mohave MSA launch media release (SUSD)</t>
        </is>
      </c>
      <c r="F122" s="5" t="inlineStr">
        <is>
          <t>Could</t>
        </is>
      </c>
      <c r="G122" s="5" t="inlineStr">
        <is>
          <t>MSA</t>
        </is>
      </c>
      <c r="H122" s="5" t="inlineStr">
        <is>
          <t>https://www.susd.org/departments/communications/post-viewer/~board/media-releases/post/mohave-middle-schools-math-science-academy-is-now-open-come-see-whats-possible</t>
        </is>
      </c>
      <c r="I122" s="5" t="inlineStr">
        <is>
          <t>Example of public communication; open house and program details shared transparently.</t>
        </is>
      </c>
      <c r="J122" s="5" t="inlineStr">
        <is>
          <t>Need ongoing comms plan + feedback loop.</t>
        </is>
      </c>
      <c r="K122" s="100" t="n"/>
      <c r="L122" s="100" t="n">
        <v>3</v>
      </c>
      <c r="M122" s="100" t="inlineStr">
        <is>
          <t>Y</t>
        </is>
      </c>
    </row>
    <row r="123" ht="58" customHeight="1" s="54">
      <c r="A123" s="5" t="inlineStr">
        <is>
          <t>QI-40</t>
        </is>
      </c>
      <c r="B123" s="5" t="inlineStr">
        <is>
          <t>Community Partners &amp; Stakeholder Support</t>
        </is>
      </c>
      <c r="C123" s="5" t="inlineStr">
        <is>
          <t>Families/community/business partners understand program specifics</t>
        </is>
      </c>
      <c r="D123" s="5" t="inlineStr">
        <is>
          <t>E51</t>
        </is>
      </c>
      <c r="E123" s="5" t="inlineStr">
        <is>
          <t>MSA Levels of Recognition (SUSD)</t>
        </is>
      </c>
      <c r="F123" s="5" t="inlineStr">
        <is>
          <t>Could</t>
        </is>
      </c>
      <c r="G123" s="5" t="inlineStr">
        <is>
          <t>MSA</t>
        </is>
      </c>
      <c r="H123" s="5" t="inlineStr">
        <is>
          <t>https://www.susd.org/academics/academic-programs/math-science-academy/levels-of-recognition</t>
        </is>
      </c>
      <c r="I123" s="5" t="inlineStr">
        <is>
          <t>Program expectations and student requirements are clear and concrete.</t>
        </is>
      </c>
      <c r="J123" s="5" t="inlineStr">
        <is>
          <t>Need clarity on how requirements are supported and monitored.</t>
        </is>
      </c>
      <c r="K123" s="100" t="n"/>
      <c r="L123" s="100" t="n">
        <v>3</v>
      </c>
      <c r="M123" s="100" t="inlineStr">
        <is>
          <t>Y</t>
        </is>
      </c>
    </row>
    <row r="124" ht="58" customHeight="1" s="54">
      <c r="A124" s="5" t="inlineStr">
        <is>
          <t>QI-40</t>
        </is>
      </c>
      <c r="B124" s="5" t="inlineStr">
        <is>
          <t>Community Partners &amp; Stakeholder Support</t>
        </is>
      </c>
      <c r="C124" s="5" t="inlineStr">
        <is>
          <t>Families/community/business partners understand program specifics</t>
        </is>
      </c>
      <c r="D124" s="5" t="inlineStr">
        <is>
          <t>E58</t>
        </is>
      </c>
      <c r="E124" s="5" t="inlineStr">
        <is>
          <t>STEM Certified Schools overview (SUSD)</t>
        </is>
      </c>
      <c r="F124" s="5" t="inlineStr">
        <is>
          <t>Could</t>
        </is>
      </c>
      <c r="G124" s="5" t="inlineStr">
        <is>
          <t>STEAM / STEM Certified Schools</t>
        </is>
      </c>
      <c r="H124" s="5" t="inlineStr">
        <is>
          <t>https://www.susd.org/academics/academic-programs/stem-certified-schools</t>
        </is>
      </c>
      <c r="I124" s="5" t="inlineStr">
        <is>
          <t>Families can understand certification and high-level program framing.</t>
        </is>
      </c>
      <c r="J124" s="5" t="inlineStr">
        <is>
          <t>Need site-specific program descriptions and outcomes summary.</t>
        </is>
      </c>
      <c r="K124" s="100" t="n"/>
      <c r="L124" s="100" t="n">
        <v>3</v>
      </c>
      <c r="M124" s="100" t="inlineStr">
        <is>
          <t>Y</t>
        </is>
      </c>
    </row>
    <row r="125" ht="58" customHeight="1" s="54">
      <c r="A125" s="5" t="inlineStr">
        <is>
          <t>QI-36</t>
        </is>
      </c>
      <c r="B125" s="5" t="inlineStr">
        <is>
          <t>Community Partners &amp; Stakeholder Support</t>
        </is>
      </c>
      <c r="C125" s="5" t="inlineStr">
        <is>
          <t>Teachers/administrators/students/families consulted</t>
        </is>
      </c>
      <c r="D125" s="5" t="inlineStr">
        <is>
          <t>E61</t>
        </is>
      </c>
      <c r="E125" s="5" t="inlineStr">
        <is>
          <t>Navajo Our School (culture + partnerships)</t>
        </is>
      </c>
      <c r="F125" s="5" t="inlineStr">
        <is>
          <t>Could</t>
        </is>
      </c>
      <c r="G125" s="5" t="inlineStr">
        <is>
          <t>STEAM / STEM Certified Schools</t>
        </is>
      </c>
      <c r="H125" s="5" t="inlineStr">
        <is>
          <t>https://navajo.susd.org/our-school</t>
        </is>
      </c>
      <c r="I125" s="5" t="inlineStr">
        <is>
          <t>Evidence of family/community engagement mechanisms (events, newsletters).</t>
        </is>
      </c>
      <c r="J125" s="5" t="inlineStr">
        <is>
          <t>Need systematic stakeholder feedback and participation rates.</t>
        </is>
      </c>
      <c r="K125" s="100" t="n"/>
      <c r="L125" s="100" t="n">
        <v>3</v>
      </c>
      <c r="M125" s="100" t="inlineStr">
        <is>
          <t>Y</t>
        </is>
      </c>
    </row>
    <row r="126" ht="72.5" customHeight="1" s="54">
      <c r="A126" s="55" t="inlineStr">
        <is>
          <t>QI-39</t>
        </is>
      </c>
      <c r="B126" s="55" t="inlineStr">
        <is>
          <t>Community Partners &amp; Stakeholder Support</t>
        </is>
      </c>
      <c r="C126" s="55" t="inlineStr">
        <is>
          <t>Communication is clear and transparent</t>
        </is>
      </c>
      <c r="D126" s="55" t="inlineStr">
        <is>
          <t>E64</t>
        </is>
      </c>
      <c r="E126" s="55" t="inlineStr">
        <is>
          <t>MSA Initial Application (cohort placement)</t>
        </is>
      </c>
      <c r="F126" s="55" t="inlineStr">
        <is>
          <t>Should</t>
        </is>
      </c>
      <c r="G126" s="55" t="inlineStr">
        <is>
          <t>MSA (Saguaro + Mohave)</t>
        </is>
      </c>
      <c r="H126" s="55" t="inlineStr">
        <is>
          <t>https://docs.google.com/forms/d/e/1FAIpQLScB0u8R3BUTkTAL3jTyQrvIOOSS-1JBGtRVGCLpTio2sONRSQ/viewform?usp=pp_url</t>
        </is>
      </c>
      <c r="I126" s="55" t="inlineStr">
        <is>
          <t>Public-facing application materials explain options clearly (cohort vs non-cohort), contact paths, and expectations; updated for current year.</t>
        </is>
      </c>
      <c r="J126" s="55" t="inlineStr">
        <is>
          <t>Communication artifact; does not substitute for access/equity participation data.</t>
        </is>
      </c>
      <c r="K126" s="100" t="n"/>
      <c r="L126" s="100" t="n">
        <v>2</v>
      </c>
      <c r="M126" s="100" t="inlineStr">
        <is>
          <t>Y</t>
        </is>
      </c>
    </row>
    <row r="127" ht="72.5" customHeight="1" s="54">
      <c r="A127" s="55" t="inlineStr">
        <is>
          <t>QI-40</t>
        </is>
      </c>
      <c r="B127" s="55" t="inlineStr">
        <is>
          <t>Community Partners &amp; Stakeholder Support</t>
        </is>
      </c>
      <c r="C127" s="55" t="inlineStr">
        <is>
          <t>Families/community/business partners understand program specifics</t>
        </is>
      </c>
      <c r="D127" s="55" t="inlineStr">
        <is>
          <t>E64</t>
        </is>
      </c>
      <c r="E127" s="55" t="inlineStr">
        <is>
          <t>MSA Initial Application (cohort placement)</t>
        </is>
      </c>
      <c r="F127" s="55" t="inlineStr">
        <is>
          <t>Should</t>
        </is>
      </c>
      <c r="G127" s="55" t="inlineStr">
        <is>
          <t>MSA (Saguaro + Mohave)</t>
        </is>
      </c>
      <c r="H127" s="55" t="inlineStr">
        <is>
          <t>https://docs.google.com/forms/d/e/1FAIpQLScB0u8R3BUTkTAL3jTyQrvIOOSS-1JBGtRVGCLpTio2sONRSQ/viewform?usp=pp_url</t>
        </is>
      </c>
      <c r="I127" s="55" t="inlineStr">
        <is>
          <t>Families can understand program specifics from the application (areas of focus, cohort option) and know how to get questions answered.</t>
        </is>
      </c>
      <c r="J127" s="55" t="n"/>
      <c r="K127" s="100" t="n"/>
      <c r="L127" s="100" t="n">
        <v>2</v>
      </c>
      <c r="M127" s="100" t="inlineStr">
        <is>
          <t>Y</t>
        </is>
      </c>
    </row>
    <row r="128" ht="58" customHeight="1" s="54">
      <c r="A128" s="55" t="inlineStr">
        <is>
          <t>QI-23</t>
        </is>
      </c>
      <c r="B128" s="55" t="inlineStr">
        <is>
          <t>Training &amp; Support</t>
        </is>
      </c>
      <c r="C128" s="55" t="inlineStr">
        <is>
          <t>Parent education and support for the program theme</t>
        </is>
      </c>
      <c r="D128" s="55" t="inlineStr">
        <is>
          <t>E66</t>
        </is>
      </c>
      <c r="E128" s="55" t="inlineStr">
        <is>
          <t>MSA Student &amp; Parent Information Meeting flyer (Nov 2024)</t>
        </is>
      </c>
      <c r="F128" s="55" t="inlineStr">
        <is>
          <t>Should</t>
        </is>
      </c>
      <c r="G128" s="55" t="inlineStr">
        <is>
          <t>MSA (Saguaro)</t>
        </is>
      </c>
      <c r="H128" s="55" t="inlineStr">
        <is>
          <t>https://www.susd.org/fs/resource-manager/view/fba819f9-911a-4b9c-bedb-ede911bb88fe</t>
        </is>
      </c>
      <c r="I128" s="55" t="inlineStr">
        <is>
          <t>Regular family-facing info sessions and/or guidance materials; clear entry points for questions; evidence of booster/community supports.</t>
        </is>
      </c>
      <c r="J128" s="55" t="n"/>
      <c r="K128" s="100" t="n"/>
      <c r="L128" s="100" t="n">
        <v>2</v>
      </c>
      <c r="M128" s="100" t="inlineStr">
        <is>
          <t>Y</t>
        </is>
      </c>
    </row>
    <row r="129" ht="43.5" customHeight="1" s="54">
      <c r="A129" s="55" t="inlineStr">
        <is>
          <t>QI-39</t>
        </is>
      </c>
      <c r="B129" s="55" t="inlineStr">
        <is>
          <t>Community Partners &amp; Stakeholder Support</t>
        </is>
      </c>
      <c r="C129" s="55" t="inlineStr">
        <is>
          <t>Communication is clear and transparent</t>
        </is>
      </c>
      <c r="D129" s="55" t="inlineStr">
        <is>
          <t>E66</t>
        </is>
      </c>
      <c r="E129" s="55" t="inlineStr">
        <is>
          <t>MSA Student &amp; Parent Information Meeting flyer (Nov 2024)</t>
        </is>
      </c>
      <c r="F129" s="55" t="inlineStr">
        <is>
          <t>Should</t>
        </is>
      </c>
      <c r="G129" s="55" t="inlineStr">
        <is>
          <t>MSA (Saguaro)</t>
        </is>
      </c>
      <c r="H129" s="55" t="inlineStr">
        <is>
          <t>https://www.susd.org/fs/resource-manager/view/fba819f9-911a-4b9c-bedb-ede911bb88fe</t>
        </is>
      </c>
      <c r="I129" s="55" t="inlineStr">
        <is>
          <t>Clear, consistent communications (meeting invites, flyers) that explain program pathways and processes.</t>
        </is>
      </c>
      <c r="J129" s="55" t="n"/>
      <c r="K129" s="100" t="n"/>
      <c r="L129" s="100" t="n">
        <v>2</v>
      </c>
      <c r="M129" s="100" t="inlineStr">
        <is>
          <t>Y</t>
        </is>
      </c>
    </row>
    <row r="130" ht="58" customHeight="1" s="54">
      <c r="A130" s="55" t="inlineStr">
        <is>
          <t>QI-40</t>
        </is>
      </c>
      <c r="B130" s="55" t="inlineStr">
        <is>
          <t>Community Partners &amp; Stakeholder Support</t>
        </is>
      </c>
      <c r="C130" s="55" t="inlineStr">
        <is>
          <t>Families/community/business partners understand program specifics</t>
        </is>
      </c>
      <c r="D130" s="55" t="inlineStr">
        <is>
          <t>E65</t>
        </is>
      </c>
      <c r="E130" s="55" t="inlineStr">
        <is>
          <t>MSA Scholar / Commended Scholar / Distinction Application (upperclassman)</t>
        </is>
      </c>
      <c r="F130" s="55" t="inlineStr">
        <is>
          <t>Could</t>
        </is>
      </c>
      <c r="G130" s="55" t="inlineStr">
        <is>
          <t>MSA (Saguaro)</t>
        </is>
      </c>
      <c r="H130" s="55" t="inlineStr">
        <is>
          <t>https://docs.google.com/forms/d/e/1FAIpQLSeqaU6FJP4EKRoI_NkhfIZ-zFd_EH24u2R0b5fE1xMi6SlJ8Q/viewform?usp=pp_url</t>
        </is>
      </c>
      <c r="I130" s="55" t="inlineStr">
        <is>
          <t>Recognition process is documented; requirements (competitions, field experience, service) + advising step are explicit.</t>
        </is>
      </c>
      <c r="J130" s="55" t="inlineStr">
        <is>
          <t>Good for understanding recognition pathways.</t>
        </is>
      </c>
      <c r="K130" s="100" t="n"/>
      <c r="L130" s="100" t="n">
        <v>3</v>
      </c>
      <c r="M130" s="100" t="inlineStr">
        <is>
          <t>Y</t>
        </is>
      </c>
    </row>
    <row r="131" ht="58" customHeight="1" s="54">
      <c r="A131" s="55" t="inlineStr">
        <is>
          <t>QI-30</t>
        </is>
      </c>
      <c r="B131" s="55" t="inlineStr">
        <is>
          <t>Implementation Feasibility</t>
        </is>
      </c>
      <c r="C131" s="55" t="inlineStr">
        <is>
          <t>Roles/responsibilities clearly defined</t>
        </is>
      </c>
      <c r="D131" s="55" t="inlineStr">
        <is>
          <t>E65</t>
        </is>
      </c>
      <c r="E131" s="55" t="inlineStr">
        <is>
          <t>MSA Scholar / Commended Scholar / Distinction Application (upperclassman)</t>
        </is>
      </c>
      <c r="F131" s="55" t="inlineStr">
        <is>
          <t>Could</t>
        </is>
      </c>
      <c r="G131" s="55" t="inlineStr">
        <is>
          <t>MSA (Saguaro)</t>
        </is>
      </c>
      <c r="H131" s="55" t="inlineStr">
        <is>
          <t>https://docs.google.com/forms/d/e/1FAIpQLSeqaU6FJP4EKRoI_NkhfIZ-zFd_EH24u2R0b5fE1xMi6SlJ8Q/viewform?usp=pp_url</t>
        </is>
      </c>
      <c r="I131" s="55" t="inlineStr">
        <is>
          <t>Roles/responsibilities are clear (coordinator meeting for program of study) and documented.</t>
        </is>
      </c>
      <c r="J131" s="55" t="n"/>
      <c r="K131" s="100" t="n"/>
      <c r="L131" s="100" t="n">
        <v>3</v>
      </c>
      <c r="M131" s="100" t="inlineStr">
        <is>
          <t>Y</t>
        </is>
      </c>
    </row>
    <row r="132" ht="58" customHeight="1" s="54">
      <c r="A132" s="55" t="inlineStr">
        <is>
          <t>QI-33</t>
        </is>
      </c>
      <c r="B132" s="55" t="inlineStr">
        <is>
          <t>Data &amp; Evaluation</t>
        </is>
      </c>
      <c r="C132" s="55" t="inlineStr">
        <is>
          <t>Plan for regular data collection, review, and action based on results (expand/close/adjust)</t>
        </is>
      </c>
      <c r="D132" s="55" t="inlineStr">
        <is>
          <t>E67</t>
        </is>
      </c>
      <c r="E132" s="55" t="inlineStr">
        <is>
          <t>Saguaro HS School Profile PDF (2022–23) — includes MSA description</t>
        </is>
      </c>
      <c r="F132" s="55" t="inlineStr">
        <is>
          <t>Could</t>
        </is>
      </c>
      <c r="G132" s="55" t="inlineStr">
        <is>
          <t>MSA (Saguaro)</t>
        </is>
      </c>
      <c r="H132" s="55" t="inlineStr">
        <is>
          <t>https://saguaro.susd.org/fs/resource-manager/view/d02ac368-f793-4ac1-8232-2548c994d06c</t>
        </is>
      </c>
      <c r="I132" s="55" t="inlineStr">
        <is>
          <t>Program tracks key participation/progression measures (member counts; distinction candidates) and uses them for annual update planning.</t>
        </is>
      </c>
      <c r="J132" s="55" t="inlineStr">
        <is>
          <t>For baseline: capture metrics; do not over-interpret as outcomes without internal data.</t>
        </is>
      </c>
      <c r="K132" s="100" t="n"/>
      <c r="L132" s="100" t="n">
        <v>3</v>
      </c>
      <c r="M132" s="100" t="inlineStr">
        <is>
          <t>Y</t>
        </is>
      </c>
    </row>
    <row r="133" ht="43.5" customHeight="1" s="54">
      <c r="A133" s="55" t="inlineStr">
        <is>
          <t>QI-39</t>
        </is>
      </c>
      <c r="B133" s="55" t="inlineStr">
        <is>
          <t>Community Partners &amp; Stakeholder Support</t>
        </is>
      </c>
      <c r="C133" s="55" t="inlineStr">
        <is>
          <t>Communication is clear and transparent</t>
        </is>
      </c>
      <c r="D133" s="55" t="inlineStr">
        <is>
          <t>E70</t>
        </is>
      </c>
      <c r="E133" s="55" t="inlineStr">
        <is>
          <t>Laguna Elementary STEAM profile story/video index</t>
        </is>
      </c>
      <c r="F133" s="55" t="inlineStr">
        <is>
          <t>Could</t>
        </is>
      </c>
      <c r="G133" s="55" t="inlineStr">
        <is>
          <t>STEAM (Laguna)</t>
        </is>
      </c>
      <c r="H133" s="55" t="inlineStr">
        <is>
          <t>https://laguna.susd.org/our-school/our-stories</t>
        </is>
      </c>
      <c r="I133" s="55" t="inlineStr">
        <is>
          <t>Public-facing content describes the STEAM identity and makes it easy for families to learn more.</t>
        </is>
      </c>
      <c r="J133" s="55" t="n"/>
      <c r="K133" s="100" t="n"/>
      <c r="L133" s="100" t="n">
        <v>3</v>
      </c>
      <c r="M133" s="100" t="inlineStr">
        <is>
          <t>Y</t>
        </is>
      </c>
    </row>
    <row r="134" ht="43.5" customHeight="1" s="54">
      <c r="A134" s="55" t="inlineStr">
        <is>
          <t>QI-39</t>
        </is>
      </c>
      <c r="B134" s="55" t="inlineStr">
        <is>
          <t>Community Partners &amp; Stakeholder Support</t>
        </is>
      </c>
      <c r="C134" s="55" t="inlineStr">
        <is>
          <t>Communication is clear and transparent</t>
        </is>
      </c>
      <c r="D134" s="55" t="inlineStr">
        <is>
          <t>E71</t>
        </is>
      </c>
      <c r="E134" s="55" t="inlineStr">
        <is>
          <t>Navajo Elementary STEAM program story/video index</t>
        </is>
      </c>
      <c r="F134" s="55" t="inlineStr">
        <is>
          <t>Could</t>
        </is>
      </c>
      <c r="G134" s="55" t="inlineStr">
        <is>
          <t>STEAM (Navajo)</t>
        </is>
      </c>
      <c r="H134" s="55" t="inlineStr">
        <is>
          <t>https://navajo.susd.org/our-school/our-stories</t>
        </is>
      </c>
      <c r="I134" s="55" t="inlineStr">
        <is>
          <t>Public-facing content describes the STEAM identity and makes it easy for families to learn more.</t>
        </is>
      </c>
      <c r="J134" s="55" t="n"/>
      <c r="K134" s="100" t="n"/>
      <c r="L134" s="100" t="n">
        <v>3</v>
      </c>
      <c r="M134" s="100" t="inlineStr">
        <is>
          <t>Y</t>
        </is>
      </c>
    </row>
    <row r="135" ht="58" customHeight="1" s="54">
      <c r="A135" s="55" t="inlineStr">
        <is>
          <t>QI-40</t>
        </is>
      </c>
      <c r="B135" s="55" t="inlineStr">
        <is>
          <t>Community Partners &amp; Stakeholder Support</t>
        </is>
      </c>
      <c r="C135" s="55" t="inlineStr">
        <is>
          <t>Families/community/business partners understand program specifics</t>
        </is>
      </c>
      <c r="D135" s="55" t="inlineStr">
        <is>
          <t>E58</t>
        </is>
      </c>
      <c r="E135" s="55" t="inlineStr">
        <is>
          <t>STEM Certified Schools overview (SUSD)</t>
        </is>
      </c>
      <c r="F135" s="55" t="inlineStr">
        <is>
          <t>Should</t>
        </is>
      </c>
      <c r="G135" s="55" t="inlineStr">
        <is>
          <t>STEM Certified Schools (Laguna + Navajo)</t>
        </is>
      </c>
      <c r="H135" s="55" t="inlineStr">
        <is>
          <t>https://www.susd.org/academics/academic-programs/stem-certified-schools</t>
        </is>
      </c>
      <c r="I135" s="55" t="inlineStr">
        <is>
          <t>Certification framing clearly explains what STEM certification means (domains/standards) and what it looks like at the sites.</t>
        </is>
      </c>
      <c r="J135" s="55" t="n"/>
      <c r="K135" s="100" t="n"/>
      <c r="L135" s="100" t="n">
        <v>2</v>
      </c>
      <c r="M135" s="100" t="inlineStr">
        <is>
          <t>Y</t>
        </is>
      </c>
    </row>
    <row r="136" ht="58" customHeight="1" s="54">
      <c r="A136" s="55" t="inlineStr">
        <is>
          <t>QI-39</t>
        </is>
      </c>
      <c r="B136" s="55" t="inlineStr">
        <is>
          <t>Community Partners &amp; Stakeholder Support</t>
        </is>
      </c>
      <c r="C136" s="55" t="inlineStr">
        <is>
          <t>Communication is clear and transparent</t>
        </is>
      </c>
      <c r="D136" s="55" t="inlineStr">
        <is>
          <t>E68</t>
        </is>
      </c>
      <c r="E136" s="55" t="inlineStr">
        <is>
          <t>Governing Board meeting minutes recognizing Laguna &amp; Navajo Cognia STEM certification (May 24, 2022)</t>
        </is>
      </c>
      <c r="F136" s="55" t="inlineStr">
        <is>
          <t>Could</t>
        </is>
      </c>
      <c r="G136" s="55" t="inlineStr">
        <is>
          <t>STEAM/STEM (Laguna + Navajo)</t>
        </is>
      </c>
      <c r="H136" s="55" t="inlineStr">
        <is>
          <t>https://www.susd.org/fs/resource-manager/view/84349add-81d3-4ede-946c-730f3ecfe751</t>
        </is>
      </c>
      <c r="I136" s="55" t="inlineStr">
        <is>
          <t>Governance recognition reinforces visibility and coherence; supports sustainability narrative.</t>
        </is>
      </c>
      <c r="J136" s="55" t="inlineStr">
        <is>
          <t>Governance signal rather than implementation evidence.</t>
        </is>
      </c>
      <c r="K136" s="100" t="n"/>
      <c r="L136" s="100" t="n">
        <v>3</v>
      </c>
      <c r="M136" s="100" t="inlineStr">
        <is>
          <t>Y</t>
        </is>
      </c>
    </row>
    <row r="137" ht="58" customHeight="1" s="54">
      <c r="A137" s="55" t="inlineStr">
        <is>
          <t>QI-33</t>
        </is>
      </c>
      <c r="B137" s="55" t="inlineStr">
        <is>
          <t>Data &amp; Evaluation</t>
        </is>
      </c>
      <c r="C137" s="55" t="inlineStr">
        <is>
          <t>Plan for regular data collection, review, and action based on results (expand/close/adjust)</t>
        </is>
      </c>
      <c r="D137" s="55" t="inlineStr">
        <is>
          <t>E58</t>
        </is>
      </c>
      <c r="E137" s="55" t="inlineStr">
        <is>
          <t>STEM Certified Schools overview (SUSD)</t>
        </is>
      </c>
      <c r="F137" s="55" t="inlineStr">
        <is>
          <t>Could</t>
        </is>
      </c>
      <c r="G137" s="55" t="inlineStr">
        <is>
          <t>STEM Certified Schools (Laguna + Navajo)</t>
        </is>
      </c>
      <c r="H137" s="55" t="inlineStr">
        <is>
          <t>https://www.susd.org/academics/academic-programs/stem-certified-schools</t>
        </is>
      </c>
      <c r="I137" s="55" t="inlineStr">
        <is>
          <t>Cognia certification implies a structured evidence process (peer observations + artifacts); capture how it is maintained annually.</t>
        </is>
      </c>
      <c r="J137" s="55" t="n"/>
      <c r="K137" s="100" t="n"/>
      <c r="L137" s="100" t="n">
        <v>3</v>
      </c>
      <c r="M137" s="100" t="inlineStr">
        <is>
          <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7"/>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42.26953125" customWidth="1" style="54" min="1" max="1"/>
    <col width="60" customWidth="1" style="54" min="2" max="7"/>
    <col width="28" customWidth="1" style="54" min="8" max="8"/>
    <col width="24" customWidth="1" style="54" min="9" max="9"/>
  </cols>
  <sheetData>
    <row r="1" ht="28" customHeight="1" s="54">
      <c r="A1" s="25" t="inlineStr">
        <is>
          <t>Program</t>
        </is>
      </c>
      <c r="B1" s="25" t="inlineStr">
        <is>
          <t>SUSD sites / grades</t>
        </is>
      </c>
      <c r="C1" s="25" t="inlineStr">
        <is>
          <t>Purpose / value proposition</t>
        </is>
      </c>
      <c r="D1" s="25" t="inlineStr">
        <is>
          <t>Signature components</t>
        </is>
      </c>
      <c r="E1" s="25" t="inlineStr">
        <is>
          <t>Entry / participation</t>
        </is>
      </c>
      <c r="F1" s="25" t="inlineStr">
        <is>
          <t>Notable student outcomes / credentials</t>
        </is>
      </c>
      <c r="G1" s="25" t="inlineStr">
        <is>
          <t>Primary source URLs</t>
        </is>
      </c>
      <c r="H1" s="25" t="inlineStr">
        <is>
          <t>External review / accreditation (if any)</t>
        </is>
      </c>
      <c r="I1" s="25" t="inlineStr">
        <is>
          <t>SUSD program sponsor / contact (TBD)</t>
        </is>
      </c>
    </row>
    <row r="2" ht="116" customHeight="1" s="54">
      <c r="A2" s="95" t="inlineStr">
        <is>
          <t>International Baccalaureate (IB)</t>
        </is>
      </c>
      <c r="B2" s="95" t="inlineStr">
        <is>
          <t>Anasazi ES (PYP, K–5); Mountainside MS (MYP, 6–8); Desert Mountain HS (MYP, 9–10; DP, 11–12)</t>
        </is>
      </c>
      <c r="C2" s="95" t="inlineStr">
        <is>
          <t>Internationally recognized, inquiry-based IB programmes; develops critical/reflective thinking and global-mindedness; DP offers internationally accepted qualification for higher education.</t>
        </is>
      </c>
      <c r="D2" s="95" t="inlineStr">
        <is>
          <t>PYP (conceptual connections across subjects); MYP (inquiry, global context); DP (3 HL + 3 SL plus core: CAS, Extended Essay, TOK).</t>
        </is>
      </c>
      <c r="E2" s="95" t="inlineStr">
        <is>
          <t>Schoolwide at Anasazi and Mountainside; DMHS offers MYP (9–10) and DP (11–12). (Confirm site-specific course selection/admission practices.)</t>
        </is>
      </c>
      <c r="F2" s="95" t="inlineStr">
        <is>
          <t>IB Diploma (additional to SUSD diploma); IB assessments; potential college credit/recognition.</t>
        </is>
      </c>
      <c r="G2" s="95" t="inlineStr">
        <is>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is>
      </c>
      <c r="H2" s="95" t="inlineStr">
        <is>
          <t>IB authorization + periodic IB evaluation/visits (leverage existing cycle; avoid duplicate review).</t>
        </is>
      </c>
      <c r="I2" s="95" t="n"/>
    </row>
    <row r="3" ht="101.5" customHeight="1" s="54">
      <c r="A3" s="95" t="inlineStr">
        <is>
          <t>Math &amp; Science Academy (MSA)</t>
        </is>
      </c>
      <c r="B3" s="95" t="inlineStr">
        <is>
          <t>Saguaro HS (SMSA est. May 2008; grades 9–12)
Mohave MS (MSA launch/expansion; grades 6–8; SY2025–26)</t>
        </is>
      </c>
      <c r="C3" s="95" t="inlineStr">
        <is>
          <t>STEM-focused pathway with cohort/community supports + advanced coursework, competitions, and capstone field experience.
Aims to prepare students for competitive postsecondary STEM programs; also provides an 'open forum' of opportunities for broader student benefit.</t>
        </is>
      </c>
      <c r="D3" s="95" t="inlineStr">
        <is>
          <t>HS (Saguaro):
• Fresh/Soph cohort classes grouped in Math/Science/English with enhanced instruction (labs, speakers, field trips, critical thinking, technical writing)
• Upperclass distinction pathway with defined course expectations, competitions, community service, and STEM-related field experience/mentorship/research project
• Recognition levels (Member / Scholar / Commended Scholar / Distinguished Graduate)
• Competitive opportunities (examples include AMC, Science Olympiad, Science Bowl, Robotics, etc.)
MS (Mohave):
• STEM learning experiences + Innovation Center maker-space resources (e.g., robotics, coding, 3D printing)
• Scholar distinction program + accelerated pathways (incl. HS credit opportunities)
• Designed as a feeder/transition path toward Saguaro SMSA (confirm details).</t>
        </is>
      </c>
      <c r="E3" s="95" t="inlineStr">
        <is>
          <t>Saguaro HS: student application + recognition/distinction applications; includes competitive opportunity documentation.
Mohave MS: enrollment/application process (public page suggests inclusive opportunity for all Mohave students; clarify selection criteria).
Note: confirm transportation, eligibility, and open enrollment mechanics.</t>
        </is>
      </c>
      <c r="F3" s="95" t="inlineStr">
        <is>
          <t>Defined recognition/distinction requirements (courses, GPA thresholds, competitions, field experience) documented publicly; evidence suggests STEM portfolio/capstone expectations.
Need internal outcome data (enrollment/demographics, course-taking, AP/DE, college outcomes) for rubric scoring.</t>
        </is>
      </c>
      <c r="G3" s="95" t="inlineStr">
        <is>
          <t>District MSA overview: https://www.susd.org/academics/academic-programs/math-science-academy
Levels of Recognition: https://www.susd.org/academics/academic-programs/math-science-academy/levels-of-recognition
Saguaro MSA page + quick links: https://saguaro.susd.org/academics/math-science-academy
MSA initial application (Google Form): https://docs.google.com/forms/d/e/1FAIpQLScB0u8R3BUTkTAL3jTyQrvIOOSS-1JBGtRVGCLpTio2sONRSQ/viewform?usp=pp_url
MSA upperclassman recognition application (Google Form): https://docs.google.com/forms/d/e/1FAIpQLSeqaU6FJP4EKRoI_NkhfIZ-zFd_EH24u2R0b5fE1xMi6SlJ8Q/viewform?usp=pp_url
MSA Student/Parent info flyer (PDF): https://www.susd.org/fs/resource-manager/view/fba819f9-911a-4b9c-bedb-ede911bb88fe
Saguaro school profile PDF (2022–23): https://saguaro.susd.org/fs/resource-manager/view/d02ac368-f793-4ac1-8232-2548c994d06c
Mohave MSA page: https://mohave.susd.org/academics/msa
Mohave district MSA page: https://www.susd.org/academics/academic-programs/math-science-academy/mohave-middle-school</t>
        </is>
      </c>
      <c r="H3" s="95" t="inlineStr">
        <is>
          <t>Saguaro HS is Cognia STEM certified (school-level accreditation); clarify how/if SMSA is included in scope.
Mohave MSA noted as progressing toward Cognia STEM certification (confirm).</t>
        </is>
      </c>
      <c r="I3" s="95" t="inlineStr">
        <is>
          <t>TBD (likely site leadership + SMSA coordinator/distinction coordinator; request from Lea).</t>
        </is>
      </c>
    </row>
    <row r="4" ht="72.5" customHeight="1" s="54">
      <c r="A4" s="95" t="inlineStr">
        <is>
          <t>STEAM / STEM Certified Schools</t>
        </is>
      </c>
      <c r="B4" s="95" t="inlineStr">
        <is>
          <t>Laguna ES (Early Learning–5th) — Cognia STEM certified
Navajo ES (K–5) — Cognia STEM certified
(Note: Saguaro HS also Cognia STEM certified; separate from elementary STEAM sites.)</t>
        </is>
      </c>
      <c r="C4" s="95" t="inlineStr">
        <is>
          <t>Inquiry-based STEM/STEAM learning with real-world problem solving; emphasis on critical thinking, creativity, collaboration, and future-ready skills.
External validation via Cognia STEM certification process (school-level).</t>
        </is>
      </c>
      <c r="D4" s="95" t="inlineStr">
        <is>
          <t>Cognia STEM certification framework (school-level): scored in 4 domains (STEM community, STEM learning culture, STEM student experiences, STEM outcomes).
Laguna examples: makerspace; science club/lab &amp; schoolwide science fair; robotics/lego/coding; arts integration/partnerships.
Navajo examples: STEAM definition + hands-on design thinking; enrichment clubs; Innovators Lab; family STEAM nights; low/no-cost before/after-school supports (per site pages).</t>
        </is>
      </c>
      <c r="E4" s="95" t="inlineStr">
        <is>
          <t>Neighborhood attendance boundaries + open enrollment (confirm specifics for each site).
Site pages reference before/after-school supports (some low/no cost).</t>
        </is>
      </c>
      <c r="F4" s="95" t="inlineStr">
        <is>
          <t>Cognia STEM certification (school-level) earned at both Laguna and Navajo; certification process includes peer observations + artifacts demonstrating proficiency in 16 STEM standards.
Need internal achievement/engagement outcome data by subgroup for rubric scoring.</t>
        </is>
      </c>
      <c r="G4" s="95" t="inlineStr">
        <is>
          <t>STEM Certified Schools overview (Laguna, Navajo, Saguaro): https://www.susd.org/academics/academic-programs/stem-certified-schools
Laguna academics: https://laguna.susd.org/academics
Navajo academics: https://navajo.susd.org/academics
Laguna STEAM story: https://laguna.susd.org/our-school/our-stories
Navajo STEAM story: https://navajo.susd.org/our-school/our-stories
Board minutes recognition (May 24, 2022): https://www.susd.org/fs/resource-manager/view/84349add-81d3-4ede-946c-730f3ecfe751
District STEM K–12 overview: https://www.susd.org/stem-k12</t>
        </is>
      </c>
      <c r="H4" s="95" t="inlineStr">
        <is>
          <t>Cognia STEM certification process (scored in four domains; proficiency in 16 Cognia STEM standards; peer observations + artifacts). Board minutes (May 24, 2022) recognized Laguna &amp; Navajo as Cognia STEM certified.</t>
        </is>
      </c>
      <c r="I4" s="95" t="inlineStr">
        <is>
          <t>TBD (likely site principals + district STEM lead; request from Lea).</t>
        </is>
      </c>
    </row>
    <row r="5" ht="116" customHeight="1" s="54">
      <c r="A5" s="95" t="inlineStr">
        <is>
          <t>AVID (Advancement Via Individual Determination)</t>
        </is>
      </c>
      <c r="B5" s="95" t="inlineStr">
        <is>
          <t>Implemented at multiple sites (examples documented: Tavan ES; Echo Canyon K–8; Ingleside MS; Arcadia HS; plus AVID-focus schools in Coronado learning community). Middle school AVID is an elective for grades 6–8.</t>
        </is>
      </c>
      <c r="C5" s="95" t="inlineStr">
        <is>
          <t>College readiness system targeting students in the academic middle; builds skills for academic success and postsecondary readiness.</t>
        </is>
      </c>
      <c r="D5" s="95" t="inlineStr">
        <is>
          <t>WICOR-centered skill building (writing, inquiry, collaboration, reading); tutorials; organizational/note-taking/study skills; college/career exploration; student advocacy.</t>
        </is>
      </c>
      <c r="E5" s="95" t="inlineStr">
        <is>
          <t>Middle school AVID course is open to applicants identified/interviewed based on criteria (academic middle, desire to work hard, possible first-gen/historically underserved, etc.).</t>
        </is>
      </c>
      <c r="F5" s="95" t="inlineStr">
        <is>
          <t>Readiness for rigorous coursework; persistence toward college/career goals (program-specific measures).</t>
        </is>
      </c>
      <c r="G5" s="95" t="inlineStr">
        <is>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is>
      </c>
      <c r="H5" s="95" t="n"/>
      <c r="I5" s="95" t="n"/>
    </row>
    <row r="6" ht="72.5" customHeight="1" s="54">
      <c r="A6" s="95" t="inlineStr">
        <is>
          <t>Traditional School Model</t>
        </is>
      </c>
      <c r="B6" s="95" t="inlineStr">
        <is>
          <t>Cheyenne Traditional School (K–8) — SUSD School of Choice</t>
        </is>
      </c>
      <c r="C6" s="95" t="inlineStr">
        <is>
          <t>Traditional, structured model emphasizing academics, sequential curriculum, and high expectations.</t>
        </is>
      </c>
      <c r="D6" s="95" t="inlineStr">
        <is>
          <t>Nine cornerstones (school of choice, focus on academics, teacher-directed instruction, sequential curriculum, elevated grading scale, maximum academic time, parental commitment, high expectations, uniform). Uses Spalding Language Arts and Saxon Math as part of curriculum.</t>
        </is>
      </c>
      <c r="E6" s="95" t="inlineStr">
        <is>
          <t>Open enrollment (no geographic boundaries).</t>
        </is>
      </c>
      <c r="F6" s="95" t="inlineStr">
        <is>
          <t>Strong foundational skills and academic performance (confirm measures used).</t>
        </is>
      </c>
      <c r="G6" s="95" t="inlineStr">
        <is>
          <t>https://cheyenne.susd.org/our-school/our-school ; https://cheyenne.susd.org/academics ; https://cheyenne.susd.org/enrollment</t>
        </is>
      </c>
      <c r="H6" s="95" t="n"/>
      <c r="I6" s="95" t="n"/>
    </row>
    <row r="7" ht="188.5" customHeight="1" s="54">
      <c r="A7" s="95" t="inlineStr">
        <is>
          <t>Dual Language Immersion (DLI)</t>
        </is>
      </c>
      <c r="B7" s="95" t="inlineStr">
        <is>
          <t>Spanish: Pueblo ES (PreK–5) → Mohave MS (6–8) → Saguaro HS (9–12). Mandarin: Desert Canyon ES (PreK–5) → Desert Canyon MS (6–8) → Desert Mountain HS (9–12).</t>
        </is>
      </c>
      <c r="C7" s="95" t="inlineStr">
        <is>
          <t>Bilingualism, biliteracy, and cultural competence while achieving high academic standards via instruction in two languages.</t>
        </is>
      </c>
      <c r="D7" s="95" t="inlineStr">
        <is>
          <t>Elementary model described as 50/50 (target language + English). Middle school described as 70/30 with 2 classes in target language (per MS planning guide). Course sequences allow HS language credits by end of 8th grade.</t>
        </is>
      </c>
      <c r="E7" s="95" t="inlineStr">
        <is>
          <t>Open enrollment encouraged; families asked to commit multiple years (Pueblo site notes minimum 7 years for maximum benefit).</t>
        </is>
      </c>
      <c r="F7" s="95" t="inlineStr">
        <is>
          <t>Middle School Biliteracy Attainment Award; pathway to Arizona Seal of Biliteracy and a DLI cord at graduation (per pathway guidance).</t>
        </is>
      </c>
      <c r="G7" s="95" t="inlineStr">
        <is>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is>
      </c>
      <c r="H7" s="95" t="n"/>
      <c r="I7" s="95"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43"/>
  <sheetViews>
    <sheetView showGridLines="0" zoomScale="70" zoomScaleNormal="70" workbookViewId="0">
      <pane xSplit="1" ySplit="1" topLeftCell="B9" activePane="bottomRight" state="frozen"/>
      <selection pane="topRight" activeCell="B1" sqref="B1"/>
      <selection pane="bottomLeft" activeCell="A2" sqref="A2"/>
      <selection pane="bottomRight" activeCell="C16" sqref="C16"/>
    </sheetView>
  </sheetViews>
  <sheetFormatPr baseColWidth="8" defaultRowHeight="14.5"/>
  <cols>
    <col width="47.7265625" bestFit="1" customWidth="1" style="54" min="1" max="1"/>
    <col width="31.1796875" bestFit="1" customWidth="1" style="54" min="2" max="2"/>
    <col width="106.26953125" customWidth="1" style="54" min="3" max="3"/>
    <col width="60" customWidth="1" style="54" min="4" max="4"/>
  </cols>
  <sheetData>
    <row r="1" ht="28" customHeight="1" s="54">
      <c r="A1" s="1" t="inlineStr">
        <is>
          <t>Program</t>
        </is>
      </c>
      <c r="B1" s="1" t="inlineStr">
        <is>
          <t>Topic</t>
        </is>
      </c>
      <c r="C1" s="1" t="inlineStr">
        <is>
          <t>Details</t>
        </is>
      </c>
      <c r="D1" s="1" t="inlineStr">
        <is>
          <t>Primary source URLs</t>
        </is>
      </c>
    </row>
    <row r="2" ht="116" customHeight="1" s="54">
      <c r="A2" s="55" t="inlineStr">
        <is>
          <t>International Baccalaureate (IB)</t>
        </is>
      </c>
      <c r="B2" s="55" t="inlineStr">
        <is>
          <t>Program snapshot</t>
        </is>
      </c>
      <c r="C2" s="55" t="inlineStr">
        <is>
          <t>SUSD offers three IB programmes (PYP, MYP, DP) at IB World Schools; designed to develop inquiry, critical thinking, and international-mindedness.</t>
        </is>
      </c>
      <c r="D2" s="55"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3" ht="116" customHeight="1" s="54">
      <c r="A3" s="55" t="inlineStr">
        <is>
          <t>International Baccalaureate (IB)</t>
        </is>
      </c>
      <c r="B3" s="55" t="inlineStr">
        <is>
          <t>SUSD implementation (sites/grades)</t>
        </is>
      </c>
      <c r="C3" s="55" t="inlineStr">
        <is>
          <t>PYP: Anasazi Elementary (K–5). MYP: Mountainside Middle (6–8) and Desert Mountain HS (9–10). DP: Desert Mountain HS (11–12).</t>
        </is>
      </c>
      <c r="D3" s="55"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4" ht="116" customHeight="1" s="54">
      <c r="A4" s="55" t="inlineStr">
        <is>
          <t>International Baccalaureate (IB)</t>
        </is>
      </c>
      <c r="B4" s="55" t="inlineStr">
        <is>
          <t>Core design elements</t>
        </is>
      </c>
      <c r="C4" s="55" t="inlineStr">
        <is>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is>
      </c>
      <c r="D4" s="55"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5" ht="116" customHeight="1" s="54">
      <c r="A5" s="55" t="inlineStr">
        <is>
          <t>International Baccalaureate (IB)</t>
        </is>
      </c>
      <c r="B5" s="55" t="inlineStr">
        <is>
          <t>Entry/enrollment &amp; access</t>
        </is>
      </c>
      <c r="C5" s="55" t="inlineStr">
        <is>
          <t>PYP/MYP described as school-wide at their respective schools. DMHS offers MYP for grades 9–10 and DP for grades 11–12 (confirm any additional entry criteria beyond course selection).</t>
        </is>
      </c>
      <c r="D5" s="55"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6" ht="116" customHeight="1" s="54">
      <c r="A6" s="55" t="inlineStr">
        <is>
          <t>International Baccalaureate (IB)</t>
        </is>
      </c>
      <c r="B6" s="55" t="inlineStr">
        <is>
          <t>Student experience &amp; requirements</t>
        </is>
      </c>
      <c r="C6" s="55" t="inlineStr">
        <is>
          <t>DP coursework includes HL/SL classes plus TOK; CAS emphasizes creativity/action/service; Extended Essay is a 4,000-word research paper; assessments lead to IB Diploma (separate from SUSD diploma).</t>
        </is>
      </c>
      <c r="D6" s="55"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7" ht="116" customHeight="1" s="54">
      <c r="A7" s="55" t="inlineStr">
        <is>
          <t>International Baccalaureate (IB)</t>
        </is>
      </c>
      <c r="B7" s="55" t="inlineStr">
        <is>
          <t>Common measures / evidence to gather</t>
        </is>
      </c>
      <c r="C7" s="55" t="inlineStr">
        <is>
          <t>Enrollment/participation and demographic access; IB course availability and staffing; IB assessment results (e.g., DP points/diplomas); student performance vs peers; postsecondary outcomes; implementation fidelity to IB standards (5-year review cycle).</t>
        </is>
      </c>
      <c r="D7" s="55"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8" ht="116" customHeight="1" s="54">
      <c r="A8" s="55" t="inlineStr">
        <is>
          <t>International Baccalaureate (IB)</t>
        </is>
      </c>
      <c r="B8" s="55" t="inlineStr">
        <is>
          <t>Open questions for review team</t>
        </is>
      </c>
      <c r="C8" s="55" t="inlineStr">
        <is>
          <t>How consistent is programme fidelity across sites? What supports/training are in place for teachers? How are students counseled into/out of pathways? What are barriers to access (fees, prerequisites, schedule constraints)?</t>
        </is>
      </c>
      <c r="D8" s="55"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9" ht="101.5" customHeight="1" s="54">
      <c r="A9" s="55" t="inlineStr">
        <is>
          <t>Math &amp; Science Academy (MSA)</t>
        </is>
      </c>
      <c r="B9" s="55" t="inlineStr">
        <is>
          <t>Program snapshot</t>
        </is>
      </c>
      <c r="C9" s="55" t="inlineStr">
        <is>
          <t>District/program overview: SMSA focuses on STEM; started at Saguaro HS in May 2008 with program design informed by expectations from strong STEM colleges/universities. Program includes cohort classes (9/10) and an upperclass distinction pathway; also frames an 'open forum' so STEM opportunities can benefit broader Saguaro students. Mohave MS is launching an MSA implementation (SY25–26) as a STEM pipeline.</t>
        </is>
      </c>
      <c r="D9" s="55" t="inlineStr">
        <is>
          <t>https://www.susd.org/academics/academic-programs/math-science-academy
https://www.susd.org/academics/academic-programs/math-science-academy/levels-of-recognition
https://saguaro.susd.org/academics/math-science-academy
https://mohave.susd.org/academics/msa
https://www.susd.org/academics/academic-programs/math-science-academy/mohave-middle-school
https://saguaro.susd.org/fs/resource-manager/view/d02ac368-f793-4ac1-8232-2548c994d06c
https://www.susd.org/fs/resource-manager/view/fba819f9-911a-4b9c-bedb-ede911bb88fe</t>
        </is>
      </c>
    </row>
    <row r="10" ht="101.5" customHeight="1" s="54">
      <c r="A10" s="55" t="inlineStr">
        <is>
          <t>Math &amp; Science Academy (MSA)</t>
        </is>
      </c>
      <c r="B10" s="55" t="inlineStr">
        <is>
          <t>SUSD implementation (sites/grades)</t>
        </is>
      </c>
      <c r="C10" s="55" t="inlineStr">
        <is>
          <t>Sites/grades: Saguaro HS SMSA (grades 9–12; operating since 2008) + Mohave MS MSA (grades 6–8; launch/expansion SY25–26). Mohave version is described as a feeder/transition path toward Saguaro’s SMSA (confirm articulation).</t>
        </is>
      </c>
      <c r="D10" s="55" t="inlineStr">
        <is>
          <t>https://www.susd.org/academics/academic-programs/math-science-academy
https://www.susd.org/academics/academic-programs/math-science-academy/levels-of-recognition
https://saguaro.susd.org/academics/math-science-academy
https://mohave.susd.org/academics/msa
https://www.susd.org/academics/academic-programs/math-science-academy/mohave-middle-school
https://saguaro.susd.org/fs/resource-manager/view/d02ac368-f793-4ac1-8232-2548c994d06c
https://www.susd.org/fs/resource-manager/view/fba819f9-911a-4b9c-bedb-ede911bb88fe</t>
        </is>
      </c>
    </row>
    <row r="11" ht="174" customHeight="1" s="54">
      <c r="A11" s="55" t="inlineStr">
        <is>
          <t>Math &amp; Science Academy (MSA)</t>
        </is>
      </c>
      <c r="B11" s="55" t="inlineStr">
        <is>
          <t>Core design elements</t>
        </is>
      </c>
      <c r="C11" s="55" t="inlineStr">
        <is>
          <t>Core design elements (publicly documented):
• Cohort grouping in math/science/English for 9th/10th with enhanced instruction (labs, speakers, field trips, critical thinking, technical writing).
• Upperclass distinction/recognition pathway with defined course expectations, GPA thresholds, competitions, community service, and STEM-related capstone field experience/mentorship/research project.
• Competitive opportunities list (examples: AMC, Chemistry Olympiad, AzSEF, CyberPatriot, etc.).
Mohave design: STEM learning experiences leveraging Innovation Center maker-space resources (robotics, coding, 3D printing), scholar distinction, accelerated pathways (incl. HS credit opportunities), and CTE connections (confirm details).</t>
        </is>
      </c>
      <c r="D11" s="55" t="inlineStr">
        <is>
          <t>https://www.susd.org/academics/academic-programs/math-science-academy
https://www.susd.org/academics/academic-programs/math-science-academy/levels-of-recognition
https://saguaro.susd.org/academics/math-science-academy
https://mohave.susd.org/academics/msa
https://www.susd.org/academics/academic-programs/math-science-academy/mohave-middle-school
https://saguaro.susd.org/fs/resource-manager/view/d02ac368-f793-4ac1-8232-2548c994d06c
https://www.susd.org/fs/resource-manager/view/fba819f9-911a-4b9c-bedb-ede911bb88fe</t>
        </is>
      </c>
    </row>
    <row r="12" ht="101.5" customHeight="1" s="54">
      <c r="A12" s="55" t="inlineStr">
        <is>
          <t>Math &amp; Science Academy (MSA)</t>
        </is>
      </c>
      <c r="B12" s="55" t="inlineStr">
        <is>
          <t>Entry/enrollment &amp; access</t>
        </is>
      </c>
      <c r="C12" s="55" t="inlineStr">
        <is>
          <t>Entry/enrollment &amp; access: Public pages reference student applications (initial + upperclass program of study) and documentation forms; however, full selection criteria and equity safeguards are not fully visible in public sources. District page emphasizes inclusivity via an 'open forum' (opportunities for broader Saguaro students). Mohave page emphasizes inclusive opportunity for all Mohave students; confirm if there is any selection, transportation constraints, or open-enrollment rules.</t>
        </is>
      </c>
      <c r="D12" s="55" t="inlineStr">
        <is>
          <t>https://www.susd.org/academics/academic-programs/math-science-academy
https://www.susd.org/academics/academic-programs/math-science-academy/levels-of-recognition
https://saguaro.susd.org/academics/math-science-academy
https://mohave.susd.org/academics/msa
https://www.susd.org/academics/academic-programs/math-science-academy/mohave-middle-school
https://saguaro.susd.org/fs/resource-manager/view/d02ac368-f793-4ac1-8232-2548c994d06c
https://www.susd.org/fs/resource-manager/view/fba819f9-911a-4b9c-bedb-ede911bb88fe</t>
        </is>
      </c>
    </row>
    <row r="13" ht="101.5" customHeight="1" s="54">
      <c r="A13" s="55" t="inlineStr">
        <is>
          <t>Math &amp; Science Academy (MSA)</t>
        </is>
      </c>
      <c r="B13" s="55" t="inlineStr">
        <is>
          <t>Student experience &amp; requirements</t>
        </is>
      </c>
      <c r="C13" s="55" t="inlineStr">
        <is>
          <t>Student experience &amp; requirements: Recognition levels (Member/Scholar/Commended Scholar/Distinguished Graduate) specify expectations for cohort participation, approved STEM coursework, competitions, community service, and STEM field experience/research/mentorship. Saguaro pages show requirement to compete in minimum # of competitions and provide field experience/internship guidance for juniors (some forms are internal/Drive).</t>
        </is>
      </c>
      <c r="D13" s="55" t="inlineStr">
        <is>
          <t>https://www.susd.org/academics/academic-programs/math-science-academy
https://www.susd.org/academics/academic-programs/math-science-academy/levels-of-recognition
https://saguaro.susd.org/academics/math-science-academy
https://mohave.susd.org/academics/msa
https://www.susd.org/academics/academic-programs/math-science-academy/mohave-middle-school
https://saguaro.susd.org/fs/resource-manager/view/d02ac368-f793-4ac1-8232-2548c994d06c
https://www.susd.org/fs/resource-manager/view/fba819f9-911a-4b9c-bedb-ede911bb88fe</t>
        </is>
      </c>
    </row>
    <row r="14" ht="174" customHeight="1" s="54">
      <c r="A14" s="55" t="inlineStr">
        <is>
          <t>Math &amp; Science Academy (MSA)</t>
        </is>
      </c>
      <c r="B14" s="55" t="inlineStr">
        <is>
          <t>Common measures / evidence to gather</t>
        </is>
      </c>
      <c r="C14" s="55" t="inlineStr">
        <is>
          <t>Common measures / evidence to gather (for rubric scoring):
• Enrollment &amp; demographics (including open enrollment vs boundary; subgroups).
• Course-taking patterns (honors/AP/DE/CTE); HS credit earned in MS.
• Competition participation &amp; field experience completion rates.
• Achievement/growth (state assessments; course grades); postsecondary STEM persistence indicators where feasible.
• Staffing model &amp; workload; Innovation Center utilization.
• Costs (materials/tech upkeep, staffing) and funding sources.
• Family/student satisfaction + access barriers.</t>
        </is>
      </c>
      <c r="D14" s="55" t="inlineStr">
        <is>
          <t>https://www.susd.org/academics/academic-programs/math-science-academy
https://www.susd.org/academics/academic-programs/math-science-academy/levels-of-recognition
https://saguaro.susd.org/academics/math-science-academy
https://mohave.susd.org/academics/msa
https://www.susd.org/academics/academic-programs/math-science-academy/mohave-middle-school
https://saguaro.susd.org/fs/resource-manager/view/d02ac368-f793-4ac1-8232-2548c994d06c
https://www.susd.org/fs/resource-manager/view/fba819f9-911a-4b9c-bedb-ede911bb88fe</t>
        </is>
      </c>
    </row>
    <row r="15" ht="101.5" customHeight="1" s="54">
      <c r="A15" s="55" t="inlineStr">
        <is>
          <t>Math &amp; Science Academy (MSA)</t>
        </is>
      </c>
      <c r="B15" s="55" t="inlineStr">
        <is>
          <t>Open questions for review team</t>
        </is>
      </c>
      <c r="C15" s="55" t="inlineStr">
        <is>
          <t>Open questions: What are explicit success metrics for MSA at MS and HS levels? What is the selection process (if any) and how is equitable access ensured (transportation, advising, supports)? What are costs and ongoing resource needs (Innovation Center equipment, staffing, maintenance)? How does Mohave MSA articulate into Saguaro SMSA (pathway expectations, priority, counseling)? What internal outcome data already exists (course-taking, AP/DE, STEM credentialing, postsecondary outcomes)?</t>
        </is>
      </c>
      <c r="D15" s="55" t="inlineStr">
        <is>
          <t>https://www.susd.org/academics/academic-programs/math-science-academy
https://www.susd.org/academics/academic-programs/math-science-academy/levels-of-recognition
https://saguaro.susd.org/academics/math-science-academy
https://mohave.susd.org/academics/msa
https://www.susd.org/academics/academic-programs/math-science-academy/mohave-middle-school
https://saguaro.susd.org/fs/resource-manager/view/d02ac368-f793-4ac1-8232-2548c994d06c
https://www.susd.org/fs/resource-manager/view/fba819f9-911a-4b9c-bedb-ede911bb88fe</t>
        </is>
      </c>
    </row>
    <row r="16" ht="72.5" customHeight="1" s="54">
      <c r="A16" s="55" t="inlineStr">
        <is>
          <t>STEAM / STEM Certified Schools (Laguna, Navajo)</t>
        </is>
      </c>
      <c r="B16" s="55" t="inlineStr">
        <is>
          <t>Program snapshot</t>
        </is>
      </c>
      <c r="C16" s="55" t="inlineStr">
        <is>
          <t>Laguna ES and Navajo ES are Cognia STEM-certified campuses (district also lists Saguaro HS as STEM certified). Certification is described as a rigorous review with peer observations and artifacts, scored across 4 domains: STEM community, STEM learning culture, STEM student experiences, and STEM outcomes.</t>
        </is>
      </c>
      <c r="D16" s="55" t="inlineStr">
        <is>
          <t>https://www.susd.org/academics/academic-programs/stem-certified-schools
https://laguna.susd.org/academics
https://navajo.susd.org/academics
https://laguna.susd.org/our-school/our-stories
https://navajo.susd.org/our-school/our-stories
https://www.susd.org/fs/resource-manager/view/84349add-81d3-4ede-946c-730f3ecfe751
https://www.susd.org/stem-k12</t>
        </is>
      </c>
    </row>
    <row r="17" ht="72.5" customHeight="1" s="54">
      <c r="A17" s="55" t="inlineStr">
        <is>
          <t>STEAM / STEM Certified Schools (Laguna, Navajo)</t>
        </is>
      </c>
      <c r="B17" s="55" t="inlineStr">
        <is>
          <t>SUSD implementation (sites/grades)</t>
        </is>
      </c>
      <c r="C17" s="55" t="inlineStr">
        <is>
          <t>Sites/grades: Laguna ES (Early Learning–5th) + Navajo ES (K–5). Both are identified publicly as Cognia STEM-certified.</t>
        </is>
      </c>
      <c r="D17" s="55" t="inlineStr">
        <is>
          <t>https://www.susd.org/academics/academic-programs/stem-certified-schools
https://laguna.susd.org/academics
https://navajo.susd.org/academics
https://laguna.susd.org/our-school/our-stories
https://navajo.susd.org/our-school/our-stories
https://www.susd.org/fs/resource-manager/view/84349add-81d3-4ede-946c-730f3ecfe751
https://www.susd.org/stem-k12</t>
        </is>
      </c>
    </row>
    <row r="18" ht="130.5" customHeight="1" s="54">
      <c r="A18" s="55" t="inlineStr">
        <is>
          <t>STEAM / STEM Certified Schools (Laguna, Navajo)</t>
        </is>
      </c>
      <c r="B18" s="55" t="inlineStr">
        <is>
          <t>Core design elements</t>
        </is>
      </c>
      <c r="C18" s="55" t="inlineStr">
        <is>
          <t>Core design elements (site examples):
Laguna: Cognia STEM certification; makerspace; science lab/club and schoolwide science fair; robotics/lego/coding; arts integration/partnerships.
Navajo: Cognia STEM-accredited; STEAM framing and hands-on learning; enrichment clubs; Innovators Lab; emphasis on '4 Cs'; family STEAM nights.
(Need to clarify what is core/non-negotiable vs optional enrichments, and what 'STEAM' means in the two implementations.)</t>
        </is>
      </c>
      <c r="D18" s="55" t="inlineStr">
        <is>
          <t>https://www.susd.org/academics/academic-programs/stem-certified-schools
https://laguna.susd.org/academics
https://navajo.susd.org/academics
https://laguna.susd.org/our-school/our-stories
https://navajo.susd.org/our-school/our-stories
https://www.susd.org/fs/resource-manager/view/84349add-81d3-4ede-946c-730f3ecfe751
https://www.susd.org/stem-k12</t>
        </is>
      </c>
    </row>
    <row r="19" ht="72.5" customHeight="1" s="54">
      <c r="A19" s="55" t="inlineStr">
        <is>
          <t>STEAM / STEM Certified Schools (Laguna, Navajo)</t>
        </is>
      </c>
      <c r="B19" s="55" t="inlineStr">
        <is>
          <t>Entry/enrollment &amp; access</t>
        </is>
      </c>
      <c r="C19" s="55" t="inlineStr">
        <is>
          <t>Entry/enrollment &amp; access: Appears to be delivered as part of each school’s core program. Confirm open-enrollment mechanics, transportation, and how access/communication is handled for families across the district. Navajo site references before/after-school supports (some low/no cost) which may affect access and participation.</t>
        </is>
      </c>
      <c r="D19" s="55" t="inlineStr">
        <is>
          <t>https://www.susd.org/academics/academic-programs/stem-certified-schools
https://laguna.susd.org/academics
https://navajo.susd.org/academics
https://laguna.susd.org/our-school/our-stories
https://navajo.susd.org/our-school/our-stories
https://www.susd.org/fs/resource-manager/view/84349add-81d3-4ede-946c-730f3ecfe751
https://www.susd.org/stem-k12</t>
        </is>
      </c>
    </row>
    <row r="20" ht="72.5" customHeight="1" s="54">
      <c r="A20" s="55" t="inlineStr">
        <is>
          <t>STEAM / STEM Certified Schools (Laguna, Navajo)</t>
        </is>
      </c>
      <c r="B20" s="55" t="inlineStr">
        <is>
          <t>Student experience &amp; requirements</t>
        </is>
      </c>
      <c r="C20" s="55" t="inlineStr">
        <is>
          <t>Student experience &amp; requirements: Public pages describe hands-on STEM/STEAM learning and enrichment (e.g., robotics, coding, science fair, makerspace) but do not provide detailed performance outcomes. Certification implies evidence of student experiences and outcomes was reviewed, but review artifacts/results are not publicly available (request Cognia report summary).</t>
        </is>
      </c>
      <c r="D20" s="55" t="inlineStr">
        <is>
          <t>https://www.susd.org/academics/academic-programs/stem-certified-schools
https://laguna.susd.org/academics
https://navajo.susd.org/academics
https://laguna.susd.org/our-school/our-stories
https://navajo.susd.org/our-school/our-stories
https://www.susd.org/fs/resource-manager/view/84349add-81d3-4ede-946c-730f3ecfe751
https://www.susd.org/stem-k12</t>
        </is>
      </c>
    </row>
    <row r="21" ht="72.5" customHeight="1" s="54">
      <c r="A21" s="55" t="inlineStr">
        <is>
          <t>STEAM / STEM Certified Schools (Laguna, Navajo)</t>
        </is>
      </c>
      <c r="B21" s="55" t="inlineStr">
        <is>
          <t>Common measures / evidence to gather</t>
        </is>
      </c>
      <c r="C21" s="55" t="inlineStr">
        <is>
          <t>Common measures / evidence to gather: Enrollment and demographics (subgroups); achievement/growth; participation in STEM enrichment; STEM instructional practice indicators; certification maintenance requirements (re-cert timeline, artifacts, PD); stakeholder perception; resource needs for labs/materials; equity/access barriers (incl. transportation).</t>
        </is>
      </c>
      <c r="D21" s="55" t="inlineStr">
        <is>
          <t>https://www.susd.org/academics/academic-programs/stem-certified-schools
https://laguna.susd.org/academics
https://navajo.susd.org/academics
https://laguna.susd.org/our-school/our-stories
https://navajo.susd.org/our-school/our-stories
https://www.susd.org/fs/resource-manager/view/84349add-81d3-4ede-946c-730f3ecfe751
https://www.susd.org/stem-k12</t>
        </is>
      </c>
    </row>
    <row r="22" ht="72.5" customHeight="1" s="54">
      <c r="A22" s="55" t="inlineStr">
        <is>
          <t>STEAM / STEM Certified Schools (Laguna, Navajo)</t>
        </is>
      </c>
      <c r="B22" s="55" t="inlineStr">
        <is>
          <t>Open questions for review team</t>
        </is>
      </c>
      <c r="C22" s="55" t="inlineStr">
        <is>
          <t>Open questions: What exactly is the STEAM model at each site (esp. role of Arts integration)? What are site-specific success metrics and outcome trends? What are the ongoing requirements and costs to maintain Cognia STEM certification (artifacts, PD, recert cycle)? How are benefits realized across subgroups (equity/access)?</t>
        </is>
      </c>
      <c r="D22" s="55" t="inlineStr">
        <is>
          <t>https://www.susd.org/academics/academic-programs/stem-certified-schools
https://laguna.susd.org/academics
https://navajo.susd.org/academics
https://laguna.susd.org/our-school/our-stories
https://navajo.susd.org/our-school/our-stories
https://www.susd.org/fs/resource-manager/view/84349add-81d3-4ede-946c-730f3ecfe751
https://www.susd.org/stem-k12</t>
        </is>
      </c>
    </row>
    <row r="23" ht="116" customHeight="1" s="54">
      <c r="A23" s="55" t="inlineStr">
        <is>
          <t>AVID</t>
        </is>
      </c>
      <c r="B23" s="55" t="inlineStr">
        <is>
          <t>Program snapshot</t>
        </is>
      </c>
      <c r="C23" s="55" t="inlineStr">
        <is>
          <t>College readiness system designed to increase the number of students who enroll and succeed in higher education; targets students in the academic middle and builds academic/organizational skills and self-advocacy.</t>
        </is>
      </c>
      <c r="D23" s="55"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4" ht="116" customHeight="1" s="54">
      <c r="A24" s="55" t="inlineStr">
        <is>
          <t>AVID</t>
        </is>
      </c>
      <c r="B24" s="55" t="inlineStr">
        <is>
          <t>SUSD implementation (sites/grades)</t>
        </is>
      </c>
      <c r="C24" s="55" t="inlineStr">
        <is>
          <t>Documented at multiple SUSD sites (examples include Tavan ES, Echo Canyon K–8, Ingleside MS, Arcadia HS; Coronado learning community notes AVID focus at Hohokam &amp; Yavapai feeding Tonalea MS and Coronado HS).</t>
        </is>
      </c>
      <c r="D24" s="55"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5" ht="116" customHeight="1" s="54">
      <c r="A25" s="55" t="inlineStr">
        <is>
          <t>AVID</t>
        </is>
      </c>
      <c r="B25" s="55" t="inlineStr">
        <is>
          <t>Core design elements</t>
        </is>
      </c>
      <c r="C25" s="55" t="inlineStr">
        <is>
          <t>Middle school AVID is an elective emphasizing writing, inquiry, collaboration, and reading; includes tutorials at least twice weekly and support from trained AVID teacher plus tutors/college students.</t>
        </is>
      </c>
      <c r="D25" s="55"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6" ht="116" customHeight="1" s="54">
      <c r="A26" s="55" t="inlineStr">
        <is>
          <t>AVID</t>
        </is>
      </c>
      <c r="B26" s="55" t="inlineStr">
        <is>
          <t>Entry/enrollment &amp; access</t>
        </is>
      </c>
      <c r="C26" s="55" t="inlineStr">
        <is>
          <t>AVID course is open to applicants identified/interviewed using criteria such as being in the academic middle, college/career focus with support, good attendance/citizenship, possible first-generation and historically underserved in 4-year colleges, etc.</t>
        </is>
      </c>
      <c r="D26" s="55"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7" ht="116" customHeight="1" s="54">
      <c r="A27" s="55" t="inlineStr">
        <is>
          <t>AVID</t>
        </is>
      </c>
      <c r="B27" s="55" t="inlineStr">
        <is>
          <t>Student experience &amp; requirements</t>
        </is>
      </c>
      <c r="C27" s="55" t="inlineStr">
        <is>
          <t>Students practice study skills, focused note-taking, organization/time management, collaboration, and college/career exploration; participate in motivational activities; receive academic/social support network.</t>
        </is>
      </c>
      <c r="D27" s="55"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8" ht="116" customHeight="1" s="54">
      <c r="A28" s="55" t="inlineStr">
        <is>
          <t>AVID</t>
        </is>
      </c>
      <c r="B28" s="55" t="inlineStr">
        <is>
          <t>Common measures / evidence to gather</t>
        </is>
      </c>
      <c r="C28" s="55" t="inlineStr">
        <is>
          <t>Enrollment and identification process (who is served); course completion and progression to rigorous coursework; attendance/behavior; achievement metrics; HS completion and postsecondary enrollment; fidelity to AVID model (WICOR strategies, tutorial structure).</t>
        </is>
      </c>
      <c r="D28" s="55"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9" ht="116" customHeight="1" s="54">
      <c r="A29" s="55" t="inlineStr">
        <is>
          <t>AVID</t>
        </is>
      </c>
      <c r="B29" s="55" t="inlineStr">
        <is>
          <t>Open questions for review team</t>
        </is>
      </c>
      <c r="C29" s="55" t="inlineStr">
        <is>
          <t>Where exactly is AVID offered today across SUSD (site inventory)? What is the intended continuum K–12 (if any)? What does 'AVID school' vs 'AVID elective' mean operationally? What supports/training exist for site teams?</t>
        </is>
      </c>
      <c r="D29" s="55"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30" ht="43.5" customHeight="1" s="54">
      <c r="A30" s="55" t="inlineStr">
        <is>
          <t>Traditional School Model (Cheyenne Traditional School)</t>
        </is>
      </c>
      <c r="B30" s="55" t="inlineStr">
        <is>
          <t>Program snapshot</t>
        </is>
      </c>
      <c r="C30" s="55" t="inlineStr">
        <is>
          <t>Cheyenne Traditional School is a K–8 School of Choice offering a traditional model emphasizing academics and structured instruction.</t>
        </is>
      </c>
      <c r="D30" s="55" t="inlineStr">
        <is>
          <t>https://cheyenne.susd.org/our-school/our-school; https://cheyenne.susd.org/academics; https://cheyenne.susd.org/enrollment</t>
        </is>
      </c>
    </row>
    <row r="31" ht="43.5" customHeight="1" s="54">
      <c r="A31" s="55" t="inlineStr">
        <is>
          <t>Traditional School Model (Cheyenne Traditional School)</t>
        </is>
      </c>
      <c r="B31" s="55" t="inlineStr">
        <is>
          <t>SUSD implementation (sites/grades)</t>
        </is>
      </c>
      <c r="C31" s="55" t="inlineStr">
        <is>
          <t>Single-site implementation: Cheyenne Traditional School (K–8).</t>
        </is>
      </c>
      <c r="D31" s="55" t="inlineStr">
        <is>
          <t>https://cheyenne.susd.org/our-school/our-school; https://cheyenne.susd.org/academics; https://cheyenne.susd.org/enrollment</t>
        </is>
      </c>
    </row>
    <row r="32" ht="58" customHeight="1" s="54">
      <c r="A32" s="55" t="inlineStr">
        <is>
          <t>Traditional School Model (Cheyenne Traditional School)</t>
        </is>
      </c>
      <c r="B32" s="55" t="inlineStr">
        <is>
          <t>Core design elements</t>
        </is>
      </c>
      <c r="C32" s="55" t="inlineStr">
        <is>
          <t>Nine cornerstones include focus on academics, teacher-directed instruction, sequential standards-based textbook-driven curriculum, elevated grading scale, maximum academic time, parental commitment, high expectations, and uniform.</t>
        </is>
      </c>
      <c r="D32" s="55" t="inlineStr">
        <is>
          <t>https://cheyenne.susd.org/our-school/our-school; https://cheyenne.susd.org/academics; https://cheyenne.susd.org/enrollment</t>
        </is>
      </c>
    </row>
    <row r="33" ht="43.5" customHeight="1" s="54">
      <c r="A33" s="55" t="inlineStr">
        <is>
          <t>Traditional School Model (Cheyenne Traditional School)</t>
        </is>
      </c>
      <c r="B33" s="55" t="inlineStr">
        <is>
          <t>Entry/enrollment &amp; access</t>
        </is>
      </c>
      <c r="C33" s="55" t="inlineStr">
        <is>
          <t>Open enrollment; no geographic boundaries. Families choose the model and commit to its expectations.</t>
        </is>
      </c>
      <c r="D33" s="55" t="inlineStr">
        <is>
          <t>https://cheyenne.susd.org/our-school/our-school; https://cheyenne.susd.org/academics; https://cheyenne.susd.org/enrollment</t>
        </is>
      </c>
    </row>
    <row r="34" ht="43.5" customHeight="1" s="54">
      <c r="A34" s="55" t="inlineStr">
        <is>
          <t>Traditional School Model (Cheyenne Traditional School)</t>
        </is>
      </c>
      <c r="B34" s="55" t="inlineStr">
        <is>
          <t>Student experience &amp; requirements</t>
        </is>
      </c>
      <c r="C34" s="55" t="inlineStr">
        <is>
          <t>Curriculum highlights include Spalding Language Arts and Saxon Math; structured approach with strong emphasis on foundational skills and academic rigor.</t>
        </is>
      </c>
      <c r="D34" s="55" t="inlineStr">
        <is>
          <t>https://cheyenne.susd.org/our-school/our-school; https://cheyenne.susd.org/academics; https://cheyenne.susd.org/enrollment</t>
        </is>
      </c>
    </row>
    <row r="35" ht="43.5" customHeight="1" s="54">
      <c r="A35" s="55" t="inlineStr">
        <is>
          <t>Traditional School Model (Cheyenne Traditional School)</t>
        </is>
      </c>
      <c r="B35" s="55" t="inlineStr">
        <is>
          <t>Common measures / evidence to gather</t>
        </is>
      </c>
      <c r="C35" s="55" t="inlineStr">
        <is>
          <t>Enrollment demand/demographics; student achievement and growth; implementation fidelity to nine cornerstones; parent/student satisfaction; resource/staffing implications for maintaining model.</t>
        </is>
      </c>
      <c r="D35" s="55" t="inlineStr">
        <is>
          <t>https://cheyenne.susd.org/our-school/our-school; https://cheyenne.susd.org/academics; https://cheyenne.susd.org/enrollment</t>
        </is>
      </c>
    </row>
    <row r="36" ht="58" customHeight="1" s="54">
      <c r="A36" s="55" t="inlineStr">
        <is>
          <t>Traditional School Model (Cheyenne Traditional School)</t>
        </is>
      </c>
      <c r="B36" s="55" t="inlineStr">
        <is>
          <t>Open questions for review team</t>
        </is>
      </c>
      <c r="C36" s="55" t="inlineStr">
        <is>
          <t>Which elements are essential vs adaptable? How is fidelity monitored? How does the model support diverse learners (EL, SPED) within a traditional structure? What are the comparative outcomes vs other K–8 options?</t>
        </is>
      </c>
      <c r="D36" s="55" t="inlineStr">
        <is>
          <t>https://cheyenne.susd.org/our-school/our-school; https://cheyenne.susd.org/academics; https://cheyenne.susd.org/enrollment</t>
        </is>
      </c>
    </row>
    <row r="37" ht="232" customHeight="1" s="54">
      <c r="A37" s="55" t="inlineStr">
        <is>
          <t>Dual Language Immersion (DLI)</t>
        </is>
      </c>
      <c r="B37" s="55" t="inlineStr">
        <is>
          <t>Program snapshot</t>
        </is>
      </c>
      <c r="C37" s="55" t="inlineStr">
        <is>
          <t>Educational approach where students receive instruction in two languages with goals of bilingualism, biliteracy, and cultural competence while meeting academic standards.</t>
        </is>
      </c>
      <c r="D37" s="55"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38" ht="232" customHeight="1" s="54">
      <c r="A38" s="55" t="inlineStr">
        <is>
          <t>Dual Language Immersion (DLI)</t>
        </is>
      </c>
      <c r="B38" s="55" t="inlineStr">
        <is>
          <t>SUSD implementation (sites/grades)</t>
        </is>
      </c>
      <c r="C38" s="55" t="inlineStr">
        <is>
          <t>Spanish pathway: Pueblo ES → Mohave MS → Saguaro HS. Mandarin pathway: Desert Canyon ES → Desert Canyon MS → Desert Mountain HS (as outlined in DLI pathway).</t>
        </is>
      </c>
      <c r="D38" s="55"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39" ht="232" customHeight="1" s="54">
      <c r="A39" s="55" t="inlineStr">
        <is>
          <t>Dual Language Immersion (DLI)</t>
        </is>
      </c>
      <c r="B39" s="55" t="inlineStr">
        <is>
          <t>Core design elements</t>
        </is>
      </c>
      <c r="C39" s="55" t="inlineStr">
        <is>
          <t>Elementary model described as 50/50 dual language instruction; middle school model described as 70/30 with two target-language classes. Course sequencing supports HS language credit completion by end of grade 8 (Spanish I &amp; II; Mandarin I &amp; II).</t>
        </is>
      </c>
      <c r="D39" s="55"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40" ht="232" customHeight="1" s="54">
      <c r="A40" s="55" t="inlineStr">
        <is>
          <t>Dual Language Immersion (DLI)</t>
        </is>
      </c>
      <c r="B40" s="55" t="inlineStr">
        <is>
          <t>Entry/enrollment &amp; access</t>
        </is>
      </c>
      <c r="C40" s="55" t="inlineStr">
        <is>
          <t>Open enrollment encouraged; Pueblo site notes a suggested minimum 7-year commitment for maximum benefit. Application processes exist (site-based).</t>
        </is>
      </c>
      <c r="D40" s="55"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41" ht="232" customHeight="1" s="54">
      <c r="A41" s="55" t="inlineStr">
        <is>
          <t>Dual Language Immersion (DLI)</t>
        </is>
      </c>
      <c r="B41" s="55" t="inlineStr">
        <is>
          <t>Student experience &amp; requirements</t>
        </is>
      </c>
      <c r="C41" s="55" t="inlineStr">
        <is>
          <t>Elementary instruction includes core content taught in target language and English; middle school includes two daily target-language periods; high school includes advanced world language/AP/IB options and pathways toward biliteracy recognition and a DLI cord.</t>
        </is>
      </c>
      <c r="D41" s="55"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42" ht="232" customHeight="1" s="54">
      <c r="A42" s="55" t="inlineStr">
        <is>
          <t>Dual Language Immersion (DLI)</t>
        </is>
      </c>
      <c r="B42" s="55" t="inlineStr">
        <is>
          <t>Common measures / evidence to gather</t>
        </is>
      </c>
      <c r="C42" s="55" t="inlineStr">
        <is>
          <t>Enrollment and demographics; language proficiency growth; student achievement in core subjects vs peers; retention across grade transitions; biliteracy awards (middle school attainment, Seal of Biliteracy, DLI cord); staffing (bilingual/credentialed teachers) and curriculum alignment.</t>
        </is>
      </c>
      <c r="D42" s="55"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43" ht="232" customHeight="1" s="54">
      <c r="A43" s="55" t="inlineStr">
        <is>
          <t>Dual Language Immersion (DLI)</t>
        </is>
      </c>
      <c r="B43" s="55" t="inlineStr">
        <is>
          <t>Open questions for review team</t>
        </is>
      </c>
      <c r="C43" s="55" t="inlineStr">
        <is>
          <t>How are students supported at transition points (5→6, 8→9)? What are barriers to entry/continuation (transportation, awareness, scheduling)? How is fidelity to the language allocation model monitored? What are outcomes by subgroup?</t>
        </is>
      </c>
      <c r="D43" s="55"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J7"/>
  <sheetViews>
    <sheetView showGridLines="0" zoomScale="70" zoomScaleNormal="70" workbookViewId="0">
      <pane xSplit="1" ySplit="1" topLeftCell="B2" activePane="bottomRight" state="frozen"/>
      <selection pane="topRight" activeCell="B1" sqref="B1"/>
      <selection pane="bottomLeft" activeCell="A2" sqref="A2"/>
      <selection pane="bottomRight" activeCell="I3" sqref="I3"/>
    </sheetView>
  </sheetViews>
  <sheetFormatPr baseColWidth="8" defaultRowHeight="14.5"/>
  <cols>
    <col width="30" customWidth="1" style="54" min="1" max="1"/>
    <col width="36" customWidth="1" style="54" min="2" max="2"/>
    <col width="20" customWidth="1" style="54" min="3" max="3"/>
    <col width="16" customWidth="1" style="54" min="4" max="4"/>
    <col width="20" customWidth="1" style="54" min="5" max="5"/>
    <col width="24" customWidth="1" style="54" min="6" max="6"/>
    <col width="14" customWidth="1" style="54" min="7" max="7"/>
    <col width="16" customWidth="1" style="54" min="8" max="8"/>
    <col width="32" customWidth="1" style="54" min="9" max="9"/>
    <col width="36" customWidth="1" style="54" min="10" max="10"/>
  </cols>
  <sheetData>
    <row r="1" ht="28" customHeight="1" s="54">
      <c r="A1" s="3" t="inlineStr">
        <is>
          <t>Program</t>
        </is>
      </c>
      <c r="B1" s="3" t="inlineStr">
        <is>
          <t>Sites / grades</t>
        </is>
      </c>
      <c r="C1" s="3" t="inlineStr">
        <is>
          <t>Lane</t>
        </is>
      </c>
      <c r="D1" s="3" t="inlineStr">
        <is>
          <t>Reviewer pair</t>
        </is>
      </c>
      <c r="E1" s="3" t="inlineStr">
        <is>
          <t>Evidence owner/contact</t>
        </is>
      </c>
      <c r="F1" s="3" t="inlineStr">
        <is>
          <t>Key evidence needed (Must)</t>
        </is>
      </c>
      <c r="G1" s="3" t="inlineStr">
        <is>
          <t>Status</t>
        </is>
      </c>
      <c r="H1" s="3" t="inlineStr">
        <is>
          <t>Draft summary due</t>
        </is>
      </c>
      <c r="I1" s="3" t="inlineStr">
        <is>
          <t>Notes / risks</t>
        </is>
      </c>
      <c r="J1" s="3" t="inlineStr">
        <is>
          <t>Primary source URLs</t>
        </is>
      </c>
    </row>
    <row r="2" ht="217.5" customHeight="1" s="54">
      <c r="A2" s="55" t="inlineStr">
        <is>
          <t>International Baccalaureate (IB)</t>
        </is>
      </c>
      <c r="B2" s="55" t="inlineStr">
        <is>
          <t>Anasazi ES (PYP, K–5); Mountainside MS (MYP, 6–8); Desert Mountain HS (MYP, 9–10; DP, 11–12)</t>
        </is>
      </c>
      <c r="C2" s="55" t="inlineStr">
        <is>
          <t>Ongoing (How’s it going)</t>
        </is>
      </c>
      <c r="D2" s="55" t="n"/>
      <c r="E2" s="55" t="n"/>
      <c r="F2" s="55" t="inlineStr">
        <is>
          <t>E01; E08; E10; E33; E40</t>
        </is>
      </c>
      <c r="G2" s="55" t="inlineStr">
        <is>
          <t>Not started</t>
        </is>
      </c>
      <c r="H2" s="55" t="n"/>
      <c r="I2" s="55" t="n"/>
      <c r="J2" s="55" t="inlineStr">
        <is>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is>
      </c>
    </row>
    <row r="3" ht="174" customHeight="1" s="54">
      <c r="A3" s="55" t="inlineStr">
        <is>
          <t>Math &amp; Science Academy (MSA)</t>
        </is>
      </c>
      <c r="B3" s="55" t="inlineStr">
        <is>
          <t>Saguaro HS (est. 2008; HS cohort + distinction); Mohave MS (MSA expansion planned 2025–26 for grades 6–8)</t>
        </is>
      </c>
      <c r="C3" s="55" t="inlineStr">
        <is>
          <t>Ongoing (How’s it going)</t>
        </is>
      </c>
      <c r="D3" s="55" t="n"/>
      <c r="E3" s="55" t="n"/>
      <c r="F3" s="55" t="inlineStr">
        <is>
          <t>Implementation baseline: current-year program description by site (Saguaro vs Mohave), schedule model (cohort blocks/electives), Innovation Center access model.
Roles &amp; supports: coordinator/advisor responsibilities, counseling workflow, staff PD/supports, family comms cadence.
Participation &amp; equity: enrollment counts by subgroup + cohort participation; Mohave (new) participation; access supports.
Student experience tracking: competitions participation, distinction completion, field experience completion (counts + process).
Annual update KPIs: agreed metrics + cadence + data owner.</t>
        </is>
      </c>
      <c r="G3" s="55" t="inlineStr">
        <is>
          <t>Not started</t>
        </is>
      </c>
      <c r="H3" s="55" t="n"/>
      <c r="I3" s="55" t="inlineStr">
        <is>
          <t>Be careful not to blend mature Saguaro HS evidence with newly launched Mohave MS implementation; focus on implementation + system alignment per Ms. Mitchell guidance.</t>
        </is>
      </c>
      <c r="J3" s="55" t="inlineStr">
        <is>
          <t>District MSA overview: https://www.susd.org/academics/academic-programs/math-science-academy
Levels of Recognition: https://www.susd.org/academics/academic-programs/math-science-academy/levels-of-recognition
Saguaro MSA page + quick links: https://saguaro.susd.org/academics/math-science-academy
MSA initial application (Google Form): https://docs.google.com/forms/d/e/1FAIpQLScB0u8R3BUTkTAL3jTyQrvIOOSS-1JBGtRVGCLpTio2sONRSQ/viewform?usp=pp_url
MSA upperclassman recognition application (Google Form): https://docs.google.com/forms/d/e/1FAIpQLSeqaU6FJP4EKRoI_NkhfIZ-zFd_EH24u2R0b5fE1xMi6SlJ8Q/viewform?usp=pp_url
MSA Student/Parent info flyer (PDF): https://www.susd.org/fs/resource-manager/view/fba819f9-911a-4b9c-bedb-ede911bb88fe
Saguaro school profile PDF (2022–23): https://saguaro.susd.org/fs/resource-manager/view/d02ac368-f793-4ac1-8232-2548c994d06c
Mohave MSA page: https://mohave.susd.org/academics/msa
Mohave district MSA page: https://www.susd.org/academics/academic-programs/math-science-academy/mohave-middle-school</t>
        </is>
      </c>
    </row>
    <row r="4" ht="87" customHeight="1" s="54">
      <c r="A4" s="55" t="inlineStr">
        <is>
          <t>STEAM / STEM Certified Schools</t>
        </is>
      </c>
      <c r="B4" s="55" t="inlineStr">
        <is>
          <t>Laguna ES (Early Learning–5th); Navajo ES (K–5) — both Cognia STEM certified (district uses STEM certification framing).</t>
        </is>
      </c>
      <c r="C4" s="55" t="inlineStr">
        <is>
          <t>Ongoing (How’s it going)</t>
        </is>
      </c>
      <c r="D4" s="55" t="n"/>
      <c r="E4" s="55" t="n"/>
      <c r="F4" s="55" t="inlineStr">
        <is>
          <t>Implementation baseline by site: what is core STEAM/STEM model (instructional integration) vs optional enrichment; schedule model (lab/makerspace use).
Cognia STEM certification maintenance: latest certification reports/score summaries, annual action plan, evidence/artefact process.
Roles &amp; supports: STEM/STEAM lead roles, teacher planning time, PD supports, equipment maintenance.
Participation &amp; equity: student access to labs/projects by subgroup; EL/SPED accommodations in project work.
Annual update KPIs: agreed metrics + cadence + data owner.</t>
        </is>
      </c>
      <c r="G4" s="55" t="inlineStr">
        <is>
          <t>Not started</t>
        </is>
      </c>
      <c r="H4" s="55" t="n"/>
      <c r="I4" s="55" t="inlineStr">
        <is>
          <t>Public sources strongly describe certification process; internal Cognia reports and annual KPI routines are likely the key evidence gaps for baseline sustainability/coherence.</t>
        </is>
      </c>
      <c r="J4" s="55" t="inlineStr">
        <is>
          <t>STEM Certified Schools overview (Laguna, Navajo, Saguaro): https://www.susd.org/academics/academic-programs/stem-certified-schools
Laguna academics: https://laguna.susd.org/academics
Navajo academics: https://navajo.susd.org/academics
Laguna STEAM story: https://laguna.susd.org/our-school/our-stories
Navajo STEAM story: https://navajo.susd.org/our-school/our-stories
Board minutes recognition (May 24, 2022): https://www.susd.org/fs/resource-manager/view/84349add-81d3-4ede-946c-730f3ecfe751
District STEM K–12 overview: https://www.susd.org/stem-k12</t>
        </is>
      </c>
    </row>
    <row r="5" ht="174" customHeight="1" s="54">
      <c r="A5" s="55" t="inlineStr">
        <is>
          <t>AVID (Advancement Via Individual Determination)</t>
        </is>
      </c>
      <c r="B5" s="55" t="inlineStr">
        <is>
          <t>Implemented at multiple sites (examples documented: Tavan ES; Echo Canyon K–8; Ingleside MS; Arcadia HS; plus AVID-focus schools in Coronado learning community). Middle school AVID is an elective for grades 6–8.</t>
        </is>
      </c>
      <c r="C5" s="55" t="inlineStr">
        <is>
          <t>Ongoing (How’s it going)</t>
        </is>
      </c>
      <c r="D5" s="55" t="n"/>
      <c r="E5" s="55" t="n"/>
      <c r="F5" s="55" t="inlineStr">
        <is>
          <t>E01; E08; E10; E33; E40</t>
        </is>
      </c>
      <c r="G5" s="55" t="inlineStr">
        <is>
          <t>Not started</t>
        </is>
      </c>
      <c r="H5" s="55" t="n"/>
      <c r="I5" s="55" t="n"/>
      <c r="J5" s="55" t="inlineStr">
        <is>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is>
      </c>
    </row>
    <row r="6" ht="58" customHeight="1" s="54">
      <c r="A6" s="55" t="inlineStr">
        <is>
          <t>Traditional School Model</t>
        </is>
      </c>
      <c r="B6" s="55" t="inlineStr">
        <is>
          <t>Cheyenne Traditional School (K–8) — SUSD School of Choice</t>
        </is>
      </c>
      <c r="C6" s="55" t="inlineStr">
        <is>
          <t>Ongoing (How’s it going)</t>
        </is>
      </c>
      <c r="D6" s="55" t="n"/>
      <c r="E6" s="55" t="n"/>
      <c r="F6" s="55" t="inlineStr">
        <is>
          <t>E01; E08; E10; E33; E40</t>
        </is>
      </c>
      <c r="G6" s="55" t="inlineStr">
        <is>
          <t>Not started</t>
        </is>
      </c>
      <c r="H6" s="55" t="n"/>
      <c r="I6" s="55" t="n"/>
      <c r="J6" s="55" t="inlineStr">
        <is>
          <t>https://cheyenne.susd.org/our-school/our-school ; https://cheyenne.susd.org/academics ; https://cheyenne.susd.org/enrollment</t>
        </is>
      </c>
    </row>
    <row r="7" ht="261" customHeight="1" s="54">
      <c r="A7" s="55" t="inlineStr">
        <is>
          <t>Dual Language Immersion (DLI)</t>
        </is>
      </c>
      <c r="B7" s="55" t="inlineStr">
        <is>
          <t>Spanish: Pueblo ES (PreK–5) → Mohave MS (6–8) → Saguaro HS (9–12). Mandarin: Desert Canyon ES (PreK–5) → Desert Canyon MS (6–8) → Desert Mountain HS (9–12).</t>
        </is>
      </c>
      <c r="C7" s="55" t="inlineStr">
        <is>
          <t>Ongoing (How’s it going)</t>
        </is>
      </c>
      <c r="D7" s="55" t="n"/>
      <c r="E7" s="55" t="n"/>
      <c r="F7" s="55" t="inlineStr">
        <is>
          <t>E01; E08; E10; E33; E40</t>
        </is>
      </c>
      <c r="G7" s="55" t="inlineStr">
        <is>
          <t>Not started</t>
        </is>
      </c>
      <c r="H7" s="55" t="n"/>
      <c r="I7" s="55" t="n"/>
      <c r="J7" s="55" t="inlineStr">
        <is>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is>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3"/>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10" customWidth="1" style="54" min="1" max="1"/>
    <col width="41.36328125" customWidth="1" style="54" min="2" max="2"/>
    <col width="24.26953125" customWidth="1" style="54" min="3" max="3"/>
    <col width="36.90625" customWidth="1" style="54" min="4" max="4"/>
    <col width="45" customWidth="1" style="54" min="5" max="9"/>
    <col width="44.08984375" customWidth="1" style="54" min="10" max="10"/>
    <col width="36" customWidth="1" style="54" min="11" max="11"/>
    <col width="18.90625" customWidth="1" style="54" min="12" max="12"/>
    <col width="23.36328125" customWidth="1" style="54" min="13" max="13"/>
    <col width="45" customWidth="1" style="54" min="14" max="14"/>
  </cols>
  <sheetData>
    <row r="1" ht="24" customHeight="1" s="54">
      <c r="A1" s="8" t="inlineStr">
        <is>
          <t>Concept ID</t>
        </is>
      </c>
      <c r="B1" s="8" t="inlineStr">
        <is>
          <t>Concept / working title</t>
        </is>
      </c>
      <c r="C1" s="8" t="inlineStr">
        <is>
          <t>Subgroup (SPARK workstream)</t>
        </is>
      </c>
      <c r="D1" s="8" t="inlineStr">
        <is>
          <t>Sponsor / owner (dept leader)</t>
        </is>
      </c>
      <c r="E1" s="8" t="inlineStr">
        <is>
          <t>Trigger / origin (Board / Leadership / Community / SPARK gap)</t>
        </is>
      </c>
      <c r="F1" s="8" t="inlineStr">
        <is>
          <t>Mandate type (Study required? Y/N; by whom)</t>
        </is>
      </c>
      <c r="G1" s="8" t="inlineStr">
        <is>
          <t>Scope of study (what questions are we answering?)</t>
        </is>
      </c>
      <c r="H1" s="8" t="inlineStr">
        <is>
          <t>Stage (Charter / Benchmarking / Options / Feasibility / Recommendation)</t>
        </is>
      </c>
      <c r="I1" s="8" t="inlineStr">
        <is>
          <t>Key evidence artifacts (Must)</t>
        </is>
      </c>
      <c r="J1" s="8" t="inlineStr">
        <is>
          <t>Next deliverable (shareable)</t>
        </is>
      </c>
      <c r="K1" s="8" t="inlineStr">
        <is>
          <t>Due date / milestone</t>
        </is>
      </c>
      <c r="L1" s="8" t="inlineStr">
        <is>
          <t>Link to folder / docs</t>
        </is>
      </c>
      <c r="M1" s="8" t="inlineStr">
        <is>
          <t>Program Review liaison</t>
        </is>
      </c>
      <c r="N1" s="8" t="inlineStr">
        <is>
          <t>Notes / risks</t>
        </is>
      </c>
    </row>
    <row r="2" ht="43.5" customHeight="1" s="54">
      <c r="A2" s="9" t="inlineStr">
        <is>
          <t>CON-01</t>
        </is>
      </c>
      <c r="B2" s="9" t="inlineStr">
        <is>
          <t>Gifted &amp; Advanced Studies Magnet Academy (hub)</t>
        </is>
      </c>
      <c r="C2" s="9" t="inlineStr">
        <is>
          <t>Concept candidate subgroup</t>
        </is>
      </c>
      <c r="D2" s="9" t="inlineStr">
        <is>
          <t>Director of Gifted &amp; Accelerated Learning</t>
        </is>
      </c>
      <c r="E2" s="9" t="inlineStr">
        <is>
          <t>Likely leadership/board/community interest (confirm)</t>
        </is>
      </c>
      <c r="F2" s="9" t="inlineStr">
        <is>
          <t>Study required? (confirm); decision by SPARK/leadership/Board</t>
        </is>
      </c>
      <c r="G2" s="9" t="inlineStr">
        <is>
          <t>Define vision + model options for a possible magnet academy; compare exemplars; assess access/equity; estimate feasibility/resources.</t>
        </is>
      </c>
      <c r="H2" s="9" t="inlineStr">
        <is>
          <t>Charter / Benchmarking (in progress)</t>
        </is>
      </c>
      <c r="I2" s="9" t="inlineStr">
        <is>
          <t>E46 Current-state baseline; E44 Peer benchmark matrix; E49 Feasibility envelope (rough)</t>
        </is>
      </c>
      <c r="J2" s="9" t="inlineStr">
        <is>
          <t>Concept Study Brief + option set + recommendation</t>
        </is>
      </c>
      <c r="K2" s="9" t="inlineStr">
        <is>
          <t>March whole-group SPARK meeting (target)</t>
        </is>
      </c>
      <c r="L2" s="9" t="n"/>
      <c r="M2" s="9" t="inlineStr">
        <is>
          <t>Program Review Team member</t>
        </is>
      </c>
      <c r="N2" s="9" t="inlineStr">
        <is>
          <t>Homework includes review of SUSD Gifted Scope &amp; Sequence + researching gifted/advanced schools (benchmarking).</t>
        </is>
      </c>
    </row>
    <row r="3" ht="43.5" customHeight="1" s="54">
      <c r="A3" s="76" t="inlineStr">
        <is>
          <t>CON-02</t>
        </is>
      </c>
      <c r="B3" s="76" t="inlineStr">
        <is>
          <t>Arts Magnet / Arts Hub School concept</t>
        </is>
      </c>
      <c r="C3" s="76" t="inlineStr">
        <is>
          <t>Concept candidate subgroup</t>
        </is>
      </c>
      <c r="D3" s="76" t="inlineStr">
        <is>
          <t>TBD (Arts lead)</t>
        </is>
      </c>
      <c r="E3" s="76" t="inlineStr">
        <is>
          <t>Likely leadership/board/community interest (confirm)</t>
        </is>
      </c>
      <c r="F3" s="76" t="inlineStr">
        <is>
          <t>Study required? (confirm); decision by SPARK/leadership/Board</t>
        </is>
      </c>
      <c r="G3" s="76" t="inlineStr">
        <is>
          <t>Define vision + model options for arts magnet/hub; compare exemplars; assess access/equity; estimate feasibility/resources.</t>
        </is>
      </c>
      <c r="H3" s="76" t="inlineStr">
        <is>
          <t>Charter (in progress / TBD)</t>
        </is>
      </c>
      <c r="I3" s="76" t="inlineStr">
        <is>
          <t>E46 Current-state baseline; E44 Peer benchmark matrix; E49 Feasibility envelope (rough)</t>
        </is>
      </c>
      <c r="J3" s="76" t="inlineStr">
        <is>
          <t>Concept Study Brief + option set + recommendation</t>
        </is>
      </c>
      <c r="K3" s="76" t="inlineStr">
        <is>
          <t>March whole-group SPARK meeting (target)</t>
        </is>
      </c>
      <c r="L3" s="76" t="n"/>
      <c r="M3" s="76" t="inlineStr">
        <is>
          <t>Program Review Team member</t>
        </is>
      </c>
      <c r="N3" s="76" t="inlineStr">
        <is>
          <t>Need to confirm sponsor, scope, and required outputs.</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42"/>
  <sheetViews>
    <sheetView showGridLines="0" zoomScale="70" zoomScaleNormal="70" workbookViewId="0">
      <pane xSplit="1" ySplit="1" topLeftCell="B2" activePane="bottomRight" state="frozen"/>
      <selection pane="topRight" activeCell="B1" sqref="B1"/>
      <selection pane="bottomLeft" activeCell="A2" sqref="A2"/>
      <selection pane="bottomRight" activeCell="E5" sqref="E5"/>
    </sheetView>
  </sheetViews>
  <sheetFormatPr baseColWidth="8" defaultRowHeight="14.5"/>
  <cols>
    <col width="28" customWidth="1" style="54" min="1" max="1"/>
    <col width="40" customWidth="1" style="54" min="2" max="2"/>
    <col width="26.90625" customWidth="1" style="54" min="3" max="3"/>
    <col width="20" customWidth="1" style="54" min="4" max="4"/>
    <col width="38" customWidth="1" style="54" min="5" max="7"/>
  </cols>
  <sheetData>
    <row r="1" ht="24" customHeight="1" s="54">
      <c r="A1" s="70" t="inlineStr">
        <is>
          <t>Governance &amp; intake channels (how program ideas may enter SPARK and move through stages)</t>
        </is>
      </c>
    </row>
    <row r="3">
      <c r="A3" s="41" t="inlineStr">
        <is>
          <t>1) Entry channels (examples + typical pathway)</t>
        </is>
      </c>
    </row>
    <row r="4" ht="34.5" customHeight="1" s="54">
      <c r="A4" s="25" t="inlineStr">
        <is>
          <t>Entry channel ID</t>
        </is>
      </c>
      <c r="B4" s="25" t="inlineStr">
        <is>
          <t>Entry channel</t>
        </is>
      </c>
      <c r="C4" s="25" t="inlineStr">
        <is>
          <t>Example trigger</t>
        </is>
      </c>
      <c r="D4" s="39" t="inlineStr">
        <is>
          <t>Who initiates</t>
        </is>
      </c>
      <c r="E4" s="39" t="inlineStr">
        <is>
          <t>Sponsor / owner</t>
        </is>
      </c>
      <c r="F4" s="39" t="inlineStr">
        <is>
          <t>Typical / default pathway</t>
        </is>
      </c>
      <c r="G4" s="39" t="inlineStr">
        <is>
          <t>Notes / guardrails</t>
        </is>
      </c>
    </row>
    <row r="5" ht="67" customHeight="1" s="54">
      <c r="A5" s="42" t="inlineStr">
        <is>
          <t>EC-01</t>
        </is>
      </c>
      <c r="B5" s="93" t="inlineStr">
        <is>
          <t>Board-directed study / feasibility request</t>
        </is>
      </c>
      <c r="C5" s="93" t="inlineStr">
        <is>
          <t>Board asks district to study feasibility of a program/school model</t>
        </is>
      </c>
      <c r="D5" s="93" t="inlineStr">
        <is>
          <t>Governing Board (via Superintendent)</t>
        </is>
      </c>
      <c r="E5" s="93" t="inlineStr">
        <is>
          <t>Assigned district sponsor (dept lead) + exec sponsor</t>
        </is>
      </c>
      <c r="F5" s="93" t="inlineStr">
        <is>
          <t>Concept Study / Feasibility Scan → (if recommended) Intake &amp; Rubric-based Full Review</t>
        </is>
      </c>
      <c r="G5" s="93" t="inlineStr">
        <is>
          <t>Study may be 'required' but implementation could still be contingent on evidence + constraints.</t>
        </is>
      </c>
    </row>
    <row r="6" ht="43.5" customHeight="1" s="54">
      <c r="A6" s="43" t="inlineStr">
        <is>
          <t>EC-02</t>
        </is>
      </c>
      <c r="B6" s="94" t="inlineStr">
        <is>
          <t>Leadership-initiated concept</t>
        </is>
      </c>
      <c r="C6" s="94" t="inlineStr">
        <is>
          <t>Superintendent/cabinet commissions exploration of a magnet/hub</t>
        </is>
      </c>
      <c r="D6" s="94" t="inlineStr">
        <is>
          <t>Superintendent / district leadership</t>
        </is>
      </c>
      <c r="E6" s="94" t="inlineStr">
        <is>
          <t>Assigned district sponsor (dept lead)</t>
        </is>
      </c>
      <c r="F6" s="94" t="inlineStr">
        <is>
          <t>Concept Study / Feasibility Scan OR Intake &amp; Triage (depending on scale)</t>
        </is>
      </c>
      <c r="G6" s="94" t="inlineStr">
        <is>
          <t>Can use light triage/charter to clarify scope and constraints before deep work.</t>
        </is>
      </c>
    </row>
    <row r="7" ht="58" customHeight="1" s="54">
      <c r="A7" s="42" t="inlineStr">
        <is>
          <t>EC-03</t>
        </is>
      </c>
      <c r="B7" s="93" t="inlineStr">
        <is>
          <t>Community interest / petition</t>
        </is>
      </c>
      <c r="C7" s="93" t="inlineStr">
        <is>
          <t>Parents/community request specialized programming</t>
        </is>
      </c>
      <c r="D7" s="93" t="inlineStr">
        <is>
          <t>Families/community groups (via district intake)</t>
        </is>
      </c>
      <c r="E7" s="93" t="inlineStr">
        <is>
          <t>District sponsor needed before full review</t>
        </is>
      </c>
      <c r="F7" s="93" t="inlineStr">
        <is>
          <t>Intake Form → Triage (screen) → (if needed) Concept Study or Full Review</t>
        </is>
      </c>
      <c r="G7" s="93" t="inlineStr">
        <is>
          <t>Can aim to ensure transparent criteria and equity/access design; avoid duplicate proposals by routing through portfolio landscape priorities.</t>
        </is>
      </c>
    </row>
    <row r="8" ht="43.5" customHeight="1" s="54">
      <c r="A8" s="43" t="inlineStr">
        <is>
          <t>EC-04</t>
        </is>
      </c>
      <c r="B8" s="94" t="inlineStr">
        <is>
          <t>School/site proposal</t>
        </is>
      </c>
      <c r="C8" s="94" t="inlineStr">
        <is>
          <t>A group of teachers proposes a signature program</t>
        </is>
      </c>
      <c r="D8" s="94" t="inlineStr">
        <is>
          <t>Site leader / school team</t>
        </is>
      </c>
      <c r="E8" s="94" t="inlineStr">
        <is>
          <t>Principal + district sponsor</t>
        </is>
      </c>
      <c r="F8" s="94" t="inlineStr">
        <is>
          <t>Intake Form → Triage → Full Review</t>
        </is>
      </c>
      <c r="G8" s="94" t="inlineStr">
        <is>
          <t>Clarify staffing/facilities impacts and sustainability; check what is site-specific vs scalable across sites.</t>
        </is>
      </c>
    </row>
    <row r="9" ht="58" customHeight="1" s="54">
      <c r="A9" s="42" t="inlineStr">
        <is>
          <t>EC-05</t>
        </is>
      </c>
      <c r="B9" s="93" t="inlineStr">
        <is>
          <t>Grant or partner-driven opportunity</t>
        </is>
      </c>
      <c r="C9" s="93" t="inlineStr">
        <is>
          <t>External partner funding/program offer</t>
        </is>
      </c>
      <c r="D9" s="93" t="inlineStr">
        <is>
          <t>District department / grants office / partner</t>
        </is>
      </c>
      <c r="E9" s="93" t="inlineStr">
        <is>
          <t>District sponsor + finance review</t>
        </is>
      </c>
      <c r="F9" s="93" t="inlineStr">
        <is>
          <t>Fast Triage → Full Review (or limited pilot) with conditions</t>
        </is>
      </c>
      <c r="G9" s="93" t="inlineStr">
        <is>
          <t>Funding is important, but it would not be the only criterion; would want to clarify e.g. evaluation plan and sustainability after grant ends.</t>
        </is>
      </c>
    </row>
    <row r="10" ht="58" customHeight="1" s="54">
      <c r="A10" s="43" t="inlineStr">
        <is>
          <t>EC-06</t>
        </is>
      </c>
      <c r="B10" s="94" t="inlineStr">
        <is>
          <t>Informal idea / email (no proposal yet)</t>
        </is>
      </c>
      <c r="C10" s="94" t="inlineStr">
        <is>
          <t>Staff member or community member shares an idea via email or conversation without a full proposal.</t>
        </is>
      </c>
      <c r="D10" s="94" t="inlineStr">
        <is>
          <t>Anyone</t>
        </is>
      </c>
      <c r="E10" s="94" t="inlineStr">
        <is>
          <t>None required at this stage (SPARK helps identify sponsor if promoted)</t>
        </is>
      </c>
      <c r="F10" s="94" t="inlineStr">
        <is>
          <t>Light Idea Submission → Idea Log → Pre‑Triage screen → (if promoted) Triage / Concept Study / Full Intake</t>
        </is>
      </c>
      <c r="G10" s="94" t="n"/>
    </row>
    <row r="11" ht="49" customHeight="1" s="54">
      <c r="A11" s="42" t="inlineStr">
        <is>
          <t>EC-07</t>
        </is>
      </c>
      <c r="B11" s="93" t="inlineStr">
        <is>
          <t>SPARK-identified gap (Landscape Assessment)</t>
        </is>
      </c>
      <c r="C11" s="93" t="inlineStr">
        <is>
          <t>Portfolio might show unmet need/opportunity in a segment</t>
        </is>
      </c>
      <c r="D11" s="93" t="inlineStr">
        <is>
          <t>SPARK committee / Program Review team</t>
        </is>
      </c>
      <c r="E11" s="93" t="inlineStr">
        <is>
          <t>Assigned sponsor for concept development</t>
        </is>
      </c>
      <c r="F11" s="93" t="inlineStr">
        <is>
          <t>Concept Study / Feasibility Scan</t>
        </is>
      </c>
      <c r="G11" s="93" t="inlineStr">
        <is>
          <t>Could contribute to a proactive intake capability for SPARK (to go with reactive to proposals.</t>
        </is>
      </c>
    </row>
    <row r="12" ht="25.5" customHeight="1" s="54">
      <c r="A12" s="45" t="n"/>
      <c r="B12" s="46" t="n"/>
      <c r="C12" s="46" t="n"/>
      <c r="D12" s="46" t="n"/>
      <c r="E12" s="46" t="n"/>
      <c r="F12" s="46" t="n"/>
      <c r="G12" s="46" t="n"/>
    </row>
    <row r="13">
      <c r="A13" s="40" t="n"/>
      <c r="B13" s="40" t="n"/>
      <c r="C13" s="40" t="n"/>
      <c r="D13" s="40" t="n"/>
      <c r="E13" s="40" t="n"/>
    </row>
    <row r="14" ht="24" customHeight="1" s="54">
      <c r="A14" s="41" t="inlineStr">
        <is>
          <t>2) Roles &amp; handoffs (high level)</t>
        </is>
      </c>
    </row>
    <row r="15" ht="29" customHeight="1" s="54">
      <c r="A15" s="25" t="inlineStr">
        <is>
          <t>Role</t>
        </is>
      </c>
      <c r="B15" s="25" t="inlineStr">
        <is>
          <t>Primary responsibilities in candidate pipeline</t>
        </is>
      </c>
      <c r="C15" s="25" t="inlineStr">
        <is>
          <t>Key outputs</t>
        </is>
      </c>
    </row>
    <row r="16" ht="43.5" customHeight="1" s="54">
      <c r="A16" s="9" t="inlineStr">
        <is>
          <t>SPARK committee (whole group)</t>
        </is>
      </c>
      <c r="B16" s="9" t="inlineStr">
        <is>
          <t>Sets priorities; reviews summaries; recommends direction; ensures transparency and equity focus.</t>
        </is>
      </c>
      <c r="C16" s="9" t="inlineStr">
        <is>
          <t>Portfolio priorities; March overview; recommendations</t>
        </is>
      </c>
    </row>
    <row r="17" ht="67" customHeight="1" s="54">
      <c r="A17" s="76" t="inlineStr">
        <is>
          <t xml:space="preserve">Program Review Team </t>
        </is>
      </c>
      <c r="B17" s="76" t="inlineStr">
        <is>
          <t>Owns process/tools: intake, triage, evidence pack, templates, portfolio comparatives; supports consistent annual updates.</t>
        </is>
      </c>
      <c r="C17" s="76" t="inlineStr">
        <is>
          <t>Workbooks/tools; trackers; evidence framework; annual summaries</t>
        </is>
      </c>
    </row>
    <row r="18" ht="43.5" customHeight="1" s="54">
      <c r="A18" s="9" t="inlineStr">
        <is>
          <t>Concept candidate subgroups (Gifted / Arts, etc.)</t>
        </is>
      </c>
      <c r="B18" s="9" t="inlineStr">
        <is>
          <t>Explore a specific concept; collect baseline and benchmark evidence; develop option set; recommend pathway.</t>
        </is>
      </c>
      <c r="C18" s="9" t="inlineStr">
        <is>
          <t>Concept Study Brief; benchmark log; option trade-offs; recommendation</t>
        </is>
      </c>
    </row>
    <row r="19" ht="43.5" customHeight="1" s="54">
      <c r="A19" s="76" t="inlineStr">
        <is>
          <t>District sponsor/owner (dept lead)</t>
        </is>
      </c>
      <c r="B19" s="76" t="inlineStr">
        <is>
          <t>Accountable for design, feasibility inputs (staffing/budget/facilities), and implementation plan if proceeding.</t>
        </is>
      </c>
      <c r="C19" s="76" t="inlineStr">
        <is>
          <t>Feasibility study; staffing/budget inputs; implementation plan drafts</t>
        </is>
      </c>
    </row>
    <row r="20" ht="29" customHeight="1" s="54">
      <c r="A20" s="9" t="inlineStr">
        <is>
          <t>Finance/HR/Facilities/Transportation</t>
        </is>
      </c>
      <c r="B20" s="9" t="inlineStr">
        <is>
          <t>Provide constraint checks and feasibility estimates (resource study).</t>
        </is>
      </c>
      <c r="C20" s="9" t="inlineStr">
        <is>
          <t>Cost/FTE/facilities/transport estimates</t>
        </is>
      </c>
    </row>
    <row r="21" ht="43.5" customHeight="1" s="54">
      <c r="A21" s="76" t="inlineStr">
        <is>
          <t>Governing Board</t>
        </is>
      </c>
      <c r="B21" s="76" t="inlineStr">
        <is>
          <t>May direct studies; receives updates; ultimately approves major structural changes per governance.</t>
        </is>
      </c>
      <c r="C21" s="76" t="inlineStr">
        <is>
          <t>Charge/requests; board feedback; approvals as applicable</t>
        </is>
      </c>
    </row>
    <row r="22" ht="29" customHeight="1" s="54">
      <c r="A22" s="9" t="inlineStr">
        <is>
          <t>Community / families / staff</t>
        </is>
      </c>
      <c r="B22" s="9" t="inlineStr">
        <is>
          <t>Provide input; surface needs; validate access barriers and support/resistance.</t>
        </is>
      </c>
      <c r="C22" s="9" t="inlineStr">
        <is>
          <t>Survey/feedback artifacts; participation insights</t>
        </is>
      </c>
    </row>
    <row r="24" ht="23.5" customHeight="1" s="54"/>
    <row r="25" ht="29" customHeight="1" s="54">
      <c r="A25" s="62" t="inlineStr">
        <is>
          <t>3) Handoff: when a concept study becomes a formal proposal</t>
        </is>
      </c>
    </row>
    <row r="26" ht="29" customHeight="1" s="54">
      <c r="A26" s="71" t="inlineStr">
        <is>
          <t>If a concept is recommended to proceed, may convert it into the Intake Form + Rubric-based Full Review by producing:</t>
        </is>
      </c>
    </row>
    <row r="27" ht="29" customHeight="1" s="54">
      <c r="A27" s="69" t="inlineStr">
        <is>
          <t>- A named program owner/sponsor with authority to resource the work</t>
        </is>
      </c>
    </row>
    <row r="28" ht="29" customHeight="1" s="54">
      <c r="A28" s="69" t="inlineStr">
        <is>
          <t>- A clarified model choice (one selected option) and the fundamental / key elements</t>
        </is>
      </c>
    </row>
    <row r="29" ht="29" customHeight="1" s="54">
      <c r="A29" s="69" t="inlineStr">
        <is>
          <t>- A preliminary resource plan (staffing, facilities, budget) with key assumptions</t>
        </is>
      </c>
    </row>
    <row r="30" ht="29" customHeight="1" s="54">
      <c r="A30" s="69" t="inlineStr">
        <is>
          <t>- A draft evaluation plan (success metrics, benchmarks, review cadence)</t>
        </is>
      </c>
    </row>
    <row r="31" ht="25" customHeight="1" s="54">
      <c r="A31" s="69" t="inlineStr">
        <is>
          <t>- A documented access and equity design (who benefits, barriers, etc.)</t>
        </is>
      </c>
    </row>
    <row r="32" ht="29.5" customHeight="1" s="54">
      <c r="A32" s="69" t="inlineStr">
        <is>
          <t>- A communications/stakeholder engagement plan</t>
        </is>
      </c>
      <c r="D32" s="71" t="n"/>
    </row>
    <row r="33" ht="19" customHeight="1" s="54">
      <c r="A33" s="69" t="n"/>
      <c r="B33" s="71" t="n"/>
      <c r="C33" s="71" t="n"/>
      <c r="D33" s="71" t="n"/>
      <c r="E33" s="71" t="n"/>
    </row>
    <row r="34">
      <c r="A34" s="33" t="n"/>
    </row>
    <row r="35">
      <c r="A35" s="41" t="inlineStr">
        <is>
          <t>4) Standard response 'tools' (supporting consistent handling of emails/ideas)</t>
        </is>
      </c>
    </row>
    <row r="36">
      <c r="A36" s="25" t="inlineStr">
        <is>
          <t>Tool / artifact</t>
        </is>
      </c>
      <c r="B36" s="25" t="inlineStr">
        <is>
          <t>Used for</t>
        </is>
      </c>
      <c r="C36" s="25" t="inlineStr">
        <is>
          <t>Audience</t>
        </is>
      </c>
      <c r="D36" s="25" t="inlineStr">
        <is>
          <t>Owner</t>
        </is>
      </c>
      <c r="E36" s="25" t="inlineStr">
        <is>
          <t>Notes</t>
        </is>
      </c>
    </row>
    <row r="37" ht="43.5" customHeight="1" s="54">
      <c r="A37" s="95" t="inlineStr">
        <is>
          <t>Program Directory / Inventory (public)</t>
        </is>
      </c>
      <c r="B37" s="95" t="inlineStr">
        <is>
          <t>Helps submitter see what already exists; reduces duplication; provides contact(s) for existing programs</t>
        </is>
      </c>
      <c r="C37" s="95" t="inlineStr">
        <is>
          <t>All staff/community/board</t>
        </is>
      </c>
      <c r="D37" s="95" t="inlineStr">
        <is>
          <t>SPARK process owner + Comms</t>
        </is>
      </c>
      <c r="E37" s="95" t="inlineStr">
        <is>
          <t>Could include program category, grades, entry model, sites, and program sponsor contact</t>
        </is>
      </c>
    </row>
    <row r="38" ht="47" customHeight="1" s="54">
      <c r="A38" s="94" t="inlineStr">
        <is>
          <t>Portfolio Priorities (from Landscape Assessment)</t>
        </is>
      </c>
      <c r="B38" s="94" t="inlineStr">
        <is>
          <t>Signals where SPARK may be actively exploring / seeking proposals; helps triage and manage capacity</t>
        </is>
      </c>
      <c r="C38" s="94" t="inlineStr">
        <is>
          <t>All</t>
        </is>
      </c>
      <c r="D38" s="94" t="inlineStr">
        <is>
          <t>SPARK committee</t>
        </is>
      </c>
      <c r="E38" s="94" t="inlineStr">
        <is>
          <t>Updated annually; may share a ‘what we’re looking for’ summary</t>
        </is>
      </c>
    </row>
    <row r="39" ht="29" customHeight="1" s="54">
      <c r="A39" s="95" t="inlineStr">
        <is>
          <t>Idea Submission (Light) form</t>
        </is>
      </c>
      <c r="B39" s="95" t="inlineStr">
        <is>
          <t>Lightweight capture of ideas; feeds Idea Log</t>
        </is>
      </c>
      <c r="C39" s="95" t="inlineStr">
        <is>
          <t>All submitters</t>
        </is>
      </c>
      <c r="D39" s="95" t="inlineStr">
        <is>
          <t>Program Review team</t>
        </is>
      </c>
      <c r="E39" s="95" t="inlineStr">
        <is>
          <t>May use for informal ideas; SPARK can assist if needed</t>
        </is>
      </c>
    </row>
    <row r="40" ht="48.5" customHeight="1" s="54">
      <c r="A40" s="94" t="inlineStr">
        <is>
          <t>Idea Log + Heatmap dashboard</t>
        </is>
      </c>
      <c r="B40" s="94" t="inlineStr">
        <is>
          <t>Shows where ideas cluster + status; supports process and transparency internally</t>
        </is>
      </c>
      <c r="C40" s="94" t="inlineStr">
        <is>
          <t>SPARK leadership + Program Review team</t>
        </is>
      </c>
      <c r="D40" s="94" t="inlineStr">
        <is>
          <t>Program Review team</t>
        </is>
      </c>
      <c r="E40" s="94" t="inlineStr">
        <is>
          <t>Internal; optionally publish a simplified view for broader audience?</t>
        </is>
      </c>
    </row>
    <row r="41" ht="43.5" customHeight="1" s="54">
      <c r="A41" s="95" t="inlineStr">
        <is>
          <t>Full Intake / Proposal packet</t>
        </is>
      </c>
      <c r="B41" s="95" t="inlineStr">
        <is>
          <t>Used when proceeding to formal rubric-based review</t>
        </is>
      </c>
      <c r="C41" s="95" t="inlineStr">
        <is>
          <t>Sponsors/Program owners</t>
        </is>
      </c>
      <c r="D41" s="95" t="inlineStr">
        <is>
          <t>Program Review team + sponsor</t>
        </is>
      </c>
      <c r="E41" s="95" t="inlineStr">
        <is>
          <t>SPARK-assisted completion if submitter is not a sponsor or otherwise requests assistance</t>
        </is>
      </c>
    </row>
    <row r="42" ht="29" customHeight="1" s="54">
      <c r="A42" s="94" t="inlineStr">
        <is>
          <t>Triage Tracker</t>
        </is>
      </c>
      <c r="B42" s="94" t="inlineStr">
        <is>
          <t>Routes ideas: decline/defer/more info/proceed; documents reasoning</t>
        </is>
      </c>
      <c r="C42" s="94" t="inlineStr">
        <is>
          <t>Program Review team + SPARK leadership</t>
        </is>
      </c>
      <c r="D42" s="94" t="inlineStr">
        <is>
          <t>Program Review team</t>
        </is>
      </c>
      <c r="E42" s="94" t="inlineStr">
        <is>
          <t>May set up periodic triage windows to manage workload</t>
        </is>
      </c>
    </row>
  </sheetData>
  <mergeCells count="9">
    <mergeCell ref="A28:C28"/>
    <mergeCell ref="A32:C32"/>
    <mergeCell ref="A31:C31"/>
    <mergeCell ref="A1:F1"/>
    <mergeCell ref="A27:C27"/>
    <mergeCell ref="D32:E32"/>
    <mergeCell ref="A30:C30"/>
    <mergeCell ref="A29:C29"/>
    <mergeCell ref="A26:C26"/>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3"/>
  <sheetViews>
    <sheetView zoomScale="70" zoomScaleNormal="70" workbookViewId="0">
      <pane xSplit="1" ySplit="1" topLeftCell="B2" activePane="bottomRight" state="frozen"/>
      <selection pane="topRight" activeCell="B1" sqref="B1"/>
      <selection pane="bottomLeft" activeCell="A2" sqref="A2"/>
      <selection pane="bottomRight" activeCell="B4" sqref="B4"/>
    </sheetView>
  </sheetViews>
  <sheetFormatPr baseColWidth="8" defaultRowHeight="14.5"/>
  <cols>
    <col width="12" customWidth="1" style="54" min="1" max="1"/>
    <col width="14.90625" customWidth="1" style="54" min="2" max="2"/>
    <col width="22" customWidth="1" style="54" min="3" max="3"/>
    <col width="44" customWidth="1" style="54" min="4" max="4"/>
    <col width="22" customWidth="1" style="54" min="5" max="5"/>
    <col width="44" customWidth="1" style="54" min="6" max="6"/>
    <col width="32" customWidth="1" style="54" min="7" max="7"/>
    <col width="26" customWidth="1" style="54" min="8" max="8"/>
    <col width="28" customWidth="1" style="54" min="9" max="9"/>
  </cols>
  <sheetData>
    <row r="1" ht="16" customHeight="1" s="54">
      <c r="A1" s="72" t="inlineStr">
        <is>
          <t>(Brainstorm) Real-world intake &amp; exploration use cases (examples mapped to entry channels)</t>
        </is>
      </c>
    </row>
    <row r="3">
      <c r="A3" s="25" t="inlineStr">
        <is>
          <t>Use case ID</t>
        </is>
      </c>
      <c r="B3" s="39" t="inlineStr">
        <is>
          <t>Entry channel ID</t>
        </is>
      </c>
      <c r="C3" s="25" t="inlineStr">
        <is>
          <t>Entry channel</t>
        </is>
      </c>
      <c r="D3" s="36" t="inlineStr">
        <is>
          <t>Example scenario / trigger</t>
        </is>
      </c>
      <c r="E3" s="25" t="inlineStr">
        <is>
          <t>First contact point</t>
        </is>
      </c>
      <c r="F3" s="25" t="inlineStr">
        <is>
          <t>Recommended SPARK response &amp; next step</t>
        </is>
      </c>
      <c r="G3" s="25" t="inlineStr">
        <is>
          <t>Tools / artifacts to reference</t>
        </is>
      </c>
      <c r="H3" s="25" t="inlineStr">
        <is>
          <t>Data captured (minimum)</t>
        </is>
      </c>
      <c r="I3" s="25" t="inlineStr">
        <is>
          <t>Potential gaps surfaced</t>
        </is>
      </c>
    </row>
    <row r="4" ht="72.5" customHeight="1" s="54">
      <c r="A4" s="95" t="inlineStr">
        <is>
          <t>UC-01</t>
        </is>
      </c>
      <c r="B4" s="95" t="inlineStr">
        <is>
          <t>EC-04</t>
        </is>
      </c>
      <c r="C4" s="95" t="inlineStr">
        <is>
          <t>School/site proposal</t>
        </is>
      </c>
      <c r="D4" s="95" t="inlineStr">
        <is>
          <t>Assistant Principal emails Ms. Mitchell with a specialized program idea for their middle school (e.g., STEM/leadership/accelerated pathway).</t>
        </is>
      </c>
      <c r="E4" s="95" t="inlineStr">
        <is>
          <t>Email to district leader / SPARK lead</t>
        </is>
      </c>
      <c r="F4" s="95" t="inlineStr">
        <is>
          <t>Reply with encouragement + link to Program Inventory &amp; Portfolio Priorities; ask for 10-min call; request Light Idea Submission form; route to Pre‑Triage screen.</t>
        </is>
      </c>
      <c r="G4" s="95" t="inlineStr">
        <is>
          <t>Program Inventory (directory); Portfolio Priorities; Light Idea Submission form; Contact list of program sponsors</t>
        </is>
      </c>
      <c r="H4" s="95" t="inlineStr">
        <is>
          <t>Idea summary, target students, site/grades, differentiation vs existing, sponsor/principal support, urgency</t>
        </is>
      </c>
      <c r="I4" s="95" t="inlineStr">
        <is>
          <t>Need a public-facing SPARK portal + clear sponsor list; ensure inventory is current</t>
        </is>
      </c>
    </row>
    <row r="5" ht="58" customHeight="1" s="54">
      <c r="A5" s="94" t="inlineStr">
        <is>
          <t>UC-02</t>
        </is>
      </c>
      <c r="B5" s="94" t="inlineStr">
        <is>
          <t>EC-03</t>
        </is>
      </c>
      <c r="C5" s="94" t="inlineStr">
        <is>
          <t>Community interest / petition</t>
        </is>
      </c>
      <c r="D5" s="94" t="inlineStr">
        <is>
          <t>Parent group requests an Arts magnet option; organizes community meeting and sends proposal packet.</t>
        </is>
      </c>
      <c r="E5" s="94" t="inlineStr">
        <is>
          <t>Community relations inbox / board correspondence</t>
        </is>
      </c>
      <c r="F5" s="94" t="inlineStr">
        <is>
          <t>Acknowledge; log idea; offer listening session; ask for Light Idea Submission; route to Concept Study if scale is districtwide; ensure equity/access considerations early.</t>
        </is>
      </c>
      <c r="G5" s="94" t="inlineStr">
        <is>
          <t>Light Idea form; Stakeholder input protocol; Concept Study Brief template</t>
        </is>
      </c>
      <c r="H5" s="94" t="inlineStr">
        <is>
          <t>Problem statement, desired model, evidence of demand, concerns/barriers</t>
        </is>
      </c>
      <c r="I5" s="94" t="inlineStr">
        <is>
          <t>Need clear community input pathway + guardrails to prevent inequity/overrepresentation</t>
        </is>
      </c>
    </row>
    <row r="6" ht="72.5" customHeight="1" s="54">
      <c r="A6" s="95" t="inlineStr">
        <is>
          <t>UC-03</t>
        </is>
      </c>
      <c r="B6" s="95" t="inlineStr">
        <is>
          <t>EC-01</t>
        </is>
      </c>
      <c r="C6" s="95" t="inlineStr">
        <is>
          <t>Board-directed study / feasibility request</t>
        </is>
      </c>
      <c r="D6" s="95" t="inlineStr">
        <is>
          <t>Board requests feasibility of Gifted/Advanced Studies hub due to strategic interest and/or community demand.</t>
        </is>
      </c>
      <c r="E6" s="95" t="inlineStr">
        <is>
          <t>Board agenda item / directive</t>
        </is>
      </c>
      <c r="F6" s="95" t="inlineStr">
        <is>
          <t>Open Concept Study workstream; define charge/scope; identify constraints (facilities, staffing, transport); deliver Concept Study Brief; if recommend proceed, convert to Full Proposal review using standard rubric.</t>
        </is>
      </c>
      <c r="G6" s="95" t="inlineStr">
        <is>
          <t>Commissioned charge (E48); Concept Study Brief template; Feasibility envelope (E49); New Program Proposal Rubric</t>
        </is>
      </c>
      <c r="H6" s="95" t="inlineStr">
        <is>
          <t>Charge, decision timeline, constraints, option set</t>
        </is>
      </c>
      <c r="I6" s="95" t="inlineStr">
        <is>
          <t>Need explicit handoff rule from Concept Study to proposal review</t>
        </is>
      </c>
    </row>
    <row r="7" ht="58" customHeight="1" s="54">
      <c r="A7" s="94" t="inlineStr">
        <is>
          <t>UC-04</t>
        </is>
      </c>
      <c r="B7" s="94" t="inlineStr">
        <is>
          <t>EC-07</t>
        </is>
      </c>
      <c r="C7" s="94" t="inlineStr">
        <is>
          <t>SPARK-identified gap (Landscape Assessment)</t>
        </is>
      </c>
      <c r="D7" s="94" t="inlineStr">
        <is>
          <t>Landscape review shows unmet demand for dual language in a geography/grade band; SPARK invites sponsor to explore.</t>
        </is>
      </c>
      <c r="E7" s="94" t="inlineStr">
        <is>
          <t>SPARK portfolio priorities statement</t>
        </is>
      </c>
      <c r="F7" s="94" t="inlineStr">
        <is>
          <t>Initiate Concept Study; recruit sponsor; use benchmarks + mobility/choice signals; define 2–3 options; proceed to proposal intake if viable.</t>
        </is>
      </c>
      <c r="G7" s="94" t="inlineStr">
        <is>
          <t>Landscape Brief; Mobility/choice signals; Benchmark matrix; Concept Study Brief</t>
        </is>
      </c>
      <c r="H7" s="94" t="inlineStr">
        <is>
          <t>Opportunity area tag, target segment, rationale</t>
        </is>
      </c>
      <c r="I7" s="94" t="inlineStr">
        <is>
          <t>Need a cadence + published priorities so staff/community understand why certain ideas advance</t>
        </is>
      </c>
    </row>
    <row r="8" ht="43.5" customHeight="1" s="54">
      <c r="A8" s="95" t="inlineStr">
        <is>
          <t>UC-05</t>
        </is>
      </c>
      <c r="B8" s="95" t="inlineStr">
        <is>
          <t>EC-05</t>
        </is>
      </c>
      <c r="C8" s="95" t="inlineStr">
        <is>
          <t>Grant/partner-driven opportunity</t>
        </is>
      </c>
      <c r="D8" s="95" t="inlineStr">
        <is>
          <t>University partner offers funding for STEM lab + curriculum, time-limited grant.</t>
        </is>
      </c>
      <c r="E8" s="95" t="inlineStr">
        <is>
          <t>Partner outreach / district grants office</t>
        </is>
      </c>
      <c r="F8" s="95" t="inlineStr">
        <is>
          <t>Fast pre‑triage: check alignment, equity, sustainability beyond grant; if promising, proceed to full review with explicit “post-grant” plan.</t>
        </is>
      </c>
      <c r="G8" s="95" t="inlineStr">
        <is>
          <t>Fast triage checklist; Cost/funding sustainability artifact (E16/E40)</t>
        </is>
      </c>
      <c r="H8" s="95" t="inlineStr">
        <is>
          <t>Grant terms, resourcing, sustainability plan</t>
        </is>
      </c>
      <c r="I8" s="95" t="inlineStr">
        <is>
          <t>Risk of “grant chasing” without long-term plan</t>
        </is>
      </c>
    </row>
    <row r="9" ht="43.5" customHeight="1" s="54">
      <c r="A9" s="94" t="inlineStr">
        <is>
          <t>UC-06</t>
        </is>
      </c>
      <c r="B9" s="94" t="inlineStr">
        <is>
          <t>EC-02</t>
        </is>
      </c>
      <c r="C9" s="94" t="inlineStr">
        <is>
          <t>Leadership-initiated concept</t>
        </is>
      </c>
      <c r="D9" s="94" t="inlineStr">
        <is>
          <t>Cabinet proposes consolidating programs into a hub school due to enrollment shifts and available space (school closure/repurpose).</t>
        </is>
      </c>
      <c r="E9" s="94" t="inlineStr">
        <is>
          <t>Leadership meeting / facilities planning</t>
        </is>
      </c>
      <c r="F9" s="94" t="inlineStr">
        <is>
          <t>Route to Concept Study with facilities utilization data; include transport + equity early; coordinate with program review findings.</t>
        </is>
      </c>
      <c r="G9" s="94" t="inlineStr">
        <is>
          <t>Facilities utilization snapshot; Concept Study Brief; Equity impact check</t>
        </is>
      </c>
      <c r="H9" s="94" t="inlineStr">
        <is>
          <t>Facility constraints, affected communities, program relocation impacts</t>
        </is>
      </c>
      <c r="I9" s="94" t="inlineStr">
        <is>
          <t>Need integration with facilities planning cycle</t>
        </is>
      </c>
    </row>
    <row r="10" ht="58" customHeight="1" s="54">
      <c r="A10" s="95" t="inlineStr">
        <is>
          <t>UC-07</t>
        </is>
      </c>
      <c r="B10" s="95" t="inlineStr">
        <is>
          <t>EC-04</t>
        </is>
      </c>
      <c r="C10" s="95" t="inlineStr">
        <is>
          <t>Teacher-led innovation</t>
        </is>
      </c>
      <c r="D10" s="95" t="inlineStr">
        <is>
          <t>Teacher proposes small elective/pilot (e.g., entrepreneurship) that could scale later.</t>
        </is>
      </c>
      <c r="E10" s="95" t="inlineStr">
        <is>
          <t>Site admin / instructional coach</t>
        </is>
      </c>
      <c r="F10" s="95" t="inlineStr">
        <is>
          <t>Encourage pilot within site decision rights; log in Idea Log; use light evidence plan; schedule review checkpoint to decide scale-up pathway.</t>
        </is>
      </c>
      <c r="G10" s="95" t="inlineStr">
        <is>
          <t>Light Idea form; Pilot evidence plan mini-template</t>
        </is>
      </c>
      <c r="H10" s="95" t="inlineStr">
        <is>
          <t>Pilot goals, metrics, timeline, support needs</t>
        </is>
      </c>
      <c r="I10" s="95" t="inlineStr">
        <is>
          <t>Need clarity on thresholds: when does a pilot become a “signature program” requiring SPARK review?</t>
        </is>
      </c>
    </row>
    <row r="11" ht="58" customHeight="1" s="54">
      <c r="A11" s="94" t="inlineStr">
        <is>
          <t>UC-08</t>
        </is>
      </c>
      <c r="B11" s="94" t="inlineStr">
        <is>
          <t>EC-04</t>
        </is>
      </c>
      <c r="C11" s="94" t="inlineStr">
        <is>
          <t>Program enhancement request</t>
        </is>
      </c>
      <c r="D11" s="94" t="inlineStr">
        <is>
          <t>Existing program lead wants to add an advanced track; might overlap with another program.</t>
        </is>
      </c>
      <c r="E11" s="94" t="inlineStr">
        <is>
          <t>Program sponsor or principal</t>
        </is>
      </c>
      <c r="F11" s="94" t="inlineStr">
        <is>
          <t>Use inventory + sponsor contacts to coordinate; run mini-duplication check; decide whether change is “major redesign” needing proposal review or handled within annual improvement plan.</t>
        </is>
      </c>
      <c r="G11" s="94" t="inlineStr">
        <is>
          <t>Program Inventory + sponsor list; Change classification guide</t>
        </is>
      </c>
      <c r="H11" s="94" t="inlineStr">
        <is>
          <t>Change description, impacted students, resources</t>
        </is>
      </c>
      <c r="I11" s="94" t="inlineStr">
        <is>
          <t>Need a change-classification rubric (minor/major)</t>
        </is>
      </c>
    </row>
    <row r="12" ht="58" customHeight="1" s="54">
      <c r="A12" s="95" t="inlineStr">
        <is>
          <t>UC-09</t>
        </is>
      </c>
      <c r="B12" s="95" t="inlineStr">
        <is>
          <t>EC-07</t>
        </is>
      </c>
      <c r="C12" s="95" t="inlineStr">
        <is>
          <t>Student choice signals</t>
        </is>
      </c>
      <c r="D12" s="95" t="inlineStr">
        <is>
          <t>Exit/entry data shows students leaving a feeder pattern for nearby charter with small class sizes; families cite safety/culture.</t>
        </is>
      </c>
      <c r="E12" s="95" t="inlineStr">
        <is>
          <t>Data team dashboard / enrollment office</t>
        </is>
      </c>
      <c r="F12" s="95" t="inlineStr">
        <is>
          <t>Flag as landscape signal; schedule targeted listening; consider if programmatic or operational response needed (not always a new program).</t>
        </is>
      </c>
      <c r="G12" s="95" t="inlineStr">
        <is>
          <t>Mobility &amp; Choice Signals; Climate/culture data; Opportunity register</t>
        </is>
      </c>
      <c r="H12" s="95" t="inlineStr">
        <is>
          <t>Segmented reason trends, affected cohorts, geography</t>
        </is>
      </c>
      <c r="I12" s="95" t="inlineStr">
        <is>
          <t>Need careful interpretation—avoid over-attributing exits to a single cause</t>
        </is>
      </c>
    </row>
    <row r="13" ht="43.5" customHeight="1" s="54">
      <c r="A13" s="94" t="inlineStr">
        <is>
          <t>UC-10</t>
        </is>
      </c>
      <c r="B13" s="94" t="inlineStr">
        <is>
          <t>EC-07</t>
        </is>
      </c>
      <c r="C13" s="94" t="inlineStr">
        <is>
          <t>External trend prompt</t>
        </is>
      </c>
      <c r="D13" s="94" t="inlineStr">
        <is>
          <t>New state policy or credential trend triggers interest in career pathways; multiple schools ask about it.</t>
        </is>
      </c>
      <c r="E13" s="94" t="inlineStr">
        <is>
          <t>District academic office</t>
        </is>
      </c>
      <c r="F13" s="94" t="inlineStr">
        <is>
          <t>Log trend; include in annual Trend Scan; if aligned, invite concept exploration with sponsor and constraints review.</t>
        </is>
      </c>
      <c r="G13" s="94" t="inlineStr">
        <is>
          <t>Trend Scan log; Benchmark examples; Portfolio priorities</t>
        </is>
      </c>
      <c r="H13" s="94" t="inlineStr">
        <is>
          <t>Trend description, relevance, time horizon</t>
        </is>
      </c>
      <c r="I13" s="94" t="inlineStr">
        <is>
          <t>Need disciplined trend governance to avoid chasing fads</t>
        </is>
      </c>
    </row>
  </sheetData>
  <mergeCells count="1">
    <mergeCell ref="A1:I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19"/>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22" customWidth="1" style="54" min="1" max="1"/>
    <col width="55" customWidth="1" style="54" min="2" max="2"/>
    <col width="12" customWidth="1" style="54" min="3" max="3"/>
    <col width="28" customWidth="1" style="54" min="4" max="4"/>
    <col width="16" customWidth="1" style="54" min="5" max="5"/>
  </cols>
  <sheetData>
    <row r="1" ht="18.65" customHeight="1" s="54">
      <c r="A1" s="56" t="inlineStr">
        <is>
          <t>Lightweight Idea Submission (for staff/community to capture an idea without a full proposal)</t>
        </is>
      </c>
    </row>
    <row r="3">
      <c r="A3" s="62" t="inlineStr">
        <is>
          <t>Purpose</t>
        </is>
      </c>
      <c r="B3" s="55" t="inlineStr">
        <is>
          <t>Capture enough to log the idea, check for overlap with existing programs, and decide whether to invite a full proposal / concept study.</t>
        </is>
      </c>
    </row>
    <row r="5">
      <c r="A5" s="25" t="inlineStr">
        <is>
          <t>Field</t>
        </is>
      </c>
      <c r="B5" s="25" t="inlineStr">
        <is>
          <t>Prompt (simple)</t>
        </is>
      </c>
      <c r="C5" s="25" t="inlineStr">
        <is>
          <t>Required?</t>
        </is>
      </c>
      <c r="D5" s="25" t="inlineStr">
        <is>
          <t>Examples / notes</t>
        </is>
      </c>
      <c r="E5" s="25" t="inlineStr">
        <is>
          <t>Collected by</t>
        </is>
      </c>
    </row>
    <row r="6">
      <c r="A6" s="95" t="inlineStr">
        <is>
          <t>Idea title</t>
        </is>
      </c>
      <c r="B6" s="95" t="inlineStr">
        <is>
          <t>One-sentence name for the idea.</t>
        </is>
      </c>
      <c r="C6" s="95" t="inlineStr">
        <is>
          <t>Yes</t>
        </is>
      </c>
      <c r="D6" s="95" t="n"/>
      <c r="E6" s="95" t="inlineStr">
        <is>
          <t>Submitter</t>
        </is>
      </c>
    </row>
    <row r="7">
      <c r="A7" s="95" t="inlineStr">
        <is>
          <t>Submitter name + role</t>
        </is>
      </c>
      <c r="B7" s="95" t="inlineStr">
        <is>
          <t>Who is proposing / sharing the idea?</t>
        </is>
      </c>
      <c r="C7" s="95" t="inlineStr">
        <is>
          <t>Yes</t>
        </is>
      </c>
      <c r="D7" s="95" t="n"/>
      <c r="E7" s="95" t="inlineStr">
        <is>
          <t>Submitter</t>
        </is>
      </c>
    </row>
    <row r="8">
      <c r="A8" s="95" t="inlineStr">
        <is>
          <t>School/site (if applicable)</t>
        </is>
      </c>
      <c r="B8" s="95" t="inlineStr">
        <is>
          <t>Which school(s) would this affect?</t>
        </is>
      </c>
      <c r="C8" s="95" t="inlineStr">
        <is>
          <t>No</t>
        </is>
      </c>
      <c r="D8" s="95" t="n"/>
      <c r="E8" s="95" t="inlineStr">
        <is>
          <t>Submitter</t>
        </is>
      </c>
    </row>
    <row r="9">
      <c r="A9" s="95" t="inlineStr">
        <is>
          <t>Grade band</t>
        </is>
      </c>
      <c r="B9" s="95" t="inlineStr">
        <is>
          <t>PK–5 / 6–8 / 9–12 / K–8 / Districtwide</t>
        </is>
      </c>
      <c r="C9" s="95" t="inlineStr">
        <is>
          <t>Yes</t>
        </is>
      </c>
      <c r="D9" s="95" t="n"/>
      <c r="E9" s="95" t="inlineStr">
        <is>
          <t>Submitter</t>
        </is>
      </c>
    </row>
    <row r="10" ht="29" customHeight="1" s="54">
      <c r="A10" s="95" t="inlineStr">
        <is>
          <t>Program category / theme</t>
        </is>
      </c>
      <c r="B10" s="95" t="inlineStr">
        <is>
          <t>e.g., STEM, Arts, Gifted/Advanced, Language, College/Career, SEL, Other</t>
        </is>
      </c>
      <c r="C10" s="95" t="inlineStr">
        <is>
          <t>Yes</t>
        </is>
      </c>
      <c r="D10" s="95" t="n"/>
      <c r="E10" s="95" t="inlineStr">
        <is>
          <t>Submitter</t>
        </is>
      </c>
    </row>
    <row r="11">
      <c r="A11" s="95" t="inlineStr">
        <is>
          <t>Problem / need</t>
        </is>
      </c>
      <c r="B11" s="95" t="inlineStr">
        <is>
          <t>What student/community need would this address?</t>
        </is>
      </c>
      <c r="C11" s="95" t="inlineStr">
        <is>
          <t>Yes</t>
        </is>
      </c>
      <c r="D11" s="95" t="n"/>
      <c r="E11" s="95" t="inlineStr">
        <is>
          <t>Submitter</t>
        </is>
      </c>
    </row>
    <row r="12" ht="29" customHeight="1" s="54">
      <c r="A12" s="95" t="inlineStr">
        <is>
          <t>Target students + access</t>
        </is>
      </c>
      <c r="B12" s="95" t="inlineStr">
        <is>
          <t>Who would participate and how would access work? (open, application, lottery, etc.)</t>
        </is>
      </c>
      <c r="C12" s="95" t="inlineStr">
        <is>
          <t>Yes (short)</t>
        </is>
      </c>
      <c r="D12" s="95" t="n"/>
      <c r="E12" s="95" t="inlineStr">
        <is>
          <t>Submitter</t>
        </is>
      </c>
    </row>
    <row r="13" ht="29" customHeight="1" s="54">
      <c r="A13" s="95" t="inlineStr">
        <is>
          <t>Differentiation / overlap check</t>
        </is>
      </c>
      <c r="B13" s="95" t="inlineStr">
        <is>
          <t>What is similar to what we already offer? What is different?</t>
        </is>
      </c>
      <c r="C13" s="95" t="inlineStr">
        <is>
          <t>Yes (short)</t>
        </is>
      </c>
      <c r="D13" s="95" t="inlineStr">
        <is>
          <t>SPARK will verify against inventory</t>
        </is>
      </c>
      <c r="E13" s="95" t="inlineStr">
        <is>
          <t>Submitter</t>
        </is>
      </c>
    </row>
    <row r="14" ht="29" customHeight="1" s="54">
      <c r="A14" s="95" t="inlineStr">
        <is>
          <t>Evidence / inspiration (optional)</t>
        </is>
      </c>
      <c r="B14" s="95" t="inlineStr">
        <is>
          <t>Link to 1–2 examples, research, or peer schools.</t>
        </is>
      </c>
      <c r="C14" s="95" t="inlineStr">
        <is>
          <t>No</t>
        </is>
      </c>
      <c r="D14" s="95" t="n"/>
      <c r="E14" s="95" t="inlineStr">
        <is>
          <t>Submitter</t>
        </is>
      </c>
    </row>
    <row r="15" ht="29" customHeight="1" s="54">
      <c r="A15" s="95" t="inlineStr">
        <is>
          <t>Rough resource implications</t>
        </is>
      </c>
      <c r="B15" s="95" t="inlineStr">
        <is>
          <t>Any obvious needs? (staffing, schedule, facilities, transport, cost)</t>
        </is>
      </c>
      <c r="C15" s="95" t="inlineStr">
        <is>
          <t>No</t>
        </is>
      </c>
      <c r="D15" s="95" t="n"/>
      <c r="E15" s="95" t="inlineStr">
        <is>
          <t>Submitter</t>
        </is>
      </c>
    </row>
    <row r="16">
      <c r="A16" s="95" t="inlineStr">
        <is>
          <t>Urgency / timing</t>
        </is>
      </c>
      <c r="B16" s="95" t="inlineStr">
        <is>
          <t>Is there a decision deadline? Why now?</t>
        </is>
      </c>
      <c r="C16" s="95" t="inlineStr">
        <is>
          <t>No</t>
        </is>
      </c>
      <c r="D16" s="95" t="n"/>
      <c r="E16" s="95" t="inlineStr">
        <is>
          <t>Submitter</t>
        </is>
      </c>
    </row>
    <row r="17" ht="29" customHeight="1" s="54">
      <c r="A17" s="95" t="inlineStr">
        <is>
          <t>Preferred next step</t>
        </is>
      </c>
      <c r="B17" s="95" t="inlineStr">
        <is>
          <t>Just share / explore informally / request concept study / request formal review</t>
        </is>
      </c>
      <c r="C17" s="95" t="inlineStr">
        <is>
          <t>No</t>
        </is>
      </c>
      <c r="D17" s="95" t="n"/>
      <c r="E17" s="95" t="inlineStr">
        <is>
          <t>Submitter</t>
        </is>
      </c>
    </row>
    <row r="19">
      <c r="A19" s="73" t="inlineStr">
        <is>
          <t>Next: SPARK logs the idea in the Idea Log, checks overlap in the Program Inventory, and routes it to Pre‑Triage / Concept Study / or requests a Full Proposal (using Ms. Mitchell rubric).</t>
        </is>
      </c>
    </row>
  </sheetData>
  <mergeCells count="3">
    <mergeCell ref="A1:E1"/>
    <mergeCell ref="B3:E3"/>
    <mergeCell ref="A19:E19"/>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88"/>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24" customWidth="1" style="54" min="1" max="1"/>
    <col width="60" customWidth="1" style="54" min="2" max="2"/>
    <col width="12" customWidth="1" style="54" min="3" max="3"/>
    <col width="40" customWidth="1" style="54" min="4" max="4"/>
    <col width="22" customWidth="1" style="54" min="5" max="5"/>
  </cols>
  <sheetData>
    <row r="1" ht="24" customHeight="1" s="54">
      <c r="A1" s="56" t="inlineStr">
        <is>
          <t>Full Intake / Proposal Form (used after an idea is promoted from Light Idea Submission)</t>
        </is>
      </c>
    </row>
    <row r="3">
      <c r="A3" s="62" t="inlineStr">
        <is>
          <t>When to use</t>
        </is>
      </c>
      <c r="B3" s="55" t="inlineStr">
        <is>
          <t>Use this full intake once a sponsor/owner is identified and SPARK decides the idea is ready for formal review (rubric-based). For early-stage ideas, use the “Idea Submission (Light)” form and log it in the Idea Log.</t>
        </is>
      </c>
    </row>
    <row r="5" ht="43.5" customHeight="1" s="54">
      <c r="A5" s="25" t="inlineStr">
        <is>
          <t>Field</t>
        </is>
      </c>
      <c r="B5" s="25" t="inlineStr">
        <is>
          <t>Prompt / what we need</t>
        </is>
      </c>
      <c r="C5" s="25" t="inlineStr">
        <is>
          <t>Required?</t>
        </is>
      </c>
      <c r="D5" s="25" t="inlineStr">
        <is>
          <t>Suggested evidence / attachments</t>
        </is>
      </c>
      <c r="E5" s="25" t="inlineStr">
        <is>
          <t>Links / location</t>
        </is>
      </c>
    </row>
    <row r="6" ht="29" customHeight="1" s="54">
      <c r="A6" s="95" t="inlineStr">
        <is>
          <t>Program name</t>
        </is>
      </c>
      <c r="B6" s="95" t="inlineStr">
        <is>
          <t>Working name of the program (and acronym if any).</t>
        </is>
      </c>
      <c r="C6" s="95" t="inlineStr">
        <is>
          <t>Yes</t>
        </is>
      </c>
      <c r="D6" s="95" t="inlineStr">
        <is>
          <t>E01 Program overview / charter</t>
        </is>
      </c>
      <c r="E6" s="95" t="n"/>
    </row>
    <row r="7" ht="29" customHeight="1" s="54">
      <c r="A7" s="95" t="inlineStr">
        <is>
          <t>Program type</t>
        </is>
      </c>
      <c r="B7" s="95" t="inlineStr">
        <is>
          <t>New / Pilot / Expansion / Replication / Major redesign.</t>
        </is>
      </c>
      <c r="C7" s="95" t="inlineStr">
        <is>
          <t>Yes</t>
        </is>
      </c>
      <c r="D7" s="95" t="n"/>
      <c r="E7" s="95" t="n"/>
    </row>
    <row r="8" ht="29" customHeight="1" s="54">
      <c r="A8" s="95" t="inlineStr">
        <is>
          <t>Proposed sites / grades</t>
        </is>
      </c>
      <c r="B8" s="95" t="inlineStr">
        <is>
          <t>Which schools and grade levels; expected phase-in.</t>
        </is>
      </c>
      <c r="C8" s="95" t="inlineStr">
        <is>
          <t>Yes</t>
        </is>
      </c>
      <c r="D8" s="95" t="inlineStr">
        <is>
          <t>E29 Implementation plan &amp; timeline</t>
        </is>
      </c>
      <c r="E8" s="95" t="n"/>
    </row>
    <row r="9" ht="29" customHeight="1" s="54">
      <c r="A9" s="95" t="inlineStr">
        <is>
          <t>Origin channel / trigger</t>
        </is>
      </c>
      <c r="B9" s="95" t="inlineStr">
        <is>
          <t>How did this enter SPARK? (Board-directed study, Superintendent/leadership initiative, community request, school/site proposal, grant/partner opportunity, SPARK landscape gap, etc.)</t>
        </is>
      </c>
      <c r="C9" s="95" t="inlineStr">
        <is>
          <t>Yes</t>
        </is>
      </c>
      <c r="D9" s="95" t="inlineStr">
        <is>
          <t>Charge email/board agenda item (if applicable)</t>
        </is>
      </c>
      <c r="E9" s="95" t="n"/>
    </row>
    <row r="10" ht="58" customHeight="1" s="54">
      <c r="A10" s="95" t="inlineStr">
        <is>
          <t>Mandate / decision timeline</t>
        </is>
      </c>
      <c r="B10" s="95" t="inlineStr">
        <is>
          <t>Is a study required (e.g., Board request)? What is the desired decision date and key milestones (e.g., March SPARK update, Board study session)?</t>
        </is>
      </c>
      <c r="C10" s="95" t="inlineStr">
        <is>
          <t>Yes (short)</t>
        </is>
      </c>
      <c r="D10" s="95" t="n"/>
      <c r="E10" s="95" t="n"/>
    </row>
    <row r="11" ht="29" customHeight="1" s="54">
      <c r="A11" s="95" t="inlineStr">
        <is>
          <t>Sponsoring leader / department</t>
        </is>
      </c>
      <c r="B11" s="95" t="inlineStr">
        <is>
          <t>Who owns implementation and budget.</t>
        </is>
      </c>
      <c r="C11" s="95" t="inlineStr">
        <is>
          <t>Yes</t>
        </is>
      </c>
      <c r="D11" s="95" t="n"/>
      <c r="E11" s="95" t="n"/>
    </row>
    <row r="12" ht="29" customHeight="1" s="54">
      <c r="A12" s="95" t="inlineStr">
        <is>
          <t>Problem / need statement</t>
        </is>
      </c>
      <c r="B12" s="95" t="inlineStr">
        <is>
          <t>What unmet student/community need does this address? Use local data if possible.</t>
        </is>
      </c>
      <c r="C12" s="95" t="inlineStr">
        <is>
          <t>Yes</t>
        </is>
      </c>
      <c r="D12" s="95" t="inlineStr">
        <is>
          <t>E04 Needs assessment; E08 Demand evidence</t>
        </is>
      </c>
      <c r="E12" s="95" t="n"/>
    </row>
    <row r="13" ht="29" customHeight="1" s="54">
      <c r="A13" s="95" t="inlineStr">
        <is>
          <t>Target students &amp; access design</t>
        </is>
      </c>
      <c r="B13" s="95" t="inlineStr">
        <is>
          <t>Eligibility, selection (if any), transportation, recruitment/outreach, barriers mitigation.</t>
        </is>
      </c>
      <c r="C13" s="95" t="inlineStr">
        <is>
          <t>Yes</t>
        </is>
      </c>
      <c r="D13" s="95" t="inlineStr">
        <is>
          <t>E12 Access equity profile; E13 EL/SPED supports plan</t>
        </is>
      </c>
      <c r="E13" s="95" t="n"/>
    </row>
    <row r="14" ht="43.5" customHeight="1" s="54">
      <c r="A14" s="95" t="inlineStr">
        <is>
          <t>Program model summary</t>
        </is>
      </c>
      <c r="B14" s="95" t="inlineStr">
        <is>
          <t>Core components and non-negotiables; daily/weekly student experience.</t>
        </is>
      </c>
      <c r="C14" s="95" t="inlineStr">
        <is>
          <t>Yes</t>
        </is>
      </c>
      <c r="D14" s="95" t="inlineStr">
        <is>
          <t>E01 Program overview; E03 Standards alignment map</t>
        </is>
      </c>
      <c r="E14" s="95" t="n"/>
    </row>
    <row r="15" ht="29" customHeight="1" s="54">
      <c r="A15" s="95" t="inlineStr">
        <is>
          <t>Differentiation vs existing offerings</t>
        </is>
      </c>
      <c r="B15" s="95" t="inlineStr">
        <is>
          <t>What already exists? What is different? Why add this vs enhance existing programs?</t>
        </is>
      </c>
      <c r="C15" s="95" t="inlineStr">
        <is>
          <t>Yes</t>
        </is>
      </c>
      <c r="D15" s="95" t="inlineStr">
        <is>
          <t>E06 Program landscape / duplication analysis</t>
        </is>
      </c>
      <c r="E15" s="95" t="n"/>
    </row>
    <row r="16" ht="29" customHeight="1" s="54">
      <c r="A16" s="95" t="inlineStr">
        <is>
          <t>Portfolio fit / opportunity area alignment</t>
        </is>
      </c>
      <c r="B16" s="95" t="inlineStr">
        <is>
          <t>Which portfolio priority/opportunity area does this proposal address? Reference landscape assessment signals when available (demand/capacity, equity gaps, student exits/choice signals). If not aligned, explain why it should still be prioritized.</t>
        </is>
      </c>
      <c r="C16" s="95" t="inlineStr">
        <is>
          <t>Yes (short)</t>
        </is>
      </c>
      <c r="D16" s="95" t="inlineStr">
        <is>
          <t>E06 Landscape/duplication analysis; E08 Demand; E12 Equity profile; E43 Student mobility (entries/exits) (if available)</t>
        </is>
      </c>
      <c r="E16" s="95" t="n"/>
    </row>
    <row r="17" ht="29" customHeight="1" s="54">
      <c r="A17" s="95" t="inlineStr">
        <is>
          <t>Benchmark/trend context (optional)</t>
        </is>
      </c>
      <c r="B17" s="95" t="inlineStr">
        <is>
          <t>Provide 1–3 relevant peer/exemplar examples and/or emerging trend signals that inform the design (not as sole justification). Include links.</t>
        </is>
      </c>
      <c r="C17" s="95" t="inlineStr">
        <is>
          <t>Optional</t>
        </is>
      </c>
      <c r="D17" s="95" t="inlineStr">
        <is>
          <t>E44 Peer benchmark matrix (if available); E07 research base; E45 trend scan (context)</t>
        </is>
      </c>
      <c r="E17" s="95" t="n"/>
    </row>
    <row r="18" ht="29" customHeight="1" s="54">
      <c r="A18" s="95" t="inlineStr">
        <is>
          <t>Evidence base / research</t>
        </is>
      </c>
      <c r="B18" s="95" t="inlineStr">
        <is>
          <t>What evidence supports this approach? Include citations and conditions for success.</t>
        </is>
      </c>
      <c r="C18" s="95" t="inlineStr">
        <is>
          <t>Should</t>
        </is>
      </c>
      <c r="D18" s="95" t="inlineStr">
        <is>
          <t>E07 Research base; E11 Case studies/testimonials</t>
        </is>
      </c>
      <c r="E18" s="95" t="n"/>
    </row>
    <row r="19" ht="29" customHeight="1" s="54">
      <c r="A19" s="95" t="inlineStr">
        <is>
          <t>Intended outcomes &amp; success metrics</t>
        </is>
      </c>
      <c r="B19" s="95" t="inlineStr">
        <is>
          <t>Student outcomes + implementation outputs; define 3–8 core metrics.</t>
        </is>
      </c>
      <c r="C19" s="95" t="inlineStr">
        <is>
          <t>Yes</t>
        </is>
      </c>
      <c r="D19" s="95" t="inlineStr">
        <is>
          <t>E05 Logic model; E10 KPI definition sheet</t>
        </is>
      </c>
      <c r="E19" s="95" t="n"/>
    </row>
    <row r="20" ht="43.5" customHeight="1" s="54">
      <c r="A20" s="95" t="inlineStr">
        <is>
          <t>Implementation plan</t>
        </is>
      </c>
      <c r="B20" s="95" t="inlineStr">
        <is>
          <t>Timeline, roles, staffing model, training plan, facilities/tech needs.</t>
        </is>
      </c>
      <c r="C20" s="95" t="inlineStr">
        <is>
          <t>Yes</t>
        </is>
      </c>
      <c r="D20" s="95" t="inlineStr">
        <is>
          <t>E19 Staffing model; E20 PD plan; E18 Facilities/tech inventory; E29 Implementation plan</t>
        </is>
      </c>
      <c r="E20" s="95" t="n"/>
    </row>
    <row r="21" ht="29" customHeight="1" s="54">
      <c r="A21" s="95" t="inlineStr">
        <is>
          <t>Cost estimate &amp; funding plan</t>
        </is>
      </c>
      <c r="B21" s="95" t="inlineStr">
        <is>
          <t>Startup and ongoing costs; funding sources; sustainability assumptions.</t>
        </is>
      </c>
      <c r="C21" s="95" t="inlineStr">
        <is>
          <t>Yes</t>
        </is>
      </c>
      <c r="D21" s="95" t="inlineStr">
        <is>
          <t>E15 Total cost model; E16 Funding plan; E40 Sustainability plan</t>
        </is>
      </c>
      <c r="E21" s="95" t="n"/>
    </row>
    <row r="22" ht="29" customHeight="1" s="54">
      <c r="A22" s="95" t="inlineStr">
        <is>
          <t>Stakeholder consultation</t>
        </is>
      </c>
      <c r="B22" s="95" t="inlineStr">
        <is>
          <t>Who has been consulted (families/staff/students/partners) and what was learned?</t>
        </is>
      </c>
      <c r="C22" s="95" t="inlineStr">
        <is>
          <t>Should</t>
        </is>
      </c>
      <c r="D22" s="95" t="inlineStr">
        <is>
          <t>E36 Stakeholder consultation artifacts; E39 Support/resistance assessment</t>
        </is>
      </c>
      <c r="E22" s="95" t="n"/>
    </row>
    <row r="23" ht="29" customHeight="1" s="54">
      <c r="A23" s="28" t="inlineStr">
        <is>
          <t>Risks &amp; dependencies</t>
        </is>
      </c>
      <c r="B23" s="28" t="inlineStr">
        <is>
          <t>Key risks (staffing, schedule, budget, enrollment, equity, vendor) and mitigation plan.</t>
        </is>
      </c>
      <c r="C23" s="28" t="inlineStr">
        <is>
          <t>Should</t>
        </is>
      </c>
      <c r="D23" s="28" t="inlineStr">
        <is>
          <t>E39 Risk assessment; E23 Workload/capacity analysis</t>
        </is>
      </c>
      <c r="E23" s="28" t="n"/>
    </row>
    <row r="24">
      <c r="A24" s="27" t="inlineStr">
        <is>
          <t>Requested decision</t>
        </is>
      </c>
      <c r="B24" s="27" t="inlineStr">
        <is>
          <t>Approve / Pilot / Approve with conditions / Decline / Other.</t>
        </is>
      </c>
      <c r="C24" s="27" t="inlineStr">
        <is>
          <t>Yes</t>
        </is>
      </c>
      <c r="D24" s="27" t="n"/>
      <c r="E24" s="27" t="n"/>
    </row>
    <row r="25" ht="29" customHeight="1" s="54">
      <c r="A25" s="28" t="inlineStr">
        <is>
          <t>Attachments</t>
        </is>
      </c>
      <c r="B25" s="28" t="inlineStr">
        <is>
          <t>Provide links (Google Drive, SharePoint, etc.) and point to source-of-truth documents.</t>
        </is>
      </c>
      <c r="C25" s="28" t="inlineStr">
        <is>
          <t>Yes</t>
        </is>
      </c>
      <c r="D25" s="28" t="inlineStr">
        <is>
          <t>All relevant evidence artifacts</t>
        </is>
      </c>
      <c r="E25" s="28"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row r="34">
      <c r="A34" s="5" t="n"/>
      <c r="B34" s="5" t="n"/>
      <c r="C34" s="5" t="n"/>
      <c r="D34" s="5" t="n"/>
      <c r="E34" s="5" t="n"/>
    </row>
    <row r="35">
      <c r="A35" s="5" t="n"/>
      <c r="B35" s="5" t="n"/>
      <c r="C35" s="5" t="n"/>
      <c r="D35" s="5" t="n"/>
      <c r="E35" s="5" t="n"/>
    </row>
    <row r="36">
      <c r="A36" s="5" t="n"/>
      <c r="B36" s="5" t="n"/>
      <c r="C36" s="5" t="n"/>
      <c r="D36" s="5" t="n"/>
      <c r="E36" s="5" t="n"/>
    </row>
    <row r="37">
      <c r="A37" s="5" t="n"/>
      <c r="B37" s="5" t="n"/>
      <c r="C37" s="5" t="n"/>
      <c r="D37" s="5" t="n"/>
      <c r="E37" s="5" t="n"/>
    </row>
    <row r="38">
      <c r="A38" s="5" t="n"/>
      <c r="B38" s="5" t="n"/>
      <c r="C38" s="5" t="n"/>
      <c r="D38" s="5" t="n"/>
      <c r="E38" s="5" t="n"/>
    </row>
    <row r="39">
      <c r="A39" s="5" t="n"/>
      <c r="B39" s="5" t="n"/>
      <c r="C39" s="5" t="n"/>
      <c r="D39" s="5" t="n"/>
      <c r="E39" s="5" t="n"/>
    </row>
    <row r="40">
      <c r="A40" s="5" t="n"/>
      <c r="B40" s="5" t="n"/>
      <c r="C40" s="5" t="n"/>
      <c r="D40" s="5" t="n"/>
      <c r="E40" s="5" t="n"/>
    </row>
    <row r="41">
      <c r="A41" s="5" t="n"/>
      <c r="B41" s="5" t="n"/>
      <c r="C41" s="5" t="n"/>
      <c r="D41" s="5" t="n"/>
      <c r="E41" s="5" t="n"/>
    </row>
    <row r="42">
      <c r="A42" s="5" t="n"/>
      <c r="B42" s="5" t="n"/>
      <c r="C42" s="5" t="n"/>
      <c r="D42" s="5" t="n"/>
      <c r="E42" s="5" t="n"/>
    </row>
    <row r="43">
      <c r="A43" s="5" t="n"/>
      <c r="B43" s="5" t="n"/>
      <c r="C43" s="5" t="n"/>
      <c r="D43" s="5" t="n"/>
      <c r="E43" s="5" t="n"/>
    </row>
    <row r="44">
      <c r="A44" s="5" t="n"/>
      <c r="B44" s="5" t="n"/>
      <c r="C44" s="5" t="n"/>
      <c r="D44" s="5" t="n"/>
      <c r="E44" s="5" t="n"/>
    </row>
    <row r="45">
      <c r="A45" s="5" t="n"/>
      <c r="B45" s="5" t="n"/>
      <c r="C45" s="5" t="n"/>
      <c r="D45" s="5" t="n"/>
      <c r="E45" s="5" t="n"/>
    </row>
    <row r="46">
      <c r="A46" s="5" t="n"/>
      <c r="B46" s="5" t="n"/>
      <c r="C46" s="5" t="n"/>
      <c r="D46" s="5" t="n"/>
      <c r="E46" s="5" t="n"/>
    </row>
    <row r="47">
      <c r="A47" s="5" t="n"/>
      <c r="B47" s="5" t="n"/>
      <c r="C47" s="5" t="n"/>
      <c r="D47" s="5" t="n"/>
      <c r="E47" s="5" t="n"/>
    </row>
    <row r="48">
      <c r="A48" s="5" t="n"/>
      <c r="B48" s="5" t="n"/>
      <c r="C48" s="5" t="n"/>
      <c r="D48" s="5" t="n"/>
      <c r="E48" s="5" t="n"/>
    </row>
    <row r="49">
      <c r="A49" s="5" t="n"/>
      <c r="B49" s="5" t="n"/>
      <c r="C49" s="5" t="n"/>
      <c r="D49" s="5" t="n"/>
      <c r="E49" s="5" t="n"/>
    </row>
    <row r="50">
      <c r="A50" s="5" t="n"/>
      <c r="B50" s="5" t="n"/>
      <c r="C50" s="5" t="n"/>
      <c r="D50" s="5" t="n"/>
      <c r="E50" s="5" t="n"/>
    </row>
    <row r="51">
      <c r="A51" s="5" t="n"/>
      <c r="B51" s="5" t="n"/>
      <c r="C51" s="5" t="n"/>
      <c r="D51" s="5" t="n"/>
      <c r="E51" s="5" t="n"/>
    </row>
    <row r="52">
      <c r="A52" s="5" t="n"/>
      <c r="B52" s="5" t="n"/>
      <c r="C52" s="5" t="n"/>
      <c r="D52" s="5" t="n"/>
      <c r="E52" s="5" t="n"/>
    </row>
    <row r="53">
      <c r="A53" s="5" t="n"/>
      <c r="B53" s="5" t="n"/>
      <c r="C53" s="5" t="n"/>
      <c r="D53" s="5" t="n"/>
      <c r="E53" s="5" t="n"/>
    </row>
    <row r="54">
      <c r="A54" s="5" t="n"/>
      <c r="B54" s="5" t="n"/>
      <c r="C54" s="5" t="n"/>
      <c r="D54" s="5" t="n"/>
      <c r="E54" s="5" t="n"/>
    </row>
    <row r="55">
      <c r="A55" s="5" t="n"/>
      <c r="B55" s="5" t="n"/>
      <c r="C55" s="5" t="n"/>
      <c r="D55" s="5" t="n"/>
      <c r="E55" s="5" t="n"/>
    </row>
    <row r="56">
      <c r="A56" s="5" t="n"/>
      <c r="B56" s="5" t="n"/>
      <c r="C56" s="5" t="n"/>
      <c r="D56" s="5" t="n"/>
      <c r="E56" s="5" t="n"/>
    </row>
    <row r="57">
      <c r="A57" s="5" t="n"/>
      <c r="B57" s="5" t="n"/>
      <c r="C57" s="5" t="n"/>
      <c r="D57" s="5" t="n"/>
      <c r="E57" s="5" t="n"/>
    </row>
    <row r="58">
      <c r="A58" s="5" t="n"/>
      <c r="B58" s="5" t="n"/>
      <c r="C58" s="5" t="n"/>
      <c r="D58" s="5" t="n"/>
      <c r="E58" s="5" t="n"/>
    </row>
    <row r="59">
      <c r="A59" s="5" t="n"/>
      <c r="B59" s="5" t="n"/>
      <c r="C59" s="5" t="n"/>
      <c r="D59" s="5" t="n"/>
      <c r="E59" s="5" t="n"/>
    </row>
    <row r="60">
      <c r="A60" s="5" t="n"/>
      <c r="B60" s="5" t="n"/>
      <c r="C60" s="5" t="n"/>
      <c r="D60" s="5" t="n"/>
      <c r="E60" s="5" t="n"/>
    </row>
    <row r="61">
      <c r="A61" s="5" t="n"/>
      <c r="B61" s="5" t="n"/>
      <c r="C61" s="5" t="n"/>
      <c r="D61" s="5" t="n"/>
      <c r="E61" s="5" t="n"/>
    </row>
    <row r="62">
      <c r="A62" s="5" t="n"/>
      <c r="B62" s="5" t="n"/>
      <c r="C62" s="5" t="n"/>
      <c r="D62" s="5" t="n"/>
      <c r="E62" s="5" t="n"/>
    </row>
    <row r="63">
      <c r="A63" s="5" t="n"/>
      <c r="B63" s="5" t="n"/>
      <c r="C63" s="5" t="n"/>
      <c r="D63" s="5" t="n"/>
      <c r="E63" s="5" t="n"/>
    </row>
    <row r="64">
      <c r="A64" s="5" t="n"/>
      <c r="B64" s="5" t="n"/>
      <c r="C64" s="5" t="n"/>
      <c r="D64" s="5" t="n"/>
      <c r="E64" s="5" t="n"/>
    </row>
    <row r="65">
      <c r="A65" s="5" t="n"/>
      <c r="B65" s="5" t="n"/>
      <c r="C65" s="5" t="n"/>
      <c r="D65" s="5" t="n"/>
      <c r="E65" s="5" t="n"/>
    </row>
    <row r="66">
      <c r="A66" s="5" t="n"/>
      <c r="B66" s="5" t="n"/>
      <c r="C66" s="5" t="n"/>
      <c r="D66" s="5" t="n"/>
      <c r="E66" s="5" t="n"/>
    </row>
    <row r="67">
      <c r="A67" s="5" t="n"/>
      <c r="B67" s="5" t="n"/>
      <c r="C67" s="5" t="n"/>
      <c r="D67" s="5" t="n"/>
      <c r="E67" s="5" t="n"/>
    </row>
    <row r="68">
      <c r="A68" s="5" t="n"/>
      <c r="B68" s="5" t="n"/>
      <c r="C68" s="5" t="n"/>
      <c r="D68" s="5" t="n"/>
      <c r="E68" s="5" t="n"/>
    </row>
    <row r="69">
      <c r="A69" s="5" t="n"/>
      <c r="B69" s="5" t="n"/>
      <c r="C69" s="5" t="n"/>
      <c r="D69" s="5" t="n"/>
      <c r="E69" s="5" t="n"/>
    </row>
    <row r="70">
      <c r="A70" s="5" t="n"/>
      <c r="B70" s="5" t="n"/>
      <c r="C70" s="5" t="n"/>
      <c r="D70" s="5" t="n"/>
      <c r="E70" s="5" t="n"/>
    </row>
    <row r="71">
      <c r="A71" s="5" t="n"/>
      <c r="B71" s="5" t="n"/>
      <c r="C71" s="5" t="n"/>
      <c r="D71" s="5" t="n"/>
      <c r="E71" s="5" t="n"/>
    </row>
    <row r="72">
      <c r="A72" s="5" t="n"/>
      <c r="B72" s="5" t="n"/>
      <c r="C72" s="5" t="n"/>
      <c r="D72" s="5" t="n"/>
      <c r="E72" s="5" t="n"/>
    </row>
    <row r="73">
      <c r="A73" s="5" t="n"/>
      <c r="B73" s="5" t="n"/>
      <c r="C73" s="5" t="n"/>
      <c r="D73" s="5" t="n"/>
      <c r="E73" s="5" t="n"/>
    </row>
    <row r="74">
      <c r="A74" s="5" t="n"/>
      <c r="B74" s="5" t="n"/>
      <c r="C74" s="5" t="n"/>
      <c r="D74" s="5" t="n"/>
      <c r="E74" s="5" t="n"/>
    </row>
    <row r="75">
      <c r="A75" s="5" t="n"/>
      <c r="B75" s="5" t="n"/>
      <c r="C75" s="5" t="n"/>
      <c r="D75" s="5" t="n"/>
      <c r="E75" s="5" t="n"/>
    </row>
    <row r="76">
      <c r="A76" s="5" t="n"/>
      <c r="B76" s="5" t="n"/>
      <c r="C76" s="5" t="n"/>
      <c r="D76" s="5" t="n"/>
      <c r="E76" s="5" t="n"/>
    </row>
    <row r="77">
      <c r="A77" s="5" t="n"/>
      <c r="B77" s="5" t="n"/>
      <c r="C77" s="5" t="n"/>
      <c r="D77" s="5" t="n"/>
      <c r="E77" s="5" t="n"/>
    </row>
    <row r="78">
      <c r="A78" s="5" t="n"/>
      <c r="B78" s="5" t="n"/>
      <c r="C78" s="5" t="n"/>
      <c r="D78" s="5" t="n"/>
      <c r="E78" s="5" t="n"/>
    </row>
    <row r="79">
      <c r="A79" s="5" t="n"/>
      <c r="B79" s="5" t="n"/>
      <c r="C79" s="5" t="n"/>
      <c r="D79" s="5" t="n"/>
      <c r="E79" s="5" t="n"/>
    </row>
    <row r="80">
      <c r="A80" s="5" t="n"/>
      <c r="B80" s="5" t="n"/>
      <c r="C80" s="5" t="n"/>
      <c r="D80" s="5" t="n"/>
      <c r="E80" s="5" t="n"/>
    </row>
    <row r="81">
      <c r="A81" s="5" t="n"/>
      <c r="B81" s="5" t="n"/>
      <c r="C81" s="5" t="n"/>
      <c r="D81" s="5" t="n"/>
      <c r="E81" s="5" t="n"/>
    </row>
    <row r="82">
      <c r="A82" s="5" t="n"/>
      <c r="B82" s="5" t="n"/>
      <c r="C82" s="5" t="n"/>
      <c r="D82" s="5" t="n"/>
      <c r="E82" s="5" t="n"/>
    </row>
    <row r="83">
      <c r="A83" s="5" t="n"/>
      <c r="B83" s="5" t="n"/>
      <c r="C83" s="5" t="n"/>
      <c r="D83" s="5" t="n"/>
      <c r="E83" s="5" t="n"/>
    </row>
    <row r="84">
      <c r="A84" s="5" t="n"/>
      <c r="B84" s="5" t="n"/>
      <c r="C84" s="5" t="n"/>
      <c r="D84" s="5" t="n"/>
      <c r="E84" s="5" t="n"/>
    </row>
    <row r="85">
      <c r="A85" s="5" t="n"/>
      <c r="B85" s="5" t="n"/>
      <c r="C85" s="5" t="n"/>
      <c r="D85" s="5" t="n"/>
      <c r="E85" s="5" t="n"/>
    </row>
    <row r="86">
      <c r="A86" s="5" t="n"/>
      <c r="B86" s="5" t="n"/>
      <c r="C86" s="5" t="n"/>
      <c r="D86" s="5" t="n"/>
      <c r="E86" s="5" t="n"/>
    </row>
    <row r="87">
      <c r="A87" s="5" t="n"/>
      <c r="B87" s="5" t="n"/>
      <c r="C87" s="5" t="n"/>
      <c r="D87" s="5" t="n"/>
      <c r="E87" s="5" t="n"/>
    </row>
    <row r="88">
      <c r="A88" s="5" t="n"/>
      <c r="B88" s="5" t="n"/>
      <c r="C88" s="5" t="n"/>
      <c r="D88" s="5" t="n"/>
      <c r="E88" s="5" t="n"/>
    </row>
  </sheetData>
  <mergeCells count="2">
    <mergeCell ref="A1:E1"/>
    <mergeCell ref="B3:E3"/>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L23"/>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10" customWidth="1" style="54" min="1" max="1"/>
    <col width="12" customWidth="1" style="54" min="2" max="2"/>
    <col width="18" customWidth="1" style="54" min="3" max="5"/>
    <col width="40" customWidth="1" style="54" min="6" max="6"/>
    <col width="16" customWidth="1" style="54" min="7" max="7"/>
    <col width="10" customWidth="1" style="54" min="8" max="8"/>
    <col width="22" customWidth="1" style="54" min="9" max="9"/>
    <col width="14" customWidth="1" style="54" min="10" max="10"/>
    <col width="18" customWidth="1" style="54" min="11" max="11"/>
    <col width="28" customWidth="1" style="54" min="12" max="12"/>
  </cols>
  <sheetData>
    <row r="1" ht="16" customHeight="1" s="54">
      <c r="A1" s="74" t="inlineStr">
        <is>
          <t>Candidate Ideas Log (inventory + status dashboard; supports heat map and triage routing)</t>
        </is>
      </c>
    </row>
    <row r="3" ht="43.5" customHeight="1" s="54">
      <c r="A3" s="25" t="inlineStr">
        <is>
          <t>Idea ID</t>
        </is>
      </c>
      <c r="B3" s="25" t="inlineStr">
        <is>
          <t>Date received</t>
        </is>
      </c>
      <c r="C3" s="25" t="inlineStr">
        <is>
          <t>Entry channel</t>
        </is>
      </c>
      <c r="D3" s="25" t="inlineStr">
        <is>
          <t>Submitter</t>
        </is>
      </c>
      <c r="E3" s="25" t="inlineStr">
        <is>
          <t>Title</t>
        </is>
      </c>
      <c r="F3" s="25" t="inlineStr">
        <is>
          <t>Summary</t>
        </is>
      </c>
      <c r="G3" s="25" t="inlineStr">
        <is>
          <t>Category/theme</t>
        </is>
      </c>
      <c r="H3" s="25" t="inlineStr">
        <is>
          <t>Grade band</t>
        </is>
      </c>
      <c r="I3" s="25" t="inlineStr">
        <is>
          <t>Likely pathway (Pilot / Program / Concept Study)</t>
        </is>
      </c>
      <c r="J3" s="25" t="inlineStr">
        <is>
          <t>Status</t>
        </is>
      </c>
      <c r="K3" s="25" t="inlineStr">
        <is>
          <t>Assigned SPARK contact</t>
        </is>
      </c>
      <c r="L3" s="25" t="inlineStr">
        <is>
          <t>Notes / next action</t>
        </is>
      </c>
    </row>
    <row r="4">
      <c r="A4" s="95" t="n"/>
      <c r="B4" s="95" t="n"/>
      <c r="C4" s="95" t="n"/>
      <c r="D4" s="95" t="n"/>
      <c r="E4" s="95" t="n"/>
      <c r="F4" s="95" t="n"/>
      <c r="G4" s="95" t="n"/>
      <c r="H4" s="95" t="n"/>
      <c r="I4" s="95" t="n"/>
      <c r="J4" s="95" t="n"/>
      <c r="K4" s="95" t="n"/>
      <c r="L4" s="95" t="n"/>
    </row>
    <row r="5">
      <c r="A5" s="95" t="n"/>
      <c r="B5" s="95" t="n"/>
      <c r="C5" s="95" t="n"/>
      <c r="D5" s="95" t="n"/>
      <c r="E5" s="95" t="n"/>
      <c r="F5" s="95" t="n"/>
      <c r="G5" s="95" t="n"/>
      <c r="H5" s="95" t="n"/>
      <c r="I5" s="95" t="n"/>
      <c r="J5" s="95" t="n"/>
      <c r="K5" s="95" t="n"/>
      <c r="L5" s="95" t="n"/>
    </row>
    <row r="6">
      <c r="A6" s="95" t="n"/>
      <c r="B6" s="95" t="n"/>
      <c r="C6" s="95" t="n"/>
      <c r="D6" s="95" t="n"/>
      <c r="E6" s="95" t="n"/>
      <c r="F6" s="95" t="n"/>
      <c r="G6" s="95" t="n"/>
      <c r="H6" s="95" t="n"/>
      <c r="I6" s="95" t="n"/>
      <c r="J6" s="95" t="n"/>
      <c r="K6" s="95" t="n"/>
      <c r="L6" s="95" t="n"/>
    </row>
    <row r="7">
      <c r="A7" s="95" t="n"/>
      <c r="B7" s="95" t="n"/>
      <c r="C7" s="95" t="n"/>
      <c r="D7" s="95" t="n"/>
      <c r="E7" s="95" t="n"/>
      <c r="F7" s="95" t="n"/>
      <c r="G7" s="95" t="n"/>
      <c r="H7" s="95" t="n"/>
      <c r="I7" s="95" t="n"/>
      <c r="J7" s="95" t="n"/>
      <c r="K7" s="95" t="n"/>
      <c r="L7" s="95" t="n"/>
    </row>
    <row r="8">
      <c r="A8" s="95" t="n"/>
      <c r="B8" s="95" t="n"/>
      <c r="C8" s="95" t="n"/>
      <c r="D8" s="95" t="n"/>
      <c r="E8" s="95" t="n"/>
      <c r="F8" s="95" t="n"/>
      <c r="G8" s="95" t="n"/>
      <c r="H8" s="95" t="n"/>
      <c r="I8" s="95" t="n"/>
      <c r="J8" s="95" t="n"/>
      <c r="K8" s="95" t="n"/>
      <c r="L8" s="95" t="n"/>
    </row>
    <row r="9">
      <c r="A9" s="95" t="n"/>
      <c r="B9" s="95" t="n"/>
      <c r="C9" s="95" t="n"/>
      <c r="D9" s="95" t="n"/>
      <c r="E9" s="95" t="n"/>
      <c r="F9" s="95" t="n"/>
      <c r="G9" s="95" t="n"/>
      <c r="H9" s="95" t="n"/>
      <c r="I9" s="95" t="n"/>
      <c r="J9" s="95" t="n"/>
      <c r="K9" s="95" t="n"/>
      <c r="L9" s="95" t="n"/>
    </row>
    <row r="10">
      <c r="A10" s="95" t="n"/>
      <c r="B10" s="95" t="n"/>
      <c r="C10" s="95" t="n"/>
      <c r="D10" s="95" t="n"/>
      <c r="E10" s="95" t="n"/>
      <c r="F10" s="95" t="n"/>
      <c r="G10" s="95" t="n"/>
      <c r="H10" s="95" t="n"/>
      <c r="I10" s="95" t="n"/>
      <c r="J10" s="95" t="n"/>
      <c r="K10" s="95" t="n"/>
      <c r="L10" s="95" t="n"/>
    </row>
    <row r="11">
      <c r="A11" s="95" t="n"/>
      <c r="B11" s="95" t="n"/>
      <c r="C11" s="95" t="n"/>
      <c r="D11" s="95" t="n"/>
      <c r="E11" s="95" t="n"/>
      <c r="F11" s="95" t="n"/>
      <c r="G11" s="95" t="n"/>
      <c r="H11" s="95" t="n"/>
      <c r="I11" s="95" t="n"/>
      <c r="J11" s="95" t="n"/>
      <c r="K11" s="95" t="n"/>
      <c r="L11" s="95" t="n"/>
    </row>
    <row r="12">
      <c r="A12" s="95" t="n"/>
      <c r="B12" s="95" t="n"/>
      <c r="C12" s="95" t="n"/>
      <c r="D12" s="95" t="n"/>
      <c r="E12" s="95" t="n"/>
      <c r="F12" s="95" t="n"/>
      <c r="G12" s="95" t="n"/>
      <c r="H12" s="95" t="n"/>
      <c r="I12" s="95" t="n"/>
      <c r="J12" s="95" t="n"/>
      <c r="K12" s="95" t="n"/>
      <c r="L12" s="95" t="n"/>
    </row>
    <row r="13">
      <c r="A13" s="95" t="n"/>
      <c r="B13" s="95" t="n"/>
      <c r="C13" s="95" t="n"/>
      <c r="D13" s="95" t="n"/>
      <c r="E13" s="95" t="n"/>
      <c r="F13" s="95" t="n"/>
      <c r="G13" s="95" t="n"/>
      <c r="H13" s="95" t="n"/>
      <c r="I13" s="95" t="n"/>
      <c r="J13" s="95" t="n"/>
      <c r="K13" s="95" t="n"/>
      <c r="L13" s="95" t="n"/>
    </row>
    <row r="14">
      <c r="A14" s="95" t="n"/>
      <c r="B14" s="95" t="n"/>
      <c r="C14" s="95" t="n"/>
      <c r="D14" s="95" t="n"/>
      <c r="E14" s="95" t="n"/>
      <c r="F14" s="95" t="n"/>
      <c r="G14" s="95" t="n"/>
      <c r="H14" s="95" t="n"/>
      <c r="I14" s="95" t="n"/>
      <c r="J14" s="95" t="n"/>
      <c r="K14" s="95" t="n"/>
      <c r="L14" s="95" t="n"/>
    </row>
    <row r="15">
      <c r="A15" s="95" t="n"/>
      <c r="B15" s="95" t="n"/>
      <c r="C15" s="95" t="n"/>
      <c r="D15" s="95" t="n"/>
      <c r="E15" s="95" t="n"/>
      <c r="F15" s="95" t="n"/>
      <c r="G15" s="95" t="n"/>
      <c r="H15" s="95" t="n"/>
      <c r="I15" s="95" t="n"/>
      <c r="J15" s="95" t="n"/>
      <c r="K15" s="95" t="n"/>
      <c r="L15" s="95" t="n"/>
    </row>
    <row r="16">
      <c r="A16" s="95" t="n"/>
      <c r="B16" s="95" t="n"/>
      <c r="C16" s="95" t="n"/>
      <c r="D16" s="95" t="n"/>
      <c r="E16" s="95" t="n"/>
      <c r="F16" s="95" t="n"/>
      <c r="G16" s="95" t="n"/>
      <c r="H16" s="95" t="n"/>
      <c r="I16" s="95" t="n"/>
      <c r="J16" s="95" t="n"/>
      <c r="K16" s="95" t="n"/>
      <c r="L16" s="95" t="n"/>
    </row>
    <row r="17">
      <c r="A17" s="95" t="n"/>
      <c r="B17" s="95" t="n"/>
      <c r="C17" s="95" t="n"/>
      <c r="D17" s="95" t="n"/>
      <c r="E17" s="95" t="n"/>
      <c r="F17" s="95" t="n"/>
      <c r="G17" s="95" t="n"/>
      <c r="H17" s="95" t="n"/>
      <c r="I17" s="95" t="n"/>
      <c r="J17" s="95" t="n"/>
      <c r="K17" s="95" t="n"/>
      <c r="L17" s="95" t="n"/>
    </row>
    <row r="18">
      <c r="A18" s="95" t="n"/>
      <c r="B18" s="95" t="n"/>
      <c r="C18" s="95" t="n"/>
      <c r="D18" s="95" t="n"/>
      <c r="E18" s="95" t="n"/>
      <c r="F18" s="95" t="n"/>
      <c r="G18" s="95" t="n"/>
      <c r="H18" s="95" t="n"/>
      <c r="I18" s="95" t="n"/>
      <c r="J18" s="95" t="n"/>
      <c r="K18" s="95" t="n"/>
      <c r="L18" s="95" t="n"/>
    </row>
    <row r="19">
      <c r="A19" s="95" t="n"/>
      <c r="B19" s="95" t="n"/>
      <c r="C19" s="95" t="n"/>
      <c r="D19" s="95" t="n"/>
      <c r="E19" s="95" t="n"/>
      <c r="F19" s="95" t="n"/>
      <c r="G19" s="95" t="n"/>
      <c r="H19" s="95" t="n"/>
      <c r="I19" s="95" t="n"/>
      <c r="J19" s="95" t="n"/>
      <c r="K19" s="95" t="n"/>
      <c r="L19" s="95" t="n"/>
    </row>
    <row r="20">
      <c r="A20" s="95" t="n"/>
      <c r="B20" s="95" t="n"/>
      <c r="C20" s="95" t="n"/>
      <c r="D20" s="95" t="n"/>
      <c r="E20" s="95" t="n"/>
      <c r="F20" s="95" t="n"/>
      <c r="G20" s="95" t="n"/>
      <c r="H20" s="95" t="n"/>
      <c r="I20" s="95" t="n"/>
      <c r="J20" s="95" t="n"/>
      <c r="K20" s="95" t="n"/>
      <c r="L20" s="95" t="n"/>
    </row>
    <row r="21">
      <c r="A21" s="95" t="n"/>
      <c r="B21" s="95" t="n"/>
      <c r="C21" s="95" t="n"/>
      <c r="D21" s="95" t="n"/>
      <c r="E21" s="95" t="n"/>
      <c r="F21" s="95" t="n"/>
      <c r="G21" s="95" t="n"/>
      <c r="H21" s="95" t="n"/>
      <c r="I21" s="95" t="n"/>
      <c r="J21" s="95" t="n"/>
      <c r="K21" s="95" t="n"/>
      <c r="L21" s="95" t="n"/>
    </row>
    <row r="22">
      <c r="A22" s="95" t="n"/>
      <c r="B22" s="95" t="n"/>
      <c r="C22" s="95" t="n"/>
      <c r="D22" s="95" t="n"/>
      <c r="E22" s="95" t="n"/>
      <c r="F22" s="95" t="n"/>
      <c r="G22" s="95" t="n"/>
      <c r="H22" s="95" t="n"/>
      <c r="I22" s="95" t="n"/>
      <c r="J22" s="95" t="n"/>
      <c r="K22" s="95" t="n"/>
      <c r="L22" s="95" t="n"/>
    </row>
    <row r="23">
      <c r="A23" s="95" t="n"/>
      <c r="B23" s="95" t="n"/>
      <c r="C23" s="95" t="n"/>
      <c r="D23" s="95" t="n"/>
      <c r="E23" s="95" t="n"/>
      <c r="F23" s="95" t="n"/>
      <c r="G23" s="95" t="n"/>
      <c r="H23" s="95" t="n"/>
      <c r="I23" s="95" t="n"/>
      <c r="J23" s="95" t="n"/>
      <c r="K23" s="95" t="n"/>
      <c r="L23" s="95" t="n"/>
    </row>
  </sheetData>
  <mergeCells count="1">
    <mergeCell ref="A1:L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H1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22" customWidth="1" style="54" min="1" max="1"/>
    <col width="12" customWidth="1" style="54" min="2" max="7"/>
  </cols>
  <sheetData>
    <row r="1" ht="16" customHeight="1" s="54">
      <c r="A1" s="74" t="inlineStr">
        <is>
          <t>Candidate Ideas Heat Map (design) — supports Ms. Mitchell’s dashboard/heat-map concept</t>
        </is>
      </c>
    </row>
    <row r="3">
      <c r="A3" s="62" t="inlineStr">
        <is>
          <t>How to use</t>
        </is>
      </c>
      <c r="B3" s="55" t="inlineStr">
        <is>
          <t>This sheet summarizes Idea Log entries by category/theme and grade band. Use it to see where candidate ideas cluster, identify gaps, and manage capacity/cadence.</t>
        </is>
      </c>
    </row>
    <row r="5">
      <c r="A5" s="62" t="inlineStr">
        <is>
          <t>Matrix: # of ideas by theme × grade band (pulls from Idea Log)</t>
        </is>
      </c>
    </row>
    <row r="7">
      <c r="A7" s="25" t="inlineStr">
        <is>
          <t>Theme</t>
        </is>
      </c>
      <c r="B7" s="25" t="inlineStr">
        <is>
          <t>PK–5</t>
        </is>
      </c>
      <c r="C7" s="25" t="inlineStr">
        <is>
          <t>6–8</t>
        </is>
      </c>
      <c r="D7" s="25" t="inlineStr">
        <is>
          <t>9–12</t>
        </is>
      </c>
      <c r="E7" s="25" t="inlineStr">
        <is>
          <t>K–8</t>
        </is>
      </c>
      <c r="F7" s="25" t="inlineStr">
        <is>
          <t>Districtwide</t>
        </is>
      </c>
      <c r="G7" s="25" t="inlineStr">
        <is>
          <t>Total</t>
        </is>
      </c>
    </row>
    <row r="8">
      <c r="A8" s="95" t="inlineStr">
        <is>
          <t>STEM/STEAM</t>
        </is>
      </c>
      <c r="B8" s="95">
        <f>COUNTIFS('Idea Log'!$G$4:$G$500,"STEM/STEAM",'Idea Log'!$H$4:$H$500,"PK–5")</f>
        <v/>
      </c>
      <c r="C8" s="95">
        <f>COUNTIFS('Idea Log'!$G$4:$G$500,"STEM/STEAM",'Idea Log'!$H$4:$H$500,"6–8")</f>
        <v/>
      </c>
      <c r="D8" s="95">
        <f>COUNTIFS('Idea Log'!$G$4:$G$500,"STEM/STEAM",'Idea Log'!$H$4:$H$500,"9–12")</f>
        <v/>
      </c>
      <c r="E8" s="95">
        <f>COUNTIFS('Idea Log'!$G$4:$G$500,"STEM/STEAM",'Idea Log'!$H$4:$H$500,"K–8")</f>
        <v/>
      </c>
      <c r="F8" s="95">
        <f>COUNTIFS('Idea Log'!$G$4:$G$500,"STEM/STEAM",'Idea Log'!$H$4:$H$500,"Districtwide")</f>
        <v/>
      </c>
      <c r="G8" s="95">
        <f>SUM(B8:F8)</f>
        <v/>
      </c>
    </row>
    <row r="9">
      <c r="A9" s="95" t="inlineStr">
        <is>
          <t>Arts</t>
        </is>
      </c>
      <c r="B9" s="95">
        <f>COUNTIFS('Idea Log'!$G$4:$G$500,"Arts",'Idea Log'!$H$4:$H$500,"PK–5")</f>
        <v/>
      </c>
      <c r="C9" s="95">
        <f>COUNTIFS('Idea Log'!$G$4:$G$500,"Arts",'Idea Log'!$H$4:$H$500,"6–8")</f>
        <v/>
      </c>
      <c r="D9" s="95">
        <f>COUNTIFS('Idea Log'!$G$4:$G$500,"Arts",'Idea Log'!$H$4:$H$500,"9–12")</f>
        <v/>
      </c>
      <c r="E9" s="95">
        <f>COUNTIFS('Idea Log'!$G$4:$G$500,"Arts",'Idea Log'!$H$4:$H$500,"K–8")</f>
        <v/>
      </c>
      <c r="F9" s="95">
        <f>COUNTIFS('Idea Log'!$G$4:$G$500,"Arts",'Idea Log'!$H$4:$H$500,"Districtwide")</f>
        <v/>
      </c>
      <c r="G9" s="95">
        <f>SUM(B9:F9)</f>
        <v/>
      </c>
    </row>
    <row r="10">
      <c r="A10" s="95" t="inlineStr">
        <is>
          <t>Gifted/Advanced</t>
        </is>
      </c>
      <c r="B10" s="95">
        <f>COUNTIFS('Idea Log'!$G$4:$G$500,"Gifted/Advanced",'Idea Log'!$H$4:$H$500,"PK–5")</f>
        <v/>
      </c>
      <c r="C10" s="95">
        <f>COUNTIFS('Idea Log'!$G$4:$G$500,"Gifted/Advanced",'Idea Log'!$H$4:$H$500,"6–8")</f>
        <v/>
      </c>
      <c r="D10" s="95">
        <f>COUNTIFS('Idea Log'!$G$4:$G$500,"Gifted/Advanced",'Idea Log'!$H$4:$H$500,"9–12")</f>
        <v/>
      </c>
      <c r="E10" s="95">
        <f>COUNTIFS('Idea Log'!$G$4:$G$500,"Gifted/Advanced",'Idea Log'!$H$4:$H$500,"K–8")</f>
        <v/>
      </c>
      <c r="F10" s="95">
        <f>COUNTIFS('Idea Log'!$G$4:$G$500,"Gifted/Advanced",'Idea Log'!$H$4:$H$500,"Districtwide")</f>
        <v/>
      </c>
      <c r="G10" s="95">
        <f>SUM(B10:F10)</f>
        <v/>
      </c>
    </row>
    <row r="11">
      <c r="A11" s="95" t="inlineStr">
        <is>
          <t>Language/DLI</t>
        </is>
      </c>
      <c r="B11" s="95">
        <f>COUNTIFS('Idea Log'!$G$4:$G$500,"Language/DLI",'Idea Log'!$H$4:$H$500,"PK–5")</f>
        <v/>
      </c>
      <c r="C11" s="95">
        <f>COUNTIFS('Idea Log'!$G$4:$G$500,"Language/DLI",'Idea Log'!$H$4:$H$500,"6–8")</f>
        <v/>
      </c>
      <c r="D11" s="95">
        <f>COUNTIFS('Idea Log'!$G$4:$G$500,"Language/DLI",'Idea Log'!$H$4:$H$500,"9–12")</f>
        <v/>
      </c>
      <c r="E11" s="95">
        <f>COUNTIFS('Idea Log'!$G$4:$G$500,"Language/DLI",'Idea Log'!$H$4:$H$500,"K–8")</f>
        <v/>
      </c>
      <c r="F11" s="95">
        <f>COUNTIFS('Idea Log'!$G$4:$G$500,"Language/DLI",'Idea Log'!$H$4:$H$500,"Districtwide")</f>
        <v/>
      </c>
      <c r="G11" s="95">
        <f>SUM(B11:F11)</f>
        <v/>
      </c>
    </row>
    <row r="12">
      <c r="A12" s="95" t="inlineStr">
        <is>
          <t>College/Career</t>
        </is>
      </c>
      <c r="B12" s="95">
        <f>COUNTIFS('Idea Log'!$G$4:$G$500,"College/Career",'Idea Log'!$H$4:$H$500,"PK–5")</f>
        <v/>
      </c>
      <c r="C12" s="95">
        <f>COUNTIFS('Idea Log'!$G$4:$G$500,"College/Career",'Idea Log'!$H$4:$H$500,"6–8")</f>
        <v/>
      </c>
      <c r="D12" s="95">
        <f>COUNTIFS('Idea Log'!$G$4:$G$500,"College/Career",'Idea Log'!$H$4:$H$500,"9–12")</f>
        <v/>
      </c>
      <c r="E12" s="95">
        <f>COUNTIFS('Idea Log'!$G$4:$G$500,"College/Career",'Idea Log'!$H$4:$H$500,"K–8")</f>
        <v/>
      </c>
      <c r="F12" s="95">
        <f>COUNTIFS('Idea Log'!$G$4:$G$500,"College/Career",'Idea Log'!$H$4:$H$500,"Districtwide")</f>
        <v/>
      </c>
      <c r="G12" s="95">
        <f>SUM(B12:F12)</f>
        <v/>
      </c>
    </row>
    <row r="13">
      <c r="A13" s="95" t="inlineStr">
        <is>
          <t>Traditional/Structure</t>
        </is>
      </c>
      <c r="B13" s="95">
        <f>COUNTIFS('Idea Log'!$G$4:$G$500,"Traditional/Structure",'Idea Log'!$H$4:$H$500,"PK–5")</f>
        <v/>
      </c>
      <c r="C13" s="95">
        <f>COUNTIFS('Idea Log'!$G$4:$G$500,"Traditional/Structure",'Idea Log'!$H$4:$H$500,"6–8")</f>
        <v/>
      </c>
      <c r="D13" s="95">
        <f>COUNTIFS('Idea Log'!$G$4:$G$500,"Traditional/Structure",'Idea Log'!$H$4:$H$500,"9–12")</f>
        <v/>
      </c>
      <c r="E13" s="95">
        <f>COUNTIFS('Idea Log'!$G$4:$G$500,"Traditional/Structure",'Idea Log'!$H$4:$H$500,"K–8")</f>
        <v/>
      </c>
      <c r="F13" s="95">
        <f>COUNTIFS('Idea Log'!$G$4:$G$500,"Traditional/Structure",'Idea Log'!$H$4:$H$500,"Districtwide")</f>
        <v/>
      </c>
      <c r="G13" s="95">
        <f>SUM(B13:F13)</f>
        <v/>
      </c>
    </row>
    <row r="14">
      <c r="A14" s="95" t="inlineStr">
        <is>
          <t>SEL/Well-being</t>
        </is>
      </c>
      <c r="B14" s="95">
        <f>COUNTIFS('Idea Log'!$G$4:$G$500,"SEL/Well-being",'Idea Log'!$H$4:$H$500,"PK–5")</f>
        <v/>
      </c>
      <c r="C14" s="95">
        <f>COUNTIFS('Idea Log'!$G$4:$G$500,"SEL/Well-being",'Idea Log'!$H$4:$H$500,"6–8")</f>
        <v/>
      </c>
      <c r="D14" s="95">
        <f>COUNTIFS('Idea Log'!$G$4:$G$500,"SEL/Well-being",'Idea Log'!$H$4:$H$500,"9–12")</f>
        <v/>
      </c>
      <c r="E14" s="95">
        <f>COUNTIFS('Idea Log'!$G$4:$G$500,"SEL/Well-being",'Idea Log'!$H$4:$H$500,"K–8")</f>
        <v/>
      </c>
      <c r="F14" s="95">
        <f>COUNTIFS('Idea Log'!$G$4:$G$500,"SEL/Well-being",'Idea Log'!$H$4:$H$500,"Districtwide")</f>
        <v/>
      </c>
      <c r="G14" s="95">
        <f>SUM(B14:F14)</f>
        <v/>
      </c>
    </row>
    <row r="15">
      <c r="A15" s="95" t="inlineStr">
        <is>
          <t>Other</t>
        </is>
      </c>
      <c r="B15" s="95">
        <f>COUNTIFS('Idea Log'!$G$4:$G$500,"Other",'Idea Log'!$H$4:$H$500,"PK–5")</f>
        <v/>
      </c>
      <c r="C15" s="95">
        <f>COUNTIFS('Idea Log'!$G$4:$G$500,"Other",'Idea Log'!$H$4:$H$500,"6–8")</f>
        <v/>
      </c>
      <c r="D15" s="95">
        <f>COUNTIFS('Idea Log'!$G$4:$G$500,"Other",'Idea Log'!$H$4:$H$500,"9–12")</f>
        <v/>
      </c>
      <c r="E15" s="95">
        <f>COUNTIFS('Idea Log'!$G$4:$G$500,"Other",'Idea Log'!$H$4:$H$500,"K–8")</f>
        <v/>
      </c>
      <c r="F15" s="95">
        <f>COUNTIFS('Idea Log'!$G$4:$G$500,"Other",'Idea Log'!$H$4:$H$500,"Districtwide")</f>
        <v/>
      </c>
      <c r="G15" s="95">
        <f>SUM(B15:F15)</f>
        <v/>
      </c>
    </row>
    <row r="16">
      <c r="A16" s="95" t="inlineStr">
        <is>
          <t>Total</t>
        </is>
      </c>
      <c r="B16" s="95">
        <f>SUM(B8:B15)</f>
        <v/>
      </c>
      <c r="C16" s="95">
        <f>SUM(C8:C15)</f>
        <v/>
      </c>
      <c r="D16" s="95">
        <f>SUM(D8:D15)</f>
        <v/>
      </c>
      <c r="E16" s="95">
        <f>SUM(E8:E15)</f>
        <v/>
      </c>
      <c r="F16" s="95">
        <f>SUM(F8:F15)</f>
        <v/>
      </c>
      <c r="G16" s="95">
        <f>SUM(G8:G15)</f>
        <v/>
      </c>
    </row>
    <row r="18">
      <c r="A18" s="75" t="inlineStr">
        <is>
          <t>Optional: apply conditional formatting (color scale) to the matrix to visualize ‘heat.’</t>
        </is>
      </c>
    </row>
  </sheetData>
  <mergeCells count="4">
    <mergeCell ref="A18:G18"/>
    <mergeCell ref="B3:H3"/>
    <mergeCell ref="A5:H5"/>
    <mergeCell ref="A1:H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X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14" customWidth="1" style="54" min="1" max="1"/>
    <col width="18" customWidth="1" style="54" min="2" max="2"/>
    <col width="10" customWidth="1" style="54" min="3" max="3"/>
    <col width="20" customWidth="1" style="54" min="4" max="4"/>
    <col width="26" customWidth="1" style="54" min="5" max="5"/>
    <col width="14" customWidth="1" style="54" min="6" max="6"/>
    <col width="26" customWidth="1" style="54" min="7" max="9"/>
    <col width="20" customWidth="1" style="54" min="10" max="10"/>
    <col width="18" customWidth="1" style="54" min="11" max="11"/>
    <col width="28" customWidth="1" style="54" min="12" max="12"/>
    <col width="22" customWidth="1" style="54" min="13" max="13"/>
    <col width="30" customWidth="1" style="54" min="14" max="14"/>
    <col width="12" customWidth="1" style="54" min="15" max="15"/>
    <col width="22" customWidth="1" style="54" min="16" max="16"/>
    <col width="16" customWidth="1" style="54" min="17" max="17"/>
    <col width="22" customWidth="1" style="54" min="18" max="18"/>
    <col width="28" customWidth="1" style="54" min="19" max="22"/>
  </cols>
  <sheetData>
    <row r="1" ht="28" customHeight="1" s="54">
      <c r="A1" s="25" t="inlineStr">
        <is>
          <t>Idea ID (from log)</t>
        </is>
      </c>
      <c r="B1" s="25" t="inlineStr">
        <is>
          <t>Intake type (Light / Full / Concept)</t>
        </is>
      </c>
      <c r="C1" s="25" t="inlineStr">
        <is>
          <t>Intake ID</t>
        </is>
      </c>
      <c r="D1" s="25" t="inlineStr">
        <is>
          <t>Program</t>
        </is>
      </c>
      <c r="E1" s="25" t="inlineStr">
        <is>
          <t>Proposer / sponsor</t>
        </is>
      </c>
      <c r="F1" s="25" t="inlineStr">
        <is>
          <t>Date received</t>
        </is>
      </c>
      <c r="G1" s="25" t="inlineStr">
        <is>
          <t>Triage decision (Decline / Waitlist / More info / Proceed to concept study / Proceed to full review)</t>
        </is>
      </c>
      <c r="H1" s="25" t="inlineStr">
        <is>
          <t>Alignment (QI-01)</t>
        </is>
      </c>
      <c r="I1" s="25" t="inlineStr">
        <is>
          <t>Need/demand (QI-03/07)</t>
        </is>
      </c>
      <c r="J1" s="25" t="inlineStr">
        <is>
          <t>Differentiation (QI-05)</t>
        </is>
      </c>
      <c r="K1" s="25" t="inlineStr">
        <is>
          <t>Equity/access (QI-11/12)</t>
        </is>
      </c>
      <c r="L1" s="25" t="inlineStr">
        <is>
          <t>Feasibility (QI-14/15/18/42)</t>
        </is>
      </c>
      <c r="M1" s="25" t="inlineStr">
        <is>
          <t>Evaluation plan (QI-32/33)</t>
        </is>
      </c>
      <c r="N1" s="25" t="inlineStr">
        <is>
          <t>Key rationale / notes</t>
        </is>
      </c>
      <c r="O1" s="25" t="inlineStr">
        <is>
          <t>Follow-ups requested</t>
        </is>
      </c>
      <c r="P1" s="25" t="inlineStr">
        <is>
          <t>Owner</t>
        </is>
      </c>
      <c r="Q1" s="25" t="inlineStr">
        <is>
          <t>Due date</t>
        </is>
      </c>
      <c r="R1" s="25" t="inlineStr">
        <is>
          <t>Link to intake packet</t>
        </is>
      </c>
      <c r="S1" s="25" t="inlineStr">
        <is>
          <t>Portfolio fit (H/M/L)</t>
        </is>
      </c>
      <c r="T1" s="25" t="inlineStr">
        <is>
          <t>External context considered? (Exits/bench/trends)</t>
        </is>
      </c>
      <c r="U1" s="25" t="inlineStr">
        <is>
          <t>Origin channel / trigger</t>
        </is>
      </c>
      <c r="V1" s="25" t="inlineStr">
        <is>
          <t>Mandated study? (Y/N)</t>
        </is>
      </c>
      <c r="W1" s="25" t="inlineStr">
        <is>
          <t>Recommended pathway (Concept study vs Full review)</t>
        </is>
      </c>
      <c r="X1" s="25" t="inlineStr">
        <is>
          <t>Board/community comms notes</t>
        </is>
      </c>
    </row>
    <row r="2">
      <c r="C2" s="5" t="inlineStr">
        <is>
          <t>INT-0001</t>
        </is>
      </c>
      <c r="D2" s="5" t="n"/>
      <c r="E2" s="5" t="n"/>
      <c r="F2" s="5" t="n"/>
      <c r="G2" s="5" t="n"/>
      <c r="H2" s="5" t="n"/>
      <c r="I2" s="5" t="n"/>
      <c r="J2" s="5" t="n"/>
      <c r="K2" s="5" t="n"/>
      <c r="L2" s="5" t="n"/>
      <c r="M2" s="5" t="n"/>
      <c r="N2" s="5" t="n"/>
      <c r="O2" s="5" t="n"/>
      <c r="P2" s="5" t="n"/>
      <c r="Q2" s="5" t="n"/>
      <c r="R2" s="5" t="n"/>
      <c r="S2" s="5" t="n"/>
      <c r="T2" s="5"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C45"/>
  <sheetViews>
    <sheetView showGridLines="0" workbookViewId="0">
      <selection activeCell="A1" sqref="A1"/>
    </sheetView>
  </sheetViews>
  <sheetFormatPr baseColWidth="8" defaultRowHeight="14.5"/>
  <cols>
    <col width="34" customWidth="1" style="54" min="1" max="1"/>
    <col width="90" customWidth="1" style="54" min="2" max="2"/>
    <col width="30" customWidth="1" style="54" min="3" max="3"/>
  </cols>
  <sheetData>
    <row r="1" ht="28" customHeight="1" s="54">
      <c r="A1" s="3" t="inlineStr">
        <is>
          <t>Section</t>
        </is>
      </c>
      <c r="B1" s="3" t="inlineStr">
        <is>
          <t>Guiding prompts</t>
        </is>
      </c>
      <c r="C1" s="3" t="inlineStr">
        <is>
          <t>Response (draft)</t>
        </is>
      </c>
    </row>
    <row r="2" ht="29" customHeight="1" s="54">
      <c r="A2" s="55" t="inlineStr">
        <is>
          <t>Program overview</t>
        </is>
      </c>
      <c r="B2" s="55" t="inlineStr">
        <is>
          <t>What is the program? Who is it for? Where/grades? What are the core components?</t>
        </is>
      </c>
      <c r="C2" s="55" t="n"/>
    </row>
    <row r="3">
      <c r="A3" s="55" t="inlineStr">
        <is>
          <t>Decision requested</t>
        </is>
      </c>
      <c r="B3" s="55" t="inlineStr">
        <is>
          <t>Approve / Pilot / Approve with conditions / Decline / Other.</t>
        </is>
      </c>
      <c r="C3" s="55" t="n"/>
    </row>
    <row r="4" ht="29" customHeight="1" s="54">
      <c r="A4" s="55" t="inlineStr">
        <is>
          <t>Strategic fit &amp; differentiation</t>
        </is>
      </c>
      <c r="B4" s="55" t="inlineStr">
        <is>
          <t>How does it align with mission/strategic goals and avoid duplication? (QI-01/05)</t>
        </is>
      </c>
      <c r="C4" s="55" t="n"/>
    </row>
    <row r="5" ht="29" customHeight="1" s="54">
      <c r="A5" s="55" t="inlineStr">
        <is>
          <t>Need, demand &amp; stakeholder value</t>
        </is>
      </c>
      <c r="B5" s="55" t="inlineStr">
        <is>
          <t>What data shows need/demand/support? (QI-03/07/36–40)</t>
        </is>
      </c>
      <c r="C5" s="55" t="n"/>
    </row>
    <row r="6" ht="29" customHeight="1" s="54">
      <c r="A6" s="55" t="inlineStr">
        <is>
          <t>Equity &amp; access</t>
        </is>
      </c>
      <c r="B6" s="55" t="inlineStr">
        <is>
          <t>How will EL/SPED access, recruitment, barriers, and gap-closing be addressed? (QI-11–13)</t>
        </is>
      </c>
      <c r="C6" s="55" t="n"/>
    </row>
    <row r="7" ht="29" customHeight="1" s="54">
      <c r="A7" s="55" t="inlineStr">
        <is>
          <t>Evidence base &amp; expected effectiveness</t>
        </is>
      </c>
      <c r="B7" s="55" t="inlineStr">
        <is>
          <t>What research or comparable results support the model? (QI-06–10)</t>
        </is>
      </c>
      <c r="C7" s="55" t="n"/>
    </row>
    <row r="8" ht="29" customHeight="1" s="54">
      <c r="A8" s="55" t="inlineStr">
        <is>
          <t>Feasibility, resources &amp; sustainability</t>
        </is>
      </c>
      <c r="B8" s="55" t="inlineStr">
        <is>
          <t>Cost/funding/staffing/training and multi-year viability. (QI-14–18, 41–45)</t>
        </is>
      </c>
      <c r="C8" s="55" t="n"/>
    </row>
    <row r="9" ht="29" customHeight="1" s="54">
      <c r="A9" s="55" t="inlineStr">
        <is>
          <t>Implementation &amp; operating model</t>
        </is>
      </c>
      <c r="B9" s="55" t="inlineStr">
        <is>
          <t>Timeline, roles, training/support, impact on schedule/workload, monitoring tools. (QI-19–31)</t>
        </is>
      </c>
      <c r="C9" s="55" t="n"/>
    </row>
    <row r="10" ht="29" customHeight="1" s="54">
      <c r="A10" s="55" t="inlineStr">
        <is>
          <t>Measurement &amp; evaluation plan</t>
        </is>
      </c>
      <c r="B10" s="55" t="inlineStr">
        <is>
          <t>Success metrics, benchmarks, data cycle, and how findings will change the program. (QI-32–35)</t>
        </is>
      </c>
      <c r="C10" s="55" t="n"/>
    </row>
    <row r="11" ht="29" customHeight="1" s="54">
      <c r="A11" s="55" t="inlineStr">
        <is>
          <t>Rubric snapshot</t>
        </is>
      </c>
      <c r="B11" s="55" t="inlineStr">
        <is>
          <t>Provide 0–4 score for each domain + brief rationale (use Rubric tab).</t>
        </is>
      </c>
      <c r="C11" s="55" t="n"/>
    </row>
    <row r="12" ht="29" customHeight="1" s="54">
      <c r="A12" s="55" t="inlineStr">
        <is>
          <t>Conditions / support needs</t>
        </is>
      </c>
      <c r="B12" s="55" t="inlineStr">
        <is>
          <t>What must be true for success? What support is required from district/site?</t>
        </is>
      </c>
      <c r="C12" s="55" t="n"/>
    </row>
    <row r="13" ht="29" customHeight="1" s="54">
      <c r="A13" s="55" t="inlineStr">
        <is>
          <t>Recommendation &amp; next steps</t>
        </is>
      </c>
      <c r="B13" s="55" t="inlineStr">
        <is>
          <t>Final recommendation; if 'approve with conditions', list conditions + timeline.</t>
        </is>
      </c>
      <c r="C13" s="55" t="n"/>
    </row>
    <row r="15" ht="28" customHeight="1" s="54">
      <c r="A15" s="3" t="inlineStr">
        <is>
          <t>Section</t>
        </is>
      </c>
      <c r="B15" s="3" t="inlineStr">
        <is>
          <t>Guiding prompts</t>
        </is>
      </c>
      <c r="C15" s="3" t="inlineStr">
        <is>
          <t>Response (draft)</t>
        </is>
      </c>
    </row>
    <row r="16" ht="29" customHeight="1" s="54">
      <c r="A16" s="55" t="inlineStr">
        <is>
          <t>Program overview</t>
        </is>
      </c>
      <c r="B16" s="55" t="inlineStr">
        <is>
          <t>Program name, sites/grades, intended outcomes, and key components.</t>
        </is>
      </c>
      <c r="C16" s="55" t="n"/>
    </row>
    <row r="17">
      <c r="A17" s="55" t="inlineStr">
        <is>
          <t>Review period</t>
        </is>
      </c>
      <c r="B17" s="55" t="inlineStr">
        <is>
          <t>School year/semester and data window used.</t>
        </is>
      </c>
      <c r="C17" s="55" t="n"/>
    </row>
    <row r="18">
      <c r="A18" s="55" t="inlineStr">
        <is>
          <t>Overall status</t>
        </is>
      </c>
      <c r="B18" s="55" t="inlineStr">
        <is>
          <t>Green / Yellow / Red (with 1–2 sentence rationale).</t>
        </is>
      </c>
      <c r="C18" s="55" t="n"/>
    </row>
    <row r="19" ht="29" customHeight="1" s="54">
      <c r="A19" s="55" t="inlineStr">
        <is>
          <t>Outcomes snapshot</t>
        </is>
      </c>
      <c r="B19" s="55" t="inlineStr">
        <is>
          <t>Key metrics and trend (academic, SEL, attendance/behavior, etc.).</t>
        </is>
      </c>
      <c r="C19" s="55" t="n"/>
    </row>
    <row r="20" ht="29" customHeight="1" s="54">
      <c r="A20" s="55" t="inlineStr">
        <is>
          <t>Equity &amp; access snapshot</t>
        </is>
      </c>
      <c r="B20" s="55" t="inlineStr">
        <is>
          <t>Participation and outcomes disaggregated; barriers and mitigation.</t>
        </is>
      </c>
      <c r="C20" s="55" t="n"/>
    </row>
    <row r="21" ht="29" customHeight="1" s="54">
      <c r="A21" s="55" t="inlineStr">
        <is>
          <t>Implementation fidelity / operating model</t>
        </is>
      </c>
      <c r="B21" s="55" t="inlineStr">
        <is>
          <t>What is working/not working in daily operations? Staffing, schedule, training/support.</t>
        </is>
      </c>
      <c r="C21" s="55" t="n"/>
    </row>
    <row r="22" ht="29" customHeight="1" s="54">
      <c r="A22" s="55" t="inlineStr">
        <is>
          <t>Resources &amp; sustainability</t>
        </is>
      </c>
      <c r="B22" s="55" t="inlineStr">
        <is>
          <t>Budget/staffing stability; facilities/tech; scalability; leadership continuity.</t>
        </is>
      </c>
      <c r="C22" s="55" t="n"/>
    </row>
    <row r="23" ht="29" customHeight="1" s="54">
      <c r="A23" s="55" t="inlineStr">
        <is>
          <t>Stakeholder feedback</t>
        </is>
      </c>
      <c r="B23" s="55" t="inlineStr">
        <is>
          <t>What did students/families/staff say? Any resistance or support changes?</t>
        </is>
      </c>
      <c r="C23" s="55" t="n"/>
    </row>
    <row r="24">
      <c r="A24" s="55" t="inlineStr">
        <is>
          <t>Strengths (keep doing)</t>
        </is>
      </c>
      <c r="B24" s="55" t="inlineStr">
        <is>
          <t>Top 2–4 strengths to sustain/scale.</t>
        </is>
      </c>
      <c r="C24" s="55" t="n"/>
    </row>
    <row r="25">
      <c r="A25" s="55" t="inlineStr">
        <is>
          <t>Opportunities for growth</t>
        </is>
      </c>
      <c r="B25" s="55" t="inlineStr">
        <is>
          <t>Top 2–4 improvement opportunities (actionable).</t>
        </is>
      </c>
      <c r="C25" s="55" t="n"/>
    </row>
    <row r="26" ht="29" customHeight="1" s="54">
      <c r="A26" s="55" t="inlineStr">
        <is>
          <t>Recommended action</t>
        </is>
      </c>
      <c r="B26" s="55" t="inlineStr">
        <is>
          <t>Continue / Continue with improvement plan / Expand / Pause / Sunset.</t>
        </is>
      </c>
      <c r="C26" s="55" t="n"/>
    </row>
    <row r="27">
      <c r="A27" s="55" t="inlineStr">
        <is>
          <t>Support plan</t>
        </is>
      </c>
      <c r="B27" s="55" t="inlineStr">
        <is>
          <t>Actions, owner, due date, and resources needed.</t>
        </is>
      </c>
      <c r="C27" s="55" t="n"/>
    </row>
    <row r="28">
      <c r="A28" s="55" t="inlineStr">
        <is>
          <t>Escalation flags</t>
        </is>
      </c>
      <c r="B28" s="55" t="inlineStr">
        <is>
          <t>Any issues requiring SPARK/leadership attention.</t>
        </is>
      </c>
      <c r="C28" s="55" t="n"/>
    </row>
    <row r="29">
      <c r="A29" s="55" t="inlineStr">
        <is>
          <t>Next review date</t>
        </is>
      </c>
      <c r="B29" s="55" t="inlineStr">
        <is>
          <t>When will the next check-in happen?</t>
        </is>
      </c>
      <c r="C29" s="55" t="n"/>
    </row>
    <row r="31">
      <c r="A31" t="inlineStr">
        <is>
          <t>Section</t>
        </is>
      </c>
      <c r="B31" t="inlineStr">
        <is>
          <t>Guiding prompts</t>
        </is>
      </c>
      <c r="C31" t="inlineStr">
        <is>
          <t>Response (draft)</t>
        </is>
      </c>
    </row>
    <row r="32">
      <c r="A32" t="inlineStr">
        <is>
          <t>Concept overview</t>
        </is>
      </c>
      <c r="B32" t="inlineStr">
        <is>
          <t>Working title; what is being explored; intended grade band(s) and schools (if known); what decision is being sought and by when.</t>
        </is>
      </c>
    </row>
    <row r="33">
      <c r="A33" t="inlineStr">
        <is>
          <t>Trigger / charge</t>
        </is>
      </c>
      <c r="B33" t="inlineStr">
        <is>
          <t>Who requested the study (Board / leadership / community) and what is the scope? What is out of scope?</t>
        </is>
      </c>
    </row>
    <row r="34">
      <c r="A34" t="inlineStr">
        <is>
          <t>Current state in SUSD</t>
        </is>
      </c>
      <c r="B34" t="inlineStr">
        <is>
          <t>What services/programming exist today? What is working well? Where are gaps or constraints? (Baseline summary; avoid reinventing.)</t>
        </is>
      </c>
    </row>
    <row r="35">
      <c r="A35" t="inlineStr">
        <is>
          <t>Design principles</t>
        </is>
      </c>
      <c r="B35" t="inlineStr">
        <is>
          <t>Non-negotiables and design constraints (equity/access, transportation, staffing availability, facilities realities).</t>
        </is>
      </c>
    </row>
    <row r="36">
      <c r="A36" t="inlineStr">
        <is>
          <t>Option set</t>
        </is>
      </c>
      <c r="B36" t="inlineStr">
        <is>
          <t>2–3 viable model options (e.g., hub school vs distributed model vs pathway). Include a short description of each.</t>
        </is>
      </c>
    </row>
    <row r="37">
      <c r="A37" t="inlineStr">
        <is>
          <t>Benchmark insights</t>
        </is>
      </c>
      <c r="B37" t="inlineStr">
        <is>
          <t>What exemplars/peer districts do; what seems to drive success; what is transferable to SUSD context.</t>
        </is>
      </c>
    </row>
    <row r="38">
      <c r="A38" t="inlineStr">
        <is>
          <t>Demand &amp; access</t>
        </is>
      </c>
      <c r="B38" t="inlineStr">
        <is>
          <t>Who would enroll and why? What is the eligible pool? What access model is proposed (open enrollment, criteria, lottery) and how will barriers be mitigated?</t>
        </is>
      </c>
    </row>
    <row r="39">
      <c r="A39" t="inlineStr">
        <is>
          <t>Equity implications</t>
        </is>
      </c>
      <c r="B39" t="inlineStr">
        <is>
          <t>How will the concept avoid reproducing inequities? Recruitment/outreach, EL/SPED supports, transportation, and representation targets.</t>
        </is>
      </c>
    </row>
    <row r="40">
      <c r="A40" t="inlineStr">
        <is>
          <t>Feasibility snapshot</t>
        </is>
      </c>
      <c r="B40" t="inlineStr">
        <is>
          <t>High-level feasibility: facilities, staffing, schedule, transportation, start-up/annual cost envelope, risks and assumptions.</t>
        </is>
      </c>
    </row>
    <row r="41">
      <c r="A41" t="inlineStr">
        <is>
          <t>Implementation sketch</t>
        </is>
      </c>
      <c r="B41" t="inlineStr">
        <is>
          <t>If proceeding: rough rollout timeline (pilot vs phased); key roles and responsibilities.</t>
        </is>
      </c>
    </row>
    <row r="42">
      <c r="A42" t="inlineStr">
        <is>
          <t>Measurement approach</t>
        </is>
      </c>
      <c r="B42" t="inlineStr">
        <is>
          <t>How success would be measured (outcomes + leading indicators); cadence for review and iteration.</t>
        </is>
      </c>
    </row>
    <row r="43">
      <c r="A43" t="inlineStr">
        <is>
          <t>Risks &amp; open questions</t>
        </is>
      </c>
      <c r="B43" t="inlineStr">
        <is>
          <t>Top risks and what info is needed next (what would change the recommendation).</t>
        </is>
      </c>
    </row>
    <row r="44">
      <c r="A44" t="inlineStr">
        <is>
          <t>Recommendation &amp; pathway</t>
        </is>
      </c>
      <c r="B44" t="inlineStr">
        <is>
          <t>Proceed to full proposal review / proceed to deeper feasibility work / pause / stop. Include 2–3 reasons.</t>
        </is>
      </c>
    </row>
    <row r="45">
      <c r="A45" t="inlineStr">
        <is>
          <t>Next steps &amp; owners</t>
        </is>
      </c>
      <c r="B45" t="inlineStr">
        <is>
          <t>Immediate next steps, owners, and timeline through March (and beyond if applicable).</t>
        </is>
      </c>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5.xml><?xml version="1.0" encoding="utf-8"?>
<worksheet xmlns="http://schemas.openxmlformats.org/spreadsheetml/2006/main">
  <sheetPr>
    <outlinePr summaryBelow="1" summaryRight="1"/>
    <pageSetUpPr/>
  </sheetPr>
  <dimension ref="A1:X3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35" customWidth="1" style="54" min="1" max="6"/>
    <col width="22.453125" customWidth="1" style="54" min="7" max="7"/>
    <col width="35" customWidth="1" style="54" min="8" max="8"/>
    <col width="10" customWidth="1" style="54" min="9" max="10"/>
    <col width="10.81640625" customWidth="1" style="54" min="11" max="11"/>
    <col width="10" customWidth="1" style="54" min="12" max="12"/>
    <col width="27" customWidth="1" style="54" min="13" max="13"/>
    <col width="21.6328125" customWidth="1" style="54" min="14" max="14"/>
    <col width="19.81640625" customWidth="1" style="54" min="15" max="15"/>
    <col width="28.81640625" customWidth="1" style="54" min="16" max="16"/>
    <col width="26.08984375" customWidth="1" style="54" min="17" max="17"/>
    <col width="10" customWidth="1" style="54" min="18" max="18"/>
    <col width="11.7265625" customWidth="1" style="54" min="19" max="20"/>
    <col width="10" customWidth="1" style="54" min="21" max="21"/>
    <col width="11.7265625" customWidth="1" style="54" min="22" max="23"/>
    <col width="13.453125" customWidth="1" style="54" min="24" max="24"/>
  </cols>
  <sheetData>
    <row r="1" ht="24" customHeight="1" s="54">
      <c r="A1" s="82" t="inlineStr">
        <is>
          <t>Landscape Visuals (Designs + Data Requirements)</t>
        </is>
      </c>
      <c r="B1" s="80" t="n"/>
      <c r="C1" s="80" t="n"/>
      <c r="D1" s="80" t="n"/>
      <c r="E1" s="80" t="n"/>
      <c r="F1" s="80" t="n"/>
      <c r="G1" s="80" t="n"/>
      <c r="H1" s="80" t="n"/>
      <c r="I1" s="80" t="n"/>
      <c r="J1" s="80" t="n"/>
      <c r="K1" s="80" t="n"/>
      <c r="L1" s="80" t="n"/>
      <c r="M1" s="80" t="n"/>
      <c r="N1" s="80" t="n"/>
      <c r="O1" s="80" t="n"/>
      <c r="P1" s="80" t="n"/>
      <c r="Q1" s="80" t="n"/>
      <c r="R1" s="80" t="n"/>
      <c r="S1" s="80" t="n"/>
      <c r="T1" s="80" t="n"/>
      <c r="U1" s="80" t="n"/>
      <c r="V1" s="80" t="n"/>
      <c r="W1" s="80" t="n"/>
      <c r="X1" s="81" t="n"/>
    </row>
    <row r="3" ht="24" customHeight="1" s="54">
      <c r="A3" s="8" t="inlineStr">
        <is>
          <t>Item</t>
        </is>
      </c>
      <c r="B3" s="8" t="inlineStr">
        <is>
          <t>Description</t>
        </is>
      </c>
    </row>
    <row r="4" ht="30" customHeight="1" s="54">
      <c r="A4" s="9" t="inlineStr">
        <is>
          <t>Purpose</t>
        </is>
      </c>
      <c r="B4" s="9" t="inlineStr">
        <is>
          <t>Create repeatable, portfolio-level visuals that show: (a) what programs exist, (b) who they serve vs who they actually serve, (c) how outcomes compare to targets, and (d) where there are gaps/opportunities.</t>
        </is>
      </c>
    </row>
    <row r="5" ht="30" customHeight="1" s="54">
      <c r="A5" s="9" t="inlineStr">
        <is>
          <t>How to use</t>
        </is>
      </c>
      <c r="B5" s="9" t="inlineStr">
        <is>
          <t>1) Populate the dataset template at the bottom of this sheet (or connect it to your systems). 2) Refresh visuals on a cadence (recommended: annual; optional: semiannual). 3) Use outputs to inform annual updates, support prioritization, and candidate-program intake decisions.</t>
        </is>
      </c>
    </row>
    <row r="7" ht="24" customHeight="1" s="54">
      <c r="A7" s="79" t="inlineStr">
        <is>
          <t>Recommended Visual Artifacts</t>
        </is>
      </c>
      <c r="B7" s="80" t="n"/>
      <c r="C7" s="80" t="n"/>
      <c r="D7" s="80" t="n"/>
      <c r="E7" s="80" t="n"/>
      <c r="F7" s="80" t="n"/>
      <c r="G7" s="80" t="n"/>
      <c r="H7" s="80" t="n"/>
      <c r="I7" s="80" t="n"/>
      <c r="J7" s="80" t="n"/>
      <c r="K7" s="80" t="n"/>
      <c r="L7" s="81" t="n"/>
    </row>
    <row r="8" ht="24" customHeight="1" s="54">
      <c r="A8" s="8" t="inlineStr">
        <is>
          <t>Visual / artifact</t>
        </is>
      </c>
      <c r="B8" s="8" t="inlineStr">
        <is>
          <t>Key question answered</t>
        </is>
      </c>
      <c r="C8" s="8" t="inlineStr">
        <is>
          <t>Primary dimensions</t>
        </is>
      </c>
      <c r="D8" s="8" t="inlineStr">
        <is>
          <t>Core metrics</t>
        </is>
      </c>
      <c r="E8" s="8" t="inlineStr">
        <is>
          <t>How to build</t>
        </is>
      </c>
      <c r="F8" s="8" t="inlineStr">
        <is>
          <t>Refresh cadence</t>
        </is>
      </c>
      <c r="G8" s="8" t="inlineStr">
        <is>
          <t>Primary audience</t>
        </is>
      </c>
      <c r="H8" s="8" t="inlineStr">
        <is>
          <t>Interpretation notes</t>
        </is>
      </c>
    </row>
    <row r="9" ht="30" customHeight="1" s="54">
      <c r="A9" s="9" t="inlineStr">
        <is>
          <t>1) Program Inventory Heatmap (Category × Grade Band)</t>
        </is>
      </c>
      <c r="B9" s="9" t="inlineStr">
        <is>
          <t>What programs exist where, and are there gaps?</t>
        </is>
      </c>
      <c r="C9" s="9" t="inlineStr">
        <is>
          <t>Category; grade band; site count</t>
        </is>
      </c>
      <c r="D9" s="9" t="inlineStr">
        <is>
          <t>Program count; site count; enrollment</t>
        </is>
      </c>
      <c r="E9" s="9" t="inlineStr">
        <is>
          <t>Pivot + conditional formatting</t>
        </is>
      </c>
      <c r="F9" s="9" t="inlineStr">
        <is>
          <t>Annual (min); semiannual (opt)</t>
        </is>
      </c>
      <c r="G9" s="9" t="inlineStr">
        <is>
          <t>SPARK whole group</t>
        </is>
      </c>
      <c r="H9" s="9" t="inlineStr">
        <is>
          <t>Use both count and enrollment views; flag “white space” segments with demand.</t>
        </is>
      </c>
    </row>
    <row r="10" ht="30" customHeight="1" s="54">
      <c r="A10" s="76" t="inlineStr">
        <is>
          <t>2) Portfolio Treemap (Enrollment by Category → Program)</t>
        </is>
      </c>
      <c r="B10" s="76" t="inlineStr">
        <is>
          <t>How is the portfolio distributed by scale?</t>
        </is>
      </c>
      <c r="C10" s="76" t="inlineStr">
        <is>
          <t>Category; program</t>
        </is>
      </c>
      <c r="D10" s="76" t="inlineStr">
        <is>
          <t>Enrollment; capacity (opt)</t>
        </is>
      </c>
      <c r="E10" s="76" t="inlineStr">
        <is>
          <t>Excel Treemap / BI tool</t>
        </is>
      </c>
      <c r="F10" s="76" t="inlineStr">
        <is>
          <t>Annual</t>
        </is>
      </c>
      <c r="G10" s="76" t="inlineStr">
        <is>
          <t>SPARK whole group</t>
        </is>
      </c>
      <c r="H10" s="76" t="inlineStr">
        <is>
          <t>Reveals concentration risk and small-but-strategic programs.</t>
        </is>
      </c>
    </row>
    <row r="11" ht="30" customHeight="1" s="54">
      <c r="A11" s="9" t="inlineStr">
        <is>
          <t>3) Access vs Actual Audience Scatter (Bubble)</t>
        </is>
      </c>
      <c r="B11" s="9" t="inlineStr">
        <is>
          <t>Are programs serving the audience they are accessible to?</t>
        </is>
      </c>
      <c r="C11" s="9" t="inlineStr">
        <is>
          <t>X: accessibility index; Y: participation index; size: enrollment</t>
        </is>
      </c>
      <c r="D11" s="9" t="inlineStr">
        <is>
          <t>Eligible pool; enrolled; subgroup mix</t>
        </is>
      </c>
      <c r="E11" s="9" t="inlineStr">
        <is>
          <t>Excel scatter (bubble)</t>
        </is>
      </c>
      <c r="F11" s="9" t="inlineStr">
        <is>
          <t>Annual</t>
        </is>
      </c>
      <c r="G11" s="9" t="inlineStr">
        <is>
          <t>Program Review team</t>
        </is>
      </c>
      <c r="H11" s="9" t="inlineStr">
        <is>
          <t>Participation index = (% in program)/(% in district or eligible pool). &lt;1 suggests underrepresentation.</t>
        </is>
      </c>
    </row>
    <row r="12" ht="30" customHeight="1" s="54">
      <c r="A12" s="76" t="inlineStr">
        <is>
          <t>4) Demand vs Capacity Quadrant</t>
        </is>
      </c>
      <c r="B12" s="76" t="inlineStr">
        <is>
          <t>Where is demand exceeding supply vs underutilization?</t>
        </is>
      </c>
      <c r="C12" s="76" t="inlineStr">
        <is>
          <t>X: utilization; Y: demand signal</t>
        </is>
      </c>
      <c r="D12" s="76" t="inlineStr">
        <is>
          <t>Apps; waitlist; capacity; enrollment</t>
        </is>
      </c>
      <c r="E12" s="76" t="inlineStr">
        <is>
          <t>Scatter + quadrant lines</t>
        </is>
      </c>
      <c r="F12" s="76" t="inlineStr">
        <is>
          <t>Semiannual (if data)</t>
        </is>
      </c>
      <c r="G12" s="76" t="inlineStr">
        <is>
          <t>Enrollment/Choice + SPARK</t>
        </is>
      </c>
      <c r="H12" s="76" t="inlineStr">
        <is>
          <t>Quadrants: high demand/low capacity (grow), high capacity/low demand (rethink), etc.</t>
        </is>
      </c>
    </row>
    <row r="13" ht="30" customHeight="1" s="54">
      <c r="A13" s="9" t="inlineStr">
        <is>
          <t>5) Target vs Actual Outcomes (Bullet / Paired Bars)</t>
        </is>
      </c>
      <c r="B13" s="9" t="inlineStr">
        <is>
          <t>Is each program delivering the outcomes it exists to deliver?</t>
        </is>
      </c>
      <c r="C13" s="9" t="inlineStr">
        <is>
          <t>Program; outcome domain</t>
        </is>
      </c>
      <c r="D13" s="9" t="inlineStr">
        <is>
          <t>Targets; actuals; trend; subgroup gaps</t>
        </is>
      </c>
      <c r="E13" s="9" t="inlineStr">
        <is>
          <t>Paired bars or bullet layout</t>
        </is>
      </c>
      <c r="F13" s="9" t="inlineStr">
        <is>
          <t>Annual</t>
        </is>
      </c>
      <c r="G13" s="9" t="inlineStr">
        <is>
          <t>SPARK whole group</t>
        </is>
      </c>
      <c r="H13" s="9" t="inlineStr">
        <is>
          <t>Requires an agreed portfolio KPI set + 1–2 program-specific KPIs.</t>
        </is>
      </c>
    </row>
    <row r="14" ht="30" customHeight="1" s="54">
      <c r="A14" s="76" t="inlineStr">
        <is>
          <t>6) Equity Gap Closure Map (Baseline → Current)</t>
        </is>
      </c>
      <c r="B14" s="76" t="inlineStr">
        <is>
          <t>Is the program closing achievement/opportunity gaps?</t>
        </is>
      </c>
      <c r="C14" s="76" t="inlineStr">
        <is>
          <t>Program; subgroup; time</t>
        </is>
      </c>
      <c r="D14" s="76" t="inlineStr">
        <is>
          <t>Gap measure; trend</t>
        </is>
      </c>
      <c r="E14" s="76" t="inlineStr">
        <is>
          <t>Table + conditional formatting</t>
        </is>
      </c>
      <c r="F14" s="76" t="inlineStr">
        <is>
          <t>Annual</t>
        </is>
      </c>
      <c r="G14" s="76" t="inlineStr">
        <is>
          <t>SPARK + leaders</t>
        </is>
      </c>
      <c r="H14" s="76" t="inlineStr">
        <is>
          <t>Interpret carefully; account for selection effects where relevant.</t>
        </is>
      </c>
    </row>
    <row r="15" ht="58" customHeight="1" s="54">
      <c r="A15" s="9" t="inlineStr">
        <is>
          <t>7) Student Mobility Flow + Reason Summary (Entries/Exits)</t>
        </is>
      </c>
      <c r="B15" s="9" t="inlineStr">
        <is>
          <t>Where are students entering from and exiting to, why (if known), and which segments are represented? (Directional choice signals)</t>
        </is>
      </c>
      <c r="C15" s="9" t="inlineStr">
        <is>
          <t>Grade band; sending school/learning community; segment tags; destination type</t>
        </is>
      </c>
      <c r="D15" s="9" t="inlineStr">
        <is>
          <t>Entry/exit rate; origin/destination mix; top reasons (Pareto); net migration (entries–exits)</t>
        </is>
      </c>
      <c r="E15" s="9" t="inlineStr">
        <is>
          <t>Use aggregated mobility dataset (see 'Mobility &amp; Choice Signals' tab). Start with stacked bars + reason Pareto; optional Sankey/net migration heatmap as maturity increases.</t>
        </is>
      </c>
      <c r="F15" s="9" t="inlineStr">
        <is>
          <t>Annual (light semiannual refresh optional)</t>
        </is>
      </c>
      <c r="G15" s="9" t="inlineStr">
        <is>
          <t>SPARK + Enrollment/Data</t>
        </is>
      </c>
      <c r="H15" s="9" t="inlineStr">
        <is>
          <t>Aggregate/suppress small cells; triangulate with demand/outcomes; exits are not always program-driven.</t>
        </is>
      </c>
    </row>
    <row r="16" ht="24" customHeight="1" s="54">
      <c r="A16" s="76" t="inlineStr">
        <is>
          <t>8) Peer Benchmark Matrix Snapshot</t>
        </is>
      </c>
      <c r="B16" s="77" t="n"/>
      <c r="C16" s="77" t="n"/>
      <c r="D16" s="77" t="n"/>
      <c r="E16" s="77" t="n"/>
      <c r="F16" s="77" t="n"/>
      <c r="G16" s="77" t="n"/>
      <c r="H16" s="77" t="n"/>
      <c r="I16" s="77" t="n"/>
      <c r="J16" s="77" t="n"/>
      <c r="K16" s="77" t="n"/>
      <c r="L16" s="77" t="n"/>
      <c r="M16" s="77" t="n"/>
      <c r="N16" s="77" t="n"/>
      <c r="O16" s="77" t="n"/>
      <c r="P16" s="77" t="n"/>
      <c r="Q16" s="77" t="n"/>
      <c r="R16" s="78" t="n"/>
    </row>
    <row r="17" ht="20" customHeight="1" s="54">
      <c r="A17" s="9" t="inlineStr">
        <is>
          <t>9) Trend Radar (Horizon Scan)</t>
        </is>
      </c>
      <c r="B17" s="9" t="inlineStr">
        <is>
          <t>What emerging signals might affect future program needs and designs?</t>
        </is>
      </c>
      <c r="C17" s="9" t="inlineStr">
        <is>
          <t>Theme × time horizon × confidence</t>
        </is>
      </c>
      <c r="D17" s="9" t="inlineStr">
        <is>
          <t>Theme counts; time horizon; confidence; potential affected opportunity areas</t>
        </is>
      </c>
      <c r="E17" s="9" t="inlineStr">
        <is>
          <t>Maintain monthly trend log; synthesize semiannually into a 1-slide radar + implications list</t>
        </is>
      </c>
      <c r="F17" s="9" t="inlineStr">
        <is>
          <t>Semiannual synthesis</t>
        </is>
      </c>
      <c r="G17" s="9" t="inlineStr">
        <is>
          <t>SPARK; strategy/planning</t>
        </is>
      </c>
      <c r="H17" s="9" t="inlineStr">
        <is>
          <t>Context only—do not justify a program solely on trend signals; document uncertainty.</t>
        </is>
      </c>
    </row>
    <row r="18" ht="22" customHeight="1" s="54"/>
    <row r="19" ht="22" customHeight="1" s="54">
      <c r="A19" s="79" t="inlineStr">
        <is>
          <t>Portfolio Dataset (Template) — populate to enable visuals</t>
        </is>
      </c>
      <c r="B19" s="80" t="n"/>
      <c r="C19" s="80" t="n"/>
      <c r="D19" s="80" t="n"/>
      <c r="E19" s="80" t="n"/>
      <c r="F19" s="80" t="n"/>
      <c r="G19" s="80" t="n"/>
      <c r="H19" s="80" t="n"/>
      <c r="I19" s="80" t="n"/>
      <c r="J19" s="80" t="n"/>
      <c r="K19" s="80" t="n"/>
      <c r="L19" s="80" t="n"/>
      <c r="M19" s="80" t="n"/>
      <c r="N19" s="80" t="n"/>
      <c r="O19" s="80" t="n"/>
      <c r="P19" s="80" t="n"/>
      <c r="Q19" s="80" t="n"/>
      <c r="R19" s="81" t="n"/>
    </row>
    <row r="20" ht="24" customHeight="1" s="54">
      <c r="A20" s="8" t="inlineStr">
        <is>
          <t>Program ID</t>
        </is>
      </c>
      <c r="B20" s="8" t="inlineStr">
        <is>
          <t>Program name</t>
        </is>
      </c>
      <c r="C20" s="8" t="inlineStr">
        <is>
          <t>Category</t>
        </is>
      </c>
      <c r="D20" s="8" t="inlineStr">
        <is>
          <t>Model type / theme</t>
        </is>
      </c>
      <c r="E20" s="8" t="inlineStr">
        <is>
          <t>Grade band(s)</t>
        </is>
      </c>
      <c r="F20" s="8" t="inlineStr">
        <is>
          <t>Site(s) / count</t>
        </is>
      </c>
      <c r="G20" s="8" t="inlineStr">
        <is>
          <t>Entry model</t>
        </is>
      </c>
      <c r="H20" s="8" t="inlineStr">
        <is>
          <t>Stated target audience</t>
        </is>
      </c>
      <c r="I20" s="8" t="inlineStr">
        <is>
          <t>Capacity</t>
        </is>
      </c>
      <c r="J20" s="8" t="inlineStr">
        <is>
          <t>Enrollment</t>
        </is>
      </c>
      <c r="K20" s="8" t="inlineStr">
        <is>
          <t>Applications</t>
        </is>
      </c>
      <c r="L20" s="8" t="inlineStr">
        <is>
          <t>Waitlist</t>
        </is>
      </c>
      <c r="M20" s="8" t="inlineStr">
        <is>
          <t>Eligible population definition</t>
        </is>
      </c>
      <c r="N20" s="8" t="inlineStr">
        <is>
          <t>Eligible population size</t>
        </is>
      </c>
      <c r="O20" s="8" t="inlineStr">
        <is>
          <t>Subgroup mix (program)</t>
        </is>
      </c>
      <c r="P20" s="8" t="inlineStr">
        <is>
          <t>Subgroup mix (district/eligible)</t>
        </is>
      </c>
      <c r="Q20" s="8" t="inlineStr">
        <is>
          <t>Primary target outcomes (1–3)</t>
        </is>
      </c>
      <c r="R20" s="8" t="inlineStr">
        <is>
          <t>KPI #1 name</t>
        </is>
      </c>
      <c r="S20" s="8" t="inlineStr">
        <is>
          <t>KPI #1 target</t>
        </is>
      </c>
      <c r="T20" s="8" t="inlineStr">
        <is>
          <t>KPI #1 actual</t>
        </is>
      </c>
      <c r="U20" s="8" t="inlineStr">
        <is>
          <t>KPI #2 name</t>
        </is>
      </c>
      <c r="V20" s="8" t="inlineStr">
        <is>
          <t>KPI #2 target</t>
        </is>
      </c>
      <c r="W20" s="8" t="inlineStr">
        <is>
          <t>KPI #2 actual</t>
        </is>
      </c>
      <c r="X20" s="8" t="inlineStr">
        <is>
          <t>Notes / sources</t>
        </is>
      </c>
    </row>
    <row r="21" ht="22" customHeight="1" s="54">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row>
    <row r="22" ht="22" customHeight="1" s="54">
      <c r="A22" s="76" t="n"/>
      <c r="B22" s="76" t="n"/>
      <c r="C22" s="76" t="n"/>
      <c r="D22" s="76" t="n"/>
      <c r="E22" s="76" t="n"/>
      <c r="F22" s="76" t="n"/>
      <c r="G22" s="76" t="n"/>
      <c r="H22" s="76" t="n"/>
      <c r="I22" s="76" t="n"/>
      <c r="J22" s="76" t="n"/>
      <c r="K22" s="76" t="n"/>
      <c r="L22" s="76" t="n"/>
      <c r="M22" s="76" t="n"/>
      <c r="N22" s="76" t="n"/>
      <c r="O22" s="76" t="n"/>
      <c r="P22" s="76" t="n"/>
      <c r="Q22" s="76" t="n"/>
      <c r="R22" s="76" t="n"/>
      <c r="S22" s="76" t="n"/>
      <c r="T22" s="76" t="n"/>
      <c r="U22" s="76" t="n"/>
      <c r="V22" s="76" t="n"/>
      <c r="W22" s="76" t="n"/>
      <c r="X22" s="76" t="n"/>
    </row>
    <row r="23" ht="22" customHeight="1" s="54">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row>
    <row r="24" ht="22" customHeight="1" s="54">
      <c r="A24" s="76" t="n"/>
      <c r="B24" s="76" t="n"/>
      <c r="C24" s="76" t="n"/>
      <c r="D24" s="76" t="n"/>
      <c r="E24" s="76" t="n"/>
      <c r="F24" s="76" t="n"/>
      <c r="G24" s="76" t="n"/>
      <c r="H24" s="76" t="n"/>
      <c r="I24" s="76" t="n"/>
      <c r="J24" s="76" t="n"/>
      <c r="K24" s="76" t="n"/>
      <c r="L24" s="76" t="n"/>
      <c r="M24" s="76" t="n"/>
      <c r="N24" s="76" t="n"/>
      <c r="O24" s="76" t="n"/>
      <c r="P24" s="76" t="n"/>
      <c r="Q24" s="76" t="n"/>
      <c r="R24" s="76" t="n"/>
      <c r="S24" s="76" t="n"/>
      <c r="T24" s="76" t="n"/>
      <c r="U24" s="76" t="n"/>
      <c r="V24" s="76" t="n"/>
      <c r="W24" s="76" t="n"/>
      <c r="X24" s="76" t="n"/>
    </row>
    <row r="25" ht="22" customHeight="1" s="54">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row>
    <row r="26" ht="22" customHeight="1" s="54">
      <c r="A26" s="76" t="n"/>
      <c r="B26" s="76" t="n"/>
      <c r="C26" s="76" t="n"/>
      <c r="D26" s="76" t="n"/>
      <c r="E26" s="76" t="n"/>
      <c r="F26" s="76" t="n"/>
      <c r="G26" s="76" t="n"/>
      <c r="H26" s="76" t="n"/>
      <c r="I26" s="76" t="n"/>
      <c r="J26" s="76" t="n"/>
      <c r="K26" s="76" t="n"/>
      <c r="L26" s="76" t="n"/>
      <c r="M26" s="76" t="n"/>
      <c r="N26" s="76" t="n"/>
      <c r="O26" s="76" t="n"/>
      <c r="P26" s="76" t="n"/>
      <c r="Q26" s="76" t="n"/>
      <c r="R26" s="76" t="n"/>
      <c r="S26" s="76" t="n"/>
      <c r="T26" s="76" t="n"/>
      <c r="U26" s="76" t="n"/>
      <c r="V26" s="76" t="n"/>
      <c r="W26" s="76" t="n"/>
      <c r="X26" s="76" t="n"/>
    </row>
    <row r="27" ht="22" customHeight="1" s="54">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row>
    <row r="28" ht="22" customHeight="1" s="54">
      <c r="A28" s="76" t="n"/>
      <c r="B28" s="76" t="n"/>
      <c r="C28" s="76" t="n"/>
      <c r="D28" s="76" t="n"/>
      <c r="E28" s="76" t="n"/>
      <c r="F28" s="76" t="n"/>
      <c r="G28" s="76" t="n"/>
      <c r="H28" s="76" t="n"/>
      <c r="I28" s="76" t="n"/>
      <c r="J28" s="76" t="n"/>
      <c r="K28" s="76" t="n"/>
      <c r="L28" s="76" t="n"/>
      <c r="M28" s="76" t="n"/>
      <c r="N28" s="76" t="n"/>
      <c r="O28" s="76" t="n"/>
      <c r="P28" s="76" t="n"/>
      <c r="Q28" s="76" t="n"/>
      <c r="R28" s="76" t="n"/>
      <c r="S28" s="76" t="n"/>
      <c r="T28" s="76" t="n"/>
      <c r="U28" s="76" t="n"/>
      <c r="V28" s="76" t="n"/>
      <c r="W28" s="76" t="n"/>
      <c r="X28" s="76" t="n"/>
    </row>
    <row r="29" ht="22" customHeight="1" s="54">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row>
    <row r="30" ht="22" customHeight="1" s="54">
      <c r="A30" s="76" t="n"/>
      <c r="B30" s="76" t="n"/>
      <c r="C30" s="76" t="n"/>
      <c r="D30" s="76" t="n"/>
      <c r="E30" s="76" t="n"/>
      <c r="F30" s="76" t="n"/>
      <c r="G30" s="76" t="n"/>
      <c r="H30" s="76" t="n"/>
      <c r="I30" s="76" t="n"/>
      <c r="J30" s="76" t="n"/>
      <c r="K30" s="76" t="n"/>
      <c r="L30" s="76" t="n"/>
      <c r="M30" s="76" t="n"/>
      <c r="N30" s="76" t="n"/>
      <c r="O30" s="76" t="n"/>
      <c r="P30" s="76" t="n"/>
      <c r="Q30" s="76" t="n"/>
      <c r="R30" s="76" t="n"/>
      <c r="S30" s="76" t="n"/>
      <c r="T30" s="76" t="n"/>
      <c r="U30" s="76" t="n"/>
      <c r="V30" s="76" t="n"/>
      <c r="W30" s="76" t="n"/>
      <c r="X30" s="76" t="n"/>
    </row>
    <row r="31" ht="22" customHeight="1" s="54">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row>
    <row r="32" ht="22" customHeight="1" s="54">
      <c r="A32" s="76" t="n"/>
      <c r="B32" s="76" t="n"/>
      <c r="C32" s="76" t="n"/>
      <c r="D32" s="76" t="n"/>
      <c r="E32" s="76" t="n"/>
      <c r="F32" s="76" t="n"/>
      <c r="G32" s="76" t="n"/>
      <c r="H32" s="76" t="n"/>
      <c r="I32" s="76" t="n"/>
      <c r="J32" s="76" t="n"/>
      <c r="K32" s="76" t="n"/>
      <c r="L32" s="76" t="n"/>
      <c r="M32" s="76" t="n"/>
      <c r="N32" s="76" t="n"/>
      <c r="O32" s="76" t="n"/>
      <c r="P32" s="76" t="n"/>
      <c r="Q32" s="76" t="n"/>
      <c r="R32" s="76" t="n"/>
      <c r="S32" s="76" t="n"/>
      <c r="T32" s="76" t="n"/>
      <c r="U32" s="76" t="n"/>
      <c r="V32" s="76" t="n"/>
      <c r="W32" s="76" t="n"/>
      <c r="X32" s="76" t="n"/>
    </row>
    <row r="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row>
    <row r="34">
      <c r="A34" s="76" t="n"/>
      <c r="B34" s="76" t="n"/>
      <c r="C34" s="76" t="n"/>
      <c r="D34" s="76" t="n"/>
      <c r="E34" s="76" t="n"/>
      <c r="F34" s="76" t="n"/>
      <c r="G34" s="76" t="n"/>
      <c r="H34" s="76" t="n"/>
      <c r="I34" s="76" t="n"/>
      <c r="J34" s="76" t="n"/>
      <c r="K34" s="76" t="n"/>
      <c r="L34" s="76" t="n"/>
      <c r="M34" s="76" t="n"/>
      <c r="N34" s="76" t="n"/>
      <c r="O34" s="76" t="n"/>
      <c r="P34" s="76" t="n"/>
      <c r="Q34" s="76" t="n"/>
      <c r="R34" s="76" t="n"/>
      <c r="S34" s="76" t="n"/>
      <c r="T34" s="76" t="n"/>
      <c r="U34" s="76" t="n"/>
      <c r="V34" s="76" t="n"/>
      <c r="W34" s="76" t="n"/>
      <c r="X34" s="76" t="n"/>
    </row>
    <row r="35">
      <c r="A35" s="55" t="n"/>
      <c r="B35" s="55" t="n"/>
      <c r="C35" s="55" t="n"/>
      <c r="D35" s="55" t="n"/>
      <c r="E35" s="55" t="n"/>
      <c r="F35" s="55" t="n"/>
      <c r="G35" s="55" t="n"/>
      <c r="H35" s="55" t="n"/>
      <c r="I35" s="55" t="n"/>
      <c r="J35" s="55" t="n"/>
      <c r="K35" s="55" t="n"/>
      <c r="L35" s="55" t="n"/>
      <c r="M35" s="55" t="n"/>
      <c r="N35" s="55" t="n"/>
      <c r="O35" s="55" t="n"/>
      <c r="P35" s="55" t="n"/>
      <c r="Q35" s="55" t="n"/>
      <c r="R35" s="55" t="n"/>
      <c r="S35" s="55" t="n"/>
      <c r="T35" s="55" t="n"/>
      <c r="U35" s="55" t="n"/>
      <c r="V35" s="55" t="n"/>
      <c r="W35" s="55" t="n"/>
      <c r="X35" s="55" t="n"/>
    </row>
  </sheetData>
  <mergeCells count="3">
    <mergeCell ref="A16:R16"/>
    <mergeCell ref="A7:L7"/>
    <mergeCell ref="A1:X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L23"/>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44.08984375" customWidth="1" style="54" min="1" max="1"/>
    <col width="55" customWidth="1" style="54" min="2" max="2"/>
    <col width="35.08984375" customWidth="1" style="54" min="3" max="3"/>
    <col width="41.36328125" customWidth="1" style="54" min="4" max="4"/>
    <col width="14.36328125" customWidth="1" style="54" min="5" max="5"/>
  </cols>
  <sheetData>
    <row r="1" ht="24" customHeight="1" s="54">
      <c r="A1" s="82" t="inlineStr">
        <is>
          <t>Periodic Landscape Assessment (Process + Outputs)</t>
        </is>
      </c>
      <c r="B1" s="80" t="n"/>
      <c r="C1" s="80" t="n"/>
      <c r="D1" s="80" t="n"/>
      <c r="E1" s="80" t="n"/>
      <c r="F1" s="80" t="n"/>
      <c r="G1" s="80" t="n"/>
      <c r="H1" s="80" t="n"/>
      <c r="I1" s="80" t="n"/>
      <c r="J1" s="80" t="n"/>
      <c r="K1" s="80" t="n"/>
      <c r="L1" s="81" t="n"/>
    </row>
    <row r="3" ht="24" customHeight="1" s="54">
      <c r="A3" s="8" t="inlineStr">
        <is>
          <t>Component</t>
        </is>
      </c>
      <c r="B3" s="85" t="inlineStr">
        <is>
          <t>Design</t>
        </is>
      </c>
    </row>
    <row r="4" ht="30" customHeight="1" s="54">
      <c r="A4" s="9" t="inlineStr">
        <is>
          <t>Objective</t>
        </is>
      </c>
      <c r="B4" s="83" t="inlineStr">
        <is>
          <t>Periodically assess the program portfolio to identify: what’s working, unmet needs/demand signals, duplication or misalignment, and priority opportunity areas to guide new proposals and support planning.</t>
        </is>
      </c>
    </row>
    <row r="5" ht="30" customHeight="1" s="54">
      <c r="A5" s="9" t="inlineStr">
        <is>
          <t>Recommended cadence</t>
        </is>
      </c>
      <c r="B5" s="83" t="inlineStr">
        <is>
          <t>Annual (recommended) aligned to planning/budget cycles. Optional: semiannual ‘light refresh’ focusing on demand/capacity + key KPI trends.</t>
        </is>
      </c>
    </row>
    <row r="6" ht="30" customHeight="1" s="54">
      <c r="A6" s="9" t="inlineStr">
        <is>
          <t>Inputs (minimum)</t>
        </is>
      </c>
      <c r="B6" s="84" t="inlineStr">
        <is>
          <t>Program inventory + enrollment/capacity; agreed core KPIs (outcomes + equity); demand &amp; choice signals (applications/waitlists, family surveys) including student mobility (entries/exits) summarized on the landscape cadence.</t>
        </is>
      </c>
    </row>
    <row r="7" ht="45" customHeight="1" s="54">
      <c r="A7" s="9" t="inlineStr">
        <is>
          <t>Inputs (optional / higher maturity)</t>
        </is>
      </c>
      <c r="B7" s="84" t="inlineStr">
        <is>
          <t>Cost/FTE by program; facilities utilization / available space (e.g., closures/repurposing); student mobility/choice deeper cuts; candidate ideas log/heatmap; peer benchmarks; mini trend scan; labor market/community demand signals.</t>
        </is>
      </c>
    </row>
    <row r="9" ht="24" customHeight="1" s="54">
      <c r="A9" s="79" t="inlineStr">
        <is>
          <t>6-Step Landscape Assessment Workflow</t>
        </is>
      </c>
      <c r="B9" s="80" t="n"/>
      <c r="C9" s="80" t="n"/>
      <c r="D9" s="80" t="n"/>
      <c r="E9" s="80" t="n"/>
      <c r="F9" s="80" t="n"/>
      <c r="G9" s="80" t="n"/>
      <c r="H9" s="80" t="n"/>
      <c r="I9" s="80" t="n"/>
      <c r="J9" s="80" t="n"/>
      <c r="K9" s="80" t="n"/>
      <c r="L9" s="81" t="n"/>
    </row>
    <row r="10" ht="24" customHeight="1" s="54">
      <c r="A10" s="8" t="inlineStr">
        <is>
          <t>Step</t>
        </is>
      </c>
      <c r="B10" s="8" t="inlineStr">
        <is>
          <t>What happens</t>
        </is>
      </c>
      <c r="C10" s="8" t="inlineStr">
        <is>
          <t>Owner(s)</t>
        </is>
      </c>
      <c r="D10" s="8" t="inlineStr">
        <is>
          <t>Artifacts produced</t>
        </is>
      </c>
      <c r="E10" s="8" t="inlineStr">
        <is>
          <t>Timing (example)</t>
        </is>
      </c>
    </row>
    <row r="11" ht="30" customHeight="1" s="54">
      <c r="A11" s="9" t="inlineStr">
        <is>
          <t>1. Refresh inventory dataset</t>
        </is>
      </c>
      <c r="B11" s="9" t="inlineStr">
        <is>
          <t>Update program list, category/grade bands, entry model, and basic scale; update candidate ideas log (new ideas this cycle).</t>
        </is>
      </c>
      <c r="C11" s="9" t="inlineStr">
        <is>
          <t>Program Review team + Enrollment/Choice</t>
        </is>
      </c>
      <c r="D11" s="9" t="inlineStr">
        <is>
          <t>Updated Portfolio Dataset; Inventory heatmap; Candidate idea heatmap (optional)</t>
        </is>
      </c>
      <c r="E11" s="9" t="inlineStr">
        <is>
          <t>Week 1</t>
        </is>
      </c>
    </row>
    <row r="12" ht="30" customHeight="1" s="54">
      <c r="A12" s="76" t="inlineStr">
        <is>
          <t>2. Refresh demand &amp; capacity signals</t>
        </is>
      </c>
      <c r="B12" s="76" t="inlineStr">
        <is>
          <t>Pull applications/waitlists/open enrollment interest; summarize entries/exits + reasons (as available); flag geographies/segments with shifts.</t>
        </is>
      </c>
      <c r="C12" s="76" t="inlineStr">
        <is>
          <t>Enrollment/Choice + site teams</t>
        </is>
      </c>
      <c r="D12" s="76" t="inlineStr">
        <is>
          <t>Demand/choice summary; Demand vs Capacity quadrant; mobility/choice dashboard (optional)</t>
        </is>
      </c>
      <c r="E12" s="76" t="inlineStr">
        <is>
          <t>Week 1–2</t>
        </is>
      </c>
    </row>
    <row r="13" ht="30" customHeight="1" s="54">
      <c r="A13" s="9" t="inlineStr">
        <is>
          <t>3. Refresh outcomes &amp; equity indicators</t>
        </is>
      </c>
      <c r="B13" s="9" t="inlineStr">
        <is>
          <t>Pull agreed KPIs and disaggregations; note constraints/opportunities (staffing, facilities, transport) that affect access and scalability.</t>
        </is>
      </c>
      <c r="C13" s="9" t="inlineStr">
        <is>
          <t>Assessment + program leads</t>
        </is>
      </c>
      <c r="D13" s="9" t="inlineStr">
        <is>
          <t>Target vs Actual dashboard; equity/access snapshot; constraints flags</t>
        </is>
      </c>
      <c r="E13" s="9" t="inlineStr">
        <is>
          <t>Week 2</t>
        </is>
      </c>
    </row>
    <row r="14" ht="30" customHeight="1" s="54">
      <c r="A14" s="76" t="inlineStr">
        <is>
          <t>4. Synthesize findings</t>
        </is>
      </c>
      <c r="B14" s="76" t="inlineStr">
        <is>
          <t>Interpret visuals; identify growth, redesign, and sunset candidates.</t>
        </is>
      </c>
      <c r="C14" s="76" t="inlineStr">
        <is>
          <t>Program Review team</t>
        </is>
      </c>
      <c r="D14" s="76" t="inlineStr">
        <is>
          <t>Landscape Summary + Opportunity Register</t>
        </is>
      </c>
      <c r="E14" s="76" t="inlineStr">
        <is>
          <t>Week 3</t>
        </is>
      </c>
    </row>
    <row r="15" ht="30" customHeight="1" s="54">
      <c r="A15" s="9" t="inlineStr">
        <is>
          <t>5. Set portfolio priorities</t>
        </is>
      </c>
      <c r="B15" s="9" t="inlineStr">
        <is>
          <t>Agree 3–5 opportunity areas and constraints (budget/staffing).</t>
        </is>
      </c>
      <c r="C15" s="9" t="inlineStr">
        <is>
          <t>SPARK leadership</t>
        </is>
      </c>
      <c r="D15" s="9" t="inlineStr">
        <is>
          <t>Portfolio Priorities statement</t>
        </is>
      </c>
      <c r="E15" s="9" t="inlineStr">
        <is>
          <t>Week 3–4</t>
        </is>
      </c>
    </row>
    <row r="16" ht="30" customHeight="1" s="54">
      <c r="A16" s="76" t="inlineStr">
        <is>
          <t>6. Publish + feed into intake</t>
        </is>
      </c>
      <c r="B16" s="76" t="inlineStr">
        <is>
          <t>Share outputs; update intake prompts; schedule deep dives.</t>
        </is>
      </c>
      <c r="C16" s="76" t="inlineStr">
        <is>
          <t>SPARK whole group</t>
        </is>
      </c>
      <c r="D16" s="76" t="inlineStr">
        <is>
          <t>Landscape Brief; updated intake focus areas</t>
        </is>
      </c>
      <c r="E16" s="76" t="inlineStr">
        <is>
          <t>Week 4</t>
        </is>
      </c>
    </row>
    <row r="18" ht="24" customHeight="1" s="54">
      <c r="A18" s="79" t="inlineStr">
        <is>
          <t>Standard Landscape Outputs (Shareable)</t>
        </is>
      </c>
      <c r="B18" s="80" t="n"/>
      <c r="C18" s="80" t="n"/>
      <c r="D18" s="80" t="n"/>
      <c r="E18" s="80" t="n"/>
      <c r="F18" s="80" t="n"/>
      <c r="G18" s="80" t="n"/>
      <c r="H18" s="80" t="n"/>
      <c r="I18" s="80" t="n"/>
      <c r="J18" s="80" t="n"/>
      <c r="K18" s="80" t="n"/>
      <c r="L18" s="81" t="n"/>
    </row>
    <row r="19" ht="24" customHeight="1" s="54">
      <c r="A19" s="8" t="inlineStr">
        <is>
          <t>Output artifact</t>
        </is>
      </c>
      <c r="B19" s="8" t="inlineStr">
        <is>
          <t>Contents</t>
        </is>
      </c>
      <c r="C19" s="8" t="inlineStr">
        <is>
          <t>Audience</t>
        </is>
      </c>
      <c r="D19" s="8" t="inlineStr">
        <is>
          <t>Where it plugs in</t>
        </is>
      </c>
    </row>
    <row r="20" ht="30" customHeight="1" s="54">
      <c r="A20" s="9" t="inlineStr">
        <is>
          <t>Landscape Brief (2–4 pages)</t>
        </is>
      </c>
      <c r="B20" s="9" t="inlineStr">
        <is>
          <t>4–6 visuals + key findings + opportunity areas + risks</t>
        </is>
      </c>
      <c r="C20" s="9" t="inlineStr">
        <is>
          <t>SPARK whole group</t>
        </is>
      </c>
      <c r="D20" s="9" t="inlineStr">
        <is>
          <t>SPARK meeting updates; annual planning</t>
        </is>
      </c>
    </row>
    <row r="21" ht="30" customHeight="1" s="54">
      <c r="A21" s="76" t="inlineStr">
        <is>
          <t>Opportunity Register (table)</t>
        </is>
      </c>
      <c r="B21" s="76" t="inlineStr">
        <is>
          <t>Gaps/opportunities; demand signals; actions; owner; timing</t>
        </is>
      </c>
      <c r="C21" s="76" t="inlineStr">
        <is>
          <t>Program Review + leadership</t>
        </is>
      </c>
      <c r="D21" s="76" t="inlineStr">
        <is>
          <t>Feeds intake &amp; support planning</t>
        </is>
      </c>
    </row>
    <row r="22" ht="30" customHeight="1" s="54">
      <c r="A22" s="9" t="inlineStr">
        <is>
          <t>Portfolio Dashboard</t>
        </is>
      </c>
      <c r="B22" s="9" t="inlineStr">
        <is>
          <t>Heatmap + treemap + access scatter + demand/capacity quadrant + (optional) candidate idea heatmap + mobility/choice snapshot.</t>
        </is>
      </c>
      <c r="C22" s="9" t="inlineStr">
        <is>
          <t>Leadership + SPARK</t>
        </is>
      </c>
      <c r="D22" s="9" t="inlineStr">
        <is>
          <t>Ongoing monitoring; board-ready view if needed</t>
        </is>
      </c>
    </row>
    <row r="23" ht="30" customHeight="1" s="54">
      <c r="A23" s="76" t="inlineStr">
        <is>
          <t>Portfolio Priorities Statement (1 page)</t>
        </is>
      </c>
      <c r="B23" s="76" t="inlineStr">
        <is>
          <t>Top priorities + constraints + what’s not in scope this cycle</t>
        </is>
      </c>
      <c r="C23" s="76" t="inlineStr">
        <is>
          <t>SPARK leadership</t>
        </is>
      </c>
      <c r="D23" s="76" t="inlineStr">
        <is>
          <t>Sets expectations for proposals; reduces churn</t>
        </is>
      </c>
    </row>
  </sheetData>
  <mergeCells count="8">
    <mergeCell ref="B6:C6"/>
    <mergeCell ref="B7:C7"/>
    <mergeCell ref="B3:C3"/>
    <mergeCell ref="B5:C5"/>
    <mergeCell ref="A1:L1"/>
    <mergeCell ref="A9:L9"/>
    <mergeCell ref="A18:L18"/>
    <mergeCell ref="B4:C4"/>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L55"/>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55" customWidth="1" style="54" min="1" max="2"/>
    <col width="45" customWidth="1" style="54" min="3" max="3"/>
    <col width="53.08984375" customWidth="1" style="54" min="4" max="4"/>
    <col width="55" customWidth="1" style="54" min="5" max="5"/>
    <col width="54.90625" customWidth="1" style="54" min="6" max="6"/>
    <col width="55" customWidth="1" style="54" min="7" max="7"/>
    <col width="13.453125" customWidth="1" style="54" min="8" max="8"/>
    <col width="16.1796875" customWidth="1" style="54" min="9" max="9"/>
    <col width="10" customWidth="1" style="54" min="10" max="10"/>
    <col width="20.7265625" customWidth="1" style="54" min="11" max="11"/>
    <col width="10" customWidth="1" style="54" min="12" max="12"/>
  </cols>
  <sheetData>
    <row r="1" ht="30" customHeight="1" s="54">
      <c r="A1" s="88" t="inlineStr">
        <is>
          <t>Mobility &amp; Choice Signals (Student Entry + Exit) — Design + How to Use in Landscape, Intake, and Ongoing Reviews</t>
        </is>
      </c>
    </row>
    <row r="3" ht="24" customHeight="1" s="54">
      <c r="A3" s="8" t="inlineStr">
        <is>
          <t>Component</t>
        </is>
      </c>
      <c r="B3" s="86" t="inlineStr">
        <is>
          <t>Design</t>
        </is>
      </c>
      <c r="C3" s="77" t="n"/>
      <c r="D3" s="77" t="n"/>
      <c r="E3" s="77" t="n"/>
      <c r="F3" s="77" t="n"/>
      <c r="G3" s="77" t="n"/>
      <c r="H3" s="77" t="n"/>
      <c r="I3" s="77" t="n"/>
      <c r="J3" s="78" t="n"/>
    </row>
    <row r="4" ht="49.5" customHeight="1" s="54">
      <c r="A4" s="9" t="inlineStr">
        <is>
          <t>Objective</t>
        </is>
      </c>
      <c r="B4" s="89" t="inlineStr">
        <is>
          <t>Understand where exiting students go AND why they leave, and where entering students come from AND why they choose SUSD; segment patterns by cohort to translate into 'needs / strengths / opportunity areas' that inform: (a) portfolio landscape priorities, (b) candidate program triage/full review, and (c) ongoing program improvement.</t>
        </is>
      </c>
      <c r="C4" s="77" t="n"/>
      <c r="D4" s="77" t="n"/>
      <c r="E4" s="77" t="n"/>
      <c r="F4" s="77" t="n"/>
      <c r="G4" s="77" t="n"/>
      <c r="H4" s="77" t="n"/>
      <c r="I4" s="77" t="n"/>
      <c r="J4" s="78" t="n"/>
    </row>
    <row r="5" ht="45.5" customHeight="1" s="54">
      <c r="A5" s="9" t="inlineStr">
        <is>
          <t>Where it plugs in</t>
        </is>
      </c>
      <c r="B5" s="87" t="inlineStr">
        <is>
          <t>Landscape Assessment: treat mobility/choice as a demand-and-access lens. Data is collected continuously, but summarized/interpreted on the landscape cadence (e.g., quarterly light view; annual full landscape). Intake/Triage: use as a triangulation signal (not a standalone justification). Ongoing Reviews: flag segments where access, climate, or fit issues are driving mobility.</t>
        </is>
      </c>
      <c r="C5" s="77" t="n"/>
      <c r="D5" s="77" t="n"/>
      <c r="E5" s="77" t="n"/>
      <c r="F5" s="77" t="n"/>
      <c r="G5" s="77" t="n"/>
      <c r="H5" s="77" t="n"/>
      <c r="I5" s="77" t="n"/>
      <c r="J5" s="78" t="n"/>
    </row>
    <row r="6" ht="45.5" customHeight="1" s="54">
      <c r="A6" s="9" t="inlineStr">
        <is>
          <t>Primary data sources (likely)</t>
        </is>
      </c>
      <c r="B6" s="89" t="inlineStr">
        <is>
          <t>Student withdrawal/exit records (codes + destination type where available); exit surveys/interviews; enrollment and open enrollment application data; entry surveys/interviews (new family onboarding); optional: follow-up survey for leavers (30–90 days) and for entrants (30–90 days after enrollment).</t>
        </is>
      </c>
      <c r="C6" s="77" t="n"/>
      <c r="D6" s="77" t="n"/>
      <c r="E6" s="77" t="n"/>
      <c r="F6" s="77" t="n"/>
      <c r="G6" s="77" t="n"/>
      <c r="H6" s="77" t="n"/>
      <c r="I6" s="77" t="n"/>
      <c r="J6" s="78" t="n"/>
    </row>
    <row r="7" ht="45.5" customHeight="1" s="54">
      <c r="A7" s="9" t="inlineStr">
        <is>
          <t>Key measures (minimum)</t>
        </is>
      </c>
      <c r="B7" s="89" t="inlineStr">
        <is>
          <t>Exit rate and entry rate by grade band and site; destination/origin mix (other public district, charter, private, homeschool, move in/out of area); top reasons (aggregated) for exits AND entries; net migration (entries minus exits) by segment; choice conversion (applications → acceptances → enrollment) where data exists.</t>
        </is>
      </c>
      <c r="C7" s="77" t="n"/>
      <c r="D7" s="77" t="n"/>
      <c r="E7" s="77" t="n"/>
      <c r="F7" s="77" t="n"/>
      <c r="G7" s="77" t="n"/>
      <c r="H7" s="77" t="n"/>
      <c r="I7" s="77" t="n"/>
      <c r="J7" s="78" t="n"/>
    </row>
    <row r="8" ht="47.5" customHeight="1" s="54">
      <c r="A8" s="9" t="inlineStr">
        <is>
          <t>Segmentation / cohorts</t>
        </is>
      </c>
      <c r="B8" s="89" t="inlineStr">
        <is>
          <t>Grade band (E/M/HS), sending/receiving school and learning community, demographics, EL/SPED, attendance/discipline risk, program participation, geography (boundary), entry model (neighborhood vs choice), and time-in-program/tenure (if feasible).</t>
        </is>
      </c>
      <c r="C8" s="77" t="n"/>
      <c r="D8" s="77" t="n"/>
      <c r="E8" s="77" t="n"/>
      <c r="F8" s="77" t="n"/>
      <c r="G8" s="77" t="n"/>
      <c r="H8" s="77" t="n"/>
      <c r="I8" s="77" t="n"/>
      <c r="J8" s="78" t="n"/>
    </row>
    <row r="9" ht="58" customHeight="1" s="54">
      <c r="A9" s="9" t="inlineStr">
        <is>
          <t>Needs / opportunity tagging (bridge)</t>
        </is>
      </c>
      <c r="B9" s="89" t="inlineStr">
        <is>
          <t>Create a small taxonomy of 'need/opportunity tags' (e.g., Advanced academics; Gifted hub/magnet; STEM pathway; Arts pathway; Dual language/biliteracy; Traditional/structured model; Climate/culture; Inclusive supports; Flexible scheduling; CTE/career pathways). Map recurring exit/entry reason categories to these tags to inform portfolio gaps/opportunities and strengths to protect.</t>
        </is>
      </c>
      <c r="C9" s="77" t="n"/>
      <c r="D9" s="77" t="n"/>
      <c r="E9" s="77" t="n"/>
      <c r="F9" s="77" t="n"/>
      <c r="G9" s="77" t="n"/>
      <c r="H9" s="77" t="n"/>
      <c r="I9" s="77" t="n"/>
      <c r="J9" s="78" t="n"/>
    </row>
    <row r="10" ht="93" customHeight="1" s="54">
      <c r="A10" s="9" t="inlineStr">
        <is>
          <t>Recommended visuals</t>
        </is>
      </c>
      <c r="B10" s="89" t="inlineStr">
        <is>
          <t>1) Destination Mix + Origin Mix Stacked Bars (by grade band / site)
2) Net Migration Heatmap (site × grade band; entries minus exits)
3) Mobility Flow Sankey (sending school → destination/origin type; aggregated)
4) Reason Pareto (top reasons for exits and entries by segment)
5) Push–Pull Matrix (reasons categorized as push vs pull vs logistics/circumstance)
6) Access Barrier Scatter (eligible pool vs participation + reason patterns if linkable)</t>
        </is>
      </c>
      <c r="C10" s="77" t="n"/>
      <c r="D10" s="77" t="n"/>
      <c r="E10" s="77" t="n"/>
      <c r="F10" s="77" t="n"/>
      <c r="G10" s="77" t="n"/>
      <c r="H10" s="77" t="n"/>
      <c r="I10" s="77" t="n"/>
      <c r="J10" s="78" t="n"/>
    </row>
    <row r="11" ht="33.5" customHeight="1" s="54">
      <c r="A11" s="9" t="inlineStr">
        <is>
          <t>Governance / privacy</t>
        </is>
      </c>
      <c r="B11" s="89" t="inlineStr">
        <is>
          <t>Use aggregated counts; suppress small cell sizes; avoid publishing student-level destinations. Label as 'directional' and pair with qualitative follow-up. Define ownership (Data/Enrollment) and review cadence.</t>
        </is>
      </c>
      <c r="C11" s="77" t="n"/>
      <c r="D11" s="77" t="n"/>
      <c r="E11" s="77" t="n"/>
      <c r="F11" s="77" t="n"/>
      <c r="G11" s="77" t="n"/>
      <c r="H11" s="77" t="n"/>
      <c r="I11" s="77" t="n"/>
      <c r="J11" s="78" t="n"/>
    </row>
    <row r="12" ht="29" customHeight="1" s="54">
      <c r="A12" s="9" t="inlineStr">
        <is>
          <t>Caveats / how to interpret</t>
        </is>
      </c>
      <c r="B12" s="89" t="inlineStr">
        <is>
          <t>Exits are not all program-driven (moves, housing). Use reason codes/surveys cautiously (response bias). Look for persistent patterns over time, by segment, and triangulate with demand/waitlists and climate/outcomes.</t>
        </is>
      </c>
      <c r="C12" s="77" t="n"/>
      <c r="D12" s="77" t="n"/>
      <c r="E12" s="77" t="n"/>
      <c r="F12" s="77" t="n"/>
      <c r="G12" s="77" t="n"/>
      <c r="H12" s="77" t="n"/>
      <c r="I12" s="77" t="n"/>
      <c r="J12" s="78" t="n"/>
    </row>
    <row r="14" ht="18.5" customHeight="1" s="54">
      <c r="A14" s="90" t="inlineStr">
        <is>
          <t>Reason Taxonomy (Examples) — Exits and Entries (for consistent interpretation)</t>
        </is>
      </c>
    </row>
    <row r="16" ht="24" customHeight="1" s="54">
      <c r="A16" s="8" t="inlineStr">
        <is>
          <t>Flow (Entry/Exit)</t>
        </is>
      </c>
      <c r="B16" s="8" t="inlineStr">
        <is>
          <t>Driver type (Push/Pull/Logistics/Circumstance/Policy)</t>
        </is>
      </c>
      <c r="C16" s="8" t="inlineStr">
        <is>
          <t>Reason category</t>
        </is>
      </c>
      <c r="D16" s="8" t="inlineStr">
        <is>
          <t>Subcategory examples</t>
        </is>
      </c>
      <c r="E16" s="8" t="inlineStr">
        <is>
          <t>What it may signal (hypothesis)</t>
        </is>
      </c>
      <c r="F16" s="8" t="inlineStr">
        <is>
          <t>Suggested need/opportunity tag(s)</t>
        </is>
      </c>
      <c r="G16" s="8" t="inlineStr">
        <is>
          <t>Evidence to confirm (triangulate)</t>
        </is>
      </c>
    </row>
    <row r="17" ht="29" customHeight="1" s="54">
      <c r="A17" s="9" t="inlineStr">
        <is>
          <t>Exit</t>
        </is>
      </c>
      <c r="B17" s="9" t="inlineStr">
        <is>
          <t>Circumstance</t>
        </is>
      </c>
      <c r="C17" s="9" t="inlineStr">
        <is>
          <t>Family move / relocation</t>
        </is>
      </c>
      <c r="D17" s="9" t="inlineStr">
        <is>
          <t>Move out of area; move within AZ; move out of state/country</t>
        </is>
      </c>
      <c r="E17" s="9" t="inlineStr">
        <is>
          <t>Not program-driven; mobility drivers. May mask other reasons if coded broadly.</t>
        </is>
      </c>
      <c r="F17" s="9" t="inlineStr">
        <is>
          <t>N/A (mobility)</t>
        </is>
      </c>
      <c r="G17" s="9" t="inlineStr">
        <is>
          <t>Compare to historical mobility; segment by grade band and geography; optional follow-up survey.</t>
        </is>
      </c>
    </row>
    <row r="18" ht="29" customHeight="1" s="54">
      <c r="A18" s="76" t="inlineStr">
        <is>
          <t>Exit</t>
        </is>
      </c>
      <c r="B18" s="76" t="inlineStr">
        <is>
          <t>Circumstance</t>
        </is>
      </c>
      <c r="C18" s="76" t="inlineStr">
        <is>
          <t>Family/caregiver change</t>
        </is>
      </c>
      <c r="D18" s="76" t="inlineStr">
        <is>
          <t>Custody change; caregiving shift; housing instability</t>
        </is>
      </c>
      <c r="E18" s="76" t="inlineStr">
        <is>
          <t>Potential instability; may require wraparound supports rather than program redesign.</t>
        </is>
      </c>
      <c r="F18" s="76" t="inlineStr">
        <is>
          <t>Student support services; community supports</t>
        </is>
      </c>
      <c r="G18" s="76" t="inlineStr">
        <is>
          <t>Counselor/social work aggregates; attendance trends; qualitative follow-up.</t>
        </is>
      </c>
    </row>
    <row r="19" ht="29" customHeight="1" s="54">
      <c r="A19" s="9" t="inlineStr">
        <is>
          <t>Exit</t>
        </is>
      </c>
      <c r="B19" s="9" t="inlineStr">
        <is>
          <t>Logistics</t>
        </is>
      </c>
      <c r="C19" s="9" t="inlineStr">
        <is>
          <t>Transportation/commute burden</t>
        </is>
      </c>
      <c r="D19" s="9" t="inlineStr">
        <is>
          <t>No bus; long drive; traffic; start times</t>
        </is>
      </c>
      <c r="E19" s="9" t="inlineStr">
        <is>
          <t>Access barrier; program may be attractive but logistically infeasible for some families.</t>
        </is>
      </c>
      <c r="F19" s="9" t="inlineStr">
        <is>
          <t>Transportation/access; choice model redesign</t>
        </is>
      </c>
      <c r="G19" s="9" t="inlineStr">
        <is>
          <t>Commute mapping; transportation availability; survey reasons; participation disparities.</t>
        </is>
      </c>
    </row>
    <row r="20" ht="29" customHeight="1" s="54">
      <c r="A20" s="76" t="inlineStr">
        <is>
          <t>Exit</t>
        </is>
      </c>
      <c r="B20" s="76" t="inlineStr">
        <is>
          <t>Logistics</t>
        </is>
      </c>
      <c r="C20" s="76" t="inlineStr">
        <is>
          <t>Childcare / scheduling mismatch</t>
        </is>
      </c>
      <c r="D20" s="76" t="inlineStr">
        <is>
          <t>Before/after care; calendar mismatch; after-school needs</t>
        </is>
      </c>
      <c r="E20" s="76" t="inlineStr">
        <is>
          <t>Operational barrier; may signal need for extended-day supports.</t>
        </is>
      </c>
      <c r="F20" s="76" t="inlineStr">
        <is>
          <t>Operational supports; flexible scheduling</t>
        </is>
      </c>
      <c r="G20" s="76" t="inlineStr">
        <is>
          <t>Aftercare capacity; survey; comparison to peers with extended-day programs.</t>
        </is>
      </c>
    </row>
    <row r="21" ht="29" customHeight="1" s="54">
      <c r="A21" s="9" t="inlineStr">
        <is>
          <t>Exit</t>
        </is>
      </c>
      <c r="B21" s="9" t="inlineStr">
        <is>
          <t>Logistics</t>
        </is>
      </c>
      <c r="C21" s="9" t="inlineStr">
        <is>
          <t>Sibling alignment / feeder pattern</t>
        </is>
      </c>
      <c r="D21" s="9" t="inlineStr">
        <is>
          <t>Different schools for siblings; transition concerns</t>
        </is>
      </c>
      <c r="E21" s="9" t="inlineStr">
        <is>
          <t>Choice friction; could be addressed by pathway clarity or sibling preference rules.</t>
        </is>
      </c>
      <c r="F21" s="9" t="inlineStr">
        <is>
          <t>Pathway clarity; enrollment policy tweaks</t>
        </is>
      </c>
      <c r="G21" s="9" t="inlineStr">
        <is>
          <t>Enrollment policy review; frequency of this reason; interviews.</t>
        </is>
      </c>
    </row>
    <row r="22" ht="29" customHeight="1" s="54">
      <c r="A22" s="76" t="inlineStr">
        <is>
          <t>Exit</t>
        </is>
      </c>
      <c r="B22" s="76" t="inlineStr">
        <is>
          <t>Push</t>
        </is>
      </c>
      <c r="C22" s="76" t="inlineStr">
        <is>
          <t>Safety / bullying / school climate</t>
        </is>
      </c>
      <c r="D22" s="76" t="inlineStr">
        <is>
          <t>Bullying; safety incidents; feeling unsafe</t>
        </is>
      </c>
      <c r="E22" s="76" t="inlineStr">
        <is>
          <t>Climate/culture issue; may require targeted improvement more than new programs.</t>
        </is>
      </c>
      <c r="F22" s="76" t="inlineStr">
        <is>
          <t>Climate/culture improvement; SEL/behavior supports</t>
        </is>
      </c>
      <c r="G22" s="76" t="inlineStr">
        <is>
          <t>Climate survey; discipline/attendance; incident trends; focus groups.</t>
        </is>
      </c>
    </row>
    <row r="23" ht="29" customHeight="1" s="54">
      <c r="A23" s="9" t="inlineStr">
        <is>
          <t>Exit</t>
        </is>
      </c>
      <c r="B23" s="9" t="inlineStr">
        <is>
          <t>Push</t>
        </is>
      </c>
      <c r="C23" s="9" t="inlineStr">
        <is>
          <t>Academic fit (too little challenge)</t>
        </is>
      </c>
      <c r="D23" s="9" t="inlineStr">
        <is>
          <t>Not challenged; wants acceleration; gifted services</t>
        </is>
      </c>
      <c r="E23" s="9" t="inlineStr">
        <is>
          <t>Potential unmet need for advanced/accelerated pathways or stronger differentiation.</t>
        </is>
      </c>
      <c r="F23" s="9" t="inlineStr">
        <is>
          <t>Advanced academics; gifted/advanced hub; accelerated pathways</t>
        </is>
      </c>
      <c r="G23" s="9" t="inlineStr">
        <is>
          <t>Advanced course access; gifted identification; survey verbatims; peer comparisons.</t>
        </is>
      </c>
    </row>
    <row r="24" ht="29" customHeight="1" s="54">
      <c r="A24" s="76" t="inlineStr">
        <is>
          <t>Exit</t>
        </is>
      </c>
      <c r="B24" s="76" t="inlineStr">
        <is>
          <t>Push</t>
        </is>
      </c>
      <c r="C24" s="76" t="inlineStr">
        <is>
          <t>Academic fit (too hard / support gaps)</t>
        </is>
      </c>
      <c r="D24" s="76" t="inlineStr">
        <is>
          <t>Struggling academically; inadequate supports</t>
        </is>
      </c>
      <c r="E24" s="76" t="inlineStr">
        <is>
          <t>Need for intervention supports and inclusive design; may also reflect placement/fidelity issues.</t>
        </is>
      </c>
      <c r="F24" s="76" t="inlineStr">
        <is>
          <t>MTSS/intervention; inclusive supports</t>
        </is>
      </c>
      <c r="G24" s="76" t="inlineStr">
        <is>
          <t>Course failure patterns; MTSS fidelity; tutoring supports; family feedback.</t>
        </is>
      </c>
    </row>
    <row r="25" ht="29" customHeight="1" s="54">
      <c r="A25" s="12" t="inlineStr">
        <is>
          <t>Exit</t>
        </is>
      </c>
      <c r="B25" s="9" t="inlineStr">
        <is>
          <t>Push</t>
        </is>
      </c>
      <c r="C25" s="9" t="inlineStr">
        <is>
          <t>Instructional quality / teacher fit</t>
        </is>
      </c>
      <c r="D25" s="9" t="inlineStr">
        <is>
          <t>Teacher mismatch; instructional approach concerns</t>
        </is>
      </c>
      <c r="E25" s="9" t="inlineStr">
        <is>
          <t>Could indicate localized implementation/fidelity issues rather than model-level failure.</t>
        </is>
      </c>
      <c r="F25" s="9" t="inlineStr">
        <is>
          <t>Implementation support; PD coaching</t>
        </is>
      </c>
      <c r="G25" s="9" t="inlineStr">
        <is>
          <t>Observation/fidelity tools; teacher turnover; complaint themes (aggregate).</t>
        </is>
      </c>
    </row>
    <row r="26" ht="29" customHeight="1" s="54">
      <c r="A26" s="76" t="inlineStr">
        <is>
          <t>Exit</t>
        </is>
      </c>
      <c r="B26" s="76" t="inlineStr">
        <is>
          <t>Push</t>
        </is>
      </c>
      <c r="C26" s="76" t="inlineStr">
        <is>
          <t>Leadership/communication dissatisfaction</t>
        </is>
      </c>
      <c r="D26" s="76" t="inlineStr">
        <is>
          <t>Poor communication; inconsistent policies</t>
        </is>
      </c>
      <c r="E26" s="76" t="inlineStr">
        <is>
          <t>Governance/management issue; may require site leadership support.</t>
        </is>
      </c>
      <c r="F26" s="76" t="inlineStr">
        <is>
          <t>Communication plan; leadership coaching</t>
        </is>
      </c>
      <c r="G26" s="76" t="inlineStr">
        <is>
          <t>Survey items; complaint categories; stakeholder interviews.</t>
        </is>
      </c>
    </row>
    <row r="27" ht="29" customHeight="1" s="54">
      <c r="A27" s="13" t="inlineStr">
        <is>
          <t>Exit</t>
        </is>
      </c>
      <c r="B27" s="13" t="inlineStr">
        <is>
          <t>Push</t>
        </is>
      </c>
      <c r="C27" s="13" t="inlineStr">
        <is>
          <t>Class size / school size preference</t>
        </is>
      </c>
      <c r="D27" s="13" t="inlineStr">
        <is>
          <t>Wants smaller classes; wants smaller/bigger school</t>
        </is>
      </c>
      <c r="E27" s="13" t="inlineStr">
        <is>
          <t>Preference-based; may inform portfolio segmentation and capacity planning.</t>
        </is>
      </c>
      <c r="F27" s="13" t="inlineStr">
        <is>
          <t>Class size strategy; school model options</t>
        </is>
      </c>
      <c r="G27" s="13" t="inlineStr">
        <is>
          <t>Compare class size data; segment patterns; peer benchmarks.</t>
        </is>
      </c>
      <c r="H27" s="4" t="n"/>
      <c r="I27" s="4" t="n"/>
      <c r="J27" s="4" t="n"/>
    </row>
    <row r="28" ht="29" customHeight="1" s="54">
      <c r="A28" s="76" t="inlineStr">
        <is>
          <t>Exit</t>
        </is>
      </c>
      <c r="B28" s="76" t="inlineStr">
        <is>
          <t>Push</t>
        </is>
      </c>
      <c r="C28" s="76" t="inlineStr">
        <is>
          <t>Support services (SPED/504/EL) not meeting needs</t>
        </is>
      </c>
      <c r="D28" s="76" t="inlineStr">
        <is>
          <t>IEP services; accommodations; language supports</t>
        </is>
      </c>
      <c r="E28" s="76" t="inlineStr">
        <is>
          <t>Accessibility gap; may require staffing/design change; equity risk.</t>
        </is>
      </c>
      <c r="F28" s="76" t="inlineStr">
        <is>
          <t>Accessibility &amp; supports; inclusive programming</t>
        </is>
      </c>
      <c r="G28" s="76" t="inlineStr">
        <is>
          <t>IEP service indicators; EL supports; staffing ratios; parent feedback.</t>
        </is>
      </c>
      <c r="H28" s="5" t="n"/>
      <c r="I28" s="5" t="n"/>
      <c r="J28" s="5" t="n"/>
    </row>
    <row r="29" ht="29" customHeight="1" s="54">
      <c r="A29" s="9" t="inlineStr">
        <is>
          <t>Exit</t>
        </is>
      </c>
      <c r="B29" s="9" t="inlineStr">
        <is>
          <t>Push</t>
        </is>
      </c>
      <c r="C29" s="9" t="inlineStr">
        <is>
          <t>Social fit / belonging</t>
        </is>
      </c>
      <c r="D29" s="9" t="inlineStr">
        <is>
          <t>Peer conflict; belonging; social-emotional fit</t>
        </is>
      </c>
      <c r="E29" s="9" t="inlineStr">
        <is>
          <t>Could indicate climate/belonging needs; may differ by segment or grade band.</t>
        </is>
      </c>
      <c r="F29" s="9" t="inlineStr">
        <is>
          <t>Belonging/SEL supports; climate improvement</t>
        </is>
      </c>
      <c r="G29" s="9" t="inlineStr">
        <is>
          <t>Student survey; counseling aggregates; qualitative follow-up.</t>
        </is>
      </c>
    </row>
    <row r="30" ht="29" customHeight="1" s="54">
      <c r="A30" s="76" t="inlineStr">
        <is>
          <t>Exit</t>
        </is>
      </c>
      <c r="B30" s="76" t="inlineStr">
        <is>
          <t>Pull</t>
        </is>
      </c>
      <c r="C30" s="76" t="inlineStr">
        <is>
          <t>Specialized program elsewhere — Gifted/Advanced</t>
        </is>
      </c>
      <c r="D30" s="76" t="inlineStr">
        <is>
          <t>Magnet academy; gifted hub</t>
        </is>
      </c>
      <c r="E30" s="76" t="inlineStr">
        <is>
          <t>Demand for advanced studies identity/cohort; potential portfolio opportunity.</t>
        </is>
      </c>
      <c r="F30" s="76" t="inlineStr">
        <is>
          <t>Gifted/advanced hub/magnet</t>
        </is>
      </c>
      <c r="G30" s="76" t="inlineStr">
        <is>
          <t>Peer scan; competitor mapping; demand survey; enrollment patterns.</t>
        </is>
      </c>
    </row>
    <row r="31" ht="29" customHeight="1" s="54">
      <c r="A31" s="9" t="inlineStr">
        <is>
          <t>Exit</t>
        </is>
      </c>
      <c r="B31" s="9" t="inlineStr">
        <is>
          <t>Pull</t>
        </is>
      </c>
      <c r="C31" s="9" t="inlineStr">
        <is>
          <t>Specialized program elsewhere — Arts</t>
        </is>
      </c>
      <c r="D31" s="9" t="inlineStr">
        <is>
          <t>Arts magnet; conservatory; intensive arts pathway</t>
        </is>
      </c>
      <c r="E31" s="9" t="inlineStr">
        <is>
          <t>Demand for arts pathway identity; potential portfolio opportunity.</t>
        </is>
      </c>
      <c r="F31" s="9" t="inlineStr">
        <is>
          <t>Arts pathway / arts hub/magnet</t>
        </is>
      </c>
      <c r="G31" s="9" t="inlineStr">
        <is>
          <t>Benchmark exemplars; interest survey; course access review.</t>
        </is>
      </c>
    </row>
    <row r="32" ht="29" customHeight="1" s="54">
      <c r="A32" s="76" t="inlineStr">
        <is>
          <t>Exit</t>
        </is>
      </c>
      <c r="B32" s="76" t="inlineStr">
        <is>
          <t>Pull</t>
        </is>
      </c>
      <c r="C32" s="76" t="inlineStr">
        <is>
          <t>Specialized program elsewhere — STEM</t>
        </is>
      </c>
      <c r="D32" s="76" t="inlineStr">
        <is>
          <t>Robotics/engineering intensive; STEM academy</t>
        </is>
      </c>
      <c r="E32" s="76" t="inlineStr">
        <is>
          <t>Demand for coherent STEM pathway; labs/competitions/partners.</t>
        </is>
      </c>
      <c r="F32" s="76" t="inlineStr">
        <is>
          <t>STEM pathway; STEM-certified; MSA-like cohort</t>
        </is>
      </c>
      <c r="G32" s="76" t="inlineStr">
        <is>
          <t>Applications/waitlists; STEM sequencing; partner interest; outcome proxies.</t>
        </is>
      </c>
    </row>
    <row r="33" ht="29" customHeight="1" s="54">
      <c r="A33" s="9" t="inlineStr">
        <is>
          <t>Exit</t>
        </is>
      </c>
      <c r="B33" s="9" t="inlineStr">
        <is>
          <t>Pull</t>
        </is>
      </c>
      <c r="C33" s="9" t="inlineStr">
        <is>
          <t>Specialized program elsewhere — Language immersion</t>
        </is>
      </c>
      <c r="D33" s="9" t="inlineStr">
        <is>
          <t>Immersion program not available/accessible</t>
        </is>
      </c>
      <c r="E33" s="9" t="inlineStr">
        <is>
          <t>Demand for biliteracy; may also indicate transport/access barrier.</t>
        </is>
      </c>
      <c r="F33" s="9" t="inlineStr">
        <is>
          <t>Dual language/biliteracy pathway</t>
        </is>
      </c>
      <c r="G33" s="9" t="inlineStr">
        <is>
          <t>Eligible pool analysis; staffing capacity; proficiency outcomes.</t>
        </is>
      </c>
    </row>
    <row r="34" ht="29" customHeight="1" s="54">
      <c r="A34" s="76" t="inlineStr">
        <is>
          <t>Exit</t>
        </is>
      </c>
      <c r="B34" s="76" t="inlineStr">
        <is>
          <t>Pull</t>
        </is>
      </c>
      <c r="C34" s="76" t="inlineStr">
        <is>
          <t>Charter school choice</t>
        </is>
      </c>
      <c r="D34" s="76" t="inlineStr">
        <is>
          <t>Preference for charter model; perceived fit</t>
        </is>
      </c>
      <c r="E34" s="76" t="inlineStr">
        <is>
          <t>Competitive landscape signal; investigate perceived value drivers.</t>
        </is>
      </c>
      <c r="F34" s="76" t="inlineStr">
        <is>
          <t>Portfolio differentiation; communications</t>
        </is>
      </c>
      <c r="G34" s="76" t="inlineStr">
        <is>
          <t>Destination mix trends; reason codes; benchmark charters.</t>
        </is>
      </c>
    </row>
    <row r="35" ht="29" customHeight="1" s="54">
      <c r="A35" s="9" t="inlineStr">
        <is>
          <t>Exit</t>
        </is>
      </c>
      <c r="B35" s="9" t="inlineStr">
        <is>
          <t>Pull</t>
        </is>
      </c>
      <c r="C35" s="9" t="inlineStr">
        <is>
          <t>Private school choice</t>
        </is>
      </c>
      <c r="D35" s="9" t="inlineStr">
        <is>
          <t>Faith-based; tuition-based; specialized private</t>
        </is>
      </c>
      <c r="E35" s="9" t="inlineStr">
        <is>
          <t>Competitive landscape signal; could reflect culture, class size, programs, or services.</t>
        </is>
      </c>
      <c r="F35" s="9" t="inlineStr">
        <is>
          <t>Portfolio differentiation; communications</t>
        </is>
      </c>
      <c r="G35" s="9" t="inlineStr">
        <is>
          <t>Destination mix; survey; compare key drivers (safety, rigor, offerings).</t>
        </is>
      </c>
    </row>
    <row r="36" ht="29" customHeight="1" s="54">
      <c r="A36" s="76" t="inlineStr">
        <is>
          <t>Exit</t>
        </is>
      </c>
      <c r="B36" s="76" t="inlineStr">
        <is>
          <t>Policy/Financial</t>
        </is>
      </c>
      <c r="C36" s="76" t="inlineStr">
        <is>
          <t>ESA/voucher-funded private/homeschool choice</t>
        </is>
      </c>
      <c r="D36" s="76" t="inlineStr">
        <is>
          <t>Using AZ Empowerment Scholarship Account (ESA) or similar</t>
        </is>
      </c>
      <c r="E36" s="76" t="inlineStr">
        <is>
          <t>Policy-driven choice; may shift demand; contextual factor (avoid over-attribution).</t>
        </is>
      </c>
      <c r="F36" s="76" t="inlineStr">
        <is>
          <t>Contextual signal (policy)</t>
        </is>
      </c>
      <c r="G36" s="76" t="inlineStr">
        <is>
          <t>Track trend; correlate with cohorts/segments; triangulate with other signals.</t>
        </is>
      </c>
    </row>
    <row r="37" ht="29" customHeight="1" s="54">
      <c r="A37" s="9" t="inlineStr">
        <is>
          <t>Exit</t>
        </is>
      </c>
      <c r="B37" s="9" t="inlineStr">
        <is>
          <t>Pull</t>
        </is>
      </c>
      <c r="C37" s="9" t="inlineStr">
        <is>
          <t>Homeschool / online school</t>
        </is>
      </c>
      <c r="D37" s="9" t="inlineStr">
        <is>
          <t>Homeschool; virtual academy</t>
        </is>
      </c>
      <c r="E37" s="9" t="inlineStr">
        <is>
          <t>Preference for flexibility/personalization; may indicate scheduling/health considerations.</t>
        </is>
      </c>
      <c r="F37" s="9" t="inlineStr">
        <is>
          <t>Flexible scheduling; blended learning</t>
        </is>
      </c>
      <c r="G37" s="9" t="inlineStr">
        <is>
          <t>Trend over time; segment patterns; follow-up survey.</t>
        </is>
      </c>
    </row>
    <row r="38">
      <c r="A38" s="76" t="inlineStr">
        <is>
          <t>Exit</t>
        </is>
      </c>
      <c r="B38" s="76" t="inlineStr">
        <is>
          <t>Pull</t>
        </is>
      </c>
      <c r="C38" s="76" t="inlineStr">
        <is>
          <t>Athletics/extracurricular emphasis elsewhere</t>
        </is>
      </c>
      <c r="D38" s="76" t="inlineStr">
        <is>
          <t>Sports program; clubs; competitive teams</t>
        </is>
      </c>
      <c r="E38" s="76" t="inlineStr">
        <is>
          <t>May indicate enrichment gaps or scheduling conflicts.</t>
        </is>
      </c>
      <c r="F38" s="76" t="inlineStr">
        <is>
          <t>Enrichment; activities strategy</t>
        </is>
      </c>
      <c r="G38" s="76" t="inlineStr">
        <is>
          <t>Activity participation; scheduling data; feedback.</t>
        </is>
      </c>
    </row>
    <row r="39">
      <c r="A39" s="9" t="inlineStr">
        <is>
          <t>Entry</t>
        </is>
      </c>
      <c r="B39" s="9" t="inlineStr">
        <is>
          <t>Circumstance</t>
        </is>
      </c>
      <c r="C39" s="9" t="inlineStr">
        <is>
          <t>Move into SUSD boundaries</t>
        </is>
      </c>
      <c r="D39" s="9" t="inlineStr">
        <is>
          <t>New resident; housing move into district</t>
        </is>
      </c>
      <c r="E39" s="9" t="inlineStr">
        <is>
          <t>Not program-driven; supports baseline enrollment planning.</t>
        </is>
      </c>
      <c r="F39" s="9" t="inlineStr">
        <is>
          <t>N/A (mobility)</t>
        </is>
      </c>
      <c r="G39" s="9" t="inlineStr">
        <is>
          <t>Compare to housing/relocation patterns; grade-band trends.</t>
        </is>
      </c>
    </row>
    <row r="40" ht="29" customHeight="1" s="54">
      <c r="A40" s="76" t="inlineStr">
        <is>
          <t>Entry</t>
        </is>
      </c>
      <c r="B40" s="76" t="inlineStr">
        <is>
          <t>Circumstance</t>
        </is>
      </c>
      <c r="C40" s="76" t="inlineStr">
        <is>
          <t>Return to SUSD / public schooling</t>
        </is>
      </c>
      <c r="D40" s="76" t="inlineStr">
        <is>
          <t>Switch from charter/private/homeschool back to district</t>
        </is>
      </c>
      <c r="E40" s="76" t="inlineStr">
        <is>
          <t>Could indicate improved perception or changing family circumstances.</t>
        </is>
      </c>
      <c r="F40" s="76" t="inlineStr">
        <is>
          <t>Communications; supports; program awareness</t>
        </is>
      </c>
      <c r="G40" s="76" t="inlineStr">
        <is>
          <t>Entry survey; segment patterns; reasons for return.</t>
        </is>
      </c>
    </row>
    <row r="41">
      <c r="A41" s="9" t="inlineStr">
        <is>
          <t>Entry</t>
        </is>
      </c>
      <c r="B41" s="9" t="inlineStr">
        <is>
          <t>Logistics</t>
        </is>
      </c>
      <c r="C41" s="9" t="inlineStr">
        <is>
          <t>Proximity / convenience</t>
        </is>
      </c>
      <c r="D41" s="9" t="inlineStr">
        <is>
          <t>Closer school; easier commute</t>
        </is>
      </c>
      <c r="E41" s="9" t="inlineStr">
        <is>
          <t>Logistical pull; supports neighborhood school strengths.</t>
        </is>
      </c>
      <c r="F41" s="9" t="inlineStr">
        <is>
          <t>Transportation/access</t>
        </is>
      </c>
      <c r="G41" s="9" t="inlineStr">
        <is>
          <t>Geography mapping; entry survey; boundary/transport review.</t>
        </is>
      </c>
    </row>
    <row r="42" ht="29" customHeight="1" s="54">
      <c r="A42" s="76" t="inlineStr">
        <is>
          <t>Entry</t>
        </is>
      </c>
      <c r="B42" s="76" t="inlineStr">
        <is>
          <t>Logistics</t>
        </is>
      </c>
      <c r="C42" s="76" t="inlineStr">
        <is>
          <t>Schedule/calendar fit</t>
        </is>
      </c>
      <c r="D42" s="76" t="inlineStr">
        <is>
          <t>Start times; calendar; before/after care availability</t>
        </is>
      </c>
      <c r="E42" s="76" t="inlineStr">
        <is>
          <t>Operational pull; may suggest strength/opportunity in extended-day supports.</t>
        </is>
      </c>
      <c r="F42" s="76" t="inlineStr">
        <is>
          <t>Operational supports; flexible scheduling</t>
        </is>
      </c>
      <c r="G42" s="76" t="inlineStr">
        <is>
          <t>Entry survey; aftercare availability data.</t>
        </is>
      </c>
    </row>
    <row r="43">
      <c r="A43" s="9" t="inlineStr">
        <is>
          <t>Entry</t>
        </is>
      </c>
      <c r="B43" s="9" t="inlineStr">
        <is>
          <t>Pull</t>
        </is>
      </c>
      <c r="C43" s="9" t="inlineStr">
        <is>
          <t>Strong academic reputation</t>
        </is>
      </c>
      <c r="D43" s="9" t="inlineStr">
        <is>
          <t>Perceived rigor; outcomes; teacher quality</t>
        </is>
      </c>
      <c r="E43" s="9" t="inlineStr">
        <is>
          <t>Strength signal; can inform competitive edge positioning.</t>
        </is>
      </c>
      <c r="F43" s="9" t="inlineStr">
        <is>
          <t>Academic excellence; communications</t>
        </is>
      </c>
      <c r="G43" s="9" t="inlineStr">
        <is>
          <t>Entry survey; outcome dashboards; peer benchmarks.</t>
        </is>
      </c>
    </row>
    <row r="44" ht="29" customHeight="1" s="54">
      <c r="A44" s="76" t="inlineStr">
        <is>
          <t>Entry</t>
        </is>
      </c>
      <c r="B44" s="76" t="inlineStr">
        <is>
          <t>Pull</t>
        </is>
      </c>
      <c r="C44" s="76" t="inlineStr">
        <is>
          <t>Specific signature/specialty program</t>
        </is>
      </c>
      <c r="D44" s="76" t="inlineStr">
        <is>
          <t>IB; DLI; MSA; Traditional; STEAM; AVID; Gifted offerings</t>
        </is>
      </c>
      <c r="E44" s="76" t="inlineStr">
        <is>
          <t>Demand signal for differentiated portfolio; validate access/equity.</t>
        </is>
      </c>
      <c r="F44" s="76" t="inlineStr">
        <is>
          <t>Program-specific tags (IB/DLI/MSA/etc.)</t>
        </is>
      </c>
      <c r="G44" s="76" t="inlineStr">
        <is>
          <t>Applications/waitlists; conversion; participation equity profile.</t>
        </is>
      </c>
    </row>
    <row r="45" ht="29" customHeight="1" s="54">
      <c r="A45" s="9" t="inlineStr">
        <is>
          <t>Entry</t>
        </is>
      </c>
      <c r="B45" s="9" t="inlineStr">
        <is>
          <t>Pull</t>
        </is>
      </c>
      <c r="C45" s="9" t="inlineStr">
        <is>
          <t>Safe / positive school climate</t>
        </is>
      </c>
      <c r="D45" s="9" t="inlineStr">
        <is>
          <t>Better climate; fewer behavior issues</t>
        </is>
      </c>
      <c r="E45" s="9" t="inlineStr">
        <is>
          <t>Strength or comparative advantage; also signals where to invest.</t>
        </is>
      </c>
      <c r="F45" s="9" t="inlineStr">
        <is>
          <t>Climate/culture improvement</t>
        </is>
      </c>
      <c r="G45" s="9" t="inlineStr">
        <is>
          <t>Climate survey; discipline/attendance comparisons; entry survey.</t>
        </is>
      </c>
    </row>
    <row r="46">
      <c r="A46" s="76" t="inlineStr">
        <is>
          <t>Entry</t>
        </is>
      </c>
      <c r="B46" s="76" t="inlineStr">
        <is>
          <t>Pull</t>
        </is>
      </c>
      <c r="C46" s="76" t="inlineStr">
        <is>
          <t>Better supports/services</t>
        </is>
      </c>
      <c r="D46" s="76" t="inlineStr">
        <is>
          <t>SPED; 504; counseling; EL supports</t>
        </is>
      </c>
      <c r="E46" s="76" t="inlineStr">
        <is>
          <t>Strength signal; ensure capacity and equitable access.</t>
        </is>
      </c>
      <c r="F46" s="76" t="inlineStr">
        <is>
          <t>Accessibility &amp; supports</t>
        </is>
      </c>
      <c r="G46" s="76" t="inlineStr">
        <is>
          <t>Service delivery indicators; staffing ratios; family feedback.</t>
        </is>
      </c>
    </row>
    <row r="47" ht="29" customHeight="1" s="54">
      <c r="A47" s="9" t="inlineStr">
        <is>
          <t>Entry</t>
        </is>
      </c>
      <c r="B47" s="9" t="inlineStr">
        <is>
          <t>Pull</t>
        </is>
      </c>
      <c r="C47" s="9" t="inlineStr">
        <is>
          <t>Class size / school size preference</t>
        </is>
      </c>
      <c r="D47" s="9" t="inlineStr">
        <is>
          <t>Smaller classes; school feel</t>
        </is>
      </c>
      <c r="E47" s="9" t="inlineStr">
        <is>
          <t>Preference-based; may inform model design and capacity planning.</t>
        </is>
      </c>
      <c r="F47" s="9" t="inlineStr">
        <is>
          <t>Class size strategy; school model options</t>
        </is>
      </c>
      <c r="G47" s="9" t="inlineStr">
        <is>
          <t>Compare actual class size; enrollment trends; entry survey.</t>
        </is>
      </c>
    </row>
    <row r="48">
      <c r="A48" s="76" t="inlineStr">
        <is>
          <t>Entry</t>
        </is>
      </c>
      <c r="B48" s="76" t="inlineStr">
        <is>
          <t>Pull</t>
        </is>
      </c>
      <c r="C48" s="76" t="inlineStr">
        <is>
          <t>Extracurriculars / arts / athletics / CTE</t>
        </is>
      </c>
      <c r="D48" s="76" t="inlineStr">
        <is>
          <t>Robust offerings; pathways</t>
        </is>
      </c>
      <c r="E48" s="76" t="inlineStr">
        <is>
          <t>Strength/opportunity signal; can drive retention.</t>
        </is>
      </c>
      <c r="F48" s="76" t="inlineStr">
        <is>
          <t>Arts/CTE/enrichment pathways</t>
        </is>
      </c>
      <c r="G48" s="76" t="inlineStr">
        <is>
          <t>Participation metrics; course catalog; schedule analysis.</t>
        </is>
      </c>
    </row>
    <row r="49">
      <c r="A49" s="9" t="inlineStr">
        <is>
          <t>Entry</t>
        </is>
      </c>
      <c r="B49" s="9" t="inlineStr">
        <is>
          <t>Pull</t>
        </is>
      </c>
      <c r="C49" s="9" t="inlineStr">
        <is>
          <t>Community / peer network</t>
        </is>
      </c>
      <c r="D49" s="9" t="inlineStr">
        <is>
          <t>Friends; family ties; community fit</t>
        </is>
      </c>
      <c r="E49" s="9" t="inlineStr">
        <is>
          <t>Social network driver; important for comms and retention.</t>
        </is>
      </c>
      <c r="F49" s="9" t="inlineStr">
        <is>
          <t>Community engagement</t>
        </is>
      </c>
      <c r="G49" s="9" t="inlineStr">
        <is>
          <t>Entry survey; retention patterns.</t>
        </is>
      </c>
    </row>
    <row r="50">
      <c r="A50" s="76" t="inlineStr">
        <is>
          <t>Entry</t>
        </is>
      </c>
      <c r="B50" s="76" t="inlineStr">
        <is>
          <t>Financial/Value</t>
        </is>
      </c>
      <c r="C50" s="76" t="inlineStr">
        <is>
          <t>Public value vs private cost</t>
        </is>
      </c>
      <c r="D50" s="76" t="inlineStr">
        <is>
          <t>Cost savings; tuition avoidance</t>
        </is>
      </c>
      <c r="E50" s="76" t="inlineStr">
        <is>
          <t>Economic driver; can inform messaging/value proposition.</t>
        </is>
      </c>
      <c r="F50" s="76" t="inlineStr">
        <is>
          <t>Value proposition; communications</t>
        </is>
      </c>
      <c r="G50" s="76" t="inlineStr">
        <is>
          <t>Entry survey; macro context; avoid over-claiming.</t>
        </is>
      </c>
    </row>
    <row r="52">
      <c r="A52" s="90" t="inlineStr">
        <is>
          <t>Data Template (Aggregated) — for entry/exit origin/destination and reason analysis</t>
        </is>
      </c>
    </row>
    <row r="54" ht="24" customHeight="1" s="54">
      <c r="A54" s="8" t="inlineStr">
        <is>
          <t>School year</t>
        </is>
      </c>
      <c r="B54" s="8" t="inlineStr">
        <is>
          <t>Flow (Entry/Exit)</t>
        </is>
      </c>
      <c r="C54" s="8" t="inlineStr">
        <is>
          <t>Grade band</t>
        </is>
      </c>
      <c r="D54" s="8" t="inlineStr">
        <is>
          <t>School (sending if exit / receiving if entry)</t>
        </is>
      </c>
      <c r="E54" s="8" t="inlineStr">
        <is>
          <t>Program participation (Y/N/program)</t>
        </is>
      </c>
      <c r="F54" s="8" t="inlineStr">
        <is>
          <t>Counterparty type (origin/destination)</t>
        </is>
      </c>
      <c r="G54" s="8" t="inlineStr">
        <is>
          <t>Counterparty name (optional)</t>
        </is>
      </c>
      <c r="H54" s="8" t="inlineStr">
        <is>
          <t>Reason category</t>
        </is>
      </c>
      <c r="I54" s="8" t="inlineStr">
        <is>
          <t>Reason subcategory</t>
        </is>
      </c>
      <c r="J54" s="8" t="inlineStr">
        <is>
          <t>Driver type</t>
        </is>
      </c>
      <c r="K54" s="8" t="inlineStr">
        <is>
          <t>Segment tags (optional)</t>
        </is>
      </c>
      <c r="L54" s="8" t="inlineStr">
        <is>
          <t>Count</t>
        </is>
      </c>
    </row>
    <row r="55">
      <c r="A55" s="9" t="n"/>
      <c r="B55" s="9" t="n"/>
      <c r="C55" s="9" t="n"/>
      <c r="D55" s="9" t="n"/>
      <c r="E55" s="9" t="n"/>
      <c r="F55" s="9" t="n"/>
      <c r="G55" s="9" t="n"/>
      <c r="H55" s="9" t="n"/>
      <c r="I55" s="9" t="n"/>
      <c r="J55" s="9" t="n"/>
      <c r="K55" s="9" t="n"/>
      <c r="L55" s="9" t="n"/>
    </row>
  </sheetData>
  <mergeCells count="13">
    <mergeCell ref="B6:C6"/>
    <mergeCell ref="A14:G14"/>
    <mergeCell ref="A52:L52"/>
    <mergeCell ref="B7:C7"/>
    <mergeCell ref="B11:C11"/>
    <mergeCell ref="B3:C3"/>
    <mergeCell ref="B5:C5"/>
    <mergeCell ref="A1:L1"/>
    <mergeCell ref="B10:C10"/>
    <mergeCell ref="B9:C9"/>
    <mergeCell ref="B8:C8"/>
    <mergeCell ref="B4:C4"/>
    <mergeCell ref="B12:C12"/>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30"/>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40" customWidth="1" style="54" min="1" max="2"/>
    <col width="37.81640625" customWidth="1" style="54" min="3" max="3"/>
    <col width="40" customWidth="1" style="54" min="4" max="4"/>
    <col width="36.90625" customWidth="1" style="54" min="5" max="5"/>
    <col width="19.81640625" customWidth="1" style="54" min="6" max="6"/>
    <col width="30.6328125" customWidth="1" style="54" min="7" max="7"/>
    <col width="21.6328125" customWidth="1" style="54" min="8" max="8"/>
    <col width="17.08984375" customWidth="1" style="54" min="9" max="9"/>
    <col width="12.6328125" customWidth="1" style="54" min="10" max="10"/>
  </cols>
  <sheetData>
    <row r="1" ht="24" customHeight="1" s="54">
      <c r="A1" s="91" t="inlineStr">
        <is>
          <t>Benchmarking &amp; Trend Scan (Design + Lightweight Process for Landscape + Intake Context)</t>
        </is>
      </c>
    </row>
    <row r="3" ht="24" customHeight="1" s="54">
      <c r="A3" s="8" t="inlineStr">
        <is>
          <t>Layer</t>
        </is>
      </c>
      <c r="B3" s="86" t="inlineStr">
        <is>
          <t>Design</t>
        </is>
      </c>
      <c r="C3" s="77" t="n"/>
      <c r="D3" s="77" t="n"/>
      <c r="E3" s="77" t="n"/>
      <c r="F3" s="77" t="n"/>
      <c r="G3" s="77" t="n"/>
      <c r="H3" s="77" t="n"/>
      <c r="I3" s="77" t="n"/>
      <c r="J3" s="78" t="n"/>
    </row>
    <row r="4" ht="80" customHeight="1" s="54">
      <c r="A4" s="9" t="inlineStr">
        <is>
          <t>Peer District Benchmarking (Arizona — primary)</t>
        </is>
      </c>
      <c r="B4" s="89" t="inlineStr">
        <is>
          <t>Goal: understand how similar AZ districts structure comparable specialty/signature programs, eligibility models, participation patterns, and outcome proxies.
Scope: 6–10 peer districts (size/demographics/region); refresh annually.
Artifacts: Peer Benchmark Matrix + 1-page 'Implications for SUSD'.
Use: informs 'Evidence &amp; Effectiveness' and helps calibrate feasibility and demand assumptions.</t>
        </is>
      </c>
      <c r="C4" s="77" t="n"/>
      <c r="D4" s="77" t="n"/>
      <c r="E4" s="77" t="n"/>
      <c r="F4" s="77" t="n"/>
      <c r="G4" s="77" t="n"/>
      <c r="H4" s="77" t="n"/>
      <c r="I4" s="77" t="n"/>
      <c r="J4" s="78" t="n"/>
    </row>
    <row r="5" ht="50" customHeight="1" s="54">
      <c r="A5" s="9" t="inlineStr">
        <is>
          <t>Comparator Benchmarking (select out-of-state representative examples — optional)</t>
        </is>
      </c>
      <c r="B5" s="89" t="inlineStr">
        <is>
          <t>Goal: identify example models when AZ peers are limited; keep small (2–4 examples) to avoid scope creep.
Approach: pick examples tied to SUSD priority opportunity areas (from Landscape Brief).</t>
        </is>
      </c>
      <c r="C5" s="77" t="n"/>
      <c r="D5" s="77" t="n"/>
      <c r="E5" s="77" t="n"/>
      <c r="F5" s="77" t="n"/>
      <c r="G5" s="77" t="n"/>
      <c r="H5" s="77" t="n"/>
      <c r="I5" s="77" t="n"/>
      <c r="J5" s="78" t="n"/>
    </row>
    <row r="6" ht="62.5" customHeight="1" s="54">
      <c r="A6" s="9" t="inlineStr">
        <is>
          <t>Mini Trend Scan (future-looking layer — thought provoker)</t>
        </is>
      </c>
      <c r="B6" s="89" t="inlineStr">
        <is>
          <t>Goal: capture emerging educational, workforce, and technology signals (policy shifts, assessment changes, instructional models, AI/CS, etc.).
Cadence: light monthly log + semiannual synthesis; not used as sole justification.
Artifacts: Trend Log + 'Trend Radar' slide + implications list for candidate programs.</t>
        </is>
      </c>
      <c r="C6" s="77" t="n"/>
      <c r="D6" s="77" t="n"/>
      <c r="E6" s="77" t="n"/>
      <c r="F6" s="77" t="n"/>
      <c r="G6" s="77" t="n"/>
      <c r="H6" s="77" t="n"/>
      <c r="I6" s="77" t="n"/>
      <c r="J6" s="78" t="n"/>
    </row>
    <row r="7" ht="43.5" customHeight="1" s="54">
      <c r="A7" s="9" t="inlineStr">
        <is>
          <t>How it plugs into SPARK system</t>
        </is>
      </c>
      <c r="B7" s="89" t="inlineStr">
        <is>
          <t>Landscape Assessment: optional input that adds context and examples.
Candidate proposals: requires a short 'benchmark/trend context' paragraph when relevant.
Ongoing programs: use to identify modernization opportunities and sustainability risks.</t>
        </is>
      </c>
      <c r="C7" s="77" t="n"/>
      <c r="D7" s="77" t="n"/>
      <c r="E7" s="77" t="n"/>
      <c r="F7" s="77" t="n"/>
      <c r="G7" s="77" t="n"/>
      <c r="H7" s="77" t="n"/>
      <c r="I7" s="77" t="n"/>
      <c r="J7" s="78" t="n"/>
    </row>
    <row r="9" ht="18.5" customHeight="1" s="54">
      <c r="A9" s="92" t="inlineStr">
        <is>
          <t xml:space="preserve">Lightweight Annual Benchmarking Workflow </t>
        </is>
      </c>
    </row>
    <row r="11" ht="24" customHeight="1" s="54">
      <c r="A11" s="8" t="inlineStr">
        <is>
          <t>Step</t>
        </is>
      </c>
      <c r="B11" s="8" t="inlineStr">
        <is>
          <t>What happens</t>
        </is>
      </c>
      <c r="C11" s="8" t="inlineStr">
        <is>
          <t>Owner(s)</t>
        </is>
      </c>
      <c r="D11" s="18" t="inlineStr">
        <is>
          <t>Artifacts</t>
        </is>
      </c>
      <c r="E11" s="77" t="n"/>
      <c r="F11" s="77" t="n"/>
      <c r="G11" s="77" t="n"/>
      <c r="H11" s="77" t="n"/>
      <c r="I11" s="77" t="n"/>
      <c r="J11" s="78" t="n"/>
    </row>
    <row r="12" ht="72.5" customHeight="1" s="54">
      <c r="A12" s="9" t="inlineStr">
        <is>
          <t>1. Select peers/exemplars</t>
        </is>
      </c>
      <c r="B12" s="9" t="inlineStr">
        <is>
          <t>Confirm peer list (6–10 AZ) + 2–4 exemplars tied to priority opportunity areas.</t>
        </is>
      </c>
      <c r="C12" s="9" t="inlineStr">
        <is>
          <t>SPARK sub-team + district lead</t>
        </is>
      </c>
      <c r="D12" s="9" t="inlineStr">
        <is>
          <t>Peer list + rationale; scope note</t>
        </is>
      </c>
      <c r="E12" s="77" t="n"/>
      <c r="F12" s="77" t="n"/>
      <c r="G12" s="77" t="n"/>
      <c r="H12" s="77" t="n"/>
      <c r="I12" s="77" t="n"/>
      <c r="J12" s="78" t="n"/>
    </row>
    <row r="13" ht="116" customHeight="1" s="54">
      <c r="A13" s="76" t="inlineStr">
        <is>
          <t>2. Collect public artifacts</t>
        </is>
      </c>
      <c r="B13" s="76" t="inlineStr">
        <is>
          <t>Collect program descriptions, entry models, grade bands, basic participation signals, and outcome proxies where available.</t>
        </is>
      </c>
      <c r="C13" s="76" t="inlineStr">
        <is>
          <t>Reviewer pair / intern support</t>
        </is>
      </c>
      <c r="D13" s="76" t="inlineStr">
        <is>
          <t>Source links repository; notes</t>
        </is>
      </c>
      <c r="E13" s="77" t="n"/>
      <c r="F13" s="77" t="n"/>
      <c r="G13" s="77" t="n"/>
      <c r="H13" s="77" t="n"/>
      <c r="I13" s="77" t="n"/>
      <c r="J13" s="78" t="n"/>
    </row>
    <row r="14" ht="72.5" customHeight="1" s="54">
      <c r="A14" s="9" t="inlineStr">
        <is>
          <t>3. Normalize into matrix</t>
        </is>
      </c>
      <c r="B14" s="9" t="inlineStr">
        <is>
          <t>Fill Peer Benchmark Matrix template; tag by program category and opportunity area.</t>
        </is>
      </c>
      <c r="C14" s="9" t="inlineStr">
        <is>
          <t>Data steward</t>
        </is>
      </c>
      <c r="D14" s="9" t="inlineStr">
        <is>
          <t>Peer matrix</t>
        </is>
      </c>
      <c r="E14" s="77" t="n"/>
      <c r="F14" s="77" t="n"/>
      <c r="G14" s="77" t="n"/>
      <c r="H14" s="77" t="n"/>
      <c r="I14" s="77" t="n"/>
      <c r="J14" s="78" t="n"/>
    </row>
    <row r="15" ht="58" customHeight="1" s="54">
      <c r="A15" s="76" t="inlineStr">
        <is>
          <t>4. Synthesize implications</t>
        </is>
      </c>
      <c r="B15" s="76" t="inlineStr">
        <is>
          <t>Identify 5–10 insights for SUSD (what to copy, avoid, investigate).</t>
        </is>
      </c>
      <c r="C15" s="76" t="inlineStr">
        <is>
          <t>Sub-team lead</t>
        </is>
      </c>
      <c r="D15" s="76" t="inlineStr">
        <is>
          <t>Implications memo (1 page)</t>
        </is>
      </c>
      <c r="E15" s="77" t="n"/>
      <c r="F15" s="77" t="n"/>
      <c r="G15" s="77" t="n"/>
      <c r="H15" s="77" t="n"/>
      <c r="I15" s="77" t="n"/>
      <c r="J15" s="78" t="n"/>
    </row>
    <row r="16" ht="72.5" customHeight="1" s="54">
      <c r="A16" s="9" t="inlineStr">
        <is>
          <t>5. Feed into intake + landscape</t>
        </is>
      </c>
      <c r="B16" s="9" t="inlineStr">
        <is>
          <t>Update Landscape Brief appendix; update intake prompts for proposals.</t>
        </is>
      </c>
      <c r="C16" s="9" t="inlineStr">
        <is>
          <t>Sub-team lead</t>
        </is>
      </c>
      <c r="D16" s="9" t="inlineStr">
        <is>
          <t>Updated Landscape Brief; updated intake form prompts</t>
        </is>
      </c>
      <c r="E16" s="77" t="n"/>
      <c r="F16" s="77" t="n"/>
      <c r="G16" s="77" t="n"/>
      <c r="H16" s="77" t="n"/>
      <c r="I16" s="77" t="n"/>
      <c r="J16" s="78" t="n"/>
    </row>
    <row r="18" ht="18.5" customHeight="1" s="54">
      <c r="A18" s="92" t="inlineStr">
        <is>
          <t>Template: Peer Benchmark Matrix (table)</t>
        </is>
      </c>
    </row>
    <row r="20" ht="24" customHeight="1" s="54">
      <c r="A20" s="8" t="inlineStr">
        <is>
          <t>Peer district</t>
        </is>
      </c>
      <c r="B20" s="8" t="inlineStr">
        <is>
          <t>Program name</t>
        </is>
      </c>
      <c r="C20" s="8" t="inlineStr">
        <is>
          <t>Category/segment</t>
        </is>
      </c>
      <c r="D20" s="8" t="inlineStr">
        <is>
          <t>Grade band(s)</t>
        </is>
      </c>
      <c r="E20" s="8" t="inlineStr">
        <is>
          <t>Entry model</t>
        </is>
      </c>
      <c r="F20" s="8" t="inlineStr">
        <is>
          <t>Stated target audience</t>
        </is>
      </c>
      <c r="G20" s="8" t="inlineStr">
        <is>
          <t>Capacity/enrollment (if known)</t>
        </is>
      </c>
      <c r="H20" s="8" t="inlineStr">
        <is>
          <t>Outcome proxy / evidence</t>
        </is>
      </c>
      <c r="I20" s="8" t="inlineStr">
        <is>
          <t>Key differentiators</t>
        </is>
      </c>
      <c r="J20" s="8" t="inlineStr">
        <is>
          <t>Source link(s)</t>
        </is>
      </c>
    </row>
    <row r="21">
      <c r="A21" s="9" t="n"/>
      <c r="B21" s="9" t="n"/>
      <c r="C21" s="9" t="n"/>
      <c r="D21" s="9" t="n"/>
      <c r="E21" s="9" t="n"/>
      <c r="F21" s="9" t="n"/>
      <c r="G21" s="9" t="n"/>
      <c r="H21" s="9" t="n"/>
      <c r="I21" s="9" t="n"/>
      <c r="J21" s="9" t="n"/>
    </row>
    <row r="22">
      <c r="A22" s="76" t="n"/>
      <c r="B22" s="76" t="n"/>
      <c r="C22" s="76" t="n"/>
      <c r="D22" s="76" t="n"/>
      <c r="E22" s="76" t="n"/>
      <c r="F22" s="76" t="n"/>
      <c r="G22" s="76" t="n"/>
      <c r="H22" s="76" t="n"/>
      <c r="I22" s="76" t="n"/>
      <c r="J22" s="76" t="n"/>
    </row>
    <row r="23" ht="18.5" customHeight="1" s="54">
      <c r="A23" s="92" t="inlineStr">
        <is>
          <t>Template: Trend Log (ongoing) + Semiannual Synthesis</t>
        </is>
      </c>
    </row>
    <row r="25" ht="24" customHeight="1" s="54">
      <c r="A25" s="8" t="inlineStr">
        <is>
          <t>Date</t>
        </is>
      </c>
      <c r="B25" s="8" t="inlineStr">
        <is>
          <t>Signal/theme</t>
        </is>
      </c>
      <c r="C25" s="8" t="inlineStr">
        <is>
          <t>Source type (policy/research/vendor/media)</t>
        </is>
      </c>
      <c r="D25" s="8" t="inlineStr">
        <is>
          <t>Why it matters for SUSD</t>
        </is>
      </c>
      <c r="E25" s="8" t="inlineStr">
        <is>
          <t>Which opportunity area(s) might it affect</t>
        </is>
      </c>
      <c r="F25" s="8" t="inlineStr">
        <is>
          <t>Confidence (L/M/H)</t>
        </is>
      </c>
      <c r="G25" s="8" t="inlineStr">
        <is>
          <t>Time horizon (0–12m / 1–3y / 3–5y)</t>
        </is>
      </c>
      <c r="H25" s="8" t="inlineStr">
        <is>
          <t>Notes / link</t>
        </is>
      </c>
    </row>
    <row r="26">
      <c r="A26" s="9" t="n"/>
      <c r="B26" s="9" t="n"/>
      <c r="C26" s="9" t="n"/>
      <c r="D26" s="9" t="n"/>
      <c r="E26" s="9" t="n"/>
      <c r="F26" s="9" t="n"/>
      <c r="G26" s="9" t="n"/>
      <c r="H26" s="9" t="n"/>
    </row>
    <row r="27">
      <c r="A27" s="76" t="n"/>
      <c r="B27" s="76" t="n"/>
      <c r="C27" s="76" t="n"/>
      <c r="D27" s="76" t="n"/>
      <c r="E27" s="76" t="n"/>
      <c r="F27" s="76" t="n"/>
      <c r="G27" s="76" t="n"/>
      <c r="H27" s="76" t="n"/>
    </row>
    <row r="28">
      <c r="A28" s="9" t="n"/>
      <c r="B28" s="9" t="n"/>
      <c r="C28" s="9" t="n"/>
      <c r="D28" s="9" t="n"/>
      <c r="E28" s="9" t="n"/>
      <c r="F28" s="9" t="n"/>
      <c r="G28" s="9" t="n"/>
      <c r="H28" s="9" t="n"/>
    </row>
    <row r="29">
      <c r="A29" s="76" t="n"/>
      <c r="B29" s="76" t="n"/>
      <c r="C29" s="76" t="n"/>
      <c r="D29" s="76" t="n"/>
      <c r="E29" s="76" t="n"/>
      <c r="F29" s="76" t="n"/>
      <c r="G29" s="76" t="n"/>
      <c r="H29" s="76" t="n"/>
    </row>
    <row r="30">
      <c r="A30" s="9" t="n"/>
      <c r="B30" s="9" t="n"/>
      <c r="C30" s="9" t="n"/>
      <c r="D30" s="9" t="n"/>
      <c r="E30" s="9" t="n"/>
      <c r="F30" s="9" t="n"/>
      <c r="G30" s="9" t="n"/>
      <c r="H30" s="9" t="n"/>
    </row>
  </sheetData>
  <mergeCells count="9">
    <mergeCell ref="A1:J1"/>
    <mergeCell ref="B6:C6"/>
    <mergeCell ref="A23:J23"/>
    <mergeCell ref="B7:C7"/>
    <mergeCell ref="B3:C3"/>
    <mergeCell ref="A9:J9"/>
    <mergeCell ref="A18:J18"/>
    <mergeCell ref="B5:C5"/>
    <mergeCell ref="B4:C4"/>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J2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30" customWidth="1" style="54" min="1" max="1"/>
    <col width="50" customWidth="1" style="54" min="2" max="2"/>
    <col width="35" customWidth="1" style="54" min="3" max="3"/>
    <col width="22" customWidth="1" style="54" min="4" max="5"/>
    <col width="54" customWidth="1" style="54" min="6" max="6"/>
    <col width="8" customWidth="1" style="54" min="7" max="10"/>
  </cols>
  <sheetData>
    <row r="1" ht="24" customHeight="1" s="54">
      <c r="A1" s="97" t="inlineStr">
        <is>
          <t>System Data Flow (How Evidence &amp; Data Moves Across Landscape, Intake, Reviews, and Decisions)</t>
        </is>
      </c>
    </row>
    <row r="3" ht="24" customHeight="1" s="54">
      <c r="A3" s="25" t="inlineStr">
        <is>
          <t>Data / evidence layer</t>
        </is>
      </c>
      <c r="B3" s="25" t="inlineStr">
        <is>
          <t>What it is</t>
        </is>
      </c>
      <c r="C3" s="25" t="inlineStr">
        <is>
          <t>Feeds into (modules)</t>
        </is>
      </c>
      <c r="D3" s="25" t="inlineStr">
        <is>
          <t>Typical owner</t>
        </is>
      </c>
      <c r="E3" s="25" t="inlineStr">
        <is>
          <t>Cadence</t>
        </is>
      </c>
      <c r="F3" s="18" t="inlineStr">
        <is>
          <t>Privacy / notes</t>
        </is>
      </c>
    </row>
    <row r="4" ht="43.5" customHeight="1" s="54">
      <c r="A4" s="93" t="inlineStr">
        <is>
          <t>Program Inventory (core record)</t>
        </is>
      </c>
      <c r="B4" s="93" t="inlineStr">
        <is>
          <t>Single list of all specialty/signature programs with stable IDs, category, grade bands, sites, entry model, and stated purpose.</t>
        </is>
      </c>
      <c r="C4" s="93" t="inlineStr">
        <is>
          <t>Landscape visuals; annual review baseline; duplication analysis; portfolio reporting.</t>
        </is>
      </c>
      <c r="D4" s="93" t="inlineStr">
        <is>
          <t>SPARK data steward / Academics</t>
        </is>
      </c>
      <c r="E4" s="93" t="inlineStr">
        <is>
          <t>Continuous; formal refresh annually</t>
        </is>
      </c>
      <c r="F4" s="9" t="inlineStr">
        <is>
          <t>Mostly public metadata.</t>
        </is>
      </c>
    </row>
    <row r="5" ht="43.5" customHeight="1" s="54">
      <c r="A5" s="95" t="inlineStr">
        <is>
          <t>SPARK Program Directory / Portal (public-facing)</t>
        </is>
      </c>
      <c r="B5" s="95" t="inlineStr">
        <is>
          <t>A simple landing place to explore current programs (inventory + contacts), see portfolio priorities, and submit an idea (light form). Enables consistent responses to emails.</t>
        </is>
      </c>
      <c r="C5" s="95" t="inlineStr">
        <is>
          <t>All modules (reduces duplication check time; improves engagement and transparency)</t>
        </is>
      </c>
      <c r="D5" s="95" t="inlineStr">
        <is>
          <t>Communications + SPARK process owner</t>
        </is>
      </c>
      <c r="E5" s="95" t="inlineStr">
        <is>
          <t>Continuous updates; quarterly review</t>
        </is>
      </c>
    </row>
    <row r="6" ht="43.5" customHeight="1" s="54">
      <c r="A6" s="95" t="inlineStr">
        <is>
          <t>Candidate Ideas Log + Heatmap</t>
        </is>
      </c>
      <c r="B6" s="95" t="inlineStr">
        <is>
          <t>A running inventory of incoming ideas (from all channels), with status and categorization for capacity management and portfolio view.</t>
        </is>
      </c>
      <c r="C6" s="95" t="inlineStr">
        <is>
          <t>Candidate pipeline (pre‑triage/triage); Landscape (signals); Portfolio prioritization</t>
        </is>
      </c>
      <c r="D6" s="95" t="inlineStr">
        <is>
          <t>Program Review team / SPARK coordinator</t>
        </is>
      </c>
      <c r="E6" s="95" t="inlineStr">
        <is>
          <t>Continuous intake; triage on cadence (monthly/quarterly)</t>
        </is>
      </c>
    </row>
    <row r="7" ht="43.5" customHeight="1" s="54">
      <c r="A7" s="94" t="inlineStr">
        <is>
          <t>Demand &amp; Capacity Signals</t>
        </is>
      </c>
      <c r="B7" s="94" t="inlineStr">
        <is>
          <t>Applications, waitlists, inquiries, open enrollment patterns; plus constraints (class sizes, staffing).</t>
        </is>
      </c>
      <c r="C7" s="94" t="inlineStr">
        <is>
          <t>Landscape demand/capacity quadrant; candidate triage; ongoing annual review.</t>
        </is>
      </c>
      <c r="D7" s="94" t="inlineStr">
        <is>
          <t>Enrollment + program owners</t>
        </is>
      </c>
      <c r="E7" s="94" t="inlineStr">
        <is>
          <t>Annual + seasonal</t>
        </is>
      </c>
      <c r="F7" s="76" t="inlineStr">
        <is>
          <t>Aggregate; watch for selection effects.</t>
        </is>
      </c>
    </row>
    <row r="8" ht="43.5" customHeight="1" s="54">
      <c r="A8" s="93" t="inlineStr">
        <is>
          <t>Participation &amp; Equity Profile</t>
        </is>
      </c>
      <c r="B8" s="93" t="inlineStr">
        <is>
          <t>Who participates vs eligible pool; subgroup representation; accessibility supports.</t>
        </is>
      </c>
      <c r="C8" s="93" t="inlineStr">
        <is>
          <t>Equity gap map; access vs actual scatter; candidate screening; annual review.</t>
        </is>
      </c>
      <c r="D8" s="93" t="inlineStr">
        <is>
          <t>Data/Equity office + program owners</t>
        </is>
      </c>
      <c r="E8" s="93" t="inlineStr">
        <is>
          <t>Annual (minimum)</t>
        </is>
      </c>
      <c r="F8" s="9" t="inlineStr">
        <is>
          <t>Disaggregate with suppression rules.</t>
        </is>
      </c>
    </row>
    <row r="9" ht="43.5" customHeight="1" s="54">
      <c r="A9" s="94" t="inlineStr">
        <is>
          <t>Outcomes &amp; KPI Dashboard</t>
        </is>
      </c>
      <c r="B9" s="94" t="inlineStr">
        <is>
          <t>Agreed portfolio KPIs + program-specific KPIs; targets vs actual; trend lines.</t>
        </is>
      </c>
      <c r="C9" s="94" t="inlineStr">
        <is>
          <t>Annual program review; 'continue?' decisions; landscape outcomes visuals.</t>
        </is>
      </c>
      <c r="D9" s="94" t="inlineStr">
        <is>
          <t>Assessment/Accountability + program owners</t>
        </is>
      </c>
      <c r="E9" s="94" t="inlineStr">
        <is>
          <t>Annual (some quarterly)</t>
        </is>
      </c>
      <c r="F9" s="76" t="inlineStr">
        <is>
          <t>Ensure comparability and avoid metric drift.</t>
        </is>
      </c>
    </row>
    <row r="10" ht="43.5" customHeight="1" s="54">
      <c r="A10" s="93" t="inlineStr">
        <is>
          <t>Implementation &amp; Fidelity Evidence</t>
        </is>
      </c>
      <c r="B10" s="93" t="inlineStr">
        <is>
          <t>Training completion, observation/fidelity tools, monitoring logs, implementation plans, support tickets.</t>
        </is>
      </c>
      <c r="C10" s="93" t="inlineStr">
        <is>
          <t>Annual review; improvement planning; feasibility assessment for new programs.</t>
        </is>
      </c>
      <c r="D10" s="93" t="inlineStr">
        <is>
          <t>Program owners + site admins</t>
        </is>
      </c>
      <c r="E10" s="93" t="inlineStr">
        <is>
          <t>Ongoing; summarized annually</t>
        </is>
      </c>
      <c r="F10" s="9" t="inlineStr">
        <is>
          <t>Internal.</t>
        </is>
      </c>
    </row>
    <row r="11" ht="43.5" customHeight="1" s="54">
      <c r="A11" s="94" t="inlineStr">
        <is>
          <t>Resources, Cost, and Staffing</t>
        </is>
      </c>
      <c r="B11" s="94" t="inlineStr">
        <is>
          <t>Total cost model, funding source stability, FTE requirements, specialized qualifications, facilities/tech needs.</t>
        </is>
      </c>
      <c r="C11" s="94" t="inlineStr">
        <is>
          <t>Candidate full review; sustainability decisions; portfolio constraint planning.</t>
        </is>
      </c>
      <c r="D11" s="94" t="inlineStr">
        <is>
          <t>Finance/HR + program owners</t>
        </is>
      </c>
      <c r="E11" s="94" t="inlineStr">
        <is>
          <t>Annual budget cycle</t>
        </is>
      </c>
      <c r="F11" s="76" t="inlineStr">
        <is>
          <t>Internal; share summary.</t>
        </is>
      </c>
    </row>
    <row r="12" ht="43.5" customHeight="1" s="54">
      <c r="A12" s="93" t="inlineStr">
        <is>
          <t>Mobility &amp; Choice Signals (entries + exits)</t>
        </is>
      </c>
      <c r="B12" s="93" t="inlineStr">
        <is>
          <t>Where students/families enter from and exit to, plus reason trends (as available), segmented by cohorts. Used as a demand/access lens; interpreted on landscape cadence.</t>
        </is>
      </c>
      <c r="C12" s="93" t="inlineStr">
        <is>
          <t>Landscape assessment (optional/high maturity); informs intake focus; flags equity barriers; triangulates demand and competitive positioning.</t>
        </is>
      </c>
      <c r="D12" s="93" t="inlineStr">
        <is>
          <t>Enrollment/Data team</t>
        </is>
      </c>
      <c r="E12" s="93" t="inlineStr">
        <is>
          <t>Continuous collection; summarized annually (optional semiannual light refresh)</t>
        </is>
      </c>
      <c r="F12" s="9" t="inlineStr">
        <is>
          <t>Aggregate only; directional; triangulate with other signals.</t>
        </is>
      </c>
    </row>
    <row r="13" ht="43.5" customHeight="1" s="54">
      <c r="A13" s="94" t="inlineStr">
        <is>
          <t>External Benchmarking</t>
        </is>
      </c>
      <c r="B13" s="94" t="inlineStr">
        <is>
          <t>Peer district comparison matrix + top examples; helps calibrate evidence, models, and feasibility.</t>
        </is>
      </c>
      <c r="C13" s="94" t="inlineStr">
        <is>
          <t>Landscape context; candidate proposals; continuous improvement of ongoing programs.</t>
        </is>
      </c>
      <c r="D13" s="94" t="inlineStr">
        <is>
          <t>SPARK sub-team</t>
        </is>
      </c>
      <c r="E13" s="94" t="inlineStr">
        <is>
          <t>Annual</t>
        </is>
      </c>
      <c r="F13" s="76" t="inlineStr">
        <is>
          <t>Public sources + internal notes.</t>
        </is>
      </c>
    </row>
    <row r="14" ht="29" customHeight="1" s="54">
      <c r="A14" s="93" t="inlineStr">
        <is>
          <t>Trend Scan / Horizon Signals</t>
        </is>
      </c>
      <c r="B14" s="93" t="inlineStr">
        <is>
          <t>Emerging policy/research/technology/workforce signals; used as context only.</t>
        </is>
      </c>
      <c r="C14" s="93" t="inlineStr">
        <is>
          <t>Landscape context; candidate ideation; sustainability/adaptability discussions.</t>
        </is>
      </c>
      <c r="D14" s="93" t="inlineStr">
        <is>
          <t>SPARK sub-team</t>
        </is>
      </c>
      <c r="E14" s="93" t="inlineStr">
        <is>
          <t>Monthly log + semiannual synthesis</t>
        </is>
      </c>
      <c r="F14" s="9" t="inlineStr">
        <is>
          <t>Use carefully; document uncertainty.</t>
        </is>
      </c>
    </row>
    <row r="15" ht="18.5" customHeight="1" s="54">
      <c r="A15" s="94" t="inlineStr">
        <is>
          <t>Concept Study Outputs (option set + feasibility scan)</t>
        </is>
      </c>
      <c r="B15" s="61" t="n"/>
      <c r="C15" s="61" t="n"/>
      <c r="D15" s="61" t="n"/>
      <c r="E15" s="61" t="n"/>
      <c r="F15" s="61" t="n"/>
      <c r="G15" s="61" t="n"/>
      <c r="H15" s="61" t="n"/>
      <c r="I15" s="61" t="n"/>
      <c r="J15" s="59" t="n"/>
    </row>
    <row r="16" ht="31" customHeight="1" s="54">
      <c r="A16" s="95" t="n"/>
      <c r="B16" s="95" t="n"/>
      <c r="C16" s="95" t="n"/>
      <c r="D16" s="95" t="n"/>
      <c r="E16" s="95" t="n"/>
    </row>
    <row r="17">
      <c r="A17" s="95" t="n"/>
      <c r="B17" s="95" t="n"/>
      <c r="C17" s="61" t="n"/>
      <c r="D17" s="61" t="n"/>
      <c r="E17" s="61" t="n"/>
      <c r="F17" s="61" t="n"/>
      <c r="G17" s="61" t="n"/>
      <c r="H17" s="61" t="n"/>
      <c r="I17" s="61" t="n"/>
      <c r="J17" s="59" t="n"/>
    </row>
    <row r="18" ht="24" customHeight="1" s="54">
      <c r="A18" s="34" t="inlineStr">
        <is>
          <t>Decisioning Principles (to keep the system consistent and non-ad hoc)</t>
        </is>
      </c>
      <c r="B18" s="95" t="n"/>
      <c r="C18" s="61" t="n"/>
      <c r="D18" s="61" t="n"/>
      <c r="E18" s="61" t="n"/>
      <c r="F18" s="59" t="n"/>
    </row>
    <row r="19" ht="29" customHeight="1" s="54">
      <c r="A19" s="95" t="n"/>
      <c r="B19" s="95" t="n"/>
      <c r="C19" s="61" t="n"/>
      <c r="D19" s="61" t="n"/>
      <c r="E19" s="61" t="n"/>
      <c r="F19" s="59" t="n"/>
    </row>
    <row r="20" ht="29" customHeight="1" s="54">
      <c r="A20" s="96" t="inlineStr">
        <is>
          <t>Principle</t>
        </is>
      </c>
      <c r="B20" s="96" t="inlineStr">
        <is>
          <t>What it means</t>
        </is>
      </c>
      <c r="C20" s="61" t="n"/>
      <c r="D20" s="61" t="n"/>
      <c r="E20" s="61" t="n"/>
      <c r="F20" s="59" t="n"/>
    </row>
    <row r="21" ht="29" customHeight="1" s="54">
      <c r="A21" s="93" t="inlineStr">
        <is>
          <t>Triangulate signals</t>
        </is>
      </c>
      <c r="B21" s="93" t="inlineStr">
        <is>
          <t>Do not let any single layer (especially exits or trends) drive decisions alone. Use demand + outcomes + equity + feasibility together.</t>
        </is>
      </c>
      <c r="C21" s="61" t="n"/>
      <c r="D21" s="61" t="n"/>
      <c r="E21" s="61" t="n"/>
      <c r="F21" s="59" t="n"/>
    </row>
    <row r="22" ht="29" customHeight="1" s="54">
      <c r="A22" s="94" t="inlineStr">
        <is>
          <t>Use the official rubric for candidate scoring</t>
        </is>
      </c>
      <c r="B22" s="94" t="inlineStr">
        <is>
          <t>The proposal rubric is the scoring backbone; other layers supply context, evidence, and portfolio comparisons.</t>
        </is>
      </c>
      <c r="C22" s="61" t="n"/>
      <c r="D22" s="61" t="n"/>
      <c r="E22" s="61" t="n"/>
      <c r="F22" s="59" t="n"/>
    </row>
    <row r="23" ht="29" customHeight="1" s="54">
      <c r="A23" s="93" t="inlineStr">
        <is>
          <t>Make portfolio constraints explicit</t>
        </is>
      </c>
      <c r="B23" s="93" t="inlineStr">
        <is>
          <t>Budget/FTE/facilities constraints should be visible in the candidate comparison table to support waitlist/split decisions.</t>
        </is>
      </c>
      <c r="C23" s="61" t="n"/>
      <c r="D23" s="61" t="n"/>
      <c r="E23" s="61" t="n"/>
      <c r="F23" s="59" t="n"/>
    </row>
    <row r="24" ht="29" customHeight="1" s="54">
      <c r="A24" s="94" t="inlineStr">
        <is>
          <t>Document 'conditions for success' upfront</t>
        </is>
      </c>
      <c r="B24" s="94" t="inlineStr">
        <is>
          <t>New programs approved with conditions and evaluation cadence, so renewal decisions are evidence-driven.</t>
        </is>
      </c>
      <c r="C24" s="95" t="n"/>
      <c r="D24" s="95" t="n"/>
      <c r="E24" s="95" t="n"/>
      <c r="F24" s="77" t="n"/>
    </row>
    <row r="25" ht="29" customHeight="1" s="54">
      <c r="A25" s="93" t="inlineStr">
        <is>
          <t>Keep equity visible early</t>
        </is>
      </c>
      <c r="B25" s="93" t="inlineStr">
        <is>
          <t>Equity/access should be assessed in triage (soft gate at minimum) and revisited in annual review.</t>
        </is>
      </c>
      <c r="C25" s="95" t="n"/>
      <c r="D25" s="95" t="n"/>
      <c r="E25" s="95" t="n"/>
    </row>
  </sheetData>
  <mergeCells count="9">
    <mergeCell ref="B21:F21"/>
    <mergeCell ref="B20:F20"/>
    <mergeCell ref="A1:F1"/>
    <mergeCell ref="B19:F19"/>
    <mergeCell ref="B17:J17"/>
    <mergeCell ref="A15:J15"/>
    <mergeCell ref="B23:F23"/>
    <mergeCell ref="B22:F22"/>
    <mergeCell ref="B18:F18"/>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AA38"/>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40" customWidth="1" style="54" min="1" max="2"/>
    <col width="27.90625" customWidth="1" style="54" min="3" max="3"/>
    <col width="14.36328125" customWidth="1" style="54" min="4" max="4"/>
    <col width="11.7265625" customWidth="1" style="54" min="5" max="5"/>
    <col width="12.6328125" customWidth="1" style="54" min="6" max="6"/>
    <col width="10" customWidth="1" style="54" min="7" max="7"/>
    <col width="17.08984375" customWidth="1" style="54" min="8" max="8"/>
    <col width="10" customWidth="1" style="54" min="9" max="15"/>
    <col width="12.6328125" customWidth="1" style="54" min="16" max="16"/>
    <col width="14.36328125" customWidth="1" style="54" min="17" max="17"/>
    <col width="16.1796875" customWidth="1" style="54" min="18" max="18"/>
    <col width="13.453125" customWidth="1" style="54" min="19" max="19"/>
    <col width="10" customWidth="1" style="54" min="20" max="20"/>
    <col width="18" customWidth="1" style="54" min="21" max="21"/>
    <col width="10" customWidth="1" style="54" min="22" max="22"/>
    <col width="12.6328125" customWidth="1" style="54" min="23" max="23"/>
    <col width="10" customWidth="1" style="54" min="24" max="24"/>
    <col width="20.7265625" customWidth="1" style="54" min="25" max="25"/>
    <col width="18.90625" customWidth="1" style="54" min="26" max="26"/>
    <col width="25.1796875" customWidth="1" style="54" min="27" max="27"/>
  </cols>
  <sheetData>
    <row r="1" ht="24" customHeight="1" s="54">
      <c r="A1" s="82" t="inlineStr">
        <is>
          <t>Portfolio Prioritization (Comparative Decisioning Across Candidates)</t>
        </is>
      </c>
      <c r="B1" s="80" t="n"/>
      <c r="C1" s="80" t="n"/>
      <c r="D1" s="80" t="n"/>
      <c r="E1" s="80" t="n"/>
      <c r="F1" s="80" t="n"/>
      <c r="G1" s="80" t="n"/>
      <c r="H1" s="80" t="n"/>
      <c r="I1" s="80" t="n"/>
      <c r="J1" s="80" t="n"/>
      <c r="K1" s="80" t="n"/>
      <c r="L1" s="80" t="n"/>
      <c r="M1" s="80" t="n"/>
      <c r="N1" s="80" t="n"/>
      <c r="O1" s="80" t="n"/>
      <c r="P1" s="80" t="n"/>
      <c r="Q1" s="80" t="n"/>
      <c r="R1" s="81" t="n"/>
    </row>
    <row r="3" ht="24" customHeight="1" s="54">
      <c r="A3" s="8" t="inlineStr">
        <is>
          <t>Why this exists</t>
        </is>
      </c>
      <c r="B3" s="85" t="inlineStr">
        <is>
          <t>Design</t>
        </is>
      </c>
    </row>
    <row r="4" ht="46" customHeight="1" s="54">
      <c r="A4" s="9" t="inlineStr">
        <is>
          <t>Core idea</t>
        </is>
      </c>
      <c r="B4" s="83" t="inlineStr">
        <is>
          <t>Candidate-program decisions should consider absolute merit AND relative merit within the same cycle, given constrained resources (budget, staffing, seats, leadership attention).</t>
        </is>
      </c>
    </row>
    <row r="5" ht="53.5" customHeight="1" s="54">
      <c r="A5" s="9" t="inlineStr">
        <is>
          <t>Use the official rubric</t>
        </is>
      </c>
      <c r="B5" s="83" t="inlineStr">
        <is>
          <t>Use Ms. Mitchell’s Program Proposal Evaluation Rubric (based on the Quality Indicators) as the single scoring instrument. This sheet adds ranking, constraints, sequencing, and resourcing trade-offs.</t>
        </is>
      </c>
    </row>
    <row r="6" ht="30" customHeight="1" s="54">
      <c r="A6" s="9" t="inlineStr">
        <is>
          <t>Decision outputs</t>
        </is>
      </c>
      <c r="B6" s="83" t="inlineStr">
        <is>
          <t>Approve / Approve for pilot / Waitlist / Request more info / Decline (tactful).</t>
        </is>
      </c>
    </row>
    <row r="7" ht="55" customHeight="1" s="54">
      <c r="A7" s="9" t="inlineStr">
        <is>
          <t>Special case: commissioned/mandated studies</t>
        </is>
      </c>
      <c r="B7" s="83" t="inlineStr">
        <is>
          <t>A Board/leadership-directed study may be required to complete (Concept Study stage), but implementation still competes for resources. Use the comparative table to decide sequencing (pilot vs waitlist vs redesign) transparently.</t>
        </is>
      </c>
    </row>
    <row r="8" ht="24" customHeight="1" s="54">
      <c r="A8" s="79" t="inlineStr">
        <is>
          <t>Candidate Comparison Table (Template)</t>
        </is>
      </c>
      <c r="B8" s="80" t="n"/>
      <c r="C8" s="80" t="n"/>
      <c r="D8" s="80" t="n"/>
      <c r="E8" s="80" t="n"/>
      <c r="F8" s="80" t="n"/>
      <c r="G8" s="80" t="n"/>
      <c r="H8" s="80" t="n"/>
      <c r="I8" s="80" t="n"/>
      <c r="J8" s="80" t="n"/>
      <c r="K8" s="80" t="n"/>
      <c r="L8" s="80" t="n"/>
      <c r="M8" s="80" t="n"/>
      <c r="N8" s="80" t="n"/>
      <c r="O8" s="80" t="n"/>
      <c r="P8" s="80" t="n"/>
      <c r="Q8" s="80" t="n"/>
      <c r="R8" s="80" t="n"/>
      <c r="S8" s="80" t="n"/>
      <c r="T8" s="80" t="n"/>
      <c r="U8" s="80" t="n"/>
      <c r="V8" s="80" t="n"/>
      <c r="W8" s="80" t="n"/>
      <c r="X8" s="81" t="n"/>
    </row>
    <row r="9" ht="24" customHeight="1" s="54">
      <c r="A9" s="8" t="inlineStr">
        <is>
          <t>Cycle ID</t>
        </is>
      </c>
      <c r="B9" s="8" t="inlineStr">
        <is>
          <t>Candidate program</t>
        </is>
      </c>
      <c r="C9" s="8" t="inlineStr">
        <is>
          <t>Sponsor/owner</t>
        </is>
      </c>
      <c r="D9" s="8" t="inlineStr">
        <is>
          <t>Category/segment</t>
        </is>
      </c>
      <c r="E9" s="8" t="inlineStr">
        <is>
          <t>Grade band(s)</t>
        </is>
      </c>
      <c r="F9" s="8" t="inlineStr">
        <is>
          <t>Proposed sites</t>
        </is>
      </c>
      <c r="G9" s="8" t="inlineStr">
        <is>
          <t>Entry model</t>
        </is>
      </c>
      <c r="H9" s="8" t="inlineStr">
        <is>
          <t>Rubric total (0–40)</t>
        </is>
      </c>
      <c r="I9" s="8" t="inlineStr">
        <is>
          <t>Alignment</t>
        </is>
      </c>
      <c r="J9" s="8" t="inlineStr">
        <is>
          <t>Evidence</t>
        </is>
      </c>
      <c r="K9" s="8" t="inlineStr">
        <is>
          <t>Equity</t>
        </is>
      </c>
      <c r="L9" s="8" t="inlineStr">
        <is>
          <t>Cost</t>
        </is>
      </c>
      <c r="M9" s="8" t="inlineStr">
        <is>
          <t>Feasibility</t>
        </is>
      </c>
      <c r="N9" s="8" t="inlineStr">
        <is>
          <t>Data/Eval</t>
        </is>
      </c>
      <c r="O9" s="8" t="inlineStr">
        <is>
          <t>Stakeholder</t>
        </is>
      </c>
      <c r="P9" s="8" t="inlineStr">
        <is>
          <t>Sustainability</t>
        </is>
      </c>
      <c r="Q9" s="8" t="inlineStr">
        <is>
          <t>Est. annual cost</t>
        </is>
      </c>
      <c r="R9" s="8" t="inlineStr">
        <is>
          <t>Est. start-up cost</t>
        </is>
      </c>
      <c r="S9" s="8" t="inlineStr">
        <is>
          <t>Incremental FTE</t>
        </is>
      </c>
      <c r="T9" s="8" t="inlineStr">
        <is>
          <t>Seats (yr1)</t>
        </is>
      </c>
      <c r="U9" s="8" t="inlineStr">
        <is>
          <t>Priority fit (H/M/L)</t>
        </is>
      </c>
      <c r="V9" s="8" t="inlineStr">
        <is>
          <t>Risk flags</t>
        </is>
      </c>
      <c r="W9" s="8" t="inlineStr">
        <is>
          <t>Recommendation</t>
        </is>
      </c>
      <c r="X9" s="8" t="inlineStr">
        <is>
          <t>Rationale</t>
        </is>
      </c>
      <c r="Y9" s="8" t="inlineStr">
        <is>
          <t>Trigger / entry channel</t>
        </is>
      </c>
      <c r="Z9" s="8" t="inlineStr">
        <is>
          <t>Mandated study? (Y/N)</t>
        </is>
      </c>
      <c r="AA9" s="8" t="inlineStr">
        <is>
          <t>Resource allocation approach</t>
        </is>
      </c>
    </row>
    <row r="10" ht="22" customHeight="1" s="54">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row>
    <row r="11" ht="22" customHeight="1" s="54">
      <c r="A11" s="76" t="n"/>
      <c r="B11" s="76" t="n"/>
      <c r="C11" s="76" t="n"/>
      <c r="D11" s="76" t="n"/>
      <c r="E11" s="76" t="n"/>
      <c r="F11" s="76" t="n"/>
      <c r="G11" s="76" t="n"/>
      <c r="H11" s="76" t="n"/>
      <c r="I11" s="76" t="n"/>
      <c r="J11" s="76" t="n"/>
      <c r="K11" s="76" t="n"/>
      <c r="L11" s="76" t="n"/>
      <c r="M11" s="76" t="n"/>
      <c r="N11" s="76" t="n"/>
      <c r="O11" s="76" t="n"/>
      <c r="P11" s="76" t="n"/>
      <c r="Q11" s="76" t="n"/>
      <c r="R11" s="76" t="n"/>
      <c r="S11" s="76" t="n"/>
      <c r="T11" s="76" t="n"/>
      <c r="U11" s="76" t="n"/>
      <c r="V11" s="76" t="n"/>
      <c r="W11" s="76" t="n"/>
      <c r="X11" s="76" t="n"/>
      <c r="Y11" s="76" t="n"/>
      <c r="Z11" s="76" t="n"/>
      <c r="AA11" s="76" t="n"/>
    </row>
    <row r="12" ht="22" customHeight="1" s="54">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row>
    <row r="13" ht="22" customHeight="1" s="54">
      <c r="A13" s="76" t="n"/>
      <c r="B13" s="76" t="n"/>
      <c r="C13" s="76" t="n"/>
      <c r="D13" s="76" t="n"/>
      <c r="E13" s="76" t="n"/>
      <c r="F13" s="76" t="n"/>
      <c r="G13" s="76" t="n"/>
      <c r="H13" s="76" t="n"/>
      <c r="I13" s="76" t="n"/>
      <c r="J13" s="76" t="n"/>
      <c r="K13" s="76" t="n"/>
      <c r="L13" s="76" t="n"/>
      <c r="M13" s="76" t="n"/>
      <c r="N13" s="76" t="n"/>
      <c r="O13" s="76" t="n"/>
      <c r="P13" s="76" t="n"/>
      <c r="Q13" s="76" t="n"/>
      <c r="R13" s="76" t="n"/>
      <c r="S13" s="76" t="n"/>
      <c r="T13" s="76" t="n"/>
      <c r="U13" s="76" t="n"/>
      <c r="V13" s="76" t="n"/>
      <c r="W13" s="76" t="n"/>
      <c r="X13" s="76" t="n"/>
      <c r="Y13" s="76" t="n"/>
      <c r="Z13" s="76" t="n"/>
      <c r="AA13" s="76" t="n"/>
    </row>
    <row r="14" ht="22" customHeight="1" s="54">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row>
    <row r="15" ht="22" customHeight="1" s="54">
      <c r="A15" s="76" t="n"/>
      <c r="B15" s="76" t="n"/>
      <c r="C15" s="76" t="n"/>
      <c r="D15" s="76" t="n"/>
      <c r="E15" s="76" t="n"/>
      <c r="F15" s="76" t="n"/>
      <c r="G15" s="76" t="n"/>
      <c r="H15" s="76" t="n"/>
      <c r="I15" s="76" t="n"/>
      <c r="J15" s="76" t="n"/>
      <c r="K15" s="76" t="n"/>
      <c r="L15" s="76" t="n"/>
      <c r="M15" s="76" t="n"/>
      <c r="N15" s="76" t="n"/>
      <c r="O15" s="76" t="n"/>
      <c r="P15" s="76" t="n"/>
      <c r="Q15" s="76" t="n"/>
      <c r="R15" s="76" t="n"/>
      <c r="S15" s="76" t="n"/>
      <c r="T15" s="76" t="n"/>
      <c r="U15" s="76" t="n"/>
      <c r="V15" s="76" t="n"/>
      <c r="W15" s="76" t="n"/>
      <c r="X15" s="76" t="n"/>
      <c r="Y15" s="76" t="n"/>
      <c r="Z15" s="76" t="n"/>
      <c r="AA15" s="76" t="n"/>
    </row>
    <row r="16" ht="22" customHeight="1" s="54">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row>
    <row r="17" ht="22" customHeight="1" s="54">
      <c r="A17" s="76" t="n"/>
      <c r="B17" s="76" t="n"/>
      <c r="C17" s="76" t="n"/>
      <c r="D17" s="76" t="n"/>
      <c r="E17" s="76" t="n"/>
      <c r="F17" s="76" t="n"/>
      <c r="G17" s="76" t="n"/>
      <c r="H17" s="76" t="n"/>
      <c r="I17" s="76" t="n"/>
      <c r="J17" s="76" t="n"/>
      <c r="K17" s="76" t="n"/>
      <c r="L17" s="76" t="n"/>
      <c r="M17" s="76" t="n"/>
      <c r="N17" s="76" t="n"/>
      <c r="O17" s="76" t="n"/>
      <c r="P17" s="76" t="n"/>
      <c r="Q17" s="76" t="n"/>
      <c r="R17" s="76" t="n"/>
      <c r="S17" s="76" t="n"/>
      <c r="T17" s="76" t="n"/>
      <c r="U17" s="76" t="n"/>
      <c r="V17" s="76" t="n"/>
      <c r="W17" s="76" t="n"/>
      <c r="X17" s="76" t="n"/>
      <c r="Y17" s="76" t="n"/>
      <c r="Z17" s="76" t="n"/>
      <c r="AA17" s="76" t="n"/>
    </row>
    <row r="18" ht="22" customHeight="1" s="54">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row>
    <row r="19" ht="22" customHeight="1" s="54">
      <c r="A19" s="76" t="n"/>
      <c r="B19" s="76" t="n"/>
      <c r="C19" s="76" t="n"/>
      <c r="D19" s="76" t="n"/>
      <c r="E19" s="76" t="n"/>
      <c r="F19" s="76" t="n"/>
      <c r="G19" s="76" t="n"/>
      <c r="H19" s="76" t="n"/>
      <c r="I19" s="76" t="n"/>
      <c r="J19" s="76" t="n"/>
      <c r="K19" s="76" t="n"/>
      <c r="L19" s="76" t="n"/>
      <c r="M19" s="76" t="n"/>
      <c r="N19" s="76" t="n"/>
      <c r="O19" s="76" t="n"/>
      <c r="P19" s="76" t="n"/>
      <c r="Q19" s="76" t="n"/>
      <c r="R19" s="76" t="n"/>
      <c r="S19" s="76" t="n"/>
      <c r="T19" s="76" t="n"/>
      <c r="U19" s="76" t="n"/>
      <c r="V19" s="76" t="n"/>
      <c r="W19" s="76" t="n"/>
      <c r="X19" s="76" t="n"/>
      <c r="Y19" s="76" t="n"/>
      <c r="Z19" s="76" t="n"/>
      <c r="AA19" s="76" t="n"/>
    </row>
    <row r="20" ht="22" customHeight="1" s="54">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row>
    <row r="21" ht="22" customHeight="1" s="54">
      <c r="A21" s="76" t="n"/>
      <c r="B21" s="76" t="n"/>
      <c r="C21" s="76" t="n"/>
      <c r="D21" s="76" t="n"/>
      <c r="E21" s="76" t="n"/>
      <c r="F21" s="76" t="n"/>
      <c r="G21" s="76" t="n"/>
      <c r="H21" s="76" t="n"/>
      <c r="I21" s="76" t="n"/>
      <c r="J21" s="76" t="n"/>
      <c r="K21" s="76" t="n"/>
      <c r="L21" s="76" t="n"/>
      <c r="M21" s="76" t="n"/>
      <c r="N21" s="76" t="n"/>
      <c r="O21" s="76" t="n"/>
      <c r="P21" s="76" t="n"/>
      <c r="Q21" s="76" t="n"/>
      <c r="R21" s="76" t="n"/>
      <c r="S21" s="76" t="n"/>
      <c r="T21" s="76" t="n"/>
      <c r="U21" s="76" t="n"/>
      <c r="V21" s="76" t="n"/>
      <c r="W21" s="76" t="n"/>
      <c r="X21" s="76" t="n"/>
      <c r="Y21" s="76" t="n"/>
      <c r="Z21" s="76" t="n"/>
      <c r="AA21" s="76" t="n"/>
    </row>
    <row r="22">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row>
    <row r="23" ht="24" customHeight="1" s="54">
      <c r="A23" s="79" t="inlineStr">
        <is>
          <t>Optional: Weighted Ranking (for tie-breaks / prioritization)</t>
        </is>
      </c>
      <c r="B23" s="80" t="n"/>
      <c r="C23" s="80" t="n"/>
      <c r="D23" s="80" t="n"/>
      <c r="E23" s="80" t="n"/>
      <c r="F23" s="80" t="n"/>
      <c r="G23" s="80" t="n"/>
      <c r="H23" s="80" t="n"/>
      <c r="I23" s="80" t="n"/>
      <c r="J23" s="80" t="n"/>
      <c r="K23" s="80" t="n"/>
      <c r="L23" s="81" t="n"/>
    </row>
    <row r="24" ht="24" customHeight="1" s="54">
      <c r="A24" s="8" t="inlineStr">
        <is>
          <t>Dimension</t>
        </is>
      </c>
      <c r="B24" s="8" t="inlineStr">
        <is>
          <t>Weight (0–1)</t>
        </is>
      </c>
      <c r="C24" s="8" t="inlineStr">
        <is>
          <t>Notes</t>
        </is>
      </c>
    </row>
    <row r="25" ht="20" customHeight="1" s="54">
      <c r="A25" s="9" t="inlineStr">
        <is>
          <t>Alignment &amp; Purpose</t>
        </is>
      </c>
      <c r="B25" s="14" t="n">
        <v>0.15</v>
      </c>
      <c r="C25" s="9" t="inlineStr">
        <is>
          <t>Strategic fit &amp; differentiation</t>
        </is>
      </c>
    </row>
    <row r="26" ht="20" customHeight="1" s="54">
      <c r="A26" s="76" t="inlineStr">
        <is>
          <t>Evidence &amp; Effectiveness</t>
        </is>
      </c>
      <c r="B26" s="15" t="n">
        <v>0.15</v>
      </c>
      <c r="C26" s="76" t="inlineStr">
        <is>
          <t>Evidence base &amp; metric clarity</t>
        </is>
      </c>
    </row>
    <row r="27" ht="20" customHeight="1" s="54">
      <c r="A27" s="9" t="inlineStr">
        <is>
          <t>Equity &amp; Accessibility</t>
        </is>
      </c>
      <c r="B27" s="14" t="n">
        <v>0.2</v>
      </c>
      <c r="C27" s="9" t="inlineStr">
        <is>
          <t>Access + gap-closing priority</t>
        </is>
      </c>
    </row>
    <row r="28" ht="20" customHeight="1" s="54">
      <c r="A28" s="76" t="inlineStr">
        <is>
          <t>Cost &amp; Resources</t>
        </is>
      </c>
      <c r="B28" s="15" t="n">
        <v>0.1</v>
      </c>
      <c r="C28" s="76" t="inlineStr">
        <is>
          <t>Affordability + funding realism</t>
        </is>
      </c>
    </row>
    <row r="29" ht="20" customHeight="1" s="54">
      <c r="A29" s="9" t="inlineStr">
        <is>
          <t>Implementation Feasibility</t>
        </is>
      </c>
      <c r="B29" s="14" t="n">
        <v>0.1</v>
      </c>
      <c r="C29" s="9" t="inlineStr">
        <is>
          <t>Operational readiness</t>
        </is>
      </c>
    </row>
    <row r="30" ht="20" customHeight="1" s="54">
      <c r="A30" s="76" t="inlineStr">
        <is>
          <t>Data &amp; Evaluation</t>
        </is>
      </c>
      <c r="B30" s="15" t="n">
        <v>0.1</v>
      </c>
      <c r="C30" s="76" t="inlineStr">
        <is>
          <t>Ability to measure and adjust</t>
        </is>
      </c>
    </row>
    <row r="31" ht="20" customHeight="1" s="54">
      <c r="A31" s="9" t="inlineStr">
        <is>
          <t>Community/Stakeholder Support</t>
        </is>
      </c>
      <c r="B31" s="14" t="n">
        <v>0.05</v>
      </c>
      <c r="C31" s="9" t="inlineStr">
        <is>
          <t>Adoption likelihood</t>
        </is>
      </c>
    </row>
    <row r="32" ht="20" customHeight="1" s="54">
      <c r="A32" s="76" t="inlineStr">
        <is>
          <t>Sustainability</t>
        </is>
      </c>
      <c r="B32" s="15" t="n">
        <v>0.15</v>
      </c>
      <c r="C32" s="76" t="inlineStr">
        <is>
          <t>Long-run viability</t>
        </is>
      </c>
    </row>
    <row r="34" ht="24" customHeight="1" s="54">
      <c r="A34" s="79" t="inlineStr">
        <is>
          <t>Decision Logic: Constraints, Tie-breakers, and Split vs Waitlist</t>
        </is>
      </c>
      <c r="B34" s="80" t="n"/>
      <c r="C34" s="80" t="n"/>
      <c r="D34" s="80" t="n"/>
      <c r="E34" s="80" t="n"/>
      <c r="F34" s="80" t="n"/>
      <c r="G34" s="80" t="n"/>
      <c r="H34" s="80" t="n"/>
      <c r="I34" s="80" t="n"/>
      <c r="J34" s="80" t="n"/>
      <c r="K34" s="80" t="n"/>
      <c r="L34" s="80" t="n"/>
      <c r="M34" s="80" t="n"/>
      <c r="N34" s="80" t="n"/>
      <c r="O34" s="80" t="n"/>
      <c r="P34" s="80" t="n"/>
      <c r="Q34" s="80" t="n"/>
      <c r="R34" s="80" t="n"/>
      <c r="S34" s="80" t="n"/>
      <c r="T34" s="80" t="n"/>
      <c r="U34" s="80" t="n"/>
      <c r="V34" s="80" t="n"/>
      <c r="W34" s="80" t="n"/>
      <c r="X34" s="81" t="n"/>
    </row>
    <row r="35" ht="24" customHeight="1" s="54">
      <c r="A35" s="8" t="inlineStr">
        <is>
          <t>Topic</t>
        </is>
      </c>
      <c r="B35" s="8" t="inlineStr">
        <is>
          <t>Guidance</t>
        </is>
      </c>
    </row>
    <row r="36" ht="30" customHeight="1" s="54">
      <c r="A36" s="9" t="inlineStr">
        <is>
          <t>Constraints to document</t>
        </is>
      </c>
      <c r="B36" s="9" t="inlineStr">
        <is>
          <t>(a) annual budget available; (b) start-up funding; (c) incremental FTE; (d) pilot slots / leadership bandwidth; (e) seat capacity constraints.</t>
        </is>
      </c>
    </row>
    <row r="37" ht="30" customHeight="1" s="54">
      <c r="A37" s="76" t="inlineStr">
        <is>
          <t>Tie-breakers</t>
        </is>
      </c>
      <c r="B37" s="76" t="inlineStr">
        <is>
          <t>If totals are similar: prefer higher Equity, stronger evaluation plan, and better sustainability. Consider portfolio balance (grade bands, segments) and dependency risks.</t>
        </is>
      </c>
    </row>
    <row r="38" ht="30" customHeight="1" s="54">
      <c r="A38" s="9" t="inlineStr">
        <is>
          <t>Split resources vs waitlist</t>
        </is>
      </c>
      <c r="B38" s="9" t="inlineStr">
        <is>
          <t>Split when: both are high priority, low-to-moderate resource intensity, and pilots can be bounded. Waitlist when: resource envelope supports only one OR one clearly dominates on equity/outcomes/feasibility.</t>
        </is>
      </c>
    </row>
  </sheetData>
  <mergeCells count="9">
    <mergeCell ref="B6:C6"/>
    <mergeCell ref="A34:X34"/>
    <mergeCell ref="B7:C7"/>
    <mergeCell ref="B3:C3"/>
    <mergeCell ref="B5:C5"/>
    <mergeCell ref="A23:L23"/>
    <mergeCell ref="A1:R1"/>
    <mergeCell ref="A8:X8"/>
    <mergeCell ref="B4:C4"/>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J61"/>
  <sheetViews>
    <sheetView zoomScale="70" zoomScaleNormal="70" workbookViewId="0">
      <pane xSplit="1" ySplit="3" topLeftCell="B4" activePane="bottomRight" state="frozen"/>
      <selection pane="topRight" activeCell="B1" sqref="B1"/>
      <selection pane="bottomLeft" activeCell="A4" sqref="A4"/>
      <selection pane="bottomRight" activeCell="D10" sqref="D10"/>
    </sheetView>
  </sheetViews>
  <sheetFormatPr baseColWidth="8" defaultRowHeight="14.5"/>
  <cols>
    <col width="10" customWidth="1" style="54" min="1" max="1"/>
    <col width="22" customWidth="1" style="54" min="2" max="2"/>
    <col width="45" customWidth="1" style="54" min="3" max="3"/>
    <col width="14" customWidth="1" style="54" min="4" max="4"/>
    <col width="60" customWidth="1" style="54" min="5" max="5"/>
    <col width="45" customWidth="1" style="54" min="6" max="6"/>
    <col width="14" customWidth="1" style="54" min="7" max="7"/>
    <col width="45" customWidth="1" style="54" min="8" max="8"/>
    <col width="55" customWidth="1" style="54" min="9" max="9"/>
    <col width="25" customWidth="1" style="54" min="10" max="10"/>
  </cols>
  <sheetData>
    <row r="1" ht="36" customHeight="1" s="54">
      <c r="A1" s="98" t="inlineStr">
        <is>
          <t>SCOPE NOTE (Feb 2026 baseline review): This SPARK review is focused on implementation and system alignment (strengths, sustainability, coherence across sites). It is NOT evaluating whether these programs 'should exist' or re-litigating research validity. Where the rubric/QIs reference 'research base' or 'market demand,' capture what is documented and focus scoring on clarity of local success metrics, monitoring routines, and improvement actions.</t>
        </is>
      </c>
    </row>
    <row r="2" ht="9.5" customHeight="1" s="54"/>
    <row r="3" ht="60" customHeight="1" s="54">
      <c r="A3" s="51" t="inlineStr">
        <is>
          <t>QI ID</t>
        </is>
      </c>
      <c r="B3" s="51" t="inlineStr">
        <is>
          <t>Domain</t>
        </is>
      </c>
      <c r="C3" s="51" t="inlineStr">
        <is>
          <t>Indicator / Guiding Question</t>
        </is>
      </c>
      <c r="D3" s="51" t="inlineStr">
        <is>
          <t>Rubric category</t>
        </is>
      </c>
      <c r="E3" s="51" t="inlineStr">
        <is>
          <t>Evidence found (public)</t>
        </is>
      </c>
      <c r="F3" s="51" t="inlineStr">
        <is>
          <t>Evidence link(s)</t>
        </is>
      </c>
      <c r="G3" s="51" t="inlineStr">
        <is>
          <t>Evidence ID(s)</t>
        </is>
      </c>
      <c r="H3" s="51" t="inlineStr">
        <is>
          <t>Preliminary rubric implication</t>
        </is>
      </c>
      <c r="I3" s="51" t="inlineStr">
        <is>
          <t>Data/evidence needed (request from Lea / internal sources)</t>
        </is>
      </c>
      <c r="J3" s="51" t="inlineStr">
        <is>
          <t>Notes (Saguaro vs Mohave etc.)</t>
        </is>
      </c>
    </row>
    <row r="4" ht="60" customHeight="1" s="54">
      <c r="A4" s="55" t="inlineStr">
        <is>
          <t>QI-01</t>
        </is>
      </c>
      <c r="B4" s="55" t="inlineStr">
        <is>
          <t>Alignment &amp; Purpose</t>
        </is>
      </c>
      <c r="C4" s="55" t="inlineStr">
        <is>
          <t>Aligns with district/school mission, vision, and strategic goals</t>
        </is>
      </c>
      <c r="D4" s="55" t="n">
        <v>1</v>
      </c>
      <c r="E4" s="55" t="inlineStr">
        <is>
          <t>District and school pages articulate SMSA STEM focus, history (started at Saguaro in 2008), and mission including an 'open forum/open village' framing intended to broaden benefits beyond enrolled SMSA students.</t>
        </is>
      </c>
      <c r="F4" s="55" t="inlineStr">
        <is>
          <t>https://www.susd.org/academics/academic-programs/math-science-academy
https://saguaro.susd.org/academics/math-science-academy</t>
        </is>
      </c>
      <c r="G4" s="55" t="inlineStr">
        <is>
          <t>E50; E52</t>
        </is>
      </c>
      <c r="H4" s="55" t="inlineStr">
        <is>
          <t>Rubric 1 (Alignment): Alignment to STEM emphasis is clear; outcomes are framed but not operationalized into measurable success metrics in public sources.</t>
        </is>
      </c>
      <c r="I4" s="55" t="inlineStr">
        <is>
          <t>Needs assessment data (why this program vs alternatives); explicit measurable outcomes/KPIs; target population and capacity.</t>
        </is>
      </c>
      <c r="J4" s="55" t="inlineStr">
        <is>
          <t>Saguaro HS + Mohave MS; confirm whether one program or two linked implementations.</t>
        </is>
      </c>
    </row>
    <row r="5" ht="60" customHeight="1" s="54">
      <c r="A5" s="55" t="inlineStr">
        <is>
          <t>QI-02</t>
        </is>
      </c>
      <c r="B5" s="55" t="inlineStr">
        <is>
          <t>Alignment &amp; Purpose</t>
        </is>
      </c>
      <c r="C5" s="55" t="inlineStr">
        <is>
          <t>Supports curriculum standards (local/state/national)</t>
        </is>
      </c>
      <c r="D5" s="55" t="n">
        <v>1</v>
      </c>
      <c r="E5" s="55" t="inlineStr">
        <is>
          <t>Not found in public sources reviewed (or requires internal data).</t>
        </is>
      </c>
      <c r="F5" s="55" t="n"/>
      <c r="G5" s="55" t="n"/>
      <c r="H5" s="55" t="inlineStr">
        <is>
          <t>Rubric 1: insufficient public evidence to rate; likely requires internal program data and stakeholder input.</t>
        </is>
      </c>
      <c r="I5" s="55" t="inlineStr">
        <is>
          <t>Request evidence per QI Evidence Map / Evidence Library (internal and/or site artifacts).</t>
        </is>
      </c>
      <c r="J5" s="55" t="n"/>
    </row>
    <row r="6" ht="60" customHeight="1" s="54">
      <c r="A6" s="55" t="inlineStr">
        <is>
          <t>QI-03</t>
        </is>
      </c>
      <c r="B6" s="55" t="inlineStr">
        <is>
          <t>Alignment &amp; Purpose</t>
        </is>
      </c>
      <c r="C6" s="55" t="inlineStr">
        <is>
          <t>Clear evidence of need for the program</t>
        </is>
      </c>
      <c r="D6" s="55" t="n">
        <v>1</v>
      </c>
      <c r="E6" s="55" t="inlineStr">
        <is>
          <t>Not found in public sources reviewed (or requires internal data).</t>
        </is>
      </c>
      <c r="F6" s="55" t="n"/>
      <c r="G6" s="55" t="n"/>
      <c r="H6" s="55" t="inlineStr">
        <is>
          <t>Rubric 1: insufficient public evidence to rate; likely requires internal program data and stakeholder input.</t>
        </is>
      </c>
      <c r="I6" s="55" t="inlineStr">
        <is>
          <t>Request evidence per QI Evidence Map / Evidence Library (internal and/or site artifacts).</t>
        </is>
      </c>
      <c r="J6" s="55" t="n"/>
    </row>
    <row r="7" ht="60" customHeight="1" s="54">
      <c r="A7" s="55" t="inlineStr">
        <is>
          <t>QI-04</t>
        </is>
      </c>
      <c r="B7" s="55" t="inlineStr">
        <is>
          <t>Alignment &amp; Purpose</t>
        </is>
      </c>
      <c r="C7" s="55" t="inlineStr">
        <is>
          <t>Intended outcomes are well-defined and measurable</t>
        </is>
      </c>
      <c r="D7" s="55" t="n">
        <v>1</v>
      </c>
      <c r="E7" s="55" t="inlineStr">
        <is>
          <t>Not found in public sources reviewed (or requires internal data).</t>
        </is>
      </c>
      <c r="F7" s="55" t="n"/>
      <c r="G7" s="55" t="n"/>
      <c r="H7" s="55" t="inlineStr">
        <is>
          <t>Rubric 1: insufficient public evidence to rate; likely requires internal program data and stakeholder input.</t>
        </is>
      </c>
      <c r="I7" s="55" t="inlineStr">
        <is>
          <t>Request evidence per QI Evidence Map / Evidence Library (internal and/or site artifacts).</t>
        </is>
      </c>
      <c r="J7" s="55" t="n"/>
    </row>
    <row r="8" ht="60" customHeight="1" s="54">
      <c r="A8" s="55" t="inlineStr">
        <is>
          <t>QI-05</t>
        </is>
      </c>
      <c r="B8" s="55" t="inlineStr">
        <is>
          <t>Alignment &amp; Purpose</t>
        </is>
      </c>
      <c r="C8" s="55" t="inlineStr">
        <is>
          <t>Serves an unmet need vs. duplicates existing programming</t>
        </is>
      </c>
      <c r="D8" s="55" t="n">
        <v>1</v>
      </c>
      <c r="E8" s="55" t="inlineStr">
        <is>
          <t>Not found in public sources reviewed (or requires internal data).</t>
        </is>
      </c>
      <c r="F8" s="55" t="n"/>
      <c r="G8" s="55" t="n"/>
      <c r="H8" s="55" t="inlineStr">
        <is>
          <t>Rubric 1: insufficient public evidence to rate; likely requires internal program data and stakeholder input.</t>
        </is>
      </c>
      <c r="I8" s="55" t="inlineStr">
        <is>
          <t>Request evidence per QI Evidence Map / Evidence Library (internal and/or site artifacts).</t>
        </is>
      </c>
      <c r="J8" s="55" t="n"/>
    </row>
    <row r="9" ht="60" customHeight="1" s="54">
      <c r="A9" s="55" t="inlineStr">
        <is>
          <t>QI-06</t>
        </is>
      </c>
      <c r="B9" s="55" t="inlineStr">
        <is>
          <t>Evidence &amp; Effectiveness</t>
        </is>
      </c>
      <c r="C9" s="55" t="inlineStr">
        <is>
          <t>Research-based or evidence-informed</t>
        </is>
      </c>
      <c r="D9" s="55" t="n">
        <v>2</v>
      </c>
      <c r="E9" s="55" t="inlineStr">
        <is>
          <t>Public sources describe program model and recognition pathways, but do not provide an explicit external research base summary.</t>
        </is>
      </c>
      <c r="F9" s="55" t="inlineStr">
        <is>
          <t>MSA overview (district): https://www.susd.org/academics/academic-programs/math-science-academy
Levels of Recognition: https://www.susd.org/academics/academic-programs/math-science-academy/levels-of-recognition</t>
        </is>
      </c>
      <c r="G9" s="55" t="inlineStr">
        <is>
          <t>E50; E51</t>
        </is>
      </c>
      <c r="H9" s="55" t="inlineStr">
        <is>
          <t>Implementation-aligned interpretation: focus on whether the program has a clear local definition of success + a monitoring routine (not on judging research validity).</t>
        </is>
      </c>
      <c r="I9" s="55" t="inlineStr">
        <is>
          <t>If needed for context: any internal MSA logic model, theory of action, or foundational design docs used historically; annual monitoring reports/dashboards.</t>
        </is>
      </c>
      <c r="J9" s="55" t="n"/>
    </row>
    <row r="10" ht="60" customHeight="1" s="54">
      <c r="A10" s="55" t="inlineStr">
        <is>
          <t>QI-07</t>
        </is>
      </c>
      <c r="B10" s="55" t="inlineStr">
        <is>
          <t>Evidence &amp; Effectiveness</t>
        </is>
      </c>
      <c r="C10" s="55" t="inlineStr">
        <is>
          <t>Market demand for specialized programming</t>
        </is>
      </c>
      <c r="D10" s="55" t="n">
        <v>2</v>
      </c>
      <c r="E10" s="55" t="inlineStr">
        <is>
          <t>Not found in public sources reviewed (or requires internal data).</t>
        </is>
      </c>
      <c r="F10" s="55" t="n"/>
      <c r="G10" s="55" t="n"/>
      <c r="H10" s="55" t="inlineStr">
        <is>
          <t>Rubric 2: insufficient public evidence to rate; likely requires internal program data and stakeholder input.</t>
        </is>
      </c>
      <c r="I10" s="55" t="inlineStr">
        <is>
          <t>Request evidence per QI Evidence Map / Evidence Library (internal and/or site artifacts).</t>
        </is>
      </c>
      <c r="J10" s="55" t="n"/>
    </row>
    <row r="11" ht="60" customHeight="1" s="54">
      <c r="A11" s="55" t="inlineStr">
        <is>
          <t>QI-08</t>
        </is>
      </c>
      <c r="B11" s="55" t="inlineStr">
        <is>
          <t>Evidence &amp; Effectiveness</t>
        </is>
      </c>
      <c r="C11" s="55" t="inlineStr">
        <is>
          <t>Proven results in similar contexts (size, demographics)</t>
        </is>
      </c>
      <c r="D11" s="55" t="n">
        <v>2</v>
      </c>
      <c r="E11" s="55" t="inlineStr">
        <is>
          <t>Not found in public sources reviewed (or requires internal data).</t>
        </is>
      </c>
      <c r="F11" s="55" t="n"/>
      <c r="G11" s="55" t="n"/>
      <c r="H11" s="55" t="inlineStr">
        <is>
          <t>Rubric 2: insufficient public evidence to rate; likely requires internal program data and stakeholder input.</t>
        </is>
      </c>
      <c r="I11" s="55" t="inlineStr">
        <is>
          <t>Request evidence per QI Evidence Map / Evidence Library (internal and/or site artifacts).</t>
        </is>
      </c>
      <c r="J11" s="55" t="n"/>
    </row>
    <row r="12" ht="60" customHeight="1" s="54">
      <c r="A12" s="55" t="inlineStr">
        <is>
          <t>QI-09</t>
        </is>
      </c>
      <c r="B12" s="55" t="inlineStr">
        <is>
          <t>Evidence &amp; Effectiveness</t>
        </is>
      </c>
      <c r="C12" s="55" t="inlineStr">
        <is>
          <t>Clear success metrics (academic, behavioral, social-emotional, etc.)</t>
        </is>
      </c>
      <c r="D12" s="55" t="n">
        <v>2</v>
      </c>
      <c r="E12" s="55" t="inlineStr">
        <is>
          <t>Not found in public sources reviewed (or requires internal data).</t>
        </is>
      </c>
      <c r="F12" s="55" t="n"/>
      <c r="G12" s="55" t="n"/>
      <c r="H12" s="55" t="inlineStr">
        <is>
          <t>Rubric 2: insufficient public evidence to rate; likely requires internal program data and stakeholder input.</t>
        </is>
      </c>
      <c r="I12" s="55" t="inlineStr">
        <is>
          <t>Request evidence per QI Evidence Map / Evidence Library (internal and/or site artifacts).</t>
        </is>
      </c>
      <c r="J12" s="55" t="n"/>
    </row>
    <row r="13" ht="60" customHeight="1" s="54">
      <c r="A13" s="55" t="inlineStr">
        <is>
          <t>QI-10</t>
        </is>
      </c>
      <c r="B13" s="55" t="inlineStr">
        <is>
          <t>Evidence &amp; Effectiveness</t>
        </is>
      </c>
      <c r="C13" s="55" t="inlineStr">
        <is>
          <t>Pilot studies, case studies, or testimonials</t>
        </is>
      </c>
      <c r="D13" s="55" t="n">
        <v>2</v>
      </c>
      <c r="E13" s="55" t="inlineStr">
        <is>
          <t>Not found in public sources reviewed (or requires internal data).</t>
        </is>
      </c>
      <c r="F13" s="55" t="n"/>
      <c r="G13" s="55" t="n"/>
      <c r="H13" s="55" t="inlineStr">
        <is>
          <t>Rubric 2: insufficient public evidence to rate; likely requires internal program data and stakeholder input.</t>
        </is>
      </c>
      <c r="I13" s="55" t="inlineStr">
        <is>
          <t>Request evidence per QI Evidence Map / Evidence Library (internal and/or site artifacts).</t>
        </is>
      </c>
      <c r="J13" s="55" t="n"/>
    </row>
    <row r="14" ht="60" customHeight="1" s="54">
      <c r="A14" s="55" t="inlineStr">
        <is>
          <t>QI-11</t>
        </is>
      </c>
      <c r="B14" s="55" t="inlineStr">
        <is>
          <t>Equity &amp; Accessibility</t>
        </is>
      </c>
      <c r="C14" s="55" t="inlineStr">
        <is>
          <t>Benefits all students, including those with diverse needs</t>
        </is>
      </c>
      <c r="D14" s="55" t="n">
        <v>3</v>
      </c>
      <c r="E14" s="55" t="inlineStr">
        <is>
          <t>District overview emphasizes inclusivity via open forum opportunities for any Saguaro student; Mohave page emphasizes inclusive opportunities for all Mohave students.</t>
        </is>
      </c>
      <c r="F14" s="55" t="inlineStr">
        <is>
          <t>https://www.susd.org/academics/academic-programs/math-science-academy
https://mohave.susd.org/academics/msa</t>
        </is>
      </c>
      <c r="G14" s="55" t="inlineStr">
        <is>
          <t>E50; E53</t>
        </is>
      </c>
      <c r="H14" s="55" t="inlineStr">
        <is>
          <t>Rubric 3 (Equity): Public language suggests intent to broaden access, but equity mechanisms (supports, recruitment, barriers) and actual subgroup participation are not visible.</t>
        </is>
      </c>
      <c r="I14" s="55" t="inlineStr">
        <is>
          <t>Enrollment/demographics by subgroup (open-enroll vs boundary); admissions/selection criteria; supports for SPED/EL; transportation/access constraints.</t>
        </is>
      </c>
      <c r="J14" s="55" t="n"/>
    </row>
    <row r="15" ht="60" customHeight="1" s="54">
      <c r="A15" s="55" t="inlineStr">
        <is>
          <t>QI-12</t>
        </is>
      </c>
      <c r="B15" s="55" t="inlineStr">
        <is>
          <t>Equity &amp; Accessibility</t>
        </is>
      </c>
      <c r="C15" s="55" t="inlineStr">
        <is>
          <t>Accessible for English learners and students with disabilities</t>
        </is>
      </c>
      <c r="D15" s="55" t="n">
        <v>3</v>
      </c>
      <c r="E15" s="55" t="inlineStr">
        <is>
          <t>Not found in public sources reviewed (or requires internal data).</t>
        </is>
      </c>
      <c r="F15" s="55" t="n"/>
      <c r="G15" s="55" t="n"/>
      <c r="H15" s="55" t="inlineStr">
        <is>
          <t>Rubric 3: insufficient public evidence to rate; likely requires internal program data and stakeholder input.</t>
        </is>
      </c>
      <c r="I15" s="55" t="inlineStr">
        <is>
          <t>Request evidence per QI Evidence Map / Evidence Library (internal and/or site artifacts).</t>
        </is>
      </c>
      <c r="J15" s="55" t="n"/>
    </row>
    <row r="16" ht="60" customHeight="1" s="54">
      <c r="A16" s="55" t="inlineStr">
        <is>
          <t>QI-13</t>
        </is>
      </c>
      <c r="B16" s="55" t="inlineStr">
        <is>
          <t>Equity &amp; Accessibility</t>
        </is>
      </c>
      <c r="C16" s="55" t="inlineStr">
        <is>
          <t>Helps close achievement/opportunity gaps</t>
        </is>
      </c>
      <c r="D16" s="55" t="n">
        <v>3</v>
      </c>
      <c r="E16" s="55" t="inlineStr">
        <is>
          <t>Not found in public sources reviewed (or requires internal data).</t>
        </is>
      </c>
      <c r="F16" s="55" t="n"/>
      <c r="G16" s="55" t="n"/>
      <c r="H16" s="55" t="inlineStr">
        <is>
          <t>Rubric 3: insufficient public evidence to rate; likely requires internal program data and stakeholder input.</t>
        </is>
      </c>
      <c r="I16" s="55" t="inlineStr">
        <is>
          <t>Request evidence per QI Evidence Map / Evidence Library (internal and/or site artifacts).</t>
        </is>
      </c>
      <c r="J16" s="55" t="n"/>
    </row>
    <row r="17" ht="60" customHeight="1" s="54">
      <c r="A17" s="55" t="inlineStr">
        <is>
          <t>QI-14</t>
        </is>
      </c>
      <c r="B17" s="55" t="inlineStr">
        <is>
          <t>Cost &amp; Resources</t>
        </is>
      </c>
      <c r="C17" s="55" t="inlineStr">
        <is>
          <t>Total cost (startup, annual, materials, tech, licensing)</t>
        </is>
      </c>
      <c r="D17" s="55" t="n">
        <v>4</v>
      </c>
      <c r="E17" s="55" t="inlineStr">
        <is>
          <t>Not found in public sources reviewed (or requires internal data).</t>
        </is>
      </c>
      <c r="F17" s="55" t="n"/>
      <c r="G17" s="55" t="n"/>
      <c r="H17" s="55" t="inlineStr">
        <is>
          <t>Rubric 4: insufficient public evidence to rate; likely requires internal program data and stakeholder input.</t>
        </is>
      </c>
      <c r="I17" s="55" t="inlineStr">
        <is>
          <t>Request evidence per QI Evidence Map / Evidence Library (internal and/or site artifacts).</t>
        </is>
      </c>
      <c r="J17" s="55" t="n"/>
    </row>
    <row r="18" ht="60" customHeight="1" s="54">
      <c r="A18" s="55" t="inlineStr">
        <is>
          <t>QI-15</t>
        </is>
      </c>
      <c r="B18" s="55" t="inlineStr">
        <is>
          <t>Cost &amp; Resources</t>
        </is>
      </c>
      <c r="C18" s="55" t="inlineStr">
        <is>
          <t>Budget and/or sustainable funding exists</t>
        </is>
      </c>
      <c r="D18" s="55" t="n">
        <v>4</v>
      </c>
      <c r="E18" s="55" t="inlineStr">
        <is>
          <t>Not found in public sources reviewed (or requires internal data).</t>
        </is>
      </c>
      <c r="F18" s="55" t="n"/>
      <c r="G18" s="55" t="n"/>
      <c r="H18" s="55" t="inlineStr">
        <is>
          <t>Rubric 4: insufficient public evidence to rate; likely requires internal program data and stakeholder input.</t>
        </is>
      </c>
      <c r="I18" s="55" t="inlineStr">
        <is>
          <t>Request evidence per QI Evidence Map / Evidence Library (internal and/or site artifacts).</t>
        </is>
      </c>
      <c r="J18" s="55" t="n"/>
    </row>
    <row r="19" ht="60" customHeight="1" s="54">
      <c r="A19" s="55" t="inlineStr">
        <is>
          <t>QI-16</t>
        </is>
      </c>
      <c r="B19" s="55" t="inlineStr">
        <is>
          <t>Cost &amp; Resources</t>
        </is>
      </c>
      <c r="C19" s="55" t="inlineStr">
        <is>
          <t>Grants/external financial resources considered</t>
        </is>
      </c>
      <c r="D19" s="55" t="n">
        <v>4</v>
      </c>
      <c r="E19" s="55" t="inlineStr">
        <is>
          <t>Not found in public sources reviewed (or requires internal data).</t>
        </is>
      </c>
      <c r="F19" s="55" t="n"/>
      <c r="G19" s="55" t="n"/>
      <c r="H19" s="55" t="inlineStr">
        <is>
          <t>Rubric 4: insufficient public evidence to rate; likely requires internal program data and stakeholder input.</t>
        </is>
      </c>
      <c r="I19" s="55" t="inlineStr">
        <is>
          <t>Request evidence per QI Evidence Map / Evidence Library (internal and/or site artifacts).</t>
        </is>
      </c>
      <c r="J19" s="55" t="n"/>
    </row>
    <row r="20" ht="60" customHeight="1" s="54">
      <c r="A20" s="55" t="inlineStr">
        <is>
          <t>QI-17</t>
        </is>
      </c>
      <c r="B20" s="55" t="inlineStr">
        <is>
          <t>Cost &amp; Resources</t>
        </is>
      </c>
      <c r="C20" s="55" t="inlineStr">
        <is>
          <t>Materials/facilities/tech required; ongoing maintenance costs</t>
        </is>
      </c>
      <c r="D20" s="55" t="n">
        <v>4</v>
      </c>
      <c r="E20" s="55" t="inlineStr">
        <is>
          <t>Mohave describes Innovation Center resources (robotics, coding, 3D printing) and STEM experiences; job posting describes Innovation Center maker-space equipment and high-tech workstations.</t>
        </is>
      </c>
      <c r="F20" s="55" t="inlineStr">
        <is>
          <t>https://mohave.susd.org/academics/msa
https://scottsdale.tedk12.com/hire/Admin/JobPostingPrintView.aspx?Internal=&amp;JobID=11116</t>
        </is>
      </c>
      <c r="G20" s="55" t="inlineStr">
        <is>
          <t>E53; E57</t>
        </is>
      </c>
      <c r="H20" s="55" t="inlineStr">
        <is>
          <t>Rubric 4 (Cost/Resources): Evidence indicates meaningful facilities/tech investment, but costs and maintenance plans are not public.</t>
        </is>
      </c>
      <c r="I20" s="55" t="inlineStr">
        <is>
          <t>Inventory of facilities/tech by site; annual operating/refresh costs; funding sources; utilization metrics.</t>
        </is>
      </c>
      <c r="J20" s="55" t="inlineStr">
        <is>
          <t>Mohave implementation likely differs from Saguaro Innovation Center setup.</t>
        </is>
      </c>
    </row>
    <row r="21" ht="60" customHeight="1" s="54">
      <c r="A21" s="55" t="inlineStr">
        <is>
          <t>QI-18</t>
        </is>
      </c>
      <c r="B21" s="55" t="inlineStr">
        <is>
          <t>Cost &amp; Resources</t>
        </is>
      </c>
      <c r="C21" s="55" t="inlineStr">
        <is>
          <t>Staffing needed (new hires, reassignment, volunteers)</t>
        </is>
      </c>
      <c r="D21" s="55" t="n">
        <v>4</v>
      </c>
      <c r="E21" s="55" t="inlineStr">
        <is>
          <t>Job posting outlines dedicated coordinator role overseeing SMSA operations and Innovation Center, including budget management, student progress monitoring, and community outreach.</t>
        </is>
      </c>
      <c r="F21" s="55" t="inlineStr">
        <is>
          <t>https://scottsdale.tedk12.com/hire/Admin/JobPostingPrintView.aspx?Internal=&amp;JobID=11116</t>
        </is>
      </c>
      <c r="G21" s="55" t="inlineStr">
        <is>
          <t>E57</t>
        </is>
      </c>
      <c r="H21" s="55" t="inlineStr">
        <is>
          <t>Rubric 4/7: Clear evidence of specialized staffing roles; still need full staffing model and sustainability.</t>
        </is>
      </c>
      <c r="I21" s="55" t="inlineStr">
        <is>
          <t>Current org chart for SMSA; staffing FTE by role; teacher load impacts; Mohave staffing plan.</t>
        </is>
      </c>
      <c r="J21" s="55" t="inlineStr">
        <is>
          <t>Job posting may reflect a point-in-time; confirm current structure.</t>
        </is>
      </c>
    </row>
    <row r="22" ht="60" customHeight="1" s="54">
      <c r="A22" s="55" t="inlineStr">
        <is>
          <t>QI-19</t>
        </is>
      </c>
      <c r="B22" s="55" t="inlineStr">
        <is>
          <t>Training &amp; Support</t>
        </is>
      </c>
      <c r="C22" s="55" t="inlineStr">
        <is>
          <t>Staff professional development needs identified</t>
        </is>
      </c>
      <c r="D22" s="55" t="n">
        <v>5</v>
      </c>
      <c r="E22" s="55" t="inlineStr">
        <is>
          <t>Not found in public sources reviewed (or requires internal data).</t>
        </is>
      </c>
      <c r="F22" s="55" t="n"/>
      <c r="G22" s="55" t="n"/>
      <c r="H22" s="55" t="inlineStr">
        <is>
          <t>Rubric 5: insufficient public evidence to rate; likely requires internal program data and stakeholder input.</t>
        </is>
      </c>
      <c r="I22" s="55" t="inlineStr">
        <is>
          <t>Request evidence per QI Evidence Map / Evidence Library (internal and/or site artifacts).</t>
        </is>
      </c>
      <c r="J22" s="55" t="n"/>
    </row>
    <row r="23" ht="60" customHeight="1" s="54">
      <c r="A23" s="55" t="inlineStr">
        <is>
          <t>QI-20</t>
        </is>
      </c>
      <c r="B23" s="55" t="inlineStr">
        <is>
          <t>Training &amp; Support</t>
        </is>
      </c>
      <c r="C23" s="55" t="inlineStr">
        <is>
          <t>Training is available, high-quality, and affordable</t>
        </is>
      </c>
      <c r="D23" s="55" t="n">
        <v>5</v>
      </c>
      <c r="E23" s="55" t="inlineStr">
        <is>
          <t>Not found in public sources reviewed (or requires internal data).</t>
        </is>
      </c>
      <c r="F23" s="55" t="n"/>
      <c r="G23" s="55" t="n"/>
      <c r="H23" s="55" t="inlineStr">
        <is>
          <t>Rubric 5: insufficient public evidence to rate; likely requires internal program data and stakeholder input.</t>
        </is>
      </c>
      <c r="I23" s="55" t="inlineStr">
        <is>
          <t>Request evidence per QI Evidence Map / Evidence Library (internal and/or site artifacts).</t>
        </is>
      </c>
      <c r="J23" s="55" t="n"/>
    </row>
    <row r="24" ht="60" customHeight="1" s="54">
      <c r="A24" s="55" t="inlineStr">
        <is>
          <t>QI-21</t>
        </is>
      </c>
      <c r="B24" s="55" t="inlineStr">
        <is>
          <t>Training &amp; Support</t>
        </is>
      </c>
      <c r="C24" s="55" t="inlineStr">
        <is>
          <t>Ongoing support/troubleshooting/updates provided</t>
        </is>
      </c>
      <c r="D24" s="55" t="n">
        <v>5</v>
      </c>
      <c r="E24" s="55" t="inlineStr">
        <is>
          <t>Not found in public sources reviewed (or requires internal data).</t>
        </is>
      </c>
      <c r="F24" s="55" t="n"/>
      <c r="G24" s="55" t="n"/>
      <c r="H24" s="55" t="inlineStr">
        <is>
          <t>Rubric 5: insufficient public evidence to rate; likely requires internal program data and stakeholder input.</t>
        </is>
      </c>
      <c r="I24" s="55" t="inlineStr">
        <is>
          <t>Request evidence per QI Evidence Map / Evidence Library (internal and/or site artifacts).</t>
        </is>
      </c>
      <c r="J24" s="55" t="n"/>
    </row>
    <row r="25" ht="60" customHeight="1" s="54">
      <c r="A25" s="55" t="inlineStr">
        <is>
          <t>QI-22</t>
        </is>
      </c>
      <c r="B25" s="55" t="inlineStr">
        <is>
          <t>Training &amp; Support</t>
        </is>
      </c>
      <c r="C25" s="55" t="inlineStr">
        <is>
          <t>Program manageable given staff workload</t>
        </is>
      </c>
      <c r="D25" s="55" t="n">
        <v>5</v>
      </c>
      <c r="E25" s="55" t="inlineStr">
        <is>
          <t>Not found in public sources reviewed (or requires internal data).</t>
        </is>
      </c>
      <c r="F25" s="55" t="n"/>
      <c r="G25" s="55" t="n"/>
      <c r="H25" s="55" t="inlineStr">
        <is>
          <t>Rubric 5: insufficient public evidence to rate; likely requires internal program data and stakeholder input.</t>
        </is>
      </c>
      <c r="I25" s="55" t="inlineStr">
        <is>
          <t>Request evidence per QI Evidence Map / Evidence Library (internal and/or site artifacts).</t>
        </is>
      </c>
      <c r="J25" s="55" t="n"/>
    </row>
    <row r="26" ht="60" customHeight="1" s="54">
      <c r="A26" s="55" t="inlineStr">
        <is>
          <t>QI-23</t>
        </is>
      </c>
      <c r="B26" s="55" t="inlineStr">
        <is>
          <t>Training &amp; Support</t>
        </is>
      </c>
      <c r="C26" s="55" t="inlineStr">
        <is>
          <t>Parent education and support for the program theme</t>
        </is>
      </c>
      <c r="D26" s="55" t="n">
        <v>5</v>
      </c>
      <c r="E26" s="55" t="inlineStr">
        <is>
          <t>Evidence of family-facing supports: student/parent info meeting flyer; application form includes booster email opt-in/out; upperclassman application requests meeting with coordinator to build program of study.</t>
        </is>
      </c>
      <c r="F26" s="55" t="inlineStr">
        <is>
          <t>Info meeting flyer (PDF): https://www.susd.org/fs/resource-manager/view/fba819f9-911a-4b9c-bedb-ede911bb88fe
Initial application form: https://docs.google.com/forms/d/e/1FAIpQLScB0u8R3BUTkTAL3jTyQrvIOOSS-1JBGtRVGCLpTio2sONRSQ/viewform?usp=pp_url
Upperclassman recognition application: https://docs.google.com/forms/d/e/1FAIpQLSeqaU6FJP4EKRoI_NkhfIZ-zFd_EH24u2R0b5fE1xMi6SlJ8Q/viewform?usp=pp_url</t>
        </is>
      </c>
      <c r="G26" s="55" t="inlineStr">
        <is>
          <t>E66; E64; E65</t>
        </is>
      </c>
      <c r="H26" s="55" t="inlineStr">
        <is>
          <t>Strong implementation signal if these supports are consistent and accessible to families across cohorts; confirm cadence and languages/translation supports.</t>
        </is>
      </c>
      <c r="I26" s="55" t="inlineStr">
        <is>
          <t>Parent/family comms plan (ParentSquare cadence), attendance records for info meetings, FAQs/handbook, translation/interpretation supports.</t>
        </is>
      </c>
      <c r="J26" s="55" t="n"/>
    </row>
    <row r="27" ht="60" customHeight="1" s="54">
      <c r="A27" s="55" t="inlineStr">
        <is>
          <t>QI-24</t>
        </is>
      </c>
      <c r="B27" s="55" t="inlineStr">
        <is>
          <t>Impact on Students &amp; Staff</t>
        </is>
      </c>
      <c r="C27" s="55" t="inlineStr">
        <is>
          <t>Effect on student daily schedule/workload</t>
        </is>
      </c>
      <c r="D27" s="55" t="n">
        <v>6</v>
      </c>
      <c r="E27" s="55" t="inlineStr">
        <is>
          <t>Recognition/distinction requirements imply significant student load (advanced STEM coursework, minimum course load, competitions, service, and field experience).</t>
        </is>
      </c>
      <c r="F27" s="55" t="inlineStr">
        <is>
          <t>https://www.susd.org/academics/academic-programs/math-science-academy
https://www.susd.org/academics/academic-programs/math-science-academy/levels-of-recognition</t>
        </is>
      </c>
      <c r="G27" s="55" t="inlineStr">
        <is>
          <t>E50; E51</t>
        </is>
      </c>
      <c r="H27" s="55" t="inlineStr">
        <is>
          <t>Rubric 6 (Impact): Program is designed to be rigorous; need to assess whether workload is appropriate and supported (counseling, scheduling, wellbeing).</t>
        </is>
      </c>
      <c r="I27" s="55" t="inlineStr">
        <is>
          <t>Student schedule impact analysis; student/parent survey feedback; retention/attrition; wellbeing indicators.</t>
        </is>
      </c>
      <c r="J27" s="55" t="n"/>
    </row>
    <row r="28" ht="60" customHeight="1" s="54">
      <c r="A28" s="55" t="inlineStr">
        <is>
          <t>QI-25</t>
        </is>
      </c>
      <c r="B28" s="55" t="inlineStr">
        <is>
          <t>Impact on Students &amp; Staff</t>
        </is>
      </c>
      <c r="C28" s="55" t="inlineStr">
        <is>
          <t>Impact on teacher planning/instruction/prep time</t>
        </is>
      </c>
      <c r="D28" s="55" t="n">
        <v>6</v>
      </c>
      <c r="E28" s="55" t="inlineStr">
        <is>
          <t>Not found in public sources reviewed (or requires internal data).</t>
        </is>
      </c>
      <c r="F28" s="55" t="n"/>
      <c r="G28" s="55" t="n"/>
      <c r="H28" s="55" t="inlineStr">
        <is>
          <t>Rubric 6: insufficient public evidence to rate; likely requires internal program data and stakeholder input.</t>
        </is>
      </c>
      <c r="I28" s="55" t="inlineStr">
        <is>
          <t>Request evidence per QI Evidence Map / Evidence Library (internal and/or site artifacts).</t>
        </is>
      </c>
      <c r="J28" s="55" t="n"/>
    </row>
    <row r="29" ht="60" customHeight="1" s="54">
      <c r="A29" s="55" t="inlineStr">
        <is>
          <t>QI-26</t>
        </is>
      </c>
      <c r="B29" s="55" t="inlineStr">
        <is>
          <t>Impact on Students &amp; Staff</t>
        </is>
      </c>
      <c r="C29" s="55" t="inlineStr">
        <is>
          <t>Enhances learning vs. adds unnecessary complexity</t>
        </is>
      </c>
      <c r="D29" s="55" t="n">
        <v>6</v>
      </c>
      <c r="E29" s="55" t="inlineStr">
        <is>
          <t>Cohort classes emphasize enhanced instruction (labs, speakers, field trips, critical thinking, technical writing) intended to enhance learning experiences.</t>
        </is>
      </c>
      <c r="F29" s="55" t="inlineStr">
        <is>
          <t>https://www.susd.org/academics/academic-programs/math-science-academy</t>
        </is>
      </c>
      <c r="G29" s="55" t="inlineStr">
        <is>
          <t>E50</t>
        </is>
      </c>
      <c r="H29" s="55" t="inlineStr">
        <is>
          <t>Rubric 6: Evidence of enriched learning design; need outcome data to judge effectiveness vs complexity.</t>
        </is>
      </c>
      <c r="I29" s="55" t="inlineStr">
        <is>
          <t>Student achievement/growth; classroom observation evidence; student work/product examples; teacher feedback.</t>
        </is>
      </c>
      <c r="J29" s="55" t="n"/>
    </row>
    <row r="30" ht="60" customHeight="1" s="54">
      <c r="A30" s="55" t="inlineStr">
        <is>
          <t>QI-27</t>
        </is>
      </c>
      <c r="B30" s="55" t="inlineStr">
        <is>
          <t>Impact on Students &amp; Staff</t>
        </is>
      </c>
      <c r="C30" s="55" t="inlineStr">
        <is>
          <t>Improves school culture/climate</t>
        </is>
      </c>
      <c r="D30" s="55" t="n">
        <v>6</v>
      </c>
      <c r="E30" s="55" t="inlineStr">
        <is>
          <t>Not found in public sources reviewed (or requires internal data).</t>
        </is>
      </c>
      <c r="F30" s="55" t="n"/>
      <c r="G30" s="55" t="n"/>
      <c r="H30" s="55" t="inlineStr">
        <is>
          <t>Rubric 6: insufficient public evidence to rate; likely requires internal program data and stakeholder input.</t>
        </is>
      </c>
      <c r="I30" s="55" t="inlineStr">
        <is>
          <t>Request evidence per QI Evidence Map / Evidence Library (internal and/or site artifacts).</t>
        </is>
      </c>
      <c r="J30" s="55" t="n"/>
    </row>
    <row r="31" ht="60" customHeight="1" s="54">
      <c r="A31" s="55" t="inlineStr">
        <is>
          <t>QI-28</t>
        </is>
      </c>
      <c r="B31" s="55" t="inlineStr">
        <is>
          <t>Implementation Feasibility</t>
        </is>
      </c>
      <c r="C31" s="55" t="inlineStr">
        <is>
          <t>Realistic rollout timeline</t>
        </is>
      </c>
      <c r="D31" s="55" t="n">
        <v>7</v>
      </c>
      <c r="E31" s="55" t="inlineStr">
        <is>
          <t>Mohave expansion is explicitly framed as beginning in the 2025–26 school year; described as modeled after Saguaro’s program.</t>
        </is>
      </c>
      <c r="F31" s="55" t="inlineStr">
        <is>
          <t>Mohave district MSA page: https://www.susd.org/academics/academic-programs/math-science-academy/mohave-middle-school
Mohave school MSA page: https://mohave.susd.org/academics/msa</t>
        </is>
      </c>
      <c r="G31" s="55" t="inlineStr">
        <is>
          <t>E53</t>
        </is>
      </c>
      <c r="H31" s="55" t="inlineStr">
        <is>
          <t>Clear public milestone; for baseline review, verify rollout plan details (schedule changes, staffing, elective pathways, Innovation Center access).</t>
        </is>
      </c>
      <c r="I31" s="55" t="inlineStr">
        <is>
          <t>Implementation plan/calendar for Mohave launch; staffing plan; schedule/elective offerings; PD plan; communication plan.</t>
        </is>
      </c>
      <c r="J31" s="55" t="inlineStr">
        <is>
          <t>Separate 'mature' vs 'new' implementation evidence.</t>
        </is>
      </c>
    </row>
    <row r="32" ht="60" customHeight="1" s="54">
      <c r="A32" s="55" t="inlineStr">
        <is>
          <t>QI-29</t>
        </is>
      </c>
      <c r="B32" s="55" t="inlineStr">
        <is>
          <t>Implementation Feasibility</t>
        </is>
      </c>
      <c r="C32" s="55" t="inlineStr">
        <is>
          <t>Can be piloted before full adoption</t>
        </is>
      </c>
      <c r="D32" s="55" t="n">
        <v>7</v>
      </c>
      <c r="E32" s="55" t="inlineStr">
        <is>
          <t>Not found in public sources reviewed (or requires internal data).</t>
        </is>
      </c>
      <c r="F32" s="55" t="n"/>
      <c r="G32" s="55" t="n"/>
      <c r="H32" s="55" t="inlineStr">
        <is>
          <t>Rubric 7: insufficient public evidence to rate; likely requires internal program data and stakeholder input.</t>
        </is>
      </c>
      <c r="I32" s="55" t="inlineStr">
        <is>
          <t>Request evidence per QI Evidence Map / Evidence Library (internal and/or site artifacts).</t>
        </is>
      </c>
      <c r="J32" s="55" t="n"/>
    </row>
    <row r="33" ht="60" customHeight="1" s="54">
      <c r="A33" s="55" t="inlineStr">
        <is>
          <t>QI-30</t>
        </is>
      </c>
      <c r="B33" s="55" t="inlineStr">
        <is>
          <t>Implementation Feasibility</t>
        </is>
      </c>
      <c r="C33" s="55" t="inlineStr">
        <is>
          <t>Roles/responsibilities clearly defined</t>
        </is>
      </c>
      <c r="D33" s="55" t="n">
        <v>7</v>
      </c>
      <c r="E33" s="55" t="inlineStr">
        <is>
          <t>District MSA page lists program coordinators; upperclassman application references coordinator meeting to develop Program of Study.</t>
        </is>
      </c>
      <c r="F33" s="55" t="inlineStr">
        <is>
          <t>District MSA overview (contacts): https://www.susd.org/academics/academic-programs/math-science-academy
Upperclassman recognition application: https://docs.google.com/forms/d/e/1FAIpQLSeqaU6FJP4EKRoI_NkhfIZ-zFd_EH24u2R0b5fE1xMi6SlJ8Q/viewform?usp=pp_url</t>
        </is>
      </c>
      <c r="G33" s="55" t="inlineStr">
        <is>
          <t>E50; E65</t>
        </is>
      </c>
      <c r="H33" s="55" t="inlineStr">
        <is>
          <t>Good start; for system alignment, clarify role ownership across district vs site (coordinator, counselor, Innovation Center staff) and ensure consistency across Mohave and Saguaro.</t>
        </is>
      </c>
      <c r="I33" s="55" t="inlineStr">
        <is>
          <t>Role descriptions/RACI; advising workflow; Innovation Center staffing model; counselor coordination notes.</t>
        </is>
      </c>
      <c r="J33" s="55" t="n"/>
    </row>
    <row r="34" ht="60" customHeight="1" s="54">
      <c r="A34" s="55" t="inlineStr">
        <is>
          <t>QI-31</t>
        </is>
      </c>
      <c r="B34" s="55" t="inlineStr">
        <is>
          <t>Implementation Feasibility</t>
        </is>
      </c>
      <c r="C34" s="55" t="inlineStr">
        <is>
          <t>Assessment and monitoring tools included</t>
        </is>
      </c>
      <c r="D34" s="55" t="n">
        <v>7</v>
      </c>
      <c r="E34" s="55" t="inlineStr">
        <is>
          <t>Not found in public sources reviewed (or requires internal data).</t>
        </is>
      </c>
      <c r="F34" s="55" t="n"/>
      <c r="G34" s="55" t="n"/>
      <c r="H34" s="55" t="inlineStr">
        <is>
          <t>Rubric 7: insufficient public evidence to rate; likely requires internal program data and stakeholder input.</t>
        </is>
      </c>
      <c r="I34" s="55" t="inlineStr">
        <is>
          <t>Request evidence per QI Evidence Map / Evidence Library (internal and/or site artifacts).</t>
        </is>
      </c>
      <c r="J34" s="55" t="n"/>
    </row>
    <row r="35" ht="60" customHeight="1" s="54">
      <c r="A35" s="55" t="inlineStr">
        <is>
          <t>QI-32</t>
        </is>
      </c>
      <c r="B35" s="55" t="inlineStr">
        <is>
          <t>Data &amp; Evaluation</t>
        </is>
      </c>
      <c r="C35" s="55" t="inlineStr">
        <is>
          <t>How success will be measured</t>
        </is>
      </c>
      <c r="D35" s="55" t="n">
        <v>8</v>
      </c>
      <c r="E35" s="55" t="inlineStr">
        <is>
          <t>Not found in public sources reviewed (or requires internal data).</t>
        </is>
      </c>
      <c r="F35" s="55" t="n"/>
      <c r="G35" s="55" t="n"/>
      <c r="H35" s="55" t="inlineStr">
        <is>
          <t>Rubric 8: insufficient public evidence to rate; likely requires internal program data and stakeholder input.</t>
        </is>
      </c>
      <c r="I35" s="55" t="inlineStr">
        <is>
          <t>Request evidence per QI Evidence Map / Evidence Library (internal and/or site artifacts).</t>
        </is>
      </c>
      <c r="J35" s="55" t="n"/>
    </row>
    <row r="36" ht="60" customHeight="1" s="54">
      <c r="A36" s="55" t="inlineStr">
        <is>
          <t>QI-33</t>
        </is>
      </c>
      <c r="B36" s="55" t="inlineStr">
        <is>
          <t>Data &amp; Evaluation</t>
        </is>
      </c>
      <c r="C36" s="55" t="inlineStr">
        <is>
          <t>Plan for regular data collection, review, and action based on results (expand/close/adjust)</t>
        </is>
      </c>
      <c r="D36" s="55" t="n">
        <v>8</v>
      </c>
      <c r="E36" s="55" t="inlineStr">
        <is>
          <t>Public sources include some participation/progression counts (e.g., MSA students; candidates for distinction) in Saguaro school profile, but do not show a regular monitoring dashboard.</t>
        </is>
      </c>
      <c r="F36" s="55" t="inlineStr">
        <is>
          <t>Saguaro school profile PDF: https://saguaro.susd.org/fs/resource-manager/view/d02ac368-f793-4ac1-8232-2548c994d06c</t>
        </is>
      </c>
      <c r="G36" s="55" t="inlineStr">
        <is>
          <t>E67</t>
        </is>
      </c>
      <c r="H36" s="55" t="inlineStr">
        <is>
          <t>Baseline evidence exists (counts); to align with Ms. Mitchell’s intent, prioritize building a repeatable annual update with agreed KPIs and a cadence.</t>
        </is>
      </c>
      <c r="I36" s="55" t="inlineStr">
        <is>
          <t>Annual metrics (enrollment by subgroup, course-taking, competitions, distinction completion, field experience completion); process for reviewing results and making changes.</t>
        </is>
      </c>
      <c r="J36" s="55" t="n"/>
    </row>
    <row r="37" ht="60" customHeight="1" s="54">
      <c r="A37" s="55" t="inlineStr">
        <is>
          <t>QI-34</t>
        </is>
      </c>
      <c r="B37" s="55" t="inlineStr">
        <is>
          <t>Data &amp; Evaluation</t>
        </is>
      </c>
      <c r="C37" s="55" t="inlineStr">
        <is>
          <t>Clear benchmarks and performance indicators</t>
        </is>
      </c>
      <c r="D37" s="55" t="n">
        <v>8</v>
      </c>
      <c r="E37" s="55" t="inlineStr">
        <is>
          <t>Not found in public sources reviewed (or requires internal data).</t>
        </is>
      </c>
      <c r="F37" s="55" t="n"/>
      <c r="G37" s="55" t="n"/>
      <c r="H37" s="55" t="inlineStr">
        <is>
          <t>Rubric 8: insufficient public evidence to rate; likely requires internal program data and stakeholder input.</t>
        </is>
      </c>
      <c r="I37" s="55" t="inlineStr">
        <is>
          <t>Request evidence per QI Evidence Map / Evidence Library (internal and/or site artifacts).</t>
        </is>
      </c>
      <c r="J37" s="55" t="n"/>
    </row>
    <row r="38" ht="60" customHeight="1" s="54">
      <c r="A38" s="55" t="inlineStr">
        <is>
          <t>QI-35</t>
        </is>
      </c>
      <c r="B38" s="55" t="inlineStr">
        <is>
          <t>Data &amp; Evaluation</t>
        </is>
      </c>
      <c r="C38" s="55" t="inlineStr">
        <is>
          <t>Program can be modified based on data</t>
        </is>
      </c>
      <c r="D38" s="55" t="n">
        <v>8</v>
      </c>
      <c r="E38" s="55" t="inlineStr">
        <is>
          <t>Not found in public sources reviewed (or requires internal data).</t>
        </is>
      </c>
      <c r="F38" s="55" t="n"/>
      <c r="G38" s="55" t="n"/>
      <c r="H38" s="55" t="inlineStr">
        <is>
          <t>Rubric 8: insufficient public evidence to rate; likely requires internal program data and stakeholder input.</t>
        </is>
      </c>
      <c r="I38" s="55" t="inlineStr">
        <is>
          <t>Request evidence per QI Evidence Map / Evidence Library (internal and/or site artifacts).</t>
        </is>
      </c>
      <c r="J38" s="55" t="n"/>
    </row>
    <row r="39" ht="60" customHeight="1" s="54">
      <c r="A39" s="55" t="inlineStr">
        <is>
          <t>QI-36</t>
        </is>
      </c>
      <c r="B39" s="55" t="inlineStr">
        <is>
          <t>Community Partners &amp; Stakeholder Support</t>
        </is>
      </c>
      <c r="C39" s="55" t="inlineStr">
        <is>
          <t>Teachers/administrators/students/families consulted</t>
        </is>
      </c>
      <c r="D39" s="55" t="n">
        <v>9</v>
      </c>
      <c r="E39" s="55" t="inlineStr">
        <is>
          <t>Not found in public sources reviewed (or requires internal data).</t>
        </is>
      </c>
      <c r="F39" s="55" t="n"/>
      <c r="G39" s="55" t="n"/>
      <c r="H39" s="55" t="inlineStr">
        <is>
          <t>Rubric 9: insufficient public evidence to rate; likely requires internal program data and stakeholder input.</t>
        </is>
      </c>
      <c r="I39" s="55" t="inlineStr">
        <is>
          <t>Request evidence per QI Evidence Map / Evidence Library (internal and/or site artifacts).</t>
        </is>
      </c>
      <c r="J39" s="55" t="n"/>
    </row>
    <row r="40" ht="60" customHeight="1" s="54">
      <c r="A40" s="55" t="inlineStr">
        <is>
          <t>QI-37</t>
        </is>
      </c>
      <c r="B40" s="55" t="inlineStr">
        <is>
          <t>Community Partners &amp; Stakeholder Support</t>
        </is>
      </c>
      <c r="C40" s="55" t="inlineStr">
        <is>
          <t>Community/business partners consulted and leveraged</t>
        </is>
      </c>
      <c r="D40" s="55" t="n">
        <v>9</v>
      </c>
      <c r="E40" s="55" t="inlineStr">
        <is>
          <t>District and job posting reference field experiences/internships and outreach/liaison with colleges, business and industry; Mohave page mentions partnerships with local industry professionals.</t>
        </is>
      </c>
      <c r="F40" s="55" t="inlineStr">
        <is>
          <t>https://www.susd.org/academics/academic-programs/math-science-academy
https://mohave.susd.org/academics/msa
https://scottsdale.tedk12.com/hire/Admin/JobPostingPrintView.aspx?Internal=&amp;JobID=11116</t>
        </is>
      </c>
      <c r="G40" s="55" t="inlineStr">
        <is>
          <t>E50; E53; E57; E56</t>
        </is>
      </c>
      <c r="H40" s="55" t="inlineStr">
        <is>
          <t>Rubric 9 (Stakeholder/Partners): Partnership intent is explicit; need inventory of partners and evidence of value delivered to students.</t>
        </is>
      </c>
      <c r="I40" s="55" t="inlineStr">
        <is>
          <t>Partner list/MOUs; # of students placed; quality of placements; partner feedback; equity of access to partnerships.</t>
        </is>
      </c>
      <c r="J40" s="55" t="n"/>
    </row>
    <row r="41" ht="60" customHeight="1" s="54">
      <c r="A41" s="55" t="inlineStr">
        <is>
          <t>QI-38</t>
        </is>
      </c>
      <c r="B41" s="55" t="inlineStr">
        <is>
          <t>Community Partners &amp; Stakeholder Support</t>
        </is>
      </c>
      <c r="C41" s="55" t="inlineStr">
        <is>
          <t>Broad support vs. potential resistance assessed</t>
        </is>
      </c>
      <c r="D41" s="55" t="n">
        <v>9</v>
      </c>
      <c r="E41" s="55" t="inlineStr">
        <is>
          <t>Not found in public sources reviewed (or requires internal data).</t>
        </is>
      </c>
      <c r="F41" s="55" t="n"/>
      <c r="G41" s="55" t="n"/>
      <c r="H41" s="55" t="inlineStr">
        <is>
          <t>Rubric 9: insufficient public evidence to rate; likely requires internal program data and stakeholder input.</t>
        </is>
      </c>
      <c r="I41" s="55" t="inlineStr">
        <is>
          <t>Request evidence per QI Evidence Map / Evidence Library (internal and/or site artifacts).</t>
        </is>
      </c>
      <c r="J41" s="55" t="n"/>
    </row>
    <row r="42" ht="60" customHeight="1" s="54">
      <c r="A42" s="55" t="inlineStr">
        <is>
          <t>QI-39</t>
        </is>
      </c>
      <c r="B42" s="55" t="inlineStr">
        <is>
          <t>Community Partners &amp; Stakeholder Support</t>
        </is>
      </c>
      <c r="C42" s="55" t="inlineStr">
        <is>
          <t>Communication is clear and transparent</t>
        </is>
      </c>
      <c r="D42" s="55" t="n">
        <v>9</v>
      </c>
      <c r="E42" s="55" t="inlineStr">
        <is>
          <t>Multiple public-facing pages and forms clearly communicate pathways and expectations (cohort, recognition levels, competitions, field experiences) + contacts.</t>
        </is>
      </c>
      <c r="F42" s="55" t="inlineStr">
        <is>
          <t>District MSA overview: https://www.susd.org/academics/academic-programs/math-science-academy
Saguaro MSA page: https://saguaro.susd.org/academics/math-science-academy
Levels of Recognition: https://www.susd.org/academics/academic-programs/math-science-academy/levels-of-recognition</t>
        </is>
      </c>
      <c r="G42" s="55" t="inlineStr">
        <is>
          <t>E50; E52; E51; E64; E65</t>
        </is>
      </c>
      <c r="H42" s="55" t="inlineStr">
        <is>
          <t>Implementation-aligned: communications appear robust; confirm coherence across sites (Mohave vs Saguaro) and ensure communications cover access supports, timelines, and who to contact.</t>
        </is>
      </c>
      <c r="I42" s="55" t="inlineStr">
        <is>
          <t>Program handbook(s) by site; communications calendar; translated materials; FAQ; any equity/access messaging.</t>
        </is>
      </c>
      <c r="J42" s="55" t="n"/>
    </row>
    <row r="43" ht="60" customHeight="1" s="54">
      <c r="A43" s="55" t="inlineStr">
        <is>
          <t>QI-40</t>
        </is>
      </c>
      <c r="B43" s="55" t="inlineStr">
        <is>
          <t>Community Partners &amp; Stakeholder Support</t>
        </is>
      </c>
      <c r="C43" s="55" t="inlineStr">
        <is>
          <t>Families/community/business partners understand program specifics</t>
        </is>
      </c>
      <c r="D43" s="55" t="n">
        <v>9</v>
      </c>
      <c r="E43" s="55" t="inlineStr">
        <is>
          <t>Levels of Recognition and application forms provide detailed requirements (courses, competitions, service, field experiences) that help families understand what the program entails.</t>
        </is>
      </c>
      <c r="F43" s="55" t="inlineStr">
        <is>
          <t>Levels of Recognition: https://www.susd.org/academics/academic-programs/math-science-academy/levels-of-recognition
Upperclassman recognition application: https://docs.google.com/forms/d/e/1FAIpQLSeqaU6FJP4EKRoI_NkhfIZ-zFd_EH24u2R0b5fE1xMi6SlJ8Q/viewform?usp=pp_url</t>
        </is>
      </c>
      <c r="G43" s="55" t="inlineStr">
        <is>
          <t>E51; E65</t>
        </is>
      </c>
      <c r="H43" s="55" t="inlineStr">
        <is>
          <t>Strong for “clarity of expectations”; verify that requirements are feasible/consistent with counseling and scheduling supports (system alignment).</t>
        </is>
      </c>
      <c r="I43" s="55" t="inlineStr">
        <is>
          <t>Student advising materials; list of approved STEM courses (current year); sample programs of study; equity/access supports for meeting requirements.</t>
        </is>
      </c>
      <c r="J43" s="55" t="n"/>
    </row>
    <row r="44" ht="60" customHeight="1" s="54">
      <c r="A44" s="55" t="inlineStr">
        <is>
          <t>QI-41</t>
        </is>
      </c>
      <c r="B44" s="55" t="inlineStr">
        <is>
          <t>Sustainability</t>
        </is>
      </c>
      <c r="C44" s="55" t="inlineStr">
        <is>
          <t>Program can be maintained over time</t>
        </is>
      </c>
      <c r="D44" s="55" t="n">
        <v>10</v>
      </c>
      <c r="E44" s="55" t="inlineStr">
        <is>
          <t>District overview notes program started at Saguaro in May 2008, indicating longevity; expansion to Mohave suggests continued investment.</t>
        </is>
      </c>
      <c r="F44" s="55" t="inlineStr">
        <is>
          <t>https://www.susd.org/academics/academic-programs/math-science-academy</t>
        </is>
      </c>
      <c r="G44" s="55" t="inlineStr">
        <is>
          <t>E50</t>
        </is>
      </c>
      <c r="H44" s="55" t="inlineStr">
        <is>
          <t>Rubric 10 (Sustainability): Longevity is a positive signal; sustainability still depends on staffing/funding stability and enrollment demand.</t>
        </is>
      </c>
      <c r="I44" s="55" t="inlineStr">
        <is>
          <t>Multi-year funding/staffing plan; enrollment trend; equipment refresh plan; succession plan for key roles.</t>
        </is>
      </c>
      <c r="J44" s="55" t="n"/>
    </row>
    <row r="45" ht="60" customHeight="1" s="54">
      <c r="A45" s="55" t="inlineStr">
        <is>
          <t>QI-42</t>
        </is>
      </c>
      <c r="B45" s="55" t="inlineStr">
        <is>
          <t>Sustainability</t>
        </is>
      </c>
      <c r="C45" s="55" t="inlineStr">
        <is>
          <t>Funding and staffing stable for multiple years</t>
        </is>
      </c>
      <c r="D45" s="55" t="n">
        <v>10</v>
      </c>
      <c r="E45" s="55" t="inlineStr">
        <is>
          <t>Not found in public sources reviewed (or requires internal data).</t>
        </is>
      </c>
      <c r="F45" s="55" t="n"/>
      <c r="G45" s="55" t="n"/>
      <c r="H45" s="55" t="inlineStr">
        <is>
          <t>Rubric 10: insufficient public evidence to rate; likely requires internal program data and stakeholder input.</t>
        </is>
      </c>
      <c r="I45" s="55" t="inlineStr">
        <is>
          <t>Request evidence per QI Evidence Map / Evidence Library (internal and/or site artifacts).</t>
        </is>
      </c>
      <c r="J45" s="55" t="n"/>
    </row>
    <row r="46" ht="60" customHeight="1" s="54">
      <c r="A46" s="55" t="inlineStr">
        <is>
          <t>QI-43</t>
        </is>
      </c>
      <c r="B46" s="55" t="inlineStr">
        <is>
          <t>Sustainability</t>
        </is>
      </c>
      <c r="C46" s="55" t="inlineStr">
        <is>
          <t>Integrates with existing systems (vs. replacing too much at once)</t>
        </is>
      </c>
      <c r="D46" s="55" t="n">
        <v>10</v>
      </c>
      <c r="E46" s="55" t="inlineStr">
        <is>
          <t>Mohave page frames MSA as part of a pipeline with accelerated pathways and a transition to Saguaro SMSA; district framing emphasizes open-forum access to STEM opportunities.</t>
        </is>
      </c>
      <c r="F46" s="55" t="inlineStr">
        <is>
          <t>https://mohave.susd.org/academics/msa
https://www.susd.org/academics/academic-programs/math-science-academy</t>
        </is>
      </c>
      <c r="G46" s="55" t="inlineStr">
        <is>
          <t>E53; E50</t>
        </is>
      </c>
      <c r="H46" s="55" t="inlineStr">
        <is>
          <t>Rubric 10: Integration intent exists (MS→HS pipeline); need operational details (articulation agreements, counseling, course sequencing).</t>
        </is>
      </c>
      <c r="I46" s="55" t="inlineStr">
        <is>
          <t>Articulation plan MS→HS; counseling process; course sequence alignment; student tracking.</t>
        </is>
      </c>
      <c r="J46" s="55" t="n"/>
    </row>
    <row r="47" ht="43.5" customHeight="1" s="54">
      <c r="A47" s="55" t="inlineStr">
        <is>
          <t>QI-44</t>
        </is>
      </c>
      <c r="B47" s="55" t="inlineStr">
        <is>
          <t>Sustainability</t>
        </is>
      </c>
      <c r="C47" s="55" t="inlineStr">
        <is>
          <t>Can adapt to future needs</t>
        </is>
      </c>
      <c r="D47" s="55" t="n">
        <v>10</v>
      </c>
      <c r="E47" s="55" t="inlineStr">
        <is>
          <t>Not found in public sources reviewed (or requires internal data).</t>
        </is>
      </c>
      <c r="F47" s="55" t="n"/>
      <c r="G47" s="55" t="n"/>
      <c r="H47" s="55" t="inlineStr">
        <is>
          <t>Rubric 10: insufficient public evidence to rate; likely requires internal program data and stakeholder input.</t>
        </is>
      </c>
      <c r="I47" s="55" t="inlineStr">
        <is>
          <t>Request evidence per QI Evidence Map / Evidence Library (internal and/or site artifacts).</t>
        </is>
      </c>
      <c r="J47" s="55" t="n"/>
    </row>
    <row r="48" ht="43.5" customHeight="1" s="54">
      <c r="A48" s="55" t="inlineStr">
        <is>
          <t>QI-45</t>
        </is>
      </c>
      <c r="B48" s="55" t="inlineStr">
        <is>
          <t>Sustainability</t>
        </is>
      </c>
      <c r="C48" s="55" t="inlineStr">
        <is>
          <t>Plan to maintain consistency during leadership transitions</t>
        </is>
      </c>
      <c r="D48" s="55" t="n">
        <v>10</v>
      </c>
      <c r="E48" s="55" t="inlineStr">
        <is>
          <t>Not found in public sources reviewed (or requires internal data).</t>
        </is>
      </c>
      <c r="F48" s="55" t="n"/>
      <c r="G48" s="55" t="n"/>
      <c r="H48" s="55" t="inlineStr">
        <is>
          <t>Rubric 10: insufficient public evidence to rate; likely requires internal program data and stakeholder input.</t>
        </is>
      </c>
      <c r="I48" s="55" t="inlineStr">
        <is>
          <t>Request evidence per QI Evidence Map / Evidence Library (internal and/or site artifacts).</t>
        </is>
      </c>
      <c r="J48" s="55" t="n"/>
    </row>
    <row r="49" ht="30" customHeight="1" s="54"/>
    <row r="50" ht="80" customHeight="1" s="54">
      <c r="A50" s="52" t="inlineStr">
        <is>
          <t>Domain Summary (very preliminary; public evidence only)</t>
        </is>
      </c>
    </row>
    <row r="51" ht="80" customHeight="1" s="54">
      <c r="A51" s="51" t="inlineStr">
        <is>
          <t>Rubric category</t>
        </is>
      </c>
      <c r="B51" s="51" t="inlineStr">
        <is>
          <t>Domain</t>
        </is>
      </c>
      <c r="C51" s="51" t="inlineStr">
        <is>
          <t>Key evidence found (public)</t>
        </is>
      </c>
      <c r="D51" s="51" t="inlineStr">
        <is>
          <t>Preliminary score (1-4)</t>
        </is>
      </c>
      <c r="E51" s="51" t="inlineStr">
        <is>
          <t>Rationale (public-only)</t>
        </is>
      </c>
      <c r="F51" s="51" t="inlineStr">
        <is>
          <t>Key gaps / additional evidence needed</t>
        </is>
      </c>
      <c r="G51" s="51" t="inlineStr">
        <is>
          <t>Where to get it (owner)</t>
        </is>
      </c>
    </row>
    <row r="52" ht="80" customHeight="1" s="54">
      <c r="A52" s="55" t="n">
        <v>1</v>
      </c>
      <c r="B52" s="55" t="inlineStr">
        <is>
          <t>Alignment &amp; Purpose</t>
        </is>
      </c>
      <c r="C52" s="55" t="inlineStr">
        <is>
          <t>Mission/overview posted; history since 2008; open-forum framing.</t>
        </is>
      </c>
      <c r="D52" s="55" t="n">
        <v>3</v>
      </c>
      <c r="E52" s="55" t="inlineStr">
        <is>
          <t>Alignment to STEM focus is clear; measurable outcomes/needs data not public.</t>
        </is>
      </c>
      <c r="F52" s="55" t="inlineStr">
        <is>
          <t>Needs assessment; measurable KPIs; capacity/target cohort definition.</t>
        </is>
      </c>
      <c r="G52" s="55" t="inlineStr">
        <is>
          <t>Lea + site leadership; district strategy/data.</t>
        </is>
      </c>
    </row>
    <row r="53" ht="80" customHeight="1" s="54">
      <c r="A53" s="55" t="n">
        <v>2</v>
      </c>
      <c r="B53" s="55" t="inlineStr">
        <is>
          <t>Evidence &amp; Effectiveness</t>
        </is>
      </c>
      <c r="C53" s="55" t="inlineStr">
        <is>
          <t>Claims of benchmarking with top STEM universities; rigorous requirements (courses/competitions/field experience) documented.</t>
        </is>
      </c>
      <c r="D53" s="55" t="n">
        <v>2</v>
      </c>
      <c r="E53" s="55" t="inlineStr">
        <is>
          <t>Design rationale exists; empirical results and research base not visible publicly.</t>
        </is>
      </c>
      <c r="F53" s="55" t="inlineStr">
        <is>
          <t>Outcome data (achievement, AP/DE, postsecondary); research base; comparison to similar programs.</t>
        </is>
      </c>
      <c r="G53" s="55" t="inlineStr">
        <is>
          <t>Lea + Assessment/Accountability; counseling/CTE; MSA coordinator.</t>
        </is>
      </c>
    </row>
    <row r="54" ht="80" customHeight="1" s="54">
      <c r="A54" s="55" t="n">
        <v>3</v>
      </c>
      <c r="B54" s="55" t="inlineStr">
        <is>
          <t>Equity &amp; Accessibility</t>
        </is>
      </c>
      <c r="C54" s="55" t="inlineStr">
        <is>
          <t>Inclusivity language ('open forum') on district page; Mohave page frames inclusive opportunities.</t>
        </is>
      </c>
      <c r="D54" s="55" t="n">
        <v>2</v>
      </c>
      <c r="E54" s="55" t="inlineStr">
        <is>
          <t>Intent to broaden access is stated; supports/barriers and subgroup participation not shown publicly.</t>
        </is>
      </c>
      <c r="F54" s="55" t="inlineStr">
        <is>
          <t>Admissions/selection criteria; transportation/access; subgroup participation/outcomes; supports for EL/SPED.</t>
        </is>
      </c>
      <c r="G54" s="55" t="inlineStr">
        <is>
          <t>Lea + enrollment office; site administration; data team.</t>
        </is>
      </c>
    </row>
    <row r="55" ht="80" customHeight="1" s="54">
      <c r="A55" s="55" t="n">
        <v>4</v>
      </c>
      <c r="B55" s="55" t="inlineStr">
        <is>
          <t>Cost &amp; Resources</t>
        </is>
      </c>
      <c r="C55" s="55" t="inlineStr">
        <is>
          <t>Innovation Center resources/equipment described (maker-space); dedicated coordinator role suggests operational investment.</t>
        </is>
      </c>
      <c r="D55" s="55" t="n">
        <v>1</v>
      </c>
      <c r="E55" s="55" t="inlineStr">
        <is>
          <t>Public sources do not provide cost model, funding sources, or maintenance plan.</t>
        </is>
      </c>
      <c r="F55" s="55" t="inlineStr">
        <is>
          <t>Annual cost (staffing, equipment, supplies); funding sources; refresh/maintenance schedule; utilization metrics.</t>
        </is>
      </c>
      <c r="G55" s="55" t="inlineStr">
        <is>
          <t>Lea + finance; site admin; MSA coordinator.</t>
        </is>
      </c>
    </row>
    <row r="56" ht="80" customHeight="1" s="54">
      <c r="A56" s="55" t="n">
        <v>5</v>
      </c>
      <c r="B56" s="55" t="inlineStr">
        <is>
          <t>Training &amp; Support</t>
        </is>
      </c>
      <c r="C56" s="55" t="inlineStr">
        <is>
          <t>No specific PD/support plan found publicly (beyond role descriptions).</t>
        </is>
      </c>
      <c r="D56" s="55" t="n">
        <v>1</v>
      </c>
      <c r="E56" s="55" t="inlineStr">
        <is>
          <t>Likely exists internally but not visible; cannot assess.</t>
        </is>
      </c>
      <c r="F56" s="55" t="inlineStr">
        <is>
          <t>PD plan, coaching supports, onboarding for teachers; certification/training requirements (if any).</t>
        </is>
      </c>
      <c r="G56" s="55" t="inlineStr">
        <is>
          <t>Lea + site leadership; district PD/HR.</t>
        </is>
      </c>
    </row>
    <row r="57" ht="80" customHeight="1" s="54">
      <c r="A57" s="55" t="n">
        <v>6</v>
      </c>
      <c r="B57" s="55" t="inlineStr">
        <is>
          <t>Impact on Students &amp; Staff</t>
        </is>
      </c>
      <c r="C57" s="55" t="inlineStr">
        <is>
          <t>Program is designed for enriched instruction; student requirements indicate rigor and capstone experiences.</t>
        </is>
      </c>
      <c r="D57" s="55" t="n">
        <v>2</v>
      </c>
      <c r="E57" s="55" t="inlineStr">
        <is>
          <t>Likely positive academically; need evidence on workload, wellbeing, teacher impact, and broader school impacts.</t>
        </is>
      </c>
      <c r="F57" s="55" t="inlineStr">
        <is>
          <t>Student/teacher surveys; schedule impacts; retention/attrition; culture indicators; discipline/attendance changes.</t>
        </is>
      </c>
      <c r="G57" s="55" t="inlineStr">
        <is>
          <t>Lea + site leadership; counselors; climate surveys.</t>
        </is>
      </c>
    </row>
    <row r="58" ht="80" customHeight="1" s="54">
      <c r="A58" s="55" t="n">
        <v>7</v>
      </c>
      <c r="B58" s="55" t="inlineStr">
        <is>
          <t>Implementation Feasibility</t>
        </is>
      </c>
      <c r="C58" s="55" t="inlineStr">
        <is>
          <t>Saguaro implementation mature; Mohave launch communicated publicly; coordinator role responsibilities defined.</t>
        </is>
      </c>
      <c r="D58" s="55" t="n">
        <v>3</v>
      </c>
      <c r="E58" s="55" t="inlineStr">
        <is>
          <t>Operationally feasible in at least one site; Mohave is early stage; role clarity exists at coordinator level.</t>
        </is>
      </c>
      <c r="F58" s="55" t="inlineStr">
        <is>
          <t>Mohave implementation plan; fidelity measures; staffing plan; risk mitigation; lessons learned from Saguaro replication.</t>
        </is>
      </c>
      <c r="G58" s="55" t="inlineStr">
        <is>
          <t>Lea + Mohave admin; MSA coordinator.</t>
        </is>
      </c>
    </row>
    <row r="59" ht="80" customHeight="1" s="54">
      <c r="A59" s="55" t="n">
        <v>8</v>
      </c>
      <c r="B59" s="55" t="inlineStr">
        <is>
          <t>Data &amp; Evaluation</t>
        </is>
      </c>
      <c r="C59" s="55" t="inlineStr">
        <is>
          <t>No formal evaluation plan or dashboard publicly available.</t>
        </is>
      </c>
      <c r="D59" s="55" t="n">
        <v>1</v>
      </c>
      <c r="E59" s="55" t="inlineStr">
        <is>
          <t>Cannot assess evaluation rigor without internal reporting.</t>
        </is>
      </c>
      <c r="F59" s="55" t="inlineStr">
        <is>
          <t>Define KPIs and reporting cadence; prior annual reports; evaluation instruments; data governance.</t>
        </is>
      </c>
      <c r="G59" s="55" t="inlineStr">
        <is>
          <t>Lea + Assessment/Accountability; data team.</t>
        </is>
      </c>
    </row>
    <row r="60" ht="58" customHeight="1" s="54">
      <c r="A60" s="55" t="n">
        <v>9</v>
      </c>
      <c r="B60" s="55" t="inlineStr">
        <is>
          <t>Community Partners &amp; Stakeholder Support</t>
        </is>
      </c>
      <c r="C60" s="55" t="inlineStr">
        <is>
          <t>Partnership intent is explicit (field experience/internships; liaison responsibilities); public communications exist.</t>
        </is>
      </c>
      <c r="D60" s="55" t="n">
        <v>2</v>
      </c>
      <c r="E60" s="55" t="inlineStr">
        <is>
          <t>Some evidence of comms and partnerships; need evidence of broad stakeholder support and partner outcomes.</t>
        </is>
      </c>
      <c r="F60" s="55" t="inlineStr">
        <is>
          <t>Stakeholder feedback; partner list and outcomes; communication plan; participation rates.</t>
        </is>
      </c>
      <c r="G60" s="55" t="inlineStr">
        <is>
          <t>Lea + coordinator; site PTO/parent org; partners.</t>
        </is>
      </c>
    </row>
    <row r="61" ht="43.5" customHeight="1" s="54">
      <c r="A61" s="55" t="n">
        <v>10</v>
      </c>
      <c r="B61" s="55" t="inlineStr">
        <is>
          <t>Sustainability</t>
        </is>
      </c>
      <c r="C61" s="55" t="inlineStr">
        <is>
          <t>Longevity since 2008; expansion to Mohave suggests continued investment and pipeline thinking.</t>
        </is>
      </c>
      <c r="D61" s="55" t="n">
        <v>2</v>
      </c>
      <c r="E61" s="55" t="inlineStr">
        <is>
          <t>Program appears sustainable historically, but future sustainability depends on funding/staffing stability and demand.</t>
        </is>
      </c>
      <c r="F61" s="55" t="inlineStr">
        <is>
          <t>Multi-year staffing/funding plan; enrollment trend; equipment refresh plan; leadership succession plan.</t>
        </is>
      </c>
      <c r="G61" s="55" t="inlineStr">
        <is>
          <t>Lea + finance/HR; site leadership.</t>
        </is>
      </c>
    </row>
  </sheetData>
  <mergeCells count="1">
    <mergeCell ref="A1:J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1"/>
  <sheetViews>
    <sheetView zoomScale="70" zoomScaleNormal="70" workbookViewId="0">
      <pane xSplit="1" ySplit="3" topLeftCell="B4" activePane="bottomRight" state="frozen"/>
      <selection pane="topRight" activeCell="B1" sqref="B1"/>
      <selection pane="bottomLeft" activeCell="A4" sqref="A4"/>
      <selection pane="bottomRight" activeCell="E14" sqref="E14"/>
    </sheetView>
  </sheetViews>
  <sheetFormatPr baseColWidth="8" defaultRowHeight="14.5"/>
  <cols>
    <col width="10" customWidth="1" style="54" min="1" max="1"/>
    <col width="22" customWidth="1" style="54" min="2" max="2"/>
    <col width="45" customWidth="1" style="54" min="3" max="3"/>
    <col width="14" customWidth="1" style="54" min="4" max="4"/>
    <col width="60" customWidth="1" style="54" min="5" max="5"/>
    <col width="45" customWidth="1" style="54" min="6" max="6"/>
    <col width="14" customWidth="1" style="54" min="7" max="7"/>
    <col width="45" customWidth="1" style="54" min="8" max="8"/>
    <col width="55" customWidth="1" style="54" min="9" max="9"/>
    <col width="25" customWidth="1" style="54" min="10" max="10"/>
  </cols>
  <sheetData>
    <row r="1" ht="36" customHeight="1" s="54">
      <c r="A1" s="53" t="inlineStr">
        <is>
          <t>SCOPE NOTE (Feb 2026 baseline review): This SPARK review is focused on implementation and system alignment (strengths, sustainability, coherence across sites). It is NOT evaluating whether these programs 'should exist' or re-litigating research validity. Where the rubric/QIs reference 'research base' or 'market demand,' capture what is documented and focus scoring on clarity of local success metrics, monitoring routines, and improvement actions.</t>
        </is>
      </c>
    </row>
    <row r="2" ht="13.5" customHeight="1" s="54"/>
    <row r="3" ht="60" customHeight="1" s="54">
      <c r="A3" s="51" t="inlineStr">
        <is>
          <t>QI ID</t>
        </is>
      </c>
      <c r="B3" s="51" t="inlineStr">
        <is>
          <t>Domain</t>
        </is>
      </c>
      <c r="C3" s="51" t="inlineStr">
        <is>
          <t>Indicator / Guiding Question</t>
        </is>
      </c>
      <c r="D3" s="51" t="inlineStr">
        <is>
          <t>Rubric category</t>
        </is>
      </c>
      <c r="E3" s="51" t="inlineStr">
        <is>
          <t>Evidence found (public)</t>
        </is>
      </c>
      <c r="F3" s="51" t="inlineStr">
        <is>
          <t>Evidence link(s)</t>
        </is>
      </c>
      <c r="G3" s="51" t="inlineStr">
        <is>
          <t>Evidence ID(s)</t>
        </is>
      </c>
      <c r="H3" s="51" t="inlineStr">
        <is>
          <t>Preliminary rubric implication</t>
        </is>
      </c>
      <c r="I3" s="51" t="inlineStr">
        <is>
          <t>Data/evidence needed (request from Lea / internal sources)</t>
        </is>
      </c>
      <c r="J3" s="51" t="inlineStr">
        <is>
          <t>Notes (Saguaro vs Mohave etc.)</t>
        </is>
      </c>
    </row>
    <row r="4" ht="60" customHeight="1" s="54">
      <c r="A4" s="55" t="inlineStr">
        <is>
          <t>QI-01</t>
        </is>
      </c>
      <c r="B4" s="55" t="inlineStr">
        <is>
          <t>Alignment &amp; Purpose</t>
        </is>
      </c>
      <c r="C4" s="55" t="inlineStr">
        <is>
          <t>Aligns with district/school mission, vision, and strategic goals</t>
        </is>
      </c>
      <c r="D4" s="55" t="n">
        <v>1</v>
      </c>
      <c r="E4" s="55" t="inlineStr">
        <is>
          <t>District identifies Laguna and Navajo as Cognia STEM-certified schools; district STEM K–12 framing describes STEM learning experiences districtwide.</t>
        </is>
      </c>
      <c r="F4" s="55" t="inlineStr">
        <is>
          <t>https://www.susd.org/academics/academic-programs/stem-certified-schools
https://www.susd.org/stem-k12
https://laguna.susd.org/academics
https://navajo.susd.org/academics</t>
        </is>
      </c>
      <c r="G4" s="55" t="inlineStr">
        <is>
          <t>E58; E62; E59; E60</t>
        </is>
      </c>
      <c r="H4" s="55" t="inlineStr">
        <is>
          <t>Rubric 1: Alignment to STEM/innovation is clear; measurable outcomes and need are not explicit in public sources.</t>
        </is>
      </c>
      <c r="I4" s="55" t="inlineStr">
        <is>
          <t>School/district goals for STEM/STEAM; measurable outcomes and target population; needs data driving certification focus.</t>
        </is>
      </c>
      <c r="J4" s="55" t="inlineStr">
        <is>
          <t>Laguna (EL-5), Navajo (K-5).</t>
        </is>
      </c>
    </row>
    <row r="5" ht="60" customHeight="1" s="54">
      <c r="A5" s="55" t="inlineStr">
        <is>
          <t>QI-02</t>
        </is>
      </c>
      <c r="B5" s="55" t="inlineStr">
        <is>
          <t>Alignment &amp; Purpose</t>
        </is>
      </c>
      <c r="C5" s="55" t="inlineStr">
        <is>
          <t>Supports curriculum standards (local/state/national)</t>
        </is>
      </c>
      <c r="D5" s="55" t="n">
        <v>1</v>
      </c>
      <c r="E5" s="55" t="inlineStr">
        <is>
          <t>Not found in public sources reviewed (or requires internal data).</t>
        </is>
      </c>
      <c r="F5" s="55" t="n"/>
      <c r="G5" s="55" t="n"/>
      <c r="H5" s="55" t="inlineStr">
        <is>
          <t>Rubric 1: insufficient public evidence to rate; likely requires internal school artifacts and outcome data.</t>
        </is>
      </c>
      <c r="I5" s="55" t="inlineStr">
        <is>
          <t>Request evidence per QI Evidence Map / Evidence Library (internal and/or site artifacts).</t>
        </is>
      </c>
      <c r="J5" s="55" t="n"/>
    </row>
    <row r="6" ht="60" customHeight="1" s="54">
      <c r="A6" s="55" t="inlineStr">
        <is>
          <t>QI-03</t>
        </is>
      </c>
      <c r="B6" s="55" t="inlineStr">
        <is>
          <t>Alignment &amp; Purpose</t>
        </is>
      </c>
      <c r="C6" s="55" t="inlineStr">
        <is>
          <t>Clear evidence of need for the program</t>
        </is>
      </c>
      <c r="D6" s="55" t="n">
        <v>1</v>
      </c>
      <c r="E6" s="55" t="inlineStr">
        <is>
          <t>Not found in public sources reviewed (or requires internal data).</t>
        </is>
      </c>
      <c r="F6" s="55" t="n"/>
      <c r="G6" s="55" t="n"/>
      <c r="H6" s="55" t="inlineStr">
        <is>
          <t>Rubric 1: insufficient public evidence to rate; likely requires internal school artifacts and outcome data.</t>
        </is>
      </c>
      <c r="I6" s="55" t="inlineStr">
        <is>
          <t>Request evidence per QI Evidence Map / Evidence Library (internal and/or site artifacts).</t>
        </is>
      </c>
      <c r="J6" s="55" t="n"/>
    </row>
    <row r="7" ht="60" customHeight="1" s="54">
      <c r="A7" s="55" t="inlineStr">
        <is>
          <t>QI-04</t>
        </is>
      </c>
      <c r="B7" s="55" t="inlineStr">
        <is>
          <t>Alignment &amp; Purpose</t>
        </is>
      </c>
      <c r="C7" s="55" t="inlineStr">
        <is>
          <t>Intended outcomes are well-defined and measurable</t>
        </is>
      </c>
      <c r="D7" s="55" t="n">
        <v>1</v>
      </c>
      <c r="E7" s="55" t="inlineStr">
        <is>
          <t>Not found in public sources reviewed (or requires internal data).</t>
        </is>
      </c>
      <c r="F7" s="55" t="n"/>
      <c r="G7" s="55" t="n"/>
      <c r="H7" s="55" t="inlineStr">
        <is>
          <t>Rubric 1: insufficient public evidence to rate; likely requires internal school artifacts and outcome data.</t>
        </is>
      </c>
      <c r="I7" s="55" t="inlineStr">
        <is>
          <t>Request evidence per QI Evidence Map / Evidence Library (internal and/or site artifacts).</t>
        </is>
      </c>
      <c r="J7" s="55" t="n"/>
    </row>
    <row r="8" ht="60" customHeight="1" s="54">
      <c r="A8" s="55" t="inlineStr">
        <is>
          <t>QI-05</t>
        </is>
      </c>
      <c r="B8" s="55" t="inlineStr">
        <is>
          <t>Alignment &amp; Purpose</t>
        </is>
      </c>
      <c r="C8" s="55" t="inlineStr">
        <is>
          <t>Serves an unmet need vs. duplicates existing programming</t>
        </is>
      </c>
      <c r="D8" s="55" t="n">
        <v>1</v>
      </c>
      <c r="E8" s="55" t="inlineStr">
        <is>
          <t>Not found in public sources reviewed (or requires internal data).</t>
        </is>
      </c>
      <c r="F8" s="55" t="n"/>
      <c r="G8" s="55" t="n"/>
      <c r="H8" s="55" t="inlineStr">
        <is>
          <t>Rubric 1: insufficient public evidence to rate; likely requires internal school artifacts and outcome data.</t>
        </is>
      </c>
      <c r="I8" s="55" t="inlineStr">
        <is>
          <t>Request evidence per QI Evidence Map / Evidence Library (internal and/or site artifacts).</t>
        </is>
      </c>
      <c r="J8" s="55" t="n"/>
    </row>
    <row r="9" ht="60" customHeight="1" s="54">
      <c r="A9" s="55" t="inlineStr">
        <is>
          <t>QI-06</t>
        </is>
      </c>
      <c r="B9" s="55" t="inlineStr">
        <is>
          <t>Evidence &amp; Effectiveness</t>
        </is>
      </c>
      <c r="C9" s="55" t="inlineStr">
        <is>
          <t>Research-based or evidence-informed</t>
        </is>
      </c>
      <c r="D9" s="55" t="n">
        <v>2</v>
      </c>
      <c r="E9" s="55" t="inlineStr">
        <is>
          <t>Cognia STEM certification indicates external quality standards and a rigorous review process, including evidence artifacts and peer observations; certification framework spans community, learning culture, student experiences, and outcomes.</t>
        </is>
      </c>
      <c r="F9" s="55" t="inlineStr">
        <is>
          <t>https://www.susd.org/academics/academic-programs/stem-certified-schools
https://www.cognia.org/stem-certification/
https://www.cognia.org/wp-content/uploads/2022/08/Performance-Standards-for-STEM.pdf</t>
        </is>
      </c>
      <c r="G9" s="55" t="inlineStr">
        <is>
          <t>E58; E63</t>
        </is>
      </c>
      <c r="H9" s="55" t="inlineStr">
        <is>
          <t>Rubric 2: Certification is a strong external quality signal; however, public sources don’t provide specific outcome results or research evidence.</t>
        </is>
      </c>
      <c r="I9" s="55" t="inlineStr">
        <is>
          <t>Cognia certification reports/scores for each site; internal achievement/outcome trends; evidence base for chosen instructional model.</t>
        </is>
      </c>
      <c r="J9" s="55" t="n"/>
    </row>
    <row r="10" ht="60" customHeight="1" s="54">
      <c r="A10" s="55" t="inlineStr">
        <is>
          <t>QI-07</t>
        </is>
      </c>
      <c r="B10" s="55" t="inlineStr">
        <is>
          <t>Evidence &amp; Effectiveness</t>
        </is>
      </c>
      <c r="C10" s="55" t="inlineStr">
        <is>
          <t>Market demand for specialized programming</t>
        </is>
      </c>
      <c r="D10" s="55" t="n">
        <v>2</v>
      </c>
      <c r="E10" s="55" t="inlineStr">
        <is>
          <t>Not found in public sources reviewed (or requires internal data).</t>
        </is>
      </c>
      <c r="F10" s="55" t="n"/>
      <c r="G10" s="55" t="n"/>
      <c r="H10" s="55" t="inlineStr">
        <is>
          <t>Rubric 2: insufficient public evidence to rate; likely requires internal school artifacts and outcome data.</t>
        </is>
      </c>
      <c r="I10" s="55" t="inlineStr">
        <is>
          <t>Request evidence per QI Evidence Map / Evidence Library (internal and/or site artifacts).</t>
        </is>
      </c>
      <c r="J10" s="55" t="n"/>
    </row>
    <row r="11" ht="60" customHeight="1" s="54">
      <c r="A11" s="55" t="inlineStr">
        <is>
          <t>QI-08</t>
        </is>
      </c>
      <c r="B11" s="55" t="inlineStr">
        <is>
          <t>Evidence &amp; Effectiveness</t>
        </is>
      </c>
      <c r="C11" s="55" t="inlineStr">
        <is>
          <t>Proven results in similar contexts (size, demographics)</t>
        </is>
      </c>
      <c r="D11" s="55" t="n">
        <v>2</v>
      </c>
      <c r="E11" s="55" t="inlineStr">
        <is>
          <t>Not found in public sources reviewed (or requires internal data).</t>
        </is>
      </c>
      <c r="F11" s="55" t="n"/>
      <c r="G11" s="55" t="n"/>
      <c r="H11" s="55" t="inlineStr">
        <is>
          <t>Rubric 2: insufficient public evidence to rate; likely requires internal school artifacts and outcome data.</t>
        </is>
      </c>
      <c r="I11" s="55" t="inlineStr">
        <is>
          <t>Request evidence per QI Evidence Map / Evidence Library (internal and/or site artifacts).</t>
        </is>
      </c>
      <c r="J11" s="55" t="n"/>
    </row>
    <row r="12" ht="60" customHeight="1" s="54">
      <c r="A12" s="55" t="inlineStr">
        <is>
          <t>QI-09</t>
        </is>
      </c>
      <c r="B12" s="55" t="inlineStr">
        <is>
          <t>Evidence &amp; Effectiveness</t>
        </is>
      </c>
      <c r="C12" s="55" t="inlineStr">
        <is>
          <t>Clear success metrics (academic, behavioral, social-emotional, etc.)</t>
        </is>
      </c>
      <c r="D12" s="55" t="n">
        <v>2</v>
      </c>
      <c r="E12" s="55" t="inlineStr">
        <is>
          <t>Not found in public sources reviewed (or requires internal data).</t>
        </is>
      </c>
      <c r="F12" s="55" t="n"/>
      <c r="G12" s="55" t="n"/>
      <c r="H12" s="55" t="inlineStr">
        <is>
          <t>Rubric 2: insufficient public evidence to rate; likely requires internal school artifacts and outcome data.</t>
        </is>
      </c>
      <c r="I12" s="55" t="inlineStr">
        <is>
          <t>Request evidence per QI Evidence Map / Evidence Library (internal and/or site artifacts).</t>
        </is>
      </c>
      <c r="J12" s="55" t="n"/>
    </row>
    <row r="13" ht="60" customHeight="1" s="54">
      <c r="A13" s="55" t="inlineStr">
        <is>
          <t>QI-10</t>
        </is>
      </c>
      <c r="B13" s="55" t="inlineStr">
        <is>
          <t>Evidence &amp; Effectiveness</t>
        </is>
      </c>
      <c r="C13" s="55" t="inlineStr">
        <is>
          <t>Pilot studies, case studies, or testimonials</t>
        </is>
      </c>
      <c r="D13" s="55" t="n">
        <v>2</v>
      </c>
      <c r="E13" s="55" t="inlineStr">
        <is>
          <t>Not found in public sources reviewed (or requires internal data).</t>
        </is>
      </c>
      <c r="F13" s="55" t="n"/>
      <c r="G13" s="55" t="n"/>
      <c r="H13" s="55" t="inlineStr">
        <is>
          <t>Rubric 2: insufficient public evidence to rate; likely requires internal school artifacts and outcome data.</t>
        </is>
      </c>
      <c r="I13" s="55" t="inlineStr">
        <is>
          <t>Request evidence per QI Evidence Map / Evidence Library (internal and/or site artifacts).</t>
        </is>
      </c>
      <c r="J13" s="55" t="n"/>
    </row>
    <row r="14" ht="60" customHeight="1" s="54">
      <c r="A14" s="55" t="inlineStr">
        <is>
          <t>QI-11</t>
        </is>
      </c>
      <c r="B14" s="55" t="inlineStr">
        <is>
          <t>Equity &amp; Accessibility</t>
        </is>
      </c>
      <c r="C14" s="55" t="inlineStr">
        <is>
          <t>Benefits all students, including those with diverse needs</t>
        </is>
      </c>
      <c r="D14" s="55" t="n">
        <v>3</v>
      </c>
      <c r="E14" s="55" t="inlineStr">
        <is>
          <t>Site pages describe supports and enrichment aligned to serving a broad student population (e.g., makerspace/science lab/Chromebooks at Laguna; interventionists + Innovator’s Lab + PBIS + low/no‑cost before/after-school supports at Navajo).</t>
        </is>
      </c>
      <c r="F14" s="55" t="inlineStr">
        <is>
          <t>Laguna academics: https://laguna.susd.org/academics
Navajo academics: https://navajo.susd.org/academics</t>
        </is>
      </c>
      <c r="G14" s="55" t="inlineStr">
        <is>
          <t>E59; E60</t>
        </is>
      </c>
      <c r="H14" s="55" t="inlineStr">
        <is>
          <t>Implementation-aligned: these descriptions suggest schoolwide access to STEAM experiences; confirm how access is structured during the school day (core integration vs elective/club).</t>
        </is>
      </c>
      <c r="I14" s="55" t="inlineStr">
        <is>
          <t>Participation data by grade/subgroup; schedule model for STEAM blocks/lab time; how students with IEP/EL access labs and projects.</t>
        </is>
      </c>
      <c r="J14" s="55" t="n"/>
    </row>
    <row r="15" ht="60" customHeight="1" s="54">
      <c r="A15" s="55" t="inlineStr">
        <is>
          <t>QI-12</t>
        </is>
      </c>
      <c r="B15" s="55" t="inlineStr">
        <is>
          <t>Equity &amp; Accessibility</t>
        </is>
      </c>
      <c r="C15" s="55" t="inlineStr">
        <is>
          <t>Accessible for English learners and students with disabilities</t>
        </is>
      </c>
      <c r="D15" s="55" t="n">
        <v>3</v>
      </c>
      <c r="E15" s="55" t="inlineStr">
        <is>
          <t>No public documentation found describing how EL and students with disabilities access STEM labs/projects (beyond general school supports).</t>
        </is>
      </c>
      <c r="F15" s="55" t="inlineStr">
        <is>
          <t>Laguna academics: https://laguna.susd.org/academics
Navajo academics: https://navajo.susd.org/academics</t>
        </is>
      </c>
      <c r="G15" s="55" t="inlineStr">
        <is>
          <t>E59; E60</t>
        </is>
      </c>
      <c r="H15" s="55" t="inlineStr">
        <is>
          <t>Key system-alignment gap to close in the baseline write-up: document concrete access supports (UDL strategies, co-teaching, scaffolds, accommodations in project work).</t>
        </is>
      </c>
      <c r="I15" s="55" t="inlineStr">
        <is>
          <t>EL/SPED access plan for STEAM learning (examples: modified rubrics, co-teaching, language supports, assistive tech); examples of inclusive project artifacts.</t>
        </is>
      </c>
      <c r="J15" s="55" t="n"/>
    </row>
    <row r="16" ht="60" customHeight="1" s="54">
      <c r="A16" s="55" t="inlineStr">
        <is>
          <t>QI-13</t>
        </is>
      </c>
      <c r="B16" s="55" t="inlineStr">
        <is>
          <t>Equity &amp; Accessibility</t>
        </is>
      </c>
      <c r="C16" s="55" t="inlineStr">
        <is>
          <t>Helps close achievement/opportunity gaps</t>
        </is>
      </c>
      <c r="D16" s="55" t="n">
        <v>3</v>
      </c>
      <c r="E16" s="55" t="inlineStr">
        <is>
          <t>Not found in public sources reviewed (or requires internal data).</t>
        </is>
      </c>
      <c r="F16" s="55" t="n"/>
      <c r="G16" s="55" t="n"/>
      <c r="H16" s="55" t="inlineStr">
        <is>
          <t>Rubric 3: insufficient public evidence to rate; likely requires internal school artifacts and outcome data.</t>
        </is>
      </c>
      <c r="I16" s="55" t="inlineStr">
        <is>
          <t>Request evidence per QI Evidence Map / Evidence Library (internal and/or site artifacts).</t>
        </is>
      </c>
      <c r="J16" s="55" t="n"/>
    </row>
    <row r="17" ht="60" customHeight="1" s="54">
      <c r="A17" s="55" t="inlineStr">
        <is>
          <t>QI-14</t>
        </is>
      </c>
      <c r="B17" s="55" t="inlineStr">
        <is>
          <t>Cost &amp; Resources</t>
        </is>
      </c>
      <c r="C17" s="55" t="inlineStr">
        <is>
          <t>Total cost (startup, annual, materials, tech, licensing)</t>
        </is>
      </c>
      <c r="D17" s="55" t="n">
        <v>4</v>
      </c>
      <c r="E17" s="55" t="inlineStr">
        <is>
          <t>Not found in public sources reviewed (or requires internal data).</t>
        </is>
      </c>
      <c r="F17" s="55" t="n"/>
      <c r="G17" s="55" t="n"/>
      <c r="H17" s="55" t="inlineStr">
        <is>
          <t>Rubric 4: insufficient public evidence to rate; likely requires internal school artifacts and outcome data.</t>
        </is>
      </c>
      <c r="I17" s="55" t="inlineStr">
        <is>
          <t>Request evidence per QI Evidence Map / Evidence Library (internal and/or site artifacts).</t>
        </is>
      </c>
      <c r="J17" s="55" t="n"/>
    </row>
    <row r="18" ht="60" customHeight="1" s="54">
      <c r="A18" s="55" t="inlineStr">
        <is>
          <t>QI-15</t>
        </is>
      </c>
      <c r="B18" s="55" t="inlineStr">
        <is>
          <t>Cost &amp; Resources</t>
        </is>
      </c>
      <c r="C18" s="55" t="inlineStr">
        <is>
          <t>Budget and/or sustainable funding exists</t>
        </is>
      </c>
      <c r="D18" s="55" t="n">
        <v>4</v>
      </c>
      <c r="E18" s="55" t="inlineStr">
        <is>
          <t>Not found in public sources reviewed (or requires internal data).</t>
        </is>
      </c>
      <c r="F18" s="55" t="n"/>
      <c r="G18" s="55" t="n"/>
      <c r="H18" s="55" t="inlineStr">
        <is>
          <t>Rubric 4: insufficient public evidence to rate; likely requires internal school artifacts and outcome data.</t>
        </is>
      </c>
      <c r="I18" s="55" t="inlineStr">
        <is>
          <t>Request evidence per QI Evidence Map / Evidence Library (internal and/or site artifacts).</t>
        </is>
      </c>
      <c r="J18" s="55" t="n"/>
    </row>
    <row r="19" ht="60" customHeight="1" s="54">
      <c r="A19" s="55" t="inlineStr">
        <is>
          <t>QI-16</t>
        </is>
      </c>
      <c r="B19" s="55" t="inlineStr">
        <is>
          <t>Cost &amp; Resources</t>
        </is>
      </c>
      <c r="C19" s="55" t="inlineStr">
        <is>
          <t>Grants/external financial resources considered</t>
        </is>
      </c>
      <c r="D19" s="55" t="n">
        <v>4</v>
      </c>
      <c r="E19" s="55" t="inlineStr">
        <is>
          <t>Not found in public sources reviewed (or requires internal data).</t>
        </is>
      </c>
      <c r="F19" s="55" t="n"/>
      <c r="G19" s="55" t="n"/>
      <c r="H19" s="55" t="inlineStr">
        <is>
          <t>Rubric 4: insufficient public evidence to rate; likely requires internal school artifacts and outcome data.</t>
        </is>
      </c>
      <c r="I19" s="55" t="inlineStr">
        <is>
          <t>Request evidence per QI Evidence Map / Evidence Library (internal and/or site artifacts).</t>
        </is>
      </c>
      <c r="J19" s="55" t="n"/>
    </row>
    <row r="20" ht="60" customHeight="1" s="54">
      <c r="A20" s="55" t="inlineStr">
        <is>
          <t>QI-17</t>
        </is>
      </c>
      <c r="B20" s="55" t="inlineStr">
        <is>
          <t>Cost &amp; Resources</t>
        </is>
      </c>
      <c r="C20" s="55" t="inlineStr">
        <is>
          <t>Materials/facilities/tech required; ongoing maintenance costs</t>
        </is>
      </c>
      <c r="D20" s="55" t="n">
        <v>4</v>
      </c>
      <c r="E20" s="55" t="inlineStr">
        <is>
          <t>School pages reference STEM labs/makerspace and hands-on learning (e.g., makerspace, robotics/coding, science fair), implying materials and facilities requirements.</t>
        </is>
      </c>
      <c r="F20" s="55" t="inlineStr">
        <is>
          <t>https://laguna.susd.org/academics
https://navajo.susd.org/academics</t>
        </is>
      </c>
      <c r="G20" s="55" t="inlineStr">
        <is>
          <t>E59; E60</t>
        </is>
      </c>
      <c r="H20" s="55" t="inlineStr">
        <is>
          <t>Rubric 4: Evidence of specialized facilities; cost model and maintenance not public.</t>
        </is>
      </c>
      <c r="I20" s="55" t="inlineStr">
        <is>
          <t>Lab/makerspace inventory; ongoing supply and maintenance budget; staffing model; training for equipment use.</t>
        </is>
      </c>
      <c r="J20" s="55" t="n"/>
    </row>
    <row r="21" ht="60" customHeight="1" s="54">
      <c r="A21" s="55" t="inlineStr">
        <is>
          <t>QI-18</t>
        </is>
      </c>
      <c r="B21" s="55" t="inlineStr">
        <is>
          <t>Cost &amp; Resources</t>
        </is>
      </c>
      <c r="C21" s="55" t="inlineStr">
        <is>
          <t>Staffing needed (new hires, reassignment, volunteers)</t>
        </is>
      </c>
      <c r="D21" s="55" t="n">
        <v>4</v>
      </c>
      <c r="E21" s="55" t="inlineStr">
        <is>
          <t>Not found in public sources reviewed (or requires internal data).</t>
        </is>
      </c>
      <c r="F21" s="55" t="n"/>
      <c r="G21" s="55" t="n"/>
      <c r="H21" s="55" t="inlineStr">
        <is>
          <t>Rubric 4: insufficient public evidence to rate; likely requires internal school artifacts and outcome data.</t>
        </is>
      </c>
      <c r="I21" s="55" t="inlineStr">
        <is>
          <t>Request evidence per QI Evidence Map / Evidence Library (internal and/or site artifacts).</t>
        </is>
      </c>
      <c r="J21" s="55" t="n"/>
    </row>
    <row r="22" ht="60" customHeight="1" s="54">
      <c r="A22" s="55" t="inlineStr">
        <is>
          <t>QI-19</t>
        </is>
      </c>
      <c r="B22" s="55" t="inlineStr">
        <is>
          <t>Training &amp; Support</t>
        </is>
      </c>
      <c r="C22" s="55" t="inlineStr">
        <is>
          <t>Staff professional development needs identified</t>
        </is>
      </c>
      <c r="D22" s="55" t="n">
        <v>5</v>
      </c>
      <c r="E22" s="55" t="inlineStr">
        <is>
          <t>Not found in public sources reviewed (or requires internal data).</t>
        </is>
      </c>
      <c r="F22" s="55" t="n"/>
      <c r="G22" s="55" t="n"/>
      <c r="H22" s="55" t="inlineStr">
        <is>
          <t>Rubric 5: insufficient public evidence to rate; likely requires internal school artifacts and outcome data.</t>
        </is>
      </c>
      <c r="I22" s="55" t="inlineStr">
        <is>
          <t>Request evidence per QI Evidence Map / Evidence Library (internal and/or site artifacts).</t>
        </is>
      </c>
      <c r="J22" s="55" t="n"/>
    </row>
    <row r="23" ht="60" customHeight="1" s="54">
      <c r="A23" s="55" t="inlineStr">
        <is>
          <t>QI-20</t>
        </is>
      </c>
      <c r="B23" s="55" t="inlineStr">
        <is>
          <t>Training &amp; Support</t>
        </is>
      </c>
      <c r="C23" s="55" t="inlineStr">
        <is>
          <t>Training is available, high-quality, and affordable</t>
        </is>
      </c>
      <c r="D23" s="55" t="n">
        <v>5</v>
      </c>
      <c r="E23" s="55" t="inlineStr">
        <is>
          <t>Not found in public sources reviewed (or requires internal data).</t>
        </is>
      </c>
      <c r="F23" s="55" t="n"/>
      <c r="G23" s="55" t="n"/>
      <c r="H23" s="55" t="inlineStr">
        <is>
          <t>Rubric 5: insufficient public evidence to rate; likely requires internal school artifacts and outcome data.</t>
        </is>
      </c>
      <c r="I23" s="55" t="inlineStr">
        <is>
          <t>Request evidence per QI Evidence Map / Evidence Library (internal and/or site artifacts).</t>
        </is>
      </c>
      <c r="J23" s="55" t="n"/>
    </row>
    <row r="24" ht="60" customHeight="1" s="54">
      <c r="A24" s="55" t="inlineStr">
        <is>
          <t>QI-21</t>
        </is>
      </c>
      <c r="B24" s="55" t="inlineStr">
        <is>
          <t>Training &amp; Support</t>
        </is>
      </c>
      <c r="C24" s="55" t="inlineStr">
        <is>
          <t>Ongoing support/troubleshooting/updates provided</t>
        </is>
      </c>
      <c r="D24" s="55" t="n">
        <v>5</v>
      </c>
      <c r="E24" s="55" t="inlineStr">
        <is>
          <t>Not found in public sources reviewed (or requires internal data).</t>
        </is>
      </c>
      <c r="F24" s="55" t="n"/>
      <c r="G24" s="55" t="n"/>
      <c r="H24" s="55" t="inlineStr">
        <is>
          <t>Rubric 5: insufficient public evidence to rate; likely requires internal school artifacts and outcome data.</t>
        </is>
      </c>
      <c r="I24" s="55" t="inlineStr">
        <is>
          <t>Request evidence per QI Evidence Map / Evidence Library (internal and/or site artifacts).</t>
        </is>
      </c>
      <c r="J24" s="55" t="n"/>
    </row>
    <row r="25" ht="60" customHeight="1" s="54">
      <c r="A25" s="55" t="inlineStr">
        <is>
          <t>QI-22</t>
        </is>
      </c>
      <c r="B25" s="55" t="inlineStr">
        <is>
          <t>Training &amp; Support</t>
        </is>
      </c>
      <c r="C25" s="55" t="inlineStr">
        <is>
          <t>Program manageable given staff workload</t>
        </is>
      </c>
      <c r="D25" s="55" t="n">
        <v>5</v>
      </c>
      <c r="E25" s="55" t="inlineStr">
        <is>
          <t>Not found in public sources reviewed (or requires internal data).</t>
        </is>
      </c>
      <c r="F25" s="55" t="n"/>
      <c r="G25" s="55" t="n"/>
      <c r="H25" s="55" t="inlineStr">
        <is>
          <t>Rubric 5: insufficient public evidence to rate; likely requires internal school artifacts and outcome data.</t>
        </is>
      </c>
      <c r="I25" s="55" t="inlineStr">
        <is>
          <t>Request evidence per QI Evidence Map / Evidence Library (internal and/or site artifacts).</t>
        </is>
      </c>
      <c r="J25" s="55" t="n"/>
    </row>
    <row r="26" ht="60" customHeight="1" s="54">
      <c r="A26" s="55" t="inlineStr">
        <is>
          <t>QI-23</t>
        </is>
      </c>
      <c r="B26" s="55" t="inlineStr">
        <is>
          <t>Training &amp; Support</t>
        </is>
      </c>
      <c r="C26" s="55" t="inlineStr">
        <is>
          <t>Parent education and support for the program theme</t>
        </is>
      </c>
      <c r="D26" s="55" t="n">
        <v>5</v>
      </c>
      <c r="E26" s="55" t="inlineStr">
        <is>
          <t>Not found in public sources reviewed (or requires internal data).</t>
        </is>
      </c>
      <c r="F26" s="55" t="n"/>
      <c r="G26" s="55" t="n"/>
      <c r="H26" s="55" t="inlineStr">
        <is>
          <t>Rubric 5: insufficient public evidence to rate; likely requires internal school artifacts and outcome data.</t>
        </is>
      </c>
      <c r="I26" s="55" t="inlineStr">
        <is>
          <t>Request evidence per QI Evidence Map / Evidence Library (internal and/or site artifacts).</t>
        </is>
      </c>
      <c r="J26" s="55" t="n"/>
    </row>
    <row r="27" ht="60" customHeight="1" s="54">
      <c r="A27" s="55" t="inlineStr">
        <is>
          <t>QI-24</t>
        </is>
      </c>
      <c r="B27" s="55" t="inlineStr">
        <is>
          <t>Impact on Students &amp; Staff</t>
        </is>
      </c>
      <c r="C27" s="55" t="inlineStr">
        <is>
          <t>Effect on student daily schedule/workload</t>
        </is>
      </c>
      <c r="D27" s="55" t="n">
        <v>6</v>
      </c>
      <c r="E27" s="55" t="inlineStr">
        <is>
          <t>Not found in public sources reviewed (or requires internal data).</t>
        </is>
      </c>
      <c r="F27" s="55" t="n"/>
      <c r="G27" s="55" t="n"/>
      <c r="H27" s="55" t="inlineStr">
        <is>
          <t>Rubric 6: insufficient public evidence to rate; likely requires internal school artifacts and outcome data.</t>
        </is>
      </c>
      <c r="I27" s="55" t="inlineStr">
        <is>
          <t>Request evidence per QI Evidence Map / Evidence Library (internal and/or site artifacts).</t>
        </is>
      </c>
      <c r="J27" s="55" t="n"/>
    </row>
    <row r="28" ht="60" customHeight="1" s="54">
      <c r="A28" s="55" t="inlineStr">
        <is>
          <t>QI-25</t>
        </is>
      </c>
      <c r="B28" s="55" t="inlineStr">
        <is>
          <t>Impact on Students &amp; Staff</t>
        </is>
      </c>
      <c r="C28" s="55" t="inlineStr">
        <is>
          <t>Impact on teacher planning/instruction/prep time</t>
        </is>
      </c>
      <c r="D28" s="55" t="n">
        <v>6</v>
      </c>
      <c r="E28" s="55" t="inlineStr">
        <is>
          <t>Not found in public sources reviewed (or requires internal data).</t>
        </is>
      </c>
      <c r="F28" s="55" t="n"/>
      <c r="G28" s="55" t="n"/>
      <c r="H28" s="55" t="inlineStr">
        <is>
          <t>Rubric 6: insufficient public evidence to rate; likely requires internal school artifacts and outcome data.</t>
        </is>
      </c>
      <c r="I28" s="55" t="inlineStr">
        <is>
          <t>Request evidence per QI Evidence Map / Evidence Library (internal and/or site artifacts).</t>
        </is>
      </c>
      <c r="J28" s="55" t="n"/>
    </row>
    <row r="29" ht="60" customHeight="1" s="54">
      <c r="A29" s="55" t="inlineStr">
        <is>
          <t>QI-26</t>
        </is>
      </c>
      <c r="B29" s="55" t="inlineStr">
        <is>
          <t>Impact on Students &amp; Staff</t>
        </is>
      </c>
      <c r="C29" s="55" t="inlineStr">
        <is>
          <t>Enhances learning vs. adds unnecessary complexity</t>
        </is>
      </c>
      <c r="D29" s="55" t="n">
        <v>6</v>
      </c>
      <c r="E29" s="55" t="inlineStr">
        <is>
          <t>Not found in public sources reviewed (or requires internal data).</t>
        </is>
      </c>
      <c r="F29" s="55" t="n"/>
      <c r="G29" s="55" t="n"/>
      <c r="H29" s="55" t="inlineStr">
        <is>
          <t>Rubric 6: insufficient public evidence to rate; likely requires internal school artifacts and outcome data.</t>
        </is>
      </c>
      <c r="I29" s="55" t="inlineStr">
        <is>
          <t>Request evidence per QI Evidence Map / Evidence Library (internal and/or site artifacts).</t>
        </is>
      </c>
      <c r="J29" s="55" t="n"/>
    </row>
    <row r="30" ht="60" customHeight="1" s="54">
      <c r="A30" s="55" t="inlineStr">
        <is>
          <t>QI-27</t>
        </is>
      </c>
      <c r="B30" s="55" t="inlineStr">
        <is>
          <t>Impact on Students &amp; Staff</t>
        </is>
      </c>
      <c r="C30" s="55" t="inlineStr">
        <is>
          <t>Improves school culture/climate</t>
        </is>
      </c>
      <c r="D30" s="55" t="n">
        <v>6</v>
      </c>
      <c r="E30" s="55" t="inlineStr">
        <is>
          <t>Not found in public sources reviewed (or requires internal data).</t>
        </is>
      </c>
      <c r="F30" s="55" t="n"/>
      <c r="G30" s="55" t="n"/>
      <c r="H30" s="55" t="inlineStr">
        <is>
          <t>Rubric 6: insufficient public evidence to rate; likely requires internal school artifacts and outcome data.</t>
        </is>
      </c>
      <c r="I30" s="55" t="inlineStr">
        <is>
          <t>Request evidence per QI Evidence Map / Evidence Library (internal and/or site artifacts).</t>
        </is>
      </c>
      <c r="J30" s="55" t="n"/>
    </row>
    <row r="31" ht="60" customHeight="1" s="54">
      <c r="A31" s="55" t="inlineStr">
        <is>
          <t>QI-28</t>
        </is>
      </c>
      <c r="B31" s="55" t="inlineStr">
        <is>
          <t>Implementation Feasibility</t>
        </is>
      </c>
      <c r="C31" s="55" t="inlineStr">
        <is>
          <t>Realistic rollout timeline</t>
        </is>
      </c>
      <c r="D31" s="55" t="n">
        <v>7</v>
      </c>
      <c r="E31" s="55" t="inlineStr">
        <is>
          <t>Not found in public sources reviewed (or requires internal data).</t>
        </is>
      </c>
      <c r="F31" s="55" t="n"/>
      <c r="G31" s="55" t="n"/>
      <c r="H31" s="55" t="inlineStr">
        <is>
          <t>Rubric 7: insufficient public evidence to rate; likely requires internal school artifacts and outcome data.</t>
        </is>
      </c>
      <c r="I31" s="55" t="inlineStr">
        <is>
          <t>Request evidence per QI Evidence Map / Evidence Library (internal and/or site artifacts).</t>
        </is>
      </c>
      <c r="J31" s="55" t="n"/>
    </row>
    <row r="32" ht="60" customHeight="1" s="54">
      <c r="A32" s="55" t="inlineStr">
        <is>
          <t>QI-29</t>
        </is>
      </c>
      <c r="B32" s="55" t="inlineStr">
        <is>
          <t>Implementation Feasibility</t>
        </is>
      </c>
      <c r="C32" s="55" t="inlineStr">
        <is>
          <t>Can be piloted before full adoption</t>
        </is>
      </c>
      <c r="D32" s="55" t="n">
        <v>7</v>
      </c>
      <c r="E32" s="55" t="inlineStr">
        <is>
          <t>Not found in public sources reviewed (or requires internal data).</t>
        </is>
      </c>
      <c r="F32" s="55" t="n"/>
      <c r="G32" s="55" t="n"/>
      <c r="H32" s="55" t="inlineStr">
        <is>
          <t>Rubric 7: insufficient public evidence to rate; likely requires internal school artifacts and outcome data.</t>
        </is>
      </c>
      <c r="I32" s="55" t="inlineStr">
        <is>
          <t>Request evidence per QI Evidence Map / Evidence Library (internal and/or site artifacts).</t>
        </is>
      </c>
      <c r="J32" s="55" t="n"/>
    </row>
    <row r="33" ht="60" customHeight="1" s="54">
      <c r="A33" s="55" t="inlineStr">
        <is>
          <t>QI-30</t>
        </is>
      </c>
      <c r="B33" s="55" t="inlineStr">
        <is>
          <t>Implementation Feasibility</t>
        </is>
      </c>
      <c r="C33" s="55" t="inlineStr">
        <is>
          <t>Roles/responsibilities clearly defined</t>
        </is>
      </c>
      <c r="D33" s="55" t="n">
        <v>7</v>
      </c>
      <c r="E33" s="55" t="inlineStr">
        <is>
          <t>Not found in public sources reviewed (or requires internal data).</t>
        </is>
      </c>
      <c r="F33" s="55" t="n"/>
      <c r="G33" s="55" t="n"/>
      <c r="H33" s="55" t="inlineStr">
        <is>
          <t>Rubric 7: insufficient public evidence to rate; likely requires internal school artifacts and outcome data.</t>
        </is>
      </c>
      <c r="I33" s="55" t="inlineStr">
        <is>
          <t>Request evidence per QI Evidence Map / Evidence Library (internal and/or site artifacts).</t>
        </is>
      </c>
      <c r="J33" s="55" t="n"/>
    </row>
    <row r="34" ht="60" customHeight="1" s="54">
      <c r="A34" s="55" t="inlineStr">
        <is>
          <t>QI-31</t>
        </is>
      </c>
      <c r="B34" s="55" t="inlineStr">
        <is>
          <t>Implementation Feasibility</t>
        </is>
      </c>
      <c r="C34" s="55" t="inlineStr">
        <is>
          <t>Assessment and monitoring tools included</t>
        </is>
      </c>
      <c r="D34" s="55" t="n">
        <v>7</v>
      </c>
      <c r="E34" s="55" t="inlineStr">
        <is>
          <t>Not found in public sources reviewed (or requires internal data).</t>
        </is>
      </c>
      <c r="F34" s="55" t="n"/>
      <c r="G34" s="55" t="n"/>
      <c r="H34" s="55" t="inlineStr">
        <is>
          <t>Rubric 7: insufficient public evidence to rate; likely requires internal school artifacts and outcome data.</t>
        </is>
      </c>
      <c r="I34" s="55" t="inlineStr">
        <is>
          <t>Request evidence per QI Evidence Map / Evidence Library (internal and/or site artifacts).</t>
        </is>
      </c>
      <c r="J34" s="55" t="n"/>
    </row>
    <row r="35" ht="60" customHeight="1" s="54">
      <c r="A35" s="55" t="inlineStr">
        <is>
          <t>QI-32</t>
        </is>
      </c>
      <c r="B35" s="55" t="inlineStr">
        <is>
          <t>Data &amp; Evaluation</t>
        </is>
      </c>
      <c r="C35" s="55" t="inlineStr">
        <is>
          <t>How success will be measured</t>
        </is>
      </c>
      <c r="D35" s="55" t="n">
        <v>8</v>
      </c>
      <c r="E35" s="55" t="inlineStr">
        <is>
          <t>Not found in public sources reviewed (or requires internal data).</t>
        </is>
      </c>
      <c r="F35" s="55" t="n"/>
      <c r="G35" s="55" t="n"/>
      <c r="H35" s="55" t="inlineStr">
        <is>
          <t>Rubric 8: insufficient public evidence to rate; likely requires internal school artifacts and outcome data.</t>
        </is>
      </c>
      <c r="I35" s="55" t="inlineStr">
        <is>
          <t>Request evidence per QI Evidence Map / Evidence Library (internal and/or site artifacts).</t>
        </is>
      </c>
      <c r="J35" s="55" t="n"/>
    </row>
    <row r="36" ht="60" customHeight="1" s="54">
      <c r="A36" s="55" t="inlineStr">
        <is>
          <t>QI-33</t>
        </is>
      </c>
      <c r="B36" s="55" t="inlineStr">
        <is>
          <t>Data &amp; Evaluation</t>
        </is>
      </c>
      <c r="C36" s="55" t="inlineStr">
        <is>
          <t>Plan for regular data collection, review, and action based on results (expand/close/adjust)</t>
        </is>
      </c>
      <c r="D36" s="55" t="n">
        <v>8</v>
      </c>
      <c r="E36" s="55" t="inlineStr">
        <is>
          <t>District and site pages describe Cognia certification review scored across four domains and proficiency in 16 standards (peer observations + hundreds of artifacts), but do not provide ongoing annual KPI dashboards publicly.</t>
        </is>
      </c>
      <c r="F36" s="55" t="inlineStr">
        <is>
          <t>District STEM Certified Schools: https://www.susd.org/academics/academic-programs/stem-certified-schools
Laguna academics: https://laguna.susd.org/academics
Navajo academics: https://navajo.susd.org/academics</t>
        </is>
      </c>
      <c r="G36" s="55" t="inlineStr">
        <is>
          <t>E58; E59; E60; E63</t>
        </is>
      </c>
      <c r="H36" s="55" t="inlineStr">
        <is>
          <t>Strong external-review baseline; next step for SPARK is translating this into a repeatable annual update (few KPIs + evidence pointers) for sustainability and coherence.</t>
        </is>
      </c>
      <c r="I36" s="55" t="inlineStr">
        <is>
          <t>Cognia certification reports/score summaries; annual metrics used for STEM recert; student participation/outcomes by subgroup; annual action plan notes.</t>
        </is>
      </c>
      <c r="J36" s="55" t="n"/>
    </row>
    <row r="37" ht="60" customHeight="1" s="54">
      <c r="A37" s="55" t="inlineStr">
        <is>
          <t>QI-34</t>
        </is>
      </c>
      <c r="B37" s="55" t="inlineStr">
        <is>
          <t>Data &amp; Evaluation</t>
        </is>
      </c>
      <c r="C37" s="55" t="inlineStr">
        <is>
          <t>Clear benchmarks and performance indicators</t>
        </is>
      </c>
      <c r="D37" s="55" t="n">
        <v>8</v>
      </c>
      <c r="E37" s="55" t="inlineStr">
        <is>
          <t>Not found in public sources reviewed (or requires internal data).</t>
        </is>
      </c>
      <c r="F37" s="55" t="n"/>
      <c r="G37" s="55" t="n"/>
      <c r="H37" s="55" t="inlineStr">
        <is>
          <t>Rubric 8: insufficient public evidence to rate; likely requires internal school artifacts and outcome data.</t>
        </is>
      </c>
      <c r="I37" s="55" t="inlineStr">
        <is>
          <t>Request evidence per QI Evidence Map / Evidence Library (internal and/or site artifacts).</t>
        </is>
      </c>
      <c r="J37" s="55" t="n"/>
    </row>
    <row r="38" ht="60" customHeight="1" s="54">
      <c r="A38" s="55" t="inlineStr">
        <is>
          <t>QI-35</t>
        </is>
      </c>
      <c r="B38" s="55" t="inlineStr">
        <is>
          <t>Data &amp; Evaluation</t>
        </is>
      </c>
      <c r="C38" s="55" t="inlineStr">
        <is>
          <t>Program can be modified based on data</t>
        </is>
      </c>
      <c r="D38" s="55" t="n">
        <v>8</v>
      </c>
      <c r="E38" s="55" t="inlineStr">
        <is>
          <t>Not found in public sources reviewed (or requires internal data).</t>
        </is>
      </c>
      <c r="F38" s="55" t="n"/>
      <c r="G38" s="55" t="n"/>
      <c r="H38" s="55" t="inlineStr">
        <is>
          <t>Rubric 8: insufficient public evidence to rate; likely requires internal school artifacts and outcome data.</t>
        </is>
      </c>
      <c r="I38" s="55" t="inlineStr">
        <is>
          <t>Request evidence per QI Evidence Map / Evidence Library (internal and/or site artifacts).</t>
        </is>
      </c>
      <c r="J38" s="55" t="n"/>
    </row>
    <row r="39" ht="60" customHeight="1" s="54">
      <c r="A39" s="55" t="inlineStr">
        <is>
          <t>QI-36</t>
        </is>
      </c>
      <c r="B39" s="55" t="inlineStr">
        <is>
          <t>Community Partners &amp; Stakeholder Support</t>
        </is>
      </c>
      <c r="C39" s="55" t="inlineStr">
        <is>
          <t>Teachers/administrators/students/families consulted</t>
        </is>
      </c>
      <c r="D39" s="55" t="n">
        <v>9</v>
      </c>
      <c r="E39" s="55" t="inlineStr">
        <is>
          <t>Navajo highlights family engagement events (e.g., Family STEAM night) and communication mechanisms (newsletters), suggesting stakeholder engagement practices.</t>
        </is>
      </c>
      <c r="F39" s="55" t="inlineStr">
        <is>
          <t>https://navajo.susd.org/our-school</t>
        </is>
      </c>
      <c r="G39" s="55" t="inlineStr">
        <is>
          <t>E61</t>
        </is>
      </c>
      <c r="H39" s="55" t="inlineStr">
        <is>
          <t>Rubric 9: Some evidence of stakeholder engagement; need systematic survey/feedback and broader community partner evidence.</t>
        </is>
      </c>
      <c r="I39" s="55" t="inlineStr">
        <is>
          <t>Stakeholder feedback data; engagement participation rates; partner list and contributions.</t>
        </is>
      </c>
      <c r="J39" s="55" t="n"/>
    </row>
    <row r="40" ht="60" customHeight="1" s="54">
      <c r="A40" s="55" t="inlineStr">
        <is>
          <t>QI-37</t>
        </is>
      </c>
      <c r="B40" s="55" t="inlineStr">
        <is>
          <t>Community Partners &amp; Stakeholder Support</t>
        </is>
      </c>
      <c r="C40" s="55" t="inlineStr">
        <is>
          <t>Community/business partners consulted and leveraged</t>
        </is>
      </c>
      <c r="D40" s="55" t="n">
        <v>9</v>
      </c>
      <c r="E40" s="55" t="inlineStr">
        <is>
          <t>Not found in public sources reviewed (or requires internal data).</t>
        </is>
      </c>
      <c r="F40" s="55" t="n"/>
      <c r="G40" s="55" t="n"/>
      <c r="H40" s="55" t="inlineStr">
        <is>
          <t>Rubric 9: insufficient public evidence to rate; likely requires internal school artifacts and outcome data.</t>
        </is>
      </c>
      <c r="I40" s="55" t="inlineStr">
        <is>
          <t>Request evidence per QI Evidence Map / Evidence Library (internal and/or site artifacts).</t>
        </is>
      </c>
      <c r="J40" s="55" t="n"/>
    </row>
    <row r="41" ht="60" customHeight="1" s="54">
      <c r="A41" s="55" t="inlineStr">
        <is>
          <t>QI-38</t>
        </is>
      </c>
      <c r="B41" s="55" t="inlineStr">
        <is>
          <t>Community Partners &amp; Stakeholder Support</t>
        </is>
      </c>
      <c r="C41" s="55" t="inlineStr">
        <is>
          <t>Broad support vs. potential resistance assessed</t>
        </is>
      </c>
      <c r="D41" s="55" t="n">
        <v>9</v>
      </c>
      <c r="E41" s="55" t="inlineStr">
        <is>
          <t>Not found in public sources reviewed (or requires internal data).</t>
        </is>
      </c>
      <c r="F41" s="55" t="n"/>
      <c r="G41" s="55" t="n"/>
      <c r="H41" s="55" t="inlineStr">
        <is>
          <t>Rubric 9: insufficient public evidence to rate; likely requires internal school artifacts and outcome data.</t>
        </is>
      </c>
      <c r="I41" s="55" t="inlineStr">
        <is>
          <t>Request evidence per QI Evidence Map / Evidence Library (internal and/or site artifacts).</t>
        </is>
      </c>
      <c r="J41" s="55" t="n"/>
    </row>
    <row r="42" ht="60" customHeight="1" s="54">
      <c r="A42" s="55" t="inlineStr">
        <is>
          <t>QI-39</t>
        </is>
      </c>
      <c r="B42" s="55" t="inlineStr">
        <is>
          <t>Community Partners &amp; Stakeholder Support</t>
        </is>
      </c>
      <c r="C42" s="55" t="inlineStr">
        <is>
          <t>Communication is clear and transparent</t>
        </is>
      </c>
      <c r="D42" s="55" t="n">
        <v>9</v>
      </c>
      <c r="E42" s="55" t="inlineStr">
        <is>
          <t>District and school pages communicate what STEM certification means (Cognia domains/standards) and describe site-level STEAM identity; board minutes and district stories reinforce visibility.</t>
        </is>
      </c>
      <c r="F42" s="55" t="inlineStr">
        <is>
          <t>District STEM Certified Schools: https://www.susd.org/academics/academic-programs/stem-certified-schools
Laguna academics: https://laguna.susd.org/academics
Navajo academics: https://navajo.susd.org/academics
Board minutes (May 24, 2022): https://www.susd.org/fs/resource-manager/view/84349add-81d3-4ede-946c-730f3ecfe751</t>
        </is>
      </c>
      <c r="G42" s="55" t="inlineStr">
        <is>
          <t>E58; E59; E60; E68; E70; E71</t>
        </is>
      </c>
      <c r="H42" s="55" t="inlineStr">
        <is>
          <t>Strong communication foundation; confirm consistency in terminology (STEM vs STEAM; certified vs accredited) and ensure families can find practical ‘what changes for my child’ guidance.</t>
        </is>
      </c>
      <c r="I42" s="55" t="inlineStr">
        <is>
          <t>Family FAQ/handbook; enrollment messaging; translations; examples of “day in the life” for students.</t>
        </is>
      </c>
      <c r="J42" s="55" t="n"/>
    </row>
    <row r="43" ht="60" customHeight="1" s="54">
      <c r="A43" s="55" t="inlineStr">
        <is>
          <t>QI-40</t>
        </is>
      </c>
      <c r="B43" s="55" t="inlineStr">
        <is>
          <t>Community Partners &amp; Stakeholder Support</t>
        </is>
      </c>
      <c r="C43" s="55" t="inlineStr">
        <is>
          <t>Families/community/business partners understand program specifics</t>
        </is>
      </c>
      <c r="D43" s="55" t="n">
        <v>9</v>
      </c>
      <c r="E43" s="55" t="inlineStr">
        <is>
          <t>Site pages provide definitions (e.g., Navajo’s STEAM description) and list concrete programs/spaces (Innovator’s Lab, makerspace, science lab, clubs) that help families understand program specifics.</t>
        </is>
      </c>
      <c r="F43" s="55" t="inlineStr">
        <is>
          <t>Navajo academics (STEAM definition): https://navajo.susd.org/academics
Laguna academics (program list): https://laguna.susd.org/academics</t>
        </is>
      </c>
      <c r="G43" s="55" t="inlineStr">
        <is>
          <t>E60; E59</t>
        </is>
      </c>
      <c r="H43" s="55" t="inlineStr">
        <is>
          <t>Good ‘what it is’ descriptions; baseline review should confirm what is core (instructional model) vs optional (clubs) to improve coherence across sites.</t>
        </is>
      </c>
      <c r="I43" s="55" t="inlineStr">
        <is>
          <t>Instructional model description (how STEAM integrates with core curriculum); minimum implementation expectations; list of signature experiences by grade band.</t>
        </is>
      </c>
      <c r="J43" s="55" t="n"/>
    </row>
    <row r="44" ht="60" customHeight="1" s="54">
      <c r="A44" s="55" t="inlineStr">
        <is>
          <t>QI-41</t>
        </is>
      </c>
      <c r="B44" s="55" t="inlineStr">
        <is>
          <t>Sustainability</t>
        </is>
      </c>
      <c r="C44" s="55" t="inlineStr">
        <is>
          <t>Program can be maintained over time</t>
        </is>
      </c>
      <c r="D44" s="55" t="n">
        <v>10</v>
      </c>
      <c r="E44" s="55" t="inlineStr">
        <is>
          <t>Certification implies the schools met quality standards at a point in time; sustainability depends on recert requirements, staffing, and resource continuity (not public).</t>
        </is>
      </c>
      <c r="F44" s="55" t="inlineStr">
        <is>
          <t>https://www.cognia.org/stem-certification/</t>
        </is>
      </c>
      <c r="G44" s="55" t="inlineStr">
        <is>
          <t>E63</t>
        </is>
      </c>
      <c r="H44" s="55" t="inlineStr">
        <is>
          <t>Rubric 10: Cannot assess sustainability without internal data on maintenance/costs/recert cycles.</t>
        </is>
      </c>
      <c r="I44" s="55" t="inlineStr">
        <is>
          <t>Recert timeline and requirements; resource plan; staffing stability; budget plan.</t>
        </is>
      </c>
      <c r="J44" s="55" t="n"/>
    </row>
    <row r="45" ht="60" customHeight="1" s="54">
      <c r="A45" s="55" t="inlineStr">
        <is>
          <t>QI-42</t>
        </is>
      </c>
      <c r="B45" s="55" t="inlineStr">
        <is>
          <t>Sustainability</t>
        </is>
      </c>
      <c r="C45" s="55" t="inlineStr">
        <is>
          <t>Funding and staffing stable for multiple years</t>
        </is>
      </c>
      <c r="D45" s="55" t="n">
        <v>10</v>
      </c>
      <c r="E45" s="55" t="inlineStr">
        <is>
          <t>Not found in public sources reviewed (or requires internal data).</t>
        </is>
      </c>
      <c r="F45" s="55" t="n"/>
      <c r="G45" s="55" t="n"/>
      <c r="H45" s="55" t="inlineStr">
        <is>
          <t>Rubric 10: insufficient public evidence to rate; likely requires internal school artifacts and outcome data.</t>
        </is>
      </c>
      <c r="I45" s="55" t="inlineStr">
        <is>
          <t>Request evidence per QI Evidence Map / Evidence Library (internal and/or site artifacts).</t>
        </is>
      </c>
      <c r="J45" s="55" t="n"/>
    </row>
    <row r="46" ht="60" customHeight="1" s="54">
      <c r="A46" s="55" t="inlineStr">
        <is>
          <t>QI-43</t>
        </is>
      </c>
      <c r="B46" s="55" t="inlineStr">
        <is>
          <t>Sustainability</t>
        </is>
      </c>
      <c r="C46" s="55" t="inlineStr">
        <is>
          <t>Integrates with existing systems (vs. replacing too much at once)</t>
        </is>
      </c>
      <c r="D46" s="55" t="n">
        <v>10</v>
      </c>
      <c r="E46" s="55" t="inlineStr">
        <is>
          <t>District STEM framing suggests integration into core academic program; need clarification on how STEM certified model aligns with district curriculum and other initiatives.</t>
        </is>
      </c>
      <c r="F46" s="55" t="inlineStr">
        <is>
          <t>https://www.susd.org/stem-k12</t>
        </is>
      </c>
      <c r="G46" s="55" t="inlineStr">
        <is>
          <t>E62</t>
        </is>
      </c>
      <c r="H46" s="55" t="inlineStr">
        <is>
          <t>Rubric 10: Likely integrated, but operational alignment and scaling lessons are not documented publicly.</t>
        </is>
      </c>
      <c r="I46" s="55" t="inlineStr">
        <is>
          <t>Curriculum alignment artifacts; professional learning supports; integration with other district initiatives.</t>
        </is>
      </c>
      <c r="J46" s="55" t="n"/>
    </row>
    <row r="47" ht="29" customHeight="1" s="54">
      <c r="A47" s="55" t="inlineStr">
        <is>
          <t>QI-44</t>
        </is>
      </c>
      <c r="B47" s="55" t="inlineStr">
        <is>
          <t>Sustainability</t>
        </is>
      </c>
      <c r="C47" s="55" t="inlineStr">
        <is>
          <t>Can adapt to future needs</t>
        </is>
      </c>
      <c r="D47" s="55" t="n">
        <v>10</v>
      </c>
      <c r="E47" s="55" t="inlineStr">
        <is>
          <t>Not found in public sources reviewed (or requires internal data).</t>
        </is>
      </c>
      <c r="F47" s="55" t="n"/>
      <c r="G47" s="55" t="n"/>
      <c r="H47" s="55" t="inlineStr">
        <is>
          <t>Rubric 10: insufficient public evidence to rate; likely requires internal school artifacts and outcome data.</t>
        </is>
      </c>
      <c r="I47" s="55" t="inlineStr">
        <is>
          <t>Request evidence per QI Evidence Map / Evidence Library (internal and/or site artifacts).</t>
        </is>
      </c>
      <c r="J47" s="55" t="n"/>
    </row>
    <row r="48" ht="29" customHeight="1" s="54">
      <c r="A48" s="55" t="inlineStr">
        <is>
          <t>QI-45</t>
        </is>
      </c>
      <c r="B48" s="55" t="inlineStr">
        <is>
          <t>Sustainability</t>
        </is>
      </c>
      <c r="C48" s="55" t="inlineStr">
        <is>
          <t>Plan to maintain consistency during leadership transitions</t>
        </is>
      </c>
      <c r="D48" s="55" t="n">
        <v>10</v>
      </c>
      <c r="E48" s="55" t="inlineStr">
        <is>
          <t>Not found in public sources reviewed (or requires internal data).</t>
        </is>
      </c>
      <c r="F48" s="55" t="n"/>
      <c r="G48" s="55" t="n"/>
      <c r="H48" s="55" t="inlineStr">
        <is>
          <t>Rubric 10: insufficient public evidence to rate; likely requires internal school artifacts and outcome data.</t>
        </is>
      </c>
      <c r="I48" s="55" t="inlineStr">
        <is>
          <t>Request evidence per QI Evidence Map / Evidence Library (internal and/or site artifacts).</t>
        </is>
      </c>
      <c r="J48" s="55" t="n"/>
    </row>
    <row r="49" ht="30" customHeight="1" s="54"/>
    <row r="50" ht="80" customHeight="1" s="54">
      <c r="A50" s="52" t="inlineStr">
        <is>
          <t>Domain Summary (very preliminary; public evidence only)</t>
        </is>
      </c>
    </row>
    <row r="51" ht="80" customHeight="1" s="54">
      <c r="A51" s="51" t="inlineStr">
        <is>
          <t>Rubric category</t>
        </is>
      </c>
      <c r="B51" s="51" t="inlineStr">
        <is>
          <t>Domain</t>
        </is>
      </c>
      <c r="C51" s="51" t="inlineStr">
        <is>
          <t>Key evidence found (public)</t>
        </is>
      </c>
      <c r="D51" s="51" t="inlineStr">
        <is>
          <t>Preliminary score (1-4)</t>
        </is>
      </c>
      <c r="E51" s="51" t="inlineStr">
        <is>
          <t>Rationale (public-only)</t>
        </is>
      </c>
      <c r="F51" s="51" t="inlineStr">
        <is>
          <t>Key gaps / additional evidence needed</t>
        </is>
      </c>
      <c r="G51" s="51" t="inlineStr">
        <is>
          <t>Where to get it (owner)</t>
        </is>
      </c>
    </row>
    <row r="52" ht="80" customHeight="1" s="54">
      <c r="A52" s="55" t="n">
        <v>1</v>
      </c>
      <c r="B52" s="55" t="inlineStr">
        <is>
          <t>Alignment &amp; Purpose</t>
        </is>
      </c>
      <c r="C52" s="55" t="inlineStr">
        <is>
          <t>District identifies STEM-certified schools; STEM K–12 framing published.</t>
        </is>
      </c>
      <c r="D52" s="55" t="n">
        <v>3</v>
      </c>
      <c r="E52" s="55" t="inlineStr">
        <is>
          <t>Alignment is clear; measurable outcomes/needs not explicit publicly.</t>
        </is>
      </c>
      <c r="F52" s="55" t="inlineStr">
        <is>
          <t>Explicit goals/KPIs; needs data; capacity/target populations.</t>
        </is>
      </c>
      <c r="G52" s="55" t="inlineStr">
        <is>
          <t>Lea + site leadership; district STEM lead.</t>
        </is>
      </c>
    </row>
    <row r="53" ht="80" customHeight="1" s="54">
      <c r="A53" s="55" t="n">
        <v>2</v>
      </c>
      <c r="B53" s="55" t="inlineStr">
        <is>
          <t>Evidence &amp; Effectiveness</t>
        </is>
      </c>
      <c r="C53" s="55" t="inlineStr">
        <is>
          <t>Cognia STEM certification is external quality signal.</t>
        </is>
      </c>
      <c r="D53" s="55" t="n">
        <v>3</v>
      </c>
      <c r="E53" s="55" t="inlineStr">
        <is>
          <t>Certification suggests strong practices; need outcomes/score reports for substantiation.</t>
        </is>
      </c>
      <c r="F53" s="55" t="inlineStr">
        <is>
          <t>Cognia report summaries; internal outcomes; comparative benchmarks.</t>
        </is>
      </c>
      <c r="G53" s="55" t="inlineStr">
        <is>
          <t>Lea + site principals; Cognia documentation.</t>
        </is>
      </c>
    </row>
    <row r="54" ht="80" customHeight="1" s="54">
      <c r="A54" s="55" t="n">
        <v>3</v>
      </c>
      <c r="B54" s="55" t="inlineStr">
        <is>
          <t>Equity &amp; Accessibility</t>
        </is>
      </c>
      <c r="C54" s="55" t="inlineStr">
        <is>
          <t>Neighborhood school delivery suggests broad access; some supports noted.</t>
        </is>
      </c>
      <c r="D54" s="55" t="n">
        <v>2</v>
      </c>
      <c r="E54" s="55" t="inlineStr">
        <is>
          <t>Equity not assessable without subgroup data and barriers analysis.</t>
        </is>
      </c>
      <c r="F54" s="55" t="inlineStr">
        <is>
          <t>Demographics/participation by subgroup; access supports; transportation/fees.</t>
        </is>
      </c>
      <c r="G54" s="55" t="inlineStr">
        <is>
          <t>Lea + enrollment/data team.</t>
        </is>
      </c>
    </row>
    <row r="55" ht="80" customHeight="1" s="54">
      <c r="A55" s="55" t="n">
        <v>4</v>
      </c>
      <c r="B55" s="55" t="inlineStr">
        <is>
          <t>Cost &amp; Resources</t>
        </is>
      </c>
      <c r="C55" s="55" t="inlineStr">
        <is>
          <t>Labs/makerspace implied; certification likely requires artifacts/PD.</t>
        </is>
      </c>
      <c r="D55" s="55" t="n">
        <v>2</v>
      </c>
      <c r="E55" s="55" t="inlineStr">
        <is>
          <t>Resources likely meaningful; cost model not public.</t>
        </is>
      </c>
      <c r="F55" s="55" t="inlineStr">
        <is>
          <t>Inventory/budget; maintenance; staffing model.</t>
        </is>
      </c>
      <c r="G55" s="55" t="inlineStr">
        <is>
          <t>Lea + finance; site admin.</t>
        </is>
      </c>
    </row>
    <row r="56" ht="80" customHeight="1" s="54">
      <c r="A56" s="55" t="n">
        <v>5</v>
      </c>
      <c r="B56" s="55" t="inlineStr">
        <is>
          <t>Training &amp; Support</t>
        </is>
      </c>
      <c r="C56" s="55" t="inlineStr">
        <is>
          <t>Not visible publicly.</t>
        </is>
      </c>
      <c r="D56" s="55" t="n">
        <v>1</v>
      </c>
      <c r="E56" s="55" t="inlineStr">
        <is>
          <t>Cannot rate without PD/coaching plan.</t>
        </is>
      </c>
      <c r="F56" s="55" t="inlineStr">
        <is>
          <t>PD plan; coaching; certification maintenance training.</t>
        </is>
      </c>
      <c r="G56" s="55" t="inlineStr">
        <is>
          <t>Lea + PD/HR; STEM lead.</t>
        </is>
      </c>
    </row>
    <row r="57" ht="80" customHeight="1" s="54">
      <c r="A57" s="55" t="n">
        <v>6</v>
      </c>
      <c r="B57" s="55" t="inlineStr">
        <is>
          <t>Impact on Students &amp; Staff</t>
        </is>
      </c>
      <c r="C57" s="55" t="inlineStr">
        <is>
          <t>Hands-on STEM experiences described; outcome data not public.</t>
        </is>
      </c>
      <c r="D57" s="55" t="n">
        <v>2</v>
      </c>
      <c r="E57" s="55" t="inlineStr">
        <is>
          <t>Likely positive engagement; need achievement and climate data.</t>
        </is>
      </c>
      <c r="F57" s="55" t="inlineStr">
        <is>
          <t>Achievement/growth; engagement surveys; teacher impact measures.</t>
        </is>
      </c>
      <c r="G57" s="55" t="inlineStr">
        <is>
          <t>Lea + assessment; site data.</t>
        </is>
      </c>
    </row>
    <row r="58" ht="80" customHeight="1" s="54">
      <c r="A58" s="55" t="n">
        <v>7</v>
      </c>
      <c r="B58" s="55" t="inlineStr">
        <is>
          <t>Implementation Feasibility</t>
        </is>
      </c>
      <c r="C58" s="55" t="inlineStr">
        <is>
          <t>Certified schools indicate feasibility at those sites.</t>
        </is>
      </c>
      <c r="D58" s="55" t="n">
        <v>3</v>
      </c>
      <c r="E58" s="55" t="inlineStr">
        <is>
          <t>Operational at two sites; replicability to other sites unknown.</t>
        </is>
      </c>
      <c r="F58" s="55" t="inlineStr">
        <is>
          <t>Core model definition; implementation playbook; staffing/resource requirements.</t>
        </is>
      </c>
      <c r="G58" s="55" t="inlineStr">
        <is>
          <t>Lea + STEM lead + principals.</t>
        </is>
      </c>
    </row>
    <row r="59" ht="80" customHeight="1" s="54">
      <c r="A59" s="55" t="n">
        <v>8</v>
      </c>
      <c r="B59" s="55" t="inlineStr">
        <is>
          <t>Data &amp; Evaluation</t>
        </is>
      </c>
      <c r="C59" s="55" t="inlineStr">
        <is>
          <t>Certification implies evaluation; internal plan not public.</t>
        </is>
      </c>
      <c r="D59" s="55" t="n">
        <v>2</v>
      </c>
      <c r="E59" s="55" t="inlineStr">
        <is>
          <t>Need local KPI dashboard and cadence.</t>
        </is>
      </c>
      <c r="F59" s="55" t="inlineStr">
        <is>
          <t>KPI dashboard; data review cadence; evidence governance.</t>
        </is>
      </c>
      <c r="G59" s="55" t="inlineStr">
        <is>
          <t>Lea + data team.</t>
        </is>
      </c>
    </row>
    <row r="60" ht="29" customHeight="1" s="54">
      <c r="A60" s="55" t="n">
        <v>9</v>
      </c>
      <c r="B60" s="55" t="inlineStr">
        <is>
          <t>Community Partners &amp; Stakeholder Support</t>
        </is>
      </c>
      <c r="C60" s="55" t="inlineStr">
        <is>
          <t>Family engagement examples (Navajo) and certification story.</t>
        </is>
      </c>
      <c r="D60" s="55" t="n">
        <v>2</v>
      </c>
      <c r="E60" s="55" t="inlineStr">
        <is>
          <t>Some engagement evidence; need systematic support/resistance assessment and partner outcomes.</t>
        </is>
      </c>
      <c r="F60" s="55" t="inlineStr">
        <is>
          <t>Stakeholder surveys; partner list and outcomes; comms plan.</t>
        </is>
      </c>
      <c r="G60" s="55" t="inlineStr">
        <is>
          <t>Lea + site leadership.</t>
        </is>
      </c>
    </row>
    <row r="61" ht="43.5" customHeight="1" s="54">
      <c r="A61" s="55" t="n">
        <v>10</v>
      </c>
      <c r="B61" s="55" t="inlineStr">
        <is>
          <t>Sustainability</t>
        </is>
      </c>
      <c r="C61" s="55" t="inlineStr">
        <is>
          <t>Certification implies quality; sustainability depends on recert and resources.</t>
        </is>
      </c>
      <c r="D61" s="55" t="n">
        <v>2</v>
      </c>
      <c r="E61" s="55" t="inlineStr">
        <is>
          <t>Cannot assess without staffing/budget stability and recert requirements.</t>
        </is>
      </c>
      <c r="F61" s="55" t="inlineStr">
        <is>
          <t>Recert plan; multi-year budget; staffing stability.</t>
        </is>
      </c>
      <c r="G61" s="55" t="inlineStr">
        <is>
          <t>Lea + finance/HR; site leadership.</t>
        </is>
      </c>
    </row>
  </sheetData>
  <mergeCells count="1">
    <mergeCell ref="A1: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2026-02-10T02:20:58Z</dcterms:created>
  <dcterms:modified xmlns:dcterms="http://purl.org/dc/terms/" xmlns:xsi="http://www.w3.org/2001/XMLSchema-instance" xsi:type="dcterms:W3CDTF">2026-02-17T17:41:22Z</dcterms:modified>
  <cp:lastModifiedBy>Brian Hohl</cp:lastModifiedBy>
</cp:coreProperties>
</file>