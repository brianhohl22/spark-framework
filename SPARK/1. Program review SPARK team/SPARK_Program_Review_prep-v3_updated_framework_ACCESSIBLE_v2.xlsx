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19" documentId="11_54512B01F40A7123F05F58FB34BC15524B0FC2ED" xr6:coauthVersionLast="47" xr6:coauthVersionMax="47" xr10:uidLastSave="{D95B2E10-F146-4390-BE30-90B1A46964CC}"/>
  <bookViews>
    <workbookView xWindow="-110" yWindow="-110" windowWidth="19420" windowHeight="10300" firstSheet="15" activeTab="17" xr2:uid="{00000000-000D-0000-FFFF-FFFF00000000}"/>
  </bookViews>
  <sheets>
    <sheet name="Framework" sheetId="1" r:id="rId1"/>
    <sheet name="Draft for Ms Mitchell" sheetId="2" r:id="rId2"/>
    <sheet name="SPARK Flow Visual" sheetId="3" r:id="rId3"/>
    <sheet name="Quality Indicators" sheetId="4" r:id="rId4"/>
    <sheet name="QI Decision Map" sheetId="5" r:id="rId5"/>
    <sheet name="Rubric" sheetId="6" r:id="rId6"/>
    <sheet name="Ongoing Program Review Rubric" sheetId="7" r:id="rId7"/>
    <sheet name="Interpretation Guide (Existing)" sheetId="8" r:id="rId8"/>
    <sheet name="MV Evidence Pack (Existing)" sheetId="9" r:id="rId9"/>
    <sheet name="Evidence Requests (Programs)" sheetId="10" r:id="rId10"/>
    <sheet name="Evidence Library" sheetId="11" r:id="rId11"/>
    <sheet name="QI Evidence Map" sheetId="12" r:id="rId12"/>
    <sheet name="Program Snapshot" sheetId="13" r:id="rId13"/>
    <sheet name="Program Deep Dive" sheetId="14" r:id="rId14"/>
    <sheet name="Review Tracker" sheetId="15" r:id="rId15"/>
    <sheet name="Concept Studies Tracker" sheetId="16" r:id="rId16"/>
    <sheet name="Governance &amp; Intake Channels" sheetId="17" r:id="rId17"/>
    <sheet name="Intake Use Cases" sheetId="18" r:id="rId18"/>
    <sheet name="Idea Submission (Light)" sheetId="19" r:id="rId19"/>
    <sheet name="Intake Form Design" sheetId="20" r:id="rId20"/>
    <sheet name="Idea Log" sheetId="21" r:id="rId21"/>
    <sheet name="Idea Heatmap (Design)" sheetId="22" r:id="rId22"/>
    <sheet name="Triage Tracker" sheetId="23" r:id="rId23"/>
    <sheet name="Templates" sheetId="24" r:id="rId24"/>
    <sheet name="Landscape Visuals" sheetId="25" r:id="rId25"/>
    <sheet name="Landscape Assessment" sheetId="26" r:id="rId26"/>
    <sheet name="Mobility &amp; Choice Signals" sheetId="27" r:id="rId27"/>
    <sheet name="Benchmarking &amp; Trend Scan" sheetId="28" r:id="rId28"/>
    <sheet name="System Data Flow" sheetId="29" r:id="rId29"/>
    <sheet name="Portfolio Prioritization" sheetId="30" r:id="rId30"/>
    <sheet name="MSA - QI Review" sheetId="31" r:id="rId31"/>
    <sheet name="STEAM - QI Review" sheetId="32" r:id="rId3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2" l="1"/>
  <c r="E15" i="22"/>
  <c r="D15" i="22"/>
  <c r="C15" i="22"/>
  <c r="B15" i="22"/>
  <c r="G15" i="22" s="1"/>
  <c r="F14" i="22"/>
  <c r="E14" i="22"/>
  <c r="D14" i="22"/>
  <c r="C14" i="22"/>
  <c r="B14" i="22"/>
  <c r="G14" i="22" s="1"/>
  <c r="F13" i="22"/>
  <c r="E13" i="22"/>
  <c r="D13" i="22"/>
  <c r="C13" i="22"/>
  <c r="B13" i="22"/>
  <c r="G13" i="22" s="1"/>
  <c r="F12" i="22"/>
  <c r="E12" i="22"/>
  <c r="D12" i="22"/>
  <c r="C12" i="22"/>
  <c r="B12" i="22"/>
  <c r="G12" i="22" s="1"/>
  <c r="F11" i="22"/>
  <c r="E11" i="22"/>
  <c r="D11" i="22"/>
  <c r="C11" i="22"/>
  <c r="B11" i="22"/>
  <c r="G11" i="22" s="1"/>
  <c r="F10" i="22"/>
  <c r="E10" i="22"/>
  <c r="D10" i="22"/>
  <c r="C10" i="22"/>
  <c r="B10" i="22"/>
  <c r="G10" i="22" s="1"/>
  <c r="F9" i="22"/>
  <c r="E9" i="22"/>
  <c r="D9" i="22"/>
  <c r="C9" i="22"/>
  <c r="B9" i="22"/>
  <c r="G9" i="22" s="1"/>
  <c r="F8" i="22"/>
  <c r="F16" i="22" s="1"/>
  <c r="E8" i="22"/>
  <c r="E16" i="22" s="1"/>
  <c r="D8" i="22"/>
  <c r="D16" i="22" s="1"/>
  <c r="C8" i="22"/>
  <c r="C16" i="22" s="1"/>
  <c r="B8" i="22"/>
  <c r="G8" i="22" s="1"/>
  <c r="G16" i="22" l="1"/>
  <c r="B16" i="22"/>
</calcChain>
</file>

<file path=xl/sharedStrings.xml><?xml version="1.0" encoding="utf-8"?>
<sst xmlns="http://schemas.openxmlformats.org/spreadsheetml/2006/main" count="5319" uniqueCount="2591">
  <si>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</si>
  <si>
    <t>Module / stage</t>
  </si>
  <si>
    <t>Purpose</t>
  </si>
  <si>
    <t>Trigger / cadence</t>
  </si>
  <si>
    <t>Sequencing / focus</t>
  </si>
  <si>
    <t>Primary QI domains</t>
  </si>
  <si>
    <t>Primary outputs (shareable)</t>
  </si>
  <si>
    <t>Notes / decision gates</t>
  </si>
  <si>
    <t>Candidate pipeline — Idea capture + Pre‑Triage (lightweight)</t>
  </si>
  <si>
    <t>Provide a common, low-friction way to capture ideas (formal/informal), check for overlap with existing programs, and route to the right next step.</t>
  </si>
  <si>
    <t>Continuous intake; reviewed on a predictable cadence (e.g., monthly/quarterly triage window) to manage capacity.</t>
  </si>
  <si>
    <t>Use Light Idea Submission → inventory/overlap check → pre‑triage outcome: Decline tactfully / Defer / Request info / Promote to Triage or Concept Study.</t>
  </si>
  <si>
    <t>Alignment &amp; Purpose; Equity &amp; Accessibility; Cost &amp; Resources; Data &amp; Evaluation; Sustainability; Community/Stakeholder (high level).</t>
  </si>
  <si>
    <t>Idea Log + response template; Pre‑Triage decision record; next-step assignment.</t>
  </si>
  <si>
    <t>Hard gates should be rare and well-defined; most 'No' results should route to 'More info' or 'Revise &amp; resubmit'.</t>
  </si>
  <si>
    <t>Candidate pipeline — Triage screen (fast, SPARK-assisted)</t>
  </si>
  <si>
    <t>Quickly determine whether a candidate is ready for full rubric review, needs more information, or should be deferred/waitlisted.</t>
  </si>
  <si>
    <t>Triage windows (e.g., monthly/quarterly) or ad hoc for board-directed timelines.</t>
  </si>
  <si>
    <t>Light evidence aligned to Quality Indicators; outcome options: Decline / Defer / Request info / Proceed to Full Review (proposal) OR Concept Study (if large concept).</t>
  </si>
  <si>
    <t>1–5 (early checks), 8–10 (basic evaluation + sustainability flags)</t>
  </si>
  <si>
    <t>Triage Tracker entry + rationale; request list; assigned sponsor; pathway decision.</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</si>
  <si>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</si>
  <si>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</si>
  <si>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</si>
  <si>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</si>
  <si>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</si>
  <si>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</si>
  <si>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</si>
  <si>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</si>
  <si>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</si>
  <si>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</si>
  <si>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</si>
  <si>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</si>
  <si>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</si>
  <si>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</si>
  <si>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</si>
  <si>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</si>
  <si>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</si>
  <si>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</si>
  <si>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</si>
  <si>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</si>
  <si>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</si>
  <si>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</si>
  <si>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</si>
  <si>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</si>
  <si>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</si>
  <si>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</si>
  <si>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</si>
  <si>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</si>
  <si>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</si>
  <si>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what programs exist, who they serve, how demand/choice is shifting, and where gaps/opportunities exist—feeding priorities into intake.</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</si>
  <si>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</si>
  <si>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</si>
  <si>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</si>
  <si>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Opportunity Register + Portfolio Priorities statement + (optional) Candidate idea heatmap for current cycle.</t>
  </si>
  <si>
    <t>Feeds candidate prioritization and concept studies; keep scope stable year-to-year.</t>
  </si>
  <si>
    <t>Cross-cutting signal layers (Mobility/choice + Benchmarks + Trend scan)</t>
  </si>
  <si>
    <t>Provide context signals that inform landscape priorities, help interpret demand/choice, and support program improvement—without becoming the scoring tool.</t>
  </si>
  <si>
    <t>Mobility collected continuously; summarized on landscape cadence. Benchmarks/trends refreshed annually (light semiannual optional).</t>
  </si>
  <si>
    <t>Used as triangulation inputs: entries/exits + reasons; peer examples; trend prompts. Not used as standalone justification.</t>
  </si>
  <si>
    <t>2–3, 8–10 (demand/choice/equity; evaluation; sustainability/adaptability)</t>
  </si>
  <si>
    <t>Mobility/choice dashboard; benchmark matrix; trend radar/log.</t>
  </si>
  <si>
    <t>Use as triangulation only; document uncertainty and avoid over-weighting any single signal.</t>
  </si>
  <si>
    <t>Draft summary for Ms. Mitchell (Intake + Landscape updates after 2/4 Program Review meeting)</t>
  </si>
  <si>
    <t>What changed based on meeting notes</t>
  </si>
  <si>
    <t>- Added a common capture for formal/informal ideas via Light Idea Submission + Idea Log (supports consistent responses to emails and a heat map dashboard).
- Clarified stage-specific sequencing: candidate proposals follow the rubric order; ongoing reviews start with data/evaluation and remain non-numeric by default.
- Integrated mobility/choice (entries + exits) into Landscape Assessment as a recurring demand/access lens (collected continuously; summarized on landscape cadence).
- Added facilities/space utilization as an optional landscape input to connect concept work (e.g., hub/magnet) with closure/repurpose realities.
- Added real-world intake use cases (email from AP, community request, board directive, etc.) to make entry channels actionable.
- Added an ‘Ongoing Program Review Rubric’ (descriptive) to complement the scored proposal rubric and reflect the team’s caution about points scoring for existing programs.</t>
  </si>
  <si>
    <t>Proposed intake pipeline (high-level)</t>
  </si>
  <si>
    <t>1) Explore inventory/portfolio priorities (Program Directory)
2) Submit Light Idea (low friction)
3) Pre‑Triage screen: overlap check + route
4) Triage (cadenced): decline/defer/more info/promote
5) If promoted: Concept Study (large/commissioned) OR Full Intake + rubric-based review
6) Decision + conditions + evaluation cadence</t>
  </si>
  <si>
    <t>Landscape assessment (high-level)</t>
  </si>
  <si>
    <t>Annual landscape: refresh inventory + candidate idea heatmap + demand/choice (incl mobility) + outcomes/equity + constraints; produce priorities statement to guide intake.
Mobility/choice is collected continuously but summarized on landscape cadence.</t>
  </si>
  <si>
    <t>Open questions / decisions needed</t>
  </si>
  <si>
    <t>- What cadence for triage windows (monthly vs quarterly)?
- What should be public-facing vs internal-only (inventory directory, priorities, simplified idea status)?
- Threshold: when does a site-level pilot become a ‘signature program’ requiring SPARK review?
- Which rubric to use for ongoing programs: descriptive (recommended) vs numeric (only for calibration)?</t>
  </si>
  <si>
    <t>Where to find supporting tabs</t>
  </si>
  <si>
    <t>- Governance &amp; Intake Channels (plus Intake Use Cases)
- Idea Submission (Light), Idea Log, Idea Heatmap (Design)
- Intake Form Design (Full)
- Landscape Assessment + Mobility &amp; Choice Signals
- SPARK Flow Visual
- Rubric (New program proposal rubric) + Ongoing Program Review Rubric</t>
  </si>
  <si>
    <t>SPARK Operating Flow (draft) — how ideas, evidence, and decisions move through the system</t>
  </si>
  <si>
    <t>Landscape Assessment (annual)
Portfolio priorities + opportunity register</t>
  </si>
  <si>
    <t>→</t>
  </si>
  <si>
    <t>Program Directory / Inventory
Public-facing exploration + contacts</t>
  </si>
  <si>
    <t>Idea Capture
Light idea submission + logging</t>
  </si>
  <si>
    <t>Pre‑Triage Screen
Overlap check + route</t>
  </si>
  <si>
    <t>Triage (cadenced)
Decline / Defer / More info / Promote</t>
  </si>
  <si>
    <t>Concept Study (if large/commissioned)
Option set + feasibility envelope</t>
  </si>
  <si>
    <t>Full Review (rubric)
Ms. Mitchell rubric + evidence pack</t>
  </si>
  <si>
    <t>Decision
Approve/Pilot/Conditions/Waitlist</t>
  </si>
  <si>
    <t>Implementation
Owner + resources + launch plan</t>
  </si>
  <si>
    <t>Ongoing Program Review (annual)
Qualitative strengths/growth + support plan</t>
  </si>
  <si>
    <t>Continue / Expand / Redesign / Sunset
Evidence-driven renewal logic</t>
  </si>
  <si>
    <t>Cross-cutting signals
Mobility/choice + benchmarks + trends</t>
  </si>
  <si>
    <t>feed into</t>
  </si>
  <si>
    <t>Landscape + Intake + Reviews
Triangulation inputs (not scoring)</t>
  </si>
  <si>
    <t>↔</t>
  </si>
  <si>
    <t>Evidence Library + QI Mapping
Core + program-specific evidence</t>
  </si>
  <si>
    <t>Legend</t>
  </si>
  <si>
    <t>Data/Signals</t>
  </si>
  <si>
    <t>Process Stage</t>
  </si>
  <si>
    <t>Decision Point</t>
  </si>
  <si>
    <t>Concept/Review Work</t>
  </si>
  <si>
    <t>Domain</t>
  </si>
  <si>
    <t>Indicator / Guiding Question</t>
  </si>
  <si>
    <t>QI ID</t>
  </si>
  <si>
    <t>Evidence artifacts (summary)</t>
  </si>
  <si>
    <t>Evidence IDs (pool)</t>
  </si>
  <si>
    <t>Where to find (quick)</t>
  </si>
  <si>
    <t>Strong evidence / 'goodness' look-fors (summary)</t>
  </si>
  <si>
    <t>Program-specific notes</t>
  </si>
  <si>
    <t>Lens (Existing review)</t>
  </si>
  <si>
    <t>Tier (1/2/3)</t>
  </si>
  <si>
    <t>Public-safe? (Y/N/Partial)</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</si>
  <si>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</si>
  <si>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</si>
  <si>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</si>
  <si>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</si>
  <si>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</si>
  <si>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</si>
  <si>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</si>
  <si>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</si>
  <si>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</si>
  <si>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</si>
  <si>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</si>
  <si>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</si>
  <si>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</si>
  <si>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</si>
  <si>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</si>
  <si>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</si>
  <si>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</si>
  <si>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</si>
  <si>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</si>
  <si>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</si>
  <si>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</si>
  <si>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</si>
  <si>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</si>
  <si>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</si>
  <si>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</si>
  <si>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</si>
  <si>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</si>
  <si>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</si>
  <si>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</si>
  <si>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</si>
  <si>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</si>
  <si>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</si>
  <si>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</si>
  <si>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</si>
  <si>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</si>
  <si>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</si>
  <si>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</si>
  <si>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</si>
  <si>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</si>
  <si>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</si>
  <si>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</si>
  <si>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</si>
  <si>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</si>
  <si>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</si>
  <si>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</si>
  <si>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</si>
  <si>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</si>
  <si>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</si>
  <si>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</si>
  <si>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</si>
  <si>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</si>
  <si>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</si>
  <si>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</si>
  <si>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</si>
  <si>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</si>
  <si>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</si>
  <si>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</si>
  <si>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</si>
  <si>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</si>
  <si>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</si>
  <si>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</si>
  <si>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</si>
  <si>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</si>
  <si>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</si>
  <si>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</si>
  <si>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</si>
  <si>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</si>
  <si>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</si>
  <si>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</si>
  <si>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</si>
  <si>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</si>
  <si>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</si>
  <si>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</si>
  <si>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</si>
  <si>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</si>
  <si>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</si>
  <si>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</si>
  <si>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</si>
  <si>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</si>
  <si>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</si>
  <si>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</si>
  <si>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</si>
  <si>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</si>
  <si>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</si>
  <si>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</si>
  <si>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</si>
  <si>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</si>
  <si>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</si>
  <si>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</si>
  <si>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</si>
  <si>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</si>
  <si>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</si>
  <si>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</si>
  <si>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</si>
  <si>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</si>
  <si>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</si>
  <si>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</si>
  <si>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</si>
  <si>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</si>
  <si>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</si>
  <si>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</si>
  <si>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</si>
  <si>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</si>
  <si>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</si>
  <si>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</si>
  <si>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</si>
  <si>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</si>
  <si>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</si>
  <si>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</si>
  <si>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</si>
  <si>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</si>
  <si>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</si>
  <si>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</si>
  <si>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</si>
  <si>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</si>
  <si>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</si>
  <si>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</si>
  <si>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</si>
  <si>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</si>
  <si>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</si>
  <si>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</si>
  <si>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</si>
  <si>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</si>
  <si>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</si>
  <si>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</si>
  <si>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</si>
  <si>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</si>
  <si>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</si>
  <si>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</si>
  <si>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</si>
  <si>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</si>
  <si>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</si>
  <si>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</si>
  <si>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</si>
  <si>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</si>
  <si>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</si>
  <si>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</si>
  <si>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</si>
  <si>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</si>
  <si>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</si>
  <si>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</si>
  <si>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</si>
  <si>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</si>
  <si>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</si>
  <si>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</si>
  <si>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</si>
  <si>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</si>
  <si>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</si>
  <si>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</si>
  <si>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</si>
  <si>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</si>
  <si>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</si>
  <si>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</si>
  <si>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</si>
  <si>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</si>
  <si>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</si>
  <si>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</si>
  <si>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</si>
  <si>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</si>
  <si>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</si>
  <si>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</si>
  <si>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</si>
  <si>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</si>
  <si>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</si>
  <si>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</si>
  <si>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</si>
  <si>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</si>
  <si>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</si>
  <si>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</si>
  <si>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</si>
  <si>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</si>
  <si>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</si>
  <si>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</si>
  <si>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</si>
  <si>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</si>
  <si>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</si>
  <si>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</si>
  <si>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</si>
  <si>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</si>
  <si>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</si>
  <si>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</si>
  <si>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</si>
  <si>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</si>
  <si>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</si>
  <si>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</si>
  <si>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</si>
  <si>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</si>
  <si>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</si>
  <si>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</si>
  <si>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</si>
  <si>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</si>
  <si>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</si>
  <si>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</si>
  <si>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</si>
  <si>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</si>
  <si>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</si>
  <si>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</si>
  <si>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</si>
  <si>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</si>
  <si>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</si>
  <si>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</si>
  <si>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</si>
  <si>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</si>
  <si>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</si>
  <si>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</si>
  <si>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</si>
  <si>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</si>
  <si>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</si>
  <si>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</si>
  <si>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</si>
  <si>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</si>
  <si>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</si>
  <si>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</si>
  <si>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</si>
  <si>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</si>
  <si>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</si>
  <si>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</si>
  <si>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</si>
  <si>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</si>
  <si>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</si>
  <si>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</si>
  <si>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</si>
  <si>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</si>
  <si>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</si>
  <si>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</si>
  <si>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</si>
  <si>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</si>
  <si>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</si>
  <si>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</si>
  <si>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</si>
  <si>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</si>
  <si>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</si>
  <si>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</si>
  <si>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</si>
  <si>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</si>
  <si>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</si>
  <si>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</si>
  <si>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</si>
  <si>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</si>
  <si>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</si>
  <si>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</si>
  <si>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</si>
  <si>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</si>
  <si>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</si>
  <si>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</si>
  <si>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</si>
  <si>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</si>
  <si>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</si>
  <si>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</si>
  <si>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</si>
  <si>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</si>
  <si>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</si>
  <si>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</si>
  <si>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</si>
  <si>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</si>
  <si>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</si>
  <si>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</si>
  <si>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</si>
  <si>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</si>
  <si>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</si>
  <si>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</si>
  <si>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</si>
  <si>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</si>
  <si>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</si>
  <si>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</si>
  <si>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</si>
  <si>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</si>
  <si>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</si>
  <si>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</si>
  <si>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</si>
  <si>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</si>
  <si>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</si>
  <si>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</si>
  <si>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</si>
  <si>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</si>
  <si>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</si>
  <si>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</si>
  <si>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</si>
  <si>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</si>
  <si>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</si>
  <si>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</si>
  <si>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</si>
  <si>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</si>
  <si>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</si>
  <si>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</si>
  <si>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</si>
  <si>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</si>
  <si>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</si>
  <si>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</si>
  <si>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</si>
  <si>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</si>
  <si>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</si>
  <si>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</si>
  <si>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</si>
  <si>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</si>
  <si>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</si>
  <si>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</si>
  <si>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</si>
  <si>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</si>
  <si>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</si>
  <si>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</si>
  <si>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</si>
  <si>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</si>
  <si>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</si>
  <si>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</si>
  <si>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</si>
  <si>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</si>
  <si>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</si>
  <si>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</si>
  <si>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</si>
  <si>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</si>
  <si>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</si>
  <si>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</si>
  <si>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</si>
  <si>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</si>
  <si>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</si>
  <si>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</si>
  <si>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</si>
  <si>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</si>
  <si>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</si>
  <si>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</si>
  <si>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</si>
  <si>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</si>
  <si>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</si>
  <si>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</si>
  <si>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</si>
  <si>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</si>
  <si>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</si>
  <si>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</si>
  <si>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</si>
  <si>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</si>
  <si>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</si>
  <si>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</si>
  <si>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</si>
  <si>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</si>
  <si>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</si>
  <si>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</si>
  <si>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</si>
  <si>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</si>
  <si>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</si>
  <si>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</si>
  <si>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</si>
  <si>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</si>
  <si>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</si>
  <si>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</si>
  <si>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</si>
  <si>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</si>
  <si>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</si>
  <si>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</si>
  <si>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</si>
  <si>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</si>
  <si>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</si>
  <si>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</si>
  <si>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</si>
  <si>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</si>
  <si>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</si>
  <si>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</si>
  <si>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</si>
  <si>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</si>
  <si>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Program Review Rubric</t>
  </si>
  <si>
    <t xml:space="preserve">Name of Program being reviewed: </t>
  </si>
  <si>
    <t xml:space="preserve">Name of Reviewer: </t>
  </si>
  <si>
    <t>Optional score (1–4)</t>
  </si>
  <si>
    <t>Evidence / notes</t>
  </si>
  <si>
    <t>Clear local definition of success + evidence that the program is being monitored (metrics + routines). Evidence sources are credible (district/site data, implementation artifacts, stakeholder feedback).</t>
  </si>
  <si>
    <t>Some local success metrics are defined and periodically reviewed; evidence exists but is incomplete or inconsistently collected.</t>
  </si>
  <si>
    <t>Success metrics are vague or inconsistently tracked; evidence is largely anecdotal; limited use of data for improvement.</t>
  </si>
  <si>
    <t>No clear success metrics or monitoring routines; little/no usable evidence of implementation results.</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</si>
  <si>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</si>
  <si>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</si>
  <si>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</si>
  <si>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</si>
  <si>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</si>
  <si>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</si>
  <si>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</si>
  <si>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</si>
  <si>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</si>
  <si>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</si>
  <si>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Use: ongoing / existing program annual review (descriptive). Optional scoring can be used for calibration only—use caution with numeric ratings for existing programs.</t>
  </si>
  <si>
    <t>Existing Program Review – Interpretation Guide (Baseline + Annual Updates)</t>
  </si>
  <si>
    <t>Purpose (existing programs): establish a baseline of implementation + system alignment, highlight strengths, and identify support/uplift opportunities. This is not a study of whether a program is “valid” or a vote on continuation/sunsetting.</t>
  </si>
  <si>
    <t>1) Scope (this cycle)</t>
  </si>
  <si>
    <t>IN SCOPE (baseline review)
• Describe the program model as implemented (what students experience; what is core vs optional)
• Check alignment to district priorities and coherence across sites
• Identify strengths and “support/uplift opportunities” for implementation quality
• Identify sustainability risks (staffing, resources, leadership transitions, system dependencies)
• Establish a repeatable annual update routine (evidence pack + KPIs + actions taken)
OUT OF SCOPE (for this cycle)
• Re-litigating the external research base or “proving” the program concept
• Budget decisions or recommendations to continue/sunset programs
• Comparing programs as “winners/losers” (portfolio work can happen separately)</t>
  </si>
  <si>
    <t>2) Three-lens model (how to interpret the QIs for existing programs)</t>
  </si>
  <si>
    <t>Lens</t>
  </si>
  <si>
    <t>What we look for</t>
  </si>
  <si>
    <t>QI domains most associated</t>
  </si>
  <si>
    <t>Lens 1 – Implementation Definition &amp; Fidelity</t>
  </si>
  <si>
    <t>Clear program definition; what students/teachers experience; core components vs allowed local variation; signs of drift or inconsistency.</t>
  </si>
  <si>
    <t>6 Impact; 7 Feasibility; parts of 1 Alignment</t>
  </si>
  <si>
    <t>Lens 2 – System Alignment &amp; Coherence</t>
  </si>
  <si>
    <t>How the program plugs into district/site systems: enrollment pathways; staffing/roles; PD/support; resources; stakeholder communication; coherence across sites.</t>
  </si>
  <si>
    <t>1 Alignment; 3 Equity; 4 Resources; 5 Training; 9 Stakeholder</t>
  </si>
  <si>
    <t>Lens 3 – Continuous Improvement &amp; Sustainability</t>
  </si>
  <si>
    <t>Local definition of success + monitoring cadence; evidence is used to improve (expand/adjust supports); sustainability risks (funding/staffing stability; succession).</t>
  </si>
  <si>
    <t>8 Data &amp; Evaluation; 10 Sustainability; parts of 2 Evidence</t>
  </si>
  <si>
    <t>3) Translation rules for two high-risk domains</t>
  </si>
  <si>
    <t>Evidence &amp; Effectiveness (Domain 2) – For existing programs, interpret this as:
• Clear local theory of action (why the model should work here)
• Local success metrics (few, repeatable) + who monitors them
• Evidence of learning from data and feedback (actions taken / adjustments)
Data &amp; Evaluation (Domain 8) – When QI language suggests “expand/close,” treat it as an improvement trigger:
• Scale/support what is working
• Strengthen what is inconsistent or weak
• Document actions taken + re-check in the next annual review</t>
  </si>
  <si>
    <t>4) Evidence tiers + two-view reporting (Public Summary + Internal Annex)</t>
  </si>
  <si>
    <t>Evidence tiers (what we prioritize)
• Tier 1 (Core / must-have): charter + operating model, access pathway, roles (RACI), staffing/PD supports, resources snapshot, KPI set + review cadence, sustainability snapshot
• Tier 2 (Proof of practice): sample schedules, project/unit examples, student experience artifacts, comms/FAQs
• Tier 3 (Context signals): choice/entry/exit signals, external exemplars, landscape insights
Reporting views
• Public summary: “how &amp; what” (program story + strengths + uplift opportunities); avoid technical scoring language
• Internal annex: evidence index + implementation details + maturity/confidence (optional) + specific asks/owners</t>
  </si>
  <si>
    <t>Pack item (core evidence)</t>
  </si>
  <si>
    <t>Why / what it answers</t>
  </si>
  <si>
    <t>QI domains / rubric link</t>
  </si>
  <si>
    <t>Typical owner</t>
  </si>
  <si>
    <t>Notes / program-specific examples</t>
  </si>
  <si>
    <t>Program charter / model definition (non‑negotiables + allowable variation)</t>
  </si>
  <si>
    <t>Defines what ‘implementation’ means so sites can be compared fairly; supports coherence.</t>
  </si>
  <si>
    <t>QI 1,6,7; lenses 1–2</t>
  </si>
  <si>
    <t>Program lead / site admin</t>
  </si>
  <si>
    <t>Y</t>
  </si>
  <si>
    <t>E.g., MSA cohort model definition; STEAM instructional model definition.</t>
  </si>
  <si>
    <t>Program structure type + enrollment pathway (dedicated / schoolwide / within-school; how students access)</t>
  </si>
  <si>
    <t>Clarifies who participates and how; flags barriers and inconsistent processes.</t>
  </si>
  <si>
    <t>QI 1,3,7,9; lens 2</t>
  </si>
  <si>
    <t>Enrollment + program lead</t>
  </si>
  <si>
    <t>Partial</t>
  </si>
  <si>
    <t>Include application, criteria, timelines; boundary/open-enrollment notes.</t>
  </si>
  <si>
    <t>Roles &amp; responsibilities (RACI) + staffing model</t>
  </si>
  <si>
    <t>Ensures the program is supported by defined roles; reduces fragility.</t>
  </si>
  <si>
    <t>QI 4,5,7,10; lens 2</t>
  </si>
  <si>
    <t>Site admin / HR / program lead</t>
  </si>
  <si>
    <t>N</t>
  </si>
  <si>
    <t>Coordinator roles, Innovation Center staffing, lead teachers, counseling workflow.</t>
  </si>
  <si>
    <t>Schedule/operational model (how it works day-to-day)</t>
  </si>
  <si>
    <t>Makes implementation visible and comparable across sites.</t>
  </si>
  <si>
    <t>QI 6,7; lens 1</t>
  </si>
  <si>
    <t>Site admin / counseling</t>
  </si>
  <si>
    <t>Master schedule sample; course sequences; lab time; pull-out vs embedded.</t>
  </si>
  <si>
    <t>Professional learning &amp; ongoing support plan (PD, coaching, onboarding)</t>
  </si>
  <si>
    <t>Shows how the district supports quality implementation and coherence.</t>
  </si>
  <si>
    <t>QI 5,7,10; lens 2</t>
  </si>
  <si>
    <t>Curriculum/PD</t>
  </si>
  <si>
    <t>Training requirements, cadence, support tickets/updates.</t>
  </si>
  <si>
    <t>Resource model (core materials, facilities, tech; refresh/maintenance)</t>
  </si>
  <si>
    <t>Supports sustainability and equity (consistent access to resources).</t>
  </si>
  <si>
    <t>QI 4,10; lens 2–3</t>
  </si>
  <si>
    <t>Site admin / finance / IT</t>
  </si>
  <si>
    <t>Consumables; lab/makerspace refresh cycles; licensing.</t>
  </si>
  <si>
    <t>Local success metrics (KPIs) + definitions</t>
  </si>
  <si>
    <t>Reframes ‘effectiveness’ for existing programs: clarity of outcomes + how measured.</t>
  </si>
  <si>
    <t>QI 2,8; lens 3</t>
  </si>
  <si>
    <t>Assessment / program lead</t>
  </si>
  <si>
    <t>3–6 KPIs max; include equity lens.</t>
  </si>
  <si>
    <t>Data review cadence + actions taken (evidence of continuous improvement loop)</t>
  </si>
  <si>
    <t>Confirms that data are reviewed and used to adjust supports/implementation.</t>
  </si>
  <si>
    <t>QI 8; lens 3</t>
  </si>
  <si>
    <t>Meeting notes, dashboards, action log; “expand/adjust supports” triggers.</t>
  </si>
  <si>
    <t>Equity &amp; accessibility implementation evidence</t>
  </si>
  <si>
    <t>Shows how diverse learners access the program and are supported.</t>
  </si>
  <si>
    <t>QI 3; lens 2</t>
  </si>
  <si>
    <t>SpEd/EL + site</t>
  </si>
  <si>
    <t>Accommodations, access supports, participation by subgroup (aggregated).</t>
  </si>
  <si>
    <t>Stakeholder communication &amp; feedback loop (families/staff/students/partners)</t>
  </si>
  <si>
    <t>Aligns to coherence and sustainability; validates clarity of program specifics.</t>
  </si>
  <si>
    <t>QI 9,10; lens 2–3</t>
  </si>
  <si>
    <t>Comms / site admin</t>
  </si>
  <si>
    <t>Y/Partial</t>
  </si>
  <si>
    <t>Family-facing materials are public-safe; internal feedback details may not be.</t>
  </si>
  <si>
    <t>Program-specific add-ons (examples) – used when needed to tell the implementation story</t>
  </si>
  <si>
    <t>Program</t>
  </si>
  <si>
    <t>Add-on evidence example</t>
  </si>
  <si>
    <t>QI link</t>
  </si>
  <si>
    <t>MSA</t>
  </si>
  <si>
    <t>Recognition levels requirements; competition/field experience expectations; Innovation Center usage logs (aggregated)</t>
  </si>
  <si>
    <t>QI 6,8,10</t>
  </si>
  <si>
    <t>Useful for coherence across Saguaro vs Mohave.</t>
  </si>
  <si>
    <t>STEAM/STEM Certified</t>
  </si>
  <si>
    <t>Cognia STEM certification report summary; evidence artifacts index used for certification</t>
  </si>
  <si>
    <t>QI 7,8,10</t>
  </si>
  <si>
    <t>Treat as implementation quality signal and maintenance expectations.</t>
  </si>
  <si>
    <t>IB</t>
  </si>
  <si>
    <t>IB authorization/verification cycle artifacts; teacher training compliance records</t>
  </si>
  <si>
    <t>QI 5,7,10</t>
  </si>
  <si>
    <t>IB already has periodic review cycles—use as existing evidence.</t>
  </si>
  <si>
    <t>DLI</t>
  </si>
  <si>
    <t>Language allocation model artifacts; biliteracy pathway artifacts; proficiency assessment plan</t>
  </si>
  <si>
    <t>Focus on coherence across the pathway sites.</t>
  </si>
  <si>
    <t>AVID</t>
  </si>
  <si>
    <t>Site implementation plan; WICOR walkthrough tool; tutor program structure</t>
  </si>
  <si>
    <t>QI 5,7,8</t>
  </si>
  <si>
    <t>Focus on fidelity across sites and staff support.</t>
  </si>
  <si>
    <t>Traditional</t>
  </si>
  <si>
    <t>Cornerstone fidelity checks; curriculum implementation artifacts</t>
  </si>
  <si>
    <t>QI 6,7,10</t>
  </si>
  <si>
    <t>Focus on consistency and support.</t>
  </si>
  <si>
    <t>Evidence request (what we need)</t>
  </si>
  <si>
    <t>QI / rubric link</t>
  </si>
  <si>
    <t>Tier</t>
  </si>
  <si>
    <t>Public-safe?</t>
  </si>
  <si>
    <t>Likely owner / where to source</t>
  </si>
  <si>
    <t>Rationale / how used</t>
  </si>
  <si>
    <t>MSA (Saguaro &amp; Mohave)</t>
  </si>
  <si>
    <t>Program charter: core components + allowable variation across sites</t>
  </si>
  <si>
    <t>QI 1,6,7</t>
  </si>
  <si>
    <t>Lens 1/2</t>
  </si>
  <si>
    <t>Program lead/site admin</t>
  </si>
  <si>
    <t>Defines baseline implementation and coherence across sites.</t>
  </si>
  <si>
    <t>Enrollment &amp; participation by grade + subgroup (aggregated)</t>
  </si>
  <si>
    <t>QI 3,8</t>
  </si>
  <si>
    <t>Lens 2/3</t>
  </si>
  <si>
    <t>Enrollment/Data</t>
  </si>
  <si>
    <t>Equity/access lens; capacity planning; annual update.</t>
  </si>
  <si>
    <t>Staffing/RACI + coordinator/counselor workflow (incl. Innovation Center)</t>
  </si>
  <si>
    <t>QI 4,5,7,10</t>
  </si>
  <si>
    <t>Lens 2</t>
  </si>
  <si>
    <t>Site admin/HR</t>
  </si>
  <si>
    <t>Sustainability and coherence; identifies single points of failure.</t>
  </si>
  <si>
    <t>PD/support plan for teachers + onboarding expectations</t>
  </si>
  <si>
    <t>QI 5,7</t>
  </si>
  <si>
    <t>Implementation support and consistency.</t>
  </si>
  <si>
    <t>Annual KPI set + cadence (e.g., cohort persistence, recognition attainment, field experiences)</t>
  </si>
  <si>
    <t>QI 2,8</t>
  </si>
  <si>
    <t>Lens 3</t>
  </si>
  <si>
    <t>Program lead/Data</t>
  </si>
  <si>
    <t>Reframes ‘effectiveness’ as local monitoring + improvement.</t>
  </si>
  <si>
    <t>STEAM/STEM (Laguna &amp; Navajo)</t>
  </si>
  <si>
    <t>Cognia STEM certification report summary/scores (site-level)</t>
  </si>
  <si>
    <t>Site admin/Program lead</t>
  </si>
  <si>
    <t>Implementation baseline + expectations for maintenance.</t>
  </si>
  <si>
    <t>Defined STEAM instructional model (core practices) + evidence of consistency</t>
  </si>
  <si>
    <t>QI 6,7</t>
  </si>
  <si>
    <t>Lens 1</t>
  </si>
  <si>
    <t>Site admin/Lead teachers</t>
  </si>
  <si>
    <t>Clarifies what is expected in classrooms; coherence across sites.</t>
  </si>
  <si>
    <t>PD/support + resource refresh/maintenance plan (labs/makerspaces)</t>
  </si>
  <si>
    <t>QI 4,5,10</t>
  </si>
  <si>
    <t>Site admin/Finance</t>
  </si>
  <si>
    <t>Sustainability of equipment-heavy programming.</t>
  </si>
  <si>
    <t>Student access/participation by subgroup + supports for EL/SPED (aggregated)</t>
  </si>
  <si>
    <t>QI 3</t>
  </si>
  <si>
    <t>N/Partial</t>
  </si>
  <si>
    <t>Site/SpEd/EL</t>
  </si>
  <si>
    <t>Equity and accessibility baseline.</t>
  </si>
  <si>
    <t>Evidence ID</t>
  </si>
  <si>
    <t>Evidence artifact</t>
  </si>
  <si>
    <t>Description</t>
  </si>
  <si>
    <t>Where to find / likely sources</t>
  </si>
  <si>
    <t>Confidentiality</t>
  </si>
  <si>
    <t>Notes / program applicability</t>
  </si>
  <si>
    <t>Tier (1=Core,2=Support,3=Context)</t>
  </si>
  <si>
    <t>Public-safe summary? (Y/N/Partial)</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</si>
  <si>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</si>
  <si>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</si>
  <si>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</si>
  <si>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</si>
  <si>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</si>
  <si>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</si>
  <si>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</si>
  <si>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</si>
  <si>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</si>
  <si>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</si>
  <si>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</si>
  <si>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</si>
  <si>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</si>
  <si>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</si>
  <si>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</si>
  <si>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</si>
  <si>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</si>
  <si>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</si>
  <si>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</si>
  <si>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</si>
  <si>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</si>
  <si>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</si>
  <si>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</si>
  <si>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</si>
  <si>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</si>
  <si>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</si>
  <si>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</si>
  <si>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</si>
  <si>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</si>
  <si>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</si>
  <si>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</si>
  <si>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</si>
  <si>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</si>
  <si>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</si>
  <si>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</si>
  <si>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</si>
  <si>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</si>
  <si>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</si>
  <si>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</si>
  <si>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</si>
  <si>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</si>
  <si>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</si>
  <si>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</si>
  <si>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</si>
  <si>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</si>
  <si>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</si>
  <si>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</si>
  <si>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</si>
  <si>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</si>
  <si>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</si>
  <si>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</si>
  <si>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</si>
  <si>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</si>
  <si>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</si>
  <si>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</si>
  <si>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</si>
  <si>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</si>
  <si>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</si>
  <si>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</si>
  <si>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</si>
  <si>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</si>
  <si>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</si>
  <si>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</si>
  <si>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</si>
  <si>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</si>
  <si>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</si>
  <si>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</si>
  <si>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</si>
  <si>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</si>
  <si>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</si>
  <si>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</si>
  <si>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</si>
  <si>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</si>
  <si>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</si>
  <si>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</si>
  <si>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</si>
  <si>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</si>
  <si>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</si>
  <si>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</si>
  <si>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</si>
  <si>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</si>
  <si>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</si>
  <si>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</si>
  <si>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</si>
  <si>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</si>
  <si>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</si>
  <si>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</si>
  <si>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</si>
  <si>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</si>
  <si>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</si>
  <si>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</si>
  <si>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</si>
  <si>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</si>
  <si>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</si>
  <si>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</si>
  <si>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</si>
  <si>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</si>
  <si>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</si>
  <si>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</si>
  <si>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</si>
  <si>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</si>
  <si>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</si>
  <si>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</si>
  <si>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</si>
  <si>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</si>
  <si>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</si>
  <si>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</si>
  <si>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</si>
  <si>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</si>
  <si>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</si>
  <si>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</si>
  <si>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</si>
  <si>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</si>
  <si>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</si>
  <si>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</si>
  <si>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</si>
  <si>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</si>
  <si>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</si>
  <si>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</si>
  <si>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</si>
  <si>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</si>
  <si>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</si>
  <si>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</si>
  <si>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</si>
  <si>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</si>
  <si>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</si>
  <si>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</si>
  <si>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</si>
  <si>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</si>
  <si>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</si>
  <si>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</si>
  <si>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</si>
  <si>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</si>
  <si>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</si>
  <si>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</si>
  <si>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</si>
  <si>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</si>
  <si>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</si>
  <si>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</si>
  <si>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</si>
  <si>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</si>
  <si>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</si>
  <si>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</si>
  <si>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</si>
  <si>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</si>
  <si>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</si>
  <si>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</si>
  <si>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</si>
  <si>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</si>
  <si>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</si>
  <si>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</si>
  <si>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</si>
  <si>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</si>
  <si>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</si>
  <si>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</si>
  <si>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</si>
  <si>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</si>
  <si>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</si>
  <si>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</si>
  <si>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</si>
  <si>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</si>
  <si>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</si>
  <si>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</si>
  <si>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</si>
  <si>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</si>
  <si>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</si>
  <si>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</si>
  <si>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</si>
  <si>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</si>
  <si>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</si>
  <si>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</si>
  <si>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</si>
  <si>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</si>
  <si>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</si>
  <si>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</si>
  <si>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</si>
  <si>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</si>
  <si>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</si>
  <si>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</si>
  <si>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</si>
  <si>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</si>
  <si>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</si>
  <si>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</si>
  <si>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</si>
  <si>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</si>
  <si>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</si>
  <si>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</si>
  <si>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</si>
  <si>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</si>
  <si>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</si>
  <si>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</si>
  <si>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</si>
  <si>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</si>
  <si>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</si>
  <si>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</si>
  <si>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</si>
  <si>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</si>
  <si>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</si>
  <si>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</si>
  <si>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</si>
  <si>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</si>
  <si>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</si>
  <si>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</si>
  <si>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</si>
  <si>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</si>
  <si>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</si>
  <si>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</si>
  <si>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</si>
  <si>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</si>
  <si>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</si>
  <si>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</si>
  <si>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</si>
  <si>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</si>
  <si>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mobility (entries &amp; exits) + reasons analysis (aggregated)</t>
  </si>
  <si>
    <t>Analysis of where exiting students go and why they leave (if known) AND where entering students come from and why they choose SUSD (if known), segmented by cohort; used as directional choice signal to inform need/demand, strengths to protect, and equity barriers.</t>
  </si>
  <si>
    <t>Enrollment/Data; withdrawal records; exit survey aggregates</t>
  </si>
  <si>
    <t>Internal (aggregate)</t>
  </si>
  <si>
    <t>Cadence: Annual (optional semiannual). Cross-cutting: informs need/demand, equity barriers, portfolio gap hypotheses, and strengths/competitive edge signals.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</si>
  <si>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</si>
  <si>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</si>
  <si>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</si>
  <si>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</si>
  <si>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</si>
  <si>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</si>
  <si>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</si>
  <si>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</si>
  <si>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</si>
  <si>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</si>
  <si>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</si>
  <si>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</si>
  <si>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</si>
  <si>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</si>
  <si>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</si>
  <si>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</si>
  <si>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</si>
  <si>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</si>
  <si>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</si>
  <si>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</si>
  <si>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</si>
  <si>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</si>
  <si>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</si>
  <si>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</si>
  <si>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</si>
  <si>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</si>
  <si>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</si>
  <si>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</si>
  <si>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</si>
  <si>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</si>
  <si>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</si>
  <si>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</si>
  <si>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</si>
  <si>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</si>
  <si>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</si>
  <si>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</si>
  <si>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</si>
  <si>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</si>
  <si>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</si>
  <si>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</si>
  <si>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</si>
  <si>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</si>
  <si>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</si>
  <si>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</si>
  <si>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</si>
  <si>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</si>
  <si>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</si>
  <si>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</si>
  <si>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</si>
  <si>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</si>
  <si>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</si>
  <si>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</si>
  <si>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</si>
  <si>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Public: https://www.susd.org/academics/academic-programs/stem-certified-schools ; https://laguna.susd.org/academics ; https://navajo.susd.org/academics ; https://navajo.susd.org/our-school | Internal: Cognia report; STEM artifacts binder; PD plan;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</si>
  <si>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</si>
  <si>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</si>
  <si>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</si>
  <si>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</si>
  <si>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</si>
  <si>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</si>
  <si>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</si>
  <si>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</si>
  <si>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</si>
  <si>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Public: https://www.susd.org/academics/academic-programs/math-science-academy ; https://www.susd.org/academics/academic-programs/math-science-academy/levels-of-recognition ; https://saguaro.susd.org/academics/math-science-academy ; https://mohave.susd.org/academics/msa ; https://www.susd.org/departments/communications/post-viewer/~board/media-releases/post/mohave-middle-schools-math-science-academy-is-now-open-come-see-whats-possible | Internal: MSA coordinator/distinction coordinator; counseling; Innovation Center logs; course rosters/pathways; CTE/AP/DE records; competition logs; field experience records.</t>
  </si>
  <si>
    <t>MSA-specific.</t>
  </si>
  <si>
    <t>E50</t>
  </si>
  <si>
    <t>MSA program overview (SUSD)</t>
  </si>
  <si>
    <t>District-level Math &amp; Science Academy overview: mission, history (started at Saguaro in 2008), cohort classes, distinction program requirements, competition and field experience expectations.</t>
  </si>
  <si>
    <t>https://www.susd.org/academics/academic-programs/math-science-academy</t>
  </si>
  <si>
    <t>Public</t>
  </si>
  <si>
    <t>MSA (district overview; Saguaro + Mohave).</t>
  </si>
  <si>
    <t>E51</t>
  </si>
  <si>
    <t>MSA Levels of Recognition (SUSD)</t>
  </si>
  <si>
    <t>Details of MSA recognition levels (Academy Member, Academy Scholar, Commended Scholar, Distinguished Graduate) and specific course/competition/service/field experience requirements.</t>
  </si>
  <si>
    <t>https://www.susd.org/academics/academic-programs/math-science-academy/levels-of-recognition</t>
  </si>
  <si>
    <t>MSA (recognition/distinction requirements).</t>
  </si>
  <si>
    <t>E52</t>
  </si>
  <si>
    <t>MSA school page (Saguaro HS)</t>
  </si>
  <si>
    <t>Saguaro High School MSA page with mission/inclusivity language, coordinator roles, and links to applications, competitive opportunities, recognition requirements, and documentation forms.</t>
  </si>
  <si>
    <t>https://saguaro.susd.org/academics/math-science-academy</t>
  </si>
  <si>
    <t>MSA (Saguaro implementation).</t>
  </si>
  <si>
    <t>E53</t>
  </si>
  <si>
    <t>MSA school page (Mohave MS)</t>
  </si>
  <si>
    <t>Mohave Middle School MSA page describing launch, STEM learning experiences, Innovation Center resources, scholar distinction, accelerated pathways/high school credit, and transition to Saguaro MSA.</t>
  </si>
  <si>
    <t>https://mohave.susd.org/academics/msa</t>
  </si>
  <si>
    <t>MSA (Mohave implementation).</t>
  </si>
  <si>
    <t>E54</t>
  </si>
  <si>
    <t>Mohave MSA launch media release (SUSD)</t>
  </si>
  <si>
    <t>District communications post announcing Mohave MSA opening (SY25–26), describing program features and community open house.</t>
  </si>
  <si>
    <t>https://www.susd.org/departments/communications/post-viewer/~board/media-releases/post/mohave-middle-schools-math-science-academy-is-now-open-come-see-whats-possible</t>
  </si>
  <si>
    <t>MSA (Mohave launch; context for demand/comms).</t>
  </si>
  <si>
    <t>E55</t>
  </si>
  <si>
    <t>MSA competitive opportunities (Saguaro)</t>
  </si>
  <si>
    <t>Lists of STEM competitions and opportunities (e.g., AMC, Chemistry Olympiad, AzSEF, CyberPatriot) and related documentation expectations.</t>
  </si>
  <si>
    <t>https://saguaro.susd.org/academics/math-science-academy/msa-competitive-opportunities</t>
  </si>
  <si>
    <t>MSA (student experience; enrichment/competitions).</t>
  </si>
  <si>
    <t>E56</t>
  </si>
  <si>
    <t>MSA field experience &amp; internships (Saguaro)</t>
  </si>
  <si>
    <t>Upperclassmen capstone/field experience guidance + program of study application details; indicates competition requirements and logging.</t>
  </si>
  <si>
    <t>https://saguaro.susd.org/academics/math-science-academy/juniors</t>
  </si>
  <si>
    <t>MSA (capstone/field experience; competitions).</t>
  </si>
  <si>
    <t>E57</t>
  </si>
  <si>
    <t>MSA Coordinator role description (external posting)</t>
  </si>
  <si>
    <t>Job posting describing MSA coordinator responsibilities and Innovation Center maker-space equipment; useful for understanding staffing/operations and facilities.</t>
  </si>
  <si>
    <t>https://scottsdale.tedk12.com/hire/Admin/JobPostingPrintView.aspx?Internal=&amp;JobID=11116</t>
  </si>
  <si>
    <t>MSA (operations/staffing/facilities).</t>
  </si>
  <si>
    <t>E58</t>
  </si>
  <si>
    <t>STEM Certified Schools overview (SUSD)</t>
  </si>
  <si>
    <t>District overview of Cognia STEM-accredited schools (Laguna, Navajo, Saguaro) and certification process (four domains; peer observations; artifacts).</t>
  </si>
  <si>
    <t>https://www.susd.org/academics/academic-programs/stem-certified-schools</t>
  </si>
  <si>
    <t>STEAM/STEM Certified Schools.</t>
  </si>
  <si>
    <t>E59</t>
  </si>
  <si>
    <t>Laguna Academics (Cognia STEM + programs)</t>
  </si>
  <si>
    <t>Laguna academics page: Cognia STEM certification description + unique programs list (e.g., makerspace, science club/fair, robotics/coding).</t>
  </si>
  <si>
    <t>https://laguna.susd.org/academics</t>
  </si>
  <si>
    <t>STEAM (Laguna).</t>
  </si>
  <si>
    <t>E60</t>
  </si>
  <si>
    <t>Navajo Academics (Cognia STEM + STEAM + programs)</t>
  </si>
  <si>
    <t>Navajo academics page: Cognia STEM certification description; STEAM definition; program list (e.g., enrichment clubs, early bird, after-school partnership).</t>
  </si>
  <si>
    <t>https://navajo.susd.org/academics</t>
  </si>
  <si>
    <t>STEAM (Navajo).</t>
  </si>
  <si>
    <t>E61</t>
  </si>
  <si>
    <t>Navajo Our School (culture + partnerships)</t>
  </si>
  <si>
    <t>Navajo 'Our School' page: emphasis on 4Cs, Innovators Lab, partnerships (incl. Saguaro MSA) and family engagement events (e.g., Family STEAM nights).</t>
  </si>
  <si>
    <t>https://navajo.susd.org/our-school</t>
  </si>
  <si>
    <t>STEAM (Navajo culture/stakeholder engagement).</t>
  </si>
  <si>
    <t>E62</t>
  </si>
  <si>
    <t>SUSD STEM K–12 overview</t>
  </si>
  <si>
    <t>District STEM K–12 page describing STEM learning experiences and district approach/resources.</t>
  </si>
  <si>
    <t>https://www.susd.org/stem-k12</t>
  </si>
  <si>
    <t>District STEM landscape context; STEAM relevance.</t>
  </si>
  <si>
    <t>E63</t>
  </si>
  <si>
    <t>Cognia STEM certification standards (reference)</t>
  </si>
  <si>
    <t>External reference for what Cognia STEM certification entails (overview + standards/performance guidance).</t>
  </si>
  <si>
    <t>https://www.cognia.org/stem-certification/ ; https://www.cognia.org/wp-content/uploads/2022/08/Performance-Standards-for-STEM.pdf</t>
  </si>
  <si>
    <t>Reference/benchmark for STEM certification evidence expectations.</t>
  </si>
  <si>
    <t>E64</t>
  </si>
  <si>
    <t>MSA Initial Application (cohort placement)</t>
  </si>
  <si>
    <t>Google Form for initial membership and optional cohort placement; includes student focus area selection and booster email opt-in/out.</t>
  </si>
  <si>
    <t>https://docs.google.com/forms/d/e/1FAIpQLScB0u8R3BUTkTAL3jTyQrvIOOSS-1JBGtRVGCLpTio2sONRSQ/viewform?usp=pp_url</t>
  </si>
  <si>
    <t>Public (form content visible)</t>
  </si>
  <si>
    <t>MSA (implementation: intake, cohort scheduling, family comms).</t>
  </si>
  <si>
    <t>E65</t>
  </si>
  <si>
    <t>MSA Scholar / Commended Scholar / Distinction Application (upperclassman)</t>
  </si>
  <si>
    <t>Google Form for upperclassman recognition pathway; captures competitions, field experience, community service, and meeting request for Program of Study.</t>
  </si>
  <si>
    <t>https://docs.google.com/forms/d/e/1FAIpQLSeqaU6FJP4EKRoI_NkhfIZ-zFd_EH24u2R0b5fE1xMi6SlJ8Q/viewform?usp=pp_url</t>
  </si>
  <si>
    <t>MSA (implementation: progression/recognition requirements, advising).</t>
  </si>
  <si>
    <t>E66</t>
  </si>
  <si>
    <t>MSA Student &amp; Parent Information Meeting flyer (Nov 2024)</t>
  </si>
  <si>
    <t>Flyer describing information meeting covering cohort application, levels of recognition, and Commended Scholar/Distinguished Graduate application process; hosted in Saguaro Innovation Center.</t>
  </si>
  <si>
    <t>https://www.susd.org/fs/resource-manager/view/fba819f9-911a-4b9c-bedb-ede911bb88fe</t>
  </si>
  <si>
    <t>MSA (stakeholder communication + implementation supports).</t>
  </si>
  <si>
    <t>E67</t>
  </si>
  <si>
    <t>Saguaro HS School Profile PDF (2022–23) — includes MSA description</t>
  </si>
  <si>
    <t>School profile includes MSA student counts, senior cohort/candidates for distinction, and narrative describing MSA course load, Innovation Center access, Cognia STEM certification, recognition requirements, and examples of field experiences.</t>
  </si>
  <si>
    <t>https://saguaro.susd.org/fs/resource-manager/view/d02ac368-f793-4ac1-8232-2548c994d06c</t>
  </si>
  <si>
    <t>MSA (baseline scale + implementation features); also STEM certification context.</t>
  </si>
  <si>
    <t>E68</t>
  </si>
  <si>
    <t>Governing Board meeting minutes recognizing Laguna &amp; Navajo Cognia STEM certification (May 24, 2022)</t>
  </si>
  <si>
    <t>Board minutes include recognition that Laguna and Navajo were awarded Cognia STEM certified school status.</t>
  </si>
  <si>
    <t>https://www.susd.org/fs/resource-manager/view/84349add-81d3-4ede-946c-730f3ecfe751</t>
  </si>
  <si>
    <t>STEM/STEAM (governance recognition; credibility).</t>
  </si>
  <si>
    <t>E69</t>
  </si>
  <si>
    <t>Saguaro HS Academics page — Cognia STEM Certified School + Innovation Center</t>
  </si>
  <si>
    <t>Saguaro Academics page describes Cognia STEM certification review (4 domains; artifacts), identifies Innovation Center, and links to MSA.</t>
  </si>
  <si>
    <t>https://saguaro.susd.org/academics</t>
  </si>
  <si>
    <t>STEM/STEAM + MSA (schoolwide system alignment).</t>
  </si>
  <si>
    <t>E70</t>
  </si>
  <si>
    <t>Laguna Elementary STEAM profile story/video index</t>
  </si>
  <si>
    <t>School story page highlighting STEAM identity and linking to district-produced video/podcast content; useful for communications and stakeholder engagement evidence.</t>
  </si>
  <si>
    <t>https://laguna.susd.org/our-school/our-stories</t>
  </si>
  <si>
    <t>STEAM (communications / stakeholder engagement).</t>
  </si>
  <si>
    <t>E71</t>
  </si>
  <si>
    <t>Navajo Elementary STEAM program story/video index</t>
  </si>
  <si>
    <t>School story page linking to STEAM program video; useful for describing program model and communications evidence.</t>
  </si>
  <si>
    <t>https://navajo.susd.org/our-school/our-stories</t>
  </si>
  <si>
    <t>E72</t>
  </si>
  <si>
    <t>SUSD STEM K–12 page (overview)</t>
  </si>
  <si>
    <t>District page describing STEM schools and Cognia STEM accreditation; overlaps with STEM Certified Schools page but framed in K–12 innovation context.</t>
  </si>
  <si>
    <t>STEM/STEAM (district narrative/strategy).</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</si>
  <si>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</si>
  <si>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</si>
  <si>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</si>
  <si>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</si>
  <si>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</si>
  <si>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</si>
  <si>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</si>
  <si>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</si>
  <si>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</si>
  <si>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</si>
  <si>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</si>
  <si>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</si>
  <si>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</si>
  <si>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</si>
  <si>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</si>
  <si>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</si>
  <si>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</si>
  <si>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</si>
  <si>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</si>
  <si>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</si>
  <si>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</si>
  <si>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</si>
  <si>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</si>
  <si>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</si>
  <si>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Certification/implementation measures are current; fidelity data collected; student progress indicators tracked and acted upon.</t>
  </si>
  <si>
    <t>AVID evidence base and implementation model artifacts if applicable.</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</si>
  <si>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</si>
  <si>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</si>
  <si>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</si>
  <si>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</si>
  <si>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</si>
  <si>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</si>
  <si>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</si>
  <si>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</si>
  <si>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</si>
  <si>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</si>
  <si>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</si>
  <si>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</si>
  <si>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</si>
  <si>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</si>
  <si>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</si>
  <si>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</si>
  <si>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Public: https://www.susd.org/academics/academic-programs/math-science-academy ; https://www.susd.org/academics/academic-programs/math-science-academy/levels-of-recognition ; https://saguaro.susd.org/academics/math-science-academy ; https://mohave.susd.org/academics/msa ; https://saguaro.susd.org/academics/math-science-academy/juniors | Internal: MSA coordinator/distinction coordinator; course rosters/pathways; competition/field experience logs</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</si>
  <si>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</si>
  <si>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</si>
  <si>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</si>
  <si>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</si>
  <si>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</si>
  <si>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</si>
  <si>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</si>
  <si>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</si>
  <si>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</si>
  <si>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</si>
  <si>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</si>
  <si>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</si>
  <si>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</si>
  <si>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</si>
  <si>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</si>
  <si>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</si>
  <si>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</si>
  <si>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</si>
  <si>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</si>
  <si>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</si>
  <si>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</si>
  <si>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</si>
  <si>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</si>
  <si>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</si>
  <si>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</si>
  <si>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</si>
  <si>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</si>
  <si>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</si>
  <si>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</si>
  <si>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</si>
  <si>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</si>
  <si>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</si>
  <si>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</si>
  <si>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</si>
  <si>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</si>
  <si>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</si>
  <si>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</si>
  <si>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</si>
  <si>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</si>
  <si>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</si>
  <si>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</si>
  <si>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</si>
  <si>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</si>
  <si>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</si>
  <si>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</si>
  <si>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</si>
  <si>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</si>
  <si>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</si>
  <si>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</si>
  <si>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</si>
  <si>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</si>
  <si>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</si>
  <si>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</si>
  <si>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</si>
  <si>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</si>
  <si>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</si>
  <si>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</si>
  <si>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</si>
  <si>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</si>
  <si>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</si>
  <si>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</si>
  <si>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</si>
  <si>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</si>
  <si>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</si>
  <si>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</si>
  <si>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</si>
  <si>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</si>
  <si>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</si>
  <si>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</si>
  <si>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</si>
  <si>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</si>
  <si>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</si>
  <si>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</si>
  <si>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</si>
  <si>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</si>
  <si>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</si>
  <si>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</si>
  <si>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</si>
  <si>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</si>
  <si>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</si>
  <si>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Mission/strategic alignment is explicit; target outcomes and target population are clear.</t>
  </si>
  <si>
    <t>Public evidence; does not substitute for needs data/outcome data.</t>
  </si>
  <si>
    <t>STEAM / STEM Certified Schools</t>
  </si>
  <si>
    <t>Program purpose and alignment are explicit; describes certification framework and domains.</t>
  </si>
  <si>
    <t>Public evidence; does not substitute for site-level outcome data.</t>
  </si>
  <si>
    <t>Evidence of inclusive access and supports; benefits beyond enrolled cohort are described.</t>
  </si>
  <si>
    <t>Need confirmation of supports for SPED/EL and barriers (transport, advising).</t>
  </si>
  <si>
    <t>Evidence that program is part of core school experience; references enrichment/supports.</t>
  </si>
  <si>
    <t>Need subgroup outcome data + explicit access supports.</t>
  </si>
  <si>
    <t>Facilities/tech needs are described at a high level (Innovation Center, robotics/coding/3D printing).</t>
  </si>
  <si>
    <t>Need inventory + maintenance cost model.</t>
  </si>
  <si>
    <t>Roles/qualifications and operational responsibilities are explicitly defined.</t>
  </si>
  <si>
    <t>Need current staffing plan + workload distribution.</t>
  </si>
  <si>
    <t>Timeline is communicated; launch milestones and stakeholder outreach are visible.</t>
  </si>
  <si>
    <t>Need internal project plan and pilot/rollout lessons learned.</t>
  </si>
  <si>
    <t>Community/industry partnerships are explicit and active (liaison role).</t>
  </si>
  <si>
    <t>Need partner list + partnership outcomes.</t>
  </si>
  <si>
    <t>Example of public communication; open house and program details shared transparently.</t>
  </si>
  <si>
    <t>Need ongoing comms plan + feedback loop.</t>
  </si>
  <si>
    <t>Program expectations and student requirements are clear and concrete.</t>
  </si>
  <si>
    <t>Need clarity on how requirements are supported and monitored.</t>
  </si>
  <si>
    <t>Families can understand certification and high-level program framing.</t>
  </si>
  <si>
    <t>Need site-specific program descriptions and outcomes summary.</t>
  </si>
  <si>
    <t>Evidence of family/community engagement mechanisms (events, newsletters).</t>
  </si>
  <si>
    <t>Need systematic stakeholder feedback and participation rates.</t>
  </si>
  <si>
    <t>MSA (Saguaro + Mohave)</t>
  </si>
  <si>
    <t>Public-facing application materials explain options clearly (cohort vs non-cohort), contact paths, and expectations; updated for current year.</t>
  </si>
  <si>
    <t>Communication artifact; does not substitute for access/equity participation data.</t>
  </si>
  <si>
    <t>Families can understand program specifics from the application (areas of focus, cohort option) and know how to get questions answered.</t>
  </si>
  <si>
    <t>MSA (Saguaro)</t>
  </si>
  <si>
    <t>Regular family-facing info sessions and/or guidance materials; clear entry points for questions; evidence of booster/community supports.</t>
  </si>
  <si>
    <t>Clear, consistent communications (meeting invites, flyers) that explain program pathways and processes.</t>
  </si>
  <si>
    <t>Recognition process is documented; requirements (competitions, field experience, service) + advising step are explicit.</t>
  </si>
  <si>
    <t>Good for understanding recognition pathways.</t>
  </si>
  <si>
    <t>Roles/responsibilities are clear (coordinator meeting for program of study) and documented.</t>
  </si>
  <si>
    <t>Program tracks key participation/progression measures (member counts; distinction candidates) and uses them for annual update planning.</t>
  </si>
  <si>
    <t>For baseline: capture metrics; do not over-interpret as outcomes without internal data.</t>
  </si>
  <si>
    <t>STEAM (Laguna)</t>
  </si>
  <si>
    <t>Public-facing content describes the STEAM identity and makes it easy for families to learn more.</t>
  </si>
  <si>
    <t>STEAM (Navajo)</t>
  </si>
  <si>
    <t>STEM Certified Schools (Laguna + Navajo)</t>
  </si>
  <si>
    <t>Certification framing clearly explains what STEM certification means (domains/standards) and what it looks like at the sites.</t>
  </si>
  <si>
    <t>STEAM/STEM (Laguna + Navajo)</t>
  </si>
  <si>
    <t>Governance recognition reinforces visibility and coherence; supports sustainability narrative.</t>
  </si>
  <si>
    <t>Governance signal rather than implementation evidence.</t>
  </si>
  <si>
    <t>Cognia certification implies a structured evidence process (peer observations + artifacts); capture how it is maintained annually.</t>
  </si>
  <si>
    <t>SUSD sites / grades</t>
  </si>
  <si>
    <t>Purpose / value proposition</t>
  </si>
  <si>
    <t>Signature components</t>
  </si>
  <si>
    <t>Entry / participation</t>
  </si>
  <si>
    <t>Notable student outcomes / credentials</t>
  </si>
  <si>
    <t>Primary source URLs</t>
  </si>
  <si>
    <t>External review / accreditation (if any)</t>
  </si>
  <si>
    <t>SUSD program sponsor / contact (TBD)</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</si>
  <si>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</si>
  <si>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</si>
  <si>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</si>
  <si>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</si>
  <si>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</si>
  <si>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</si>
  <si>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</si>
  <si>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IB authorization + periodic IB evaluation/visits (leverage existing cycle; avoid duplicate review).</t>
  </si>
  <si>
    <t>Math &amp; Science Academy (MSA)</t>
  </si>
  <si>
    <t>Saguaro HS (SMSA est. May 2008; grades 9–12)
Mohave MS (MSA launch/expansion; grades 6–8; SY2025–26)</t>
  </si>
  <si>
    <t>STEM-focused pathway with cohort/community supports + advanced coursework, competitions, and capstone field experience.
Aims to prepare students for competitive postsecondary STEM programs; also provides an 'open forum' of opportunities for broader student benefit.</t>
  </si>
  <si>
    <t>HS (Saguaro):
• Fresh/Soph cohort classes grouped in Math/Science/English with enhanced instruction (labs, speakers, field trips, critical thinking, technical writing)
• Upperclass distinction pathway with defined course expectations, competitions, community service, and STEM-related field experience/mentorship/research project
• Recognition levels (Member / Scholar / Commended Scholar / Distinguished Graduate)
• Competitive opportunities (examples include AMC, Science Olympiad, Science Bowl, Robotics, etc.)
MS (Mohave):
• STEM learning experiences + Innovation Center maker-space resources (e.g., robotics, coding, 3D printing)
• Scholar distinction program + accelerated pathways (incl. HS credit opportunities)
• Designed as a feeder/transition path toward Saguaro SMSA (confirm details).</t>
  </si>
  <si>
    <t>Saguaro HS: student application + recognition/distinction applications; includes competitive opportunity documentation.
Mohave MS: enrollment/application process (public page suggests inclusive opportunity for all Mohave students; clarify selection criteria).
Note: confirm transportation, eligibility, and open enrollment mechanics.</t>
  </si>
  <si>
    <t>Defined recognition/distinction requirements (courses, GPA thresholds, competitions, field experience) documented publicly; evidence suggests STEM portfolio/capstone expectations.
Need internal outcome data (enrollment/demographics, course-taking, AP/DE, college outcomes) for rubric scoring.</t>
  </si>
  <si>
    <t>District MSA overview: https://www.susd.org/academics/academic-programs/math-science-academy
Levels of Recognition: https://www.susd.org/academics/academic-programs/math-science-academy/levels-of-recognition
Saguaro MSA page + quick links: https://saguaro.susd.org/academics/math-science-academy
MSA initial application (Google Form): https://docs.google.com/forms/d/e/1FAIpQLScB0u8R3BUTkTAL3jTyQrvIOOSS-1JBGtRVGCLpTio2sONRSQ/viewform?usp=pp_url
MSA upperclassman recognition application (Google Form): https://docs.google.com/forms/d/e/1FAIpQLSeqaU6FJP4EKRoI_NkhfIZ-zFd_EH24u2R0b5fE1xMi6SlJ8Q/viewform?usp=pp_url
MSA Student/Parent info flyer (PDF): https://www.susd.org/fs/resource-manager/view/fba819f9-911a-4b9c-bedb-ede911bb88fe
Saguaro school profile PDF (2022–23): https://saguaro.susd.org/fs/resource-manager/view/d02ac368-f793-4ac1-8232-2548c994d06c
Mohave MSA page: https://mohave.susd.org/academics/msa
Mohave district MSA page: https://www.susd.org/academics/academic-programs/math-science-academy/mohave-middle-school</t>
  </si>
  <si>
    <t>Saguaro HS is Cognia STEM certified (school-level accreditation); clarify how/if SMSA is included in scope.
Mohave MSA noted as progressing toward Cognia STEM certification (confirm).</t>
  </si>
  <si>
    <t>TBD (likely site leadership + SMSA coordinator/distinction coordinator; request from Lea).</t>
  </si>
  <si>
    <t>Laguna ES (Early Learning–5th) — Cognia STEM certified
Navajo ES (K–5) — Cognia STEM certified
(Note: Saguaro HS also Cognia STEM certified; separate from elementary STEAM sites.)</t>
  </si>
  <si>
    <t>Inquiry-based STEM/STEAM learning with real-world problem solving; emphasis on critical thinking, creativity, collaboration, and future-ready skills.
External validation via Cognia STEM certification process (school-level).</t>
  </si>
  <si>
    <t>Cognia STEM certification framework (school-level): scored in 4 domains (STEM community, STEM learning culture, STEM student experiences, STEM outcomes).
Laguna examples: makerspace; science club/lab &amp; schoolwide science fair; robotics/lego/coding; arts integration/partnerships.
Navajo examples: STEAM definition + hands-on design thinking; enrichment clubs; Innovators Lab; family STEAM nights; low/no-cost before/after-school supports (per site pages).</t>
  </si>
  <si>
    <t>Neighborhood attendance boundaries + open enrollment (confirm specifics for each site).
Site pages reference before/after-school supports (some low/no cost).</t>
  </si>
  <si>
    <t>Cognia STEM certification (school-level) earned at both Laguna and Navajo; certification process includes peer observations + artifacts demonstrating proficiency in 16 STEM standards.
Need internal achievement/engagement outcome data by subgroup for rubric scoring.</t>
  </si>
  <si>
    <t>STEM Certified Schools overview (Laguna, Navajo, Saguaro): https://www.susd.org/academics/academic-programs/stem-certified-schools
Laguna academics: https://laguna.susd.org/academics
Navajo academics: https://navajo.susd.org/academics
Laguna STEAM story: https://laguna.susd.org/our-school/our-stories
Navajo STEAM story: https://navajo.susd.org/our-school/our-stories
Board minutes recognition (May 24, 2022): https://www.susd.org/fs/resource-manager/view/84349add-81d3-4ede-946c-730f3ecfe751
District STEM K–12 overview: https://www.susd.org/stem-k12</t>
  </si>
  <si>
    <t>Cognia STEM certification process (scored in four domains; proficiency in 16 Cognia STEM standards; peer observations + artifacts). Board minutes (May 24, 2022) recognized Laguna &amp; Navajo as Cognia STEM certified.</t>
  </si>
  <si>
    <t>TBD (likely site principals + district STEM lead; request from Lea).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</si>
  <si>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</si>
  <si>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</si>
  <si>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</si>
  <si>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</si>
  <si>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</si>
  <si>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</si>
  <si>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</si>
  <si>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</si>
  <si>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</si>
  <si>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</si>
  <si>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</si>
  <si>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</si>
  <si>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</si>
  <si>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</si>
  <si>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</si>
  <si>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</si>
  <si>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</si>
  <si>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</si>
  <si>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</si>
  <si>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</si>
  <si>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</si>
  <si>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</si>
  <si>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</si>
  <si>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</si>
  <si>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</si>
  <si>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</si>
  <si>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</si>
  <si>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</si>
  <si>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</si>
  <si>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</si>
  <si>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</si>
  <si>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</si>
  <si>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</si>
  <si>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</si>
  <si>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</si>
  <si>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</si>
  <si>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</si>
  <si>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</si>
  <si>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District/program overview: SMSA focuses on STEM; started at Saguaro HS in May 2008 with program design informed by expectations from strong STEM colleges/universities. Program includes cohort classes (9/10) and an upperclass distinction pathway; also frames an 'open forum' so STEM opportunities can benefit broader Saguaro students. Mohave MS is launching an MSA implementation (SY25–26) as a STEM pipeline.</t>
  </si>
  <si>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</si>
  <si>
    <t>Sites/grades: Saguaro HS SMSA (grades 9–12; operating since 2008) + Mohave MS MSA (grades 6–8; launch/expansion SY25–26). Mohave version is described as a feeder/transition path toward Saguaro’s SMSA (confirm articulation).</t>
  </si>
  <si>
    <t>Core design elements (publicly documented):
• Cohort grouping in math/science/English for 9th/10th with enhanced instruction (labs, speakers, field trips, critical thinking, technical writing).
• Upperclass distinction/recognition pathway with defined course expectations, GPA thresholds, competitions, community service, and STEM-related capstone field experience/mentorship/research project.
• Competitive opportunities list (examples: AMC, Chemistry Olympiad, AzSEF, CyberPatriot, etc.).
Mohave design: STEM learning experiences leveraging Innovation Center maker-space resources (robotics, coding, 3D printing), scholar distinction, accelerated pathways (incl. HS credit opportunities), and CTE connections (confirm details).</t>
  </si>
  <si>
    <t>Entry/enrollment &amp; access: Public pages reference student applications (initial + upperclass program of study) and documentation forms; however, full selection criteria and equity safeguards are not fully visible in public sources. District page emphasizes inclusivity via an 'open forum' (opportunities for broader Saguaro students). Mohave page emphasizes inclusive opportunity for all Mohave students; confirm if there is any selection, transportation constraints, or open-enrollment rules.</t>
  </si>
  <si>
    <t>Student experience &amp; requirements: Recognition levels (Member/Scholar/Commended Scholar/Distinguished Graduate) specify expectations for cohort participation, approved STEM coursework, competitions, community service, and STEM field experience/research/mentorship. Saguaro pages show requirement to compete in minimum # of competitions and provide field experience/internship guidance for juniors (some forms are internal/Drive).</t>
  </si>
  <si>
    <t>Common measures / evidence to gather (for rubric scoring):
• Enrollment &amp; demographics (including open enrollment vs boundary; subgroups).
• Course-taking patterns (honors/AP/DE/CTE); HS credit earned in MS.
• Competition participation &amp; field experience completion rates.
• Achievement/growth (state assessments; course grades); postsecondary STEM persistence indicators where feasible.
• Staffing model &amp; workload; Innovation Center utilization.
• Costs (materials/tech upkeep, staffing) and funding sources.
• Family/student satisfaction + access barriers.</t>
  </si>
  <si>
    <t>Open questions: What are explicit success metrics for MSA at MS and HS levels? What is the selection process (if any) and how is equitable access ensured (transportation, advising, supports)? What are costs and ongoing resource needs (Innovation Center equipment, staffing, maintenance)? How does Mohave MSA articulate into Saguaro SMSA (pathway expectations, priority, counseling)? What internal outcome data already exists (course-taking, AP/DE, STEM credentialing, postsecondary outcomes)?</t>
  </si>
  <si>
    <t>STEAM / STEM Certified Schools (Laguna, Navajo)</t>
  </si>
  <si>
    <t>Laguna ES and Navajo ES are Cognia STEM-certified campuses (district also lists Saguaro HS as STEM certified). Certification is described as a rigorous review with peer observations and artifacts, scored across 4 domains: STEM community, STEM learning culture, STEM student experiences, and STEM outcomes.</t>
  </si>
  <si>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</si>
  <si>
    <t>Sites/grades: Laguna ES (Early Learning–5th) + Navajo ES (K–5). Both are identified publicly as Cognia STEM-certified.</t>
  </si>
  <si>
    <t>Core design elements (site examples):
Laguna: Cognia STEM certification; makerspace; science lab/club and schoolwide science fair; robotics/lego/coding; arts integration/partnerships.
Navajo: Cognia STEM-accredited; STEAM framing and hands-on learning; enrichment clubs; Innovators Lab; emphasis on '4 Cs'; family STEAM nights.
(Need to clarify what is core/non-negotiable vs optional enrichments, and what 'STEAM' means in the two implementations.)</t>
  </si>
  <si>
    <t>Entry/enrollment &amp; access: Appears to be delivered as part of each school’s core program. Confirm open-enrollment mechanics, transportation, and how access/communication is handled for families across the district. Navajo site references before/after-school supports (some low/no cost) which may affect access and participation.</t>
  </si>
  <si>
    <t>Student experience &amp; requirements: Public pages describe hands-on STEM/STEAM learning and enrichment (e.g., robotics, coding, science fair, makerspace) but do not provide detailed performance outcomes. Certification implies evidence of student experiences and outcomes was reviewed, but review artifacts/results are not publicly available (request Cognia report summary).</t>
  </si>
  <si>
    <t>Common measures / evidence to gather: Enrollment and demographics (subgroups); achievement/growth; participation in STEM enrichment; STEM instructional practice indicators; certification maintenance requirements (re-cert timeline, artifacts, PD); stakeholder perception; resource needs for labs/materials; equity/access barriers (incl. transportation).</t>
  </si>
  <si>
    <t>Open questions: What exactly is the STEAM model at each site (esp. role of Arts integration)? What are site-specific success metrics and outcome trends? What are the ongoing requirements and costs to maintain Cognia STEM certification (artifacts, PD, recert cycle)? How are benefits realized across subgroups (equity/access)?</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</si>
  <si>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</si>
  <si>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</si>
  <si>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</si>
  <si>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</si>
  <si>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</si>
  <si>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</si>
  <si>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</si>
  <si>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</si>
  <si>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</si>
  <si>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</si>
  <si>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</si>
  <si>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</si>
  <si>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</si>
  <si>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</si>
  <si>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</si>
  <si>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</si>
  <si>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</si>
  <si>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</si>
  <si>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</si>
  <si>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</si>
  <si>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</si>
  <si>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</si>
  <si>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</si>
  <si>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</si>
  <si>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</si>
  <si>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</si>
  <si>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</si>
  <si>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</si>
  <si>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</si>
  <si>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</si>
  <si>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</si>
  <si>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</si>
  <si>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</si>
  <si>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</si>
  <si>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</si>
  <si>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</si>
  <si>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Saguaro HS (est. 2008; HS cohort + distinction); Mohave MS (MSA expansion planned 2025–26 for grades 6–8)</t>
  </si>
  <si>
    <t>Implementation baseline: current-year program description by site (Saguaro vs Mohave), schedule model (cohort blocks/electives), Innovation Center access model.
Roles &amp; supports: coordinator/advisor responsibilities, counseling workflow, staff PD/supports, family comms cadence.
Participation &amp; equity: enrollment counts by subgroup + cohort participation; Mohave (new) participation; access supports.
Student experience tracking: competitions participation, distinction completion, field experience completion (counts + process).
Annual update KPIs: agreed metrics + cadence + data owner.</t>
  </si>
  <si>
    <t>Be careful not to blend mature Saguaro HS evidence with newly launched Mohave MS implementation; focus on implementation + system alignment per Ms. Mitchell guidance.</t>
  </si>
  <si>
    <t>Laguna ES (Early Learning–5th); Navajo ES (K–5) — both Cognia STEM certified (district uses STEM certification framing).</t>
  </si>
  <si>
    <t>Implementation baseline by site: what is core STEAM/STEM model (instructional integration) vs optional enrichment; schedule model (lab/makerspace use).
Cognia STEM certification maintenance: latest certification reports/score summaries, annual action plan, evidence/artefact process.
Roles &amp; supports: STEM/STEAM lead roles, teacher planning time, PD supports, equipment maintenance.
Participation &amp; equity: student access to labs/projects by subgroup; EL/SPED accommodations in project work.
Annual update KPIs: agreed metrics + cadence + data owner.</t>
  </si>
  <si>
    <t>Public sources strongly describe certification process; internal Cognia reports and annual KPI routines are likely the key evidence gaps for baseline sustainability/coherence.</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</si>
  <si>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</si>
  <si>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</si>
  <si>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</si>
  <si>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</si>
  <si>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</si>
  <si>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</si>
  <si>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</si>
  <si>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</si>
  <si>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</si>
  <si>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</si>
  <si>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</si>
  <si>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</si>
  <si>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</si>
  <si>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</si>
  <si>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</si>
  <si>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</si>
  <si>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</si>
  <si>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</si>
  <si>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</si>
  <si>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</si>
  <si>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</si>
  <si>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</si>
  <si>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</si>
  <si>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</si>
  <si>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</si>
  <si>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</si>
  <si>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</si>
  <si>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</si>
  <si>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</si>
  <si>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</si>
  <si>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Charter (in progress / TBD)</t>
  </si>
  <si>
    <t>Need to confirm sponsor, scope, and required outputs.</t>
  </si>
  <si>
    <t>Governance &amp; intake channels (how program ideas may enter SPARK and move through stages)</t>
  </si>
  <si>
    <t>1) Entry channels (examples + typical pathway)</t>
  </si>
  <si>
    <t>Entry channel ID</t>
  </si>
  <si>
    <t>Entry channel</t>
  </si>
  <si>
    <t>Example trigger</t>
  </si>
  <si>
    <t>Who initiates</t>
  </si>
  <si>
    <t>Sponsor / owner</t>
  </si>
  <si>
    <t>Typical / default pathway</t>
  </si>
  <si>
    <t>Notes / guardrails</t>
  </si>
  <si>
    <t>EC-01</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</si>
  <si>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</si>
  <si>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</si>
  <si>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</si>
  <si>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</si>
  <si>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</si>
  <si>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Study may be 'required' but implementation could still be contingent on evidence + constraints.</t>
  </si>
  <si>
    <t>EC-02</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</si>
  <si>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</si>
  <si>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</si>
  <si>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</si>
  <si>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</si>
  <si>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</si>
  <si>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Can use light triage/charter to clarify scope and constraints before deep work.</t>
  </si>
  <si>
    <t>EC-03</t>
  </si>
  <si>
    <t>Community interest / petition</t>
  </si>
  <si>
    <t>Parents/community request specialized programming</t>
  </si>
  <si>
    <t>Families/community groups (via district intake)</t>
  </si>
  <si>
    <t>District sponsor needed before full review</t>
  </si>
  <si>
    <t>Intake Form → Triage (screen) → (if needed) Concept Study or Full Review</t>
  </si>
  <si>
    <t>Can aim to ensure transparent criteria and equity/access design; avoid duplicate proposals by routing through portfolio landscape priorities.</t>
  </si>
  <si>
    <t>EC-04</t>
  </si>
  <si>
    <t>School/site proposal</t>
  </si>
  <si>
    <t>A group of teachers proposes a signature program</t>
  </si>
  <si>
    <t>Site leader / school team</t>
  </si>
  <si>
    <t>Principal + district sponsor</t>
  </si>
  <si>
    <t>Intake Form → Triage → Full Review</t>
  </si>
  <si>
    <t>Clarify staffing/facilities impacts and sustainability; check what is site-specific vs scalable across sites.</t>
  </si>
  <si>
    <t>EC-05</t>
  </si>
  <si>
    <t>Grant or partner-driven opportunity</t>
  </si>
  <si>
    <t>External partner funding/program offer</t>
  </si>
  <si>
    <t>District department / grants office / partner</t>
  </si>
  <si>
    <t>District sponsor + finance review</t>
  </si>
  <si>
    <t>Fast Triage → Full Review (or limited pilot) with conditions</t>
  </si>
  <si>
    <t>Funding is important, but it would not be the only criterion; would want to clarify e.g. evaluation plan and sustainability after grant ends.</t>
  </si>
  <si>
    <t>EC-06</t>
  </si>
  <si>
    <t>Informal idea / email (no proposal yet)</t>
  </si>
  <si>
    <t>Staff member or community member shares an idea via email or conversation without a full proposal.</t>
  </si>
  <si>
    <t>Anyone</t>
  </si>
  <si>
    <t>None required at this stage (SPARK helps identify sponsor if promoted)</t>
  </si>
  <si>
    <t>Light Idea Submission → Idea Log → Pre‑Triage screen → (if promoted) Triage / Concept Study / Full Intake</t>
  </si>
  <si>
    <t>EC-07</t>
  </si>
  <si>
    <t>SPARK-identified gap (Landscape Assessment)</t>
  </si>
  <si>
    <t>Portfolio might show unmet need/opportunity in a segment</t>
  </si>
  <si>
    <t>SPARK committee / Program Review team</t>
  </si>
  <si>
    <t>Assigned sponsor for concept development</t>
  </si>
  <si>
    <t>Concept Study / Feasibility Scan</t>
  </si>
  <si>
    <t>Could contribute to a proactive intake capability for SPARK (to go with reactive to proposals.</t>
  </si>
  <si>
    <t>2) Roles &amp; handoffs (high level)</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</si>
  <si>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</si>
  <si>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</si>
  <si>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</si>
  <si>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</si>
  <si>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</si>
  <si>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</si>
  <si>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 xml:space="preserve">Program Review Team </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</si>
  <si>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</si>
  <si>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</si>
  <si>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</si>
  <si>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</si>
  <si>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</si>
  <si>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</si>
  <si>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</si>
  <si>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Feasibility study; staffing/budget inputs; implementation plan drafts</t>
  </si>
  <si>
    <t>Finance/HR/Facilities/Transportation</t>
  </si>
  <si>
    <t>Provide constraint checks and feasibility estimates (resource study).</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</si>
  <si>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</si>
  <si>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</si>
  <si>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</si>
  <si>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</si>
  <si>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</si>
  <si>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</si>
  <si>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</si>
  <si>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</si>
  <si>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If a concept is recommended to proceed, may convert it into the Intake Form + Rubric-based Full Review by producing:</t>
  </si>
  <si>
    <t>- A named program owner/sponsor with authority to resource the work</t>
  </si>
  <si>
    <t>- A clarified model choice (one selected option) and the fundamental / key elements</t>
  </si>
  <si>
    <t>- A preliminary resource plan (staffing, facilities, budget) with key assumptions</t>
  </si>
  <si>
    <t>- A draft evaluation plan (success metrics, benchmarks, review cadence)</t>
  </si>
  <si>
    <t>- A documented access and equity design (who benefits, barriers, etc.)</t>
  </si>
  <si>
    <t>- A communications/stakeholder engagement plan</t>
  </si>
  <si>
    <t>4) Standard response 'tools' (supporting consistent handling of emails/ideas)</t>
  </si>
  <si>
    <t>Tool / artifact</t>
  </si>
  <si>
    <t>Used for</t>
  </si>
  <si>
    <t>Audience</t>
  </si>
  <si>
    <t>Owner</t>
  </si>
  <si>
    <t>Program Directory / Inventory (public)</t>
  </si>
  <si>
    <t>Helps submitter see what already exists; reduces duplication; provides contact(s) for existing programs</t>
  </si>
  <si>
    <t>All staff/community/board</t>
  </si>
  <si>
    <t>SPARK process owner + Comms</t>
  </si>
  <si>
    <t>Could include program category, grades, entry model, sites, and program sponsor contact</t>
  </si>
  <si>
    <t>Portfolio Priorities (from Landscape Assessment)</t>
  </si>
  <si>
    <t>Signals where SPARK may be actively exploring / seeking proposals; helps triage and manage capacity</t>
  </si>
  <si>
    <t>SPARK committee</t>
  </si>
  <si>
    <t>Updated annually; may share a ‘what we’re looking for’ summary</t>
  </si>
  <si>
    <t>Idea Submission (Light) form</t>
  </si>
  <si>
    <t>Lightweight capture of ideas; feeds Idea Log</t>
  </si>
  <si>
    <t>All submitters</t>
  </si>
  <si>
    <t>Program Review team</t>
  </si>
  <si>
    <t>May use for informal ideas; SPARK can assist if needed</t>
  </si>
  <si>
    <t>Idea Log + Heatmap dashboard</t>
  </si>
  <si>
    <t>Shows where ideas cluster + status; supports process and transparency internally</t>
  </si>
  <si>
    <t>SPARK leadership + Program Review team</t>
  </si>
  <si>
    <t>Internal; optionally publish a simplified view for broader audience?</t>
  </si>
  <si>
    <t>Full Intake / Proposal packet</t>
  </si>
  <si>
    <t>Used when proceeding to formal rubric-based review</t>
  </si>
  <si>
    <t>Sponsors/Program owners</t>
  </si>
  <si>
    <t>Program Review team + sponsor</t>
  </si>
  <si>
    <t>SPARK-assisted completion if submitter is not a sponsor or otherwise requests assistance</t>
  </si>
  <si>
    <t>Triage Tracker</t>
  </si>
  <si>
    <t>Routes ideas: decline/defer/more info/proceed; documents reasoning</t>
  </si>
  <si>
    <t>Program Review team + SPARK leadership</t>
  </si>
  <si>
    <t>May set up periodic triage windows to manage workload</t>
  </si>
  <si>
    <t>(Brainstorm) Real-world intake &amp; exploration use cases (examples mapped to entry channels)</t>
  </si>
  <si>
    <t>Use case ID</t>
  </si>
  <si>
    <t>Example scenario / trigger</t>
  </si>
  <si>
    <t>First contact point</t>
  </si>
  <si>
    <t>Recommended SPARK response &amp; next step</t>
  </si>
  <si>
    <t>Tools / artifacts to reference</t>
  </si>
  <si>
    <t>Data captured (minimum)</t>
  </si>
  <si>
    <t>Potential gaps surfaced</t>
  </si>
  <si>
    <t>UC-01</t>
  </si>
  <si>
    <t>Assistant Principal emails Ms. Mitchell with a specialized program idea for their middle school (e.g., STEM/leadership/accelerated pathway).</t>
  </si>
  <si>
    <t>Email to district leader / SPARK lead</t>
  </si>
  <si>
    <t>Reply with encouragement + link to Program Inventory &amp; Portfolio Priorities; ask for 10-min call; request Light Idea Submission form; route to Pre‑Triage screen.</t>
  </si>
  <si>
    <t>Program Inventory (directory); Portfolio Priorities; Light Idea Submission form; Contact list of program sponsors</t>
  </si>
  <si>
    <t>Idea summary, target students, site/grades, differentiation vs existing, sponsor/principal support, urgency</t>
  </si>
  <si>
    <t>Need a public-facing SPARK portal + clear sponsor list; ensure inventory is current</t>
  </si>
  <si>
    <t>UC-02</t>
  </si>
  <si>
    <t>Parent group requests an Arts magnet option; organizes community meeting and sends proposal packet.</t>
  </si>
  <si>
    <t>Community relations inbox / board correspondence</t>
  </si>
  <si>
    <t>Acknowledge; log idea; offer listening session; ask for Light Idea Submission; route to Concept Study if scale is districtwide; ensure equity/access considerations early.</t>
  </si>
  <si>
    <t>Light Idea form; Stakeholder input protocol; Concept Study Brief template</t>
  </si>
  <si>
    <t>Problem statement, desired model, evidence of demand, concerns/barriers</t>
  </si>
  <si>
    <t>Need clear community input pathway + guardrails to prevent inequity/overrepresentation</t>
  </si>
  <si>
    <t>UC-03</t>
  </si>
  <si>
    <t>Board requests feasibility of Gifted/Advanced Studies hub due to strategic interest and/or community demand.</t>
  </si>
  <si>
    <t>Board agenda item / directive</t>
  </si>
  <si>
    <t>Open Concept Study workstream; define charge/scope; identify constraints (facilities, staffing, transport); deliver Concept Study Brief; if recommend proceed, convert to Full Proposal review using standard rubric.</t>
  </si>
  <si>
    <t>Commissioned charge (E48); Concept Study Brief template; Feasibility envelope (E49); New Program Proposal Rubric</t>
  </si>
  <si>
    <t>Charge, decision timeline, constraints, option set</t>
  </si>
  <si>
    <t>Need explicit handoff rule from Concept Study to proposal review</t>
  </si>
  <si>
    <t>UC-04</t>
  </si>
  <si>
    <t>Landscape review shows unmet demand for dual language in a geography/grade band; SPARK invites sponsor to explore.</t>
  </si>
  <si>
    <t>SPARK portfolio priorities statement</t>
  </si>
  <si>
    <t>Initiate Concept Study; recruit sponsor; use benchmarks + mobility/choice signals; define 2–3 options; proceed to proposal intake if viable.</t>
  </si>
  <si>
    <t>Landscape Brief; Mobility/choice signals; Benchmark matrix; Concept Study Brief</t>
  </si>
  <si>
    <t>Opportunity area tag, target segment, rationale</t>
  </si>
  <si>
    <t>Need a cadence + published priorities so staff/community understand why certain ideas advance</t>
  </si>
  <si>
    <t>UC-05</t>
  </si>
  <si>
    <t>Grant/partner-driven opportunity</t>
  </si>
  <si>
    <t>University partner offers funding for STEM lab + curriculum, time-limited grant.</t>
  </si>
  <si>
    <t>Partner outreach / district grants office</t>
  </si>
  <si>
    <t>Fast pre‑triage: check alignment, equity, sustainability beyond grant; if promising, proceed to full review with explicit “post-grant” plan.</t>
  </si>
  <si>
    <t>Fast triage checklist; Cost/funding sustainability artifact (E16/E40)</t>
  </si>
  <si>
    <t>Grant terms, resourcing, sustainability plan</t>
  </si>
  <si>
    <t>Risk of “grant chasing” without long-term plan</t>
  </si>
  <si>
    <t>UC-06</t>
  </si>
  <si>
    <t>Cabinet proposes consolidating programs into a hub school due to enrollment shifts and available space (school closure/repurpose).</t>
  </si>
  <si>
    <t>Leadership meeting / facilities planning</t>
  </si>
  <si>
    <t>Route to Concept Study with facilities utilization data; include transport + equity early; coordinate with program review findings.</t>
  </si>
  <si>
    <t>Facilities utilization snapshot; Concept Study Brief; Equity impact check</t>
  </si>
  <si>
    <t>Facility constraints, affected communities, program relocation impacts</t>
  </si>
  <si>
    <t>Need integration with facilities planning cycle</t>
  </si>
  <si>
    <t>UC-07</t>
  </si>
  <si>
    <t>Teacher-led innovation</t>
  </si>
  <si>
    <t>Teacher proposes small elective/pilot (e.g., entrepreneurship) that could scale later.</t>
  </si>
  <si>
    <t>Site admin / instructional coach</t>
  </si>
  <si>
    <t>Encourage pilot within site decision rights; log in Idea Log; use light evidence plan; schedule review checkpoint to decide scale-up pathway.</t>
  </si>
  <si>
    <t>Light Idea form; Pilot evidence plan mini-template</t>
  </si>
  <si>
    <t>Pilot goals, metrics, timeline, support needs</t>
  </si>
  <si>
    <t>Need clarity on thresholds: when does a pilot become a “signature program” requiring SPARK review?</t>
  </si>
  <si>
    <t>UC-08</t>
  </si>
  <si>
    <t>Program enhancement request</t>
  </si>
  <si>
    <t>Existing program lead wants to add an advanced track; might overlap with another program.</t>
  </si>
  <si>
    <t>Program sponsor or principal</t>
  </si>
  <si>
    <t>Use inventory + sponsor contacts to coordinate; run mini-duplication check; decide whether change is “major redesign” needing proposal review or handled within annual improvement plan.</t>
  </si>
  <si>
    <t>Program Inventory + sponsor list; Change classification guide</t>
  </si>
  <si>
    <t>Change description, impacted students, resources</t>
  </si>
  <si>
    <t>Need a change-classification rubric (minor/major)</t>
  </si>
  <si>
    <t>UC-09</t>
  </si>
  <si>
    <t>Student choice signals</t>
  </si>
  <si>
    <t>Exit/entry data shows students leaving a feeder pattern for nearby charter with small class sizes; families cite safety/culture.</t>
  </si>
  <si>
    <t>Data team dashboard / enrollment office</t>
  </si>
  <si>
    <t>Flag as landscape signal; schedule targeted listening; consider if programmatic or operational response needed (not always a new program).</t>
  </si>
  <si>
    <t>Mobility &amp; Choice Signals; Climate/culture data; Opportunity register</t>
  </si>
  <si>
    <t>Segmented reason trends, affected cohorts, geography</t>
  </si>
  <si>
    <t>Need careful interpretation—avoid over-attributing exits to a single cause</t>
  </si>
  <si>
    <t>UC-10</t>
  </si>
  <si>
    <t>External trend prompt</t>
  </si>
  <si>
    <t>New state policy or credential trend triggers interest in career pathways; multiple schools ask about it.</t>
  </si>
  <si>
    <t>District academic office</t>
  </si>
  <si>
    <t>Log trend; include in annual Trend Scan; if aligned, invite concept exploration with sponsor and constraints review.</t>
  </si>
  <si>
    <t>Trend Scan log; Benchmark examples; Portfolio priorities</t>
  </si>
  <si>
    <t>Trend description, relevance, time horizon</t>
  </si>
  <si>
    <t>Need disciplined trend governance to avoid chasing fads</t>
  </si>
  <si>
    <t>Lightweight Idea Submission (for staff/community to capture an idea without a full proposal)</t>
  </si>
  <si>
    <t>Capture enough to log the idea, check for overlap with existing programs, and decide whether to invite a full proposal / concept study.</t>
  </si>
  <si>
    <t>Field</t>
  </si>
  <si>
    <t>Prompt (simple)</t>
  </si>
  <si>
    <t>Required?</t>
  </si>
  <si>
    <t>Examples / notes</t>
  </si>
  <si>
    <t>Collected by</t>
  </si>
  <si>
    <t>Idea title</t>
  </si>
  <si>
    <t>One-sentence name for the idea.</t>
  </si>
  <si>
    <t>Submitter</t>
  </si>
  <si>
    <t>Submitter name + role</t>
  </si>
  <si>
    <t>Who is proposing / sharing the idea?</t>
  </si>
  <si>
    <t>School/site (if applicable)</t>
  </si>
  <si>
    <t>Which school(s) would this affect?</t>
  </si>
  <si>
    <t>No</t>
  </si>
  <si>
    <t>Grade band</t>
  </si>
  <si>
    <t>PK–5 / 6–8 / 9–12 / K–8 / Districtwide</t>
  </si>
  <si>
    <t>Program category / theme</t>
  </si>
  <si>
    <t>e.g., STEM, Arts, Gifted/Advanced, Language, College/Career, SEL, Other</t>
  </si>
  <si>
    <t>Problem / need</t>
  </si>
  <si>
    <t>What student/community need would this address?</t>
  </si>
  <si>
    <t>Target students + access</t>
  </si>
  <si>
    <t>Who would participate and how would access work? (open, application, lottery, etc.)</t>
  </si>
  <si>
    <t>Yes (short)</t>
  </si>
  <si>
    <t>Differentiation / overlap check</t>
  </si>
  <si>
    <t>What is similar to what we already offer? What is different?</t>
  </si>
  <si>
    <t>SPARK will verify against inventory</t>
  </si>
  <si>
    <t>Evidence / inspiration (optional)</t>
  </si>
  <si>
    <t>Link to 1–2 examples, research, or peer schools.</t>
  </si>
  <si>
    <t>Rough resource implications</t>
  </si>
  <si>
    <t>Any obvious needs? (staffing, schedule, facilities, transport, cost)</t>
  </si>
  <si>
    <t>Urgency / timing</t>
  </si>
  <si>
    <t>Is there a decision deadline? Why now?</t>
  </si>
  <si>
    <t>Preferred next step</t>
  </si>
  <si>
    <t>Just share / explore informally / request concept study / request formal review</t>
  </si>
  <si>
    <t>Next: SPARK logs the idea in the Idea Log, checks overlap in the Program Inventory, and routes it to Pre‑Triage / Concept Study / or requests a Full Proposal (using Ms. Mitchell rubric).</t>
  </si>
  <si>
    <t>Full Intake / Proposal Form (used after an idea is promoted from Light Idea Submission)</t>
  </si>
  <si>
    <t>When to use</t>
  </si>
  <si>
    <t>Use this full intake once a sponsor/owner is identified and SPARK decides the idea is ready for formal review (rubric-based). For early-stage ideas, use the “Idea Submission (Light)” form and log it in the Idea Log.</t>
  </si>
  <si>
    <t>Prompt / what we need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</si>
  <si>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</si>
  <si>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</si>
  <si>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</si>
  <si>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</si>
  <si>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</si>
  <si>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</si>
  <si>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</si>
  <si>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</si>
  <si>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</si>
  <si>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</si>
  <si>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</si>
  <si>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</si>
  <si>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</si>
  <si>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</si>
  <si>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</si>
  <si>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</si>
  <si>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</si>
  <si>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</si>
  <si>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</si>
  <si>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</si>
  <si>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</si>
  <si>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</si>
  <si>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</si>
  <si>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</si>
  <si>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</si>
  <si>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</si>
  <si>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</si>
  <si>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</si>
  <si>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</si>
  <si>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</si>
  <si>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</si>
  <si>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mobility (entries/exits)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</si>
  <si>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</si>
  <si>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</si>
  <si>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</si>
  <si>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</si>
  <si>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</si>
  <si>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</si>
  <si>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</si>
  <si>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</si>
  <si>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</si>
  <si>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</si>
  <si>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</si>
  <si>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</si>
  <si>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</si>
  <si>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</si>
  <si>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</si>
  <si>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</si>
  <si>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</si>
  <si>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</si>
  <si>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</si>
  <si>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</si>
  <si>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</si>
  <si>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</si>
  <si>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</si>
  <si>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</si>
  <si>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</si>
  <si>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</si>
  <si>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</si>
  <si>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Candidate Ideas Log (inventory + status dashboard; supports heat map and triage routing)</t>
  </si>
  <si>
    <t>Idea ID</t>
  </si>
  <si>
    <t>Date received</t>
  </si>
  <si>
    <t>Title</t>
  </si>
  <si>
    <t>Summary</t>
  </si>
  <si>
    <t>Category/theme</t>
  </si>
  <si>
    <t>Likely pathway (Pilot / Program / Concept Study)</t>
  </si>
  <si>
    <t>Assigned SPARK contact</t>
  </si>
  <si>
    <t>Notes / next action</t>
  </si>
  <si>
    <t>Candidate Ideas Heat Map (design) — supports Ms. Mitchell’s dashboard/heat-map concept</t>
  </si>
  <si>
    <t>How to use</t>
  </si>
  <si>
    <t>This sheet summarizes Idea Log entries by category/theme and grade band. Use it to see where candidate ideas cluster, identify gaps, and manage capacity/cadence.</t>
  </si>
  <si>
    <t>Matrix: # of ideas by theme × grade band (pulls from Idea Log)</t>
  </si>
  <si>
    <t>Theme</t>
  </si>
  <si>
    <t>PK–5</t>
  </si>
  <si>
    <t>6–8</t>
  </si>
  <si>
    <t>9–12</t>
  </si>
  <si>
    <t>K–8</t>
  </si>
  <si>
    <t>Districtwide</t>
  </si>
  <si>
    <t>Total</t>
  </si>
  <si>
    <t>STEM/STEAM</t>
  </si>
  <si>
    <t>Arts</t>
  </si>
  <si>
    <t>Gifted/Advanced</t>
  </si>
  <si>
    <t>Language/DLI</t>
  </si>
  <si>
    <t>College/Career</t>
  </si>
  <si>
    <t>Traditional/Structure</t>
  </si>
  <si>
    <t>SEL/Well-being</t>
  </si>
  <si>
    <t>Other</t>
  </si>
  <si>
    <t>Optional: apply conditional formatting (color scale) to the matrix to visualize ‘heat.’</t>
  </si>
  <si>
    <t>Idea ID (from log)</t>
  </si>
  <si>
    <t>Intake type (Light / Full / Concept)</t>
  </si>
  <si>
    <t>Intake ID</t>
  </si>
  <si>
    <t>Proposer / sponsor</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</si>
  <si>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</si>
  <si>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</si>
  <si>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</si>
  <si>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</si>
  <si>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</si>
  <si>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</si>
  <si>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</si>
  <si>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</si>
  <si>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</si>
  <si>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</si>
  <si>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</si>
  <si>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</si>
  <si>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</si>
  <si>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</si>
  <si>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</si>
  <si>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</si>
  <si>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</si>
  <si>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</si>
  <si>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</si>
  <si>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</si>
  <si>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</si>
  <si>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</si>
  <si>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</si>
  <si>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</si>
  <si>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</si>
  <si>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</si>
  <si>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</si>
  <si>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</si>
  <si>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</si>
  <si>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</si>
  <si>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</si>
  <si>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</si>
  <si>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</si>
  <si>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</si>
  <si>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</si>
  <si>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</si>
  <si>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</si>
  <si>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</si>
  <si>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</si>
  <si>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</si>
  <si>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</si>
  <si>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</si>
  <si>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</si>
  <si>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</si>
  <si>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</si>
  <si>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</si>
  <si>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</si>
  <si>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</si>
  <si>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</si>
  <si>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</si>
  <si>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</si>
  <si>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</si>
  <si>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</si>
  <si>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</si>
  <si>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</si>
  <si>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</si>
  <si>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</si>
  <si>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</si>
  <si>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</si>
  <si>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</si>
  <si>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</si>
  <si>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</si>
  <si>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</si>
  <si>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</si>
  <si>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</si>
  <si>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</si>
  <si>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</si>
  <si>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</si>
  <si>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</si>
  <si>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</si>
  <si>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</si>
  <si>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</si>
  <si>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</si>
  <si>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</si>
  <si>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</si>
  <si>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</si>
  <si>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</si>
  <si>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</si>
  <si>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</si>
  <si>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</si>
  <si>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</si>
  <si>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</si>
  <si>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</si>
  <si>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</si>
  <si>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</si>
  <si>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</si>
  <si>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</si>
  <si>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</si>
  <si>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</si>
  <si>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</si>
  <si>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</si>
  <si>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</si>
  <si>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</si>
  <si>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</si>
  <si>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</si>
  <si>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</si>
  <si>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</si>
  <si>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</si>
  <si>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</si>
  <si>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</si>
  <si>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</si>
  <si>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</si>
  <si>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</si>
  <si>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</si>
  <si>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</si>
  <si>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</si>
  <si>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</si>
  <si>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</si>
  <si>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</si>
  <si>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</si>
  <si>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</si>
  <si>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</si>
  <si>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</si>
  <si>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</si>
  <si>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</si>
  <si>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</si>
  <si>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</si>
  <si>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</si>
  <si>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</si>
  <si>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</si>
  <si>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</si>
  <si>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</si>
  <si>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</si>
  <si>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</si>
  <si>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</si>
  <si>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</si>
  <si>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</si>
  <si>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</si>
  <si>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</si>
  <si>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</si>
  <si>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</si>
  <si>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</si>
  <si>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</si>
  <si>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</si>
  <si>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</si>
  <si>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</si>
  <si>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</si>
  <si>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</si>
  <si>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</si>
  <si>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</si>
  <si>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</si>
  <si>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</si>
  <si>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</si>
  <si>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</si>
  <si>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</si>
  <si>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</si>
  <si>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</si>
  <si>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</si>
  <si>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Student Mobility Flow + Reason Summary (Entries/Exits)</t>
  </si>
  <si>
    <t>Where are students entering from and exiting to, why (if known), and which segments are represented? (Directional choice signals)</t>
  </si>
  <si>
    <t>Grade band; sending school/learning community; segment tags; destination type</t>
  </si>
  <si>
    <t>Entry/exit rate; origin/destination mix; top reasons (Pareto); net migration (entries–exits)</t>
  </si>
  <si>
    <t>Use aggregated mobility dataset (see 'Mobility &amp; Choice Signals' tab). Start with stacked bars + reason Pareto; optional Sankey/net migration heatmap as maturity increases.</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</si>
  <si>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</si>
  <si>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</si>
  <si>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</si>
  <si>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</si>
  <si>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</si>
  <si>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</si>
  <si>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</si>
  <si>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</si>
  <si>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</si>
  <si>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</si>
  <si>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</si>
  <si>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</si>
  <si>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</si>
  <si>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</si>
  <si>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</si>
  <si>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</si>
  <si>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</si>
  <si>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</si>
  <si>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</si>
  <si>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</si>
  <si>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</si>
  <si>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</si>
  <si>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</si>
  <si>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</si>
  <si>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</si>
  <si>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</si>
  <si>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</si>
  <si>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</si>
  <si>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</si>
  <si>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</si>
  <si>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</si>
  <si>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</si>
  <si>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</si>
  <si>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</si>
  <si>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</si>
  <si>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</si>
  <si>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</si>
  <si>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</si>
  <si>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</si>
  <si>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</si>
  <si>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</si>
  <si>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</si>
  <si>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</si>
  <si>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core KPIs (outcomes + equity); demand &amp; choice signals (applications/waitlists, family surveys) including student mobility (entries/exits) summarized on the landscape cadence.</t>
  </si>
  <si>
    <t>Inputs (optional / higher maturity)</t>
  </si>
  <si>
    <t>Cost/FTE by program; facilities utilization / available space (e.g., closures/repurposing); student mobility/choice deeper cuts; candidate ideas log/heatmap; peer benchmarks; mini trend scan; labor market/community demand signals.</t>
  </si>
  <si>
    <t>6-Step Landscape Assessment Workflow</t>
  </si>
  <si>
    <t>Step</t>
  </si>
  <si>
    <t>What happens</t>
  </si>
  <si>
    <t>Owner(s)</t>
  </si>
  <si>
    <t>Artifacts produced</t>
  </si>
  <si>
    <t>Timing (example)</t>
  </si>
  <si>
    <t>1. Refresh inventory dataset</t>
  </si>
  <si>
    <t>Update program list, category/grade bands, entry model, and basic scale; update candidate ideas log (new ideas this cycle).</t>
  </si>
  <si>
    <t>Program Review team + Enrollment/Choice</t>
  </si>
  <si>
    <t>Updated Portfolio Dataset; Inventory heatmap; Candidate idea heatmap (optional)</t>
  </si>
  <si>
    <t>Week 1</t>
  </si>
  <si>
    <t>2. Refresh demand &amp; capacity signals</t>
  </si>
  <si>
    <t>Pull applications/waitlists/open enrollment interest; summarize entries/exits + reasons (as available); flag geographies/segments with shifts.</t>
  </si>
  <si>
    <t>Enrollment/Choice + site teams</t>
  </si>
  <si>
    <t>Demand/choice summary; Demand vs Capacity quadrant; mobility/choice dashboard (optional)</t>
  </si>
  <si>
    <t>Week 1–2</t>
  </si>
  <si>
    <t>3. Refresh outcomes &amp; equity indicators</t>
  </si>
  <si>
    <t>Pull agreed KPIs and disaggregations; note constraints/opportunities (staffing, facilities, transport) that affect access and scalability.</t>
  </si>
  <si>
    <t>Assessment + program leads</t>
  </si>
  <si>
    <t>Target vs Actual dashboard; equity/access snapshot; constraints flags</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</si>
  <si>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</si>
  <si>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</si>
  <si>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</si>
  <si>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</si>
  <si>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</si>
  <si>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</si>
  <si>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</si>
  <si>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</si>
  <si>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</si>
  <si>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</si>
  <si>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</si>
  <si>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</si>
  <si>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</si>
  <si>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</si>
  <si>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</si>
  <si>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</si>
  <si>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</si>
  <si>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Where it plugs in</t>
  </si>
  <si>
    <t>Landscape Brief (2–4 pages)</t>
  </si>
  <si>
    <t>4–6 visuals + key findings + opportunity areas + risks</t>
  </si>
  <si>
    <t>SPARK meeting updates; annual planning</t>
  </si>
  <si>
    <t>Opportunity Register (table)</t>
  </si>
  <si>
    <t>Gaps/opportunities; demand signals; actions; owner; timing</t>
  </si>
  <si>
    <t>Program Review + leadership</t>
  </si>
  <si>
    <t>Feeds intake &amp; support planning</t>
  </si>
  <si>
    <t>Portfolio Dashboard</t>
  </si>
  <si>
    <t>Heatmap + treemap + access scatter + demand/capacity quadrant + (optional) candidate idea heatmap + mobility/choice snapshot.</t>
  </si>
  <si>
    <t>Leadership + SPARK</t>
  </si>
  <si>
    <t>Ongoing monitoring; board-ready view if needed</t>
  </si>
  <si>
    <t>Portfolio Priorities Statement (1 page)</t>
  </si>
  <si>
    <t>Top priorities + constraints + what’s not in scope this cycle</t>
  </si>
  <si>
    <t>Sets expectations for proposals; reduces churn</t>
  </si>
  <si>
    <t>Mobility &amp; Choice Signals (Student Entry + Exit) — Design + How to Use in Landscape, Intake, and Ongoing Reviews</t>
  </si>
  <si>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</si>
  <si>
    <t>Landscape Assessment: treat mobility/choice as a demand-and-access lens. Data is collected continuously, but summarized/interpreted on the landscape cadence (e.g., quarterly light view; annual full landscape). Intake/Triage: use as a triangulation signal (not a standalone justification). Ongoing Reviews: flag segments where access, climate, or fit issues are driving mobility.</t>
  </si>
  <si>
    <t>Primary data sources (likely)</t>
  </si>
  <si>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</si>
  <si>
    <t>Key measures (minimum)</t>
  </si>
  <si>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</si>
  <si>
    <t>Segmentation / cohorts</t>
  </si>
  <si>
    <t>Grade band (E/M/HS), sending/receiving school and learning community, demographics, EL/SPED, attendance/discipline risk, program participation, geography (boundary), entry model (neighborhood vs choice), and time-in-program/tenure (if feasible).</t>
  </si>
  <si>
    <t>Needs / opportunity tagging (bridge)</t>
  </si>
  <si>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</si>
  <si>
    <t>Recommended visuals</t>
  </si>
  <si>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</si>
  <si>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</si>
  <si>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</si>
  <si>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</si>
  <si>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</si>
  <si>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Reason Taxonomy (Examples) — Exits and Entries (for consistent interpretation)</t>
  </si>
  <si>
    <t>Flow (Entry/Exit)</t>
  </si>
  <si>
    <t>Driver type (Push/Pull/Logistics/Circumstance/Policy)</t>
  </si>
  <si>
    <t>Reason category</t>
  </si>
  <si>
    <t>Subcategory examples</t>
  </si>
  <si>
    <t>What it may signal (hypothesis)</t>
  </si>
  <si>
    <t>Suggested need/opportunity tag(s)</t>
  </si>
  <si>
    <t>Evidence to confirm (triangulate)</t>
  </si>
  <si>
    <t>Exit</t>
  </si>
  <si>
    <t>Circumstance</t>
  </si>
  <si>
    <t>Family move / relocation</t>
  </si>
  <si>
    <t>Move out of area; move within AZ; move out of state/country</t>
  </si>
  <si>
    <t>Not program-driven; mobility drivers. May mask other reasons if coded broadly.</t>
  </si>
  <si>
    <t>N/A (mobility)</t>
  </si>
  <si>
    <t>Compare to historical mobility; segment by grade band and geography; optional follow-up survey.</t>
  </si>
  <si>
    <t>Family/caregiver change</t>
  </si>
  <si>
    <t>Custody change; caregiving shift; housing instability</t>
  </si>
  <si>
    <t>Potential instability; may require wraparound supports rather than program redesign.</t>
  </si>
  <si>
    <t>Student support services; community supports</t>
  </si>
  <si>
    <t>Counselor/social work aggregates; attendance trends; qualitative follow-up.</t>
  </si>
  <si>
    <t>Logistics</t>
  </si>
  <si>
    <t>Transportation/commute burden</t>
  </si>
  <si>
    <t>No bus; long drive; traffic; start times</t>
  </si>
  <si>
    <t>Access barrier; program may be attractive but logistically infeasible for some families.</t>
  </si>
  <si>
    <t>Transportation/access; choice model redesign</t>
  </si>
  <si>
    <t>Commute mapping; transportation availability; survey reasons; participation disparities.</t>
  </si>
  <si>
    <t>Childcare / scheduling mismatch</t>
  </si>
  <si>
    <t>Before/after care; calendar mismatch; after-school needs</t>
  </si>
  <si>
    <t>Operational barrier; may signal need for extended-day supports.</t>
  </si>
  <si>
    <t>Operational supports; flexible scheduling</t>
  </si>
  <si>
    <t>Aftercare capacity; survey; comparison to peers with extended-day programs.</t>
  </si>
  <si>
    <t>Sibling alignment / feeder pattern</t>
  </si>
  <si>
    <t>Different schools for siblings; transition concerns</t>
  </si>
  <si>
    <t>Choice friction; could be addressed by pathway clarity or sibling preference rules.</t>
  </si>
  <si>
    <t>Pathway clarity; enrollment policy tweaks</t>
  </si>
  <si>
    <t>Enrollment policy review; frequency of this reason; interviews.</t>
  </si>
  <si>
    <t>Push</t>
  </si>
  <si>
    <t>Safety / bullying / school climate</t>
  </si>
  <si>
    <t>Bullying; safety incidents; feeling unsafe</t>
  </si>
  <si>
    <t>Climate/culture issue; may require targeted improvement more than new programs.</t>
  </si>
  <si>
    <t>Climate/culture improvement; SEL/behavior supports</t>
  </si>
  <si>
    <t>Climate survey; discipline/attendance; incident trends; focus groups.</t>
  </si>
  <si>
    <t>Academic fit (too little challenge)</t>
  </si>
  <si>
    <t>Not challenged; wants acceleration; gifted services</t>
  </si>
  <si>
    <t>Potential unmet need for advanced/accelerated pathways or stronger differentiation.</t>
  </si>
  <si>
    <t>Advanced academics; gifted/advanced hub; accelerated pathways</t>
  </si>
  <si>
    <t>Advanced course access; gifted identification; survey verbatims; peer comparisons.</t>
  </si>
  <si>
    <t>Academic fit (too hard / support gaps)</t>
  </si>
  <si>
    <t>Struggling academically; inadequate supports</t>
  </si>
  <si>
    <t>Need for intervention supports and inclusive design; may also reflect placement/fidelity issues.</t>
  </si>
  <si>
    <t>MTSS/intervention; inclusive supports</t>
  </si>
  <si>
    <t>Course failure patterns; MTSS fidelity; tutoring supports; family feedback.</t>
  </si>
  <si>
    <t>Instructional quality / teacher fit</t>
  </si>
  <si>
    <t>Teacher mismatch; instructional approach concerns</t>
  </si>
  <si>
    <t>Could indicate localized implementation/fidelity issues rather than model-level failure.</t>
  </si>
  <si>
    <t>Implementation support; PD coaching</t>
  </si>
  <si>
    <t>Observation/fidelity tools; teacher turnover; complaint themes (aggregate).</t>
  </si>
  <si>
    <t>Leadership/communication dissatisfaction</t>
  </si>
  <si>
    <t>Poor communication; inconsistent policies</t>
  </si>
  <si>
    <t>Governance/management issue; may require site leadership support.</t>
  </si>
  <si>
    <t>Communication plan; leadership coaching</t>
  </si>
  <si>
    <t>Survey items; complaint categories; stakeholder interviews.</t>
  </si>
  <si>
    <t>Class size / school size preference</t>
  </si>
  <si>
    <t>Wants smaller classes; wants smaller/bigger school</t>
  </si>
  <si>
    <t>Preference-based; may inform portfolio segmentation and capacity planning.</t>
  </si>
  <si>
    <t>Class size strategy; school model options</t>
  </si>
  <si>
    <t>Compare class size data; segment patterns; peer benchmarks.</t>
  </si>
  <si>
    <t>Support services (SPED/504/EL) not meeting needs</t>
  </si>
  <si>
    <t>IEP services; accommodations; language supports</t>
  </si>
  <si>
    <t>Accessibility gap; may require staffing/design change; equity risk.</t>
  </si>
  <si>
    <t>Accessibility &amp; supports; inclusive programming</t>
  </si>
  <si>
    <t>IEP service indicators; EL supports; staffing ratios; parent feedback.</t>
  </si>
  <si>
    <t>Social fit / belonging</t>
  </si>
  <si>
    <t>Peer conflict; belonging; social-emotional fit</t>
  </si>
  <si>
    <t>Could indicate climate/belonging needs; may differ by segment or grade band.</t>
  </si>
  <si>
    <t>Belonging/SEL supports; climate improvement</t>
  </si>
  <si>
    <t>Student survey; counseling aggregates; qualitative follow-up.</t>
  </si>
  <si>
    <t>Pull</t>
  </si>
  <si>
    <t>Specialized program elsewhere — Gifted/Advanced</t>
  </si>
  <si>
    <t>Magnet academy; gifted hub</t>
  </si>
  <si>
    <t>Demand for advanced studies identity/cohort; potential portfolio opportunity.</t>
  </si>
  <si>
    <t>Gifted/advanced hub/magnet</t>
  </si>
  <si>
    <t>Peer scan; competitor mapping; demand survey; enrollment patterns.</t>
  </si>
  <si>
    <t>Specialized program elsewhere — Arts</t>
  </si>
  <si>
    <t>Arts magnet; conservatory; intensive arts pathway</t>
  </si>
  <si>
    <t>Demand for arts pathway identity; potential portfolio opportunity.</t>
  </si>
  <si>
    <t>Arts pathway / arts hub/magnet</t>
  </si>
  <si>
    <t>Benchmark exemplars; interest survey; course access review.</t>
  </si>
  <si>
    <t>Specialized program elsewhere — STEM</t>
  </si>
  <si>
    <t>Robotics/engineering intensive; STEM academy</t>
  </si>
  <si>
    <t>Demand for coherent STEM pathway; labs/competitions/partners.</t>
  </si>
  <si>
    <t>STEM pathway; STEM-certified; MSA-like cohort</t>
  </si>
  <si>
    <t>Applications/waitlists; STEM sequencing; partner interest; outcome proxies.</t>
  </si>
  <si>
    <t>Specialized program elsewhere — Language immersion</t>
  </si>
  <si>
    <t>Immersion program not available/accessible</t>
  </si>
  <si>
    <t>Demand for biliteracy; may also indicate transport/access barrier.</t>
  </si>
  <si>
    <t>Dual language/biliteracy pathway</t>
  </si>
  <si>
    <t>Eligible pool analysis; staffing capacity; proficiency outcomes.</t>
  </si>
  <si>
    <t>Charter school choice</t>
  </si>
  <si>
    <t>Preference for charter model; perceived fit</t>
  </si>
  <si>
    <t>Competitive landscape signal; investigate perceived value drivers.</t>
  </si>
  <si>
    <t>Portfolio differentiation; communications</t>
  </si>
  <si>
    <t>Destination mix trends; reason codes; benchmark charters.</t>
  </si>
  <si>
    <t>Private school choice</t>
  </si>
  <si>
    <t>Faith-based; tuition-based; specialized private</t>
  </si>
  <si>
    <t>Competitive landscape signal; could reflect culture, class size, programs, or services.</t>
  </si>
  <si>
    <t>Destination mix; survey; compare key drivers (safety, rigor, offerings).</t>
  </si>
  <si>
    <t>Policy/Financial</t>
  </si>
  <si>
    <t>ESA/voucher-funded private/homeschool choice</t>
  </si>
  <si>
    <t>Using AZ Empowerment Scholarship Account (ESA) or similar</t>
  </si>
  <si>
    <t>Policy-driven choice; may shift demand; contextual factor (avoid over-attribution).</t>
  </si>
  <si>
    <t>Contextual signal (policy)</t>
  </si>
  <si>
    <t>Track trend; correlate with cohorts/segments; triangulate with other signals.</t>
  </si>
  <si>
    <t>Homeschool / online school</t>
  </si>
  <si>
    <t>Homeschool; virtual academy</t>
  </si>
  <si>
    <t>Preference for flexibility/personalization; may indicate scheduling/health considerations.</t>
  </si>
  <si>
    <t>Flexible scheduling; blended learning</t>
  </si>
  <si>
    <t>Trend over time; segment patterns; follow-up survey.</t>
  </si>
  <si>
    <t>Athletics/extracurricular emphasis elsewhere</t>
  </si>
  <si>
    <t>Sports program; clubs; competitive teams</t>
  </si>
  <si>
    <t>May indicate enrichment gaps or scheduling conflicts.</t>
  </si>
  <si>
    <t>Enrichment; activities strategy</t>
  </si>
  <si>
    <t>Activity participation; scheduling data; feedback.</t>
  </si>
  <si>
    <t>Entry</t>
  </si>
  <si>
    <t>Move into SUSD boundaries</t>
  </si>
  <si>
    <t>New resident; housing move into district</t>
  </si>
  <si>
    <t>Not program-driven; supports baseline enrollment planning.</t>
  </si>
  <si>
    <t>Compare to housing/relocation patterns; grade-band trends.</t>
  </si>
  <si>
    <t>Return to SUSD / public schooling</t>
  </si>
  <si>
    <t>Switch from charter/private/homeschool back to district</t>
  </si>
  <si>
    <t>Could indicate improved perception or changing family circumstances.</t>
  </si>
  <si>
    <t>Communications; supports; program awareness</t>
  </si>
  <si>
    <t>Entry survey; segment patterns; reasons for return.</t>
  </si>
  <si>
    <t>Proximity / convenience</t>
  </si>
  <si>
    <t>Closer school; easier commute</t>
  </si>
  <si>
    <t>Logistical pull; supports neighborhood school strengths.</t>
  </si>
  <si>
    <t>Transportation/access</t>
  </si>
  <si>
    <t>Geography mapping; entry survey; boundary/transport review.</t>
  </si>
  <si>
    <t>Schedule/calendar fit</t>
  </si>
  <si>
    <t>Start times; calendar; before/after care availability</t>
  </si>
  <si>
    <t>Operational pull; may suggest strength/opportunity in extended-day supports.</t>
  </si>
  <si>
    <t>Entry survey; aftercare availability data.</t>
  </si>
  <si>
    <t>Strong academic reputation</t>
  </si>
  <si>
    <t>Perceived rigor; outcomes; teacher quality</t>
  </si>
  <si>
    <t>Strength signal; can inform competitive edge positioning.</t>
  </si>
  <si>
    <t>Academic excellence; communications</t>
  </si>
  <si>
    <t>Entry survey; outcome dashboards; peer benchmarks.</t>
  </si>
  <si>
    <t>Specific signature/specialty program</t>
  </si>
  <si>
    <t>IB; DLI; MSA; Traditional; STEAM; AVID; Gifted offerings</t>
  </si>
  <si>
    <t>Demand signal for differentiated portfolio; validate access/equity.</t>
  </si>
  <si>
    <t>Program-specific tags (IB/DLI/MSA/etc.)</t>
  </si>
  <si>
    <t>Applications/waitlists; conversion; participation equity profile.</t>
  </si>
  <si>
    <t>Safe / positive school climate</t>
  </si>
  <si>
    <t>Better climate; fewer behavior issues</t>
  </si>
  <si>
    <t>Strength or comparative advantage; also signals where to invest.</t>
  </si>
  <si>
    <t>Climate/culture improvement</t>
  </si>
  <si>
    <t>Climate survey; discipline/attendance comparisons; entry survey.</t>
  </si>
  <si>
    <t>Better supports/services</t>
  </si>
  <si>
    <t>SPED; 504; counseling; EL supports</t>
  </si>
  <si>
    <t>Strength signal; ensure capacity and equitable access.</t>
  </si>
  <si>
    <t>Accessibility &amp; supports</t>
  </si>
  <si>
    <t>Service delivery indicators; staffing ratios; family feedback.</t>
  </si>
  <si>
    <t>Smaller classes; school feel</t>
  </si>
  <si>
    <t>Preference-based; may inform model design and capacity planning.</t>
  </si>
  <si>
    <t>Compare actual class size; enrollment trends; entry survey.</t>
  </si>
  <si>
    <t>Extracurriculars / arts / athletics / CTE</t>
  </si>
  <si>
    <t>Robust offerings; pathways</t>
  </si>
  <si>
    <t>Strength/opportunity signal; can drive retention.</t>
  </si>
  <si>
    <t>Arts/CTE/enrichment pathways</t>
  </si>
  <si>
    <t>Participation metrics; course catalog; schedule analysis.</t>
  </si>
  <si>
    <t>Community / peer network</t>
  </si>
  <si>
    <t>Friends; family ties; community fit</t>
  </si>
  <si>
    <t>Social network driver; important for comms and retention.</t>
  </si>
  <si>
    <t>Community engagement</t>
  </si>
  <si>
    <t>Entry survey; retention patterns.</t>
  </si>
  <si>
    <t>Financial/Value</t>
  </si>
  <si>
    <t>Public value vs private cost</t>
  </si>
  <si>
    <t>Cost savings; tuition avoidance</t>
  </si>
  <si>
    <t>Economic driver; can inform messaging/value proposition.</t>
  </si>
  <si>
    <t>Value proposition; communications</t>
  </si>
  <si>
    <t>Entry survey; macro context; avoid over-claiming.</t>
  </si>
  <si>
    <t>Data Template (Aggregated) — for entry/exit origin/destination and reason analysis</t>
  </si>
  <si>
    <t>School year</t>
  </si>
  <si>
    <t>School (sending if exit / receiving if entry)</t>
  </si>
  <si>
    <t>Program participation (Y/N/program)</t>
  </si>
  <si>
    <t>Counterparty type (origin/destination)</t>
  </si>
  <si>
    <t>Counterparty name (optional)</t>
  </si>
  <si>
    <t>Reason subcategory</t>
  </si>
  <si>
    <t>Driver type</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</si>
  <si>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</si>
  <si>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</si>
  <si>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</si>
  <si>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</si>
  <si>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</si>
  <si>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</si>
  <si>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Comparator Benchmarking (select out-of-state representative examples — optional)</t>
  </si>
  <si>
    <t>Goal: identify example models when AZ peers are limited; keep small (2–4 examples) to avoid scope creep.
Approach: pick examples tied to SUSD priority opportunity areas (from Landscape Brief).</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</si>
  <si>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</si>
  <si>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</si>
  <si>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</si>
  <si>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</si>
  <si>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 xml:space="preserve">Lightweight Annual Benchmarking Workflow </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</si>
  <si>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</si>
  <si>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</si>
  <si>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</si>
  <si>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</si>
  <si>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</si>
  <si>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</si>
  <si>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</si>
  <si>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</si>
  <si>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</si>
  <si>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</si>
  <si>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</si>
  <si>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</si>
  <si>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</si>
  <si>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</si>
  <si>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</si>
  <si>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</si>
  <si>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</si>
  <si>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</si>
  <si>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</si>
  <si>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</si>
  <si>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</si>
  <si>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</si>
  <si>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</si>
  <si>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</si>
  <si>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</si>
  <si>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</si>
  <si>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</si>
  <si>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</si>
  <si>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</si>
  <si>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</si>
  <si>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</si>
  <si>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</si>
  <si>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</si>
  <si>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</si>
  <si>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</si>
  <si>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</si>
  <si>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</si>
  <si>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</si>
  <si>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</si>
  <si>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</si>
  <si>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</si>
  <si>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</si>
  <si>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</si>
  <si>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</si>
  <si>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</si>
  <si>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</si>
  <si>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</si>
  <si>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</si>
  <si>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SPARK Program Directory / Portal (public-facing)</t>
  </si>
  <si>
    <t>A simple landing place to explore current programs (inventory + contacts), see portfolio priorities, and submit an idea (light form). Enables consistent responses to emails.</t>
  </si>
  <si>
    <t>All modules (reduces duplication check time; improves engagement and transparency)</t>
  </si>
  <si>
    <t>Communications + SPARK process owner</t>
  </si>
  <si>
    <t>Continuous updates; quarterly review</t>
  </si>
  <si>
    <t>Candidate Ideas Log + Heatmap</t>
  </si>
  <si>
    <t>A running inventory of incoming ideas (from all channels), with status and categorization for capacity management and portfolio view.</t>
  </si>
  <si>
    <t>Candidate pipeline (pre‑triage/triage); Landscape (signals); Portfolio prioritization</t>
  </si>
  <si>
    <t>Program Review team / SPARK coordinator</t>
  </si>
  <si>
    <t>Continuous intake; triage on cadence (monthly/quarterly)</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</si>
  <si>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</si>
  <si>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</si>
  <si>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</si>
  <si>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</si>
  <si>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</si>
  <si>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</si>
  <si>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</si>
  <si>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</si>
  <si>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</si>
  <si>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</si>
  <si>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</si>
  <si>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</si>
  <si>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</si>
  <si>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</si>
  <si>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</si>
  <si>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</si>
  <si>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</si>
  <si>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</si>
  <si>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</si>
  <si>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</si>
  <si>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</si>
  <si>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</si>
  <si>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</si>
  <si>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</si>
  <si>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</si>
  <si>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</si>
  <si>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</si>
  <si>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</si>
  <si>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</si>
  <si>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</si>
  <si>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Mobility &amp; Choice Signals (entries + exits)</t>
  </si>
  <si>
    <t>Where students/families enter from and exit to, plus reason trends (as available), segmented by cohorts. Used as a demand/access lens; interpreted on landscape cadence.</t>
  </si>
  <si>
    <t>Landscape assessment (optional/high maturity); informs intake focus; flags equity barriers; triangulates demand and competitive positioning.</t>
  </si>
  <si>
    <t>Enrollment/Data team</t>
  </si>
  <si>
    <t>Continuous collection; summarized annually (optional semiannual light refresh)</t>
  </si>
  <si>
    <t>Aggregate only; directional; triangulate with other signals.</t>
  </si>
  <si>
    <t>External Benchmarking</t>
  </si>
  <si>
    <t>Peer district comparison matrix + top examples; helps calibrate evidence, models, and feasibility.</t>
  </si>
  <si>
    <t>Landscape context; candidate proposals; continuous improvement of ongoing programs.</t>
  </si>
  <si>
    <t>Public sources + internal notes.</t>
  </si>
  <si>
    <t>Trend Scan / Horizon Signals</t>
  </si>
  <si>
    <t>Emerging policy/research/technology/workforce signals; used as context only.</t>
  </si>
  <si>
    <t>Landscape context; candidate ideation; sustainability/adaptability discussions.</t>
  </si>
  <si>
    <t>Monthly log + semiannual synthesis</t>
  </si>
  <si>
    <t>Use carefully; document uncertainty.</t>
  </si>
  <si>
    <t>Concept Study Outputs (option set + feasibility scan)</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</si>
  <si>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</si>
  <si>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</si>
  <si>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</si>
  <si>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</si>
  <si>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</si>
  <si>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</si>
  <si>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</si>
  <si>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</si>
  <si>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</si>
  <si>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</si>
  <si>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</si>
  <si>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</si>
  <si>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</si>
  <si>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</si>
  <si>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</si>
  <si>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</si>
  <si>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</si>
  <si>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</si>
  <si>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</si>
  <si>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</si>
  <si>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</si>
  <si>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</si>
  <si>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</si>
  <si>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</si>
  <si>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</si>
  <si>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</si>
  <si>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</si>
  <si>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</si>
  <si>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</si>
  <si>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</si>
  <si>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</si>
  <si>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</si>
  <si>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</si>
  <si>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</si>
  <si>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</si>
  <si>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</si>
  <si>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</si>
  <si>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</si>
  <si>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</si>
  <si>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</si>
  <si>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</si>
  <si>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</si>
  <si>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</si>
  <si>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</si>
  <si>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</si>
  <si>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</si>
  <si>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</si>
  <si>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</si>
  <si>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</si>
  <si>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</si>
  <si>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</si>
  <si>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</si>
  <si>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</si>
  <si>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</si>
  <si>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</si>
  <si>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</si>
  <si>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</si>
  <si>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</si>
  <si>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</si>
  <si>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</si>
  <si>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</si>
  <si>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</si>
  <si>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</si>
  <si>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</si>
  <si>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</si>
  <si>
    <t>Rubric category</t>
  </si>
  <si>
    <t>Evidence found (public)</t>
  </si>
  <si>
    <t>Evidence link(s)</t>
  </si>
  <si>
    <t>Evidence ID(s)</t>
  </si>
  <si>
    <t>Preliminary rubric implication</t>
  </si>
  <si>
    <t>Data/evidence needed (request from Lea / internal sources)</t>
  </si>
  <si>
    <t>Notes (Saguaro vs Mohave etc.)</t>
  </si>
  <si>
    <t>District and school pages articulate SMSA STEM focus, history (started at Saguaro in 2008), and mission including an 'open forum/open village' framing intended to broaden benefits beyond enrolled SMSA students.</t>
  </si>
  <si>
    <t>https://www.susd.org/academics/academic-programs/math-science-academy
https://saguaro.susd.org/academics/math-science-academy</t>
  </si>
  <si>
    <t>E50; E52</t>
  </si>
  <si>
    <t>Rubric 1 (Alignment): Alignment to STEM emphasis is clear; outcomes are framed but not operationalized into measurable success metrics in public sources.</t>
  </si>
  <si>
    <t>Needs assessment data (why this program vs alternatives); explicit measurable outcomes/KPIs; target population and capacity.</t>
  </si>
  <si>
    <t>Saguaro HS + Mohave MS; confirm whether one program or two linked implementations.</t>
  </si>
  <si>
    <t>Not found in public sources reviewed (or requires internal data).</t>
  </si>
  <si>
    <t>Rubric 1: insufficient public evidence to rate; likely requires internal program data and stakeholder input.</t>
  </si>
  <si>
    <t>Request evidence per QI Evidence Map / Evidence Library (internal and/or site artifacts).</t>
  </si>
  <si>
    <t>Public sources describe program model and recognition pathways, but do not provide an explicit external research base summary.</t>
  </si>
  <si>
    <t>MSA overview (district): https://www.susd.org/academics/academic-programs/math-science-academy
Levels of Recognition: https://www.susd.org/academics/academic-programs/math-science-academy/levels-of-recognition</t>
  </si>
  <si>
    <t>E50; E51</t>
  </si>
  <si>
    <t>Implementation-aligned interpretation: focus on whether the program has a clear local definition of success + a monitoring routine (not on judging research validity).</t>
  </si>
  <si>
    <t>If needed for context: any internal MSA logic model, theory of action, or foundational design docs used historically; annual monitoring reports/dashboards.</t>
  </si>
  <si>
    <t>Rubric 2: insufficient public evidence to rate; likely requires internal program data and stakeholder input.</t>
  </si>
  <si>
    <t>District overview emphasizes inclusivity via open forum opportunities for any Saguaro student; Mohave page emphasizes inclusive opportunities for all Mohave students.</t>
  </si>
  <si>
    <t>https://www.susd.org/academics/academic-programs/math-science-academy
https://mohave.susd.org/academics/msa</t>
  </si>
  <si>
    <t>E50; E53</t>
  </si>
  <si>
    <t>Rubric 3 (Equity): Public language suggests intent to broaden access, but equity mechanisms (supports, recruitment, barriers) and actual subgroup participation are not visible.</t>
  </si>
  <si>
    <t>Enrollment/demographics by subgroup (open-enroll vs boundary); admissions/selection criteria; supports for SPED/EL; transportation/access constraints.</t>
  </si>
  <si>
    <t>Rubric 3: insufficient public evidence to rate; likely requires internal program data and stakeholder input.</t>
  </si>
  <si>
    <t>Rubric 4: insufficient public evidence to rate; likely requires internal program data and stakeholder input.</t>
  </si>
  <si>
    <t>Mohave describes Innovation Center resources (robotics, coding, 3D printing) and STEM experiences; job posting describes Innovation Center maker-space equipment and high-tech workstations.</t>
  </si>
  <si>
    <t>https://mohave.susd.org/academics/msa
https://scottsdale.tedk12.com/hire/Admin/JobPostingPrintView.aspx?Internal=&amp;JobID=11116</t>
  </si>
  <si>
    <t>E53; E57</t>
  </si>
  <si>
    <t>Rubric 4 (Cost/Resources): Evidence indicates meaningful facilities/tech investment, but costs and maintenance plans are not public.</t>
  </si>
  <si>
    <t>Inventory of facilities/tech by site; annual operating/refresh costs; funding sources; utilization metrics.</t>
  </si>
  <si>
    <t>Mohave implementation likely differs from Saguaro Innovation Center setup.</t>
  </si>
  <si>
    <t>Job posting outlines dedicated coordinator role overseeing SMSA operations and Innovation Center, including budget management, student progress monitoring, and community outreach.</t>
  </si>
  <si>
    <t>Rubric 4/7: Clear evidence of specialized staffing roles; still need full staffing model and sustainability.</t>
  </si>
  <si>
    <t>Current org chart for SMSA; staffing FTE by role; teacher load impacts; Mohave staffing plan.</t>
  </si>
  <si>
    <t>Job posting may reflect a point-in-time; confirm current structure.</t>
  </si>
  <si>
    <t>Rubric 5: insufficient public evidence to rate; likely requires internal program data and stakeholder input.</t>
  </si>
  <si>
    <t>Evidence of family-facing supports: student/parent info meeting flyer; application form includes booster email opt-in/out; upperclassman application requests meeting with coordinator to build program of study.</t>
  </si>
  <si>
    <t>Info meeting flyer (PDF): https://www.susd.org/fs/resource-manager/view/fba819f9-911a-4b9c-bedb-ede911bb88fe
Initial application form: https://docs.google.com/forms/d/e/1FAIpQLScB0u8R3BUTkTAL3jTyQrvIOOSS-1JBGtRVGCLpTio2sONRSQ/viewform?usp=pp_url
Upperclassman recognition application: https://docs.google.com/forms/d/e/1FAIpQLSeqaU6FJP4EKRoI_NkhfIZ-zFd_EH24u2R0b5fE1xMi6SlJ8Q/viewform?usp=pp_url</t>
  </si>
  <si>
    <t>E66; E64; E65</t>
  </si>
  <si>
    <t>Strong implementation signal if these supports are consistent and accessible to families across cohorts; confirm cadence and languages/translation supports.</t>
  </si>
  <si>
    <t>Parent/family comms plan (ParentSquare cadence), attendance records for info meetings, FAQs/handbook, translation/interpretation supports.</t>
  </si>
  <si>
    <t>Recognition/distinction requirements imply significant student load (advanced STEM coursework, minimum course load, competitions, service, and field experience).</t>
  </si>
  <si>
    <t>https://www.susd.org/academics/academic-programs/math-science-academy
https://www.susd.org/academics/academic-programs/math-science-academy/levels-of-recognition</t>
  </si>
  <si>
    <t>Rubric 6 (Impact): Program is designed to be rigorous; need to assess whether workload is appropriate and supported (counseling, scheduling, wellbeing).</t>
  </si>
  <si>
    <t>Student schedule impact analysis; student/parent survey feedback; retention/attrition; wellbeing indicators.</t>
  </si>
  <si>
    <t>Rubric 6: insufficient public evidence to rate; likely requires internal program data and stakeholder input.</t>
  </si>
  <si>
    <t>Cohort classes emphasize enhanced instruction (labs, speakers, field trips, critical thinking, technical writing) intended to enhance learning experiences.</t>
  </si>
  <si>
    <t>Rubric 6: Evidence of enriched learning design; need outcome data to judge effectiveness vs complexity.</t>
  </si>
  <si>
    <t>Student achievement/growth; classroom observation evidence; student work/product examples; teacher feedback.</t>
  </si>
  <si>
    <t>Mohave expansion is explicitly framed as beginning in the 2025–26 school year; described as modeled after Saguaro’s program.</t>
  </si>
  <si>
    <t>Mohave district MSA page: https://www.susd.org/academics/academic-programs/math-science-academy/mohave-middle-school
Mohave school MSA page: https://mohave.susd.org/academics/msa</t>
  </si>
  <si>
    <t>Clear public milestone; for baseline review, verify rollout plan details (schedule changes, staffing, elective pathways, Innovation Center access).</t>
  </si>
  <si>
    <t>Implementation plan/calendar for Mohave launch; staffing plan; schedule/elective offerings; PD plan; communication plan.</t>
  </si>
  <si>
    <t>Separate 'mature' vs 'new' implementation evidence.</t>
  </si>
  <si>
    <t>Rubric 7: insufficient public evidence to rate; likely requires internal program data and stakeholder input.</t>
  </si>
  <si>
    <t>District MSA page lists program coordinators; upperclassman application references coordinator meeting to develop Program of Study.</t>
  </si>
  <si>
    <t>District MSA overview (contacts): https://www.susd.org/academics/academic-programs/math-science-academy
Upperclassman recognition application: https://docs.google.com/forms/d/e/1FAIpQLSeqaU6FJP4EKRoI_NkhfIZ-zFd_EH24u2R0b5fE1xMi6SlJ8Q/viewform?usp=pp_url</t>
  </si>
  <si>
    <t>E50; E65</t>
  </si>
  <si>
    <t>Good start; for system alignment, clarify role ownership across district vs site (coordinator, counselor, Innovation Center staff) and ensure consistency across Mohave and Saguaro.</t>
  </si>
  <si>
    <t>Role descriptions/RACI; advising workflow; Innovation Center staffing model; counselor coordination notes.</t>
  </si>
  <si>
    <t>Rubric 8: insufficient public evidence to rate; likely requires internal program data and stakeholder input.</t>
  </si>
  <si>
    <t>Public sources include some participation/progression counts (e.g., MSA students; candidates for distinction) in Saguaro school profile, but do not show a regular monitoring dashboard.</t>
  </si>
  <si>
    <t>Saguaro school profile PDF: https://saguaro.susd.org/fs/resource-manager/view/d02ac368-f793-4ac1-8232-2548c994d06c</t>
  </si>
  <si>
    <t>Baseline evidence exists (counts); to align with Ms. Mitchell’s intent, prioritize building a repeatable annual update with agreed KPIs and a cadence.</t>
  </si>
  <si>
    <t>Annual metrics (enrollment by subgroup, course-taking, competitions, distinction completion, field experience completion); process for reviewing results and making changes.</t>
  </si>
  <si>
    <t>Rubric 9: insufficient public evidence to rate; likely requires internal program data and stakeholder input.</t>
  </si>
  <si>
    <t>District and job posting reference field experiences/internships and outreach/liaison with colleges, business and industry; Mohave page mentions partnerships with local industry professionals.</t>
  </si>
  <si>
    <t>https://www.susd.org/academics/academic-programs/math-science-academy
https://mohave.susd.org/academics/msa
https://scottsdale.tedk12.com/hire/Admin/JobPostingPrintView.aspx?Internal=&amp;JobID=11116</t>
  </si>
  <si>
    <t>E50; E53; E57; E56</t>
  </si>
  <si>
    <t>Rubric 9 (Stakeholder/Partners): Partnership intent is explicit; need inventory of partners and evidence of value delivered to students.</t>
  </si>
  <si>
    <t>Partner list/MOUs; # of students placed; quality of placements; partner feedback; equity of access to partnerships.</t>
  </si>
  <si>
    <t>Multiple public-facing pages and forms clearly communicate pathways and expectations (cohort, recognition levels, competitions, field experiences) + contacts.</t>
  </si>
  <si>
    <t>District MSA overview: https://www.susd.org/academics/academic-programs/math-science-academy
Saguaro MSA page: https://saguaro.susd.org/academics/math-science-academy
Levels of Recognition: https://www.susd.org/academics/academic-programs/math-science-academy/levels-of-recognition</t>
  </si>
  <si>
    <t>E50; E52; E51; E64; E65</t>
  </si>
  <si>
    <t>Implementation-aligned: communications appear robust; confirm coherence across sites (Mohave vs Saguaro) and ensure communications cover access supports, timelines, and who to contact.</t>
  </si>
  <si>
    <t>Program handbook(s) by site; communications calendar; translated materials; FAQ; any equity/access messaging.</t>
  </si>
  <si>
    <t>Levels of Recognition and application forms provide detailed requirements (courses, competitions, service, field experiences) that help families understand what the program entails.</t>
  </si>
  <si>
    <t>Levels of Recognition: https://www.susd.org/academics/academic-programs/math-science-academy/levels-of-recognition
Upperclassman recognition application: https://docs.google.com/forms/d/e/1FAIpQLSeqaU6FJP4EKRoI_NkhfIZ-zFd_EH24u2R0b5fE1xMi6SlJ8Q/viewform?usp=pp_url</t>
  </si>
  <si>
    <t>E51; E65</t>
  </si>
  <si>
    <t>Strong for “clarity of expectations”; verify that requirements are feasible/consistent with counseling and scheduling supports (system alignment).</t>
  </si>
  <si>
    <t>Student advising materials; list of approved STEM courses (current year); sample programs of study; equity/access supports for meeting requirements.</t>
  </si>
  <si>
    <t>District overview notes program started at Saguaro in May 2008, indicating longevity; expansion to Mohave suggests continued investment.</t>
  </si>
  <si>
    <t>Rubric 10 (Sustainability): Longevity is a positive signal; sustainability still depends on staffing/funding stability and enrollment demand.</t>
  </si>
  <si>
    <t>Multi-year funding/staffing plan; enrollment trend; equipment refresh plan; succession plan for key roles.</t>
  </si>
  <si>
    <t>Rubric 10: insufficient public evidence to rate; likely requires internal program data and stakeholder input.</t>
  </si>
  <si>
    <t>Mohave page frames MSA as part of a pipeline with accelerated pathways and a transition to Saguaro SMSA; district framing emphasizes open-forum access to STEM opportunities.</t>
  </si>
  <si>
    <t>https://mohave.susd.org/academics/msa
https://www.susd.org/academics/academic-programs/math-science-academy</t>
  </si>
  <si>
    <t>E53; E50</t>
  </si>
  <si>
    <t>Rubric 10: Integration intent exists (MS→HS pipeline); need operational details (articulation agreements, counseling, course sequencing).</t>
  </si>
  <si>
    <t>Articulation plan MS→HS; counseling process; course sequence alignment; student tracking.</t>
  </si>
  <si>
    <t>Domain Summary (very preliminary; public evidence only)</t>
  </si>
  <si>
    <t>Key evidence found (public)</t>
  </si>
  <si>
    <t>Preliminary score (1-4)</t>
  </si>
  <si>
    <t>Rationale (public-only)</t>
  </si>
  <si>
    <t>Key gaps / additional evidence needed</t>
  </si>
  <si>
    <t>Where to get it (owner)</t>
  </si>
  <si>
    <t>Mission/overview posted; history since 2008; open-forum framing.</t>
  </si>
  <si>
    <t>Alignment to STEM focus is clear; measurable outcomes/needs data not public.</t>
  </si>
  <si>
    <t>Needs assessment; measurable KPIs; capacity/target cohort definition.</t>
  </si>
  <si>
    <t>Lea + site leadership; district strategy/data.</t>
  </si>
  <si>
    <t>Claims of benchmarking with top STEM universities; rigorous requirements (courses/competitions/field experience) documented.</t>
  </si>
  <si>
    <t>Design rationale exists; empirical results and research base not visible publicly.</t>
  </si>
  <si>
    <t>Outcome data (achievement, AP/DE, postsecondary); research base; comparison to similar programs.</t>
  </si>
  <si>
    <t>Lea + Assessment/Accountability; counseling/CTE; MSA coordinator.</t>
  </si>
  <si>
    <t>Inclusivity language ('open forum') on district page; Mohave page frames inclusive opportunities.</t>
  </si>
  <si>
    <t>Intent to broaden access is stated; supports/barriers and subgroup participation not shown publicly.</t>
  </si>
  <si>
    <t>Admissions/selection criteria; transportation/access; subgroup participation/outcomes; supports for EL/SPED.</t>
  </si>
  <si>
    <t>Lea + enrollment office; site administration; data team.</t>
  </si>
  <si>
    <t>Innovation Center resources/equipment described (maker-space); dedicated coordinator role suggests operational investment.</t>
  </si>
  <si>
    <t>Public sources do not provide cost model, funding sources, or maintenance plan.</t>
  </si>
  <si>
    <t>Annual cost (staffing, equipment, supplies); funding sources; refresh/maintenance schedule; utilization metrics.</t>
  </si>
  <si>
    <t>Lea + finance; site admin; MSA coordinator.</t>
  </si>
  <si>
    <t>No specific PD/support plan found publicly (beyond role descriptions).</t>
  </si>
  <si>
    <t>Likely exists internally but not visible; cannot assess.</t>
  </si>
  <si>
    <t>PD plan, coaching supports, onboarding for teachers; certification/training requirements (if any).</t>
  </si>
  <si>
    <t>Lea + site leadership; district PD/HR.</t>
  </si>
  <si>
    <t>Program is designed for enriched instruction; student requirements indicate rigor and capstone experiences.</t>
  </si>
  <si>
    <t>Likely positive academically; need evidence on workload, wellbeing, teacher impact, and broader school impacts.</t>
  </si>
  <si>
    <t>Student/teacher surveys; schedule impacts; retention/attrition; culture indicators; discipline/attendance changes.</t>
  </si>
  <si>
    <t>Lea + site leadership; counselors; climate surveys.</t>
  </si>
  <si>
    <t>Saguaro implementation mature; Mohave launch communicated publicly; coordinator role responsibilities defined.</t>
  </si>
  <si>
    <t>Operationally feasible in at least one site; Mohave is early stage; role clarity exists at coordinator level.</t>
  </si>
  <si>
    <t>Mohave implementation plan; fidelity measures; staffing plan; risk mitigation; lessons learned from Saguaro replication.</t>
  </si>
  <si>
    <t>Lea + Mohave admin; MSA coordinator.</t>
  </si>
  <si>
    <t>No formal evaluation plan or dashboard publicly available.</t>
  </si>
  <si>
    <t>Cannot assess evaluation rigor without internal reporting.</t>
  </si>
  <si>
    <t>Define KPIs and reporting cadence; prior annual reports; evaluation instruments; data governance.</t>
  </si>
  <si>
    <t>Lea + Assessment/Accountability; data team.</t>
  </si>
  <si>
    <t>Partnership intent is explicit (field experience/internships; liaison responsibilities); public communications exist.</t>
  </si>
  <si>
    <t>Some evidence of comms and partnerships; need evidence of broad stakeholder support and partner outcomes.</t>
  </si>
  <si>
    <t>Stakeholder feedback; partner list and outcomes; communication plan; participation rates.</t>
  </si>
  <si>
    <t>Lea + coordinator; site PTO/parent org; partners.</t>
  </si>
  <si>
    <t>Longevity since 2008; expansion to Mohave suggests continued investment and pipeline thinking.</t>
  </si>
  <si>
    <t>Program appears sustainable historically, but future sustainability depends on funding/staffing stability and demand.</t>
  </si>
  <si>
    <t>Multi-year staffing/funding plan; enrollment trend; equipment refresh plan; leadership succession plan.</t>
  </si>
  <si>
    <t>Lea + finance/HR; site leadership.</t>
  </si>
  <si>
    <t>District identifies Laguna and Navajo as Cognia STEM-certified schools; district STEM K–12 framing describes STEM learning experiences districtwide.</t>
  </si>
  <si>
    <t>https://www.susd.org/academics/academic-programs/stem-certified-schools
https://www.susd.org/stem-k12
https://laguna.susd.org/academics
https://navajo.susd.org/academics</t>
  </si>
  <si>
    <t>E58; E62; E59; E60</t>
  </si>
  <si>
    <t>Rubric 1: Alignment to STEM/innovation is clear; measurable outcomes and need are not explicit in public sources.</t>
  </si>
  <si>
    <t>School/district goals for STEM/STEAM; measurable outcomes and target population; needs data driving certification focus.</t>
  </si>
  <si>
    <t>Laguna (EL-5), Navajo (K-5).</t>
  </si>
  <si>
    <t>Rubric 1: insufficient public evidence to rate; likely requires internal school artifacts and outcome data.</t>
  </si>
  <si>
    <t>Cognia STEM certification indicates external quality standards and a rigorous review process, including evidence artifacts and peer observations; certification framework spans community, learning culture, student experiences, and outcomes.</t>
  </si>
  <si>
    <t>https://www.susd.org/academics/academic-programs/stem-certified-schools
https://www.cognia.org/stem-certification/
https://www.cognia.org/wp-content/uploads/2022/08/Performance-Standards-for-STEM.pdf</t>
  </si>
  <si>
    <t>E58; E63</t>
  </si>
  <si>
    <t>Rubric 2: Certification is a strong external quality signal; however, public sources don’t provide specific outcome results or research evidence.</t>
  </si>
  <si>
    <t>Cognia certification reports/scores for each site; internal achievement/outcome trends; evidence base for chosen instructional model.</t>
  </si>
  <si>
    <t>Rubric 2: insufficient public evidence to rate; likely requires internal school artifacts and outcome data.</t>
  </si>
  <si>
    <t>Site pages describe supports and enrichment aligned to serving a broad student population (e.g., makerspace/science lab/Chromebooks at Laguna; interventionists + Innovator’s Lab + PBIS + low/no‑cost before/after-school supports at Navajo).</t>
  </si>
  <si>
    <t>Laguna academics: https://laguna.susd.org/academics
Navajo academics: https://navajo.susd.org/academics</t>
  </si>
  <si>
    <t>E59; E60</t>
  </si>
  <si>
    <t>Implementation-aligned: these descriptions suggest schoolwide access to STEAM experiences; confirm how access is structured during the school day (core integration vs elective/club).</t>
  </si>
  <si>
    <t>Participation data by grade/subgroup; schedule model for STEAM blocks/lab time; how students with IEP/EL access labs and projects.</t>
  </si>
  <si>
    <t>No public documentation found describing how EL and students with disabilities access STEM labs/projects (beyond general school supports).</t>
  </si>
  <si>
    <t>Key system-alignment gap to close in the baseline write-up: document concrete access supports (UDL strategies, co-teaching, scaffolds, accommodations in project work).</t>
  </si>
  <si>
    <t>EL/SPED access plan for STEAM learning (examples: modified rubrics, co-teaching, language supports, assistive tech); examples of inclusive project artifacts.</t>
  </si>
  <si>
    <t>Rubric 3: insufficient public evidence to rate; likely requires internal school artifacts and outcome data.</t>
  </si>
  <si>
    <t>Rubric 4: insufficient public evidence to rate; likely requires internal school artifacts and outcome data.</t>
  </si>
  <si>
    <t>School pages reference STEM labs/makerspace and hands-on learning (e.g., makerspace, robotics/coding, science fair), implying materials and facilities requirements.</t>
  </si>
  <si>
    <t>https://laguna.susd.org/academics
https://navajo.susd.org/academics</t>
  </si>
  <si>
    <t>Rubric 4: Evidence of specialized facilities; cost model and maintenance not public.</t>
  </si>
  <si>
    <t>Lab/makerspace inventory; ongoing supply and maintenance budget; staffing model; training for equipment use.</t>
  </si>
  <si>
    <t>Rubric 5: insufficient public evidence to rate; likely requires internal school artifacts and outcome data.</t>
  </si>
  <si>
    <t>Rubric 6: insufficient public evidence to rate; likely requires internal school artifacts and outcome data.</t>
  </si>
  <si>
    <t>Rubric 7: insufficient public evidence to rate; likely requires internal school artifacts and outcome data.</t>
  </si>
  <si>
    <t>Rubric 8: insufficient public evidence to rate; likely requires internal school artifacts and outcome data.</t>
  </si>
  <si>
    <t>District and site pages describe Cognia certification review scored across four domains and proficiency in 16 standards (peer observations + hundreds of artifacts), but do not provide ongoing annual KPI dashboards publicly.</t>
  </si>
  <si>
    <t>District STEM Certified Schools: https://www.susd.org/academics/academic-programs/stem-certified-schools
Laguna academics: https://laguna.susd.org/academics
Navajo academics: https://navajo.susd.org/academics</t>
  </si>
  <si>
    <t>E58; E59; E60; E63</t>
  </si>
  <si>
    <t>Strong external-review baseline; next step for SPARK is translating this into a repeatable annual update (few KPIs + evidence pointers) for sustainability and coherence.</t>
  </si>
  <si>
    <t>Cognia certification reports/score summaries; annual metrics used for STEM recert; student participation/outcomes by subgroup; annual action plan notes.</t>
  </si>
  <si>
    <t>Navajo highlights family engagement events (e.g., Family STEAM night) and communication mechanisms (newsletters), suggesting stakeholder engagement practices.</t>
  </si>
  <si>
    <t>Rubric 9: Some evidence of stakeholder engagement; need systematic survey/feedback and broader community partner evidence.</t>
  </si>
  <si>
    <t>Stakeholder feedback data; engagement participation rates; partner list and contributions.</t>
  </si>
  <si>
    <t>Rubric 9: insufficient public evidence to rate; likely requires internal school artifacts and outcome data.</t>
  </si>
  <si>
    <t>District and school pages communicate what STEM certification means (Cognia domains/standards) and describe site-level STEAM identity; board minutes and district stories reinforce visibility.</t>
  </si>
  <si>
    <t>District STEM Certified Schools: https://www.susd.org/academics/academic-programs/stem-certified-schools
Laguna academics: https://laguna.susd.org/academics
Navajo academics: https://navajo.susd.org/academics
Board minutes (May 24, 2022): https://www.susd.org/fs/resource-manager/view/84349add-81d3-4ede-946c-730f3ecfe751</t>
  </si>
  <si>
    <t>E58; E59; E60; E68; E70; E71</t>
  </si>
  <si>
    <t>Strong communication foundation; confirm consistency in terminology (STEM vs STEAM; certified vs accredited) and ensure families can find practical ‘what changes for my child’ guidance.</t>
  </si>
  <si>
    <t>Family FAQ/handbook; enrollment messaging; translations; examples of “day in the life” for students.</t>
  </si>
  <si>
    <t>Site pages provide definitions (e.g., Navajo’s STEAM description) and list concrete programs/spaces (Innovator’s Lab, makerspace, science lab, clubs) that help families understand program specifics.</t>
  </si>
  <si>
    <t>Navajo academics (STEAM definition): https://navajo.susd.org/academics
Laguna academics (program list): https://laguna.susd.org/academics</t>
  </si>
  <si>
    <t>E60; E59</t>
  </si>
  <si>
    <t>Good ‘what it is’ descriptions; baseline review should confirm what is core (instructional model) vs optional (clubs) to improve coherence across sites.</t>
  </si>
  <si>
    <t>Instructional model description (how STEAM integrates with core curriculum); minimum implementation expectations; list of signature experiences by grade band.</t>
  </si>
  <si>
    <t>Certification implies the schools met quality standards at a point in time; sustainability depends on recert requirements, staffing, and resource continuity (not public).</t>
  </si>
  <si>
    <t>https://www.cognia.org/stem-certification/</t>
  </si>
  <si>
    <t>Rubric 10: Cannot assess sustainability without internal data on maintenance/costs/recert cycles.</t>
  </si>
  <si>
    <t>Recert timeline and requirements; resource plan; staffing stability; budget plan.</t>
  </si>
  <si>
    <t>Rubric 10: insufficient public evidence to rate; likely requires internal school artifacts and outcome data.</t>
  </si>
  <si>
    <t>District STEM framing suggests integration into core academic program; need clarification on how STEM certified model aligns with district curriculum and other initiatives.</t>
  </si>
  <si>
    <t>Rubric 10: Likely integrated, but operational alignment and scaling lessons are not documented publicly.</t>
  </si>
  <si>
    <t>Curriculum alignment artifacts; professional learning supports; integration with other district initiatives.</t>
  </si>
  <si>
    <t>District identifies STEM-certified schools; STEM K–12 framing published.</t>
  </si>
  <si>
    <t>Alignment is clear; measurable outcomes/needs not explicit publicly.</t>
  </si>
  <si>
    <t>Explicit goals/KPIs; needs data; capacity/target populations.</t>
  </si>
  <si>
    <t>Lea + site leadership; district STEM lead.</t>
  </si>
  <si>
    <t>Cognia STEM certification is external quality signal.</t>
  </si>
  <si>
    <t>Certification suggests strong practices; need outcomes/score reports for substantiation.</t>
  </si>
  <si>
    <t>Cognia report summaries; internal outcomes; comparative benchmarks.</t>
  </si>
  <si>
    <t>Lea + site principals; Cognia documentation.</t>
  </si>
  <si>
    <t>Neighborhood school delivery suggests broad access; some supports noted.</t>
  </si>
  <si>
    <t>Equity not assessable without subgroup data and barriers analysis.</t>
  </si>
  <si>
    <t>Demographics/participation by subgroup; access supports; transportation/fees.</t>
  </si>
  <si>
    <t>Lea + enrollment/data team.</t>
  </si>
  <si>
    <t>Labs/makerspace implied; certification likely requires artifacts/PD.</t>
  </si>
  <si>
    <t>Resources likely meaningful; cost model not public.</t>
  </si>
  <si>
    <t>Inventory/budget; maintenance; staffing model.</t>
  </si>
  <si>
    <t>Lea + finance; site admin.</t>
  </si>
  <si>
    <t>Not visible publicly.</t>
  </si>
  <si>
    <t>Cannot rate without PD/coaching plan.</t>
  </si>
  <si>
    <t>PD plan; coaching; certification maintenance training.</t>
  </si>
  <si>
    <t>Lea + PD/HR; STEM lead.</t>
  </si>
  <si>
    <t>Hands-on STEM experiences described; outcome data not public.</t>
  </si>
  <si>
    <t>Likely positive engagement; need achievement and climate data.</t>
  </si>
  <si>
    <t>Achievement/growth; engagement surveys; teacher impact measures.</t>
  </si>
  <si>
    <t>Lea + assessment; site data.</t>
  </si>
  <si>
    <t>Certified schools indicate feasibility at those sites.</t>
  </si>
  <si>
    <t>Operational at two sites; replicability to other sites unknown.</t>
  </si>
  <si>
    <t>Core model definition; implementation playbook; staffing/resource requirements.</t>
  </si>
  <si>
    <t>Lea + STEM lead + principals.</t>
  </si>
  <si>
    <t>Certification implies evaluation; internal plan not public.</t>
  </si>
  <si>
    <t>Need local KPI dashboard and cadence.</t>
  </si>
  <si>
    <t>KPI dashboard; data review cadence; evidence governance.</t>
  </si>
  <si>
    <t>Lea + data team.</t>
  </si>
  <si>
    <t>Family engagement examples (Navajo) and certification story.</t>
  </si>
  <si>
    <t>Some engagement evidence; need systematic support/resistance assessment and partner outcomes.</t>
  </si>
  <si>
    <t>Stakeholder surveys; partner list and outcomes; comms plan.</t>
  </si>
  <si>
    <t>Lea + site leadership.</t>
  </si>
  <si>
    <t>Certification implies quality; sustainability depends on recert and resources.</t>
  </si>
  <si>
    <t>Cannot assess without staffing/budget stability and recert requirements.</t>
  </si>
  <si>
    <t>Recert plan; multi-year budget; staffing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</si>
</sst>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rgb="FFFFFFFF"/>
      <name val="Calibri"/>
    </font>
    <font>
      <b/>
      <sz val="14"/>
      <name val="Calibri"/>
    </font>
    <font>
      <b/>
      <sz val="11"/>
      <color rgb="FFFFFFFF"/>
      <name val="Calibri"/>
    </font>
    <font>
      <b/>
      <sz val="14"/>
      <color rgb="FF1F4E79"/>
      <name val="Calibri"/>
    </font>
    <font>
      <b/>
      <sz val="12"/>
      <color rgb="FF1F4E79"/>
      <name val="Calibri"/>
    </font>
    <font>
      <sz val="11"/>
      <color rgb="FF000000"/>
      <name val="Calibri"/>
    </font>
    <font>
      <i/>
      <sz val="10"/>
      <name val="Calibri"/>
    </font>
    <font>
      <b/>
      <sz val="11"/>
      <name val="Calibri"/>
    </font>
    <font>
      <b/>
      <sz val="11"/>
      <color rgb="FFC00000"/>
      <name val="Calibri"/>
    </font>
    <font>
      <b/>
      <sz val="11"/>
      <color rgb="FFFFFFFF"/>
      <name val="Calibri"/>
    </font>
    <font>
      <b/>
      <sz val="14"/>
      <name val="Calibri"/>
    </font>
    <font>
      <b/>
      <sz val="11"/>
      <name val="Calibri"/>
    </font>
    <font>
      <i/>
      <sz val="11"/>
      <color rgb="FF404040"/>
      <name val="Calibri"/>
    </font>
    <font>
      <b/>
      <sz val="11"/>
      <color rgb="FF1F4E79"/>
      <name val="Calibri"/>
    </font>
    <font>
      <b/>
      <sz val="11"/>
      <color rgb="FFFFFFFF"/>
      <name val="Calibri"/>
      <family val="2"/>
    </font>
    <font>
      <sz val="15"/>
      <color theme="1"/>
      <name val="Calibri"/>
      <family val="2"/>
      <scheme val="minor"/>
    </font>
    <font>
      <b/>
      <sz val="11"/>
      <color rgb="FF1F4E79"/>
      <name val="Calibri"/>
      <family val="2"/>
    </font>
    <font>
      <b/>
      <sz val="14"/>
      <color rgb="FF1F4E79"/>
      <name val="Calibri"/>
      <family val="2"/>
    </font>
    <font>
      <b/>
      <sz val="11"/>
      <name val="Calibri"/>
      <family val="2"/>
    </font>
    <font>
      <b/>
      <sz val="14"/>
      <name val="Calibri"/>
      <family val="2"/>
    </font>
    <font>
      <sz val="11"/>
      <color rgb="FF000000"/>
      <name val="Calibri"/>
      <family val="2"/>
    </font>
    <font>
      <b/>
      <sz val="12"/>
      <name val="Calibri"/>
    </font>
    <font>
      <b/>
      <sz val="11"/>
      <name val="Calibri"/>
    </font>
    <font>
      <b/>
      <sz val="11"/>
      <color rgb="FFFFFFFF"/>
      <name val="Calibri"/>
    </font>
    <font>
      <b/>
      <sz val="18"/>
      <color rgb="FF0F6B6F"/>
      <name val="Calibri"/>
    </font>
    <font>
      <i/>
      <sz val="11"/>
      <color rgb="FF555555"/>
      <name val="Calibri"/>
    </font>
    <font>
      <b/>
      <sz val="12"/>
      <color rgb="FF0F6B6F"/>
      <name val="Calibri"/>
    </font>
    <font>
      <sz val="11"/>
      <color rgb="FF222222"/>
      <name val="Calibri"/>
    </font>
  </fonts>
  <fills count="26">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6337778862885"/>
        <bgColor indexed="65"/>
      </patternFill>
    </fill>
    <fill>
      <patternFill patternType="solid">
        <fgColor theme="4" tint="0.79995117038483843"/>
        <bgColor indexed="65"/>
      </patternFill>
    </fill>
    <fill>
      <patternFill patternType="solid">
        <fgColor rgb="FF305496"/>
      </patternFill>
    </fill>
    <fill>
      <patternFill patternType="solid">
        <fgColor rgb="FFE2EFDA"/>
      </patternFill>
    </fill>
    <fill>
      <patternFill patternType="solid">
        <fgColor rgb="FFBDD7EE"/>
      </patternFill>
    </fill>
    <fill>
      <patternFill patternType="solid">
        <fgColor rgb="FFFFF2CC"/>
      </patternFill>
    </fill>
    <fill>
      <patternFill patternType="solid">
        <fgColor rgb="FFD9E1F2"/>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2CC"/>
      </patternFill>
    </fill>
    <fill>
      <patternFill patternType="solid">
        <fgColor rgb="FF0F6B6F"/>
      </patternFill>
    </fill>
    <fill>
      <patternFill patternType="solid">
        <fgColor rgb="FFF3F5F7"/>
      </patternFill>
    </fill>
    <fill>
      <patternFill patternType="solid">
        <fgColor rgb="FFFFFFFF"/>
      </patternFill>
    </fill>
    <fill>
      <patternFill patternType="solid">
        <fgColor rgb="FFD9F1F1"/>
      </patternFill>
    </fill>
    <fill>
      <patternFill patternType="solid">
        <fgColor rgb="FFF8FBFB"/>
      </patternFill>
    </fill>
  </fills>
  <borders count="19">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s>
  <cellStyleXfs count="1">
    <xf numFmtId="0" fontId="0" fillId="0" borderId="0"/>
  </cellStyleXfs>
  <cellXfs count="11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3" fillId="5" borderId="5" xfId="0" applyFont="1" applyFill="1" applyBorder="1" applyAlignment="1">
      <alignment horizontal="center" vertical="center" wrapText="1"/>
    </xf>
    <xf numFmtId="0" fontId="0" fillId="6" borderId="5" xfId="0" applyFill="1" applyBorder="1" applyAlignment="1">
      <alignment vertical="top" wrapText="1"/>
    </xf>
    <xf numFmtId="0" fontId="0" fillId="7" borderId="5" xfId="0" applyFill="1" applyBorder="1" applyAlignment="1">
      <alignment vertical="top" wrapText="1"/>
    </xf>
    <xf numFmtId="0" fontId="5" fillId="3" borderId="1" xfId="0" applyFont="1" applyFill="1" applyBorder="1" applyAlignment="1">
      <alignment vertical="top" wrapText="1"/>
    </xf>
    <xf numFmtId="0" fontId="2" fillId="6" borderId="5" xfId="0" applyFont="1" applyFill="1" applyBorder="1" applyAlignment="1">
      <alignment vertical="top" wrapText="1"/>
    </xf>
    <xf numFmtId="0" fontId="1" fillId="6" borderId="5" xfId="0" applyFont="1" applyFill="1" applyBorder="1" applyAlignment="1">
      <alignment vertical="top" wrapText="1"/>
    </xf>
    <xf numFmtId="9" fontId="0" fillId="6" borderId="5" xfId="0" applyNumberFormat="1" applyFill="1" applyBorder="1" applyAlignment="1">
      <alignment vertical="top" wrapText="1"/>
    </xf>
    <xf numFmtId="9" fontId="0" fillId="7" borderId="5" xfId="0" applyNumberFormat="1" applyFill="1" applyBorder="1" applyAlignment="1">
      <alignment vertical="top" wrapText="1"/>
    </xf>
    <xf numFmtId="0" fontId="0" fillId="0" borderId="6" xfId="0" applyBorder="1"/>
    <xf numFmtId="0" fontId="0" fillId="0" borderId="7" xfId="0" applyBorder="1"/>
    <xf numFmtId="0" fontId="3" fillId="5" borderId="5" xfId="0" applyFont="1" applyFill="1" applyBorder="1" applyAlignment="1">
      <alignment vertical="center" wrapText="1"/>
    </xf>
    <xf numFmtId="0" fontId="0" fillId="10" borderId="9" xfId="0" applyFill="1" applyBorder="1" applyAlignment="1">
      <alignment vertical="top" wrapText="1"/>
    </xf>
    <xf numFmtId="0" fontId="0" fillId="11" borderId="8" xfId="0" applyFill="1" applyBorder="1" applyAlignment="1">
      <alignment vertical="top" wrapText="1"/>
    </xf>
    <xf numFmtId="0" fontId="8" fillId="8" borderId="12" xfId="0" applyFont="1" applyFill="1" applyBorder="1" applyAlignment="1">
      <alignment horizontal="center" vertical="center" wrapText="1"/>
    </xf>
    <xf numFmtId="0" fontId="0" fillId="0" borderId="12" xfId="0" applyBorder="1" applyAlignment="1">
      <alignment vertical="top" wrapText="1"/>
    </xf>
    <xf numFmtId="0" fontId="8" fillId="0" borderId="12" xfId="0" applyFont="1" applyBorder="1" applyAlignment="1">
      <alignment horizontal="right"/>
    </xf>
    <xf numFmtId="0" fontId="0" fillId="0" borderId="12" xfId="0" applyBorder="1"/>
    <xf numFmtId="0" fontId="10" fillId="12" borderId="13" xfId="0" applyFont="1" applyFill="1" applyBorder="1" applyAlignment="1">
      <alignment horizontal="center" vertical="center" wrapText="1"/>
    </xf>
    <xf numFmtId="0" fontId="0" fillId="0" borderId="13" xfId="0" applyBorder="1" applyAlignment="1">
      <alignment vertical="top" wrapText="1"/>
    </xf>
    <xf numFmtId="0" fontId="0" fillId="10" borderId="13" xfId="0" applyFill="1" applyBorder="1" applyAlignment="1">
      <alignment vertical="top" wrapText="1"/>
    </xf>
    <xf numFmtId="0" fontId="0" fillId="11" borderId="13" xfId="0" applyFill="1" applyBorder="1" applyAlignment="1">
      <alignment vertical="top" wrapText="1"/>
    </xf>
    <xf numFmtId="0" fontId="0" fillId="0" borderId="0" xfId="0" applyAlignment="1">
      <alignment horizontal="center" vertical="center" wrapText="1"/>
    </xf>
    <xf numFmtId="0" fontId="12" fillId="0" borderId="0" xfId="0" applyFont="1"/>
    <xf numFmtId="0" fontId="0" fillId="6" borderId="13" xfId="0" applyFill="1" applyBorder="1" applyAlignment="1">
      <alignment vertical="top" wrapText="1"/>
    </xf>
    <xf numFmtId="0" fontId="0" fillId="7" borderId="13" xfId="0" applyFill="1" applyBorder="1" applyAlignment="1">
      <alignment vertical="top" wrapText="1"/>
    </xf>
    <xf numFmtId="0" fontId="12" fillId="0" borderId="0" xfId="0" applyFont="1" applyAlignment="1">
      <alignment vertical="top" wrapText="1"/>
    </xf>
    <xf numFmtId="0" fontId="5" fillId="0" borderId="13" xfId="0" applyFont="1" applyBorder="1" applyAlignment="1">
      <alignment vertical="top" wrapText="1"/>
    </xf>
    <xf numFmtId="0" fontId="3" fillId="5" borderId="13" xfId="0" applyFont="1" applyFill="1" applyBorder="1" applyAlignment="1">
      <alignment vertical="top" wrapText="1"/>
    </xf>
    <xf numFmtId="0" fontId="1" fillId="12" borderId="13" xfId="0" applyFont="1" applyFill="1" applyBorder="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left" vertical="top" wrapText="1"/>
    </xf>
    <xf numFmtId="0" fontId="15" fillId="12" borderId="13" xfId="0" applyFont="1" applyFill="1" applyBorder="1" applyAlignment="1">
      <alignment horizontal="center" vertical="center" wrapText="1"/>
    </xf>
    <xf numFmtId="0" fontId="0" fillId="17" borderId="0" xfId="0" applyFill="1" applyAlignment="1">
      <alignment vertical="top" wrapText="1"/>
    </xf>
    <xf numFmtId="0" fontId="19" fillId="0" borderId="0" xfId="0" applyFont="1"/>
    <xf numFmtId="0" fontId="0" fillId="6" borderId="13" xfId="0" applyFill="1" applyBorder="1" applyAlignment="1">
      <alignment horizontal="center" vertical="center" wrapText="1"/>
    </xf>
    <xf numFmtId="0" fontId="0" fillId="7" borderId="13" xfId="0" applyFill="1" applyBorder="1" applyAlignment="1">
      <alignment horizontal="center" vertical="center" wrapText="1"/>
    </xf>
    <xf numFmtId="0" fontId="21" fillId="0" borderId="0" xfId="0" quotePrefix="1" applyFont="1" applyAlignment="1">
      <alignment horizontal="left" vertical="top" wrapText="1"/>
    </xf>
    <xf numFmtId="0" fontId="0" fillId="6" borderId="0" xfId="0" applyFill="1" applyAlignment="1">
      <alignment horizontal="center" vertical="center" wrapText="1"/>
    </xf>
    <xf numFmtId="0" fontId="0" fillId="6" borderId="0" xfId="0" applyFill="1" applyAlignment="1">
      <alignment vertical="top" wrapText="1"/>
    </xf>
    <xf numFmtId="0" fontId="11" fillId="0" borderId="0" xfId="0" applyFont="1" applyAlignment="1">
      <alignment horizontal="left" vertical="center"/>
    </xf>
    <xf numFmtId="0" fontId="9" fillId="0" borderId="0" xfId="0" applyFont="1" applyAlignment="1">
      <alignment wrapText="1"/>
    </xf>
    <xf numFmtId="0" fontId="0" fillId="18" borderId="4" xfId="0" applyFill="1" applyBorder="1" applyAlignment="1">
      <alignment vertical="top" wrapText="1"/>
    </xf>
    <xf numFmtId="0" fontId="0" fillId="19" borderId="4" xfId="0" applyFill="1" applyBorder="1" applyAlignment="1">
      <alignment vertical="top" wrapText="1"/>
    </xf>
    <xf numFmtId="0" fontId="10" fillId="2" borderId="0" xfId="0" applyFont="1" applyFill="1" applyAlignment="1">
      <alignment horizontal="center" vertical="center" wrapText="1"/>
    </xf>
    <xf numFmtId="0" fontId="22" fillId="0" borderId="0" xfId="0" applyFont="1"/>
    <xf numFmtId="0" fontId="24" fillId="21" borderId="16" xfId="0" applyFont="1" applyFill="1" applyBorder="1" applyAlignment="1">
      <alignment horizontal="center" vertical="center" wrapText="1"/>
    </xf>
    <xf numFmtId="0" fontId="0" fillId="0" borderId="16" xfId="0" applyBorder="1" applyAlignment="1">
      <alignment vertical="top" wrapText="1"/>
    </xf>
    <xf numFmtId="0" fontId="28" fillId="23" borderId="16" xfId="0" applyFont="1" applyFill="1" applyBorder="1" applyAlignment="1">
      <alignment vertical="top" wrapText="1"/>
    </xf>
    <xf numFmtId="0" fontId="28" fillId="24" borderId="16" xfId="0" applyFont="1" applyFill="1" applyBorder="1" applyAlignment="1">
      <alignment vertical="top" wrapText="1"/>
    </xf>
    <xf numFmtId="0" fontId="28" fillId="25" borderId="16" xfId="0" applyFont="1" applyFill="1" applyBorder="1" applyAlignment="1">
      <alignment vertical="top" wrapText="1"/>
    </xf>
    <xf numFmtId="0" fontId="25" fillId="0" borderId="0" xfId="0" applyFont="1" applyAlignment="1">
      <alignment horizontal="center" vertical="center"/>
    </xf>
    <xf numFmtId="0" fontId="0" fillId="0" borderId="0" xfId="0"/>
    <xf numFmtId="0" fontId="28" fillId="0" borderId="0" xfId="0" applyFont="1" applyAlignment="1">
      <alignment vertical="top" wrapText="1"/>
    </xf>
    <xf numFmtId="0" fontId="27" fillId="22" borderId="0" xfId="0" applyFont="1" applyFill="1" applyAlignment="1">
      <alignment vertical="center"/>
    </xf>
    <xf numFmtId="0" fontId="24" fillId="21" borderId="16" xfId="0" applyFont="1" applyFill="1" applyBorder="1" applyAlignment="1">
      <alignment horizontal="center" vertical="center" wrapText="1"/>
    </xf>
    <xf numFmtId="0" fontId="0" fillId="0" borderId="17" xfId="0" applyBorder="1"/>
    <xf numFmtId="0" fontId="28" fillId="0" borderId="16" xfId="0" applyFont="1" applyBorder="1"/>
    <xf numFmtId="0" fontId="26" fillId="0" borderId="0" xfId="0" applyFont="1" applyAlignment="1">
      <alignment vertical="top" wrapText="1"/>
    </xf>
    <xf numFmtId="0" fontId="23" fillId="20" borderId="0" xfId="0" applyFont="1" applyFill="1" applyAlignment="1">
      <alignment vertical="top" wrapText="1"/>
    </xf>
    <xf numFmtId="0" fontId="0" fillId="0" borderId="0" xfId="0" applyAlignment="1">
      <alignment vertical="top" wrapText="1"/>
    </xf>
    <xf numFmtId="0" fontId="11" fillId="0" borderId="0" xfId="0" applyFont="1" applyAlignment="1">
      <alignment horizontal="left" vertical="center" wrapText="1"/>
    </xf>
    <xf numFmtId="0" fontId="14" fillId="0" borderId="0" xfId="0" applyFont="1"/>
    <xf numFmtId="0" fontId="14" fillId="15" borderId="13" xfId="0" applyFont="1" applyFill="1" applyBorder="1" applyAlignment="1">
      <alignment horizontal="center" vertical="center" wrapText="1"/>
    </xf>
    <xf numFmtId="0" fontId="0" fillId="0" borderId="15" xfId="0" applyBorder="1"/>
    <xf numFmtId="0" fontId="12" fillId="0" borderId="0" xfId="0" applyFont="1"/>
    <xf numFmtId="0" fontId="14" fillId="14" borderId="13" xfId="0" applyFont="1" applyFill="1" applyBorder="1" applyAlignment="1">
      <alignment horizontal="center" vertical="center" wrapText="1"/>
    </xf>
    <xf numFmtId="0" fontId="0" fillId="0" borderId="14" xfId="0" applyBorder="1"/>
    <xf numFmtId="0" fontId="14" fillId="16" borderId="13" xfId="0" applyFont="1" applyFill="1" applyBorder="1" applyAlignment="1">
      <alignment horizontal="center" vertical="center" wrapText="1"/>
    </xf>
    <xf numFmtId="0" fontId="14" fillId="13" borderId="13" xfId="0" applyFont="1" applyFill="1" applyBorder="1" applyAlignment="1">
      <alignment horizontal="center" vertical="center" wrapText="1"/>
    </xf>
    <xf numFmtId="0" fontId="17" fillId="13" borderId="13" xfId="0" applyFont="1" applyFill="1" applyBorder="1" applyAlignment="1">
      <alignment horizontal="center" vertical="center" wrapText="1"/>
    </xf>
    <xf numFmtId="0" fontId="7" fillId="0" borderId="0" xfId="0" applyFont="1"/>
    <xf numFmtId="0" fontId="2" fillId="0" borderId="0" xfId="0" applyFont="1"/>
    <xf numFmtId="0" fontId="8" fillId="0" borderId="0" xfId="0" applyFont="1"/>
    <xf numFmtId="0" fontId="28" fillId="25" borderId="16" xfId="0" applyFont="1" applyFill="1" applyBorder="1" applyAlignment="1">
      <alignment vertical="top" wrapText="1"/>
    </xf>
    <xf numFmtId="0" fontId="0" fillId="0" borderId="18" xfId="0" applyBorder="1"/>
    <xf numFmtId="0" fontId="28" fillId="23" borderId="16" xfId="0" applyFont="1" applyFill="1" applyBorder="1" applyAlignment="1">
      <alignment vertical="top" wrapText="1"/>
    </xf>
    <xf numFmtId="0" fontId="21" fillId="0" borderId="0" xfId="0" quotePrefix="1" applyFont="1" applyAlignment="1">
      <alignment horizontal="left" vertical="top" wrapText="1"/>
    </xf>
    <xf numFmtId="0" fontId="18" fillId="8" borderId="0" xfId="0" applyFont="1" applyFill="1" applyAlignment="1">
      <alignment vertical="center" wrapText="1"/>
    </xf>
    <xf numFmtId="0" fontId="6" fillId="0" borderId="0" xfId="0" applyFont="1" applyAlignment="1">
      <alignment horizontal="left" vertical="top" wrapText="1"/>
    </xf>
    <xf numFmtId="0" fontId="20" fillId="0" borderId="0" xfId="0" applyFont="1" applyAlignment="1">
      <alignment horizontal="left" vertical="center"/>
    </xf>
    <xf numFmtId="0" fontId="13" fillId="0" borderId="0" xfId="0" applyFont="1" applyAlignment="1">
      <alignment vertical="top" wrapText="1"/>
    </xf>
    <xf numFmtId="0" fontId="11" fillId="0" borderId="0" xfId="0" applyFont="1" applyAlignment="1">
      <alignment horizontal="left" vertical="center"/>
    </xf>
    <xf numFmtId="0" fontId="13" fillId="0" borderId="0" xfId="0" applyFont="1"/>
    <xf numFmtId="0" fontId="0" fillId="7" borderId="5" xfId="0" applyFill="1" applyBorder="1" applyAlignment="1">
      <alignment vertical="top" wrapText="1"/>
    </xf>
    <xf numFmtId="0" fontId="0" fillId="0" borderId="6" xfId="0" applyBorder="1"/>
    <xf numFmtId="0" fontId="0" fillId="0" borderId="7" xfId="0" applyBorder="1"/>
    <xf numFmtId="0" fontId="5" fillId="3" borderId="1" xfId="0" applyFont="1" applyFill="1" applyBorder="1" applyAlignment="1">
      <alignment vertical="top" wrapText="1"/>
    </xf>
    <xf numFmtId="0" fontId="0" fillId="0" borderId="2" xfId="0" applyBorder="1"/>
    <xf numFmtId="0" fontId="0" fillId="0" borderId="3" xfId="0" applyBorder="1"/>
    <xf numFmtId="0" fontId="4" fillId="8" borderId="1" xfId="0" applyFont="1" applyFill="1" applyBorder="1" applyAlignment="1">
      <alignment vertical="center" wrapText="1"/>
    </xf>
    <xf numFmtId="0" fontId="0" fillId="6" borderId="10" xfId="0" applyFill="1" applyBorder="1" applyAlignment="1">
      <alignment horizontal="left" vertical="top" wrapText="1"/>
    </xf>
    <xf numFmtId="0" fontId="0" fillId="6" borderId="10" xfId="0" applyFill="1" applyBorder="1" applyAlignment="1">
      <alignment vertical="top"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0" fillId="6" borderId="11" xfId="0" applyFill="1" applyBorder="1" applyAlignment="1">
      <alignment vertical="top" wrapText="1"/>
    </xf>
    <xf numFmtId="0" fontId="11" fillId="8" borderId="0" xfId="0" applyFont="1" applyFill="1" applyAlignment="1">
      <alignment horizontal="left" vertical="center" wrapText="1"/>
    </xf>
    <xf numFmtId="0" fontId="0" fillId="6" borderId="11" xfId="0" applyFill="1" applyBorder="1" applyAlignment="1">
      <alignment horizontal="left" vertical="top" wrapText="1"/>
    </xf>
    <xf numFmtId="0" fontId="5" fillId="9" borderId="0" xfId="0" applyFont="1" applyFill="1" applyAlignment="1">
      <alignment vertical="top" wrapText="1"/>
    </xf>
    <xf numFmtId="0" fontId="4" fillId="8" borderId="0" xfId="0" applyFont="1" applyFill="1" applyAlignment="1">
      <alignment vertical="center" wrapText="1"/>
    </xf>
    <xf numFmtId="0" fontId="5" fillId="0" borderId="0" xfId="0" applyFont="1" applyAlignment="1">
      <alignment vertical="top" wrapText="1"/>
    </xf>
    <xf numFmtId="0" fontId="0" fillId="6" borderId="13" xfId="0" applyFill="1" applyBorder="1" applyAlignment="1">
      <alignment vertical="top" wrapText="1"/>
    </xf>
    <xf numFmtId="0" fontId="0" fillId="7" borderId="13" xfId="0" applyFill="1" applyBorder="1" applyAlignment="1">
      <alignment vertical="top" wrapText="1"/>
    </xf>
    <xf numFmtId="0" fontId="0" fillId="0" borderId="13" xfId="0" applyBorder="1" applyAlignment="1">
      <alignment vertical="top" wrapText="1"/>
    </xf>
    <xf numFmtId="0" fontId="3" fillId="5" borderId="13" xfId="0" applyFont="1" applyFill="1" applyBorder="1" applyAlignment="1">
      <alignment vertical="top" wrapText="1"/>
    </xf>
    <xf numFmtId="0" fontId="4" fillId="8" borderId="0" xfId="0" applyFont="1" applyFill="1" applyAlignment="1">
      <alignment horizontal="left" vertical="center" wrapText="1"/>
    </xf>
    <xf numFmtId="0" fontId="8" fillId="2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lityIndicators" displayName="QualityIndicators" ref="A1:H46">
  <autoFilter ref="A1:H46" xr:uid="{00000000-0009-0000-0100-000001000000}"/>
  <tableColumns count="8">
    <tableColumn id="1" xr3:uid="{00000000-0010-0000-0000-000001000000}" name="Domain"/>
    <tableColumn id="2" xr3:uid="{00000000-0010-0000-0000-000002000000}" name="Indicator / Guiding Question"/>
    <tableColumn id="3" xr3:uid="{00000000-0010-0000-0000-000003000000}" name="QI ID"/>
    <tableColumn id="4" xr3:uid="{00000000-0010-0000-0000-000004000000}" name="Evidence artifacts (summary)"/>
    <tableColumn id="5" xr3:uid="{00000000-0010-0000-0000-000005000000}" name="Evidence IDs (pool)"/>
    <tableColumn id="6" xr3:uid="{00000000-0010-0000-0000-000006000000}" name="Where to find (quick)"/>
    <tableColumn id="7" xr3:uid="{00000000-0010-0000-0000-000007000000}" name="Strong evidence / 'goodness' look-fors (summary)"/>
    <tableColumn id="8" xr3:uid="{00000000-0010-0000-0000-000008000000}" name="Program-specific 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IDecisionMap" displayName="QIDecisionMap" ref="A1:I46">
  <autoFilter ref="A1:I46" xr:uid="{00000000-0009-0000-0100-000002000000}"/>
  <tableColumns count="9">
    <tableColumn id="1" xr3:uid="{00000000-0010-0000-0100-000001000000}" name="QI ID"/>
    <tableColumn id="2" xr3:uid="{00000000-0010-0000-0100-000002000000}" name="Domain"/>
    <tableColumn id="3" xr3:uid="{00000000-0010-0000-0100-000003000000}" name="Indicator / Guiding Question"/>
    <tableColumn id="4" xr3:uid="{00000000-0010-0000-0100-000004000000}" name="Evaluation theme (refined)"/>
    <tableColumn id="5" xr3:uid="{00000000-0010-0000-0100-000005000000}" name="Candidate: triage gate?"/>
    <tableColumn id="6" xr3:uid="{00000000-0010-0000-0100-000006000000}" name="Candidate: full review scored?"/>
    <tableColumn id="7" xr3:uid="{00000000-0010-0000-0100-000007000000}" name="Ongoing: annual review focus"/>
    <tableColumn id="8" xr3:uid="{00000000-0010-0000-0100-000008000000}" name="Continue decision driver?"/>
    <tableColumn id="9" xr3:uid="{00000000-0010-0000-0100-000009000000}" name="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Library" displayName="EvidenceLibrary" ref="A1:F50">
  <autoFilter ref="A1:F50" xr:uid="{00000000-0009-0000-0100-000003000000}"/>
  <tableColumns count="6">
    <tableColumn id="1" xr3:uid="{00000000-0010-0000-0200-000001000000}" name="Evidence ID"/>
    <tableColumn id="2" xr3:uid="{00000000-0010-0000-0200-000002000000}" name="Evidence artifact"/>
    <tableColumn id="3" xr3:uid="{00000000-0010-0000-0200-000003000000}" name="Description"/>
    <tableColumn id="4" xr3:uid="{00000000-0010-0000-0200-000004000000}" name="Where to find / likely sources"/>
    <tableColumn id="5" xr3:uid="{00000000-0010-0000-0200-000005000000}" name="Confidentiality"/>
    <tableColumn id="6" xr3:uid="{00000000-0010-0000-0200-000006000000}" name="Notes / program applicabil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QIEvidenceMap" displayName="QIEvidenceMap" ref="A1:J102">
  <autoFilter ref="A1:J102" xr:uid="{00000000-0009-0000-0100-000004000000}"/>
  <tableColumns count="10">
    <tableColumn id="1" xr3:uid="{00000000-0010-0000-0300-000001000000}" name="QI ID"/>
    <tableColumn id="2" xr3:uid="{00000000-0010-0000-0300-000002000000}" name="Domain"/>
    <tableColumn id="3" xr3:uid="{00000000-0010-0000-0300-000003000000}" name="Indicator / Guiding Question"/>
    <tableColumn id="4" xr3:uid="{00000000-0010-0000-0300-000004000000}" name="Evidence ID"/>
    <tableColumn id="5" xr3:uid="{00000000-0010-0000-0300-000005000000}" name="Evidence artifact"/>
    <tableColumn id="6" xr3:uid="{00000000-0010-0000-0300-000006000000}" name="Priority (Must/Should/Could)"/>
    <tableColumn id="7" xr3:uid="{00000000-0010-0000-0300-000007000000}" name="Program applicability"/>
    <tableColumn id="8" xr3:uid="{00000000-0010-0000-0300-000008000000}" name="Where to find / likely sources"/>
    <tableColumn id="9" xr3:uid="{00000000-0010-0000-0300-000009000000}" name="What 'good' looks like (look-fors)"/>
    <tableColumn id="10" xr3:uid="{00000000-0010-0000-0300-00000A000000}" name="Not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gramSnapshot" displayName="ProgramSnapshot" ref="A1:G7">
  <autoFilter ref="A1:G7" xr:uid="{00000000-0009-0000-0100-000005000000}"/>
  <tableColumns count="7">
    <tableColumn id="1" xr3:uid="{00000000-0010-0000-0400-000001000000}" name="Program"/>
    <tableColumn id="2" xr3:uid="{00000000-0010-0000-0400-000002000000}" name="SUSD sites / grades"/>
    <tableColumn id="3" xr3:uid="{00000000-0010-0000-0400-000003000000}" name="Purpose / value proposition"/>
    <tableColumn id="4" xr3:uid="{00000000-0010-0000-0400-000004000000}" name="Signature components"/>
    <tableColumn id="5" xr3:uid="{00000000-0010-0000-0400-000005000000}" name="Entry / participation"/>
    <tableColumn id="6" xr3:uid="{00000000-0010-0000-0400-000006000000}" name="Notable student outcomes / credentials"/>
    <tableColumn id="7" xr3:uid="{00000000-0010-0000-0400-000007000000}" name="Primary source URL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gramDeepDive" displayName="ProgramDeepDive" ref="A1:D43">
  <autoFilter ref="A1:D43" xr:uid="{00000000-0009-0000-0100-000006000000}"/>
  <tableColumns count="4">
    <tableColumn id="1" xr3:uid="{00000000-0010-0000-0500-000001000000}" name="Program"/>
    <tableColumn id="2" xr3:uid="{00000000-0010-0000-0500-000002000000}" name="Topic"/>
    <tableColumn id="3" xr3:uid="{00000000-0010-0000-0500-000003000000}" name="Details"/>
    <tableColumn id="4" xr3:uid="{00000000-0010-0000-0500-000004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Tracker" displayName="ReviewTracker" ref="A1:J7">
  <autoFilter ref="A1:J7" xr:uid="{00000000-0009-0000-0100-000007000000}"/>
  <tableColumns count="10">
    <tableColumn id="1" xr3:uid="{00000000-0010-0000-0600-000001000000}" name="Program"/>
    <tableColumn id="2" xr3:uid="{00000000-0010-0000-0600-000002000000}" name="Sites / grades"/>
    <tableColumn id="3" xr3:uid="{00000000-0010-0000-0600-000003000000}" name="Lane"/>
    <tableColumn id="4" xr3:uid="{00000000-0010-0000-0600-000004000000}" name="Reviewer pair"/>
    <tableColumn id="5" xr3:uid="{00000000-0010-0000-0600-000005000000}" name="Evidence owner/contact"/>
    <tableColumn id="6" xr3:uid="{00000000-0010-0000-0600-000006000000}" name="Key evidence needed (Must)"/>
    <tableColumn id="7" xr3:uid="{00000000-0010-0000-0600-000007000000}" name="Status"/>
    <tableColumn id="8" xr3:uid="{00000000-0010-0000-0600-000008000000}" name="Draft summary due"/>
    <tableColumn id="9" xr3:uid="{00000000-0010-0000-0600-000009000000}" name="Notes / risks"/>
    <tableColumn id="10" xr3:uid="{00000000-0010-0000-0600-00000A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riageTracker" displayName="TriageTracker" ref="A1:P2">
  <autoFilter ref="A1:P2" xr:uid="{00000000-0009-0000-0100-000008000000}"/>
  <tableColumns count="16">
    <tableColumn id="1" xr3:uid="{00000000-0010-0000-0700-000001000000}" name="Intake ID"/>
    <tableColumn id="2" xr3:uid="{00000000-0010-0000-0700-000002000000}" name="Program"/>
    <tableColumn id="3" xr3:uid="{00000000-0010-0000-0700-000003000000}" name="Proposer / sponsor"/>
    <tableColumn id="4" xr3:uid="{00000000-0010-0000-0700-000004000000}" name="Date received"/>
    <tableColumn id="5" xr3:uid="{00000000-0010-0000-0700-000005000000}" name="Triage decision (Decline / Waitlist / More info / Proceed)"/>
    <tableColumn id="6" xr3:uid="{00000000-0010-0000-0700-000006000000}" name="Alignment (QI-01)"/>
    <tableColumn id="7" xr3:uid="{00000000-0010-0000-0700-000007000000}" name="Need/demand (QI-03/07)"/>
    <tableColumn id="8" xr3:uid="{00000000-0010-0000-0700-000008000000}" name="Differentiation (QI-05)"/>
    <tableColumn id="9" xr3:uid="{00000000-0010-0000-0700-000009000000}" name="Equity/access (QI-11/12)"/>
    <tableColumn id="10" xr3:uid="{00000000-0010-0000-0700-00000A000000}" name="Feasibility (QI-14/15/18/42)"/>
    <tableColumn id="11" xr3:uid="{00000000-0010-0000-0700-00000B000000}" name="Evaluation plan (QI-32/33)"/>
    <tableColumn id="12" xr3:uid="{00000000-0010-0000-0700-00000C000000}" name="Key rationale / notes"/>
    <tableColumn id="13" xr3:uid="{00000000-0010-0000-0700-00000D000000}" name="Follow-ups requested"/>
    <tableColumn id="14" xr3:uid="{00000000-0010-0000-0700-00000E000000}" name="Owner"/>
    <tableColumn id="15" xr3:uid="{00000000-0010-0000-0700-00000F000000}" name="Due date"/>
    <tableColumn id="16" xr3:uid="{00000000-0010-0000-0700-000010000000}" name="Link to intake packe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NewProgramTemplate" displayName="NewProgramTemplate" ref="A1:C13">
  <autoFilter ref="A1:C13" xr:uid="{00000000-0009-0000-0100-000009000000}"/>
  <tableColumns count="3">
    <tableColumn id="1" xr3:uid="{00000000-0010-0000-0800-000001000000}" name="Section"/>
    <tableColumn id="2" xr3:uid="{00000000-0010-0000-0800-000002000000}" name="Guiding prompts"/>
    <tableColumn id="3" xr3:uid="{00000000-0010-0000-0800-000003000000}" name="Response (draft)"/>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ngoingReviewTemplate" displayName="OngoingReviewTemplate" ref="A15:C29">
  <autoFilter ref="A15:C29" xr:uid="{00000000-0009-0000-0100-00000A000000}"/>
  <tableColumns count="3">
    <tableColumn id="1" xr3:uid="{00000000-0010-0000-0900-000001000000}" name="Section"/>
    <tableColumn id="2" xr3:uid="{00000000-0010-0000-0900-000002000000}" name="Guiding prompts"/>
    <tableColumn id="3" xr3:uid="{00000000-0010-0000-09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showGridLines="0" zoomScale="70" zoomScaleNormal="70" workbookViewId="0">
      <pane xSplit="1" ySplit="3" topLeftCell="B4" activePane="bottomRight" state="frozen"/>
      <selection pane="topRight" activeCell="B1" sqref="B1"/>
      <selection pane="bottomLeft" activeCell="A4" sqref="A4"/>
      <selection pane="bottomRight" activeCell="B4" sqref="B4"/>
    </sheetView>
  </sheetViews>
  <sheetFormatPr defaultRowHeight="14.5" x14ac:dyDescent="0.35"/>
  <cols>
    <col min="1" max="1" width="34" customWidth="1"/>
    <col min="2" max="2" width="40" customWidth="1"/>
    <col min="3" max="3" width="22" customWidth="1"/>
    <col min="4" max="4" width="44" customWidth="1"/>
    <col min="5" max="5" width="22" customWidth="1"/>
    <col min="6" max="6" width="42" customWidth="1"/>
    <col min="7" max="7" width="34" customWidth="1"/>
  </cols>
  <sheetData>
    <row r="1" spans="1:7" ht="36" customHeight="1" x14ac:dyDescent="0.35">
      <c r="A1" s="66" t="s">
        <v>0</v>
      </c>
      <c r="B1" s="59"/>
      <c r="C1" s="59"/>
      <c r="D1" s="59"/>
      <c r="E1" s="59"/>
      <c r="F1" s="59"/>
    </row>
    <row r="2" spans="1:7" ht="19.5" customHeight="1" x14ac:dyDescent="0.35">
      <c r="A2" s="59"/>
      <c r="B2" s="59"/>
      <c r="C2" s="59"/>
      <c r="D2" s="59"/>
      <c r="E2" s="59"/>
      <c r="F2" s="59"/>
    </row>
    <row r="3" spans="1:7" x14ac:dyDescent="0.35">
      <c r="A3" s="25" t="s">
        <v>1</v>
      </c>
      <c r="B3" s="25" t="s">
        <v>2</v>
      </c>
      <c r="C3" s="25" t="s">
        <v>3</v>
      </c>
      <c r="D3" s="25" t="s">
        <v>4</v>
      </c>
      <c r="E3" s="25" t="s">
        <v>5</v>
      </c>
      <c r="F3" s="25" t="s">
        <v>6</v>
      </c>
      <c r="G3" s="3" t="s">
        <v>7</v>
      </c>
    </row>
    <row r="4" spans="1:7" ht="72.5" customHeight="1" x14ac:dyDescent="0.35">
      <c r="A4" s="26" t="s">
        <v>8</v>
      </c>
      <c r="B4" s="26" t="s">
        <v>9</v>
      </c>
      <c r="C4" s="26" t="s">
        <v>10</v>
      </c>
      <c r="D4" s="26" t="s">
        <v>11</v>
      </c>
      <c r="E4" s="26" t="s">
        <v>12</v>
      </c>
      <c r="F4" s="26" t="s">
        <v>13</v>
      </c>
      <c r="G4" s="2" t="s">
        <v>14</v>
      </c>
    </row>
    <row r="5" spans="1:7" ht="76" customHeight="1" x14ac:dyDescent="0.35">
      <c r="A5" s="26" t="s">
        <v>15</v>
      </c>
      <c r="B5" s="26" t="s">
        <v>16</v>
      </c>
      <c r="C5" s="26" t="s">
        <v>17</v>
      </c>
      <c r="D5" s="26" t="s">
        <v>18</v>
      </c>
      <c r="E5" s="26" t="s">
        <v>19</v>
      </c>
      <c r="F5" s="26" t="s">
        <v>20</v>
      </c>
    </row>
    <row r="6" spans="1:7" ht="72.5" customHeight="1" x14ac:dyDescent="0.35">
      <c r="A6" s="26" t="s">
        <v>21</v>
      </c>
      <c r="B6" s="26" t="s">
        <v>22</v>
      </c>
      <c r="C6" s="26" t="s">
        <v>23</v>
      </c>
      <c r="D6" s="26" t="s">
        <v>24</v>
      </c>
      <c r="E6" s="26" t="s">
        <v>25</v>
      </c>
      <c r="F6" s="26" t="s">
        <v>26</v>
      </c>
      <c r="G6" s="2" t="s">
        <v>27</v>
      </c>
    </row>
    <row r="7" spans="1:7" ht="58" customHeight="1" x14ac:dyDescent="0.35">
      <c r="A7" s="26" t="s">
        <v>28</v>
      </c>
      <c r="B7" s="26" t="s">
        <v>29</v>
      </c>
      <c r="C7" s="26" t="s">
        <v>30</v>
      </c>
      <c r="D7" s="26" t="s">
        <v>31</v>
      </c>
      <c r="E7" s="26" t="s">
        <v>32</v>
      </c>
      <c r="F7" s="26" t="s">
        <v>33</v>
      </c>
      <c r="G7" s="2" t="s">
        <v>34</v>
      </c>
    </row>
    <row r="8" spans="1:7" ht="58" customHeight="1" x14ac:dyDescent="0.35">
      <c r="A8" s="26" t="s">
        <v>35</v>
      </c>
      <c r="B8" s="26" t="s">
        <v>36</v>
      </c>
      <c r="C8" s="26" t="s">
        <v>37</v>
      </c>
      <c r="D8" s="26" t="s">
        <v>38</v>
      </c>
      <c r="E8" s="26" t="s">
        <v>39</v>
      </c>
      <c r="F8" s="26" t="s">
        <v>40</v>
      </c>
      <c r="G8" s="2" t="s">
        <v>41</v>
      </c>
    </row>
    <row r="9" spans="1:7" ht="101.5" customHeight="1" x14ac:dyDescent="0.35">
      <c r="A9" s="27" t="s">
        <v>42</v>
      </c>
      <c r="B9" s="27" t="s">
        <v>43</v>
      </c>
      <c r="C9" s="27" t="s">
        <v>44</v>
      </c>
      <c r="D9" s="27" t="s">
        <v>45</v>
      </c>
      <c r="E9" s="27" t="s">
        <v>46</v>
      </c>
      <c r="F9" s="27" t="s">
        <v>47</v>
      </c>
      <c r="G9" s="19" t="s">
        <v>48</v>
      </c>
    </row>
    <row r="10" spans="1:7" ht="87" customHeight="1" x14ac:dyDescent="0.35">
      <c r="A10" s="28" t="s">
        <v>49</v>
      </c>
      <c r="B10" s="28" t="s">
        <v>50</v>
      </c>
      <c r="C10" s="28" t="s">
        <v>51</v>
      </c>
      <c r="D10" s="28" t="s">
        <v>52</v>
      </c>
      <c r="E10" s="28" t="s">
        <v>53</v>
      </c>
      <c r="F10" s="28" t="s">
        <v>54</v>
      </c>
      <c r="G10" s="20" t="s">
        <v>55</v>
      </c>
    </row>
    <row r="11" spans="1:7" ht="101.5" customHeight="1" x14ac:dyDescent="0.35">
      <c r="A11" s="27" t="s">
        <v>56</v>
      </c>
      <c r="B11" s="27" t="s">
        <v>57</v>
      </c>
      <c r="C11" s="27" t="s">
        <v>58</v>
      </c>
      <c r="D11" s="27" t="s">
        <v>59</v>
      </c>
      <c r="E11" s="27" t="s">
        <v>60</v>
      </c>
      <c r="F11" s="27" t="s">
        <v>61</v>
      </c>
      <c r="G11" s="19" t="s">
        <v>62</v>
      </c>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sqref="A1:F1"/>
    </sheetView>
  </sheetViews>
  <sheetFormatPr defaultRowHeight="14.5" x14ac:dyDescent="0.35"/>
  <cols>
    <col min="1" max="6" width="24" customWidth="1"/>
  </cols>
  <sheetData>
    <row r="1" spans="1:6" ht="18.649999999999999" customHeight="1" x14ac:dyDescent="0.35">
      <c r="A1" s="68" t="s">
        <v>63</v>
      </c>
      <c r="B1" s="59"/>
      <c r="C1" s="59"/>
      <c r="D1" s="59"/>
      <c r="E1" s="59"/>
      <c r="F1" s="59"/>
    </row>
    <row r="3" spans="1:6" x14ac:dyDescent="0.35">
      <c r="A3" s="69" t="s">
        <v>64</v>
      </c>
      <c r="B3" s="59"/>
      <c r="C3" s="59"/>
      <c r="D3" s="59"/>
      <c r="E3" s="59"/>
      <c r="F3" s="59"/>
    </row>
    <row r="4" spans="1:6" ht="80" customHeight="1" x14ac:dyDescent="0.35">
      <c r="A4" s="67" t="s">
        <v>65</v>
      </c>
      <c r="B4" s="59"/>
      <c r="C4" s="59"/>
      <c r="D4" s="59"/>
      <c r="E4" s="59"/>
      <c r="F4" s="59"/>
    </row>
    <row r="6" spans="1:6" ht="53.4" customHeight="1" x14ac:dyDescent="0.35">
      <c r="A6" s="69" t="s">
        <v>66</v>
      </c>
      <c r="B6" s="59"/>
      <c r="C6" s="59"/>
      <c r="D6" s="59"/>
      <c r="E6" s="59"/>
      <c r="F6" s="59"/>
    </row>
    <row r="7" spans="1:6" x14ac:dyDescent="0.35">
      <c r="A7" s="67" t="s">
        <v>67</v>
      </c>
      <c r="B7" s="59"/>
      <c r="C7" s="59"/>
      <c r="D7" s="59"/>
      <c r="E7" s="59"/>
      <c r="F7" s="59"/>
    </row>
    <row r="8" spans="1:6" ht="33.4" customHeight="1" x14ac:dyDescent="0.35"/>
    <row r="9" spans="1:6" x14ac:dyDescent="0.35">
      <c r="A9" s="69" t="s">
        <v>68</v>
      </c>
      <c r="B9" s="59"/>
      <c r="C9" s="59"/>
      <c r="D9" s="59"/>
      <c r="E9" s="59"/>
      <c r="F9" s="59"/>
    </row>
    <row r="10" spans="1:6" ht="46.65" customHeight="1" x14ac:dyDescent="0.35">
      <c r="A10" s="67" t="s">
        <v>69</v>
      </c>
      <c r="B10" s="59"/>
      <c r="C10" s="59"/>
      <c r="D10" s="59"/>
      <c r="E10" s="59"/>
      <c r="F10" s="59"/>
    </row>
    <row r="12" spans="1:6" ht="26.65" customHeight="1" x14ac:dyDescent="0.35">
      <c r="A12" s="69" t="s">
        <v>70</v>
      </c>
      <c r="B12" s="59"/>
      <c r="C12" s="59"/>
      <c r="D12" s="59"/>
      <c r="E12" s="59"/>
      <c r="F12" s="59"/>
    </row>
    <row r="13" spans="1:6" x14ac:dyDescent="0.35">
      <c r="A13" s="67" t="s">
        <v>71</v>
      </c>
      <c r="B13" s="59"/>
      <c r="C13" s="59"/>
      <c r="D13" s="59"/>
      <c r="E13" s="59"/>
      <c r="F13" s="59"/>
    </row>
    <row r="15" spans="1:6" x14ac:dyDescent="0.35">
      <c r="A15" s="69" t="s">
        <v>72</v>
      </c>
      <c r="B15" s="59"/>
      <c r="C15" s="59"/>
      <c r="D15" s="59"/>
      <c r="E15" s="59"/>
      <c r="F15" s="59"/>
    </row>
    <row r="16" spans="1:6" x14ac:dyDescent="0.35">
      <c r="A16" s="67" t="s">
        <v>73</v>
      </c>
      <c r="B16" s="59"/>
      <c r="C16" s="59"/>
      <c r="D16" s="59"/>
      <c r="E16" s="59"/>
      <c r="F16" s="59"/>
    </row>
  </sheetData>
  <mergeCells count="11">
    <mergeCell ref="A16:F16"/>
    <mergeCell ref="A10:F10"/>
    <mergeCell ref="A13:F13"/>
    <mergeCell ref="A1:F1"/>
    <mergeCell ref="A9:F9"/>
    <mergeCell ref="A6:F6"/>
    <mergeCell ref="A12:F12"/>
    <mergeCell ref="A4:F4"/>
    <mergeCell ref="A3:F3"/>
    <mergeCell ref="A15:F15"/>
    <mergeCell ref="A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
  <sheetViews>
    <sheetView zoomScale="60" zoomScaleNormal="60" workbookViewId="0">
      <selection activeCell="A26" sqref="A26:XFD52"/>
    </sheetView>
  </sheetViews>
  <sheetFormatPr defaultRowHeight="14.5" x14ac:dyDescent="0.35"/>
  <cols>
    <col min="1" max="14" width="16" customWidth="1"/>
  </cols>
  <sheetData>
    <row r="1" spans="1:14" ht="18.649999999999999" customHeight="1" x14ac:dyDescent="0.35">
      <c r="A1" s="68" t="s">
        <v>74</v>
      </c>
      <c r="B1" s="59"/>
      <c r="C1" s="59"/>
      <c r="D1" s="59"/>
      <c r="E1" s="59"/>
      <c r="F1" s="59"/>
      <c r="G1" s="59"/>
      <c r="H1" s="59"/>
      <c r="I1" s="59"/>
      <c r="J1" s="59"/>
      <c r="K1" s="59"/>
      <c r="L1" s="59"/>
      <c r="M1" s="59"/>
      <c r="N1" s="59"/>
    </row>
    <row r="3" spans="1:14" ht="28" customHeight="1" x14ac:dyDescent="0.35">
      <c r="A3" s="76" t="s">
        <v>75</v>
      </c>
      <c r="B3" s="74"/>
      <c r="C3" s="71"/>
      <c r="D3" s="37" t="s">
        <v>76</v>
      </c>
      <c r="E3" s="77" t="s">
        <v>77</v>
      </c>
      <c r="F3" s="74"/>
      <c r="G3" s="71"/>
      <c r="H3" s="37" t="s">
        <v>76</v>
      </c>
      <c r="I3" s="73" t="s">
        <v>78</v>
      </c>
      <c r="J3" s="74"/>
      <c r="K3" s="71"/>
      <c r="L3" s="37" t="s">
        <v>76</v>
      </c>
      <c r="M3" s="73" t="s">
        <v>79</v>
      </c>
      <c r="N3" s="71"/>
    </row>
    <row r="5" spans="1:14" ht="29.5" customHeight="1" x14ac:dyDescent="0.35">
      <c r="A5" s="70" t="s">
        <v>80</v>
      </c>
      <c r="B5" s="74"/>
      <c r="C5" s="71"/>
      <c r="D5" s="37" t="s">
        <v>76</v>
      </c>
      <c r="E5" s="75" t="s">
        <v>81</v>
      </c>
      <c r="F5" s="74"/>
      <c r="G5" s="71"/>
      <c r="H5" s="37" t="s">
        <v>76</v>
      </c>
      <c r="I5" s="75" t="s">
        <v>82</v>
      </c>
      <c r="J5" s="74"/>
      <c r="K5" s="71"/>
      <c r="L5" s="37" t="s">
        <v>76</v>
      </c>
      <c r="M5" s="70" t="s">
        <v>83</v>
      </c>
      <c r="N5" s="71"/>
    </row>
    <row r="7" spans="1:14" ht="32" customHeight="1" x14ac:dyDescent="0.35">
      <c r="A7" s="75" t="s">
        <v>84</v>
      </c>
      <c r="B7" s="74"/>
      <c r="C7" s="74"/>
      <c r="D7" s="71"/>
      <c r="E7" s="37" t="s">
        <v>76</v>
      </c>
      <c r="F7" s="73" t="s">
        <v>85</v>
      </c>
      <c r="G7" s="74"/>
      <c r="H7" s="74"/>
      <c r="I7" s="71"/>
      <c r="J7" s="37" t="s">
        <v>76</v>
      </c>
      <c r="K7" s="70" t="s">
        <v>86</v>
      </c>
      <c r="L7" s="74"/>
      <c r="M7" s="74"/>
      <c r="N7" s="71"/>
    </row>
    <row r="9" spans="1:14" ht="32" customHeight="1" x14ac:dyDescent="0.35">
      <c r="A9" s="76" t="s">
        <v>87</v>
      </c>
      <c r="B9" s="74"/>
      <c r="C9" s="74"/>
      <c r="D9" s="71"/>
      <c r="E9" s="29" t="s">
        <v>88</v>
      </c>
      <c r="F9" s="76" t="s">
        <v>89</v>
      </c>
      <c r="G9" s="74"/>
      <c r="H9" s="74"/>
      <c r="I9" s="71"/>
      <c r="J9" s="37" t="s">
        <v>90</v>
      </c>
      <c r="K9" s="76" t="s">
        <v>91</v>
      </c>
      <c r="L9" s="74"/>
      <c r="M9" s="74"/>
      <c r="N9" s="71"/>
    </row>
    <row r="11" spans="1:14" ht="32" customHeight="1" x14ac:dyDescent="0.35"/>
    <row r="12" spans="1:14" x14ac:dyDescent="0.35">
      <c r="A12" s="72" t="s">
        <v>92</v>
      </c>
      <c r="B12" s="59"/>
    </row>
    <row r="13" spans="1:14" ht="32" customHeight="1" x14ac:dyDescent="0.35">
      <c r="A13" s="76" t="s">
        <v>93</v>
      </c>
      <c r="B13" s="71"/>
      <c r="C13" s="73" t="s">
        <v>94</v>
      </c>
      <c r="D13" s="71"/>
      <c r="E13" s="70" t="s">
        <v>95</v>
      </c>
      <c r="F13" s="71"/>
      <c r="G13" s="75" t="s">
        <v>96</v>
      </c>
      <c r="H13" s="71"/>
    </row>
    <row r="25" ht="14.5" customHeight="1" x14ac:dyDescent="0.35"/>
  </sheetData>
  <mergeCells count="20">
    <mergeCell ref="A1:N1"/>
    <mergeCell ref="A9:D9"/>
    <mergeCell ref="A5:C5"/>
    <mergeCell ref="I5:K5"/>
    <mergeCell ref="E13:F13"/>
    <mergeCell ref="G13:H13"/>
    <mergeCell ref="K9:N9"/>
    <mergeCell ref="M3:N3"/>
    <mergeCell ref="E3:G3"/>
    <mergeCell ref="E5:G5"/>
    <mergeCell ref="A3:C3"/>
    <mergeCell ref="K7:N7"/>
    <mergeCell ref="M5:N5"/>
    <mergeCell ref="I3:K3"/>
    <mergeCell ref="A12:B12"/>
    <mergeCell ref="F7:I7"/>
    <mergeCell ref="A7:D7"/>
    <mergeCell ref="A13:B13"/>
    <mergeCell ref="C13:D13"/>
    <mergeCell ref="F9:I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22" customWidth="1"/>
    <col min="2" max="2" width="48" customWidth="1"/>
    <col min="3" max="3" width="16" customWidth="1"/>
    <col min="4" max="4" width="34" customWidth="1"/>
    <col min="5" max="5" width="18" customWidth="1"/>
    <col min="6" max="6" width="30" customWidth="1"/>
    <col min="7" max="7" width="34" customWidth="1"/>
    <col min="8" max="8" width="28" customWidth="1"/>
    <col min="9" max="9" width="26.36328125" customWidth="1"/>
    <col min="10" max="10" width="16" customWidth="1"/>
    <col min="11" max="11" width="31.1796875" customWidth="1"/>
  </cols>
  <sheetData>
    <row r="1" spans="1:11" ht="28" customHeight="1" x14ac:dyDescent="0.35">
      <c r="A1" s="53" t="s">
        <v>97</v>
      </c>
      <c r="B1" s="53" t="s">
        <v>98</v>
      </c>
      <c r="C1" s="53" t="s">
        <v>99</v>
      </c>
      <c r="D1" s="53" t="s">
        <v>100</v>
      </c>
      <c r="E1" s="53" t="s">
        <v>101</v>
      </c>
      <c r="F1" s="53" t="s">
        <v>102</v>
      </c>
      <c r="G1" s="53" t="s">
        <v>103</v>
      </c>
      <c r="H1" s="53" t="s">
        <v>104</v>
      </c>
      <c r="I1" s="53" t="s">
        <v>105</v>
      </c>
      <c r="J1" s="53" t="s">
        <v>106</v>
      </c>
      <c r="K1" s="53" t="s">
        <v>107</v>
      </c>
    </row>
    <row r="2" spans="1:11" ht="87" customHeight="1" x14ac:dyDescent="0.35">
      <c r="A2" s="2" t="s">
        <v>108</v>
      </c>
      <c r="B2" s="2" t="s">
        <v>109</v>
      </c>
      <c r="C2" s="2" t="s">
        <v>110</v>
      </c>
      <c r="D2" s="2" t="s">
        <v>111</v>
      </c>
      <c r="E2" s="2" t="s">
        <v>112</v>
      </c>
      <c r="F2" s="2" t="s">
        <v>113</v>
      </c>
      <c r="G2" s="2" t="s">
        <v>114</v>
      </c>
      <c r="H2" s="2"/>
      <c r="I2" s="54"/>
      <c r="J2" s="54"/>
      <c r="K2" s="54"/>
    </row>
    <row r="3" spans="1:11" ht="43.5" customHeight="1" x14ac:dyDescent="0.35">
      <c r="A3" s="2" t="s">
        <v>108</v>
      </c>
      <c r="B3" s="2" t="s">
        <v>115</v>
      </c>
      <c r="C3" s="2" t="s">
        <v>116</v>
      </c>
      <c r="D3" s="2" t="s">
        <v>117</v>
      </c>
      <c r="E3" s="2" t="s">
        <v>118</v>
      </c>
      <c r="F3" s="2" t="s">
        <v>119</v>
      </c>
      <c r="G3" s="2" t="s">
        <v>120</v>
      </c>
      <c r="H3" s="2" t="s">
        <v>121</v>
      </c>
      <c r="I3" s="54"/>
      <c r="J3" s="54"/>
      <c r="K3" s="54"/>
    </row>
    <row r="4" spans="1:11" ht="87" customHeight="1" x14ac:dyDescent="0.35">
      <c r="A4" s="2" t="s">
        <v>108</v>
      </c>
      <c r="B4" s="2" t="s">
        <v>122</v>
      </c>
      <c r="C4" s="2" t="s">
        <v>123</v>
      </c>
      <c r="D4" s="2" t="s">
        <v>124</v>
      </c>
      <c r="E4" s="2" t="s">
        <v>125</v>
      </c>
      <c r="F4" s="2" t="s">
        <v>126</v>
      </c>
      <c r="G4" s="2" t="s">
        <v>127</v>
      </c>
      <c r="H4" s="2"/>
      <c r="I4" s="54"/>
      <c r="J4" s="54"/>
      <c r="K4" s="54"/>
    </row>
    <row r="5" spans="1:11" ht="58" customHeight="1" x14ac:dyDescent="0.35">
      <c r="A5" s="2" t="s">
        <v>108</v>
      </c>
      <c r="B5" s="2" t="s">
        <v>128</v>
      </c>
      <c r="C5" s="2" t="s">
        <v>129</v>
      </c>
      <c r="D5" s="2" t="s">
        <v>130</v>
      </c>
      <c r="E5" s="2" t="s">
        <v>131</v>
      </c>
      <c r="F5" s="2" t="s">
        <v>132</v>
      </c>
      <c r="G5" s="2" t="s">
        <v>133</v>
      </c>
      <c r="H5" s="2"/>
      <c r="I5" s="54"/>
      <c r="J5" s="54"/>
      <c r="K5" s="54"/>
    </row>
    <row r="6" spans="1:11" ht="87" customHeight="1" x14ac:dyDescent="0.35">
      <c r="A6" s="2" t="s">
        <v>108</v>
      </c>
      <c r="B6" s="2" t="s">
        <v>134</v>
      </c>
      <c r="C6" s="2" t="s">
        <v>135</v>
      </c>
      <c r="D6" s="2" t="s">
        <v>136</v>
      </c>
      <c r="E6" s="2" t="s">
        <v>137</v>
      </c>
      <c r="F6" s="2" t="s">
        <v>138</v>
      </c>
      <c r="G6" s="2" t="s">
        <v>139</v>
      </c>
      <c r="H6" s="2" t="s">
        <v>140</v>
      </c>
      <c r="I6" s="54"/>
      <c r="J6" s="54"/>
      <c r="K6" s="54"/>
    </row>
    <row r="7" spans="1:11" ht="43.5" customHeight="1" x14ac:dyDescent="0.35">
      <c r="A7" s="2" t="s">
        <v>141</v>
      </c>
      <c r="B7" s="2" t="s">
        <v>142</v>
      </c>
      <c r="C7" s="2" t="s">
        <v>143</v>
      </c>
      <c r="D7" s="2" t="s">
        <v>144</v>
      </c>
      <c r="E7" s="2" t="s">
        <v>145</v>
      </c>
      <c r="F7" s="2" t="s">
        <v>146</v>
      </c>
      <c r="G7" s="2" t="s">
        <v>147</v>
      </c>
      <c r="H7" s="2" t="s">
        <v>148</v>
      </c>
      <c r="I7" s="54"/>
      <c r="J7" s="54"/>
      <c r="K7" s="54"/>
    </row>
    <row r="8" spans="1:11" ht="43.5" customHeight="1" x14ac:dyDescent="0.35">
      <c r="A8" s="2" t="s">
        <v>141</v>
      </c>
      <c r="B8" s="2" t="s">
        <v>149</v>
      </c>
      <c r="C8" s="2" t="s">
        <v>150</v>
      </c>
      <c r="D8" s="2" t="s">
        <v>151</v>
      </c>
      <c r="E8" s="2" t="s">
        <v>152</v>
      </c>
      <c r="F8" s="2" t="s">
        <v>153</v>
      </c>
      <c r="G8" s="2" t="s">
        <v>154</v>
      </c>
      <c r="H8" s="2"/>
      <c r="I8" s="54"/>
      <c r="J8" s="54"/>
      <c r="K8" s="54"/>
    </row>
    <row r="9" spans="1:11" ht="87" customHeight="1" x14ac:dyDescent="0.35">
      <c r="A9" s="2" t="s">
        <v>141</v>
      </c>
      <c r="B9" s="2" t="s">
        <v>155</v>
      </c>
      <c r="C9" s="2" t="s">
        <v>156</v>
      </c>
      <c r="D9" s="2" t="s">
        <v>157</v>
      </c>
      <c r="E9" s="2" t="s">
        <v>158</v>
      </c>
      <c r="F9" s="2" t="s">
        <v>159</v>
      </c>
      <c r="G9" s="2" t="s">
        <v>160</v>
      </c>
      <c r="H9" s="2"/>
      <c r="I9" s="54"/>
      <c r="J9" s="54"/>
      <c r="K9" s="54"/>
    </row>
    <row r="10" spans="1:11" ht="43.5" customHeight="1" x14ac:dyDescent="0.35">
      <c r="A10" s="2" t="s">
        <v>141</v>
      </c>
      <c r="B10" s="2" t="s">
        <v>161</v>
      </c>
      <c r="C10" s="2" t="s">
        <v>162</v>
      </c>
      <c r="D10" s="2" t="s">
        <v>163</v>
      </c>
      <c r="E10" s="2" t="s">
        <v>164</v>
      </c>
      <c r="F10" s="2" t="s">
        <v>165</v>
      </c>
      <c r="G10" s="2" t="s">
        <v>166</v>
      </c>
      <c r="H10" s="2" t="s">
        <v>167</v>
      </c>
      <c r="I10" s="54"/>
      <c r="J10" s="54"/>
      <c r="K10" s="54"/>
    </row>
    <row r="11" spans="1:11" ht="58" customHeight="1" x14ac:dyDescent="0.35">
      <c r="A11" s="2" t="s">
        <v>141</v>
      </c>
      <c r="B11" s="2" t="s">
        <v>168</v>
      </c>
      <c r="C11" s="2" t="s">
        <v>169</v>
      </c>
      <c r="D11" s="2" t="s">
        <v>170</v>
      </c>
      <c r="E11" s="2" t="s">
        <v>171</v>
      </c>
      <c r="F11" s="2" t="s">
        <v>172</v>
      </c>
      <c r="G11" s="2" t="s">
        <v>173</v>
      </c>
      <c r="H11" s="2"/>
      <c r="I11" s="54"/>
      <c r="J11" s="54"/>
      <c r="K11" s="54"/>
    </row>
    <row r="12" spans="1:11" ht="87" customHeight="1" x14ac:dyDescent="0.35">
      <c r="A12" s="2" t="s">
        <v>174</v>
      </c>
      <c r="B12" s="2" t="s">
        <v>175</v>
      </c>
      <c r="C12" s="2" t="s">
        <v>176</v>
      </c>
      <c r="D12" s="2" t="s">
        <v>177</v>
      </c>
      <c r="E12" s="2" t="s">
        <v>178</v>
      </c>
      <c r="F12" s="2" t="s">
        <v>179</v>
      </c>
      <c r="G12" s="2" t="s">
        <v>180</v>
      </c>
      <c r="H12" s="2"/>
      <c r="I12" s="54"/>
      <c r="J12" s="54"/>
      <c r="K12" s="54"/>
    </row>
    <row r="13" spans="1:11" ht="58" customHeight="1" x14ac:dyDescent="0.35">
      <c r="A13" s="2" t="s">
        <v>174</v>
      </c>
      <c r="B13" s="2" t="s">
        <v>181</v>
      </c>
      <c r="C13" s="2" t="s">
        <v>182</v>
      </c>
      <c r="D13" s="2" t="s">
        <v>183</v>
      </c>
      <c r="E13" s="2" t="s">
        <v>184</v>
      </c>
      <c r="F13" s="2" t="s">
        <v>185</v>
      </c>
      <c r="G13" s="2" t="s">
        <v>186</v>
      </c>
      <c r="H13" s="2"/>
      <c r="I13" s="54"/>
      <c r="J13" s="54"/>
      <c r="K13" s="54"/>
    </row>
    <row r="14" spans="1:11" ht="72.5" customHeight="1" x14ac:dyDescent="0.35">
      <c r="A14" s="2" t="s">
        <v>174</v>
      </c>
      <c r="B14" s="2" t="s">
        <v>187</v>
      </c>
      <c r="C14" s="2" t="s">
        <v>188</v>
      </c>
      <c r="D14" s="2" t="s">
        <v>189</v>
      </c>
      <c r="E14" s="2" t="s">
        <v>190</v>
      </c>
      <c r="F14" s="2" t="s">
        <v>191</v>
      </c>
      <c r="G14" s="2" t="s">
        <v>192</v>
      </c>
      <c r="H14" s="2"/>
      <c r="I14" s="54"/>
      <c r="J14" s="54"/>
      <c r="K14" s="54"/>
    </row>
    <row r="15" spans="1:11" ht="101.5" customHeight="1" x14ac:dyDescent="0.35">
      <c r="A15" s="2" t="s">
        <v>193</v>
      </c>
      <c r="B15" s="2" t="s">
        <v>194</v>
      </c>
      <c r="C15" s="2" t="s">
        <v>195</v>
      </c>
      <c r="D15" s="2" t="s">
        <v>196</v>
      </c>
      <c r="E15" s="2" t="s">
        <v>197</v>
      </c>
      <c r="F15" s="2" t="s">
        <v>198</v>
      </c>
      <c r="G15" s="2" t="s">
        <v>199</v>
      </c>
      <c r="H15" s="2" t="s">
        <v>200</v>
      </c>
      <c r="I15" s="54"/>
      <c r="J15" s="54"/>
      <c r="K15" s="54"/>
    </row>
    <row r="16" spans="1:11" ht="72.5" customHeight="1" x14ac:dyDescent="0.35">
      <c r="A16" s="2" t="s">
        <v>193</v>
      </c>
      <c r="B16" s="2" t="s">
        <v>201</v>
      </c>
      <c r="C16" s="2" t="s">
        <v>202</v>
      </c>
      <c r="D16" s="2" t="s">
        <v>203</v>
      </c>
      <c r="E16" s="2" t="s">
        <v>204</v>
      </c>
      <c r="F16" s="2" t="s">
        <v>205</v>
      </c>
      <c r="G16" s="2" t="s">
        <v>206</v>
      </c>
      <c r="H16" s="2"/>
      <c r="I16" s="54"/>
      <c r="J16" s="54"/>
      <c r="K16" s="54"/>
    </row>
    <row r="17" spans="1:11" ht="29" customHeight="1" x14ac:dyDescent="0.35">
      <c r="A17" s="2" t="s">
        <v>193</v>
      </c>
      <c r="B17" s="2" t="s">
        <v>207</v>
      </c>
      <c r="C17" s="2" t="s">
        <v>208</v>
      </c>
      <c r="D17" s="2" t="s">
        <v>209</v>
      </c>
      <c r="E17" s="2" t="s">
        <v>210</v>
      </c>
      <c r="F17" s="2" t="s">
        <v>211</v>
      </c>
      <c r="G17" s="2"/>
      <c r="H17" s="2"/>
      <c r="I17" s="54"/>
      <c r="J17" s="54"/>
      <c r="K17" s="54"/>
    </row>
    <row r="18" spans="1:11" ht="72.5" customHeight="1" x14ac:dyDescent="0.35">
      <c r="A18" s="2" t="s">
        <v>193</v>
      </c>
      <c r="B18" s="2" t="s">
        <v>212</v>
      </c>
      <c r="C18" s="2" t="s">
        <v>213</v>
      </c>
      <c r="D18" s="2" t="s">
        <v>214</v>
      </c>
      <c r="E18" s="2" t="s">
        <v>215</v>
      </c>
      <c r="F18" s="2" t="s">
        <v>216</v>
      </c>
      <c r="G18" s="2" t="s">
        <v>217</v>
      </c>
      <c r="H18" s="2"/>
      <c r="I18" s="54"/>
      <c r="J18" s="54"/>
      <c r="K18" s="54"/>
    </row>
    <row r="19" spans="1:11" ht="72.5" customHeight="1" x14ac:dyDescent="0.35">
      <c r="A19" s="2" t="s">
        <v>193</v>
      </c>
      <c r="B19" s="2" t="s">
        <v>218</v>
      </c>
      <c r="C19" s="2" t="s">
        <v>219</v>
      </c>
      <c r="D19" s="2" t="s">
        <v>220</v>
      </c>
      <c r="E19" s="2" t="s">
        <v>221</v>
      </c>
      <c r="F19" s="2" t="s">
        <v>222</v>
      </c>
      <c r="G19" s="2" t="s">
        <v>223</v>
      </c>
      <c r="H19" s="2" t="s">
        <v>224</v>
      </c>
      <c r="I19" s="54"/>
      <c r="J19" s="54"/>
      <c r="K19" s="54"/>
    </row>
    <row r="20" spans="1:11" ht="29" customHeight="1" x14ac:dyDescent="0.35">
      <c r="A20" s="2" t="s">
        <v>225</v>
      </c>
      <c r="B20" s="2" t="s">
        <v>226</v>
      </c>
      <c r="C20" s="2" t="s">
        <v>227</v>
      </c>
      <c r="D20" s="2" t="s">
        <v>228</v>
      </c>
      <c r="E20" s="2" t="s">
        <v>229</v>
      </c>
      <c r="F20" s="2" t="s">
        <v>230</v>
      </c>
      <c r="G20" s="2" t="s">
        <v>231</v>
      </c>
      <c r="H20" s="2"/>
      <c r="I20" s="54"/>
      <c r="J20" s="54"/>
      <c r="K20" s="54"/>
    </row>
    <row r="21" spans="1:11" ht="58" customHeight="1" x14ac:dyDescent="0.35">
      <c r="A21" s="2" t="s">
        <v>225</v>
      </c>
      <c r="B21" s="2" t="s">
        <v>232</v>
      </c>
      <c r="C21" s="2" t="s">
        <v>233</v>
      </c>
      <c r="D21" s="2" t="s">
        <v>234</v>
      </c>
      <c r="E21" s="2" t="s">
        <v>235</v>
      </c>
      <c r="F21" s="2" t="s">
        <v>236</v>
      </c>
      <c r="G21" s="2" t="s">
        <v>237</v>
      </c>
      <c r="H21" s="2"/>
      <c r="I21" s="54"/>
      <c r="J21" s="54"/>
      <c r="K21" s="54"/>
    </row>
    <row r="22" spans="1:11" ht="29" customHeight="1" x14ac:dyDescent="0.35">
      <c r="A22" s="2" t="s">
        <v>225</v>
      </c>
      <c r="B22" s="2" t="s">
        <v>238</v>
      </c>
      <c r="C22" s="2" t="s">
        <v>239</v>
      </c>
      <c r="D22" s="2" t="s">
        <v>240</v>
      </c>
      <c r="E22" s="2" t="s">
        <v>241</v>
      </c>
      <c r="F22" s="2" t="s">
        <v>242</v>
      </c>
      <c r="G22" s="2" t="s">
        <v>243</v>
      </c>
      <c r="H22" s="2"/>
      <c r="I22" s="54"/>
      <c r="J22" s="54"/>
      <c r="K22" s="54"/>
    </row>
    <row r="23" spans="1:11" ht="72.5" customHeight="1" x14ac:dyDescent="0.35">
      <c r="A23" s="2" t="s">
        <v>225</v>
      </c>
      <c r="B23" s="2" t="s">
        <v>244</v>
      </c>
      <c r="C23" s="2" t="s">
        <v>245</v>
      </c>
      <c r="D23" s="2" t="s">
        <v>246</v>
      </c>
      <c r="E23" s="2" t="s">
        <v>247</v>
      </c>
      <c r="F23" s="2" t="s">
        <v>248</v>
      </c>
      <c r="G23" s="2" t="s">
        <v>249</v>
      </c>
      <c r="H23" s="2"/>
      <c r="I23" s="54"/>
      <c r="J23" s="54"/>
      <c r="K23" s="54"/>
    </row>
    <row r="24" spans="1:11" ht="72.5" customHeight="1" x14ac:dyDescent="0.35">
      <c r="A24" s="2" t="s">
        <v>225</v>
      </c>
      <c r="B24" s="2" t="s">
        <v>250</v>
      </c>
      <c r="C24" s="2" t="s">
        <v>251</v>
      </c>
      <c r="D24" s="2" t="s">
        <v>252</v>
      </c>
      <c r="E24" s="2" t="s">
        <v>253</v>
      </c>
      <c r="F24" s="2" t="s">
        <v>254</v>
      </c>
      <c r="G24" s="2" t="s">
        <v>255</v>
      </c>
      <c r="H24" s="2"/>
      <c r="I24" s="54"/>
      <c r="J24" s="54"/>
      <c r="K24" s="54"/>
    </row>
    <row r="25" spans="1:11" ht="58" customHeight="1" x14ac:dyDescent="0.35">
      <c r="A25" s="2" t="s">
        <v>256</v>
      </c>
      <c r="B25" s="2" t="s">
        <v>257</v>
      </c>
      <c r="C25" s="2" t="s">
        <v>258</v>
      </c>
      <c r="D25" s="2" t="s">
        <v>259</v>
      </c>
      <c r="E25" s="2" t="s">
        <v>260</v>
      </c>
      <c r="F25" s="2" t="s">
        <v>261</v>
      </c>
      <c r="G25" s="2" t="s">
        <v>262</v>
      </c>
      <c r="H25" s="2"/>
      <c r="I25" s="54"/>
      <c r="J25" s="54"/>
      <c r="K25" s="54"/>
    </row>
    <row r="26" spans="1:11" ht="72.5" customHeight="1" x14ac:dyDescent="0.35">
      <c r="A26" s="2" t="s">
        <v>256</v>
      </c>
      <c r="B26" s="2" t="s">
        <v>263</v>
      </c>
      <c r="C26" s="2" t="s">
        <v>264</v>
      </c>
      <c r="D26" s="2" t="s">
        <v>265</v>
      </c>
      <c r="E26" s="2" t="s">
        <v>266</v>
      </c>
      <c r="F26" s="2" t="s">
        <v>267</v>
      </c>
      <c r="G26" s="2" t="s">
        <v>268</v>
      </c>
      <c r="H26" s="2"/>
      <c r="I26" s="54"/>
      <c r="J26" s="54"/>
      <c r="K26" s="54"/>
    </row>
    <row r="27" spans="1:11" ht="58" customHeight="1" x14ac:dyDescent="0.35">
      <c r="A27" s="2" t="s">
        <v>256</v>
      </c>
      <c r="B27" s="2" t="s">
        <v>269</v>
      </c>
      <c r="C27" s="2" t="s">
        <v>270</v>
      </c>
      <c r="D27" s="2" t="s">
        <v>271</v>
      </c>
      <c r="E27" s="2" t="s">
        <v>272</v>
      </c>
      <c r="F27" s="2" t="s">
        <v>273</v>
      </c>
      <c r="G27" s="2" t="s">
        <v>274</v>
      </c>
      <c r="H27" s="2"/>
      <c r="I27" s="54"/>
      <c r="J27" s="54"/>
      <c r="K27" s="54"/>
    </row>
    <row r="28" spans="1:11" ht="43.5" customHeight="1" x14ac:dyDescent="0.35">
      <c r="A28" s="2" t="s">
        <v>256</v>
      </c>
      <c r="B28" s="2" t="s">
        <v>275</v>
      </c>
      <c r="C28" s="2" t="s">
        <v>276</v>
      </c>
      <c r="D28" s="2" t="s">
        <v>277</v>
      </c>
      <c r="E28" s="2" t="s">
        <v>278</v>
      </c>
      <c r="F28" s="2" t="s">
        <v>279</v>
      </c>
      <c r="G28" s="2" t="s">
        <v>280</v>
      </c>
      <c r="H28" s="2"/>
      <c r="I28" s="54"/>
      <c r="J28" s="54"/>
      <c r="K28" s="54"/>
    </row>
    <row r="29" spans="1:11" ht="72.5" customHeight="1" x14ac:dyDescent="0.35">
      <c r="A29" s="2" t="s">
        <v>281</v>
      </c>
      <c r="B29" s="2" t="s">
        <v>282</v>
      </c>
      <c r="C29" s="2" t="s">
        <v>283</v>
      </c>
      <c r="D29" s="2" t="s">
        <v>284</v>
      </c>
      <c r="E29" s="2" t="s">
        <v>285</v>
      </c>
      <c r="F29" s="2" t="s">
        <v>286</v>
      </c>
      <c r="G29" s="2" t="s">
        <v>287</v>
      </c>
      <c r="H29" s="2"/>
      <c r="I29" s="54"/>
      <c r="J29" s="54"/>
      <c r="K29" s="54"/>
    </row>
    <row r="30" spans="1:11" ht="72.5" customHeight="1" x14ac:dyDescent="0.35">
      <c r="A30" s="2" t="s">
        <v>281</v>
      </c>
      <c r="B30" s="2" t="s">
        <v>288</v>
      </c>
      <c r="C30" s="2" t="s">
        <v>289</v>
      </c>
      <c r="D30" s="2" t="s">
        <v>290</v>
      </c>
      <c r="E30" s="2" t="s">
        <v>291</v>
      </c>
      <c r="F30" s="2" t="s">
        <v>292</v>
      </c>
      <c r="G30" s="2" t="s">
        <v>293</v>
      </c>
      <c r="H30" s="2"/>
      <c r="I30" s="54"/>
      <c r="J30" s="54"/>
      <c r="K30" s="54"/>
    </row>
    <row r="31" spans="1:11" ht="72.5" customHeight="1" x14ac:dyDescent="0.35">
      <c r="A31" s="2" t="s">
        <v>281</v>
      </c>
      <c r="B31" s="2" t="s">
        <v>294</v>
      </c>
      <c r="C31" s="2" t="s">
        <v>295</v>
      </c>
      <c r="D31" s="2" t="s">
        <v>296</v>
      </c>
      <c r="E31" s="2" t="s">
        <v>297</v>
      </c>
      <c r="F31" s="2" t="s">
        <v>298</v>
      </c>
      <c r="G31" s="2" t="s">
        <v>299</v>
      </c>
      <c r="H31" s="2"/>
      <c r="I31" s="54"/>
      <c r="J31" s="54"/>
      <c r="K31" s="54"/>
    </row>
    <row r="32" spans="1:11" ht="58" customHeight="1" x14ac:dyDescent="0.35">
      <c r="A32" s="2" t="s">
        <v>281</v>
      </c>
      <c r="B32" s="2" t="s">
        <v>300</v>
      </c>
      <c r="C32" s="2" t="s">
        <v>301</v>
      </c>
      <c r="D32" s="2" t="s">
        <v>302</v>
      </c>
      <c r="E32" s="2" t="s">
        <v>303</v>
      </c>
      <c r="F32" s="2" t="s">
        <v>304</v>
      </c>
      <c r="G32" s="2" t="s">
        <v>305</v>
      </c>
      <c r="H32" s="2"/>
      <c r="I32" s="54"/>
      <c r="J32" s="54"/>
      <c r="K32" s="54"/>
    </row>
    <row r="33" spans="1:11" ht="58" customHeight="1" x14ac:dyDescent="0.35">
      <c r="A33" s="2" t="s">
        <v>306</v>
      </c>
      <c r="B33" s="2" t="s">
        <v>307</v>
      </c>
      <c r="C33" s="2" t="s">
        <v>308</v>
      </c>
      <c r="D33" s="2" t="s">
        <v>309</v>
      </c>
      <c r="E33" s="2" t="s">
        <v>310</v>
      </c>
      <c r="F33" s="2" t="s">
        <v>311</v>
      </c>
      <c r="G33" s="2" t="s">
        <v>166</v>
      </c>
      <c r="H33" s="2"/>
      <c r="I33" s="54"/>
      <c r="J33" s="54"/>
      <c r="K33" s="54"/>
    </row>
    <row r="34" spans="1:11" ht="58" customHeight="1" x14ac:dyDescent="0.35">
      <c r="A34" s="2" t="s">
        <v>306</v>
      </c>
      <c r="B34" s="2" t="s">
        <v>312</v>
      </c>
      <c r="C34" s="2" t="s">
        <v>313</v>
      </c>
      <c r="D34" s="2" t="s">
        <v>314</v>
      </c>
      <c r="E34" s="2" t="s">
        <v>315</v>
      </c>
      <c r="F34" s="2" t="s">
        <v>316</v>
      </c>
      <c r="G34" s="2" t="s">
        <v>317</v>
      </c>
      <c r="H34" s="2"/>
      <c r="I34" s="54"/>
      <c r="J34" s="54"/>
      <c r="K34" s="54"/>
    </row>
    <row r="35" spans="1:11" ht="58" customHeight="1" x14ac:dyDescent="0.35">
      <c r="A35" s="2" t="s">
        <v>306</v>
      </c>
      <c r="B35" s="2" t="s">
        <v>318</v>
      </c>
      <c r="C35" s="2" t="s">
        <v>319</v>
      </c>
      <c r="D35" s="2" t="s">
        <v>320</v>
      </c>
      <c r="E35" s="2" t="s">
        <v>321</v>
      </c>
      <c r="F35" s="2" t="s">
        <v>322</v>
      </c>
      <c r="G35" s="2" t="s">
        <v>323</v>
      </c>
      <c r="H35" s="2"/>
      <c r="I35" s="54"/>
      <c r="J35" s="54"/>
      <c r="K35" s="54"/>
    </row>
    <row r="36" spans="1:11" ht="58" customHeight="1" x14ac:dyDescent="0.35">
      <c r="A36" s="2" t="s">
        <v>306</v>
      </c>
      <c r="B36" s="2" t="s">
        <v>324</v>
      </c>
      <c r="C36" s="2" t="s">
        <v>325</v>
      </c>
      <c r="D36" s="2" t="s">
        <v>326</v>
      </c>
      <c r="E36" s="2" t="s">
        <v>327</v>
      </c>
      <c r="F36" s="2" t="s">
        <v>328</v>
      </c>
      <c r="G36" s="2" t="s">
        <v>329</v>
      </c>
      <c r="H36" s="2"/>
      <c r="I36" s="54"/>
      <c r="J36" s="54"/>
      <c r="K36" s="54"/>
    </row>
    <row r="37" spans="1:11" ht="29" customHeight="1" x14ac:dyDescent="0.35">
      <c r="A37" s="2" t="s">
        <v>330</v>
      </c>
      <c r="B37" s="2" t="s">
        <v>331</v>
      </c>
      <c r="C37" s="2" t="s">
        <v>332</v>
      </c>
      <c r="D37" s="2" t="s">
        <v>333</v>
      </c>
      <c r="E37" s="2" t="s">
        <v>334</v>
      </c>
      <c r="F37" s="2" t="s">
        <v>335</v>
      </c>
      <c r="G37" s="2" t="s">
        <v>336</v>
      </c>
      <c r="H37" s="2"/>
      <c r="I37" s="54"/>
      <c r="J37" s="54"/>
      <c r="K37" s="54"/>
    </row>
    <row r="38" spans="1:11" ht="58" customHeight="1" x14ac:dyDescent="0.35">
      <c r="A38" s="2" t="s">
        <v>330</v>
      </c>
      <c r="B38" s="2" t="s">
        <v>337</v>
      </c>
      <c r="C38" s="2" t="s">
        <v>338</v>
      </c>
      <c r="D38" s="2" t="s">
        <v>339</v>
      </c>
      <c r="E38" s="2" t="s">
        <v>340</v>
      </c>
      <c r="F38" s="2" t="s">
        <v>341</v>
      </c>
      <c r="G38" s="2"/>
      <c r="H38" s="2"/>
      <c r="I38" s="54"/>
      <c r="J38" s="54"/>
      <c r="K38" s="54"/>
    </row>
    <row r="39" spans="1:11" ht="58" customHeight="1" x14ac:dyDescent="0.35">
      <c r="A39" s="2" t="s">
        <v>330</v>
      </c>
      <c r="B39" s="2" t="s">
        <v>342</v>
      </c>
      <c r="C39" s="2" t="s">
        <v>343</v>
      </c>
      <c r="D39" s="2" t="s">
        <v>344</v>
      </c>
      <c r="E39" s="2" t="s">
        <v>345</v>
      </c>
      <c r="F39" s="2" t="s">
        <v>346</v>
      </c>
      <c r="G39" s="2" t="s">
        <v>347</v>
      </c>
      <c r="H39" s="2"/>
      <c r="I39" s="54"/>
      <c r="J39" s="54"/>
      <c r="K39" s="54"/>
    </row>
    <row r="40" spans="1:11" ht="29" customHeight="1" x14ac:dyDescent="0.35">
      <c r="A40" s="2" t="s">
        <v>330</v>
      </c>
      <c r="B40" s="2" t="s">
        <v>348</v>
      </c>
      <c r="C40" s="2" t="s">
        <v>349</v>
      </c>
      <c r="D40" s="2" t="s">
        <v>350</v>
      </c>
      <c r="E40" s="2" t="s">
        <v>351</v>
      </c>
      <c r="F40" s="2" t="s">
        <v>352</v>
      </c>
      <c r="G40" s="2" t="s">
        <v>353</v>
      </c>
      <c r="H40" s="2"/>
      <c r="I40" s="54"/>
      <c r="J40" s="54"/>
      <c r="K40" s="54"/>
    </row>
    <row r="41" spans="1:11" ht="72.5" customHeight="1" x14ac:dyDescent="0.35">
      <c r="A41" s="2" t="s">
        <v>330</v>
      </c>
      <c r="B41" s="2" t="s">
        <v>354</v>
      </c>
      <c r="C41" s="2" t="s">
        <v>355</v>
      </c>
      <c r="D41" s="2" t="s">
        <v>356</v>
      </c>
      <c r="E41" s="2" t="s">
        <v>351</v>
      </c>
      <c r="F41" s="2" t="s">
        <v>357</v>
      </c>
      <c r="G41" s="2" t="s">
        <v>353</v>
      </c>
      <c r="H41" s="2"/>
      <c r="I41" s="54"/>
      <c r="J41" s="54"/>
      <c r="K41" s="54"/>
    </row>
    <row r="42" spans="1:11" ht="29" customHeight="1" x14ac:dyDescent="0.35">
      <c r="A42" s="2" t="s">
        <v>358</v>
      </c>
      <c r="B42" s="2" t="s">
        <v>359</v>
      </c>
      <c r="C42" s="2" t="s">
        <v>360</v>
      </c>
      <c r="D42" s="2" t="s">
        <v>361</v>
      </c>
      <c r="E42" s="2" t="s">
        <v>362</v>
      </c>
      <c r="F42" s="2" t="s">
        <v>363</v>
      </c>
      <c r="G42" s="2" t="s">
        <v>364</v>
      </c>
      <c r="H42" s="2" t="s">
        <v>365</v>
      </c>
      <c r="I42" s="54"/>
      <c r="J42" s="54"/>
      <c r="K42" s="54"/>
    </row>
    <row r="43" spans="1:11" ht="87" customHeight="1" x14ac:dyDescent="0.35">
      <c r="A43" s="2" t="s">
        <v>358</v>
      </c>
      <c r="B43" s="2" t="s">
        <v>366</v>
      </c>
      <c r="C43" s="2" t="s">
        <v>367</v>
      </c>
      <c r="D43" s="2" t="s">
        <v>368</v>
      </c>
      <c r="E43" s="2" t="s">
        <v>369</v>
      </c>
      <c r="F43" s="2" t="s">
        <v>370</v>
      </c>
      <c r="G43" s="2" t="s">
        <v>364</v>
      </c>
      <c r="H43" s="2" t="s">
        <v>371</v>
      </c>
      <c r="I43" s="54"/>
      <c r="J43" s="54"/>
      <c r="K43" s="54"/>
    </row>
    <row r="44" spans="1:11" ht="87" customHeight="1" x14ac:dyDescent="0.35">
      <c r="A44" s="2" t="s">
        <v>358</v>
      </c>
      <c r="B44" s="2" t="s">
        <v>372</v>
      </c>
      <c r="C44" s="2" t="s">
        <v>373</v>
      </c>
      <c r="D44" s="2" t="s">
        <v>374</v>
      </c>
      <c r="E44" s="2" t="s">
        <v>375</v>
      </c>
      <c r="F44" s="2" t="s">
        <v>376</v>
      </c>
      <c r="G44" s="2"/>
      <c r="H44" s="2"/>
      <c r="I44" s="54"/>
      <c r="J44" s="54"/>
      <c r="K44" s="54"/>
    </row>
    <row r="45" spans="1:11" ht="58" customHeight="1" x14ac:dyDescent="0.35">
      <c r="A45" s="2" t="s">
        <v>358</v>
      </c>
      <c r="B45" s="2" t="s">
        <v>377</v>
      </c>
      <c r="C45" s="2" t="s">
        <v>378</v>
      </c>
      <c r="D45" s="2" t="s">
        <v>379</v>
      </c>
      <c r="E45" s="2" t="s">
        <v>380</v>
      </c>
      <c r="F45" s="2" t="s">
        <v>381</v>
      </c>
      <c r="G45" s="2" t="s">
        <v>382</v>
      </c>
      <c r="H45" s="2"/>
      <c r="I45" s="54"/>
      <c r="J45" s="54"/>
      <c r="K45" s="54"/>
    </row>
    <row r="46" spans="1:11" ht="58" customHeight="1" x14ac:dyDescent="0.35">
      <c r="A46" s="2" t="s">
        <v>358</v>
      </c>
      <c r="B46" s="2" t="s">
        <v>383</v>
      </c>
      <c r="C46" s="2" t="s">
        <v>384</v>
      </c>
      <c r="D46" s="2" t="s">
        <v>385</v>
      </c>
      <c r="E46" s="2" t="s">
        <v>386</v>
      </c>
      <c r="F46" s="2" t="s">
        <v>387</v>
      </c>
      <c r="G46" s="2" t="s">
        <v>388</v>
      </c>
      <c r="H46" s="2"/>
      <c r="I46" s="54"/>
      <c r="J46" s="54"/>
      <c r="K46" s="5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99</v>
      </c>
      <c r="B1" s="3" t="s">
        <v>97</v>
      </c>
      <c r="C1" s="3" t="s">
        <v>98</v>
      </c>
      <c r="D1" s="3" t="s">
        <v>389</v>
      </c>
      <c r="E1" s="3" t="s">
        <v>390</v>
      </c>
      <c r="F1" s="3" t="s">
        <v>391</v>
      </c>
      <c r="G1" s="3" t="s">
        <v>392</v>
      </c>
      <c r="H1" s="3" t="s">
        <v>393</v>
      </c>
      <c r="I1" s="3" t="s">
        <v>394</v>
      </c>
    </row>
    <row r="2" spans="1:9" ht="29" customHeight="1" x14ac:dyDescent="0.35">
      <c r="A2" s="2" t="s">
        <v>110</v>
      </c>
      <c r="B2" s="2" t="s">
        <v>108</v>
      </c>
      <c r="C2" s="2" t="s">
        <v>109</v>
      </c>
      <c r="D2" s="2" t="s">
        <v>395</v>
      </c>
      <c r="E2" s="2" t="s">
        <v>396</v>
      </c>
      <c r="F2" s="2" t="s">
        <v>397</v>
      </c>
      <c r="G2" s="2" t="s">
        <v>398</v>
      </c>
      <c r="H2" s="2" t="s">
        <v>397</v>
      </c>
      <c r="I2" s="2"/>
    </row>
    <row r="3" spans="1:9" x14ac:dyDescent="0.35">
      <c r="A3" s="2" t="s">
        <v>116</v>
      </c>
      <c r="B3" s="2" t="s">
        <v>108</v>
      </c>
      <c r="C3" s="2" t="s">
        <v>115</v>
      </c>
      <c r="D3" s="2" t="s">
        <v>395</v>
      </c>
      <c r="E3" s="2" t="s">
        <v>399</v>
      </c>
      <c r="F3" s="2" t="s">
        <v>397</v>
      </c>
      <c r="G3" s="2" t="s">
        <v>398</v>
      </c>
      <c r="H3" s="2" t="s">
        <v>397</v>
      </c>
      <c r="I3" s="2"/>
    </row>
    <row r="4" spans="1:9" ht="29" customHeight="1" x14ac:dyDescent="0.35">
      <c r="A4" s="2" t="s">
        <v>123</v>
      </c>
      <c r="B4" s="2" t="s">
        <v>108</v>
      </c>
      <c r="C4" s="2" t="s">
        <v>122</v>
      </c>
      <c r="D4" s="2" t="s">
        <v>400</v>
      </c>
      <c r="E4" s="2" t="s">
        <v>396</v>
      </c>
      <c r="F4" s="2" t="s">
        <v>397</v>
      </c>
      <c r="G4" s="2" t="s">
        <v>398</v>
      </c>
      <c r="H4" s="2" t="s">
        <v>397</v>
      </c>
      <c r="I4" s="2"/>
    </row>
    <row r="5" spans="1:9" ht="29" customHeight="1" x14ac:dyDescent="0.35">
      <c r="A5" s="2" t="s">
        <v>129</v>
      </c>
      <c r="B5" s="2" t="s">
        <v>108</v>
      </c>
      <c r="C5" s="2" t="s">
        <v>128</v>
      </c>
      <c r="D5" s="2" t="s">
        <v>401</v>
      </c>
      <c r="E5" s="2" t="s">
        <v>399</v>
      </c>
      <c r="F5" s="2" t="s">
        <v>397</v>
      </c>
      <c r="G5" s="2" t="s">
        <v>398</v>
      </c>
      <c r="H5" s="2" t="s">
        <v>397</v>
      </c>
      <c r="I5" s="2"/>
    </row>
    <row r="6" spans="1:9" ht="29" customHeight="1" x14ac:dyDescent="0.35">
      <c r="A6" s="2" t="s">
        <v>135</v>
      </c>
      <c r="B6" s="2" t="s">
        <v>108</v>
      </c>
      <c r="C6" s="2" t="s">
        <v>134</v>
      </c>
      <c r="D6" s="2" t="s">
        <v>395</v>
      </c>
      <c r="E6" s="2" t="s">
        <v>396</v>
      </c>
      <c r="F6" s="2" t="s">
        <v>397</v>
      </c>
      <c r="G6" s="2" t="s">
        <v>398</v>
      </c>
      <c r="H6" s="2" t="s">
        <v>397</v>
      </c>
      <c r="I6" s="2"/>
    </row>
    <row r="7" spans="1:9" ht="29" customHeight="1" x14ac:dyDescent="0.35">
      <c r="A7" s="2" t="s">
        <v>143</v>
      </c>
      <c r="B7" s="2" t="s">
        <v>141</v>
      </c>
      <c r="C7" s="2" t="s">
        <v>142</v>
      </c>
      <c r="D7" s="2" t="s">
        <v>402</v>
      </c>
      <c r="E7" s="2" t="s">
        <v>399</v>
      </c>
      <c r="F7" s="2" t="s">
        <v>397</v>
      </c>
      <c r="G7" s="2" t="s">
        <v>403</v>
      </c>
      <c r="H7" s="2"/>
      <c r="I7" s="2"/>
    </row>
    <row r="8" spans="1:9" ht="29" customHeight="1" x14ac:dyDescent="0.35">
      <c r="A8" s="2" t="s">
        <v>150</v>
      </c>
      <c r="B8" s="2" t="s">
        <v>141</v>
      </c>
      <c r="C8" s="2" t="s">
        <v>149</v>
      </c>
      <c r="D8" s="2" t="s">
        <v>402</v>
      </c>
      <c r="E8" s="2" t="s">
        <v>399</v>
      </c>
      <c r="F8" s="2" t="s">
        <v>397</v>
      </c>
      <c r="G8" s="2" t="s">
        <v>403</v>
      </c>
      <c r="H8" s="2"/>
      <c r="I8" s="2"/>
    </row>
    <row r="9" spans="1:9" ht="29" customHeight="1" x14ac:dyDescent="0.35">
      <c r="A9" s="2" t="s">
        <v>156</v>
      </c>
      <c r="B9" s="2" t="s">
        <v>141</v>
      </c>
      <c r="C9" s="2" t="s">
        <v>155</v>
      </c>
      <c r="D9" s="2" t="s">
        <v>402</v>
      </c>
      <c r="E9" s="2"/>
      <c r="F9" s="2" t="s">
        <v>397</v>
      </c>
      <c r="G9" s="2" t="s">
        <v>403</v>
      </c>
      <c r="H9" s="2"/>
      <c r="I9" s="2"/>
    </row>
    <row r="10" spans="1:9" ht="29" customHeight="1" x14ac:dyDescent="0.35">
      <c r="A10" s="2" t="s">
        <v>162</v>
      </c>
      <c r="B10" s="2" t="s">
        <v>141</v>
      </c>
      <c r="C10" s="2" t="s">
        <v>161</v>
      </c>
      <c r="D10" s="2" t="s">
        <v>402</v>
      </c>
      <c r="E10" s="2" t="s">
        <v>399</v>
      </c>
      <c r="F10" s="2" t="s">
        <v>397</v>
      </c>
      <c r="G10" s="2" t="s">
        <v>403</v>
      </c>
      <c r="H10" s="2"/>
      <c r="I10" s="2"/>
    </row>
    <row r="11" spans="1:9" ht="29" customHeight="1" x14ac:dyDescent="0.35">
      <c r="A11" s="2" t="s">
        <v>169</v>
      </c>
      <c r="B11" s="2" t="s">
        <v>141</v>
      </c>
      <c r="C11" s="2" t="s">
        <v>168</v>
      </c>
      <c r="D11" s="2" t="s">
        <v>402</v>
      </c>
      <c r="E11" s="2"/>
      <c r="F11" s="2" t="s">
        <v>397</v>
      </c>
      <c r="G11" s="2" t="s">
        <v>403</v>
      </c>
      <c r="H11" s="2"/>
      <c r="I11" s="2"/>
    </row>
    <row r="12" spans="1:9" x14ac:dyDescent="0.35">
      <c r="A12" s="2" t="s">
        <v>176</v>
      </c>
      <c r="B12" s="2" t="s">
        <v>174</v>
      </c>
      <c r="C12" s="2" t="s">
        <v>175</v>
      </c>
      <c r="D12" s="2" t="s">
        <v>404</v>
      </c>
      <c r="E12" s="2" t="s">
        <v>399</v>
      </c>
      <c r="F12" s="2" t="s">
        <v>397</v>
      </c>
      <c r="G12" s="2" t="s">
        <v>403</v>
      </c>
      <c r="H12" s="2" t="s">
        <v>397</v>
      </c>
      <c r="I12" s="2"/>
    </row>
    <row r="13" spans="1:9" ht="29" customHeight="1" x14ac:dyDescent="0.35">
      <c r="A13" s="2" t="s">
        <v>182</v>
      </c>
      <c r="B13" s="2" t="s">
        <v>174</v>
      </c>
      <c r="C13" s="2" t="s">
        <v>181</v>
      </c>
      <c r="D13" s="2" t="s">
        <v>404</v>
      </c>
      <c r="E13" s="2" t="s">
        <v>399</v>
      </c>
      <c r="F13" s="2" t="s">
        <v>397</v>
      </c>
      <c r="G13" s="2" t="s">
        <v>403</v>
      </c>
      <c r="H13" s="2" t="s">
        <v>397</v>
      </c>
      <c r="I13" s="2"/>
    </row>
    <row r="14" spans="1:9" x14ac:dyDescent="0.35">
      <c r="A14" s="2" t="s">
        <v>188</v>
      </c>
      <c r="B14" s="2" t="s">
        <v>174</v>
      </c>
      <c r="C14" s="2" t="s">
        <v>187</v>
      </c>
      <c r="D14" s="2" t="s">
        <v>404</v>
      </c>
      <c r="E14" s="2" t="s">
        <v>399</v>
      </c>
      <c r="F14" s="2" t="s">
        <v>397</v>
      </c>
      <c r="G14" s="2" t="s">
        <v>403</v>
      </c>
      <c r="H14" s="2" t="s">
        <v>397</v>
      </c>
      <c r="I14" s="2"/>
    </row>
    <row r="15" spans="1:9" ht="29" customHeight="1" x14ac:dyDescent="0.35">
      <c r="A15" s="2" t="s">
        <v>195</v>
      </c>
      <c r="B15" s="2" t="s">
        <v>193</v>
      </c>
      <c r="C15" s="2" t="s">
        <v>194</v>
      </c>
      <c r="D15" s="2" t="s">
        <v>405</v>
      </c>
      <c r="E15" s="2" t="s">
        <v>399</v>
      </c>
      <c r="F15" s="2" t="s">
        <v>397</v>
      </c>
      <c r="G15" s="2" t="s">
        <v>403</v>
      </c>
      <c r="H15" s="2" t="s">
        <v>397</v>
      </c>
      <c r="I15" s="2"/>
    </row>
    <row r="16" spans="1:9" ht="29" customHeight="1" x14ac:dyDescent="0.35">
      <c r="A16" s="2" t="s">
        <v>202</v>
      </c>
      <c r="B16" s="2" t="s">
        <v>193</v>
      </c>
      <c r="C16" s="2" t="s">
        <v>201</v>
      </c>
      <c r="D16" s="2" t="s">
        <v>405</v>
      </c>
      <c r="E16" s="2" t="s">
        <v>396</v>
      </c>
      <c r="F16" s="2" t="s">
        <v>397</v>
      </c>
      <c r="G16" s="2" t="s">
        <v>403</v>
      </c>
      <c r="H16" s="2" t="s">
        <v>397</v>
      </c>
      <c r="I16" s="2"/>
    </row>
    <row r="17" spans="1:9" ht="29" customHeight="1" x14ac:dyDescent="0.35">
      <c r="A17" s="2" t="s">
        <v>208</v>
      </c>
      <c r="B17" s="2" t="s">
        <v>193</v>
      </c>
      <c r="C17" s="2" t="s">
        <v>207</v>
      </c>
      <c r="D17" s="2" t="s">
        <v>405</v>
      </c>
      <c r="E17" s="2" t="s">
        <v>399</v>
      </c>
      <c r="F17" s="2" t="s">
        <v>397</v>
      </c>
      <c r="G17" s="2" t="s">
        <v>398</v>
      </c>
      <c r="H17" s="2" t="s">
        <v>397</v>
      </c>
      <c r="I17" s="2"/>
    </row>
    <row r="18" spans="1:9" ht="29" customHeight="1" x14ac:dyDescent="0.35">
      <c r="A18" s="2" t="s">
        <v>213</v>
      </c>
      <c r="B18" s="2" t="s">
        <v>193</v>
      </c>
      <c r="C18" s="2" t="s">
        <v>212</v>
      </c>
      <c r="D18" s="2" t="s">
        <v>405</v>
      </c>
      <c r="E18" s="2"/>
      <c r="F18" s="2" t="s">
        <v>397</v>
      </c>
      <c r="G18" s="2" t="s">
        <v>398</v>
      </c>
      <c r="H18" s="2" t="s">
        <v>397</v>
      </c>
      <c r="I18" s="2"/>
    </row>
    <row r="19" spans="1:9" ht="29" customHeight="1" x14ac:dyDescent="0.35">
      <c r="A19" s="2" t="s">
        <v>219</v>
      </c>
      <c r="B19" s="2" t="s">
        <v>193</v>
      </c>
      <c r="C19" s="2" t="s">
        <v>218</v>
      </c>
      <c r="D19" s="2" t="s">
        <v>405</v>
      </c>
      <c r="E19" s="2" t="s">
        <v>396</v>
      </c>
      <c r="F19" s="2" t="s">
        <v>397</v>
      </c>
      <c r="G19" s="2" t="s">
        <v>403</v>
      </c>
      <c r="H19" s="2" t="s">
        <v>397</v>
      </c>
      <c r="I19" s="2"/>
    </row>
    <row r="20" spans="1:9" ht="29" customHeight="1" x14ac:dyDescent="0.35">
      <c r="A20" s="2" t="s">
        <v>227</v>
      </c>
      <c r="B20" s="2" t="s">
        <v>225</v>
      </c>
      <c r="C20" s="2" t="s">
        <v>226</v>
      </c>
      <c r="D20" s="2" t="s">
        <v>401</v>
      </c>
      <c r="E20" s="2" t="s">
        <v>399</v>
      </c>
      <c r="F20" s="2" t="s">
        <v>397</v>
      </c>
      <c r="G20" s="2" t="s">
        <v>398</v>
      </c>
      <c r="H20" s="2"/>
      <c r="I20" s="2"/>
    </row>
    <row r="21" spans="1:9" ht="29" customHeight="1" x14ac:dyDescent="0.35">
      <c r="A21" s="2" t="s">
        <v>233</v>
      </c>
      <c r="B21" s="2" t="s">
        <v>225</v>
      </c>
      <c r="C21" s="2" t="s">
        <v>232</v>
      </c>
      <c r="D21" s="2" t="s">
        <v>401</v>
      </c>
      <c r="E21" s="2" t="s">
        <v>399</v>
      </c>
      <c r="F21" s="2" t="s">
        <v>397</v>
      </c>
      <c r="G21" s="2" t="s">
        <v>403</v>
      </c>
      <c r="H21" s="2"/>
      <c r="I21" s="2"/>
    </row>
    <row r="22" spans="1:9" ht="29" customHeight="1" x14ac:dyDescent="0.35">
      <c r="A22" s="2" t="s">
        <v>239</v>
      </c>
      <c r="B22" s="2" t="s">
        <v>225</v>
      </c>
      <c r="C22" s="2" t="s">
        <v>238</v>
      </c>
      <c r="D22" s="2" t="s">
        <v>401</v>
      </c>
      <c r="E22" s="2" t="s">
        <v>399</v>
      </c>
      <c r="F22" s="2" t="s">
        <v>397</v>
      </c>
      <c r="G22" s="2" t="s">
        <v>403</v>
      </c>
      <c r="H22" s="2" t="s">
        <v>397</v>
      </c>
      <c r="I22" s="2"/>
    </row>
    <row r="23" spans="1:9" ht="29" customHeight="1" x14ac:dyDescent="0.35">
      <c r="A23" s="2" t="s">
        <v>245</v>
      </c>
      <c r="B23" s="2" t="s">
        <v>225</v>
      </c>
      <c r="C23" s="2" t="s">
        <v>244</v>
      </c>
      <c r="D23" s="2" t="s">
        <v>401</v>
      </c>
      <c r="E23" s="2" t="s">
        <v>399</v>
      </c>
      <c r="F23" s="2" t="s">
        <v>397</v>
      </c>
      <c r="G23" s="2" t="s">
        <v>403</v>
      </c>
      <c r="H23" s="2" t="s">
        <v>397</v>
      </c>
      <c r="I23" s="2"/>
    </row>
    <row r="24" spans="1:9" ht="29" customHeight="1" x14ac:dyDescent="0.35">
      <c r="A24" s="2" t="s">
        <v>251</v>
      </c>
      <c r="B24" s="2" t="s">
        <v>225</v>
      </c>
      <c r="C24" s="2" t="s">
        <v>250</v>
      </c>
      <c r="D24" s="2" t="s">
        <v>401</v>
      </c>
      <c r="E24" s="2"/>
      <c r="F24" s="2" t="s">
        <v>397</v>
      </c>
      <c r="G24" s="2" t="s">
        <v>398</v>
      </c>
      <c r="H24" s="2"/>
      <c r="I24" s="2"/>
    </row>
    <row r="25" spans="1:9" ht="29" customHeight="1" x14ac:dyDescent="0.35">
      <c r="A25" s="2" t="s">
        <v>258</v>
      </c>
      <c r="B25" s="2" t="s">
        <v>256</v>
      </c>
      <c r="C25" s="2" t="s">
        <v>257</v>
      </c>
      <c r="D25" s="2" t="s">
        <v>401</v>
      </c>
      <c r="E25" s="2"/>
      <c r="F25" s="2" t="s">
        <v>397</v>
      </c>
      <c r="G25" s="2" t="s">
        <v>403</v>
      </c>
      <c r="H25" s="2"/>
      <c r="I25" s="2"/>
    </row>
    <row r="26" spans="1:9" ht="29" customHeight="1" x14ac:dyDescent="0.35">
      <c r="A26" s="2" t="s">
        <v>264</v>
      </c>
      <c r="B26" s="2" t="s">
        <v>256</v>
      </c>
      <c r="C26" s="2" t="s">
        <v>263</v>
      </c>
      <c r="D26" s="2" t="s">
        <v>401</v>
      </c>
      <c r="E26" s="2"/>
      <c r="F26" s="2" t="s">
        <v>397</v>
      </c>
      <c r="G26" s="2" t="s">
        <v>403</v>
      </c>
      <c r="H26" s="2" t="s">
        <v>397</v>
      </c>
      <c r="I26" s="2"/>
    </row>
    <row r="27" spans="1:9" ht="29" customHeight="1" x14ac:dyDescent="0.35">
      <c r="A27" s="2" t="s">
        <v>270</v>
      </c>
      <c r="B27" s="2" t="s">
        <v>256</v>
      </c>
      <c r="C27" s="2" t="s">
        <v>269</v>
      </c>
      <c r="D27" s="2" t="s">
        <v>401</v>
      </c>
      <c r="E27" s="2"/>
      <c r="F27" s="2" t="s">
        <v>397</v>
      </c>
      <c r="G27" s="2" t="s">
        <v>403</v>
      </c>
      <c r="H27" s="2"/>
      <c r="I27" s="2"/>
    </row>
    <row r="28" spans="1:9" ht="29" customHeight="1" x14ac:dyDescent="0.35">
      <c r="A28" s="2" t="s">
        <v>276</v>
      </c>
      <c r="B28" s="2" t="s">
        <v>256</v>
      </c>
      <c r="C28" s="2" t="s">
        <v>275</v>
      </c>
      <c r="D28" s="2" t="s">
        <v>401</v>
      </c>
      <c r="E28" s="2"/>
      <c r="F28" s="2" t="s">
        <v>397</v>
      </c>
      <c r="G28" s="2" t="s">
        <v>403</v>
      </c>
      <c r="H28" s="2" t="s">
        <v>397</v>
      </c>
      <c r="I28" s="2"/>
    </row>
    <row r="29" spans="1:9" ht="29" customHeight="1" x14ac:dyDescent="0.35">
      <c r="A29" s="2" t="s">
        <v>283</v>
      </c>
      <c r="B29" s="2" t="s">
        <v>281</v>
      </c>
      <c r="C29" s="2" t="s">
        <v>282</v>
      </c>
      <c r="D29" s="2" t="s">
        <v>401</v>
      </c>
      <c r="E29" s="2" t="s">
        <v>399</v>
      </c>
      <c r="F29" s="2" t="s">
        <v>397</v>
      </c>
      <c r="G29" s="2" t="s">
        <v>403</v>
      </c>
      <c r="H29" s="2" t="s">
        <v>397</v>
      </c>
      <c r="I29" s="2"/>
    </row>
    <row r="30" spans="1:9" ht="29" customHeight="1" x14ac:dyDescent="0.35">
      <c r="A30" s="2" t="s">
        <v>289</v>
      </c>
      <c r="B30" s="2" t="s">
        <v>281</v>
      </c>
      <c r="C30" s="2" t="s">
        <v>288</v>
      </c>
      <c r="D30" s="2" t="s">
        <v>401</v>
      </c>
      <c r="E30" s="2"/>
      <c r="F30" s="2" t="s">
        <v>397</v>
      </c>
      <c r="G30" s="2" t="s">
        <v>398</v>
      </c>
      <c r="H30" s="2"/>
      <c r="I30" s="2"/>
    </row>
    <row r="31" spans="1:9" ht="29" customHeight="1" x14ac:dyDescent="0.35">
      <c r="A31" s="2" t="s">
        <v>295</v>
      </c>
      <c r="B31" s="2" t="s">
        <v>281</v>
      </c>
      <c r="C31" s="2" t="s">
        <v>294</v>
      </c>
      <c r="D31" s="2" t="s">
        <v>401</v>
      </c>
      <c r="E31" s="2" t="s">
        <v>399</v>
      </c>
      <c r="F31" s="2" t="s">
        <v>397</v>
      </c>
      <c r="G31" s="2" t="s">
        <v>398</v>
      </c>
      <c r="H31" s="2"/>
      <c r="I31" s="2"/>
    </row>
    <row r="32" spans="1:9" ht="29" customHeight="1" x14ac:dyDescent="0.35">
      <c r="A32" s="2" t="s">
        <v>301</v>
      </c>
      <c r="B32" s="2" t="s">
        <v>281</v>
      </c>
      <c r="C32" s="2" t="s">
        <v>300</v>
      </c>
      <c r="D32" s="2" t="s">
        <v>401</v>
      </c>
      <c r="E32" s="2" t="s">
        <v>399</v>
      </c>
      <c r="F32" s="2" t="s">
        <v>397</v>
      </c>
      <c r="G32" s="2" t="s">
        <v>403</v>
      </c>
      <c r="H32" s="2" t="s">
        <v>397</v>
      </c>
      <c r="I32" s="2"/>
    </row>
    <row r="33" spans="1:9" ht="29" customHeight="1" x14ac:dyDescent="0.35">
      <c r="A33" s="2" t="s">
        <v>308</v>
      </c>
      <c r="B33" s="2" t="s">
        <v>306</v>
      </c>
      <c r="C33" s="2" t="s">
        <v>307</v>
      </c>
      <c r="D33" s="2" t="s">
        <v>402</v>
      </c>
      <c r="E33" s="2" t="s">
        <v>399</v>
      </c>
      <c r="F33" s="2" t="s">
        <v>397</v>
      </c>
      <c r="G33" s="2" t="s">
        <v>403</v>
      </c>
      <c r="H33" s="2" t="s">
        <v>397</v>
      </c>
      <c r="I33" s="2"/>
    </row>
    <row r="34" spans="1:9" ht="29" customHeight="1" x14ac:dyDescent="0.35">
      <c r="A34" s="2" t="s">
        <v>313</v>
      </c>
      <c r="B34" s="2" t="s">
        <v>306</v>
      </c>
      <c r="C34" s="2" t="s">
        <v>312</v>
      </c>
      <c r="D34" s="2" t="s">
        <v>402</v>
      </c>
      <c r="E34" s="2" t="s">
        <v>399</v>
      </c>
      <c r="F34" s="2" t="s">
        <v>397</v>
      </c>
      <c r="G34" s="2" t="s">
        <v>403</v>
      </c>
      <c r="H34" s="2" t="s">
        <v>397</v>
      </c>
      <c r="I34" s="2"/>
    </row>
    <row r="35" spans="1:9" ht="29" customHeight="1" x14ac:dyDescent="0.35">
      <c r="A35" s="2" t="s">
        <v>319</v>
      </c>
      <c r="B35" s="2" t="s">
        <v>306</v>
      </c>
      <c r="C35" s="2" t="s">
        <v>318</v>
      </c>
      <c r="D35" s="2" t="s">
        <v>402</v>
      </c>
      <c r="E35" s="2" t="s">
        <v>399</v>
      </c>
      <c r="F35" s="2" t="s">
        <v>397</v>
      </c>
      <c r="G35" s="2" t="s">
        <v>403</v>
      </c>
      <c r="H35" s="2" t="s">
        <v>397</v>
      </c>
      <c r="I35" s="2"/>
    </row>
    <row r="36" spans="1:9" ht="29" customHeight="1" x14ac:dyDescent="0.35">
      <c r="A36" s="2" t="s">
        <v>325</v>
      </c>
      <c r="B36" s="2" t="s">
        <v>306</v>
      </c>
      <c r="C36" s="2" t="s">
        <v>324</v>
      </c>
      <c r="D36" s="2" t="s">
        <v>402</v>
      </c>
      <c r="E36" s="2"/>
      <c r="F36" s="2" t="s">
        <v>397</v>
      </c>
      <c r="G36" s="2" t="s">
        <v>403</v>
      </c>
      <c r="H36" s="2" t="s">
        <v>397</v>
      </c>
      <c r="I36" s="2"/>
    </row>
    <row r="37" spans="1:9" ht="29" customHeight="1" x14ac:dyDescent="0.35">
      <c r="A37" s="2" t="s">
        <v>332</v>
      </c>
      <c r="B37" s="2" t="s">
        <v>330</v>
      </c>
      <c r="C37" s="2" t="s">
        <v>331</v>
      </c>
      <c r="D37" s="2" t="s">
        <v>400</v>
      </c>
      <c r="E37" s="2" t="s">
        <v>399</v>
      </c>
      <c r="F37" s="2" t="s">
        <v>397</v>
      </c>
      <c r="G37" s="2" t="s">
        <v>398</v>
      </c>
      <c r="H37" s="2" t="s">
        <v>397</v>
      </c>
      <c r="I37" s="2"/>
    </row>
    <row r="38" spans="1:9" ht="29" customHeight="1" x14ac:dyDescent="0.35">
      <c r="A38" s="2" t="s">
        <v>338</v>
      </c>
      <c r="B38" s="2" t="s">
        <v>330</v>
      </c>
      <c r="C38" s="2" t="s">
        <v>337</v>
      </c>
      <c r="D38" s="2" t="s">
        <v>400</v>
      </c>
      <c r="E38" s="2"/>
      <c r="F38" s="2" t="s">
        <v>397</v>
      </c>
      <c r="G38" s="2" t="s">
        <v>398</v>
      </c>
      <c r="H38" s="2" t="s">
        <v>397</v>
      </c>
      <c r="I38" s="2"/>
    </row>
    <row r="39" spans="1:9" ht="29" customHeight="1" x14ac:dyDescent="0.35">
      <c r="A39" s="2" t="s">
        <v>343</v>
      </c>
      <c r="B39" s="2" t="s">
        <v>330</v>
      </c>
      <c r="C39" s="2" t="s">
        <v>342</v>
      </c>
      <c r="D39" s="2" t="s">
        <v>400</v>
      </c>
      <c r="E39" s="2" t="s">
        <v>399</v>
      </c>
      <c r="F39" s="2" t="s">
        <v>397</v>
      </c>
      <c r="G39" s="2" t="s">
        <v>398</v>
      </c>
      <c r="H39" s="2" t="s">
        <v>397</v>
      </c>
      <c r="I39" s="2"/>
    </row>
    <row r="40" spans="1:9" ht="29" customHeight="1" x14ac:dyDescent="0.35">
      <c r="A40" s="2" t="s">
        <v>349</v>
      </c>
      <c r="B40" s="2" t="s">
        <v>330</v>
      </c>
      <c r="C40" s="2" t="s">
        <v>348</v>
      </c>
      <c r="D40" s="2" t="s">
        <v>400</v>
      </c>
      <c r="E40" s="2" t="s">
        <v>399</v>
      </c>
      <c r="F40" s="2" t="s">
        <v>397</v>
      </c>
      <c r="G40" s="2" t="s">
        <v>398</v>
      </c>
      <c r="H40" s="2" t="s">
        <v>397</v>
      </c>
      <c r="I40" s="2"/>
    </row>
    <row r="41" spans="1:9" ht="29" customHeight="1" x14ac:dyDescent="0.35">
      <c r="A41" s="2" t="s">
        <v>355</v>
      </c>
      <c r="B41" s="2" t="s">
        <v>330</v>
      </c>
      <c r="C41" s="2" t="s">
        <v>354</v>
      </c>
      <c r="D41" s="2" t="s">
        <v>400</v>
      </c>
      <c r="E41" s="2"/>
      <c r="F41" s="2" t="s">
        <v>397</v>
      </c>
      <c r="G41" s="2" t="s">
        <v>398</v>
      </c>
      <c r="H41" s="2" t="s">
        <v>397</v>
      </c>
      <c r="I41" s="2"/>
    </row>
    <row r="42" spans="1:9" ht="29" customHeight="1" x14ac:dyDescent="0.35">
      <c r="A42" s="2" t="s">
        <v>360</v>
      </c>
      <c r="B42" s="2" t="s">
        <v>358</v>
      </c>
      <c r="C42" s="2" t="s">
        <v>359</v>
      </c>
      <c r="D42" s="2" t="s">
        <v>405</v>
      </c>
      <c r="E42" s="2" t="s">
        <v>399</v>
      </c>
      <c r="F42" s="2" t="s">
        <v>397</v>
      </c>
      <c r="G42" s="2" t="s">
        <v>403</v>
      </c>
      <c r="H42" s="2" t="s">
        <v>397</v>
      </c>
      <c r="I42" s="2"/>
    </row>
    <row r="43" spans="1:9" ht="29" customHeight="1" x14ac:dyDescent="0.35">
      <c r="A43" s="2" t="s">
        <v>367</v>
      </c>
      <c r="B43" s="2" t="s">
        <v>358</v>
      </c>
      <c r="C43" s="2" t="s">
        <v>366</v>
      </c>
      <c r="D43" s="2" t="s">
        <v>405</v>
      </c>
      <c r="E43" s="2" t="s">
        <v>396</v>
      </c>
      <c r="F43" s="2" t="s">
        <v>397</v>
      </c>
      <c r="G43" s="2" t="s">
        <v>403</v>
      </c>
      <c r="H43" s="2" t="s">
        <v>397</v>
      </c>
      <c r="I43" s="2"/>
    </row>
    <row r="44" spans="1:9" ht="29" customHeight="1" x14ac:dyDescent="0.35">
      <c r="A44" s="2" t="s">
        <v>373</v>
      </c>
      <c r="B44" s="2" t="s">
        <v>358</v>
      </c>
      <c r="C44" s="2" t="s">
        <v>372</v>
      </c>
      <c r="D44" s="2" t="s">
        <v>405</v>
      </c>
      <c r="E44" s="2" t="s">
        <v>399</v>
      </c>
      <c r="F44" s="2" t="s">
        <v>397</v>
      </c>
      <c r="G44" s="2" t="s">
        <v>403</v>
      </c>
      <c r="H44" s="2" t="s">
        <v>397</v>
      </c>
      <c r="I44" s="2"/>
    </row>
    <row r="45" spans="1:9" ht="29" customHeight="1" x14ac:dyDescent="0.35">
      <c r="A45" s="2" t="s">
        <v>378</v>
      </c>
      <c r="B45" s="2" t="s">
        <v>358</v>
      </c>
      <c r="C45" s="2" t="s">
        <v>377</v>
      </c>
      <c r="D45" s="2" t="s">
        <v>405</v>
      </c>
      <c r="E45" s="2"/>
      <c r="F45" s="2" t="s">
        <v>397</v>
      </c>
      <c r="G45" s="2" t="s">
        <v>403</v>
      </c>
      <c r="H45" s="2" t="s">
        <v>397</v>
      </c>
      <c r="I45" s="2"/>
    </row>
    <row r="46" spans="1:9" ht="29" customHeight="1" x14ac:dyDescent="0.35">
      <c r="A46" s="2" t="s">
        <v>384</v>
      </c>
      <c r="B46" s="2" t="s">
        <v>358</v>
      </c>
      <c r="C46" s="2" t="s">
        <v>383</v>
      </c>
      <c r="D46" s="2" t="s">
        <v>405</v>
      </c>
      <c r="E46" s="2"/>
      <c r="F46" s="2" t="s">
        <v>397</v>
      </c>
      <c r="G46" s="2" t="s">
        <v>403</v>
      </c>
      <c r="H46" s="2" t="s">
        <v>397</v>
      </c>
      <c r="I46"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9"/>
  <sheetViews>
    <sheetView workbookViewId="0">
      <selection sqref="A1:F1"/>
    </sheetView>
  </sheetViews>
  <sheetFormatPr defaultRowHeight="14.5" x14ac:dyDescent="0.35"/>
  <cols>
    <col min="1" max="1" width="26" customWidth="1"/>
    <col min="2" max="2" width="42" customWidth="1"/>
    <col min="3" max="5" width="32" customWidth="1"/>
    <col min="6" max="6" width="12" customWidth="1"/>
  </cols>
  <sheetData>
    <row r="1" spans="1:6" ht="19" customHeight="1" x14ac:dyDescent="0.45">
      <c r="A1" s="79" t="s">
        <v>406</v>
      </c>
      <c r="B1" s="59"/>
      <c r="C1" s="59"/>
      <c r="D1" s="59"/>
      <c r="E1" s="59"/>
      <c r="F1" s="59"/>
    </row>
    <row r="2" spans="1:6" x14ac:dyDescent="0.35">
      <c r="A2" s="78" t="s">
        <v>407</v>
      </c>
      <c r="B2" s="59"/>
      <c r="C2" s="59"/>
      <c r="D2" s="59"/>
      <c r="E2" s="59"/>
      <c r="F2" s="59"/>
    </row>
    <row r="4" spans="1:6" x14ac:dyDescent="0.35">
      <c r="A4" s="21" t="s">
        <v>408</v>
      </c>
      <c r="B4" s="21" t="s">
        <v>409</v>
      </c>
      <c r="C4" s="21" t="s">
        <v>410</v>
      </c>
      <c r="D4" s="21" t="s">
        <v>411</v>
      </c>
      <c r="E4" s="21" t="s">
        <v>412</v>
      </c>
      <c r="F4" s="21" t="s">
        <v>413</v>
      </c>
    </row>
    <row r="5" spans="1:6" ht="19.399999999999999" customHeight="1" x14ac:dyDescent="0.35">
      <c r="A5" s="22" t="s">
        <v>414</v>
      </c>
      <c r="B5" s="22" t="s">
        <v>415</v>
      </c>
      <c r="C5" s="22" t="s">
        <v>416</v>
      </c>
      <c r="D5" s="22" t="s">
        <v>417</v>
      </c>
      <c r="E5" s="22" t="s">
        <v>418</v>
      </c>
      <c r="F5" s="22"/>
    </row>
    <row r="6" spans="1:6" ht="19.399999999999999" customHeight="1" x14ac:dyDescent="0.35">
      <c r="A6" s="22" t="s">
        <v>419</v>
      </c>
      <c r="B6" s="22" t="s">
        <v>420</v>
      </c>
      <c r="C6" s="22" t="s">
        <v>421</v>
      </c>
      <c r="D6" s="22" t="s">
        <v>422</v>
      </c>
      <c r="E6" s="22" t="s">
        <v>423</v>
      </c>
      <c r="F6" s="22"/>
    </row>
    <row r="7" spans="1:6" ht="19.399999999999999" customHeight="1" x14ac:dyDescent="0.35">
      <c r="A7" s="22" t="s">
        <v>424</v>
      </c>
      <c r="B7" s="22" t="s">
        <v>425</v>
      </c>
      <c r="C7" s="22" t="s">
        <v>426</v>
      </c>
      <c r="D7" s="22" t="s">
        <v>427</v>
      </c>
      <c r="E7" s="22" t="s">
        <v>428</v>
      </c>
      <c r="F7" s="22"/>
    </row>
    <row r="8" spans="1:6" ht="19.399999999999999" customHeight="1" x14ac:dyDescent="0.35">
      <c r="A8" s="22" t="s">
        <v>429</v>
      </c>
      <c r="B8" s="22" t="s">
        <v>430</v>
      </c>
      <c r="C8" s="22" t="s">
        <v>431</v>
      </c>
      <c r="D8" s="22" t="s">
        <v>432</v>
      </c>
      <c r="E8" s="22" t="s">
        <v>433</v>
      </c>
      <c r="F8" s="22"/>
    </row>
    <row r="9" spans="1:6" ht="19.399999999999999" customHeight="1" x14ac:dyDescent="0.35">
      <c r="A9" s="22" t="s">
        <v>434</v>
      </c>
      <c r="B9" s="22" t="s">
        <v>435</v>
      </c>
      <c r="C9" s="22" t="s">
        <v>436</v>
      </c>
      <c r="D9" s="22" t="s">
        <v>437</v>
      </c>
      <c r="E9" s="22" t="s">
        <v>438</v>
      </c>
      <c r="F9" s="22"/>
    </row>
    <row r="10" spans="1:6" ht="19.399999999999999" customHeight="1" x14ac:dyDescent="0.35">
      <c r="A10" s="22" t="s">
        <v>439</v>
      </c>
      <c r="B10" s="22" t="s">
        <v>440</v>
      </c>
      <c r="C10" s="22" t="s">
        <v>441</v>
      </c>
      <c r="D10" s="22" t="s">
        <v>442</v>
      </c>
      <c r="E10" s="22" t="s">
        <v>443</v>
      </c>
      <c r="F10" s="22"/>
    </row>
    <row r="11" spans="1:6" ht="19.399999999999999" customHeight="1" x14ac:dyDescent="0.35">
      <c r="A11" s="22" t="s">
        <v>444</v>
      </c>
      <c r="B11" s="22" t="s">
        <v>445</v>
      </c>
      <c r="C11" s="22" t="s">
        <v>446</v>
      </c>
      <c r="D11" s="22" t="s">
        <v>447</v>
      </c>
      <c r="E11" s="22" t="s">
        <v>448</v>
      </c>
      <c r="F11" s="22"/>
    </row>
    <row r="12" spans="1:6" ht="19.399999999999999" customHeight="1" x14ac:dyDescent="0.35">
      <c r="A12" s="22" t="s">
        <v>449</v>
      </c>
      <c r="B12" s="22" t="s">
        <v>450</v>
      </c>
      <c r="C12" s="22" t="s">
        <v>451</v>
      </c>
      <c r="D12" s="22" t="s">
        <v>452</v>
      </c>
      <c r="E12" s="22" t="s">
        <v>453</v>
      </c>
      <c r="F12" s="22"/>
    </row>
    <row r="13" spans="1:6" ht="19.399999999999999" customHeight="1" x14ac:dyDescent="0.35">
      <c r="A13" s="22" t="s">
        <v>454</v>
      </c>
      <c r="B13" s="22" t="s">
        <v>455</v>
      </c>
      <c r="C13" s="22" t="s">
        <v>456</v>
      </c>
      <c r="D13" s="22" t="s">
        <v>457</v>
      </c>
      <c r="E13" s="22" t="s">
        <v>458</v>
      </c>
      <c r="F13" s="22"/>
    </row>
    <row r="14" spans="1:6" ht="19.399999999999999" customHeight="1" x14ac:dyDescent="0.35">
      <c r="A14" s="22" t="s">
        <v>459</v>
      </c>
      <c r="B14" s="22" t="s">
        <v>460</v>
      </c>
      <c r="C14" s="22" t="s">
        <v>461</v>
      </c>
      <c r="D14" s="22" t="s">
        <v>462</v>
      </c>
      <c r="E14" s="22" t="s">
        <v>463</v>
      </c>
      <c r="F14" s="22"/>
    </row>
    <row r="16" spans="1:6" x14ac:dyDescent="0.35">
      <c r="E16" s="23" t="s">
        <v>464</v>
      </c>
      <c r="F16" s="24"/>
    </row>
    <row r="18" spans="1:6" x14ac:dyDescent="0.35">
      <c r="A18" s="80" t="s">
        <v>465</v>
      </c>
      <c r="B18" s="59"/>
      <c r="C18" s="59"/>
      <c r="D18" s="59"/>
      <c r="E18" s="59"/>
      <c r="F18" s="59"/>
    </row>
    <row r="19" spans="1:6" x14ac:dyDescent="0.35">
      <c r="A19" s="59" t="s">
        <v>466</v>
      </c>
      <c r="B19" s="59"/>
      <c r="C19" s="59"/>
      <c r="D19" s="59"/>
      <c r="E19" s="59"/>
      <c r="F19" s="59"/>
    </row>
  </sheetData>
  <mergeCells count="4">
    <mergeCell ref="A19:F19"/>
    <mergeCell ref="A2:F2"/>
    <mergeCell ref="A1:F1"/>
    <mergeCell ref="A18:F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7"/>
  <sheetViews>
    <sheetView workbookViewId="0">
      <selection activeCell="A9" sqref="A9"/>
    </sheetView>
  </sheetViews>
  <sheetFormatPr defaultRowHeight="14.5" x14ac:dyDescent="0.35"/>
  <cols>
    <col min="1" max="1" width="30" customWidth="1"/>
    <col min="2" max="5" width="45" customWidth="1"/>
    <col min="6" max="6" width="18" customWidth="1"/>
    <col min="7" max="7" width="40" customWidth="1"/>
  </cols>
  <sheetData>
    <row r="1" spans="1:7" ht="36" customHeight="1" x14ac:dyDescent="0.35">
      <c r="A1" s="66" t="s">
        <v>0</v>
      </c>
      <c r="B1" s="59"/>
      <c r="C1" s="59"/>
      <c r="D1" s="59"/>
      <c r="E1" s="59"/>
    </row>
    <row r="2" spans="1:7" ht="36" customHeight="1" x14ac:dyDescent="0.35"/>
    <row r="3" spans="1:7" ht="18.5" customHeight="1" x14ac:dyDescent="0.35">
      <c r="A3" s="47" t="s">
        <v>467</v>
      </c>
    </row>
    <row r="4" spans="1:7" x14ac:dyDescent="0.35">
      <c r="A4" t="s">
        <v>468</v>
      </c>
    </row>
    <row r="5" spans="1:7" x14ac:dyDescent="0.35">
      <c r="A5" t="s">
        <v>469</v>
      </c>
    </row>
    <row r="6" spans="1:7" ht="29" customHeight="1" x14ac:dyDescent="0.35"/>
    <row r="7" spans="1:7" ht="29" customHeight="1" x14ac:dyDescent="0.35">
      <c r="A7" s="25" t="s">
        <v>408</v>
      </c>
      <c r="B7" s="25" t="s">
        <v>409</v>
      </c>
      <c r="C7" s="25" t="s">
        <v>410</v>
      </c>
      <c r="D7" s="25" t="s">
        <v>411</v>
      </c>
      <c r="E7" s="25" t="s">
        <v>412</v>
      </c>
      <c r="F7" s="25" t="s">
        <v>470</v>
      </c>
      <c r="G7" s="25" t="s">
        <v>471</v>
      </c>
    </row>
    <row r="8" spans="1:7" ht="29" customHeight="1" x14ac:dyDescent="0.35">
      <c r="A8" s="26" t="s">
        <v>414</v>
      </c>
      <c r="B8" s="26" t="s">
        <v>415</v>
      </c>
      <c r="C8" s="26" t="s">
        <v>416</v>
      </c>
      <c r="D8" s="26" t="s">
        <v>417</v>
      </c>
      <c r="E8" s="26" t="s">
        <v>418</v>
      </c>
      <c r="F8" s="26"/>
      <c r="G8" s="26"/>
    </row>
    <row r="9" spans="1:7" ht="29" customHeight="1" x14ac:dyDescent="0.35">
      <c r="A9" s="26" t="s">
        <v>419</v>
      </c>
      <c r="B9" s="26" t="s">
        <v>472</v>
      </c>
      <c r="C9" s="26" t="s">
        <v>473</v>
      </c>
      <c r="D9" s="26" t="s">
        <v>474</v>
      </c>
      <c r="E9" s="26" t="s">
        <v>475</v>
      </c>
      <c r="F9" s="26"/>
      <c r="G9" s="26"/>
    </row>
    <row r="10" spans="1:7" ht="43.5" customHeight="1" x14ac:dyDescent="0.35">
      <c r="A10" s="26" t="s">
        <v>424</v>
      </c>
      <c r="B10" s="26" t="s">
        <v>425</v>
      </c>
      <c r="C10" s="26" t="s">
        <v>426</v>
      </c>
      <c r="D10" s="26" t="s">
        <v>427</v>
      </c>
      <c r="E10" s="26" t="s">
        <v>428</v>
      </c>
      <c r="F10" s="26"/>
      <c r="G10" s="26"/>
    </row>
    <row r="11" spans="1:7" ht="29" customHeight="1" x14ac:dyDescent="0.35">
      <c r="A11" s="26" t="s">
        <v>429</v>
      </c>
      <c r="B11" s="26" t="s">
        <v>430</v>
      </c>
      <c r="C11" s="26" t="s">
        <v>431</v>
      </c>
      <c r="D11" s="26" t="s">
        <v>432</v>
      </c>
      <c r="E11" s="26" t="s">
        <v>433</v>
      </c>
      <c r="F11" s="26"/>
      <c r="G11" s="26"/>
    </row>
    <row r="12" spans="1:7" ht="29" customHeight="1" x14ac:dyDescent="0.35">
      <c r="A12" s="26" t="s">
        <v>434</v>
      </c>
      <c r="B12" s="26" t="s">
        <v>476</v>
      </c>
      <c r="C12" s="26" t="s">
        <v>477</v>
      </c>
      <c r="D12" s="26" t="s">
        <v>478</v>
      </c>
      <c r="E12" s="26" t="s">
        <v>438</v>
      </c>
      <c r="F12" s="26"/>
      <c r="G12" s="26"/>
    </row>
    <row r="13" spans="1:7" ht="29" customHeight="1" x14ac:dyDescent="0.35">
      <c r="A13" s="26" t="s">
        <v>439</v>
      </c>
      <c r="B13" s="26" t="s">
        <v>440</v>
      </c>
      <c r="C13" s="26" t="s">
        <v>441</v>
      </c>
      <c r="D13" s="26" t="s">
        <v>442</v>
      </c>
      <c r="E13" s="26" t="s">
        <v>443</v>
      </c>
      <c r="F13" s="26"/>
      <c r="G13" s="26"/>
    </row>
    <row r="14" spans="1:7" ht="29" customHeight="1" x14ac:dyDescent="0.35">
      <c r="A14" s="26" t="s">
        <v>444</v>
      </c>
      <c r="B14" s="26" t="s">
        <v>445</v>
      </c>
      <c r="C14" s="26" t="s">
        <v>446</v>
      </c>
      <c r="D14" s="26" t="s">
        <v>447</v>
      </c>
      <c r="E14" s="26" t="s">
        <v>448</v>
      </c>
      <c r="F14" s="26"/>
      <c r="G14" s="26"/>
    </row>
    <row r="15" spans="1:7" ht="58" customHeight="1" x14ac:dyDescent="0.35">
      <c r="A15" s="26" t="s">
        <v>449</v>
      </c>
      <c r="B15" s="26" t="s">
        <v>450</v>
      </c>
      <c r="C15" s="26" t="s">
        <v>451</v>
      </c>
      <c r="D15" s="26" t="s">
        <v>452</v>
      </c>
      <c r="E15" s="26" t="s">
        <v>453</v>
      </c>
      <c r="F15" s="26"/>
      <c r="G15" s="26"/>
    </row>
    <row r="16" spans="1:7" ht="29" customHeight="1" x14ac:dyDescent="0.35">
      <c r="A16" s="26" t="s">
        <v>454</v>
      </c>
      <c r="B16" s="26" t="s">
        <v>455</v>
      </c>
      <c r="C16" s="26" t="s">
        <v>456</v>
      </c>
      <c r="D16" s="26" t="s">
        <v>457</v>
      </c>
      <c r="E16" s="26" t="s">
        <v>458</v>
      </c>
      <c r="F16" s="26"/>
      <c r="G16" s="26"/>
    </row>
    <row r="17" spans="1:7" ht="58" customHeight="1" x14ac:dyDescent="0.35">
      <c r="A17" s="26" t="s">
        <v>459</v>
      </c>
      <c r="B17" s="26" t="s">
        <v>479</v>
      </c>
      <c r="C17" s="26" t="s">
        <v>480</v>
      </c>
      <c r="D17" s="26" t="s">
        <v>481</v>
      </c>
      <c r="E17" s="26" t="s">
        <v>482</v>
      </c>
      <c r="F17" s="26"/>
      <c r="G17" s="26"/>
    </row>
    <row r="20" spans="1:7" x14ac:dyDescent="0.35">
      <c r="A20" t="s">
        <v>483</v>
      </c>
      <c r="C20" t="s">
        <v>484</v>
      </c>
      <c r="E20" t="s">
        <v>485</v>
      </c>
    </row>
    <row r="35" spans="1:5" x14ac:dyDescent="0.35">
      <c r="A35" s="59"/>
      <c r="B35" s="59"/>
      <c r="C35" s="59"/>
      <c r="D35" s="59"/>
      <c r="E35" s="59"/>
    </row>
    <row r="37" spans="1:5" ht="87" customHeight="1" x14ac:dyDescent="0.35">
      <c r="A37" s="48" t="s">
        <v>486</v>
      </c>
    </row>
  </sheetData>
  <mergeCells count="2">
    <mergeCell ref="A1:E1"/>
    <mergeCell ref="A35:E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zoomScale="70" zoomScaleNormal="70" workbookViewId="0">
      <pane ySplit="4" topLeftCell="A5" activePane="bottomLeft" state="frozen"/>
      <selection pane="bottomLeft" activeCell="A2" sqref="A2:E2"/>
    </sheetView>
  </sheetViews>
  <sheetFormatPr defaultRowHeight="14.5" x14ac:dyDescent="0.35"/>
  <cols>
    <col min="1" max="1" width="22" customWidth="1"/>
    <col min="2" max="2" width="70" customWidth="1"/>
    <col min="3" max="3" width="35" customWidth="1"/>
    <col min="4" max="5" width="24" customWidth="1"/>
  </cols>
  <sheetData>
    <row r="1" spans="1:5" ht="32" customHeight="1" x14ac:dyDescent="0.35">
      <c r="A1" s="58" t="s">
        <v>487</v>
      </c>
      <c r="B1" s="59"/>
      <c r="C1" s="59"/>
      <c r="D1" s="59"/>
      <c r="E1" s="59"/>
    </row>
    <row r="2" spans="1:5" ht="33" customHeight="1" x14ac:dyDescent="0.35">
      <c r="A2" s="65" t="s">
        <v>488</v>
      </c>
      <c r="B2" s="59"/>
      <c r="C2" s="59"/>
      <c r="D2" s="59"/>
      <c r="E2" s="59"/>
    </row>
    <row r="4" spans="1:5" ht="20" customHeight="1" x14ac:dyDescent="0.35">
      <c r="A4" s="61" t="s">
        <v>489</v>
      </c>
      <c r="B4" s="59"/>
      <c r="C4" s="59"/>
      <c r="D4" s="59"/>
      <c r="E4" s="59"/>
    </row>
    <row r="5" spans="1:5" ht="165" customHeight="1" x14ac:dyDescent="0.35">
      <c r="A5" s="60" t="s">
        <v>490</v>
      </c>
      <c r="B5" s="59"/>
      <c r="C5" s="59"/>
      <c r="D5" s="59"/>
      <c r="E5" s="59"/>
    </row>
    <row r="6" spans="1:5" x14ac:dyDescent="0.35">
      <c r="A6" s="59"/>
      <c r="B6" s="59"/>
      <c r="C6" s="59"/>
      <c r="D6" s="59"/>
      <c r="E6" s="59"/>
    </row>
    <row r="8" spans="1:5" ht="20" customHeight="1" x14ac:dyDescent="0.35">
      <c r="A8" s="61" t="s">
        <v>491</v>
      </c>
      <c r="B8" s="59"/>
      <c r="C8" s="59"/>
      <c r="D8" s="59"/>
      <c r="E8" s="59"/>
    </row>
    <row r="9" spans="1:5" x14ac:dyDescent="0.35">
      <c r="A9" s="53" t="s">
        <v>492</v>
      </c>
      <c r="B9" s="53" t="s">
        <v>493</v>
      </c>
      <c r="C9" s="53" t="s">
        <v>494</v>
      </c>
      <c r="D9" s="62" t="s">
        <v>394</v>
      </c>
      <c r="E9" s="63"/>
    </row>
    <row r="10" spans="1:5" ht="58" customHeight="1" x14ac:dyDescent="0.35">
      <c r="A10" s="55" t="s">
        <v>495</v>
      </c>
      <c r="B10" s="55" t="s">
        <v>496</v>
      </c>
      <c r="C10" s="55" t="s">
        <v>497</v>
      </c>
      <c r="D10" s="64"/>
      <c r="E10" s="63"/>
    </row>
    <row r="11" spans="1:5" ht="58" customHeight="1" x14ac:dyDescent="0.35">
      <c r="A11" s="56" t="s">
        <v>498</v>
      </c>
      <c r="B11" s="56" t="s">
        <v>499</v>
      </c>
      <c r="C11" s="56" t="s">
        <v>500</v>
      </c>
      <c r="D11" s="64"/>
      <c r="E11" s="63"/>
    </row>
    <row r="12" spans="1:5" ht="58" customHeight="1" x14ac:dyDescent="0.35">
      <c r="A12" s="55" t="s">
        <v>501</v>
      </c>
      <c r="B12" s="55" t="s">
        <v>502</v>
      </c>
      <c r="C12" s="55" t="s">
        <v>503</v>
      </c>
      <c r="D12" s="64"/>
      <c r="E12" s="63"/>
    </row>
    <row r="13" spans="1:5" ht="20" customHeight="1" x14ac:dyDescent="0.35">
      <c r="A13" s="61" t="s">
        <v>504</v>
      </c>
      <c r="B13" s="59"/>
      <c r="C13" s="59"/>
      <c r="D13" s="59"/>
      <c r="E13" s="59"/>
    </row>
    <row r="14" spans="1:5" ht="135.5" customHeight="1" x14ac:dyDescent="0.35">
      <c r="A14" s="60" t="s">
        <v>505</v>
      </c>
      <c r="B14" s="59"/>
      <c r="C14" s="59"/>
      <c r="D14" s="59"/>
      <c r="E14" s="59"/>
    </row>
    <row r="15" spans="1:5" x14ac:dyDescent="0.35">
      <c r="A15" s="59"/>
      <c r="B15" s="59"/>
      <c r="C15" s="59"/>
      <c r="D15" s="59"/>
      <c r="E15" s="59"/>
    </row>
    <row r="17" spans="1:5" ht="15.5" x14ac:dyDescent="0.35">
      <c r="A17" s="61" t="s">
        <v>506</v>
      </c>
      <c r="B17" s="59"/>
      <c r="C17" s="59"/>
      <c r="D17" s="59"/>
      <c r="E17" s="59"/>
    </row>
    <row r="18" spans="1:5" ht="130" customHeight="1" x14ac:dyDescent="0.35">
      <c r="A18" s="60" t="s">
        <v>507</v>
      </c>
      <c r="B18" s="59"/>
      <c r="C18" s="59"/>
      <c r="D18" s="59"/>
      <c r="E18" s="59"/>
    </row>
    <row r="19" spans="1:5" x14ac:dyDescent="0.35">
      <c r="A19" s="59"/>
      <c r="B19" s="59"/>
      <c r="C19" s="59"/>
      <c r="D19" s="59"/>
      <c r="E19" s="59"/>
    </row>
  </sheetData>
  <mergeCells count="13">
    <mergeCell ref="A18:E19"/>
    <mergeCell ref="A17:E17"/>
    <mergeCell ref="A1:E1"/>
    <mergeCell ref="A14:E15"/>
    <mergeCell ref="A5:E6"/>
    <mergeCell ref="A8:E8"/>
    <mergeCell ref="A13:E13"/>
    <mergeCell ref="D9:E9"/>
    <mergeCell ref="D12:E12"/>
    <mergeCell ref="A4:E4"/>
    <mergeCell ref="D10:E10"/>
    <mergeCell ref="A2:E2"/>
    <mergeCell ref="D11:E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pane ySplit="1" topLeftCell="A2" activePane="bottomLeft" state="frozen"/>
      <selection pane="bottomLeft"/>
    </sheetView>
  </sheetViews>
  <sheetFormatPr defaultRowHeight="14.5" x14ac:dyDescent="0.35"/>
  <cols>
    <col min="1" max="1" width="18" customWidth="1"/>
    <col min="2" max="2" width="40" customWidth="1"/>
    <col min="3" max="3" width="18" customWidth="1"/>
    <col min="4" max="4" width="60" customWidth="1"/>
    <col min="5" max="6" width="2" customWidth="1"/>
  </cols>
  <sheetData>
    <row r="1" spans="1:6" ht="409.5" x14ac:dyDescent="0.35">
      <c r="A1" s="53" t="s">
        <v>508</v>
      </c>
      <c r="B1" s="53" t="s">
        <v>509</v>
      </c>
      <c r="C1" s="53" t="s">
        <v>510</v>
      </c>
      <c r="D1" s="53" t="s">
        <v>511</v>
      </c>
      <c r="E1" s="53" t="s">
        <v>107</v>
      </c>
      <c r="F1" s="53" t="s">
        <v>512</v>
      </c>
    </row>
    <row r="2" spans="1:6" ht="55" customHeight="1" x14ac:dyDescent="0.35">
      <c r="A2" s="55" t="s">
        <v>513</v>
      </c>
      <c r="B2" s="55" t="s">
        <v>514</v>
      </c>
      <c r="C2" s="55" t="s">
        <v>515</v>
      </c>
      <c r="D2" s="55" t="s">
        <v>516</v>
      </c>
      <c r="E2" s="55" t="s">
        <v>517</v>
      </c>
      <c r="F2" s="55" t="s">
        <v>518</v>
      </c>
    </row>
    <row r="3" spans="1:6" ht="55" customHeight="1" x14ac:dyDescent="0.35">
      <c r="A3" s="57" t="s">
        <v>519</v>
      </c>
      <c r="B3" s="57" t="s">
        <v>520</v>
      </c>
      <c r="C3" s="57" t="s">
        <v>521</v>
      </c>
      <c r="D3" s="57" t="s">
        <v>522</v>
      </c>
      <c r="E3" s="57" t="s">
        <v>523</v>
      </c>
      <c r="F3" s="57" t="s">
        <v>524</v>
      </c>
    </row>
    <row r="4" spans="1:6" ht="55" customHeight="1" x14ac:dyDescent="0.35">
      <c r="A4" s="55" t="s">
        <v>525</v>
      </c>
      <c r="B4" s="55" t="s">
        <v>526</v>
      </c>
      <c r="C4" s="55" t="s">
        <v>527</v>
      </c>
      <c r="D4" s="55" t="s">
        <v>528</v>
      </c>
      <c r="E4" s="55" t="s">
        <v>529</v>
      </c>
      <c r="F4" s="55" t="s">
        <v>530</v>
      </c>
    </row>
    <row r="5" spans="1:6" ht="55" customHeight="1" x14ac:dyDescent="0.35">
      <c r="A5" s="57" t="s">
        <v>531</v>
      </c>
      <c r="B5" s="57" t="s">
        <v>532</v>
      </c>
      <c r="C5" s="57" t="s">
        <v>533</v>
      </c>
      <c r="D5" s="57" t="s">
        <v>534</v>
      </c>
      <c r="E5" s="57" t="s">
        <v>523</v>
      </c>
      <c r="F5" s="57" t="s">
        <v>535</v>
      </c>
    </row>
    <row r="6" spans="1:6" ht="55" customHeight="1" x14ac:dyDescent="0.35">
      <c r="A6" s="55" t="s">
        <v>536</v>
      </c>
      <c r="B6" s="55" t="s">
        <v>537</v>
      </c>
      <c r="C6" s="55" t="s">
        <v>538</v>
      </c>
      <c r="D6" s="55" t="s">
        <v>539</v>
      </c>
      <c r="E6" s="55" t="s">
        <v>523</v>
      </c>
      <c r="F6" s="55" t="s">
        <v>540</v>
      </c>
    </row>
    <row r="7" spans="1:6" ht="55" customHeight="1" x14ac:dyDescent="0.35">
      <c r="A7" s="57" t="s">
        <v>541</v>
      </c>
      <c r="B7" s="57" t="s">
        <v>542</v>
      </c>
      <c r="C7" s="57" t="s">
        <v>543</v>
      </c>
      <c r="D7" s="57" t="s">
        <v>544</v>
      </c>
      <c r="E7" s="57" t="s">
        <v>529</v>
      </c>
      <c r="F7" s="57" t="s">
        <v>545</v>
      </c>
    </row>
    <row r="8" spans="1:6" ht="55" customHeight="1" x14ac:dyDescent="0.35">
      <c r="A8" s="55" t="s">
        <v>546</v>
      </c>
      <c r="B8" s="55" t="s">
        <v>547</v>
      </c>
      <c r="C8" s="55" t="s">
        <v>548</v>
      </c>
      <c r="D8" s="55" t="s">
        <v>549</v>
      </c>
      <c r="E8" s="55" t="s">
        <v>523</v>
      </c>
      <c r="F8" s="55" t="s">
        <v>550</v>
      </c>
    </row>
    <row r="9" spans="1:6" ht="55" customHeight="1" x14ac:dyDescent="0.35">
      <c r="A9" s="57" t="s">
        <v>551</v>
      </c>
      <c r="B9" s="57" t="s">
        <v>552</v>
      </c>
      <c r="C9" s="57" t="s">
        <v>553</v>
      </c>
      <c r="D9" s="57" t="s">
        <v>516</v>
      </c>
      <c r="E9" s="57" t="s">
        <v>523</v>
      </c>
      <c r="F9" s="57" t="s">
        <v>554</v>
      </c>
    </row>
    <row r="10" spans="1:6" ht="55" customHeight="1" x14ac:dyDescent="0.35">
      <c r="A10" s="55" t="s">
        <v>555</v>
      </c>
      <c r="B10" s="55" t="s">
        <v>556</v>
      </c>
      <c r="C10" s="55" t="s">
        <v>557</v>
      </c>
      <c r="D10" s="55" t="s">
        <v>558</v>
      </c>
      <c r="E10" s="55" t="s">
        <v>529</v>
      </c>
      <c r="F10" s="55" t="s">
        <v>559</v>
      </c>
    </row>
    <row r="11" spans="1:6" ht="55" customHeight="1" x14ac:dyDescent="0.35">
      <c r="A11" s="57" t="s">
        <v>560</v>
      </c>
      <c r="B11" s="57" t="s">
        <v>561</v>
      </c>
      <c r="C11" s="57" t="s">
        <v>562</v>
      </c>
      <c r="D11" s="57" t="s">
        <v>563</v>
      </c>
      <c r="E11" s="57" t="s">
        <v>564</v>
      </c>
      <c r="F11" s="57" t="s">
        <v>565</v>
      </c>
    </row>
    <row r="13" spans="1:6" ht="20" customHeight="1" x14ac:dyDescent="0.35">
      <c r="A13" s="61" t="s">
        <v>566</v>
      </c>
      <c r="B13" s="59"/>
      <c r="C13" s="59"/>
      <c r="D13" s="59"/>
      <c r="E13" s="59"/>
      <c r="F13" s="59"/>
    </row>
    <row r="14" spans="1:6" x14ac:dyDescent="0.35">
      <c r="A14" s="53" t="s">
        <v>567</v>
      </c>
      <c r="B14" s="53" t="s">
        <v>568</v>
      </c>
      <c r="C14" s="53" t="s">
        <v>569</v>
      </c>
      <c r="D14" s="53" t="s">
        <v>394</v>
      </c>
    </row>
    <row r="15" spans="1:6" ht="42" customHeight="1" x14ac:dyDescent="0.35">
      <c r="A15" s="57" t="s">
        <v>570</v>
      </c>
      <c r="B15" s="57" t="s">
        <v>571</v>
      </c>
      <c r="C15" s="57" t="s">
        <v>572</v>
      </c>
      <c r="D15" s="81" t="s">
        <v>573</v>
      </c>
      <c r="E15" s="82"/>
      <c r="F15" s="63"/>
    </row>
    <row r="16" spans="1:6" ht="42" customHeight="1" x14ac:dyDescent="0.35">
      <c r="A16" s="55" t="s">
        <v>574</v>
      </c>
      <c r="B16" s="55" t="s">
        <v>575</v>
      </c>
      <c r="C16" s="55" t="s">
        <v>576</v>
      </c>
      <c r="D16" s="83" t="s">
        <v>577</v>
      </c>
      <c r="E16" s="82"/>
      <c r="F16" s="63"/>
    </row>
    <row r="17" spans="1:6" ht="42" customHeight="1" x14ac:dyDescent="0.35">
      <c r="A17" s="57" t="s">
        <v>578</v>
      </c>
      <c r="B17" s="57" t="s">
        <v>579</v>
      </c>
      <c r="C17" s="57" t="s">
        <v>580</v>
      </c>
      <c r="D17" s="81" t="s">
        <v>581</v>
      </c>
      <c r="E17" s="82"/>
      <c r="F17" s="63"/>
    </row>
    <row r="18" spans="1:6" ht="42" customHeight="1" x14ac:dyDescent="0.35">
      <c r="A18" s="55" t="s">
        <v>582</v>
      </c>
      <c r="B18" s="55" t="s">
        <v>583</v>
      </c>
      <c r="C18" s="55" t="s">
        <v>572</v>
      </c>
      <c r="D18" s="83" t="s">
        <v>584</v>
      </c>
      <c r="E18" s="82"/>
      <c r="F18" s="63"/>
    </row>
    <row r="19" spans="1:6" ht="42" customHeight="1" x14ac:dyDescent="0.35">
      <c r="A19" s="57" t="s">
        <v>585</v>
      </c>
      <c r="B19" s="57" t="s">
        <v>586</v>
      </c>
      <c r="C19" s="57" t="s">
        <v>587</v>
      </c>
      <c r="D19" s="81" t="s">
        <v>588</v>
      </c>
      <c r="E19" s="82"/>
      <c r="F19" s="63"/>
    </row>
    <row r="20" spans="1:6" ht="42" customHeight="1" x14ac:dyDescent="0.35">
      <c r="A20" s="55" t="s">
        <v>589</v>
      </c>
      <c r="B20" s="55" t="s">
        <v>590</v>
      </c>
      <c r="C20" s="55" t="s">
        <v>591</v>
      </c>
      <c r="D20" s="83" t="s">
        <v>592</v>
      </c>
      <c r="E20" s="82"/>
      <c r="F20" s="63"/>
    </row>
  </sheetData>
  <mergeCells count="7">
    <mergeCell ref="D19:F19"/>
    <mergeCell ref="A13:F13"/>
    <mergeCell ref="D18:F18"/>
    <mergeCell ref="D17:F17"/>
    <mergeCell ref="D20:F20"/>
    <mergeCell ref="D15:F15"/>
    <mergeCell ref="D16:F1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workbookViewId="0">
      <pane ySplit="1" topLeftCell="A2" activePane="bottomLeft" state="frozen"/>
      <selection pane="bottomLeft"/>
    </sheetView>
  </sheetViews>
  <sheetFormatPr defaultRowHeight="14.5" x14ac:dyDescent="0.35"/>
  <cols>
    <col min="1" max="1" width="22" customWidth="1"/>
    <col min="2" max="2" width="46" customWidth="1"/>
    <col min="3" max="3" width="20" customWidth="1"/>
    <col min="4" max="4" width="18" customWidth="1"/>
    <col min="5" max="5" width="6" customWidth="1"/>
    <col min="6" max="6" width="12" customWidth="1"/>
    <col min="7" max="7" width="28" customWidth="1"/>
    <col min="8" max="8" width="40" customWidth="1"/>
  </cols>
  <sheetData>
    <row r="1" spans="1:8" x14ac:dyDescent="0.35">
      <c r="A1" s="53" t="s">
        <v>567</v>
      </c>
      <c r="B1" s="53" t="s">
        <v>593</v>
      </c>
      <c r="C1" s="53" t="s">
        <v>594</v>
      </c>
      <c r="D1" s="53" t="s">
        <v>492</v>
      </c>
      <c r="E1" s="53" t="s">
        <v>595</v>
      </c>
      <c r="F1" s="53" t="s">
        <v>596</v>
      </c>
      <c r="G1" s="53" t="s">
        <v>597</v>
      </c>
      <c r="H1" s="53" t="s">
        <v>598</v>
      </c>
    </row>
    <row r="2" spans="1:8" ht="45" customHeight="1" x14ac:dyDescent="0.35">
      <c r="A2" s="55" t="s">
        <v>599</v>
      </c>
      <c r="B2" s="55" t="s">
        <v>600</v>
      </c>
      <c r="C2" s="55" t="s">
        <v>601</v>
      </c>
      <c r="D2" s="55" t="s">
        <v>602</v>
      </c>
      <c r="E2" s="55">
        <v>1</v>
      </c>
      <c r="F2" s="55" t="s">
        <v>517</v>
      </c>
      <c r="G2" s="55" t="s">
        <v>603</v>
      </c>
      <c r="H2" s="55" t="s">
        <v>604</v>
      </c>
    </row>
    <row r="3" spans="1:8" ht="45" customHeight="1" x14ac:dyDescent="0.35">
      <c r="A3" s="57" t="s">
        <v>599</v>
      </c>
      <c r="B3" s="57" t="s">
        <v>605</v>
      </c>
      <c r="C3" s="57" t="s">
        <v>606</v>
      </c>
      <c r="D3" s="57" t="s">
        <v>607</v>
      </c>
      <c r="E3" s="57">
        <v>1</v>
      </c>
      <c r="F3" s="57" t="s">
        <v>523</v>
      </c>
      <c r="G3" s="57" t="s">
        <v>608</v>
      </c>
      <c r="H3" s="57" t="s">
        <v>609</v>
      </c>
    </row>
    <row r="4" spans="1:8" ht="45" customHeight="1" x14ac:dyDescent="0.35">
      <c r="A4" s="55" t="s">
        <v>599</v>
      </c>
      <c r="B4" s="55" t="s">
        <v>610</v>
      </c>
      <c r="C4" s="55" t="s">
        <v>611</v>
      </c>
      <c r="D4" s="55" t="s">
        <v>612</v>
      </c>
      <c r="E4" s="55">
        <v>1</v>
      </c>
      <c r="F4" s="55" t="s">
        <v>529</v>
      </c>
      <c r="G4" s="55" t="s">
        <v>613</v>
      </c>
      <c r="H4" s="55" t="s">
        <v>614</v>
      </c>
    </row>
    <row r="5" spans="1:8" ht="45" customHeight="1" x14ac:dyDescent="0.35">
      <c r="A5" s="57" t="s">
        <v>599</v>
      </c>
      <c r="B5" s="57" t="s">
        <v>615</v>
      </c>
      <c r="C5" s="57" t="s">
        <v>616</v>
      </c>
      <c r="D5" s="57" t="s">
        <v>612</v>
      </c>
      <c r="E5" s="57">
        <v>1</v>
      </c>
      <c r="F5" s="57" t="s">
        <v>523</v>
      </c>
      <c r="G5" s="57" t="s">
        <v>539</v>
      </c>
      <c r="H5" s="57" t="s">
        <v>617</v>
      </c>
    </row>
    <row r="6" spans="1:8" ht="45" customHeight="1" x14ac:dyDescent="0.35">
      <c r="A6" s="55" t="s">
        <v>599</v>
      </c>
      <c r="B6" s="55" t="s">
        <v>618</v>
      </c>
      <c r="C6" s="55" t="s">
        <v>619</v>
      </c>
      <c r="D6" s="55" t="s">
        <v>620</v>
      </c>
      <c r="E6" s="55">
        <v>1</v>
      </c>
      <c r="F6" s="55" t="s">
        <v>523</v>
      </c>
      <c r="G6" s="55" t="s">
        <v>621</v>
      </c>
      <c r="H6" s="55" t="s">
        <v>622</v>
      </c>
    </row>
    <row r="7" spans="1:8" ht="45" customHeight="1" x14ac:dyDescent="0.35">
      <c r="A7" s="57" t="s">
        <v>623</v>
      </c>
      <c r="B7" s="57" t="s">
        <v>624</v>
      </c>
      <c r="C7" s="57" t="s">
        <v>576</v>
      </c>
      <c r="D7" s="57" t="s">
        <v>620</v>
      </c>
      <c r="E7" s="57">
        <v>1</v>
      </c>
      <c r="F7" s="57" t="s">
        <v>523</v>
      </c>
      <c r="G7" s="57" t="s">
        <v>625</v>
      </c>
      <c r="H7" s="57" t="s">
        <v>626</v>
      </c>
    </row>
    <row r="8" spans="1:8" ht="45" customHeight="1" x14ac:dyDescent="0.35">
      <c r="A8" s="55" t="s">
        <v>623</v>
      </c>
      <c r="B8" s="55" t="s">
        <v>627</v>
      </c>
      <c r="C8" s="55" t="s">
        <v>628</v>
      </c>
      <c r="D8" s="55" t="s">
        <v>629</v>
      </c>
      <c r="E8" s="55">
        <v>1</v>
      </c>
      <c r="F8" s="55" t="s">
        <v>564</v>
      </c>
      <c r="G8" s="55" t="s">
        <v>630</v>
      </c>
      <c r="H8" s="55" t="s">
        <v>631</v>
      </c>
    </row>
    <row r="9" spans="1:8" ht="45" customHeight="1" x14ac:dyDescent="0.35">
      <c r="A9" s="57" t="s">
        <v>623</v>
      </c>
      <c r="B9" s="57" t="s">
        <v>632</v>
      </c>
      <c r="C9" s="57" t="s">
        <v>633</v>
      </c>
      <c r="D9" s="57" t="s">
        <v>607</v>
      </c>
      <c r="E9" s="57">
        <v>1</v>
      </c>
      <c r="F9" s="57" t="s">
        <v>529</v>
      </c>
      <c r="G9" s="57" t="s">
        <v>634</v>
      </c>
      <c r="H9" s="57" t="s">
        <v>635</v>
      </c>
    </row>
    <row r="10" spans="1:8" ht="45" customHeight="1" x14ac:dyDescent="0.35">
      <c r="A10" s="55" t="s">
        <v>623</v>
      </c>
      <c r="B10" s="55" t="s">
        <v>636</v>
      </c>
      <c r="C10" s="55" t="s">
        <v>637</v>
      </c>
      <c r="D10" s="55" t="s">
        <v>612</v>
      </c>
      <c r="E10" s="55">
        <v>1</v>
      </c>
      <c r="F10" s="55" t="s">
        <v>638</v>
      </c>
      <c r="G10" s="55" t="s">
        <v>639</v>
      </c>
      <c r="H10" s="55" t="s">
        <v>640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0"/>
  <sheetViews>
    <sheetView showGridLines="0" zoomScale="85" zoomScaleNormal="85" workbookViewId="0">
      <pane xSplit="1" ySplit="1" topLeftCell="B2" activePane="bottomRight" state="frozen"/>
      <selection pane="topRight" activeCell="B1" sqref="B1"/>
      <selection pane="bottomLeft" activeCell="A2" sqref="A2"/>
      <selection pane="bottomRight" activeCell="D4" sqref="D4"/>
    </sheetView>
  </sheetViews>
  <sheetFormatPr defaultRowHeight="14.5" x14ac:dyDescent="0.35"/>
  <cols>
    <col min="1" max="1" width="16" customWidth="1"/>
    <col min="2" max="2" width="30" customWidth="1"/>
    <col min="3" max="3" width="52" customWidth="1"/>
    <col min="4" max="4" width="32" customWidth="1"/>
    <col min="5" max="5" width="18" customWidth="1"/>
    <col min="6" max="6" width="16" customWidth="1"/>
    <col min="7" max="7" width="26.36328125" customWidth="1"/>
    <col min="8" max="8" width="39.6328125" customWidth="1"/>
    <col min="9" max="9" width="40" customWidth="1"/>
  </cols>
  <sheetData>
    <row r="1" spans="1:9" ht="43.5" customHeight="1" x14ac:dyDescent="0.35">
      <c r="A1" s="53" t="s">
        <v>641</v>
      </c>
      <c r="B1" s="53" t="s">
        <v>642</v>
      </c>
      <c r="C1" s="53" t="s">
        <v>643</v>
      </c>
      <c r="D1" s="53" t="s">
        <v>644</v>
      </c>
      <c r="E1" s="53" t="s">
        <v>645</v>
      </c>
      <c r="F1" s="53" t="s">
        <v>646</v>
      </c>
      <c r="G1" s="53" t="s">
        <v>105</v>
      </c>
      <c r="H1" s="53" t="s">
        <v>647</v>
      </c>
      <c r="I1" s="53" t="s">
        <v>648</v>
      </c>
    </row>
    <row r="2" spans="1:9" ht="43.5" customHeight="1" x14ac:dyDescent="0.35">
      <c r="A2" s="5" t="s">
        <v>649</v>
      </c>
      <c r="B2" s="5" t="s">
        <v>650</v>
      </c>
      <c r="C2" s="5" t="s">
        <v>651</v>
      </c>
      <c r="D2" s="5" t="s">
        <v>652</v>
      </c>
      <c r="E2" s="5" t="s">
        <v>653</v>
      </c>
      <c r="F2" s="5" t="s">
        <v>654</v>
      </c>
      <c r="G2" s="54"/>
      <c r="H2" s="54"/>
      <c r="I2" s="54" t="s">
        <v>517</v>
      </c>
    </row>
    <row r="3" spans="1:9" ht="43.5" customHeight="1" x14ac:dyDescent="0.35">
      <c r="A3" s="5" t="s">
        <v>655</v>
      </c>
      <c r="B3" s="5" t="s">
        <v>656</v>
      </c>
      <c r="C3" s="5" t="s">
        <v>657</v>
      </c>
      <c r="D3" s="5" t="s">
        <v>658</v>
      </c>
      <c r="E3" s="5" t="s">
        <v>659</v>
      </c>
      <c r="F3" s="5" t="s">
        <v>660</v>
      </c>
      <c r="G3" s="54"/>
      <c r="H3" s="54"/>
      <c r="I3" s="54" t="s">
        <v>523</v>
      </c>
    </row>
    <row r="4" spans="1:9" ht="58" customHeight="1" x14ac:dyDescent="0.35">
      <c r="A4" s="5" t="s">
        <v>661</v>
      </c>
      <c r="B4" s="5" t="s">
        <v>662</v>
      </c>
      <c r="C4" s="5" t="s">
        <v>663</v>
      </c>
      <c r="D4" s="5" t="s">
        <v>664</v>
      </c>
      <c r="E4" s="5" t="s">
        <v>659</v>
      </c>
      <c r="F4" s="5" t="s">
        <v>665</v>
      </c>
      <c r="G4" s="54"/>
      <c r="H4" s="54"/>
      <c r="I4" s="54" t="s">
        <v>523</v>
      </c>
    </row>
    <row r="5" spans="1:9" ht="43.5" customHeight="1" x14ac:dyDescent="0.35">
      <c r="A5" s="5" t="s">
        <v>666</v>
      </c>
      <c r="B5" s="5" t="s">
        <v>667</v>
      </c>
      <c r="C5" s="5" t="s">
        <v>668</v>
      </c>
      <c r="D5" s="5" t="s">
        <v>669</v>
      </c>
      <c r="E5" s="5" t="s">
        <v>659</v>
      </c>
      <c r="F5" s="5" t="s">
        <v>670</v>
      </c>
      <c r="G5" s="54"/>
      <c r="H5" s="54"/>
      <c r="I5" s="54" t="s">
        <v>523</v>
      </c>
    </row>
    <row r="6" spans="1:9" ht="43.5" customHeight="1" x14ac:dyDescent="0.35">
      <c r="A6" s="5" t="s">
        <v>671</v>
      </c>
      <c r="B6" s="5" t="s">
        <v>672</v>
      </c>
      <c r="C6" s="5" t="s">
        <v>673</v>
      </c>
      <c r="D6" s="5" t="s">
        <v>674</v>
      </c>
      <c r="E6" s="5" t="s">
        <v>659</v>
      </c>
      <c r="F6" s="5" t="s">
        <v>675</v>
      </c>
      <c r="G6" s="54"/>
      <c r="H6" s="54"/>
      <c r="I6" s="54" t="s">
        <v>523</v>
      </c>
    </row>
    <row r="7" spans="1:9" ht="43.5" customHeight="1" x14ac:dyDescent="0.35">
      <c r="A7" s="5" t="s">
        <v>676</v>
      </c>
      <c r="B7" s="5" t="s">
        <v>677</v>
      </c>
      <c r="C7" s="5" t="s">
        <v>678</v>
      </c>
      <c r="D7" s="5" t="s">
        <v>679</v>
      </c>
      <c r="E7" s="5" t="s">
        <v>659</v>
      </c>
      <c r="F7" s="5" t="s">
        <v>680</v>
      </c>
      <c r="G7" s="54"/>
      <c r="H7" s="54"/>
      <c r="I7" s="54" t="s">
        <v>523</v>
      </c>
    </row>
    <row r="8" spans="1:9" ht="58" customHeight="1" x14ac:dyDescent="0.35">
      <c r="A8" s="5" t="s">
        <v>681</v>
      </c>
      <c r="B8" s="5" t="s">
        <v>682</v>
      </c>
      <c r="C8" s="5" t="s">
        <v>683</v>
      </c>
      <c r="D8" s="5" t="s">
        <v>684</v>
      </c>
      <c r="E8" s="5" t="s">
        <v>653</v>
      </c>
      <c r="F8" s="5" t="s">
        <v>685</v>
      </c>
      <c r="G8" s="54"/>
      <c r="H8" s="54"/>
      <c r="I8" s="54" t="s">
        <v>517</v>
      </c>
    </row>
    <row r="9" spans="1:9" ht="43.5" customHeight="1" x14ac:dyDescent="0.35">
      <c r="A9" s="5" t="s">
        <v>686</v>
      </c>
      <c r="B9" s="5" t="s">
        <v>687</v>
      </c>
      <c r="C9" s="5" t="s">
        <v>688</v>
      </c>
      <c r="D9" s="5" t="s">
        <v>689</v>
      </c>
      <c r="E9" s="5" t="s">
        <v>659</v>
      </c>
      <c r="F9" s="5" t="s">
        <v>690</v>
      </c>
      <c r="G9" s="54"/>
      <c r="H9" s="54"/>
      <c r="I9" s="54" t="s">
        <v>523</v>
      </c>
    </row>
    <row r="10" spans="1:9" ht="43.5" customHeight="1" x14ac:dyDescent="0.35">
      <c r="A10" s="5" t="s">
        <v>691</v>
      </c>
      <c r="B10" s="5" t="s">
        <v>692</v>
      </c>
      <c r="C10" s="5" t="s">
        <v>693</v>
      </c>
      <c r="D10" s="5" t="s">
        <v>694</v>
      </c>
      <c r="E10" s="5" t="s">
        <v>653</v>
      </c>
      <c r="F10" s="5" t="s">
        <v>695</v>
      </c>
      <c r="G10" s="54"/>
      <c r="H10" s="54"/>
      <c r="I10" s="54" t="s">
        <v>517</v>
      </c>
    </row>
    <row r="11" spans="1:9" ht="43.5" customHeight="1" x14ac:dyDescent="0.35">
      <c r="A11" s="5" t="s">
        <v>696</v>
      </c>
      <c r="B11" s="5" t="s">
        <v>697</v>
      </c>
      <c r="C11" s="5" t="s">
        <v>698</v>
      </c>
      <c r="D11" s="5" t="s">
        <v>699</v>
      </c>
      <c r="E11" s="5" t="s">
        <v>659</v>
      </c>
      <c r="F11" s="5" t="s">
        <v>700</v>
      </c>
      <c r="G11" s="54"/>
      <c r="H11" s="54"/>
      <c r="I11" s="54" t="s">
        <v>523</v>
      </c>
    </row>
    <row r="12" spans="1:9" ht="58" customHeight="1" x14ac:dyDescent="0.35">
      <c r="A12" s="5" t="s">
        <v>701</v>
      </c>
      <c r="B12" s="5" t="s">
        <v>702</v>
      </c>
      <c r="C12" s="5" t="s">
        <v>703</v>
      </c>
      <c r="D12" s="5" t="s">
        <v>704</v>
      </c>
      <c r="E12" s="5" t="s">
        <v>653</v>
      </c>
      <c r="F12" s="5" t="s">
        <v>705</v>
      </c>
      <c r="G12" s="54"/>
      <c r="H12" s="54"/>
      <c r="I12" s="54" t="s">
        <v>517</v>
      </c>
    </row>
    <row r="13" spans="1:9" ht="58" customHeight="1" x14ac:dyDescent="0.35">
      <c r="A13" s="5" t="s">
        <v>706</v>
      </c>
      <c r="B13" s="5" t="s">
        <v>707</v>
      </c>
      <c r="C13" s="5" t="s">
        <v>708</v>
      </c>
      <c r="D13" s="5" t="s">
        <v>709</v>
      </c>
      <c r="E13" s="5" t="s">
        <v>659</v>
      </c>
      <c r="F13" s="5" t="s">
        <v>710</v>
      </c>
      <c r="G13" s="54"/>
      <c r="H13" s="54"/>
      <c r="I13" s="54" t="s">
        <v>523</v>
      </c>
    </row>
    <row r="14" spans="1:9" ht="58" customHeight="1" x14ac:dyDescent="0.35">
      <c r="A14" s="5" t="s">
        <v>711</v>
      </c>
      <c r="B14" s="5" t="s">
        <v>712</v>
      </c>
      <c r="C14" s="5" t="s">
        <v>713</v>
      </c>
      <c r="D14" s="5" t="s">
        <v>714</v>
      </c>
      <c r="E14" s="5" t="s">
        <v>659</v>
      </c>
      <c r="F14" s="5" t="s">
        <v>715</v>
      </c>
      <c r="G14" s="54"/>
      <c r="H14" s="54"/>
      <c r="I14" s="54" t="s">
        <v>523</v>
      </c>
    </row>
    <row r="15" spans="1:9" ht="58" customHeight="1" x14ac:dyDescent="0.35">
      <c r="A15" s="5" t="s">
        <v>716</v>
      </c>
      <c r="B15" s="5" t="s">
        <v>717</v>
      </c>
      <c r="C15" s="5" t="s">
        <v>718</v>
      </c>
      <c r="D15" s="5" t="s">
        <v>719</v>
      </c>
      <c r="E15" s="5" t="s">
        <v>659</v>
      </c>
      <c r="F15" s="5" t="s">
        <v>720</v>
      </c>
      <c r="G15" s="54"/>
      <c r="H15" s="54"/>
      <c r="I15" s="54" t="s">
        <v>523</v>
      </c>
    </row>
    <row r="16" spans="1:9" ht="58" customHeight="1" x14ac:dyDescent="0.35">
      <c r="A16" s="5" t="s">
        <v>721</v>
      </c>
      <c r="B16" s="5" t="s">
        <v>722</v>
      </c>
      <c r="C16" s="5" t="s">
        <v>723</v>
      </c>
      <c r="D16" s="5" t="s">
        <v>724</v>
      </c>
      <c r="E16" s="5" t="s">
        <v>659</v>
      </c>
      <c r="F16" s="5" t="s">
        <v>725</v>
      </c>
      <c r="G16" s="54"/>
      <c r="H16" s="54"/>
      <c r="I16" s="54" t="s">
        <v>523</v>
      </c>
    </row>
    <row r="17" spans="1:9" ht="29" customHeight="1" x14ac:dyDescent="0.35">
      <c r="A17" s="5" t="s">
        <v>726</v>
      </c>
      <c r="B17" s="5" t="s">
        <v>727</v>
      </c>
      <c r="C17" s="5" t="s">
        <v>728</v>
      </c>
      <c r="D17" s="5" t="s">
        <v>729</v>
      </c>
      <c r="E17" s="5" t="s">
        <v>659</v>
      </c>
      <c r="F17" s="5" t="s">
        <v>730</v>
      </c>
      <c r="G17" s="54"/>
      <c r="H17" s="54"/>
      <c r="I17" s="54" t="s">
        <v>523</v>
      </c>
    </row>
    <row r="18" spans="1:9" ht="43.5" customHeight="1" x14ac:dyDescent="0.35">
      <c r="A18" s="5" t="s">
        <v>731</v>
      </c>
      <c r="B18" s="5" t="s">
        <v>732</v>
      </c>
      <c r="C18" s="5" t="s">
        <v>733</v>
      </c>
      <c r="D18" s="5" t="s">
        <v>734</v>
      </c>
      <c r="E18" s="5" t="s">
        <v>659</v>
      </c>
      <c r="F18" s="5" t="s">
        <v>735</v>
      </c>
      <c r="G18" s="54"/>
      <c r="H18" s="54"/>
      <c r="I18" s="54" t="s">
        <v>523</v>
      </c>
    </row>
    <row r="19" spans="1:9" ht="43.5" customHeight="1" x14ac:dyDescent="0.35">
      <c r="A19" s="5" t="s">
        <v>736</v>
      </c>
      <c r="B19" s="5" t="s">
        <v>737</v>
      </c>
      <c r="C19" s="5" t="s">
        <v>738</v>
      </c>
      <c r="D19" s="5" t="s">
        <v>739</v>
      </c>
      <c r="E19" s="5" t="s">
        <v>659</v>
      </c>
      <c r="F19" s="5" t="s">
        <v>740</v>
      </c>
      <c r="G19" s="54"/>
      <c r="H19" s="54"/>
      <c r="I19" s="54" t="s">
        <v>523</v>
      </c>
    </row>
    <row r="20" spans="1:9" ht="29" customHeight="1" x14ac:dyDescent="0.35">
      <c r="A20" s="5" t="s">
        <v>741</v>
      </c>
      <c r="B20" s="5" t="s">
        <v>742</v>
      </c>
      <c r="C20" s="5" t="s">
        <v>743</v>
      </c>
      <c r="D20" s="5" t="s">
        <v>744</v>
      </c>
      <c r="E20" s="5" t="s">
        <v>659</v>
      </c>
      <c r="F20" s="5" t="s">
        <v>745</v>
      </c>
      <c r="G20" s="54"/>
      <c r="H20" s="54"/>
      <c r="I20" s="54" t="s">
        <v>523</v>
      </c>
    </row>
    <row r="21" spans="1:9" ht="43.5" customHeight="1" x14ac:dyDescent="0.35">
      <c r="A21" s="5" t="s">
        <v>746</v>
      </c>
      <c r="B21" s="5" t="s">
        <v>747</v>
      </c>
      <c r="C21" s="5" t="s">
        <v>748</v>
      </c>
      <c r="D21" s="5" t="s">
        <v>749</v>
      </c>
      <c r="E21" s="5" t="s">
        <v>659</v>
      </c>
      <c r="F21" s="5" t="s">
        <v>750</v>
      </c>
      <c r="G21" s="54"/>
      <c r="H21" s="54"/>
      <c r="I21" s="54" t="s">
        <v>523</v>
      </c>
    </row>
    <row r="22" spans="1:9" ht="43.5" customHeight="1" x14ac:dyDescent="0.35">
      <c r="A22" s="5" t="s">
        <v>751</v>
      </c>
      <c r="B22" s="5" t="s">
        <v>752</v>
      </c>
      <c r="C22" s="5" t="s">
        <v>753</v>
      </c>
      <c r="D22" s="5" t="s">
        <v>754</v>
      </c>
      <c r="E22" s="5" t="s">
        <v>659</v>
      </c>
      <c r="F22" s="5" t="s">
        <v>755</v>
      </c>
      <c r="G22" s="54"/>
      <c r="H22" s="54"/>
      <c r="I22" s="54" t="s">
        <v>523</v>
      </c>
    </row>
    <row r="23" spans="1:9" ht="43.5" customHeight="1" x14ac:dyDescent="0.35">
      <c r="A23" s="5" t="s">
        <v>756</v>
      </c>
      <c r="B23" s="5" t="s">
        <v>757</v>
      </c>
      <c r="C23" s="5" t="s">
        <v>758</v>
      </c>
      <c r="D23" s="5" t="s">
        <v>759</v>
      </c>
      <c r="E23" s="5" t="s">
        <v>659</v>
      </c>
      <c r="F23" s="5" t="s">
        <v>760</v>
      </c>
      <c r="G23" s="54"/>
      <c r="H23" s="54"/>
      <c r="I23" s="54" t="s">
        <v>523</v>
      </c>
    </row>
    <row r="24" spans="1:9" ht="58" customHeight="1" x14ac:dyDescent="0.35">
      <c r="A24" s="5" t="s">
        <v>761</v>
      </c>
      <c r="B24" s="5" t="s">
        <v>762</v>
      </c>
      <c r="C24" s="5" t="s">
        <v>763</v>
      </c>
      <c r="D24" s="5" t="s">
        <v>764</v>
      </c>
      <c r="E24" s="5" t="s">
        <v>659</v>
      </c>
      <c r="F24" s="5" t="s">
        <v>765</v>
      </c>
      <c r="G24" s="54"/>
      <c r="H24" s="54"/>
      <c r="I24" s="54" t="s">
        <v>523</v>
      </c>
    </row>
    <row r="25" spans="1:9" ht="43.5" customHeight="1" x14ac:dyDescent="0.35">
      <c r="A25" s="5" t="s">
        <v>766</v>
      </c>
      <c r="B25" s="5" t="s">
        <v>767</v>
      </c>
      <c r="C25" s="5" t="s">
        <v>768</v>
      </c>
      <c r="D25" s="5" t="s">
        <v>769</v>
      </c>
      <c r="E25" s="5" t="s">
        <v>653</v>
      </c>
      <c r="F25" s="5" t="s">
        <v>770</v>
      </c>
      <c r="G25" s="54"/>
      <c r="H25" s="54"/>
      <c r="I25" s="54" t="s">
        <v>517</v>
      </c>
    </row>
    <row r="26" spans="1:9" ht="43.5" customHeight="1" x14ac:dyDescent="0.35">
      <c r="A26" s="5" t="s">
        <v>771</v>
      </c>
      <c r="B26" s="5" t="s">
        <v>772</v>
      </c>
      <c r="C26" s="5" t="s">
        <v>773</v>
      </c>
      <c r="D26" s="5" t="s">
        <v>774</v>
      </c>
      <c r="E26" s="5" t="s">
        <v>659</v>
      </c>
      <c r="F26" s="5" t="s">
        <v>775</v>
      </c>
      <c r="G26" s="54"/>
      <c r="H26" s="54"/>
      <c r="I26" s="54" t="s">
        <v>523</v>
      </c>
    </row>
    <row r="27" spans="1:9" ht="72.5" customHeight="1" x14ac:dyDescent="0.35">
      <c r="A27" s="5" t="s">
        <v>776</v>
      </c>
      <c r="B27" s="5" t="s">
        <v>777</v>
      </c>
      <c r="C27" s="5" t="s">
        <v>778</v>
      </c>
      <c r="D27" s="5" t="s">
        <v>779</v>
      </c>
      <c r="E27" s="5" t="s">
        <v>659</v>
      </c>
      <c r="F27" s="5" t="s">
        <v>780</v>
      </c>
      <c r="G27" s="54"/>
      <c r="H27" s="54"/>
      <c r="I27" s="54" t="s">
        <v>523</v>
      </c>
    </row>
    <row r="28" spans="1:9" ht="43.5" customHeight="1" x14ac:dyDescent="0.35">
      <c r="A28" s="5" t="s">
        <v>781</v>
      </c>
      <c r="B28" s="5" t="s">
        <v>782</v>
      </c>
      <c r="C28" s="5" t="s">
        <v>783</v>
      </c>
      <c r="D28" s="5" t="s">
        <v>784</v>
      </c>
      <c r="E28" s="5" t="s">
        <v>659</v>
      </c>
      <c r="F28" s="5" t="s">
        <v>785</v>
      </c>
      <c r="G28" s="54"/>
      <c r="H28" s="54"/>
      <c r="I28" s="54" t="s">
        <v>523</v>
      </c>
    </row>
    <row r="29" spans="1:9" ht="29" customHeight="1" x14ac:dyDescent="0.35">
      <c r="A29" s="5" t="s">
        <v>786</v>
      </c>
      <c r="B29" s="5" t="s">
        <v>787</v>
      </c>
      <c r="C29" s="5" t="s">
        <v>788</v>
      </c>
      <c r="D29" s="5" t="s">
        <v>789</v>
      </c>
      <c r="E29" s="5" t="s">
        <v>659</v>
      </c>
      <c r="F29" s="5" t="s">
        <v>790</v>
      </c>
      <c r="G29" s="54"/>
      <c r="H29" s="54"/>
      <c r="I29" s="54" t="s">
        <v>523</v>
      </c>
    </row>
    <row r="30" spans="1:9" ht="43.5" customHeight="1" x14ac:dyDescent="0.35">
      <c r="A30" s="5" t="s">
        <v>791</v>
      </c>
      <c r="B30" s="5" t="s">
        <v>792</v>
      </c>
      <c r="C30" s="5" t="s">
        <v>793</v>
      </c>
      <c r="D30" s="5" t="s">
        <v>794</v>
      </c>
      <c r="E30" s="5" t="s">
        <v>659</v>
      </c>
      <c r="F30" s="5" t="s">
        <v>795</v>
      </c>
      <c r="G30" s="54"/>
      <c r="H30" s="54"/>
      <c r="I30" s="54" t="s">
        <v>523</v>
      </c>
    </row>
    <row r="31" spans="1:9" ht="43.5" customHeight="1" x14ac:dyDescent="0.35">
      <c r="A31" s="5" t="s">
        <v>796</v>
      </c>
      <c r="B31" s="5" t="s">
        <v>797</v>
      </c>
      <c r="C31" s="5" t="s">
        <v>798</v>
      </c>
      <c r="D31" s="5" t="s">
        <v>799</v>
      </c>
      <c r="E31" s="5" t="s">
        <v>659</v>
      </c>
      <c r="F31" s="5" t="s">
        <v>800</v>
      </c>
      <c r="G31" s="54"/>
      <c r="H31" s="54"/>
      <c r="I31" s="54" t="s">
        <v>523</v>
      </c>
    </row>
    <row r="32" spans="1:9" ht="43.5" customHeight="1" x14ac:dyDescent="0.35">
      <c r="A32" s="5" t="s">
        <v>801</v>
      </c>
      <c r="B32" s="5" t="s">
        <v>802</v>
      </c>
      <c r="C32" s="5" t="s">
        <v>803</v>
      </c>
      <c r="D32" s="5" t="s">
        <v>804</v>
      </c>
      <c r="E32" s="5" t="s">
        <v>659</v>
      </c>
      <c r="F32" s="5" t="s">
        <v>805</v>
      </c>
      <c r="G32" s="54"/>
      <c r="H32" s="54"/>
      <c r="I32" s="54" t="s">
        <v>523</v>
      </c>
    </row>
    <row r="33" spans="1:9" ht="43.5" customHeight="1" x14ac:dyDescent="0.35">
      <c r="A33" s="5" t="s">
        <v>806</v>
      </c>
      <c r="B33" s="5" t="s">
        <v>807</v>
      </c>
      <c r="C33" s="5" t="s">
        <v>808</v>
      </c>
      <c r="D33" s="5" t="s">
        <v>809</v>
      </c>
      <c r="E33" s="5" t="s">
        <v>659</v>
      </c>
      <c r="F33" s="5" t="s">
        <v>810</v>
      </c>
      <c r="G33" s="54"/>
      <c r="H33" s="54"/>
      <c r="I33" s="54" t="s">
        <v>523</v>
      </c>
    </row>
    <row r="34" spans="1:9" ht="29" customHeight="1" x14ac:dyDescent="0.35">
      <c r="A34" s="5" t="s">
        <v>811</v>
      </c>
      <c r="B34" s="5" t="s">
        <v>812</v>
      </c>
      <c r="C34" s="5" t="s">
        <v>813</v>
      </c>
      <c r="D34" s="5" t="s">
        <v>814</v>
      </c>
      <c r="E34" s="5" t="s">
        <v>659</v>
      </c>
      <c r="F34" s="5" t="s">
        <v>815</v>
      </c>
      <c r="G34" s="54"/>
      <c r="H34" s="54"/>
      <c r="I34" s="54" t="s">
        <v>523</v>
      </c>
    </row>
    <row r="35" spans="1:9" ht="43.5" customHeight="1" x14ac:dyDescent="0.35">
      <c r="A35" s="5" t="s">
        <v>816</v>
      </c>
      <c r="B35" s="5" t="s">
        <v>817</v>
      </c>
      <c r="C35" s="5" t="s">
        <v>818</v>
      </c>
      <c r="D35" s="5" t="s">
        <v>819</v>
      </c>
      <c r="E35" s="5" t="s">
        <v>659</v>
      </c>
      <c r="F35" s="5" t="s">
        <v>820</v>
      </c>
      <c r="G35" s="54"/>
      <c r="H35" s="54"/>
      <c r="I35" s="54" t="s">
        <v>523</v>
      </c>
    </row>
    <row r="36" spans="1:9" ht="43.5" customHeight="1" x14ac:dyDescent="0.35">
      <c r="A36" s="5" t="s">
        <v>821</v>
      </c>
      <c r="B36" s="5" t="s">
        <v>822</v>
      </c>
      <c r="C36" s="5" t="s">
        <v>823</v>
      </c>
      <c r="D36" s="5" t="s">
        <v>824</v>
      </c>
      <c r="E36" s="5" t="s">
        <v>659</v>
      </c>
      <c r="F36" s="5" t="s">
        <v>825</v>
      </c>
      <c r="G36" s="54"/>
      <c r="H36" s="54"/>
      <c r="I36" s="54" t="s">
        <v>523</v>
      </c>
    </row>
    <row r="37" spans="1:9" ht="29" customHeight="1" x14ac:dyDescent="0.35">
      <c r="A37" s="5" t="s">
        <v>826</v>
      </c>
      <c r="B37" s="5" t="s">
        <v>827</v>
      </c>
      <c r="C37" s="5" t="s">
        <v>828</v>
      </c>
      <c r="D37" s="5" t="s">
        <v>829</v>
      </c>
      <c r="E37" s="5" t="s">
        <v>659</v>
      </c>
      <c r="F37" s="5" t="s">
        <v>830</v>
      </c>
      <c r="G37" s="54"/>
      <c r="H37" s="54"/>
      <c r="I37" s="54" t="s">
        <v>523</v>
      </c>
    </row>
    <row r="38" spans="1:9" ht="43.5" customHeight="1" x14ac:dyDescent="0.35">
      <c r="A38" s="5" t="s">
        <v>831</v>
      </c>
      <c r="B38" s="5" t="s">
        <v>832</v>
      </c>
      <c r="C38" s="5" t="s">
        <v>833</v>
      </c>
      <c r="D38" s="5" t="s">
        <v>834</v>
      </c>
      <c r="E38" s="5" t="s">
        <v>659</v>
      </c>
      <c r="F38" s="5" t="s">
        <v>835</v>
      </c>
      <c r="G38" s="54"/>
      <c r="H38" s="54"/>
      <c r="I38" s="54" t="s">
        <v>523</v>
      </c>
    </row>
    <row r="39" spans="1:9" ht="43.5" customHeight="1" x14ac:dyDescent="0.35">
      <c r="A39" s="5" t="s">
        <v>836</v>
      </c>
      <c r="B39" s="5" t="s">
        <v>837</v>
      </c>
      <c r="C39" s="5" t="s">
        <v>838</v>
      </c>
      <c r="D39" s="5" t="s">
        <v>839</v>
      </c>
      <c r="E39" s="5" t="s">
        <v>653</v>
      </c>
      <c r="F39" s="5" t="s">
        <v>840</v>
      </c>
      <c r="G39" s="54"/>
      <c r="H39" s="54"/>
      <c r="I39" s="54" t="s">
        <v>517</v>
      </c>
    </row>
    <row r="40" spans="1:9" ht="29" customHeight="1" x14ac:dyDescent="0.35">
      <c r="A40" s="5" t="s">
        <v>841</v>
      </c>
      <c r="B40" s="5" t="s">
        <v>842</v>
      </c>
      <c r="C40" s="5" t="s">
        <v>843</v>
      </c>
      <c r="D40" s="5" t="s">
        <v>844</v>
      </c>
      <c r="E40" s="5" t="s">
        <v>659</v>
      </c>
      <c r="F40" s="5" t="s">
        <v>845</v>
      </c>
      <c r="G40" s="54"/>
      <c r="H40" s="54"/>
      <c r="I40" s="54" t="s">
        <v>523</v>
      </c>
    </row>
    <row r="41" spans="1:9" ht="58" customHeight="1" x14ac:dyDescent="0.35">
      <c r="A41" s="5" t="s">
        <v>846</v>
      </c>
      <c r="B41" s="5" t="s">
        <v>847</v>
      </c>
      <c r="C41" s="5" t="s">
        <v>848</v>
      </c>
      <c r="D41" s="5" t="s">
        <v>849</v>
      </c>
      <c r="E41" s="5" t="s">
        <v>659</v>
      </c>
      <c r="F41" s="5" t="s">
        <v>850</v>
      </c>
      <c r="G41" s="54"/>
      <c r="H41" s="54"/>
      <c r="I41" s="54" t="s">
        <v>523</v>
      </c>
    </row>
    <row r="42" spans="1:9" ht="29" customHeight="1" x14ac:dyDescent="0.35">
      <c r="A42" s="5" t="s">
        <v>851</v>
      </c>
      <c r="B42" s="5" t="s">
        <v>852</v>
      </c>
      <c r="C42" s="5" t="s">
        <v>853</v>
      </c>
      <c r="D42" s="5" t="s">
        <v>854</v>
      </c>
      <c r="E42" s="5" t="s">
        <v>659</v>
      </c>
      <c r="F42" s="5" t="s">
        <v>855</v>
      </c>
      <c r="G42" s="54"/>
      <c r="H42" s="54"/>
      <c r="I42" s="54" t="s">
        <v>523</v>
      </c>
    </row>
    <row r="43" spans="1:9" ht="29" customHeight="1" x14ac:dyDescent="0.35">
      <c r="A43" s="5" t="s">
        <v>856</v>
      </c>
      <c r="B43" s="5" t="s">
        <v>857</v>
      </c>
      <c r="C43" s="5" t="s">
        <v>858</v>
      </c>
      <c r="D43" s="5" t="s">
        <v>859</v>
      </c>
      <c r="E43" s="5" t="s">
        <v>659</v>
      </c>
      <c r="F43" s="5" t="s">
        <v>860</v>
      </c>
      <c r="G43" s="54"/>
      <c r="H43" s="54"/>
      <c r="I43" s="54" t="s">
        <v>523</v>
      </c>
    </row>
    <row r="44" spans="1:9" ht="159.5" customHeight="1" x14ac:dyDescent="0.35">
      <c r="A44" s="5" t="s">
        <v>861</v>
      </c>
      <c r="B44" s="5" t="s">
        <v>862</v>
      </c>
      <c r="C44" s="5" t="s">
        <v>863</v>
      </c>
      <c r="D44" s="5" t="s">
        <v>864</v>
      </c>
      <c r="E44" s="5" t="s">
        <v>865</v>
      </c>
      <c r="F44" s="5" t="s">
        <v>866</v>
      </c>
      <c r="G44" s="54"/>
      <c r="H44" s="54"/>
      <c r="I44" s="54" t="s">
        <v>523</v>
      </c>
    </row>
    <row r="45" spans="1:9" ht="145" customHeight="1" x14ac:dyDescent="0.35">
      <c r="A45" s="5" t="s">
        <v>867</v>
      </c>
      <c r="B45" s="5" t="s">
        <v>868</v>
      </c>
      <c r="C45" s="5" t="s">
        <v>869</v>
      </c>
      <c r="D45" s="5" t="s">
        <v>870</v>
      </c>
      <c r="E45" s="5" t="s">
        <v>871</v>
      </c>
      <c r="F45" s="5" t="s">
        <v>872</v>
      </c>
      <c r="G45" s="54"/>
      <c r="H45" s="54"/>
      <c r="I45" s="54" t="s">
        <v>517</v>
      </c>
    </row>
    <row r="46" spans="1:9" ht="174" customHeight="1" x14ac:dyDescent="0.35">
      <c r="A46" s="5" t="s">
        <v>873</v>
      </c>
      <c r="B46" s="5" t="s">
        <v>874</v>
      </c>
      <c r="C46" s="5" t="s">
        <v>875</v>
      </c>
      <c r="D46" s="5" t="s">
        <v>876</v>
      </c>
      <c r="E46" s="5" t="s">
        <v>659</v>
      </c>
      <c r="F46" s="5" t="s">
        <v>877</v>
      </c>
      <c r="G46" s="54"/>
      <c r="H46" s="54"/>
      <c r="I46" s="54" t="s">
        <v>523</v>
      </c>
    </row>
    <row r="47" spans="1:9" ht="29" customHeight="1" x14ac:dyDescent="0.35">
      <c r="A47" s="2" t="s">
        <v>878</v>
      </c>
      <c r="B47" s="2" t="s">
        <v>879</v>
      </c>
      <c r="C47" s="2" t="s">
        <v>880</v>
      </c>
      <c r="D47" s="2" t="s">
        <v>881</v>
      </c>
      <c r="E47" s="2" t="s">
        <v>871</v>
      </c>
      <c r="F47" s="2" t="s">
        <v>882</v>
      </c>
      <c r="G47" s="54"/>
      <c r="H47" s="54"/>
      <c r="I47" s="54" t="s">
        <v>517</v>
      </c>
    </row>
    <row r="48" spans="1:9" ht="29" customHeight="1" x14ac:dyDescent="0.35">
      <c r="A48" s="2" t="s">
        <v>883</v>
      </c>
      <c r="B48" s="2" t="s">
        <v>884</v>
      </c>
      <c r="C48" s="2" t="s">
        <v>885</v>
      </c>
      <c r="D48" s="2" t="s">
        <v>886</v>
      </c>
      <c r="E48" s="2" t="s">
        <v>659</v>
      </c>
      <c r="F48" s="2" t="s">
        <v>887</v>
      </c>
      <c r="G48" s="54"/>
      <c r="H48" s="54"/>
      <c r="I48" s="54" t="s">
        <v>523</v>
      </c>
    </row>
    <row r="49" spans="1:9" ht="29" customHeight="1" x14ac:dyDescent="0.35">
      <c r="A49" s="2" t="s">
        <v>888</v>
      </c>
      <c r="B49" s="2" t="s">
        <v>889</v>
      </c>
      <c r="C49" s="2" t="s">
        <v>890</v>
      </c>
      <c r="D49" s="2" t="s">
        <v>891</v>
      </c>
      <c r="E49" s="2" t="s">
        <v>659</v>
      </c>
      <c r="F49" s="2" t="s">
        <v>892</v>
      </c>
      <c r="G49" s="54"/>
      <c r="H49" s="54"/>
      <c r="I49" s="54" t="s">
        <v>523</v>
      </c>
    </row>
    <row r="50" spans="1:9" ht="29" customHeight="1" x14ac:dyDescent="0.35">
      <c r="A50" s="2" t="s">
        <v>893</v>
      </c>
      <c r="B50" s="2" t="s">
        <v>894</v>
      </c>
      <c r="C50" s="2" t="s">
        <v>895</v>
      </c>
      <c r="D50" s="2" t="s">
        <v>896</v>
      </c>
      <c r="E50" s="2" t="s">
        <v>659</v>
      </c>
      <c r="F50" s="2" t="s">
        <v>897</v>
      </c>
      <c r="G50" s="54"/>
      <c r="H50" s="54"/>
      <c r="I50" s="54" t="s">
        <v>523</v>
      </c>
    </row>
    <row r="51" spans="1:9" ht="29" customHeight="1" x14ac:dyDescent="0.35">
      <c r="A51" s="5" t="s">
        <v>898</v>
      </c>
      <c r="B51" s="5" t="s">
        <v>899</v>
      </c>
      <c r="C51" s="5" t="s">
        <v>900</v>
      </c>
      <c r="D51" s="5" t="s">
        <v>901</v>
      </c>
      <c r="E51" s="5" t="s">
        <v>659</v>
      </c>
      <c r="F51" s="5" t="s">
        <v>902</v>
      </c>
      <c r="G51" s="54"/>
      <c r="H51" s="54"/>
      <c r="I51" s="54" t="s">
        <v>523</v>
      </c>
    </row>
    <row r="52" spans="1:9" ht="29" customHeight="1" x14ac:dyDescent="0.35">
      <c r="A52" s="5" t="s">
        <v>903</v>
      </c>
      <c r="B52" s="5" t="s">
        <v>904</v>
      </c>
      <c r="C52" s="5" t="s">
        <v>905</v>
      </c>
      <c r="D52" s="5" t="s">
        <v>906</v>
      </c>
      <c r="E52" s="5" t="s">
        <v>659</v>
      </c>
      <c r="F52" s="5" t="s">
        <v>902</v>
      </c>
      <c r="G52" s="54"/>
      <c r="H52" s="54"/>
      <c r="I52" s="54" t="s">
        <v>523</v>
      </c>
    </row>
    <row r="53" spans="1:9" ht="43.5" customHeight="1" x14ac:dyDescent="0.35">
      <c r="A53" s="5" t="s">
        <v>907</v>
      </c>
      <c r="B53" s="5" t="s">
        <v>908</v>
      </c>
      <c r="C53" s="5" t="s">
        <v>909</v>
      </c>
      <c r="D53" s="5" t="s">
        <v>910</v>
      </c>
      <c r="E53" s="5" t="s">
        <v>659</v>
      </c>
      <c r="F53" s="5" t="s">
        <v>911</v>
      </c>
      <c r="G53" s="54"/>
      <c r="H53" s="54"/>
      <c r="I53" s="54" t="s">
        <v>523</v>
      </c>
    </row>
    <row r="54" spans="1:9" ht="29" customHeight="1" x14ac:dyDescent="0.35">
      <c r="A54" s="5" t="s">
        <v>912</v>
      </c>
      <c r="B54" s="5" t="s">
        <v>913</v>
      </c>
      <c r="C54" s="5" t="s">
        <v>914</v>
      </c>
      <c r="D54" s="5" t="s">
        <v>915</v>
      </c>
      <c r="E54" s="5" t="s">
        <v>659</v>
      </c>
      <c r="F54" s="5" t="s">
        <v>916</v>
      </c>
      <c r="G54" s="54"/>
      <c r="H54" s="54"/>
      <c r="I54" s="54" t="s">
        <v>523</v>
      </c>
    </row>
    <row r="55" spans="1:9" ht="29" customHeight="1" x14ac:dyDescent="0.35">
      <c r="A55" s="5" t="s">
        <v>917</v>
      </c>
      <c r="B55" s="5" t="s">
        <v>918</v>
      </c>
      <c r="C55" s="5" t="s">
        <v>919</v>
      </c>
      <c r="D55" s="5" t="s">
        <v>920</v>
      </c>
      <c r="E55" s="5" t="s">
        <v>653</v>
      </c>
      <c r="F55" s="5" t="s">
        <v>921</v>
      </c>
      <c r="G55" s="54"/>
      <c r="H55" s="54"/>
      <c r="I55" s="54" t="s">
        <v>517</v>
      </c>
    </row>
    <row r="56" spans="1:9" ht="29" customHeight="1" x14ac:dyDescent="0.35">
      <c r="A56" s="5" t="s">
        <v>922</v>
      </c>
      <c r="B56" s="5" t="s">
        <v>923</v>
      </c>
      <c r="C56" s="5" t="s">
        <v>924</v>
      </c>
      <c r="D56" s="5" t="s">
        <v>925</v>
      </c>
      <c r="E56" s="5" t="s">
        <v>653</v>
      </c>
      <c r="F56" s="5" t="s">
        <v>926</v>
      </c>
      <c r="G56" s="54"/>
      <c r="H56" s="54"/>
      <c r="I56" s="54" t="s">
        <v>517</v>
      </c>
    </row>
    <row r="57" spans="1:9" ht="43.5" customHeight="1" x14ac:dyDescent="0.35">
      <c r="A57" s="5" t="s">
        <v>927</v>
      </c>
      <c r="B57" s="5" t="s">
        <v>928</v>
      </c>
      <c r="C57" s="5" t="s">
        <v>929</v>
      </c>
      <c r="D57" s="5" t="s">
        <v>930</v>
      </c>
      <c r="E57" s="5" t="s">
        <v>659</v>
      </c>
      <c r="F57" s="5" t="s">
        <v>931</v>
      </c>
      <c r="G57" s="54"/>
      <c r="H57" s="54"/>
      <c r="I57" s="54" t="s">
        <v>523</v>
      </c>
    </row>
    <row r="58" spans="1:9" ht="43.5" customHeight="1" x14ac:dyDescent="0.35">
      <c r="A58" s="5" t="s">
        <v>932</v>
      </c>
      <c r="B58" s="5" t="s">
        <v>933</v>
      </c>
      <c r="C58" s="5" t="s">
        <v>934</v>
      </c>
      <c r="D58" s="5" t="s">
        <v>935</v>
      </c>
      <c r="E58" s="5" t="s">
        <v>936</v>
      </c>
      <c r="F58" s="5" t="s">
        <v>937</v>
      </c>
      <c r="G58" s="54"/>
      <c r="H58" s="54"/>
      <c r="I58" s="54" t="s">
        <v>517</v>
      </c>
    </row>
    <row r="59" spans="1:9" ht="43.5" customHeight="1" x14ac:dyDescent="0.35">
      <c r="A59" s="5" t="s">
        <v>938</v>
      </c>
      <c r="B59" s="5" t="s">
        <v>939</v>
      </c>
      <c r="C59" s="5" t="s">
        <v>940</v>
      </c>
      <c r="D59" s="5" t="s">
        <v>941</v>
      </c>
      <c r="E59" s="5" t="s">
        <v>936</v>
      </c>
      <c r="F59" s="5" t="s">
        <v>942</v>
      </c>
      <c r="G59" s="54"/>
      <c r="H59" s="54"/>
      <c r="I59" s="54" t="s">
        <v>517</v>
      </c>
    </row>
    <row r="60" spans="1:9" ht="43.5" customHeight="1" x14ac:dyDescent="0.35">
      <c r="A60" s="5" t="s">
        <v>943</v>
      </c>
      <c r="B60" s="5" t="s">
        <v>944</v>
      </c>
      <c r="C60" s="5" t="s">
        <v>945</v>
      </c>
      <c r="D60" s="5" t="s">
        <v>946</v>
      </c>
      <c r="E60" s="5" t="s">
        <v>936</v>
      </c>
      <c r="F60" s="5" t="s">
        <v>947</v>
      </c>
      <c r="G60" s="54"/>
      <c r="H60" s="54"/>
      <c r="I60" s="54" t="s">
        <v>517</v>
      </c>
    </row>
    <row r="61" spans="1:9" ht="43.5" customHeight="1" x14ac:dyDescent="0.35">
      <c r="A61" s="5" t="s">
        <v>948</v>
      </c>
      <c r="B61" s="5" t="s">
        <v>949</v>
      </c>
      <c r="C61" s="5" t="s">
        <v>950</v>
      </c>
      <c r="D61" s="5" t="s">
        <v>951</v>
      </c>
      <c r="E61" s="5" t="s">
        <v>936</v>
      </c>
      <c r="F61" s="5" t="s">
        <v>952</v>
      </c>
      <c r="G61" s="54"/>
      <c r="H61" s="54"/>
      <c r="I61" s="54" t="s">
        <v>517</v>
      </c>
    </row>
    <row r="62" spans="1:9" ht="43.5" customHeight="1" x14ac:dyDescent="0.35">
      <c r="A62" s="5" t="s">
        <v>953</v>
      </c>
      <c r="B62" s="5" t="s">
        <v>954</v>
      </c>
      <c r="C62" s="5" t="s">
        <v>955</v>
      </c>
      <c r="D62" s="5" t="s">
        <v>956</v>
      </c>
      <c r="E62" s="5" t="s">
        <v>936</v>
      </c>
      <c r="F62" s="5" t="s">
        <v>957</v>
      </c>
      <c r="G62" s="54"/>
      <c r="H62" s="54"/>
      <c r="I62" s="54" t="s">
        <v>517</v>
      </c>
    </row>
    <row r="63" spans="1:9" ht="43.5" customHeight="1" x14ac:dyDescent="0.35">
      <c r="A63" s="5" t="s">
        <v>958</v>
      </c>
      <c r="B63" s="5" t="s">
        <v>959</v>
      </c>
      <c r="C63" s="5" t="s">
        <v>960</v>
      </c>
      <c r="D63" s="5" t="s">
        <v>961</v>
      </c>
      <c r="E63" s="5" t="s">
        <v>936</v>
      </c>
      <c r="F63" s="5" t="s">
        <v>962</v>
      </c>
      <c r="G63" s="54"/>
      <c r="H63" s="54"/>
      <c r="I63" s="54" t="s">
        <v>517</v>
      </c>
    </row>
    <row r="64" spans="1:9" ht="43.5" customHeight="1" x14ac:dyDescent="0.35">
      <c r="A64" s="5" t="s">
        <v>963</v>
      </c>
      <c r="B64" s="5" t="s">
        <v>964</v>
      </c>
      <c r="C64" s="5" t="s">
        <v>965</v>
      </c>
      <c r="D64" s="5" t="s">
        <v>966</v>
      </c>
      <c r="E64" s="5" t="s">
        <v>936</v>
      </c>
      <c r="F64" s="5" t="s">
        <v>967</v>
      </c>
      <c r="G64" s="54"/>
      <c r="H64" s="54"/>
      <c r="I64" s="54" t="s">
        <v>517</v>
      </c>
    </row>
    <row r="65" spans="1:9" ht="43.5" customHeight="1" x14ac:dyDescent="0.35">
      <c r="A65" s="5" t="s">
        <v>968</v>
      </c>
      <c r="B65" s="5" t="s">
        <v>969</v>
      </c>
      <c r="C65" s="5" t="s">
        <v>970</v>
      </c>
      <c r="D65" s="5" t="s">
        <v>971</v>
      </c>
      <c r="E65" s="5" t="s">
        <v>936</v>
      </c>
      <c r="F65" s="5" t="s">
        <v>972</v>
      </c>
      <c r="G65" s="54"/>
      <c r="H65" s="54"/>
      <c r="I65" s="54" t="s">
        <v>517</v>
      </c>
    </row>
    <row r="66" spans="1:9" ht="43.5" customHeight="1" x14ac:dyDescent="0.35">
      <c r="A66" s="5" t="s">
        <v>973</v>
      </c>
      <c r="B66" s="5" t="s">
        <v>974</v>
      </c>
      <c r="C66" s="5" t="s">
        <v>975</v>
      </c>
      <c r="D66" s="5" t="s">
        <v>976</v>
      </c>
      <c r="E66" s="5" t="s">
        <v>936</v>
      </c>
      <c r="F66" s="5" t="s">
        <v>977</v>
      </c>
      <c r="G66" s="54"/>
      <c r="H66" s="54"/>
      <c r="I66" s="54" t="s">
        <v>517</v>
      </c>
    </row>
    <row r="67" spans="1:9" ht="43.5" customHeight="1" x14ac:dyDescent="0.35">
      <c r="A67" s="5" t="s">
        <v>978</v>
      </c>
      <c r="B67" s="5" t="s">
        <v>979</v>
      </c>
      <c r="C67" s="5" t="s">
        <v>980</v>
      </c>
      <c r="D67" s="5" t="s">
        <v>981</v>
      </c>
      <c r="E67" s="5" t="s">
        <v>936</v>
      </c>
      <c r="F67" s="5" t="s">
        <v>982</v>
      </c>
      <c r="G67" s="54"/>
      <c r="H67" s="54"/>
      <c r="I67" s="54" t="s">
        <v>517</v>
      </c>
    </row>
    <row r="68" spans="1:9" ht="43.5" customHeight="1" x14ac:dyDescent="0.35">
      <c r="A68" s="5" t="s">
        <v>983</v>
      </c>
      <c r="B68" s="5" t="s">
        <v>984</v>
      </c>
      <c r="C68" s="5" t="s">
        <v>985</v>
      </c>
      <c r="D68" s="5" t="s">
        <v>986</v>
      </c>
      <c r="E68" s="5" t="s">
        <v>936</v>
      </c>
      <c r="F68" s="5" t="s">
        <v>987</v>
      </c>
      <c r="G68" s="54"/>
      <c r="H68" s="54"/>
      <c r="I68" s="54" t="s">
        <v>517</v>
      </c>
    </row>
    <row r="69" spans="1:9" ht="43.5" customHeight="1" x14ac:dyDescent="0.35">
      <c r="A69" s="5" t="s">
        <v>988</v>
      </c>
      <c r="B69" s="5" t="s">
        <v>989</v>
      </c>
      <c r="C69" s="5" t="s">
        <v>990</v>
      </c>
      <c r="D69" s="5" t="s">
        <v>991</v>
      </c>
      <c r="E69" s="5" t="s">
        <v>936</v>
      </c>
      <c r="F69" s="5" t="s">
        <v>992</v>
      </c>
      <c r="G69" s="54"/>
      <c r="H69" s="54"/>
      <c r="I69" s="54" t="s">
        <v>517</v>
      </c>
    </row>
    <row r="70" spans="1:9" ht="43.5" customHeight="1" x14ac:dyDescent="0.35">
      <c r="A70" s="5" t="s">
        <v>993</v>
      </c>
      <c r="B70" s="5" t="s">
        <v>994</v>
      </c>
      <c r="C70" s="5" t="s">
        <v>995</v>
      </c>
      <c r="D70" s="5" t="s">
        <v>996</v>
      </c>
      <c r="E70" s="5" t="s">
        <v>936</v>
      </c>
      <c r="F70" s="5" t="s">
        <v>997</v>
      </c>
      <c r="G70" s="54"/>
      <c r="H70" s="54"/>
      <c r="I70" s="54" t="s">
        <v>517</v>
      </c>
    </row>
    <row r="71" spans="1:9" ht="43.5" customHeight="1" x14ac:dyDescent="0.35">
      <c r="A71" s="5" t="s">
        <v>998</v>
      </c>
      <c r="B71" s="5" t="s">
        <v>999</v>
      </c>
      <c r="C71" s="5" t="s">
        <v>1000</v>
      </c>
      <c r="D71" s="5" t="s">
        <v>1001</v>
      </c>
      <c r="E71" s="5" t="s">
        <v>936</v>
      </c>
      <c r="F71" s="5" t="s">
        <v>1002</v>
      </c>
      <c r="G71" s="54"/>
      <c r="H71" s="54"/>
      <c r="I71" s="54" t="s">
        <v>517</v>
      </c>
    </row>
    <row r="72" spans="1:9" ht="87" customHeight="1" x14ac:dyDescent="0.35">
      <c r="A72" s="2" t="s">
        <v>1003</v>
      </c>
      <c r="B72" s="2" t="s">
        <v>1004</v>
      </c>
      <c r="C72" s="2" t="s">
        <v>1005</v>
      </c>
      <c r="D72" s="2" t="s">
        <v>1006</v>
      </c>
      <c r="E72" s="2" t="s">
        <v>1007</v>
      </c>
      <c r="F72" s="2" t="s">
        <v>1008</v>
      </c>
      <c r="G72" s="54"/>
      <c r="H72" s="54"/>
      <c r="I72" s="54" t="s">
        <v>517</v>
      </c>
    </row>
    <row r="73" spans="1:9" ht="101.5" customHeight="1" x14ac:dyDescent="0.35">
      <c r="A73" s="2" t="s">
        <v>1009</v>
      </c>
      <c r="B73" s="2" t="s">
        <v>1010</v>
      </c>
      <c r="C73" s="2" t="s">
        <v>1011</v>
      </c>
      <c r="D73" s="2" t="s">
        <v>1012</v>
      </c>
      <c r="E73" s="2" t="s">
        <v>1007</v>
      </c>
      <c r="F73" s="2" t="s">
        <v>1013</v>
      </c>
      <c r="G73" s="54"/>
      <c r="H73" s="54"/>
      <c r="I73" s="54" t="s">
        <v>517</v>
      </c>
    </row>
    <row r="74" spans="1:9" ht="87" customHeight="1" x14ac:dyDescent="0.35">
      <c r="A74" s="2" t="s">
        <v>1014</v>
      </c>
      <c r="B74" s="2" t="s">
        <v>1015</v>
      </c>
      <c r="C74" s="2" t="s">
        <v>1016</v>
      </c>
      <c r="D74" s="2" t="s">
        <v>1017</v>
      </c>
      <c r="E74" s="2" t="s">
        <v>936</v>
      </c>
      <c r="F74" s="2" t="s">
        <v>1018</v>
      </c>
      <c r="G74" s="54"/>
      <c r="H74" s="54"/>
      <c r="I74" s="54" t="s">
        <v>517</v>
      </c>
    </row>
    <row r="75" spans="1:9" ht="101.5" customHeight="1" x14ac:dyDescent="0.35">
      <c r="A75" s="2" t="s">
        <v>1019</v>
      </c>
      <c r="B75" s="2" t="s">
        <v>1020</v>
      </c>
      <c r="C75" s="2" t="s">
        <v>1021</v>
      </c>
      <c r="D75" s="2" t="s">
        <v>1022</v>
      </c>
      <c r="E75" s="2" t="s">
        <v>936</v>
      </c>
      <c r="F75" s="2" t="s">
        <v>1023</v>
      </c>
      <c r="G75" s="54"/>
      <c r="H75" s="54"/>
      <c r="I75" s="54" t="s">
        <v>517</v>
      </c>
    </row>
    <row r="76" spans="1:9" ht="58" customHeight="1" x14ac:dyDescent="0.35">
      <c r="A76" s="2" t="s">
        <v>1024</v>
      </c>
      <c r="B76" s="2" t="s">
        <v>1025</v>
      </c>
      <c r="C76" s="2" t="s">
        <v>1026</v>
      </c>
      <c r="D76" s="2" t="s">
        <v>1027</v>
      </c>
      <c r="E76" s="2" t="s">
        <v>936</v>
      </c>
      <c r="F76" s="2" t="s">
        <v>1028</v>
      </c>
      <c r="G76" s="54"/>
      <c r="H76" s="54"/>
      <c r="I76" s="54" t="s">
        <v>517</v>
      </c>
    </row>
    <row r="77" spans="1:9" ht="72.5" customHeight="1" x14ac:dyDescent="0.35">
      <c r="A77" s="2" t="s">
        <v>1029</v>
      </c>
      <c r="B77" s="2" t="s">
        <v>1030</v>
      </c>
      <c r="C77" s="2" t="s">
        <v>1031</v>
      </c>
      <c r="D77" s="2" t="s">
        <v>1032</v>
      </c>
      <c r="E77" s="2" t="s">
        <v>936</v>
      </c>
      <c r="F77" s="2" t="s">
        <v>1033</v>
      </c>
      <c r="G77" s="54"/>
      <c r="H77" s="54"/>
      <c r="I77" s="54" t="s">
        <v>517</v>
      </c>
    </row>
    <row r="78" spans="1:9" ht="72.5" customHeight="1" x14ac:dyDescent="0.35">
      <c r="A78" s="2" t="s">
        <v>1034</v>
      </c>
      <c r="B78" s="2" t="s">
        <v>1035</v>
      </c>
      <c r="C78" s="2" t="s">
        <v>1036</v>
      </c>
      <c r="D78" s="2" t="s">
        <v>1037</v>
      </c>
      <c r="E78" s="2" t="s">
        <v>936</v>
      </c>
      <c r="F78" s="2" t="s">
        <v>1038</v>
      </c>
      <c r="G78" s="54"/>
      <c r="H78" s="54"/>
      <c r="I78" s="54" t="s">
        <v>517</v>
      </c>
    </row>
    <row r="79" spans="1:9" ht="72.5" customHeight="1" x14ac:dyDescent="0.35">
      <c r="A79" s="2" t="s">
        <v>1039</v>
      </c>
      <c r="B79" s="2" t="s">
        <v>1040</v>
      </c>
      <c r="C79" s="2" t="s">
        <v>1041</v>
      </c>
      <c r="D79" s="2" t="s">
        <v>1042</v>
      </c>
      <c r="E79" s="2" t="s">
        <v>936</v>
      </c>
      <c r="F79" s="2" t="s">
        <v>1038</v>
      </c>
      <c r="G79" s="54"/>
      <c r="H79" s="54"/>
      <c r="I79" s="54" t="s">
        <v>517</v>
      </c>
    </row>
    <row r="80" spans="1:9" ht="58" customHeight="1" x14ac:dyDescent="0.35">
      <c r="A80" s="2" t="s">
        <v>1043</v>
      </c>
      <c r="B80" s="2" t="s">
        <v>1044</v>
      </c>
      <c r="C80" s="2" t="s">
        <v>1045</v>
      </c>
      <c r="D80" s="2" t="s">
        <v>996</v>
      </c>
      <c r="E80" s="2" t="s">
        <v>936</v>
      </c>
      <c r="F80" s="2" t="s">
        <v>1046</v>
      </c>
      <c r="G80" s="54"/>
      <c r="H80" s="54"/>
      <c r="I80" s="54" t="s">
        <v>517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37"/>
  <sheetViews>
    <sheetView showGridLines="0" zoomScale="85" zoomScaleNormal="85" workbookViewId="0">
      <pane xSplit="1" ySplit="1" topLeftCell="B2" activePane="bottomRight" state="frozen"/>
      <selection pane="topRight" activeCell="B1" sqref="B1"/>
      <selection pane="bottomLeft" activeCell="A2" sqref="A2"/>
      <selection pane="bottomRight" activeCell="G1" sqref="G1"/>
    </sheetView>
  </sheetViews>
  <sheetFormatPr defaultRowHeight="14.5" x14ac:dyDescent="0.35"/>
  <cols>
    <col min="1" max="1" width="16" customWidth="1"/>
    <col min="2" max="2" width="22" customWidth="1"/>
    <col min="3" max="3" width="44" customWidth="1"/>
    <col min="4" max="4" width="16" customWidth="1"/>
    <col min="5" max="5" width="30" customWidth="1"/>
    <col min="6" max="6" width="18" customWidth="1"/>
    <col min="7" max="7" width="16" customWidth="1"/>
    <col min="8" max="8" width="32" customWidth="1"/>
    <col min="9" max="9" width="40" customWidth="1"/>
    <col min="10" max="10" width="24" customWidth="1"/>
    <col min="11" max="11" width="26.36328125" customWidth="1"/>
    <col min="12" max="12" width="16" customWidth="1"/>
    <col min="13" max="13" width="31.1796875" customWidth="1"/>
  </cols>
  <sheetData>
    <row r="1" spans="1:13" ht="43.5" customHeight="1" x14ac:dyDescent="0.35">
      <c r="A1" s="53" t="s">
        <v>99</v>
      </c>
      <c r="B1" s="53" t="s">
        <v>97</v>
      </c>
      <c r="C1" s="53" t="s">
        <v>98</v>
      </c>
      <c r="D1" s="53" t="s">
        <v>641</v>
      </c>
      <c r="E1" s="53" t="s">
        <v>642</v>
      </c>
      <c r="F1" s="53" t="s">
        <v>1047</v>
      </c>
      <c r="G1" s="53" t="s">
        <v>1048</v>
      </c>
      <c r="H1" s="53" t="s">
        <v>644</v>
      </c>
      <c r="I1" s="53" t="s">
        <v>1049</v>
      </c>
      <c r="J1" s="53" t="s">
        <v>394</v>
      </c>
      <c r="K1" s="53" t="s">
        <v>105</v>
      </c>
      <c r="L1" s="53" t="s">
        <v>106</v>
      </c>
      <c r="M1" s="53" t="s">
        <v>107</v>
      </c>
    </row>
    <row r="2" spans="1:13" ht="58" customHeight="1" x14ac:dyDescent="0.35">
      <c r="A2" s="5" t="s">
        <v>110</v>
      </c>
      <c r="B2" s="5" t="s">
        <v>108</v>
      </c>
      <c r="C2" s="5" t="s">
        <v>109</v>
      </c>
      <c r="D2" s="5" t="s">
        <v>655</v>
      </c>
      <c r="E2" s="5" t="s">
        <v>656</v>
      </c>
      <c r="F2" s="5" t="s">
        <v>1050</v>
      </c>
      <c r="G2" s="5" t="s">
        <v>1051</v>
      </c>
      <c r="H2" s="5" t="s">
        <v>658</v>
      </c>
      <c r="I2" s="5" t="s">
        <v>1052</v>
      </c>
      <c r="J2" s="5"/>
      <c r="K2" s="54"/>
      <c r="L2" s="54">
        <v>1</v>
      </c>
      <c r="M2" s="54" t="s">
        <v>523</v>
      </c>
    </row>
    <row r="3" spans="1:13" ht="58" customHeight="1" x14ac:dyDescent="0.35">
      <c r="A3" s="5" t="s">
        <v>110</v>
      </c>
      <c r="B3" s="5" t="s">
        <v>108</v>
      </c>
      <c r="C3" s="5" t="s">
        <v>109</v>
      </c>
      <c r="D3" s="5" t="s">
        <v>649</v>
      </c>
      <c r="E3" s="5" t="s">
        <v>650</v>
      </c>
      <c r="F3" s="5" t="s">
        <v>1050</v>
      </c>
      <c r="G3" s="5" t="s">
        <v>1051</v>
      </c>
      <c r="H3" s="5" t="s">
        <v>652</v>
      </c>
      <c r="I3" s="5" t="s">
        <v>1053</v>
      </c>
      <c r="J3" s="5"/>
      <c r="K3" s="54"/>
      <c r="L3" s="54">
        <v>1</v>
      </c>
      <c r="M3" s="54" t="s">
        <v>517</v>
      </c>
    </row>
    <row r="4" spans="1:13" ht="58" customHeight="1" x14ac:dyDescent="0.35">
      <c r="A4" s="5" t="s">
        <v>116</v>
      </c>
      <c r="B4" s="5" t="s">
        <v>108</v>
      </c>
      <c r="C4" s="5" t="s">
        <v>115</v>
      </c>
      <c r="D4" s="5" t="s">
        <v>661</v>
      </c>
      <c r="E4" s="5" t="s">
        <v>662</v>
      </c>
      <c r="F4" s="5" t="s">
        <v>1050</v>
      </c>
      <c r="G4" s="5" t="s">
        <v>1051</v>
      </c>
      <c r="H4" s="5" t="s">
        <v>664</v>
      </c>
      <c r="I4" s="5" t="s">
        <v>1054</v>
      </c>
      <c r="J4" s="5"/>
      <c r="K4" s="54"/>
      <c r="L4" s="54">
        <v>1</v>
      </c>
      <c r="M4" s="54" t="s">
        <v>523</v>
      </c>
    </row>
    <row r="5" spans="1:13" ht="58" customHeight="1" x14ac:dyDescent="0.35">
      <c r="A5" s="5" t="s">
        <v>116</v>
      </c>
      <c r="B5" s="5" t="s">
        <v>108</v>
      </c>
      <c r="C5" s="5" t="s">
        <v>115</v>
      </c>
      <c r="D5" s="5" t="s">
        <v>898</v>
      </c>
      <c r="E5" s="5" t="s">
        <v>899</v>
      </c>
      <c r="F5" s="5" t="s">
        <v>1055</v>
      </c>
      <c r="G5" s="5" t="s">
        <v>578</v>
      </c>
      <c r="H5" s="5" t="s">
        <v>901</v>
      </c>
      <c r="I5" s="5" t="s">
        <v>1056</v>
      </c>
      <c r="J5" s="5" t="s">
        <v>1057</v>
      </c>
      <c r="K5" s="54"/>
      <c r="L5" s="54">
        <v>3</v>
      </c>
      <c r="M5" s="54" t="s">
        <v>523</v>
      </c>
    </row>
    <row r="6" spans="1:13" ht="58" customHeight="1" x14ac:dyDescent="0.35">
      <c r="A6" s="5" t="s">
        <v>123</v>
      </c>
      <c r="B6" s="5" t="s">
        <v>108</v>
      </c>
      <c r="C6" s="5" t="s">
        <v>122</v>
      </c>
      <c r="D6" s="5" t="s">
        <v>666</v>
      </c>
      <c r="E6" s="5" t="s">
        <v>667</v>
      </c>
      <c r="F6" s="5" t="s">
        <v>1050</v>
      </c>
      <c r="G6" s="5" t="s">
        <v>1051</v>
      </c>
      <c r="H6" s="5" t="s">
        <v>669</v>
      </c>
      <c r="I6" s="5" t="s">
        <v>1058</v>
      </c>
      <c r="J6" s="5"/>
      <c r="K6" s="54"/>
      <c r="L6" s="54">
        <v>1</v>
      </c>
      <c r="M6" s="54" t="s">
        <v>523</v>
      </c>
    </row>
    <row r="7" spans="1:13" ht="58" customHeight="1" x14ac:dyDescent="0.35">
      <c r="A7" s="5" t="s">
        <v>123</v>
      </c>
      <c r="B7" s="5" t="s">
        <v>108</v>
      </c>
      <c r="C7" s="5" t="s">
        <v>122</v>
      </c>
      <c r="D7" s="5" t="s">
        <v>686</v>
      </c>
      <c r="E7" s="5" t="s">
        <v>687</v>
      </c>
      <c r="F7" s="5" t="s">
        <v>1059</v>
      </c>
      <c r="G7" s="5" t="s">
        <v>1051</v>
      </c>
      <c r="H7" s="5" t="s">
        <v>689</v>
      </c>
      <c r="I7" s="5" t="s">
        <v>1060</v>
      </c>
      <c r="J7" s="5" t="s">
        <v>1061</v>
      </c>
      <c r="K7" s="54"/>
      <c r="L7" s="54">
        <v>2</v>
      </c>
      <c r="M7" s="54" t="s">
        <v>523</v>
      </c>
    </row>
    <row r="8" spans="1:13" ht="58" customHeight="1" x14ac:dyDescent="0.35">
      <c r="A8" s="5" t="s">
        <v>129</v>
      </c>
      <c r="B8" s="5" t="s">
        <v>108</v>
      </c>
      <c r="C8" s="5" t="s">
        <v>128</v>
      </c>
      <c r="D8" s="5" t="s">
        <v>671</v>
      </c>
      <c r="E8" s="5" t="s">
        <v>672</v>
      </c>
      <c r="F8" s="5" t="s">
        <v>1050</v>
      </c>
      <c r="G8" s="5" t="s">
        <v>1051</v>
      </c>
      <c r="H8" s="5" t="s">
        <v>674</v>
      </c>
      <c r="I8" s="5" t="s">
        <v>1062</v>
      </c>
      <c r="J8" s="5"/>
      <c r="K8" s="54"/>
      <c r="L8" s="54">
        <v>1</v>
      </c>
      <c r="M8" s="54" t="s">
        <v>523</v>
      </c>
    </row>
    <row r="9" spans="1:13" ht="58" customHeight="1" x14ac:dyDescent="0.35">
      <c r="A9" s="5" t="s">
        <v>129</v>
      </c>
      <c r="B9" s="5" t="s">
        <v>108</v>
      </c>
      <c r="C9" s="5" t="s">
        <v>128</v>
      </c>
      <c r="D9" s="5" t="s">
        <v>696</v>
      </c>
      <c r="E9" s="5" t="s">
        <v>697</v>
      </c>
      <c r="F9" s="5" t="s">
        <v>1059</v>
      </c>
      <c r="G9" s="5" t="s">
        <v>1051</v>
      </c>
      <c r="H9" s="5" t="s">
        <v>699</v>
      </c>
      <c r="I9" s="5" t="s">
        <v>1063</v>
      </c>
      <c r="J9" s="5"/>
      <c r="K9" s="54"/>
      <c r="L9" s="54">
        <v>2</v>
      </c>
      <c r="M9" s="54" t="s">
        <v>523</v>
      </c>
    </row>
    <row r="10" spans="1:13" ht="58" customHeight="1" x14ac:dyDescent="0.35">
      <c r="A10" s="5" t="s">
        <v>135</v>
      </c>
      <c r="B10" s="5" t="s">
        <v>108</v>
      </c>
      <c r="C10" s="5" t="s">
        <v>134</v>
      </c>
      <c r="D10" s="5" t="s">
        <v>676</v>
      </c>
      <c r="E10" s="5" t="s">
        <v>677</v>
      </c>
      <c r="F10" s="5" t="s">
        <v>1050</v>
      </c>
      <c r="G10" s="5" t="s">
        <v>1051</v>
      </c>
      <c r="H10" s="5" t="s">
        <v>679</v>
      </c>
      <c r="I10" s="5" t="s">
        <v>1064</v>
      </c>
      <c r="J10" s="5"/>
      <c r="K10" s="54"/>
      <c r="L10" s="54">
        <v>1</v>
      </c>
      <c r="M10" s="54" t="s">
        <v>523</v>
      </c>
    </row>
    <row r="11" spans="1:13" ht="58" customHeight="1" x14ac:dyDescent="0.35">
      <c r="A11" s="5" t="s">
        <v>135</v>
      </c>
      <c r="B11" s="5" t="s">
        <v>108</v>
      </c>
      <c r="C11" s="5" t="s">
        <v>134</v>
      </c>
      <c r="D11" s="5" t="s">
        <v>649</v>
      </c>
      <c r="E11" s="5" t="s">
        <v>650</v>
      </c>
      <c r="F11" s="5" t="s">
        <v>1059</v>
      </c>
      <c r="G11" s="5" t="s">
        <v>1051</v>
      </c>
      <c r="H11" s="5" t="s">
        <v>652</v>
      </c>
      <c r="I11" s="5" t="s">
        <v>1053</v>
      </c>
      <c r="J11" s="5" t="s">
        <v>1065</v>
      </c>
      <c r="K11" s="54"/>
      <c r="L11" s="54">
        <v>2</v>
      </c>
      <c r="M11" s="54" t="s">
        <v>517</v>
      </c>
    </row>
    <row r="12" spans="1:13" ht="72.5" customHeight="1" x14ac:dyDescent="0.35">
      <c r="A12" t="s">
        <v>135</v>
      </c>
      <c r="B12" t="s">
        <v>108</v>
      </c>
      <c r="C12" t="s">
        <v>134</v>
      </c>
      <c r="D12" t="s">
        <v>878</v>
      </c>
      <c r="E12" t="s">
        <v>879</v>
      </c>
      <c r="F12" t="s">
        <v>1055</v>
      </c>
      <c r="G12" t="s">
        <v>1066</v>
      </c>
      <c r="H12" t="s">
        <v>1067</v>
      </c>
      <c r="I12" t="s">
        <v>1068</v>
      </c>
      <c r="J12" t="s">
        <v>1069</v>
      </c>
      <c r="K12" s="54"/>
      <c r="L12" s="54">
        <v>3</v>
      </c>
      <c r="M12" s="54" t="s">
        <v>517</v>
      </c>
    </row>
    <row r="13" spans="1:13" ht="43.5" customHeight="1" x14ac:dyDescent="0.35">
      <c r="A13" s="5" t="s">
        <v>143</v>
      </c>
      <c r="B13" s="5" t="s">
        <v>141</v>
      </c>
      <c r="C13" s="5" t="s">
        <v>142</v>
      </c>
      <c r="D13" s="5" t="s">
        <v>681</v>
      </c>
      <c r="E13" s="5" t="s">
        <v>682</v>
      </c>
      <c r="F13" s="5" t="s">
        <v>1050</v>
      </c>
      <c r="G13" s="5" t="s">
        <v>1051</v>
      </c>
      <c r="H13" s="5" t="s">
        <v>684</v>
      </c>
      <c r="I13" s="5" t="s">
        <v>1070</v>
      </c>
      <c r="J13" s="5"/>
      <c r="K13" s="54"/>
      <c r="L13" s="54">
        <v>1</v>
      </c>
      <c r="M13" s="54" t="s">
        <v>517</v>
      </c>
    </row>
    <row r="14" spans="1:13" ht="43.5" customHeight="1" x14ac:dyDescent="0.35">
      <c r="A14" s="5" t="s">
        <v>143</v>
      </c>
      <c r="B14" s="5" t="s">
        <v>141</v>
      </c>
      <c r="C14" s="5" t="s">
        <v>142</v>
      </c>
      <c r="D14" s="5" t="s">
        <v>907</v>
      </c>
      <c r="E14" s="5" t="s">
        <v>908</v>
      </c>
      <c r="F14" s="5" t="s">
        <v>1055</v>
      </c>
      <c r="G14" s="5" t="s">
        <v>585</v>
      </c>
      <c r="H14" s="5" t="s">
        <v>910</v>
      </c>
      <c r="I14" s="5" t="s">
        <v>1071</v>
      </c>
      <c r="J14" s="5" t="s">
        <v>1072</v>
      </c>
      <c r="K14" s="54"/>
      <c r="L14" s="54">
        <v>3</v>
      </c>
      <c r="M14" s="54" t="s">
        <v>523</v>
      </c>
    </row>
    <row r="15" spans="1:13" ht="58" customHeight="1" x14ac:dyDescent="0.35">
      <c r="A15" s="5" t="s">
        <v>143</v>
      </c>
      <c r="B15" s="5" t="s">
        <v>141</v>
      </c>
      <c r="C15" s="5" t="s">
        <v>142</v>
      </c>
      <c r="D15" s="5" t="s">
        <v>912</v>
      </c>
      <c r="E15" s="5" t="s">
        <v>913</v>
      </c>
      <c r="F15" s="5" t="s">
        <v>1055</v>
      </c>
      <c r="G15" s="5" t="s">
        <v>582</v>
      </c>
      <c r="H15" s="5" t="s">
        <v>915</v>
      </c>
      <c r="I15" s="5" t="s">
        <v>1073</v>
      </c>
      <c r="J15" s="5" t="s">
        <v>1074</v>
      </c>
      <c r="K15" s="54"/>
      <c r="L15" s="54">
        <v>3</v>
      </c>
      <c r="M15" s="54" t="s">
        <v>523</v>
      </c>
    </row>
    <row r="16" spans="1:13" ht="58" customHeight="1" x14ac:dyDescent="0.35">
      <c r="A16" s="5" t="s">
        <v>143</v>
      </c>
      <c r="B16" s="5" t="s">
        <v>141</v>
      </c>
      <c r="C16" s="5" t="s">
        <v>142</v>
      </c>
      <c r="D16" s="5" t="s">
        <v>898</v>
      </c>
      <c r="E16" s="5" t="s">
        <v>899</v>
      </c>
      <c r="F16" s="5" t="s">
        <v>1055</v>
      </c>
      <c r="G16" s="5" t="s">
        <v>578</v>
      </c>
      <c r="H16" s="5" t="s">
        <v>901</v>
      </c>
      <c r="I16" s="5" t="s">
        <v>1056</v>
      </c>
      <c r="J16" s="5" t="s">
        <v>1075</v>
      </c>
      <c r="K16" s="54"/>
      <c r="L16" s="54">
        <v>3</v>
      </c>
      <c r="M16" s="54" t="s">
        <v>523</v>
      </c>
    </row>
    <row r="17" spans="1:13" ht="58" customHeight="1" x14ac:dyDescent="0.35">
      <c r="A17" s="5" t="s">
        <v>143</v>
      </c>
      <c r="B17" s="5" t="s">
        <v>141</v>
      </c>
      <c r="C17" s="5" t="s">
        <v>142</v>
      </c>
      <c r="D17" s="5" t="s">
        <v>917</v>
      </c>
      <c r="E17" s="5" t="s">
        <v>918</v>
      </c>
      <c r="F17" s="5" t="s">
        <v>1055</v>
      </c>
      <c r="G17" s="5" t="s">
        <v>1076</v>
      </c>
      <c r="H17" s="5" t="s">
        <v>920</v>
      </c>
      <c r="I17" s="5" t="s">
        <v>1077</v>
      </c>
      <c r="J17" s="5" t="s">
        <v>1078</v>
      </c>
      <c r="K17" s="54"/>
      <c r="L17" s="54">
        <v>3</v>
      </c>
      <c r="M17" s="54" t="s">
        <v>517</v>
      </c>
    </row>
    <row r="18" spans="1:13" ht="58" customHeight="1" x14ac:dyDescent="0.35">
      <c r="A18" s="5" t="s">
        <v>150</v>
      </c>
      <c r="B18" s="5" t="s">
        <v>141</v>
      </c>
      <c r="C18" s="5" t="s">
        <v>149</v>
      </c>
      <c r="D18" s="5" t="s">
        <v>686</v>
      </c>
      <c r="E18" s="5" t="s">
        <v>687</v>
      </c>
      <c r="F18" s="5" t="s">
        <v>1050</v>
      </c>
      <c r="G18" s="5" t="s">
        <v>1051</v>
      </c>
      <c r="H18" s="5" t="s">
        <v>689</v>
      </c>
      <c r="I18" s="5" t="s">
        <v>1060</v>
      </c>
      <c r="J18" s="5"/>
      <c r="K18" s="54"/>
      <c r="L18" s="54">
        <v>1</v>
      </c>
      <c r="M18" s="54" t="s">
        <v>523</v>
      </c>
    </row>
    <row r="19" spans="1:13" ht="43.5" customHeight="1" x14ac:dyDescent="0.35">
      <c r="A19" s="5" t="s">
        <v>150</v>
      </c>
      <c r="B19" s="5" t="s">
        <v>141</v>
      </c>
      <c r="C19" s="5" t="s">
        <v>149</v>
      </c>
      <c r="D19" s="5" t="s">
        <v>826</v>
      </c>
      <c r="E19" s="5" t="s">
        <v>827</v>
      </c>
      <c r="F19" s="5" t="s">
        <v>1055</v>
      </c>
      <c r="G19" s="5" t="s">
        <v>1051</v>
      </c>
      <c r="H19" s="5" t="s">
        <v>829</v>
      </c>
      <c r="I19" s="5" t="s">
        <v>1079</v>
      </c>
      <c r="J19" s="5" t="s">
        <v>1080</v>
      </c>
      <c r="K19" s="54"/>
      <c r="L19" s="54">
        <v>3</v>
      </c>
      <c r="M19" s="54" t="s">
        <v>523</v>
      </c>
    </row>
    <row r="20" spans="1:13" ht="58" customHeight="1" x14ac:dyDescent="0.35">
      <c r="A20" s="5" t="s">
        <v>156</v>
      </c>
      <c r="B20" s="5" t="s">
        <v>141</v>
      </c>
      <c r="C20" s="5" t="s">
        <v>155</v>
      </c>
      <c r="D20" s="5" t="s">
        <v>691</v>
      </c>
      <c r="E20" s="5" t="s">
        <v>692</v>
      </c>
      <c r="F20" s="5" t="s">
        <v>1050</v>
      </c>
      <c r="G20" s="5" t="s">
        <v>1051</v>
      </c>
      <c r="H20" s="5" t="s">
        <v>694</v>
      </c>
      <c r="I20" s="5" t="s">
        <v>1081</v>
      </c>
      <c r="J20" s="5"/>
      <c r="K20" s="54"/>
      <c r="L20" s="54">
        <v>1</v>
      </c>
      <c r="M20" s="54" t="s">
        <v>517</v>
      </c>
    </row>
    <row r="21" spans="1:13" ht="58" customHeight="1" x14ac:dyDescent="0.35">
      <c r="A21" s="5" t="s">
        <v>156</v>
      </c>
      <c r="B21" s="5" t="s">
        <v>141</v>
      </c>
      <c r="C21" s="5" t="s">
        <v>155</v>
      </c>
      <c r="D21" s="5" t="s">
        <v>701</v>
      </c>
      <c r="E21" s="5" t="s">
        <v>702</v>
      </c>
      <c r="F21" s="5" t="s">
        <v>1059</v>
      </c>
      <c r="G21" s="5" t="s">
        <v>1051</v>
      </c>
      <c r="H21" s="5" t="s">
        <v>704</v>
      </c>
      <c r="I21" s="5" t="s">
        <v>1082</v>
      </c>
      <c r="J21" s="5" t="s">
        <v>1083</v>
      </c>
      <c r="K21" s="54"/>
      <c r="L21" s="54">
        <v>2</v>
      </c>
      <c r="M21" s="54" t="s">
        <v>517</v>
      </c>
    </row>
    <row r="22" spans="1:13" ht="58" customHeight="1" x14ac:dyDescent="0.35">
      <c r="A22" s="5" t="s">
        <v>162</v>
      </c>
      <c r="B22" s="5" t="s">
        <v>141</v>
      </c>
      <c r="C22" s="5" t="s">
        <v>161</v>
      </c>
      <c r="D22" s="5" t="s">
        <v>696</v>
      </c>
      <c r="E22" s="5" t="s">
        <v>697</v>
      </c>
      <c r="F22" s="5" t="s">
        <v>1050</v>
      </c>
      <c r="G22" s="5" t="s">
        <v>1051</v>
      </c>
      <c r="H22" s="5" t="s">
        <v>699</v>
      </c>
      <c r="I22" s="5" t="s">
        <v>1063</v>
      </c>
      <c r="J22" s="5"/>
      <c r="K22" s="54"/>
      <c r="L22" s="54">
        <v>1</v>
      </c>
      <c r="M22" s="54" t="s">
        <v>523</v>
      </c>
    </row>
    <row r="23" spans="1:13" ht="43.5" customHeight="1" x14ac:dyDescent="0.35">
      <c r="A23" s="5" t="s">
        <v>162</v>
      </c>
      <c r="B23" s="5" t="s">
        <v>141</v>
      </c>
      <c r="C23" s="5" t="s">
        <v>161</v>
      </c>
      <c r="D23" s="5" t="s">
        <v>903</v>
      </c>
      <c r="E23" s="5" t="s">
        <v>904</v>
      </c>
      <c r="F23" s="5" t="s">
        <v>1055</v>
      </c>
      <c r="G23" s="5" t="s">
        <v>578</v>
      </c>
      <c r="H23" s="5" t="s">
        <v>906</v>
      </c>
      <c r="I23" s="5" t="s">
        <v>1084</v>
      </c>
      <c r="J23" s="5" t="s">
        <v>1085</v>
      </c>
      <c r="K23" s="54"/>
      <c r="L23" s="54">
        <v>3</v>
      </c>
      <c r="M23" s="54" t="s">
        <v>523</v>
      </c>
    </row>
    <row r="24" spans="1:13" ht="43.5" customHeight="1" x14ac:dyDescent="0.35">
      <c r="A24" s="5" t="s">
        <v>162</v>
      </c>
      <c r="B24" s="5" t="s">
        <v>141</v>
      </c>
      <c r="C24" s="5" t="s">
        <v>161</v>
      </c>
      <c r="D24" s="5" t="s">
        <v>912</v>
      </c>
      <c r="E24" s="5" t="s">
        <v>913</v>
      </c>
      <c r="F24" s="5" t="s">
        <v>1055</v>
      </c>
      <c r="G24" s="5" t="s">
        <v>582</v>
      </c>
      <c r="H24" s="5" t="s">
        <v>915</v>
      </c>
      <c r="I24" s="5" t="s">
        <v>1073</v>
      </c>
      <c r="J24" s="5" t="s">
        <v>1086</v>
      </c>
      <c r="K24" s="54"/>
      <c r="L24" s="54">
        <v>3</v>
      </c>
      <c r="M24" s="54" t="s">
        <v>523</v>
      </c>
    </row>
    <row r="25" spans="1:13" ht="58" customHeight="1" x14ac:dyDescent="0.35">
      <c r="A25" s="5" t="s">
        <v>162</v>
      </c>
      <c r="B25" s="5" t="s">
        <v>141</v>
      </c>
      <c r="C25" s="5" t="s">
        <v>161</v>
      </c>
      <c r="D25" s="5" t="s">
        <v>907</v>
      </c>
      <c r="E25" s="5" t="s">
        <v>908</v>
      </c>
      <c r="F25" s="5" t="s">
        <v>1055</v>
      </c>
      <c r="G25" s="5" t="s">
        <v>585</v>
      </c>
      <c r="H25" s="5" t="s">
        <v>910</v>
      </c>
      <c r="I25" s="5" t="s">
        <v>1071</v>
      </c>
      <c r="J25" s="5" t="s">
        <v>1087</v>
      </c>
      <c r="K25" s="54"/>
      <c r="L25" s="54">
        <v>3</v>
      </c>
      <c r="M25" s="54" t="s">
        <v>523</v>
      </c>
    </row>
    <row r="26" spans="1:13" ht="58" customHeight="1" x14ac:dyDescent="0.35">
      <c r="A26" s="5" t="s">
        <v>162</v>
      </c>
      <c r="B26" s="5" t="s">
        <v>141</v>
      </c>
      <c r="C26" s="5" t="s">
        <v>161</v>
      </c>
      <c r="D26" s="5" t="s">
        <v>917</v>
      </c>
      <c r="E26" s="5" t="s">
        <v>918</v>
      </c>
      <c r="F26" s="5" t="s">
        <v>1055</v>
      </c>
      <c r="G26" s="5" t="s">
        <v>1076</v>
      </c>
      <c r="H26" s="5" t="s">
        <v>920</v>
      </c>
      <c r="I26" s="5" t="s">
        <v>1077</v>
      </c>
      <c r="J26" s="5" t="s">
        <v>1088</v>
      </c>
      <c r="K26" s="54"/>
      <c r="L26" s="54">
        <v>3</v>
      </c>
      <c r="M26" s="54" t="s">
        <v>517</v>
      </c>
    </row>
    <row r="27" spans="1:13" ht="58" customHeight="1" x14ac:dyDescent="0.35">
      <c r="A27" s="5" t="s">
        <v>162</v>
      </c>
      <c r="B27" s="5" t="s">
        <v>141</v>
      </c>
      <c r="C27" s="5" t="s">
        <v>161</v>
      </c>
      <c r="D27" s="5" t="s">
        <v>927</v>
      </c>
      <c r="E27" s="5" t="s">
        <v>928</v>
      </c>
      <c r="F27" s="5" t="s">
        <v>1055</v>
      </c>
      <c r="G27" s="5" t="s">
        <v>570</v>
      </c>
      <c r="H27" s="5" t="s">
        <v>1089</v>
      </c>
      <c r="I27" s="5" t="s">
        <v>1090</v>
      </c>
      <c r="J27" s="5" t="s">
        <v>1091</v>
      </c>
      <c r="K27" s="54"/>
      <c r="L27" s="54">
        <v>3</v>
      </c>
      <c r="M27" s="54" t="s">
        <v>523</v>
      </c>
    </row>
    <row r="28" spans="1:13" ht="43.5" customHeight="1" x14ac:dyDescent="0.35">
      <c r="A28" s="5" t="s">
        <v>169</v>
      </c>
      <c r="B28" s="5" t="s">
        <v>141</v>
      </c>
      <c r="C28" s="5" t="s">
        <v>168</v>
      </c>
      <c r="D28" s="5" t="s">
        <v>701</v>
      </c>
      <c r="E28" s="5" t="s">
        <v>702</v>
      </c>
      <c r="F28" s="5" t="s">
        <v>1050</v>
      </c>
      <c r="G28" s="5" t="s">
        <v>1051</v>
      </c>
      <c r="H28" s="5" t="s">
        <v>704</v>
      </c>
      <c r="I28" s="5" t="s">
        <v>1082</v>
      </c>
      <c r="J28" s="5"/>
      <c r="K28" s="54"/>
      <c r="L28" s="54">
        <v>1</v>
      </c>
      <c r="M28" s="54" t="s">
        <v>517</v>
      </c>
    </row>
    <row r="29" spans="1:13" ht="58" customHeight="1" x14ac:dyDescent="0.35">
      <c r="A29" s="5" t="s">
        <v>169</v>
      </c>
      <c r="B29" s="5" t="s">
        <v>141</v>
      </c>
      <c r="C29" s="5" t="s">
        <v>168</v>
      </c>
      <c r="D29" s="5" t="s">
        <v>796</v>
      </c>
      <c r="E29" s="5" t="s">
        <v>797</v>
      </c>
      <c r="F29" s="5" t="s">
        <v>1055</v>
      </c>
      <c r="G29" s="5" t="s">
        <v>1051</v>
      </c>
      <c r="H29" s="5" t="s">
        <v>799</v>
      </c>
      <c r="I29" s="5" t="s">
        <v>1092</v>
      </c>
      <c r="J29" s="5" t="s">
        <v>1093</v>
      </c>
      <c r="K29" s="54"/>
      <c r="L29" s="54">
        <v>3</v>
      </c>
      <c r="M29" s="54" t="s">
        <v>523</v>
      </c>
    </row>
    <row r="30" spans="1:13" ht="43.5" customHeight="1" x14ac:dyDescent="0.35">
      <c r="A30" s="5" t="s">
        <v>176</v>
      </c>
      <c r="B30" s="5" t="s">
        <v>174</v>
      </c>
      <c r="C30" s="5" t="s">
        <v>175</v>
      </c>
      <c r="D30" s="5" t="s">
        <v>706</v>
      </c>
      <c r="E30" s="5" t="s">
        <v>707</v>
      </c>
      <c r="F30" s="5" t="s">
        <v>1050</v>
      </c>
      <c r="G30" s="5" t="s">
        <v>1051</v>
      </c>
      <c r="H30" s="5" t="s">
        <v>709</v>
      </c>
      <c r="I30" s="5" t="s">
        <v>1094</v>
      </c>
      <c r="J30" s="5"/>
      <c r="K30" s="54"/>
      <c r="L30" s="54">
        <v>1</v>
      </c>
      <c r="M30" s="54" t="s">
        <v>523</v>
      </c>
    </row>
    <row r="31" spans="1:13" ht="58" customHeight="1" x14ac:dyDescent="0.35">
      <c r="A31" s="5" t="s">
        <v>176</v>
      </c>
      <c r="B31" s="5" t="s">
        <v>174</v>
      </c>
      <c r="C31" s="5" t="s">
        <v>175</v>
      </c>
      <c r="D31" s="5" t="s">
        <v>766</v>
      </c>
      <c r="E31" s="5" t="s">
        <v>767</v>
      </c>
      <c r="F31" s="5" t="s">
        <v>1059</v>
      </c>
      <c r="G31" s="5" t="s">
        <v>1051</v>
      </c>
      <c r="H31" s="5" t="s">
        <v>769</v>
      </c>
      <c r="I31" s="5" t="s">
        <v>1095</v>
      </c>
      <c r="J31" s="5" t="s">
        <v>1096</v>
      </c>
      <c r="K31" s="54"/>
      <c r="L31" s="54">
        <v>2</v>
      </c>
      <c r="M31" s="54" t="s">
        <v>517</v>
      </c>
    </row>
    <row r="32" spans="1:13" ht="43.5" customHeight="1" x14ac:dyDescent="0.35">
      <c r="A32" s="5" t="s">
        <v>182</v>
      </c>
      <c r="B32" s="5" t="s">
        <v>174</v>
      </c>
      <c r="C32" s="5" t="s">
        <v>181</v>
      </c>
      <c r="D32" s="5" t="s">
        <v>711</v>
      </c>
      <c r="E32" s="5" t="s">
        <v>712</v>
      </c>
      <c r="F32" s="5" t="s">
        <v>1050</v>
      </c>
      <c r="G32" s="5" t="s">
        <v>1051</v>
      </c>
      <c r="H32" s="5" t="s">
        <v>714</v>
      </c>
      <c r="I32" s="5" t="s">
        <v>1097</v>
      </c>
      <c r="J32" s="5"/>
      <c r="K32" s="54"/>
      <c r="L32" s="54">
        <v>1</v>
      </c>
      <c r="M32" s="54" t="s">
        <v>523</v>
      </c>
    </row>
    <row r="33" spans="1:13" ht="58" customHeight="1" x14ac:dyDescent="0.35">
      <c r="A33" s="5" t="s">
        <v>182</v>
      </c>
      <c r="B33" s="5" t="s">
        <v>174</v>
      </c>
      <c r="C33" s="5" t="s">
        <v>181</v>
      </c>
      <c r="D33" s="5" t="s">
        <v>746</v>
      </c>
      <c r="E33" s="5" t="s">
        <v>747</v>
      </c>
      <c r="F33" s="5" t="s">
        <v>1059</v>
      </c>
      <c r="G33" s="5" t="s">
        <v>1051</v>
      </c>
      <c r="H33" s="5" t="s">
        <v>749</v>
      </c>
      <c r="I33" s="5" t="s">
        <v>1098</v>
      </c>
      <c r="J33" s="5" t="s">
        <v>1099</v>
      </c>
      <c r="K33" s="54"/>
      <c r="L33" s="54">
        <v>2</v>
      </c>
      <c r="M33" s="54" t="s">
        <v>523</v>
      </c>
    </row>
    <row r="34" spans="1:13" ht="58" customHeight="1" x14ac:dyDescent="0.35">
      <c r="A34" s="5" t="s">
        <v>188</v>
      </c>
      <c r="B34" s="5" t="s">
        <v>174</v>
      </c>
      <c r="C34" s="5" t="s">
        <v>187</v>
      </c>
      <c r="D34" s="5" t="s">
        <v>716</v>
      </c>
      <c r="E34" s="5" t="s">
        <v>717</v>
      </c>
      <c r="F34" s="5" t="s">
        <v>1050</v>
      </c>
      <c r="G34" s="5" t="s">
        <v>1051</v>
      </c>
      <c r="H34" s="5" t="s">
        <v>719</v>
      </c>
      <c r="I34" s="5" t="s">
        <v>1100</v>
      </c>
      <c r="J34" s="5"/>
      <c r="K34" s="54"/>
      <c r="L34" s="54">
        <v>1</v>
      </c>
      <c r="M34" s="54" t="s">
        <v>523</v>
      </c>
    </row>
    <row r="35" spans="1:13" ht="58" customHeight="1" x14ac:dyDescent="0.35">
      <c r="A35" s="5" t="s">
        <v>188</v>
      </c>
      <c r="B35" s="5" t="s">
        <v>174</v>
      </c>
      <c r="C35" s="5" t="s">
        <v>187</v>
      </c>
      <c r="D35" s="5" t="s">
        <v>696</v>
      </c>
      <c r="E35" s="5" t="s">
        <v>697</v>
      </c>
      <c r="F35" s="5" t="s">
        <v>1059</v>
      </c>
      <c r="G35" s="5" t="s">
        <v>1051</v>
      </c>
      <c r="H35" s="5" t="s">
        <v>699</v>
      </c>
      <c r="I35" s="5" t="s">
        <v>1063</v>
      </c>
      <c r="J35" s="5" t="s">
        <v>1101</v>
      </c>
      <c r="K35" s="54"/>
      <c r="L35" s="54">
        <v>2</v>
      </c>
      <c r="M35" s="54" t="s">
        <v>523</v>
      </c>
    </row>
    <row r="36" spans="1:13" ht="58" customHeight="1" x14ac:dyDescent="0.35">
      <c r="A36" s="5" t="s">
        <v>195</v>
      </c>
      <c r="B36" s="5" t="s">
        <v>193</v>
      </c>
      <c r="C36" s="5" t="s">
        <v>194</v>
      </c>
      <c r="D36" s="5" t="s">
        <v>721</v>
      </c>
      <c r="E36" s="5" t="s">
        <v>722</v>
      </c>
      <c r="F36" s="5" t="s">
        <v>1050</v>
      </c>
      <c r="G36" s="5" t="s">
        <v>1051</v>
      </c>
      <c r="H36" s="5" t="s">
        <v>724</v>
      </c>
      <c r="I36" s="5" t="s">
        <v>1102</v>
      </c>
      <c r="J36" s="5"/>
      <c r="K36" s="54"/>
      <c r="L36" s="54">
        <v>1</v>
      </c>
      <c r="M36" s="54" t="s">
        <v>523</v>
      </c>
    </row>
    <row r="37" spans="1:13" ht="58" customHeight="1" x14ac:dyDescent="0.35">
      <c r="A37" s="5" t="s">
        <v>195</v>
      </c>
      <c r="B37" s="5" t="s">
        <v>193</v>
      </c>
      <c r="C37" s="5" t="s">
        <v>194</v>
      </c>
      <c r="D37" s="5" t="s">
        <v>736</v>
      </c>
      <c r="E37" s="5" t="s">
        <v>737</v>
      </c>
      <c r="F37" s="5" t="s">
        <v>1059</v>
      </c>
      <c r="G37" s="5" t="s">
        <v>1051</v>
      </c>
      <c r="H37" s="5" t="s">
        <v>739</v>
      </c>
      <c r="I37" s="5" t="s">
        <v>1103</v>
      </c>
      <c r="J37" s="5"/>
      <c r="K37" s="54"/>
      <c r="L37" s="54">
        <v>2</v>
      </c>
      <c r="M37" s="54" t="s">
        <v>523</v>
      </c>
    </row>
    <row r="38" spans="1:13" ht="43.5" customHeight="1" x14ac:dyDescent="0.35">
      <c r="A38" s="5" t="s">
        <v>195</v>
      </c>
      <c r="B38" s="5" t="s">
        <v>193</v>
      </c>
      <c r="C38" s="5" t="s">
        <v>194</v>
      </c>
      <c r="D38" s="5" t="s">
        <v>741</v>
      </c>
      <c r="E38" s="5" t="s">
        <v>742</v>
      </c>
      <c r="F38" s="5" t="s">
        <v>1059</v>
      </c>
      <c r="G38" s="5" t="s">
        <v>1051</v>
      </c>
      <c r="H38" s="5" t="s">
        <v>744</v>
      </c>
      <c r="I38" s="5" t="s">
        <v>1104</v>
      </c>
      <c r="J38" s="5"/>
      <c r="K38" s="54"/>
      <c r="L38" s="54">
        <v>2</v>
      </c>
      <c r="M38" s="54" t="s">
        <v>523</v>
      </c>
    </row>
    <row r="39" spans="1:13" ht="58" customHeight="1" x14ac:dyDescent="0.35">
      <c r="A39" s="5" t="s">
        <v>195</v>
      </c>
      <c r="B39" s="5" t="s">
        <v>193</v>
      </c>
      <c r="C39" s="5" t="s">
        <v>194</v>
      </c>
      <c r="D39" s="5" t="s">
        <v>893</v>
      </c>
      <c r="E39" s="5" t="s">
        <v>894</v>
      </c>
      <c r="F39" s="5" t="s">
        <v>1055</v>
      </c>
      <c r="G39" s="5" t="s">
        <v>1105</v>
      </c>
      <c r="H39" s="5" t="s">
        <v>1106</v>
      </c>
      <c r="I39" s="5" t="s">
        <v>1107</v>
      </c>
      <c r="J39" s="5" t="s">
        <v>1108</v>
      </c>
      <c r="K39" s="54"/>
      <c r="L39" s="54">
        <v>3</v>
      </c>
      <c r="M39" s="54" t="s">
        <v>523</v>
      </c>
    </row>
    <row r="40" spans="1:13" ht="43.5" customHeight="1" x14ac:dyDescent="0.35">
      <c r="A40" s="5" t="s">
        <v>202</v>
      </c>
      <c r="B40" s="5" t="s">
        <v>193</v>
      </c>
      <c r="C40" s="5" t="s">
        <v>201</v>
      </c>
      <c r="D40" s="5" t="s">
        <v>726</v>
      </c>
      <c r="E40" s="5" t="s">
        <v>727</v>
      </c>
      <c r="F40" s="5" t="s">
        <v>1050</v>
      </c>
      <c r="G40" s="5" t="s">
        <v>1051</v>
      </c>
      <c r="H40" s="5" t="s">
        <v>729</v>
      </c>
      <c r="I40" s="5" t="s">
        <v>1109</v>
      </c>
      <c r="J40" s="5"/>
      <c r="K40" s="54"/>
      <c r="L40" s="54">
        <v>1</v>
      </c>
      <c r="M40" s="54" t="s">
        <v>523</v>
      </c>
    </row>
    <row r="41" spans="1:13" ht="43.5" customHeight="1" x14ac:dyDescent="0.35">
      <c r="A41" s="5" t="s">
        <v>202</v>
      </c>
      <c r="B41" s="5" t="s">
        <v>193</v>
      </c>
      <c r="C41" s="5" t="s">
        <v>201</v>
      </c>
      <c r="D41" s="5" t="s">
        <v>721</v>
      </c>
      <c r="E41" s="5" t="s">
        <v>722</v>
      </c>
      <c r="F41" s="5" t="s">
        <v>1059</v>
      </c>
      <c r="G41" s="5" t="s">
        <v>1051</v>
      </c>
      <c r="H41" s="5" t="s">
        <v>724</v>
      </c>
      <c r="I41" s="5" t="s">
        <v>1102</v>
      </c>
      <c r="J41" s="5" t="s">
        <v>1110</v>
      </c>
      <c r="K41" s="54"/>
      <c r="L41" s="54">
        <v>2</v>
      </c>
      <c r="M41" s="54" t="s">
        <v>523</v>
      </c>
    </row>
    <row r="42" spans="1:13" ht="58" customHeight="1" x14ac:dyDescent="0.35">
      <c r="A42" s="5" t="s">
        <v>208</v>
      </c>
      <c r="B42" s="5" t="s">
        <v>193</v>
      </c>
      <c r="C42" s="5" t="s">
        <v>207</v>
      </c>
      <c r="D42" s="5" t="s">
        <v>731</v>
      </c>
      <c r="E42" s="5" t="s">
        <v>732</v>
      </c>
      <c r="F42" s="5" t="s">
        <v>1059</v>
      </c>
      <c r="G42" s="5" t="s">
        <v>1051</v>
      </c>
      <c r="H42" s="5" t="s">
        <v>734</v>
      </c>
      <c r="I42" s="5" t="s">
        <v>1111</v>
      </c>
      <c r="J42" s="5"/>
      <c r="K42" s="54"/>
      <c r="L42" s="54">
        <v>2</v>
      </c>
      <c r="M42" s="54" t="s">
        <v>523</v>
      </c>
    </row>
    <row r="43" spans="1:13" ht="58" customHeight="1" x14ac:dyDescent="0.35">
      <c r="A43" s="5" t="s">
        <v>208</v>
      </c>
      <c r="B43" s="5" t="s">
        <v>193</v>
      </c>
      <c r="C43" s="5" t="s">
        <v>207</v>
      </c>
      <c r="D43" s="5" t="s">
        <v>831</v>
      </c>
      <c r="E43" s="5" t="s">
        <v>832</v>
      </c>
      <c r="F43" s="5" t="s">
        <v>1055</v>
      </c>
      <c r="G43" s="5" t="s">
        <v>1051</v>
      </c>
      <c r="H43" s="5" t="s">
        <v>834</v>
      </c>
      <c r="I43" s="5" t="s">
        <v>1112</v>
      </c>
      <c r="J43" s="5" t="s">
        <v>1113</v>
      </c>
      <c r="K43" s="54"/>
      <c r="L43" s="54">
        <v>3</v>
      </c>
      <c r="M43" s="54" t="s">
        <v>523</v>
      </c>
    </row>
    <row r="44" spans="1:13" ht="58" customHeight="1" x14ac:dyDescent="0.35">
      <c r="A44" s="5" t="s">
        <v>213</v>
      </c>
      <c r="B44" s="5" t="s">
        <v>193</v>
      </c>
      <c r="C44" s="5" t="s">
        <v>212</v>
      </c>
      <c r="D44" s="5" t="s">
        <v>736</v>
      </c>
      <c r="E44" s="5" t="s">
        <v>737</v>
      </c>
      <c r="F44" s="5" t="s">
        <v>1050</v>
      </c>
      <c r="G44" s="5" t="s">
        <v>1051</v>
      </c>
      <c r="H44" s="5" t="s">
        <v>739</v>
      </c>
      <c r="I44" s="5" t="s">
        <v>1103</v>
      </c>
      <c r="J44" s="5"/>
      <c r="K44" s="54"/>
      <c r="L44" s="54">
        <v>1</v>
      </c>
      <c r="M44" s="54" t="s">
        <v>523</v>
      </c>
    </row>
    <row r="45" spans="1:13" ht="43.5" customHeight="1" x14ac:dyDescent="0.35">
      <c r="A45" s="5" t="s">
        <v>213</v>
      </c>
      <c r="B45" s="5" t="s">
        <v>193</v>
      </c>
      <c r="C45" s="5" t="s">
        <v>212</v>
      </c>
      <c r="D45" s="5" t="s">
        <v>721</v>
      </c>
      <c r="E45" s="5" t="s">
        <v>722</v>
      </c>
      <c r="F45" s="5" t="s">
        <v>1059</v>
      </c>
      <c r="G45" s="5" t="s">
        <v>1051</v>
      </c>
      <c r="H45" s="5" t="s">
        <v>724</v>
      </c>
      <c r="I45" s="5" t="s">
        <v>1102</v>
      </c>
      <c r="J45" s="5"/>
      <c r="K45" s="54"/>
      <c r="L45" s="54">
        <v>2</v>
      </c>
      <c r="M45" s="54" t="s">
        <v>523</v>
      </c>
    </row>
    <row r="46" spans="1:13" ht="43.5" customHeight="1" x14ac:dyDescent="0.35">
      <c r="A46" s="5" t="s">
        <v>219</v>
      </c>
      <c r="B46" s="5" t="s">
        <v>193</v>
      </c>
      <c r="C46" s="5" t="s">
        <v>218</v>
      </c>
      <c r="D46" s="5" t="s">
        <v>741</v>
      </c>
      <c r="E46" s="5" t="s">
        <v>742</v>
      </c>
      <c r="F46" s="5" t="s">
        <v>1050</v>
      </c>
      <c r="G46" s="5" t="s">
        <v>1051</v>
      </c>
      <c r="H46" s="5" t="s">
        <v>744</v>
      </c>
      <c r="I46" s="5" t="s">
        <v>1104</v>
      </c>
      <c r="J46" s="5"/>
      <c r="K46" s="54"/>
      <c r="L46" s="54">
        <v>1</v>
      </c>
      <c r="M46" s="54" t="s">
        <v>523</v>
      </c>
    </row>
    <row r="47" spans="1:13" ht="58" customHeight="1" x14ac:dyDescent="0.35">
      <c r="A47" s="5" t="s">
        <v>219</v>
      </c>
      <c r="B47" s="5" t="s">
        <v>193</v>
      </c>
      <c r="C47" s="5" t="s">
        <v>218</v>
      </c>
      <c r="D47" s="5" t="s">
        <v>761</v>
      </c>
      <c r="E47" s="5" t="s">
        <v>762</v>
      </c>
      <c r="F47" s="5" t="s">
        <v>1059</v>
      </c>
      <c r="G47" s="5" t="s">
        <v>1051</v>
      </c>
      <c r="H47" s="5" t="s">
        <v>764</v>
      </c>
      <c r="I47" s="5" t="s">
        <v>1114</v>
      </c>
      <c r="J47" s="5" t="s">
        <v>1115</v>
      </c>
      <c r="K47" s="54"/>
      <c r="L47" s="54">
        <v>2</v>
      </c>
      <c r="M47" s="54" t="s">
        <v>523</v>
      </c>
    </row>
    <row r="48" spans="1:13" ht="43.5" customHeight="1" x14ac:dyDescent="0.35">
      <c r="A48" t="s">
        <v>219</v>
      </c>
      <c r="B48" t="s">
        <v>193</v>
      </c>
      <c r="C48" t="s">
        <v>218</v>
      </c>
      <c r="D48" t="s">
        <v>893</v>
      </c>
      <c r="E48" t="s">
        <v>894</v>
      </c>
      <c r="F48" t="s">
        <v>1055</v>
      </c>
      <c r="G48" t="s">
        <v>1105</v>
      </c>
      <c r="H48" t="s">
        <v>1116</v>
      </c>
      <c r="I48" t="s">
        <v>1117</v>
      </c>
      <c r="J48" t="s">
        <v>1118</v>
      </c>
      <c r="K48" s="54"/>
      <c r="L48" s="54">
        <v>3</v>
      </c>
      <c r="M48" s="54" t="s">
        <v>523</v>
      </c>
    </row>
    <row r="49" spans="1:13" ht="43.5" customHeight="1" x14ac:dyDescent="0.35">
      <c r="A49" s="5" t="s">
        <v>227</v>
      </c>
      <c r="B49" s="5" t="s">
        <v>225</v>
      </c>
      <c r="C49" s="5" t="s">
        <v>226</v>
      </c>
      <c r="D49" s="5" t="s">
        <v>746</v>
      </c>
      <c r="E49" s="5" t="s">
        <v>747</v>
      </c>
      <c r="F49" s="5" t="s">
        <v>1050</v>
      </c>
      <c r="G49" s="5" t="s">
        <v>1051</v>
      </c>
      <c r="H49" s="5" t="s">
        <v>749</v>
      </c>
      <c r="I49" s="5" t="s">
        <v>1098</v>
      </c>
      <c r="J49" s="5"/>
      <c r="K49" s="54"/>
      <c r="L49" s="54">
        <v>1</v>
      </c>
      <c r="M49" s="54" t="s">
        <v>523</v>
      </c>
    </row>
    <row r="50" spans="1:13" ht="58" customHeight="1" x14ac:dyDescent="0.35">
      <c r="A50" s="5" t="s">
        <v>227</v>
      </c>
      <c r="B50" s="5" t="s">
        <v>225</v>
      </c>
      <c r="C50" s="5" t="s">
        <v>226</v>
      </c>
      <c r="D50" s="5" t="s">
        <v>776</v>
      </c>
      <c r="E50" s="5" t="s">
        <v>777</v>
      </c>
      <c r="F50" s="5" t="s">
        <v>1055</v>
      </c>
      <c r="G50" s="5" t="s">
        <v>1051</v>
      </c>
      <c r="H50" s="5" t="s">
        <v>779</v>
      </c>
      <c r="I50" s="5" t="s">
        <v>1119</v>
      </c>
      <c r="J50" s="5" t="s">
        <v>1120</v>
      </c>
      <c r="K50" s="54"/>
      <c r="L50" s="54">
        <v>3</v>
      </c>
      <c r="M50" s="54" t="s">
        <v>523</v>
      </c>
    </row>
    <row r="51" spans="1:13" ht="58" customHeight="1" x14ac:dyDescent="0.35">
      <c r="A51" s="5" t="s">
        <v>233</v>
      </c>
      <c r="B51" s="5" t="s">
        <v>225</v>
      </c>
      <c r="C51" s="5" t="s">
        <v>232</v>
      </c>
      <c r="D51" s="5" t="s">
        <v>751</v>
      </c>
      <c r="E51" s="5" t="s">
        <v>752</v>
      </c>
      <c r="F51" s="5" t="s">
        <v>1050</v>
      </c>
      <c r="G51" s="5" t="s">
        <v>1051</v>
      </c>
      <c r="H51" s="5" t="s">
        <v>754</v>
      </c>
      <c r="I51" s="5" t="s">
        <v>1121</v>
      </c>
      <c r="J51" s="5"/>
      <c r="K51" s="54"/>
      <c r="L51" s="54">
        <v>1</v>
      </c>
      <c r="M51" s="54" t="s">
        <v>523</v>
      </c>
    </row>
    <row r="52" spans="1:13" ht="43.5" customHeight="1" x14ac:dyDescent="0.35">
      <c r="A52" s="5" t="s">
        <v>233</v>
      </c>
      <c r="B52" s="5" t="s">
        <v>225</v>
      </c>
      <c r="C52" s="5" t="s">
        <v>232</v>
      </c>
      <c r="D52" s="5" t="s">
        <v>746</v>
      </c>
      <c r="E52" s="5" t="s">
        <v>747</v>
      </c>
      <c r="F52" s="5" t="s">
        <v>1059</v>
      </c>
      <c r="G52" s="5" t="s">
        <v>1051</v>
      </c>
      <c r="H52" s="5" t="s">
        <v>749</v>
      </c>
      <c r="I52" s="5" t="s">
        <v>1098</v>
      </c>
      <c r="J52" s="5"/>
      <c r="K52" s="54"/>
      <c r="L52" s="54">
        <v>2</v>
      </c>
      <c r="M52" s="54" t="s">
        <v>523</v>
      </c>
    </row>
    <row r="53" spans="1:13" ht="58" customHeight="1" x14ac:dyDescent="0.35">
      <c r="A53" s="5" t="s">
        <v>239</v>
      </c>
      <c r="B53" s="5" t="s">
        <v>225</v>
      </c>
      <c r="C53" s="5" t="s">
        <v>238</v>
      </c>
      <c r="D53" s="5" t="s">
        <v>756</v>
      </c>
      <c r="E53" s="5" t="s">
        <v>757</v>
      </c>
      <c r="F53" s="5" t="s">
        <v>1050</v>
      </c>
      <c r="G53" s="5" t="s">
        <v>1051</v>
      </c>
      <c r="H53" s="5" t="s">
        <v>759</v>
      </c>
      <c r="I53" s="5" t="s">
        <v>1122</v>
      </c>
      <c r="J53" s="5"/>
      <c r="K53" s="54"/>
      <c r="L53" s="54">
        <v>1</v>
      </c>
      <c r="M53" s="54" t="s">
        <v>523</v>
      </c>
    </row>
    <row r="54" spans="1:13" ht="43.5" customHeight="1" x14ac:dyDescent="0.35">
      <c r="A54" s="5" t="s">
        <v>239</v>
      </c>
      <c r="B54" s="5" t="s">
        <v>225</v>
      </c>
      <c r="C54" s="5" t="s">
        <v>238</v>
      </c>
      <c r="D54" s="5" t="s">
        <v>781</v>
      </c>
      <c r="E54" s="5" t="s">
        <v>782</v>
      </c>
      <c r="F54" s="5" t="s">
        <v>1055</v>
      </c>
      <c r="G54" s="5" t="s">
        <v>1051</v>
      </c>
      <c r="H54" s="5" t="s">
        <v>784</v>
      </c>
      <c r="I54" s="5" t="s">
        <v>1123</v>
      </c>
      <c r="J54" s="5" t="s">
        <v>1124</v>
      </c>
      <c r="K54" s="54"/>
      <c r="L54" s="54">
        <v>3</v>
      </c>
      <c r="M54" s="54" t="s">
        <v>523</v>
      </c>
    </row>
    <row r="55" spans="1:13" ht="58" customHeight="1" x14ac:dyDescent="0.35">
      <c r="A55" s="5" t="s">
        <v>245</v>
      </c>
      <c r="B55" s="5" t="s">
        <v>225</v>
      </c>
      <c r="C55" s="5" t="s">
        <v>244</v>
      </c>
      <c r="D55" s="5" t="s">
        <v>761</v>
      </c>
      <c r="E55" s="5" t="s">
        <v>762</v>
      </c>
      <c r="F55" s="5" t="s">
        <v>1050</v>
      </c>
      <c r="G55" s="5" t="s">
        <v>1051</v>
      </c>
      <c r="H55" s="5" t="s">
        <v>764</v>
      </c>
      <c r="I55" s="5" t="s">
        <v>1114</v>
      </c>
      <c r="J55" s="5"/>
      <c r="K55" s="54"/>
      <c r="L55" s="54">
        <v>1</v>
      </c>
      <c r="M55" s="54" t="s">
        <v>523</v>
      </c>
    </row>
    <row r="56" spans="1:13" ht="58" customHeight="1" x14ac:dyDescent="0.35">
      <c r="A56" s="5" t="s">
        <v>245</v>
      </c>
      <c r="B56" s="5" t="s">
        <v>225</v>
      </c>
      <c r="C56" s="5" t="s">
        <v>244</v>
      </c>
      <c r="D56" s="5" t="s">
        <v>776</v>
      </c>
      <c r="E56" s="5" t="s">
        <v>777</v>
      </c>
      <c r="F56" s="5" t="s">
        <v>1059</v>
      </c>
      <c r="G56" s="5" t="s">
        <v>1051</v>
      </c>
      <c r="H56" s="5" t="s">
        <v>779</v>
      </c>
      <c r="I56" s="5" t="s">
        <v>1119</v>
      </c>
      <c r="J56" s="5"/>
      <c r="K56" s="54"/>
      <c r="L56" s="54">
        <v>2</v>
      </c>
      <c r="M56" s="54" t="s">
        <v>523</v>
      </c>
    </row>
    <row r="57" spans="1:13" ht="58" customHeight="1" x14ac:dyDescent="0.35">
      <c r="A57" s="5" t="s">
        <v>251</v>
      </c>
      <c r="B57" s="5" t="s">
        <v>225</v>
      </c>
      <c r="C57" s="5" t="s">
        <v>250</v>
      </c>
      <c r="D57" s="5" t="s">
        <v>766</v>
      </c>
      <c r="E57" s="5" t="s">
        <v>767</v>
      </c>
      <c r="F57" s="5" t="s">
        <v>1050</v>
      </c>
      <c r="G57" s="5" t="s">
        <v>1051</v>
      </c>
      <c r="H57" s="5" t="s">
        <v>769</v>
      </c>
      <c r="I57" s="5" t="s">
        <v>1095</v>
      </c>
      <c r="J57" s="5"/>
      <c r="K57" s="54"/>
      <c r="L57" s="54">
        <v>1</v>
      </c>
      <c r="M57" s="54" t="s">
        <v>517</v>
      </c>
    </row>
    <row r="58" spans="1:13" ht="58" customHeight="1" x14ac:dyDescent="0.35">
      <c r="A58" s="5" t="s">
        <v>251</v>
      </c>
      <c r="B58" s="5" t="s">
        <v>225</v>
      </c>
      <c r="C58" s="5" t="s">
        <v>250</v>
      </c>
      <c r="D58" s="5" t="s">
        <v>836</v>
      </c>
      <c r="E58" s="5" t="s">
        <v>837</v>
      </c>
      <c r="F58" s="5" t="s">
        <v>1059</v>
      </c>
      <c r="G58" s="5" t="s">
        <v>1051</v>
      </c>
      <c r="H58" s="5" t="s">
        <v>839</v>
      </c>
      <c r="I58" s="5" t="s">
        <v>1125</v>
      </c>
      <c r="J58" s="5" t="s">
        <v>1126</v>
      </c>
      <c r="K58" s="54"/>
      <c r="L58" s="54">
        <v>2</v>
      </c>
      <c r="M58" s="54" t="s">
        <v>517</v>
      </c>
    </row>
    <row r="59" spans="1:13" ht="43.5" customHeight="1" x14ac:dyDescent="0.35">
      <c r="A59" s="5" t="s">
        <v>258</v>
      </c>
      <c r="B59" s="5" t="s">
        <v>256</v>
      </c>
      <c r="C59" s="5" t="s">
        <v>257</v>
      </c>
      <c r="D59" s="5" t="s">
        <v>771</v>
      </c>
      <c r="E59" s="5" t="s">
        <v>772</v>
      </c>
      <c r="F59" s="5" t="s">
        <v>1050</v>
      </c>
      <c r="G59" s="5" t="s">
        <v>1051</v>
      </c>
      <c r="H59" s="5" t="s">
        <v>774</v>
      </c>
      <c r="I59" s="5" t="s">
        <v>1127</v>
      </c>
      <c r="J59" s="5"/>
      <c r="K59" s="54"/>
      <c r="L59" s="54">
        <v>1</v>
      </c>
      <c r="M59" s="54" t="s">
        <v>523</v>
      </c>
    </row>
    <row r="60" spans="1:13" ht="58" customHeight="1" x14ac:dyDescent="0.35">
      <c r="A60" s="5" t="s">
        <v>258</v>
      </c>
      <c r="B60" s="5" t="s">
        <v>256</v>
      </c>
      <c r="C60" s="5" t="s">
        <v>257</v>
      </c>
      <c r="D60" s="5" t="s">
        <v>781</v>
      </c>
      <c r="E60" s="5" t="s">
        <v>782</v>
      </c>
      <c r="F60" s="5" t="s">
        <v>1059</v>
      </c>
      <c r="G60" s="5" t="s">
        <v>1051</v>
      </c>
      <c r="H60" s="5" t="s">
        <v>784</v>
      </c>
      <c r="I60" s="5" t="s">
        <v>1123</v>
      </c>
      <c r="J60" s="5" t="s">
        <v>1128</v>
      </c>
      <c r="K60" s="54"/>
      <c r="L60" s="54">
        <v>2</v>
      </c>
      <c r="M60" s="54" t="s">
        <v>523</v>
      </c>
    </row>
    <row r="61" spans="1:13" ht="58" customHeight="1" x14ac:dyDescent="0.35">
      <c r="A61" s="5" t="s">
        <v>264</v>
      </c>
      <c r="B61" s="5" t="s">
        <v>256</v>
      </c>
      <c r="C61" s="5" t="s">
        <v>263</v>
      </c>
      <c r="D61" s="5" t="s">
        <v>776</v>
      </c>
      <c r="E61" s="5" t="s">
        <v>777</v>
      </c>
      <c r="F61" s="5" t="s">
        <v>1050</v>
      </c>
      <c r="G61" s="5" t="s">
        <v>1051</v>
      </c>
      <c r="H61" s="5" t="s">
        <v>779</v>
      </c>
      <c r="I61" s="5" t="s">
        <v>1119</v>
      </c>
      <c r="J61" s="5"/>
      <c r="K61" s="54"/>
      <c r="L61" s="54">
        <v>1</v>
      </c>
      <c r="M61" s="54" t="s">
        <v>523</v>
      </c>
    </row>
    <row r="62" spans="1:13" ht="43.5" customHeight="1" x14ac:dyDescent="0.35">
      <c r="A62" s="5" t="s">
        <v>264</v>
      </c>
      <c r="B62" s="5" t="s">
        <v>256</v>
      </c>
      <c r="C62" s="5" t="s">
        <v>263</v>
      </c>
      <c r="D62" s="5" t="s">
        <v>761</v>
      </c>
      <c r="E62" s="5" t="s">
        <v>762</v>
      </c>
      <c r="F62" s="5" t="s">
        <v>1059</v>
      </c>
      <c r="G62" s="5" t="s">
        <v>1051</v>
      </c>
      <c r="H62" s="5" t="s">
        <v>764</v>
      </c>
      <c r="I62" s="5" t="s">
        <v>1114</v>
      </c>
      <c r="J62" s="5"/>
      <c r="K62" s="54"/>
      <c r="L62" s="54">
        <v>2</v>
      </c>
      <c r="M62" s="54" t="s">
        <v>523</v>
      </c>
    </row>
    <row r="63" spans="1:13" ht="43.5" customHeight="1" x14ac:dyDescent="0.35">
      <c r="A63" s="5" t="s">
        <v>270</v>
      </c>
      <c r="B63" s="5" t="s">
        <v>256</v>
      </c>
      <c r="C63" s="5" t="s">
        <v>269</v>
      </c>
      <c r="D63" s="5" t="s">
        <v>781</v>
      </c>
      <c r="E63" s="5" t="s">
        <v>782</v>
      </c>
      <c r="F63" s="5" t="s">
        <v>1050</v>
      </c>
      <c r="G63" s="5" t="s">
        <v>1051</v>
      </c>
      <c r="H63" s="5" t="s">
        <v>784</v>
      </c>
      <c r="I63" s="5" t="s">
        <v>1123</v>
      </c>
      <c r="J63" s="5"/>
      <c r="K63" s="54"/>
      <c r="L63" s="54">
        <v>1</v>
      </c>
      <c r="M63" s="54" t="s">
        <v>523</v>
      </c>
    </row>
    <row r="64" spans="1:13" ht="58" customHeight="1" x14ac:dyDescent="0.35">
      <c r="A64" s="5" t="s">
        <v>270</v>
      </c>
      <c r="B64" s="5" t="s">
        <v>256</v>
      </c>
      <c r="C64" s="5" t="s">
        <v>269</v>
      </c>
      <c r="D64" s="5" t="s">
        <v>696</v>
      </c>
      <c r="E64" s="5" t="s">
        <v>697</v>
      </c>
      <c r="F64" s="5" t="s">
        <v>1059</v>
      </c>
      <c r="G64" s="5" t="s">
        <v>1051</v>
      </c>
      <c r="H64" s="5" t="s">
        <v>699</v>
      </c>
      <c r="I64" s="5" t="s">
        <v>1063</v>
      </c>
      <c r="J64" s="5"/>
      <c r="K64" s="54"/>
      <c r="L64" s="54">
        <v>2</v>
      </c>
      <c r="M64" s="54" t="s">
        <v>523</v>
      </c>
    </row>
    <row r="65" spans="1:13" ht="43.5" customHeight="1" x14ac:dyDescent="0.35">
      <c r="A65" s="5" t="s">
        <v>270</v>
      </c>
      <c r="B65" s="5" t="s">
        <v>256</v>
      </c>
      <c r="C65" s="5" t="s">
        <v>269</v>
      </c>
      <c r="D65" s="5" t="s">
        <v>786</v>
      </c>
      <c r="E65" s="5" t="s">
        <v>787</v>
      </c>
      <c r="F65" s="5" t="s">
        <v>1055</v>
      </c>
      <c r="G65" s="5" t="s">
        <v>1051</v>
      </c>
      <c r="H65" s="5" t="s">
        <v>789</v>
      </c>
      <c r="I65" s="5" t="s">
        <v>1129</v>
      </c>
      <c r="J65" s="5" t="s">
        <v>1130</v>
      </c>
      <c r="K65" s="54"/>
      <c r="L65" s="54">
        <v>3</v>
      </c>
      <c r="M65" s="54" t="s">
        <v>523</v>
      </c>
    </row>
    <row r="66" spans="1:13" ht="43.5" customHeight="1" x14ac:dyDescent="0.35">
      <c r="A66" s="5" t="s">
        <v>276</v>
      </c>
      <c r="B66" s="5" t="s">
        <v>256</v>
      </c>
      <c r="C66" s="5" t="s">
        <v>275</v>
      </c>
      <c r="D66" s="5" t="s">
        <v>786</v>
      </c>
      <c r="E66" s="5" t="s">
        <v>787</v>
      </c>
      <c r="F66" s="5" t="s">
        <v>1050</v>
      </c>
      <c r="G66" s="5" t="s">
        <v>1051</v>
      </c>
      <c r="H66" s="5" t="s">
        <v>789</v>
      </c>
      <c r="I66" s="5" t="s">
        <v>1129</v>
      </c>
      <c r="J66" s="5"/>
      <c r="K66" s="54"/>
      <c r="L66" s="54">
        <v>1</v>
      </c>
      <c r="M66" s="54" t="s">
        <v>523</v>
      </c>
    </row>
    <row r="67" spans="1:13" ht="43.5" customHeight="1" x14ac:dyDescent="0.35">
      <c r="A67" s="5" t="s">
        <v>276</v>
      </c>
      <c r="B67" s="5" t="s">
        <v>256</v>
      </c>
      <c r="C67" s="5" t="s">
        <v>275</v>
      </c>
      <c r="D67" s="5" t="s">
        <v>826</v>
      </c>
      <c r="E67" s="5" t="s">
        <v>827</v>
      </c>
      <c r="F67" s="5" t="s">
        <v>1055</v>
      </c>
      <c r="G67" s="5" t="s">
        <v>1051</v>
      </c>
      <c r="H67" s="5" t="s">
        <v>829</v>
      </c>
      <c r="I67" s="5" t="s">
        <v>1079</v>
      </c>
      <c r="J67" s="5" t="s">
        <v>1131</v>
      </c>
      <c r="K67" s="54"/>
      <c r="L67" s="54">
        <v>3</v>
      </c>
      <c r="M67" s="54" t="s">
        <v>523</v>
      </c>
    </row>
    <row r="68" spans="1:13" ht="43.5" customHeight="1" x14ac:dyDescent="0.35">
      <c r="A68" s="5" t="s">
        <v>283</v>
      </c>
      <c r="B68" s="5" t="s">
        <v>281</v>
      </c>
      <c r="C68" s="5" t="s">
        <v>282</v>
      </c>
      <c r="D68" s="5" t="s">
        <v>791</v>
      </c>
      <c r="E68" s="5" t="s">
        <v>792</v>
      </c>
      <c r="F68" s="5" t="s">
        <v>1050</v>
      </c>
      <c r="G68" s="5" t="s">
        <v>1051</v>
      </c>
      <c r="H68" s="5" t="s">
        <v>794</v>
      </c>
      <c r="I68" s="5" t="s">
        <v>1132</v>
      </c>
      <c r="J68" s="5"/>
      <c r="K68" s="54"/>
      <c r="L68" s="54">
        <v>1</v>
      </c>
      <c r="M68" s="54" t="s">
        <v>523</v>
      </c>
    </row>
    <row r="69" spans="1:13" ht="43.5" customHeight="1" x14ac:dyDescent="0.35">
      <c r="A69" s="5" t="s">
        <v>283</v>
      </c>
      <c r="B69" s="5" t="s">
        <v>281</v>
      </c>
      <c r="C69" s="5" t="s">
        <v>282</v>
      </c>
      <c r="D69" s="5" t="s">
        <v>801</v>
      </c>
      <c r="E69" s="5" t="s">
        <v>802</v>
      </c>
      <c r="F69" s="5" t="s">
        <v>1059</v>
      </c>
      <c r="G69" s="5" t="s">
        <v>1051</v>
      </c>
      <c r="H69" s="5" t="s">
        <v>804</v>
      </c>
      <c r="I69" s="5" t="s">
        <v>1133</v>
      </c>
      <c r="J69" s="5" t="s">
        <v>1134</v>
      </c>
      <c r="K69" s="54"/>
      <c r="L69" s="54">
        <v>2</v>
      </c>
      <c r="M69" s="54" t="s">
        <v>523</v>
      </c>
    </row>
    <row r="70" spans="1:13" ht="43.5" customHeight="1" x14ac:dyDescent="0.35">
      <c r="A70" s="5" t="s">
        <v>289</v>
      </c>
      <c r="B70" s="5" t="s">
        <v>281</v>
      </c>
      <c r="C70" s="5" t="s">
        <v>288</v>
      </c>
      <c r="D70" s="5" t="s">
        <v>796</v>
      </c>
      <c r="E70" s="5" t="s">
        <v>797</v>
      </c>
      <c r="F70" s="5" t="s">
        <v>1050</v>
      </c>
      <c r="G70" s="5" t="s">
        <v>1051</v>
      </c>
      <c r="H70" s="5" t="s">
        <v>799</v>
      </c>
      <c r="I70" s="5" t="s">
        <v>1092</v>
      </c>
      <c r="J70" s="5"/>
      <c r="K70" s="54"/>
      <c r="L70" s="54">
        <v>1</v>
      </c>
      <c r="M70" s="54" t="s">
        <v>523</v>
      </c>
    </row>
    <row r="71" spans="1:13" ht="43.5" customHeight="1" x14ac:dyDescent="0.35">
      <c r="A71" s="5" t="s">
        <v>289</v>
      </c>
      <c r="B71" s="5" t="s">
        <v>281</v>
      </c>
      <c r="C71" s="5" t="s">
        <v>288</v>
      </c>
      <c r="D71" s="5" t="s">
        <v>791</v>
      </c>
      <c r="E71" s="5" t="s">
        <v>792</v>
      </c>
      <c r="F71" s="5" t="s">
        <v>1059</v>
      </c>
      <c r="G71" s="5" t="s">
        <v>1051</v>
      </c>
      <c r="H71" s="5" t="s">
        <v>794</v>
      </c>
      <c r="I71" s="5" t="s">
        <v>1132</v>
      </c>
      <c r="J71" s="5"/>
      <c r="K71" s="54"/>
      <c r="L71" s="54">
        <v>2</v>
      </c>
      <c r="M71" s="54" t="s">
        <v>523</v>
      </c>
    </row>
    <row r="72" spans="1:13" ht="43.5" customHeight="1" x14ac:dyDescent="0.35">
      <c r="A72" s="5" t="s">
        <v>295</v>
      </c>
      <c r="B72" s="5" t="s">
        <v>281</v>
      </c>
      <c r="C72" s="5" t="s">
        <v>294</v>
      </c>
      <c r="D72" s="5" t="s">
        <v>801</v>
      </c>
      <c r="E72" s="5" t="s">
        <v>802</v>
      </c>
      <c r="F72" s="5" t="s">
        <v>1050</v>
      </c>
      <c r="G72" s="5" t="s">
        <v>1051</v>
      </c>
      <c r="H72" s="5" t="s">
        <v>804</v>
      </c>
      <c r="I72" s="5" t="s">
        <v>1133</v>
      </c>
      <c r="J72" s="5"/>
      <c r="K72" s="54"/>
      <c r="L72" s="54">
        <v>1</v>
      </c>
      <c r="M72" s="54" t="s">
        <v>523</v>
      </c>
    </row>
    <row r="73" spans="1:13" ht="58" customHeight="1" x14ac:dyDescent="0.35">
      <c r="A73" s="5" t="s">
        <v>295</v>
      </c>
      <c r="B73" s="5" t="s">
        <v>281</v>
      </c>
      <c r="C73" s="5" t="s">
        <v>294</v>
      </c>
      <c r="D73" s="5" t="s">
        <v>791</v>
      </c>
      <c r="E73" s="5" t="s">
        <v>792</v>
      </c>
      <c r="F73" s="5" t="s">
        <v>1059</v>
      </c>
      <c r="G73" s="5" t="s">
        <v>1051</v>
      </c>
      <c r="H73" s="5" t="s">
        <v>794</v>
      </c>
      <c r="I73" s="5" t="s">
        <v>1132</v>
      </c>
      <c r="J73" s="5"/>
      <c r="K73" s="54"/>
      <c r="L73" s="54">
        <v>2</v>
      </c>
      <c r="M73" s="54" t="s">
        <v>523</v>
      </c>
    </row>
    <row r="74" spans="1:13" ht="43.5" customHeight="1" x14ac:dyDescent="0.35">
      <c r="A74" s="5" t="s">
        <v>301</v>
      </c>
      <c r="B74" s="5" t="s">
        <v>281</v>
      </c>
      <c r="C74" s="5" t="s">
        <v>300</v>
      </c>
      <c r="D74" s="5" t="s">
        <v>806</v>
      </c>
      <c r="E74" s="5" t="s">
        <v>807</v>
      </c>
      <c r="F74" s="5" t="s">
        <v>1050</v>
      </c>
      <c r="G74" s="5" t="s">
        <v>1051</v>
      </c>
      <c r="H74" s="5" t="s">
        <v>809</v>
      </c>
      <c r="I74" s="5" t="s">
        <v>1135</v>
      </c>
      <c r="J74" s="5"/>
      <c r="K74" s="54"/>
      <c r="L74" s="54">
        <v>1</v>
      </c>
      <c r="M74" s="54" t="s">
        <v>523</v>
      </c>
    </row>
    <row r="75" spans="1:13" ht="43.5" customHeight="1" x14ac:dyDescent="0.35">
      <c r="A75" s="5" t="s">
        <v>301</v>
      </c>
      <c r="B75" s="5" t="s">
        <v>281</v>
      </c>
      <c r="C75" s="5" t="s">
        <v>300</v>
      </c>
      <c r="D75" s="5" t="s">
        <v>811</v>
      </c>
      <c r="E75" s="5" t="s">
        <v>812</v>
      </c>
      <c r="F75" s="5" t="s">
        <v>1059</v>
      </c>
      <c r="G75" s="5" t="s">
        <v>1051</v>
      </c>
      <c r="H75" s="5" t="s">
        <v>814</v>
      </c>
      <c r="I75" s="5" t="s">
        <v>1136</v>
      </c>
      <c r="J75" s="5"/>
      <c r="K75" s="54"/>
      <c r="L75" s="54">
        <v>2</v>
      </c>
      <c r="M75" s="54" t="s">
        <v>523</v>
      </c>
    </row>
    <row r="76" spans="1:13" ht="43.5" customHeight="1" x14ac:dyDescent="0.35">
      <c r="A76" s="5" t="s">
        <v>308</v>
      </c>
      <c r="B76" s="5" t="s">
        <v>306</v>
      </c>
      <c r="C76" s="5" t="s">
        <v>307</v>
      </c>
      <c r="D76" s="5" t="s">
        <v>696</v>
      </c>
      <c r="E76" s="5" t="s">
        <v>697</v>
      </c>
      <c r="F76" s="5" t="s">
        <v>1050</v>
      </c>
      <c r="G76" s="5" t="s">
        <v>1051</v>
      </c>
      <c r="H76" s="5" t="s">
        <v>699</v>
      </c>
      <c r="I76" s="5" t="s">
        <v>1063</v>
      </c>
      <c r="J76" s="5"/>
      <c r="K76" s="54"/>
      <c r="L76" s="54">
        <v>1</v>
      </c>
      <c r="M76" s="54" t="s">
        <v>523</v>
      </c>
    </row>
    <row r="77" spans="1:13" ht="43.5" customHeight="1" x14ac:dyDescent="0.35">
      <c r="A77" s="5" t="s">
        <v>308</v>
      </c>
      <c r="B77" s="5" t="s">
        <v>306</v>
      </c>
      <c r="C77" s="5" t="s">
        <v>307</v>
      </c>
      <c r="D77" s="5" t="s">
        <v>816</v>
      </c>
      <c r="E77" s="5" t="s">
        <v>817</v>
      </c>
      <c r="F77" s="5" t="s">
        <v>1059</v>
      </c>
      <c r="G77" s="5" t="s">
        <v>1051</v>
      </c>
      <c r="H77" s="5" t="s">
        <v>819</v>
      </c>
      <c r="I77" s="5" t="s">
        <v>1137</v>
      </c>
      <c r="J77" s="5"/>
      <c r="K77" s="54"/>
      <c r="L77" s="54">
        <v>2</v>
      </c>
      <c r="M77" s="54" t="s">
        <v>523</v>
      </c>
    </row>
    <row r="78" spans="1:13" ht="58" customHeight="1" x14ac:dyDescent="0.35">
      <c r="A78" s="5" t="s">
        <v>313</v>
      </c>
      <c r="B78" s="5" t="s">
        <v>306</v>
      </c>
      <c r="C78" s="5" t="s">
        <v>312</v>
      </c>
      <c r="D78" s="5" t="s">
        <v>811</v>
      </c>
      <c r="E78" s="5" t="s">
        <v>812</v>
      </c>
      <c r="F78" s="5" t="s">
        <v>1050</v>
      </c>
      <c r="G78" s="5" t="s">
        <v>1051</v>
      </c>
      <c r="H78" s="5" t="s">
        <v>814</v>
      </c>
      <c r="I78" s="5" t="s">
        <v>1136</v>
      </c>
      <c r="J78" s="5"/>
      <c r="K78" s="54"/>
      <c r="L78" s="54">
        <v>1</v>
      </c>
      <c r="M78" s="54" t="s">
        <v>523</v>
      </c>
    </row>
    <row r="79" spans="1:13" ht="43.5" customHeight="1" x14ac:dyDescent="0.35">
      <c r="A79" s="5" t="s">
        <v>313</v>
      </c>
      <c r="B79" s="5" t="s">
        <v>306</v>
      </c>
      <c r="C79" s="5" t="s">
        <v>312</v>
      </c>
      <c r="D79" s="5" t="s">
        <v>821</v>
      </c>
      <c r="E79" s="5" t="s">
        <v>822</v>
      </c>
      <c r="F79" s="5" t="s">
        <v>1059</v>
      </c>
      <c r="G79" s="5" t="s">
        <v>1051</v>
      </c>
      <c r="H79" s="5" t="s">
        <v>824</v>
      </c>
      <c r="I79" s="5" t="s">
        <v>1138</v>
      </c>
      <c r="J79" s="5"/>
      <c r="K79" s="54"/>
      <c r="L79" s="54">
        <v>2</v>
      </c>
      <c r="M79" s="54" t="s">
        <v>523</v>
      </c>
    </row>
    <row r="80" spans="1:13" ht="43.5" customHeight="1" x14ac:dyDescent="0.35">
      <c r="A80" s="5" t="s">
        <v>319</v>
      </c>
      <c r="B80" s="5" t="s">
        <v>306</v>
      </c>
      <c r="C80" s="5" t="s">
        <v>318</v>
      </c>
      <c r="D80" s="5" t="s">
        <v>816</v>
      </c>
      <c r="E80" s="5" t="s">
        <v>817</v>
      </c>
      <c r="F80" s="5" t="s">
        <v>1050</v>
      </c>
      <c r="G80" s="5" t="s">
        <v>1051</v>
      </c>
      <c r="H80" s="5" t="s">
        <v>819</v>
      </c>
      <c r="I80" s="5" t="s">
        <v>1137</v>
      </c>
      <c r="J80" s="5"/>
      <c r="K80" s="54"/>
      <c r="L80" s="54">
        <v>1</v>
      </c>
      <c r="M80" s="54" t="s">
        <v>523</v>
      </c>
    </row>
    <row r="81" spans="1:13" ht="58" customHeight="1" x14ac:dyDescent="0.35">
      <c r="A81" s="5" t="s">
        <v>319</v>
      </c>
      <c r="B81" s="5" t="s">
        <v>306</v>
      </c>
      <c r="C81" s="5" t="s">
        <v>318</v>
      </c>
      <c r="D81" s="5" t="s">
        <v>696</v>
      </c>
      <c r="E81" s="5" t="s">
        <v>697</v>
      </c>
      <c r="F81" s="5" t="s">
        <v>1059</v>
      </c>
      <c r="G81" s="5" t="s">
        <v>1051</v>
      </c>
      <c r="H81" s="5" t="s">
        <v>699</v>
      </c>
      <c r="I81" s="5" t="s">
        <v>1063</v>
      </c>
      <c r="J81" s="5"/>
      <c r="K81" s="54"/>
      <c r="L81" s="54">
        <v>2</v>
      </c>
      <c r="M81" s="54" t="s">
        <v>523</v>
      </c>
    </row>
    <row r="82" spans="1:13" ht="58" customHeight="1" x14ac:dyDescent="0.35">
      <c r="A82" s="5" t="s">
        <v>325</v>
      </c>
      <c r="B82" s="5" t="s">
        <v>306</v>
      </c>
      <c r="C82" s="5" t="s">
        <v>324</v>
      </c>
      <c r="D82" s="5" t="s">
        <v>821</v>
      </c>
      <c r="E82" s="5" t="s">
        <v>822</v>
      </c>
      <c r="F82" s="5" t="s">
        <v>1050</v>
      </c>
      <c r="G82" s="5" t="s">
        <v>1051</v>
      </c>
      <c r="H82" s="5" t="s">
        <v>824</v>
      </c>
      <c r="I82" s="5" t="s">
        <v>1138</v>
      </c>
      <c r="J82" s="5"/>
      <c r="K82" s="54"/>
      <c r="L82" s="54">
        <v>1</v>
      </c>
      <c r="M82" s="54" t="s">
        <v>523</v>
      </c>
    </row>
    <row r="83" spans="1:13" ht="43.5" customHeight="1" x14ac:dyDescent="0.35">
      <c r="A83" s="5" t="s">
        <v>325</v>
      </c>
      <c r="B83" s="5" t="s">
        <v>306</v>
      </c>
      <c r="C83" s="5" t="s">
        <v>324</v>
      </c>
      <c r="D83" s="5" t="s">
        <v>811</v>
      </c>
      <c r="E83" s="5" t="s">
        <v>812</v>
      </c>
      <c r="F83" s="5" t="s">
        <v>1059</v>
      </c>
      <c r="G83" s="5" t="s">
        <v>1051</v>
      </c>
      <c r="H83" s="5" t="s">
        <v>814</v>
      </c>
      <c r="I83" s="5" t="s">
        <v>1136</v>
      </c>
      <c r="J83" s="5"/>
      <c r="K83" s="54"/>
      <c r="L83" s="54">
        <v>2</v>
      </c>
      <c r="M83" s="54" t="s">
        <v>523</v>
      </c>
    </row>
    <row r="84" spans="1:13" ht="58" customHeight="1" x14ac:dyDescent="0.35">
      <c r="A84" s="5" t="s">
        <v>332</v>
      </c>
      <c r="B84" s="5" t="s">
        <v>330</v>
      </c>
      <c r="C84" s="5" t="s">
        <v>331</v>
      </c>
      <c r="D84" s="5" t="s">
        <v>826</v>
      </c>
      <c r="E84" s="5" t="s">
        <v>827</v>
      </c>
      <c r="F84" s="5" t="s">
        <v>1050</v>
      </c>
      <c r="G84" s="5" t="s">
        <v>1051</v>
      </c>
      <c r="H84" s="5" t="s">
        <v>829</v>
      </c>
      <c r="I84" s="5" t="s">
        <v>1079</v>
      </c>
      <c r="J84" s="5"/>
      <c r="K84" s="54"/>
      <c r="L84" s="54">
        <v>1</v>
      </c>
      <c r="M84" s="54" t="s">
        <v>523</v>
      </c>
    </row>
    <row r="85" spans="1:13" ht="43.5" customHeight="1" x14ac:dyDescent="0.35">
      <c r="A85" s="5" t="s">
        <v>332</v>
      </c>
      <c r="B85" s="5" t="s">
        <v>330</v>
      </c>
      <c r="C85" s="5" t="s">
        <v>331</v>
      </c>
      <c r="D85" s="5" t="s">
        <v>836</v>
      </c>
      <c r="E85" s="5" t="s">
        <v>837</v>
      </c>
      <c r="F85" s="5" t="s">
        <v>1055</v>
      </c>
      <c r="G85" s="5" t="s">
        <v>1051</v>
      </c>
      <c r="H85" s="5" t="s">
        <v>839</v>
      </c>
      <c r="I85" s="5" t="s">
        <v>1125</v>
      </c>
      <c r="J85" s="5" t="s">
        <v>1139</v>
      </c>
      <c r="K85" s="54"/>
      <c r="L85" s="54">
        <v>3</v>
      </c>
      <c r="M85" s="54" t="s">
        <v>517</v>
      </c>
    </row>
    <row r="86" spans="1:13" ht="58" customHeight="1" x14ac:dyDescent="0.35">
      <c r="A86" s="5" t="s">
        <v>338</v>
      </c>
      <c r="B86" s="5" t="s">
        <v>330</v>
      </c>
      <c r="C86" s="5" t="s">
        <v>337</v>
      </c>
      <c r="D86" s="5" t="s">
        <v>831</v>
      </c>
      <c r="E86" s="5" t="s">
        <v>832</v>
      </c>
      <c r="F86" s="5" t="s">
        <v>1059</v>
      </c>
      <c r="G86" s="5" t="s">
        <v>1051</v>
      </c>
      <c r="H86" s="5" t="s">
        <v>834</v>
      </c>
      <c r="I86" s="5" t="s">
        <v>1112</v>
      </c>
      <c r="J86" s="5"/>
      <c r="K86" s="54"/>
      <c r="L86" s="54">
        <v>2</v>
      </c>
      <c r="M86" s="54" t="s">
        <v>523</v>
      </c>
    </row>
    <row r="87" spans="1:13" ht="58" customHeight="1" x14ac:dyDescent="0.35">
      <c r="A87" s="5" t="s">
        <v>338</v>
      </c>
      <c r="B87" s="5" t="s">
        <v>330</v>
      </c>
      <c r="C87" s="5" t="s">
        <v>337</v>
      </c>
      <c r="D87" s="5" t="s">
        <v>826</v>
      </c>
      <c r="E87" s="5" t="s">
        <v>827</v>
      </c>
      <c r="F87" s="5" t="s">
        <v>1059</v>
      </c>
      <c r="G87" s="5" t="s">
        <v>1051</v>
      </c>
      <c r="H87" s="5" t="s">
        <v>829</v>
      </c>
      <c r="I87" s="5" t="s">
        <v>1079</v>
      </c>
      <c r="J87" s="5"/>
      <c r="K87" s="54"/>
      <c r="L87" s="54">
        <v>2</v>
      </c>
      <c r="M87" s="54" t="s">
        <v>523</v>
      </c>
    </row>
    <row r="88" spans="1:13" ht="43.5" customHeight="1" x14ac:dyDescent="0.35">
      <c r="A88" s="5" t="s">
        <v>343</v>
      </c>
      <c r="B88" s="5" t="s">
        <v>330</v>
      </c>
      <c r="C88" s="5" t="s">
        <v>342</v>
      </c>
      <c r="D88" s="5" t="s">
        <v>841</v>
      </c>
      <c r="E88" s="5" t="s">
        <v>842</v>
      </c>
      <c r="F88" s="5" t="s">
        <v>1050</v>
      </c>
      <c r="G88" s="5" t="s">
        <v>1051</v>
      </c>
      <c r="H88" s="5" t="s">
        <v>844</v>
      </c>
      <c r="I88" s="5" t="s">
        <v>1140</v>
      </c>
      <c r="J88" s="5"/>
      <c r="K88" s="54"/>
      <c r="L88" s="54">
        <v>1</v>
      </c>
      <c r="M88" s="54" t="s">
        <v>523</v>
      </c>
    </row>
    <row r="89" spans="1:13" ht="58" customHeight="1" x14ac:dyDescent="0.35">
      <c r="A89" s="5" t="s">
        <v>343</v>
      </c>
      <c r="B89" s="5" t="s">
        <v>330</v>
      </c>
      <c r="C89" s="5" t="s">
        <v>342</v>
      </c>
      <c r="D89" s="5" t="s">
        <v>826</v>
      </c>
      <c r="E89" s="5" t="s">
        <v>827</v>
      </c>
      <c r="F89" s="5" t="s">
        <v>1059</v>
      </c>
      <c r="G89" s="5" t="s">
        <v>1051</v>
      </c>
      <c r="H89" s="5" t="s">
        <v>829</v>
      </c>
      <c r="I89" s="5" t="s">
        <v>1079</v>
      </c>
      <c r="J89" s="5"/>
      <c r="K89" s="54"/>
      <c r="L89" s="54">
        <v>2</v>
      </c>
      <c r="M89" s="54" t="s">
        <v>523</v>
      </c>
    </row>
    <row r="90" spans="1:13" ht="43.5" customHeight="1" x14ac:dyDescent="0.35">
      <c r="A90" s="5" t="s">
        <v>349</v>
      </c>
      <c r="B90" s="5" t="s">
        <v>330</v>
      </c>
      <c r="C90" s="5" t="s">
        <v>348</v>
      </c>
      <c r="D90" s="5" t="s">
        <v>836</v>
      </c>
      <c r="E90" s="5" t="s">
        <v>837</v>
      </c>
      <c r="F90" s="5" t="s">
        <v>1050</v>
      </c>
      <c r="G90" s="5" t="s">
        <v>1051</v>
      </c>
      <c r="H90" s="5" t="s">
        <v>839</v>
      </c>
      <c r="I90" s="5" t="s">
        <v>1125</v>
      </c>
      <c r="J90" s="5"/>
      <c r="K90" s="54"/>
      <c r="L90" s="54">
        <v>1</v>
      </c>
      <c r="M90" s="54" t="s">
        <v>517</v>
      </c>
    </row>
    <row r="91" spans="1:13" ht="58" customHeight="1" x14ac:dyDescent="0.35">
      <c r="A91" s="5" t="s">
        <v>349</v>
      </c>
      <c r="B91" s="5" t="s">
        <v>330</v>
      </c>
      <c r="C91" s="5" t="s">
        <v>348</v>
      </c>
      <c r="D91" s="5" t="s">
        <v>766</v>
      </c>
      <c r="E91" s="5" t="s">
        <v>767</v>
      </c>
      <c r="F91" s="5" t="s">
        <v>1055</v>
      </c>
      <c r="G91" s="5" t="s">
        <v>1051</v>
      </c>
      <c r="H91" s="5" t="s">
        <v>769</v>
      </c>
      <c r="I91" s="5" t="s">
        <v>1095</v>
      </c>
      <c r="J91" s="5" t="s">
        <v>1141</v>
      </c>
      <c r="K91" s="54"/>
      <c r="L91" s="54">
        <v>3</v>
      </c>
      <c r="M91" s="54" t="s">
        <v>517</v>
      </c>
    </row>
    <row r="92" spans="1:13" ht="43.5" customHeight="1" x14ac:dyDescent="0.35">
      <c r="A92" s="5" t="s">
        <v>355</v>
      </c>
      <c r="B92" s="5" t="s">
        <v>330</v>
      </c>
      <c r="C92" s="5" t="s">
        <v>354</v>
      </c>
      <c r="D92" s="5" t="s">
        <v>836</v>
      </c>
      <c r="E92" s="5" t="s">
        <v>837</v>
      </c>
      <c r="F92" s="5" t="s">
        <v>1050</v>
      </c>
      <c r="G92" s="5" t="s">
        <v>1051</v>
      </c>
      <c r="H92" s="5" t="s">
        <v>839</v>
      </c>
      <c r="I92" s="5" t="s">
        <v>1125</v>
      </c>
      <c r="J92" s="5"/>
      <c r="K92" s="54"/>
      <c r="L92" s="54">
        <v>1</v>
      </c>
      <c r="M92" s="54" t="s">
        <v>517</v>
      </c>
    </row>
    <row r="93" spans="1:13" ht="58" customHeight="1" x14ac:dyDescent="0.35">
      <c r="A93" s="5" t="s">
        <v>355</v>
      </c>
      <c r="B93" s="5" t="s">
        <v>330</v>
      </c>
      <c r="C93" s="5" t="s">
        <v>354</v>
      </c>
      <c r="D93" s="5" t="s">
        <v>766</v>
      </c>
      <c r="E93" s="5" t="s">
        <v>767</v>
      </c>
      <c r="F93" s="5" t="s">
        <v>1059</v>
      </c>
      <c r="G93" s="5" t="s">
        <v>1051</v>
      </c>
      <c r="H93" s="5" t="s">
        <v>769</v>
      </c>
      <c r="I93" s="5" t="s">
        <v>1095</v>
      </c>
      <c r="J93" s="5"/>
      <c r="K93" s="54"/>
      <c r="L93" s="54">
        <v>2</v>
      </c>
      <c r="M93" s="54" t="s">
        <v>517</v>
      </c>
    </row>
    <row r="94" spans="1:13" ht="43.5" customHeight="1" x14ac:dyDescent="0.35">
      <c r="A94" s="5" t="s">
        <v>360</v>
      </c>
      <c r="B94" s="5" t="s">
        <v>358</v>
      </c>
      <c r="C94" s="5" t="s">
        <v>359</v>
      </c>
      <c r="D94" s="5" t="s">
        <v>846</v>
      </c>
      <c r="E94" s="5" t="s">
        <v>847</v>
      </c>
      <c r="F94" s="5" t="s">
        <v>1050</v>
      </c>
      <c r="G94" s="5" t="s">
        <v>1051</v>
      </c>
      <c r="H94" s="5" t="s">
        <v>849</v>
      </c>
      <c r="I94" s="5" t="s">
        <v>1142</v>
      </c>
      <c r="J94" s="5"/>
      <c r="K94" s="54"/>
      <c r="L94" s="54">
        <v>1</v>
      </c>
      <c r="M94" s="54" t="s">
        <v>523</v>
      </c>
    </row>
    <row r="95" spans="1:13" ht="58" customHeight="1" x14ac:dyDescent="0.35">
      <c r="A95" s="5" t="s">
        <v>360</v>
      </c>
      <c r="B95" s="5" t="s">
        <v>358</v>
      </c>
      <c r="C95" s="5" t="s">
        <v>359</v>
      </c>
      <c r="D95" s="5" t="s">
        <v>791</v>
      </c>
      <c r="E95" s="5" t="s">
        <v>792</v>
      </c>
      <c r="F95" s="5" t="s">
        <v>1055</v>
      </c>
      <c r="G95" s="5" t="s">
        <v>1051</v>
      </c>
      <c r="H95" s="5" t="s">
        <v>794</v>
      </c>
      <c r="I95" s="5" t="s">
        <v>1132</v>
      </c>
      <c r="J95" s="5" t="s">
        <v>1143</v>
      </c>
      <c r="K95" s="54"/>
      <c r="L95" s="54">
        <v>3</v>
      </c>
      <c r="M95" s="54" t="s">
        <v>523</v>
      </c>
    </row>
    <row r="96" spans="1:13" ht="58" customHeight="1" x14ac:dyDescent="0.35">
      <c r="A96" t="s">
        <v>360</v>
      </c>
      <c r="B96" t="s">
        <v>358</v>
      </c>
      <c r="C96" t="s">
        <v>359</v>
      </c>
      <c r="D96" t="s">
        <v>893</v>
      </c>
      <c r="E96" t="s">
        <v>894</v>
      </c>
      <c r="F96" t="s">
        <v>1055</v>
      </c>
      <c r="G96" t="s">
        <v>1105</v>
      </c>
      <c r="H96" t="s">
        <v>1144</v>
      </c>
      <c r="I96" t="s">
        <v>1145</v>
      </c>
      <c r="J96" t="s">
        <v>1146</v>
      </c>
      <c r="K96" s="54"/>
      <c r="L96" s="54">
        <v>3</v>
      </c>
      <c r="M96" s="54" t="s">
        <v>523</v>
      </c>
    </row>
    <row r="97" spans="1:13" ht="43.5" customHeight="1" x14ac:dyDescent="0.35">
      <c r="A97" s="5" t="s">
        <v>367</v>
      </c>
      <c r="B97" s="5" t="s">
        <v>358</v>
      </c>
      <c r="C97" s="5" t="s">
        <v>366</v>
      </c>
      <c r="D97" s="5" t="s">
        <v>846</v>
      </c>
      <c r="E97" s="5" t="s">
        <v>847</v>
      </c>
      <c r="F97" s="5" t="s">
        <v>1050</v>
      </c>
      <c r="G97" s="5" t="s">
        <v>1051</v>
      </c>
      <c r="H97" s="5" t="s">
        <v>849</v>
      </c>
      <c r="I97" s="5" t="s">
        <v>1142</v>
      </c>
      <c r="J97" s="5"/>
      <c r="K97" s="54"/>
      <c r="L97" s="54">
        <v>1</v>
      </c>
      <c r="M97" s="54" t="s">
        <v>523</v>
      </c>
    </row>
    <row r="98" spans="1:13" ht="58" customHeight="1" x14ac:dyDescent="0.35">
      <c r="A98" s="5" t="s">
        <v>367</v>
      </c>
      <c r="B98" s="5" t="s">
        <v>358</v>
      </c>
      <c r="C98" s="5" t="s">
        <v>366</v>
      </c>
      <c r="D98" s="5" t="s">
        <v>726</v>
      </c>
      <c r="E98" s="5" t="s">
        <v>727</v>
      </c>
      <c r="F98" s="5" t="s">
        <v>1059</v>
      </c>
      <c r="G98" s="5" t="s">
        <v>1051</v>
      </c>
      <c r="H98" s="5" t="s">
        <v>729</v>
      </c>
      <c r="I98" s="5" t="s">
        <v>1109</v>
      </c>
      <c r="J98" s="5"/>
      <c r="K98" s="54"/>
      <c r="L98" s="54">
        <v>2</v>
      </c>
      <c r="M98" s="54" t="s">
        <v>523</v>
      </c>
    </row>
    <row r="99" spans="1:13" ht="58" customHeight="1" x14ac:dyDescent="0.35">
      <c r="A99" s="5" t="s">
        <v>367</v>
      </c>
      <c r="B99" s="5" t="s">
        <v>358</v>
      </c>
      <c r="C99" s="5" t="s">
        <v>366</v>
      </c>
      <c r="D99" s="5" t="s">
        <v>741</v>
      </c>
      <c r="E99" s="5" t="s">
        <v>742</v>
      </c>
      <c r="F99" s="5" t="s">
        <v>1059</v>
      </c>
      <c r="G99" s="5" t="s">
        <v>1051</v>
      </c>
      <c r="H99" s="5" t="s">
        <v>744</v>
      </c>
      <c r="I99" s="5" t="s">
        <v>1104</v>
      </c>
      <c r="J99" s="5"/>
      <c r="K99" s="54"/>
      <c r="L99" s="54">
        <v>2</v>
      </c>
      <c r="M99" s="54" t="s">
        <v>523</v>
      </c>
    </row>
    <row r="100" spans="1:13" ht="43.5" customHeight="1" x14ac:dyDescent="0.35">
      <c r="A100" t="s">
        <v>367</v>
      </c>
      <c r="B100" t="s">
        <v>358</v>
      </c>
      <c r="C100" t="s">
        <v>366</v>
      </c>
      <c r="D100" t="s">
        <v>893</v>
      </c>
      <c r="E100" t="s">
        <v>894</v>
      </c>
      <c r="F100" t="s">
        <v>1055</v>
      </c>
      <c r="G100" t="s">
        <v>1105</v>
      </c>
      <c r="H100" t="s">
        <v>1147</v>
      </c>
      <c r="I100" t="s">
        <v>1148</v>
      </c>
      <c r="J100" t="s">
        <v>1149</v>
      </c>
      <c r="K100" s="54"/>
      <c r="L100" s="54">
        <v>3</v>
      </c>
      <c r="M100" s="54" t="s">
        <v>523</v>
      </c>
    </row>
    <row r="101" spans="1:13" ht="43.5" customHeight="1" x14ac:dyDescent="0.35">
      <c r="A101" s="5" t="s">
        <v>373</v>
      </c>
      <c r="B101" s="5" t="s">
        <v>358</v>
      </c>
      <c r="C101" s="5" t="s">
        <v>372</v>
      </c>
      <c r="D101" s="5" t="s">
        <v>676</v>
      </c>
      <c r="E101" s="5" t="s">
        <v>677</v>
      </c>
      <c r="F101" s="5" t="s">
        <v>1059</v>
      </c>
      <c r="G101" s="5" t="s">
        <v>1051</v>
      </c>
      <c r="H101" s="5" t="s">
        <v>679</v>
      </c>
      <c r="I101" s="5" t="s">
        <v>1064</v>
      </c>
      <c r="J101" s="5"/>
      <c r="K101" s="54"/>
      <c r="L101" s="54">
        <v>2</v>
      </c>
      <c r="M101" s="54" t="s">
        <v>523</v>
      </c>
    </row>
    <row r="102" spans="1:13" ht="58" customHeight="1" x14ac:dyDescent="0.35">
      <c r="A102" s="5" t="s">
        <v>373</v>
      </c>
      <c r="B102" s="5" t="s">
        <v>358</v>
      </c>
      <c r="C102" s="5" t="s">
        <v>372</v>
      </c>
      <c r="D102" s="5" t="s">
        <v>791</v>
      </c>
      <c r="E102" s="5" t="s">
        <v>792</v>
      </c>
      <c r="F102" s="5" t="s">
        <v>1059</v>
      </c>
      <c r="G102" s="5" t="s">
        <v>1051</v>
      </c>
      <c r="H102" s="5" t="s">
        <v>794</v>
      </c>
      <c r="I102" s="5" t="s">
        <v>1132</v>
      </c>
      <c r="J102" s="5"/>
      <c r="K102" s="54"/>
      <c r="L102" s="54">
        <v>2</v>
      </c>
      <c r="M102" s="54" t="s">
        <v>523</v>
      </c>
    </row>
    <row r="103" spans="1:13" ht="43.5" customHeight="1" x14ac:dyDescent="0.35">
      <c r="A103" s="5" t="s">
        <v>373</v>
      </c>
      <c r="B103" s="5" t="s">
        <v>358</v>
      </c>
      <c r="C103" s="5" t="s">
        <v>372</v>
      </c>
      <c r="D103" s="5" t="s">
        <v>661</v>
      </c>
      <c r="E103" s="5" t="s">
        <v>662</v>
      </c>
      <c r="F103" s="5" t="s">
        <v>1055</v>
      </c>
      <c r="G103" s="5" t="s">
        <v>1051</v>
      </c>
      <c r="H103" s="5" t="s">
        <v>664</v>
      </c>
      <c r="I103" s="5" t="s">
        <v>1054</v>
      </c>
      <c r="J103" s="5" t="s">
        <v>1150</v>
      </c>
      <c r="K103" s="54"/>
      <c r="L103" s="54">
        <v>3</v>
      </c>
      <c r="M103" s="54" t="s">
        <v>523</v>
      </c>
    </row>
    <row r="104" spans="1:13" ht="43.5" customHeight="1" x14ac:dyDescent="0.35">
      <c r="A104" s="49" t="s">
        <v>378</v>
      </c>
      <c r="B104" s="49" t="s">
        <v>358</v>
      </c>
      <c r="C104" s="49" t="s">
        <v>377</v>
      </c>
      <c r="D104" s="49" t="s">
        <v>856</v>
      </c>
      <c r="E104" s="49" t="s">
        <v>857</v>
      </c>
      <c r="F104" s="49" t="s">
        <v>1050</v>
      </c>
      <c r="G104" s="49" t="s">
        <v>1051</v>
      </c>
      <c r="H104" s="49" t="s">
        <v>859</v>
      </c>
      <c r="I104" s="49" t="s">
        <v>1151</v>
      </c>
      <c r="J104" s="49"/>
      <c r="K104" s="54"/>
      <c r="L104" s="54">
        <v>1</v>
      </c>
      <c r="M104" s="54" t="s">
        <v>523</v>
      </c>
    </row>
    <row r="105" spans="1:13" ht="43.5" customHeight="1" x14ac:dyDescent="0.35">
      <c r="A105" s="50" t="s">
        <v>378</v>
      </c>
      <c r="B105" s="50" t="s">
        <v>358</v>
      </c>
      <c r="C105" s="50" t="s">
        <v>377</v>
      </c>
      <c r="D105" s="50" t="s">
        <v>821</v>
      </c>
      <c r="E105" s="50" t="s">
        <v>822</v>
      </c>
      <c r="F105" s="50" t="s">
        <v>1059</v>
      </c>
      <c r="G105" s="50" t="s">
        <v>1051</v>
      </c>
      <c r="H105" s="50" t="s">
        <v>824</v>
      </c>
      <c r="I105" s="50" t="s">
        <v>1138</v>
      </c>
      <c r="J105" s="50" t="s">
        <v>1152</v>
      </c>
      <c r="K105" s="54"/>
      <c r="L105" s="54">
        <v>2</v>
      </c>
      <c r="M105" s="54" t="s">
        <v>523</v>
      </c>
    </row>
    <row r="106" spans="1:13" ht="43.5" customHeight="1" x14ac:dyDescent="0.35">
      <c r="A106" s="49" t="s">
        <v>384</v>
      </c>
      <c r="B106" s="49" t="s">
        <v>358</v>
      </c>
      <c r="C106" s="49" t="s">
        <v>383</v>
      </c>
      <c r="D106" s="49" t="s">
        <v>851</v>
      </c>
      <c r="E106" s="49" t="s">
        <v>852</v>
      </c>
      <c r="F106" s="49" t="s">
        <v>1050</v>
      </c>
      <c r="G106" s="49" t="s">
        <v>1051</v>
      </c>
      <c r="H106" s="49" t="s">
        <v>854</v>
      </c>
      <c r="I106" s="49" t="s">
        <v>1153</v>
      </c>
      <c r="J106" s="49"/>
      <c r="K106" s="54"/>
      <c r="L106" s="54">
        <v>1</v>
      </c>
      <c r="M106" s="54" t="s">
        <v>523</v>
      </c>
    </row>
    <row r="107" spans="1:13" ht="43.5" customHeight="1" x14ac:dyDescent="0.35">
      <c r="A107" s="50" t="s">
        <v>384</v>
      </c>
      <c r="B107" s="50" t="s">
        <v>358</v>
      </c>
      <c r="C107" s="50" t="s">
        <v>383</v>
      </c>
      <c r="D107" s="50" t="s">
        <v>846</v>
      </c>
      <c r="E107" s="50" t="s">
        <v>847</v>
      </c>
      <c r="F107" s="50" t="s">
        <v>1059</v>
      </c>
      <c r="G107" s="50" t="s">
        <v>1051</v>
      </c>
      <c r="H107" s="50" t="s">
        <v>849</v>
      </c>
      <c r="I107" s="50" t="s">
        <v>1142</v>
      </c>
      <c r="J107" s="50"/>
      <c r="K107" s="54"/>
      <c r="L107" s="54">
        <v>2</v>
      </c>
      <c r="M107" s="54" t="s">
        <v>523</v>
      </c>
    </row>
    <row r="108" spans="1:13" ht="43.5" customHeight="1" x14ac:dyDescent="0.35">
      <c r="A108" s="49" t="s">
        <v>123</v>
      </c>
      <c r="B108" s="49" t="s">
        <v>108</v>
      </c>
      <c r="C108" s="49" t="s">
        <v>122</v>
      </c>
      <c r="D108" s="49" t="s">
        <v>861</v>
      </c>
      <c r="E108" s="49" t="s">
        <v>862</v>
      </c>
      <c r="F108" s="49" t="s">
        <v>1055</v>
      </c>
      <c r="G108" s="49" t="s">
        <v>1154</v>
      </c>
      <c r="H108" s="49" t="s">
        <v>864</v>
      </c>
      <c r="I108" s="49" t="s">
        <v>1155</v>
      </c>
      <c r="J108" s="49" t="s">
        <v>1156</v>
      </c>
      <c r="K108" s="54"/>
      <c r="L108" s="54">
        <v>3</v>
      </c>
      <c r="M108" s="54" t="s">
        <v>523</v>
      </c>
    </row>
    <row r="109" spans="1:13" ht="43.5" customHeight="1" x14ac:dyDescent="0.35">
      <c r="A109" s="50" t="s">
        <v>150</v>
      </c>
      <c r="B109" s="50" t="s">
        <v>141</v>
      </c>
      <c r="C109" s="50" t="s">
        <v>149</v>
      </c>
      <c r="D109" s="50" t="s">
        <v>861</v>
      </c>
      <c r="E109" s="50" t="s">
        <v>862</v>
      </c>
      <c r="F109" s="50" t="s">
        <v>1059</v>
      </c>
      <c r="G109" s="50" t="s">
        <v>1154</v>
      </c>
      <c r="H109" s="50" t="s">
        <v>864</v>
      </c>
      <c r="I109" s="50" t="s">
        <v>1157</v>
      </c>
      <c r="J109" s="50" t="s">
        <v>1158</v>
      </c>
      <c r="K109" s="54"/>
      <c r="L109" s="54">
        <v>2</v>
      </c>
      <c r="M109" s="54" t="s">
        <v>523</v>
      </c>
    </row>
    <row r="110" spans="1:13" ht="43.5" customHeight="1" x14ac:dyDescent="0.35">
      <c r="A110" s="49" t="s">
        <v>182</v>
      </c>
      <c r="B110" s="49" t="s">
        <v>174</v>
      </c>
      <c r="C110" s="49" t="s">
        <v>175</v>
      </c>
      <c r="D110" s="49" t="s">
        <v>861</v>
      </c>
      <c r="E110" s="49" t="s">
        <v>862</v>
      </c>
      <c r="F110" s="49" t="s">
        <v>1055</v>
      </c>
      <c r="G110" s="49" t="s">
        <v>1154</v>
      </c>
      <c r="H110" s="49" t="s">
        <v>1159</v>
      </c>
      <c r="I110" s="49" t="s">
        <v>1160</v>
      </c>
      <c r="J110" s="49" t="s">
        <v>1161</v>
      </c>
      <c r="K110" s="54"/>
      <c r="L110" s="54">
        <v>3</v>
      </c>
      <c r="M110" s="54" t="s">
        <v>523</v>
      </c>
    </row>
    <row r="111" spans="1:13" ht="43.5" customHeight="1" x14ac:dyDescent="0.35">
      <c r="A111" s="50" t="s">
        <v>156</v>
      </c>
      <c r="B111" s="50" t="s">
        <v>141</v>
      </c>
      <c r="C111" s="50" t="s">
        <v>155</v>
      </c>
      <c r="D111" s="50" t="s">
        <v>867</v>
      </c>
      <c r="E111" s="50" t="s">
        <v>868</v>
      </c>
      <c r="F111" s="50" t="s">
        <v>1059</v>
      </c>
      <c r="G111" s="50" t="s">
        <v>1051</v>
      </c>
      <c r="H111" s="50" t="s">
        <v>870</v>
      </c>
      <c r="I111" s="50" t="s">
        <v>1162</v>
      </c>
      <c r="J111" s="50" t="s">
        <v>1163</v>
      </c>
      <c r="K111" s="54"/>
      <c r="L111" s="54">
        <v>2</v>
      </c>
      <c r="M111" s="54" t="s">
        <v>517</v>
      </c>
    </row>
    <row r="112" spans="1:13" ht="43.5" customHeight="1" x14ac:dyDescent="0.35">
      <c r="A112" s="49" t="s">
        <v>143</v>
      </c>
      <c r="B112" s="49" t="s">
        <v>141</v>
      </c>
      <c r="C112" s="49" t="s">
        <v>142</v>
      </c>
      <c r="D112" s="49" t="s">
        <v>867</v>
      </c>
      <c r="E112" s="49" t="s">
        <v>868</v>
      </c>
      <c r="F112" s="49" t="s">
        <v>1055</v>
      </c>
      <c r="G112" s="49" t="s">
        <v>1051</v>
      </c>
      <c r="H112" s="49" t="s">
        <v>876</v>
      </c>
      <c r="I112" s="49" t="s">
        <v>1164</v>
      </c>
      <c r="J112" s="49" t="s">
        <v>1165</v>
      </c>
      <c r="K112" s="54"/>
      <c r="L112" s="54">
        <v>3</v>
      </c>
      <c r="M112" s="54" t="s">
        <v>517</v>
      </c>
    </row>
    <row r="113" spans="1:13" ht="43.5" customHeight="1" x14ac:dyDescent="0.35">
      <c r="A113" s="50" t="s">
        <v>378</v>
      </c>
      <c r="B113" s="50" t="s">
        <v>358</v>
      </c>
      <c r="C113" s="50" t="s">
        <v>1166</v>
      </c>
      <c r="D113" s="50" t="s">
        <v>873</v>
      </c>
      <c r="E113" s="50" t="s">
        <v>874</v>
      </c>
      <c r="F113" s="50" t="s">
        <v>1055</v>
      </c>
      <c r="G113" s="50" t="s">
        <v>1167</v>
      </c>
      <c r="H113" s="50" t="s">
        <v>876</v>
      </c>
      <c r="I113" s="50" t="s">
        <v>1168</v>
      </c>
      <c r="J113" s="50" t="s">
        <v>1169</v>
      </c>
      <c r="K113" s="54"/>
      <c r="L113" s="54">
        <v>3</v>
      </c>
      <c r="M113" s="54" t="s">
        <v>523</v>
      </c>
    </row>
    <row r="114" spans="1:13" ht="58" customHeight="1" x14ac:dyDescent="0.35">
      <c r="A114" s="5" t="s">
        <v>110</v>
      </c>
      <c r="B114" s="5" t="s">
        <v>108</v>
      </c>
      <c r="C114" s="5" t="s">
        <v>109</v>
      </c>
      <c r="D114" s="5" t="s">
        <v>932</v>
      </c>
      <c r="E114" s="5" t="s">
        <v>933</v>
      </c>
      <c r="F114" s="5" t="s">
        <v>1059</v>
      </c>
      <c r="G114" s="5" t="s">
        <v>570</v>
      </c>
      <c r="H114" s="5" t="s">
        <v>935</v>
      </c>
      <c r="I114" s="5" t="s">
        <v>1170</v>
      </c>
      <c r="J114" s="5" t="s">
        <v>1171</v>
      </c>
      <c r="K114" s="54"/>
      <c r="L114" s="54">
        <v>2</v>
      </c>
      <c r="M114" s="54" t="s">
        <v>517</v>
      </c>
    </row>
    <row r="115" spans="1:13" ht="58" customHeight="1" x14ac:dyDescent="0.35">
      <c r="A115" s="5" t="s">
        <v>110</v>
      </c>
      <c r="B115" s="5" t="s">
        <v>108</v>
      </c>
      <c r="C115" s="5" t="s">
        <v>109</v>
      </c>
      <c r="D115" s="5" t="s">
        <v>973</v>
      </c>
      <c r="E115" s="5" t="s">
        <v>974</v>
      </c>
      <c r="F115" s="5" t="s">
        <v>1059</v>
      </c>
      <c r="G115" s="5" t="s">
        <v>1172</v>
      </c>
      <c r="H115" s="5" t="s">
        <v>976</v>
      </c>
      <c r="I115" s="5" t="s">
        <v>1173</v>
      </c>
      <c r="J115" s="5" t="s">
        <v>1174</v>
      </c>
      <c r="K115" s="54"/>
      <c r="L115" s="54">
        <v>2</v>
      </c>
      <c r="M115" s="54" t="s">
        <v>517</v>
      </c>
    </row>
    <row r="116" spans="1:13" ht="58" customHeight="1" x14ac:dyDescent="0.35">
      <c r="A116" s="5" t="s">
        <v>176</v>
      </c>
      <c r="B116" s="5" t="s">
        <v>174</v>
      </c>
      <c r="C116" s="5" t="s">
        <v>175</v>
      </c>
      <c r="D116" s="5" t="s">
        <v>932</v>
      </c>
      <c r="E116" s="5" t="s">
        <v>933</v>
      </c>
      <c r="F116" s="5" t="s">
        <v>1055</v>
      </c>
      <c r="G116" s="5" t="s">
        <v>570</v>
      </c>
      <c r="H116" s="5" t="s">
        <v>935</v>
      </c>
      <c r="I116" s="5" t="s">
        <v>1175</v>
      </c>
      <c r="J116" s="5" t="s">
        <v>1176</v>
      </c>
      <c r="K116" s="54"/>
      <c r="L116" s="54">
        <v>3</v>
      </c>
      <c r="M116" s="54" t="s">
        <v>517</v>
      </c>
    </row>
    <row r="117" spans="1:13" ht="58" customHeight="1" x14ac:dyDescent="0.35">
      <c r="A117" s="5" t="s">
        <v>176</v>
      </c>
      <c r="B117" s="5" t="s">
        <v>174</v>
      </c>
      <c r="C117" s="5" t="s">
        <v>175</v>
      </c>
      <c r="D117" s="5" t="s">
        <v>983</v>
      </c>
      <c r="E117" s="5" t="s">
        <v>984</v>
      </c>
      <c r="F117" s="5" t="s">
        <v>1055</v>
      </c>
      <c r="G117" s="5" t="s">
        <v>1172</v>
      </c>
      <c r="H117" s="5" t="s">
        <v>986</v>
      </c>
      <c r="I117" s="5" t="s">
        <v>1177</v>
      </c>
      <c r="J117" s="5" t="s">
        <v>1178</v>
      </c>
      <c r="K117" s="54"/>
      <c r="L117" s="54">
        <v>3</v>
      </c>
      <c r="M117" s="54" t="s">
        <v>517</v>
      </c>
    </row>
    <row r="118" spans="1:13" ht="58" customHeight="1" x14ac:dyDescent="0.35">
      <c r="A118" s="5" t="s">
        <v>213</v>
      </c>
      <c r="B118" s="5" t="s">
        <v>193</v>
      </c>
      <c r="C118" s="5" t="s">
        <v>212</v>
      </c>
      <c r="D118" s="5" t="s">
        <v>948</v>
      </c>
      <c r="E118" s="5" t="s">
        <v>949</v>
      </c>
      <c r="F118" s="5" t="s">
        <v>1055</v>
      </c>
      <c r="G118" s="5" t="s">
        <v>570</v>
      </c>
      <c r="H118" s="5" t="s">
        <v>951</v>
      </c>
      <c r="I118" s="5" t="s">
        <v>1179</v>
      </c>
      <c r="J118" s="5" t="s">
        <v>1180</v>
      </c>
      <c r="K118" s="54"/>
      <c r="L118" s="54">
        <v>3</v>
      </c>
      <c r="M118" s="54" t="s">
        <v>517</v>
      </c>
    </row>
    <row r="119" spans="1:13" ht="58" customHeight="1" x14ac:dyDescent="0.35">
      <c r="A119" s="5" t="s">
        <v>219</v>
      </c>
      <c r="B119" s="5" t="s">
        <v>193</v>
      </c>
      <c r="C119" s="5" t="s">
        <v>218</v>
      </c>
      <c r="D119" s="5" t="s">
        <v>968</v>
      </c>
      <c r="E119" s="5" t="s">
        <v>969</v>
      </c>
      <c r="F119" s="5" t="s">
        <v>1055</v>
      </c>
      <c r="G119" s="5" t="s">
        <v>570</v>
      </c>
      <c r="H119" s="5" t="s">
        <v>971</v>
      </c>
      <c r="I119" s="5" t="s">
        <v>1181</v>
      </c>
      <c r="J119" s="5" t="s">
        <v>1182</v>
      </c>
      <c r="K119" s="54"/>
      <c r="L119" s="54">
        <v>3</v>
      </c>
      <c r="M119" s="54" t="s">
        <v>517</v>
      </c>
    </row>
    <row r="120" spans="1:13" ht="58" customHeight="1" x14ac:dyDescent="0.35">
      <c r="A120" s="5" t="s">
        <v>283</v>
      </c>
      <c r="B120" s="5" t="s">
        <v>281</v>
      </c>
      <c r="C120" s="5" t="s">
        <v>282</v>
      </c>
      <c r="D120" s="5" t="s">
        <v>953</v>
      </c>
      <c r="E120" s="5" t="s">
        <v>954</v>
      </c>
      <c r="F120" s="5" t="s">
        <v>1055</v>
      </c>
      <c r="G120" s="5" t="s">
        <v>570</v>
      </c>
      <c r="H120" s="5" t="s">
        <v>956</v>
      </c>
      <c r="I120" s="5" t="s">
        <v>1183</v>
      </c>
      <c r="J120" s="5" t="s">
        <v>1184</v>
      </c>
      <c r="K120" s="54"/>
      <c r="L120" s="54">
        <v>3</v>
      </c>
      <c r="M120" s="54" t="s">
        <v>517</v>
      </c>
    </row>
    <row r="121" spans="1:13" ht="58" customHeight="1" x14ac:dyDescent="0.35">
      <c r="A121" s="5" t="s">
        <v>338</v>
      </c>
      <c r="B121" s="5" t="s">
        <v>330</v>
      </c>
      <c r="C121" s="5" t="s">
        <v>337</v>
      </c>
      <c r="D121" s="5" t="s">
        <v>968</v>
      </c>
      <c r="E121" s="5" t="s">
        <v>969</v>
      </c>
      <c r="F121" s="5" t="s">
        <v>1055</v>
      </c>
      <c r="G121" s="5" t="s">
        <v>570</v>
      </c>
      <c r="H121" s="5" t="s">
        <v>971</v>
      </c>
      <c r="I121" s="5" t="s">
        <v>1185</v>
      </c>
      <c r="J121" s="5" t="s">
        <v>1186</v>
      </c>
      <c r="K121" s="54"/>
      <c r="L121" s="54">
        <v>3</v>
      </c>
      <c r="M121" s="54" t="s">
        <v>517</v>
      </c>
    </row>
    <row r="122" spans="1:13" ht="58" customHeight="1" x14ac:dyDescent="0.35">
      <c r="A122" s="5" t="s">
        <v>349</v>
      </c>
      <c r="B122" s="5" t="s">
        <v>330</v>
      </c>
      <c r="C122" s="5" t="s">
        <v>348</v>
      </c>
      <c r="D122" s="5" t="s">
        <v>953</v>
      </c>
      <c r="E122" s="5" t="s">
        <v>954</v>
      </c>
      <c r="F122" s="5" t="s">
        <v>1055</v>
      </c>
      <c r="G122" s="5" t="s">
        <v>570</v>
      </c>
      <c r="H122" s="5" t="s">
        <v>956</v>
      </c>
      <c r="I122" s="5" t="s">
        <v>1187</v>
      </c>
      <c r="J122" s="5" t="s">
        <v>1188</v>
      </c>
      <c r="K122" s="54"/>
      <c r="L122" s="54">
        <v>3</v>
      </c>
      <c r="M122" s="54" t="s">
        <v>517</v>
      </c>
    </row>
    <row r="123" spans="1:13" ht="58" customHeight="1" x14ac:dyDescent="0.35">
      <c r="A123" s="5" t="s">
        <v>355</v>
      </c>
      <c r="B123" s="5" t="s">
        <v>330</v>
      </c>
      <c r="C123" s="5" t="s">
        <v>354</v>
      </c>
      <c r="D123" s="5" t="s">
        <v>938</v>
      </c>
      <c r="E123" s="5" t="s">
        <v>939</v>
      </c>
      <c r="F123" s="5" t="s">
        <v>1055</v>
      </c>
      <c r="G123" s="5" t="s">
        <v>570</v>
      </c>
      <c r="H123" s="5" t="s">
        <v>941</v>
      </c>
      <c r="I123" s="5" t="s">
        <v>1189</v>
      </c>
      <c r="J123" s="5" t="s">
        <v>1190</v>
      </c>
      <c r="K123" s="54"/>
      <c r="L123" s="54">
        <v>3</v>
      </c>
      <c r="M123" s="54" t="s">
        <v>517</v>
      </c>
    </row>
    <row r="124" spans="1:13" ht="58" customHeight="1" x14ac:dyDescent="0.35">
      <c r="A124" s="5" t="s">
        <v>355</v>
      </c>
      <c r="B124" s="5" t="s">
        <v>330</v>
      </c>
      <c r="C124" s="5" t="s">
        <v>354</v>
      </c>
      <c r="D124" s="5" t="s">
        <v>973</v>
      </c>
      <c r="E124" s="5" t="s">
        <v>974</v>
      </c>
      <c r="F124" s="5" t="s">
        <v>1055</v>
      </c>
      <c r="G124" s="5" t="s">
        <v>1172</v>
      </c>
      <c r="H124" s="5" t="s">
        <v>976</v>
      </c>
      <c r="I124" s="5" t="s">
        <v>1191</v>
      </c>
      <c r="J124" s="5" t="s">
        <v>1192</v>
      </c>
      <c r="K124" s="54"/>
      <c r="L124" s="54">
        <v>3</v>
      </c>
      <c r="M124" s="54" t="s">
        <v>517</v>
      </c>
    </row>
    <row r="125" spans="1:13" ht="58" customHeight="1" x14ac:dyDescent="0.35">
      <c r="A125" s="5" t="s">
        <v>332</v>
      </c>
      <c r="B125" s="5" t="s">
        <v>330</v>
      </c>
      <c r="C125" s="5" t="s">
        <v>331</v>
      </c>
      <c r="D125" s="5" t="s">
        <v>988</v>
      </c>
      <c r="E125" s="5" t="s">
        <v>989</v>
      </c>
      <c r="F125" s="5" t="s">
        <v>1055</v>
      </c>
      <c r="G125" s="5" t="s">
        <v>1172</v>
      </c>
      <c r="H125" s="5" t="s">
        <v>991</v>
      </c>
      <c r="I125" s="5" t="s">
        <v>1193</v>
      </c>
      <c r="J125" s="5" t="s">
        <v>1194</v>
      </c>
      <c r="K125" s="54"/>
      <c r="L125" s="54">
        <v>3</v>
      </c>
      <c r="M125" s="54" t="s">
        <v>517</v>
      </c>
    </row>
    <row r="126" spans="1:13" ht="72.5" customHeight="1" x14ac:dyDescent="0.35">
      <c r="A126" s="2" t="s">
        <v>349</v>
      </c>
      <c r="B126" s="2" t="s">
        <v>330</v>
      </c>
      <c r="C126" s="2" t="s">
        <v>348</v>
      </c>
      <c r="D126" s="2" t="s">
        <v>1003</v>
      </c>
      <c r="E126" s="2" t="s">
        <v>1004</v>
      </c>
      <c r="F126" s="2" t="s">
        <v>1059</v>
      </c>
      <c r="G126" s="2" t="s">
        <v>1195</v>
      </c>
      <c r="H126" s="2" t="s">
        <v>1006</v>
      </c>
      <c r="I126" s="2" t="s">
        <v>1196</v>
      </c>
      <c r="J126" s="2" t="s">
        <v>1197</v>
      </c>
      <c r="K126" s="54"/>
      <c r="L126" s="54">
        <v>2</v>
      </c>
      <c r="M126" s="54" t="s">
        <v>517</v>
      </c>
    </row>
    <row r="127" spans="1:13" ht="72.5" customHeight="1" x14ac:dyDescent="0.35">
      <c r="A127" s="2" t="s">
        <v>355</v>
      </c>
      <c r="B127" s="2" t="s">
        <v>330</v>
      </c>
      <c r="C127" s="2" t="s">
        <v>354</v>
      </c>
      <c r="D127" s="2" t="s">
        <v>1003</v>
      </c>
      <c r="E127" s="2" t="s">
        <v>1004</v>
      </c>
      <c r="F127" s="2" t="s">
        <v>1059</v>
      </c>
      <c r="G127" s="2" t="s">
        <v>1195</v>
      </c>
      <c r="H127" s="2" t="s">
        <v>1006</v>
      </c>
      <c r="I127" s="2" t="s">
        <v>1198</v>
      </c>
      <c r="J127" s="2"/>
      <c r="K127" s="54"/>
      <c r="L127" s="54">
        <v>2</v>
      </c>
      <c r="M127" s="54" t="s">
        <v>517</v>
      </c>
    </row>
    <row r="128" spans="1:13" ht="58" customHeight="1" x14ac:dyDescent="0.35">
      <c r="A128" s="2" t="s">
        <v>251</v>
      </c>
      <c r="B128" s="2" t="s">
        <v>225</v>
      </c>
      <c r="C128" s="2" t="s">
        <v>250</v>
      </c>
      <c r="D128" s="2" t="s">
        <v>1014</v>
      </c>
      <c r="E128" s="2" t="s">
        <v>1015</v>
      </c>
      <c r="F128" s="2" t="s">
        <v>1059</v>
      </c>
      <c r="G128" s="2" t="s">
        <v>1199</v>
      </c>
      <c r="H128" s="2" t="s">
        <v>1017</v>
      </c>
      <c r="I128" s="2" t="s">
        <v>1200</v>
      </c>
      <c r="J128" s="2"/>
      <c r="K128" s="54"/>
      <c r="L128" s="54">
        <v>2</v>
      </c>
      <c r="M128" s="54" t="s">
        <v>517</v>
      </c>
    </row>
    <row r="129" spans="1:13" ht="43.5" customHeight="1" x14ac:dyDescent="0.35">
      <c r="A129" s="2" t="s">
        <v>349</v>
      </c>
      <c r="B129" s="2" t="s">
        <v>330</v>
      </c>
      <c r="C129" s="2" t="s">
        <v>348</v>
      </c>
      <c r="D129" s="2" t="s">
        <v>1014</v>
      </c>
      <c r="E129" s="2" t="s">
        <v>1015</v>
      </c>
      <c r="F129" s="2" t="s">
        <v>1059</v>
      </c>
      <c r="G129" s="2" t="s">
        <v>1199</v>
      </c>
      <c r="H129" s="2" t="s">
        <v>1017</v>
      </c>
      <c r="I129" s="2" t="s">
        <v>1201</v>
      </c>
      <c r="J129" s="2"/>
      <c r="K129" s="54"/>
      <c r="L129" s="54">
        <v>2</v>
      </c>
      <c r="M129" s="54" t="s">
        <v>517</v>
      </c>
    </row>
    <row r="130" spans="1:13" ht="58" customHeight="1" x14ac:dyDescent="0.35">
      <c r="A130" s="2" t="s">
        <v>355</v>
      </c>
      <c r="B130" s="2" t="s">
        <v>330</v>
      </c>
      <c r="C130" s="2" t="s">
        <v>354</v>
      </c>
      <c r="D130" s="2" t="s">
        <v>1009</v>
      </c>
      <c r="E130" s="2" t="s">
        <v>1010</v>
      </c>
      <c r="F130" s="2" t="s">
        <v>1055</v>
      </c>
      <c r="G130" s="2" t="s">
        <v>1199</v>
      </c>
      <c r="H130" s="2" t="s">
        <v>1012</v>
      </c>
      <c r="I130" s="2" t="s">
        <v>1202</v>
      </c>
      <c r="J130" s="2" t="s">
        <v>1203</v>
      </c>
      <c r="K130" s="54"/>
      <c r="L130" s="54">
        <v>3</v>
      </c>
      <c r="M130" s="54" t="s">
        <v>517</v>
      </c>
    </row>
    <row r="131" spans="1:13" ht="58" customHeight="1" x14ac:dyDescent="0.35">
      <c r="A131" s="2" t="s">
        <v>295</v>
      </c>
      <c r="B131" s="2" t="s">
        <v>281</v>
      </c>
      <c r="C131" s="2" t="s">
        <v>294</v>
      </c>
      <c r="D131" s="2" t="s">
        <v>1009</v>
      </c>
      <c r="E131" s="2" t="s">
        <v>1010</v>
      </c>
      <c r="F131" s="2" t="s">
        <v>1055</v>
      </c>
      <c r="G131" s="2" t="s">
        <v>1199</v>
      </c>
      <c r="H131" s="2" t="s">
        <v>1012</v>
      </c>
      <c r="I131" s="2" t="s">
        <v>1204</v>
      </c>
      <c r="J131" s="2"/>
      <c r="K131" s="54"/>
      <c r="L131" s="54">
        <v>3</v>
      </c>
      <c r="M131" s="54" t="s">
        <v>517</v>
      </c>
    </row>
    <row r="132" spans="1:13" ht="58" customHeight="1" x14ac:dyDescent="0.35">
      <c r="A132" s="2" t="s">
        <v>313</v>
      </c>
      <c r="B132" s="2" t="s">
        <v>306</v>
      </c>
      <c r="C132" s="2" t="s">
        <v>312</v>
      </c>
      <c r="D132" s="2" t="s">
        <v>1019</v>
      </c>
      <c r="E132" s="2" t="s">
        <v>1020</v>
      </c>
      <c r="F132" s="2" t="s">
        <v>1055</v>
      </c>
      <c r="G132" s="2" t="s">
        <v>1199</v>
      </c>
      <c r="H132" s="2" t="s">
        <v>1022</v>
      </c>
      <c r="I132" s="2" t="s">
        <v>1205</v>
      </c>
      <c r="J132" s="2" t="s">
        <v>1206</v>
      </c>
      <c r="K132" s="54"/>
      <c r="L132" s="54">
        <v>3</v>
      </c>
      <c r="M132" s="54" t="s">
        <v>517</v>
      </c>
    </row>
    <row r="133" spans="1:13" ht="43.5" customHeight="1" x14ac:dyDescent="0.35">
      <c r="A133" s="2" t="s">
        <v>349</v>
      </c>
      <c r="B133" s="2" t="s">
        <v>330</v>
      </c>
      <c r="C133" s="2" t="s">
        <v>348</v>
      </c>
      <c r="D133" s="2" t="s">
        <v>1034</v>
      </c>
      <c r="E133" s="2" t="s">
        <v>1035</v>
      </c>
      <c r="F133" s="2" t="s">
        <v>1055</v>
      </c>
      <c r="G133" s="2" t="s">
        <v>1207</v>
      </c>
      <c r="H133" s="2" t="s">
        <v>1037</v>
      </c>
      <c r="I133" s="2" t="s">
        <v>1208</v>
      </c>
      <c r="J133" s="2"/>
      <c r="K133" s="54"/>
      <c r="L133" s="54">
        <v>3</v>
      </c>
      <c r="M133" s="54" t="s">
        <v>517</v>
      </c>
    </row>
    <row r="134" spans="1:13" ht="43.5" customHeight="1" x14ac:dyDescent="0.35">
      <c r="A134" s="2" t="s">
        <v>349</v>
      </c>
      <c r="B134" s="2" t="s">
        <v>330</v>
      </c>
      <c r="C134" s="2" t="s">
        <v>348</v>
      </c>
      <c r="D134" s="2" t="s">
        <v>1039</v>
      </c>
      <c r="E134" s="2" t="s">
        <v>1040</v>
      </c>
      <c r="F134" s="2" t="s">
        <v>1055</v>
      </c>
      <c r="G134" s="2" t="s">
        <v>1209</v>
      </c>
      <c r="H134" s="2" t="s">
        <v>1042</v>
      </c>
      <c r="I134" s="2" t="s">
        <v>1208</v>
      </c>
      <c r="J134" s="2"/>
      <c r="K134" s="54"/>
      <c r="L134" s="54">
        <v>3</v>
      </c>
      <c r="M134" s="54" t="s">
        <v>517</v>
      </c>
    </row>
    <row r="135" spans="1:13" ht="58" customHeight="1" x14ac:dyDescent="0.35">
      <c r="A135" s="2" t="s">
        <v>355</v>
      </c>
      <c r="B135" s="2" t="s">
        <v>330</v>
      </c>
      <c r="C135" s="2" t="s">
        <v>354</v>
      </c>
      <c r="D135" s="2" t="s">
        <v>973</v>
      </c>
      <c r="E135" s="2" t="s">
        <v>974</v>
      </c>
      <c r="F135" s="2" t="s">
        <v>1059</v>
      </c>
      <c r="G135" s="2" t="s">
        <v>1210</v>
      </c>
      <c r="H135" s="2" t="s">
        <v>976</v>
      </c>
      <c r="I135" s="2" t="s">
        <v>1211</v>
      </c>
      <c r="J135" s="2"/>
      <c r="K135" s="54"/>
      <c r="L135" s="54">
        <v>2</v>
      </c>
      <c r="M135" s="54" t="s">
        <v>517</v>
      </c>
    </row>
    <row r="136" spans="1:13" ht="58" customHeight="1" x14ac:dyDescent="0.35">
      <c r="A136" s="2" t="s">
        <v>349</v>
      </c>
      <c r="B136" s="2" t="s">
        <v>330</v>
      </c>
      <c r="C136" s="2" t="s">
        <v>348</v>
      </c>
      <c r="D136" s="2" t="s">
        <v>1024</v>
      </c>
      <c r="E136" s="2" t="s">
        <v>1025</v>
      </c>
      <c r="F136" s="2" t="s">
        <v>1055</v>
      </c>
      <c r="G136" s="2" t="s">
        <v>1212</v>
      </c>
      <c r="H136" s="2" t="s">
        <v>1027</v>
      </c>
      <c r="I136" s="2" t="s">
        <v>1213</v>
      </c>
      <c r="J136" s="2" t="s">
        <v>1214</v>
      </c>
      <c r="K136" s="54"/>
      <c r="L136" s="54">
        <v>3</v>
      </c>
      <c r="M136" s="54" t="s">
        <v>517</v>
      </c>
    </row>
    <row r="137" spans="1:13" ht="58" customHeight="1" x14ac:dyDescent="0.35">
      <c r="A137" s="2" t="s">
        <v>313</v>
      </c>
      <c r="B137" s="2" t="s">
        <v>306</v>
      </c>
      <c r="C137" s="2" t="s">
        <v>312</v>
      </c>
      <c r="D137" s="2" t="s">
        <v>973</v>
      </c>
      <c r="E137" s="2" t="s">
        <v>974</v>
      </c>
      <c r="F137" s="2" t="s">
        <v>1055</v>
      </c>
      <c r="G137" s="2" t="s">
        <v>1210</v>
      </c>
      <c r="H137" s="2" t="s">
        <v>976</v>
      </c>
      <c r="I137" s="2" t="s">
        <v>1215</v>
      </c>
      <c r="J137" s="2"/>
      <c r="K137" s="54"/>
      <c r="L137" s="54">
        <v>3</v>
      </c>
      <c r="M137" s="54" t="s">
        <v>517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 min="8" max="8" width="28" customWidth="1"/>
    <col min="9" max="9" width="24" customWidth="1"/>
  </cols>
  <sheetData>
    <row r="1" spans="1:9" ht="28" customHeight="1" x14ac:dyDescent="0.35">
      <c r="A1" s="25" t="s">
        <v>567</v>
      </c>
      <c r="B1" s="25" t="s">
        <v>1216</v>
      </c>
      <c r="C1" s="25" t="s">
        <v>1217</v>
      </c>
      <c r="D1" s="25" t="s">
        <v>1218</v>
      </c>
      <c r="E1" s="25" t="s">
        <v>1219</v>
      </c>
      <c r="F1" s="25" t="s">
        <v>1220</v>
      </c>
      <c r="G1" s="25" t="s">
        <v>1221</v>
      </c>
      <c r="H1" s="25" t="s">
        <v>1222</v>
      </c>
      <c r="I1" s="25" t="s">
        <v>1223</v>
      </c>
    </row>
    <row r="2" spans="1:9" ht="116" customHeight="1" x14ac:dyDescent="0.35">
      <c r="A2" s="26" t="s">
        <v>1224</v>
      </c>
      <c r="B2" s="26" t="s">
        <v>1225</v>
      </c>
      <c r="C2" s="26" t="s">
        <v>1226</v>
      </c>
      <c r="D2" s="26" t="s">
        <v>1227</v>
      </c>
      <c r="E2" s="26" t="s">
        <v>1228</v>
      </c>
      <c r="F2" s="26" t="s">
        <v>1229</v>
      </c>
      <c r="G2" s="26" t="s">
        <v>1230</v>
      </c>
      <c r="H2" s="26" t="s">
        <v>1231</v>
      </c>
      <c r="I2" s="26"/>
    </row>
    <row r="3" spans="1:9" ht="101.5" customHeight="1" x14ac:dyDescent="0.35">
      <c r="A3" s="26" t="s">
        <v>1232</v>
      </c>
      <c r="B3" s="26" t="s">
        <v>1233</v>
      </c>
      <c r="C3" s="26" t="s">
        <v>1234</v>
      </c>
      <c r="D3" s="26" t="s">
        <v>1235</v>
      </c>
      <c r="E3" s="26" t="s">
        <v>1236</v>
      </c>
      <c r="F3" s="26" t="s">
        <v>1237</v>
      </c>
      <c r="G3" s="26" t="s">
        <v>1238</v>
      </c>
      <c r="H3" s="26" t="s">
        <v>1239</v>
      </c>
      <c r="I3" s="26" t="s">
        <v>1240</v>
      </c>
    </row>
    <row r="4" spans="1:9" ht="72.5" customHeight="1" x14ac:dyDescent="0.35">
      <c r="A4" s="26" t="s">
        <v>1172</v>
      </c>
      <c r="B4" s="26" t="s">
        <v>1241</v>
      </c>
      <c r="C4" s="26" t="s">
        <v>1242</v>
      </c>
      <c r="D4" s="26" t="s">
        <v>1243</v>
      </c>
      <c r="E4" s="26" t="s">
        <v>1244</v>
      </c>
      <c r="F4" s="26" t="s">
        <v>1245</v>
      </c>
      <c r="G4" s="26" t="s">
        <v>1246</v>
      </c>
      <c r="H4" s="26" t="s">
        <v>1247</v>
      </c>
      <c r="I4" s="26" t="s">
        <v>1248</v>
      </c>
    </row>
    <row r="5" spans="1:9" ht="116" customHeight="1" x14ac:dyDescent="0.35">
      <c r="A5" s="26" t="s">
        <v>1249</v>
      </c>
      <c r="B5" s="26" t="s">
        <v>1250</v>
      </c>
      <c r="C5" s="26" t="s">
        <v>1251</v>
      </c>
      <c r="D5" s="26" t="s">
        <v>1252</v>
      </c>
      <c r="E5" s="26" t="s">
        <v>1253</v>
      </c>
      <c r="F5" s="26" t="s">
        <v>1254</v>
      </c>
      <c r="G5" s="26" t="s">
        <v>1255</v>
      </c>
      <c r="H5" s="26"/>
      <c r="I5" s="26"/>
    </row>
    <row r="6" spans="1:9" ht="72.5" customHeight="1" x14ac:dyDescent="0.35">
      <c r="A6" s="26" t="s">
        <v>1256</v>
      </c>
      <c r="B6" s="26" t="s">
        <v>1257</v>
      </c>
      <c r="C6" s="26" t="s">
        <v>1258</v>
      </c>
      <c r="D6" s="26" t="s">
        <v>1259</v>
      </c>
      <c r="E6" s="26" t="s">
        <v>1260</v>
      </c>
      <c r="F6" s="26" t="s">
        <v>1261</v>
      </c>
      <c r="G6" s="26" t="s">
        <v>1262</v>
      </c>
      <c r="H6" s="26"/>
      <c r="I6" s="26"/>
    </row>
    <row r="7" spans="1:9" ht="188.5" customHeight="1" x14ac:dyDescent="0.35">
      <c r="A7" s="26" t="s">
        <v>1263</v>
      </c>
      <c r="B7" s="26" t="s">
        <v>1264</v>
      </c>
      <c r="C7" s="26" t="s">
        <v>1265</v>
      </c>
      <c r="D7" s="26" t="s">
        <v>1266</v>
      </c>
      <c r="E7" s="26" t="s">
        <v>1267</v>
      </c>
      <c r="F7" s="26" t="s">
        <v>1268</v>
      </c>
      <c r="G7" s="26" t="s">
        <v>1269</v>
      </c>
      <c r="H7" s="26"/>
      <c r="I7" s="26"/>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3"/>
  <sheetViews>
    <sheetView showGridLines="0" zoomScale="70" zoomScaleNormal="70" workbookViewId="0">
      <pane xSplit="1" ySplit="1" topLeftCell="B9" activePane="bottomRight" state="frozen"/>
      <selection pane="topRight" activeCell="B1" sqref="B1"/>
      <selection pane="bottomLeft" activeCell="A2" sqref="A2"/>
      <selection pane="bottomRight" activeCell="C16" sqref="C16"/>
    </sheetView>
  </sheetViews>
  <sheetFormatPr defaultRowHeight="14.5" x14ac:dyDescent="0.35"/>
  <cols>
    <col min="1" max="1" width="47.7265625" bestFit="1" customWidth="1"/>
    <col min="2" max="2" width="31.1796875" bestFit="1" customWidth="1"/>
    <col min="3" max="3" width="106.26953125" customWidth="1"/>
    <col min="4" max="4" width="60" customWidth="1"/>
  </cols>
  <sheetData>
    <row r="1" spans="1:4" ht="28" customHeight="1" x14ac:dyDescent="0.35">
      <c r="A1" s="1" t="s">
        <v>567</v>
      </c>
      <c r="B1" s="1" t="s">
        <v>1270</v>
      </c>
      <c r="C1" s="1" t="s">
        <v>1271</v>
      </c>
      <c r="D1" s="1" t="s">
        <v>1221</v>
      </c>
    </row>
    <row r="2" spans="1:4" ht="116" customHeight="1" x14ac:dyDescent="0.35">
      <c r="A2" s="2" t="s">
        <v>1224</v>
      </c>
      <c r="B2" s="2" t="s">
        <v>1272</v>
      </c>
      <c r="C2" s="2" t="s">
        <v>1273</v>
      </c>
      <c r="D2" s="2" t="s">
        <v>1274</v>
      </c>
    </row>
    <row r="3" spans="1:4" ht="116" customHeight="1" x14ac:dyDescent="0.35">
      <c r="A3" s="2" t="s">
        <v>1224</v>
      </c>
      <c r="B3" s="2" t="s">
        <v>1275</v>
      </c>
      <c r="C3" s="2" t="s">
        <v>1276</v>
      </c>
      <c r="D3" s="2" t="s">
        <v>1274</v>
      </c>
    </row>
    <row r="4" spans="1:4" ht="116" customHeight="1" x14ac:dyDescent="0.35">
      <c r="A4" s="2" t="s">
        <v>1224</v>
      </c>
      <c r="B4" s="2" t="s">
        <v>1277</v>
      </c>
      <c r="C4" s="2" t="s">
        <v>1278</v>
      </c>
      <c r="D4" s="2" t="s">
        <v>1274</v>
      </c>
    </row>
    <row r="5" spans="1:4" ht="116" customHeight="1" x14ac:dyDescent="0.35">
      <c r="A5" s="2" t="s">
        <v>1224</v>
      </c>
      <c r="B5" s="2" t="s">
        <v>1279</v>
      </c>
      <c r="C5" s="2" t="s">
        <v>1280</v>
      </c>
      <c r="D5" s="2" t="s">
        <v>1274</v>
      </c>
    </row>
    <row r="6" spans="1:4" ht="116" customHeight="1" x14ac:dyDescent="0.35">
      <c r="A6" s="2" t="s">
        <v>1224</v>
      </c>
      <c r="B6" s="2" t="s">
        <v>1281</v>
      </c>
      <c r="C6" s="2" t="s">
        <v>1282</v>
      </c>
      <c r="D6" s="2" t="s">
        <v>1274</v>
      </c>
    </row>
    <row r="7" spans="1:4" ht="116" customHeight="1" x14ac:dyDescent="0.35">
      <c r="A7" s="2" t="s">
        <v>1224</v>
      </c>
      <c r="B7" s="2" t="s">
        <v>1283</v>
      </c>
      <c r="C7" s="2" t="s">
        <v>1284</v>
      </c>
      <c r="D7" s="2" t="s">
        <v>1274</v>
      </c>
    </row>
    <row r="8" spans="1:4" ht="116" customHeight="1" x14ac:dyDescent="0.35">
      <c r="A8" s="2" t="s">
        <v>1224</v>
      </c>
      <c r="B8" s="2" t="s">
        <v>1285</v>
      </c>
      <c r="C8" s="2" t="s">
        <v>1286</v>
      </c>
      <c r="D8" s="2" t="s">
        <v>1274</v>
      </c>
    </row>
    <row r="9" spans="1:4" ht="101.5" customHeight="1" x14ac:dyDescent="0.35">
      <c r="A9" s="2" t="s">
        <v>1232</v>
      </c>
      <c r="B9" s="2" t="s">
        <v>1272</v>
      </c>
      <c r="C9" s="2" t="s">
        <v>1287</v>
      </c>
      <c r="D9" s="2" t="s">
        <v>1288</v>
      </c>
    </row>
    <row r="10" spans="1:4" ht="101.5" customHeight="1" x14ac:dyDescent="0.35">
      <c r="A10" s="2" t="s">
        <v>1232</v>
      </c>
      <c r="B10" s="2" t="s">
        <v>1275</v>
      </c>
      <c r="C10" s="2" t="s">
        <v>1289</v>
      </c>
      <c r="D10" s="2" t="s">
        <v>1288</v>
      </c>
    </row>
    <row r="11" spans="1:4" ht="174" customHeight="1" x14ac:dyDescent="0.35">
      <c r="A11" s="2" t="s">
        <v>1232</v>
      </c>
      <c r="B11" s="2" t="s">
        <v>1277</v>
      </c>
      <c r="C11" s="2" t="s">
        <v>1290</v>
      </c>
      <c r="D11" s="2" t="s">
        <v>1288</v>
      </c>
    </row>
    <row r="12" spans="1:4" ht="101.5" customHeight="1" x14ac:dyDescent="0.35">
      <c r="A12" s="2" t="s">
        <v>1232</v>
      </c>
      <c r="B12" s="2" t="s">
        <v>1279</v>
      </c>
      <c r="C12" s="2" t="s">
        <v>1291</v>
      </c>
      <c r="D12" s="2" t="s">
        <v>1288</v>
      </c>
    </row>
    <row r="13" spans="1:4" ht="101.5" customHeight="1" x14ac:dyDescent="0.35">
      <c r="A13" s="2" t="s">
        <v>1232</v>
      </c>
      <c r="B13" s="2" t="s">
        <v>1281</v>
      </c>
      <c r="C13" s="2" t="s">
        <v>1292</v>
      </c>
      <c r="D13" s="2" t="s">
        <v>1288</v>
      </c>
    </row>
    <row r="14" spans="1:4" ht="174" customHeight="1" x14ac:dyDescent="0.35">
      <c r="A14" s="2" t="s">
        <v>1232</v>
      </c>
      <c r="B14" s="2" t="s">
        <v>1283</v>
      </c>
      <c r="C14" s="2" t="s">
        <v>1293</v>
      </c>
      <c r="D14" s="2" t="s">
        <v>1288</v>
      </c>
    </row>
    <row r="15" spans="1:4" ht="101.5" customHeight="1" x14ac:dyDescent="0.35">
      <c r="A15" s="2" t="s">
        <v>1232</v>
      </c>
      <c r="B15" s="2" t="s">
        <v>1285</v>
      </c>
      <c r="C15" s="2" t="s">
        <v>1294</v>
      </c>
      <c r="D15" s="2" t="s">
        <v>1288</v>
      </c>
    </row>
    <row r="16" spans="1:4" ht="72.5" customHeight="1" x14ac:dyDescent="0.35">
      <c r="A16" s="2" t="s">
        <v>1295</v>
      </c>
      <c r="B16" s="2" t="s">
        <v>1272</v>
      </c>
      <c r="C16" s="2" t="s">
        <v>1296</v>
      </c>
      <c r="D16" s="2" t="s">
        <v>1297</v>
      </c>
    </row>
    <row r="17" spans="1:4" ht="72.5" customHeight="1" x14ac:dyDescent="0.35">
      <c r="A17" s="2" t="s">
        <v>1295</v>
      </c>
      <c r="B17" s="2" t="s">
        <v>1275</v>
      </c>
      <c r="C17" s="2" t="s">
        <v>1298</v>
      </c>
      <c r="D17" s="2" t="s">
        <v>1297</v>
      </c>
    </row>
    <row r="18" spans="1:4" ht="130.5" customHeight="1" x14ac:dyDescent="0.35">
      <c r="A18" s="2" t="s">
        <v>1295</v>
      </c>
      <c r="B18" s="2" t="s">
        <v>1277</v>
      </c>
      <c r="C18" s="2" t="s">
        <v>1299</v>
      </c>
      <c r="D18" s="2" t="s">
        <v>1297</v>
      </c>
    </row>
    <row r="19" spans="1:4" ht="72.5" customHeight="1" x14ac:dyDescent="0.35">
      <c r="A19" s="2" t="s">
        <v>1295</v>
      </c>
      <c r="B19" s="2" t="s">
        <v>1279</v>
      </c>
      <c r="C19" s="2" t="s">
        <v>1300</v>
      </c>
      <c r="D19" s="2" t="s">
        <v>1297</v>
      </c>
    </row>
    <row r="20" spans="1:4" ht="72.5" customHeight="1" x14ac:dyDescent="0.35">
      <c r="A20" s="2" t="s">
        <v>1295</v>
      </c>
      <c r="B20" s="2" t="s">
        <v>1281</v>
      </c>
      <c r="C20" s="2" t="s">
        <v>1301</v>
      </c>
      <c r="D20" s="2" t="s">
        <v>1297</v>
      </c>
    </row>
    <row r="21" spans="1:4" ht="72.5" customHeight="1" x14ac:dyDescent="0.35">
      <c r="A21" s="2" t="s">
        <v>1295</v>
      </c>
      <c r="B21" s="2" t="s">
        <v>1283</v>
      </c>
      <c r="C21" s="2" t="s">
        <v>1302</v>
      </c>
      <c r="D21" s="2" t="s">
        <v>1297</v>
      </c>
    </row>
    <row r="22" spans="1:4" ht="72.5" customHeight="1" x14ac:dyDescent="0.35">
      <c r="A22" s="2" t="s">
        <v>1295</v>
      </c>
      <c r="B22" s="2" t="s">
        <v>1285</v>
      </c>
      <c r="C22" s="2" t="s">
        <v>1303</v>
      </c>
      <c r="D22" s="2" t="s">
        <v>1297</v>
      </c>
    </row>
    <row r="23" spans="1:4" ht="116" customHeight="1" x14ac:dyDescent="0.35">
      <c r="A23" s="2" t="s">
        <v>585</v>
      </c>
      <c r="B23" s="2" t="s">
        <v>1272</v>
      </c>
      <c r="C23" s="2" t="s">
        <v>1304</v>
      </c>
      <c r="D23" s="2" t="s">
        <v>1305</v>
      </c>
    </row>
    <row r="24" spans="1:4" ht="116" customHeight="1" x14ac:dyDescent="0.35">
      <c r="A24" s="2" t="s">
        <v>585</v>
      </c>
      <c r="B24" s="2" t="s">
        <v>1275</v>
      </c>
      <c r="C24" s="2" t="s">
        <v>1306</v>
      </c>
      <c r="D24" s="2" t="s">
        <v>1305</v>
      </c>
    </row>
    <row r="25" spans="1:4" ht="116" customHeight="1" x14ac:dyDescent="0.35">
      <c r="A25" s="2" t="s">
        <v>585</v>
      </c>
      <c r="B25" s="2" t="s">
        <v>1277</v>
      </c>
      <c r="C25" s="2" t="s">
        <v>1307</v>
      </c>
      <c r="D25" s="2" t="s">
        <v>1305</v>
      </c>
    </row>
    <row r="26" spans="1:4" ht="116" customHeight="1" x14ac:dyDescent="0.35">
      <c r="A26" s="2" t="s">
        <v>585</v>
      </c>
      <c r="B26" s="2" t="s">
        <v>1279</v>
      </c>
      <c r="C26" s="2" t="s">
        <v>1308</v>
      </c>
      <c r="D26" s="2" t="s">
        <v>1305</v>
      </c>
    </row>
    <row r="27" spans="1:4" ht="116" customHeight="1" x14ac:dyDescent="0.35">
      <c r="A27" s="2" t="s">
        <v>585</v>
      </c>
      <c r="B27" s="2" t="s">
        <v>1281</v>
      </c>
      <c r="C27" s="2" t="s">
        <v>1309</v>
      </c>
      <c r="D27" s="2" t="s">
        <v>1305</v>
      </c>
    </row>
    <row r="28" spans="1:4" ht="116" customHeight="1" x14ac:dyDescent="0.35">
      <c r="A28" s="2" t="s">
        <v>585</v>
      </c>
      <c r="B28" s="2" t="s">
        <v>1283</v>
      </c>
      <c r="C28" s="2" t="s">
        <v>1310</v>
      </c>
      <c r="D28" s="2" t="s">
        <v>1305</v>
      </c>
    </row>
    <row r="29" spans="1:4" ht="116" customHeight="1" x14ac:dyDescent="0.35">
      <c r="A29" s="2" t="s">
        <v>585</v>
      </c>
      <c r="B29" s="2" t="s">
        <v>1285</v>
      </c>
      <c r="C29" s="2" t="s">
        <v>1311</v>
      </c>
      <c r="D29" s="2" t="s">
        <v>1305</v>
      </c>
    </row>
    <row r="30" spans="1:4" ht="43.5" customHeight="1" x14ac:dyDescent="0.35">
      <c r="A30" s="2" t="s">
        <v>1312</v>
      </c>
      <c r="B30" s="2" t="s">
        <v>1272</v>
      </c>
      <c r="C30" s="2" t="s">
        <v>1313</v>
      </c>
      <c r="D30" s="2" t="s">
        <v>1314</v>
      </c>
    </row>
    <row r="31" spans="1:4" ht="43.5" customHeight="1" x14ac:dyDescent="0.35">
      <c r="A31" s="2" t="s">
        <v>1312</v>
      </c>
      <c r="B31" s="2" t="s">
        <v>1275</v>
      </c>
      <c r="C31" s="2" t="s">
        <v>1315</v>
      </c>
      <c r="D31" s="2" t="s">
        <v>1314</v>
      </c>
    </row>
    <row r="32" spans="1:4" ht="58" customHeight="1" x14ac:dyDescent="0.35">
      <c r="A32" s="2" t="s">
        <v>1312</v>
      </c>
      <c r="B32" s="2" t="s">
        <v>1277</v>
      </c>
      <c r="C32" s="2" t="s">
        <v>1316</v>
      </c>
      <c r="D32" s="2" t="s">
        <v>1314</v>
      </c>
    </row>
    <row r="33" spans="1:4" ht="43.5" customHeight="1" x14ac:dyDescent="0.35">
      <c r="A33" s="2" t="s">
        <v>1312</v>
      </c>
      <c r="B33" s="2" t="s">
        <v>1279</v>
      </c>
      <c r="C33" s="2" t="s">
        <v>1317</v>
      </c>
      <c r="D33" s="2" t="s">
        <v>1314</v>
      </c>
    </row>
    <row r="34" spans="1:4" ht="43.5" customHeight="1" x14ac:dyDescent="0.35">
      <c r="A34" s="2" t="s">
        <v>1312</v>
      </c>
      <c r="B34" s="2" t="s">
        <v>1281</v>
      </c>
      <c r="C34" s="2" t="s">
        <v>1318</v>
      </c>
      <c r="D34" s="2" t="s">
        <v>1314</v>
      </c>
    </row>
    <row r="35" spans="1:4" ht="43.5" customHeight="1" x14ac:dyDescent="0.35">
      <c r="A35" s="2" t="s">
        <v>1312</v>
      </c>
      <c r="B35" s="2" t="s">
        <v>1283</v>
      </c>
      <c r="C35" s="2" t="s">
        <v>1319</v>
      </c>
      <c r="D35" s="2" t="s">
        <v>1314</v>
      </c>
    </row>
    <row r="36" spans="1:4" ht="58" customHeight="1" x14ac:dyDescent="0.35">
      <c r="A36" s="2" t="s">
        <v>1312</v>
      </c>
      <c r="B36" s="2" t="s">
        <v>1285</v>
      </c>
      <c r="C36" s="2" t="s">
        <v>1320</v>
      </c>
      <c r="D36" s="2" t="s">
        <v>1314</v>
      </c>
    </row>
    <row r="37" spans="1:4" ht="232" customHeight="1" x14ac:dyDescent="0.35">
      <c r="A37" s="2" t="s">
        <v>1263</v>
      </c>
      <c r="B37" s="2" t="s">
        <v>1272</v>
      </c>
      <c r="C37" s="2" t="s">
        <v>1321</v>
      </c>
      <c r="D37" s="2" t="s">
        <v>1322</v>
      </c>
    </row>
    <row r="38" spans="1:4" ht="232" customHeight="1" x14ac:dyDescent="0.35">
      <c r="A38" s="2" t="s">
        <v>1263</v>
      </c>
      <c r="B38" s="2" t="s">
        <v>1275</v>
      </c>
      <c r="C38" s="2" t="s">
        <v>1323</v>
      </c>
      <c r="D38" s="2" t="s">
        <v>1322</v>
      </c>
    </row>
    <row r="39" spans="1:4" ht="232" customHeight="1" x14ac:dyDescent="0.35">
      <c r="A39" s="2" t="s">
        <v>1263</v>
      </c>
      <c r="B39" s="2" t="s">
        <v>1277</v>
      </c>
      <c r="C39" s="2" t="s">
        <v>1324</v>
      </c>
      <c r="D39" s="2" t="s">
        <v>1322</v>
      </c>
    </row>
    <row r="40" spans="1:4" ht="232" customHeight="1" x14ac:dyDescent="0.35">
      <c r="A40" s="2" t="s">
        <v>1263</v>
      </c>
      <c r="B40" s="2" t="s">
        <v>1279</v>
      </c>
      <c r="C40" s="2" t="s">
        <v>1325</v>
      </c>
      <c r="D40" s="2" t="s">
        <v>1322</v>
      </c>
    </row>
    <row r="41" spans="1:4" ht="232" customHeight="1" x14ac:dyDescent="0.35">
      <c r="A41" s="2" t="s">
        <v>1263</v>
      </c>
      <c r="B41" s="2" t="s">
        <v>1281</v>
      </c>
      <c r="C41" s="2" t="s">
        <v>1326</v>
      </c>
      <c r="D41" s="2" t="s">
        <v>1322</v>
      </c>
    </row>
    <row r="42" spans="1:4" ht="232" customHeight="1" x14ac:dyDescent="0.35">
      <c r="A42" s="2" t="s">
        <v>1263</v>
      </c>
      <c r="B42" s="2" t="s">
        <v>1283</v>
      </c>
      <c r="C42" s="2" t="s">
        <v>1327</v>
      </c>
      <c r="D42" s="2" t="s">
        <v>1322</v>
      </c>
    </row>
    <row r="43" spans="1:4" ht="232" customHeight="1" x14ac:dyDescent="0.35">
      <c r="A43" s="2" t="s">
        <v>1263</v>
      </c>
      <c r="B43" s="2" t="s">
        <v>1285</v>
      </c>
      <c r="C43" s="2" t="s">
        <v>1328</v>
      </c>
      <c r="D43" s="2" t="s">
        <v>1322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I3" sqref="I3"/>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567</v>
      </c>
      <c r="B1" s="3" t="s">
        <v>1329</v>
      </c>
      <c r="C1" s="3" t="s">
        <v>1330</v>
      </c>
      <c r="D1" s="3" t="s">
        <v>1331</v>
      </c>
      <c r="E1" s="3" t="s">
        <v>1332</v>
      </c>
      <c r="F1" s="3" t="s">
        <v>1333</v>
      </c>
      <c r="G1" s="3" t="s">
        <v>1334</v>
      </c>
      <c r="H1" s="3" t="s">
        <v>1335</v>
      </c>
      <c r="I1" s="3" t="s">
        <v>1336</v>
      </c>
      <c r="J1" s="3" t="s">
        <v>1221</v>
      </c>
    </row>
    <row r="2" spans="1:10" ht="217.5" customHeight="1" x14ac:dyDescent="0.35">
      <c r="A2" s="2" t="s">
        <v>1224</v>
      </c>
      <c r="B2" s="2" t="s">
        <v>1225</v>
      </c>
      <c r="C2" s="2" t="s">
        <v>1337</v>
      </c>
      <c r="D2" s="2"/>
      <c r="E2" s="2"/>
      <c r="F2" s="2" t="s">
        <v>1338</v>
      </c>
      <c r="G2" s="2" t="s">
        <v>1339</v>
      </c>
      <c r="H2" s="2"/>
      <c r="I2" s="2"/>
      <c r="J2" s="2" t="s">
        <v>1230</v>
      </c>
    </row>
    <row r="3" spans="1:10" ht="174" customHeight="1" x14ac:dyDescent="0.35">
      <c r="A3" s="2" t="s">
        <v>1232</v>
      </c>
      <c r="B3" s="2" t="s">
        <v>1340</v>
      </c>
      <c r="C3" s="2" t="s">
        <v>1337</v>
      </c>
      <c r="D3" s="2"/>
      <c r="E3" s="2"/>
      <c r="F3" s="2" t="s">
        <v>1341</v>
      </c>
      <c r="G3" s="2" t="s">
        <v>1339</v>
      </c>
      <c r="H3" s="2"/>
      <c r="I3" s="2" t="s">
        <v>1342</v>
      </c>
      <c r="J3" s="2" t="s">
        <v>1238</v>
      </c>
    </row>
    <row r="4" spans="1:10" ht="87" customHeight="1" x14ac:dyDescent="0.35">
      <c r="A4" s="2" t="s">
        <v>1172</v>
      </c>
      <c r="B4" s="2" t="s">
        <v>1343</v>
      </c>
      <c r="C4" s="2" t="s">
        <v>1337</v>
      </c>
      <c r="D4" s="2"/>
      <c r="E4" s="2"/>
      <c r="F4" s="2" t="s">
        <v>1344</v>
      </c>
      <c r="G4" s="2" t="s">
        <v>1339</v>
      </c>
      <c r="H4" s="2"/>
      <c r="I4" s="2" t="s">
        <v>1345</v>
      </c>
      <c r="J4" s="2" t="s">
        <v>1246</v>
      </c>
    </row>
    <row r="5" spans="1:10" ht="174" customHeight="1" x14ac:dyDescent="0.35">
      <c r="A5" s="2" t="s">
        <v>1249</v>
      </c>
      <c r="B5" s="2" t="s">
        <v>1250</v>
      </c>
      <c r="C5" s="2" t="s">
        <v>1337</v>
      </c>
      <c r="D5" s="2"/>
      <c r="E5" s="2"/>
      <c r="F5" s="2" t="s">
        <v>1338</v>
      </c>
      <c r="G5" s="2" t="s">
        <v>1339</v>
      </c>
      <c r="H5" s="2"/>
      <c r="I5" s="2"/>
      <c r="J5" s="2" t="s">
        <v>1255</v>
      </c>
    </row>
    <row r="6" spans="1:10" ht="58" customHeight="1" x14ac:dyDescent="0.35">
      <c r="A6" s="2" t="s">
        <v>1256</v>
      </c>
      <c r="B6" s="2" t="s">
        <v>1257</v>
      </c>
      <c r="C6" s="2" t="s">
        <v>1337</v>
      </c>
      <c r="D6" s="2"/>
      <c r="E6" s="2"/>
      <c r="F6" s="2" t="s">
        <v>1338</v>
      </c>
      <c r="G6" s="2" t="s">
        <v>1339</v>
      </c>
      <c r="H6" s="2"/>
      <c r="I6" s="2"/>
      <c r="J6" s="2" t="s">
        <v>1262</v>
      </c>
    </row>
    <row r="7" spans="1:10" ht="261" customHeight="1" x14ac:dyDescent="0.35">
      <c r="A7" s="2" t="s">
        <v>1263</v>
      </c>
      <c r="B7" s="2" t="s">
        <v>1264</v>
      </c>
      <c r="C7" s="2" t="s">
        <v>1337</v>
      </c>
      <c r="D7" s="2"/>
      <c r="E7" s="2"/>
      <c r="F7" s="2" t="s">
        <v>1338</v>
      </c>
      <c r="G7" s="2" t="s">
        <v>1339</v>
      </c>
      <c r="H7" s="2"/>
      <c r="I7" s="2"/>
      <c r="J7" s="2" t="s">
        <v>1269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10" customWidth="1"/>
    <col min="2" max="2" width="41.36328125" customWidth="1"/>
    <col min="3" max="3" width="24.26953125" customWidth="1"/>
    <col min="4" max="4" width="36.90625" customWidth="1"/>
    <col min="5" max="9" width="45" customWidth="1"/>
    <col min="10" max="10" width="44.08984375" customWidth="1"/>
    <col min="11" max="11" width="36" customWidth="1"/>
    <col min="12" max="12" width="18.90625" customWidth="1"/>
    <col min="13" max="13" width="23.36328125" customWidth="1"/>
    <col min="14" max="14" width="45" customWidth="1"/>
  </cols>
  <sheetData>
    <row r="1" spans="1:14" ht="24" customHeight="1" x14ac:dyDescent="0.35">
      <c r="A1" s="8" t="s">
        <v>1346</v>
      </c>
      <c r="B1" s="8" t="s">
        <v>1347</v>
      </c>
      <c r="C1" s="8" t="s">
        <v>1348</v>
      </c>
      <c r="D1" s="8" t="s">
        <v>1349</v>
      </c>
      <c r="E1" s="8" t="s">
        <v>1350</v>
      </c>
      <c r="F1" s="8" t="s">
        <v>1351</v>
      </c>
      <c r="G1" s="8" t="s">
        <v>1352</v>
      </c>
      <c r="H1" s="8" t="s">
        <v>1353</v>
      </c>
      <c r="I1" s="8" t="s">
        <v>1354</v>
      </c>
      <c r="J1" s="8" t="s">
        <v>1355</v>
      </c>
      <c r="K1" s="8" t="s">
        <v>1356</v>
      </c>
      <c r="L1" s="8" t="s">
        <v>1357</v>
      </c>
      <c r="M1" s="8" t="s">
        <v>1358</v>
      </c>
      <c r="N1" s="8" t="s">
        <v>1336</v>
      </c>
    </row>
    <row r="2" spans="1:14" ht="43.5" customHeight="1" x14ac:dyDescent="0.35">
      <c r="A2" s="9" t="s">
        <v>1359</v>
      </c>
      <c r="B2" s="9" t="s">
        <v>1360</v>
      </c>
      <c r="C2" s="9" t="s">
        <v>1361</v>
      </c>
      <c r="D2" s="9" t="s">
        <v>1362</v>
      </c>
      <c r="E2" s="9" t="s">
        <v>1363</v>
      </c>
      <c r="F2" s="9" t="s">
        <v>1364</v>
      </c>
      <c r="G2" s="9" t="s">
        <v>1365</v>
      </c>
      <c r="H2" s="9" t="s">
        <v>1366</v>
      </c>
      <c r="I2" s="9" t="s">
        <v>1367</v>
      </c>
      <c r="J2" s="9" t="s">
        <v>1368</v>
      </c>
      <c r="K2" s="9" t="s">
        <v>1369</v>
      </c>
      <c r="L2" s="9"/>
      <c r="M2" s="9" t="s">
        <v>1370</v>
      </c>
      <c r="N2" s="9" t="s">
        <v>1371</v>
      </c>
    </row>
    <row r="3" spans="1:14" ht="43.5" customHeight="1" x14ac:dyDescent="0.35">
      <c r="A3" s="10" t="s">
        <v>1372</v>
      </c>
      <c r="B3" s="10" t="s">
        <v>1373</v>
      </c>
      <c r="C3" s="10" t="s">
        <v>1361</v>
      </c>
      <c r="D3" s="10" t="s">
        <v>1374</v>
      </c>
      <c r="E3" s="10" t="s">
        <v>1363</v>
      </c>
      <c r="F3" s="10" t="s">
        <v>1364</v>
      </c>
      <c r="G3" s="10" t="s">
        <v>1375</v>
      </c>
      <c r="H3" s="10" t="s">
        <v>1376</v>
      </c>
      <c r="I3" s="10" t="s">
        <v>1367</v>
      </c>
      <c r="J3" s="10" t="s">
        <v>1368</v>
      </c>
      <c r="K3" s="10" t="s">
        <v>1369</v>
      </c>
      <c r="L3" s="10"/>
      <c r="M3" s="10" t="s">
        <v>1370</v>
      </c>
      <c r="N3" s="10" t="s">
        <v>1377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42"/>
  <sheetViews>
    <sheetView showGridLines="0" zoomScale="70" zoomScaleNormal="70" workbookViewId="0">
      <pane xSplit="1" ySplit="4" topLeftCell="B5" activePane="bottomRight" state="frozen"/>
      <selection pane="topRight" activeCell="B1" sqref="B1"/>
      <selection pane="bottomLeft" activeCell="A5" sqref="A5"/>
      <selection pane="bottomRight" activeCell="B5" sqref="B5"/>
    </sheetView>
  </sheetViews>
  <sheetFormatPr defaultRowHeight="14.5" x14ac:dyDescent="0.35"/>
  <cols>
    <col min="1" max="1" width="28" customWidth="1"/>
    <col min="2" max="2" width="40" customWidth="1"/>
    <col min="3" max="3" width="26.90625" customWidth="1"/>
    <col min="4" max="4" width="20" customWidth="1"/>
    <col min="5" max="7" width="38" customWidth="1"/>
  </cols>
  <sheetData>
    <row r="1" spans="1:7" ht="24" customHeight="1" x14ac:dyDescent="0.35">
      <c r="A1" s="85" t="s">
        <v>1378</v>
      </c>
      <c r="B1" s="59"/>
      <c r="C1" s="59"/>
      <c r="D1" s="59"/>
      <c r="E1" s="59"/>
      <c r="F1" s="59"/>
    </row>
    <row r="3" spans="1:7" x14ac:dyDescent="0.35">
      <c r="A3" s="41" t="s">
        <v>1379</v>
      </c>
    </row>
    <row r="4" spans="1:7" ht="34.5" customHeight="1" x14ac:dyDescent="0.35">
      <c r="A4" s="25" t="s">
        <v>1380</v>
      </c>
      <c r="B4" s="25" t="s">
        <v>1381</v>
      </c>
      <c r="C4" s="25" t="s">
        <v>1382</v>
      </c>
      <c r="D4" s="39" t="s">
        <v>1383</v>
      </c>
      <c r="E4" s="39" t="s">
        <v>1384</v>
      </c>
      <c r="F4" s="39" t="s">
        <v>1385</v>
      </c>
      <c r="G4" s="39" t="s">
        <v>1386</v>
      </c>
    </row>
    <row r="5" spans="1:7" ht="67" customHeight="1" x14ac:dyDescent="0.35">
      <c r="A5" s="42" t="s">
        <v>1387</v>
      </c>
      <c r="B5" s="31" t="s">
        <v>1388</v>
      </c>
      <c r="C5" s="31" t="s">
        <v>1389</v>
      </c>
      <c r="D5" s="31" t="s">
        <v>1390</v>
      </c>
      <c r="E5" s="31" t="s">
        <v>1391</v>
      </c>
      <c r="F5" s="31" t="s">
        <v>1392</v>
      </c>
      <c r="G5" s="31" t="s">
        <v>1393</v>
      </c>
    </row>
    <row r="6" spans="1:7" ht="43.5" customHeight="1" x14ac:dyDescent="0.35">
      <c r="A6" s="43" t="s">
        <v>1394</v>
      </c>
      <c r="B6" s="32" t="s">
        <v>1395</v>
      </c>
      <c r="C6" s="32" t="s">
        <v>1396</v>
      </c>
      <c r="D6" s="32" t="s">
        <v>1397</v>
      </c>
      <c r="E6" s="32" t="s">
        <v>1398</v>
      </c>
      <c r="F6" s="32" t="s">
        <v>1399</v>
      </c>
      <c r="G6" s="32" t="s">
        <v>1400</v>
      </c>
    </row>
    <row r="7" spans="1:7" ht="58" customHeight="1" x14ac:dyDescent="0.35">
      <c r="A7" s="42" t="s">
        <v>1401</v>
      </c>
      <c r="B7" s="31" t="s">
        <v>1402</v>
      </c>
      <c r="C7" s="31" t="s">
        <v>1403</v>
      </c>
      <c r="D7" s="31" t="s">
        <v>1404</v>
      </c>
      <c r="E7" s="31" t="s">
        <v>1405</v>
      </c>
      <c r="F7" s="31" t="s">
        <v>1406</v>
      </c>
      <c r="G7" s="31" t="s">
        <v>1407</v>
      </c>
    </row>
    <row r="8" spans="1:7" ht="43.5" customHeight="1" x14ac:dyDescent="0.35">
      <c r="A8" s="43" t="s">
        <v>1408</v>
      </c>
      <c r="B8" s="32" t="s">
        <v>1409</v>
      </c>
      <c r="C8" s="32" t="s">
        <v>1410</v>
      </c>
      <c r="D8" s="32" t="s">
        <v>1411</v>
      </c>
      <c r="E8" s="32" t="s">
        <v>1412</v>
      </c>
      <c r="F8" s="32" t="s">
        <v>1413</v>
      </c>
      <c r="G8" s="32" t="s">
        <v>1414</v>
      </c>
    </row>
    <row r="9" spans="1:7" ht="58" customHeight="1" x14ac:dyDescent="0.35">
      <c r="A9" s="42" t="s">
        <v>1415</v>
      </c>
      <c r="B9" s="31" t="s">
        <v>1416</v>
      </c>
      <c r="C9" s="31" t="s">
        <v>1417</v>
      </c>
      <c r="D9" s="31" t="s">
        <v>1418</v>
      </c>
      <c r="E9" s="31" t="s">
        <v>1419</v>
      </c>
      <c r="F9" s="31" t="s">
        <v>1420</v>
      </c>
      <c r="G9" s="31" t="s">
        <v>1421</v>
      </c>
    </row>
    <row r="10" spans="1:7" ht="58" customHeight="1" x14ac:dyDescent="0.35">
      <c r="A10" s="43" t="s">
        <v>1422</v>
      </c>
      <c r="B10" s="32" t="s">
        <v>1423</v>
      </c>
      <c r="C10" s="32" t="s">
        <v>1424</v>
      </c>
      <c r="D10" s="32" t="s">
        <v>1425</v>
      </c>
      <c r="E10" s="32" t="s">
        <v>1426</v>
      </c>
      <c r="F10" s="32" t="s">
        <v>1427</v>
      </c>
      <c r="G10" s="32"/>
    </row>
    <row r="11" spans="1:7" ht="49" customHeight="1" x14ac:dyDescent="0.35">
      <c r="A11" s="42" t="s">
        <v>1428</v>
      </c>
      <c r="B11" s="31" t="s">
        <v>1429</v>
      </c>
      <c r="C11" s="31" t="s">
        <v>1430</v>
      </c>
      <c r="D11" s="31" t="s">
        <v>1431</v>
      </c>
      <c r="E11" s="31" t="s">
        <v>1432</v>
      </c>
      <c r="F11" s="31" t="s">
        <v>1433</v>
      </c>
      <c r="G11" s="31" t="s">
        <v>1434</v>
      </c>
    </row>
    <row r="12" spans="1:7" ht="25.5" customHeight="1" x14ac:dyDescent="0.35">
      <c r="A12" s="45"/>
      <c r="B12" s="46"/>
      <c r="C12" s="46"/>
      <c r="D12" s="46"/>
      <c r="E12" s="46"/>
      <c r="F12" s="46"/>
      <c r="G12" s="46"/>
    </row>
    <row r="13" spans="1:7" x14ac:dyDescent="0.35">
      <c r="A13" s="40"/>
      <c r="B13" s="40"/>
      <c r="C13" s="40"/>
      <c r="D13" s="40"/>
      <c r="E13" s="40"/>
    </row>
    <row r="14" spans="1:7" ht="24" customHeight="1" x14ac:dyDescent="0.35">
      <c r="A14" s="41" t="s">
        <v>1435</v>
      </c>
    </row>
    <row r="15" spans="1:7" ht="29" customHeight="1" x14ac:dyDescent="0.35">
      <c r="A15" s="25" t="s">
        <v>1436</v>
      </c>
      <c r="B15" s="25" t="s">
        <v>1437</v>
      </c>
      <c r="C15" s="25" t="s">
        <v>1438</v>
      </c>
    </row>
    <row r="16" spans="1:7" ht="43.5" customHeight="1" x14ac:dyDescent="0.35">
      <c r="A16" s="9" t="s">
        <v>1439</v>
      </c>
      <c r="B16" s="9" t="s">
        <v>1440</v>
      </c>
      <c r="C16" s="9" t="s">
        <v>1441</v>
      </c>
    </row>
    <row r="17" spans="1:5" ht="67" customHeight="1" x14ac:dyDescent="0.35">
      <c r="A17" s="10" t="s">
        <v>1442</v>
      </c>
      <c r="B17" s="10" t="s">
        <v>1443</v>
      </c>
      <c r="C17" s="10" t="s">
        <v>1444</v>
      </c>
    </row>
    <row r="18" spans="1:5" ht="43.5" customHeight="1" x14ac:dyDescent="0.35">
      <c r="A18" s="9" t="s">
        <v>1445</v>
      </c>
      <c r="B18" s="9" t="s">
        <v>1446</v>
      </c>
      <c r="C18" s="9" t="s">
        <v>1447</v>
      </c>
    </row>
    <row r="19" spans="1:5" ht="43.5" customHeight="1" x14ac:dyDescent="0.35">
      <c r="A19" s="10" t="s">
        <v>1448</v>
      </c>
      <c r="B19" s="10" t="s">
        <v>1449</v>
      </c>
      <c r="C19" s="10" t="s">
        <v>1450</v>
      </c>
    </row>
    <row r="20" spans="1:5" ht="29" customHeight="1" x14ac:dyDescent="0.35">
      <c r="A20" s="9" t="s">
        <v>1451</v>
      </c>
      <c r="B20" s="9" t="s">
        <v>1452</v>
      </c>
      <c r="C20" s="9" t="s">
        <v>1453</v>
      </c>
    </row>
    <row r="21" spans="1:5" ht="43.5" customHeight="1" x14ac:dyDescent="0.35">
      <c r="A21" s="10" t="s">
        <v>1454</v>
      </c>
      <c r="B21" s="10" t="s">
        <v>1455</v>
      </c>
      <c r="C21" s="10" t="s">
        <v>1456</v>
      </c>
    </row>
    <row r="22" spans="1:5" ht="29" customHeight="1" x14ac:dyDescent="0.35">
      <c r="A22" s="9" t="s">
        <v>1457</v>
      </c>
      <c r="B22" s="9" t="s">
        <v>1458</v>
      </c>
      <c r="C22" s="9" t="s">
        <v>1459</v>
      </c>
    </row>
    <row r="24" spans="1:5" ht="23.5" customHeight="1" x14ac:dyDescent="0.35"/>
    <row r="25" spans="1:5" ht="29" customHeight="1" x14ac:dyDescent="0.35">
      <c r="A25" s="30" t="s">
        <v>1460</v>
      </c>
    </row>
    <row r="26" spans="1:5" ht="29" customHeight="1" x14ac:dyDescent="0.35">
      <c r="A26" s="86" t="s">
        <v>1461</v>
      </c>
      <c r="B26" s="59"/>
      <c r="C26" s="59"/>
    </row>
    <row r="27" spans="1:5" ht="29" customHeight="1" x14ac:dyDescent="0.35">
      <c r="A27" s="84" t="s">
        <v>1462</v>
      </c>
      <c r="B27" s="59"/>
      <c r="C27" s="59"/>
    </row>
    <row r="28" spans="1:5" ht="29" customHeight="1" x14ac:dyDescent="0.35">
      <c r="A28" s="84" t="s">
        <v>1463</v>
      </c>
      <c r="B28" s="59"/>
      <c r="C28" s="59"/>
    </row>
    <row r="29" spans="1:5" ht="29" customHeight="1" x14ac:dyDescent="0.35">
      <c r="A29" s="84" t="s">
        <v>1464</v>
      </c>
      <c r="B29" s="59"/>
      <c r="C29" s="59"/>
    </row>
    <row r="30" spans="1:5" ht="29" customHeight="1" x14ac:dyDescent="0.35">
      <c r="A30" s="84" t="s">
        <v>1465</v>
      </c>
      <c r="B30" s="59"/>
      <c r="C30" s="59"/>
    </row>
    <row r="31" spans="1:5" ht="25" customHeight="1" x14ac:dyDescent="0.35">
      <c r="A31" s="84" t="s">
        <v>1466</v>
      </c>
      <c r="B31" s="59"/>
      <c r="C31" s="59"/>
    </row>
    <row r="32" spans="1:5" ht="29.5" customHeight="1" x14ac:dyDescent="0.35">
      <c r="A32" s="84" t="s">
        <v>1467</v>
      </c>
      <c r="B32" s="59"/>
      <c r="C32" s="59"/>
      <c r="D32" s="86"/>
      <c r="E32" s="59"/>
    </row>
    <row r="33" spans="1:5" ht="19" customHeight="1" x14ac:dyDescent="0.35">
      <c r="A33" s="44"/>
      <c r="B33" s="38"/>
      <c r="C33" s="38"/>
      <c r="D33" s="38"/>
      <c r="E33" s="38"/>
    </row>
    <row r="34" spans="1:5" x14ac:dyDescent="0.35">
      <c r="A34" s="33"/>
    </row>
    <row r="35" spans="1:5" x14ac:dyDescent="0.35">
      <c r="A35" s="41" t="s">
        <v>1468</v>
      </c>
    </row>
    <row r="36" spans="1:5" x14ac:dyDescent="0.35">
      <c r="A36" s="25" t="s">
        <v>1469</v>
      </c>
      <c r="B36" s="25" t="s">
        <v>1470</v>
      </c>
      <c r="C36" s="25" t="s">
        <v>1471</v>
      </c>
      <c r="D36" s="25" t="s">
        <v>1472</v>
      </c>
      <c r="E36" s="25" t="s">
        <v>394</v>
      </c>
    </row>
    <row r="37" spans="1:5" ht="43.5" customHeight="1" x14ac:dyDescent="0.35">
      <c r="A37" s="26" t="s">
        <v>1473</v>
      </c>
      <c r="B37" s="26" t="s">
        <v>1474</v>
      </c>
      <c r="C37" s="26" t="s">
        <v>1475</v>
      </c>
      <c r="D37" s="26" t="s">
        <v>1476</v>
      </c>
      <c r="E37" s="26" t="s">
        <v>1477</v>
      </c>
    </row>
    <row r="38" spans="1:5" ht="47" customHeight="1" x14ac:dyDescent="0.35">
      <c r="A38" s="32" t="s">
        <v>1478</v>
      </c>
      <c r="B38" s="32" t="s">
        <v>1479</v>
      </c>
      <c r="C38" s="32" t="s">
        <v>1051</v>
      </c>
      <c r="D38" s="32" t="s">
        <v>1480</v>
      </c>
      <c r="E38" s="32" t="s">
        <v>1481</v>
      </c>
    </row>
    <row r="39" spans="1:5" ht="29" customHeight="1" x14ac:dyDescent="0.35">
      <c r="A39" s="26" t="s">
        <v>1482</v>
      </c>
      <c r="B39" s="26" t="s">
        <v>1483</v>
      </c>
      <c r="C39" s="26" t="s">
        <v>1484</v>
      </c>
      <c r="D39" s="26" t="s">
        <v>1485</v>
      </c>
      <c r="E39" s="26" t="s">
        <v>1486</v>
      </c>
    </row>
    <row r="40" spans="1:5" ht="48.5" customHeight="1" x14ac:dyDescent="0.35">
      <c r="A40" s="32" t="s">
        <v>1487</v>
      </c>
      <c r="B40" s="32" t="s">
        <v>1488</v>
      </c>
      <c r="C40" s="32" t="s">
        <v>1489</v>
      </c>
      <c r="D40" s="32" t="s">
        <v>1485</v>
      </c>
      <c r="E40" s="32" t="s">
        <v>1490</v>
      </c>
    </row>
    <row r="41" spans="1:5" ht="43.5" customHeight="1" x14ac:dyDescent="0.35">
      <c r="A41" s="26" t="s">
        <v>1491</v>
      </c>
      <c r="B41" s="26" t="s">
        <v>1492</v>
      </c>
      <c r="C41" s="26" t="s">
        <v>1493</v>
      </c>
      <c r="D41" s="26" t="s">
        <v>1494</v>
      </c>
      <c r="E41" s="26" t="s">
        <v>1495</v>
      </c>
    </row>
    <row r="42" spans="1:5" ht="29" customHeight="1" x14ac:dyDescent="0.35">
      <c r="A42" s="32" t="s">
        <v>1496</v>
      </c>
      <c r="B42" s="32" t="s">
        <v>1497</v>
      </c>
      <c r="C42" s="32" t="s">
        <v>1498</v>
      </c>
      <c r="D42" s="32" t="s">
        <v>1485</v>
      </c>
      <c r="E42" s="32" t="s">
        <v>1499</v>
      </c>
    </row>
  </sheetData>
  <mergeCells count="9">
    <mergeCell ref="A28:C28"/>
    <mergeCell ref="A32:C32"/>
    <mergeCell ref="A31:C31"/>
    <mergeCell ref="A1:F1"/>
    <mergeCell ref="A27:C27"/>
    <mergeCell ref="D32:E32"/>
    <mergeCell ref="A30:C30"/>
    <mergeCell ref="A29:C29"/>
    <mergeCell ref="A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3"/>
  <sheetViews>
    <sheetView tabSelected="1" zoomScale="70" zoomScaleNormal="70" workbookViewId="0">
      <pane xSplit="3" ySplit="3" topLeftCell="D4" activePane="bottomRight" state="frozen"/>
      <selection pane="topRight" activeCell="D1" sqref="D1"/>
      <selection pane="bottomLeft" activeCell="A4" sqref="A4"/>
      <selection pane="bottomRight" activeCell="F5" sqref="F5"/>
    </sheetView>
  </sheetViews>
  <sheetFormatPr defaultRowHeight="14.5" x14ac:dyDescent="0.35"/>
  <cols>
    <col min="1" max="1" width="12" customWidth="1"/>
    <col min="2" max="2" width="14.90625" customWidth="1"/>
    <col min="3" max="3" width="22" customWidth="1"/>
    <col min="4" max="4" width="44" customWidth="1"/>
    <col min="5" max="5" width="22" customWidth="1"/>
    <col min="6" max="6" width="44" customWidth="1"/>
    <col min="7" max="7" width="32" customWidth="1"/>
    <col min="8" max="8" width="26" customWidth="1"/>
    <col min="9" max="9" width="28" customWidth="1"/>
  </cols>
  <sheetData>
    <row r="1" spans="1:9" ht="16" customHeight="1" x14ac:dyDescent="0.35">
      <c r="A1" s="87" t="s">
        <v>1500</v>
      </c>
      <c r="B1" s="59"/>
      <c r="C1" s="59"/>
      <c r="D1" s="59"/>
      <c r="E1" s="59"/>
      <c r="F1" s="59"/>
      <c r="G1" s="59"/>
      <c r="H1" s="59"/>
      <c r="I1" s="59"/>
    </row>
    <row r="3" spans="1:9" x14ac:dyDescent="0.35">
      <c r="A3" s="25" t="s">
        <v>1501</v>
      </c>
      <c r="B3" s="39" t="s">
        <v>1380</v>
      </c>
      <c r="C3" s="25" t="s">
        <v>1381</v>
      </c>
      <c r="D3" s="36" t="s">
        <v>1502</v>
      </c>
      <c r="E3" s="25" t="s">
        <v>1503</v>
      </c>
      <c r="F3" s="25" t="s">
        <v>1504</v>
      </c>
      <c r="G3" s="25" t="s">
        <v>1505</v>
      </c>
      <c r="H3" s="25" t="s">
        <v>1506</v>
      </c>
      <c r="I3" s="25" t="s">
        <v>1507</v>
      </c>
    </row>
    <row r="4" spans="1:9" ht="72.5" customHeight="1" x14ac:dyDescent="0.35">
      <c r="A4" s="26" t="s">
        <v>1508</v>
      </c>
      <c r="B4" s="26" t="s">
        <v>1408</v>
      </c>
      <c r="C4" s="26" t="s">
        <v>1409</v>
      </c>
      <c r="D4" s="26" t="s">
        <v>1509</v>
      </c>
      <c r="E4" s="26" t="s">
        <v>1510</v>
      </c>
      <c r="F4" s="26" t="s">
        <v>1511</v>
      </c>
      <c r="G4" s="26" t="s">
        <v>1512</v>
      </c>
      <c r="H4" s="26" t="s">
        <v>1513</v>
      </c>
      <c r="I4" s="26" t="s">
        <v>1514</v>
      </c>
    </row>
    <row r="5" spans="1:9" ht="58" customHeight="1" x14ac:dyDescent="0.35">
      <c r="A5" s="32" t="s">
        <v>1515</v>
      </c>
      <c r="B5" s="32" t="s">
        <v>1401</v>
      </c>
      <c r="C5" s="32" t="s">
        <v>1402</v>
      </c>
      <c r="D5" s="32" t="s">
        <v>1516</v>
      </c>
      <c r="E5" s="32" t="s">
        <v>1517</v>
      </c>
      <c r="F5" s="32" t="s">
        <v>1518</v>
      </c>
      <c r="G5" s="32" t="s">
        <v>1519</v>
      </c>
      <c r="H5" s="32" t="s">
        <v>1520</v>
      </c>
      <c r="I5" s="32" t="s">
        <v>1521</v>
      </c>
    </row>
    <row r="6" spans="1:9" ht="72.5" customHeight="1" x14ac:dyDescent="0.35">
      <c r="A6" s="26" t="s">
        <v>1522</v>
      </c>
      <c r="B6" s="26" t="s">
        <v>1387</v>
      </c>
      <c r="C6" s="26" t="s">
        <v>1388</v>
      </c>
      <c r="D6" s="26" t="s">
        <v>1523</v>
      </c>
      <c r="E6" s="26" t="s">
        <v>1524</v>
      </c>
      <c r="F6" s="26" t="s">
        <v>1525</v>
      </c>
      <c r="G6" s="26" t="s">
        <v>1526</v>
      </c>
      <c r="H6" s="26" t="s">
        <v>1527</v>
      </c>
      <c r="I6" s="26" t="s">
        <v>1528</v>
      </c>
    </row>
    <row r="7" spans="1:9" ht="58" customHeight="1" x14ac:dyDescent="0.35">
      <c r="A7" s="32" t="s">
        <v>1529</v>
      </c>
      <c r="B7" s="32" t="s">
        <v>1428</v>
      </c>
      <c r="C7" s="32" t="s">
        <v>1429</v>
      </c>
      <c r="D7" s="32" t="s">
        <v>1530</v>
      </c>
      <c r="E7" s="32" t="s">
        <v>1531</v>
      </c>
      <c r="F7" s="32" t="s">
        <v>1532</v>
      </c>
      <c r="G7" s="32" t="s">
        <v>1533</v>
      </c>
      <c r="H7" s="32" t="s">
        <v>1534</v>
      </c>
      <c r="I7" s="32" t="s">
        <v>1535</v>
      </c>
    </row>
    <row r="8" spans="1:9" ht="43.5" customHeight="1" x14ac:dyDescent="0.35">
      <c r="A8" s="26" t="s">
        <v>1536</v>
      </c>
      <c r="B8" s="26" t="s">
        <v>1415</v>
      </c>
      <c r="C8" s="26" t="s">
        <v>1537</v>
      </c>
      <c r="D8" s="26" t="s">
        <v>1538</v>
      </c>
      <c r="E8" s="26" t="s">
        <v>1539</v>
      </c>
      <c r="F8" s="26" t="s">
        <v>1540</v>
      </c>
      <c r="G8" s="26" t="s">
        <v>1541</v>
      </c>
      <c r="H8" s="26" t="s">
        <v>1542</v>
      </c>
      <c r="I8" s="26" t="s">
        <v>1543</v>
      </c>
    </row>
    <row r="9" spans="1:9" ht="43.5" customHeight="1" x14ac:dyDescent="0.35">
      <c r="A9" s="32" t="s">
        <v>1544</v>
      </c>
      <c r="B9" s="32" t="s">
        <v>1394</v>
      </c>
      <c r="C9" s="32" t="s">
        <v>1395</v>
      </c>
      <c r="D9" s="32" t="s">
        <v>1545</v>
      </c>
      <c r="E9" s="32" t="s">
        <v>1546</v>
      </c>
      <c r="F9" s="32" t="s">
        <v>1547</v>
      </c>
      <c r="G9" s="32" t="s">
        <v>1548</v>
      </c>
      <c r="H9" s="32" t="s">
        <v>1549</v>
      </c>
      <c r="I9" s="32" t="s">
        <v>1550</v>
      </c>
    </row>
    <row r="10" spans="1:9" ht="58" customHeight="1" x14ac:dyDescent="0.35">
      <c r="A10" s="26" t="s">
        <v>1551</v>
      </c>
      <c r="B10" s="26" t="s">
        <v>1408</v>
      </c>
      <c r="C10" s="26" t="s">
        <v>1552</v>
      </c>
      <c r="D10" s="26" t="s">
        <v>1553</v>
      </c>
      <c r="E10" s="26" t="s">
        <v>1554</v>
      </c>
      <c r="F10" s="26" t="s">
        <v>1555</v>
      </c>
      <c r="G10" s="26" t="s">
        <v>1556</v>
      </c>
      <c r="H10" s="26" t="s">
        <v>1557</v>
      </c>
      <c r="I10" s="26" t="s">
        <v>1558</v>
      </c>
    </row>
    <row r="11" spans="1:9" ht="58" customHeight="1" x14ac:dyDescent="0.35">
      <c r="A11" s="32" t="s">
        <v>1559</v>
      </c>
      <c r="B11" s="32" t="s">
        <v>1408</v>
      </c>
      <c r="C11" s="32" t="s">
        <v>1560</v>
      </c>
      <c r="D11" s="32" t="s">
        <v>1561</v>
      </c>
      <c r="E11" s="32" t="s">
        <v>1562</v>
      </c>
      <c r="F11" s="32" t="s">
        <v>1563</v>
      </c>
      <c r="G11" s="32" t="s">
        <v>1564</v>
      </c>
      <c r="H11" s="32" t="s">
        <v>1565</v>
      </c>
      <c r="I11" s="32" t="s">
        <v>1566</v>
      </c>
    </row>
    <row r="12" spans="1:9" ht="58" customHeight="1" x14ac:dyDescent="0.35">
      <c r="A12" s="26" t="s">
        <v>1567</v>
      </c>
      <c r="B12" s="26" t="s">
        <v>1428</v>
      </c>
      <c r="C12" s="26" t="s">
        <v>1568</v>
      </c>
      <c r="D12" s="26" t="s">
        <v>1569</v>
      </c>
      <c r="E12" s="26" t="s">
        <v>1570</v>
      </c>
      <c r="F12" s="26" t="s">
        <v>1571</v>
      </c>
      <c r="G12" s="26" t="s">
        <v>1572</v>
      </c>
      <c r="H12" s="26" t="s">
        <v>1573</v>
      </c>
      <c r="I12" s="26" t="s">
        <v>1574</v>
      </c>
    </row>
    <row r="13" spans="1:9" ht="43.5" customHeight="1" x14ac:dyDescent="0.35">
      <c r="A13" s="32" t="s">
        <v>1575</v>
      </c>
      <c r="B13" s="32" t="s">
        <v>1428</v>
      </c>
      <c r="C13" s="32" t="s">
        <v>1576</v>
      </c>
      <c r="D13" s="32" t="s">
        <v>1577</v>
      </c>
      <c r="E13" s="32" t="s">
        <v>1578</v>
      </c>
      <c r="F13" s="32" t="s">
        <v>1579</v>
      </c>
      <c r="G13" s="32" t="s">
        <v>1580</v>
      </c>
      <c r="H13" s="32" t="s">
        <v>1581</v>
      </c>
      <c r="I13" s="32" t="s">
        <v>1582</v>
      </c>
    </row>
  </sheetData>
  <mergeCells count="1">
    <mergeCell ref="A1:I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9"/>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55" customWidth="1"/>
    <col min="3" max="3" width="12" customWidth="1"/>
    <col min="4" max="4" width="28" customWidth="1"/>
    <col min="5" max="5" width="16" customWidth="1"/>
  </cols>
  <sheetData>
    <row r="1" spans="1:5" ht="18.649999999999999" customHeight="1" x14ac:dyDescent="0.35">
      <c r="A1" s="68" t="s">
        <v>1583</v>
      </c>
      <c r="B1" s="59"/>
      <c r="C1" s="59"/>
      <c r="D1" s="59"/>
      <c r="E1" s="59"/>
    </row>
    <row r="3" spans="1:5" x14ac:dyDescent="0.35">
      <c r="A3" s="30" t="s">
        <v>2</v>
      </c>
      <c r="B3" s="67" t="s">
        <v>1584</v>
      </c>
      <c r="C3" s="59"/>
      <c r="D3" s="59"/>
      <c r="E3" s="59"/>
    </row>
    <row r="5" spans="1:5" x14ac:dyDescent="0.35">
      <c r="A5" s="25" t="s">
        <v>1585</v>
      </c>
      <c r="B5" s="25" t="s">
        <v>1586</v>
      </c>
      <c r="C5" s="25" t="s">
        <v>1587</v>
      </c>
      <c r="D5" s="25" t="s">
        <v>1588</v>
      </c>
      <c r="E5" s="25" t="s">
        <v>1589</v>
      </c>
    </row>
    <row r="6" spans="1:5" x14ac:dyDescent="0.35">
      <c r="A6" s="26" t="s">
        <v>1590</v>
      </c>
      <c r="B6" s="26" t="s">
        <v>1591</v>
      </c>
      <c r="C6" s="26" t="s">
        <v>397</v>
      </c>
      <c r="D6" s="26"/>
      <c r="E6" s="26" t="s">
        <v>1592</v>
      </c>
    </row>
    <row r="7" spans="1:5" x14ac:dyDescent="0.35">
      <c r="A7" s="26" t="s">
        <v>1593</v>
      </c>
      <c r="B7" s="26" t="s">
        <v>1594</v>
      </c>
      <c r="C7" s="26" t="s">
        <v>397</v>
      </c>
      <c r="D7" s="26"/>
      <c r="E7" s="26" t="s">
        <v>1592</v>
      </c>
    </row>
    <row r="8" spans="1:5" x14ac:dyDescent="0.35">
      <c r="A8" s="26" t="s">
        <v>1595</v>
      </c>
      <c r="B8" s="26" t="s">
        <v>1596</v>
      </c>
      <c r="C8" s="26" t="s">
        <v>1597</v>
      </c>
      <c r="D8" s="26"/>
      <c r="E8" s="26" t="s">
        <v>1592</v>
      </c>
    </row>
    <row r="9" spans="1:5" x14ac:dyDescent="0.35">
      <c r="A9" s="26" t="s">
        <v>1598</v>
      </c>
      <c r="B9" s="26" t="s">
        <v>1599</v>
      </c>
      <c r="C9" s="26" t="s">
        <v>397</v>
      </c>
      <c r="D9" s="26"/>
      <c r="E9" s="26" t="s">
        <v>1592</v>
      </c>
    </row>
    <row r="10" spans="1:5" ht="29" customHeight="1" x14ac:dyDescent="0.35">
      <c r="A10" s="26" t="s">
        <v>1600</v>
      </c>
      <c r="B10" s="26" t="s">
        <v>1601</v>
      </c>
      <c r="C10" s="26" t="s">
        <v>397</v>
      </c>
      <c r="D10" s="26"/>
      <c r="E10" s="26" t="s">
        <v>1592</v>
      </c>
    </row>
    <row r="11" spans="1:5" x14ac:dyDescent="0.35">
      <c r="A11" s="26" t="s">
        <v>1602</v>
      </c>
      <c r="B11" s="26" t="s">
        <v>1603</v>
      </c>
      <c r="C11" s="26" t="s">
        <v>397</v>
      </c>
      <c r="D11" s="26"/>
      <c r="E11" s="26" t="s">
        <v>1592</v>
      </c>
    </row>
    <row r="12" spans="1:5" ht="29" customHeight="1" x14ac:dyDescent="0.35">
      <c r="A12" s="26" t="s">
        <v>1604</v>
      </c>
      <c r="B12" s="26" t="s">
        <v>1605</v>
      </c>
      <c r="C12" s="26" t="s">
        <v>1606</v>
      </c>
      <c r="D12" s="26"/>
      <c r="E12" s="26" t="s">
        <v>1592</v>
      </c>
    </row>
    <row r="13" spans="1:5" ht="29" customHeight="1" x14ac:dyDescent="0.35">
      <c r="A13" s="26" t="s">
        <v>1607</v>
      </c>
      <c r="B13" s="26" t="s">
        <v>1608</v>
      </c>
      <c r="C13" s="26" t="s">
        <v>1606</v>
      </c>
      <c r="D13" s="26" t="s">
        <v>1609</v>
      </c>
      <c r="E13" s="26" t="s">
        <v>1592</v>
      </c>
    </row>
    <row r="14" spans="1:5" ht="29" customHeight="1" x14ac:dyDescent="0.35">
      <c r="A14" s="26" t="s">
        <v>1610</v>
      </c>
      <c r="B14" s="26" t="s">
        <v>1611</v>
      </c>
      <c r="C14" s="26" t="s">
        <v>1597</v>
      </c>
      <c r="D14" s="26"/>
      <c r="E14" s="26" t="s">
        <v>1592</v>
      </c>
    </row>
    <row r="15" spans="1:5" ht="29" customHeight="1" x14ac:dyDescent="0.35">
      <c r="A15" s="26" t="s">
        <v>1612</v>
      </c>
      <c r="B15" s="26" t="s">
        <v>1613</v>
      </c>
      <c r="C15" s="26" t="s">
        <v>1597</v>
      </c>
      <c r="D15" s="26"/>
      <c r="E15" s="26" t="s">
        <v>1592</v>
      </c>
    </row>
    <row r="16" spans="1:5" x14ac:dyDescent="0.35">
      <c r="A16" s="26" t="s">
        <v>1614</v>
      </c>
      <c r="B16" s="26" t="s">
        <v>1615</v>
      </c>
      <c r="C16" s="26" t="s">
        <v>1597</v>
      </c>
      <c r="D16" s="26"/>
      <c r="E16" s="26" t="s">
        <v>1592</v>
      </c>
    </row>
    <row r="17" spans="1:5" ht="29" customHeight="1" x14ac:dyDescent="0.35">
      <c r="A17" s="26" t="s">
        <v>1616</v>
      </c>
      <c r="B17" s="26" t="s">
        <v>1617</v>
      </c>
      <c r="C17" s="26" t="s">
        <v>1597</v>
      </c>
      <c r="D17" s="26"/>
      <c r="E17" s="26" t="s">
        <v>1592</v>
      </c>
    </row>
    <row r="19" spans="1:5" x14ac:dyDescent="0.35">
      <c r="A19" s="88" t="s">
        <v>1618</v>
      </c>
      <c r="B19" s="59"/>
      <c r="C19" s="59"/>
      <c r="D19" s="59"/>
      <c r="E19" s="59"/>
    </row>
  </sheetData>
  <mergeCells count="3">
    <mergeCell ref="A1:E1"/>
    <mergeCell ref="B3:E3"/>
    <mergeCell ref="A19:E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88"/>
  <sheetViews>
    <sheetView showGridLines="0" zoomScale="85" zoomScaleNormal="85" workbookViewId="0">
      <pane xSplit="1" ySplit="1" topLeftCell="B2" activePane="bottomRight" state="frozen"/>
      <selection pane="topRight" activeCell="B1" sqref="B1"/>
      <selection pane="bottomLeft" activeCell="A2" sqref="A2"/>
      <selection pane="bottomRight" activeCell="B9" sqref="B9"/>
    </sheetView>
  </sheetViews>
  <sheetFormatPr defaultRowHeight="14.5" x14ac:dyDescent="0.35"/>
  <cols>
    <col min="1" max="1" width="24" customWidth="1"/>
    <col min="2" max="2" width="60" customWidth="1"/>
    <col min="3" max="3" width="12" customWidth="1"/>
    <col min="4" max="4" width="40" customWidth="1"/>
    <col min="5" max="5" width="22" customWidth="1"/>
  </cols>
  <sheetData>
    <row r="1" spans="1:5" ht="24" customHeight="1" x14ac:dyDescent="0.35">
      <c r="A1" s="68" t="s">
        <v>1619</v>
      </c>
      <c r="B1" s="59"/>
      <c r="C1" s="59"/>
      <c r="D1" s="59"/>
      <c r="E1" s="59"/>
    </row>
    <row r="3" spans="1:5" ht="30" customHeight="1" x14ac:dyDescent="0.35">
      <c r="A3" s="30" t="s">
        <v>1620</v>
      </c>
      <c r="B3" s="67" t="s">
        <v>1621</v>
      </c>
      <c r="C3" s="59"/>
      <c r="D3" s="59"/>
      <c r="E3" s="59"/>
    </row>
    <row r="5" spans="1:5" ht="43.5" customHeight="1" x14ac:dyDescent="0.35">
      <c r="A5" s="25" t="s">
        <v>1585</v>
      </c>
      <c r="B5" s="25" t="s">
        <v>1622</v>
      </c>
      <c r="C5" s="25" t="s">
        <v>1587</v>
      </c>
      <c r="D5" s="25" t="s">
        <v>1623</v>
      </c>
      <c r="E5" s="25" t="s">
        <v>1624</v>
      </c>
    </row>
    <row r="6" spans="1:5" ht="29" customHeight="1" x14ac:dyDescent="0.35">
      <c r="A6" s="26" t="s">
        <v>1625</v>
      </c>
      <c r="B6" s="26" t="s">
        <v>1626</v>
      </c>
      <c r="C6" s="26" t="s">
        <v>397</v>
      </c>
      <c r="D6" s="26" t="s">
        <v>1627</v>
      </c>
      <c r="E6" s="26"/>
    </row>
    <row r="7" spans="1:5" ht="29" customHeight="1" x14ac:dyDescent="0.35">
      <c r="A7" s="26" t="s">
        <v>1628</v>
      </c>
      <c r="B7" s="26" t="s">
        <v>1629</v>
      </c>
      <c r="C7" s="26" t="s">
        <v>397</v>
      </c>
      <c r="D7" s="26"/>
      <c r="E7" s="26"/>
    </row>
    <row r="8" spans="1:5" ht="29" customHeight="1" x14ac:dyDescent="0.35">
      <c r="A8" s="26" t="s">
        <v>1630</v>
      </c>
      <c r="B8" s="26" t="s">
        <v>1631</v>
      </c>
      <c r="C8" s="26" t="s">
        <v>397</v>
      </c>
      <c r="D8" s="26" t="s">
        <v>1632</v>
      </c>
      <c r="E8" s="26"/>
    </row>
    <row r="9" spans="1:5" ht="29" customHeight="1" x14ac:dyDescent="0.35">
      <c r="A9" s="26" t="s">
        <v>1633</v>
      </c>
      <c r="B9" s="26" t="s">
        <v>1634</v>
      </c>
      <c r="C9" s="26" t="s">
        <v>397</v>
      </c>
      <c r="D9" s="26" t="s">
        <v>1635</v>
      </c>
      <c r="E9" s="26"/>
    </row>
    <row r="10" spans="1:5" ht="58" customHeight="1" x14ac:dyDescent="0.35">
      <c r="A10" s="26" t="s">
        <v>1636</v>
      </c>
      <c r="B10" s="26" t="s">
        <v>1637</v>
      </c>
      <c r="C10" s="26" t="s">
        <v>1606</v>
      </c>
      <c r="D10" s="26"/>
      <c r="E10" s="26"/>
    </row>
    <row r="11" spans="1:5" ht="29" customHeight="1" x14ac:dyDescent="0.35">
      <c r="A11" s="26" t="s">
        <v>1638</v>
      </c>
      <c r="B11" s="26" t="s">
        <v>1639</v>
      </c>
      <c r="C11" s="26" t="s">
        <v>397</v>
      </c>
      <c r="D11" s="26"/>
      <c r="E11" s="26"/>
    </row>
    <row r="12" spans="1:5" ht="29" customHeight="1" x14ac:dyDescent="0.35">
      <c r="A12" s="26" t="s">
        <v>1640</v>
      </c>
      <c r="B12" s="26" t="s">
        <v>1641</v>
      </c>
      <c r="C12" s="26" t="s">
        <v>397</v>
      </c>
      <c r="D12" s="26" t="s">
        <v>1642</v>
      </c>
      <c r="E12" s="26"/>
    </row>
    <row r="13" spans="1:5" ht="29" customHeight="1" x14ac:dyDescent="0.35">
      <c r="A13" s="26" t="s">
        <v>1643</v>
      </c>
      <c r="B13" s="26" t="s">
        <v>1644</v>
      </c>
      <c r="C13" s="26" t="s">
        <v>397</v>
      </c>
      <c r="D13" s="26" t="s">
        <v>1645</v>
      </c>
      <c r="E13" s="26"/>
    </row>
    <row r="14" spans="1:5" ht="43.5" customHeight="1" x14ac:dyDescent="0.35">
      <c r="A14" s="26" t="s">
        <v>1646</v>
      </c>
      <c r="B14" s="26" t="s">
        <v>1647</v>
      </c>
      <c r="C14" s="26" t="s">
        <v>397</v>
      </c>
      <c r="D14" s="26" t="s">
        <v>1648</v>
      </c>
      <c r="E14" s="26"/>
    </row>
    <row r="15" spans="1:5" ht="29" customHeight="1" x14ac:dyDescent="0.35">
      <c r="A15" s="26" t="s">
        <v>1649</v>
      </c>
      <c r="B15" s="26" t="s">
        <v>1650</v>
      </c>
      <c r="C15" s="26" t="s">
        <v>397</v>
      </c>
      <c r="D15" s="26" t="s">
        <v>1651</v>
      </c>
      <c r="E15" s="26"/>
    </row>
    <row r="16" spans="1:5" ht="29" customHeight="1" x14ac:dyDescent="0.35">
      <c r="A16" s="26" t="s">
        <v>1652</v>
      </c>
      <c r="B16" s="26" t="s">
        <v>1653</v>
      </c>
      <c r="C16" s="26" t="s">
        <v>1606</v>
      </c>
      <c r="D16" s="26" t="s">
        <v>1654</v>
      </c>
      <c r="E16" s="26"/>
    </row>
    <row r="17" spans="1:5" ht="29" customHeight="1" x14ac:dyDescent="0.35">
      <c r="A17" s="26" t="s">
        <v>1655</v>
      </c>
      <c r="B17" s="26" t="s">
        <v>1656</v>
      </c>
      <c r="C17" s="26" t="s">
        <v>1657</v>
      </c>
      <c r="D17" s="26" t="s">
        <v>1658</v>
      </c>
      <c r="E17" s="26"/>
    </row>
    <row r="18" spans="1:5" ht="29" customHeight="1" x14ac:dyDescent="0.35">
      <c r="A18" s="26" t="s">
        <v>1659</v>
      </c>
      <c r="B18" s="26" t="s">
        <v>1660</v>
      </c>
      <c r="C18" s="26" t="s">
        <v>1059</v>
      </c>
      <c r="D18" s="26" t="s">
        <v>1661</v>
      </c>
      <c r="E18" s="26"/>
    </row>
    <row r="19" spans="1:5" ht="29" customHeight="1" x14ac:dyDescent="0.35">
      <c r="A19" s="26" t="s">
        <v>1662</v>
      </c>
      <c r="B19" s="26" t="s">
        <v>1663</v>
      </c>
      <c r="C19" s="26" t="s">
        <v>397</v>
      </c>
      <c r="D19" s="26" t="s">
        <v>1664</v>
      </c>
      <c r="E19" s="26"/>
    </row>
    <row r="20" spans="1:5" ht="43.5" customHeight="1" x14ac:dyDescent="0.35">
      <c r="A20" s="26" t="s">
        <v>1665</v>
      </c>
      <c r="B20" s="26" t="s">
        <v>1666</v>
      </c>
      <c r="C20" s="26" t="s">
        <v>397</v>
      </c>
      <c r="D20" s="26" t="s">
        <v>1667</v>
      </c>
      <c r="E20" s="26"/>
    </row>
    <row r="21" spans="1:5" ht="29" customHeight="1" x14ac:dyDescent="0.35">
      <c r="A21" s="26" t="s">
        <v>1668</v>
      </c>
      <c r="B21" s="26" t="s">
        <v>1669</v>
      </c>
      <c r="C21" s="26" t="s">
        <v>397</v>
      </c>
      <c r="D21" s="26" t="s">
        <v>1670</v>
      </c>
      <c r="E21" s="26"/>
    </row>
    <row r="22" spans="1:5" ht="29" customHeight="1" x14ac:dyDescent="0.35">
      <c r="A22" s="26" t="s">
        <v>1671</v>
      </c>
      <c r="B22" s="26" t="s">
        <v>1672</v>
      </c>
      <c r="C22" s="26" t="s">
        <v>1059</v>
      </c>
      <c r="D22" s="26" t="s">
        <v>1673</v>
      </c>
      <c r="E22" s="26"/>
    </row>
    <row r="23" spans="1:5" ht="29" customHeight="1" x14ac:dyDescent="0.35">
      <c r="A23" s="28" t="s">
        <v>1674</v>
      </c>
      <c r="B23" s="28" t="s">
        <v>1675</v>
      </c>
      <c r="C23" s="28" t="s">
        <v>1059</v>
      </c>
      <c r="D23" s="28" t="s">
        <v>1676</v>
      </c>
      <c r="E23" s="28"/>
    </row>
    <row r="24" spans="1:5" x14ac:dyDescent="0.35">
      <c r="A24" s="27" t="s">
        <v>1677</v>
      </c>
      <c r="B24" s="27" t="s">
        <v>1678</v>
      </c>
      <c r="C24" s="27" t="s">
        <v>397</v>
      </c>
      <c r="D24" s="27"/>
      <c r="E24" s="27"/>
    </row>
    <row r="25" spans="1:5" ht="29" customHeight="1" x14ac:dyDescent="0.35">
      <c r="A25" s="28" t="s">
        <v>1679</v>
      </c>
      <c r="B25" s="28" t="s">
        <v>1680</v>
      </c>
      <c r="C25" s="28" t="s">
        <v>397</v>
      </c>
      <c r="D25" s="28" t="s">
        <v>1681</v>
      </c>
      <c r="E25" s="28"/>
    </row>
    <row r="26" spans="1:5" x14ac:dyDescent="0.35">
      <c r="A26" s="5"/>
      <c r="B26" s="5"/>
      <c r="C26" s="5"/>
      <c r="D26" s="5"/>
      <c r="E26" s="5"/>
    </row>
    <row r="27" spans="1:5" x14ac:dyDescent="0.35">
      <c r="A27" s="5"/>
      <c r="B27" s="5"/>
      <c r="C27" s="5"/>
      <c r="D27" s="5"/>
      <c r="E27" s="5"/>
    </row>
    <row r="28" spans="1:5" x14ac:dyDescent="0.35">
      <c r="A28" s="5"/>
      <c r="B28" s="5"/>
      <c r="C28" s="5"/>
      <c r="D28" s="5"/>
      <c r="E28" s="5"/>
    </row>
    <row r="29" spans="1:5" x14ac:dyDescent="0.35">
      <c r="A29" s="5"/>
      <c r="B29" s="5"/>
      <c r="C29" s="5"/>
      <c r="D29" s="5"/>
      <c r="E29" s="5"/>
    </row>
    <row r="30" spans="1:5" x14ac:dyDescent="0.35">
      <c r="A30" s="5"/>
      <c r="B30" s="5"/>
      <c r="C30" s="5"/>
      <c r="D30" s="5"/>
      <c r="E30" s="5"/>
    </row>
    <row r="31" spans="1:5" x14ac:dyDescent="0.35">
      <c r="A31" s="5"/>
      <c r="B31" s="5"/>
      <c r="C31" s="5"/>
      <c r="D31" s="5"/>
      <c r="E31" s="5"/>
    </row>
    <row r="32" spans="1:5" x14ac:dyDescent="0.35">
      <c r="A32" s="5"/>
      <c r="B32" s="5"/>
      <c r="C32" s="5"/>
      <c r="D32" s="5"/>
      <c r="E32" s="5"/>
    </row>
    <row r="33" spans="1:5" x14ac:dyDescent="0.35">
      <c r="A33" s="5"/>
      <c r="B33" s="5"/>
      <c r="C33" s="5"/>
      <c r="D33" s="5"/>
      <c r="E33" s="5"/>
    </row>
    <row r="34" spans="1:5" x14ac:dyDescent="0.35">
      <c r="A34" s="5"/>
      <c r="B34" s="5"/>
      <c r="C34" s="5"/>
      <c r="D34" s="5"/>
      <c r="E34" s="5"/>
    </row>
    <row r="35" spans="1:5" x14ac:dyDescent="0.35">
      <c r="A35" s="5"/>
      <c r="B35" s="5"/>
      <c r="C35" s="5"/>
      <c r="D35" s="5"/>
      <c r="E35" s="5"/>
    </row>
    <row r="36" spans="1:5" x14ac:dyDescent="0.35">
      <c r="A36" s="5"/>
      <c r="B36" s="5"/>
      <c r="C36" s="5"/>
      <c r="D36" s="5"/>
      <c r="E36" s="5"/>
    </row>
    <row r="37" spans="1:5" x14ac:dyDescent="0.35">
      <c r="A37" s="5"/>
      <c r="B37" s="5"/>
      <c r="C37" s="5"/>
      <c r="D37" s="5"/>
      <c r="E37" s="5"/>
    </row>
    <row r="38" spans="1:5" x14ac:dyDescent="0.35">
      <c r="A38" s="5"/>
      <c r="B38" s="5"/>
      <c r="C38" s="5"/>
      <c r="D38" s="5"/>
      <c r="E38" s="5"/>
    </row>
    <row r="39" spans="1:5" x14ac:dyDescent="0.35">
      <c r="A39" s="5"/>
      <c r="B39" s="5"/>
      <c r="C39" s="5"/>
      <c r="D39" s="5"/>
      <c r="E39" s="5"/>
    </row>
    <row r="40" spans="1:5" x14ac:dyDescent="0.35">
      <c r="A40" s="5"/>
      <c r="B40" s="5"/>
      <c r="C40" s="5"/>
      <c r="D40" s="5"/>
      <c r="E40" s="5"/>
    </row>
    <row r="41" spans="1:5" x14ac:dyDescent="0.35">
      <c r="A41" s="5"/>
      <c r="B41" s="5"/>
      <c r="C41" s="5"/>
      <c r="D41" s="5"/>
      <c r="E41" s="5"/>
    </row>
    <row r="42" spans="1:5" x14ac:dyDescent="0.35">
      <c r="A42" s="5"/>
      <c r="B42" s="5"/>
      <c r="C42" s="5"/>
      <c r="D42" s="5"/>
      <c r="E42" s="5"/>
    </row>
    <row r="43" spans="1:5" x14ac:dyDescent="0.35">
      <c r="A43" s="5"/>
      <c r="B43" s="5"/>
      <c r="C43" s="5"/>
      <c r="D43" s="5"/>
      <c r="E43" s="5"/>
    </row>
    <row r="44" spans="1:5" x14ac:dyDescent="0.35">
      <c r="A44" s="5"/>
      <c r="B44" s="5"/>
      <c r="C44" s="5"/>
      <c r="D44" s="5"/>
      <c r="E44" s="5"/>
    </row>
    <row r="45" spans="1:5" x14ac:dyDescent="0.35">
      <c r="A45" s="5"/>
      <c r="B45" s="5"/>
      <c r="C45" s="5"/>
      <c r="D45" s="5"/>
      <c r="E45" s="5"/>
    </row>
    <row r="46" spans="1:5" x14ac:dyDescent="0.35">
      <c r="A46" s="5"/>
      <c r="B46" s="5"/>
      <c r="C46" s="5"/>
      <c r="D46" s="5"/>
      <c r="E46" s="5"/>
    </row>
    <row r="47" spans="1:5" x14ac:dyDescent="0.35">
      <c r="A47" s="5"/>
      <c r="B47" s="5"/>
      <c r="C47" s="5"/>
      <c r="D47" s="5"/>
      <c r="E47" s="5"/>
    </row>
    <row r="48" spans="1:5" x14ac:dyDescent="0.35">
      <c r="A48" s="5"/>
      <c r="B48" s="5"/>
      <c r="C48" s="5"/>
      <c r="D48" s="5"/>
      <c r="E48" s="5"/>
    </row>
    <row r="49" spans="1:5" x14ac:dyDescent="0.35">
      <c r="A49" s="5"/>
      <c r="B49" s="5"/>
      <c r="C49" s="5"/>
      <c r="D49" s="5"/>
      <c r="E49" s="5"/>
    </row>
    <row r="50" spans="1:5" x14ac:dyDescent="0.35">
      <c r="A50" s="5"/>
      <c r="B50" s="5"/>
      <c r="C50" s="5"/>
      <c r="D50" s="5"/>
      <c r="E50" s="5"/>
    </row>
    <row r="51" spans="1:5" x14ac:dyDescent="0.35">
      <c r="A51" s="5"/>
      <c r="B51" s="5"/>
      <c r="C51" s="5"/>
      <c r="D51" s="5"/>
      <c r="E51" s="5"/>
    </row>
    <row r="52" spans="1:5" x14ac:dyDescent="0.35">
      <c r="A52" s="5"/>
      <c r="B52" s="5"/>
      <c r="C52" s="5"/>
      <c r="D52" s="5"/>
      <c r="E52" s="5"/>
    </row>
    <row r="53" spans="1:5" x14ac:dyDescent="0.35">
      <c r="A53" s="5"/>
      <c r="B53" s="5"/>
      <c r="C53" s="5"/>
      <c r="D53" s="5"/>
      <c r="E53" s="5"/>
    </row>
    <row r="54" spans="1:5" x14ac:dyDescent="0.35">
      <c r="A54" s="5"/>
      <c r="B54" s="5"/>
      <c r="C54" s="5"/>
      <c r="D54" s="5"/>
      <c r="E54" s="5"/>
    </row>
    <row r="55" spans="1:5" x14ac:dyDescent="0.35">
      <c r="A55" s="5"/>
      <c r="B55" s="5"/>
      <c r="C55" s="5"/>
      <c r="D55" s="5"/>
      <c r="E55" s="5"/>
    </row>
    <row r="56" spans="1:5" x14ac:dyDescent="0.35">
      <c r="A56" s="5"/>
      <c r="B56" s="5"/>
      <c r="C56" s="5"/>
      <c r="D56" s="5"/>
      <c r="E56" s="5"/>
    </row>
    <row r="57" spans="1:5" x14ac:dyDescent="0.35">
      <c r="A57" s="5"/>
      <c r="B57" s="5"/>
      <c r="C57" s="5"/>
      <c r="D57" s="5"/>
      <c r="E57" s="5"/>
    </row>
    <row r="58" spans="1:5" x14ac:dyDescent="0.35">
      <c r="A58" s="5"/>
      <c r="B58" s="5"/>
      <c r="C58" s="5"/>
      <c r="D58" s="5"/>
      <c r="E58" s="5"/>
    </row>
    <row r="59" spans="1:5" x14ac:dyDescent="0.35">
      <c r="A59" s="5"/>
      <c r="B59" s="5"/>
      <c r="C59" s="5"/>
      <c r="D59" s="5"/>
      <c r="E59" s="5"/>
    </row>
    <row r="60" spans="1:5" x14ac:dyDescent="0.35">
      <c r="A60" s="5"/>
      <c r="B60" s="5"/>
      <c r="C60" s="5"/>
      <c r="D60" s="5"/>
      <c r="E60" s="5"/>
    </row>
    <row r="61" spans="1:5" x14ac:dyDescent="0.35">
      <c r="A61" s="5"/>
      <c r="B61" s="5"/>
      <c r="C61" s="5"/>
      <c r="D61" s="5"/>
      <c r="E61" s="5"/>
    </row>
    <row r="62" spans="1:5" x14ac:dyDescent="0.35">
      <c r="A62" s="5"/>
      <c r="B62" s="5"/>
      <c r="C62" s="5"/>
      <c r="D62" s="5"/>
      <c r="E62" s="5"/>
    </row>
    <row r="63" spans="1:5" x14ac:dyDescent="0.35">
      <c r="A63" s="5"/>
      <c r="B63" s="5"/>
      <c r="C63" s="5"/>
      <c r="D63" s="5"/>
      <c r="E63" s="5"/>
    </row>
    <row r="64" spans="1:5" x14ac:dyDescent="0.35">
      <c r="A64" s="5"/>
      <c r="B64" s="5"/>
      <c r="C64" s="5"/>
      <c r="D64" s="5"/>
      <c r="E64" s="5"/>
    </row>
    <row r="65" spans="1:5" x14ac:dyDescent="0.35">
      <c r="A65" s="5"/>
      <c r="B65" s="5"/>
      <c r="C65" s="5"/>
      <c r="D65" s="5"/>
      <c r="E65" s="5"/>
    </row>
    <row r="66" spans="1:5" x14ac:dyDescent="0.35">
      <c r="A66" s="5"/>
      <c r="B66" s="5"/>
      <c r="C66" s="5"/>
      <c r="D66" s="5"/>
      <c r="E66" s="5"/>
    </row>
    <row r="67" spans="1:5" x14ac:dyDescent="0.35">
      <c r="A67" s="5"/>
      <c r="B67" s="5"/>
      <c r="C67" s="5"/>
      <c r="D67" s="5"/>
      <c r="E67" s="5"/>
    </row>
    <row r="68" spans="1:5" x14ac:dyDescent="0.35">
      <c r="A68" s="5"/>
      <c r="B68" s="5"/>
      <c r="C68" s="5"/>
      <c r="D68" s="5"/>
      <c r="E68" s="5"/>
    </row>
    <row r="69" spans="1:5" x14ac:dyDescent="0.35">
      <c r="A69" s="5"/>
      <c r="B69" s="5"/>
      <c r="C69" s="5"/>
      <c r="D69" s="5"/>
      <c r="E69" s="5"/>
    </row>
    <row r="70" spans="1:5" x14ac:dyDescent="0.35">
      <c r="A70" s="5"/>
      <c r="B70" s="5"/>
      <c r="C70" s="5"/>
      <c r="D70" s="5"/>
      <c r="E70" s="5"/>
    </row>
    <row r="71" spans="1:5" x14ac:dyDescent="0.35">
      <c r="A71" s="5"/>
      <c r="B71" s="5"/>
      <c r="C71" s="5"/>
      <c r="D71" s="5"/>
      <c r="E71" s="5"/>
    </row>
    <row r="72" spans="1:5" x14ac:dyDescent="0.35">
      <c r="A72" s="5"/>
      <c r="B72" s="5"/>
      <c r="C72" s="5"/>
      <c r="D72" s="5"/>
      <c r="E72" s="5"/>
    </row>
    <row r="73" spans="1:5" x14ac:dyDescent="0.35">
      <c r="A73" s="5"/>
      <c r="B73" s="5"/>
      <c r="C73" s="5"/>
      <c r="D73" s="5"/>
      <c r="E73" s="5"/>
    </row>
    <row r="74" spans="1:5" x14ac:dyDescent="0.35">
      <c r="A74" s="5"/>
      <c r="B74" s="5"/>
      <c r="C74" s="5"/>
      <c r="D74" s="5"/>
      <c r="E74" s="5"/>
    </row>
    <row r="75" spans="1:5" x14ac:dyDescent="0.35">
      <c r="A75" s="5"/>
      <c r="B75" s="5"/>
      <c r="C75" s="5"/>
      <c r="D75" s="5"/>
      <c r="E75" s="5"/>
    </row>
    <row r="76" spans="1:5" x14ac:dyDescent="0.35">
      <c r="A76" s="5"/>
      <c r="B76" s="5"/>
      <c r="C76" s="5"/>
      <c r="D76" s="5"/>
      <c r="E76" s="5"/>
    </row>
    <row r="77" spans="1:5" x14ac:dyDescent="0.35">
      <c r="A77" s="5"/>
      <c r="B77" s="5"/>
      <c r="C77" s="5"/>
      <c r="D77" s="5"/>
      <c r="E77" s="5"/>
    </row>
    <row r="78" spans="1:5" x14ac:dyDescent="0.35">
      <c r="A78" s="5"/>
      <c r="B78" s="5"/>
      <c r="C78" s="5"/>
      <c r="D78" s="5"/>
      <c r="E78" s="5"/>
    </row>
    <row r="79" spans="1:5" x14ac:dyDescent="0.35">
      <c r="A79" s="5"/>
      <c r="B79" s="5"/>
      <c r="C79" s="5"/>
      <c r="D79" s="5"/>
      <c r="E79" s="5"/>
    </row>
    <row r="80" spans="1:5" x14ac:dyDescent="0.35">
      <c r="A80" s="5"/>
      <c r="B80" s="5"/>
      <c r="C80" s="5"/>
      <c r="D80" s="5"/>
      <c r="E80" s="5"/>
    </row>
    <row r="81" spans="1:5" x14ac:dyDescent="0.35">
      <c r="A81" s="5"/>
      <c r="B81" s="5"/>
      <c r="C81" s="5"/>
      <c r="D81" s="5"/>
      <c r="E81" s="5"/>
    </row>
    <row r="82" spans="1:5" x14ac:dyDescent="0.35">
      <c r="A82" s="5"/>
      <c r="B82" s="5"/>
      <c r="C82" s="5"/>
      <c r="D82" s="5"/>
      <c r="E82" s="5"/>
    </row>
    <row r="83" spans="1:5" x14ac:dyDescent="0.35">
      <c r="A83" s="5"/>
      <c r="B83" s="5"/>
      <c r="C83" s="5"/>
      <c r="D83" s="5"/>
      <c r="E83" s="5"/>
    </row>
    <row r="84" spans="1:5" x14ac:dyDescent="0.35">
      <c r="A84" s="5"/>
      <c r="B84" s="5"/>
      <c r="C84" s="5"/>
      <c r="D84" s="5"/>
      <c r="E84" s="5"/>
    </row>
    <row r="85" spans="1:5" x14ac:dyDescent="0.35">
      <c r="A85" s="5"/>
      <c r="B85" s="5"/>
      <c r="C85" s="5"/>
      <c r="D85" s="5"/>
      <c r="E85" s="5"/>
    </row>
    <row r="86" spans="1:5" x14ac:dyDescent="0.35">
      <c r="A86" s="5"/>
      <c r="B86" s="5"/>
      <c r="C86" s="5"/>
      <c r="D86" s="5"/>
      <c r="E86" s="5"/>
    </row>
    <row r="87" spans="1:5" x14ac:dyDescent="0.35">
      <c r="A87" s="5"/>
      <c r="B87" s="5"/>
      <c r="C87" s="5"/>
      <c r="D87" s="5"/>
      <c r="E87" s="5"/>
    </row>
    <row r="88" spans="1:5" x14ac:dyDescent="0.35">
      <c r="A88" s="5"/>
      <c r="B88" s="5"/>
      <c r="C88" s="5"/>
      <c r="D88" s="5"/>
      <c r="E88" s="5"/>
    </row>
  </sheetData>
  <mergeCells count="2">
    <mergeCell ref="A1:E1"/>
    <mergeCell ref="B3:E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3"/>
  <sheetViews>
    <sheetView zoomScale="85" zoomScaleNormal="85" workbookViewId="0">
      <pane xSplit="1" ySplit="1" topLeftCell="B2" activePane="bottomRight" state="frozen"/>
      <selection pane="topRight" activeCell="B1" sqref="B1"/>
      <selection pane="bottomLeft" activeCell="A2" sqref="A2"/>
      <selection pane="bottomRight" activeCell="A4" sqref="A4"/>
    </sheetView>
  </sheetViews>
  <sheetFormatPr defaultRowHeight="14.5" x14ac:dyDescent="0.35"/>
  <cols>
    <col min="1" max="1" width="10" customWidth="1"/>
    <col min="2" max="2" width="12" customWidth="1"/>
    <col min="3" max="5" width="18" customWidth="1"/>
    <col min="6" max="6" width="40" customWidth="1"/>
    <col min="7" max="7" width="16" customWidth="1"/>
    <col min="8" max="8" width="10" customWidth="1"/>
    <col min="9" max="9" width="22" customWidth="1"/>
    <col min="10" max="10" width="14" customWidth="1"/>
    <col min="11" max="11" width="18" customWidth="1"/>
    <col min="12" max="12" width="28" customWidth="1"/>
  </cols>
  <sheetData>
    <row r="1" spans="1:12" ht="16" customHeight="1" x14ac:dyDescent="0.35">
      <c r="A1" s="89" t="s">
        <v>1682</v>
      </c>
      <c r="B1" s="59"/>
      <c r="C1" s="59"/>
      <c r="D1" s="59"/>
      <c r="E1" s="59"/>
      <c r="F1" s="59"/>
      <c r="G1" s="59"/>
      <c r="H1" s="59"/>
      <c r="I1" s="59"/>
      <c r="J1" s="59"/>
      <c r="K1" s="59"/>
      <c r="L1" s="59"/>
    </row>
    <row r="3" spans="1:12" ht="43.5" customHeight="1" x14ac:dyDescent="0.35">
      <c r="A3" s="25" t="s">
        <v>1683</v>
      </c>
      <c r="B3" s="25" t="s">
        <v>1684</v>
      </c>
      <c r="C3" s="25" t="s">
        <v>1381</v>
      </c>
      <c r="D3" s="25" t="s">
        <v>1592</v>
      </c>
      <c r="E3" s="25" t="s">
        <v>1685</v>
      </c>
      <c r="F3" s="25" t="s">
        <v>1686</v>
      </c>
      <c r="G3" s="25" t="s">
        <v>1687</v>
      </c>
      <c r="H3" s="25" t="s">
        <v>1598</v>
      </c>
      <c r="I3" s="25" t="s">
        <v>1688</v>
      </c>
      <c r="J3" s="25" t="s">
        <v>1334</v>
      </c>
      <c r="K3" s="25" t="s">
        <v>1689</v>
      </c>
      <c r="L3" s="25" t="s">
        <v>1690</v>
      </c>
    </row>
    <row r="4" spans="1:12" x14ac:dyDescent="0.35">
      <c r="A4" s="26"/>
      <c r="B4" s="26"/>
      <c r="C4" s="26"/>
      <c r="D4" s="26"/>
      <c r="E4" s="26"/>
      <c r="F4" s="26"/>
      <c r="G4" s="26"/>
      <c r="H4" s="26"/>
      <c r="I4" s="26"/>
      <c r="J4" s="26"/>
      <c r="K4" s="26"/>
      <c r="L4" s="26"/>
    </row>
    <row r="5" spans="1:12" x14ac:dyDescent="0.35">
      <c r="A5" s="26"/>
      <c r="B5" s="26"/>
      <c r="C5" s="26"/>
      <c r="D5" s="26"/>
      <c r="E5" s="26"/>
      <c r="F5" s="26"/>
      <c r="G5" s="26"/>
      <c r="H5" s="26"/>
      <c r="I5" s="26"/>
      <c r="J5" s="26"/>
      <c r="K5" s="26"/>
      <c r="L5" s="26"/>
    </row>
    <row r="6" spans="1:12" x14ac:dyDescent="0.35">
      <c r="A6" s="26"/>
      <c r="B6" s="26"/>
      <c r="C6" s="26"/>
      <c r="D6" s="26"/>
      <c r="E6" s="26"/>
      <c r="F6" s="26"/>
      <c r="G6" s="26"/>
      <c r="H6" s="26"/>
      <c r="I6" s="26"/>
      <c r="J6" s="26"/>
      <c r="K6" s="26"/>
      <c r="L6" s="26"/>
    </row>
    <row r="7" spans="1:12" x14ac:dyDescent="0.35">
      <c r="A7" s="26"/>
      <c r="B7" s="26"/>
      <c r="C7" s="26"/>
      <c r="D7" s="26"/>
      <c r="E7" s="26"/>
      <c r="F7" s="26"/>
      <c r="G7" s="26"/>
      <c r="H7" s="26"/>
      <c r="I7" s="26"/>
      <c r="J7" s="26"/>
      <c r="K7" s="26"/>
      <c r="L7" s="26"/>
    </row>
    <row r="8" spans="1:12" x14ac:dyDescent="0.35">
      <c r="A8" s="26"/>
      <c r="B8" s="26"/>
      <c r="C8" s="26"/>
      <c r="D8" s="26"/>
      <c r="E8" s="26"/>
      <c r="F8" s="26"/>
      <c r="G8" s="26"/>
      <c r="H8" s="26"/>
      <c r="I8" s="26"/>
      <c r="J8" s="26"/>
      <c r="K8" s="26"/>
      <c r="L8" s="26"/>
    </row>
    <row r="9" spans="1:12" x14ac:dyDescent="0.35">
      <c r="A9" s="26"/>
      <c r="B9" s="26"/>
      <c r="C9" s="26"/>
      <c r="D9" s="26"/>
      <c r="E9" s="26"/>
      <c r="F9" s="26"/>
      <c r="G9" s="26"/>
      <c r="H9" s="26"/>
      <c r="I9" s="26"/>
      <c r="J9" s="26"/>
      <c r="K9" s="26"/>
      <c r="L9" s="26"/>
    </row>
    <row r="10" spans="1:12" x14ac:dyDescent="0.35">
      <c r="A10" s="26"/>
      <c r="B10" s="26"/>
      <c r="C10" s="26"/>
      <c r="D10" s="26"/>
      <c r="E10" s="26"/>
      <c r="F10" s="26"/>
      <c r="G10" s="26"/>
      <c r="H10" s="26"/>
      <c r="I10" s="26"/>
      <c r="J10" s="26"/>
      <c r="K10" s="26"/>
      <c r="L10" s="26"/>
    </row>
    <row r="11" spans="1:12" x14ac:dyDescent="0.35">
      <c r="A11" s="26"/>
      <c r="B11" s="26"/>
      <c r="C11" s="26"/>
      <c r="D11" s="26"/>
      <c r="E11" s="26"/>
      <c r="F11" s="26"/>
      <c r="G11" s="26"/>
      <c r="H11" s="26"/>
      <c r="I11" s="26"/>
      <c r="J11" s="26"/>
      <c r="K11" s="26"/>
      <c r="L11" s="26"/>
    </row>
    <row r="12" spans="1:12" x14ac:dyDescent="0.35">
      <c r="A12" s="26"/>
      <c r="B12" s="26"/>
      <c r="C12" s="26"/>
      <c r="D12" s="26"/>
      <c r="E12" s="26"/>
      <c r="F12" s="26"/>
      <c r="G12" s="26"/>
      <c r="H12" s="26"/>
      <c r="I12" s="26"/>
      <c r="J12" s="26"/>
      <c r="K12" s="26"/>
      <c r="L12" s="26"/>
    </row>
    <row r="13" spans="1:12" x14ac:dyDescent="0.35">
      <c r="A13" s="26"/>
      <c r="B13" s="26"/>
      <c r="C13" s="26"/>
      <c r="D13" s="26"/>
      <c r="E13" s="26"/>
      <c r="F13" s="26"/>
      <c r="G13" s="26"/>
      <c r="H13" s="26"/>
      <c r="I13" s="26"/>
      <c r="J13" s="26"/>
      <c r="K13" s="26"/>
      <c r="L13" s="26"/>
    </row>
    <row r="14" spans="1:12" x14ac:dyDescent="0.35">
      <c r="A14" s="26"/>
      <c r="B14" s="26"/>
      <c r="C14" s="26"/>
      <c r="D14" s="26"/>
      <c r="E14" s="26"/>
      <c r="F14" s="26"/>
      <c r="G14" s="26"/>
      <c r="H14" s="26"/>
      <c r="I14" s="26"/>
      <c r="J14" s="26"/>
      <c r="K14" s="26"/>
      <c r="L14" s="26"/>
    </row>
    <row r="15" spans="1:12" x14ac:dyDescent="0.35">
      <c r="A15" s="26"/>
      <c r="B15" s="26"/>
      <c r="C15" s="26"/>
      <c r="D15" s="26"/>
      <c r="E15" s="26"/>
      <c r="F15" s="26"/>
      <c r="G15" s="26"/>
      <c r="H15" s="26"/>
      <c r="I15" s="26"/>
      <c r="J15" s="26"/>
      <c r="K15" s="26"/>
      <c r="L15" s="26"/>
    </row>
    <row r="16" spans="1:12" x14ac:dyDescent="0.35">
      <c r="A16" s="26"/>
      <c r="B16" s="26"/>
      <c r="C16" s="26"/>
      <c r="D16" s="26"/>
      <c r="E16" s="26"/>
      <c r="F16" s="26"/>
      <c r="G16" s="26"/>
      <c r="H16" s="26"/>
      <c r="I16" s="26"/>
      <c r="J16" s="26"/>
      <c r="K16" s="26"/>
      <c r="L16" s="26"/>
    </row>
    <row r="17" spans="1:12" x14ac:dyDescent="0.35">
      <c r="A17" s="26"/>
      <c r="B17" s="26"/>
      <c r="C17" s="26"/>
      <c r="D17" s="26"/>
      <c r="E17" s="26"/>
      <c r="F17" s="26"/>
      <c r="G17" s="26"/>
      <c r="H17" s="26"/>
      <c r="I17" s="26"/>
      <c r="J17" s="26"/>
      <c r="K17" s="26"/>
      <c r="L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row r="20" spans="1:12" x14ac:dyDescent="0.35">
      <c r="A20" s="26"/>
      <c r="B20" s="26"/>
      <c r="C20" s="26"/>
      <c r="D20" s="26"/>
      <c r="E20" s="26"/>
      <c r="F20" s="26"/>
      <c r="G20" s="26"/>
      <c r="H20" s="26"/>
      <c r="I20" s="26"/>
      <c r="J20" s="26"/>
      <c r="K20" s="26"/>
      <c r="L20" s="26"/>
    </row>
    <row r="21" spans="1:12" x14ac:dyDescent="0.35">
      <c r="A21" s="26"/>
      <c r="B21" s="26"/>
      <c r="C21" s="26"/>
      <c r="D21" s="26"/>
      <c r="E21" s="26"/>
      <c r="F21" s="26"/>
      <c r="G21" s="26"/>
      <c r="H21" s="26"/>
      <c r="I21" s="26"/>
      <c r="J21" s="26"/>
      <c r="K21" s="26"/>
      <c r="L21" s="26"/>
    </row>
    <row r="22" spans="1:12" x14ac:dyDescent="0.35">
      <c r="A22" s="26"/>
      <c r="B22" s="26"/>
      <c r="C22" s="26"/>
      <c r="D22" s="26"/>
      <c r="E22" s="26"/>
      <c r="F22" s="26"/>
      <c r="G22" s="26"/>
      <c r="H22" s="26"/>
      <c r="I22" s="26"/>
      <c r="J22" s="26"/>
      <c r="K22" s="26"/>
      <c r="L22" s="26"/>
    </row>
    <row r="23" spans="1:12" x14ac:dyDescent="0.35">
      <c r="A23" s="26"/>
      <c r="B23" s="26"/>
      <c r="C23" s="26"/>
      <c r="D23" s="26"/>
      <c r="E23" s="26"/>
      <c r="F23" s="26"/>
      <c r="G23" s="26"/>
      <c r="H23" s="26"/>
      <c r="I23" s="26"/>
      <c r="J23" s="26"/>
      <c r="K23" s="26"/>
      <c r="L23" s="26"/>
    </row>
  </sheetData>
  <mergeCells count="1">
    <mergeCell ref="A1:L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8"/>
  <sheetViews>
    <sheetView workbookViewId="0">
      <pane xSplit="1" ySplit="1" topLeftCell="B2" activePane="bottomRight" state="frozen"/>
      <selection pane="topRight" activeCell="B1" sqref="B1"/>
      <selection pane="bottomLeft" activeCell="A2" sqref="A2"/>
      <selection pane="bottomRight" activeCell="C11" sqref="C11"/>
    </sheetView>
  </sheetViews>
  <sheetFormatPr defaultRowHeight="14.5" x14ac:dyDescent="0.35"/>
  <cols>
    <col min="1" max="1" width="22" customWidth="1"/>
    <col min="2" max="7" width="12" customWidth="1"/>
  </cols>
  <sheetData>
    <row r="1" spans="1:8" ht="16" customHeight="1" x14ac:dyDescent="0.35">
      <c r="A1" s="89" t="s">
        <v>1691</v>
      </c>
      <c r="B1" s="59"/>
      <c r="C1" s="59"/>
      <c r="D1" s="59"/>
      <c r="E1" s="59"/>
      <c r="F1" s="59"/>
      <c r="G1" s="59"/>
      <c r="H1" s="59"/>
    </row>
    <row r="3" spans="1:8" x14ac:dyDescent="0.35">
      <c r="A3" s="30" t="s">
        <v>1692</v>
      </c>
      <c r="B3" s="67" t="s">
        <v>1693</v>
      </c>
      <c r="C3" s="59"/>
      <c r="D3" s="59"/>
      <c r="E3" s="59"/>
      <c r="F3" s="59"/>
      <c r="G3" s="59"/>
      <c r="H3" s="59"/>
    </row>
    <row r="5" spans="1:8" x14ac:dyDescent="0.35">
      <c r="A5" s="72" t="s">
        <v>1694</v>
      </c>
      <c r="B5" s="59"/>
      <c r="C5" s="59"/>
      <c r="D5" s="59"/>
      <c r="E5" s="59"/>
      <c r="F5" s="59"/>
      <c r="G5" s="59"/>
      <c r="H5" s="59"/>
    </row>
    <row r="7" spans="1:8" x14ac:dyDescent="0.35">
      <c r="A7" s="25" t="s">
        <v>1695</v>
      </c>
      <c r="B7" s="25" t="s">
        <v>1696</v>
      </c>
      <c r="C7" s="25" t="s">
        <v>1697</v>
      </c>
      <c r="D7" s="25" t="s">
        <v>1698</v>
      </c>
      <c r="E7" s="25" t="s">
        <v>1699</v>
      </c>
      <c r="F7" s="25" t="s">
        <v>1700</v>
      </c>
      <c r="G7" s="25" t="s">
        <v>1701</v>
      </c>
    </row>
    <row r="8" spans="1:8" x14ac:dyDescent="0.35">
      <c r="A8" s="26" t="s">
        <v>1702</v>
      </c>
      <c r="B8" s="26">
        <f>COUNTIFS('Idea Log'!$G$4:$G$500,"STEM/STEAM",'Idea Log'!$H$4:$H$500,"PK–5")</f>
        <v>0</v>
      </c>
      <c r="C8" s="26">
        <f>COUNTIFS('Idea Log'!$G$4:$G$500,"STEM/STEAM",'Idea Log'!$H$4:$H$500,"6–8")</f>
        <v>0</v>
      </c>
      <c r="D8" s="26">
        <f>COUNTIFS('Idea Log'!$G$4:$G$500,"STEM/STEAM",'Idea Log'!$H$4:$H$500,"9–12")</f>
        <v>0</v>
      </c>
      <c r="E8" s="26">
        <f>COUNTIFS('Idea Log'!$G$4:$G$500,"STEM/STEAM",'Idea Log'!$H$4:$H$500,"K–8")</f>
        <v>0</v>
      </c>
      <c r="F8" s="26">
        <f>COUNTIFS('Idea Log'!$G$4:$G$500,"STEM/STEAM",'Idea Log'!$H$4:$H$500,"Districtwide")</f>
        <v>0</v>
      </c>
      <c r="G8" s="26">
        <f t="shared" ref="G8:G15" si="0">SUM(B8:F8)</f>
        <v>0</v>
      </c>
    </row>
    <row r="9" spans="1:8" x14ac:dyDescent="0.35">
      <c r="A9" s="26" t="s">
        <v>1703</v>
      </c>
      <c r="B9" s="26">
        <f>COUNTIFS('Idea Log'!$G$4:$G$500,"Arts",'Idea Log'!$H$4:$H$500,"PK–5")</f>
        <v>0</v>
      </c>
      <c r="C9" s="26">
        <f>COUNTIFS('Idea Log'!$G$4:$G$500,"Arts",'Idea Log'!$H$4:$H$500,"6–8")</f>
        <v>0</v>
      </c>
      <c r="D9" s="26">
        <f>COUNTIFS('Idea Log'!$G$4:$G$500,"Arts",'Idea Log'!$H$4:$H$500,"9–12")</f>
        <v>0</v>
      </c>
      <c r="E9" s="26">
        <f>COUNTIFS('Idea Log'!$G$4:$G$500,"Arts",'Idea Log'!$H$4:$H$500,"K–8")</f>
        <v>0</v>
      </c>
      <c r="F9" s="26">
        <f>COUNTIFS('Idea Log'!$G$4:$G$500,"Arts",'Idea Log'!$H$4:$H$500,"Districtwide")</f>
        <v>0</v>
      </c>
      <c r="G9" s="26">
        <f t="shared" si="0"/>
        <v>0</v>
      </c>
    </row>
    <row r="10" spans="1:8" x14ac:dyDescent="0.35">
      <c r="A10" s="26" t="s">
        <v>1704</v>
      </c>
      <c r="B10" s="26">
        <f>COUNTIFS('Idea Log'!$G$4:$G$500,"Gifted/Advanced",'Idea Log'!$H$4:$H$500,"PK–5")</f>
        <v>0</v>
      </c>
      <c r="C10" s="26">
        <f>COUNTIFS('Idea Log'!$G$4:$G$500,"Gifted/Advanced",'Idea Log'!$H$4:$H$500,"6–8")</f>
        <v>0</v>
      </c>
      <c r="D10" s="26">
        <f>COUNTIFS('Idea Log'!$G$4:$G$500,"Gifted/Advanced",'Idea Log'!$H$4:$H$500,"9–12")</f>
        <v>0</v>
      </c>
      <c r="E10" s="26">
        <f>COUNTIFS('Idea Log'!$G$4:$G$500,"Gifted/Advanced",'Idea Log'!$H$4:$H$500,"K–8")</f>
        <v>0</v>
      </c>
      <c r="F10" s="26">
        <f>COUNTIFS('Idea Log'!$G$4:$G$500,"Gifted/Advanced",'Idea Log'!$H$4:$H$500,"Districtwide")</f>
        <v>0</v>
      </c>
      <c r="G10" s="26">
        <f t="shared" si="0"/>
        <v>0</v>
      </c>
    </row>
    <row r="11" spans="1:8" x14ac:dyDescent="0.35">
      <c r="A11" s="26" t="s">
        <v>1705</v>
      </c>
      <c r="B11" s="26">
        <f>COUNTIFS('Idea Log'!$G$4:$G$500,"Language/DLI",'Idea Log'!$H$4:$H$500,"PK–5")</f>
        <v>0</v>
      </c>
      <c r="C11" s="26">
        <f>COUNTIFS('Idea Log'!$G$4:$G$500,"Language/DLI",'Idea Log'!$H$4:$H$500,"6–8")</f>
        <v>0</v>
      </c>
      <c r="D11" s="26">
        <f>COUNTIFS('Idea Log'!$G$4:$G$500,"Language/DLI",'Idea Log'!$H$4:$H$500,"9–12")</f>
        <v>0</v>
      </c>
      <c r="E11" s="26">
        <f>COUNTIFS('Idea Log'!$G$4:$G$500,"Language/DLI",'Idea Log'!$H$4:$H$500,"K–8")</f>
        <v>0</v>
      </c>
      <c r="F11" s="26">
        <f>COUNTIFS('Idea Log'!$G$4:$G$500,"Language/DLI",'Idea Log'!$H$4:$H$500,"Districtwide")</f>
        <v>0</v>
      </c>
      <c r="G11" s="26">
        <f t="shared" si="0"/>
        <v>0</v>
      </c>
    </row>
    <row r="12" spans="1:8" x14ac:dyDescent="0.35">
      <c r="A12" s="26" t="s">
        <v>1706</v>
      </c>
      <c r="B12" s="26">
        <f>COUNTIFS('Idea Log'!$G$4:$G$500,"College/Career",'Idea Log'!$H$4:$H$500,"PK–5")</f>
        <v>0</v>
      </c>
      <c r="C12" s="26">
        <f>COUNTIFS('Idea Log'!$G$4:$G$500,"College/Career",'Idea Log'!$H$4:$H$500,"6–8")</f>
        <v>0</v>
      </c>
      <c r="D12" s="26">
        <f>COUNTIFS('Idea Log'!$G$4:$G$500,"College/Career",'Idea Log'!$H$4:$H$500,"9–12")</f>
        <v>0</v>
      </c>
      <c r="E12" s="26">
        <f>COUNTIFS('Idea Log'!$G$4:$G$500,"College/Career",'Idea Log'!$H$4:$H$500,"K–8")</f>
        <v>0</v>
      </c>
      <c r="F12" s="26">
        <f>COUNTIFS('Idea Log'!$G$4:$G$500,"College/Career",'Idea Log'!$H$4:$H$500,"Districtwide")</f>
        <v>0</v>
      </c>
      <c r="G12" s="26">
        <f t="shared" si="0"/>
        <v>0</v>
      </c>
    </row>
    <row r="13" spans="1:8" x14ac:dyDescent="0.35">
      <c r="A13" s="26" t="s">
        <v>1707</v>
      </c>
      <c r="B13" s="26">
        <f>COUNTIFS('Idea Log'!$G$4:$G$500,"Traditional/Structure",'Idea Log'!$H$4:$H$500,"PK–5")</f>
        <v>0</v>
      </c>
      <c r="C13" s="26">
        <f>COUNTIFS('Idea Log'!$G$4:$G$500,"Traditional/Structure",'Idea Log'!$H$4:$H$500,"6–8")</f>
        <v>0</v>
      </c>
      <c r="D13" s="26">
        <f>COUNTIFS('Idea Log'!$G$4:$G$500,"Traditional/Structure",'Idea Log'!$H$4:$H$500,"9–12")</f>
        <v>0</v>
      </c>
      <c r="E13" s="26">
        <f>COUNTIFS('Idea Log'!$G$4:$G$500,"Traditional/Structure",'Idea Log'!$H$4:$H$500,"K–8")</f>
        <v>0</v>
      </c>
      <c r="F13" s="26">
        <f>COUNTIFS('Idea Log'!$G$4:$G$500,"Traditional/Structure",'Idea Log'!$H$4:$H$500,"Districtwide")</f>
        <v>0</v>
      </c>
      <c r="G13" s="26">
        <f t="shared" si="0"/>
        <v>0</v>
      </c>
    </row>
    <row r="14" spans="1:8" x14ac:dyDescent="0.35">
      <c r="A14" s="26" t="s">
        <v>1708</v>
      </c>
      <c r="B14" s="26">
        <f>COUNTIFS('Idea Log'!$G$4:$G$500,"SEL/Well-being",'Idea Log'!$H$4:$H$500,"PK–5")</f>
        <v>0</v>
      </c>
      <c r="C14" s="26">
        <f>COUNTIFS('Idea Log'!$G$4:$G$500,"SEL/Well-being",'Idea Log'!$H$4:$H$500,"6–8")</f>
        <v>0</v>
      </c>
      <c r="D14" s="26">
        <f>COUNTIFS('Idea Log'!$G$4:$G$500,"SEL/Well-being",'Idea Log'!$H$4:$H$500,"9–12")</f>
        <v>0</v>
      </c>
      <c r="E14" s="26">
        <f>COUNTIFS('Idea Log'!$G$4:$G$500,"SEL/Well-being",'Idea Log'!$H$4:$H$500,"K–8")</f>
        <v>0</v>
      </c>
      <c r="F14" s="26">
        <f>COUNTIFS('Idea Log'!$G$4:$G$500,"SEL/Well-being",'Idea Log'!$H$4:$H$500,"Districtwide")</f>
        <v>0</v>
      </c>
      <c r="G14" s="26">
        <f t="shared" si="0"/>
        <v>0</v>
      </c>
    </row>
    <row r="15" spans="1:8" x14ac:dyDescent="0.35">
      <c r="A15" s="26" t="s">
        <v>1709</v>
      </c>
      <c r="B15" s="26">
        <f>COUNTIFS('Idea Log'!$G$4:$G$500,"Other",'Idea Log'!$H$4:$H$500,"PK–5")</f>
        <v>0</v>
      </c>
      <c r="C15" s="26">
        <f>COUNTIFS('Idea Log'!$G$4:$G$500,"Other",'Idea Log'!$H$4:$H$500,"6–8")</f>
        <v>0</v>
      </c>
      <c r="D15" s="26">
        <f>COUNTIFS('Idea Log'!$G$4:$G$500,"Other",'Idea Log'!$H$4:$H$500,"9–12")</f>
        <v>0</v>
      </c>
      <c r="E15" s="26">
        <f>COUNTIFS('Idea Log'!$G$4:$G$500,"Other",'Idea Log'!$H$4:$H$500,"K–8")</f>
        <v>0</v>
      </c>
      <c r="F15" s="26">
        <f>COUNTIFS('Idea Log'!$G$4:$G$500,"Other",'Idea Log'!$H$4:$H$500,"Districtwide")</f>
        <v>0</v>
      </c>
      <c r="G15" s="26">
        <f t="shared" si="0"/>
        <v>0</v>
      </c>
    </row>
    <row r="16" spans="1:8" x14ac:dyDescent="0.35">
      <c r="A16" s="26" t="s">
        <v>1701</v>
      </c>
      <c r="B16" s="26">
        <f t="shared" ref="B16:G16" si="1">SUM(B8:B15)</f>
        <v>0</v>
      </c>
      <c r="C16" s="26">
        <f t="shared" si="1"/>
        <v>0</v>
      </c>
      <c r="D16" s="26">
        <f t="shared" si="1"/>
        <v>0</v>
      </c>
      <c r="E16" s="26">
        <f t="shared" si="1"/>
        <v>0</v>
      </c>
      <c r="F16" s="26">
        <f t="shared" si="1"/>
        <v>0</v>
      </c>
      <c r="G16" s="26">
        <f t="shared" si="1"/>
        <v>0</v>
      </c>
    </row>
    <row r="18" spans="1:7" x14ac:dyDescent="0.35">
      <c r="A18" s="90" t="s">
        <v>1710</v>
      </c>
      <c r="B18" s="59"/>
      <c r="C18" s="59"/>
      <c r="D18" s="59"/>
      <c r="E18" s="59"/>
      <c r="F18" s="59"/>
      <c r="G18" s="59"/>
    </row>
  </sheetData>
  <mergeCells count="4">
    <mergeCell ref="A18:G18"/>
    <mergeCell ref="B3:H3"/>
    <mergeCell ref="A5:H5"/>
    <mergeCell ref="A1:H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2"/>
  <sheetViews>
    <sheetView showGridLines="0" workbookViewId="0">
      <pane xSplit="1" ySplit="1" topLeftCell="B2" activePane="bottomRight" state="frozen"/>
      <selection pane="topRight" activeCell="B1" sqref="B1"/>
      <selection pane="bottomLeft" activeCell="A2" sqref="A2"/>
      <selection pane="bottomRight" activeCell="G3" sqref="G3"/>
    </sheetView>
  </sheetViews>
  <sheetFormatPr defaultRowHeight="14.5" x14ac:dyDescent="0.35"/>
  <cols>
    <col min="1" max="1" width="14" customWidth="1"/>
    <col min="2" max="2" width="18" customWidth="1"/>
    <col min="3" max="3" width="10" customWidth="1"/>
    <col min="4" max="4" width="20" customWidth="1"/>
    <col min="5" max="5" width="26" customWidth="1"/>
    <col min="6" max="6" width="14" customWidth="1"/>
    <col min="7" max="9" width="26" customWidth="1"/>
    <col min="10" max="10" width="20" customWidth="1"/>
    <col min="11" max="11" width="18" customWidth="1"/>
    <col min="12" max="12" width="28" customWidth="1"/>
    <col min="13" max="13" width="22" customWidth="1"/>
    <col min="14" max="14" width="30" customWidth="1"/>
    <col min="15" max="15" width="12" customWidth="1"/>
    <col min="16" max="16" width="22" customWidth="1"/>
    <col min="17" max="17" width="16" customWidth="1"/>
    <col min="18" max="18" width="22" customWidth="1"/>
    <col min="19" max="22" width="28" customWidth="1"/>
  </cols>
  <sheetData>
    <row r="1" spans="1:24" ht="28" customHeight="1" x14ac:dyDescent="0.35">
      <c r="A1" s="25" t="s">
        <v>1711</v>
      </c>
      <c r="B1" s="25" t="s">
        <v>1712</v>
      </c>
      <c r="C1" s="25" t="s">
        <v>1713</v>
      </c>
      <c r="D1" s="25" t="s">
        <v>567</v>
      </c>
      <c r="E1" s="25" t="s">
        <v>1714</v>
      </c>
      <c r="F1" s="25" t="s">
        <v>1684</v>
      </c>
      <c r="G1" s="25" t="s">
        <v>1715</v>
      </c>
      <c r="H1" s="25" t="s">
        <v>1716</v>
      </c>
      <c r="I1" s="25" t="s">
        <v>1717</v>
      </c>
      <c r="J1" s="25" t="s">
        <v>1718</v>
      </c>
      <c r="K1" s="25" t="s">
        <v>1719</v>
      </c>
      <c r="L1" s="25" t="s">
        <v>1720</v>
      </c>
      <c r="M1" s="25" t="s">
        <v>1721</v>
      </c>
      <c r="N1" s="25" t="s">
        <v>1722</v>
      </c>
      <c r="O1" s="25" t="s">
        <v>1723</v>
      </c>
      <c r="P1" s="25" t="s">
        <v>1472</v>
      </c>
      <c r="Q1" s="25" t="s">
        <v>1724</v>
      </c>
      <c r="R1" s="25" t="s">
        <v>1725</v>
      </c>
      <c r="S1" s="25" t="s">
        <v>1726</v>
      </c>
      <c r="T1" s="25" t="s">
        <v>1727</v>
      </c>
      <c r="U1" s="25" t="s">
        <v>1633</v>
      </c>
      <c r="V1" s="25" t="s">
        <v>1728</v>
      </c>
      <c r="W1" s="25" t="s">
        <v>1729</v>
      </c>
      <c r="X1" s="25" t="s">
        <v>1730</v>
      </c>
    </row>
    <row r="2" spans="1:24" x14ac:dyDescent="0.35">
      <c r="C2" s="5" t="s">
        <v>1731</v>
      </c>
      <c r="D2" s="5"/>
      <c r="E2" s="5"/>
      <c r="F2" s="5"/>
      <c r="G2" s="5"/>
      <c r="H2" s="5"/>
      <c r="I2" s="5"/>
      <c r="J2" s="5"/>
      <c r="K2" s="5"/>
      <c r="L2" s="5"/>
      <c r="M2" s="5"/>
      <c r="N2" s="5"/>
      <c r="O2" s="5"/>
      <c r="P2" s="5"/>
      <c r="Q2" s="5"/>
      <c r="R2" s="5"/>
      <c r="S2" s="5"/>
      <c r="T2" s="5"/>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45"/>
  <sheetViews>
    <sheetView showGridLines="0" workbookViewId="0">
      <selection activeCell="B4" sqref="B4"/>
    </sheetView>
  </sheetViews>
  <sheetFormatPr defaultRowHeight="14.5" x14ac:dyDescent="0.35"/>
  <cols>
    <col min="1" max="1" width="34" customWidth="1"/>
    <col min="2" max="2" width="90" customWidth="1"/>
    <col min="3" max="3" width="30" customWidth="1"/>
  </cols>
  <sheetData>
    <row r="1" spans="1:3" ht="28" customHeight="1" x14ac:dyDescent="0.35">
      <c r="A1" s="3" t="s">
        <v>1732</v>
      </c>
      <c r="B1" s="3" t="s">
        <v>1733</v>
      </c>
      <c r="C1" s="3" t="s">
        <v>1734</v>
      </c>
    </row>
    <row r="2" spans="1:3" ht="29" customHeight="1" x14ac:dyDescent="0.35">
      <c r="A2" s="2" t="s">
        <v>1735</v>
      </c>
      <c r="B2" s="2" t="s">
        <v>1736</v>
      </c>
      <c r="C2" s="2"/>
    </row>
    <row r="3" spans="1:3" x14ac:dyDescent="0.35">
      <c r="A3" s="2" t="s">
        <v>1737</v>
      </c>
      <c r="B3" s="2" t="s">
        <v>1678</v>
      </c>
      <c r="C3" s="2"/>
    </row>
    <row r="4" spans="1:3" ht="29" customHeight="1" x14ac:dyDescent="0.35">
      <c r="A4" s="2" t="s">
        <v>395</v>
      </c>
      <c r="B4" s="2" t="s">
        <v>1738</v>
      </c>
      <c r="C4" s="2"/>
    </row>
    <row r="5" spans="1:3" ht="29" customHeight="1" x14ac:dyDescent="0.35">
      <c r="A5" s="2" t="s">
        <v>400</v>
      </c>
      <c r="B5" s="2" t="s">
        <v>1739</v>
      </c>
      <c r="C5" s="2"/>
    </row>
    <row r="6" spans="1:3" ht="29" customHeight="1" x14ac:dyDescent="0.35">
      <c r="A6" s="2" t="s">
        <v>404</v>
      </c>
      <c r="B6" s="2" t="s">
        <v>1740</v>
      </c>
      <c r="C6" s="2"/>
    </row>
    <row r="7" spans="1:3" ht="29" customHeight="1" x14ac:dyDescent="0.35">
      <c r="A7" s="2" t="s">
        <v>1741</v>
      </c>
      <c r="B7" s="2" t="s">
        <v>1742</v>
      </c>
      <c r="C7" s="2"/>
    </row>
    <row r="8" spans="1:3" ht="29" customHeight="1" x14ac:dyDescent="0.35">
      <c r="A8" s="2" t="s">
        <v>405</v>
      </c>
      <c r="B8" s="2" t="s">
        <v>1743</v>
      </c>
      <c r="C8" s="2"/>
    </row>
    <row r="9" spans="1:3" ht="29" customHeight="1" x14ac:dyDescent="0.35">
      <c r="A9" s="2" t="s">
        <v>401</v>
      </c>
      <c r="B9" s="2" t="s">
        <v>1744</v>
      </c>
      <c r="C9" s="2"/>
    </row>
    <row r="10" spans="1:3" ht="29" customHeight="1" x14ac:dyDescent="0.35">
      <c r="A10" s="2" t="s">
        <v>1745</v>
      </c>
      <c r="B10" s="2" t="s">
        <v>1746</v>
      </c>
      <c r="C10" s="2"/>
    </row>
    <row r="11" spans="1:3" ht="29" customHeight="1" x14ac:dyDescent="0.35">
      <c r="A11" s="2" t="s">
        <v>1747</v>
      </c>
      <c r="B11" s="2" t="s">
        <v>1748</v>
      </c>
      <c r="C11" s="2"/>
    </row>
    <row r="12" spans="1:3" ht="29" customHeight="1" x14ac:dyDescent="0.35">
      <c r="A12" s="2" t="s">
        <v>1749</v>
      </c>
      <c r="B12" s="2" t="s">
        <v>1750</v>
      </c>
      <c r="C12" s="2"/>
    </row>
    <row r="13" spans="1:3" ht="29" customHeight="1" x14ac:dyDescent="0.35">
      <c r="A13" s="2" t="s">
        <v>1751</v>
      </c>
      <c r="B13" s="2" t="s">
        <v>1752</v>
      </c>
      <c r="C13" s="2"/>
    </row>
    <row r="15" spans="1:3" ht="28" customHeight="1" x14ac:dyDescent="0.35">
      <c r="A15" s="3" t="s">
        <v>1732</v>
      </c>
      <c r="B15" s="3" t="s">
        <v>1733</v>
      </c>
      <c r="C15" s="3" t="s">
        <v>1734</v>
      </c>
    </row>
    <row r="16" spans="1:3" ht="29" customHeight="1" x14ac:dyDescent="0.35">
      <c r="A16" s="2" t="s">
        <v>1735</v>
      </c>
      <c r="B16" s="2" t="s">
        <v>1753</v>
      </c>
      <c r="C16" s="2"/>
    </row>
    <row r="17" spans="1:3" x14ac:dyDescent="0.35">
      <c r="A17" s="2" t="s">
        <v>1754</v>
      </c>
      <c r="B17" s="2" t="s">
        <v>1755</v>
      </c>
      <c r="C17" s="2"/>
    </row>
    <row r="18" spans="1:3" x14ac:dyDescent="0.35">
      <c r="A18" s="2" t="s">
        <v>1756</v>
      </c>
      <c r="B18" s="2" t="s">
        <v>1757</v>
      </c>
      <c r="C18" s="2"/>
    </row>
    <row r="19" spans="1:3" ht="29" customHeight="1" x14ac:dyDescent="0.35">
      <c r="A19" s="2" t="s">
        <v>1758</v>
      </c>
      <c r="B19" s="2" t="s">
        <v>1759</v>
      </c>
      <c r="C19" s="2"/>
    </row>
    <row r="20" spans="1:3" ht="29" customHeight="1" x14ac:dyDescent="0.35">
      <c r="A20" s="2" t="s">
        <v>1760</v>
      </c>
      <c r="B20" s="2" t="s">
        <v>1761</v>
      </c>
      <c r="C20" s="2"/>
    </row>
    <row r="21" spans="1:3" ht="29" customHeight="1" x14ac:dyDescent="0.35">
      <c r="A21" s="2" t="s">
        <v>1762</v>
      </c>
      <c r="B21" s="2" t="s">
        <v>1763</v>
      </c>
      <c r="C21" s="2"/>
    </row>
    <row r="22" spans="1:3" ht="29" customHeight="1" x14ac:dyDescent="0.35">
      <c r="A22" s="2" t="s">
        <v>1764</v>
      </c>
      <c r="B22" s="2" t="s">
        <v>1765</v>
      </c>
      <c r="C22" s="2"/>
    </row>
    <row r="23" spans="1:3" ht="29" customHeight="1" x14ac:dyDescent="0.35">
      <c r="A23" s="2" t="s">
        <v>1766</v>
      </c>
      <c r="B23" s="2" t="s">
        <v>1767</v>
      </c>
      <c r="C23" s="2"/>
    </row>
    <row r="24" spans="1:3" x14ac:dyDescent="0.35">
      <c r="A24" s="2" t="s">
        <v>1768</v>
      </c>
      <c r="B24" s="2" t="s">
        <v>1769</v>
      </c>
      <c r="C24" s="2"/>
    </row>
    <row r="25" spans="1:3" x14ac:dyDescent="0.35">
      <c r="A25" s="2" t="s">
        <v>1770</v>
      </c>
      <c r="B25" s="2" t="s">
        <v>1771</v>
      </c>
      <c r="C25" s="2"/>
    </row>
    <row r="26" spans="1:3" ht="29" customHeight="1" x14ac:dyDescent="0.35">
      <c r="A26" s="2" t="s">
        <v>1772</v>
      </c>
      <c r="B26" s="2" t="s">
        <v>1773</v>
      </c>
      <c r="C26" s="2"/>
    </row>
    <row r="27" spans="1:3" x14ac:dyDescent="0.35">
      <c r="A27" s="2" t="s">
        <v>1774</v>
      </c>
      <c r="B27" s="2" t="s">
        <v>1775</v>
      </c>
      <c r="C27" s="2"/>
    </row>
    <row r="28" spans="1:3" x14ac:dyDescent="0.35">
      <c r="A28" s="2" t="s">
        <v>1776</v>
      </c>
      <c r="B28" s="2" t="s">
        <v>1777</v>
      </c>
      <c r="C28" s="2"/>
    </row>
    <row r="29" spans="1:3" x14ac:dyDescent="0.35">
      <c r="A29" s="2" t="s">
        <v>1778</v>
      </c>
      <c r="B29" s="2" t="s">
        <v>1779</v>
      </c>
      <c r="C29" s="2"/>
    </row>
    <row r="31" spans="1:3" x14ac:dyDescent="0.35">
      <c r="A31" t="s">
        <v>1732</v>
      </c>
      <c r="B31" t="s">
        <v>1733</v>
      </c>
      <c r="C31" t="s">
        <v>1734</v>
      </c>
    </row>
    <row r="32" spans="1:3" x14ac:dyDescent="0.35">
      <c r="A32" t="s">
        <v>1780</v>
      </c>
      <c r="B32" t="s">
        <v>1781</v>
      </c>
    </row>
    <row r="33" spans="1:2" x14ac:dyDescent="0.35">
      <c r="A33" t="s">
        <v>1782</v>
      </c>
      <c r="B33" t="s">
        <v>1783</v>
      </c>
    </row>
    <row r="34" spans="1:2" x14ac:dyDescent="0.35">
      <c r="A34" t="s">
        <v>1784</v>
      </c>
      <c r="B34" t="s">
        <v>1785</v>
      </c>
    </row>
    <row r="35" spans="1:2" x14ac:dyDescent="0.35">
      <c r="A35" t="s">
        <v>1786</v>
      </c>
      <c r="B35" t="s">
        <v>1787</v>
      </c>
    </row>
    <row r="36" spans="1:2" x14ac:dyDescent="0.35">
      <c r="A36" t="s">
        <v>1788</v>
      </c>
      <c r="B36" t="s">
        <v>1789</v>
      </c>
    </row>
    <row r="37" spans="1:2" x14ac:dyDescent="0.35">
      <c r="A37" t="s">
        <v>1790</v>
      </c>
      <c r="B37" t="s">
        <v>1791</v>
      </c>
    </row>
    <row r="38" spans="1:2" x14ac:dyDescent="0.35">
      <c r="A38" t="s">
        <v>1792</v>
      </c>
      <c r="B38" t="s">
        <v>1793</v>
      </c>
    </row>
    <row r="39" spans="1:2" x14ac:dyDescent="0.35">
      <c r="A39" t="s">
        <v>1794</v>
      </c>
      <c r="B39" t="s">
        <v>1795</v>
      </c>
    </row>
    <row r="40" spans="1:2" x14ac:dyDescent="0.35">
      <c r="A40" t="s">
        <v>1796</v>
      </c>
      <c r="B40" t="s">
        <v>1797</v>
      </c>
    </row>
    <row r="41" spans="1:2" x14ac:dyDescent="0.35">
      <c r="A41" t="s">
        <v>1798</v>
      </c>
      <c r="B41" t="s">
        <v>1799</v>
      </c>
    </row>
    <row r="42" spans="1:2" x14ac:dyDescent="0.35">
      <c r="A42" t="s">
        <v>1800</v>
      </c>
      <c r="B42" t="s">
        <v>1801</v>
      </c>
    </row>
    <row r="43" spans="1:2" x14ac:dyDescent="0.35">
      <c r="A43" t="s">
        <v>1802</v>
      </c>
      <c r="B43" t="s">
        <v>1803</v>
      </c>
    </row>
    <row r="44" spans="1:2" x14ac:dyDescent="0.35">
      <c r="A44" t="s">
        <v>1804</v>
      </c>
      <c r="B44" t="s">
        <v>1805</v>
      </c>
    </row>
    <row r="45" spans="1:2" x14ac:dyDescent="0.35">
      <c r="A45" t="s">
        <v>1806</v>
      </c>
      <c r="B45" t="s">
        <v>1807</v>
      </c>
    </row>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6" width="35" customWidth="1"/>
    <col min="7" max="7" width="22.453125" customWidth="1"/>
    <col min="8" max="8" width="35" customWidth="1"/>
    <col min="9" max="10" width="10" customWidth="1"/>
    <col min="11" max="11" width="10.81640625" customWidth="1"/>
    <col min="12" max="12" width="10" customWidth="1"/>
    <col min="13" max="13" width="27" customWidth="1"/>
    <col min="14" max="14" width="21.6328125" customWidth="1"/>
    <col min="15" max="15" width="19.81640625" customWidth="1"/>
    <col min="16" max="16" width="28.81640625" customWidth="1"/>
    <col min="17" max="17" width="26.08984375" customWidth="1"/>
    <col min="18" max="18" width="10" customWidth="1"/>
    <col min="19" max="20" width="11.7265625" customWidth="1"/>
    <col min="21" max="21" width="10" customWidth="1"/>
    <col min="22" max="23" width="11.7265625" customWidth="1"/>
    <col min="24" max="24" width="13.453125" customWidth="1"/>
  </cols>
  <sheetData>
    <row r="1" spans="1:24" ht="24" customHeight="1" x14ac:dyDescent="0.35">
      <c r="A1" s="97" t="s">
        <v>1808</v>
      </c>
      <c r="B1" s="95"/>
      <c r="C1" s="95"/>
      <c r="D1" s="95"/>
      <c r="E1" s="95"/>
      <c r="F1" s="95"/>
      <c r="G1" s="95"/>
      <c r="H1" s="95"/>
      <c r="I1" s="95"/>
      <c r="J1" s="95"/>
      <c r="K1" s="95"/>
      <c r="L1" s="95"/>
      <c r="M1" s="95"/>
      <c r="N1" s="95"/>
      <c r="O1" s="95"/>
      <c r="P1" s="95"/>
      <c r="Q1" s="95"/>
      <c r="R1" s="95"/>
      <c r="S1" s="95"/>
      <c r="T1" s="95"/>
      <c r="U1" s="95"/>
      <c r="V1" s="95"/>
      <c r="W1" s="95"/>
      <c r="X1" s="96"/>
    </row>
    <row r="3" spans="1:24" ht="24" customHeight="1" x14ac:dyDescent="0.35">
      <c r="A3" s="8" t="s">
        <v>1809</v>
      </c>
      <c r="B3" s="8" t="s">
        <v>643</v>
      </c>
    </row>
    <row r="4" spans="1:24" ht="30" customHeight="1" x14ac:dyDescent="0.35">
      <c r="A4" s="9" t="s">
        <v>2</v>
      </c>
      <c r="B4" s="9" t="s">
        <v>1810</v>
      </c>
    </row>
    <row r="5" spans="1:24" ht="30" customHeight="1" x14ac:dyDescent="0.35">
      <c r="A5" s="9" t="s">
        <v>1692</v>
      </c>
      <c r="B5" s="9" t="s">
        <v>1811</v>
      </c>
    </row>
    <row r="7" spans="1:24" ht="24" customHeight="1" x14ac:dyDescent="0.35">
      <c r="A7" s="94" t="s">
        <v>1812</v>
      </c>
      <c r="B7" s="95"/>
      <c r="C7" s="95"/>
      <c r="D7" s="95"/>
      <c r="E7" s="95"/>
      <c r="F7" s="95"/>
      <c r="G7" s="95"/>
      <c r="H7" s="95"/>
      <c r="I7" s="95"/>
      <c r="J7" s="95"/>
      <c r="K7" s="95"/>
      <c r="L7" s="96"/>
    </row>
    <row r="8" spans="1:24" ht="24" customHeight="1" x14ac:dyDescent="0.35">
      <c r="A8" s="8" t="s">
        <v>1813</v>
      </c>
      <c r="B8" s="8" t="s">
        <v>1814</v>
      </c>
      <c r="C8" s="8" t="s">
        <v>1815</v>
      </c>
      <c r="D8" s="8" t="s">
        <v>1816</v>
      </c>
      <c r="E8" s="8" t="s">
        <v>1817</v>
      </c>
      <c r="F8" s="8" t="s">
        <v>1818</v>
      </c>
      <c r="G8" s="8" t="s">
        <v>1819</v>
      </c>
      <c r="H8" s="8" t="s">
        <v>1820</v>
      </c>
    </row>
    <row r="9" spans="1:24" ht="30" customHeight="1" x14ac:dyDescent="0.35">
      <c r="A9" s="9" t="s">
        <v>1821</v>
      </c>
      <c r="B9" s="9" t="s">
        <v>1822</v>
      </c>
      <c r="C9" s="9" t="s">
        <v>1823</v>
      </c>
      <c r="D9" s="9" t="s">
        <v>1824</v>
      </c>
      <c r="E9" s="9" t="s">
        <v>1825</v>
      </c>
      <c r="F9" s="9" t="s">
        <v>1826</v>
      </c>
      <c r="G9" s="9" t="s">
        <v>1827</v>
      </c>
      <c r="H9" s="9" t="s">
        <v>1828</v>
      </c>
    </row>
    <row r="10" spans="1:24" ht="30" customHeight="1" x14ac:dyDescent="0.35">
      <c r="A10" s="10" t="s">
        <v>1829</v>
      </c>
      <c r="B10" s="10" t="s">
        <v>1830</v>
      </c>
      <c r="C10" s="10" t="s">
        <v>1831</v>
      </c>
      <c r="D10" s="10" t="s">
        <v>1832</v>
      </c>
      <c r="E10" s="10" t="s">
        <v>1833</v>
      </c>
      <c r="F10" s="10" t="s">
        <v>1834</v>
      </c>
      <c r="G10" s="10" t="s">
        <v>1827</v>
      </c>
      <c r="H10" s="10" t="s">
        <v>1835</v>
      </c>
    </row>
    <row r="11" spans="1:24" ht="30" customHeight="1" x14ac:dyDescent="0.35">
      <c r="A11" s="9" t="s">
        <v>1836</v>
      </c>
      <c r="B11" s="9" t="s">
        <v>1837</v>
      </c>
      <c r="C11" s="9" t="s">
        <v>1838</v>
      </c>
      <c r="D11" s="9" t="s">
        <v>1839</v>
      </c>
      <c r="E11" s="9" t="s">
        <v>1840</v>
      </c>
      <c r="F11" s="9" t="s">
        <v>1834</v>
      </c>
      <c r="G11" s="9" t="s">
        <v>1485</v>
      </c>
      <c r="H11" s="9" t="s">
        <v>1841</v>
      </c>
    </row>
    <row r="12" spans="1:24" ht="30" customHeight="1" x14ac:dyDescent="0.35">
      <c r="A12" s="10" t="s">
        <v>1842</v>
      </c>
      <c r="B12" s="10" t="s">
        <v>1843</v>
      </c>
      <c r="C12" s="10" t="s">
        <v>1844</v>
      </c>
      <c r="D12" s="10" t="s">
        <v>1845</v>
      </c>
      <c r="E12" s="10" t="s">
        <v>1846</v>
      </c>
      <c r="F12" s="10" t="s">
        <v>1847</v>
      </c>
      <c r="G12" s="10" t="s">
        <v>1848</v>
      </c>
      <c r="H12" s="10" t="s">
        <v>1849</v>
      </c>
    </row>
    <row r="13" spans="1:24" ht="30" customHeight="1" x14ac:dyDescent="0.35">
      <c r="A13" s="9" t="s">
        <v>1850</v>
      </c>
      <c r="B13" s="9" t="s">
        <v>1851</v>
      </c>
      <c r="C13" s="9" t="s">
        <v>1852</v>
      </c>
      <c r="D13" s="9" t="s">
        <v>1853</v>
      </c>
      <c r="E13" s="9" t="s">
        <v>1854</v>
      </c>
      <c r="F13" s="9" t="s">
        <v>1834</v>
      </c>
      <c r="G13" s="9" t="s">
        <v>1827</v>
      </c>
      <c r="H13" s="9" t="s">
        <v>1855</v>
      </c>
    </row>
    <row r="14" spans="1:24" ht="30" customHeight="1" x14ac:dyDescent="0.35">
      <c r="A14" s="10" t="s">
        <v>1856</v>
      </c>
      <c r="B14" s="10" t="s">
        <v>1857</v>
      </c>
      <c r="C14" s="10" t="s">
        <v>1858</v>
      </c>
      <c r="D14" s="10" t="s">
        <v>1859</v>
      </c>
      <c r="E14" s="10" t="s">
        <v>1860</v>
      </c>
      <c r="F14" s="10" t="s">
        <v>1834</v>
      </c>
      <c r="G14" s="10" t="s">
        <v>1861</v>
      </c>
      <c r="H14" s="10" t="s">
        <v>1862</v>
      </c>
    </row>
    <row r="15" spans="1:24" ht="58" customHeight="1" x14ac:dyDescent="0.35">
      <c r="A15" s="9" t="s">
        <v>1863</v>
      </c>
      <c r="B15" s="9" t="s">
        <v>1864</v>
      </c>
      <c r="C15" s="9" t="s">
        <v>1865</v>
      </c>
      <c r="D15" s="9" t="s">
        <v>1866</v>
      </c>
      <c r="E15" s="9" t="s">
        <v>1867</v>
      </c>
      <c r="F15" s="9" t="s">
        <v>1868</v>
      </c>
      <c r="G15" s="9" t="s">
        <v>1869</v>
      </c>
      <c r="H15" s="9" t="s">
        <v>1870</v>
      </c>
    </row>
    <row r="16" spans="1:24" ht="24" customHeight="1" x14ac:dyDescent="0.35">
      <c r="A16" s="91" t="s">
        <v>1871</v>
      </c>
      <c r="B16" s="92"/>
      <c r="C16" s="92"/>
      <c r="D16" s="92"/>
      <c r="E16" s="92"/>
      <c r="F16" s="92"/>
      <c r="G16" s="92"/>
      <c r="H16" s="92"/>
      <c r="I16" s="92"/>
      <c r="J16" s="92"/>
      <c r="K16" s="92"/>
      <c r="L16" s="92"/>
      <c r="M16" s="92"/>
      <c r="N16" s="92"/>
      <c r="O16" s="92"/>
      <c r="P16" s="92"/>
      <c r="Q16" s="92"/>
      <c r="R16" s="93"/>
    </row>
    <row r="17" spans="1:24" ht="20" customHeight="1" x14ac:dyDescent="0.35">
      <c r="A17" s="9" t="s">
        <v>1872</v>
      </c>
      <c r="B17" s="9" t="s">
        <v>1873</v>
      </c>
      <c r="C17" s="9" t="s">
        <v>1874</v>
      </c>
      <c r="D17" s="9" t="s">
        <v>1875</v>
      </c>
      <c r="E17" s="9" t="s">
        <v>1876</v>
      </c>
      <c r="F17" s="9" t="s">
        <v>1877</v>
      </c>
      <c r="G17" s="9" t="s">
        <v>1878</v>
      </c>
      <c r="H17" s="9" t="s">
        <v>1879</v>
      </c>
    </row>
    <row r="18" spans="1:24" ht="22" customHeight="1" x14ac:dyDescent="0.35"/>
    <row r="19" spans="1:24" ht="22" customHeight="1" x14ac:dyDescent="0.35">
      <c r="A19" s="11" t="s">
        <v>1880</v>
      </c>
      <c r="B19" s="6"/>
      <c r="C19" s="6"/>
      <c r="D19" s="6"/>
      <c r="E19" s="6"/>
      <c r="F19" s="6"/>
      <c r="G19" s="6"/>
      <c r="H19" s="6"/>
      <c r="I19" s="6"/>
      <c r="J19" s="6"/>
      <c r="K19" s="6"/>
      <c r="L19" s="6"/>
      <c r="M19" s="6"/>
      <c r="N19" s="6"/>
      <c r="O19" s="6"/>
      <c r="P19" s="6"/>
      <c r="Q19" s="6"/>
      <c r="R19" s="7"/>
    </row>
    <row r="20" spans="1:24" ht="24" customHeight="1" x14ac:dyDescent="0.35">
      <c r="A20" s="8" t="s">
        <v>1881</v>
      </c>
      <c r="B20" s="8" t="s">
        <v>1625</v>
      </c>
      <c r="C20" s="8" t="s">
        <v>408</v>
      </c>
      <c r="D20" s="8" t="s">
        <v>1882</v>
      </c>
      <c r="E20" s="8" t="s">
        <v>1883</v>
      </c>
      <c r="F20" s="8" t="s">
        <v>1884</v>
      </c>
      <c r="G20" s="8" t="s">
        <v>1885</v>
      </c>
      <c r="H20" s="8" t="s">
        <v>1886</v>
      </c>
      <c r="I20" s="8" t="s">
        <v>1887</v>
      </c>
      <c r="J20" s="8" t="s">
        <v>1888</v>
      </c>
      <c r="K20" s="8" t="s">
        <v>1889</v>
      </c>
      <c r="L20" s="8" t="s">
        <v>1890</v>
      </c>
      <c r="M20" s="8" t="s">
        <v>1891</v>
      </c>
      <c r="N20" s="8" t="s">
        <v>1892</v>
      </c>
      <c r="O20" s="8" t="s">
        <v>1893</v>
      </c>
      <c r="P20" s="8" t="s">
        <v>1894</v>
      </c>
      <c r="Q20" s="8" t="s">
        <v>1895</v>
      </c>
      <c r="R20" s="8" t="s">
        <v>1896</v>
      </c>
      <c r="S20" s="8" t="s">
        <v>1897</v>
      </c>
      <c r="T20" s="8" t="s">
        <v>1898</v>
      </c>
      <c r="U20" s="8" t="s">
        <v>1899</v>
      </c>
      <c r="V20" s="8" t="s">
        <v>1900</v>
      </c>
      <c r="W20" s="8" t="s">
        <v>1901</v>
      </c>
      <c r="X20" s="8" t="s">
        <v>1902</v>
      </c>
    </row>
    <row r="21" spans="1:24" ht="22" customHeight="1" x14ac:dyDescent="0.35">
      <c r="A21" s="9"/>
      <c r="B21" s="9"/>
      <c r="C21" s="9"/>
      <c r="D21" s="9"/>
      <c r="E21" s="9"/>
      <c r="F21" s="9"/>
      <c r="G21" s="9"/>
      <c r="H21" s="9"/>
      <c r="I21" s="9"/>
      <c r="J21" s="9"/>
      <c r="K21" s="9"/>
      <c r="L21" s="9"/>
      <c r="M21" s="9"/>
      <c r="N21" s="9"/>
      <c r="O21" s="9"/>
      <c r="P21" s="9"/>
      <c r="Q21" s="9"/>
      <c r="R21" s="9"/>
      <c r="S21" s="9"/>
      <c r="T21" s="9"/>
      <c r="U21" s="9"/>
      <c r="V21" s="9"/>
      <c r="W21" s="9"/>
      <c r="X21" s="9"/>
    </row>
    <row r="22" spans="1:24" ht="22"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ht="22" customHeight="1" x14ac:dyDescent="0.35">
      <c r="A23" s="9"/>
      <c r="B23" s="9"/>
      <c r="C23" s="9"/>
      <c r="D23" s="9"/>
      <c r="E23" s="9"/>
      <c r="F23" s="9"/>
      <c r="G23" s="9"/>
      <c r="H23" s="9"/>
      <c r="I23" s="9"/>
      <c r="J23" s="9"/>
      <c r="K23" s="9"/>
      <c r="L23" s="9"/>
      <c r="M23" s="9"/>
      <c r="N23" s="9"/>
      <c r="O23" s="9"/>
      <c r="P23" s="9"/>
      <c r="Q23" s="9"/>
      <c r="R23" s="9"/>
      <c r="S23" s="9"/>
      <c r="T23" s="9"/>
      <c r="U23" s="9"/>
      <c r="V23" s="9"/>
      <c r="W23" s="9"/>
      <c r="X23" s="9"/>
    </row>
    <row r="24" spans="1:24" ht="22" customHeight="1"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22" customHeight="1" x14ac:dyDescent="0.35">
      <c r="A25" s="9"/>
      <c r="B25" s="9"/>
      <c r="C25" s="9"/>
      <c r="D25" s="9"/>
      <c r="E25" s="9"/>
      <c r="F25" s="9"/>
      <c r="G25" s="9"/>
      <c r="H25" s="9"/>
      <c r="I25" s="9"/>
      <c r="J25" s="9"/>
      <c r="K25" s="9"/>
      <c r="L25" s="9"/>
      <c r="M25" s="9"/>
      <c r="N25" s="9"/>
      <c r="O25" s="9"/>
      <c r="P25" s="9"/>
      <c r="Q25" s="9"/>
      <c r="R25" s="9"/>
      <c r="S25" s="9"/>
      <c r="T25" s="9"/>
      <c r="U25" s="9"/>
      <c r="V25" s="9"/>
      <c r="W25" s="9"/>
      <c r="X25" s="9"/>
    </row>
    <row r="26" spans="1:24" ht="22" customHeight="1"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22" customHeight="1" x14ac:dyDescent="0.35">
      <c r="A27" s="9"/>
      <c r="B27" s="9"/>
      <c r="C27" s="9"/>
      <c r="D27" s="9"/>
      <c r="E27" s="9"/>
      <c r="F27" s="9"/>
      <c r="G27" s="9"/>
      <c r="H27" s="9"/>
      <c r="I27" s="9"/>
      <c r="J27" s="9"/>
      <c r="K27" s="9"/>
      <c r="L27" s="9"/>
      <c r="M27" s="9"/>
      <c r="N27" s="9"/>
      <c r="O27" s="9"/>
      <c r="P27" s="9"/>
      <c r="Q27" s="9"/>
      <c r="R27" s="9"/>
      <c r="S27" s="9"/>
      <c r="T27" s="9"/>
      <c r="U27" s="9"/>
      <c r="V27" s="9"/>
      <c r="W27" s="9"/>
      <c r="X27" s="9"/>
    </row>
    <row r="28" spans="1:24" ht="22" customHeight="1"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22" customHeight="1" x14ac:dyDescent="0.35">
      <c r="A29" s="9"/>
      <c r="B29" s="9"/>
      <c r="C29" s="9"/>
      <c r="D29" s="9"/>
      <c r="E29" s="9"/>
      <c r="F29" s="9"/>
      <c r="G29" s="9"/>
      <c r="H29" s="9"/>
      <c r="I29" s="9"/>
      <c r="J29" s="9"/>
      <c r="K29" s="9"/>
      <c r="L29" s="9"/>
      <c r="M29" s="9"/>
      <c r="N29" s="9"/>
      <c r="O29" s="9"/>
      <c r="P29" s="9"/>
      <c r="Q29" s="9"/>
      <c r="R29" s="9"/>
      <c r="S29" s="9"/>
      <c r="T29" s="9"/>
      <c r="U29" s="9"/>
      <c r="V29" s="9"/>
      <c r="W29" s="9"/>
      <c r="X29" s="9"/>
    </row>
    <row r="30" spans="1:24" ht="22" customHeight="1"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ht="22" customHeight="1" x14ac:dyDescent="0.35">
      <c r="A31" s="9"/>
      <c r="B31" s="9"/>
      <c r="C31" s="9"/>
      <c r="D31" s="9"/>
      <c r="E31" s="9"/>
      <c r="F31" s="9"/>
      <c r="G31" s="9"/>
      <c r="H31" s="9"/>
      <c r="I31" s="9"/>
      <c r="J31" s="9"/>
      <c r="K31" s="9"/>
      <c r="L31" s="9"/>
      <c r="M31" s="9"/>
      <c r="N31" s="9"/>
      <c r="O31" s="9"/>
      <c r="P31" s="9"/>
      <c r="Q31" s="9"/>
      <c r="R31" s="9"/>
      <c r="S31" s="9"/>
      <c r="T31" s="9"/>
      <c r="U31" s="9"/>
      <c r="V31" s="9"/>
      <c r="W31" s="9"/>
      <c r="X31" s="9"/>
    </row>
    <row r="32" spans="1:24" ht="22"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5">
      <c r="A33" s="9"/>
      <c r="B33" s="9"/>
      <c r="C33" s="9"/>
      <c r="D33" s="9"/>
      <c r="E33" s="9"/>
      <c r="F33" s="9"/>
      <c r="G33" s="9"/>
      <c r="H33" s="9"/>
      <c r="I33" s="9"/>
      <c r="J33" s="9"/>
      <c r="K33" s="9"/>
      <c r="L33" s="9"/>
      <c r="M33" s="9"/>
      <c r="N33" s="9"/>
      <c r="O33" s="9"/>
      <c r="P33" s="9"/>
      <c r="Q33" s="9"/>
      <c r="R33" s="9"/>
      <c r="S33" s="9"/>
      <c r="T33" s="9"/>
      <c r="U33" s="9"/>
      <c r="V33" s="9"/>
      <c r="W33" s="9"/>
      <c r="X33" s="9"/>
    </row>
    <row r="34" spans="1:24"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sheetData>
  <mergeCells count="3">
    <mergeCell ref="A16:R16"/>
    <mergeCell ref="A7:L7"/>
    <mergeCell ref="A1:X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4.08984375" customWidth="1"/>
    <col min="2" max="2" width="55" customWidth="1"/>
    <col min="3" max="3" width="35.08984375" customWidth="1"/>
    <col min="4" max="4" width="41.36328125" customWidth="1"/>
    <col min="5" max="5" width="14.36328125" customWidth="1"/>
  </cols>
  <sheetData>
    <row r="1" spans="1:12" ht="24" customHeight="1" x14ac:dyDescent="0.35">
      <c r="A1" s="97" t="s">
        <v>1903</v>
      </c>
      <c r="B1" s="95"/>
      <c r="C1" s="95"/>
      <c r="D1" s="95"/>
      <c r="E1" s="95"/>
      <c r="F1" s="95"/>
      <c r="G1" s="95"/>
      <c r="H1" s="95"/>
      <c r="I1" s="95"/>
      <c r="J1" s="95"/>
      <c r="K1" s="95"/>
      <c r="L1" s="96"/>
    </row>
    <row r="3" spans="1:12" ht="24" customHeight="1" x14ac:dyDescent="0.35">
      <c r="A3" s="8" t="s">
        <v>1904</v>
      </c>
      <c r="B3" s="100" t="s">
        <v>1905</v>
      </c>
      <c r="C3" s="59"/>
    </row>
    <row r="4" spans="1:12" ht="30" customHeight="1" x14ac:dyDescent="0.35">
      <c r="A4" s="9" t="s">
        <v>1906</v>
      </c>
      <c r="B4" s="98" t="s">
        <v>1907</v>
      </c>
      <c r="C4" s="59"/>
    </row>
    <row r="5" spans="1:12" ht="30" customHeight="1" x14ac:dyDescent="0.35">
      <c r="A5" s="9" t="s">
        <v>1908</v>
      </c>
      <c r="B5" s="98" t="s">
        <v>1909</v>
      </c>
      <c r="C5" s="59"/>
    </row>
    <row r="6" spans="1:12" ht="30" customHeight="1" x14ac:dyDescent="0.35">
      <c r="A6" s="9" t="s">
        <v>1910</v>
      </c>
      <c r="B6" s="99" t="s">
        <v>1911</v>
      </c>
      <c r="C6" s="59"/>
    </row>
    <row r="7" spans="1:12" ht="45" customHeight="1" x14ac:dyDescent="0.35">
      <c r="A7" s="9" t="s">
        <v>1912</v>
      </c>
      <c r="B7" s="99" t="s">
        <v>1913</v>
      </c>
      <c r="C7" s="59"/>
    </row>
    <row r="9" spans="1:12" ht="24" customHeight="1" x14ac:dyDescent="0.35">
      <c r="A9" s="94" t="s">
        <v>1914</v>
      </c>
      <c r="B9" s="95"/>
      <c r="C9" s="95"/>
      <c r="D9" s="95"/>
      <c r="E9" s="95"/>
      <c r="F9" s="95"/>
      <c r="G9" s="95"/>
      <c r="H9" s="95"/>
      <c r="I9" s="95"/>
      <c r="J9" s="95"/>
      <c r="K9" s="95"/>
      <c r="L9" s="96"/>
    </row>
    <row r="10" spans="1:12" ht="24" customHeight="1" x14ac:dyDescent="0.35">
      <c r="A10" s="8" t="s">
        <v>1915</v>
      </c>
      <c r="B10" s="8" t="s">
        <v>1916</v>
      </c>
      <c r="C10" s="8" t="s">
        <v>1917</v>
      </c>
      <c r="D10" s="8" t="s">
        <v>1918</v>
      </c>
      <c r="E10" s="8" t="s">
        <v>1919</v>
      </c>
    </row>
    <row r="11" spans="1:12" ht="30" customHeight="1" x14ac:dyDescent="0.35">
      <c r="A11" s="9" t="s">
        <v>1920</v>
      </c>
      <c r="B11" s="9" t="s">
        <v>1921</v>
      </c>
      <c r="C11" s="9" t="s">
        <v>1922</v>
      </c>
      <c r="D11" s="9" t="s">
        <v>1923</v>
      </c>
      <c r="E11" s="9" t="s">
        <v>1924</v>
      </c>
    </row>
    <row r="12" spans="1:12" ht="30" customHeight="1" x14ac:dyDescent="0.35">
      <c r="A12" s="10" t="s">
        <v>1925</v>
      </c>
      <c r="B12" s="10" t="s">
        <v>1926</v>
      </c>
      <c r="C12" s="10" t="s">
        <v>1927</v>
      </c>
      <c r="D12" s="10" t="s">
        <v>1928</v>
      </c>
      <c r="E12" s="10" t="s">
        <v>1929</v>
      </c>
    </row>
    <row r="13" spans="1:12" ht="30" customHeight="1" x14ac:dyDescent="0.35">
      <c r="A13" s="9" t="s">
        <v>1930</v>
      </c>
      <c r="B13" s="9" t="s">
        <v>1931</v>
      </c>
      <c r="C13" s="9" t="s">
        <v>1932</v>
      </c>
      <c r="D13" s="9" t="s">
        <v>1933</v>
      </c>
      <c r="E13" s="9" t="s">
        <v>1934</v>
      </c>
    </row>
    <row r="14" spans="1:12" ht="30" customHeight="1" x14ac:dyDescent="0.35">
      <c r="A14" s="10" t="s">
        <v>1935</v>
      </c>
      <c r="B14" s="10" t="s">
        <v>1936</v>
      </c>
      <c r="C14" s="10" t="s">
        <v>1485</v>
      </c>
      <c r="D14" s="10" t="s">
        <v>1937</v>
      </c>
      <c r="E14" s="10" t="s">
        <v>1938</v>
      </c>
    </row>
    <row r="15" spans="1:12" ht="30" customHeight="1" x14ac:dyDescent="0.35">
      <c r="A15" s="9" t="s">
        <v>1939</v>
      </c>
      <c r="B15" s="9" t="s">
        <v>1940</v>
      </c>
      <c r="C15" s="9" t="s">
        <v>1941</v>
      </c>
      <c r="D15" s="9" t="s">
        <v>1942</v>
      </c>
      <c r="E15" s="9" t="s">
        <v>1943</v>
      </c>
    </row>
    <row r="16" spans="1:12" ht="30" customHeight="1" x14ac:dyDescent="0.35">
      <c r="A16" s="10" t="s">
        <v>1944</v>
      </c>
      <c r="B16" s="10" t="s">
        <v>1945</v>
      </c>
      <c r="C16" s="10" t="s">
        <v>1827</v>
      </c>
      <c r="D16" s="10" t="s">
        <v>1946</v>
      </c>
      <c r="E16" s="10" t="s">
        <v>1947</v>
      </c>
    </row>
    <row r="18" spans="1:12" ht="24" customHeight="1" x14ac:dyDescent="0.35">
      <c r="A18" s="94" t="s">
        <v>1948</v>
      </c>
      <c r="B18" s="95"/>
      <c r="C18" s="95"/>
      <c r="D18" s="95"/>
      <c r="E18" s="95"/>
      <c r="F18" s="95"/>
      <c r="G18" s="95"/>
      <c r="H18" s="95"/>
      <c r="I18" s="95"/>
      <c r="J18" s="95"/>
      <c r="K18" s="95"/>
      <c r="L18" s="96"/>
    </row>
    <row r="19" spans="1:12" ht="24" customHeight="1" x14ac:dyDescent="0.35">
      <c r="A19" s="8" t="s">
        <v>1949</v>
      </c>
      <c r="B19" s="8" t="s">
        <v>1950</v>
      </c>
      <c r="C19" s="8" t="s">
        <v>1471</v>
      </c>
      <c r="D19" s="8" t="s">
        <v>1951</v>
      </c>
    </row>
    <row r="20" spans="1:12" ht="30" customHeight="1" x14ac:dyDescent="0.35">
      <c r="A20" s="9" t="s">
        <v>1952</v>
      </c>
      <c r="B20" s="9" t="s">
        <v>1953</v>
      </c>
      <c r="C20" s="9" t="s">
        <v>1827</v>
      </c>
      <c r="D20" s="9" t="s">
        <v>1954</v>
      </c>
    </row>
    <row r="21" spans="1:12" ht="30" customHeight="1" x14ac:dyDescent="0.35">
      <c r="A21" s="10" t="s">
        <v>1955</v>
      </c>
      <c r="B21" s="10" t="s">
        <v>1956</v>
      </c>
      <c r="C21" s="10" t="s">
        <v>1957</v>
      </c>
      <c r="D21" s="10" t="s">
        <v>1958</v>
      </c>
    </row>
    <row r="22" spans="1:12" ht="30" customHeight="1" x14ac:dyDescent="0.35">
      <c r="A22" s="9" t="s">
        <v>1959</v>
      </c>
      <c r="B22" s="9" t="s">
        <v>1960</v>
      </c>
      <c r="C22" s="9" t="s">
        <v>1961</v>
      </c>
      <c r="D22" s="9" t="s">
        <v>1962</v>
      </c>
    </row>
    <row r="23" spans="1:12" ht="30" customHeight="1" x14ac:dyDescent="0.35">
      <c r="A23" s="10" t="s">
        <v>1963</v>
      </c>
      <c r="B23" s="10" t="s">
        <v>1964</v>
      </c>
      <c r="C23" s="10" t="s">
        <v>1941</v>
      </c>
      <c r="D23" s="10" t="s">
        <v>1965</v>
      </c>
    </row>
  </sheetData>
  <mergeCells count="8">
    <mergeCell ref="B3:C3"/>
    <mergeCell ref="B5:C5"/>
    <mergeCell ref="A1:L1"/>
    <mergeCell ref="A9:L9"/>
    <mergeCell ref="A18:L18"/>
    <mergeCell ref="B4:C4"/>
    <mergeCell ref="B6:C6"/>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55"/>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55" customWidth="1"/>
    <col min="3" max="3" width="45" customWidth="1"/>
    <col min="4" max="4" width="53.08984375" customWidth="1"/>
    <col min="5" max="5" width="55" customWidth="1"/>
    <col min="6" max="6" width="54.90625" customWidth="1"/>
    <col min="7" max="7" width="55" customWidth="1"/>
    <col min="8" max="8" width="13.453125" customWidth="1"/>
    <col min="9" max="9" width="16.1796875" customWidth="1"/>
    <col min="10" max="10" width="10" customWidth="1"/>
    <col min="11" max="11" width="20.7265625" customWidth="1"/>
    <col min="12" max="12" width="10" customWidth="1"/>
  </cols>
  <sheetData>
    <row r="1" spans="1:12" ht="30" customHeight="1" x14ac:dyDescent="0.35">
      <c r="A1" s="103" t="s">
        <v>1966</v>
      </c>
      <c r="B1" s="59"/>
      <c r="C1" s="59"/>
      <c r="D1" s="59"/>
      <c r="E1" s="59"/>
      <c r="F1" s="59"/>
      <c r="G1" s="59"/>
      <c r="H1" s="59"/>
      <c r="I1" s="59"/>
      <c r="J1" s="59"/>
      <c r="K1" s="59"/>
      <c r="L1" s="59"/>
    </row>
    <row r="3" spans="1:12" ht="24" customHeight="1" x14ac:dyDescent="0.35">
      <c r="A3" s="8" t="s">
        <v>1904</v>
      </c>
      <c r="B3" s="101" t="s">
        <v>1905</v>
      </c>
      <c r="C3" s="92"/>
      <c r="D3" s="16"/>
      <c r="E3" s="16"/>
      <c r="F3" s="16"/>
      <c r="G3" s="16"/>
      <c r="H3" s="16"/>
      <c r="I3" s="16"/>
      <c r="J3" s="17"/>
    </row>
    <row r="4" spans="1:12" ht="49.5" customHeight="1" x14ac:dyDescent="0.35">
      <c r="A4" s="9" t="s">
        <v>1906</v>
      </c>
      <c r="B4" s="104" t="s">
        <v>1967</v>
      </c>
      <c r="C4" s="92"/>
      <c r="D4" s="16"/>
      <c r="E4" s="16"/>
      <c r="F4" s="16"/>
      <c r="G4" s="16"/>
      <c r="H4" s="16"/>
      <c r="I4" s="16"/>
      <c r="J4" s="17"/>
    </row>
    <row r="5" spans="1:12" ht="45.5" customHeight="1" x14ac:dyDescent="0.35">
      <c r="A5" s="9" t="s">
        <v>1951</v>
      </c>
      <c r="B5" s="102" t="s">
        <v>1968</v>
      </c>
      <c r="C5" s="92"/>
      <c r="D5" s="16"/>
      <c r="E5" s="16"/>
      <c r="F5" s="16"/>
      <c r="G5" s="16"/>
      <c r="H5" s="16"/>
      <c r="I5" s="16"/>
      <c r="J5" s="17"/>
    </row>
    <row r="6" spans="1:12" ht="45.5" customHeight="1" x14ac:dyDescent="0.35">
      <c r="A6" s="9" t="s">
        <v>1969</v>
      </c>
      <c r="B6" s="104" t="s">
        <v>1970</v>
      </c>
      <c r="C6" s="92"/>
      <c r="D6" s="16"/>
      <c r="E6" s="16"/>
      <c r="F6" s="16"/>
      <c r="G6" s="16"/>
      <c r="H6" s="16"/>
      <c r="I6" s="16"/>
      <c r="J6" s="17"/>
    </row>
    <row r="7" spans="1:12" ht="45.5" customHeight="1" x14ac:dyDescent="0.35">
      <c r="A7" s="9" t="s">
        <v>1971</v>
      </c>
      <c r="B7" s="104" t="s">
        <v>1972</v>
      </c>
      <c r="C7" s="92"/>
      <c r="D7" s="16"/>
      <c r="E7" s="16"/>
      <c r="F7" s="16"/>
      <c r="G7" s="16"/>
      <c r="H7" s="16"/>
      <c r="I7" s="16"/>
      <c r="J7" s="17"/>
    </row>
    <row r="8" spans="1:12" ht="47.5" customHeight="1" x14ac:dyDescent="0.35">
      <c r="A8" s="9" t="s">
        <v>1973</v>
      </c>
      <c r="B8" s="104" t="s">
        <v>1974</v>
      </c>
      <c r="C8" s="92"/>
      <c r="D8" s="16"/>
      <c r="E8" s="16"/>
      <c r="F8" s="16"/>
      <c r="G8" s="16"/>
      <c r="H8" s="16"/>
      <c r="I8" s="16"/>
      <c r="J8" s="17"/>
    </row>
    <row r="9" spans="1:12" ht="58" customHeight="1" x14ac:dyDescent="0.35">
      <c r="A9" s="9" t="s">
        <v>1975</v>
      </c>
      <c r="B9" s="104" t="s">
        <v>1976</v>
      </c>
      <c r="C9" s="92"/>
      <c r="D9" s="16"/>
      <c r="E9" s="16"/>
      <c r="F9" s="16"/>
      <c r="G9" s="16"/>
      <c r="H9" s="16"/>
      <c r="I9" s="16"/>
      <c r="J9" s="17"/>
    </row>
    <row r="10" spans="1:12" ht="93" customHeight="1" x14ac:dyDescent="0.35">
      <c r="A10" s="9" t="s">
        <v>1977</v>
      </c>
      <c r="B10" s="104" t="s">
        <v>1978</v>
      </c>
      <c r="C10" s="92"/>
      <c r="D10" s="16"/>
      <c r="E10" s="16"/>
      <c r="F10" s="16"/>
      <c r="G10" s="16"/>
      <c r="H10" s="16"/>
      <c r="I10" s="16"/>
      <c r="J10" s="17"/>
    </row>
    <row r="11" spans="1:12" ht="33.5" customHeight="1" x14ac:dyDescent="0.35">
      <c r="A11" s="9" t="s">
        <v>1979</v>
      </c>
      <c r="B11" s="104" t="s">
        <v>1980</v>
      </c>
      <c r="C11" s="92"/>
      <c r="D11" s="16"/>
      <c r="E11" s="16"/>
      <c r="F11" s="16"/>
      <c r="G11" s="16"/>
      <c r="H11" s="16"/>
      <c r="I11" s="16"/>
      <c r="J11" s="17"/>
    </row>
    <row r="12" spans="1:12" ht="29" customHeight="1" x14ac:dyDescent="0.35">
      <c r="A12" s="9" t="s">
        <v>1981</v>
      </c>
      <c r="B12" s="104" t="s">
        <v>1982</v>
      </c>
      <c r="C12" s="92"/>
      <c r="D12" s="16"/>
      <c r="E12" s="16"/>
      <c r="F12" s="16"/>
      <c r="G12" s="16"/>
      <c r="H12" s="16"/>
      <c r="I12" s="16"/>
      <c r="J12" s="17"/>
    </row>
    <row r="14" spans="1:12" ht="18.5" customHeight="1" x14ac:dyDescent="0.35">
      <c r="A14" s="105" t="s">
        <v>1983</v>
      </c>
      <c r="B14" s="59"/>
      <c r="C14" s="59"/>
      <c r="D14" s="59"/>
      <c r="E14" s="59"/>
      <c r="F14" s="59"/>
      <c r="G14" s="59"/>
    </row>
    <row r="16" spans="1:12" ht="24" customHeight="1" x14ac:dyDescent="0.35">
      <c r="A16" s="8" t="s">
        <v>1984</v>
      </c>
      <c r="B16" s="8" t="s">
        <v>1985</v>
      </c>
      <c r="C16" s="8" t="s">
        <v>1986</v>
      </c>
      <c r="D16" s="8" t="s">
        <v>1987</v>
      </c>
      <c r="E16" s="8" t="s">
        <v>1988</v>
      </c>
      <c r="F16" s="8" t="s">
        <v>1989</v>
      </c>
      <c r="G16" s="8" t="s">
        <v>1990</v>
      </c>
    </row>
    <row r="17" spans="1:10" ht="29" customHeight="1" x14ac:dyDescent="0.35">
      <c r="A17" s="9" t="s">
        <v>1991</v>
      </c>
      <c r="B17" s="9" t="s">
        <v>1992</v>
      </c>
      <c r="C17" s="9" t="s">
        <v>1993</v>
      </c>
      <c r="D17" s="9" t="s">
        <v>1994</v>
      </c>
      <c r="E17" s="9" t="s">
        <v>1995</v>
      </c>
      <c r="F17" s="9" t="s">
        <v>1996</v>
      </c>
      <c r="G17" s="9" t="s">
        <v>1997</v>
      </c>
    </row>
    <row r="18" spans="1:10" ht="29" customHeight="1" x14ac:dyDescent="0.35">
      <c r="A18" s="10" t="s">
        <v>1991</v>
      </c>
      <c r="B18" s="10" t="s">
        <v>1992</v>
      </c>
      <c r="C18" s="10" t="s">
        <v>1998</v>
      </c>
      <c r="D18" s="10" t="s">
        <v>1999</v>
      </c>
      <c r="E18" s="10" t="s">
        <v>2000</v>
      </c>
      <c r="F18" s="10" t="s">
        <v>2001</v>
      </c>
      <c r="G18" s="10" t="s">
        <v>2002</v>
      </c>
    </row>
    <row r="19" spans="1:10" ht="29" customHeight="1" x14ac:dyDescent="0.35">
      <c r="A19" s="9" t="s">
        <v>1991</v>
      </c>
      <c r="B19" s="9" t="s">
        <v>2003</v>
      </c>
      <c r="C19" s="9" t="s">
        <v>2004</v>
      </c>
      <c r="D19" s="9" t="s">
        <v>2005</v>
      </c>
      <c r="E19" s="9" t="s">
        <v>2006</v>
      </c>
      <c r="F19" s="9" t="s">
        <v>2007</v>
      </c>
      <c r="G19" s="9" t="s">
        <v>2008</v>
      </c>
    </row>
    <row r="20" spans="1:10" ht="29" customHeight="1" x14ac:dyDescent="0.35">
      <c r="A20" s="10" t="s">
        <v>1991</v>
      </c>
      <c r="B20" s="10" t="s">
        <v>2003</v>
      </c>
      <c r="C20" s="10" t="s">
        <v>2009</v>
      </c>
      <c r="D20" s="10" t="s">
        <v>2010</v>
      </c>
      <c r="E20" s="10" t="s">
        <v>2011</v>
      </c>
      <c r="F20" s="10" t="s">
        <v>2012</v>
      </c>
      <c r="G20" s="10" t="s">
        <v>2013</v>
      </c>
    </row>
    <row r="21" spans="1:10" ht="29" customHeight="1" x14ac:dyDescent="0.35">
      <c r="A21" s="9" t="s">
        <v>1991</v>
      </c>
      <c r="B21" s="9" t="s">
        <v>2003</v>
      </c>
      <c r="C21" s="9" t="s">
        <v>2014</v>
      </c>
      <c r="D21" s="9" t="s">
        <v>2015</v>
      </c>
      <c r="E21" s="9" t="s">
        <v>2016</v>
      </c>
      <c r="F21" s="9" t="s">
        <v>2017</v>
      </c>
      <c r="G21" s="9" t="s">
        <v>2018</v>
      </c>
    </row>
    <row r="22" spans="1:10" ht="29" customHeight="1" x14ac:dyDescent="0.35">
      <c r="A22" s="10" t="s">
        <v>1991</v>
      </c>
      <c r="B22" s="10" t="s">
        <v>2019</v>
      </c>
      <c r="C22" s="10" t="s">
        <v>2020</v>
      </c>
      <c r="D22" s="10" t="s">
        <v>2021</v>
      </c>
      <c r="E22" s="10" t="s">
        <v>2022</v>
      </c>
      <c r="F22" s="10" t="s">
        <v>2023</v>
      </c>
      <c r="G22" s="10" t="s">
        <v>2024</v>
      </c>
    </row>
    <row r="23" spans="1:10" ht="29" customHeight="1" x14ac:dyDescent="0.35">
      <c r="A23" s="9" t="s">
        <v>1991</v>
      </c>
      <c r="B23" s="9" t="s">
        <v>2019</v>
      </c>
      <c r="C23" s="9" t="s">
        <v>2025</v>
      </c>
      <c r="D23" s="9" t="s">
        <v>2026</v>
      </c>
      <c r="E23" s="9" t="s">
        <v>2027</v>
      </c>
      <c r="F23" s="9" t="s">
        <v>2028</v>
      </c>
      <c r="G23" s="9" t="s">
        <v>2029</v>
      </c>
    </row>
    <row r="24" spans="1:10" ht="29" customHeight="1" x14ac:dyDescent="0.35">
      <c r="A24" s="10" t="s">
        <v>1991</v>
      </c>
      <c r="B24" s="10" t="s">
        <v>2019</v>
      </c>
      <c r="C24" s="10" t="s">
        <v>2030</v>
      </c>
      <c r="D24" s="10" t="s">
        <v>2031</v>
      </c>
      <c r="E24" s="10" t="s">
        <v>2032</v>
      </c>
      <c r="F24" s="10" t="s">
        <v>2033</v>
      </c>
      <c r="G24" s="10" t="s">
        <v>2034</v>
      </c>
    </row>
    <row r="25" spans="1:10" ht="29" customHeight="1" x14ac:dyDescent="0.35">
      <c r="A25" s="12" t="s">
        <v>1991</v>
      </c>
      <c r="B25" s="9" t="s">
        <v>2019</v>
      </c>
      <c r="C25" s="9" t="s">
        <v>2035</v>
      </c>
      <c r="D25" s="9" t="s">
        <v>2036</v>
      </c>
      <c r="E25" s="9" t="s">
        <v>2037</v>
      </c>
      <c r="F25" s="9" t="s">
        <v>2038</v>
      </c>
      <c r="G25" s="9" t="s">
        <v>2039</v>
      </c>
    </row>
    <row r="26" spans="1:10" ht="29" customHeight="1" x14ac:dyDescent="0.35">
      <c r="A26" s="10" t="s">
        <v>1991</v>
      </c>
      <c r="B26" s="10" t="s">
        <v>2019</v>
      </c>
      <c r="C26" s="10" t="s">
        <v>2040</v>
      </c>
      <c r="D26" s="10" t="s">
        <v>2041</v>
      </c>
      <c r="E26" s="10" t="s">
        <v>2042</v>
      </c>
      <c r="F26" s="10" t="s">
        <v>2043</v>
      </c>
      <c r="G26" s="10" t="s">
        <v>2044</v>
      </c>
    </row>
    <row r="27" spans="1:10" ht="29" customHeight="1" x14ac:dyDescent="0.35">
      <c r="A27" s="13" t="s">
        <v>1991</v>
      </c>
      <c r="B27" s="13" t="s">
        <v>2019</v>
      </c>
      <c r="C27" s="13" t="s">
        <v>2045</v>
      </c>
      <c r="D27" s="13" t="s">
        <v>2046</v>
      </c>
      <c r="E27" s="13" t="s">
        <v>2047</v>
      </c>
      <c r="F27" s="13" t="s">
        <v>2048</v>
      </c>
      <c r="G27" s="13" t="s">
        <v>2049</v>
      </c>
      <c r="H27" s="4"/>
      <c r="I27" s="4"/>
      <c r="J27" s="4"/>
    </row>
    <row r="28" spans="1:10" ht="29" customHeight="1" x14ac:dyDescent="0.35">
      <c r="A28" s="10" t="s">
        <v>1991</v>
      </c>
      <c r="B28" s="10" t="s">
        <v>2019</v>
      </c>
      <c r="C28" s="10" t="s">
        <v>2050</v>
      </c>
      <c r="D28" s="10" t="s">
        <v>2051</v>
      </c>
      <c r="E28" s="10" t="s">
        <v>2052</v>
      </c>
      <c r="F28" s="10" t="s">
        <v>2053</v>
      </c>
      <c r="G28" s="10" t="s">
        <v>2054</v>
      </c>
      <c r="H28" s="5"/>
      <c r="I28" s="5"/>
      <c r="J28" s="5"/>
    </row>
    <row r="29" spans="1:10" ht="29" customHeight="1" x14ac:dyDescent="0.35">
      <c r="A29" s="9" t="s">
        <v>1991</v>
      </c>
      <c r="B29" s="9" t="s">
        <v>2019</v>
      </c>
      <c r="C29" s="9" t="s">
        <v>2055</v>
      </c>
      <c r="D29" s="9" t="s">
        <v>2056</v>
      </c>
      <c r="E29" s="9" t="s">
        <v>2057</v>
      </c>
      <c r="F29" s="9" t="s">
        <v>2058</v>
      </c>
      <c r="G29" s="9" t="s">
        <v>2059</v>
      </c>
    </row>
    <row r="30" spans="1:10" ht="29" customHeight="1" x14ac:dyDescent="0.35">
      <c r="A30" s="10" t="s">
        <v>1991</v>
      </c>
      <c r="B30" s="10" t="s">
        <v>2060</v>
      </c>
      <c r="C30" s="10" t="s">
        <v>2061</v>
      </c>
      <c r="D30" s="10" t="s">
        <v>2062</v>
      </c>
      <c r="E30" s="10" t="s">
        <v>2063</v>
      </c>
      <c r="F30" s="10" t="s">
        <v>2064</v>
      </c>
      <c r="G30" s="10" t="s">
        <v>2065</v>
      </c>
    </row>
    <row r="31" spans="1:10" ht="29" customHeight="1" x14ac:dyDescent="0.35">
      <c r="A31" s="9" t="s">
        <v>1991</v>
      </c>
      <c r="B31" s="9" t="s">
        <v>2060</v>
      </c>
      <c r="C31" s="9" t="s">
        <v>2066</v>
      </c>
      <c r="D31" s="9" t="s">
        <v>2067</v>
      </c>
      <c r="E31" s="9" t="s">
        <v>2068</v>
      </c>
      <c r="F31" s="9" t="s">
        <v>2069</v>
      </c>
      <c r="G31" s="9" t="s">
        <v>2070</v>
      </c>
    </row>
    <row r="32" spans="1:10" ht="29" customHeight="1" x14ac:dyDescent="0.35">
      <c r="A32" s="10" t="s">
        <v>1991</v>
      </c>
      <c r="B32" s="10" t="s">
        <v>2060</v>
      </c>
      <c r="C32" s="10" t="s">
        <v>2071</v>
      </c>
      <c r="D32" s="10" t="s">
        <v>2072</v>
      </c>
      <c r="E32" s="10" t="s">
        <v>2073</v>
      </c>
      <c r="F32" s="10" t="s">
        <v>2074</v>
      </c>
      <c r="G32" s="10" t="s">
        <v>2075</v>
      </c>
    </row>
    <row r="33" spans="1:7" ht="29" customHeight="1" x14ac:dyDescent="0.35">
      <c r="A33" s="9" t="s">
        <v>1991</v>
      </c>
      <c r="B33" s="9" t="s">
        <v>2060</v>
      </c>
      <c r="C33" s="9" t="s">
        <v>2076</v>
      </c>
      <c r="D33" s="9" t="s">
        <v>2077</v>
      </c>
      <c r="E33" s="9" t="s">
        <v>2078</v>
      </c>
      <c r="F33" s="9" t="s">
        <v>2079</v>
      </c>
      <c r="G33" s="9" t="s">
        <v>2080</v>
      </c>
    </row>
    <row r="34" spans="1:7" ht="29" customHeight="1" x14ac:dyDescent="0.35">
      <c r="A34" s="10" t="s">
        <v>1991</v>
      </c>
      <c r="B34" s="10" t="s">
        <v>2060</v>
      </c>
      <c r="C34" s="10" t="s">
        <v>2081</v>
      </c>
      <c r="D34" s="10" t="s">
        <v>2082</v>
      </c>
      <c r="E34" s="10" t="s">
        <v>2083</v>
      </c>
      <c r="F34" s="10" t="s">
        <v>2084</v>
      </c>
      <c r="G34" s="10" t="s">
        <v>2085</v>
      </c>
    </row>
    <row r="35" spans="1:7" ht="29" customHeight="1" x14ac:dyDescent="0.35">
      <c r="A35" s="9" t="s">
        <v>1991</v>
      </c>
      <c r="B35" s="9" t="s">
        <v>2060</v>
      </c>
      <c r="C35" s="9" t="s">
        <v>2086</v>
      </c>
      <c r="D35" s="9" t="s">
        <v>2087</v>
      </c>
      <c r="E35" s="9" t="s">
        <v>2088</v>
      </c>
      <c r="F35" s="9" t="s">
        <v>2084</v>
      </c>
      <c r="G35" s="9" t="s">
        <v>2089</v>
      </c>
    </row>
    <row r="36" spans="1:7" ht="29" customHeight="1" x14ac:dyDescent="0.35">
      <c r="A36" s="10" t="s">
        <v>1991</v>
      </c>
      <c r="B36" s="10" t="s">
        <v>2090</v>
      </c>
      <c r="C36" s="10" t="s">
        <v>2091</v>
      </c>
      <c r="D36" s="10" t="s">
        <v>2092</v>
      </c>
      <c r="E36" s="10" t="s">
        <v>2093</v>
      </c>
      <c r="F36" s="10" t="s">
        <v>2094</v>
      </c>
      <c r="G36" s="10" t="s">
        <v>2095</v>
      </c>
    </row>
    <row r="37" spans="1:7" ht="29" customHeight="1" x14ac:dyDescent="0.35">
      <c r="A37" s="9" t="s">
        <v>1991</v>
      </c>
      <c r="B37" s="9" t="s">
        <v>2060</v>
      </c>
      <c r="C37" s="9" t="s">
        <v>2096</v>
      </c>
      <c r="D37" s="9" t="s">
        <v>2097</v>
      </c>
      <c r="E37" s="9" t="s">
        <v>2098</v>
      </c>
      <c r="F37" s="9" t="s">
        <v>2099</v>
      </c>
      <c r="G37" s="9" t="s">
        <v>2100</v>
      </c>
    </row>
    <row r="38" spans="1:7" x14ac:dyDescent="0.35">
      <c r="A38" s="10" t="s">
        <v>1991</v>
      </c>
      <c r="B38" s="10" t="s">
        <v>2060</v>
      </c>
      <c r="C38" s="10" t="s">
        <v>2101</v>
      </c>
      <c r="D38" s="10" t="s">
        <v>2102</v>
      </c>
      <c r="E38" s="10" t="s">
        <v>2103</v>
      </c>
      <c r="F38" s="10" t="s">
        <v>2104</v>
      </c>
      <c r="G38" s="10" t="s">
        <v>2105</v>
      </c>
    </row>
    <row r="39" spans="1:7" x14ac:dyDescent="0.35">
      <c r="A39" s="9" t="s">
        <v>2106</v>
      </c>
      <c r="B39" s="9" t="s">
        <v>1992</v>
      </c>
      <c r="C39" s="9" t="s">
        <v>2107</v>
      </c>
      <c r="D39" s="9" t="s">
        <v>2108</v>
      </c>
      <c r="E39" s="9" t="s">
        <v>2109</v>
      </c>
      <c r="F39" s="9" t="s">
        <v>1996</v>
      </c>
      <c r="G39" s="9" t="s">
        <v>2110</v>
      </c>
    </row>
    <row r="40" spans="1:7" ht="29" customHeight="1" x14ac:dyDescent="0.35">
      <c r="A40" s="10" t="s">
        <v>2106</v>
      </c>
      <c r="B40" s="10" t="s">
        <v>1992</v>
      </c>
      <c r="C40" s="10" t="s">
        <v>2111</v>
      </c>
      <c r="D40" s="10" t="s">
        <v>2112</v>
      </c>
      <c r="E40" s="10" t="s">
        <v>2113</v>
      </c>
      <c r="F40" s="10" t="s">
        <v>2114</v>
      </c>
      <c r="G40" s="10" t="s">
        <v>2115</v>
      </c>
    </row>
    <row r="41" spans="1:7" x14ac:dyDescent="0.35">
      <c r="A41" s="9" t="s">
        <v>2106</v>
      </c>
      <c r="B41" s="9" t="s">
        <v>2003</v>
      </c>
      <c r="C41" s="9" t="s">
        <v>2116</v>
      </c>
      <c r="D41" s="9" t="s">
        <v>2117</v>
      </c>
      <c r="E41" s="9" t="s">
        <v>2118</v>
      </c>
      <c r="F41" s="9" t="s">
        <v>2119</v>
      </c>
      <c r="G41" s="9" t="s">
        <v>2120</v>
      </c>
    </row>
    <row r="42" spans="1:7" ht="29" customHeight="1" x14ac:dyDescent="0.35">
      <c r="A42" s="10" t="s">
        <v>2106</v>
      </c>
      <c r="B42" s="10" t="s">
        <v>2003</v>
      </c>
      <c r="C42" s="10" t="s">
        <v>2121</v>
      </c>
      <c r="D42" s="10" t="s">
        <v>2122</v>
      </c>
      <c r="E42" s="10" t="s">
        <v>2123</v>
      </c>
      <c r="F42" s="10" t="s">
        <v>2012</v>
      </c>
      <c r="G42" s="10" t="s">
        <v>2124</v>
      </c>
    </row>
    <row r="43" spans="1:7" x14ac:dyDescent="0.35">
      <c r="A43" s="9" t="s">
        <v>2106</v>
      </c>
      <c r="B43" s="9" t="s">
        <v>2060</v>
      </c>
      <c r="C43" s="9" t="s">
        <v>2125</v>
      </c>
      <c r="D43" s="9" t="s">
        <v>2126</v>
      </c>
      <c r="E43" s="9" t="s">
        <v>2127</v>
      </c>
      <c r="F43" s="9" t="s">
        <v>2128</v>
      </c>
      <c r="G43" s="9" t="s">
        <v>2129</v>
      </c>
    </row>
    <row r="44" spans="1:7" ht="29" customHeight="1" x14ac:dyDescent="0.35">
      <c r="A44" s="10" t="s">
        <v>2106</v>
      </c>
      <c r="B44" s="10" t="s">
        <v>2060</v>
      </c>
      <c r="C44" s="10" t="s">
        <v>2130</v>
      </c>
      <c r="D44" s="10" t="s">
        <v>2131</v>
      </c>
      <c r="E44" s="10" t="s">
        <v>2132</v>
      </c>
      <c r="F44" s="10" t="s">
        <v>2133</v>
      </c>
      <c r="G44" s="10" t="s">
        <v>2134</v>
      </c>
    </row>
    <row r="45" spans="1:7" ht="29" customHeight="1" x14ac:dyDescent="0.35">
      <c r="A45" s="9" t="s">
        <v>2106</v>
      </c>
      <c r="B45" s="9" t="s">
        <v>2060</v>
      </c>
      <c r="C45" s="9" t="s">
        <v>2135</v>
      </c>
      <c r="D45" s="9" t="s">
        <v>2136</v>
      </c>
      <c r="E45" s="9" t="s">
        <v>2137</v>
      </c>
      <c r="F45" s="9" t="s">
        <v>2138</v>
      </c>
      <c r="G45" s="9" t="s">
        <v>2139</v>
      </c>
    </row>
    <row r="46" spans="1:7" x14ac:dyDescent="0.35">
      <c r="A46" s="10" t="s">
        <v>2106</v>
      </c>
      <c r="B46" s="10" t="s">
        <v>2060</v>
      </c>
      <c r="C46" s="10" t="s">
        <v>2140</v>
      </c>
      <c r="D46" s="10" t="s">
        <v>2141</v>
      </c>
      <c r="E46" s="10" t="s">
        <v>2142</v>
      </c>
      <c r="F46" s="10" t="s">
        <v>2143</v>
      </c>
      <c r="G46" s="10" t="s">
        <v>2144</v>
      </c>
    </row>
    <row r="47" spans="1:7" ht="29" customHeight="1" x14ac:dyDescent="0.35">
      <c r="A47" s="9" t="s">
        <v>2106</v>
      </c>
      <c r="B47" s="9" t="s">
        <v>2060</v>
      </c>
      <c r="C47" s="9" t="s">
        <v>2045</v>
      </c>
      <c r="D47" s="9" t="s">
        <v>2145</v>
      </c>
      <c r="E47" s="9" t="s">
        <v>2146</v>
      </c>
      <c r="F47" s="9" t="s">
        <v>2048</v>
      </c>
      <c r="G47" s="9" t="s">
        <v>2147</v>
      </c>
    </row>
    <row r="48" spans="1:7" x14ac:dyDescent="0.35">
      <c r="A48" s="10" t="s">
        <v>2106</v>
      </c>
      <c r="B48" s="10" t="s">
        <v>2060</v>
      </c>
      <c r="C48" s="10" t="s">
        <v>2148</v>
      </c>
      <c r="D48" s="10" t="s">
        <v>2149</v>
      </c>
      <c r="E48" s="10" t="s">
        <v>2150</v>
      </c>
      <c r="F48" s="10" t="s">
        <v>2151</v>
      </c>
      <c r="G48" s="10" t="s">
        <v>2152</v>
      </c>
    </row>
    <row r="49" spans="1:12" x14ac:dyDescent="0.35">
      <c r="A49" s="9" t="s">
        <v>2106</v>
      </c>
      <c r="B49" s="9" t="s">
        <v>2060</v>
      </c>
      <c r="C49" s="9" t="s">
        <v>2153</v>
      </c>
      <c r="D49" s="9" t="s">
        <v>2154</v>
      </c>
      <c r="E49" s="9" t="s">
        <v>2155</v>
      </c>
      <c r="F49" s="9" t="s">
        <v>2156</v>
      </c>
      <c r="G49" s="9" t="s">
        <v>2157</v>
      </c>
    </row>
    <row r="50" spans="1:12" x14ac:dyDescent="0.35">
      <c r="A50" s="10" t="s">
        <v>2106</v>
      </c>
      <c r="B50" s="10" t="s">
        <v>2158</v>
      </c>
      <c r="C50" s="10" t="s">
        <v>2159</v>
      </c>
      <c r="D50" s="10" t="s">
        <v>2160</v>
      </c>
      <c r="E50" s="10" t="s">
        <v>2161</v>
      </c>
      <c r="F50" s="10" t="s">
        <v>2162</v>
      </c>
      <c r="G50" s="10" t="s">
        <v>2163</v>
      </c>
    </row>
    <row r="52" spans="1:12" x14ac:dyDescent="0.35">
      <c r="A52" s="105" t="s">
        <v>2164</v>
      </c>
      <c r="B52" s="59"/>
      <c r="C52" s="59"/>
      <c r="D52" s="59"/>
      <c r="E52" s="59"/>
      <c r="F52" s="59"/>
      <c r="G52" s="59"/>
      <c r="H52" s="59"/>
      <c r="I52" s="59"/>
      <c r="J52" s="59"/>
      <c r="K52" s="59"/>
      <c r="L52" s="59"/>
    </row>
    <row r="54" spans="1:12" ht="24" customHeight="1" x14ac:dyDescent="0.35">
      <c r="A54" s="8" t="s">
        <v>2165</v>
      </c>
      <c r="B54" s="8" t="s">
        <v>1984</v>
      </c>
      <c r="C54" s="8" t="s">
        <v>1598</v>
      </c>
      <c r="D54" s="8" t="s">
        <v>2166</v>
      </c>
      <c r="E54" s="8" t="s">
        <v>2167</v>
      </c>
      <c r="F54" s="8" t="s">
        <v>2168</v>
      </c>
      <c r="G54" s="8" t="s">
        <v>2169</v>
      </c>
      <c r="H54" s="8" t="s">
        <v>1986</v>
      </c>
      <c r="I54" s="8" t="s">
        <v>2170</v>
      </c>
      <c r="J54" s="8" t="s">
        <v>2171</v>
      </c>
      <c r="K54" s="8" t="s">
        <v>2172</v>
      </c>
      <c r="L54" s="8" t="s">
        <v>2173</v>
      </c>
    </row>
    <row r="55" spans="1:12" x14ac:dyDescent="0.35">
      <c r="A55" s="9"/>
      <c r="B55" s="9"/>
      <c r="C55" s="9"/>
      <c r="D55" s="9"/>
      <c r="E55" s="9"/>
      <c r="F55" s="9"/>
      <c r="G55" s="9"/>
      <c r="H55" s="9"/>
      <c r="I55" s="9"/>
      <c r="J55" s="9"/>
      <c r="K55" s="9"/>
      <c r="L55" s="9"/>
    </row>
  </sheetData>
  <mergeCells count="13">
    <mergeCell ref="A14:G14"/>
    <mergeCell ref="A52:L52"/>
    <mergeCell ref="B7:C7"/>
    <mergeCell ref="B11:C11"/>
    <mergeCell ref="B12:C12"/>
    <mergeCell ref="B3:C3"/>
    <mergeCell ref="B5:C5"/>
    <mergeCell ref="A1:L1"/>
    <mergeCell ref="B10:C10"/>
    <mergeCell ref="B9:C9"/>
    <mergeCell ref="B8:C8"/>
    <mergeCell ref="B4:C4"/>
    <mergeCell ref="B6:C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0"/>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37.81640625" customWidth="1"/>
    <col min="4" max="4" width="40" customWidth="1"/>
    <col min="5" max="5" width="36.90625" customWidth="1"/>
    <col min="6" max="6" width="19.81640625" customWidth="1"/>
    <col min="7" max="7" width="30.6328125" customWidth="1"/>
    <col min="8" max="8" width="21.6328125" customWidth="1"/>
    <col min="9" max="9" width="17.08984375" customWidth="1"/>
    <col min="10" max="10" width="12.6328125" customWidth="1"/>
  </cols>
  <sheetData>
    <row r="1" spans="1:10" ht="24" customHeight="1" x14ac:dyDescent="0.35">
      <c r="A1" s="106" t="s">
        <v>2174</v>
      </c>
      <c r="B1" s="59"/>
      <c r="C1" s="59"/>
      <c r="D1" s="59"/>
      <c r="E1" s="59"/>
      <c r="F1" s="59"/>
      <c r="G1" s="59"/>
      <c r="H1" s="59"/>
      <c r="I1" s="59"/>
      <c r="J1" s="59"/>
    </row>
    <row r="3" spans="1:10" ht="24" customHeight="1" x14ac:dyDescent="0.35">
      <c r="A3" s="8" t="s">
        <v>2175</v>
      </c>
      <c r="B3" s="101" t="s">
        <v>1905</v>
      </c>
      <c r="C3" s="92"/>
      <c r="D3" s="16"/>
      <c r="E3" s="16"/>
      <c r="F3" s="16"/>
      <c r="G3" s="16"/>
      <c r="H3" s="16"/>
      <c r="I3" s="16"/>
      <c r="J3" s="17"/>
    </row>
    <row r="4" spans="1:10" ht="80" customHeight="1" x14ac:dyDescent="0.35">
      <c r="A4" s="9" t="s">
        <v>2176</v>
      </c>
      <c r="B4" s="104" t="s">
        <v>2177</v>
      </c>
      <c r="C4" s="92"/>
      <c r="D4" s="16"/>
      <c r="E4" s="16"/>
      <c r="F4" s="16"/>
      <c r="G4" s="16"/>
      <c r="H4" s="16"/>
      <c r="I4" s="16"/>
      <c r="J4" s="17"/>
    </row>
    <row r="5" spans="1:10" ht="50" customHeight="1" x14ac:dyDescent="0.35">
      <c r="A5" s="9" t="s">
        <v>2178</v>
      </c>
      <c r="B5" s="104" t="s">
        <v>2179</v>
      </c>
      <c r="C5" s="92"/>
      <c r="D5" s="16"/>
      <c r="E5" s="16"/>
      <c r="F5" s="16"/>
      <c r="G5" s="16"/>
      <c r="H5" s="16"/>
      <c r="I5" s="16"/>
      <c r="J5" s="17"/>
    </row>
    <row r="6" spans="1:10" ht="62.5" customHeight="1" x14ac:dyDescent="0.35">
      <c r="A6" s="9" t="s">
        <v>2180</v>
      </c>
      <c r="B6" s="104" t="s">
        <v>2181</v>
      </c>
      <c r="C6" s="92"/>
      <c r="D6" s="16"/>
      <c r="E6" s="16"/>
      <c r="F6" s="16"/>
      <c r="G6" s="16"/>
      <c r="H6" s="16"/>
      <c r="I6" s="16"/>
      <c r="J6" s="17"/>
    </row>
    <row r="7" spans="1:10" ht="43.5" customHeight="1" x14ac:dyDescent="0.35">
      <c r="A7" s="9" t="s">
        <v>2182</v>
      </c>
      <c r="B7" s="104" t="s">
        <v>2183</v>
      </c>
      <c r="C7" s="92"/>
      <c r="D7" s="16"/>
      <c r="E7" s="16"/>
      <c r="F7" s="16"/>
      <c r="G7" s="16"/>
      <c r="H7" s="16"/>
      <c r="I7" s="16"/>
      <c r="J7" s="17"/>
    </row>
    <row r="9" spans="1:10" ht="18.5" customHeight="1" x14ac:dyDescent="0.35">
      <c r="A9" s="107" t="s">
        <v>2184</v>
      </c>
      <c r="B9" s="59"/>
      <c r="C9" s="59"/>
      <c r="D9" s="59"/>
      <c r="E9" s="59"/>
      <c r="F9" s="59"/>
      <c r="G9" s="59"/>
      <c r="H9" s="59"/>
      <c r="I9" s="59"/>
      <c r="J9" s="59"/>
    </row>
    <row r="11" spans="1:10" ht="24" customHeight="1" x14ac:dyDescent="0.35">
      <c r="A11" s="8" t="s">
        <v>1915</v>
      </c>
      <c r="B11" s="8" t="s">
        <v>1916</v>
      </c>
      <c r="C11" s="8" t="s">
        <v>1917</v>
      </c>
      <c r="D11" s="18" t="s">
        <v>2185</v>
      </c>
      <c r="E11" s="16"/>
      <c r="F11" s="16"/>
      <c r="G11" s="16"/>
      <c r="H11" s="16"/>
      <c r="I11" s="16"/>
      <c r="J11" s="17"/>
    </row>
    <row r="12" spans="1:10" ht="72.5" customHeight="1" x14ac:dyDescent="0.35">
      <c r="A12" s="9" t="s">
        <v>2186</v>
      </c>
      <c r="B12" s="9" t="s">
        <v>2187</v>
      </c>
      <c r="C12" s="9" t="s">
        <v>2188</v>
      </c>
      <c r="D12" s="9" t="s">
        <v>2189</v>
      </c>
      <c r="E12" s="16"/>
      <c r="F12" s="16"/>
      <c r="G12" s="16"/>
      <c r="H12" s="16"/>
      <c r="I12" s="16"/>
      <c r="J12" s="17"/>
    </row>
    <row r="13" spans="1:10" ht="116" customHeight="1" x14ac:dyDescent="0.35">
      <c r="A13" s="10" t="s">
        <v>2190</v>
      </c>
      <c r="B13" s="10" t="s">
        <v>2191</v>
      </c>
      <c r="C13" s="10" t="s">
        <v>2192</v>
      </c>
      <c r="D13" s="10" t="s">
        <v>2193</v>
      </c>
      <c r="E13" s="16"/>
      <c r="F13" s="16"/>
      <c r="G13" s="16"/>
      <c r="H13" s="16"/>
      <c r="I13" s="16"/>
      <c r="J13" s="17"/>
    </row>
    <row r="14" spans="1:10" ht="72.5" customHeight="1" x14ac:dyDescent="0.35">
      <c r="A14" s="9" t="s">
        <v>2194</v>
      </c>
      <c r="B14" s="9" t="s">
        <v>2195</v>
      </c>
      <c r="C14" s="9" t="s">
        <v>2196</v>
      </c>
      <c r="D14" s="9" t="s">
        <v>2197</v>
      </c>
      <c r="E14" s="16"/>
      <c r="F14" s="16"/>
      <c r="G14" s="16"/>
      <c r="H14" s="16"/>
      <c r="I14" s="16"/>
      <c r="J14" s="17"/>
    </row>
    <row r="15" spans="1:10" ht="58" customHeight="1" x14ac:dyDescent="0.35">
      <c r="A15" s="10" t="s">
        <v>2198</v>
      </c>
      <c r="B15" s="10" t="s">
        <v>2199</v>
      </c>
      <c r="C15" s="10" t="s">
        <v>2200</v>
      </c>
      <c r="D15" s="10" t="s">
        <v>2201</v>
      </c>
      <c r="E15" s="16"/>
      <c r="F15" s="16"/>
      <c r="G15" s="16"/>
      <c r="H15" s="16"/>
      <c r="I15" s="16"/>
      <c r="J15" s="17"/>
    </row>
    <row r="16" spans="1:10" ht="72.5" customHeight="1" x14ac:dyDescent="0.35">
      <c r="A16" s="9" t="s">
        <v>2202</v>
      </c>
      <c r="B16" s="9" t="s">
        <v>2203</v>
      </c>
      <c r="C16" s="9" t="s">
        <v>2200</v>
      </c>
      <c r="D16" s="9" t="s">
        <v>2204</v>
      </c>
      <c r="E16" s="16"/>
      <c r="F16" s="16"/>
      <c r="G16" s="16"/>
      <c r="H16" s="16"/>
      <c r="I16" s="16"/>
      <c r="J16" s="17"/>
    </row>
    <row r="18" spans="1:10" ht="18.5" customHeight="1" x14ac:dyDescent="0.35">
      <c r="A18" s="107" t="s">
        <v>2205</v>
      </c>
      <c r="B18" s="59"/>
      <c r="C18" s="59"/>
      <c r="D18" s="59"/>
      <c r="E18" s="59"/>
      <c r="F18" s="59"/>
      <c r="G18" s="59"/>
      <c r="H18" s="59"/>
      <c r="I18" s="59"/>
      <c r="J18" s="59"/>
    </row>
    <row r="20" spans="1:10" ht="24" customHeight="1" x14ac:dyDescent="0.35">
      <c r="A20" s="8" t="s">
        <v>2206</v>
      </c>
      <c r="B20" s="8" t="s">
        <v>1625</v>
      </c>
      <c r="C20" s="8" t="s">
        <v>2207</v>
      </c>
      <c r="D20" s="8" t="s">
        <v>1883</v>
      </c>
      <c r="E20" s="8" t="s">
        <v>1885</v>
      </c>
      <c r="F20" s="8" t="s">
        <v>1886</v>
      </c>
      <c r="G20" s="8" t="s">
        <v>2208</v>
      </c>
      <c r="H20" s="8" t="s">
        <v>2209</v>
      </c>
      <c r="I20" s="8" t="s">
        <v>2210</v>
      </c>
      <c r="J20" s="8" t="s">
        <v>2211</v>
      </c>
    </row>
    <row r="21" spans="1:10" x14ac:dyDescent="0.35">
      <c r="A21" s="9"/>
      <c r="B21" s="9"/>
      <c r="C21" s="9"/>
      <c r="D21" s="9"/>
      <c r="E21" s="9"/>
      <c r="F21" s="9"/>
      <c r="G21" s="9"/>
      <c r="H21" s="9"/>
      <c r="I21" s="9"/>
      <c r="J21" s="9"/>
    </row>
    <row r="22" spans="1:10" x14ac:dyDescent="0.35">
      <c r="A22" s="10"/>
      <c r="B22" s="10"/>
      <c r="C22" s="10"/>
      <c r="D22" s="10"/>
      <c r="E22" s="10"/>
      <c r="F22" s="10"/>
      <c r="G22" s="10"/>
      <c r="H22" s="10"/>
      <c r="I22" s="10"/>
      <c r="J22" s="10"/>
    </row>
    <row r="23" spans="1:10" ht="18.5" customHeight="1" x14ac:dyDescent="0.35">
      <c r="A23" s="107" t="s">
        <v>2212</v>
      </c>
      <c r="B23" s="59"/>
      <c r="C23" s="59"/>
      <c r="D23" s="59"/>
      <c r="E23" s="59"/>
      <c r="F23" s="59"/>
      <c r="G23" s="59"/>
      <c r="H23" s="59"/>
      <c r="I23" s="59"/>
      <c r="J23" s="59"/>
    </row>
    <row r="25" spans="1:10" ht="24" customHeight="1" x14ac:dyDescent="0.35">
      <c r="A25" s="8" t="s">
        <v>2213</v>
      </c>
      <c r="B25" s="8" t="s">
        <v>2214</v>
      </c>
      <c r="C25" s="8" t="s">
        <v>2215</v>
      </c>
      <c r="D25" s="8" t="s">
        <v>2216</v>
      </c>
      <c r="E25" s="8" t="s">
        <v>2217</v>
      </c>
      <c r="F25" s="8" t="s">
        <v>2218</v>
      </c>
      <c r="G25" s="8" t="s">
        <v>2219</v>
      </c>
      <c r="H25" s="8" t="s">
        <v>2220</v>
      </c>
    </row>
    <row r="26" spans="1:10" x14ac:dyDescent="0.35">
      <c r="A26" s="9"/>
      <c r="B26" s="9"/>
      <c r="C26" s="9"/>
      <c r="D26" s="9"/>
      <c r="E26" s="9"/>
      <c r="F26" s="9"/>
      <c r="G26" s="9"/>
      <c r="H26" s="9"/>
    </row>
    <row r="27" spans="1:10" x14ac:dyDescent="0.35">
      <c r="A27" s="10"/>
      <c r="B27" s="10"/>
      <c r="C27" s="10"/>
      <c r="D27" s="10"/>
      <c r="E27" s="10"/>
      <c r="F27" s="10"/>
      <c r="G27" s="10"/>
      <c r="H27" s="10"/>
    </row>
    <row r="28" spans="1:10" x14ac:dyDescent="0.35">
      <c r="A28" s="9"/>
      <c r="B28" s="9"/>
      <c r="C28" s="9"/>
      <c r="D28" s="9"/>
      <c r="E28" s="9"/>
      <c r="F28" s="9"/>
      <c r="G28" s="9"/>
      <c r="H28" s="9"/>
    </row>
    <row r="29" spans="1:10" x14ac:dyDescent="0.35">
      <c r="A29" s="10"/>
      <c r="B29" s="10"/>
      <c r="C29" s="10"/>
      <c r="D29" s="10"/>
      <c r="E29" s="10"/>
      <c r="F29" s="10"/>
      <c r="G29" s="10"/>
      <c r="H29" s="10"/>
    </row>
    <row r="30" spans="1:10" x14ac:dyDescent="0.35">
      <c r="A30" s="9"/>
      <c r="B30" s="9"/>
      <c r="C30" s="9"/>
      <c r="D30" s="9"/>
      <c r="E30" s="9"/>
      <c r="F30" s="9"/>
      <c r="G30" s="9"/>
      <c r="H30" s="9"/>
    </row>
  </sheetData>
  <mergeCells count="9">
    <mergeCell ref="A1:J1"/>
    <mergeCell ref="B6:C6"/>
    <mergeCell ref="A23:J23"/>
    <mergeCell ref="B7:C7"/>
    <mergeCell ref="B3:C3"/>
    <mergeCell ref="A9:J9"/>
    <mergeCell ref="A18:J18"/>
    <mergeCell ref="B5:C5"/>
    <mergeCell ref="B4: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2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50" customWidth="1"/>
    <col min="3" max="3" width="35" customWidth="1"/>
    <col min="4" max="5" width="22" customWidth="1"/>
    <col min="6" max="6" width="54" customWidth="1"/>
    <col min="7" max="10" width="8" customWidth="1"/>
  </cols>
  <sheetData>
    <row r="1" spans="1:10" ht="24" customHeight="1" x14ac:dyDescent="0.35">
      <c r="A1" s="112" t="s">
        <v>2221</v>
      </c>
      <c r="B1" s="59"/>
      <c r="C1" s="59"/>
      <c r="D1" s="59"/>
      <c r="E1" s="59"/>
      <c r="F1" s="59"/>
    </row>
    <row r="3" spans="1:10" ht="24" customHeight="1" x14ac:dyDescent="0.35">
      <c r="A3" s="25" t="s">
        <v>2222</v>
      </c>
      <c r="B3" s="25" t="s">
        <v>2223</v>
      </c>
      <c r="C3" s="25" t="s">
        <v>2224</v>
      </c>
      <c r="D3" s="25" t="s">
        <v>511</v>
      </c>
      <c r="E3" s="25" t="s">
        <v>2225</v>
      </c>
      <c r="F3" s="18" t="s">
        <v>2226</v>
      </c>
    </row>
    <row r="4" spans="1:10" ht="43.5" customHeight="1" x14ac:dyDescent="0.35">
      <c r="A4" s="31" t="s">
        <v>2227</v>
      </c>
      <c r="B4" s="31" t="s">
        <v>2228</v>
      </c>
      <c r="C4" s="31" t="s">
        <v>2229</v>
      </c>
      <c r="D4" s="31" t="s">
        <v>2230</v>
      </c>
      <c r="E4" s="31" t="s">
        <v>2231</v>
      </c>
      <c r="F4" s="9" t="s">
        <v>2232</v>
      </c>
    </row>
    <row r="5" spans="1:10" ht="43.5" customHeight="1" x14ac:dyDescent="0.35">
      <c r="A5" s="26" t="s">
        <v>2233</v>
      </c>
      <c r="B5" s="26" t="s">
        <v>2234</v>
      </c>
      <c r="C5" s="26" t="s">
        <v>2235</v>
      </c>
      <c r="D5" s="26" t="s">
        <v>2236</v>
      </c>
      <c r="E5" s="26" t="s">
        <v>2237</v>
      </c>
    </row>
    <row r="6" spans="1:10" ht="43.5" customHeight="1" x14ac:dyDescent="0.35">
      <c r="A6" s="26" t="s">
        <v>2238</v>
      </c>
      <c r="B6" s="26" t="s">
        <v>2239</v>
      </c>
      <c r="C6" s="26" t="s">
        <v>2240</v>
      </c>
      <c r="D6" s="26" t="s">
        <v>2241</v>
      </c>
      <c r="E6" s="26" t="s">
        <v>2242</v>
      </c>
    </row>
    <row r="7" spans="1:10" ht="43.5" customHeight="1" x14ac:dyDescent="0.35">
      <c r="A7" s="32" t="s">
        <v>2243</v>
      </c>
      <c r="B7" s="32" t="s">
        <v>2244</v>
      </c>
      <c r="C7" s="32" t="s">
        <v>2245</v>
      </c>
      <c r="D7" s="32" t="s">
        <v>2246</v>
      </c>
      <c r="E7" s="32" t="s">
        <v>2247</v>
      </c>
      <c r="F7" s="10" t="s">
        <v>2248</v>
      </c>
    </row>
    <row r="8" spans="1:10" ht="43.5" customHeight="1" x14ac:dyDescent="0.35">
      <c r="A8" s="31" t="s">
        <v>2249</v>
      </c>
      <c r="B8" s="31" t="s">
        <v>2250</v>
      </c>
      <c r="C8" s="31" t="s">
        <v>2251</v>
      </c>
      <c r="D8" s="31" t="s">
        <v>2252</v>
      </c>
      <c r="E8" s="31" t="s">
        <v>2253</v>
      </c>
      <c r="F8" s="9" t="s">
        <v>2254</v>
      </c>
    </row>
    <row r="9" spans="1:10" ht="43.5" customHeight="1" x14ac:dyDescent="0.35">
      <c r="A9" s="32" t="s">
        <v>2255</v>
      </c>
      <c r="B9" s="32" t="s">
        <v>2256</v>
      </c>
      <c r="C9" s="32" t="s">
        <v>2257</v>
      </c>
      <c r="D9" s="32" t="s">
        <v>2258</v>
      </c>
      <c r="E9" s="32" t="s">
        <v>2259</v>
      </c>
      <c r="F9" s="10" t="s">
        <v>2260</v>
      </c>
    </row>
    <row r="10" spans="1:10" ht="43.5" customHeight="1" x14ac:dyDescent="0.35">
      <c r="A10" s="31" t="s">
        <v>2261</v>
      </c>
      <c r="B10" s="31" t="s">
        <v>2262</v>
      </c>
      <c r="C10" s="31" t="s">
        <v>2263</v>
      </c>
      <c r="D10" s="31" t="s">
        <v>2264</v>
      </c>
      <c r="E10" s="31" t="s">
        <v>2265</v>
      </c>
      <c r="F10" s="9" t="s">
        <v>2266</v>
      </c>
    </row>
    <row r="11" spans="1:10" ht="43.5" customHeight="1" x14ac:dyDescent="0.35">
      <c r="A11" s="32" t="s">
        <v>2267</v>
      </c>
      <c r="B11" s="32" t="s">
        <v>2268</v>
      </c>
      <c r="C11" s="32" t="s">
        <v>2269</v>
      </c>
      <c r="D11" s="32" t="s">
        <v>2270</v>
      </c>
      <c r="E11" s="32" t="s">
        <v>2271</v>
      </c>
      <c r="F11" s="10" t="s">
        <v>2272</v>
      </c>
    </row>
    <row r="12" spans="1:10" ht="43.5" customHeight="1" x14ac:dyDescent="0.35">
      <c r="A12" s="31" t="s">
        <v>2273</v>
      </c>
      <c r="B12" s="31" t="s">
        <v>2274</v>
      </c>
      <c r="C12" s="31" t="s">
        <v>2275</v>
      </c>
      <c r="D12" s="31" t="s">
        <v>2276</v>
      </c>
      <c r="E12" s="31" t="s">
        <v>2277</v>
      </c>
      <c r="F12" s="9" t="s">
        <v>2278</v>
      </c>
    </row>
    <row r="13" spans="1:10" ht="43.5" customHeight="1" x14ac:dyDescent="0.35">
      <c r="A13" s="32" t="s">
        <v>2279</v>
      </c>
      <c r="B13" s="32" t="s">
        <v>2280</v>
      </c>
      <c r="C13" s="32" t="s">
        <v>2281</v>
      </c>
      <c r="D13" s="32" t="s">
        <v>876</v>
      </c>
      <c r="E13" s="32" t="s">
        <v>1834</v>
      </c>
      <c r="F13" s="10" t="s">
        <v>2282</v>
      </c>
    </row>
    <row r="14" spans="1:10" ht="29" customHeight="1" x14ac:dyDescent="0.35">
      <c r="A14" s="31" t="s">
        <v>2283</v>
      </c>
      <c r="B14" s="31" t="s">
        <v>2284</v>
      </c>
      <c r="C14" s="31" t="s">
        <v>2285</v>
      </c>
      <c r="D14" s="31" t="s">
        <v>876</v>
      </c>
      <c r="E14" s="31" t="s">
        <v>2286</v>
      </c>
      <c r="F14" s="9" t="s">
        <v>2287</v>
      </c>
    </row>
    <row r="15" spans="1:10" ht="18.5" customHeight="1" x14ac:dyDescent="0.35">
      <c r="A15" s="109" t="s">
        <v>2288</v>
      </c>
      <c r="B15" s="74"/>
      <c r="C15" s="74"/>
      <c r="D15" s="74"/>
      <c r="E15" s="74"/>
      <c r="F15" s="74"/>
      <c r="G15" s="74"/>
      <c r="H15" s="74"/>
      <c r="I15" s="74"/>
      <c r="J15" s="71"/>
    </row>
    <row r="16" spans="1:10" ht="31" customHeight="1" x14ac:dyDescent="0.35">
      <c r="A16" s="26"/>
      <c r="B16" s="26"/>
      <c r="C16" s="26"/>
      <c r="D16" s="26"/>
      <c r="E16" s="26"/>
    </row>
    <row r="17" spans="1:10" x14ac:dyDescent="0.35">
      <c r="A17" s="26"/>
      <c r="B17" s="110"/>
      <c r="C17" s="74"/>
      <c r="D17" s="74"/>
      <c r="E17" s="74"/>
      <c r="F17" s="74"/>
      <c r="G17" s="74"/>
      <c r="H17" s="74"/>
      <c r="I17" s="74"/>
      <c r="J17" s="71"/>
    </row>
    <row r="18" spans="1:10" ht="24" customHeight="1" x14ac:dyDescent="0.35">
      <c r="A18" s="34" t="s">
        <v>2289</v>
      </c>
      <c r="B18" s="110"/>
      <c r="C18" s="74"/>
      <c r="D18" s="74"/>
      <c r="E18" s="74"/>
      <c r="F18" s="71"/>
    </row>
    <row r="19" spans="1:10" ht="29" customHeight="1" x14ac:dyDescent="0.35">
      <c r="A19" s="26"/>
      <c r="B19" s="110"/>
      <c r="C19" s="74"/>
      <c r="D19" s="74"/>
      <c r="E19" s="74"/>
      <c r="F19" s="71"/>
    </row>
    <row r="20" spans="1:10" ht="29" customHeight="1" x14ac:dyDescent="0.35">
      <c r="A20" s="35" t="s">
        <v>2290</v>
      </c>
      <c r="B20" s="111" t="s">
        <v>2291</v>
      </c>
      <c r="C20" s="74"/>
      <c r="D20" s="74"/>
      <c r="E20" s="74"/>
      <c r="F20" s="71"/>
    </row>
    <row r="21" spans="1:10" ht="29" customHeight="1" x14ac:dyDescent="0.35">
      <c r="A21" s="31" t="s">
        <v>2292</v>
      </c>
      <c r="B21" s="108" t="s">
        <v>2293</v>
      </c>
      <c r="C21" s="74"/>
      <c r="D21" s="74"/>
      <c r="E21" s="74"/>
      <c r="F21" s="71"/>
    </row>
    <row r="22" spans="1:10" ht="29" customHeight="1" x14ac:dyDescent="0.35">
      <c r="A22" s="32" t="s">
        <v>2294</v>
      </c>
      <c r="B22" s="109" t="s">
        <v>2295</v>
      </c>
      <c r="C22" s="74"/>
      <c r="D22" s="74"/>
      <c r="E22" s="74"/>
      <c r="F22" s="71"/>
    </row>
    <row r="23" spans="1:10" ht="29" customHeight="1" x14ac:dyDescent="0.35">
      <c r="A23" s="31" t="s">
        <v>2296</v>
      </c>
      <c r="B23" s="108" t="s">
        <v>2297</v>
      </c>
      <c r="C23" s="74"/>
      <c r="D23" s="74"/>
      <c r="E23" s="74"/>
      <c r="F23" s="71"/>
    </row>
    <row r="24" spans="1:10" ht="29" customHeight="1" x14ac:dyDescent="0.35">
      <c r="A24" s="32" t="s">
        <v>2298</v>
      </c>
      <c r="B24" s="32" t="s">
        <v>2299</v>
      </c>
      <c r="C24" s="26"/>
      <c r="D24" s="26"/>
      <c r="E24" s="26"/>
      <c r="F24" s="16"/>
    </row>
    <row r="25" spans="1:10" ht="29" customHeight="1" x14ac:dyDescent="0.35">
      <c r="A25" s="31" t="s">
        <v>2300</v>
      </c>
      <c r="B25" s="31" t="s">
        <v>2301</v>
      </c>
      <c r="C25" s="26"/>
      <c r="D25" s="26"/>
      <c r="E25" s="26"/>
    </row>
  </sheetData>
  <mergeCells count="9">
    <mergeCell ref="A1:F1"/>
    <mergeCell ref="B19:F19"/>
    <mergeCell ref="B17:J17"/>
    <mergeCell ref="A15:J15"/>
    <mergeCell ref="B23:F23"/>
    <mergeCell ref="B22:F22"/>
    <mergeCell ref="B18:F18"/>
    <mergeCell ref="B21:F21"/>
    <mergeCell ref="B20:F2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A3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27.90625" customWidth="1"/>
    <col min="4" max="4" width="14.36328125" customWidth="1"/>
    <col min="5" max="5" width="11.7265625" customWidth="1"/>
    <col min="6" max="6" width="12.6328125" customWidth="1"/>
    <col min="7" max="7" width="10" customWidth="1"/>
    <col min="8" max="8" width="17.08984375" customWidth="1"/>
    <col min="9" max="15" width="10" customWidth="1"/>
    <col min="16" max="16" width="12.6328125" customWidth="1"/>
    <col min="17" max="17" width="14.36328125" customWidth="1"/>
    <col min="18" max="18" width="16.1796875" customWidth="1"/>
    <col min="19" max="19" width="13.453125" customWidth="1"/>
    <col min="20" max="20" width="10" customWidth="1"/>
    <col min="21" max="21" width="18" customWidth="1"/>
    <col min="22" max="22" width="10" customWidth="1"/>
    <col min="23" max="23" width="12.6328125" customWidth="1"/>
    <col min="24" max="24" width="10" customWidth="1"/>
    <col min="25" max="25" width="20.7265625" customWidth="1"/>
    <col min="26" max="26" width="18.90625" customWidth="1"/>
    <col min="27" max="27" width="25.1796875" customWidth="1"/>
  </cols>
  <sheetData>
    <row r="1" spans="1:27" ht="24" customHeight="1" x14ac:dyDescent="0.35">
      <c r="A1" s="97" t="s">
        <v>2302</v>
      </c>
      <c r="B1" s="95"/>
      <c r="C1" s="95"/>
      <c r="D1" s="95"/>
      <c r="E1" s="95"/>
      <c r="F1" s="95"/>
      <c r="G1" s="95"/>
      <c r="H1" s="95"/>
      <c r="I1" s="95"/>
      <c r="J1" s="95"/>
      <c r="K1" s="95"/>
      <c r="L1" s="95"/>
      <c r="M1" s="95"/>
      <c r="N1" s="95"/>
      <c r="O1" s="95"/>
      <c r="P1" s="95"/>
      <c r="Q1" s="95"/>
      <c r="R1" s="96"/>
    </row>
    <row r="3" spans="1:27" ht="24" customHeight="1" x14ac:dyDescent="0.35">
      <c r="A3" s="8" t="s">
        <v>2303</v>
      </c>
      <c r="B3" s="100" t="s">
        <v>1905</v>
      </c>
      <c r="C3" s="59"/>
    </row>
    <row r="4" spans="1:27" ht="46" customHeight="1" x14ac:dyDescent="0.35">
      <c r="A4" s="9" t="s">
        <v>2304</v>
      </c>
      <c r="B4" s="98" t="s">
        <v>2305</v>
      </c>
      <c r="C4" s="59"/>
    </row>
    <row r="5" spans="1:27" ht="53.5" customHeight="1" x14ac:dyDescent="0.35">
      <c r="A5" s="9" t="s">
        <v>2306</v>
      </c>
      <c r="B5" s="98" t="s">
        <v>2307</v>
      </c>
      <c r="C5" s="59"/>
    </row>
    <row r="6" spans="1:27" ht="30" customHeight="1" x14ac:dyDescent="0.35">
      <c r="A6" s="9" t="s">
        <v>2308</v>
      </c>
      <c r="B6" s="98" t="s">
        <v>2309</v>
      </c>
      <c r="C6" s="59"/>
    </row>
    <row r="7" spans="1:27" ht="55" customHeight="1" x14ac:dyDescent="0.35">
      <c r="A7" s="9" t="s">
        <v>2310</v>
      </c>
      <c r="B7" s="98" t="s">
        <v>2311</v>
      </c>
      <c r="C7" s="59"/>
    </row>
    <row r="8" spans="1:27" ht="24" customHeight="1" x14ac:dyDescent="0.35">
      <c r="A8" s="94" t="s">
        <v>2312</v>
      </c>
      <c r="B8" s="95"/>
      <c r="C8" s="95"/>
      <c r="D8" s="95"/>
      <c r="E8" s="95"/>
      <c r="F8" s="95"/>
      <c r="G8" s="95"/>
      <c r="H8" s="95"/>
      <c r="I8" s="95"/>
      <c r="J8" s="95"/>
      <c r="K8" s="95"/>
      <c r="L8" s="95"/>
      <c r="M8" s="95"/>
      <c r="N8" s="95"/>
      <c r="O8" s="95"/>
      <c r="P8" s="95"/>
      <c r="Q8" s="95"/>
      <c r="R8" s="95"/>
      <c r="S8" s="95"/>
      <c r="T8" s="95"/>
      <c r="U8" s="95"/>
      <c r="V8" s="95"/>
      <c r="W8" s="95"/>
      <c r="X8" s="96"/>
    </row>
    <row r="9" spans="1:27" ht="24" customHeight="1" x14ac:dyDescent="0.35">
      <c r="A9" s="8" t="s">
        <v>2313</v>
      </c>
      <c r="B9" s="8" t="s">
        <v>2314</v>
      </c>
      <c r="C9" s="8" t="s">
        <v>2315</v>
      </c>
      <c r="D9" s="8" t="s">
        <v>2207</v>
      </c>
      <c r="E9" s="8" t="s">
        <v>1883</v>
      </c>
      <c r="F9" s="8" t="s">
        <v>2316</v>
      </c>
      <c r="G9" s="8" t="s">
        <v>1885</v>
      </c>
      <c r="H9" s="8" t="s">
        <v>2317</v>
      </c>
      <c r="I9" s="8" t="s">
        <v>2318</v>
      </c>
      <c r="J9" s="8" t="s">
        <v>2319</v>
      </c>
      <c r="K9" s="8" t="s">
        <v>2320</v>
      </c>
      <c r="L9" s="8" t="s">
        <v>2321</v>
      </c>
      <c r="M9" s="8" t="s">
        <v>2322</v>
      </c>
      <c r="N9" s="8" t="s">
        <v>2323</v>
      </c>
      <c r="O9" s="8" t="s">
        <v>2324</v>
      </c>
      <c r="P9" s="8" t="s">
        <v>358</v>
      </c>
      <c r="Q9" s="8" t="s">
        <v>2325</v>
      </c>
      <c r="R9" s="8" t="s">
        <v>2326</v>
      </c>
      <c r="S9" s="8" t="s">
        <v>2327</v>
      </c>
      <c r="T9" s="8" t="s">
        <v>2328</v>
      </c>
      <c r="U9" s="8" t="s">
        <v>2329</v>
      </c>
      <c r="V9" s="8" t="s">
        <v>2330</v>
      </c>
      <c r="W9" s="8" t="s">
        <v>2331</v>
      </c>
      <c r="X9" s="8" t="s">
        <v>2332</v>
      </c>
      <c r="Y9" s="8" t="s">
        <v>2333</v>
      </c>
      <c r="Z9" s="8" t="s">
        <v>1728</v>
      </c>
      <c r="AA9" s="8" t="s">
        <v>2334</v>
      </c>
    </row>
    <row r="10" spans="1:27" ht="22" customHeight="1"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ht="22"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22" customHeight="1"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ht="22" customHeight="1"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22" customHeight="1"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ht="22" customHeight="1"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22" customHeight="1"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ht="22" customHeight="1"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22" customHeight="1"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ht="22" customHeight="1"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22" customHeight="1"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ht="22" customHeight="1"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24" customHeight="1" x14ac:dyDescent="0.35">
      <c r="A23" s="94" t="s">
        <v>2335</v>
      </c>
      <c r="B23" s="95"/>
      <c r="C23" s="95"/>
      <c r="D23" s="95"/>
      <c r="E23" s="95"/>
      <c r="F23" s="95"/>
      <c r="G23" s="95"/>
      <c r="H23" s="95"/>
      <c r="I23" s="95"/>
      <c r="J23" s="95"/>
      <c r="K23" s="95"/>
      <c r="L23" s="96"/>
    </row>
    <row r="24" spans="1:27" ht="24" customHeight="1" x14ac:dyDescent="0.35">
      <c r="A24" s="8" t="s">
        <v>2336</v>
      </c>
      <c r="B24" s="8" t="s">
        <v>2337</v>
      </c>
      <c r="C24" s="8" t="s">
        <v>394</v>
      </c>
    </row>
    <row r="25" spans="1:27" ht="20" customHeight="1" x14ac:dyDescent="0.35">
      <c r="A25" s="9" t="s">
        <v>108</v>
      </c>
      <c r="B25" s="14">
        <v>0.15</v>
      </c>
      <c r="C25" s="9" t="s">
        <v>395</v>
      </c>
    </row>
    <row r="26" spans="1:27" ht="20" customHeight="1" x14ac:dyDescent="0.35">
      <c r="A26" s="10" t="s">
        <v>141</v>
      </c>
      <c r="B26" s="15">
        <v>0.15</v>
      </c>
      <c r="C26" s="10" t="s">
        <v>2338</v>
      </c>
    </row>
    <row r="27" spans="1:27" ht="20" customHeight="1" x14ac:dyDescent="0.35">
      <c r="A27" s="9" t="s">
        <v>174</v>
      </c>
      <c r="B27" s="14">
        <v>0.2</v>
      </c>
      <c r="C27" s="9" t="s">
        <v>2339</v>
      </c>
    </row>
    <row r="28" spans="1:27" ht="20" customHeight="1" x14ac:dyDescent="0.35">
      <c r="A28" s="10" t="s">
        <v>193</v>
      </c>
      <c r="B28" s="15">
        <v>0.1</v>
      </c>
      <c r="C28" s="10" t="s">
        <v>2340</v>
      </c>
    </row>
    <row r="29" spans="1:27" ht="20" customHeight="1" x14ac:dyDescent="0.35">
      <c r="A29" s="9" t="s">
        <v>281</v>
      </c>
      <c r="B29" s="14">
        <v>0.1</v>
      </c>
      <c r="C29" s="9" t="s">
        <v>2341</v>
      </c>
    </row>
    <row r="30" spans="1:27" ht="20" customHeight="1" x14ac:dyDescent="0.35">
      <c r="A30" s="10" t="s">
        <v>306</v>
      </c>
      <c r="B30" s="15">
        <v>0.1</v>
      </c>
      <c r="C30" s="10" t="s">
        <v>2342</v>
      </c>
    </row>
    <row r="31" spans="1:27" ht="20" customHeight="1" x14ac:dyDescent="0.35">
      <c r="A31" s="9" t="s">
        <v>2343</v>
      </c>
      <c r="B31" s="14">
        <v>0.05</v>
      </c>
      <c r="C31" s="9" t="s">
        <v>2344</v>
      </c>
    </row>
    <row r="32" spans="1:27" ht="20" customHeight="1" x14ac:dyDescent="0.35">
      <c r="A32" s="10" t="s">
        <v>358</v>
      </c>
      <c r="B32" s="15">
        <v>0.15</v>
      </c>
      <c r="C32" s="10" t="s">
        <v>2345</v>
      </c>
    </row>
    <row r="34" spans="1:24" ht="24" customHeight="1" x14ac:dyDescent="0.35">
      <c r="A34" s="94" t="s">
        <v>2346</v>
      </c>
      <c r="B34" s="95"/>
      <c r="C34" s="95"/>
      <c r="D34" s="95"/>
      <c r="E34" s="95"/>
      <c r="F34" s="95"/>
      <c r="G34" s="95"/>
      <c r="H34" s="95"/>
      <c r="I34" s="95"/>
      <c r="J34" s="95"/>
      <c r="K34" s="95"/>
      <c r="L34" s="95"/>
      <c r="M34" s="95"/>
      <c r="N34" s="95"/>
      <c r="O34" s="95"/>
      <c r="P34" s="95"/>
      <c r="Q34" s="95"/>
      <c r="R34" s="95"/>
      <c r="S34" s="95"/>
      <c r="T34" s="95"/>
      <c r="U34" s="95"/>
      <c r="V34" s="95"/>
      <c r="W34" s="95"/>
      <c r="X34" s="96"/>
    </row>
    <row r="35" spans="1:24" ht="24" customHeight="1" x14ac:dyDescent="0.35">
      <c r="A35" s="8" t="s">
        <v>1270</v>
      </c>
      <c r="B35" s="8" t="s">
        <v>2347</v>
      </c>
    </row>
    <row r="36" spans="1:24" ht="30" customHeight="1" x14ac:dyDescent="0.35">
      <c r="A36" s="9" t="s">
        <v>2348</v>
      </c>
      <c r="B36" s="9" t="s">
        <v>2349</v>
      </c>
    </row>
    <row r="37" spans="1:24" ht="30" customHeight="1" x14ac:dyDescent="0.35">
      <c r="A37" s="10" t="s">
        <v>2350</v>
      </c>
      <c r="B37" s="10" t="s">
        <v>2351</v>
      </c>
    </row>
    <row r="38" spans="1:24" ht="30" customHeight="1" x14ac:dyDescent="0.35">
      <c r="A38" s="9" t="s">
        <v>2352</v>
      </c>
      <c r="B38" s="9" t="s">
        <v>2353</v>
      </c>
    </row>
  </sheetData>
  <mergeCells count="9">
    <mergeCell ref="A1:R1"/>
    <mergeCell ref="A8:X8"/>
    <mergeCell ref="B4:C4"/>
    <mergeCell ref="B6:C6"/>
    <mergeCell ref="A34:X34"/>
    <mergeCell ref="B7:C7"/>
    <mergeCell ref="B3:C3"/>
    <mergeCell ref="B5:C5"/>
    <mergeCell ref="A23:L2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D10" sqref="D10"/>
    </sheetView>
  </sheetViews>
  <sheetFormatPr defaultRowHeight="14.5" x14ac:dyDescent="0.35"/>
  <cols>
    <col min="1" max="1" width="10" customWidth="1"/>
    <col min="2" max="2" width="22" customWidth="1"/>
    <col min="3" max="3" width="45" customWidth="1"/>
    <col min="4" max="4" width="14" customWidth="1"/>
    <col min="5" max="5" width="60" customWidth="1"/>
    <col min="6" max="6" width="45" customWidth="1"/>
    <col min="7" max="7" width="14" customWidth="1"/>
    <col min="8" max="8" width="45" customWidth="1"/>
    <col min="9" max="9" width="55" customWidth="1"/>
    <col min="10" max="10" width="25" customWidth="1"/>
  </cols>
  <sheetData>
    <row r="1" spans="1:10" ht="36" customHeight="1" x14ac:dyDescent="0.35">
      <c r="A1" s="113" t="s">
        <v>0</v>
      </c>
      <c r="B1" s="59"/>
      <c r="C1" s="59"/>
      <c r="D1" s="59"/>
      <c r="E1" s="59"/>
      <c r="F1" s="59"/>
      <c r="G1" s="59"/>
      <c r="H1" s="59"/>
      <c r="I1" s="59"/>
      <c r="J1" s="59"/>
    </row>
    <row r="2" spans="1:10" ht="9.5" customHeight="1" x14ac:dyDescent="0.35">
      <c r="A2" s="59"/>
      <c r="B2" s="59"/>
      <c r="C2" s="59"/>
      <c r="D2" s="59"/>
      <c r="E2" s="59"/>
      <c r="F2" s="59"/>
      <c r="G2" s="59"/>
      <c r="H2" s="59"/>
      <c r="I2" s="59"/>
      <c r="J2" s="59"/>
    </row>
    <row r="3" spans="1:10" ht="60" customHeight="1" x14ac:dyDescent="0.35">
      <c r="A3" s="51" t="s">
        <v>99</v>
      </c>
      <c r="B3" s="51" t="s">
        <v>97</v>
      </c>
      <c r="C3" s="51" t="s">
        <v>98</v>
      </c>
      <c r="D3" s="51" t="s">
        <v>2354</v>
      </c>
      <c r="E3" s="51" t="s">
        <v>2355</v>
      </c>
      <c r="F3" s="51" t="s">
        <v>2356</v>
      </c>
      <c r="G3" s="51" t="s">
        <v>2357</v>
      </c>
      <c r="H3" s="51" t="s">
        <v>2358</v>
      </c>
      <c r="I3" s="51" t="s">
        <v>2359</v>
      </c>
      <c r="J3" s="51" t="s">
        <v>2360</v>
      </c>
    </row>
    <row r="4" spans="1:10" ht="60" customHeight="1" x14ac:dyDescent="0.35">
      <c r="A4" s="2" t="s">
        <v>110</v>
      </c>
      <c r="B4" s="2" t="s">
        <v>108</v>
      </c>
      <c r="C4" s="2" t="s">
        <v>109</v>
      </c>
      <c r="D4" s="2">
        <v>1</v>
      </c>
      <c r="E4" s="2" t="s">
        <v>2361</v>
      </c>
      <c r="F4" s="2" t="s">
        <v>2362</v>
      </c>
      <c r="G4" s="2" t="s">
        <v>2363</v>
      </c>
      <c r="H4" s="2" t="s">
        <v>2364</v>
      </c>
      <c r="I4" s="2" t="s">
        <v>2365</v>
      </c>
      <c r="J4" s="2" t="s">
        <v>2366</v>
      </c>
    </row>
    <row r="5" spans="1:10" ht="60" customHeight="1" x14ac:dyDescent="0.35">
      <c r="A5" s="2" t="s">
        <v>116</v>
      </c>
      <c r="B5" s="2" t="s">
        <v>108</v>
      </c>
      <c r="C5" s="2" t="s">
        <v>115</v>
      </c>
      <c r="D5" s="2">
        <v>1</v>
      </c>
      <c r="E5" s="2" t="s">
        <v>2367</v>
      </c>
      <c r="F5" s="2"/>
      <c r="G5" s="2"/>
      <c r="H5" s="2" t="s">
        <v>2368</v>
      </c>
      <c r="I5" s="2" t="s">
        <v>2369</v>
      </c>
      <c r="J5" s="2"/>
    </row>
    <row r="6" spans="1:10" ht="60" customHeight="1" x14ac:dyDescent="0.35">
      <c r="A6" s="2" t="s">
        <v>123</v>
      </c>
      <c r="B6" s="2" t="s">
        <v>108</v>
      </c>
      <c r="C6" s="2" t="s">
        <v>122</v>
      </c>
      <c r="D6" s="2">
        <v>1</v>
      </c>
      <c r="E6" s="2" t="s">
        <v>2367</v>
      </c>
      <c r="F6" s="2"/>
      <c r="G6" s="2"/>
      <c r="H6" s="2" t="s">
        <v>2368</v>
      </c>
      <c r="I6" s="2" t="s">
        <v>2369</v>
      </c>
      <c r="J6" s="2"/>
    </row>
    <row r="7" spans="1:10" ht="60" customHeight="1" x14ac:dyDescent="0.35">
      <c r="A7" s="2" t="s">
        <v>129</v>
      </c>
      <c r="B7" s="2" t="s">
        <v>108</v>
      </c>
      <c r="C7" s="2" t="s">
        <v>128</v>
      </c>
      <c r="D7" s="2">
        <v>1</v>
      </c>
      <c r="E7" s="2" t="s">
        <v>2367</v>
      </c>
      <c r="F7" s="2"/>
      <c r="G7" s="2"/>
      <c r="H7" s="2" t="s">
        <v>2368</v>
      </c>
      <c r="I7" s="2" t="s">
        <v>2369</v>
      </c>
      <c r="J7" s="2"/>
    </row>
    <row r="8" spans="1:10" ht="60" customHeight="1" x14ac:dyDescent="0.35">
      <c r="A8" s="2" t="s">
        <v>135</v>
      </c>
      <c r="B8" s="2" t="s">
        <v>108</v>
      </c>
      <c r="C8" s="2" t="s">
        <v>134</v>
      </c>
      <c r="D8" s="2">
        <v>1</v>
      </c>
      <c r="E8" s="2" t="s">
        <v>2367</v>
      </c>
      <c r="F8" s="2"/>
      <c r="G8" s="2"/>
      <c r="H8" s="2" t="s">
        <v>2368</v>
      </c>
      <c r="I8" s="2" t="s">
        <v>2369</v>
      </c>
      <c r="J8" s="2"/>
    </row>
    <row r="9" spans="1:10" ht="60" customHeight="1" x14ac:dyDescent="0.35">
      <c r="A9" s="2" t="s">
        <v>143</v>
      </c>
      <c r="B9" s="2" t="s">
        <v>141</v>
      </c>
      <c r="C9" s="2" t="s">
        <v>142</v>
      </c>
      <c r="D9" s="2">
        <v>2</v>
      </c>
      <c r="E9" s="2" t="s">
        <v>2370</v>
      </c>
      <c r="F9" s="2" t="s">
        <v>2371</v>
      </c>
      <c r="G9" s="2" t="s">
        <v>2372</v>
      </c>
      <c r="H9" s="2" t="s">
        <v>2373</v>
      </c>
      <c r="I9" s="2" t="s">
        <v>2374</v>
      </c>
      <c r="J9" s="2"/>
    </row>
    <row r="10" spans="1:10" ht="60" customHeight="1" x14ac:dyDescent="0.35">
      <c r="A10" s="2" t="s">
        <v>150</v>
      </c>
      <c r="B10" s="2" t="s">
        <v>141</v>
      </c>
      <c r="C10" s="2" t="s">
        <v>149</v>
      </c>
      <c r="D10" s="2">
        <v>2</v>
      </c>
      <c r="E10" s="2" t="s">
        <v>2367</v>
      </c>
      <c r="F10" s="2"/>
      <c r="G10" s="2"/>
      <c r="H10" s="2" t="s">
        <v>2375</v>
      </c>
      <c r="I10" s="2" t="s">
        <v>2369</v>
      </c>
      <c r="J10" s="2"/>
    </row>
    <row r="11" spans="1:10" ht="60" customHeight="1" x14ac:dyDescent="0.35">
      <c r="A11" s="2" t="s">
        <v>156</v>
      </c>
      <c r="B11" s="2" t="s">
        <v>141</v>
      </c>
      <c r="C11" s="2" t="s">
        <v>155</v>
      </c>
      <c r="D11" s="2">
        <v>2</v>
      </c>
      <c r="E11" s="2" t="s">
        <v>2367</v>
      </c>
      <c r="F11" s="2"/>
      <c r="G11" s="2"/>
      <c r="H11" s="2" t="s">
        <v>2375</v>
      </c>
      <c r="I11" s="2" t="s">
        <v>2369</v>
      </c>
      <c r="J11" s="2"/>
    </row>
    <row r="12" spans="1:10" ht="60" customHeight="1" x14ac:dyDescent="0.35">
      <c r="A12" s="2" t="s">
        <v>162</v>
      </c>
      <c r="B12" s="2" t="s">
        <v>141</v>
      </c>
      <c r="C12" s="2" t="s">
        <v>161</v>
      </c>
      <c r="D12" s="2">
        <v>2</v>
      </c>
      <c r="E12" s="2" t="s">
        <v>2367</v>
      </c>
      <c r="F12" s="2"/>
      <c r="G12" s="2"/>
      <c r="H12" s="2" t="s">
        <v>2375</v>
      </c>
      <c r="I12" s="2" t="s">
        <v>2369</v>
      </c>
      <c r="J12" s="2"/>
    </row>
    <row r="13" spans="1:10" ht="60" customHeight="1" x14ac:dyDescent="0.35">
      <c r="A13" s="2" t="s">
        <v>169</v>
      </c>
      <c r="B13" s="2" t="s">
        <v>141</v>
      </c>
      <c r="C13" s="2" t="s">
        <v>168</v>
      </c>
      <c r="D13" s="2">
        <v>2</v>
      </c>
      <c r="E13" s="2" t="s">
        <v>2367</v>
      </c>
      <c r="F13" s="2"/>
      <c r="G13" s="2"/>
      <c r="H13" s="2" t="s">
        <v>2375</v>
      </c>
      <c r="I13" s="2" t="s">
        <v>2369</v>
      </c>
      <c r="J13" s="2"/>
    </row>
    <row r="14" spans="1:10" ht="60" customHeight="1" x14ac:dyDescent="0.35">
      <c r="A14" s="2" t="s">
        <v>176</v>
      </c>
      <c r="B14" s="2" t="s">
        <v>174</v>
      </c>
      <c r="C14" s="2" t="s">
        <v>175</v>
      </c>
      <c r="D14" s="2">
        <v>3</v>
      </c>
      <c r="E14" s="2" t="s">
        <v>2376</v>
      </c>
      <c r="F14" s="2" t="s">
        <v>2377</v>
      </c>
      <c r="G14" s="2" t="s">
        <v>2378</v>
      </c>
      <c r="H14" s="2" t="s">
        <v>2379</v>
      </c>
      <c r="I14" s="2" t="s">
        <v>2380</v>
      </c>
      <c r="J14" s="2"/>
    </row>
    <row r="15" spans="1:10" ht="60" customHeight="1" x14ac:dyDescent="0.35">
      <c r="A15" s="2" t="s">
        <v>182</v>
      </c>
      <c r="B15" s="2" t="s">
        <v>174</v>
      </c>
      <c r="C15" s="2" t="s">
        <v>181</v>
      </c>
      <c r="D15" s="2">
        <v>3</v>
      </c>
      <c r="E15" s="2" t="s">
        <v>2367</v>
      </c>
      <c r="F15" s="2"/>
      <c r="G15" s="2"/>
      <c r="H15" s="2" t="s">
        <v>2381</v>
      </c>
      <c r="I15" s="2" t="s">
        <v>2369</v>
      </c>
      <c r="J15" s="2"/>
    </row>
    <row r="16" spans="1:10" ht="60" customHeight="1" x14ac:dyDescent="0.35">
      <c r="A16" s="2" t="s">
        <v>188</v>
      </c>
      <c r="B16" s="2" t="s">
        <v>174</v>
      </c>
      <c r="C16" s="2" t="s">
        <v>187</v>
      </c>
      <c r="D16" s="2">
        <v>3</v>
      </c>
      <c r="E16" s="2" t="s">
        <v>2367</v>
      </c>
      <c r="F16" s="2"/>
      <c r="G16" s="2"/>
      <c r="H16" s="2" t="s">
        <v>2381</v>
      </c>
      <c r="I16" s="2" t="s">
        <v>2369</v>
      </c>
      <c r="J16" s="2"/>
    </row>
    <row r="17" spans="1:10" ht="60" customHeight="1" x14ac:dyDescent="0.35">
      <c r="A17" s="2" t="s">
        <v>195</v>
      </c>
      <c r="B17" s="2" t="s">
        <v>193</v>
      </c>
      <c r="C17" s="2" t="s">
        <v>194</v>
      </c>
      <c r="D17" s="2">
        <v>4</v>
      </c>
      <c r="E17" s="2" t="s">
        <v>2367</v>
      </c>
      <c r="F17" s="2"/>
      <c r="G17" s="2"/>
      <c r="H17" s="2" t="s">
        <v>2382</v>
      </c>
      <c r="I17" s="2" t="s">
        <v>2369</v>
      </c>
      <c r="J17" s="2"/>
    </row>
    <row r="18" spans="1:10" ht="60" customHeight="1" x14ac:dyDescent="0.35">
      <c r="A18" s="2" t="s">
        <v>202</v>
      </c>
      <c r="B18" s="2" t="s">
        <v>193</v>
      </c>
      <c r="C18" s="2" t="s">
        <v>201</v>
      </c>
      <c r="D18" s="2">
        <v>4</v>
      </c>
      <c r="E18" s="2" t="s">
        <v>2367</v>
      </c>
      <c r="F18" s="2"/>
      <c r="G18" s="2"/>
      <c r="H18" s="2" t="s">
        <v>2382</v>
      </c>
      <c r="I18" s="2" t="s">
        <v>2369</v>
      </c>
      <c r="J18" s="2"/>
    </row>
    <row r="19" spans="1:10" ht="60" customHeight="1" x14ac:dyDescent="0.35">
      <c r="A19" s="2" t="s">
        <v>208</v>
      </c>
      <c r="B19" s="2" t="s">
        <v>193</v>
      </c>
      <c r="C19" s="2" t="s">
        <v>207</v>
      </c>
      <c r="D19" s="2">
        <v>4</v>
      </c>
      <c r="E19" s="2" t="s">
        <v>2367</v>
      </c>
      <c r="F19" s="2"/>
      <c r="G19" s="2"/>
      <c r="H19" s="2" t="s">
        <v>2382</v>
      </c>
      <c r="I19" s="2" t="s">
        <v>2369</v>
      </c>
      <c r="J19" s="2"/>
    </row>
    <row r="20" spans="1:10" ht="60" customHeight="1" x14ac:dyDescent="0.35">
      <c r="A20" s="2" t="s">
        <v>213</v>
      </c>
      <c r="B20" s="2" t="s">
        <v>193</v>
      </c>
      <c r="C20" s="2" t="s">
        <v>212</v>
      </c>
      <c r="D20" s="2">
        <v>4</v>
      </c>
      <c r="E20" s="2" t="s">
        <v>2383</v>
      </c>
      <c r="F20" s="2" t="s">
        <v>2384</v>
      </c>
      <c r="G20" s="2" t="s">
        <v>2385</v>
      </c>
      <c r="H20" s="2" t="s">
        <v>2386</v>
      </c>
      <c r="I20" s="2" t="s">
        <v>2387</v>
      </c>
      <c r="J20" s="2" t="s">
        <v>2388</v>
      </c>
    </row>
    <row r="21" spans="1:10" ht="60" customHeight="1" x14ac:dyDescent="0.35">
      <c r="A21" s="2" t="s">
        <v>219</v>
      </c>
      <c r="B21" s="2" t="s">
        <v>193</v>
      </c>
      <c r="C21" s="2" t="s">
        <v>218</v>
      </c>
      <c r="D21" s="2">
        <v>4</v>
      </c>
      <c r="E21" s="2" t="s">
        <v>2389</v>
      </c>
      <c r="F21" s="2" t="s">
        <v>971</v>
      </c>
      <c r="G21" s="2" t="s">
        <v>968</v>
      </c>
      <c r="H21" s="2" t="s">
        <v>2390</v>
      </c>
      <c r="I21" s="2" t="s">
        <v>2391</v>
      </c>
      <c r="J21" s="2" t="s">
        <v>2392</v>
      </c>
    </row>
    <row r="22" spans="1:10" ht="60" customHeight="1" x14ac:dyDescent="0.35">
      <c r="A22" s="2" t="s">
        <v>227</v>
      </c>
      <c r="B22" s="2" t="s">
        <v>225</v>
      </c>
      <c r="C22" s="2" t="s">
        <v>226</v>
      </c>
      <c r="D22" s="2">
        <v>5</v>
      </c>
      <c r="E22" s="2" t="s">
        <v>2367</v>
      </c>
      <c r="F22" s="2"/>
      <c r="G22" s="2"/>
      <c r="H22" s="2" t="s">
        <v>2393</v>
      </c>
      <c r="I22" s="2" t="s">
        <v>2369</v>
      </c>
      <c r="J22" s="2"/>
    </row>
    <row r="23" spans="1:10" ht="60" customHeight="1" x14ac:dyDescent="0.35">
      <c r="A23" s="2" t="s">
        <v>233</v>
      </c>
      <c r="B23" s="2" t="s">
        <v>225</v>
      </c>
      <c r="C23" s="2" t="s">
        <v>232</v>
      </c>
      <c r="D23" s="2">
        <v>5</v>
      </c>
      <c r="E23" s="2" t="s">
        <v>2367</v>
      </c>
      <c r="F23" s="2"/>
      <c r="G23" s="2"/>
      <c r="H23" s="2" t="s">
        <v>2393</v>
      </c>
      <c r="I23" s="2" t="s">
        <v>2369</v>
      </c>
      <c r="J23" s="2"/>
    </row>
    <row r="24" spans="1:10" ht="60" customHeight="1" x14ac:dyDescent="0.35">
      <c r="A24" s="2" t="s">
        <v>239</v>
      </c>
      <c r="B24" s="2" t="s">
        <v>225</v>
      </c>
      <c r="C24" s="2" t="s">
        <v>238</v>
      </c>
      <c r="D24" s="2">
        <v>5</v>
      </c>
      <c r="E24" s="2" t="s">
        <v>2367</v>
      </c>
      <c r="F24" s="2"/>
      <c r="G24" s="2"/>
      <c r="H24" s="2" t="s">
        <v>2393</v>
      </c>
      <c r="I24" s="2" t="s">
        <v>2369</v>
      </c>
      <c r="J24" s="2"/>
    </row>
    <row r="25" spans="1:10" ht="60" customHeight="1" x14ac:dyDescent="0.35">
      <c r="A25" s="2" t="s">
        <v>245</v>
      </c>
      <c r="B25" s="2" t="s">
        <v>225</v>
      </c>
      <c r="C25" s="2" t="s">
        <v>244</v>
      </c>
      <c r="D25" s="2">
        <v>5</v>
      </c>
      <c r="E25" s="2" t="s">
        <v>2367</v>
      </c>
      <c r="F25" s="2"/>
      <c r="G25" s="2"/>
      <c r="H25" s="2" t="s">
        <v>2393</v>
      </c>
      <c r="I25" s="2" t="s">
        <v>2369</v>
      </c>
      <c r="J25" s="2"/>
    </row>
    <row r="26" spans="1:10" ht="60" customHeight="1" x14ac:dyDescent="0.35">
      <c r="A26" s="2" t="s">
        <v>251</v>
      </c>
      <c r="B26" s="2" t="s">
        <v>225</v>
      </c>
      <c r="C26" s="2" t="s">
        <v>250</v>
      </c>
      <c r="D26" s="2">
        <v>5</v>
      </c>
      <c r="E26" s="2" t="s">
        <v>2394</v>
      </c>
      <c r="F26" s="2" t="s">
        <v>2395</v>
      </c>
      <c r="G26" s="2" t="s">
        <v>2396</v>
      </c>
      <c r="H26" s="2" t="s">
        <v>2397</v>
      </c>
      <c r="I26" s="2" t="s">
        <v>2398</v>
      </c>
      <c r="J26" s="2"/>
    </row>
    <row r="27" spans="1:10" ht="60" customHeight="1" x14ac:dyDescent="0.35">
      <c r="A27" s="2" t="s">
        <v>258</v>
      </c>
      <c r="B27" s="2" t="s">
        <v>256</v>
      </c>
      <c r="C27" s="2" t="s">
        <v>257</v>
      </c>
      <c r="D27" s="2">
        <v>6</v>
      </c>
      <c r="E27" s="2" t="s">
        <v>2399</v>
      </c>
      <c r="F27" s="2" t="s">
        <v>2400</v>
      </c>
      <c r="G27" s="2" t="s">
        <v>2372</v>
      </c>
      <c r="H27" s="2" t="s">
        <v>2401</v>
      </c>
      <c r="I27" s="2" t="s">
        <v>2402</v>
      </c>
      <c r="J27" s="2"/>
    </row>
    <row r="28" spans="1:10" ht="60" customHeight="1" x14ac:dyDescent="0.35">
      <c r="A28" s="2" t="s">
        <v>264</v>
      </c>
      <c r="B28" s="2" t="s">
        <v>256</v>
      </c>
      <c r="C28" s="2" t="s">
        <v>263</v>
      </c>
      <c r="D28" s="2">
        <v>6</v>
      </c>
      <c r="E28" s="2" t="s">
        <v>2367</v>
      </c>
      <c r="F28" s="2"/>
      <c r="G28" s="2"/>
      <c r="H28" s="2" t="s">
        <v>2403</v>
      </c>
      <c r="I28" s="2" t="s">
        <v>2369</v>
      </c>
      <c r="J28" s="2"/>
    </row>
    <row r="29" spans="1:10" ht="60" customHeight="1" x14ac:dyDescent="0.35">
      <c r="A29" s="2" t="s">
        <v>270</v>
      </c>
      <c r="B29" s="2" t="s">
        <v>256</v>
      </c>
      <c r="C29" s="2" t="s">
        <v>269</v>
      </c>
      <c r="D29" s="2">
        <v>6</v>
      </c>
      <c r="E29" s="2" t="s">
        <v>2404</v>
      </c>
      <c r="F29" s="2" t="s">
        <v>935</v>
      </c>
      <c r="G29" s="2" t="s">
        <v>932</v>
      </c>
      <c r="H29" s="2" t="s">
        <v>2405</v>
      </c>
      <c r="I29" s="2" t="s">
        <v>2406</v>
      </c>
      <c r="J29" s="2"/>
    </row>
    <row r="30" spans="1:10" ht="60" customHeight="1" x14ac:dyDescent="0.35">
      <c r="A30" s="2" t="s">
        <v>276</v>
      </c>
      <c r="B30" s="2" t="s">
        <v>256</v>
      </c>
      <c r="C30" s="2" t="s">
        <v>275</v>
      </c>
      <c r="D30" s="2">
        <v>6</v>
      </c>
      <c r="E30" s="2" t="s">
        <v>2367</v>
      </c>
      <c r="F30" s="2"/>
      <c r="G30" s="2"/>
      <c r="H30" s="2" t="s">
        <v>2403</v>
      </c>
      <c r="I30" s="2" t="s">
        <v>2369</v>
      </c>
      <c r="J30" s="2"/>
    </row>
    <row r="31" spans="1:10" ht="60" customHeight="1" x14ac:dyDescent="0.35">
      <c r="A31" s="2" t="s">
        <v>283</v>
      </c>
      <c r="B31" s="2" t="s">
        <v>281</v>
      </c>
      <c r="C31" s="2" t="s">
        <v>282</v>
      </c>
      <c r="D31" s="2">
        <v>7</v>
      </c>
      <c r="E31" s="2" t="s">
        <v>2407</v>
      </c>
      <c r="F31" s="2" t="s">
        <v>2408</v>
      </c>
      <c r="G31" s="2" t="s">
        <v>948</v>
      </c>
      <c r="H31" s="2" t="s">
        <v>2409</v>
      </c>
      <c r="I31" s="2" t="s">
        <v>2410</v>
      </c>
      <c r="J31" s="2" t="s">
        <v>2411</v>
      </c>
    </row>
    <row r="32" spans="1:10" ht="60" customHeight="1" x14ac:dyDescent="0.35">
      <c r="A32" s="2" t="s">
        <v>289</v>
      </c>
      <c r="B32" s="2" t="s">
        <v>281</v>
      </c>
      <c r="C32" s="2" t="s">
        <v>288</v>
      </c>
      <c r="D32" s="2">
        <v>7</v>
      </c>
      <c r="E32" s="2" t="s">
        <v>2367</v>
      </c>
      <c r="F32" s="2"/>
      <c r="G32" s="2"/>
      <c r="H32" s="2" t="s">
        <v>2412</v>
      </c>
      <c r="I32" s="2" t="s">
        <v>2369</v>
      </c>
      <c r="J32" s="2"/>
    </row>
    <row r="33" spans="1:10" ht="60" customHeight="1" x14ac:dyDescent="0.35">
      <c r="A33" s="2" t="s">
        <v>295</v>
      </c>
      <c r="B33" s="2" t="s">
        <v>281</v>
      </c>
      <c r="C33" s="2" t="s">
        <v>294</v>
      </c>
      <c r="D33" s="2">
        <v>7</v>
      </c>
      <c r="E33" s="2" t="s">
        <v>2413</v>
      </c>
      <c r="F33" s="2" t="s">
        <v>2414</v>
      </c>
      <c r="G33" s="2" t="s">
        <v>2415</v>
      </c>
      <c r="H33" s="2" t="s">
        <v>2416</v>
      </c>
      <c r="I33" s="2" t="s">
        <v>2417</v>
      </c>
      <c r="J33" s="2"/>
    </row>
    <row r="34" spans="1:10" ht="60" customHeight="1" x14ac:dyDescent="0.35">
      <c r="A34" s="2" t="s">
        <v>301</v>
      </c>
      <c r="B34" s="2" t="s">
        <v>281</v>
      </c>
      <c r="C34" s="2" t="s">
        <v>300</v>
      </c>
      <c r="D34" s="2">
        <v>7</v>
      </c>
      <c r="E34" s="2" t="s">
        <v>2367</v>
      </c>
      <c r="F34" s="2"/>
      <c r="G34" s="2"/>
      <c r="H34" s="2" t="s">
        <v>2412</v>
      </c>
      <c r="I34" s="2" t="s">
        <v>2369</v>
      </c>
      <c r="J34" s="2"/>
    </row>
    <row r="35" spans="1:10" ht="60" customHeight="1" x14ac:dyDescent="0.35">
      <c r="A35" s="2" t="s">
        <v>308</v>
      </c>
      <c r="B35" s="2" t="s">
        <v>306</v>
      </c>
      <c r="C35" s="2" t="s">
        <v>307</v>
      </c>
      <c r="D35" s="2">
        <v>8</v>
      </c>
      <c r="E35" s="2" t="s">
        <v>2367</v>
      </c>
      <c r="F35" s="2"/>
      <c r="G35" s="2"/>
      <c r="H35" s="2" t="s">
        <v>2418</v>
      </c>
      <c r="I35" s="2" t="s">
        <v>2369</v>
      </c>
      <c r="J35" s="2"/>
    </row>
    <row r="36" spans="1:10" ht="60" customHeight="1" x14ac:dyDescent="0.35">
      <c r="A36" s="2" t="s">
        <v>313</v>
      </c>
      <c r="B36" s="2" t="s">
        <v>306</v>
      </c>
      <c r="C36" s="2" t="s">
        <v>312</v>
      </c>
      <c r="D36" s="2">
        <v>8</v>
      </c>
      <c r="E36" s="2" t="s">
        <v>2419</v>
      </c>
      <c r="F36" s="2" t="s">
        <v>2420</v>
      </c>
      <c r="G36" s="2" t="s">
        <v>1019</v>
      </c>
      <c r="H36" s="2" t="s">
        <v>2421</v>
      </c>
      <c r="I36" s="2" t="s">
        <v>2422</v>
      </c>
      <c r="J36" s="2"/>
    </row>
    <row r="37" spans="1:10" ht="60" customHeight="1" x14ac:dyDescent="0.35">
      <c r="A37" s="2" t="s">
        <v>319</v>
      </c>
      <c r="B37" s="2" t="s">
        <v>306</v>
      </c>
      <c r="C37" s="2" t="s">
        <v>318</v>
      </c>
      <c r="D37" s="2">
        <v>8</v>
      </c>
      <c r="E37" s="2" t="s">
        <v>2367</v>
      </c>
      <c r="F37" s="2"/>
      <c r="G37" s="2"/>
      <c r="H37" s="2" t="s">
        <v>2418</v>
      </c>
      <c r="I37" s="2" t="s">
        <v>2369</v>
      </c>
      <c r="J37" s="2"/>
    </row>
    <row r="38" spans="1:10" ht="60" customHeight="1" x14ac:dyDescent="0.35">
      <c r="A38" s="2" t="s">
        <v>325</v>
      </c>
      <c r="B38" s="2" t="s">
        <v>306</v>
      </c>
      <c r="C38" s="2" t="s">
        <v>324</v>
      </c>
      <c r="D38" s="2">
        <v>8</v>
      </c>
      <c r="E38" s="2" t="s">
        <v>2367</v>
      </c>
      <c r="F38" s="2"/>
      <c r="G38" s="2"/>
      <c r="H38" s="2" t="s">
        <v>2418</v>
      </c>
      <c r="I38" s="2" t="s">
        <v>2369</v>
      </c>
      <c r="J38" s="2"/>
    </row>
    <row r="39" spans="1:10" ht="60" customHeight="1" x14ac:dyDescent="0.35">
      <c r="A39" s="2" t="s">
        <v>332</v>
      </c>
      <c r="B39" s="2" t="s">
        <v>330</v>
      </c>
      <c r="C39" s="2" t="s">
        <v>331</v>
      </c>
      <c r="D39" s="2">
        <v>9</v>
      </c>
      <c r="E39" s="2" t="s">
        <v>2367</v>
      </c>
      <c r="F39" s="2"/>
      <c r="G39" s="2"/>
      <c r="H39" s="2" t="s">
        <v>2423</v>
      </c>
      <c r="I39" s="2" t="s">
        <v>2369</v>
      </c>
      <c r="J39" s="2"/>
    </row>
    <row r="40" spans="1:10" ht="60" customHeight="1" x14ac:dyDescent="0.35">
      <c r="A40" s="2" t="s">
        <v>338</v>
      </c>
      <c r="B40" s="2" t="s">
        <v>330</v>
      </c>
      <c r="C40" s="2" t="s">
        <v>337</v>
      </c>
      <c r="D40" s="2">
        <v>9</v>
      </c>
      <c r="E40" s="2" t="s">
        <v>2424</v>
      </c>
      <c r="F40" s="2" t="s">
        <v>2425</v>
      </c>
      <c r="G40" s="2" t="s">
        <v>2426</v>
      </c>
      <c r="H40" s="2" t="s">
        <v>2427</v>
      </c>
      <c r="I40" s="2" t="s">
        <v>2428</v>
      </c>
      <c r="J40" s="2"/>
    </row>
    <row r="41" spans="1:10" ht="60" customHeight="1" x14ac:dyDescent="0.35">
      <c r="A41" s="2" t="s">
        <v>343</v>
      </c>
      <c r="B41" s="2" t="s">
        <v>330</v>
      </c>
      <c r="C41" s="2" t="s">
        <v>342</v>
      </c>
      <c r="D41" s="2">
        <v>9</v>
      </c>
      <c r="E41" s="2" t="s">
        <v>2367</v>
      </c>
      <c r="F41" s="2"/>
      <c r="G41" s="2"/>
      <c r="H41" s="2" t="s">
        <v>2423</v>
      </c>
      <c r="I41" s="2" t="s">
        <v>2369</v>
      </c>
      <c r="J41" s="2"/>
    </row>
    <row r="42" spans="1:10" ht="60" customHeight="1" x14ac:dyDescent="0.35">
      <c r="A42" s="2" t="s">
        <v>349</v>
      </c>
      <c r="B42" s="2" t="s">
        <v>330</v>
      </c>
      <c r="C42" s="2" t="s">
        <v>348</v>
      </c>
      <c r="D42" s="2">
        <v>9</v>
      </c>
      <c r="E42" s="2" t="s">
        <v>2429</v>
      </c>
      <c r="F42" s="2" t="s">
        <v>2430</v>
      </c>
      <c r="G42" s="2" t="s">
        <v>2431</v>
      </c>
      <c r="H42" s="2" t="s">
        <v>2432</v>
      </c>
      <c r="I42" s="2" t="s">
        <v>2433</v>
      </c>
      <c r="J42" s="2"/>
    </row>
    <row r="43" spans="1:10" ht="60" customHeight="1" x14ac:dyDescent="0.35">
      <c r="A43" s="2" t="s">
        <v>355</v>
      </c>
      <c r="B43" s="2" t="s">
        <v>330</v>
      </c>
      <c r="C43" s="2" t="s">
        <v>354</v>
      </c>
      <c r="D43" s="2">
        <v>9</v>
      </c>
      <c r="E43" s="2" t="s">
        <v>2434</v>
      </c>
      <c r="F43" s="2" t="s">
        <v>2435</v>
      </c>
      <c r="G43" s="2" t="s">
        <v>2436</v>
      </c>
      <c r="H43" s="2" t="s">
        <v>2437</v>
      </c>
      <c r="I43" s="2" t="s">
        <v>2438</v>
      </c>
      <c r="J43" s="2"/>
    </row>
    <row r="44" spans="1:10" ht="60" customHeight="1" x14ac:dyDescent="0.35">
      <c r="A44" s="2" t="s">
        <v>360</v>
      </c>
      <c r="B44" s="2" t="s">
        <v>358</v>
      </c>
      <c r="C44" s="2" t="s">
        <v>359</v>
      </c>
      <c r="D44" s="2">
        <v>10</v>
      </c>
      <c r="E44" s="2" t="s">
        <v>2439</v>
      </c>
      <c r="F44" s="2" t="s">
        <v>935</v>
      </c>
      <c r="G44" s="2" t="s">
        <v>932</v>
      </c>
      <c r="H44" s="2" t="s">
        <v>2440</v>
      </c>
      <c r="I44" s="2" t="s">
        <v>2441</v>
      </c>
      <c r="J44" s="2"/>
    </row>
    <row r="45" spans="1:10" ht="60" customHeight="1" x14ac:dyDescent="0.35">
      <c r="A45" s="2" t="s">
        <v>367</v>
      </c>
      <c r="B45" s="2" t="s">
        <v>358</v>
      </c>
      <c r="C45" s="2" t="s">
        <v>366</v>
      </c>
      <c r="D45" s="2">
        <v>10</v>
      </c>
      <c r="E45" s="2" t="s">
        <v>2367</v>
      </c>
      <c r="F45" s="2"/>
      <c r="G45" s="2"/>
      <c r="H45" s="2" t="s">
        <v>2442</v>
      </c>
      <c r="I45" s="2" t="s">
        <v>2369</v>
      </c>
      <c r="J45" s="2"/>
    </row>
    <row r="46" spans="1:10" ht="60" customHeight="1" x14ac:dyDescent="0.35">
      <c r="A46" s="2" t="s">
        <v>373</v>
      </c>
      <c r="B46" s="2" t="s">
        <v>358</v>
      </c>
      <c r="C46" s="2" t="s">
        <v>372</v>
      </c>
      <c r="D46" s="2">
        <v>10</v>
      </c>
      <c r="E46" s="2" t="s">
        <v>2443</v>
      </c>
      <c r="F46" s="2" t="s">
        <v>2444</v>
      </c>
      <c r="G46" s="2" t="s">
        <v>2445</v>
      </c>
      <c r="H46" s="2" t="s">
        <v>2446</v>
      </c>
      <c r="I46" s="2" t="s">
        <v>2447</v>
      </c>
      <c r="J46" s="2"/>
    </row>
    <row r="47" spans="1:10" ht="43.5" customHeight="1" x14ac:dyDescent="0.35">
      <c r="A47" s="2" t="s">
        <v>378</v>
      </c>
      <c r="B47" s="2" t="s">
        <v>358</v>
      </c>
      <c r="C47" s="2" t="s">
        <v>377</v>
      </c>
      <c r="D47" s="2">
        <v>10</v>
      </c>
      <c r="E47" s="2" t="s">
        <v>2367</v>
      </c>
      <c r="F47" s="2"/>
      <c r="G47" s="2"/>
      <c r="H47" s="2" t="s">
        <v>2442</v>
      </c>
      <c r="I47" s="2" t="s">
        <v>2369</v>
      </c>
      <c r="J47" s="2"/>
    </row>
    <row r="48" spans="1:10" ht="43.5" customHeight="1" x14ac:dyDescent="0.35">
      <c r="A48" s="2" t="s">
        <v>384</v>
      </c>
      <c r="B48" s="2" t="s">
        <v>358</v>
      </c>
      <c r="C48" s="2" t="s">
        <v>383</v>
      </c>
      <c r="D48" s="2">
        <v>10</v>
      </c>
      <c r="E48" s="2" t="s">
        <v>2367</v>
      </c>
      <c r="F48" s="2"/>
      <c r="G48" s="2"/>
      <c r="H48" s="2" t="s">
        <v>2442</v>
      </c>
      <c r="I48" s="2" t="s">
        <v>2369</v>
      </c>
      <c r="J48" s="2"/>
    </row>
    <row r="49" spans="1:7" ht="30" customHeight="1" x14ac:dyDescent="0.35"/>
    <row r="50" spans="1:7" ht="80" customHeight="1" x14ac:dyDescent="0.35">
      <c r="A50" s="52" t="s">
        <v>2448</v>
      </c>
    </row>
    <row r="51" spans="1:7" ht="80" customHeight="1" x14ac:dyDescent="0.35">
      <c r="A51" s="51" t="s">
        <v>2354</v>
      </c>
      <c r="B51" s="51" t="s">
        <v>97</v>
      </c>
      <c r="C51" s="51" t="s">
        <v>2449</v>
      </c>
      <c r="D51" s="51" t="s">
        <v>2450</v>
      </c>
      <c r="E51" s="51" t="s">
        <v>2451</v>
      </c>
      <c r="F51" s="51" t="s">
        <v>2452</v>
      </c>
      <c r="G51" s="51" t="s">
        <v>2453</v>
      </c>
    </row>
    <row r="52" spans="1:7" ht="80" customHeight="1" x14ac:dyDescent="0.35">
      <c r="A52" s="2">
        <v>1</v>
      </c>
      <c r="B52" s="2" t="s">
        <v>108</v>
      </c>
      <c r="C52" s="2" t="s">
        <v>2454</v>
      </c>
      <c r="D52" s="2">
        <v>3</v>
      </c>
      <c r="E52" s="2" t="s">
        <v>2455</v>
      </c>
      <c r="F52" s="2" t="s">
        <v>2456</v>
      </c>
      <c r="G52" s="2" t="s">
        <v>2457</v>
      </c>
    </row>
    <row r="53" spans="1:7" ht="80" customHeight="1" x14ac:dyDescent="0.35">
      <c r="A53" s="2">
        <v>2</v>
      </c>
      <c r="B53" s="2" t="s">
        <v>141</v>
      </c>
      <c r="C53" s="2" t="s">
        <v>2458</v>
      </c>
      <c r="D53" s="2">
        <v>2</v>
      </c>
      <c r="E53" s="2" t="s">
        <v>2459</v>
      </c>
      <c r="F53" s="2" t="s">
        <v>2460</v>
      </c>
      <c r="G53" s="2" t="s">
        <v>2461</v>
      </c>
    </row>
    <row r="54" spans="1:7" ht="80" customHeight="1" x14ac:dyDescent="0.35">
      <c r="A54" s="2">
        <v>3</v>
      </c>
      <c r="B54" s="2" t="s">
        <v>174</v>
      </c>
      <c r="C54" s="2" t="s">
        <v>2462</v>
      </c>
      <c r="D54" s="2">
        <v>2</v>
      </c>
      <c r="E54" s="2" t="s">
        <v>2463</v>
      </c>
      <c r="F54" s="2" t="s">
        <v>2464</v>
      </c>
      <c r="G54" s="2" t="s">
        <v>2465</v>
      </c>
    </row>
    <row r="55" spans="1:7" ht="80" customHeight="1" x14ac:dyDescent="0.35">
      <c r="A55" s="2">
        <v>4</v>
      </c>
      <c r="B55" s="2" t="s">
        <v>193</v>
      </c>
      <c r="C55" s="2" t="s">
        <v>2466</v>
      </c>
      <c r="D55" s="2">
        <v>1</v>
      </c>
      <c r="E55" s="2" t="s">
        <v>2467</v>
      </c>
      <c r="F55" s="2" t="s">
        <v>2468</v>
      </c>
      <c r="G55" s="2" t="s">
        <v>2469</v>
      </c>
    </row>
    <row r="56" spans="1:7" ht="80" customHeight="1" x14ac:dyDescent="0.35">
      <c r="A56" s="2">
        <v>5</v>
      </c>
      <c r="B56" s="2" t="s">
        <v>225</v>
      </c>
      <c r="C56" s="2" t="s">
        <v>2470</v>
      </c>
      <c r="D56" s="2">
        <v>1</v>
      </c>
      <c r="E56" s="2" t="s">
        <v>2471</v>
      </c>
      <c r="F56" s="2" t="s">
        <v>2472</v>
      </c>
      <c r="G56" s="2" t="s">
        <v>2473</v>
      </c>
    </row>
    <row r="57" spans="1:7" ht="80" customHeight="1" x14ac:dyDescent="0.35">
      <c r="A57" s="2">
        <v>6</v>
      </c>
      <c r="B57" s="2" t="s">
        <v>256</v>
      </c>
      <c r="C57" s="2" t="s">
        <v>2474</v>
      </c>
      <c r="D57" s="2">
        <v>2</v>
      </c>
      <c r="E57" s="2" t="s">
        <v>2475</v>
      </c>
      <c r="F57" s="2" t="s">
        <v>2476</v>
      </c>
      <c r="G57" s="2" t="s">
        <v>2477</v>
      </c>
    </row>
    <row r="58" spans="1:7" ht="80" customHeight="1" x14ac:dyDescent="0.35">
      <c r="A58" s="2">
        <v>7</v>
      </c>
      <c r="B58" s="2" t="s">
        <v>281</v>
      </c>
      <c r="C58" s="2" t="s">
        <v>2478</v>
      </c>
      <c r="D58" s="2">
        <v>3</v>
      </c>
      <c r="E58" s="2" t="s">
        <v>2479</v>
      </c>
      <c r="F58" s="2" t="s">
        <v>2480</v>
      </c>
      <c r="G58" s="2" t="s">
        <v>2481</v>
      </c>
    </row>
    <row r="59" spans="1:7" ht="80" customHeight="1" x14ac:dyDescent="0.35">
      <c r="A59" s="2">
        <v>8</v>
      </c>
      <c r="B59" s="2" t="s">
        <v>306</v>
      </c>
      <c r="C59" s="2" t="s">
        <v>2482</v>
      </c>
      <c r="D59" s="2">
        <v>1</v>
      </c>
      <c r="E59" s="2" t="s">
        <v>2483</v>
      </c>
      <c r="F59" s="2" t="s">
        <v>2484</v>
      </c>
      <c r="G59" s="2" t="s">
        <v>2485</v>
      </c>
    </row>
    <row r="60" spans="1:7" ht="58" customHeight="1" x14ac:dyDescent="0.35">
      <c r="A60" s="2">
        <v>9</v>
      </c>
      <c r="B60" s="2" t="s">
        <v>330</v>
      </c>
      <c r="C60" s="2" t="s">
        <v>2486</v>
      </c>
      <c r="D60" s="2">
        <v>2</v>
      </c>
      <c r="E60" s="2" t="s">
        <v>2487</v>
      </c>
      <c r="F60" s="2" t="s">
        <v>2488</v>
      </c>
      <c r="G60" s="2" t="s">
        <v>2489</v>
      </c>
    </row>
    <row r="61" spans="1:7" ht="43.5" customHeight="1" x14ac:dyDescent="0.35">
      <c r="A61" s="2">
        <v>10</v>
      </c>
      <c r="B61" s="2" t="s">
        <v>358</v>
      </c>
      <c r="C61" s="2" t="s">
        <v>2490</v>
      </c>
      <c r="D61" s="2">
        <v>2</v>
      </c>
      <c r="E61" s="2" t="s">
        <v>2491</v>
      </c>
      <c r="F61" s="2" t="s">
        <v>2492</v>
      </c>
      <c r="G61" s="2" t="s">
        <v>2493</v>
      </c>
    </row>
  </sheetData>
  <mergeCells count="1">
    <mergeCell ref="A1:J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E14" sqref="E14"/>
    </sheetView>
  </sheetViews>
  <sheetFormatPr defaultRowHeight="14.5" x14ac:dyDescent="0.35"/>
  <cols>
    <col min="1" max="1" width="10" customWidth="1"/>
    <col min="2" max="2" width="22" customWidth="1"/>
    <col min="3" max="3" width="45" customWidth="1"/>
    <col min="4" max="4" width="14" customWidth="1"/>
    <col min="5" max="5" width="60" customWidth="1"/>
    <col min="6" max="6" width="45" customWidth="1"/>
    <col min="7" max="7" width="14" customWidth="1"/>
    <col min="8" max="8" width="45" customWidth="1"/>
    <col min="9" max="9" width="55" customWidth="1"/>
    <col min="10" max="10" width="25" customWidth="1"/>
  </cols>
  <sheetData>
    <row r="1" spans="1:10" ht="36" customHeight="1" x14ac:dyDescent="0.35">
      <c r="A1" s="66" t="s">
        <v>0</v>
      </c>
      <c r="B1" s="59"/>
      <c r="C1" s="59"/>
      <c r="D1" s="59"/>
      <c r="E1" s="59"/>
      <c r="F1" s="59"/>
      <c r="G1" s="59"/>
      <c r="H1" s="59"/>
      <c r="I1" s="59"/>
      <c r="J1" s="59"/>
    </row>
    <row r="2" spans="1:10" ht="13.5" customHeight="1" x14ac:dyDescent="0.35">
      <c r="A2" s="59"/>
      <c r="B2" s="59"/>
      <c r="C2" s="59"/>
      <c r="D2" s="59"/>
      <c r="E2" s="59"/>
      <c r="F2" s="59"/>
      <c r="G2" s="59"/>
      <c r="H2" s="59"/>
      <c r="I2" s="59"/>
      <c r="J2" s="59"/>
    </row>
    <row r="3" spans="1:10" ht="60" customHeight="1" x14ac:dyDescent="0.35">
      <c r="A3" s="51" t="s">
        <v>99</v>
      </c>
      <c r="B3" s="51" t="s">
        <v>97</v>
      </c>
      <c r="C3" s="51" t="s">
        <v>98</v>
      </c>
      <c r="D3" s="51" t="s">
        <v>2354</v>
      </c>
      <c r="E3" s="51" t="s">
        <v>2355</v>
      </c>
      <c r="F3" s="51" t="s">
        <v>2356</v>
      </c>
      <c r="G3" s="51" t="s">
        <v>2357</v>
      </c>
      <c r="H3" s="51" t="s">
        <v>2358</v>
      </c>
      <c r="I3" s="51" t="s">
        <v>2359</v>
      </c>
      <c r="J3" s="51" t="s">
        <v>2360</v>
      </c>
    </row>
    <row r="4" spans="1:10" ht="60" customHeight="1" x14ac:dyDescent="0.35">
      <c r="A4" s="2" t="s">
        <v>110</v>
      </c>
      <c r="B4" s="2" t="s">
        <v>108</v>
      </c>
      <c r="C4" s="2" t="s">
        <v>109</v>
      </c>
      <c r="D4" s="2">
        <v>1</v>
      </c>
      <c r="E4" s="2" t="s">
        <v>2494</v>
      </c>
      <c r="F4" s="2" t="s">
        <v>2495</v>
      </c>
      <c r="G4" s="2" t="s">
        <v>2496</v>
      </c>
      <c r="H4" s="2" t="s">
        <v>2497</v>
      </c>
      <c r="I4" s="2" t="s">
        <v>2498</v>
      </c>
      <c r="J4" s="2" t="s">
        <v>2499</v>
      </c>
    </row>
    <row r="5" spans="1:10" ht="60" customHeight="1" x14ac:dyDescent="0.35">
      <c r="A5" s="2" t="s">
        <v>116</v>
      </c>
      <c r="B5" s="2" t="s">
        <v>108</v>
      </c>
      <c r="C5" s="2" t="s">
        <v>115</v>
      </c>
      <c r="D5" s="2">
        <v>1</v>
      </c>
      <c r="E5" s="2" t="s">
        <v>2367</v>
      </c>
      <c r="F5" s="2"/>
      <c r="G5" s="2"/>
      <c r="H5" s="2" t="s">
        <v>2500</v>
      </c>
      <c r="I5" s="2" t="s">
        <v>2369</v>
      </c>
      <c r="J5" s="2"/>
    </row>
    <row r="6" spans="1:10" ht="60" customHeight="1" x14ac:dyDescent="0.35">
      <c r="A6" s="2" t="s">
        <v>123</v>
      </c>
      <c r="B6" s="2" t="s">
        <v>108</v>
      </c>
      <c r="C6" s="2" t="s">
        <v>122</v>
      </c>
      <c r="D6" s="2">
        <v>1</v>
      </c>
      <c r="E6" s="2" t="s">
        <v>2367</v>
      </c>
      <c r="F6" s="2"/>
      <c r="G6" s="2"/>
      <c r="H6" s="2" t="s">
        <v>2500</v>
      </c>
      <c r="I6" s="2" t="s">
        <v>2369</v>
      </c>
      <c r="J6" s="2"/>
    </row>
    <row r="7" spans="1:10" ht="60" customHeight="1" x14ac:dyDescent="0.35">
      <c r="A7" s="2" t="s">
        <v>129</v>
      </c>
      <c r="B7" s="2" t="s">
        <v>108</v>
      </c>
      <c r="C7" s="2" t="s">
        <v>128</v>
      </c>
      <c r="D7" s="2">
        <v>1</v>
      </c>
      <c r="E7" s="2" t="s">
        <v>2367</v>
      </c>
      <c r="F7" s="2"/>
      <c r="G7" s="2"/>
      <c r="H7" s="2" t="s">
        <v>2500</v>
      </c>
      <c r="I7" s="2" t="s">
        <v>2369</v>
      </c>
      <c r="J7" s="2"/>
    </row>
    <row r="8" spans="1:10" ht="60" customHeight="1" x14ac:dyDescent="0.35">
      <c r="A8" s="2" t="s">
        <v>135</v>
      </c>
      <c r="B8" s="2" t="s">
        <v>108</v>
      </c>
      <c r="C8" s="2" t="s">
        <v>134</v>
      </c>
      <c r="D8" s="2">
        <v>1</v>
      </c>
      <c r="E8" s="2" t="s">
        <v>2367</v>
      </c>
      <c r="F8" s="2"/>
      <c r="G8" s="2"/>
      <c r="H8" s="2" t="s">
        <v>2500</v>
      </c>
      <c r="I8" s="2" t="s">
        <v>2369</v>
      </c>
      <c r="J8" s="2"/>
    </row>
    <row r="9" spans="1:10" ht="60" customHeight="1" x14ac:dyDescent="0.35">
      <c r="A9" s="2" t="s">
        <v>143</v>
      </c>
      <c r="B9" s="2" t="s">
        <v>141</v>
      </c>
      <c r="C9" s="2" t="s">
        <v>142</v>
      </c>
      <c r="D9" s="2">
        <v>2</v>
      </c>
      <c r="E9" s="2" t="s">
        <v>2501</v>
      </c>
      <c r="F9" s="2" t="s">
        <v>2502</v>
      </c>
      <c r="G9" s="2" t="s">
        <v>2503</v>
      </c>
      <c r="H9" s="2" t="s">
        <v>2504</v>
      </c>
      <c r="I9" s="2" t="s">
        <v>2505</v>
      </c>
      <c r="J9" s="2"/>
    </row>
    <row r="10" spans="1:10" ht="60" customHeight="1" x14ac:dyDescent="0.35">
      <c r="A10" s="2" t="s">
        <v>150</v>
      </c>
      <c r="B10" s="2" t="s">
        <v>141</v>
      </c>
      <c r="C10" s="2" t="s">
        <v>149</v>
      </c>
      <c r="D10" s="2">
        <v>2</v>
      </c>
      <c r="E10" s="2" t="s">
        <v>2367</v>
      </c>
      <c r="F10" s="2"/>
      <c r="G10" s="2"/>
      <c r="H10" s="2" t="s">
        <v>2506</v>
      </c>
      <c r="I10" s="2" t="s">
        <v>2369</v>
      </c>
      <c r="J10" s="2"/>
    </row>
    <row r="11" spans="1:10" ht="60" customHeight="1" x14ac:dyDescent="0.35">
      <c r="A11" s="2" t="s">
        <v>156</v>
      </c>
      <c r="B11" s="2" t="s">
        <v>141</v>
      </c>
      <c r="C11" s="2" t="s">
        <v>155</v>
      </c>
      <c r="D11" s="2">
        <v>2</v>
      </c>
      <c r="E11" s="2" t="s">
        <v>2367</v>
      </c>
      <c r="F11" s="2"/>
      <c r="G11" s="2"/>
      <c r="H11" s="2" t="s">
        <v>2506</v>
      </c>
      <c r="I11" s="2" t="s">
        <v>2369</v>
      </c>
      <c r="J11" s="2"/>
    </row>
    <row r="12" spans="1:10" ht="60" customHeight="1" x14ac:dyDescent="0.35">
      <c r="A12" s="2" t="s">
        <v>162</v>
      </c>
      <c r="B12" s="2" t="s">
        <v>141</v>
      </c>
      <c r="C12" s="2" t="s">
        <v>161</v>
      </c>
      <c r="D12" s="2">
        <v>2</v>
      </c>
      <c r="E12" s="2" t="s">
        <v>2367</v>
      </c>
      <c r="F12" s="2"/>
      <c r="G12" s="2"/>
      <c r="H12" s="2" t="s">
        <v>2506</v>
      </c>
      <c r="I12" s="2" t="s">
        <v>2369</v>
      </c>
      <c r="J12" s="2"/>
    </row>
    <row r="13" spans="1:10" ht="60" customHeight="1" x14ac:dyDescent="0.35">
      <c r="A13" s="2" t="s">
        <v>169</v>
      </c>
      <c r="B13" s="2" t="s">
        <v>141</v>
      </c>
      <c r="C13" s="2" t="s">
        <v>168</v>
      </c>
      <c r="D13" s="2">
        <v>2</v>
      </c>
      <c r="E13" s="2" t="s">
        <v>2367</v>
      </c>
      <c r="F13" s="2"/>
      <c r="G13" s="2"/>
      <c r="H13" s="2" t="s">
        <v>2506</v>
      </c>
      <c r="I13" s="2" t="s">
        <v>2369</v>
      </c>
      <c r="J13" s="2"/>
    </row>
    <row r="14" spans="1:10" ht="60" customHeight="1" x14ac:dyDescent="0.35">
      <c r="A14" s="2" t="s">
        <v>176</v>
      </c>
      <c r="B14" s="2" t="s">
        <v>174</v>
      </c>
      <c r="C14" s="2" t="s">
        <v>175</v>
      </c>
      <c r="D14" s="2">
        <v>3</v>
      </c>
      <c r="E14" s="2" t="s">
        <v>2507</v>
      </c>
      <c r="F14" s="2" t="s">
        <v>2508</v>
      </c>
      <c r="G14" s="2" t="s">
        <v>2509</v>
      </c>
      <c r="H14" s="2" t="s">
        <v>2510</v>
      </c>
      <c r="I14" s="2" t="s">
        <v>2511</v>
      </c>
      <c r="J14" s="2"/>
    </row>
    <row r="15" spans="1:10" ht="60" customHeight="1" x14ac:dyDescent="0.35">
      <c r="A15" s="2" t="s">
        <v>182</v>
      </c>
      <c r="B15" s="2" t="s">
        <v>174</v>
      </c>
      <c r="C15" s="2" t="s">
        <v>181</v>
      </c>
      <c r="D15" s="2">
        <v>3</v>
      </c>
      <c r="E15" s="2" t="s">
        <v>2512</v>
      </c>
      <c r="F15" s="2" t="s">
        <v>2508</v>
      </c>
      <c r="G15" s="2" t="s">
        <v>2509</v>
      </c>
      <c r="H15" s="2" t="s">
        <v>2513</v>
      </c>
      <c r="I15" s="2" t="s">
        <v>2514</v>
      </c>
      <c r="J15" s="2"/>
    </row>
    <row r="16" spans="1:10" ht="60" customHeight="1" x14ac:dyDescent="0.35">
      <c r="A16" s="2" t="s">
        <v>188</v>
      </c>
      <c r="B16" s="2" t="s">
        <v>174</v>
      </c>
      <c r="C16" s="2" t="s">
        <v>187</v>
      </c>
      <c r="D16" s="2">
        <v>3</v>
      </c>
      <c r="E16" s="2" t="s">
        <v>2367</v>
      </c>
      <c r="F16" s="2"/>
      <c r="G16" s="2"/>
      <c r="H16" s="2" t="s">
        <v>2515</v>
      </c>
      <c r="I16" s="2" t="s">
        <v>2369</v>
      </c>
      <c r="J16" s="2"/>
    </row>
    <row r="17" spans="1:10" ht="60" customHeight="1" x14ac:dyDescent="0.35">
      <c r="A17" s="2" t="s">
        <v>195</v>
      </c>
      <c r="B17" s="2" t="s">
        <v>193</v>
      </c>
      <c r="C17" s="2" t="s">
        <v>194</v>
      </c>
      <c r="D17" s="2">
        <v>4</v>
      </c>
      <c r="E17" s="2" t="s">
        <v>2367</v>
      </c>
      <c r="F17" s="2"/>
      <c r="G17" s="2"/>
      <c r="H17" s="2" t="s">
        <v>2516</v>
      </c>
      <c r="I17" s="2" t="s">
        <v>2369</v>
      </c>
      <c r="J17" s="2"/>
    </row>
    <row r="18" spans="1:10" ht="60" customHeight="1" x14ac:dyDescent="0.35">
      <c r="A18" s="2" t="s">
        <v>202</v>
      </c>
      <c r="B18" s="2" t="s">
        <v>193</v>
      </c>
      <c r="C18" s="2" t="s">
        <v>201</v>
      </c>
      <c r="D18" s="2">
        <v>4</v>
      </c>
      <c r="E18" s="2" t="s">
        <v>2367</v>
      </c>
      <c r="F18" s="2"/>
      <c r="G18" s="2"/>
      <c r="H18" s="2" t="s">
        <v>2516</v>
      </c>
      <c r="I18" s="2" t="s">
        <v>2369</v>
      </c>
      <c r="J18" s="2"/>
    </row>
    <row r="19" spans="1:10" ht="60" customHeight="1" x14ac:dyDescent="0.35">
      <c r="A19" s="2" t="s">
        <v>208</v>
      </c>
      <c r="B19" s="2" t="s">
        <v>193</v>
      </c>
      <c r="C19" s="2" t="s">
        <v>207</v>
      </c>
      <c r="D19" s="2">
        <v>4</v>
      </c>
      <c r="E19" s="2" t="s">
        <v>2367</v>
      </c>
      <c r="F19" s="2"/>
      <c r="G19" s="2"/>
      <c r="H19" s="2" t="s">
        <v>2516</v>
      </c>
      <c r="I19" s="2" t="s">
        <v>2369</v>
      </c>
      <c r="J19" s="2"/>
    </row>
    <row r="20" spans="1:10" ht="60" customHeight="1" x14ac:dyDescent="0.35">
      <c r="A20" s="2" t="s">
        <v>213</v>
      </c>
      <c r="B20" s="2" t="s">
        <v>193</v>
      </c>
      <c r="C20" s="2" t="s">
        <v>212</v>
      </c>
      <c r="D20" s="2">
        <v>4</v>
      </c>
      <c r="E20" s="2" t="s">
        <v>2517</v>
      </c>
      <c r="F20" s="2" t="s">
        <v>2518</v>
      </c>
      <c r="G20" s="2" t="s">
        <v>2509</v>
      </c>
      <c r="H20" s="2" t="s">
        <v>2519</v>
      </c>
      <c r="I20" s="2" t="s">
        <v>2520</v>
      </c>
      <c r="J20" s="2"/>
    </row>
    <row r="21" spans="1:10" ht="60" customHeight="1" x14ac:dyDescent="0.35">
      <c r="A21" s="2" t="s">
        <v>219</v>
      </c>
      <c r="B21" s="2" t="s">
        <v>193</v>
      </c>
      <c r="C21" s="2" t="s">
        <v>218</v>
      </c>
      <c r="D21" s="2">
        <v>4</v>
      </c>
      <c r="E21" s="2" t="s">
        <v>2367</v>
      </c>
      <c r="F21" s="2"/>
      <c r="G21" s="2"/>
      <c r="H21" s="2" t="s">
        <v>2516</v>
      </c>
      <c r="I21" s="2" t="s">
        <v>2369</v>
      </c>
      <c r="J21" s="2"/>
    </row>
    <row r="22" spans="1:10" ht="60" customHeight="1" x14ac:dyDescent="0.35">
      <c r="A22" s="2" t="s">
        <v>227</v>
      </c>
      <c r="B22" s="2" t="s">
        <v>225</v>
      </c>
      <c r="C22" s="2" t="s">
        <v>226</v>
      </c>
      <c r="D22" s="2">
        <v>5</v>
      </c>
      <c r="E22" s="2" t="s">
        <v>2367</v>
      </c>
      <c r="F22" s="2"/>
      <c r="G22" s="2"/>
      <c r="H22" s="2" t="s">
        <v>2521</v>
      </c>
      <c r="I22" s="2" t="s">
        <v>2369</v>
      </c>
      <c r="J22" s="2"/>
    </row>
    <row r="23" spans="1:10" ht="60" customHeight="1" x14ac:dyDescent="0.35">
      <c r="A23" s="2" t="s">
        <v>233</v>
      </c>
      <c r="B23" s="2" t="s">
        <v>225</v>
      </c>
      <c r="C23" s="2" t="s">
        <v>232</v>
      </c>
      <c r="D23" s="2">
        <v>5</v>
      </c>
      <c r="E23" s="2" t="s">
        <v>2367</v>
      </c>
      <c r="F23" s="2"/>
      <c r="G23" s="2"/>
      <c r="H23" s="2" t="s">
        <v>2521</v>
      </c>
      <c r="I23" s="2" t="s">
        <v>2369</v>
      </c>
      <c r="J23" s="2"/>
    </row>
    <row r="24" spans="1:10" ht="60" customHeight="1" x14ac:dyDescent="0.35">
      <c r="A24" s="2" t="s">
        <v>239</v>
      </c>
      <c r="B24" s="2" t="s">
        <v>225</v>
      </c>
      <c r="C24" s="2" t="s">
        <v>238</v>
      </c>
      <c r="D24" s="2">
        <v>5</v>
      </c>
      <c r="E24" s="2" t="s">
        <v>2367</v>
      </c>
      <c r="F24" s="2"/>
      <c r="G24" s="2"/>
      <c r="H24" s="2" t="s">
        <v>2521</v>
      </c>
      <c r="I24" s="2" t="s">
        <v>2369</v>
      </c>
      <c r="J24" s="2"/>
    </row>
    <row r="25" spans="1:10" ht="60" customHeight="1" x14ac:dyDescent="0.35">
      <c r="A25" s="2" t="s">
        <v>245</v>
      </c>
      <c r="B25" s="2" t="s">
        <v>225</v>
      </c>
      <c r="C25" s="2" t="s">
        <v>244</v>
      </c>
      <c r="D25" s="2">
        <v>5</v>
      </c>
      <c r="E25" s="2" t="s">
        <v>2367</v>
      </c>
      <c r="F25" s="2"/>
      <c r="G25" s="2"/>
      <c r="H25" s="2" t="s">
        <v>2521</v>
      </c>
      <c r="I25" s="2" t="s">
        <v>2369</v>
      </c>
      <c r="J25" s="2"/>
    </row>
    <row r="26" spans="1:10" ht="60" customHeight="1" x14ac:dyDescent="0.35">
      <c r="A26" s="2" t="s">
        <v>251</v>
      </c>
      <c r="B26" s="2" t="s">
        <v>225</v>
      </c>
      <c r="C26" s="2" t="s">
        <v>250</v>
      </c>
      <c r="D26" s="2">
        <v>5</v>
      </c>
      <c r="E26" s="2" t="s">
        <v>2367</v>
      </c>
      <c r="F26" s="2"/>
      <c r="G26" s="2"/>
      <c r="H26" s="2" t="s">
        <v>2521</v>
      </c>
      <c r="I26" s="2" t="s">
        <v>2369</v>
      </c>
      <c r="J26" s="2"/>
    </row>
    <row r="27" spans="1:10" ht="60" customHeight="1" x14ac:dyDescent="0.35">
      <c r="A27" s="2" t="s">
        <v>258</v>
      </c>
      <c r="B27" s="2" t="s">
        <v>256</v>
      </c>
      <c r="C27" s="2" t="s">
        <v>257</v>
      </c>
      <c r="D27" s="2">
        <v>6</v>
      </c>
      <c r="E27" s="2" t="s">
        <v>2367</v>
      </c>
      <c r="F27" s="2"/>
      <c r="G27" s="2"/>
      <c r="H27" s="2" t="s">
        <v>2522</v>
      </c>
      <c r="I27" s="2" t="s">
        <v>2369</v>
      </c>
      <c r="J27" s="2"/>
    </row>
    <row r="28" spans="1:10" ht="60" customHeight="1" x14ac:dyDescent="0.35">
      <c r="A28" s="2" t="s">
        <v>264</v>
      </c>
      <c r="B28" s="2" t="s">
        <v>256</v>
      </c>
      <c r="C28" s="2" t="s">
        <v>263</v>
      </c>
      <c r="D28" s="2">
        <v>6</v>
      </c>
      <c r="E28" s="2" t="s">
        <v>2367</v>
      </c>
      <c r="F28" s="2"/>
      <c r="G28" s="2"/>
      <c r="H28" s="2" t="s">
        <v>2522</v>
      </c>
      <c r="I28" s="2" t="s">
        <v>2369</v>
      </c>
      <c r="J28" s="2"/>
    </row>
    <row r="29" spans="1:10" ht="60" customHeight="1" x14ac:dyDescent="0.35">
      <c r="A29" s="2" t="s">
        <v>270</v>
      </c>
      <c r="B29" s="2" t="s">
        <v>256</v>
      </c>
      <c r="C29" s="2" t="s">
        <v>269</v>
      </c>
      <c r="D29" s="2">
        <v>6</v>
      </c>
      <c r="E29" s="2" t="s">
        <v>2367</v>
      </c>
      <c r="F29" s="2"/>
      <c r="G29" s="2"/>
      <c r="H29" s="2" t="s">
        <v>2522</v>
      </c>
      <c r="I29" s="2" t="s">
        <v>2369</v>
      </c>
      <c r="J29" s="2"/>
    </row>
    <row r="30" spans="1:10" ht="60" customHeight="1" x14ac:dyDescent="0.35">
      <c r="A30" s="2" t="s">
        <v>276</v>
      </c>
      <c r="B30" s="2" t="s">
        <v>256</v>
      </c>
      <c r="C30" s="2" t="s">
        <v>275</v>
      </c>
      <c r="D30" s="2">
        <v>6</v>
      </c>
      <c r="E30" s="2" t="s">
        <v>2367</v>
      </c>
      <c r="F30" s="2"/>
      <c r="G30" s="2"/>
      <c r="H30" s="2" t="s">
        <v>2522</v>
      </c>
      <c r="I30" s="2" t="s">
        <v>2369</v>
      </c>
      <c r="J30" s="2"/>
    </row>
    <row r="31" spans="1:10" ht="60" customHeight="1" x14ac:dyDescent="0.35">
      <c r="A31" s="2" t="s">
        <v>283</v>
      </c>
      <c r="B31" s="2" t="s">
        <v>281</v>
      </c>
      <c r="C31" s="2" t="s">
        <v>282</v>
      </c>
      <c r="D31" s="2">
        <v>7</v>
      </c>
      <c r="E31" s="2" t="s">
        <v>2367</v>
      </c>
      <c r="F31" s="2"/>
      <c r="G31" s="2"/>
      <c r="H31" s="2" t="s">
        <v>2523</v>
      </c>
      <c r="I31" s="2" t="s">
        <v>2369</v>
      </c>
      <c r="J31" s="2"/>
    </row>
    <row r="32" spans="1:10" ht="60" customHeight="1" x14ac:dyDescent="0.35">
      <c r="A32" s="2" t="s">
        <v>289</v>
      </c>
      <c r="B32" s="2" t="s">
        <v>281</v>
      </c>
      <c r="C32" s="2" t="s">
        <v>288</v>
      </c>
      <c r="D32" s="2">
        <v>7</v>
      </c>
      <c r="E32" s="2" t="s">
        <v>2367</v>
      </c>
      <c r="F32" s="2"/>
      <c r="G32" s="2"/>
      <c r="H32" s="2" t="s">
        <v>2523</v>
      </c>
      <c r="I32" s="2" t="s">
        <v>2369</v>
      </c>
      <c r="J32" s="2"/>
    </row>
    <row r="33" spans="1:10" ht="60" customHeight="1" x14ac:dyDescent="0.35">
      <c r="A33" s="2" t="s">
        <v>295</v>
      </c>
      <c r="B33" s="2" t="s">
        <v>281</v>
      </c>
      <c r="C33" s="2" t="s">
        <v>294</v>
      </c>
      <c r="D33" s="2">
        <v>7</v>
      </c>
      <c r="E33" s="2" t="s">
        <v>2367</v>
      </c>
      <c r="F33" s="2"/>
      <c r="G33" s="2"/>
      <c r="H33" s="2" t="s">
        <v>2523</v>
      </c>
      <c r="I33" s="2" t="s">
        <v>2369</v>
      </c>
      <c r="J33" s="2"/>
    </row>
    <row r="34" spans="1:10" ht="60" customHeight="1" x14ac:dyDescent="0.35">
      <c r="A34" s="2" t="s">
        <v>301</v>
      </c>
      <c r="B34" s="2" t="s">
        <v>281</v>
      </c>
      <c r="C34" s="2" t="s">
        <v>300</v>
      </c>
      <c r="D34" s="2">
        <v>7</v>
      </c>
      <c r="E34" s="2" t="s">
        <v>2367</v>
      </c>
      <c r="F34" s="2"/>
      <c r="G34" s="2"/>
      <c r="H34" s="2" t="s">
        <v>2523</v>
      </c>
      <c r="I34" s="2" t="s">
        <v>2369</v>
      </c>
      <c r="J34" s="2"/>
    </row>
    <row r="35" spans="1:10" ht="60" customHeight="1" x14ac:dyDescent="0.35">
      <c r="A35" s="2" t="s">
        <v>308</v>
      </c>
      <c r="B35" s="2" t="s">
        <v>306</v>
      </c>
      <c r="C35" s="2" t="s">
        <v>307</v>
      </c>
      <c r="D35" s="2">
        <v>8</v>
      </c>
      <c r="E35" s="2" t="s">
        <v>2367</v>
      </c>
      <c r="F35" s="2"/>
      <c r="G35" s="2"/>
      <c r="H35" s="2" t="s">
        <v>2524</v>
      </c>
      <c r="I35" s="2" t="s">
        <v>2369</v>
      </c>
      <c r="J35" s="2"/>
    </row>
    <row r="36" spans="1:10" ht="60" customHeight="1" x14ac:dyDescent="0.35">
      <c r="A36" s="2" t="s">
        <v>313</v>
      </c>
      <c r="B36" s="2" t="s">
        <v>306</v>
      </c>
      <c r="C36" s="2" t="s">
        <v>312</v>
      </c>
      <c r="D36" s="2">
        <v>8</v>
      </c>
      <c r="E36" s="2" t="s">
        <v>2525</v>
      </c>
      <c r="F36" s="2" t="s">
        <v>2526</v>
      </c>
      <c r="G36" s="2" t="s">
        <v>2527</v>
      </c>
      <c r="H36" s="2" t="s">
        <v>2528</v>
      </c>
      <c r="I36" s="2" t="s">
        <v>2529</v>
      </c>
      <c r="J36" s="2"/>
    </row>
    <row r="37" spans="1:10" ht="60" customHeight="1" x14ac:dyDescent="0.35">
      <c r="A37" s="2" t="s">
        <v>319</v>
      </c>
      <c r="B37" s="2" t="s">
        <v>306</v>
      </c>
      <c r="C37" s="2" t="s">
        <v>318</v>
      </c>
      <c r="D37" s="2">
        <v>8</v>
      </c>
      <c r="E37" s="2" t="s">
        <v>2367</v>
      </c>
      <c r="F37" s="2"/>
      <c r="G37" s="2"/>
      <c r="H37" s="2" t="s">
        <v>2524</v>
      </c>
      <c r="I37" s="2" t="s">
        <v>2369</v>
      </c>
      <c r="J37" s="2"/>
    </row>
    <row r="38" spans="1:10" ht="60" customHeight="1" x14ac:dyDescent="0.35">
      <c r="A38" s="2" t="s">
        <v>325</v>
      </c>
      <c r="B38" s="2" t="s">
        <v>306</v>
      </c>
      <c r="C38" s="2" t="s">
        <v>324</v>
      </c>
      <c r="D38" s="2">
        <v>8</v>
      </c>
      <c r="E38" s="2" t="s">
        <v>2367</v>
      </c>
      <c r="F38" s="2"/>
      <c r="G38" s="2"/>
      <c r="H38" s="2" t="s">
        <v>2524</v>
      </c>
      <c r="I38" s="2" t="s">
        <v>2369</v>
      </c>
      <c r="J38" s="2"/>
    </row>
    <row r="39" spans="1:10" ht="60" customHeight="1" x14ac:dyDescent="0.35">
      <c r="A39" s="2" t="s">
        <v>332</v>
      </c>
      <c r="B39" s="2" t="s">
        <v>330</v>
      </c>
      <c r="C39" s="2" t="s">
        <v>331</v>
      </c>
      <c r="D39" s="2">
        <v>9</v>
      </c>
      <c r="E39" s="2" t="s">
        <v>2530</v>
      </c>
      <c r="F39" s="2" t="s">
        <v>991</v>
      </c>
      <c r="G39" s="2" t="s">
        <v>988</v>
      </c>
      <c r="H39" s="2" t="s">
        <v>2531</v>
      </c>
      <c r="I39" s="2" t="s">
        <v>2532</v>
      </c>
      <c r="J39" s="2"/>
    </row>
    <row r="40" spans="1:10" ht="60" customHeight="1" x14ac:dyDescent="0.35">
      <c r="A40" s="2" t="s">
        <v>338</v>
      </c>
      <c r="B40" s="2" t="s">
        <v>330</v>
      </c>
      <c r="C40" s="2" t="s">
        <v>337</v>
      </c>
      <c r="D40" s="2">
        <v>9</v>
      </c>
      <c r="E40" s="2" t="s">
        <v>2367</v>
      </c>
      <c r="F40" s="2"/>
      <c r="G40" s="2"/>
      <c r="H40" s="2" t="s">
        <v>2533</v>
      </c>
      <c r="I40" s="2" t="s">
        <v>2369</v>
      </c>
      <c r="J40" s="2"/>
    </row>
    <row r="41" spans="1:10" ht="60" customHeight="1" x14ac:dyDescent="0.35">
      <c r="A41" s="2" t="s">
        <v>343</v>
      </c>
      <c r="B41" s="2" t="s">
        <v>330</v>
      </c>
      <c r="C41" s="2" t="s">
        <v>342</v>
      </c>
      <c r="D41" s="2">
        <v>9</v>
      </c>
      <c r="E41" s="2" t="s">
        <v>2367</v>
      </c>
      <c r="F41" s="2"/>
      <c r="G41" s="2"/>
      <c r="H41" s="2" t="s">
        <v>2533</v>
      </c>
      <c r="I41" s="2" t="s">
        <v>2369</v>
      </c>
      <c r="J41" s="2"/>
    </row>
    <row r="42" spans="1:10" ht="60" customHeight="1" x14ac:dyDescent="0.35">
      <c r="A42" s="2" t="s">
        <v>349</v>
      </c>
      <c r="B42" s="2" t="s">
        <v>330</v>
      </c>
      <c r="C42" s="2" t="s">
        <v>348</v>
      </c>
      <c r="D42" s="2">
        <v>9</v>
      </c>
      <c r="E42" s="2" t="s">
        <v>2534</v>
      </c>
      <c r="F42" s="2" t="s">
        <v>2535</v>
      </c>
      <c r="G42" s="2" t="s">
        <v>2536</v>
      </c>
      <c r="H42" s="2" t="s">
        <v>2537</v>
      </c>
      <c r="I42" s="2" t="s">
        <v>2538</v>
      </c>
      <c r="J42" s="2"/>
    </row>
    <row r="43" spans="1:10" ht="60" customHeight="1" x14ac:dyDescent="0.35">
      <c r="A43" s="2" t="s">
        <v>355</v>
      </c>
      <c r="B43" s="2" t="s">
        <v>330</v>
      </c>
      <c r="C43" s="2" t="s">
        <v>354</v>
      </c>
      <c r="D43" s="2">
        <v>9</v>
      </c>
      <c r="E43" s="2" t="s">
        <v>2539</v>
      </c>
      <c r="F43" s="2" t="s">
        <v>2540</v>
      </c>
      <c r="G43" s="2" t="s">
        <v>2541</v>
      </c>
      <c r="H43" s="2" t="s">
        <v>2542</v>
      </c>
      <c r="I43" s="2" t="s">
        <v>2543</v>
      </c>
      <c r="J43" s="2"/>
    </row>
    <row r="44" spans="1:10" ht="60" customHeight="1" x14ac:dyDescent="0.35">
      <c r="A44" s="2" t="s">
        <v>360</v>
      </c>
      <c r="B44" s="2" t="s">
        <v>358</v>
      </c>
      <c r="C44" s="2" t="s">
        <v>359</v>
      </c>
      <c r="D44" s="2">
        <v>10</v>
      </c>
      <c r="E44" s="2" t="s">
        <v>2544</v>
      </c>
      <c r="F44" s="2" t="s">
        <v>2545</v>
      </c>
      <c r="G44" s="2" t="s">
        <v>998</v>
      </c>
      <c r="H44" s="2" t="s">
        <v>2546</v>
      </c>
      <c r="I44" s="2" t="s">
        <v>2547</v>
      </c>
      <c r="J44" s="2"/>
    </row>
    <row r="45" spans="1:10" ht="60" customHeight="1" x14ac:dyDescent="0.35">
      <c r="A45" s="2" t="s">
        <v>367</v>
      </c>
      <c r="B45" s="2" t="s">
        <v>358</v>
      </c>
      <c r="C45" s="2" t="s">
        <v>366</v>
      </c>
      <c r="D45" s="2">
        <v>10</v>
      </c>
      <c r="E45" s="2" t="s">
        <v>2367</v>
      </c>
      <c r="F45" s="2"/>
      <c r="G45" s="2"/>
      <c r="H45" s="2" t="s">
        <v>2548</v>
      </c>
      <c r="I45" s="2" t="s">
        <v>2369</v>
      </c>
      <c r="J45" s="2"/>
    </row>
    <row r="46" spans="1:10" ht="60" customHeight="1" x14ac:dyDescent="0.35">
      <c r="A46" s="2" t="s">
        <v>373</v>
      </c>
      <c r="B46" s="2" t="s">
        <v>358</v>
      </c>
      <c r="C46" s="2" t="s">
        <v>372</v>
      </c>
      <c r="D46" s="2">
        <v>10</v>
      </c>
      <c r="E46" s="2" t="s">
        <v>2549</v>
      </c>
      <c r="F46" s="2" t="s">
        <v>996</v>
      </c>
      <c r="G46" s="2" t="s">
        <v>993</v>
      </c>
      <c r="H46" s="2" t="s">
        <v>2550</v>
      </c>
      <c r="I46" s="2" t="s">
        <v>2551</v>
      </c>
      <c r="J46" s="2"/>
    </row>
    <row r="47" spans="1:10" ht="29" customHeight="1" x14ac:dyDescent="0.35">
      <c r="A47" s="2" t="s">
        <v>378</v>
      </c>
      <c r="B47" s="2" t="s">
        <v>358</v>
      </c>
      <c r="C47" s="2" t="s">
        <v>377</v>
      </c>
      <c r="D47" s="2">
        <v>10</v>
      </c>
      <c r="E47" s="2" t="s">
        <v>2367</v>
      </c>
      <c r="F47" s="2"/>
      <c r="G47" s="2"/>
      <c r="H47" s="2" t="s">
        <v>2548</v>
      </c>
      <c r="I47" s="2" t="s">
        <v>2369</v>
      </c>
      <c r="J47" s="2"/>
    </row>
    <row r="48" spans="1:10" ht="29" customHeight="1" x14ac:dyDescent="0.35">
      <c r="A48" s="2" t="s">
        <v>384</v>
      </c>
      <c r="B48" s="2" t="s">
        <v>358</v>
      </c>
      <c r="C48" s="2" t="s">
        <v>383</v>
      </c>
      <c r="D48" s="2">
        <v>10</v>
      </c>
      <c r="E48" s="2" t="s">
        <v>2367</v>
      </c>
      <c r="F48" s="2"/>
      <c r="G48" s="2"/>
      <c r="H48" s="2" t="s">
        <v>2548</v>
      </c>
      <c r="I48" s="2" t="s">
        <v>2369</v>
      </c>
      <c r="J48" s="2"/>
    </row>
    <row r="49" spans="1:7" ht="30" customHeight="1" x14ac:dyDescent="0.35"/>
    <row r="50" spans="1:7" ht="80" customHeight="1" x14ac:dyDescent="0.35">
      <c r="A50" s="52" t="s">
        <v>2448</v>
      </c>
    </row>
    <row r="51" spans="1:7" ht="80" customHeight="1" x14ac:dyDescent="0.35">
      <c r="A51" s="51" t="s">
        <v>2354</v>
      </c>
      <c r="B51" s="51" t="s">
        <v>97</v>
      </c>
      <c r="C51" s="51" t="s">
        <v>2449</v>
      </c>
      <c r="D51" s="51" t="s">
        <v>2450</v>
      </c>
      <c r="E51" s="51" t="s">
        <v>2451</v>
      </c>
      <c r="F51" s="51" t="s">
        <v>2452</v>
      </c>
      <c r="G51" s="51" t="s">
        <v>2453</v>
      </c>
    </row>
    <row r="52" spans="1:7" ht="80" customHeight="1" x14ac:dyDescent="0.35">
      <c r="A52" s="2">
        <v>1</v>
      </c>
      <c r="B52" s="2" t="s">
        <v>108</v>
      </c>
      <c r="C52" s="2" t="s">
        <v>2552</v>
      </c>
      <c r="D52" s="2">
        <v>3</v>
      </c>
      <c r="E52" s="2" t="s">
        <v>2553</v>
      </c>
      <c r="F52" s="2" t="s">
        <v>2554</v>
      </c>
      <c r="G52" s="2" t="s">
        <v>2555</v>
      </c>
    </row>
    <row r="53" spans="1:7" ht="80" customHeight="1" x14ac:dyDescent="0.35">
      <c r="A53" s="2">
        <v>2</v>
      </c>
      <c r="B53" s="2" t="s">
        <v>141</v>
      </c>
      <c r="C53" s="2" t="s">
        <v>2556</v>
      </c>
      <c r="D53" s="2">
        <v>3</v>
      </c>
      <c r="E53" s="2" t="s">
        <v>2557</v>
      </c>
      <c r="F53" s="2" t="s">
        <v>2558</v>
      </c>
      <c r="G53" s="2" t="s">
        <v>2559</v>
      </c>
    </row>
    <row r="54" spans="1:7" ht="80" customHeight="1" x14ac:dyDescent="0.35">
      <c r="A54" s="2">
        <v>3</v>
      </c>
      <c r="B54" s="2" t="s">
        <v>174</v>
      </c>
      <c r="C54" s="2" t="s">
        <v>2560</v>
      </c>
      <c r="D54" s="2">
        <v>2</v>
      </c>
      <c r="E54" s="2" t="s">
        <v>2561</v>
      </c>
      <c r="F54" s="2" t="s">
        <v>2562</v>
      </c>
      <c r="G54" s="2" t="s">
        <v>2563</v>
      </c>
    </row>
    <row r="55" spans="1:7" ht="80" customHeight="1" x14ac:dyDescent="0.35">
      <c r="A55" s="2">
        <v>4</v>
      </c>
      <c r="B55" s="2" t="s">
        <v>193</v>
      </c>
      <c r="C55" s="2" t="s">
        <v>2564</v>
      </c>
      <c r="D55" s="2">
        <v>2</v>
      </c>
      <c r="E55" s="2" t="s">
        <v>2565</v>
      </c>
      <c r="F55" s="2" t="s">
        <v>2566</v>
      </c>
      <c r="G55" s="2" t="s">
        <v>2567</v>
      </c>
    </row>
    <row r="56" spans="1:7" ht="80" customHeight="1" x14ac:dyDescent="0.35">
      <c r="A56" s="2">
        <v>5</v>
      </c>
      <c r="B56" s="2" t="s">
        <v>225</v>
      </c>
      <c r="C56" s="2" t="s">
        <v>2568</v>
      </c>
      <c r="D56" s="2">
        <v>1</v>
      </c>
      <c r="E56" s="2" t="s">
        <v>2569</v>
      </c>
      <c r="F56" s="2" t="s">
        <v>2570</v>
      </c>
      <c r="G56" s="2" t="s">
        <v>2571</v>
      </c>
    </row>
    <row r="57" spans="1:7" ht="80" customHeight="1" x14ac:dyDescent="0.35">
      <c r="A57" s="2">
        <v>6</v>
      </c>
      <c r="B57" s="2" t="s">
        <v>256</v>
      </c>
      <c r="C57" s="2" t="s">
        <v>2572</v>
      </c>
      <c r="D57" s="2">
        <v>2</v>
      </c>
      <c r="E57" s="2" t="s">
        <v>2573</v>
      </c>
      <c r="F57" s="2" t="s">
        <v>2574</v>
      </c>
      <c r="G57" s="2" t="s">
        <v>2575</v>
      </c>
    </row>
    <row r="58" spans="1:7" ht="80" customHeight="1" x14ac:dyDescent="0.35">
      <c r="A58" s="2">
        <v>7</v>
      </c>
      <c r="B58" s="2" t="s">
        <v>281</v>
      </c>
      <c r="C58" s="2" t="s">
        <v>2576</v>
      </c>
      <c r="D58" s="2">
        <v>3</v>
      </c>
      <c r="E58" s="2" t="s">
        <v>2577</v>
      </c>
      <c r="F58" s="2" t="s">
        <v>2578</v>
      </c>
      <c r="G58" s="2" t="s">
        <v>2579</v>
      </c>
    </row>
    <row r="59" spans="1:7" ht="80" customHeight="1" x14ac:dyDescent="0.35">
      <c r="A59" s="2">
        <v>8</v>
      </c>
      <c r="B59" s="2" t="s">
        <v>306</v>
      </c>
      <c r="C59" s="2" t="s">
        <v>2580</v>
      </c>
      <c r="D59" s="2">
        <v>2</v>
      </c>
      <c r="E59" s="2" t="s">
        <v>2581</v>
      </c>
      <c r="F59" s="2" t="s">
        <v>2582</v>
      </c>
      <c r="G59" s="2" t="s">
        <v>2583</v>
      </c>
    </row>
    <row r="60" spans="1:7" ht="29" customHeight="1" x14ac:dyDescent="0.35">
      <c r="A60" s="2">
        <v>9</v>
      </c>
      <c r="B60" s="2" t="s">
        <v>330</v>
      </c>
      <c r="C60" s="2" t="s">
        <v>2584</v>
      </c>
      <c r="D60" s="2">
        <v>2</v>
      </c>
      <c r="E60" s="2" t="s">
        <v>2585</v>
      </c>
      <c r="F60" s="2" t="s">
        <v>2586</v>
      </c>
      <c r="G60" s="2" t="s">
        <v>2587</v>
      </c>
    </row>
    <row r="61" spans="1:7" ht="43.5" customHeight="1" x14ac:dyDescent="0.35">
      <c r="A61" s="2">
        <v>10</v>
      </c>
      <c r="B61" s="2" t="s">
        <v>358</v>
      </c>
      <c r="C61" s="2" t="s">
        <v>2588</v>
      </c>
      <c r="D61" s="2">
        <v>2</v>
      </c>
      <c r="E61" s="2" t="s">
        <v>2589</v>
      </c>
      <c r="F61" s="2" t="s">
        <v>2590</v>
      </c>
      <c r="G61" s="2" t="s">
        <v>2493</v>
      </c>
    </row>
  </sheetData>
  <mergeCells count="1">
    <mergeCell ref="A1: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Framework</vt:lpstr>
      <vt:lpstr>Draft for Ms Mitchell</vt:lpstr>
      <vt:lpstr>SPARK Flow Visual</vt:lpstr>
      <vt:lpstr>Quality Indicators</vt:lpstr>
      <vt:lpstr>QI Decision Map</vt:lpstr>
      <vt:lpstr>Rubric</vt:lpstr>
      <vt:lpstr>Ongoing Program Review Rubric</vt:lpstr>
      <vt:lpstr>Interpretation Guide (Existing)</vt:lpstr>
      <vt:lpstr>MV Evidence Pack (Existing)</vt:lpstr>
      <vt:lpstr>Evidence Requests (Programs)</vt:lpstr>
      <vt:lpstr>Evidence Library</vt:lpstr>
      <vt:lpstr>QI Evidence Map</vt:lpstr>
      <vt:lpstr>Program Snapshot</vt:lpstr>
      <vt:lpstr>Program Deep Dive</vt:lpstr>
      <vt:lpstr>Review Tracker</vt:lpstr>
      <vt:lpstr>Concept Studies Tracker</vt:lpstr>
      <vt:lpstr>Governance &amp; Intake Channels</vt:lpstr>
      <vt:lpstr>Intake Use Cases</vt:lpstr>
      <vt:lpstr>Idea Submission (Light)</vt:lpstr>
      <vt:lpstr>Intake Form Design</vt:lpstr>
      <vt:lpstr>Idea Log</vt:lpstr>
      <vt:lpstr>Idea Heatmap (Design)</vt:lpstr>
      <vt:lpstr>Triage Tracker</vt:lpstr>
      <vt:lpstr>Templates</vt:lpstr>
      <vt:lpstr>Landscape Visuals</vt:lpstr>
      <vt:lpstr>Landscape Assessment</vt:lpstr>
      <vt:lpstr>Mobility &amp; Choice Signals</vt:lpstr>
      <vt:lpstr>Benchmarking &amp; Trend Scan</vt:lpstr>
      <vt:lpstr>System Data Flow</vt:lpstr>
      <vt:lpstr>Portfolio Prioritization</vt:lpstr>
      <vt:lpstr>MSA - QI Review</vt:lpstr>
      <vt:lpstr>STEAM - QI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2026-02-10T02:20:58Z</dcterms:created>
  <dcterms:modified xsi:type="dcterms:W3CDTF">2026-03-24T16:30:30Z</dcterms:modified>
</cp:coreProperties>
</file>