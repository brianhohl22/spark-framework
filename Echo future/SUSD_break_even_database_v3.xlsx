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9" documentId="11_A28FB8681626CD1062A05994E00C600402E5BE77" xr6:coauthVersionLast="47" xr6:coauthVersionMax="47" xr10:uidLastSave="{E2CD26F7-A0C3-43DB-B999-CE8D27F5BFEB}"/>
  <bookViews>
    <workbookView xWindow="42840" yWindow="4500" windowWidth="11895" windowHeight="8895" xr2:uid="{00000000-000D-0000-FFFF-FFFF00000000}"/>
  </bookViews>
  <sheets>
    <sheet name="Parameters" sheetId="1" r:id="rId1"/>
    <sheet name="Calc" sheetId="2" r:id="rId2"/>
    <sheet name="Scenarios" sheetId="3" r:id="rId3"/>
    <sheet name="MultiYear_ProForma" sheetId="4" r:id="rId4"/>
    <sheet name="Summary_Costs" sheetId="5" r:id="rId5"/>
    <sheet name="BreakEven_Calc" sheetId="6" r:id="rId6"/>
    <sheet name="Source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6" l="1"/>
  <c r="H30" i="6"/>
  <c r="G30" i="6"/>
  <c r="F30" i="6"/>
  <c r="E30" i="6"/>
  <c r="D30" i="6"/>
  <c r="C30" i="6"/>
  <c r="B30" i="6"/>
  <c r="I29" i="6"/>
  <c r="H29" i="6"/>
  <c r="G29" i="6"/>
  <c r="F29" i="6"/>
  <c r="E29" i="6"/>
  <c r="D29" i="6"/>
  <c r="C29" i="6"/>
  <c r="B29" i="6"/>
  <c r="I28" i="6"/>
  <c r="H28" i="6"/>
  <c r="G28" i="6"/>
  <c r="F28" i="6"/>
  <c r="E28" i="6"/>
  <c r="D28" i="6"/>
  <c r="C28" i="6"/>
  <c r="B28" i="6"/>
  <c r="I27" i="6"/>
  <c r="H27" i="6"/>
  <c r="G27" i="6"/>
  <c r="F27" i="6"/>
  <c r="E27" i="6"/>
  <c r="D27" i="6"/>
  <c r="C27" i="6"/>
  <c r="B27" i="6"/>
  <c r="I26" i="6"/>
  <c r="H26" i="6"/>
  <c r="G26" i="6"/>
  <c r="F26" i="6"/>
  <c r="E26" i="6"/>
  <c r="D26" i="6"/>
  <c r="C26" i="6"/>
  <c r="B26" i="6"/>
  <c r="I25" i="6"/>
  <c r="H25" i="6"/>
  <c r="G25" i="6"/>
  <c r="F25" i="6"/>
  <c r="E25" i="6"/>
  <c r="D25" i="6"/>
  <c r="C25" i="6"/>
  <c r="B25" i="6"/>
  <c r="I24" i="6"/>
  <c r="H24" i="6"/>
  <c r="G24" i="6"/>
  <c r="F24" i="6"/>
  <c r="E24" i="6"/>
  <c r="D24" i="6"/>
  <c r="C24" i="6"/>
  <c r="B24" i="6"/>
  <c r="I23" i="6"/>
  <c r="H23" i="6"/>
  <c r="G23" i="6"/>
  <c r="F23" i="6"/>
  <c r="E23" i="6"/>
  <c r="D23" i="6"/>
  <c r="C23" i="6"/>
  <c r="B23" i="6"/>
  <c r="I22" i="6"/>
  <c r="H22" i="6"/>
  <c r="G22" i="6"/>
  <c r="F22" i="6"/>
  <c r="E22" i="6"/>
  <c r="D22" i="6"/>
  <c r="C22" i="6"/>
  <c r="B22" i="6"/>
  <c r="B16" i="6"/>
  <c r="B13" i="6"/>
  <c r="C4" i="6"/>
  <c r="B4" i="6"/>
  <c r="C3" i="6"/>
  <c r="B3" i="6"/>
  <c r="C2" i="6"/>
  <c r="B2" i="6"/>
  <c r="F17" i="5"/>
  <c r="E17" i="5"/>
  <c r="D17" i="5"/>
  <c r="F16" i="5"/>
  <c r="E16" i="5"/>
  <c r="D16" i="5"/>
  <c r="F15" i="5"/>
  <c r="E15" i="5"/>
  <c r="D15" i="5"/>
  <c r="F14" i="5"/>
  <c r="E14" i="5"/>
  <c r="D14" i="5"/>
  <c r="F13" i="5"/>
  <c r="E13" i="5"/>
  <c r="D13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F3" i="5"/>
  <c r="E3" i="5"/>
  <c r="D3" i="5"/>
  <c r="F2" i="5"/>
  <c r="E2" i="5"/>
  <c r="D2" i="5"/>
  <c r="N81" i="4"/>
  <c r="L81" i="4"/>
  <c r="K81" i="4"/>
  <c r="J81" i="4"/>
  <c r="I81" i="4"/>
  <c r="H81" i="4"/>
  <c r="G81" i="4"/>
  <c r="F81" i="4"/>
  <c r="C81" i="4"/>
  <c r="A81" i="4"/>
  <c r="N80" i="4"/>
  <c r="L80" i="4"/>
  <c r="K80" i="4"/>
  <c r="J80" i="4"/>
  <c r="I80" i="4"/>
  <c r="H80" i="4"/>
  <c r="G80" i="4"/>
  <c r="F80" i="4"/>
  <c r="C80" i="4"/>
  <c r="A80" i="4"/>
  <c r="N79" i="4"/>
  <c r="L79" i="4"/>
  <c r="K79" i="4"/>
  <c r="J79" i="4"/>
  <c r="I79" i="4"/>
  <c r="H79" i="4"/>
  <c r="G79" i="4"/>
  <c r="F79" i="4"/>
  <c r="C79" i="4"/>
  <c r="A79" i="4"/>
  <c r="N78" i="4"/>
  <c r="L78" i="4"/>
  <c r="K78" i="4"/>
  <c r="J78" i="4"/>
  <c r="I78" i="4"/>
  <c r="H78" i="4"/>
  <c r="G78" i="4"/>
  <c r="F78" i="4"/>
  <c r="C78" i="4"/>
  <c r="A78" i="4"/>
  <c r="N77" i="4"/>
  <c r="L77" i="4"/>
  <c r="K77" i="4"/>
  <c r="J77" i="4"/>
  <c r="I77" i="4"/>
  <c r="H77" i="4"/>
  <c r="G77" i="4"/>
  <c r="F77" i="4"/>
  <c r="C77" i="4"/>
  <c r="A77" i="4"/>
  <c r="N76" i="4"/>
  <c r="L76" i="4"/>
  <c r="K76" i="4"/>
  <c r="J76" i="4"/>
  <c r="I76" i="4"/>
  <c r="H76" i="4"/>
  <c r="G76" i="4"/>
  <c r="F76" i="4"/>
  <c r="C76" i="4"/>
  <c r="A76" i="4"/>
  <c r="N75" i="4"/>
  <c r="L75" i="4"/>
  <c r="K75" i="4"/>
  <c r="J75" i="4"/>
  <c r="I75" i="4"/>
  <c r="H75" i="4"/>
  <c r="G75" i="4"/>
  <c r="F75" i="4"/>
  <c r="C75" i="4"/>
  <c r="A75" i="4"/>
  <c r="N74" i="4"/>
  <c r="L74" i="4"/>
  <c r="K74" i="4"/>
  <c r="J74" i="4"/>
  <c r="I74" i="4"/>
  <c r="H74" i="4"/>
  <c r="G74" i="4"/>
  <c r="F74" i="4"/>
  <c r="C74" i="4"/>
  <c r="A74" i="4"/>
  <c r="N73" i="4"/>
  <c r="L73" i="4"/>
  <c r="K73" i="4"/>
  <c r="J73" i="4"/>
  <c r="I73" i="4"/>
  <c r="H73" i="4"/>
  <c r="G73" i="4"/>
  <c r="F73" i="4"/>
  <c r="C73" i="4"/>
  <c r="A73" i="4"/>
  <c r="N72" i="4"/>
  <c r="L72" i="4"/>
  <c r="K72" i="4"/>
  <c r="J72" i="4"/>
  <c r="I72" i="4"/>
  <c r="H72" i="4"/>
  <c r="G72" i="4"/>
  <c r="F72" i="4"/>
  <c r="C72" i="4"/>
  <c r="A72" i="4"/>
  <c r="N71" i="4"/>
  <c r="L71" i="4"/>
  <c r="K71" i="4"/>
  <c r="J71" i="4"/>
  <c r="I71" i="4"/>
  <c r="H71" i="4"/>
  <c r="G71" i="4"/>
  <c r="F71" i="4"/>
  <c r="C71" i="4"/>
  <c r="A71" i="4"/>
  <c r="N70" i="4"/>
  <c r="L70" i="4"/>
  <c r="K70" i="4"/>
  <c r="J70" i="4"/>
  <c r="I70" i="4"/>
  <c r="H70" i="4"/>
  <c r="G70" i="4"/>
  <c r="F70" i="4"/>
  <c r="C70" i="4"/>
  <c r="A70" i="4"/>
  <c r="N69" i="4"/>
  <c r="L69" i="4"/>
  <c r="K69" i="4"/>
  <c r="J69" i="4"/>
  <c r="I69" i="4"/>
  <c r="H69" i="4"/>
  <c r="G69" i="4"/>
  <c r="F69" i="4"/>
  <c r="C69" i="4"/>
  <c r="A69" i="4"/>
  <c r="N68" i="4"/>
  <c r="L68" i="4"/>
  <c r="K68" i="4"/>
  <c r="J68" i="4"/>
  <c r="I68" i="4"/>
  <c r="H68" i="4"/>
  <c r="G68" i="4"/>
  <c r="F68" i="4"/>
  <c r="C68" i="4"/>
  <c r="A68" i="4"/>
  <c r="N67" i="4"/>
  <c r="L67" i="4"/>
  <c r="K67" i="4"/>
  <c r="J67" i="4"/>
  <c r="I67" i="4"/>
  <c r="H67" i="4"/>
  <c r="G67" i="4"/>
  <c r="F67" i="4"/>
  <c r="C67" i="4"/>
  <c r="A67" i="4"/>
  <c r="N66" i="4"/>
  <c r="L66" i="4"/>
  <c r="K66" i="4"/>
  <c r="J66" i="4"/>
  <c r="I66" i="4"/>
  <c r="H66" i="4"/>
  <c r="G66" i="4"/>
  <c r="F66" i="4"/>
  <c r="C66" i="4"/>
  <c r="A66" i="4"/>
  <c r="N65" i="4"/>
  <c r="L65" i="4"/>
  <c r="K65" i="4"/>
  <c r="J65" i="4"/>
  <c r="I65" i="4"/>
  <c r="H65" i="4"/>
  <c r="G65" i="4"/>
  <c r="F65" i="4"/>
  <c r="C65" i="4"/>
  <c r="A65" i="4"/>
  <c r="N64" i="4"/>
  <c r="L64" i="4"/>
  <c r="K64" i="4"/>
  <c r="J64" i="4"/>
  <c r="I64" i="4"/>
  <c r="H64" i="4"/>
  <c r="G64" i="4"/>
  <c r="F64" i="4"/>
  <c r="C64" i="4"/>
  <c r="A64" i="4"/>
  <c r="N63" i="4"/>
  <c r="L63" i="4"/>
  <c r="K63" i="4"/>
  <c r="J63" i="4"/>
  <c r="I63" i="4"/>
  <c r="H63" i="4"/>
  <c r="G63" i="4"/>
  <c r="F63" i="4"/>
  <c r="C63" i="4"/>
  <c r="A63" i="4"/>
  <c r="N62" i="4"/>
  <c r="L62" i="4"/>
  <c r="K62" i="4"/>
  <c r="J62" i="4"/>
  <c r="I62" i="4"/>
  <c r="H62" i="4"/>
  <c r="G62" i="4"/>
  <c r="F62" i="4"/>
  <c r="C62" i="4"/>
  <c r="A62" i="4"/>
  <c r="N61" i="4"/>
  <c r="L61" i="4"/>
  <c r="K61" i="4"/>
  <c r="J61" i="4"/>
  <c r="I61" i="4"/>
  <c r="H61" i="4"/>
  <c r="G61" i="4"/>
  <c r="F61" i="4"/>
  <c r="C61" i="4"/>
  <c r="A61" i="4"/>
  <c r="N60" i="4"/>
  <c r="L60" i="4"/>
  <c r="K60" i="4"/>
  <c r="J60" i="4"/>
  <c r="I60" i="4"/>
  <c r="H60" i="4"/>
  <c r="G60" i="4"/>
  <c r="F60" i="4"/>
  <c r="C60" i="4"/>
  <c r="A60" i="4"/>
  <c r="N59" i="4"/>
  <c r="L59" i="4"/>
  <c r="K59" i="4"/>
  <c r="J59" i="4"/>
  <c r="I59" i="4"/>
  <c r="H59" i="4"/>
  <c r="G59" i="4"/>
  <c r="F59" i="4"/>
  <c r="C59" i="4"/>
  <c r="A59" i="4"/>
  <c r="N58" i="4"/>
  <c r="L58" i="4"/>
  <c r="K58" i="4"/>
  <c r="J58" i="4"/>
  <c r="I58" i="4"/>
  <c r="H58" i="4"/>
  <c r="G58" i="4"/>
  <c r="F58" i="4"/>
  <c r="C58" i="4"/>
  <c r="A58" i="4"/>
  <c r="N57" i="4"/>
  <c r="L57" i="4"/>
  <c r="K57" i="4"/>
  <c r="J57" i="4"/>
  <c r="I57" i="4"/>
  <c r="H57" i="4"/>
  <c r="G57" i="4"/>
  <c r="F57" i="4"/>
  <c r="C57" i="4"/>
  <c r="A57" i="4"/>
  <c r="N56" i="4"/>
  <c r="L56" i="4"/>
  <c r="K56" i="4"/>
  <c r="J56" i="4"/>
  <c r="I56" i="4"/>
  <c r="H56" i="4"/>
  <c r="G56" i="4"/>
  <c r="F56" i="4"/>
  <c r="C56" i="4"/>
  <c r="A56" i="4"/>
  <c r="N55" i="4"/>
  <c r="L55" i="4"/>
  <c r="K55" i="4"/>
  <c r="J55" i="4"/>
  <c r="I55" i="4"/>
  <c r="H55" i="4"/>
  <c r="G55" i="4"/>
  <c r="F55" i="4"/>
  <c r="C55" i="4"/>
  <c r="A55" i="4"/>
  <c r="N54" i="4"/>
  <c r="L54" i="4"/>
  <c r="K54" i="4"/>
  <c r="J54" i="4"/>
  <c r="I54" i="4"/>
  <c r="H54" i="4"/>
  <c r="G54" i="4"/>
  <c r="F54" i="4"/>
  <c r="C54" i="4"/>
  <c r="A54" i="4"/>
  <c r="N53" i="4"/>
  <c r="L53" i="4"/>
  <c r="K53" i="4"/>
  <c r="J53" i="4"/>
  <c r="I53" i="4"/>
  <c r="H53" i="4"/>
  <c r="G53" i="4"/>
  <c r="F53" i="4"/>
  <c r="C53" i="4"/>
  <c r="A53" i="4"/>
  <c r="N52" i="4"/>
  <c r="L52" i="4"/>
  <c r="K52" i="4"/>
  <c r="J52" i="4"/>
  <c r="I52" i="4"/>
  <c r="H52" i="4"/>
  <c r="G52" i="4"/>
  <c r="F52" i="4"/>
  <c r="C52" i="4"/>
  <c r="A52" i="4"/>
  <c r="N51" i="4"/>
  <c r="L51" i="4"/>
  <c r="K51" i="4"/>
  <c r="J51" i="4"/>
  <c r="I51" i="4"/>
  <c r="H51" i="4"/>
  <c r="G51" i="4"/>
  <c r="F51" i="4"/>
  <c r="C51" i="4"/>
  <c r="A51" i="4"/>
  <c r="N50" i="4"/>
  <c r="L50" i="4"/>
  <c r="K50" i="4"/>
  <c r="J50" i="4"/>
  <c r="I50" i="4"/>
  <c r="H50" i="4"/>
  <c r="G50" i="4"/>
  <c r="F50" i="4"/>
  <c r="C50" i="4"/>
  <c r="A50" i="4"/>
  <c r="N49" i="4"/>
  <c r="L49" i="4"/>
  <c r="K49" i="4"/>
  <c r="J49" i="4"/>
  <c r="I49" i="4"/>
  <c r="H49" i="4"/>
  <c r="G49" i="4"/>
  <c r="F49" i="4"/>
  <c r="C49" i="4"/>
  <c r="A49" i="4"/>
  <c r="N48" i="4"/>
  <c r="L48" i="4"/>
  <c r="K48" i="4"/>
  <c r="J48" i="4"/>
  <c r="I48" i="4"/>
  <c r="H48" i="4"/>
  <c r="G48" i="4"/>
  <c r="F48" i="4"/>
  <c r="C48" i="4"/>
  <c r="A48" i="4"/>
  <c r="N47" i="4"/>
  <c r="L47" i="4"/>
  <c r="K47" i="4"/>
  <c r="J47" i="4"/>
  <c r="I47" i="4"/>
  <c r="H47" i="4"/>
  <c r="G47" i="4"/>
  <c r="F47" i="4"/>
  <c r="C47" i="4"/>
  <c r="A47" i="4"/>
  <c r="N46" i="4"/>
  <c r="L46" i="4"/>
  <c r="K46" i="4"/>
  <c r="J46" i="4"/>
  <c r="I46" i="4"/>
  <c r="H46" i="4"/>
  <c r="G46" i="4"/>
  <c r="F46" i="4"/>
  <c r="C46" i="4"/>
  <c r="A46" i="4"/>
  <c r="N45" i="4"/>
  <c r="L45" i="4"/>
  <c r="K45" i="4"/>
  <c r="J45" i="4"/>
  <c r="I45" i="4"/>
  <c r="H45" i="4"/>
  <c r="G45" i="4"/>
  <c r="F45" i="4"/>
  <c r="C45" i="4"/>
  <c r="A45" i="4"/>
  <c r="N44" i="4"/>
  <c r="L44" i="4"/>
  <c r="K44" i="4"/>
  <c r="J44" i="4"/>
  <c r="I44" i="4"/>
  <c r="H44" i="4"/>
  <c r="G44" i="4"/>
  <c r="F44" i="4"/>
  <c r="C44" i="4"/>
  <c r="A44" i="4"/>
  <c r="N43" i="4"/>
  <c r="L43" i="4"/>
  <c r="K43" i="4"/>
  <c r="J43" i="4"/>
  <c r="I43" i="4"/>
  <c r="H43" i="4"/>
  <c r="G43" i="4"/>
  <c r="F43" i="4"/>
  <c r="C43" i="4"/>
  <c r="A43" i="4"/>
  <c r="N42" i="4"/>
  <c r="L42" i="4"/>
  <c r="K42" i="4"/>
  <c r="J42" i="4"/>
  <c r="I42" i="4"/>
  <c r="H42" i="4"/>
  <c r="G42" i="4"/>
  <c r="F42" i="4"/>
  <c r="C42" i="4"/>
  <c r="A42" i="4"/>
  <c r="N41" i="4"/>
  <c r="L41" i="4"/>
  <c r="K41" i="4"/>
  <c r="J41" i="4"/>
  <c r="I41" i="4"/>
  <c r="H41" i="4"/>
  <c r="G41" i="4"/>
  <c r="F41" i="4"/>
  <c r="C41" i="4"/>
  <c r="A41" i="4"/>
  <c r="N40" i="4"/>
  <c r="L40" i="4"/>
  <c r="K40" i="4"/>
  <c r="J40" i="4"/>
  <c r="I40" i="4"/>
  <c r="H40" i="4"/>
  <c r="G40" i="4"/>
  <c r="F40" i="4"/>
  <c r="C40" i="4"/>
  <c r="A40" i="4"/>
  <c r="N39" i="4"/>
  <c r="L39" i="4"/>
  <c r="K39" i="4"/>
  <c r="J39" i="4"/>
  <c r="I39" i="4"/>
  <c r="H39" i="4"/>
  <c r="G39" i="4"/>
  <c r="F39" i="4"/>
  <c r="C39" i="4"/>
  <c r="A39" i="4"/>
  <c r="N38" i="4"/>
  <c r="L38" i="4"/>
  <c r="K38" i="4"/>
  <c r="J38" i="4"/>
  <c r="I38" i="4"/>
  <c r="H38" i="4"/>
  <c r="G38" i="4"/>
  <c r="F38" i="4"/>
  <c r="C38" i="4"/>
  <c r="A38" i="4"/>
  <c r="N37" i="4"/>
  <c r="L37" i="4"/>
  <c r="K37" i="4"/>
  <c r="J37" i="4"/>
  <c r="I37" i="4"/>
  <c r="H37" i="4"/>
  <c r="G37" i="4"/>
  <c r="F37" i="4"/>
  <c r="C37" i="4"/>
  <c r="A37" i="4"/>
  <c r="N36" i="4"/>
  <c r="L36" i="4"/>
  <c r="K36" i="4"/>
  <c r="J36" i="4"/>
  <c r="I36" i="4"/>
  <c r="H36" i="4"/>
  <c r="G36" i="4"/>
  <c r="F36" i="4"/>
  <c r="C36" i="4"/>
  <c r="A36" i="4"/>
  <c r="N35" i="4"/>
  <c r="L35" i="4"/>
  <c r="K35" i="4"/>
  <c r="J35" i="4"/>
  <c r="I35" i="4"/>
  <c r="H35" i="4"/>
  <c r="G35" i="4"/>
  <c r="F35" i="4"/>
  <c r="C35" i="4"/>
  <c r="A35" i="4"/>
  <c r="N34" i="4"/>
  <c r="L34" i="4"/>
  <c r="K34" i="4"/>
  <c r="J34" i="4"/>
  <c r="I34" i="4"/>
  <c r="H34" i="4"/>
  <c r="G34" i="4"/>
  <c r="F34" i="4"/>
  <c r="C34" i="4"/>
  <c r="A34" i="4"/>
  <c r="N33" i="4"/>
  <c r="L33" i="4"/>
  <c r="K33" i="4"/>
  <c r="J33" i="4"/>
  <c r="I33" i="4"/>
  <c r="H33" i="4"/>
  <c r="G33" i="4"/>
  <c r="F33" i="4"/>
  <c r="C33" i="4"/>
  <c r="A33" i="4"/>
  <c r="N32" i="4"/>
  <c r="L32" i="4"/>
  <c r="K32" i="4"/>
  <c r="J32" i="4"/>
  <c r="I32" i="4"/>
  <c r="H32" i="4"/>
  <c r="G32" i="4"/>
  <c r="F32" i="4"/>
  <c r="C32" i="4"/>
  <c r="A32" i="4"/>
  <c r="N31" i="4"/>
  <c r="L31" i="4"/>
  <c r="K31" i="4"/>
  <c r="J31" i="4"/>
  <c r="I31" i="4"/>
  <c r="H31" i="4"/>
  <c r="G31" i="4"/>
  <c r="F31" i="4"/>
  <c r="C31" i="4"/>
  <c r="A31" i="4"/>
  <c r="N30" i="4"/>
  <c r="L30" i="4"/>
  <c r="K30" i="4"/>
  <c r="J30" i="4"/>
  <c r="I30" i="4"/>
  <c r="H30" i="4"/>
  <c r="G30" i="4"/>
  <c r="F30" i="4"/>
  <c r="C30" i="4"/>
  <c r="A30" i="4"/>
  <c r="N29" i="4"/>
  <c r="L29" i="4"/>
  <c r="K29" i="4"/>
  <c r="J29" i="4"/>
  <c r="I29" i="4"/>
  <c r="H29" i="4"/>
  <c r="G29" i="4"/>
  <c r="F29" i="4"/>
  <c r="C29" i="4"/>
  <c r="A29" i="4"/>
  <c r="N28" i="4"/>
  <c r="L28" i="4"/>
  <c r="K28" i="4"/>
  <c r="J28" i="4"/>
  <c r="I28" i="4"/>
  <c r="H28" i="4"/>
  <c r="G28" i="4"/>
  <c r="F28" i="4"/>
  <c r="C28" i="4"/>
  <c r="A28" i="4"/>
  <c r="N27" i="4"/>
  <c r="L27" i="4"/>
  <c r="K27" i="4"/>
  <c r="J27" i="4"/>
  <c r="I27" i="4"/>
  <c r="H27" i="4"/>
  <c r="G27" i="4"/>
  <c r="F27" i="4"/>
  <c r="C27" i="4"/>
  <c r="A27" i="4"/>
  <c r="N26" i="4"/>
  <c r="L26" i="4"/>
  <c r="K26" i="4"/>
  <c r="J26" i="4"/>
  <c r="I26" i="4"/>
  <c r="H26" i="4"/>
  <c r="G26" i="4"/>
  <c r="F26" i="4"/>
  <c r="C26" i="4"/>
  <c r="A26" i="4"/>
  <c r="N25" i="4"/>
  <c r="L25" i="4"/>
  <c r="K25" i="4"/>
  <c r="J25" i="4"/>
  <c r="I25" i="4"/>
  <c r="H25" i="4"/>
  <c r="G25" i="4"/>
  <c r="F25" i="4"/>
  <c r="C25" i="4"/>
  <c r="A25" i="4"/>
  <c r="N24" i="4"/>
  <c r="L24" i="4"/>
  <c r="K24" i="4"/>
  <c r="J24" i="4"/>
  <c r="I24" i="4"/>
  <c r="H24" i="4"/>
  <c r="G24" i="4"/>
  <c r="F24" i="4"/>
  <c r="C24" i="4"/>
  <c r="A24" i="4"/>
  <c r="N23" i="4"/>
  <c r="L23" i="4"/>
  <c r="K23" i="4"/>
  <c r="J23" i="4"/>
  <c r="I23" i="4"/>
  <c r="H23" i="4"/>
  <c r="G23" i="4"/>
  <c r="F23" i="4"/>
  <c r="C23" i="4"/>
  <c r="A23" i="4"/>
  <c r="N22" i="4"/>
  <c r="L22" i="4"/>
  <c r="K22" i="4"/>
  <c r="J22" i="4"/>
  <c r="I22" i="4"/>
  <c r="H22" i="4"/>
  <c r="G22" i="4"/>
  <c r="F22" i="4"/>
  <c r="C22" i="4"/>
  <c r="A22" i="4"/>
  <c r="N21" i="4"/>
  <c r="L21" i="4"/>
  <c r="K21" i="4"/>
  <c r="J21" i="4"/>
  <c r="I21" i="4"/>
  <c r="H21" i="4"/>
  <c r="G21" i="4"/>
  <c r="F21" i="4"/>
  <c r="C21" i="4"/>
  <c r="A21" i="4"/>
  <c r="N20" i="4"/>
  <c r="L20" i="4"/>
  <c r="K20" i="4"/>
  <c r="J20" i="4"/>
  <c r="I20" i="4"/>
  <c r="H20" i="4"/>
  <c r="G20" i="4"/>
  <c r="F20" i="4"/>
  <c r="C20" i="4"/>
  <c r="A20" i="4"/>
  <c r="N19" i="4"/>
  <c r="L19" i="4"/>
  <c r="K19" i="4"/>
  <c r="J19" i="4"/>
  <c r="I19" i="4"/>
  <c r="H19" i="4"/>
  <c r="G19" i="4"/>
  <c r="F19" i="4"/>
  <c r="C19" i="4"/>
  <c r="A19" i="4"/>
  <c r="N18" i="4"/>
  <c r="L18" i="4"/>
  <c r="K18" i="4"/>
  <c r="J18" i="4"/>
  <c r="I18" i="4"/>
  <c r="H18" i="4"/>
  <c r="G18" i="4"/>
  <c r="F18" i="4"/>
  <c r="C18" i="4"/>
  <c r="A18" i="4"/>
  <c r="N17" i="4"/>
  <c r="L17" i="4"/>
  <c r="K17" i="4"/>
  <c r="J17" i="4"/>
  <c r="I17" i="4"/>
  <c r="H17" i="4"/>
  <c r="G17" i="4"/>
  <c r="F17" i="4"/>
  <c r="C17" i="4"/>
  <c r="A17" i="4"/>
  <c r="N16" i="4"/>
  <c r="L16" i="4"/>
  <c r="K16" i="4"/>
  <c r="J16" i="4"/>
  <c r="I16" i="4"/>
  <c r="H16" i="4"/>
  <c r="G16" i="4"/>
  <c r="F16" i="4"/>
  <c r="C16" i="4"/>
  <c r="A16" i="4"/>
  <c r="N15" i="4"/>
  <c r="L15" i="4"/>
  <c r="K15" i="4"/>
  <c r="J15" i="4"/>
  <c r="I15" i="4"/>
  <c r="H15" i="4"/>
  <c r="G15" i="4"/>
  <c r="F15" i="4"/>
  <c r="C15" i="4"/>
  <c r="A15" i="4"/>
  <c r="N14" i="4"/>
  <c r="L14" i="4"/>
  <c r="K14" i="4"/>
  <c r="J14" i="4"/>
  <c r="I14" i="4"/>
  <c r="H14" i="4"/>
  <c r="G14" i="4"/>
  <c r="F14" i="4"/>
  <c r="C14" i="4"/>
  <c r="A14" i="4"/>
  <c r="N13" i="4"/>
  <c r="L13" i="4"/>
  <c r="K13" i="4"/>
  <c r="J13" i="4"/>
  <c r="I13" i="4"/>
  <c r="H13" i="4"/>
  <c r="G13" i="4"/>
  <c r="F13" i="4"/>
  <c r="C13" i="4"/>
  <c r="A13" i="4"/>
  <c r="N12" i="4"/>
  <c r="L12" i="4"/>
  <c r="K12" i="4"/>
  <c r="J12" i="4"/>
  <c r="I12" i="4"/>
  <c r="H12" i="4"/>
  <c r="G12" i="4"/>
  <c r="F12" i="4"/>
  <c r="C12" i="4"/>
  <c r="A12" i="4"/>
  <c r="N11" i="4"/>
  <c r="L11" i="4"/>
  <c r="K11" i="4"/>
  <c r="J11" i="4"/>
  <c r="I11" i="4"/>
  <c r="H11" i="4"/>
  <c r="G11" i="4"/>
  <c r="F11" i="4"/>
  <c r="C11" i="4"/>
  <c r="A11" i="4"/>
  <c r="N10" i="4"/>
  <c r="L10" i="4"/>
  <c r="K10" i="4"/>
  <c r="J10" i="4"/>
  <c r="I10" i="4"/>
  <c r="H10" i="4"/>
  <c r="G10" i="4"/>
  <c r="F10" i="4"/>
  <c r="C10" i="4"/>
  <c r="A10" i="4"/>
  <c r="N9" i="4"/>
  <c r="L9" i="4"/>
  <c r="K9" i="4"/>
  <c r="J9" i="4"/>
  <c r="I9" i="4"/>
  <c r="H9" i="4"/>
  <c r="G9" i="4"/>
  <c r="F9" i="4"/>
  <c r="C9" i="4"/>
  <c r="A9" i="4"/>
  <c r="N8" i="4"/>
  <c r="L8" i="4"/>
  <c r="K8" i="4"/>
  <c r="J8" i="4"/>
  <c r="I8" i="4"/>
  <c r="H8" i="4"/>
  <c r="G8" i="4"/>
  <c r="F8" i="4"/>
  <c r="C8" i="4"/>
  <c r="A8" i="4"/>
  <c r="N7" i="4"/>
  <c r="L7" i="4"/>
  <c r="K7" i="4"/>
  <c r="J7" i="4"/>
  <c r="I7" i="4"/>
  <c r="H7" i="4"/>
  <c r="G7" i="4"/>
  <c r="F7" i="4"/>
  <c r="C7" i="4"/>
  <c r="A7" i="4"/>
  <c r="N6" i="4"/>
  <c r="L6" i="4"/>
  <c r="K6" i="4"/>
  <c r="J6" i="4"/>
  <c r="I6" i="4"/>
  <c r="H6" i="4"/>
  <c r="G6" i="4"/>
  <c r="F6" i="4"/>
  <c r="C6" i="4"/>
  <c r="A6" i="4"/>
  <c r="N5" i="4"/>
  <c r="L5" i="4"/>
  <c r="K5" i="4"/>
  <c r="J5" i="4"/>
  <c r="I5" i="4"/>
  <c r="H5" i="4"/>
  <c r="G5" i="4"/>
  <c r="F5" i="4"/>
  <c r="C5" i="4"/>
  <c r="A5" i="4"/>
  <c r="N4" i="4"/>
  <c r="L4" i="4"/>
  <c r="K4" i="4"/>
  <c r="J4" i="4"/>
  <c r="I4" i="4"/>
  <c r="H4" i="4"/>
  <c r="G4" i="4"/>
  <c r="F4" i="4"/>
  <c r="C4" i="4"/>
  <c r="A4" i="4"/>
  <c r="N3" i="4"/>
  <c r="L3" i="4"/>
  <c r="K3" i="4"/>
  <c r="J3" i="4"/>
  <c r="I3" i="4"/>
  <c r="H3" i="4"/>
  <c r="G3" i="4"/>
  <c r="F3" i="4"/>
  <c r="C3" i="4"/>
  <c r="A3" i="4"/>
  <c r="N2" i="4"/>
  <c r="L2" i="4"/>
  <c r="K2" i="4"/>
  <c r="J2" i="4"/>
  <c r="I2" i="4"/>
  <c r="H2" i="4"/>
  <c r="G2" i="4"/>
  <c r="F2" i="4"/>
  <c r="C2" i="4"/>
  <c r="A2" i="4"/>
  <c r="C9" i="1"/>
</calcChain>
</file>

<file path=xl/sharedStrings.xml><?xml version="1.0" encoding="utf-8"?>
<sst xmlns="http://schemas.openxmlformats.org/spreadsheetml/2006/main" count="290" uniqueCount="156">
  <si>
    <t>Parameter</t>
  </si>
  <si>
    <t>Value</t>
  </si>
  <si>
    <t>Notes</t>
  </si>
  <si>
    <t>MO inflation</t>
  </si>
  <si>
    <t>Annual inflation applied to M&amp;O components</t>
  </si>
  <si>
    <t>Base MO per ADM (FY25)</t>
  </si>
  <si>
    <t>Auditor General/ACFR context; working base</t>
  </si>
  <si>
    <t>Fixed share of MO</t>
  </si>
  <si>
    <t>Share of M&amp;O treated as fixed plant/insurance</t>
  </si>
  <si>
    <t>Ops savings (keep-open)</t>
  </si>
  <si>
    <t>Light ops discipline applied to keep-open scenarios</t>
  </si>
  <si>
    <t>Extra savings (Co-location)</t>
  </si>
  <si>
    <t>Additional savings for F (co-location)</t>
  </si>
  <si>
    <t>Echo base ADM</t>
  </si>
  <si>
    <t>Pima base ADM</t>
  </si>
  <si>
    <t>Total base ADM</t>
  </si>
  <si>
    <t>Repurpose TI per closed site (FY26)</t>
  </si>
  <si>
    <t>One-time tenant improvement/carry add in FY26</t>
  </si>
  <si>
    <t>Receiving overhead taper (h $/retained student)</t>
  </si>
  <si>
    <t>FY2026</t>
  </si>
  <si>
    <t>FY2027</t>
  </si>
  <si>
    <t>FY2028</t>
  </si>
  <si>
    <t>FY2029</t>
  </si>
  <si>
    <t>FY2030</t>
  </si>
  <si>
    <t>h</t>
  </si>
  <si>
    <t>Fixed-carry path - Lease/Sale (f)</t>
  </si>
  <si>
    <t>f_lease</t>
  </si>
  <si>
    <t>Fixed-carry path - Ops Repurpose (f)</t>
  </si>
  <si>
    <t>f_ops</t>
  </si>
  <si>
    <t>Helper</t>
  </si>
  <si>
    <t>FY26</t>
  </si>
  <si>
    <t>FY27</t>
  </si>
  <si>
    <t>FY28</t>
  </si>
  <si>
    <t>FY29</t>
  </si>
  <si>
    <t>FY30</t>
  </si>
  <si>
    <t>Fixed total ($)</t>
  </si>
  <si>
    <t>Var unit ($/student)</t>
  </si>
  <si>
    <t>Echo fixed ($)</t>
  </si>
  <si>
    <t>Pima fixed ($)</t>
  </si>
  <si>
    <t>Receiving overhead h ($/retained)</t>
  </si>
  <si>
    <t>Lease f (fraction)</t>
  </si>
  <si>
    <t>Ops f (fraction)</t>
  </si>
  <si>
    <t>ScenarioKey</t>
  </si>
  <si>
    <t>Label</t>
  </si>
  <si>
    <t>Overlay</t>
  </si>
  <si>
    <t>CloseEcho</t>
  </si>
  <si>
    <t>ClosePima</t>
  </si>
  <si>
    <t>EchoShareDist</t>
  </si>
  <si>
    <t>ExtraSave</t>
  </si>
  <si>
    <t>Ramp</t>
  </si>
  <si>
    <t>Umbrella</t>
  </si>
  <si>
    <t>A_Repurpose_Both_lease</t>
  </si>
  <si>
    <t>A. Repurpose Both (Lease/Sale)</t>
  </si>
  <si>
    <t>lease</t>
  </si>
  <si>
    <t>A_Repurpose_Both_ops</t>
  </si>
  <si>
    <t>A. Repurpose Both (Ops)</t>
  </si>
  <si>
    <t>ops</t>
  </si>
  <si>
    <t>B_Repurpose_Echo_Grow_Pima_lease</t>
  </si>
  <si>
    <t>B. Repurpose Echo; Grow Pima (Lease)</t>
  </si>
  <si>
    <t>B_Repurpose_Echo_Grow_Pima_ops</t>
  </si>
  <si>
    <t>B. Repurpose Echo; Grow Pima (Ops)</t>
  </si>
  <si>
    <t>C_Repurpose_Pima_Grow_Echo_lease</t>
  </si>
  <si>
    <t>C. Repurpose Pima; Grow Echo (Lease)</t>
  </si>
  <si>
    <t>C_Repurpose_Pima_Grow_Echo_ops</t>
  </si>
  <si>
    <t>C. Repurpose Pima; Grow Echo (Ops)</t>
  </si>
  <si>
    <t>D_Grow_Both_0</t>
  </si>
  <si>
    <t>D. Grow Both (Overlay 0)</t>
  </si>
  <si>
    <t>D_Grow_Both_100</t>
  </si>
  <si>
    <t>D. Grow Both (Overlay 100)</t>
  </si>
  <si>
    <t>D_Grow_Both_150</t>
  </si>
  <si>
    <t>D. Grow Both (Overlay 150)</t>
  </si>
  <si>
    <t>E_StatusQuo_Targets_0</t>
  </si>
  <si>
    <t>E. Status-Quo + Targets (0)</t>
  </si>
  <si>
    <t>E_StatusQuo_Targets_100</t>
  </si>
  <si>
    <t>E. Status-Quo + Targets (100)</t>
  </si>
  <si>
    <t>E_StatusQuo_Targets_150</t>
  </si>
  <si>
    <t>E. Status-Quo + Targets (150)</t>
  </si>
  <si>
    <t>F_CoLocation_Echo_0</t>
  </si>
  <si>
    <t>F. Co-Location @ Echo (0)</t>
  </si>
  <si>
    <t>F_CoLocation_Echo_100</t>
  </si>
  <si>
    <t>F. Co-Location @ Echo (100)</t>
  </si>
  <si>
    <t>F_CoLocation_Echo_150</t>
  </si>
  <si>
    <t>F. Co-Location @ Echo (150)</t>
  </si>
  <si>
    <t>G_DHub_EchoRamp</t>
  </si>
  <si>
    <t>G. D-Hub @ Echo (Ramp 70/30)</t>
  </si>
  <si>
    <t>Year</t>
  </si>
  <si>
    <t>Echo_ADM</t>
  </si>
  <si>
    <t>Pima_ADM</t>
  </si>
  <si>
    <t>Total_ADM</t>
  </si>
  <si>
    <t>EchoFixed$</t>
  </si>
  <si>
    <t>PimaFixed$</t>
  </si>
  <si>
    <t>VarUnit$</t>
  </si>
  <si>
    <t>TI_add$</t>
  </si>
  <si>
    <t>OpsFactor</t>
  </si>
  <si>
    <t>Total_MO$</t>
  </si>
  <si>
    <t>MO_per_ADM$</t>
  </si>
  <si>
    <t>Key</t>
  </si>
  <si>
    <t>Comparable_$FY2028</t>
  </si>
  <si>
    <t>Comparable_$FY2030</t>
  </si>
  <si>
    <t>Comparable_3yrAvg_$</t>
  </si>
  <si>
    <t>NPV5_MO_$</t>
  </si>
  <si>
    <t>A_Repurpose_Both_lease|0</t>
  </si>
  <si>
    <t>A_Repurpose_Both_ops|0</t>
  </si>
  <si>
    <t>Helper: displaced by scenario (Echo+Pima)</t>
  </si>
  <si>
    <t>B_Repurpose_Echo_Grow_Pima_lease|0</t>
  </si>
  <si>
    <t>Displaced_T</t>
  </si>
  <si>
    <t>B_Repurpose_Echo_Grow_Pima_ops|0</t>
  </si>
  <si>
    <t>C_Repurpose_Pima_Grow_Echo_lease|0</t>
  </si>
  <si>
    <t>C_Repurpose_Pima_Grow_Echo_ops|0</t>
  </si>
  <si>
    <t>D_Grow_Both_0|0</t>
  </si>
  <si>
    <t>D_Grow_Both_100|100</t>
  </si>
  <si>
    <t>D_Grow_Both_150|150</t>
  </si>
  <si>
    <t>E_StatusQuo_Targets_0|0</t>
  </si>
  <si>
    <t>FY</t>
  </si>
  <si>
    <t>var_unit</t>
  </si>
  <si>
    <t>E_StatusQuo_Targets_100|100</t>
  </si>
  <si>
    <t>E_StatusQuo_Targets_150|150</t>
  </si>
  <si>
    <t>F_CoLocation_Echo_0|0</t>
  </si>
  <si>
    <t>F_CoLocation_Echo_100|100</t>
  </si>
  <si>
    <t>F_CoLocation_Echo_150|150</t>
  </si>
  <si>
    <t>G_DHub_EchoRamp|150</t>
  </si>
  <si>
    <t>None|None</t>
  </si>
  <si>
    <t>Retention (r) used for Summary</t>
  </si>
  <si>
    <t>Fixed_total ($)</t>
  </si>
  <si>
    <t>Var_unit ($/student)</t>
  </si>
  <si>
    <t>Select target scenario</t>
  </si>
  <si>
    <t>D_Grow_Both</t>
  </si>
  <si>
    <t>Select overlay (0/100/150)</t>
  </si>
  <si>
    <t>Select year (2028 or 2030)</t>
  </si>
  <si>
    <t>2030</t>
  </si>
  <si>
    <t>Receiving overhead h ($)</t>
  </si>
  <si>
    <t>Fixed-carry f (fraction)</t>
  </si>
  <si>
    <t>C_target (Comparable $/student)</t>
  </si>
  <si>
    <t>Break‑even retention r*</t>
  </si>
  <si>
    <t>How to use</t>
  </si>
  <si>
    <t>1) Select target/overlay/year; 2) Enter overhead h and fixed‑carry f; 3) Read r*; 4) Grid sweeps f across h bands.  Positive r* means minimum retention for A to break even with target. If r* ≤ 0, A is already cheaper at those assumptions; if r* &gt; 1, A cannot break even under those assumptions.</t>
  </si>
  <si>
    <t>Grid: r* vs f (rows) by h (cols)</t>
  </si>
  <si>
    <t>f \ h</t>
  </si>
  <si>
    <t>Topic</t>
  </si>
  <si>
    <t>Source / Link</t>
  </si>
  <si>
    <t>What we used it for</t>
  </si>
  <si>
    <t>SUSD ACFR (fund structure; M&amp;O vs Debt Service)</t>
  </si>
  <si>
    <t>SUSD Annual Comprehensive Financial Report (latest)</t>
  </si>
  <si>
    <t>To confirm M&amp;O/plant carry and that debt service is separate; closures don’t erase plant/insurance without lease/sale.</t>
  </si>
  <si>
    <t>AZ Auditor General—transport benchmarks</t>
  </si>
  <si>
    <t>Arizona Auditor General transportation cost per rider and efficiency reports</t>
  </si>
  <si>
    <t>To anchor receiving overhead h bands ($500–$1,500).</t>
  </si>
  <si>
    <t>Chicago 2013 closures—retention/outcomes</t>
  </si>
  <si>
    <t>UChicago Consortium on School Research (2015)</t>
  </si>
  <si>
    <t>Retention and outcome context; informs 65–85% retention bands.</t>
  </si>
  <si>
    <t>Denver closures—charter capture &amp; pause</t>
  </si>
  <si>
    <t>Chalkbeat/Denverite reporting (2024–2025)</t>
  </si>
  <si>
    <t>Demonstrates choice‑market retention risk and the case for iterative right‑sizing.</t>
  </si>
  <si>
    <t>Kyrene revision (9 → 7)</t>
  </si>
  <si>
    <t>Kyrene ESD public materials</t>
  </si>
  <si>
    <t>Local example of phased iteration.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</si>
</sst>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D17" sqref="D17"/>
    </sheetView>
  </sheetViews>
  <sheetFormatPr defaultRowHeight="14.5" x14ac:dyDescent="0.35"/>
  <cols>
    <col min="1" max="1" width="42.81640625" bestFit="1" customWidth="1"/>
    <col min="2" max="2" width="7.81640625" bestFit="1" customWidth="1"/>
    <col min="3" max="3" width="45.26953125" bestFit="1" customWidth="1"/>
    <col min="4" max="6" width="6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x14ac:dyDescent="0.35">
      <c r="A2" t="s">
        <v>3</v>
      </c>
      <c r="B2">
        <v>2.5000000000000001E-2</v>
      </c>
      <c r="C2" t="s">
        <v>4</v>
      </c>
    </row>
    <row r="3" spans="1:6" x14ac:dyDescent="0.35">
      <c r="A3" t="s">
        <v>5</v>
      </c>
      <c r="B3">
        <v>9936</v>
      </c>
      <c r="C3" t="s">
        <v>6</v>
      </c>
    </row>
    <row r="4" spans="1:6" x14ac:dyDescent="0.35">
      <c r="A4" t="s">
        <v>7</v>
      </c>
      <c r="B4">
        <v>0.3</v>
      </c>
      <c r="C4" t="s">
        <v>8</v>
      </c>
    </row>
    <row r="5" spans="1:6" x14ac:dyDescent="0.35">
      <c r="A5" t="s">
        <v>9</v>
      </c>
      <c r="B5">
        <v>7.0000000000000001E-3</v>
      </c>
      <c r="C5" t="s">
        <v>10</v>
      </c>
    </row>
    <row r="6" spans="1:6" x14ac:dyDescent="0.35">
      <c r="A6" t="s">
        <v>11</v>
      </c>
      <c r="B6">
        <v>1.4999999999999999E-2</v>
      </c>
      <c r="C6" t="s">
        <v>12</v>
      </c>
    </row>
    <row r="7" spans="1:6" x14ac:dyDescent="0.35">
      <c r="A7" t="s">
        <v>13</v>
      </c>
      <c r="B7">
        <v>257</v>
      </c>
    </row>
    <row r="8" spans="1:6" x14ac:dyDescent="0.35">
      <c r="A8" t="s">
        <v>14</v>
      </c>
      <c r="B8">
        <v>296</v>
      </c>
    </row>
    <row r="9" spans="1:6" x14ac:dyDescent="0.35">
      <c r="A9" t="s">
        <v>15</v>
      </c>
      <c r="B9">
        <v>553</v>
      </c>
      <c r="C9">
        <f>B6+B7</f>
        <v>257.01499999999999</v>
      </c>
    </row>
    <row r="10" spans="1:6" x14ac:dyDescent="0.35">
      <c r="A10" t="s">
        <v>16</v>
      </c>
      <c r="B10">
        <v>1200000</v>
      </c>
      <c r="C10" t="s">
        <v>17</v>
      </c>
    </row>
    <row r="13" spans="1:6" x14ac:dyDescent="0.35">
      <c r="A13" s="1" t="s">
        <v>18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</row>
    <row r="14" spans="1:6" x14ac:dyDescent="0.35">
      <c r="A14" t="s">
        <v>24</v>
      </c>
      <c r="B14">
        <v>1000</v>
      </c>
      <c r="C14">
        <v>800</v>
      </c>
      <c r="D14">
        <v>600</v>
      </c>
      <c r="E14">
        <v>400</v>
      </c>
      <c r="F14">
        <v>300</v>
      </c>
    </row>
    <row r="16" spans="1:6" x14ac:dyDescent="0.35">
      <c r="A16" s="1" t="s">
        <v>25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</row>
    <row r="17" spans="1:6" x14ac:dyDescent="0.35">
      <c r="A17" t="s">
        <v>26</v>
      </c>
      <c r="B17">
        <v>0.4</v>
      </c>
      <c r="C17">
        <v>0.3</v>
      </c>
      <c r="D17">
        <v>0.2</v>
      </c>
      <c r="E17">
        <v>0.1</v>
      </c>
      <c r="F17">
        <v>0</v>
      </c>
    </row>
    <row r="19" spans="1:6" x14ac:dyDescent="0.35">
      <c r="A19" s="1" t="s">
        <v>27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</row>
    <row r="20" spans="1:6" x14ac:dyDescent="0.35">
      <c r="A20" t="s">
        <v>28</v>
      </c>
      <c r="B20">
        <v>0.4</v>
      </c>
      <c r="C20">
        <v>0.35</v>
      </c>
      <c r="D20">
        <v>0.3</v>
      </c>
      <c r="E20">
        <v>0.25</v>
      </c>
      <c r="F20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C7" sqref="C7"/>
    </sheetView>
  </sheetViews>
  <sheetFormatPr defaultRowHeight="14.5" x14ac:dyDescent="0.35"/>
  <cols>
    <col min="1" max="1" width="30.54296875" bestFit="1" customWidth="1"/>
    <col min="2" max="6" width="9.7265625" bestFit="1" customWidth="1"/>
  </cols>
  <sheetData>
    <row r="1" spans="1:6" x14ac:dyDescent="0.3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5">
      <c r="A2" t="s">
        <v>35</v>
      </c>
      <c r="B2" s="2">
        <v>1689591.96</v>
      </c>
      <c r="C2" s="2">
        <v>1731831.7590000001</v>
      </c>
      <c r="D2" s="2">
        <v>1775127.552974999</v>
      </c>
      <c r="E2" s="2">
        <v>1819505.7417993741</v>
      </c>
      <c r="F2" s="2">
        <v>1864993.3853443579</v>
      </c>
    </row>
    <row r="3" spans="1:6" x14ac:dyDescent="0.35">
      <c r="A3" t="s">
        <v>36</v>
      </c>
      <c r="B3" s="2">
        <v>7129.0799999999981</v>
      </c>
      <c r="C3" s="2">
        <v>7307.306999999998</v>
      </c>
      <c r="D3" s="2">
        <v>7489.9896749999962</v>
      </c>
      <c r="E3" s="2">
        <v>7677.2394168749952</v>
      </c>
      <c r="F3" s="2">
        <v>7869.1704022968697</v>
      </c>
    </row>
    <row r="4" spans="1:6" x14ac:dyDescent="0.35">
      <c r="A4" t="s">
        <v>37</v>
      </c>
      <c r="B4" s="2">
        <v>785217.23999999987</v>
      </c>
      <c r="C4" s="2">
        <v>804847.67099999986</v>
      </c>
      <c r="D4" s="2">
        <v>824968.86277499981</v>
      </c>
      <c r="E4" s="2">
        <v>845593.0843443746</v>
      </c>
      <c r="F4" s="2">
        <v>866732.91145298386</v>
      </c>
    </row>
    <row r="5" spans="1:6" x14ac:dyDescent="0.35">
      <c r="A5" t="s">
        <v>38</v>
      </c>
      <c r="B5" s="2">
        <v>904374.71999999986</v>
      </c>
      <c r="C5" s="2">
        <v>926984.08799999976</v>
      </c>
      <c r="D5" s="2">
        <v>950158.69019999972</v>
      </c>
      <c r="E5" s="2">
        <v>973912.65745499951</v>
      </c>
      <c r="F5" s="2">
        <v>998260.47389137442</v>
      </c>
    </row>
    <row r="7" spans="1:6" x14ac:dyDescent="0.35">
      <c r="A7" s="1" t="s">
        <v>39</v>
      </c>
      <c r="B7" s="1">
        <v>1000</v>
      </c>
      <c r="C7" s="1">
        <v>800</v>
      </c>
      <c r="D7" s="1">
        <v>600</v>
      </c>
      <c r="E7" s="1">
        <v>400</v>
      </c>
      <c r="F7" s="1">
        <v>300</v>
      </c>
    </row>
    <row r="8" spans="1:6" x14ac:dyDescent="0.35">
      <c r="A8" s="1" t="s">
        <v>40</v>
      </c>
      <c r="B8" s="1">
        <v>0.4</v>
      </c>
      <c r="C8" s="1">
        <v>0.3</v>
      </c>
      <c r="D8" s="1">
        <v>0.2</v>
      </c>
      <c r="E8" s="1">
        <v>0.1</v>
      </c>
      <c r="F8" s="1">
        <v>0</v>
      </c>
    </row>
    <row r="9" spans="1:6" x14ac:dyDescent="0.35">
      <c r="A9" s="1" t="s">
        <v>41</v>
      </c>
      <c r="B9" s="1">
        <v>0.4</v>
      </c>
      <c r="C9" s="1">
        <v>0.35</v>
      </c>
      <c r="D9" s="1">
        <v>0.3</v>
      </c>
      <c r="E9" s="1">
        <v>0.25</v>
      </c>
      <c r="F9" s="1">
        <v>0.2</v>
      </c>
    </row>
    <row r="11" spans="1:6" x14ac:dyDescent="0.35">
      <c r="A11" t="s">
        <v>15</v>
      </c>
      <c r="B11">
        <v>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E10" sqref="E10"/>
    </sheetView>
  </sheetViews>
  <sheetFormatPr defaultRowHeight="14.5" x14ac:dyDescent="0.35"/>
  <cols>
    <col min="1" max="2" width="33.90625" bestFit="1" customWidth="1"/>
    <col min="3" max="3" width="7.453125" bestFit="1" customWidth="1"/>
    <col min="4" max="4" width="9.54296875" bestFit="1" customWidth="1"/>
    <col min="5" max="5" width="9.81640625" bestFit="1" customWidth="1"/>
    <col min="6" max="6" width="13.08984375" bestFit="1" customWidth="1"/>
    <col min="7" max="7" width="9.08984375" bestFit="1" customWidth="1"/>
    <col min="8" max="8" width="5.7265625" bestFit="1" customWidth="1"/>
    <col min="9" max="9" width="8.81640625" bestFit="1" customWidth="1"/>
  </cols>
  <sheetData>
    <row r="1" spans="1:9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 x14ac:dyDescent="0.35">
      <c r="A2" t="s">
        <v>51</v>
      </c>
      <c r="B2" t="s">
        <v>52</v>
      </c>
      <c r="C2">
        <v>0</v>
      </c>
      <c r="D2">
        <v>1</v>
      </c>
      <c r="E2">
        <v>1</v>
      </c>
      <c r="F2">
        <v>0.5</v>
      </c>
      <c r="G2">
        <v>0</v>
      </c>
      <c r="H2">
        <v>0</v>
      </c>
      <c r="I2" t="s">
        <v>53</v>
      </c>
    </row>
    <row r="3" spans="1:9" x14ac:dyDescent="0.35">
      <c r="A3" t="s">
        <v>54</v>
      </c>
      <c r="B3" t="s">
        <v>55</v>
      </c>
      <c r="C3">
        <v>0</v>
      </c>
      <c r="D3">
        <v>1</v>
      </c>
      <c r="E3">
        <v>1</v>
      </c>
      <c r="F3">
        <v>0.5</v>
      </c>
      <c r="G3">
        <v>0</v>
      </c>
      <c r="H3">
        <v>0</v>
      </c>
      <c r="I3" t="s">
        <v>56</v>
      </c>
    </row>
    <row r="4" spans="1:9" x14ac:dyDescent="0.35">
      <c r="A4" t="s">
        <v>57</v>
      </c>
      <c r="B4" t="s">
        <v>58</v>
      </c>
      <c r="C4">
        <v>0</v>
      </c>
      <c r="D4">
        <v>1</v>
      </c>
      <c r="E4">
        <v>0</v>
      </c>
      <c r="F4">
        <v>0.5</v>
      </c>
      <c r="G4">
        <v>0</v>
      </c>
      <c r="H4">
        <v>0</v>
      </c>
      <c r="I4" t="s">
        <v>53</v>
      </c>
    </row>
    <row r="5" spans="1:9" x14ac:dyDescent="0.35">
      <c r="A5" t="s">
        <v>59</v>
      </c>
      <c r="B5" t="s">
        <v>60</v>
      </c>
      <c r="C5">
        <v>0</v>
      </c>
      <c r="D5">
        <v>1</v>
      </c>
      <c r="E5">
        <v>0</v>
      </c>
      <c r="F5">
        <v>0.5</v>
      </c>
      <c r="G5">
        <v>0</v>
      </c>
      <c r="H5">
        <v>0</v>
      </c>
      <c r="I5" t="s">
        <v>56</v>
      </c>
    </row>
    <row r="6" spans="1:9" x14ac:dyDescent="0.35">
      <c r="A6" t="s">
        <v>61</v>
      </c>
      <c r="B6" t="s">
        <v>62</v>
      </c>
      <c r="C6">
        <v>0</v>
      </c>
      <c r="D6">
        <v>0</v>
      </c>
      <c r="E6">
        <v>1</v>
      </c>
      <c r="F6">
        <v>0.5</v>
      </c>
      <c r="G6">
        <v>0</v>
      </c>
      <c r="H6">
        <v>0</v>
      </c>
      <c r="I6" t="s">
        <v>53</v>
      </c>
    </row>
    <row r="7" spans="1:9" x14ac:dyDescent="0.35">
      <c r="A7" t="s">
        <v>63</v>
      </c>
      <c r="B7" t="s">
        <v>64</v>
      </c>
      <c r="C7">
        <v>0</v>
      </c>
      <c r="D7">
        <v>0</v>
      </c>
      <c r="E7">
        <v>1</v>
      </c>
      <c r="F7">
        <v>0.5</v>
      </c>
      <c r="G7">
        <v>0</v>
      </c>
      <c r="H7">
        <v>0</v>
      </c>
      <c r="I7" t="s">
        <v>56</v>
      </c>
    </row>
    <row r="8" spans="1:9" x14ac:dyDescent="0.35">
      <c r="A8" t="s">
        <v>65</v>
      </c>
      <c r="B8" t="s">
        <v>66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</row>
    <row r="9" spans="1:9" x14ac:dyDescent="0.35">
      <c r="A9" t="s">
        <v>67</v>
      </c>
      <c r="B9" t="s">
        <v>68</v>
      </c>
      <c r="C9">
        <v>100</v>
      </c>
      <c r="D9">
        <v>0</v>
      </c>
      <c r="E9">
        <v>0</v>
      </c>
      <c r="F9">
        <v>0.5</v>
      </c>
      <c r="G9">
        <v>0</v>
      </c>
      <c r="H9">
        <v>0</v>
      </c>
    </row>
    <row r="10" spans="1:9" x14ac:dyDescent="0.35">
      <c r="A10" t="s">
        <v>69</v>
      </c>
      <c r="B10" t="s">
        <v>70</v>
      </c>
      <c r="C10">
        <v>150</v>
      </c>
      <c r="D10">
        <v>0</v>
      </c>
      <c r="E10">
        <v>0</v>
      </c>
      <c r="F10">
        <v>0.5</v>
      </c>
      <c r="G10">
        <v>0</v>
      </c>
      <c r="H10">
        <v>0</v>
      </c>
    </row>
    <row r="11" spans="1:9" x14ac:dyDescent="0.35">
      <c r="A11" t="s">
        <v>71</v>
      </c>
      <c r="B11" t="s">
        <v>72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</row>
    <row r="12" spans="1:9" x14ac:dyDescent="0.35">
      <c r="A12" t="s">
        <v>73</v>
      </c>
      <c r="B12" t="s">
        <v>74</v>
      </c>
      <c r="C12">
        <v>100</v>
      </c>
      <c r="D12">
        <v>0</v>
      </c>
      <c r="E12">
        <v>0</v>
      </c>
      <c r="F12">
        <v>0.5</v>
      </c>
      <c r="G12">
        <v>0</v>
      </c>
      <c r="H12">
        <v>0</v>
      </c>
    </row>
    <row r="13" spans="1:9" x14ac:dyDescent="0.35">
      <c r="A13" t="s">
        <v>75</v>
      </c>
      <c r="B13" t="s">
        <v>76</v>
      </c>
      <c r="C13">
        <v>150</v>
      </c>
      <c r="D13">
        <v>0</v>
      </c>
      <c r="E13">
        <v>0</v>
      </c>
      <c r="F13">
        <v>0.5</v>
      </c>
      <c r="G13">
        <v>0</v>
      </c>
      <c r="H13">
        <v>0</v>
      </c>
    </row>
    <row r="14" spans="1:9" x14ac:dyDescent="0.35">
      <c r="A14" t="s">
        <v>77</v>
      </c>
      <c r="B14" t="s">
        <v>78</v>
      </c>
      <c r="C14">
        <v>0</v>
      </c>
      <c r="D14">
        <v>0</v>
      </c>
      <c r="E14">
        <v>0</v>
      </c>
      <c r="F14">
        <v>0.7</v>
      </c>
      <c r="G14">
        <v>1.4999999999999999E-2</v>
      </c>
      <c r="H14">
        <v>0</v>
      </c>
    </row>
    <row r="15" spans="1:9" x14ac:dyDescent="0.35">
      <c r="A15" t="s">
        <v>79</v>
      </c>
      <c r="B15" t="s">
        <v>80</v>
      </c>
      <c r="C15">
        <v>100</v>
      </c>
      <c r="D15">
        <v>0</v>
      </c>
      <c r="E15">
        <v>0</v>
      </c>
      <c r="F15">
        <v>0.7</v>
      </c>
      <c r="G15">
        <v>1.4999999999999999E-2</v>
      </c>
      <c r="H15">
        <v>0</v>
      </c>
    </row>
    <row r="16" spans="1:9" x14ac:dyDescent="0.35">
      <c r="A16" t="s">
        <v>81</v>
      </c>
      <c r="B16" t="s">
        <v>82</v>
      </c>
      <c r="C16">
        <v>150</v>
      </c>
      <c r="D16">
        <v>0</v>
      </c>
      <c r="E16">
        <v>0</v>
      </c>
      <c r="F16">
        <v>0.7</v>
      </c>
      <c r="G16">
        <v>1.4999999999999999E-2</v>
      </c>
      <c r="H16">
        <v>0</v>
      </c>
    </row>
    <row r="17" spans="1:8" x14ac:dyDescent="0.35">
      <c r="A17" t="s">
        <v>83</v>
      </c>
      <c r="B17" t="s">
        <v>84</v>
      </c>
      <c r="C17">
        <v>150</v>
      </c>
      <c r="D17">
        <v>0</v>
      </c>
      <c r="E17">
        <v>0</v>
      </c>
      <c r="F17">
        <v>0.7</v>
      </c>
      <c r="G17">
        <v>0</v>
      </c>
      <c r="H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1"/>
  <sheetViews>
    <sheetView workbookViewId="0">
      <selection activeCell="D5" sqref="D5"/>
    </sheetView>
  </sheetViews>
  <sheetFormatPr defaultRowHeight="14.5" x14ac:dyDescent="0.35"/>
  <cols>
    <col min="1" max="1" width="33.90625" bestFit="1" customWidth="1"/>
    <col min="2" max="2" width="6.7265625" bestFit="1" customWidth="1"/>
    <col min="3" max="3" width="7.453125" bestFit="1" customWidth="1"/>
    <col min="4" max="4" width="10.08984375" bestFit="1" customWidth="1"/>
    <col min="5" max="6" width="10.36328125" bestFit="1" customWidth="1"/>
    <col min="7" max="7" width="10.453125" bestFit="1" customWidth="1"/>
    <col min="8" max="8" width="10.7265625" bestFit="1" customWidth="1"/>
    <col min="9" max="9" width="8.453125" bestFit="1" customWidth="1"/>
    <col min="10" max="10" width="7.54296875" bestFit="1" customWidth="1"/>
    <col min="11" max="11" width="9.36328125" bestFit="1" customWidth="1"/>
    <col min="12" max="12" width="9.08984375" bestFit="1" customWidth="1"/>
    <col min="13" max="13" width="10.1796875" bestFit="1" customWidth="1"/>
    <col min="14" max="14" width="14.1796875" bestFit="1" customWidth="1"/>
  </cols>
  <sheetData>
    <row r="1" spans="1:14" x14ac:dyDescent="0.35">
      <c r="A1" s="1" t="s">
        <v>42</v>
      </c>
      <c r="B1" s="1" t="s">
        <v>85</v>
      </c>
      <c r="C1" s="1" t="s">
        <v>44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48</v>
      </c>
      <c r="M1" s="1" t="s">
        <v>94</v>
      </c>
      <c r="N1" s="1" t="s">
        <v>95</v>
      </c>
    </row>
    <row r="2" spans="1:14" x14ac:dyDescent="0.35">
      <c r="A2" t="str">
        <f>Scenarios!A2</f>
        <v>A_Repurpose_Both_lease</v>
      </c>
      <c r="B2" t="s">
        <v>19</v>
      </c>
      <c r="C2">
        <f>Scenarios!C2</f>
        <v>0</v>
      </c>
      <c r="F2">
        <f t="shared" ref="F2:F33" si="0">D2+E2</f>
        <v>0</v>
      </c>
      <c r="G2" s="2">
        <f>IF(Scenarios!D2=1, IF(Scenarios!I2="lease", INDEX(Calc!B4:F4,1,1)*INDEX(Calc!B8:F8,1,1), INDEX(Calc!B4:F4,1,1)*INDEX(Calc!B9:F9,1,1)), INDEX(Calc!B4:F4,1,1))</f>
        <v>314086.89599999995</v>
      </c>
      <c r="H2" s="2">
        <f>IF(Scenarios!E2=1, IF(Scenarios!I2="lease", INDEX(Calc!B5:F5,1,1)*INDEX(Calc!B8:F8,1,1), INDEX(Calc!B5:F5,1,1)*INDEX(Calc!B9:F9,1,1)), INDEX(Calc!B5:F5,1,1))</f>
        <v>361749.88799999998</v>
      </c>
      <c r="I2" s="2">
        <f>INDEX(Calc!B3:F3,1,1)</f>
        <v>7129.0799999999981</v>
      </c>
      <c r="J2" s="2">
        <f>IF("FY2026"="FY2026", (IF(Scenarios!D2=1, Parameters!B9,0) + IF(Scenarios!E2=1, Parameters!B9,0)), 0)</f>
        <v>1106</v>
      </c>
      <c r="K2">
        <f>1-Parameters!B4</f>
        <v>0.7</v>
      </c>
      <c r="L2">
        <f>Scenarios!G2</f>
        <v>0</v>
      </c>
      <c r="M2" s="2"/>
      <c r="N2" s="2" t="e">
        <f t="shared" ref="N2:N33" si="1">IF(F2&gt;0, L2/F2, NA())</f>
        <v>#N/A</v>
      </c>
    </row>
    <row r="3" spans="1:14" x14ac:dyDescent="0.35">
      <c r="A3" t="str">
        <f>Scenarios!A2</f>
        <v>A_Repurpose_Both_lease</v>
      </c>
      <c r="B3" t="s">
        <v>20</v>
      </c>
      <c r="C3">
        <f>Scenarios!C2</f>
        <v>0</v>
      </c>
      <c r="F3">
        <f t="shared" si="0"/>
        <v>0</v>
      </c>
      <c r="G3" s="2">
        <f>IF(Scenarios!D2=1, IF(Scenarios!I2="lease", INDEX(Calc!B4:F4,1,2)*INDEX(Calc!B8:F8,1,2), INDEX(Calc!B4:F4,1,2)*INDEX(Calc!B9:F9,1,2)), INDEX(Calc!B4:F4,1,2))</f>
        <v>241454.30129999993</v>
      </c>
      <c r="H3" s="2">
        <f>IF(Scenarios!E2=1, IF(Scenarios!I2="lease", INDEX(Calc!B5:F5,1,2)*INDEX(Calc!B8:F8,1,2), INDEX(Calc!B5:F5,1,2)*INDEX(Calc!B9:F9,1,2)), INDEX(Calc!B5:F5,1,2))</f>
        <v>278095.22639999993</v>
      </c>
      <c r="I3" s="2">
        <f>INDEX(Calc!B3:F3,1,2)</f>
        <v>7307.306999999998</v>
      </c>
      <c r="J3" s="2">
        <f>IF("FY2027"="FY2026", (IF(Scenarios!D2=1, Parameters!B9,0) + IF(Scenarios!E2=1, Parameters!B9,0)), 0)</f>
        <v>0</v>
      </c>
      <c r="K3">
        <f>1-Parameters!B4</f>
        <v>0.7</v>
      </c>
      <c r="L3">
        <f>Scenarios!G2</f>
        <v>0</v>
      </c>
      <c r="M3" s="2"/>
      <c r="N3" s="2" t="e">
        <f t="shared" si="1"/>
        <v>#N/A</v>
      </c>
    </row>
    <row r="4" spans="1:14" x14ac:dyDescent="0.35">
      <c r="A4" t="str">
        <f>Scenarios!A2</f>
        <v>A_Repurpose_Both_lease</v>
      </c>
      <c r="B4" t="s">
        <v>21</v>
      </c>
      <c r="C4">
        <f>Scenarios!C2</f>
        <v>0</v>
      </c>
      <c r="F4">
        <f t="shared" si="0"/>
        <v>0</v>
      </c>
      <c r="G4" s="2">
        <f>IF(Scenarios!D2=1, IF(Scenarios!I2="lease", INDEX(Calc!B4:F4,1,3)*INDEX(Calc!B8:F8,1,3), INDEX(Calc!B4:F4,1,3)*INDEX(Calc!B9:F9,1,3)), INDEX(Calc!B4:F4,1,3))</f>
        <v>164993.77255499997</v>
      </c>
      <c r="H4" s="2">
        <f>IF(Scenarios!E2=1, IF(Scenarios!I2="lease", INDEX(Calc!B5:F5,1,3)*INDEX(Calc!B8:F8,1,3), INDEX(Calc!B5:F5,1,3)*INDEX(Calc!B9:F9,1,3)), INDEX(Calc!B5:F5,1,3))</f>
        <v>190031.73803999997</v>
      </c>
      <c r="I4" s="2">
        <f>INDEX(Calc!B3:F3,1,3)</f>
        <v>7489.9896749999962</v>
      </c>
      <c r="J4" s="2">
        <f>IF("FY2028"="FY2026", (IF(Scenarios!D2=1, Parameters!B9,0) + IF(Scenarios!E2=1, Parameters!B9,0)), 0)</f>
        <v>0</v>
      </c>
      <c r="K4">
        <f>1-Parameters!B4</f>
        <v>0.7</v>
      </c>
      <c r="L4">
        <f>Scenarios!G2</f>
        <v>0</v>
      </c>
      <c r="M4" s="2"/>
      <c r="N4" s="2" t="e">
        <f t="shared" si="1"/>
        <v>#N/A</v>
      </c>
    </row>
    <row r="5" spans="1:14" x14ac:dyDescent="0.35">
      <c r="A5" t="str">
        <f>Scenarios!A2</f>
        <v>A_Repurpose_Both_lease</v>
      </c>
      <c r="B5" t="s">
        <v>22</v>
      </c>
      <c r="C5">
        <f>Scenarios!C2</f>
        <v>0</v>
      </c>
      <c r="F5">
        <f t="shared" si="0"/>
        <v>0</v>
      </c>
      <c r="G5" s="2">
        <f>IF(Scenarios!D2=1, IF(Scenarios!I2="lease", INDEX(Calc!B4:F4,1,4)*INDEX(Calc!B8:F8,1,4), INDEX(Calc!B4:F4,1,4)*INDEX(Calc!B9:F9,1,4)), INDEX(Calc!B4:F4,1,4))</f>
        <v>84559.308434437466</v>
      </c>
      <c r="H5" s="2">
        <f>IF(Scenarios!E2=1, IF(Scenarios!I2="lease", INDEX(Calc!B5:F5,1,4)*INDEX(Calc!B8:F8,1,4), INDEX(Calc!B5:F5,1,4)*INDEX(Calc!B9:F9,1,4)), INDEX(Calc!B5:F5,1,4))</f>
        <v>97391.265745499957</v>
      </c>
      <c r="I5" s="2">
        <f>INDEX(Calc!B3:F3,1,4)</f>
        <v>7677.2394168749952</v>
      </c>
      <c r="J5" s="2">
        <f>IF("FY2029"="FY2026", (IF(Scenarios!D2=1, Parameters!B9,0) + IF(Scenarios!E2=1, Parameters!B9,0)), 0)</f>
        <v>0</v>
      </c>
      <c r="K5">
        <f>1-Parameters!B4</f>
        <v>0.7</v>
      </c>
      <c r="L5">
        <f>Scenarios!G2</f>
        <v>0</v>
      </c>
      <c r="M5" s="2"/>
      <c r="N5" s="2" t="e">
        <f t="shared" si="1"/>
        <v>#N/A</v>
      </c>
    </row>
    <row r="6" spans="1:14" x14ac:dyDescent="0.35">
      <c r="A6" t="str">
        <f>Scenarios!A2</f>
        <v>A_Repurpose_Both_lease</v>
      </c>
      <c r="B6" t="s">
        <v>23</v>
      </c>
      <c r="C6">
        <f>Scenarios!C2</f>
        <v>0</v>
      </c>
      <c r="F6">
        <f t="shared" si="0"/>
        <v>0</v>
      </c>
      <c r="G6" s="2">
        <f>IF(Scenarios!D2=1, IF(Scenarios!I2="lease", INDEX(Calc!B4:F4,1,5)*INDEX(Calc!B8:F8,1,5), INDEX(Calc!B4:F4,1,5)*INDEX(Calc!B9:F9,1,5)), INDEX(Calc!B4:F4,1,5))</f>
        <v>0</v>
      </c>
      <c r="H6" s="2">
        <f>IF(Scenarios!E2=1, IF(Scenarios!I2="lease", INDEX(Calc!B5:F5,1,5)*INDEX(Calc!B8:F8,1,5), INDEX(Calc!B5:F5,1,5)*INDEX(Calc!B9:F9,1,5)), INDEX(Calc!B5:F5,1,5))</f>
        <v>0</v>
      </c>
      <c r="I6" s="2">
        <f>INDEX(Calc!B3:F3,1,5)</f>
        <v>7869.1704022968697</v>
      </c>
      <c r="J6" s="2">
        <f>IF("FY2030"="FY2026", (IF(Scenarios!D2=1, Parameters!B9,0) + IF(Scenarios!E2=1, Parameters!B9,0)), 0)</f>
        <v>0</v>
      </c>
      <c r="K6">
        <f>1-Parameters!B4</f>
        <v>0.7</v>
      </c>
      <c r="L6">
        <f>Scenarios!G2</f>
        <v>0</v>
      </c>
      <c r="M6" s="2"/>
      <c r="N6" s="2" t="e">
        <f t="shared" si="1"/>
        <v>#N/A</v>
      </c>
    </row>
    <row r="7" spans="1:14" x14ac:dyDescent="0.35">
      <c r="A7" t="str">
        <f>Scenarios!A3</f>
        <v>A_Repurpose_Both_ops</v>
      </c>
      <c r="B7" t="s">
        <v>19</v>
      </c>
      <c r="C7">
        <f>Scenarios!C3</f>
        <v>0</v>
      </c>
      <c r="F7">
        <f t="shared" si="0"/>
        <v>0</v>
      </c>
      <c r="G7" s="2">
        <f>IF(Scenarios!D3=1, IF(Scenarios!I3="lease", INDEX(Calc!B4:F4,1,1)*INDEX(Calc!B8:F8,1,1), INDEX(Calc!B4:F4,1,1)*INDEX(Calc!B9:F9,1,1)), INDEX(Calc!B4:F4,1,1))</f>
        <v>314086.89599999995</v>
      </c>
      <c r="H7" s="2">
        <f>IF(Scenarios!E3=1, IF(Scenarios!I3="lease", INDEX(Calc!B5:F5,1,1)*INDEX(Calc!B8:F8,1,1), INDEX(Calc!B5:F5,1,1)*INDEX(Calc!B9:F9,1,1)), INDEX(Calc!B5:F5,1,1))</f>
        <v>361749.88799999998</v>
      </c>
      <c r="I7" s="2">
        <f>INDEX(Calc!B3:F3,1,1)</f>
        <v>7129.0799999999981</v>
      </c>
      <c r="J7" s="2">
        <f>IF("FY2026"="FY2026", (IF(Scenarios!D3=1, Parameters!B9,0) + IF(Scenarios!E3=1, Parameters!B9,0)), 0)</f>
        <v>1106</v>
      </c>
      <c r="K7">
        <f>1-Parameters!B4</f>
        <v>0.7</v>
      </c>
      <c r="L7">
        <f>Scenarios!G3</f>
        <v>0</v>
      </c>
      <c r="M7" s="2"/>
      <c r="N7" s="2" t="e">
        <f t="shared" si="1"/>
        <v>#N/A</v>
      </c>
    </row>
    <row r="8" spans="1:14" x14ac:dyDescent="0.35">
      <c r="A8" t="str">
        <f>Scenarios!A3</f>
        <v>A_Repurpose_Both_ops</v>
      </c>
      <c r="B8" t="s">
        <v>20</v>
      </c>
      <c r="C8">
        <f>Scenarios!C3</f>
        <v>0</v>
      </c>
      <c r="F8">
        <f t="shared" si="0"/>
        <v>0</v>
      </c>
      <c r="G8" s="2">
        <f>IF(Scenarios!D3=1, IF(Scenarios!I3="lease", INDEX(Calc!B4:F4,1,2)*INDEX(Calc!B8:F8,1,2), INDEX(Calc!B4:F4,1,2)*INDEX(Calc!B9:F9,1,2)), INDEX(Calc!B4:F4,1,2))</f>
        <v>281696.6848499999</v>
      </c>
      <c r="H8" s="2">
        <f>IF(Scenarios!E3=1, IF(Scenarios!I3="lease", INDEX(Calc!B5:F5,1,2)*INDEX(Calc!B8:F8,1,2), INDEX(Calc!B5:F5,1,2)*INDEX(Calc!B9:F9,1,2)), INDEX(Calc!B5:F5,1,2))</f>
        <v>324444.43079999991</v>
      </c>
      <c r="I8" s="2">
        <f>INDEX(Calc!B3:F3,1,2)</f>
        <v>7307.306999999998</v>
      </c>
      <c r="J8" s="2">
        <f>IF("FY2027"="FY2026", (IF(Scenarios!D3=1, Parameters!B9,0) + IF(Scenarios!E3=1, Parameters!B9,0)), 0)</f>
        <v>0</v>
      </c>
      <c r="K8">
        <f>1-Parameters!B4</f>
        <v>0.7</v>
      </c>
      <c r="L8">
        <f>Scenarios!G3</f>
        <v>0</v>
      </c>
      <c r="M8" s="2"/>
      <c r="N8" s="2" t="e">
        <f t="shared" si="1"/>
        <v>#N/A</v>
      </c>
    </row>
    <row r="9" spans="1:14" x14ac:dyDescent="0.35">
      <c r="A9" t="str">
        <f>Scenarios!A3</f>
        <v>A_Repurpose_Both_ops</v>
      </c>
      <c r="B9" t="s">
        <v>21</v>
      </c>
      <c r="C9">
        <f>Scenarios!C3</f>
        <v>0</v>
      </c>
      <c r="F9">
        <f t="shared" si="0"/>
        <v>0</v>
      </c>
      <c r="G9" s="2">
        <f>IF(Scenarios!D3=1, IF(Scenarios!I3="lease", INDEX(Calc!B4:F4,1,3)*INDEX(Calc!B8:F8,1,3), INDEX(Calc!B4:F4,1,3)*INDEX(Calc!B9:F9,1,3)), INDEX(Calc!B4:F4,1,3))</f>
        <v>247490.65883249993</v>
      </c>
      <c r="H9" s="2">
        <f>IF(Scenarios!E3=1, IF(Scenarios!I3="lease", INDEX(Calc!B5:F5,1,3)*INDEX(Calc!B8:F8,1,3), INDEX(Calc!B5:F5,1,3)*INDEX(Calc!B9:F9,1,3)), INDEX(Calc!B5:F5,1,3))</f>
        <v>285047.60705999989</v>
      </c>
      <c r="I9" s="2">
        <f>INDEX(Calc!B3:F3,1,3)</f>
        <v>7489.9896749999962</v>
      </c>
      <c r="J9" s="2">
        <f>IF("FY2028"="FY2026", (IF(Scenarios!D3=1, Parameters!B9,0) + IF(Scenarios!E3=1, Parameters!B9,0)), 0)</f>
        <v>0</v>
      </c>
      <c r="K9">
        <f>1-Parameters!B4</f>
        <v>0.7</v>
      </c>
      <c r="L9">
        <f>Scenarios!G3</f>
        <v>0</v>
      </c>
      <c r="M9" s="2"/>
      <c r="N9" s="2" t="e">
        <f t="shared" si="1"/>
        <v>#N/A</v>
      </c>
    </row>
    <row r="10" spans="1:14" x14ac:dyDescent="0.35">
      <c r="A10" t="str">
        <f>Scenarios!A3</f>
        <v>A_Repurpose_Both_ops</v>
      </c>
      <c r="B10" t="s">
        <v>22</v>
      </c>
      <c r="C10">
        <f>Scenarios!C3</f>
        <v>0</v>
      </c>
      <c r="F10">
        <f t="shared" si="0"/>
        <v>0</v>
      </c>
      <c r="G10" s="2">
        <f>IF(Scenarios!D3=1, IF(Scenarios!I3="lease", INDEX(Calc!B4:F4,1,4)*INDEX(Calc!B8:F8,1,4), INDEX(Calc!B4:F4,1,4)*INDEX(Calc!B9:F9,1,4)), INDEX(Calc!B4:F4,1,4))</f>
        <v>211398.27108609365</v>
      </c>
      <c r="H10" s="2">
        <f>IF(Scenarios!E3=1, IF(Scenarios!I3="lease", INDEX(Calc!B5:F5,1,4)*INDEX(Calc!B8:F8,1,4), INDEX(Calc!B5:F5,1,4)*INDEX(Calc!B9:F9,1,4)), INDEX(Calc!B5:F5,1,4))</f>
        <v>243478.16436374988</v>
      </c>
      <c r="I10" s="2">
        <f>INDEX(Calc!B3:F3,1,4)</f>
        <v>7677.2394168749952</v>
      </c>
      <c r="J10" s="2">
        <f>IF("FY2029"="FY2026", (IF(Scenarios!D3=1, Parameters!B9,0) + IF(Scenarios!E3=1, Parameters!B9,0)), 0)</f>
        <v>0</v>
      </c>
      <c r="K10">
        <f>1-Parameters!B4</f>
        <v>0.7</v>
      </c>
      <c r="L10">
        <f>Scenarios!G3</f>
        <v>0</v>
      </c>
      <c r="M10" s="2"/>
      <c r="N10" s="2" t="e">
        <f t="shared" si="1"/>
        <v>#N/A</v>
      </c>
    </row>
    <row r="11" spans="1:14" x14ac:dyDescent="0.35">
      <c r="A11" t="str">
        <f>Scenarios!A3</f>
        <v>A_Repurpose_Both_ops</v>
      </c>
      <c r="B11" t="s">
        <v>23</v>
      </c>
      <c r="C11">
        <f>Scenarios!C3</f>
        <v>0</v>
      </c>
      <c r="F11">
        <f t="shared" si="0"/>
        <v>0</v>
      </c>
      <c r="G11" s="2">
        <f>IF(Scenarios!D3=1, IF(Scenarios!I3="lease", INDEX(Calc!B4:F4,1,5)*INDEX(Calc!B8:F8,1,5), INDEX(Calc!B4:F4,1,5)*INDEX(Calc!B9:F9,1,5)), INDEX(Calc!B4:F4,1,5))</f>
        <v>173346.58229059679</v>
      </c>
      <c r="H11" s="2">
        <f>IF(Scenarios!E3=1, IF(Scenarios!I3="lease", INDEX(Calc!B5:F5,1,5)*INDEX(Calc!B8:F8,1,5), INDEX(Calc!B5:F5,1,5)*INDEX(Calc!B9:F9,1,5)), INDEX(Calc!B5:F5,1,5))</f>
        <v>199652.09477827488</v>
      </c>
      <c r="I11" s="2">
        <f>INDEX(Calc!B3:F3,1,5)</f>
        <v>7869.1704022968697</v>
      </c>
      <c r="J11" s="2">
        <f>IF("FY2030"="FY2026", (IF(Scenarios!D3=1, Parameters!B9,0) + IF(Scenarios!E3=1, Parameters!B9,0)), 0)</f>
        <v>0</v>
      </c>
      <c r="K11">
        <f>1-Parameters!B4</f>
        <v>0.7</v>
      </c>
      <c r="L11">
        <f>Scenarios!G3</f>
        <v>0</v>
      </c>
      <c r="M11" s="2"/>
      <c r="N11" s="2" t="e">
        <f t="shared" si="1"/>
        <v>#N/A</v>
      </c>
    </row>
    <row r="12" spans="1:14" x14ac:dyDescent="0.35">
      <c r="A12" t="str">
        <f>Scenarios!A4</f>
        <v>B_Repurpose_Echo_Grow_Pima_lease</v>
      </c>
      <c r="B12" t="s">
        <v>19</v>
      </c>
      <c r="C12">
        <f>Scenarios!C4</f>
        <v>0</v>
      </c>
      <c r="F12">
        <f t="shared" si="0"/>
        <v>0</v>
      </c>
      <c r="G12" s="2">
        <f>IF(Scenarios!D4=1, IF(Scenarios!I4="lease", INDEX(Calc!B4:F4,1,1)*INDEX(Calc!B8:F8,1,1), INDEX(Calc!B4:F4,1,1)*INDEX(Calc!B9:F9,1,1)), INDEX(Calc!B4:F4,1,1))</f>
        <v>314086.89599999995</v>
      </c>
      <c r="H12" s="2">
        <f>IF(Scenarios!E4=1, IF(Scenarios!I4="lease", INDEX(Calc!B5:F5,1,1)*INDEX(Calc!B8:F8,1,1), INDEX(Calc!B5:F5,1,1)*INDEX(Calc!B9:F9,1,1)), INDEX(Calc!B5:F5,1,1))</f>
        <v>904374.71999999986</v>
      </c>
      <c r="I12" s="2">
        <f>INDEX(Calc!B3:F3,1,1)</f>
        <v>7129.0799999999981</v>
      </c>
      <c r="J12" s="2">
        <f>IF("FY2026"="FY2026", (IF(Scenarios!D4=1, Parameters!B9,0) + IF(Scenarios!E4=1, Parameters!B9,0)), 0)</f>
        <v>553</v>
      </c>
      <c r="K12">
        <f>1-Parameters!B4</f>
        <v>0.7</v>
      </c>
      <c r="L12">
        <f>Scenarios!G4</f>
        <v>0</v>
      </c>
      <c r="M12" s="2"/>
      <c r="N12" s="2" t="e">
        <f t="shared" si="1"/>
        <v>#N/A</v>
      </c>
    </row>
    <row r="13" spans="1:14" x14ac:dyDescent="0.35">
      <c r="A13" t="str">
        <f>Scenarios!A4</f>
        <v>B_Repurpose_Echo_Grow_Pima_lease</v>
      </c>
      <c r="B13" t="s">
        <v>20</v>
      </c>
      <c r="C13">
        <f>Scenarios!C4</f>
        <v>0</v>
      </c>
      <c r="F13">
        <f t="shared" si="0"/>
        <v>0</v>
      </c>
      <c r="G13" s="2">
        <f>IF(Scenarios!D4=1, IF(Scenarios!I4="lease", INDEX(Calc!B4:F4,1,2)*INDEX(Calc!B8:F8,1,2), INDEX(Calc!B4:F4,1,2)*INDEX(Calc!B9:F9,1,2)), INDEX(Calc!B4:F4,1,2))</f>
        <v>241454.30129999993</v>
      </c>
      <c r="H13" s="2">
        <f>IF(Scenarios!E4=1, IF(Scenarios!I4="lease", INDEX(Calc!B5:F5,1,2)*INDEX(Calc!B8:F8,1,2), INDEX(Calc!B5:F5,1,2)*INDEX(Calc!B9:F9,1,2)), INDEX(Calc!B5:F5,1,2))</f>
        <v>926984.08799999976</v>
      </c>
      <c r="I13" s="2">
        <f>INDEX(Calc!B3:F3,1,2)</f>
        <v>7307.306999999998</v>
      </c>
      <c r="J13" s="2">
        <f>IF("FY2027"="FY2026", (IF(Scenarios!D4=1, Parameters!B9,0) + IF(Scenarios!E4=1, Parameters!B9,0)), 0)</f>
        <v>0</v>
      </c>
      <c r="K13">
        <f>1-Parameters!B4</f>
        <v>0.7</v>
      </c>
      <c r="L13">
        <f>Scenarios!G4</f>
        <v>0</v>
      </c>
      <c r="M13" s="2"/>
      <c r="N13" s="2" t="e">
        <f t="shared" si="1"/>
        <v>#N/A</v>
      </c>
    </row>
    <row r="14" spans="1:14" x14ac:dyDescent="0.35">
      <c r="A14" t="str">
        <f>Scenarios!A4</f>
        <v>B_Repurpose_Echo_Grow_Pima_lease</v>
      </c>
      <c r="B14" t="s">
        <v>21</v>
      </c>
      <c r="C14">
        <f>Scenarios!C4</f>
        <v>0</v>
      </c>
      <c r="F14">
        <f t="shared" si="0"/>
        <v>0</v>
      </c>
      <c r="G14" s="2">
        <f>IF(Scenarios!D4=1, IF(Scenarios!I4="lease", INDEX(Calc!B4:F4,1,3)*INDEX(Calc!B8:F8,1,3), INDEX(Calc!B4:F4,1,3)*INDEX(Calc!B9:F9,1,3)), INDEX(Calc!B4:F4,1,3))</f>
        <v>164993.77255499997</v>
      </c>
      <c r="H14" s="2">
        <f>IF(Scenarios!E4=1, IF(Scenarios!I4="lease", INDEX(Calc!B5:F5,1,3)*INDEX(Calc!B8:F8,1,3), INDEX(Calc!B5:F5,1,3)*INDEX(Calc!B9:F9,1,3)), INDEX(Calc!B5:F5,1,3))</f>
        <v>950158.69019999972</v>
      </c>
      <c r="I14" s="2">
        <f>INDEX(Calc!B3:F3,1,3)</f>
        <v>7489.9896749999962</v>
      </c>
      <c r="J14" s="2">
        <f>IF("FY2028"="FY2026", (IF(Scenarios!D4=1, Parameters!B9,0) + IF(Scenarios!E4=1, Parameters!B9,0)), 0)</f>
        <v>0</v>
      </c>
      <c r="K14">
        <f>1-Parameters!B4</f>
        <v>0.7</v>
      </c>
      <c r="L14">
        <f>Scenarios!G4</f>
        <v>0</v>
      </c>
      <c r="M14" s="2"/>
      <c r="N14" s="2" t="e">
        <f t="shared" si="1"/>
        <v>#N/A</v>
      </c>
    </row>
    <row r="15" spans="1:14" x14ac:dyDescent="0.35">
      <c r="A15" t="str">
        <f>Scenarios!A4</f>
        <v>B_Repurpose_Echo_Grow_Pima_lease</v>
      </c>
      <c r="B15" t="s">
        <v>22</v>
      </c>
      <c r="C15">
        <f>Scenarios!C4</f>
        <v>0</v>
      </c>
      <c r="F15">
        <f t="shared" si="0"/>
        <v>0</v>
      </c>
      <c r="G15" s="2">
        <f>IF(Scenarios!D4=1, IF(Scenarios!I4="lease", INDEX(Calc!B4:F4,1,4)*INDEX(Calc!B8:F8,1,4), INDEX(Calc!B4:F4,1,4)*INDEX(Calc!B9:F9,1,4)), INDEX(Calc!B4:F4,1,4))</f>
        <v>84559.308434437466</v>
      </c>
      <c r="H15" s="2">
        <f>IF(Scenarios!E4=1, IF(Scenarios!I4="lease", INDEX(Calc!B5:F5,1,4)*INDEX(Calc!B8:F8,1,4), INDEX(Calc!B5:F5,1,4)*INDEX(Calc!B9:F9,1,4)), INDEX(Calc!B5:F5,1,4))</f>
        <v>973912.65745499951</v>
      </c>
      <c r="I15" s="2">
        <f>INDEX(Calc!B3:F3,1,4)</f>
        <v>7677.2394168749952</v>
      </c>
      <c r="J15" s="2">
        <f>IF("FY2029"="FY2026", (IF(Scenarios!D4=1, Parameters!B9,0) + IF(Scenarios!E4=1, Parameters!B9,0)), 0)</f>
        <v>0</v>
      </c>
      <c r="K15">
        <f>1-Parameters!B4</f>
        <v>0.7</v>
      </c>
      <c r="L15">
        <f>Scenarios!G4</f>
        <v>0</v>
      </c>
      <c r="M15" s="2"/>
      <c r="N15" s="2" t="e">
        <f t="shared" si="1"/>
        <v>#N/A</v>
      </c>
    </row>
    <row r="16" spans="1:14" x14ac:dyDescent="0.35">
      <c r="A16" t="str">
        <f>Scenarios!A4</f>
        <v>B_Repurpose_Echo_Grow_Pima_lease</v>
      </c>
      <c r="B16" t="s">
        <v>23</v>
      </c>
      <c r="C16">
        <f>Scenarios!C4</f>
        <v>0</v>
      </c>
      <c r="F16">
        <f t="shared" si="0"/>
        <v>0</v>
      </c>
      <c r="G16" s="2">
        <f>IF(Scenarios!D4=1, IF(Scenarios!I4="lease", INDEX(Calc!B4:F4,1,5)*INDEX(Calc!B8:F8,1,5), INDEX(Calc!B4:F4,1,5)*INDEX(Calc!B9:F9,1,5)), INDEX(Calc!B4:F4,1,5))</f>
        <v>0</v>
      </c>
      <c r="H16" s="2">
        <f>IF(Scenarios!E4=1, IF(Scenarios!I4="lease", INDEX(Calc!B5:F5,1,5)*INDEX(Calc!B8:F8,1,5), INDEX(Calc!B5:F5,1,5)*INDEX(Calc!B9:F9,1,5)), INDEX(Calc!B5:F5,1,5))</f>
        <v>998260.47389137442</v>
      </c>
      <c r="I16" s="2">
        <f>INDEX(Calc!B3:F3,1,5)</f>
        <v>7869.1704022968697</v>
      </c>
      <c r="J16" s="2">
        <f>IF("FY2030"="FY2026", (IF(Scenarios!D4=1, Parameters!B9,0) + IF(Scenarios!E4=1, Parameters!B9,0)), 0)</f>
        <v>0</v>
      </c>
      <c r="K16">
        <f>1-Parameters!B4</f>
        <v>0.7</v>
      </c>
      <c r="L16">
        <f>Scenarios!G4</f>
        <v>0</v>
      </c>
      <c r="M16" s="2"/>
      <c r="N16" s="2" t="e">
        <f t="shared" si="1"/>
        <v>#N/A</v>
      </c>
    </row>
    <row r="17" spans="1:14" x14ac:dyDescent="0.35">
      <c r="A17" t="str">
        <f>Scenarios!A5</f>
        <v>B_Repurpose_Echo_Grow_Pima_ops</v>
      </c>
      <c r="B17" t="s">
        <v>19</v>
      </c>
      <c r="C17">
        <f>Scenarios!C5</f>
        <v>0</v>
      </c>
      <c r="F17">
        <f t="shared" si="0"/>
        <v>0</v>
      </c>
      <c r="G17" s="2">
        <f>IF(Scenarios!D5=1, IF(Scenarios!I5="lease", INDEX(Calc!B4:F4,1,1)*INDEX(Calc!B8:F8,1,1), INDEX(Calc!B4:F4,1,1)*INDEX(Calc!B9:F9,1,1)), INDEX(Calc!B4:F4,1,1))</f>
        <v>314086.89599999995</v>
      </c>
      <c r="H17" s="2">
        <f>IF(Scenarios!E5=1, IF(Scenarios!I5="lease", INDEX(Calc!B5:F5,1,1)*INDEX(Calc!B8:F8,1,1), INDEX(Calc!B5:F5,1,1)*INDEX(Calc!B9:F9,1,1)), INDEX(Calc!B5:F5,1,1))</f>
        <v>904374.71999999986</v>
      </c>
      <c r="I17" s="2">
        <f>INDEX(Calc!B3:F3,1,1)</f>
        <v>7129.0799999999981</v>
      </c>
      <c r="J17" s="2">
        <f>IF("FY2026"="FY2026", (IF(Scenarios!D5=1, Parameters!B9,0) + IF(Scenarios!E5=1, Parameters!B9,0)), 0)</f>
        <v>553</v>
      </c>
      <c r="K17">
        <f>1-Parameters!B4</f>
        <v>0.7</v>
      </c>
      <c r="L17">
        <f>Scenarios!G5</f>
        <v>0</v>
      </c>
      <c r="M17" s="2"/>
      <c r="N17" s="2" t="e">
        <f t="shared" si="1"/>
        <v>#N/A</v>
      </c>
    </row>
    <row r="18" spans="1:14" x14ac:dyDescent="0.35">
      <c r="A18" t="str">
        <f>Scenarios!A5</f>
        <v>B_Repurpose_Echo_Grow_Pima_ops</v>
      </c>
      <c r="B18" t="s">
        <v>20</v>
      </c>
      <c r="C18">
        <f>Scenarios!C5</f>
        <v>0</v>
      </c>
      <c r="F18">
        <f t="shared" si="0"/>
        <v>0</v>
      </c>
      <c r="G18" s="2">
        <f>IF(Scenarios!D5=1, IF(Scenarios!I5="lease", INDEX(Calc!B4:F4,1,2)*INDEX(Calc!B8:F8,1,2), INDEX(Calc!B4:F4,1,2)*INDEX(Calc!B9:F9,1,2)), INDEX(Calc!B4:F4,1,2))</f>
        <v>281696.6848499999</v>
      </c>
      <c r="H18" s="2">
        <f>IF(Scenarios!E5=1, IF(Scenarios!I5="lease", INDEX(Calc!B5:F5,1,2)*INDEX(Calc!B8:F8,1,2), INDEX(Calc!B5:F5,1,2)*INDEX(Calc!B9:F9,1,2)), INDEX(Calc!B5:F5,1,2))</f>
        <v>926984.08799999976</v>
      </c>
      <c r="I18" s="2">
        <f>INDEX(Calc!B3:F3,1,2)</f>
        <v>7307.306999999998</v>
      </c>
      <c r="J18" s="2">
        <f>IF("FY2027"="FY2026", (IF(Scenarios!D5=1, Parameters!B9,0) + IF(Scenarios!E5=1, Parameters!B9,0)), 0)</f>
        <v>0</v>
      </c>
      <c r="K18">
        <f>1-Parameters!B4</f>
        <v>0.7</v>
      </c>
      <c r="L18">
        <f>Scenarios!G5</f>
        <v>0</v>
      </c>
      <c r="M18" s="2"/>
      <c r="N18" s="2" t="e">
        <f t="shared" si="1"/>
        <v>#N/A</v>
      </c>
    </row>
    <row r="19" spans="1:14" x14ac:dyDescent="0.35">
      <c r="A19" t="str">
        <f>Scenarios!A5</f>
        <v>B_Repurpose_Echo_Grow_Pima_ops</v>
      </c>
      <c r="B19" t="s">
        <v>21</v>
      </c>
      <c r="C19">
        <f>Scenarios!C5</f>
        <v>0</v>
      </c>
      <c r="F19">
        <f t="shared" si="0"/>
        <v>0</v>
      </c>
      <c r="G19" s="2">
        <f>IF(Scenarios!D5=1, IF(Scenarios!I5="lease", INDEX(Calc!B4:F4,1,3)*INDEX(Calc!B8:F8,1,3), INDEX(Calc!B4:F4,1,3)*INDEX(Calc!B9:F9,1,3)), INDEX(Calc!B4:F4,1,3))</f>
        <v>247490.65883249993</v>
      </c>
      <c r="H19" s="2">
        <f>IF(Scenarios!E5=1, IF(Scenarios!I5="lease", INDEX(Calc!B5:F5,1,3)*INDEX(Calc!B8:F8,1,3), INDEX(Calc!B5:F5,1,3)*INDEX(Calc!B9:F9,1,3)), INDEX(Calc!B5:F5,1,3))</f>
        <v>950158.69019999972</v>
      </c>
      <c r="I19" s="2">
        <f>INDEX(Calc!B3:F3,1,3)</f>
        <v>7489.9896749999962</v>
      </c>
      <c r="J19" s="2">
        <f>IF("FY2028"="FY2026", (IF(Scenarios!D5=1, Parameters!B9,0) + IF(Scenarios!E5=1, Parameters!B9,0)), 0)</f>
        <v>0</v>
      </c>
      <c r="K19">
        <f>1-Parameters!B4</f>
        <v>0.7</v>
      </c>
      <c r="L19">
        <f>Scenarios!G5</f>
        <v>0</v>
      </c>
      <c r="M19" s="2"/>
      <c r="N19" s="2" t="e">
        <f t="shared" si="1"/>
        <v>#N/A</v>
      </c>
    </row>
    <row r="20" spans="1:14" x14ac:dyDescent="0.35">
      <c r="A20" t="str">
        <f>Scenarios!A5</f>
        <v>B_Repurpose_Echo_Grow_Pima_ops</v>
      </c>
      <c r="B20" t="s">
        <v>22</v>
      </c>
      <c r="C20">
        <f>Scenarios!C5</f>
        <v>0</v>
      </c>
      <c r="F20">
        <f t="shared" si="0"/>
        <v>0</v>
      </c>
      <c r="G20" s="2">
        <f>IF(Scenarios!D5=1, IF(Scenarios!I5="lease", INDEX(Calc!B4:F4,1,4)*INDEX(Calc!B8:F8,1,4), INDEX(Calc!B4:F4,1,4)*INDEX(Calc!B9:F9,1,4)), INDEX(Calc!B4:F4,1,4))</f>
        <v>211398.27108609365</v>
      </c>
      <c r="H20" s="2">
        <f>IF(Scenarios!E5=1, IF(Scenarios!I5="lease", INDEX(Calc!B5:F5,1,4)*INDEX(Calc!B8:F8,1,4), INDEX(Calc!B5:F5,1,4)*INDEX(Calc!B9:F9,1,4)), INDEX(Calc!B5:F5,1,4))</f>
        <v>973912.65745499951</v>
      </c>
      <c r="I20" s="2">
        <f>INDEX(Calc!B3:F3,1,4)</f>
        <v>7677.2394168749952</v>
      </c>
      <c r="J20" s="2">
        <f>IF("FY2029"="FY2026", (IF(Scenarios!D5=1, Parameters!B9,0) + IF(Scenarios!E5=1, Parameters!B9,0)), 0)</f>
        <v>0</v>
      </c>
      <c r="K20">
        <f>1-Parameters!B4</f>
        <v>0.7</v>
      </c>
      <c r="L20">
        <f>Scenarios!G5</f>
        <v>0</v>
      </c>
      <c r="M20" s="2"/>
      <c r="N20" s="2" t="e">
        <f t="shared" si="1"/>
        <v>#N/A</v>
      </c>
    </row>
    <row r="21" spans="1:14" x14ac:dyDescent="0.35">
      <c r="A21" t="str">
        <f>Scenarios!A5</f>
        <v>B_Repurpose_Echo_Grow_Pima_ops</v>
      </c>
      <c r="B21" t="s">
        <v>23</v>
      </c>
      <c r="C21">
        <f>Scenarios!C5</f>
        <v>0</v>
      </c>
      <c r="F21">
        <f t="shared" si="0"/>
        <v>0</v>
      </c>
      <c r="G21" s="2">
        <f>IF(Scenarios!D5=1, IF(Scenarios!I5="lease", INDEX(Calc!B4:F4,1,5)*INDEX(Calc!B8:F8,1,5), INDEX(Calc!B4:F4,1,5)*INDEX(Calc!B9:F9,1,5)), INDEX(Calc!B4:F4,1,5))</f>
        <v>173346.58229059679</v>
      </c>
      <c r="H21" s="2">
        <f>IF(Scenarios!E5=1, IF(Scenarios!I5="lease", INDEX(Calc!B5:F5,1,5)*INDEX(Calc!B8:F8,1,5), INDEX(Calc!B5:F5,1,5)*INDEX(Calc!B9:F9,1,5)), INDEX(Calc!B5:F5,1,5))</f>
        <v>998260.47389137442</v>
      </c>
      <c r="I21" s="2">
        <f>INDEX(Calc!B3:F3,1,5)</f>
        <v>7869.1704022968697</v>
      </c>
      <c r="J21" s="2">
        <f>IF("FY2030"="FY2026", (IF(Scenarios!D5=1, Parameters!B9,0) + IF(Scenarios!E5=1, Parameters!B9,0)), 0)</f>
        <v>0</v>
      </c>
      <c r="K21">
        <f>1-Parameters!B4</f>
        <v>0.7</v>
      </c>
      <c r="L21">
        <f>Scenarios!G5</f>
        <v>0</v>
      </c>
      <c r="M21" s="2"/>
      <c r="N21" s="2" t="e">
        <f t="shared" si="1"/>
        <v>#N/A</v>
      </c>
    </row>
    <row r="22" spans="1:14" x14ac:dyDescent="0.35">
      <c r="A22" t="str">
        <f>Scenarios!A6</f>
        <v>C_Repurpose_Pima_Grow_Echo_lease</v>
      </c>
      <c r="B22" t="s">
        <v>19</v>
      </c>
      <c r="C22">
        <f>Scenarios!C6</f>
        <v>0</v>
      </c>
      <c r="F22">
        <f t="shared" si="0"/>
        <v>0</v>
      </c>
      <c r="G22" s="2">
        <f>IF(Scenarios!D6=1, IF(Scenarios!I6="lease", INDEX(Calc!B4:F4,1,1)*INDEX(Calc!B8:F8,1,1), INDEX(Calc!B4:F4,1,1)*INDEX(Calc!B9:F9,1,1)), INDEX(Calc!B4:F4,1,1))</f>
        <v>785217.23999999987</v>
      </c>
      <c r="H22" s="2">
        <f>IF(Scenarios!E6=1, IF(Scenarios!I6="lease", INDEX(Calc!B5:F5,1,1)*INDEX(Calc!B8:F8,1,1), INDEX(Calc!B5:F5,1,1)*INDEX(Calc!B9:F9,1,1)), INDEX(Calc!B5:F5,1,1))</f>
        <v>361749.88799999998</v>
      </c>
      <c r="I22" s="2">
        <f>INDEX(Calc!B3:F3,1,1)</f>
        <v>7129.0799999999981</v>
      </c>
      <c r="J22" s="2">
        <f>IF("FY2026"="FY2026", (IF(Scenarios!D6=1, Parameters!B9,0) + IF(Scenarios!E6=1, Parameters!B9,0)), 0)</f>
        <v>553</v>
      </c>
      <c r="K22">
        <f>1-Parameters!B4</f>
        <v>0.7</v>
      </c>
      <c r="L22">
        <f>Scenarios!G6</f>
        <v>0</v>
      </c>
      <c r="M22" s="2"/>
      <c r="N22" s="2" t="e">
        <f t="shared" si="1"/>
        <v>#N/A</v>
      </c>
    </row>
    <row r="23" spans="1:14" x14ac:dyDescent="0.35">
      <c r="A23" t="str">
        <f>Scenarios!A6</f>
        <v>C_Repurpose_Pima_Grow_Echo_lease</v>
      </c>
      <c r="B23" t="s">
        <v>20</v>
      </c>
      <c r="C23">
        <f>Scenarios!C6</f>
        <v>0</v>
      </c>
      <c r="F23">
        <f t="shared" si="0"/>
        <v>0</v>
      </c>
      <c r="G23" s="2">
        <f>IF(Scenarios!D6=1, IF(Scenarios!I6="lease", INDEX(Calc!B4:F4,1,2)*INDEX(Calc!B8:F8,1,2), INDEX(Calc!B4:F4,1,2)*INDEX(Calc!B9:F9,1,2)), INDEX(Calc!B4:F4,1,2))</f>
        <v>804847.67099999986</v>
      </c>
      <c r="H23" s="2">
        <f>IF(Scenarios!E6=1, IF(Scenarios!I6="lease", INDEX(Calc!B5:F5,1,2)*INDEX(Calc!B8:F8,1,2), INDEX(Calc!B5:F5,1,2)*INDEX(Calc!B9:F9,1,2)), INDEX(Calc!B5:F5,1,2))</f>
        <v>278095.22639999993</v>
      </c>
      <c r="I23" s="2">
        <f>INDEX(Calc!B3:F3,1,2)</f>
        <v>7307.306999999998</v>
      </c>
      <c r="J23" s="2">
        <f>IF("FY2027"="FY2026", (IF(Scenarios!D6=1, Parameters!B9,0) + IF(Scenarios!E6=1, Parameters!B9,0)), 0)</f>
        <v>0</v>
      </c>
      <c r="K23">
        <f>1-Parameters!B4</f>
        <v>0.7</v>
      </c>
      <c r="L23">
        <f>Scenarios!G6</f>
        <v>0</v>
      </c>
      <c r="M23" s="2"/>
      <c r="N23" s="2" t="e">
        <f t="shared" si="1"/>
        <v>#N/A</v>
      </c>
    </row>
    <row r="24" spans="1:14" x14ac:dyDescent="0.35">
      <c r="A24" t="str">
        <f>Scenarios!A6</f>
        <v>C_Repurpose_Pima_Grow_Echo_lease</v>
      </c>
      <c r="B24" t="s">
        <v>21</v>
      </c>
      <c r="C24">
        <f>Scenarios!C6</f>
        <v>0</v>
      </c>
      <c r="F24">
        <f t="shared" si="0"/>
        <v>0</v>
      </c>
      <c r="G24" s="2">
        <f>IF(Scenarios!D6=1, IF(Scenarios!I6="lease", INDEX(Calc!B4:F4,1,3)*INDEX(Calc!B8:F8,1,3), INDEX(Calc!B4:F4,1,3)*INDEX(Calc!B9:F9,1,3)), INDEX(Calc!B4:F4,1,3))</f>
        <v>824968.86277499981</v>
      </c>
      <c r="H24" s="2">
        <f>IF(Scenarios!E6=1, IF(Scenarios!I6="lease", INDEX(Calc!B5:F5,1,3)*INDEX(Calc!B8:F8,1,3), INDEX(Calc!B5:F5,1,3)*INDEX(Calc!B9:F9,1,3)), INDEX(Calc!B5:F5,1,3))</f>
        <v>190031.73803999997</v>
      </c>
      <c r="I24" s="2">
        <f>INDEX(Calc!B3:F3,1,3)</f>
        <v>7489.9896749999962</v>
      </c>
      <c r="J24" s="2">
        <f>IF("FY2028"="FY2026", (IF(Scenarios!D6=1, Parameters!B9,0) + IF(Scenarios!E6=1, Parameters!B9,0)), 0)</f>
        <v>0</v>
      </c>
      <c r="K24">
        <f>1-Parameters!B4</f>
        <v>0.7</v>
      </c>
      <c r="L24">
        <f>Scenarios!G6</f>
        <v>0</v>
      </c>
      <c r="M24" s="2"/>
      <c r="N24" s="2" t="e">
        <f t="shared" si="1"/>
        <v>#N/A</v>
      </c>
    </row>
    <row r="25" spans="1:14" x14ac:dyDescent="0.35">
      <c r="A25" t="str">
        <f>Scenarios!A6</f>
        <v>C_Repurpose_Pima_Grow_Echo_lease</v>
      </c>
      <c r="B25" t="s">
        <v>22</v>
      </c>
      <c r="C25">
        <f>Scenarios!C6</f>
        <v>0</v>
      </c>
      <c r="F25">
        <f t="shared" si="0"/>
        <v>0</v>
      </c>
      <c r="G25" s="2">
        <f>IF(Scenarios!D6=1, IF(Scenarios!I6="lease", INDEX(Calc!B4:F4,1,4)*INDEX(Calc!B8:F8,1,4), INDEX(Calc!B4:F4,1,4)*INDEX(Calc!B9:F9,1,4)), INDEX(Calc!B4:F4,1,4))</f>
        <v>845593.0843443746</v>
      </c>
      <c r="H25" s="2">
        <f>IF(Scenarios!E6=1, IF(Scenarios!I6="lease", INDEX(Calc!B5:F5,1,4)*INDEX(Calc!B8:F8,1,4), INDEX(Calc!B5:F5,1,4)*INDEX(Calc!B9:F9,1,4)), INDEX(Calc!B5:F5,1,4))</f>
        <v>97391.265745499957</v>
      </c>
      <c r="I25" s="2">
        <f>INDEX(Calc!B3:F3,1,4)</f>
        <v>7677.2394168749952</v>
      </c>
      <c r="J25" s="2">
        <f>IF("FY2029"="FY2026", (IF(Scenarios!D6=1, Parameters!B9,0) + IF(Scenarios!E6=1, Parameters!B9,0)), 0)</f>
        <v>0</v>
      </c>
      <c r="K25">
        <f>1-Parameters!B4</f>
        <v>0.7</v>
      </c>
      <c r="L25">
        <f>Scenarios!G6</f>
        <v>0</v>
      </c>
      <c r="M25" s="2"/>
      <c r="N25" s="2" t="e">
        <f t="shared" si="1"/>
        <v>#N/A</v>
      </c>
    </row>
    <row r="26" spans="1:14" x14ac:dyDescent="0.35">
      <c r="A26" t="str">
        <f>Scenarios!A6</f>
        <v>C_Repurpose_Pima_Grow_Echo_lease</v>
      </c>
      <c r="B26" t="s">
        <v>23</v>
      </c>
      <c r="C26">
        <f>Scenarios!C6</f>
        <v>0</v>
      </c>
      <c r="F26">
        <f t="shared" si="0"/>
        <v>0</v>
      </c>
      <c r="G26" s="2">
        <f>IF(Scenarios!D6=1, IF(Scenarios!I6="lease", INDEX(Calc!B4:F4,1,5)*INDEX(Calc!B8:F8,1,5), INDEX(Calc!B4:F4,1,5)*INDEX(Calc!B9:F9,1,5)), INDEX(Calc!B4:F4,1,5))</f>
        <v>866732.91145298386</v>
      </c>
      <c r="H26" s="2">
        <f>IF(Scenarios!E6=1, IF(Scenarios!I6="lease", INDEX(Calc!B5:F5,1,5)*INDEX(Calc!B8:F8,1,5), INDEX(Calc!B5:F5,1,5)*INDEX(Calc!B9:F9,1,5)), INDEX(Calc!B5:F5,1,5))</f>
        <v>0</v>
      </c>
      <c r="I26" s="2">
        <f>INDEX(Calc!B3:F3,1,5)</f>
        <v>7869.1704022968697</v>
      </c>
      <c r="J26" s="2">
        <f>IF("FY2030"="FY2026", (IF(Scenarios!D6=1, Parameters!B9,0) + IF(Scenarios!E6=1, Parameters!B9,0)), 0)</f>
        <v>0</v>
      </c>
      <c r="K26">
        <f>1-Parameters!B4</f>
        <v>0.7</v>
      </c>
      <c r="L26">
        <f>Scenarios!G6</f>
        <v>0</v>
      </c>
      <c r="M26" s="2"/>
      <c r="N26" s="2" t="e">
        <f t="shared" si="1"/>
        <v>#N/A</v>
      </c>
    </row>
    <row r="27" spans="1:14" x14ac:dyDescent="0.35">
      <c r="A27" t="str">
        <f>Scenarios!A7</f>
        <v>C_Repurpose_Pima_Grow_Echo_ops</v>
      </c>
      <c r="B27" t="s">
        <v>19</v>
      </c>
      <c r="C27">
        <f>Scenarios!C7</f>
        <v>0</v>
      </c>
      <c r="F27">
        <f t="shared" si="0"/>
        <v>0</v>
      </c>
      <c r="G27" s="2">
        <f>IF(Scenarios!D7=1, IF(Scenarios!I7="lease", INDEX(Calc!B4:F4,1,1)*INDEX(Calc!B8:F8,1,1), INDEX(Calc!B4:F4,1,1)*INDEX(Calc!B9:F9,1,1)), INDEX(Calc!B4:F4,1,1))</f>
        <v>785217.23999999987</v>
      </c>
      <c r="H27" s="2">
        <f>IF(Scenarios!E7=1, IF(Scenarios!I7="lease", INDEX(Calc!B5:F5,1,1)*INDEX(Calc!B8:F8,1,1), INDEX(Calc!B5:F5,1,1)*INDEX(Calc!B9:F9,1,1)), INDEX(Calc!B5:F5,1,1))</f>
        <v>361749.88799999998</v>
      </c>
      <c r="I27" s="2">
        <f>INDEX(Calc!B3:F3,1,1)</f>
        <v>7129.0799999999981</v>
      </c>
      <c r="J27" s="2">
        <f>IF("FY2026"="FY2026", (IF(Scenarios!D7=1, Parameters!B9,0) + IF(Scenarios!E7=1, Parameters!B9,0)), 0)</f>
        <v>553</v>
      </c>
      <c r="K27">
        <f>1-Parameters!B4</f>
        <v>0.7</v>
      </c>
      <c r="L27">
        <f>Scenarios!G7</f>
        <v>0</v>
      </c>
      <c r="M27" s="2"/>
      <c r="N27" s="2" t="e">
        <f t="shared" si="1"/>
        <v>#N/A</v>
      </c>
    </row>
    <row r="28" spans="1:14" x14ac:dyDescent="0.35">
      <c r="A28" t="str">
        <f>Scenarios!A7</f>
        <v>C_Repurpose_Pima_Grow_Echo_ops</v>
      </c>
      <c r="B28" t="s">
        <v>20</v>
      </c>
      <c r="C28">
        <f>Scenarios!C7</f>
        <v>0</v>
      </c>
      <c r="F28">
        <f t="shared" si="0"/>
        <v>0</v>
      </c>
      <c r="G28" s="2">
        <f>IF(Scenarios!D7=1, IF(Scenarios!I7="lease", INDEX(Calc!B4:F4,1,2)*INDEX(Calc!B8:F8,1,2), INDEX(Calc!B4:F4,1,2)*INDEX(Calc!B9:F9,1,2)), INDEX(Calc!B4:F4,1,2))</f>
        <v>804847.67099999986</v>
      </c>
      <c r="H28" s="2">
        <f>IF(Scenarios!E7=1, IF(Scenarios!I7="lease", INDEX(Calc!B5:F5,1,2)*INDEX(Calc!B8:F8,1,2), INDEX(Calc!B5:F5,1,2)*INDEX(Calc!B9:F9,1,2)), INDEX(Calc!B5:F5,1,2))</f>
        <v>324444.43079999991</v>
      </c>
      <c r="I28" s="2">
        <f>INDEX(Calc!B3:F3,1,2)</f>
        <v>7307.306999999998</v>
      </c>
      <c r="J28" s="2">
        <f>IF("FY2027"="FY2026", (IF(Scenarios!D7=1, Parameters!B9,0) + IF(Scenarios!E7=1, Parameters!B9,0)), 0)</f>
        <v>0</v>
      </c>
      <c r="K28">
        <f>1-Parameters!B4</f>
        <v>0.7</v>
      </c>
      <c r="L28">
        <f>Scenarios!G7</f>
        <v>0</v>
      </c>
      <c r="M28" s="2"/>
      <c r="N28" s="2" t="e">
        <f t="shared" si="1"/>
        <v>#N/A</v>
      </c>
    </row>
    <row r="29" spans="1:14" x14ac:dyDescent="0.35">
      <c r="A29" t="str">
        <f>Scenarios!A7</f>
        <v>C_Repurpose_Pima_Grow_Echo_ops</v>
      </c>
      <c r="B29" t="s">
        <v>21</v>
      </c>
      <c r="C29">
        <f>Scenarios!C7</f>
        <v>0</v>
      </c>
      <c r="F29">
        <f t="shared" si="0"/>
        <v>0</v>
      </c>
      <c r="G29" s="2">
        <f>IF(Scenarios!D7=1, IF(Scenarios!I7="lease", INDEX(Calc!B4:F4,1,3)*INDEX(Calc!B8:F8,1,3), INDEX(Calc!B4:F4,1,3)*INDEX(Calc!B9:F9,1,3)), INDEX(Calc!B4:F4,1,3))</f>
        <v>824968.86277499981</v>
      </c>
      <c r="H29" s="2">
        <f>IF(Scenarios!E7=1, IF(Scenarios!I7="lease", INDEX(Calc!B5:F5,1,3)*INDEX(Calc!B8:F8,1,3), INDEX(Calc!B5:F5,1,3)*INDEX(Calc!B9:F9,1,3)), INDEX(Calc!B5:F5,1,3))</f>
        <v>285047.60705999989</v>
      </c>
      <c r="I29" s="2">
        <f>INDEX(Calc!B3:F3,1,3)</f>
        <v>7489.9896749999962</v>
      </c>
      <c r="J29" s="2">
        <f>IF("FY2028"="FY2026", (IF(Scenarios!D7=1, Parameters!B9,0) + IF(Scenarios!E7=1, Parameters!B9,0)), 0)</f>
        <v>0</v>
      </c>
      <c r="K29">
        <f>1-Parameters!B4</f>
        <v>0.7</v>
      </c>
      <c r="L29">
        <f>Scenarios!G7</f>
        <v>0</v>
      </c>
      <c r="M29" s="2"/>
      <c r="N29" s="2" t="e">
        <f t="shared" si="1"/>
        <v>#N/A</v>
      </c>
    </row>
    <row r="30" spans="1:14" x14ac:dyDescent="0.35">
      <c r="A30" t="str">
        <f>Scenarios!A7</f>
        <v>C_Repurpose_Pima_Grow_Echo_ops</v>
      </c>
      <c r="B30" t="s">
        <v>22</v>
      </c>
      <c r="C30">
        <f>Scenarios!C7</f>
        <v>0</v>
      </c>
      <c r="F30">
        <f t="shared" si="0"/>
        <v>0</v>
      </c>
      <c r="G30" s="2">
        <f>IF(Scenarios!D7=1, IF(Scenarios!I7="lease", INDEX(Calc!B4:F4,1,4)*INDEX(Calc!B8:F8,1,4), INDEX(Calc!B4:F4,1,4)*INDEX(Calc!B9:F9,1,4)), INDEX(Calc!B4:F4,1,4))</f>
        <v>845593.0843443746</v>
      </c>
      <c r="H30" s="2">
        <f>IF(Scenarios!E7=1, IF(Scenarios!I7="lease", INDEX(Calc!B5:F5,1,4)*INDEX(Calc!B8:F8,1,4), INDEX(Calc!B5:F5,1,4)*INDEX(Calc!B9:F9,1,4)), INDEX(Calc!B5:F5,1,4))</f>
        <v>243478.16436374988</v>
      </c>
      <c r="I30" s="2">
        <f>INDEX(Calc!B3:F3,1,4)</f>
        <v>7677.2394168749952</v>
      </c>
      <c r="J30" s="2">
        <f>IF("FY2029"="FY2026", (IF(Scenarios!D7=1, Parameters!B9,0) + IF(Scenarios!E7=1, Parameters!B9,0)), 0)</f>
        <v>0</v>
      </c>
      <c r="K30">
        <f>1-Parameters!B4</f>
        <v>0.7</v>
      </c>
      <c r="L30">
        <f>Scenarios!G7</f>
        <v>0</v>
      </c>
      <c r="M30" s="2"/>
      <c r="N30" s="2" t="e">
        <f t="shared" si="1"/>
        <v>#N/A</v>
      </c>
    </row>
    <row r="31" spans="1:14" x14ac:dyDescent="0.35">
      <c r="A31" t="str">
        <f>Scenarios!A7</f>
        <v>C_Repurpose_Pima_Grow_Echo_ops</v>
      </c>
      <c r="B31" t="s">
        <v>23</v>
      </c>
      <c r="C31">
        <f>Scenarios!C7</f>
        <v>0</v>
      </c>
      <c r="F31">
        <f t="shared" si="0"/>
        <v>0</v>
      </c>
      <c r="G31" s="2">
        <f>IF(Scenarios!D7=1, IF(Scenarios!I7="lease", INDEX(Calc!B4:F4,1,5)*INDEX(Calc!B8:F8,1,5), INDEX(Calc!B4:F4,1,5)*INDEX(Calc!B9:F9,1,5)), INDEX(Calc!B4:F4,1,5))</f>
        <v>866732.91145298386</v>
      </c>
      <c r="H31" s="2">
        <f>IF(Scenarios!E7=1, IF(Scenarios!I7="lease", INDEX(Calc!B5:F5,1,5)*INDEX(Calc!B8:F8,1,5), INDEX(Calc!B5:F5,1,5)*INDEX(Calc!B9:F9,1,5)), INDEX(Calc!B5:F5,1,5))</f>
        <v>199652.09477827488</v>
      </c>
      <c r="I31" s="2">
        <f>INDEX(Calc!B3:F3,1,5)</f>
        <v>7869.1704022968697</v>
      </c>
      <c r="J31" s="2">
        <f>IF("FY2030"="FY2026", (IF(Scenarios!D7=1, Parameters!B9,0) + IF(Scenarios!E7=1, Parameters!B9,0)), 0)</f>
        <v>0</v>
      </c>
      <c r="K31">
        <f>1-Parameters!B4</f>
        <v>0.7</v>
      </c>
      <c r="L31">
        <f>Scenarios!G7</f>
        <v>0</v>
      </c>
      <c r="M31" s="2"/>
      <c r="N31" s="2" t="e">
        <f t="shared" si="1"/>
        <v>#N/A</v>
      </c>
    </row>
    <row r="32" spans="1:14" x14ac:dyDescent="0.35">
      <c r="A32" t="str">
        <f>Scenarios!A8</f>
        <v>D_Grow_Both_0</v>
      </c>
      <c r="B32" t="s">
        <v>19</v>
      </c>
      <c r="C32">
        <f>Scenarios!C8</f>
        <v>0</v>
      </c>
      <c r="F32">
        <f t="shared" si="0"/>
        <v>0</v>
      </c>
      <c r="G32" s="2">
        <f>IF(Scenarios!D8=1, IF(Scenarios!I8="lease", INDEX(Calc!B4:F4,1,1)*INDEX(Calc!B8:F8,1,1), INDEX(Calc!B4:F4,1,1)*INDEX(Calc!B9:F9,1,1)), INDEX(Calc!B4:F4,1,1))</f>
        <v>785217.23999999987</v>
      </c>
      <c r="H32" s="2">
        <f>IF(Scenarios!E8=1, IF(Scenarios!I8="lease", INDEX(Calc!B5:F5,1,1)*INDEX(Calc!B8:F8,1,1), INDEX(Calc!B5:F5,1,1)*INDEX(Calc!B9:F9,1,1)), INDEX(Calc!B5:F5,1,1))</f>
        <v>904374.71999999986</v>
      </c>
      <c r="I32" s="2">
        <f>INDEX(Calc!B3:F3,1,1)</f>
        <v>7129.0799999999981</v>
      </c>
      <c r="J32" s="2">
        <f>IF("FY2026"="FY2026", (IF(Scenarios!D8=1, Parameters!B9,0) + IF(Scenarios!E8=1, Parameters!B9,0)), 0)</f>
        <v>0</v>
      </c>
      <c r="K32">
        <f>1-Parameters!B4</f>
        <v>0.7</v>
      </c>
      <c r="L32">
        <f>Scenarios!G8</f>
        <v>0</v>
      </c>
      <c r="M32" s="2"/>
      <c r="N32" s="2" t="e">
        <f t="shared" si="1"/>
        <v>#N/A</v>
      </c>
    </row>
    <row r="33" spans="1:14" x14ac:dyDescent="0.35">
      <c r="A33" t="str">
        <f>Scenarios!A8</f>
        <v>D_Grow_Both_0</v>
      </c>
      <c r="B33" t="s">
        <v>20</v>
      </c>
      <c r="C33">
        <f>Scenarios!C8</f>
        <v>0</v>
      </c>
      <c r="F33">
        <f t="shared" si="0"/>
        <v>0</v>
      </c>
      <c r="G33" s="2">
        <f>IF(Scenarios!D8=1, IF(Scenarios!I8="lease", INDEX(Calc!B4:F4,1,2)*INDEX(Calc!B8:F8,1,2), INDEX(Calc!B4:F4,1,2)*INDEX(Calc!B9:F9,1,2)), INDEX(Calc!B4:F4,1,2))</f>
        <v>804847.67099999986</v>
      </c>
      <c r="H33" s="2">
        <f>IF(Scenarios!E8=1, IF(Scenarios!I8="lease", INDEX(Calc!B5:F5,1,2)*INDEX(Calc!B8:F8,1,2), INDEX(Calc!B5:F5,1,2)*INDEX(Calc!B9:F9,1,2)), INDEX(Calc!B5:F5,1,2))</f>
        <v>926984.08799999976</v>
      </c>
      <c r="I33" s="2">
        <f>INDEX(Calc!B3:F3,1,2)</f>
        <v>7307.306999999998</v>
      </c>
      <c r="J33" s="2">
        <f>IF("FY2027"="FY2026", (IF(Scenarios!D8=1, Parameters!B9,0) + IF(Scenarios!E8=1, Parameters!B9,0)), 0)</f>
        <v>0</v>
      </c>
      <c r="K33">
        <f>1-Parameters!B4</f>
        <v>0.7</v>
      </c>
      <c r="L33">
        <f>Scenarios!G8</f>
        <v>0</v>
      </c>
      <c r="M33" s="2"/>
      <c r="N33" s="2" t="e">
        <f t="shared" si="1"/>
        <v>#N/A</v>
      </c>
    </row>
    <row r="34" spans="1:14" x14ac:dyDescent="0.35">
      <c r="A34" t="str">
        <f>Scenarios!A8</f>
        <v>D_Grow_Both_0</v>
      </c>
      <c r="B34" t="s">
        <v>21</v>
      </c>
      <c r="C34">
        <f>Scenarios!C8</f>
        <v>0</v>
      </c>
      <c r="F34">
        <f t="shared" ref="F34:F65" si="2">D34+E34</f>
        <v>0</v>
      </c>
      <c r="G34" s="2">
        <f>IF(Scenarios!D8=1, IF(Scenarios!I8="lease", INDEX(Calc!B4:F4,1,3)*INDEX(Calc!B8:F8,1,3), INDEX(Calc!B4:F4,1,3)*INDEX(Calc!B9:F9,1,3)), INDEX(Calc!B4:F4,1,3))</f>
        <v>824968.86277499981</v>
      </c>
      <c r="H34" s="2">
        <f>IF(Scenarios!E8=1, IF(Scenarios!I8="lease", INDEX(Calc!B5:F5,1,3)*INDEX(Calc!B8:F8,1,3), INDEX(Calc!B5:F5,1,3)*INDEX(Calc!B9:F9,1,3)), INDEX(Calc!B5:F5,1,3))</f>
        <v>950158.69019999972</v>
      </c>
      <c r="I34" s="2">
        <f>INDEX(Calc!B3:F3,1,3)</f>
        <v>7489.9896749999962</v>
      </c>
      <c r="J34" s="2">
        <f>IF("FY2028"="FY2026", (IF(Scenarios!D8=1, Parameters!B9,0) + IF(Scenarios!E8=1, Parameters!B9,0)), 0)</f>
        <v>0</v>
      </c>
      <c r="K34">
        <f>1-Parameters!B4</f>
        <v>0.7</v>
      </c>
      <c r="L34">
        <f>Scenarios!G8</f>
        <v>0</v>
      </c>
      <c r="M34" s="2"/>
      <c r="N34" s="2" t="e">
        <f t="shared" ref="N34:N65" si="3">IF(F34&gt;0, L34/F34, NA())</f>
        <v>#N/A</v>
      </c>
    </row>
    <row r="35" spans="1:14" x14ac:dyDescent="0.35">
      <c r="A35" t="str">
        <f>Scenarios!A8</f>
        <v>D_Grow_Both_0</v>
      </c>
      <c r="B35" t="s">
        <v>22</v>
      </c>
      <c r="C35">
        <f>Scenarios!C8</f>
        <v>0</v>
      </c>
      <c r="F35">
        <f t="shared" si="2"/>
        <v>0</v>
      </c>
      <c r="G35" s="2">
        <f>IF(Scenarios!D8=1, IF(Scenarios!I8="lease", INDEX(Calc!B4:F4,1,4)*INDEX(Calc!B8:F8,1,4), INDEX(Calc!B4:F4,1,4)*INDEX(Calc!B9:F9,1,4)), INDEX(Calc!B4:F4,1,4))</f>
        <v>845593.0843443746</v>
      </c>
      <c r="H35" s="2">
        <f>IF(Scenarios!E8=1, IF(Scenarios!I8="lease", INDEX(Calc!B5:F5,1,4)*INDEX(Calc!B8:F8,1,4), INDEX(Calc!B5:F5,1,4)*INDEX(Calc!B9:F9,1,4)), INDEX(Calc!B5:F5,1,4))</f>
        <v>973912.65745499951</v>
      </c>
      <c r="I35" s="2">
        <f>INDEX(Calc!B3:F3,1,4)</f>
        <v>7677.2394168749952</v>
      </c>
      <c r="J35" s="2">
        <f>IF("FY2029"="FY2026", (IF(Scenarios!D8=1, Parameters!B9,0) + IF(Scenarios!E8=1, Parameters!B9,0)), 0)</f>
        <v>0</v>
      </c>
      <c r="K35">
        <f>1-Parameters!B4</f>
        <v>0.7</v>
      </c>
      <c r="L35">
        <f>Scenarios!G8</f>
        <v>0</v>
      </c>
      <c r="M35" s="2"/>
      <c r="N35" s="2" t="e">
        <f t="shared" si="3"/>
        <v>#N/A</v>
      </c>
    </row>
    <row r="36" spans="1:14" x14ac:dyDescent="0.35">
      <c r="A36" t="str">
        <f>Scenarios!A8</f>
        <v>D_Grow_Both_0</v>
      </c>
      <c r="B36" t="s">
        <v>23</v>
      </c>
      <c r="C36">
        <f>Scenarios!C8</f>
        <v>0</v>
      </c>
      <c r="F36">
        <f t="shared" si="2"/>
        <v>0</v>
      </c>
      <c r="G36" s="2">
        <f>IF(Scenarios!D8=1, IF(Scenarios!I8="lease", INDEX(Calc!B4:F4,1,5)*INDEX(Calc!B8:F8,1,5), INDEX(Calc!B4:F4,1,5)*INDEX(Calc!B9:F9,1,5)), INDEX(Calc!B4:F4,1,5))</f>
        <v>866732.91145298386</v>
      </c>
      <c r="H36" s="2">
        <f>IF(Scenarios!E8=1, IF(Scenarios!I8="lease", INDEX(Calc!B5:F5,1,5)*INDEX(Calc!B8:F8,1,5), INDEX(Calc!B5:F5,1,5)*INDEX(Calc!B9:F9,1,5)), INDEX(Calc!B5:F5,1,5))</f>
        <v>998260.47389137442</v>
      </c>
      <c r="I36" s="2">
        <f>INDEX(Calc!B3:F3,1,5)</f>
        <v>7869.1704022968697</v>
      </c>
      <c r="J36" s="2">
        <f>IF("FY2030"="FY2026", (IF(Scenarios!D8=1, Parameters!B9,0) + IF(Scenarios!E8=1, Parameters!B9,0)), 0)</f>
        <v>0</v>
      </c>
      <c r="K36">
        <f>1-Parameters!B4</f>
        <v>0.7</v>
      </c>
      <c r="L36">
        <f>Scenarios!G8</f>
        <v>0</v>
      </c>
      <c r="M36" s="2"/>
      <c r="N36" s="2" t="e">
        <f t="shared" si="3"/>
        <v>#N/A</v>
      </c>
    </row>
    <row r="37" spans="1:14" x14ac:dyDescent="0.35">
      <c r="A37" t="str">
        <f>Scenarios!A9</f>
        <v>D_Grow_Both_100</v>
      </c>
      <c r="B37" t="s">
        <v>19</v>
      </c>
      <c r="C37">
        <f>Scenarios!C9</f>
        <v>100</v>
      </c>
      <c r="F37">
        <f t="shared" si="2"/>
        <v>0</v>
      </c>
      <c r="G37" s="2">
        <f>IF(Scenarios!D9=1, IF(Scenarios!I9="lease", INDEX(Calc!B4:F4,1,1)*INDEX(Calc!B8:F8,1,1), INDEX(Calc!B4:F4,1,1)*INDEX(Calc!B9:F9,1,1)), INDEX(Calc!B4:F4,1,1))</f>
        <v>785217.23999999987</v>
      </c>
      <c r="H37" s="2">
        <f>IF(Scenarios!E9=1, IF(Scenarios!I9="lease", INDEX(Calc!B5:F5,1,1)*INDEX(Calc!B8:F8,1,1), INDEX(Calc!B5:F5,1,1)*INDEX(Calc!B9:F9,1,1)), INDEX(Calc!B5:F5,1,1))</f>
        <v>904374.71999999986</v>
      </c>
      <c r="I37" s="2">
        <f>INDEX(Calc!B3:F3,1,1)</f>
        <v>7129.0799999999981</v>
      </c>
      <c r="J37" s="2">
        <f>IF("FY2026"="FY2026", (IF(Scenarios!D9=1, Parameters!B9,0) + IF(Scenarios!E9=1, Parameters!B9,0)), 0)</f>
        <v>0</v>
      </c>
      <c r="K37">
        <f>1-Parameters!B4</f>
        <v>0.7</v>
      </c>
      <c r="L37">
        <f>Scenarios!G9</f>
        <v>0</v>
      </c>
      <c r="M37" s="2"/>
      <c r="N37" s="2" t="e">
        <f t="shared" si="3"/>
        <v>#N/A</v>
      </c>
    </row>
    <row r="38" spans="1:14" x14ac:dyDescent="0.35">
      <c r="A38" t="str">
        <f>Scenarios!A9</f>
        <v>D_Grow_Both_100</v>
      </c>
      <c r="B38" t="s">
        <v>20</v>
      </c>
      <c r="C38">
        <f>Scenarios!C9</f>
        <v>100</v>
      </c>
      <c r="F38">
        <f t="shared" si="2"/>
        <v>0</v>
      </c>
      <c r="G38" s="2">
        <f>IF(Scenarios!D9=1, IF(Scenarios!I9="lease", INDEX(Calc!B4:F4,1,2)*INDEX(Calc!B8:F8,1,2), INDEX(Calc!B4:F4,1,2)*INDEX(Calc!B9:F9,1,2)), INDEX(Calc!B4:F4,1,2))</f>
        <v>804847.67099999986</v>
      </c>
      <c r="H38" s="2">
        <f>IF(Scenarios!E9=1, IF(Scenarios!I9="lease", INDEX(Calc!B5:F5,1,2)*INDEX(Calc!B8:F8,1,2), INDEX(Calc!B5:F5,1,2)*INDEX(Calc!B9:F9,1,2)), INDEX(Calc!B5:F5,1,2))</f>
        <v>926984.08799999976</v>
      </c>
      <c r="I38" s="2">
        <f>INDEX(Calc!B3:F3,1,2)</f>
        <v>7307.306999999998</v>
      </c>
      <c r="J38" s="2">
        <f>IF("FY2027"="FY2026", (IF(Scenarios!D9=1, Parameters!B9,0) + IF(Scenarios!E9=1, Parameters!B9,0)), 0)</f>
        <v>0</v>
      </c>
      <c r="K38">
        <f>1-Parameters!B4</f>
        <v>0.7</v>
      </c>
      <c r="L38">
        <f>Scenarios!G9</f>
        <v>0</v>
      </c>
      <c r="M38" s="2"/>
      <c r="N38" s="2" t="e">
        <f t="shared" si="3"/>
        <v>#N/A</v>
      </c>
    </row>
    <row r="39" spans="1:14" x14ac:dyDescent="0.35">
      <c r="A39" t="str">
        <f>Scenarios!A9</f>
        <v>D_Grow_Both_100</v>
      </c>
      <c r="B39" t="s">
        <v>21</v>
      </c>
      <c r="C39">
        <f>Scenarios!C9</f>
        <v>100</v>
      </c>
      <c r="F39">
        <f t="shared" si="2"/>
        <v>0</v>
      </c>
      <c r="G39" s="2">
        <f>IF(Scenarios!D9=1, IF(Scenarios!I9="lease", INDEX(Calc!B4:F4,1,3)*INDEX(Calc!B8:F8,1,3), INDEX(Calc!B4:F4,1,3)*INDEX(Calc!B9:F9,1,3)), INDEX(Calc!B4:F4,1,3))</f>
        <v>824968.86277499981</v>
      </c>
      <c r="H39" s="2">
        <f>IF(Scenarios!E9=1, IF(Scenarios!I9="lease", INDEX(Calc!B5:F5,1,3)*INDEX(Calc!B8:F8,1,3), INDEX(Calc!B5:F5,1,3)*INDEX(Calc!B9:F9,1,3)), INDEX(Calc!B5:F5,1,3))</f>
        <v>950158.69019999972</v>
      </c>
      <c r="I39" s="2">
        <f>INDEX(Calc!B3:F3,1,3)</f>
        <v>7489.9896749999962</v>
      </c>
      <c r="J39" s="2">
        <f>IF("FY2028"="FY2026", (IF(Scenarios!D9=1, Parameters!B9,0) + IF(Scenarios!E9=1, Parameters!B9,0)), 0)</f>
        <v>0</v>
      </c>
      <c r="K39">
        <f>1-Parameters!B4</f>
        <v>0.7</v>
      </c>
      <c r="L39">
        <f>Scenarios!G9</f>
        <v>0</v>
      </c>
      <c r="M39" s="2"/>
      <c r="N39" s="2" t="e">
        <f t="shared" si="3"/>
        <v>#N/A</v>
      </c>
    </row>
    <row r="40" spans="1:14" x14ac:dyDescent="0.35">
      <c r="A40" t="str">
        <f>Scenarios!A9</f>
        <v>D_Grow_Both_100</v>
      </c>
      <c r="B40" t="s">
        <v>22</v>
      </c>
      <c r="C40">
        <f>Scenarios!C9</f>
        <v>100</v>
      </c>
      <c r="F40">
        <f t="shared" si="2"/>
        <v>0</v>
      </c>
      <c r="G40" s="2">
        <f>IF(Scenarios!D9=1, IF(Scenarios!I9="lease", INDEX(Calc!B4:F4,1,4)*INDEX(Calc!B8:F8,1,4), INDEX(Calc!B4:F4,1,4)*INDEX(Calc!B9:F9,1,4)), INDEX(Calc!B4:F4,1,4))</f>
        <v>845593.0843443746</v>
      </c>
      <c r="H40" s="2">
        <f>IF(Scenarios!E9=1, IF(Scenarios!I9="lease", INDEX(Calc!B5:F5,1,4)*INDEX(Calc!B8:F8,1,4), INDEX(Calc!B5:F5,1,4)*INDEX(Calc!B9:F9,1,4)), INDEX(Calc!B5:F5,1,4))</f>
        <v>973912.65745499951</v>
      </c>
      <c r="I40" s="2">
        <f>INDEX(Calc!B3:F3,1,4)</f>
        <v>7677.2394168749952</v>
      </c>
      <c r="J40" s="2">
        <f>IF("FY2029"="FY2026", (IF(Scenarios!D9=1, Parameters!B9,0) + IF(Scenarios!E9=1, Parameters!B9,0)), 0)</f>
        <v>0</v>
      </c>
      <c r="K40">
        <f>1-Parameters!B4</f>
        <v>0.7</v>
      </c>
      <c r="L40">
        <f>Scenarios!G9</f>
        <v>0</v>
      </c>
      <c r="M40" s="2"/>
      <c r="N40" s="2" t="e">
        <f t="shared" si="3"/>
        <v>#N/A</v>
      </c>
    </row>
    <row r="41" spans="1:14" x14ac:dyDescent="0.35">
      <c r="A41" t="str">
        <f>Scenarios!A9</f>
        <v>D_Grow_Both_100</v>
      </c>
      <c r="B41" t="s">
        <v>23</v>
      </c>
      <c r="C41">
        <f>Scenarios!C9</f>
        <v>100</v>
      </c>
      <c r="F41">
        <f t="shared" si="2"/>
        <v>0</v>
      </c>
      <c r="G41" s="2">
        <f>IF(Scenarios!D9=1, IF(Scenarios!I9="lease", INDEX(Calc!B4:F4,1,5)*INDEX(Calc!B8:F8,1,5), INDEX(Calc!B4:F4,1,5)*INDEX(Calc!B9:F9,1,5)), INDEX(Calc!B4:F4,1,5))</f>
        <v>866732.91145298386</v>
      </c>
      <c r="H41" s="2">
        <f>IF(Scenarios!E9=1, IF(Scenarios!I9="lease", INDEX(Calc!B5:F5,1,5)*INDEX(Calc!B8:F8,1,5), INDEX(Calc!B5:F5,1,5)*INDEX(Calc!B9:F9,1,5)), INDEX(Calc!B5:F5,1,5))</f>
        <v>998260.47389137442</v>
      </c>
      <c r="I41" s="2">
        <f>INDEX(Calc!B3:F3,1,5)</f>
        <v>7869.1704022968697</v>
      </c>
      <c r="J41" s="2">
        <f>IF("FY2030"="FY2026", (IF(Scenarios!D9=1, Parameters!B9,0) + IF(Scenarios!E9=1, Parameters!B9,0)), 0)</f>
        <v>0</v>
      </c>
      <c r="K41">
        <f>1-Parameters!B4</f>
        <v>0.7</v>
      </c>
      <c r="L41">
        <f>Scenarios!G9</f>
        <v>0</v>
      </c>
      <c r="M41" s="2"/>
      <c r="N41" s="2" t="e">
        <f t="shared" si="3"/>
        <v>#N/A</v>
      </c>
    </row>
    <row r="42" spans="1:14" x14ac:dyDescent="0.35">
      <c r="A42" t="str">
        <f>Scenarios!A10</f>
        <v>D_Grow_Both_150</v>
      </c>
      <c r="B42" t="s">
        <v>19</v>
      </c>
      <c r="C42">
        <f>Scenarios!C10</f>
        <v>150</v>
      </c>
      <c r="F42">
        <f t="shared" si="2"/>
        <v>0</v>
      </c>
      <c r="G42" s="2">
        <f>IF(Scenarios!D10=1, IF(Scenarios!I10="lease", INDEX(Calc!B4:F4,1,1)*INDEX(Calc!B8:F8,1,1), INDEX(Calc!B4:F4,1,1)*INDEX(Calc!B9:F9,1,1)), INDEX(Calc!B4:F4,1,1))</f>
        <v>785217.23999999987</v>
      </c>
      <c r="H42" s="2">
        <f>IF(Scenarios!E10=1, IF(Scenarios!I10="lease", INDEX(Calc!B5:F5,1,1)*INDEX(Calc!B8:F8,1,1), INDEX(Calc!B5:F5,1,1)*INDEX(Calc!B9:F9,1,1)), INDEX(Calc!B5:F5,1,1))</f>
        <v>904374.71999999986</v>
      </c>
      <c r="I42" s="2">
        <f>INDEX(Calc!B3:F3,1,1)</f>
        <v>7129.0799999999981</v>
      </c>
      <c r="J42" s="2">
        <f>IF("FY2026"="FY2026", (IF(Scenarios!D10=1, Parameters!B9,0) + IF(Scenarios!E10=1, Parameters!B9,0)), 0)</f>
        <v>0</v>
      </c>
      <c r="K42">
        <f>1-Parameters!B4</f>
        <v>0.7</v>
      </c>
      <c r="L42">
        <f>Scenarios!G10</f>
        <v>0</v>
      </c>
      <c r="M42" s="2"/>
      <c r="N42" s="2" t="e">
        <f t="shared" si="3"/>
        <v>#N/A</v>
      </c>
    </row>
    <row r="43" spans="1:14" x14ac:dyDescent="0.35">
      <c r="A43" t="str">
        <f>Scenarios!A10</f>
        <v>D_Grow_Both_150</v>
      </c>
      <c r="B43" t="s">
        <v>20</v>
      </c>
      <c r="C43">
        <f>Scenarios!C10</f>
        <v>150</v>
      </c>
      <c r="F43">
        <f t="shared" si="2"/>
        <v>0</v>
      </c>
      <c r="G43" s="2">
        <f>IF(Scenarios!D10=1, IF(Scenarios!I10="lease", INDEX(Calc!B4:F4,1,2)*INDEX(Calc!B8:F8,1,2), INDEX(Calc!B4:F4,1,2)*INDEX(Calc!B9:F9,1,2)), INDEX(Calc!B4:F4,1,2))</f>
        <v>804847.67099999986</v>
      </c>
      <c r="H43" s="2">
        <f>IF(Scenarios!E10=1, IF(Scenarios!I10="lease", INDEX(Calc!B5:F5,1,2)*INDEX(Calc!B8:F8,1,2), INDEX(Calc!B5:F5,1,2)*INDEX(Calc!B9:F9,1,2)), INDEX(Calc!B5:F5,1,2))</f>
        <v>926984.08799999976</v>
      </c>
      <c r="I43" s="2">
        <f>INDEX(Calc!B3:F3,1,2)</f>
        <v>7307.306999999998</v>
      </c>
      <c r="J43" s="2">
        <f>IF("FY2027"="FY2026", (IF(Scenarios!D10=1, Parameters!B9,0) + IF(Scenarios!E10=1, Parameters!B9,0)), 0)</f>
        <v>0</v>
      </c>
      <c r="K43">
        <f>1-Parameters!B4</f>
        <v>0.7</v>
      </c>
      <c r="L43">
        <f>Scenarios!G10</f>
        <v>0</v>
      </c>
      <c r="M43" s="2"/>
      <c r="N43" s="2" t="e">
        <f t="shared" si="3"/>
        <v>#N/A</v>
      </c>
    </row>
    <row r="44" spans="1:14" x14ac:dyDescent="0.35">
      <c r="A44" t="str">
        <f>Scenarios!A10</f>
        <v>D_Grow_Both_150</v>
      </c>
      <c r="B44" t="s">
        <v>21</v>
      </c>
      <c r="C44">
        <f>Scenarios!C10</f>
        <v>150</v>
      </c>
      <c r="F44">
        <f t="shared" si="2"/>
        <v>0</v>
      </c>
      <c r="G44" s="2">
        <f>IF(Scenarios!D10=1, IF(Scenarios!I10="lease", INDEX(Calc!B4:F4,1,3)*INDEX(Calc!B8:F8,1,3), INDEX(Calc!B4:F4,1,3)*INDEX(Calc!B9:F9,1,3)), INDEX(Calc!B4:F4,1,3))</f>
        <v>824968.86277499981</v>
      </c>
      <c r="H44" s="2">
        <f>IF(Scenarios!E10=1, IF(Scenarios!I10="lease", INDEX(Calc!B5:F5,1,3)*INDEX(Calc!B8:F8,1,3), INDEX(Calc!B5:F5,1,3)*INDEX(Calc!B9:F9,1,3)), INDEX(Calc!B5:F5,1,3))</f>
        <v>950158.69019999972</v>
      </c>
      <c r="I44" s="2">
        <f>INDEX(Calc!B3:F3,1,3)</f>
        <v>7489.9896749999962</v>
      </c>
      <c r="J44" s="2">
        <f>IF("FY2028"="FY2026", (IF(Scenarios!D10=1, Parameters!B9,0) + IF(Scenarios!E10=1, Parameters!B9,0)), 0)</f>
        <v>0</v>
      </c>
      <c r="K44">
        <f>1-Parameters!B4</f>
        <v>0.7</v>
      </c>
      <c r="L44">
        <f>Scenarios!G10</f>
        <v>0</v>
      </c>
      <c r="M44" s="2"/>
      <c r="N44" s="2" t="e">
        <f t="shared" si="3"/>
        <v>#N/A</v>
      </c>
    </row>
    <row r="45" spans="1:14" x14ac:dyDescent="0.35">
      <c r="A45" t="str">
        <f>Scenarios!A10</f>
        <v>D_Grow_Both_150</v>
      </c>
      <c r="B45" t="s">
        <v>22</v>
      </c>
      <c r="C45">
        <f>Scenarios!C10</f>
        <v>150</v>
      </c>
      <c r="F45">
        <f t="shared" si="2"/>
        <v>0</v>
      </c>
      <c r="G45" s="2">
        <f>IF(Scenarios!D10=1, IF(Scenarios!I10="lease", INDEX(Calc!B4:F4,1,4)*INDEX(Calc!B8:F8,1,4), INDEX(Calc!B4:F4,1,4)*INDEX(Calc!B9:F9,1,4)), INDEX(Calc!B4:F4,1,4))</f>
        <v>845593.0843443746</v>
      </c>
      <c r="H45" s="2">
        <f>IF(Scenarios!E10=1, IF(Scenarios!I10="lease", INDEX(Calc!B5:F5,1,4)*INDEX(Calc!B8:F8,1,4), INDEX(Calc!B5:F5,1,4)*INDEX(Calc!B9:F9,1,4)), INDEX(Calc!B5:F5,1,4))</f>
        <v>973912.65745499951</v>
      </c>
      <c r="I45" s="2">
        <f>INDEX(Calc!B3:F3,1,4)</f>
        <v>7677.2394168749952</v>
      </c>
      <c r="J45" s="2">
        <f>IF("FY2029"="FY2026", (IF(Scenarios!D10=1, Parameters!B9,0) + IF(Scenarios!E10=1, Parameters!B9,0)), 0)</f>
        <v>0</v>
      </c>
      <c r="K45">
        <f>1-Parameters!B4</f>
        <v>0.7</v>
      </c>
      <c r="L45">
        <f>Scenarios!G10</f>
        <v>0</v>
      </c>
      <c r="M45" s="2"/>
      <c r="N45" s="2" t="e">
        <f t="shared" si="3"/>
        <v>#N/A</v>
      </c>
    </row>
    <row r="46" spans="1:14" x14ac:dyDescent="0.35">
      <c r="A46" t="str">
        <f>Scenarios!A10</f>
        <v>D_Grow_Both_150</v>
      </c>
      <c r="B46" t="s">
        <v>23</v>
      </c>
      <c r="C46">
        <f>Scenarios!C10</f>
        <v>150</v>
      </c>
      <c r="F46">
        <f t="shared" si="2"/>
        <v>0</v>
      </c>
      <c r="G46" s="2">
        <f>IF(Scenarios!D10=1, IF(Scenarios!I10="lease", INDEX(Calc!B4:F4,1,5)*INDEX(Calc!B8:F8,1,5), INDEX(Calc!B4:F4,1,5)*INDEX(Calc!B9:F9,1,5)), INDEX(Calc!B4:F4,1,5))</f>
        <v>866732.91145298386</v>
      </c>
      <c r="H46" s="2">
        <f>IF(Scenarios!E10=1, IF(Scenarios!I10="lease", INDEX(Calc!B5:F5,1,5)*INDEX(Calc!B8:F8,1,5), INDEX(Calc!B5:F5,1,5)*INDEX(Calc!B9:F9,1,5)), INDEX(Calc!B5:F5,1,5))</f>
        <v>998260.47389137442</v>
      </c>
      <c r="I46" s="2">
        <f>INDEX(Calc!B3:F3,1,5)</f>
        <v>7869.1704022968697</v>
      </c>
      <c r="J46" s="2">
        <f>IF("FY2030"="FY2026", (IF(Scenarios!D10=1, Parameters!B9,0) + IF(Scenarios!E10=1, Parameters!B9,0)), 0)</f>
        <v>0</v>
      </c>
      <c r="K46">
        <f>1-Parameters!B4</f>
        <v>0.7</v>
      </c>
      <c r="L46">
        <f>Scenarios!G10</f>
        <v>0</v>
      </c>
      <c r="M46" s="2"/>
      <c r="N46" s="2" t="e">
        <f t="shared" si="3"/>
        <v>#N/A</v>
      </c>
    </row>
    <row r="47" spans="1:14" x14ac:dyDescent="0.35">
      <c r="A47" t="str">
        <f>Scenarios!A11</f>
        <v>E_StatusQuo_Targets_0</v>
      </c>
      <c r="B47" t="s">
        <v>19</v>
      </c>
      <c r="C47">
        <f>Scenarios!C11</f>
        <v>0</v>
      </c>
      <c r="F47">
        <f t="shared" si="2"/>
        <v>0</v>
      </c>
      <c r="G47" s="2">
        <f>IF(Scenarios!D11=1, IF(Scenarios!I11="lease", INDEX(Calc!B4:F4,1,1)*INDEX(Calc!B8:F8,1,1), INDEX(Calc!B4:F4,1,1)*INDEX(Calc!B9:F9,1,1)), INDEX(Calc!B4:F4,1,1))</f>
        <v>785217.23999999987</v>
      </c>
      <c r="H47" s="2">
        <f>IF(Scenarios!E11=1, IF(Scenarios!I11="lease", INDEX(Calc!B5:F5,1,1)*INDEX(Calc!B8:F8,1,1), INDEX(Calc!B5:F5,1,1)*INDEX(Calc!B9:F9,1,1)), INDEX(Calc!B5:F5,1,1))</f>
        <v>904374.71999999986</v>
      </c>
      <c r="I47" s="2">
        <f>INDEX(Calc!B3:F3,1,1)</f>
        <v>7129.0799999999981</v>
      </c>
      <c r="J47" s="2">
        <f>IF("FY2026"="FY2026", (IF(Scenarios!D11=1, Parameters!B9,0) + IF(Scenarios!E11=1, Parameters!B9,0)), 0)</f>
        <v>0</v>
      </c>
      <c r="K47">
        <f>1-Parameters!B4</f>
        <v>0.7</v>
      </c>
      <c r="L47">
        <f>Scenarios!G11</f>
        <v>0</v>
      </c>
      <c r="M47" s="2"/>
      <c r="N47" s="2" t="e">
        <f t="shared" si="3"/>
        <v>#N/A</v>
      </c>
    </row>
    <row r="48" spans="1:14" x14ac:dyDescent="0.35">
      <c r="A48" t="str">
        <f>Scenarios!A11</f>
        <v>E_StatusQuo_Targets_0</v>
      </c>
      <c r="B48" t="s">
        <v>20</v>
      </c>
      <c r="C48">
        <f>Scenarios!C11</f>
        <v>0</v>
      </c>
      <c r="F48">
        <f t="shared" si="2"/>
        <v>0</v>
      </c>
      <c r="G48" s="2">
        <f>IF(Scenarios!D11=1, IF(Scenarios!I11="lease", INDEX(Calc!B4:F4,1,2)*INDEX(Calc!B8:F8,1,2), INDEX(Calc!B4:F4,1,2)*INDEX(Calc!B9:F9,1,2)), INDEX(Calc!B4:F4,1,2))</f>
        <v>804847.67099999986</v>
      </c>
      <c r="H48" s="2">
        <f>IF(Scenarios!E11=1, IF(Scenarios!I11="lease", INDEX(Calc!B5:F5,1,2)*INDEX(Calc!B8:F8,1,2), INDEX(Calc!B5:F5,1,2)*INDEX(Calc!B9:F9,1,2)), INDEX(Calc!B5:F5,1,2))</f>
        <v>926984.08799999976</v>
      </c>
      <c r="I48" s="2">
        <f>INDEX(Calc!B3:F3,1,2)</f>
        <v>7307.306999999998</v>
      </c>
      <c r="J48" s="2">
        <f>IF("FY2027"="FY2026", (IF(Scenarios!D11=1, Parameters!B9,0) + IF(Scenarios!E11=1, Parameters!B9,0)), 0)</f>
        <v>0</v>
      </c>
      <c r="K48">
        <f>1-Parameters!B4</f>
        <v>0.7</v>
      </c>
      <c r="L48">
        <f>Scenarios!G11</f>
        <v>0</v>
      </c>
      <c r="M48" s="2"/>
      <c r="N48" s="2" t="e">
        <f t="shared" si="3"/>
        <v>#N/A</v>
      </c>
    </row>
    <row r="49" spans="1:14" x14ac:dyDescent="0.35">
      <c r="A49" t="str">
        <f>Scenarios!A11</f>
        <v>E_StatusQuo_Targets_0</v>
      </c>
      <c r="B49" t="s">
        <v>21</v>
      </c>
      <c r="C49">
        <f>Scenarios!C11</f>
        <v>0</v>
      </c>
      <c r="F49">
        <f t="shared" si="2"/>
        <v>0</v>
      </c>
      <c r="G49" s="2">
        <f>IF(Scenarios!D11=1, IF(Scenarios!I11="lease", INDEX(Calc!B4:F4,1,3)*INDEX(Calc!B8:F8,1,3), INDEX(Calc!B4:F4,1,3)*INDEX(Calc!B9:F9,1,3)), INDEX(Calc!B4:F4,1,3))</f>
        <v>824968.86277499981</v>
      </c>
      <c r="H49" s="2">
        <f>IF(Scenarios!E11=1, IF(Scenarios!I11="lease", INDEX(Calc!B5:F5,1,3)*INDEX(Calc!B8:F8,1,3), INDEX(Calc!B5:F5,1,3)*INDEX(Calc!B9:F9,1,3)), INDEX(Calc!B5:F5,1,3))</f>
        <v>950158.69019999972</v>
      </c>
      <c r="I49" s="2">
        <f>INDEX(Calc!B3:F3,1,3)</f>
        <v>7489.9896749999962</v>
      </c>
      <c r="J49" s="2">
        <f>IF("FY2028"="FY2026", (IF(Scenarios!D11=1, Parameters!B9,0) + IF(Scenarios!E11=1, Parameters!B9,0)), 0)</f>
        <v>0</v>
      </c>
      <c r="K49">
        <f>1-Parameters!B4</f>
        <v>0.7</v>
      </c>
      <c r="L49">
        <f>Scenarios!G11</f>
        <v>0</v>
      </c>
      <c r="M49" s="2"/>
      <c r="N49" s="2" t="e">
        <f t="shared" si="3"/>
        <v>#N/A</v>
      </c>
    </row>
    <row r="50" spans="1:14" x14ac:dyDescent="0.35">
      <c r="A50" t="str">
        <f>Scenarios!A11</f>
        <v>E_StatusQuo_Targets_0</v>
      </c>
      <c r="B50" t="s">
        <v>22</v>
      </c>
      <c r="C50">
        <f>Scenarios!C11</f>
        <v>0</v>
      </c>
      <c r="F50">
        <f t="shared" si="2"/>
        <v>0</v>
      </c>
      <c r="G50" s="2">
        <f>IF(Scenarios!D11=1, IF(Scenarios!I11="lease", INDEX(Calc!B4:F4,1,4)*INDEX(Calc!B8:F8,1,4), INDEX(Calc!B4:F4,1,4)*INDEX(Calc!B9:F9,1,4)), INDEX(Calc!B4:F4,1,4))</f>
        <v>845593.0843443746</v>
      </c>
      <c r="H50" s="2">
        <f>IF(Scenarios!E11=1, IF(Scenarios!I11="lease", INDEX(Calc!B5:F5,1,4)*INDEX(Calc!B8:F8,1,4), INDEX(Calc!B5:F5,1,4)*INDEX(Calc!B9:F9,1,4)), INDEX(Calc!B5:F5,1,4))</f>
        <v>973912.65745499951</v>
      </c>
      <c r="I50" s="2">
        <f>INDEX(Calc!B3:F3,1,4)</f>
        <v>7677.2394168749952</v>
      </c>
      <c r="J50" s="2">
        <f>IF("FY2029"="FY2026", (IF(Scenarios!D11=1, Parameters!B9,0) + IF(Scenarios!E11=1, Parameters!B9,0)), 0)</f>
        <v>0</v>
      </c>
      <c r="K50">
        <f>1-Parameters!B4</f>
        <v>0.7</v>
      </c>
      <c r="L50">
        <f>Scenarios!G11</f>
        <v>0</v>
      </c>
      <c r="M50" s="2"/>
      <c r="N50" s="2" t="e">
        <f t="shared" si="3"/>
        <v>#N/A</v>
      </c>
    </row>
    <row r="51" spans="1:14" x14ac:dyDescent="0.35">
      <c r="A51" t="str">
        <f>Scenarios!A11</f>
        <v>E_StatusQuo_Targets_0</v>
      </c>
      <c r="B51" t="s">
        <v>23</v>
      </c>
      <c r="C51">
        <f>Scenarios!C11</f>
        <v>0</v>
      </c>
      <c r="F51">
        <f t="shared" si="2"/>
        <v>0</v>
      </c>
      <c r="G51" s="2">
        <f>IF(Scenarios!D11=1, IF(Scenarios!I11="lease", INDEX(Calc!B4:F4,1,5)*INDEX(Calc!B8:F8,1,5), INDEX(Calc!B4:F4,1,5)*INDEX(Calc!B9:F9,1,5)), INDEX(Calc!B4:F4,1,5))</f>
        <v>866732.91145298386</v>
      </c>
      <c r="H51" s="2">
        <f>IF(Scenarios!E11=1, IF(Scenarios!I11="lease", INDEX(Calc!B5:F5,1,5)*INDEX(Calc!B8:F8,1,5), INDEX(Calc!B5:F5,1,5)*INDEX(Calc!B9:F9,1,5)), INDEX(Calc!B5:F5,1,5))</f>
        <v>998260.47389137442</v>
      </c>
      <c r="I51" s="2">
        <f>INDEX(Calc!B3:F3,1,5)</f>
        <v>7869.1704022968697</v>
      </c>
      <c r="J51" s="2">
        <f>IF("FY2030"="FY2026", (IF(Scenarios!D11=1, Parameters!B9,0) + IF(Scenarios!E11=1, Parameters!B9,0)), 0)</f>
        <v>0</v>
      </c>
      <c r="K51">
        <f>1-Parameters!B4</f>
        <v>0.7</v>
      </c>
      <c r="L51">
        <f>Scenarios!G11</f>
        <v>0</v>
      </c>
      <c r="M51" s="2"/>
      <c r="N51" s="2" t="e">
        <f t="shared" si="3"/>
        <v>#N/A</v>
      </c>
    </row>
    <row r="52" spans="1:14" x14ac:dyDescent="0.35">
      <c r="A52" t="str">
        <f>Scenarios!A12</f>
        <v>E_StatusQuo_Targets_100</v>
      </c>
      <c r="B52" t="s">
        <v>19</v>
      </c>
      <c r="C52">
        <f>Scenarios!C12</f>
        <v>100</v>
      </c>
      <c r="F52">
        <f t="shared" si="2"/>
        <v>0</v>
      </c>
      <c r="G52" s="2">
        <f>IF(Scenarios!D12=1, IF(Scenarios!I12="lease", INDEX(Calc!B4:F4,1,1)*INDEX(Calc!B8:F8,1,1), INDEX(Calc!B4:F4,1,1)*INDEX(Calc!B9:F9,1,1)), INDEX(Calc!B4:F4,1,1))</f>
        <v>785217.23999999987</v>
      </c>
      <c r="H52" s="2">
        <f>IF(Scenarios!E12=1, IF(Scenarios!I12="lease", INDEX(Calc!B5:F5,1,1)*INDEX(Calc!B8:F8,1,1), INDEX(Calc!B5:F5,1,1)*INDEX(Calc!B9:F9,1,1)), INDEX(Calc!B5:F5,1,1))</f>
        <v>904374.71999999986</v>
      </c>
      <c r="I52" s="2">
        <f>INDEX(Calc!B3:F3,1,1)</f>
        <v>7129.0799999999981</v>
      </c>
      <c r="J52" s="2">
        <f>IF("FY2026"="FY2026", (IF(Scenarios!D12=1, Parameters!B9,0) + IF(Scenarios!E12=1, Parameters!B9,0)), 0)</f>
        <v>0</v>
      </c>
      <c r="K52">
        <f>1-Parameters!B4</f>
        <v>0.7</v>
      </c>
      <c r="L52">
        <f>Scenarios!G12</f>
        <v>0</v>
      </c>
      <c r="M52" s="2"/>
      <c r="N52" s="2" t="e">
        <f t="shared" si="3"/>
        <v>#N/A</v>
      </c>
    </row>
    <row r="53" spans="1:14" x14ac:dyDescent="0.35">
      <c r="A53" t="str">
        <f>Scenarios!A12</f>
        <v>E_StatusQuo_Targets_100</v>
      </c>
      <c r="B53" t="s">
        <v>20</v>
      </c>
      <c r="C53">
        <f>Scenarios!C12</f>
        <v>100</v>
      </c>
      <c r="F53">
        <f t="shared" si="2"/>
        <v>0</v>
      </c>
      <c r="G53" s="2">
        <f>IF(Scenarios!D12=1, IF(Scenarios!I12="lease", INDEX(Calc!B4:F4,1,2)*INDEX(Calc!B8:F8,1,2), INDEX(Calc!B4:F4,1,2)*INDEX(Calc!B9:F9,1,2)), INDEX(Calc!B4:F4,1,2))</f>
        <v>804847.67099999986</v>
      </c>
      <c r="H53" s="2">
        <f>IF(Scenarios!E12=1, IF(Scenarios!I12="lease", INDEX(Calc!B5:F5,1,2)*INDEX(Calc!B8:F8,1,2), INDEX(Calc!B5:F5,1,2)*INDEX(Calc!B9:F9,1,2)), INDEX(Calc!B5:F5,1,2))</f>
        <v>926984.08799999976</v>
      </c>
      <c r="I53" s="2">
        <f>INDEX(Calc!B3:F3,1,2)</f>
        <v>7307.306999999998</v>
      </c>
      <c r="J53" s="2">
        <f>IF("FY2027"="FY2026", (IF(Scenarios!D12=1, Parameters!B9,0) + IF(Scenarios!E12=1, Parameters!B9,0)), 0)</f>
        <v>0</v>
      </c>
      <c r="K53">
        <f>1-Parameters!B4</f>
        <v>0.7</v>
      </c>
      <c r="L53">
        <f>Scenarios!G12</f>
        <v>0</v>
      </c>
      <c r="M53" s="2"/>
      <c r="N53" s="2" t="e">
        <f t="shared" si="3"/>
        <v>#N/A</v>
      </c>
    </row>
    <row r="54" spans="1:14" x14ac:dyDescent="0.35">
      <c r="A54" t="str">
        <f>Scenarios!A12</f>
        <v>E_StatusQuo_Targets_100</v>
      </c>
      <c r="B54" t="s">
        <v>21</v>
      </c>
      <c r="C54">
        <f>Scenarios!C12</f>
        <v>100</v>
      </c>
      <c r="F54">
        <f t="shared" si="2"/>
        <v>0</v>
      </c>
      <c r="G54" s="2">
        <f>IF(Scenarios!D12=1, IF(Scenarios!I12="lease", INDEX(Calc!B4:F4,1,3)*INDEX(Calc!B8:F8,1,3), INDEX(Calc!B4:F4,1,3)*INDEX(Calc!B9:F9,1,3)), INDEX(Calc!B4:F4,1,3))</f>
        <v>824968.86277499981</v>
      </c>
      <c r="H54" s="2">
        <f>IF(Scenarios!E12=1, IF(Scenarios!I12="lease", INDEX(Calc!B5:F5,1,3)*INDEX(Calc!B8:F8,1,3), INDEX(Calc!B5:F5,1,3)*INDEX(Calc!B9:F9,1,3)), INDEX(Calc!B5:F5,1,3))</f>
        <v>950158.69019999972</v>
      </c>
      <c r="I54" s="2">
        <f>INDEX(Calc!B3:F3,1,3)</f>
        <v>7489.9896749999962</v>
      </c>
      <c r="J54" s="2">
        <f>IF("FY2028"="FY2026", (IF(Scenarios!D12=1, Parameters!B9,0) + IF(Scenarios!E12=1, Parameters!B9,0)), 0)</f>
        <v>0</v>
      </c>
      <c r="K54">
        <f>1-Parameters!B4</f>
        <v>0.7</v>
      </c>
      <c r="L54">
        <f>Scenarios!G12</f>
        <v>0</v>
      </c>
      <c r="M54" s="2"/>
      <c r="N54" s="2" t="e">
        <f t="shared" si="3"/>
        <v>#N/A</v>
      </c>
    </row>
    <row r="55" spans="1:14" x14ac:dyDescent="0.35">
      <c r="A55" t="str">
        <f>Scenarios!A12</f>
        <v>E_StatusQuo_Targets_100</v>
      </c>
      <c r="B55" t="s">
        <v>22</v>
      </c>
      <c r="C55">
        <f>Scenarios!C12</f>
        <v>100</v>
      </c>
      <c r="F55">
        <f t="shared" si="2"/>
        <v>0</v>
      </c>
      <c r="G55" s="2">
        <f>IF(Scenarios!D12=1, IF(Scenarios!I12="lease", INDEX(Calc!B4:F4,1,4)*INDEX(Calc!B8:F8,1,4), INDEX(Calc!B4:F4,1,4)*INDEX(Calc!B9:F9,1,4)), INDEX(Calc!B4:F4,1,4))</f>
        <v>845593.0843443746</v>
      </c>
      <c r="H55" s="2">
        <f>IF(Scenarios!E12=1, IF(Scenarios!I12="lease", INDEX(Calc!B5:F5,1,4)*INDEX(Calc!B8:F8,1,4), INDEX(Calc!B5:F5,1,4)*INDEX(Calc!B9:F9,1,4)), INDEX(Calc!B5:F5,1,4))</f>
        <v>973912.65745499951</v>
      </c>
      <c r="I55" s="2">
        <f>INDEX(Calc!B3:F3,1,4)</f>
        <v>7677.2394168749952</v>
      </c>
      <c r="J55" s="2">
        <f>IF("FY2029"="FY2026", (IF(Scenarios!D12=1, Parameters!B9,0) + IF(Scenarios!E12=1, Parameters!B9,0)), 0)</f>
        <v>0</v>
      </c>
      <c r="K55">
        <f>1-Parameters!B4</f>
        <v>0.7</v>
      </c>
      <c r="L55">
        <f>Scenarios!G12</f>
        <v>0</v>
      </c>
      <c r="M55" s="2"/>
      <c r="N55" s="2" t="e">
        <f t="shared" si="3"/>
        <v>#N/A</v>
      </c>
    </row>
    <row r="56" spans="1:14" x14ac:dyDescent="0.35">
      <c r="A56" t="str">
        <f>Scenarios!A12</f>
        <v>E_StatusQuo_Targets_100</v>
      </c>
      <c r="B56" t="s">
        <v>23</v>
      </c>
      <c r="C56">
        <f>Scenarios!C12</f>
        <v>100</v>
      </c>
      <c r="F56">
        <f t="shared" si="2"/>
        <v>0</v>
      </c>
      <c r="G56" s="2">
        <f>IF(Scenarios!D12=1, IF(Scenarios!I12="lease", INDEX(Calc!B4:F4,1,5)*INDEX(Calc!B8:F8,1,5), INDEX(Calc!B4:F4,1,5)*INDEX(Calc!B9:F9,1,5)), INDEX(Calc!B4:F4,1,5))</f>
        <v>866732.91145298386</v>
      </c>
      <c r="H56" s="2">
        <f>IF(Scenarios!E12=1, IF(Scenarios!I12="lease", INDEX(Calc!B5:F5,1,5)*INDEX(Calc!B8:F8,1,5), INDEX(Calc!B5:F5,1,5)*INDEX(Calc!B9:F9,1,5)), INDEX(Calc!B5:F5,1,5))</f>
        <v>998260.47389137442</v>
      </c>
      <c r="I56" s="2">
        <f>INDEX(Calc!B3:F3,1,5)</f>
        <v>7869.1704022968697</v>
      </c>
      <c r="J56" s="2">
        <f>IF("FY2030"="FY2026", (IF(Scenarios!D12=1, Parameters!B9,0) + IF(Scenarios!E12=1, Parameters!B9,0)), 0)</f>
        <v>0</v>
      </c>
      <c r="K56">
        <f>1-Parameters!B4</f>
        <v>0.7</v>
      </c>
      <c r="L56">
        <f>Scenarios!G12</f>
        <v>0</v>
      </c>
      <c r="M56" s="2"/>
      <c r="N56" s="2" t="e">
        <f t="shared" si="3"/>
        <v>#N/A</v>
      </c>
    </row>
    <row r="57" spans="1:14" x14ac:dyDescent="0.35">
      <c r="A57" t="str">
        <f>Scenarios!A13</f>
        <v>E_StatusQuo_Targets_150</v>
      </c>
      <c r="B57" t="s">
        <v>19</v>
      </c>
      <c r="C57">
        <f>Scenarios!C13</f>
        <v>150</v>
      </c>
      <c r="F57">
        <f t="shared" si="2"/>
        <v>0</v>
      </c>
      <c r="G57" s="2">
        <f>IF(Scenarios!D13=1, IF(Scenarios!I13="lease", INDEX(Calc!B4:F4,1,1)*INDEX(Calc!B8:F8,1,1), INDEX(Calc!B4:F4,1,1)*INDEX(Calc!B9:F9,1,1)), INDEX(Calc!B4:F4,1,1))</f>
        <v>785217.23999999987</v>
      </c>
      <c r="H57" s="2">
        <f>IF(Scenarios!E13=1, IF(Scenarios!I13="lease", INDEX(Calc!B5:F5,1,1)*INDEX(Calc!B8:F8,1,1), INDEX(Calc!B5:F5,1,1)*INDEX(Calc!B9:F9,1,1)), INDEX(Calc!B5:F5,1,1))</f>
        <v>904374.71999999986</v>
      </c>
      <c r="I57" s="2">
        <f>INDEX(Calc!B3:F3,1,1)</f>
        <v>7129.0799999999981</v>
      </c>
      <c r="J57" s="2">
        <f>IF("FY2026"="FY2026", (IF(Scenarios!D13=1, Parameters!B9,0) + IF(Scenarios!E13=1, Parameters!B9,0)), 0)</f>
        <v>0</v>
      </c>
      <c r="K57">
        <f>1-Parameters!B4</f>
        <v>0.7</v>
      </c>
      <c r="L57">
        <f>Scenarios!G13</f>
        <v>0</v>
      </c>
      <c r="M57" s="2"/>
      <c r="N57" s="2" t="e">
        <f t="shared" si="3"/>
        <v>#N/A</v>
      </c>
    </row>
    <row r="58" spans="1:14" x14ac:dyDescent="0.35">
      <c r="A58" t="str">
        <f>Scenarios!A13</f>
        <v>E_StatusQuo_Targets_150</v>
      </c>
      <c r="B58" t="s">
        <v>20</v>
      </c>
      <c r="C58">
        <f>Scenarios!C13</f>
        <v>150</v>
      </c>
      <c r="F58">
        <f t="shared" si="2"/>
        <v>0</v>
      </c>
      <c r="G58" s="2">
        <f>IF(Scenarios!D13=1, IF(Scenarios!I13="lease", INDEX(Calc!B4:F4,1,2)*INDEX(Calc!B8:F8,1,2), INDEX(Calc!B4:F4,1,2)*INDEX(Calc!B9:F9,1,2)), INDEX(Calc!B4:F4,1,2))</f>
        <v>804847.67099999986</v>
      </c>
      <c r="H58" s="2">
        <f>IF(Scenarios!E13=1, IF(Scenarios!I13="lease", INDEX(Calc!B5:F5,1,2)*INDEX(Calc!B8:F8,1,2), INDEX(Calc!B5:F5,1,2)*INDEX(Calc!B9:F9,1,2)), INDEX(Calc!B5:F5,1,2))</f>
        <v>926984.08799999976</v>
      </c>
      <c r="I58" s="2">
        <f>INDEX(Calc!B3:F3,1,2)</f>
        <v>7307.306999999998</v>
      </c>
      <c r="J58" s="2">
        <f>IF("FY2027"="FY2026", (IF(Scenarios!D13=1, Parameters!B9,0) + IF(Scenarios!E13=1, Parameters!B9,0)), 0)</f>
        <v>0</v>
      </c>
      <c r="K58">
        <f>1-Parameters!B4</f>
        <v>0.7</v>
      </c>
      <c r="L58">
        <f>Scenarios!G13</f>
        <v>0</v>
      </c>
      <c r="M58" s="2"/>
      <c r="N58" s="2" t="e">
        <f t="shared" si="3"/>
        <v>#N/A</v>
      </c>
    </row>
    <row r="59" spans="1:14" x14ac:dyDescent="0.35">
      <c r="A59" t="str">
        <f>Scenarios!A13</f>
        <v>E_StatusQuo_Targets_150</v>
      </c>
      <c r="B59" t="s">
        <v>21</v>
      </c>
      <c r="C59">
        <f>Scenarios!C13</f>
        <v>150</v>
      </c>
      <c r="F59">
        <f t="shared" si="2"/>
        <v>0</v>
      </c>
      <c r="G59" s="2">
        <f>IF(Scenarios!D13=1, IF(Scenarios!I13="lease", INDEX(Calc!B4:F4,1,3)*INDEX(Calc!B8:F8,1,3), INDEX(Calc!B4:F4,1,3)*INDEX(Calc!B9:F9,1,3)), INDEX(Calc!B4:F4,1,3))</f>
        <v>824968.86277499981</v>
      </c>
      <c r="H59" s="2">
        <f>IF(Scenarios!E13=1, IF(Scenarios!I13="lease", INDEX(Calc!B5:F5,1,3)*INDEX(Calc!B8:F8,1,3), INDEX(Calc!B5:F5,1,3)*INDEX(Calc!B9:F9,1,3)), INDEX(Calc!B5:F5,1,3))</f>
        <v>950158.69019999972</v>
      </c>
      <c r="I59" s="2">
        <f>INDEX(Calc!B3:F3,1,3)</f>
        <v>7489.9896749999962</v>
      </c>
      <c r="J59" s="2">
        <f>IF("FY2028"="FY2026", (IF(Scenarios!D13=1, Parameters!B9,0) + IF(Scenarios!E13=1, Parameters!B9,0)), 0)</f>
        <v>0</v>
      </c>
      <c r="K59">
        <f>1-Parameters!B4</f>
        <v>0.7</v>
      </c>
      <c r="L59">
        <f>Scenarios!G13</f>
        <v>0</v>
      </c>
      <c r="M59" s="2"/>
      <c r="N59" s="2" t="e">
        <f t="shared" si="3"/>
        <v>#N/A</v>
      </c>
    </row>
    <row r="60" spans="1:14" x14ac:dyDescent="0.35">
      <c r="A60" t="str">
        <f>Scenarios!A13</f>
        <v>E_StatusQuo_Targets_150</v>
      </c>
      <c r="B60" t="s">
        <v>22</v>
      </c>
      <c r="C60">
        <f>Scenarios!C13</f>
        <v>150</v>
      </c>
      <c r="F60">
        <f t="shared" si="2"/>
        <v>0</v>
      </c>
      <c r="G60" s="2">
        <f>IF(Scenarios!D13=1, IF(Scenarios!I13="lease", INDEX(Calc!B4:F4,1,4)*INDEX(Calc!B8:F8,1,4), INDEX(Calc!B4:F4,1,4)*INDEX(Calc!B9:F9,1,4)), INDEX(Calc!B4:F4,1,4))</f>
        <v>845593.0843443746</v>
      </c>
      <c r="H60" s="2">
        <f>IF(Scenarios!E13=1, IF(Scenarios!I13="lease", INDEX(Calc!B5:F5,1,4)*INDEX(Calc!B8:F8,1,4), INDEX(Calc!B5:F5,1,4)*INDEX(Calc!B9:F9,1,4)), INDEX(Calc!B5:F5,1,4))</f>
        <v>973912.65745499951</v>
      </c>
      <c r="I60" s="2">
        <f>INDEX(Calc!B3:F3,1,4)</f>
        <v>7677.2394168749952</v>
      </c>
      <c r="J60" s="2">
        <f>IF("FY2029"="FY2026", (IF(Scenarios!D13=1, Parameters!B9,0) + IF(Scenarios!E13=1, Parameters!B9,0)), 0)</f>
        <v>0</v>
      </c>
      <c r="K60">
        <f>1-Parameters!B4</f>
        <v>0.7</v>
      </c>
      <c r="L60">
        <f>Scenarios!G13</f>
        <v>0</v>
      </c>
      <c r="M60" s="2"/>
      <c r="N60" s="2" t="e">
        <f t="shared" si="3"/>
        <v>#N/A</v>
      </c>
    </row>
    <row r="61" spans="1:14" x14ac:dyDescent="0.35">
      <c r="A61" t="str">
        <f>Scenarios!A13</f>
        <v>E_StatusQuo_Targets_150</v>
      </c>
      <c r="B61" t="s">
        <v>23</v>
      </c>
      <c r="C61">
        <f>Scenarios!C13</f>
        <v>150</v>
      </c>
      <c r="F61">
        <f t="shared" si="2"/>
        <v>0</v>
      </c>
      <c r="G61" s="2">
        <f>IF(Scenarios!D13=1, IF(Scenarios!I13="lease", INDEX(Calc!B4:F4,1,5)*INDEX(Calc!B8:F8,1,5), INDEX(Calc!B4:F4,1,5)*INDEX(Calc!B9:F9,1,5)), INDEX(Calc!B4:F4,1,5))</f>
        <v>866732.91145298386</v>
      </c>
      <c r="H61" s="2">
        <f>IF(Scenarios!E13=1, IF(Scenarios!I13="lease", INDEX(Calc!B5:F5,1,5)*INDEX(Calc!B8:F8,1,5), INDEX(Calc!B5:F5,1,5)*INDEX(Calc!B9:F9,1,5)), INDEX(Calc!B5:F5,1,5))</f>
        <v>998260.47389137442</v>
      </c>
      <c r="I61" s="2">
        <f>INDEX(Calc!B3:F3,1,5)</f>
        <v>7869.1704022968697</v>
      </c>
      <c r="J61" s="2">
        <f>IF("FY2030"="FY2026", (IF(Scenarios!D13=1, Parameters!B9,0) + IF(Scenarios!E13=1, Parameters!B9,0)), 0)</f>
        <v>0</v>
      </c>
      <c r="K61">
        <f>1-Parameters!B4</f>
        <v>0.7</v>
      </c>
      <c r="L61">
        <f>Scenarios!G13</f>
        <v>0</v>
      </c>
      <c r="M61" s="2"/>
      <c r="N61" s="2" t="e">
        <f t="shared" si="3"/>
        <v>#N/A</v>
      </c>
    </row>
    <row r="62" spans="1:14" x14ac:dyDescent="0.35">
      <c r="A62" t="str">
        <f>Scenarios!A14</f>
        <v>F_CoLocation_Echo_0</v>
      </c>
      <c r="B62" t="s">
        <v>19</v>
      </c>
      <c r="C62">
        <f>Scenarios!C14</f>
        <v>0</v>
      </c>
      <c r="F62">
        <f t="shared" si="2"/>
        <v>0</v>
      </c>
      <c r="G62" s="2">
        <f>IF(Scenarios!D14=1, IF(Scenarios!I14="lease", INDEX(Calc!B4:F4,1,1)*INDEX(Calc!B8:F8,1,1), INDEX(Calc!B4:F4,1,1)*INDEX(Calc!B9:F9,1,1)), INDEX(Calc!B4:F4,1,1))</f>
        <v>785217.23999999987</v>
      </c>
      <c r="H62" s="2">
        <f>IF(Scenarios!E14=1, IF(Scenarios!I14="lease", INDEX(Calc!B5:F5,1,1)*INDEX(Calc!B8:F8,1,1), INDEX(Calc!B5:F5,1,1)*INDEX(Calc!B9:F9,1,1)), INDEX(Calc!B5:F5,1,1))</f>
        <v>904374.71999999986</v>
      </c>
      <c r="I62" s="2">
        <f>INDEX(Calc!B3:F3,1,1)</f>
        <v>7129.0799999999981</v>
      </c>
      <c r="J62" s="2">
        <f>IF("FY2026"="FY2026", (IF(Scenarios!D14=1, Parameters!B9,0) + IF(Scenarios!E14=1, Parameters!B9,0)), 0)</f>
        <v>0</v>
      </c>
      <c r="K62">
        <f>1-Parameters!B4</f>
        <v>0.7</v>
      </c>
      <c r="L62">
        <f>Scenarios!G14</f>
        <v>1.4999999999999999E-2</v>
      </c>
      <c r="M62" s="2"/>
      <c r="N62" s="2" t="e">
        <f t="shared" si="3"/>
        <v>#N/A</v>
      </c>
    </row>
    <row r="63" spans="1:14" x14ac:dyDescent="0.35">
      <c r="A63" t="str">
        <f>Scenarios!A14</f>
        <v>F_CoLocation_Echo_0</v>
      </c>
      <c r="B63" t="s">
        <v>20</v>
      </c>
      <c r="C63">
        <f>Scenarios!C14</f>
        <v>0</v>
      </c>
      <c r="F63">
        <f t="shared" si="2"/>
        <v>0</v>
      </c>
      <c r="G63" s="2">
        <f>IF(Scenarios!D14=1, IF(Scenarios!I14="lease", INDEX(Calc!B4:F4,1,2)*INDEX(Calc!B8:F8,1,2), INDEX(Calc!B4:F4,1,2)*INDEX(Calc!B9:F9,1,2)), INDEX(Calc!B4:F4,1,2))</f>
        <v>804847.67099999986</v>
      </c>
      <c r="H63" s="2">
        <f>IF(Scenarios!E14=1, IF(Scenarios!I14="lease", INDEX(Calc!B5:F5,1,2)*INDEX(Calc!B8:F8,1,2), INDEX(Calc!B5:F5,1,2)*INDEX(Calc!B9:F9,1,2)), INDEX(Calc!B5:F5,1,2))</f>
        <v>926984.08799999976</v>
      </c>
      <c r="I63" s="2">
        <f>INDEX(Calc!B3:F3,1,2)</f>
        <v>7307.306999999998</v>
      </c>
      <c r="J63" s="2">
        <f>IF("FY2027"="FY2026", (IF(Scenarios!D14=1, Parameters!B9,0) + IF(Scenarios!E14=1, Parameters!B9,0)), 0)</f>
        <v>0</v>
      </c>
      <c r="K63">
        <f>1-Parameters!B4</f>
        <v>0.7</v>
      </c>
      <c r="L63">
        <f>Scenarios!G14</f>
        <v>1.4999999999999999E-2</v>
      </c>
      <c r="M63" s="2"/>
      <c r="N63" s="2" t="e">
        <f t="shared" si="3"/>
        <v>#N/A</v>
      </c>
    </row>
    <row r="64" spans="1:14" x14ac:dyDescent="0.35">
      <c r="A64" t="str">
        <f>Scenarios!A14</f>
        <v>F_CoLocation_Echo_0</v>
      </c>
      <c r="B64" t="s">
        <v>21</v>
      </c>
      <c r="C64">
        <f>Scenarios!C14</f>
        <v>0</v>
      </c>
      <c r="F64">
        <f t="shared" si="2"/>
        <v>0</v>
      </c>
      <c r="G64" s="2">
        <f>IF(Scenarios!D14=1, IF(Scenarios!I14="lease", INDEX(Calc!B4:F4,1,3)*INDEX(Calc!B8:F8,1,3), INDEX(Calc!B4:F4,1,3)*INDEX(Calc!B9:F9,1,3)), INDEX(Calc!B4:F4,1,3))</f>
        <v>824968.86277499981</v>
      </c>
      <c r="H64" s="2">
        <f>IF(Scenarios!E14=1, IF(Scenarios!I14="lease", INDEX(Calc!B5:F5,1,3)*INDEX(Calc!B8:F8,1,3), INDEX(Calc!B5:F5,1,3)*INDEX(Calc!B9:F9,1,3)), INDEX(Calc!B5:F5,1,3))</f>
        <v>950158.69019999972</v>
      </c>
      <c r="I64" s="2">
        <f>INDEX(Calc!B3:F3,1,3)</f>
        <v>7489.9896749999962</v>
      </c>
      <c r="J64" s="2">
        <f>IF("FY2028"="FY2026", (IF(Scenarios!D14=1, Parameters!B9,0) + IF(Scenarios!E14=1, Parameters!B9,0)), 0)</f>
        <v>0</v>
      </c>
      <c r="K64">
        <f>1-Parameters!B4</f>
        <v>0.7</v>
      </c>
      <c r="L64">
        <f>Scenarios!G14</f>
        <v>1.4999999999999999E-2</v>
      </c>
      <c r="M64" s="2"/>
      <c r="N64" s="2" t="e">
        <f t="shared" si="3"/>
        <v>#N/A</v>
      </c>
    </row>
    <row r="65" spans="1:14" x14ac:dyDescent="0.35">
      <c r="A65" t="str">
        <f>Scenarios!A14</f>
        <v>F_CoLocation_Echo_0</v>
      </c>
      <c r="B65" t="s">
        <v>22</v>
      </c>
      <c r="C65">
        <f>Scenarios!C14</f>
        <v>0</v>
      </c>
      <c r="F65">
        <f t="shared" si="2"/>
        <v>0</v>
      </c>
      <c r="G65" s="2">
        <f>IF(Scenarios!D14=1, IF(Scenarios!I14="lease", INDEX(Calc!B4:F4,1,4)*INDEX(Calc!B8:F8,1,4), INDEX(Calc!B4:F4,1,4)*INDEX(Calc!B9:F9,1,4)), INDEX(Calc!B4:F4,1,4))</f>
        <v>845593.0843443746</v>
      </c>
      <c r="H65" s="2">
        <f>IF(Scenarios!E14=1, IF(Scenarios!I14="lease", INDEX(Calc!B5:F5,1,4)*INDEX(Calc!B8:F8,1,4), INDEX(Calc!B5:F5,1,4)*INDEX(Calc!B9:F9,1,4)), INDEX(Calc!B5:F5,1,4))</f>
        <v>973912.65745499951</v>
      </c>
      <c r="I65" s="2">
        <f>INDEX(Calc!B3:F3,1,4)</f>
        <v>7677.2394168749952</v>
      </c>
      <c r="J65" s="2">
        <f>IF("FY2029"="FY2026", (IF(Scenarios!D14=1, Parameters!B9,0) + IF(Scenarios!E14=1, Parameters!B9,0)), 0)</f>
        <v>0</v>
      </c>
      <c r="K65">
        <f>1-Parameters!B4</f>
        <v>0.7</v>
      </c>
      <c r="L65">
        <f>Scenarios!G14</f>
        <v>1.4999999999999999E-2</v>
      </c>
      <c r="M65" s="2"/>
      <c r="N65" s="2" t="e">
        <f t="shared" si="3"/>
        <v>#N/A</v>
      </c>
    </row>
    <row r="66" spans="1:14" x14ac:dyDescent="0.35">
      <c r="A66" t="str">
        <f>Scenarios!A14</f>
        <v>F_CoLocation_Echo_0</v>
      </c>
      <c r="B66" t="s">
        <v>23</v>
      </c>
      <c r="C66">
        <f>Scenarios!C14</f>
        <v>0</v>
      </c>
      <c r="F66">
        <f t="shared" ref="F66:F97" si="4">D66+E66</f>
        <v>0</v>
      </c>
      <c r="G66" s="2">
        <f>IF(Scenarios!D14=1, IF(Scenarios!I14="lease", INDEX(Calc!B4:F4,1,5)*INDEX(Calc!B8:F8,1,5), INDEX(Calc!B4:F4,1,5)*INDEX(Calc!B9:F9,1,5)), INDEX(Calc!B4:F4,1,5))</f>
        <v>866732.91145298386</v>
      </c>
      <c r="H66" s="2">
        <f>IF(Scenarios!E14=1, IF(Scenarios!I14="lease", INDEX(Calc!B5:F5,1,5)*INDEX(Calc!B8:F8,1,5), INDEX(Calc!B5:F5,1,5)*INDEX(Calc!B9:F9,1,5)), INDEX(Calc!B5:F5,1,5))</f>
        <v>998260.47389137442</v>
      </c>
      <c r="I66" s="2">
        <f>INDEX(Calc!B3:F3,1,5)</f>
        <v>7869.1704022968697</v>
      </c>
      <c r="J66" s="2">
        <f>IF("FY2030"="FY2026", (IF(Scenarios!D14=1, Parameters!B9,0) + IF(Scenarios!E14=1, Parameters!B9,0)), 0)</f>
        <v>0</v>
      </c>
      <c r="K66">
        <f>1-Parameters!B4</f>
        <v>0.7</v>
      </c>
      <c r="L66">
        <f>Scenarios!G14</f>
        <v>1.4999999999999999E-2</v>
      </c>
      <c r="M66" s="2"/>
      <c r="N66" s="2" t="e">
        <f t="shared" ref="N66:N81" si="5">IF(F66&gt;0, L66/F66, NA())</f>
        <v>#N/A</v>
      </c>
    </row>
    <row r="67" spans="1:14" x14ac:dyDescent="0.35">
      <c r="A67" t="str">
        <f>Scenarios!A15</f>
        <v>F_CoLocation_Echo_100</v>
      </c>
      <c r="B67" t="s">
        <v>19</v>
      </c>
      <c r="C67">
        <f>Scenarios!C15</f>
        <v>100</v>
      </c>
      <c r="F67">
        <f t="shared" si="4"/>
        <v>0</v>
      </c>
      <c r="G67" s="2">
        <f>IF(Scenarios!D15=1, IF(Scenarios!I15="lease", INDEX(Calc!B4:F4,1,1)*INDEX(Calc!B8:F8,1,1), INDEX(Calc!B4:F4,1,1)*INDEX(Calc!B9:F9,1,1)), INDEX(Calc!B4:F4,1,1))</f>
        <v>785217.23999999987</v>
      </c>
      <c r="H67" s="2">
        <f>IF(Scenarios!E15=1, IF(Scenarios!I15="lease", INDEX(Calc!B5:F5,1,1)*INDEX(Calc!B8:F8,1,1), INDEX(Calc!B5:F5,1,1)*INDEX(Calc!B9:F9,1,1)), INDEX(Calc!B5:F5,1,1))</f>
        <v>904374.71999999986</v>
      </c>
      <c r="I67" s="2">
        <f>INDEX(Calc!B3:F3,1,1)</f>
        <v>7129.0799999999981</v>
      </c>
      <c r="J67" s="2">
        <f>IF("FY2026"="FY2026", (IF(Scenarios!D15=1, Parameters!B9,0) + IF(Scenarios!E15=1, Parameters!B9,0)), 0)</f>
        <v>0</v>
      </c>
      <c r="K67">
        <f>1-Parameters!B4</f>
        <v>0.7</v>
      </c>
      <c r="L67">
        <f>Scenarios!G15</f>
        <v>1.4999999999999999E-2</v>
      </c>
      <c r="M67" s="2"/>
      <c r="N67" s="2" t="e">
        <f t="shared" si="5"/>
        <v>#N/A</v>
      </c>
    </row>
    <row r="68" spans="1:14" x14ac:dyDescent="0.35">
      <c r="A68" t="str">
        <f>Scenarios!A15</f>
        <v>F_CoLocation_Echo_100</v>
      </c>
      <c r="B68" t="s">
        <v>20</v>
      </c>
      <c r="C68">
        <f>Scenarios!C15</f>
        <v>100</v>
      </c>
      <c r="F68">
        <f t="shared" si="4"/>
        <v>0</v>
      </c>
      <c r="G68" s="2">
        <f>IF(Scenarios!D15=1, IF(Scenarios!I15="lease", INDEX(Calc!B4:F4,1,2)*INDEX(Calc!B8:F8,1,2), INDEX(Calc!B4:F4,1,2)*INDEX(Calc!B9:F9,1,2)), INDEX(Calc!B4:F4,1,2))</f>
        <v>804847.67099999986</v>
      </c>
      <c r="H68" s="2">
        <f>IF(Scenarios!E15=1, IF(Scenarios!I15="lease", INDEX(Calc!B5:F5,1,2)*INDEX(Calc!B8:F8,1,2), INDEX(Calc!B5:F5,1,2)*INDEX(Calc!B9:F9,1,2)), INDEX(Calc!B5:F5,1,2))</f>
        <v>926984.08799999976</v>
      </c>
      <c r="I68" s="2">
        <f>INDEX(Calc!B3:F3,1,2)</f>
        <v>7307.306999999998</v>
      </c>
      <c r="J68" s="2">
        <f>IF("FY2027"="FY2026", (IF(Scenarios!D15=1, Parameters!B9,0) + IF(Scenarios!E15=1, Parameters!B9,0)), 0)</f>
        <v>0</v>
      </c>
      <c r="K68">
        <f>1-Parameters!B4</f>
        <v>0.7</v>
      </c>
      <c r="L68">
        <f>Scenarios!G15</f>
        <v>1.4999999999999999E-2</v>
      </c>
      <c r="M68" s="2"/>
      <c r="N68" s="2" t="e">
        <f t="shared" si="5"/>
        <v>#N/A</v>
      </c>
    </row>
    <row r="69" spans="1:14" x14ac:dyDescent="0.35">
      <c r="A69" t="str">
        <f>Scenarios!A15</f>
        <v>F_CoLocation_Echo_100</v>
      </c>
      <c r="B69" t="s">
        <v>21</v>
      </c>
      <c r="C69">
        <f>Scenarios!C15</f>
        <v>100</v>
      </c>
      <c r="F69">
        <f t="shared" si="4"/>
        <v>0</v>
      </c>
      <c r="G69" s="2">
        <f>IF(Scenarios!D15=1, IF(Scenarios!I15="lease", INDEX(Calc!B4:F4,1,3)*INDEX(Calc!B8:F8,1,3), INDEX(Calc!B4:F4,1,3)*INDEX(Calc!B9:F9,1,3)), INDEX(Calc!B4:F4,1,3))</f>
        <v>824968.86277499981</v>
      </c>
      <c r="H69" s="2">
        <f>IF(Scenarios!E15=1, IF(Scenarios!I15="lease", INDEX(Calc!B5:F5,1,3)*INDEX(Calc!B8:F8,1,3), INDEX(Calc!B5:F5,1,3)*INDEX(Calc!B9:F9,1,3)), INDEX(Calc!B5:F5,1,3))</f>
        <v>950158.69019999972</v>
      </c>
      <c r="I69" s="2">
        <f>INDEX(Calc!B3:F3,1,3)</f>
        <v>7489.9896749999962</v>
      </c>
      <c r="J69" s="2">
        <f>IF("FY2028"="FY2026", (IF(Scenarios!D15=1, Parameters!B9,0) + IF(Scenarios!E15=1, Parameters!B9,0)), 0)</f>
        <v>0</v>
      </c>
      <c r="K69">
        <f>1-Parameters!B4</f>
        <v>0.7</v>
      </c>
      <c r="L69">
        <f>Scenarios!G15</f>
        <v>1.4999999999999999E-2</v>
      </c>
      <c r="M69" s="2"/>
      <c r="N69" s="2" t="e">
        <f t="shared" si="5"/>
        <v>#N/A</v>
      </c>
    </row>
    <row r="70" spans="1:14" x14ac:dyDescent="0.35">
      <c r="A70" t="str">
        <f>Scenarios!A15</f>
        <v>F_CoLocation_Echo_100</v>
      </c>
      <c r="B70" t="s">
        <v>22</v>
      </c>
      <c r="C70">
        <f>Scenarios!C15</f>
        <v>100</v>
      </c>
      <c r="F70">
        <f t="shared" si="4"/>
        <v>0</v>
      </c>
      <c r="G70" s="2">
        <f>IF(Scenarios!D15=1, IF(Scenarios!I15="lease", INDEX(Calc!B4:F4,1,4)*INDEX(Calc!B8:F8,1,4), INDEX(Calc!B4:F4,1,4)*INDEX(Calc!B9:F9,1,4)), INDEX(Calc!B4:F4,1,4))</f>
        <v>845593.0843443746</v>
      </c>
      <c r="H70" s="2">
        <f>IF(Scenarios!E15=1, IF(Scenarios!I15="lease", INDEX(Calc!B5:F5,1,4)*INDEX(Calc!B8:F8,1,4), INDEX(Calc!B5:F5,1,4)*INDEX(Calc!B9:F9,1,4)), INDEX(Calc!B5:F5,1,4))</f>
        <v>973912.65745499951</v>
      </c>
      <c r="I70" s="2">
        <f>INDEX(Calc!B3:F3,1,4)</f>
        <v>7677.2394168749952</v>
      </c>
      <c r="J70" s="2">
        <f>IF("FY2029"="FY2026", (IF(Scenarios!D15=1, Parameters!B9,0) + IF(Scenarios!E15=1, Parameters!B9,0)), 0)</f>
        <v>0</v>
      </c>
      <c r="K70">
        <f>1-Parameters!B4</f>
        <v>0.7</v>
      </c>
      <c r="L70">
        <f>Scenarios!G15</f>
        <v>1.4999999999999999E-2</v>
      </c>
      <c r="M70" s="2"/>
      <c r="N70" s="2" t="e">
        <f t="shared" si="5"/>
        <v>#N/A</v>
      </c>
    </row>
    <row r="71" spans="1:14" x14ac:dyDescent="0.35">
      <c r="A71" t="str">
        <f>Scenarios!A15</f>
        <v>F_CoLocation_Echo_100</v>
      </c>
      <c r="B71" t="s">
        <v>23</v>
      </c>
      <c r="C71">
        <f>Scenarios!C15</f>
        <v>100</v>
      </c>
      <c r="F71">
        <f t="shared" si="4"/>
        <v>0</v>
      </c>
      <c r="G71" s="2">
        <f>IF(Scenarios!D15=1, IF(Scenarios!I15="lease", INDEX(Calc!B4:F4,1,5)*INDEX(Calc!B8:F8,1,5), INDEX(Calc!B4:F4,1,5)*INDEX(Calc!B9:F9,1,5)), INDEX(Calc!B4:F4,1,5))</f>
        <v>866732.91145298386</v>
      </c>
      <c r="H71" s="2">
        <f>IF(Scenarios!E15=1, IF(Scenarios!I15="lease", INDEX(Calc!B5:F5,1,5)*INDEX(Calc!B8:F8,1,5), INDEX(Calc!B5:F5,1,5)*INDEX(Calc!B9:F9,1,5)), INDEX(Calc!B5:F5,1,5))</f>
        <v>998260.47389137442</v>
      </c>
      <c r="I71" s="2">
        <f>INDEX(Calc!B3:F3,1,5)</f>
        <v>7869.1704022968697</v>
      </c>
      <c r="J71" s="2">
        <f>IF("FY2030"="FY2026", (IF(Scenarios!D15=1, Parameters!B9,0) + IF(Scenarios!E15=1, Parameters!B9,0)), 0)</f>
        <v>0</v>
      </c>
      <c r="K71">
        <f>1-Parameters!B4</f>
        <v>0.7</v>
      </c>
      <c r="L71">
        <f>Scenarios!G15</f>
        <v>1.4999999999999999E-2</v>
      </c>
      <c r="M71" s="2"/>
      <c r="N71" s="2" t="e">
        <f t="shared" si="5"/>
        <v>#N/A</v>
      </c>
    </row>
    <row r="72" spans="1:14" x14ac:dyDescent="0.35">
      <c r="A72" t="str">
        <f>Scenarios!A16</f>
        <v>F_CoLocation_Echo_150</v>
      </c>
      <c r="B72" t="s">
        <v>19</v>
      </c>
      <c r="C72">
        <f>Scenarios!C16</f>
        <v>150</v>
      </c>
      <c r="F72">
        <f t="shared" si="4"/>
        <v>0</v>
      </c>
      <c r="G72" s="2">
        <f>IF(Scenarios!D16=1, IF(Scenarios!I16="lease", INDEX(Calc!B4:F4,1,1)*INDEX(Calc!B8:F8,1,1), INDEX(Calc!B4:F4,1,1)*INDEX(Calc!B9:F9,1,1)), INDEX(Calc!B4:F4,1,1))</f>
        <v>785217.23999999987</v>
      </c>
      <c r="H72" s="2">
        <f>IF(Scenarios!E16=1, IF(Scenarios!I16="lease", INDEX(Calc!B5:F5,1,1)*INDEX(Calc!B8:F8,1,1), INDEX(Calc!B5:F5,1,1)*INDEX(Calc!B9:F9,1,1)), INDEX(Calc!B5:F5,1,1))</f>
        <v>904374.71999999986</v>
      </c>
      <c r="I72" s="2">
        <f>INDEX(Calc!B3:F3,1,1)</f>
        <v>7129.0799999999981</v>
      </c>
      <c r="J72" s="2">
        <f>IF("FY2026"="FY2026", (IF(Scenarios!D16=1, Parameters!B9,0) + IF(Scenarios!E16=1, Parameters!B9,0)), 0)</f>
        <v>0</v>
      </c>
      <c r="K72">
        <f>1-Parameters!B4</f>
        <v>0.7</v>
      </c>
      <c r="L72">
        <f>Scenarios!G16</f>
        <v>1.4999999999999999E-2</v>
      </c>
      <c r="M72" s="2"/>
      <c r="N72" s="2" t="e">
        <f t="shared" si="5"/>
        <v>#N/A</v>
      </c>
    </row>
    <row r="73" spans="1:14" x14ac:dyDescent="0.35">
      <c r="A73" t="str">
        <f>Scenarios!A16</f>
        <v>F_CoLocation_Echo_150</v>
      </c>
      <c r="B73" t="s">
        <v>20</v>
      </c>
      <c r="C73">
        <f>Scenarios!C16</f>
        <v>150</v>
      </c>
      <c r="F73">
        <f t="shared" si="4"/>
        <v>0</v>
      </c>
      <c r="G73" s="2">
        <f>IF(Scenarios!D16=1, IF(Scenarios!I16="lease", INDEX(Calc!B4:F4,1,2)*INDEX(Calc!B8:F8,1,2), INDEX(Calc!B4:F4,1,2)*INDEX(Calc!B9:F9,1,2)), INDEX(Calc!B4:F4,1,2))</f>
        <v>804847.67099999986</v>
      </c>
      <c r="H73" s="2">
        <f>IF(Scenarios!E16=1, IF(Scenarios!I16="lease", INDEX(Calc!B5:F5,1,2)*INDEX(Calc!B8:F8,1,2), INDEX(Calc!B5:F5,1,2)*INDEX(Calc!B9:F9,1,2)), INDEX(Calc!B5:F5,1,2))</f>
        <v>926984.08799999976</v>
      </c>
      <c r="I73" s="2">
        <f>INDEX(Calc!B3:F3,1,2)</f>
        <v>7307.306999999998</v>
      </c>
      <c r="J73" s="2">
        <f>IF("FY2027"="FY2026", (IF(Scenarios!D16=1, Parameters!B9,0) + IF(Scenarios!E16=1, Parameters!B9,0)), 0)</f>
        <v>0</v>
      </c>
      <c r="K73">
        <f>1-Parameters!B4</f>
        <v>0.7</v>
      </c>
      <c r="L73">
        <f>Scenarios!G16</f>
        <v>1.4999999999999999E-2</v>
      </c>
      <c r="M73" s="2"/>
      <c r="N73" s="2" t="e">
        <f t="shared" si="5"/>
        <v>#N/A</v>
      </c>
    </row>
    <row r="74" spans="1:14" x14ac:dyDescent="0.35">
      <c r="A74" t="str">
        <f>Scenarios!A16</f>
        <v>F_CoLocation_Echo_150</v>
      </c>
      <c r="B74" t="s">
        <v>21</v>
      </c>
      <c r="C74">
        <f>Scenarios!C16</f>
        <v>150</v>
      </c>
      <c r="F74">
        <f t="shared" si="4"/>
        <v>0</v>
      </c>
      <c r="G74" s="2">
        <f>IF(Scenarios!D16=1, IF(Scenarios!I16="lease", INDEX(Calc!B4:F4,1,3)*INDEX(Calc!B8:F8,1,3), INDEX(Calc!B4:F4,1,3)*INDEX(Calc!B9:F9,1,3)), INDEX(Calc!B4:F4,1,3))</f>
        <v>824968.86277499981</v>
      </c>
      <c r="H74" s="2">
        <f>IF(Scenarios!E16=1, IF(Scenarios!I16="lease", INDEX(Calc!B5:F5,1,3)*INDEX(Calc!B8:F8,1,3), INDEX(Calc!B5:F5,1,3)*INDEX(Calc!B9:F9,1,3)), INDEX(Calc!B5:F5,1,3))</f>
        <v>950158.69019999972</v>
      </c>
      <c r="I74" s="2">
        <f>INDEX(Calc!B3:F3,1,3)</f>
        <v>7489.9896749999962</v>
      </c>
      <c r="J74" s="2">
        <f>IF("FY2028"="FY2026", (IF(Scenarios!D16=1, Parameters!B9,0) + IF(Scenarios!E16=1, Parameters!B9,0)), 0)</f>
        <v>0</v>
      </c>
      <c r="K74">
        <f>1-Parameters!B4</f>
        <v>0.7</v>
      </c>
      <c r="L74">
        <f>Scenarios!G16</f>
        <v>1.4999999999999999E-2</v>
      </c>
      <c r="M74" s="2"/>
      <c r="N74" s="2" t="e">
        <f t="shared" si="5"/>
        <v>#N/A</v>
      </c>
    </row>
    <row r="75" spans="1:14" x14ac:dyDescent="0.35">
      <c r="A75" t="str">
        <f>Scenarios!A16</f>
        <v>F_CoLocation_Echo_150</v>
      </c>
      <c r="B75" t="s">
        <v>22</v>
      </c>
      <c r="C75">
        <f>Scenarios!C16</f>
        <v>150</v>
      </c>
      <c r="F75">
        <f t="shared" si="4"/>
        <v>0</v>
      </c>
      <c r="G75" s="2">
        <f>IF(Scenarios!D16=1, IF(Scenarios!I16="lease", INDEX(Calc!B4:F4,1,4)*INDEX(Calc!B8:F8,1,4), INDEX(Calc!B4:F4,1,4)*INDEX(Calc!B9:F9,1,4)), INDEX(Calc!B4:F4,1,4))</f>
        <v>845593.0843443746</v>
      </c>
      <c r="H75" s="2">
        <f>IF(Scenarios!E16=1, IF(Scenarios!I16="lease", INDEX(Calc!B5:F5,1,4)*INDEX(Calc!B8:F8,1,4), INDEX(Calc!B5:F5,1,4)*INDEX(Calc!B9:F9,1,4)), INDEX(Calc!B5:F5,1,4))</f>
        <v>973912.65745499951</v>
      </c>
      <c r="I75" s="2">
        <f>INDEX(Calc!B3:F3,1,4)</f>
        <v>7677.2394168749952</v>
      </c>
      <c r="J75" s="2">
        <f>IF("FY2029"="FY2026", (IF(Scenarios!D16=1, Parameters!B9,0) + IF(Scenarios!E16=1, Parameters!B9,0)), 0)</f>
        <v>0</v>
      </c>
      <c r="K75">
        <f>1-Parameters!B4</f>
        <v>0.7</v>
      </c>
      <c r="L75">
        <f>Scenarios!G16</f>
        <v>1.4999999999999999E-2</v>
      </c>
      <c r="M75" s="2"/>
      <c r="N75" s="2" t="e">
        <f t="shared" si="5"/>
        <v>#N/A</v>
      </c>
    </row>
    <row r="76" spans="1:14" x14ac:dyDescent="0.35">
      <c r="A76" t="str">
        <f>Scenarios!A16</f>
        <v>F_CoLocation_Echo_150</v>
      </c>
      <c r="B76" t="s">
        <v>23</v>
      </c>
      <c r="C76">
        <f>Scenarios!C16</f>
        <v>150</v>
      </c>
      <c r="F76">
        <f t="shared" si="4"/>
        <v>0</v>
      </c>
      <c r="G76" s="2">
        <f>IF(Scenarios!D16=1, IF(Scenarios!I16="lease", INDEX(Calc!B4:F4,1,5)*INDEX(Calc!B8:F8,1,5), INDEX(Calc!B4:F4,1,5)*INDEX(Calc!B9:F9,1,5)), INDEX(Calc!B4:F4,1,5))</f>
        <v>866732.91145298386</v>
      </c>
      <c r="H76" s="2">
        <f>IF(Scenarios!E16=1, IF(Scenarios!I16="lease", INDEX(Calc!B5:F5,1,5)*INDEX(Calc!B8:F8,1,5), INDEX(Calc!B5:F5,1,5)*INDEX(Calc!B9:F9,1,5)), INDEX(Calc!B5:F5,1,5))</f>
        <v>998260.47389137442</v>
      </c>
      <c r="I76" s="2">
        <f>INDEX(Calc!B3:F3,1,5)</f>
        <v>7869.1704022968697</v>
      </c>
      <c r="J76" s="2">
        <f>IF("FY2030"="FY2026", (IF(Scenarios!D16=1, Parameters!B9,0) + IF(Scenarios!E16=1, Parameters!B9,0)), 0)</f>
        <v>0</v>
      </c>
      <c r="K76">
        <f>1-Parameters!B4</f>
        <v>0.7</v>
      </c>
      <c r="L76">
        <f>Scenarios!G16</f>
        <v>1.4999999999999999E-2</v>
      </c>
      <c r="M76" s="2"/>
      <c r="N76" s="2" t="e">
        <f t="shared" si="5"/>
        <v>#N/A</v>
      </c>
    </row>
    <row r="77" spans="1:14" x14ac:dyDescent="0.35">
      <c r="A77" t="str">
        <f>Scenarios!A17</f>
        <v>G_DHub_EchoRamp</v>
      </c>
      <c r="B77" t="s">
        <v>19</v>
      </c>
      <c r="C77">
        <f>Scenarios!C17</f>
        <v>150</v>
      </c>
      <c r="F77">
        <f t="shared" si="4"/>
        <v>0</v>
      </c>
      <c r="G77" s="2">
        <f>IF(Scenarios!D17=1, IF(Scenarios!I17="lease", INDEX(Calc!B4:F4,1,1)*INDEX(Calc!B8:F8,1,1), INDEX(Calc!B4:F4,1,1)*INDEX(Calc!B9:F9,1,1)), INDEX(Calc!B4:F4,1,1))</f>
        <v>785217.23999999987</v>
      </c>
      <c r="H77" s="2">
        <f>IF(Scenarios!E17=1, IF(Scenarios!I17="lease", INDEX(Calc!B5:F5,1,1)*INDEX(Calc!B8:F8,1,1), INDEX(Calc!B5:F5,1,1)*INDEX(Calc!B9:F9,1,1)), INDEX(Calc!B5:F5,1,1))</f>
        <v>904374.71999999986</v>
      </c>
      <c r="I77" s="2">
        <f>INDEX(Calc!B3:F3,1,1)</f>
        <v>7129.0799999999981</v>
      </c>
      <c r="J77" s="2">
        <f>IF("FY2026"="FY2026", (IF(Scenarios!D17=1, Parameters!B9,0) + IF(Scenarios!E17=1, Parameters!B9,0)), 0)</f>
        <v>0</v>
      </c>
      <c r="K77">
        <f>1-Parameters!B4</f>
        <v>0.7</v>
      </c>
      <c r="L77">
        <f>Scenarios!G17</f>
        <v>0</v>
      </c>
      <c r="M77" s="2"/>
      <c r="N77" s="2" t="e">
        <f t="shared" si="5"/>
        <v>#N/A</v>
      </c>
    </row>
    <row r="78" spans="1:14" x14ac:dyDescent="0.35">
      <c r="A78" t="str">
        <f>Scenarios!A17</f>
        <v>G_DHub_EchoRamp</v>
      </c>
      <c r="B78" t="s">
        <v>20</v>
      </c>
      <c r="C78">
        <f>Scenarios!C17</f>
        <v>150</v>
      </c>
      <c r="F78">
        <f t="shared" si="4"/>
        <v>0</v>
      </c>
      <c r="G78" s="2">
        <f>IF(Scenarios!D17=1, IF(Scenarios!I17="lease", INDEX(Calc!B4:F4,1,2)*INDEX(Calc!B8:F8,1,2), INDEX(Calc!B4:F4,1,2)*INDEX(Calc!B9:F9,1,2)), INDEX(Calc!B4:F4,1,2))</f>
        <v>804847.67099999986</v>
      </c>
      <c r="H78" s="2">
        <f>IF(Scenarios!E17=1, IF(Scenarios!I17="lease", INDEX(Calc!B5:F5,1,2)*INDEX(Calc!B8:F8,1,2), INDEX(Calc!B5:F5,1,2)*INDEX(Calc!B9:F9,1,2)), INDEX(Calc!B5:F5,1,2))</f>
        <v>926984.08799999976</v>
      </c>
      <c r="I78" s="2">
        <f>INDEX(Calc!B3:F3,1,2)</f>
        <v>7307.306999999998</v>
      </c>
      <c r="J78" s="2">
        <f>IF("FY2027"="FY2026", (IF(Scenarios!D17=1, Parameters!B9,0) + IF(Scenarios!E17=1, Parameters!B9,0)), 0)</f>
        <v>0</v>
      </c>
      <c r="K78">
        <f>1-Parameters!B4</f>
        <v>0.7</v>
      </c>
      <c r="L78">
        <f>Scenarios!G17</f>
        <v>0</v>
      </c>
      <c r="M78" s="2"/>
      <c r="N78" s="2" t="e">
        <f t="shared" si="5"/>
        <v>#N/A</v>
      </c>
    </row>
    <row r="79" spans="1:14" x14ac:dyDescent="0.35">
      <c r="A79" t="str">
        <f>Scenarios!A17</f>
        <v>G_DHub_EchoRamp</v>
      </c>
      <c r="B79" t="s">
        <v>21</v>
      </c>
      <c r="C79">
        <f>Scenarios!C17</f>
        <v>150</v>
      </c>
      <c r="F79">
        <f t="shared" si="4"/>
        <v>0</v>
      </c>
      <c r="G79" s="2">
        <f>IF(Scenarios!D17=1, IF(Scenarios!I17="lease", INDEX(Calc!B4:F4,1,3)*INDEX(Calc!B8:F8,1,3), INDEX(Calc!B4:F4,1,3)*INDEX(Calc!B9:F9,1,3)), INDEX(Calc!B4:F4,1,3))</f>
        <v>824968.86277499981</v>
      </c>
      <c r="H79" s="2">
        <f>IF(Scenarios!E17=1, IF(Scenarios!I17="lease", INDEX(Calc!B5:F5,1,3)*INDEX(Calc!B8:F8,1,3), INDEX(Calc!B5:F5,1,3)*INDEX(Calc!B9:F9,1,3)), INDEX(Calc!B5:F5,1,3))</f>
        <v>950158.69019999972</v>
      </c>
      <c r="I79" s="2">
        <f>INDEX(Calc!B3:F3,1,3)</f>
        <v>7489.9896749999962</v>
      </c>
      <c r="J79" s="2">
        <f>IF("FY2028"="FY2026", (IF(Scenarios!D17=1, Parameters!B9,0) + IF(Scenarios!E17=1, Parameters!B9,0)), 0)</f>
        <v>0</v>
      </c>
      <c r="K79">
        <f>1-Parameters!B4</f>
        <v>0.7</v>
      </c>
      <c r="L79">
        <f>Scenarios!G17</f>
        <v>0</v>
      </c>
      <c r="M79" s="2"/>
      <c r="N79" s="2" t="e">
        <f t="shared" si="5"/>
        <v>#N/A</v>
      </c>
    </row>
    <row r="80" spans="1:14" x14ac:dyDescent="0.35">
      <c r="A80" t="str">
        <f>Scenarios!A17</f>
        <v>G_DHub_EchoRamp</v>
      </c>
      <c r="B80" t="s">
        <v>22</v>
      </c>
      <c r="C80">
        <f>Scenarios!C17</f>
        <v>150</v>
      </c>
      <c r="F80">
        <f t="shared" si="4"/>
        <v>0</v>
      </c>
      <c r="G80" s="2">
        <f>IF(Scenarios!D17=1, IF(Scenarios!I17="lease", INDEX(Calc!B4:F4,1,4)*INDEX(Calc!B8:F8,1,4), INDEX(Calc!B4:F4,1,4)*INDEX(Calc!B9:F9,1,4)), INDEX(Calc!B4:F4,1,4))</f>
        <v>845593.0843443746</v>
      </c>
      <c r="H80" s="2">
        <f>IF(Scenarios!E17=1, IF(Scenarios!I17="lease", INDEX(Calc!B5:F5,1,4)*INDEX(Calc!B8:F8,1,4), INDEX(Calc!B5:F5,1,4)*INDEX(Calc!B9:F9,1,4)), INDEX(Calc!B5:F5,1,4))</f>
        <v>973912.65745499951</v>
      </c>
      <c r="I80" s="2">
        <f>INDEX(Calc!B3:F3,1,4)</f>
        <v>7677.2394168749952</v>
      </c>
      <c r="J80" s="2">
        <f>IF("FY2029"="FY2026", (IF(Scenarios!D17=1, Parameters!B9,0) + IF(Scenarios!E17=1, Parameters!B9,0)), 0)</f>
        <v>0</v>
      </c>
      <c r="K80">
        <f>1-Parameters!B4</f>
        <v>0.7</v>
      </c>
      <c r="L80">
        <f>Scenarios!G17</f>
        <v>0</v>
      </c>
      <c r="M80" s="2"/>
      <c r="N80" s="2" t="e">
        <f t="shared" si="5"/>
        <v>#N/A</v>
      </c>
    </row>
    <row r="81" spans="1:14" x14ac:dyDescent="0.35">
      <c r="A81" t="str">
        <f>Scenarios!A17</f>
        <v>G_DHub_EchoRamp</v>
      </c>
      <c r="B81" t="s">
        <v>23</v>
      </c>
      <c r="C81">
        <f>Scenarios!C17</f>
        <v>150</v>
      </c>
      <c r="F81">
        <f t="shared" si="4"/>
        <v>0</v>
      </c>
      <c r="G81" s="2">
        <f>IF(Scenarios!D17=1, IF(Scenarios!I17="lease", INDEX(Calc!B4:F4,1,5)*INDEX(Calc!B8:F8,1,5), INDEX(Calc!B4:F4,1,5)*INDEX(Calc!B9:F9,1,5)), INDEX(Calc!B4:F4,1,5))</f>
        <v>866732.91145298386</v>
      </c>
      <c r="H81" s="2">
        <f>IF(Scenarios!E17=1, IF(Scenarios!I17="lease", INDEX(Calc!B5:F5,1,5)*INDEX(Calc!B8:F8,1,5), INDEX(Calc!B5:F5,1,5)*INDEX(Calc!B9:F9,1,5)), INDEX(Calc!B5:F5,1,5))</f>
        <v>998260.47389137442</v>
      </c>
      <c r="I81" s="2">
        <f>INDEX(Calc!B3:F3,1,5)</f>
        <v>7869.1704022968697</v>
      </c>
      <c r="J81" s="2">
        <f>IF("FY2030"="FY2026", (IF(Scenarios!D17=1, Parameters!B9,0) + IF(Scenarios!E17=1, Parameters!B9,0)), 0)</f>
        <v>0</v>
      </c>
      <c r="K81">
        <f>1-Parameters!B4</f>
        <v>0.7</v>
      </c>
      <c r="L81">
        <f>Scenarios!G17</f>
        <v>0</v>
      </c>
      <c r="M81" s="2"/>
      <c r="N81" s="2" t="e">
        <f t="shared" si="5"/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workbookViewId="0">
      <selection activeCell="F2" sqref="F2"/>
    </sheetView>
  </sheetViews>
  <sheetFormatPr defaultRowHeight="14.5" x14ac:dyDescent="0.35"/>
  <cols>
    <col min="1" max="1" width="33.90625" bestFit="1" customWidth="1"/>
    <col min="2" max="2" width="7.453125" bestFit="1" customWidth="1"/>
    <col min="3" max="3" width="35.81640625" bestFit="1" customWidth="1"/>
    <col min="4" max="5" width="19.1796875" bestFit="1" customWidth="1"/>
    <col min="6" max="6" width="20" bestFit="1" customWidth="1"/>
    <col min="7" max="7" width="11.54296875" bestFit="1" customWidth="1"/>
    <col min="9" max="9" width="37.453125" bestFit="1" customWidth="1"/>
    <col min="10" max="10" width="11" bestFit="1" customWidth="1"/>
    <col min="11" max="11" width="11.81640625" bestFit="1" customWidth="1"/>
  </cols>
  <sheetData>
    <row r="1" spans="1:11" x14ac:dyDescent="0.35">
      <c r="A1" s="1" t="s">
        <v>42</v>
      </c>
      <c r="B1" s="1" t="s">
        <v>44</v>
      </c>
      <c r="C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11" x14ac:dyDescent="0.35">
      <c r="A2" t="s">
        <v>51</v>
      </c>
      <c r="B2">
        <v>0</v>
      </c>
      <c r="C2" t="s">
        <v>101</v>
      </c>
      <c r="D2" t="str">
        <f>IFERROR( (SUMPRODUCT((MultiYear_ProForma!$A:$A="A_Repurpose_Both_lease")*(MultiYear_ProForma!$B:$B="FY2028")*(MultiYear_ProForma!$L:$L)) + (IFERROR(VLOOKUP("A_Repurpose_Both_lease",$H$4:$I$9,2,FALSE),0)*$I$19*(VLOOKUP("FY2028",$H$11:$J$15,3,TRUE)+VLOOKUP("FY2028",$H$11:$J$15,2,TRUE))) ) / ( SUMPRODUCT((MultiYear_ProForma!$A:$A="A_Repurpose_Both_lease")*(MultiYear_ProForma!$B:$B="FY2028")*(MultiYear_ProForma!$F:$F)) + IFERROR(VLOOKUP("A_Repurpose_Both_lease",$H$4:$I$9,2,FALSE),0)*$I$19 ), "")</f>
        <v/>
      </c>
      <c r="E2" t="str">
        <f>IFERROR( (SUMPRODUCT((MultiYear_ProForma!$A:$A="A_Repurpose_Both_lease")*(MultiYear_ProForma!$B:$B="FY2030")*(MultiYear_ProForma!$L:$L)) + (IFERROR(VLOOKUP("A_Repurpose_Both_lease",$H$4:$I$9,2,FALSE),0)*$I$19*(VLOOKUP("FY2030",$H$11:$J$15,3,TRUE)+VLOOKUP("FY2030",$H$11:$J$15,2,TRUE))) ) / ( SUMPRODUCT((MultiYear_ProForma!$A:$A="A_Repurpose_Both_lease")*(MultiYear_ProForma!$B:$B="FY2030")*(MultiYear_ProForma!$F:$F)) + IFERROR(VLOOKUP("A_Repurpose_Both_lease",$H$4:$I$9,2,FALSE),0)*$I$19 ), "")</f>
        <v/>
      </c>
      <c r="F2" t="e">
        <f>AVERAGE(IFERROR( (SUMPRODUCT((MultiYear_ProForma!$A:$A="A_Repurpose_Both_lease")*(MultiYear_ProForma!$B:$B="FY2026")*(MultiYear_ProForma!$L:$L)) + (IFERROR(VLOOKUP("A_Repurpose_Both_lease",$H$4:$I$9,2,FALSE),0)*$I$19*(VLOOKUP("FY2026",$H$11:$J$15,3,TRUE)+VLOOKUP("FY2026",$H$11:$J$15,2,TRUE))) ) / ( SUMPRODUCT((MultiYear_ProForma!$A:$A="A_Repurpose_Both_lease")*(MultiYear_ProForma!$B:$B="FY2026")*(MultiYear_ProForma!$F:$F)) + IFERROR(VLOOKUP("A_Repurpose_Both_lease",$H$4:$I$9,2,FALSE),0)*$I$19 ), ""),IFERROR( (SUMPRODUCT((MultiYear_ProForma!$A:$A="A_Repurpose_Both_lease")*(MultiYear_ProForma!$B:$B="FY2027")*(MultiYear_ProForma!$L:$L)) + (IFERROR(VLOOKUP("A_Repurpose_Both_lease",$H$4:$I$9,2,FALSE),0)*$I$19*(VLOOKUP("FY2027",$H$11:$J$15,3,TRUE)+VLOOKUP("FY2027",$H$11:$J$15,2,TRUE))) ) / ( SUMPRODUCT((MultiYear_ProForma!$A:$A="A_Repurpose_Both_lease")*(MultiYear_ProForma!$B:$B="FY2027")*(MultiYear_ProForma!$F:$F)) + IFERROR(VLOOKUP("A_Repurpose_Both_lease",$H$4:$I$9,2,FALSE),0)*$I$19 ), ""),IFERROR( (SUMPRODUCT((MultiYear_ProForma!$A:$A="A_Repurpose_Both_lease")*(MultiYear_ProForma!$B:$B="FY2028")*(MultiYear_ProForma!$L:$L)) + (IFERROR(VLOOKUP("A_Repurpose_Both_lease",$H$4:$I$9,2,FALSE),0)*$I$19*(VLOOKUP("FY2028",$H$11:$J$15,3,TRUE)+VLOOKUP("FY2028",$H$11:$J$15,2,TRUE))) ) / ( SUMPRODUCT((MultiYear_ProForma!$A:$A="A_Repurpose_Both_lease")*(MultiYear_ProForma!$B:$B="FY2028")*(MultiYear_ProForma!$F:$F)) + IFERROR(VLOOKUP("A_Repurpose_Both_lease",$H$4:$I$9,2,FALSE),0)*$I$19 ), ""))</f>
        <v>#VALUE!</v>
      </c>
    </row>
    <row r="3" spans="1:11" x14ac:dyDescent="0.35">
      <c r="A3" t="s">
        <v>54</v>
      </c>
      <c r="B3">
        <v>0</v>
      </c>
      <c r="C3" t="s">
        <v>102</v>
      </c>
      <c r="D3" t="str">
        <f>IFERROR( (SUMPRODUCT((MultiYear_ProForma!$A:$A="A_Repurpose_Both_ops")*(MultiYear_ProForma!$B:$B="FY2028")*(MultiYear_ProForma!$L:$L)) + (IFERROR(VLOOKUP("A_Repurpose_Both_ops",$H$4:$I$9,2,FALSE),0)*$I$19*(VLOOKUP("FY2028",$H$11:$J$15,3,TRUE)+VLOOKUP("FY2028",$H$11:$J$15,2,TRUE))) ) / ( SUMPRODUCT((MultiYear_ProForma!$A:$A="A_Repurpose_Both_ops")*(MultiYear_ProForma!$B:$B="FY2028")*(MultiYear_ProForma!$F:$F)) + IFERROR(VLOOKUP("A_Repurpose_Both_ops",$H$4:$I$9,2,FALSE),0)*$I$19 ), "")</f>
        <v/>
      </c>
      <c r="E3" t="str">
        <f>IFERROR( (SUMPRODUCT((MultiYear_ProForma!$A:$A="A_Repurpose_Both_ops")*(MultiYear_ProForma!$B:$B="FY2030")*(MultiYear_ProForma!$L:$L)) + (IFERROR(VLOOKUP("A_Repurpose_Both_ops",$H$4:$I$9,2,FALSE),0)*$I$19*(VLOOKUP("FY2030",$H$11:$J$15,3,TRUE)+VLOOKUP("FY2030",$H$11:$J$15,2,TRUE))) ) / ( SUMPRODUCT((MultiYear_ProForma!$A:$A="A_Repurpose_Both_ops")*(MultiYear_ProForma!$B:$B="FY2030")*(MultiYear_ProForma!$F:$F)) + IFERROR(VLOOKUP("A_Repurpose_Both_ops",$H$4:$I$9,2,FALSE),0)*$I$19 ), "")</f>
        <v/>
      </c>
      <c r="F3" t="e">
        <f>AVERAGE(IFERROR( (SUMPRODUCT((MultiYear_ProForma!$A:$A="A_Repurpose_Both_ops")*(MultiYear_ProForma!$B:$B="FY2026")*(MultiYear_ProForma!$L:$L)) + (IFERROR(VLOOKUP("A_Repurpose_Both_ops",$H$4:$I$9,2,FALSE),0)*$I$19*(VLOOKUP("FY2026",$H$11:$J$15,3,TRUE)+VLOOKUP("FY2026",$H$11:$J$15,2,TRUE))) ) / ( SUMPRODUCT((MultiYear_ProForma!$A:$A="A_Repurpose_Both_ops")*(MultiYear_ProForma!$B:$B="FY2026")*(MultiYear_ProForma!$F:$F)) + IFERROR(VLOOKUP("A_Repurpose_Both_ops",$H$4:$I$9,2,FALSE),0)*$I$19 ), ""),IFERROR( (SUMPRODUCT((MultiYear_ProForma!$A:$A="A_Repurpose_Both_ops")*(MultiYear_ProForma!$B:$B="FY2027")*(MultiYear_ProForma!$L:$L)) + (IFERROR(VLOOKUP("A_Repurpose_Both_ops",$H$4:$I$9,2,FALSE),0)*$I$19*(VLOOKUP("FY2027",$H$11:$J$15,3,TRUE)+VLOOKUP("FY2027",$H$11:$J$15,2,TRUE))) ) / ( SUMPRODUCT((MultiYear_ProForma!$A:$A="A_Repurpose_Both_ops")*(MultiYear_ProForma!$B:$B="FY2027")*(MultiYear_ProForma!$F:$F)) + IFERROR(VLOOKUP("A_Repurpose_Both_ops",$H$4:$I$9,2,FALSE),0)*$I$19 ), ""),IFERROR( (SUMPRODUCT((MultiYear_ProForma!$A:$A="A_Repurpose_Both_ops")*(MultiYear_ProForma!$B:$B="FY2028")*(MultiYear_ProForma!$L:$L)) + (IFERROR(VLOOKUP("A_Repurpose_Both_ops",$H$4:$I$9,2,FALSE),0)*$I$19*(VLOOKUP("FY2028",$H$11:$J$15,3,TRUE)+VLOOKUP("FY2028",$H$11:$J$15,2,TRUE))) ) / ( SUMPRODUCT((MultiYear_ProForma!$A:$A="A_Repurpose_Both_ops")*(MultiYear_ProForma!$B:$B="FY2028")*(MultiYear_ProForma!$F:$F)) + IFERROR(VLOOKUP("A_Repurpose_Both_ops",$H$4:$I$9,2,FALSE),0)*$I$19 ), ""))</f>
        <v>#VALUE!</v>
      </c>
      <c r="I3" t="s">
        <v>103</v>
      </c>
    </row>
    <row r="4" spans="1:11" x14ac:dyDescent="0.35">
      <c r="A4" t="s">
        <v>57</v>
      </c>
      <c r="B4">
        <v>0</v>
      </c>
      <c r="C4" t="s">
        <v>104</v>
      </c>
      <c r="D4" t="str">
        <f>IFERROR( (SUMPRODUCT((MultiYear_ProForma!$A:$A="B_Repurpose_Echo_Grow_Pima_lease")*(MultiYear_ProForma!$B:$B="FY2028")*(MultiYear_ProForma!$L:$L)) + (IFERROR(VLOOKUP("B_Repurpose_Echo_Grow_Pima_lease",$H$4:$I$9,2,FALSE),0)*$I$19*(VLOOKUP("FY2028",$H$11:$J$15,3,TRUE)+VLOOKUP("FY2028",$H$11:$J$15,2,TRUE))) ) / ( SUMPRODUCT((MultiYear_ProForma!$A:$A="B_Repurpose_Echo_Grow_Pima_lease")*(MultiYear_ProForma!$B:$B="FY2028")*(MultiYear_ProForma!$F:$F)) + IFERROR(VLOOKUP("B_Repurpose_Echo_Grow_Pima_lease",$H$4:$I$9,2,FALSE),0)*$I$19 ), "")</f>
        <v/>
      </c>
      <c r="E4" t="str">
        <f>IFERROR( (SUMPRODUCT((MultiYear_ProForma!$A:$A="B_Repurpose_Echo_Grow_Pima_lease")*(MultiYear_ProForma!$B:$B="FY2030")*(MultiYear_ProForma!$L:$L)) + (IFERROR(VLOOKUP("B_Repurpose_Echo_Grow_Pima_lease",$H$4:$I$9,2,FALSE),0)*$I$19*(VLOOKUP("FY2030",$H$11:$J$15,3,TRUE)+VLOOKUP("FY2030",$H$11:$J$15,2,TRUE))) ) / ( SUMPRODUCT((MultiYear_ProForma!$A:$A="B_Repurpose_Echo_Grow_Pima_lease")*(MultiYear_ProForma!$B:$B="FY2030")*(MultiYear_ProForma!$F:$F)) + IFERROR(VLOOKUP("B_Repurpose_Echo_Grow_Pima_lease",$H$4:$I$9,2,FALSE),0)*$I$19 ), "")</f>
        <v/>
      </c>
      <c r="F4" t="e">
        <f>AVERAGE(IFERROR( (SUMPRODUCT((MultiYear_ProForma!$A:$A="B_Repurpose_Echo_Grow_Pima_lease")*(MultiYear_ProForma!$B:$B="FY2026")*(MultiYear_ProForma!$L:$L)) + (IFERROR(VLOOKUP("B_Repurpose_Echo_Grow_Pima_lease",$H$4:$I$9,2,FALSE),0)*$I$19*(VLOOKUP("FY2026",$H$11:$J$15,3,TRUE)+VLOOKUP("FY2026",$H$11:$J$15,2,TRUE))) ) / ( SUMPRODUCT((MultiYear_ProForma!$A:$A="B_Repurpose_Echo_Grow_Pima_lease")*(MultiYear_ProForma!$B:$B="FY2026")*(MultiYear_ProForma!$F:$F)) + IFERROR(VLOOKUP("B_Repurpose_Echo_Grow_Pima_lease",$H$4:$I$9,2,FALSE),0)*$I$19 ), ""),IFERROR( (SUMPRODUCT((MultiYear_ProForma!$A:$A="B_Repurpose_Echo_Grow_Pima_lease")*(MultiYear_ProForma!$B:$B="FY2027")*(MultiYear_ProForma!$L:$L)) + (IFERROR(VLOOKUP("B_Repurpose_Echo_Grow_Pima_lease",$H$4:$I$9,2,FALSE),0)*$I$19*(VLOOKUP("FY2027",$H$11:$J$15,3,TRUE)+VLOOKUP("FY2027",$H$11:$J$15,2,TRUE))) ) / ( SUMPRODUCT((MultiYear_ProForma!$A:$A="B_Repurpose_Echo_Grow_Pima_lease")*(MultiYear_ProForma!$B:$B="FY2027")*(MultiYear_ProForma!$F:$F)) + IFERROR(VLOOKUP("B_Repurpose_Echo_Grow_Pima_lease",$H$4:$I$9,2,FALSE),0)*$I$19 ), ""),IFERROR( (SUMPRODUCT((MultiYear_ProForma!$A:$A="B_Repurpose_Echo_Grow_Pima_lease")*(MultiYear_ProForma!$B:$B="FY2028")*(MultiYear_ProForma!$L:$L)) + (IFERROR(VLOOKUP("B_Repurpose_Echo_Grow_Pima_lease",$H$4:$I$9,2,FALSE),0)*$I$19*(VLOOKUP("FY2028",$H$11:$J$15,3,TRUE)+VLOOKUP("FY2028",$H$11:$J$15,2,TRUE))) ) / ( SUMPRODUCT((MultiYear_ProForma!$A:$A="B_Repurpose_Echo_Grow_Pima_lease")*(MultiYear_ProForma!$B:$B="FY2028")*(MultiYear_ProForma!$F:$F)) + IFERROR(VLOOKUP("B_Repurpose_Echo_Grow_Pima_lease",$H$4:$I$9,2,FALSE),0)*$I$19 ), ""))</f>
        <v>#VALUE!</v>
      </c>
      <c r="I4" t="s">
        <v>42</v>
      </c>
      <c r="J4" t="s">
        <v>105</v>
      </c>
    </row>
    <row r="5" spans="1:11" x14ac:dyDescent="0.35">
      <c r="A5" t="s">
        <v>59</v>
      </c>
      <c r="B5">
        <v>0</v>
      </c>
      <c r="C5" t="s">
        <v>106</v>
      </c>
      <c r="D5" t="str">
        <f>IFERROR( (SUMPRODUCT((MultiYear_ProForma!$A:$A="B_Repurpose_Echo_Grow_Pima_ops")*(MultiYear_ProForma!$B:$B="FY2028")*(MultiYear_ProForma!$L:$L)) + (IFERROR(VLOOKUP("B_Repurpose_Echo_Grow_Pima_ops",$H$4:$I$9,2,FALSE),0)*$I$19*(VLOOKUP("FY2028",$H$11:$J$15,3,TRUE)+VLOOKUP("FY2028",$H$11:$J$15,2,TRUE))) ) / ( SUMPRODUCT((MultiYear_ProForma!$A:$A="B_Repurpose_Echo_Grow_Pima_ops")*(MultiYear_ProForma!$B:$B="FY2028")*(MultiYear_ProForma!$F:$F)) + IFERROR(VLOOKUP("B_Repurpose_Echo_Grow_Pima_ops",$H$4:$I$9,2,FALSE),0)*$I$19 ), "")</f>
        <v/>
      </c>
      <c r="E5" t="str">
        <f>IFERROR( (SUMPRODUCT((MultiYear_ProForma!$A:$A="B_Repurpose_Echo_Grow_Pima_ops")*(MultiYear_ProForma!$B:$B="FY2030")*(MultiYear_ProForma!$L:$L)) + (IFERROR(VLOOKUP("B_Repurpose_Echo_Grow_Pima_ops",$H$4:$I$9,2,FALSE),0)*$I$19*(VLOOKUP("FY2030",$H$11:$J$15,3,TRUE)+VLOOKUP("FY2030",$H$11:$J$15,2,TRUE))) ) / ( SUMPRODUCT((MultiYear_ProForma!$A:$A="B_Repurpose_Echo_Grow_Pima_ops")*(MultiYear_ProForma!$B:$B="FY2030")*(MultiYear_ProForma!$F:$F)) + IFERROR(VLOOKUP("B_Repurpose_Echo_Grow_Pima_ops",$H$4:$I$9,2,FALSE),0)*$I$19 ), "")</f>
        <v/>
      </c>
      <c r="F5" t="e">
        <f>AVERAGE(IFERROR( (SUMPRODUCT((MultiYear_ProForma!$A:$A="B_Repurpose_Echo_Grow_Pima_ops")*(MultiYear_ProForma!$B:$B="FY2026")*(MultiYear_ProForma!$L:$L)) + (IFERROR(VLOOKUP("B_Repurpose_Echo_Grow_Pima_ops",$H$4:$I$9,2,FALSE),0)*$I$19*(VLOOKUP("FY2026",$H$11:$J$15,3,TRUE)+VLOOKUP("FY2026",$H$11:$J$15,2,TRUE))) ) / ( SUMPRODUCT((MultiYear_ProForma!$A:$A="B_Repurpose_Echo_Grow_Pima_ops")*(MultiYear_ProForma!$B:$B="FY2026")*(MultiYear_ProForma!$F:$F)) + IFERROR(VLOOKUP("B_Repurpose_Echo_Grow_Pima_ops",$H$4:$I$9,2,FALSE),0)*$I$19 ), ""),IFERROR( (SUMPRODUCT((MultiYear_ProForma!$A:$A="B_Repurpose_Echo_Grow_Pima_ops")*(MultiYear_ProForma!$B:$B="FY2027")*(MultiYear_ProForma!$L:$L)) + (IFERROR(VLOOKUP("B_Repurpose_Echo_Grow_Pima_ops",$H$4:$I$9,2,FALSE),0)*$I$19*(VLOOKUP("FY2027",$H$11:$J$15,3,TRUE)+VLOOKUP("FY2027",$H$11:$J$15,2,TRUE))) ) / ( SUMPRODUCT((MultiYear_ProForma!$A:$A="B_Repurpose_Echo_Grow_Pima_ops")*(MultiYear_ProForma!$B:$B="FY2027")*(MultiYear_ProForma!$F:$F)) + IFERROR(VLOOKUP("B_Repurpose_Echo_Grow_Pima_ops",$H$4:$I$9,2,FALSE),0)*$I$19 ), ""),IFERROR( (SUMPRODUCT((MultiYear_ProForma!$A:$A="B_Repurpose_Echo_Grow_Pima_ops")*(MultiYear_ProForma!$B:$B="FY2028")*(MultiYear_ProForma!$L:$L)) + (IFERROR(VLOOKUP("B_Repurpose_Echo_Grow_Pima_ops",$H$4:$I$9,2,FALSE),0)*$I$19*(VLOOKUP("FY2028",$H$11:$J$15,3,TRUE)+VLOOKUP("FY2028",$H$11:$J$15,2,TRUE))) ) / ( SUMPRODUCT((MultiYear_ProForma!$A:$A="B_Repurpose_Echo_Grow_Pima_ops")*(MultiYear_ProForma!$B:$B="FY2028")*(MultiYear_ProForma!$F:$F)) + IFERROR(VLOOKUP("B_Repurpose_Echo_Grow_Pima_ops",$H$4:$I$9,2,FALSE),0)*$I$19 ), ""))</f>
        <v>#VALUE!</v>
      </c>
      <c r="I5" t="s">
        <v>51</v>
      </c>
      <c r="J5">
        <v>553</v>
      </c>
    </row>
    <row r="6" spans="1:11" x14ac:dyDescent="0.35">
      <c r="A6" t="s">
        <v>61</v>
      </c>
      <c r="B6">
        <v>0</v>
      </c>
      <c r="C6" t="s">
        <v>107</v>
      </c>
      <c r="D6" t="str">
        <f>IFERROR( (SUMPRODUCT((MultiYear_ProForma!$A:$A="C_Repurpose_Pima_Grow_Echo_lease")*(MultiYear_ProForma!$B:$B="FY2028")*(MultiYear_ProForma!$L:$L)) + (IFERROR(VLOOKUP("C_Repurpose_Pima_Grow_Echo_lease",$H$4:$I$9,2,FALSE),0)*$I$19*(VLOOKUP("FY2028",$H$11:$J$15,3,TRUE)+VLOOKUP("FY2028",$H$11:$J$15,2,TRUE))) ) / ( SUMPRODUCT((MultiYear_ProForma!$A:$A="C_Repurpose_Pima_Grow_Echo_lease")*(MultiYear_ProForma!$B:$B="FY2028")*(MultiYear_ProForma!$F:$F)) + IFERROR(VLOOKUP("C_Repurpose_Pima_Grow_Echo_lease",$H$4:$I$9,2,FALSE),0)*$I$19 ), "")</f>
        <v/>
      </c>
      <c r="E6" t="str">
        <f>IFERROR( (SUMPRODUCT((MultiYear_ProForma!$A:$A="C_Repurpose_Pima_Grow_Echo_lease")*(MultiYear_ProForma!$B:$B="FY2030")*(MultiYear_ProForma!$L:$L)) + (IFERROR(VLOOKUP("C_Repurpose_Pima_Grow_Echo_lease",$H$4:$I$9,2,FALSE),0)*$I$19*(VLOOKUP("FY2030",$H$11:$J$15,3,TRUE)+VLOOKUP("FY2030",$H$11:$J$15,2,TRUE))) ) / ( SUMPRODUCT((MultiYear_ProForma!$A:$A="C_Repurpose_Pima_Grow_Echo_lease")*(MultiYear_ProForma!$B:$B="FY2030")*(MultiYear_ProForma!$F:$F)) + IFERROR(VLOOKUP("C_Repurpose_Pima_Grow_Echo_lease",$H$4:$I$9,2,FALSE),0)*$I$19 ), "")</f>
        <v/>
      </c>
      <c r="F6" t="e">
        <f>AVERAGE(IFERROR( (SUMPRODUCT((MultiYear_ProForma!$A:$A="C_Repurpose_Pima_Grow_Echo_lease")*(MultiYear_ProForma!$B:$B="FY2026")*(MultiYear_ProForma!$L:$L)) + (IFERROR(VLOOKUP("C_Repurpose_Pima_Grow_Echo_lease",$H$4:$I$9,2,FALSE),0)*$I$19*(VLOOKUP("FY2026",$H$11:$J$15,3,TRUE)+VLOOKUP("FY2026",$H$11:$J$15,2,TRUE))) ) / ( SUMPRODUCT((MultiYear_ProForma!$A:$A="C_Repurpose_Pima_Grow_Echo_lease")*(MultiYear_ProForma!$B:$B="FY2026")*(MultiYear_ProForma!$F:$F)) + IFERROR(VLOOKUP("C_Repurpose_Pima_Grow_Echo_lease",$H$4:$I$9,2,FALSE),0)*$I$19 ), ""),IFERROR( (SUMPRODUCT((MultiYear_ProForma!$A:$A="C_Repurpose_Pima_Grow_Echo_lease")*(MultiYear_ProForma!$B:$B="FY2027")*(MultiYear_ProForma!$L:$L)) + (IFERROR(VLOOKUP("C_Repurpose_Pima_Grow_Echo_lease",$H$4:$I$9,2,FALSE),0)*$I$19*(VLOOKUP("FY2027",$H$11:$J$15,3,TRUE)+VLOOKUP("FY2027",$H$11:$J$15,2,TRUE))) ) / ( SUMPRODUCT((MultiYear_ProForma!$A:$A="C_Repurpose_Pima_Grow_Echo_lease")*(MultiYear_ProForma!$B:$B="FY2027")*(MultiYear_ProForma!$F:$F)) + IFERROR(VLOOKUP("C_Repurpose_Pima_Grow_Echo_lease",$H$4:$I$9,2,FALSE),0)*$I$19 ), ""),IFERROR( (SUMPRODUCT((MultiYear_ProForma!$A:$A="C_Repurpose_Pima_Grow_Echo_lease")*(MultiYear_ProForma!$B:$B="FY2028")*(MultiYear_ProForma!$L:$L)) + (IFERROR(VLOOKUP("C_Repurpose_Pima_Grow_Echo_lease",$H$4:$I$9,2,FALSE),0)*$I$19*(VLOOKUP("FY2028",$H$11:$J$15,3,TRUE)+VLOOKUP("FY2028",$H$11:$J$15,2,TRUE))) ) / ( SUMPRODUCT((MultiYear_ProForma!$A:$A="C_Repurpose_Pima_Grow_Echo_lease")*(MultiYear_ProForma!$B:$B="FY2028")*(MultiYear_ProForma!$F:$F)) + IFERROR(VLOOKUP("C_Repurpose_Pima_Grow_Echo_lease",$H$4:$I$9,2,FALSE),0)*$I$19 ), ""))</f>
        <v>#VALUE!</v>
      </c>
      <c r="I6" t="s">
        <v>54</v>
      </c>
      <c r="J6">
        <v>553</v>
      </c>
    </row>
    <row r="7" spans="1:11" x14ac:dyDescent="0.35">
      <c r="A7" t="s">
        <v>63</v>
      </c>
      <c r="B7">
        <v>0</v>
      </c>
      <c r="C7" t="s">
        <v>108</v>
      </c>
      <c r="D7" t="str">
        <f>IFERROR( (SUMPRODUCT((MultiYear_ProForma!$A:$A="C_Repurpose_Pima_Grow_Echo_ops")*(MultiYear_ProForma!$B:$B="FY2028")*(MultiYear_ProForma!$L:$L)) + (IFERROR(VLOOKUP("C_Repurpose_Pima_Grow_Echo_ops",$H$4:$I$9,2,FALSE),0)*$I$19*(VLOOKUP("FY2028",$H$11:$J$15,3,TRUE)+VLOOKUP("FY2028",$H$11:$J$15,2,TRUE))) ) / ( SUMPRODUCT((MultiYear_ProForma!$A:$A="C_Repurpose_Pima_Grow_Echo_ops")*(MultiYear_ProForma!$B:$B="FY2028")*(MultiYear_ProForma!$F:$F)) + IFERROR(VLOOKUP("C_Repurpose_Pima_Grow_Echo_ops",$H$4:$I$9,2,FALSE),0)*$I$19 ), "")</f>
        <v/>
      </c>
      <c r="E7" t="str">
        <f>IFERROR( (SUMPRODUCT((MultiYear_ProForma!$A:$A="C_Repurpose_Pima_Grow_Echo_ops")*(MultiYear_ProForma!$B:$B="FY2030")*(MultiYear_ProForma!$L:$L)) + (IFERROR(VLOOKUP("C_Repurpose_Pima_Grow_Echo_ops",$H$4:$I$9,2,FALSE),0)*$I$19*(VLOOKUP("FY2030",$H$11:$J$15,3,TRUE)+VLOOKUP("FY2030",$H$11:$J$15,2,TRUE))) ) / ( SUMPRODUCT((MultiYear_ProForma!$A:$A="C_Repurpose_Pima_Grow_Echo_ops")*(MultiYear_ProForma!$B:$B="FY2030")*(MultiYear_ProForma!$F:$F)) + IFERROR(VLOOKUP("C_Repurpose_Pima_Grow_Echo_ops",$H$4:$I$9,2,FALSE),0)*$I$19 ), "")</f>
        <v/>
      </c>
      <c r="F7" t="e">
        <f>AVERAGE(IFERROR( (SUMPRODUCT((MultiYear_ProForma!$A:$A="C_Repurpose_Pima_Grow_Echo_ops")*(MultiYear_ProForma!$B:$B="FY2026")*(MultiYear_ProForma!$L:$L)) + (IFERROR(VLOOKUP("C_Repurpose_Pima_Grow_Echo_ops",$H$4:$I$9,2,FALSE),0)*$I$19*(VLOOKUP("FY2026",$H$11:$J$15,3,TRUE)+VLOOKUP("FY2026",$H$11:$J$15,2,TRUE))) ) / ( SUMPRODUCT((MultiYear_ProForma!$A:$A="C_Repurpose_Pima_Grow_Echo_ops")*(MultiYear_ProForma!$B:$B="FY2026")*(MultiYear_ProForma!$F:$F)) + IFERROR(VLOOKUP("C_Repurpose_Pima_Grow_Echo_ops",$H$4:$I$9,2,FALSE),0)*$I$19 ), ""),IFERROR( (SUMPRODUCT((MultiYear_ProForma!$A:$A="C_Repurpose_Pima_Grow_Echo_ops")*(MultiYear_ProForma!$B:$B="FY2027")*(MultiYear_ProForma!$L:$L)) + (IFERROR(VLOOKUP("C_Repurpose_Pima_Grow_Echo_ops",$H$4:$I$9,2,FALSE),0)*$I$19*(VLOOKUP("FY2027",$H$11:$J$15,3,TRUE)+VLOOKUP("FY2027",$H$11:$J$15,2,TRUE))) ) / ( SUMPRODUCT((MultiYear_ProForma!$A:$A="C_Repurpose_Pima_Grow_Echo_ops")*(MultiYear_ProForma!$B:$B="FY2027")*(MultiYear_ProForma!$F:$F)) + IFERROR(VLOOKUP("C_Repurpose_Pima_Grow_Echo_ops",$H$4:$I$9,2,FALSE),0)*$I$19 ), ""),IFERROR( (SUMPRODUCT((MultiYear_ProForma!$A:$A="C_Repurpose_Pima_Grow_Echo_ops")*(MultiYear_ProForma!$B:$B="FY2028")*(MultiYear_ProForma!$L:$L)) + (IFERROR(VLOOKUP("C_Repurpose_Pima_Grow_Echo_ops",$H$4:$I$9,2,FALSE),0)*$I$19*(VLOOKUP("FY2028",$H$11:$J$15,3,TRUE)+VLOOKUP("FY2028",$H$11:$J$15,2,TRUE))) ) / ( SUMPRODUCT((MultiYear_ProForma!$A:$A="C_Repurpose_Pima_Grow_Echo_ops")*(MultiYear_ProForma!$B:$B="FY2028")*(MultiYear_ProForma!$F:$F)) + IFERROR(VLOOKUP("C_Repurpose_Pima_Grow_Echo_ops",$H$4:$I$9,2,FALSE),0)*$I$19 ), ""))</f>
        <v>#VALUE!</v>
      </c>
      <c r="I7" t="s">
        <v>57</v>
      </c>
      <c r="J7">
        <v>257</v>
      </c>
    </row>
    <row r="8" spans="1:11" x14ac:dyDescent="0.35">
      <c r="A8" t="s">
        <v>65</v>
      </c>
      <c r="B8">
        <v>0</v>
      </c>
      <c r="C8" t="s">
        <v>109</v>
      </c>
      <c r="D8" t="str">
        <f>IFERROR( (SUMPRODUCT((MultiYear_ProForma!$A:$A="D_Grow_Both_0")*(MultiYear_ProForma!$B:$B="FY2028")*(MultiYear_ProForma!$L:$L)) + (IFERROR(VLOOKUP("D_Grow_Both_0",$H$4:$I$9,2,FALSE),0)*$I$19*(VLOOKUP("FY2028",$H$11:$J$15,3,TRUE)+VLOOKUP("FY2028",$H$11:$J$15,2,TRUE))) ) / ( SUMPRODUCT((MultiYear_ProForma!$A:$A="D_Grow_Both_0")*(MultiYear_ProForma!$B:$B="FY2028")*(MultiYear_ProForma!$F:$F)) + IFERROR(VLOOKUP("D_Grow_Both_0",$H$4:$I$9,2,FALSE),0)*$I$19 ), "")</f>
        <v/>
      </c>
      <c r="E8" t="str">
        <f>IFERROR( (SUMPRODUCT((MultiYear_ProForma!$A:$A="D_Grow_Both_0")*(MultiYear_ProForma!$B:$B="FY2030")*(MultiYear_ProForma!$L:$L)) + (IFERROR(VLOOKUP("D_Grow_Both_0",$H$4:$I$9,2,FALSE),0)*$I$19*(VLOOKUP("FY2030",$H$11:$J$15,3,TRUE)+VLOOKUP("FY2030",$H$11:$J$15,2,TRUE))) ) / ( SUMPRODUCT((MultiYear_ProForma!$A:$A="D_Grow_Both_0")*(MultiYear_ProForma!$B:$B="FY2030")*(MultiYear_ProForma!$F:$F)) + IFERROR(VLOOKUP("D_Grow_Both_0",$H$4:$I$9,2,FALSE),0)*$I$19 ), "")</f>
        <v/>
      </c>
      <c r="F8" t="e">
        <f>AVERAGE(IFERROR( (SUMPRODUCT((MultiYear_ProForma!$A:$A="D_Grow_Both_0")*(MultiYear_ProForma!$B:$B="FY2026")*(MultiYear_ProForma!$L:$L)) + (IFERROR(VLOOKUP("D_Grow_Both_0",$H$4:$I$9,2,FALSE),0)*$I$19*(VLOOKUP("FY2026",$H$11:$J$15,3,TRUE)+VLOOKUP("FY2026",$H$11:$J$15,2,TRUE))) ) / ( SUMPRODUCT((MultiYear_ProForma!$A:$A="D_Grow_Both_0")*(MultiYear_ProForma!$B:$B="FY2026")*(MultiYear_ProForma!$F:$F)) + IFERROR(VLOOKUP("D_Grow_Both_0",$H$4:$I$9,2,FALSE),0)*$I$19 ), ""),IFERROR( (SUMPRODUCT((MultiYear_ProForma!$A:$A="D_Grow_Both_0")*(MultiYear_ProForma!$B:$B="FY2027")*(MultiYear_ProForma!$L:$L)) + (IFERROR(VLOOKUP("D_Grow_Both_0",$H$4:$I$9,2,FALSE),0)*$I$19*(VLOOKUP("FY2027",$H$11:$J$15,3,TRUE)+VLOOKUP("FY2027",$H$11:$J$15,2,TRUE))) ) / ( SUMPRODUCT((MultiYear_ProForma!$A:$A="D_Grow_Both_0")*(MultiYear_ProForma!$B:$B="FY2027")*(MultiYear_ProForma!$F:$F)) + IFERROR(VLOOKUP("D_Grow_Both_0",$H$4:$I$9,2,FALSE),0)*$I$19 ), ""),IFERROR( (SUMPRODUCT((MultiYear_ProForma!$A:$A="D_Grow_Both_0")*(MultiYear_ProForma!$B:$B="FY2028")*(MultiYear_ProForma!$L:$L)) + (IFERROR(VLOOKUP("D_Grow_Both_0",$H$4:$I$9,2,FALSE),0)*$I$19*(VLOOKUP("FY2028",$H$11:$J$15,3,TRUE)+VLOOKUP("FY2028",$H$11:$J$15,2,TRUE))) ) / ( SUMPRODUCT((MultiYear_ProForma!$A:$A="D_Grow_Both_0")*(MultiYear_ProForma!$B:$B="FY2028")*(MultiYear_ProForma!$F:$F)) + IFERROR(VLOOKUP("D_Grow_Both_0",$H$4:$I$9,2,FALSE),0)*$I$19 ), ""))</f>
        <v>#VALUE!</v>
      </c>
      <c r="I8" t="s">
        <v>59</v>
      </c>
      <c r="J8">
        <v>257</v>
      </c>
    </row>
    <row r="9" spans="1:11" x14ac:dyDescent="0.35">
      <c r="A9" t="s">
        <v>67</v>
      </c>
      <c r="B9">
        <v>100</v>
      </c>
      <c r="C9" t="s">
        <v>110</v>
      </c>
      <c r="D9" t="str">
        <f>IFERROR( (SUMPRODUCT((MultiYear_ProForma!$A:$A="D_Grow_Both_100")*(MultiYear_ProForma!$B:$B="FY2028")*(MultiYear_ProForma!$L:$L)) + (IFERROR(VLOOKUP("D_Grow_Both_100",$H$4:$I$9,2,FALSE),0)*$I$19*(VLOOKUP("FY2028",$H$11:$J$15,3,TRUE)+VLOOKUP("FY2028",$H$11:$J$15,2,TRUE))) ) / ( SUMPRODUCT((MultiYear_ProForma!$A:$A="D_Grow_Both_100")*(MultiYear_ProForma!$B:$B="FY2028")*(MultiYear_ProForma!$F:$F)) + IFERROR(VLOOKUP("D_Grow_Both_100",$H$4:$I$9,2,FALSE),0)*$I$19 ), "")</f>
        <v/>
      </c>
      <c r="E9" t="str">
        <f>IFERROR( (SUMPRODUCT((MultiYear_ProForma!$A:$A="D_Grow_Both_100")*(MultiYear_ProForma!$B:$B="FY2030")*(MultiYear_ProForma!$L:$L)) + (IFERROR(VLOOKUP("D_Grow_Both_100",$H$4:$I$9,2,FALSE),0)*$I$19*(VLOOKUP("FY2030",$H$11:$J$15,3,TRUE)+VLOOKUP("FY2030",$H$11:$J$15,2,TRUE))) ) / ( SUMPRODUCT((MultiYear_ProForma!$A:$A="D_Grow_Both_100")*(MultiYear_ProForma!$B:$B="FY2030")*(MultiYear_ProForma!$F:$F)) + IFERROR(VLOOKUP("D_Grow_Both_100",$H$4:$I$9,2,FALSE),0)*$I$19 ), "")</f>
        <v/>
      </c>
      <c r="F9" t="e">
        <f>AVERAGE(IFERROR( (SUMPRODUCT((MultiYear_ProForma!$A:$A="D_Grow_Both_100")*(MultiYear_ProForma!$B:$B="FY2026")*(MultiYear_ProForma!$L:$L)) + (IFERROR(VLOOKUP("D_Grow_Both_100",$H$4:$I$9,2,FALSE),0)*$I$19*(VLOOKUP("FY2026",$H$11:$J$15,3,TRUE)+VLOOKUP("FY2026",$H$11:$J$15,2,TRUE))) ) / ( SUMPRODUCT((MultiYear_ProForma!$A:$A="D_Grow_Both_100")*(MultiYear_ProForma!$B:$B="FY2026")*(MultiYear_ProForma!$F:$F)) + IFERROR(VLOOKUP("D_Grow_Both_100",$H$4:$I$9,2,FALSE),0)*$I$19 ), ""),IFERROR( (SUMPRODUCT((MultiYear_ProForma!$A:$A="D_Grow_Both_100")*(MultiYear_ProForma!$B:$B="FY2027")*(MultiYear_ProForma!$L:$L)) + (IFERROR(VLOOKUP("D_Grow_Both_100",$H$4:$I$9,2,FALSE),0)*$I$19*(VLOOKUP("FY2027",$H$11:$J$15,3,TRUE)+VLOOKUP("FY2027",$H$11:$J$15,2,TRUE))) ) / ( SUMPRODUCT((MultiYear_ProForma!$A:$A="D_Grow_Both_100")*(MultiYear_ProForma!$B:$B="FY2027")*(MultiYear_ProForma!$F:$F)) + IFERROR(VLOOKUP("D_Grow_Both_100",$H$4:$I$9,2,FALSE),0)*$I$19 ), ""),IFERROR( (SUMPRODUCT((MultiYear_ProForma!$A:$A="D_Grow_Both_100")*(MultiYear_ProForma!$B:$B="FY2028")*(MultiYear_ProForma!$L:$L)) + (IFERROR(VLOOKUP("D_Grow_Both_100",$H$4:$I$9,2,FALSE),0)*$I$19*(VLOOKUP("FY2028",$H$11:$J$15,3,TRUE)+VLOOKUP("FY2028",$H$11:$J$15,2,TRUE))) ) / ( SUMPRODUCT((MultiYear_ProForma!$A:$A="D_Grow_Both_100")*(MultiYear_ProForma!$B:$B="FY2028")*(MultiYear_ProForma!$F:$F)) + IFERROR(VLOOKUP("D_Grow_Both_100",$H$4:$I$9,2,FALSE),0)*$I$19 ), ""))</f>
        <v>#VALUE!</v>
      </c>
      <c r="I9" t="s">
        <v>61</v>
      </c>
      <c r="J9">
        <v>296</v>
      </c>
    </row>
    <row r="10" spans="1:11" x14ac:dyDescent="0.35">
      <c r="A10" t="s">
        <v>69</v>
      </c>
      <c r="B10">
        <v>150</v>
      </c>
      <c r="C10" t="s">
        <v>111</v>
      </c>
      <c r="D10" t="str">
        <f>IFERROR( (SUMPRODUCT((MultiYear_ProForma!$A:$A="D_Grow_Both_150")*(MultiYear_ProForma!$B:$B="FY2028")*(MultiYear_ProForma!$L:$L)) + (IFERROR(VLOOKUP("D_Grow_Both_150",$H$4:$I$9,2,FALSE),0)*$I$19*(VLOOKUP("FY2028",$H$11:$J$15,3,TRUE)+VLOOKUP("FY2028",$H$11:$J$15,2,TRUE))) ) / ( SUMPRODUCT((MultiYear_ProForma!$A:$A="D_Grow_Both_150")*(MultiYear_ProForma!$B:$B="FY2028")*(MultiYear_ProForma!$F:$F)) + IFERROR(VLOOKUP("D_Grow_Both_150",$H$4:$I$9,2,FALSE),0)*$I$19 ), "")</f>
        <v/>
      </c>
      <c r="E10" t="str">
        <f>IFERROR( (SUMPRODUCT((MultiYear_ProForma!$A:$A="D_Grow_Both_150")*(MultiYear_ProForma!$B:$B="FY2030")*(MultiYear_ProForma!$L:$L)) + (IFERROR(VLOOKUP("D_Grow_Both_150",$H$4:$I$9,2,FALSE),0)*$I$19*(VLOOKUP("FY2030",$H$11:$J$15,3,TRUE)+VLOOKUP("FY2030",$H$11:$J$15,2,TRUE))) ) / ( SUMPRODUCT((MultiYear_ProForma!$A:$A="D_Grow_Both_150")*(MultiYear_ProForma!$B:$B="FY2030")*(MultiYear_ProForma!$F:$F)) + IFERROR(VLOOKUP("D_Grow_Both_150",$H$4:$I$9,2,FALSE),0)*$I$19 ), "")</f>
        <v/>
      </c>
      <c r="F10" t="e">
        <f>AVERAGE(IFERROR( (SUMPRODUCT((MultiYear_ProForma!$A:$A="D_Grow_Both_150")*(MultiYear_ProForma!$B:$B="FY2026")*(MultiYear_ProForma!$L:$L)) + (IFERROR(VLOOKUP("D_Grow_Both_150",$H$4:$I$9,2,FALSE),0)*$I$19*(VLOOKUP("FY2026",$H$11:$J$15,3,TRUE)+VLOOKUP("FY2026",$H$11:$J$15,2,TRUE))) ) / ( SUMPRODUCT((MultiYear_ProForma!$A:$A="D_Grow_Both_150")*(MultiYear_ProForma!$B:$B="FY2026")*(MultiYear_ProForma!$F:$F)) + IFERROR(VLOOKUP("D_Grow_Both_150",$H$4:$I$9,2,FALSE),0)*$I$19 ), ""),IFERROR( (SUMPRODUCT((MultiYear_ProForma!$A:$A="D_Grow_Both_150")*(MultiYear_ProForma!$B:$B="FY2027")*(MultiYear_ProForma!$L:$L)) + (IFERROR(VLOOKUP("D_Grow_Both_150",$H$4:$I$9,2,FALSE),0)*$I$19*(VLOOKUP("FY2027",$H$11:$J$15,3,TRUE)+VLOOKUP("FY2027",$H$11:$J$15,2,TRUE))) ) / ( SUMPRODUCT((MultiYear_ProForma!$A:$A="D_Grow_Both_150")*(MultiYear_ProForma!$B:$B="FY2027")*(MultiYear_ProForma!$F:$F)) + IFERROR(VLOOKUP("D_Grow_Both_150",$H$4:$I$9,2,FALSE),0)*$I$19 ), ""),IFERROR( (SUMPRODUCT((MultiYear_ProForma!$A:$A="D_Grow_Both_150")*(MultiYear_ProForma!$B:$B="FY2028")*(MultiYear_ProForma!$L:$L)) + (IFERROR(VLOOKUP("D_Grow_Both_150",$H$4:$I$9,2,FALSE),0)*$I$19*(VLOOKUP("FY2028",$H$11:$J$15,3,TRUE)+VLOOKUP("FY2028",$H$11:$J$15,2,TRUE))) ) / ( SUMPRODUCT((MultiYear_ProForma!$A:$A="D_Grow_Both_150")*(MultiYear_ProForma!$B:$B="FY2028")*(MultiYear_ProForma!$F:$F)) + IFERROR(VLOOKUP("D_Grow_Both_150",$H$4:$I$9,2,FALSE),0)*$I$19 ), ""))</f>
        <v>#VALUE!</v>
      </c>
      <c r="I10" t="s">
        <v>63</v>
      </c>
      <c r="J10">
        <v>296</v>
      </c>
    </row>
    <row r="11" spans="1:11" x14ac:dyDescent="0.35">
      <c r="A11" t="s">
        <v>71</v>
      </c>
      <c r="B11">
        <v>0</v>
      </c>
      <c r="C11" t="s">
        <v>112</v>
      </c>
      <c r="D11" t="str">
        <f>IFERROR( (SUMPRODUCT((MultiYear_ProForma!$A:$A="E_StatusQuo_Targets_0")*(MultiYear_ProForma!$B:$B="FY2028")*(MultiYear_ProForma!$L:$L)) + (IFERROR(VLOOKUP("E_StatusQuo_Targets_0",$H$4:$I$9,2,FALSE),0)*$I$19*(VLOOKUP("FY2028",$H$11:$J$15,3,TRUE)+VLOOKUP("FY2028",$H$11:$J$15,2,TRUE))) ) / ( SUMPRODUCT((MultiYear_ProForma!$A:$A="E_StatusQuo_Targets_0")*(MultiYear_ProForma!$B:$B="FY2028")*(MultiYear_ProForma!$F:$F)) + IFERROR(VLOOKUP("E_StatusQuo_Targets_0",$H$4:$I$9,2,FALSE),0)*$I$19 ), "")</f>
        <v/>
      </c>
      <c r="E11" t="str">
        <f>IFERROR( (SUMPRODUCT((MultiYear_ProForma!$A:$A="E_StatusQuo_Targets_0")*(MultiYear_ProForma!$B:$B="FY2030")*(MultiYear_ProForma!$L:$L)) + (IFERROR(VLOOKUP("E_StatusQuo_Targets_0",$H$4:$I$9,2,FALSE),0)*$I$19*(VLOOKUP("FY2030",$H$11:$J$15,3,TRUE)+VLOOKUP("FY2030",$H$11:$J$15,2,TRUE))) ) / ( SUMPRODUCT((MultiYear_ProForma!$A:$A="E_StatusQuo_Targets_0")*(MultiYear_ProForma!$B:$B="FY2030")*(MultiYear_ProForma!$F:$F)) + IFERROR(VLOOKUP("E_StatusQuo_Targets_0",$H$4:$I$9,2,FALSE),0)*$I$19 ), "")</f>
        <v/>
      </c>
      <c r="F11" t="e">
        <f>AVERAGE(IFERROR( (SUMPRODUCT((MultiYear_ProForma!$A:$A="E_StatusQuo_Targets_0")*(MultiYear_ProForma!$B:$B="FY2026")*(MultiYear_ProForma!$L:$L)) + (IFERROR(VLOOKUP("E_StatusQuo_Targets_0",$H$4:$I$9,2,FALSE),0)*$I$19*(VLOOKUP("FY2026",$H$11:$J$15,3,TRUE)+VLOOKUP("FY2026",$H$11:$J$15,2,TRUE))) ) / ( SUMPRODUCT((MultiYear_ProForma!$A:$A="E_StatusQuo_Targets_0")*(MultiYear_ProForma!$B:$B="FY2026")*(MultiYear_ProForma!$F:$F)) + IFERROR(VLOOKUP("E_StatusQuo_Targets_0",$H$4:$I$9,2,FALSE),0)*$I$19 ), ""),IFERROR( (SUMPRODUCT((MultiYear_ProForma!$A:$A="E_StatusQuo_Targets_0")*(MultiYear_ProForma!$B:$B="FY2027")*(MultiYear_ProForma!$L:$L)) + (IFERROR(VLOOKUP("E_StatusQuo_Targets_0",$H$4:$I$9,2,FALSE),0)*$I$19*(VLOOKUP("FY2027",$H$11:$J$15,3,TRUE)+VLOOKUP("FY2027",$H$11:$J$15,2,TRUE))) ) / ( SUMPRODUCT((MultiYear_ProForma!$A:$A="E_StatusQuo_Targets_0")*(MultiYear_ProForma!$B:$B="FY2027")*(MultiYear_ProForma!$F:$F)) + IFERROR(VLOOKUP("E_StatusQuo_Targets_0",$H$4:$I$9,2,FALSE),0)*$I$19 ), ""),IFERROR( (SUMPRODUCT((MultiYear_ProForma!$A:$A="E_StatusQuo_Targets_0")*(MultiYear_ProForma!$B:$B="FY2028")*(MultiYear_ProForma!$L:$L)) + (IFERROR(VLOOKUP("E_StatusQuo_Targets_0",$H$4:$I$9,2,FALSE),0)*$I$19*(VLOOKUP("FY2028",$H$11:$J$15,3,TRUE)+VLOOKUP("FY2028",$H$11:$J$15,2,TRUE))) ) / ( SUMPRODUCT((MultiYear_ProForma!$A:$A="E_StatusQuo_Targets_0")*(MultiYear_ProForma!$B:$B="FY2028")*(MultiYear_ProForma!$F:$F)) + IFERROR(VLOOKUP("E_StatusQuo_Targets_0",$H$4:$I$9,2,FALSE),0)*$I$19 ), ""))</f>
        <v>#VALUE!</v>
      </c>
      <c r="I11" t="s">
        <v>113</v>
      </c>
      <c r="J11" t="s">
        <v>24</v>
      </c>
      <c r="K11" t="s">
        <v>114</v>
      </c>
    </row>
    <row r="12" spans="1:11" x14ac:dyDescent="0.35">
      <c r="A12" t="s">
        <v>73</v>
      </c>
      <c r="B12">
        <v>100</v>
      </c>
      <c r="C12" t="s">
        <v>115</v>
      </c>
      <c r="D12" t="str">
        <f>IFERROR( (SUMPRODUCT((MultiYear_ProForma!$A:$A="E_StatusQuo_Targets_100")*(MultiYear_ProForma!$B:$B="FY2028")*(MultiYear_ProForma!$L:$L)) + (IFERROR(VLOOKUP("E_StatusQuo_Targets_100",$H$4:$I$9,2,FALSE),0)*$I$19*(VLOOKUP("FY2028",$H$11:$J$15,3,TRUE)+VLOOKUP("FY2028",$H$11:$J$15,2,TRUE))) ) / ( SUMPRODUCT((MultiYear_ProForma!$A:$A="E_StatusQuo_Targets_100")*(MultiYear_ProForma!$B:$B="FY2028")*(MultiYear_ProForma!$F:$F)) + IFERROR(VLOOKUP("E_StatusQuo_Targets_100",$H$4:$I$9,2,FALSE),0)*$I$19 ), "")</f>
        <v/>
      </c>
      <c r="E12" t="str">
        <f>IFERROR( (SUMPRODUCT((MultiYear_ProForma!$A:$A="E_StatusQuo_Targets_100")*(MultiYear_ProForma!$B:$B="FY2030")*(MultiYear_ProForma!$L:$L)) + (IFERROR(VLOOKUP("E_StatusQuo_Targets_100",$H$4:$I$9,2,FALSE),0)*$I$19*(VLOOKUP("FY2030",$H$11:$J$15,3,TRUE)+VLOOKUP("FY2030",$H$11:$J$15,2,TRUE))) ) / ( SUMPRODUCT((MultiYear_ProForma!$A:$A="E_StatusQuo_Targets_100")*(MultiYear_ProForma!$B:$B="FY2030")*(MultiYear_ProForma!$F:$F)) + IFERROR(VLOOKUP("E_StatusQuo_Targets_100",$H$4:$I$9,2,FALSE),0)*$I$19 ), "")</f>
        <v/>
      </c>
      <c r="F12" t="e">
        <f>AVERAGE(IFERROR( (SUMPRODUCT((MultiYear_ProForma!$A:$A="E_StatusQuo_Targets_100")*(MultiYear_ProForma!$B:$B="FY2026")*(MultiYear_ProForma!$L:$L)) + (IFERROR(VLOOKUP("E_StatusQuo_Targets_100",$H$4:$I$9,2,FALSE),0)*$I$19*(VLOOKUP("FY2026",$H$11:$J$15,3,TRUE)+VLOOKUP("FY2026",$H$11:$J$15,2,TRUE))) ) / ( SUMPRODUCT((MultiYear_ProForma!$A:$A="E_StatusQuo_Targets_100")*(MultiYear_ProForma!$B:$B="FY2026")*(MultiYear_ProForma!$F:$F)) + IFERROR(VLOOKUP("E_StatusQuo_Targets_100",$H$4:$I$9,2,FALSE),0)*$I$19 ), ""),IFERROR( (SUMPRODUCT((MultiYear_ProForma!$A:$A="E_StatusQuo_Targets_100")*(MultiYear_ProForma!$B:$B="FY2027")*(MultiYear_ProForma!$L:$L)) + (IFERROR(VLOOKUP("E_StatusQuo_Targets_100",$H$4:$I$9,2,FALSE),0)*$I$19*(VLOOKUP("FY2027",$H$11:$J$15,3,TRUE)+VLOOKUP("FY2027",$H$11:$J$15,2,TRUE))) ) / ( SUMPRODUCT((MultiYear_ProForma!$A:$A="E_StatusQuo_Targets_100")*(MultiYear_ProForma!$B:$B="FY2027")*(MultiYear_ProForma!$F:$F)) + IFERROR(VLOOKUP("E_StatusQuo_Targets_100",$H$4:$I$9,2,FALSE),0)*$I$19 ), ""),IFERROR( (SUMPRODUCT((MultiYear_ProForma!$A:$A="E_StatusQuo_Targets_100")*(MultiYear_ProForma!$B:$B="FY2028")*(MultiYear_ProForma!$L:$L)) + (IFERROR(VLOOKUP("E_StatusQuo_Targets_100",$H$4:$I$9,2,FALSE),0)*$I$19*(VLOOKUP("FY2028",$H$11:$J$15,3,TRUE)+VLOOKUP("FY2028",$H$11:$J$15,2,TRUE))) ) / ( SUMPRODUCT((MultiYear_ProForma!$A:$A="E_StatusQuo_Targets_100")*(MultiYear_ProForma!$B:$B="FY2028")*(MultiYear_ProForma!$F:$F)) + IFERROR(VLOOKUP("E_StatusQuo_Targets_100",$H$4:$I$9,2,FALSE),0)*$I$19 ), ""))</f>
        <v>#VALUE!</v>
      </c>
      <c r="I12" t="s">
        <v>19</v>
      </c>
      <c r="J12">
        <v>1000</v>
      </c>
      <c r="K12">
        <v>7129.0799999999981</v>
      </c>
    </row>
    <row r="13" spans="1:11" x14ac:dyDescent="0.35">
      <c r="A13" t="s">
        <v>75</v>
      </c>
      <c r="B13">
        <v>150</v>
      </c>
      <c r="C13" t="s">
        <v>116</v>
      </c>
      <c r="D13" t="str">
        <f>IFERROR( (SUMPRODUCT((MultiYear_ProForma!$A:$A="E_StatusQuo_Targets_150")*(MultiYear_ProForma!$B:$B="FY2028")*(MultiYear_ProForma!$L:$L)) + (IFERROR(VLOOKUP("E_StatusQuo_Targets_150",$H$4:$I$9,2,FALSE),0)*$I$19*(VLOOKUP("FY2028",$H$11:$J$15,3,TRUE)+VLOOKUP("FY2028",$H$11:$J$15,2,TRUE))) ) / ( SUMPRODUCT((MultiYear_ProForma!$A:$A="E_StatusQuo_Targets_150")*(MultiYear_ProForma!$B:$B="FY2028")*(MultiYear_ProForma!$F:$F)) + IFERROR(VLOOKUP("E_StatusQuo_Targets_150",$H$4:$I$9,2,FALSE),0)*$I$19 ), "")</f>
        <v/>
      </c>
      <c r="E13" t="str">
        <f>IFERROR( (SUMPRODUCT((MultiYear_ProForma!$A:$A="E_StatusQuo_Targets_150")*(MultiYear_ProForma!$B:$B="FY2030")*(MultiYear_ProForma!$L:$L)) + (IFERROR(VLOOKUP("E_StatusQuo_Targets_150",$H$4:$I$9,2,FALSE),0)*$I$19*(VLOOKUP("FY2030",$H$11:$J$15,3,TRUE)+VLOOKUP("FY2030",$H$11:$J$15,2,TRUE))) ) / ( SUMPRODUCT((MultiYear_ProForma!$A:$A="E_StatusQuo_Targets_150")*(MultiYear_ProForma!$B:$B="FY2030")*(MultiYear_ProForma!$F:$F)) + IFERROR(VLOOKUP("E_StatusQuo_Targets_150",$H$4:$I$9,2,FALSE),0)*$I$19 ), "")</f>
        <v/>
      </c>
      <c r="F13" t="e">
        <f>AVERAGE(IFERROR( (SUMPRODUCT((MultiYear_ProForma!$A:$A="E_StatusQuo_Targets_150")*(MultiYear_ProForma!$B:$B="FY2026")*(MultiYear_ProForma!$L:$L)) + (IFERROR(VLOOKUP("E_StatusQuo_Targets_150",$H$4:$I$9,2,FALSE),0)*$I$19*(VLOOKUP("FY2026",$H$11:$J$15,3,TRUE)+VLOOKUP("FY2026",$H$11:$J$15,2,TRUE))) ) / ( SUMPRODUCT((MultiYear_ProForma!$A:$A="E_StatusQuo_Targets_150")*(MultiYear_ProForma!$B:$B="FY2026")*(MultiYear_ProForma!$F:$F)) + IFERROR(VLOOKUP("E_StatusQuo_Targets_150",$H$4:$I$9,2,FALSE),0)*$I$19 ), ""),IFERROR( (SUMPRODUCT((MultiYear_ProForma!$A:$A="E_StatusQuo_Targets_150")*(MultiYear_ProForma!$B:$B="FY2027")*(MultiYear_ProForma!$L:$L)) + (IFERROR(VLOOKUP("E_StatusQuo_Targets_150",$H$4:$I$9,2,FALSE),0)*$I$19*(VLOOKUP("FY2027",$H$11:$J$15,3,TRUE)+VLOOKUP("FY2027",$H$11:$J$15,2,TRUE))) ) / ( SUMPRODUCT((MultiYear_ProForma!$A:$A="E_StatusQuo_Targets_150")*(MultiYear_ProForma!$B:$B="FY2027")*(MultiYear_ProForma!$F:$F)) + IFERROR(VLOOKUP("E_StatusQuo_Targets_150",$H$4:$I$9,2,FALSE),0)*$I$19 ), ""),IFERROR( (SUMPRODUCT((MultiYear_ProForma!$A:$A="E_StatusQuo_Targets_150")*(MultiYear_ProForma!$B:$B="FY2028")*(MultiYear_ProForma!$L:$L)) + (IFERROR(VLOOKUP("E_StatusQuo_Targets_150",$H$4:$I$9,2,FALSE),0)*$I$19*(VLOOKUP("FY2028",$H$11:$J$15,3,TRUE)+VLOOKUP("FY2028",$H$11:$J$15,2,TRUE))) ) / ( SUMPRODUCT((MultiYear_ProForma!$A:$A="E_StatusQuo_Targets_150")*(MultiYear_ProForma!$B:$B="FY2028")*(MultiYear_ProForma!$F:$F)) + IFERROR(VLOOKUP("E_StatusQuo_Targets_150",$H$4:$I$9,2,FALSE),0)*$I$19 ), ""))</f>
        <v>#VALUE!</v>
      </c>
      <c r="I13" t="s">
        <v>20</v>
      </c>
      <c r="J13">
        <v>800</v>
      </c>
      <c r="K13">
        <v>7307.306999999998</v>
      </c>
    </row>
    <row r="14" spans="1:11" x14ac:dyDescent="0.35">
      <c r="A14" t="s">
        <v>77</v>
      </c>
      <c r="B14">
        <v>0</v>
      </c>
      <c r="C14" t="s">
        <v>117</v>
      </c>
      <c r="D14" t="str">
        <f>IFERROR( (SUMPRODUCT((MultiYear_ProForma!$A:$A="F_CoLocation_Echo_0")*(MultiYear_ProForma!$B:$B="FY2028")*(MultiYear_ProForma!$L:$L)) + (IFERROR(VLOOKUP("F_CoLocation_Echo_0",$H$4:$I$9,2,FALSE),0)*$I$19*(VLOOKUP("FY2028",$H$11:$J$15,3,TRUE)+VLOOKUP("FY2028",$H$11:$J$15,2,TRUE))) ) / ( SUMPRODUCT((MultiYear_ProForma!$A:$A="F_CoLocation_Echo_0")*(MultiYear_ProForma!$B:$B="FY2028")*(MultiYear_ProForma!$F:$F)) + IFERROR(VLOOKUP("F_CoLocation_Echo_0",$H$4:$I$9,2,FALSE),0)*$I$19 ), "")</f>
        <v/>
      </c>
      <c r="E14" t="str">
        <f>IFERROR( (SUMPRODUCT((MultiYear_ProForma!$A:$A="F_CoLocation_Echo_0")*(MultiYear_ProForma!$B:$B="FY2030")*(MultiYear_ProForma!$L:$L)) + (IFERROR(VLOOKUP("F_CoLocation_Echo_0",$H$4:$I$9,2,FALSE),0)*$I$19*(VLOOKUP("FY2030",$H$11:$J$15,3,TRUE)+VLOOKUP("FY2030",$H$11:$J$15,2,TRUE))) ) / ( SUMPRODUCT((MultiYear_ProForma!$A:$A="F_CoLocation_Echo_0")*(MultiYear_ProForma!$B:$B="FY2030")*(MultiYear_ProForma!$F:$F)) + IFERROR(VLOOKUP("F_CoLocation_Echo_0",$H$4:$I$9,2,FALSE),0)*$I$19 ), "")</f>
        <v/>
      </c>
      <c r="F14" t="e">
        <f>AVERAGE(IFERROR( (SUMPRODUCT((MultiYear_ProForma!$A:$A="F_CoLocation_Echo_0")*(MultiYear_ProForma!$B:$B="FY2026")*(MultiYear_ProForma!$L:$L)) + (IFERROR(VLOOKUP("F_CoLocation_Echo_0",$H$4:$I$9,2,FALSE),0)*$I$19*(VLOOKUP("FY2026",$H$11:$J$15,3,TRUE)+VLOOKUP("FY2026",$H$11:$J$15,2,TRUE))) ) / ( SUMPRODUCT((MultiYear_ProForma!$A:$A="F_CoLocation_Echo_0")*(MultiYear_ProForma!$B:$B="FY2026")*(MultiYear_ProForma!$F:$F)) + IFERROR(VLOOKUP("F_CoLocation_Echo_0",$H$4:$I$9,2,FALSE),0)*$I$19 ), ""),IFERROR( (SUMPRODUCT((MultiYear_ProForma!$A:$A="F_CoLocation_Echo_0")*(MultiYear_ProForma!$B:$B="FY2027")*(MultiYear_ProForma!$L:$L)) + (IFERROR(VLOOKUP("F_CoLocation_Echo_0",$H$4:$I$9,2,FALSE),0)*$I$19*(VLOOKUP("FY2027",$H$11:$J$15,3,TRUE)+VLOOKUP("FY2027",$H$11:$J$15,2,TRUE))) ) / ( SUMPRODUCT((MultiYear_ProForma!$A:$A="F_CoLocation_Echo_0")*(MultiYear_ProForma!$B:$B="FY2027")*(MultiYear_ProForma!$F:$F)) + IFERROR(VLOOKUP("F_CoLocation_Echo_0",$H$4:$I$9,2,FALSE),0)*$I$19 ), ""),IFERROR( (SUMPRODUCT((MultiYear_ProForma!$A:$A="F_CoLocation_Echo_0")*(MultiYear_ProForma!$B:$B="FY2028")*(MultiYear_ProForma!$L:$L)) + (IFERROR(VLOOKUP("F_CoLocation_Echo_0",$H$4:$I$9,2,FALSE),0)*$I$19*(VLOOKUP("FY2028",$H$11:$J$15,3,TRUE)+VLOOKUP("FY2028",$H$11:$J$15,2,TRUE))) ) / ( SUMPRODUCT((MultiYear_ProForma!$A:$A="F_CoLocation_Echo_0")*(MultiYear_ProForma!$B:$B="FY2028")*(MultiYear_ProForma!$F:$F)) + IFERROR(VLOOKUP("F_CoLocation_Echo_0",$H$4:$I$9,2,FALSE),0)*$I$19 ), ""))</f>
        <v>#VALUE!</v>
      </c>
      <c r="I14" t="s">
        <v>21</v>
      </c>
      <c r="J14">
        <v>600</v>
      </c>
      <c r="K14">
        <v>7489.9896749999962</v>
      </c>
    </row>
    <row r="15" spans="1:11" x14ac:dyDescent="0.35">
      <c r="A15" t="s">
        <v>79</v>
      </c>
      <c r="B15">
        <v>100</v>
      </c>
      <c r="C15" t="s">
        <v>118</v>
      </c>
      <c r="D15" t="str">
        <f>IFERROR( (SUMPRODUCT((MultiYear_ProForma!$A:$A="F_CoLocation_Echo_100")*(MultiYear_ProForma!$B:$B="FY2028")*(MultiYear_ProForma!$L:$L)) + (IFERROR(VLOOKUP("F_CoLocation_Echo_100",$H$4:$I$9,2,FALSE),0)*$I$19*(VLOOKUP("FY2028",$H$11:$J$15,3,TRUE)+VLOOKUP("FY2028",$H$11:$J$15,2,TRUE))) ) / ( SUMPRODUCT((MultiYear_ProForma!$A:$A="F_CoLocation_Echo_100")*(MultiYear_ProForma!$B:$B="FY2028")*(MultiYear_ProForma!$F:$F)) + IFERROR(VLOOKUP("F_CoLocation_Echo_100",$H$4:$I$9,2,FALSE),0)*$I$19 ), "")</f>
        <v/>
      </c>
      <c r="E15" t="str">
        <f>IFERROR( (SUMPRODUCT((MultiYear_ProForma!$A:$A="F_CoLocation_Echo_100")*(MultiYear_ProForma!$B:$B="FY2030")*(MultiYear_ProForma!$L:$L)) + (IFERROR(VLOOKUP("F_CoLocation_Echo_100",$H$4:$I$9,2,FALSE),0)*$I$19*(VLOOKUP("FY2030",$H$11:$J$15,3,TRUE)+VLOOKUP("FY2030",$H$11:$J$15,2,TRUE))) ) / ( SUMPRODUCT((MultiYear_ProForma!$A:$A="F_CoLocation_Echo_100")*(MultiYear_ProForma!$B:$B="FY2030")*(MultiYear_ProForma!$F:$F)) + IFERROR(VLOOKUP("F_CoLocation_Echo_100",$H$4:$I$9,2,FALSE),0)*$I$19 ), "")</f>
        <v/>
      </c>
      <c r="F15" t="e">
        <f>AVERAGE(IFERROR( (SUMPRODUCT((MultiYear_ProForma!$A:$A="F_CoLocation_Echo_100")*(MultiYear_ProForma!$B:$B="FY2026")*(MultiYear_ProForma!$L:$L)) + (IFERROR(VLOOKUP("F_CoLocation_Echo_100",$H$4:$I$9,2,FALSE),0)*$I$19*(VLOOKUP("FY2026",$H$11:$J$15,3,TRUE)+VLOOKUP("FY2026",$H$11:$J$15,2,TRUE))) ) / ( SUMPRODUCT((MultiYear_ProForma!$A:$A="F_CoLocation_Echo_100")*(MultiYear_ProForma!$B:$B="FY2026")*(MultiYear_ProForma!$F:$F)) + IFERROR(VLOOKUP("F_CoLocation_Echo_100",$H$4:$I$9,2,FALSE),0)*$I$19 ), ""),IFERROR( (SUMPRODUCT((MultiYear_ProForma!$A:$A="F_CoLocation_Echo_100")*(MultiYear_ProForma!$B:$B="FY2027")*(MultiYear_ProForma!$L:$L)) + (IFERROR(VLOOKUP("F_CoLocation_Echo_100",$H$4:$I$9,2,FALSE),0)*$I$19*(VLOOKUP("FY2027",$H$11:$J$15,3,TRUE)+VLOOKUP("FY2027",$H$11:$J$15,2,TRUE))) ) / ( SUMPRODUCT((MultiYear_ProForma!$A:$A="F_CoLocation_Echo_100")*(MultiYear_ProForma!$B:$B="FY2027")*(MultiYear_ProForma!$F:$F)) + IFERROR(VLOOKUP("F_CoLocation_Echo_100",$H$4:$I$9,2,FALSE),0)*$I$19 ), ""),IFERROR( (SUMPRODUCT((MultiYear_ProForma!$A:$A="F_CoLocation_Echo_100")*(MultiYear_ProForma!$B:$B="FY2028")*(MultiYear_ProForma!$L:$L)) + (IFERROR(VLOOKUP("F_CoLocation_Echo_100",$H$4:$I$9,2,FALSE),0)*$I$19*(VLOOKUP("FY2028",$H$11:$J$15,3,TRUE)+VLOOKUP("FY2028",$H$11:$J$15,2,TRUE))) ) / ( SUMPRODUCT((MultiYear_ProForma!$A:$A="F_CoLocation_Echo_100")*(MultiYear_ProForma!$B:$B="FY2028")*(MultiYear_ProForma!$F:$F)) + IFERROR(VLOOKUP("F_CoLocation_Echo_100",$H$4:$I$9,2,FALSE),0)*$I$19 ), ""))</f>
        <v>#VALUE!</v>
      </c>
      <c r="I15" t="s">
        <v>22</v>
      </c>
      <c r="J15">
        <v>400</v>
      </c>
      <c r="K15">
        <v>7677.2394168749952</v>
      </c>
    </row>
    <row r="16" spans="1:11" x14ac:dyDescent="0.35">
      <c r="A16" t="s">
        <v>81</v>
      </c>
      <c r="B16">
        <v>150</v>
      </c>
      <c r="C16" t="s">
        <v>119</v>
      </c>
      <c r="D16" t="str">
        <f>IFERROR( (SUMPRODUCT((MultiYear_ProForma!$A:$A="F_CoLocation_Echo_150")*(MultiYear_ProForma!$B:$B="FY2028")*(MultiYear_ProForma!$L:$L)) + (IFERROR(VLOOKUP("F_CoLocation_Echo_150",$H$4:$I$9,2,FALSE),0)*$I$19*(VLOOKUP("FY2028",$H$11:$J$15,3,TRUE)+VLOOKUP("FY2028",$H$11:$J$15,2,TRUE))) ) / ( SUMPRODUCT((MultiYear_ProForma!$A:$A="F_CoLocation_Echo_150")*(MultiYear_ProForma!$B:$B="FY2028")*(MultiYear_ProForma!$F:$F)) + IFERROR(VLOOKUP("F_CoLocation_Echo_150",$H$4:$I$9,2,FALSE),0)*$I$19 ), "")</f>
        <v/>
      </c>
      <c r="E16" t="str">
        <f>IFERROR( (SUMPRODUCT((MultiYear_ProForma!$A:$A="F_CoLocation_Echo_150")*(MultiYear_ProForma!$B:$B="FY2030")*(MultiYear_ProForma!$L:$L)) + (IFERROR(VLOOKUP("F_CoLocation_Echo_150",$H$4:$I$9,2,FALSE),0)*$I$19*(VLOOKUP("FY2030",$H$11:$J$15,3,TRUE)+VLOOKUP("FY2030",$H$11:$J$15,2,TRUE))) ) / ( SUMPRODUCT((MultiYear_ProForma!$A:$A="F_CoLocation_Echo_150")*(MultiYear_ProForma!$B:$B="FY2030")*(MultiYear_ProForma!$F:$F)) + IFERROR(VLOOKUP("F_CoLocation_Echo_150",$H$4:$I$9,2,FALSE),0)*$I$19 ), "")</f>
        <v/>
      </c>
      <c r="F16" t="e">
        <f>AVERAGE(IFERROR( (SUMPRODUCT((MultiYear_ProForma!$A:$A="F_CoLocation_Echo_150")*(MultiYear_ProForma!$B:$B="FY2026")*(MultiYear_ProForma!$L:$L)) + (IFERROR(VLOOKUP("F_CoLocation_Echo_150",$H$4:$I$9,2,FALSE),0)*$I$19*(VLOOKUP("FY2026",$H$11:$J$15,3,TRUE)+VLOOKUP("FY2026",$H$11:$J$15,2,TRUE))) ) / ( SUMPRODUCT((MultiYear_ProForma!$A:$A="F_CoLocation_Echo_150")*(MultiYear_ProForma!$B:$B="FY2026")*(MultiYear_ProForma!$F:$F)) + IFERROR(VLOOKUP("F_CoLocation_Echo_150",$H$4:$I$9,2,FALSE),0)*$I$19 ), ""),IFERROR( (SUMPRODUCT((MultiYear_ProForma!$A:$A="F_CoLocation_Echo_150")*(MultiYear_ProForma!$B:$B="FY2027")*(MultiYear_ProForma!$L:$L)) + (IFERROR(VLOOKUP("F_CoLocation_Echo_150",$H$4:$I$9,2,FALSE),0)*$I$19*(VLOOKUP("FY2027",$H$11:$J$15,3,TRUE)+VLOOKUP("FY2027",$H$11:$J$15,2,TRUE))) ) / ( SUMPRODUCT((MultiYear_ProForma!$A:$A="F_CoLocation_Echo_150")*(MultiYear_ProForma!$B:$B="FY2027")*(MultiYear_ProForma!$F:$F)) + IFERROR(VLOOKUP("F_CoLocation_Echo_150",$H$4:$I$9,2,FALSE),0)*$I$19 ), ""),IFERROR( (SUMPRODUCT((MultiYear_ProForma!$A:$A="F_CoLocation_Echo_150")*(MultiYear_ProForma!$B:$B="FY2028")*(MultiYear_ProForma!$L:$L)) + (IFERROR(VLOOKUP("F_CoLocation_Echo_150",$H$4:$I$9,2,FALSE),0)*$I$19*(VLOOKUP("FY2028",$H$11:$J$15,3,TRUE)+VLOOKUP("FY2028",$H$11:$J$15,2,TRUE))) ) / ( SUMPRODUCT((MultiYear_ProForma!$A:$A="F_CoLocation_Echo_150")*(MultiYear_ProForma!$B:$B="FY2028")*(MultiYear_ProForma!$F:$F)) + IFERROR(VLOOKUP("F_CoLocation_Echo_150",$H$4:$I$9,2,FALSE),0)*$I$19 ), ""))</f>
        <v>#VALUE!</v>
      </c>
      <c r="I16" t="s">
        <v>23</v>
      </c>
      <c r="J16">
        <v>300</v>
      </c>
      <c r="K16">
        <v>7869.1704022968697</v>
      </c>
    </row>
    <row r="17" spans="1:10" x14ac:dyDescent="0.35">
      <c r="A17" t="s">
        <v>83</v>
      </c>
      <c r="B17">
        <v>150</v>
      </c>
      <c r="C17" t="s">
        <v>120</v>
      </c>
      <c r="D17" t="str">
        <f>IFERROR( (SUMPRODUCT((MultiYear_ProForma!$A:$A="G_DHub_EchoRamp")*(MultiYear_ProForma!$B:$B="FY2028")*(MultiYear_ProForma!$L:$L)) + (IFERROR(VLOOKUP("G_DHub_EchoRamp",$H$4:$I$9,2,FALSE),0)*$I$19*(VLOOKUP("FY2028",$H$11:$J$15,3,TRUE)+VLOOKUP("FY2028",$H$11:$J$15,2,TRUE))) ) / ( SUMPRODUCT((MultiYear_ProForma!$A:$A="G_DHub_EchoRamp")*(MultiYear_ProForma!$B:$B="FY2028")*(MultiYear_ProForma!$F:$F)) + IFERROR(VLOOKUP("G_DHub_EchoRamp",$H$4:$I$9,2,FALSE),0)*$I$19 ), "")</f>
        <v/>
      </c>
      <c r="E17" t="str">
        <f>IFERROR( (SUMPRODUCT((MultiYear_ProForma!$A:$A="G_DHub_EchoRamp")*(MultiYear_ProForma!$B:$B="FY2030")*(MultiYear_ProForma!$L:$L)) + (IFERROR(VLOOKUP("G_DHub_EchoRamp",$H$4:$I$9,2,FALSE),0)*$I$19*(VLOOKUP("FY2030",$H$11:$J$15,3,TRUE)+VLOOKUP("FY2030",$H$11:$J$15,2,TRUE))) ) / ( SUMPRODUCT((MultiYear_ProForma!$A:$A="G_DHub_EchoRamp")*(MultiYear_ProForma!$B:$B="FY2030")*(MultiYear_ProForma!$F:$F)) + IFERROR(VLOOKUP("G_DHub_EchoRamp",$H$4:$I$9,2,FALSE),0)*$I$19 ), "")</f>
        <v/>
      </c>
      <c r="F17" t="e">
        <f>AVERAGE(IFERROR( (SUMPRODUCT((MultiYear_ProForma!$A:$A="G_DHub_EchoRamp")*(MultiYear_ProForma!$B:$B="FY2026")*(MultiYear_ProForma!$L:$L)) + (IFERROR(VLOOKUP("G_DHub_EchoRamp",$H$4:$I$9,2,FALSE),0)*$I$19*(VLOOKUP("FY2026",$H$11:$J$15,3,TRUE)+VLOOKUP("FY2026",$H$11:$J$15,2,TRUE))) ) / ( SUMPRODUCT((MultiYear_ProForma!$A:$A="G_DHub_EchoRamp")*(MultiYear_ProForma!$B:$B="FY2026")*(MultiYear_ProForma!$F:$F)) + IFERROR(VLOOKUP("G_DHub_EchoRamp",$H$4:$I$9,2,FALSE),0)*$I$19 ), ""),IFERROR( (SUMPRODUCT((MultiYear_ProForma!$A:$A="G_DHub_EchoRamp")*(MultiYear_ProForma!$B:$B="FY2027")*(MultiYear_ProForma!$L:$L)) + (IFERROR(VLOOKUP("G_DHub_EchoRamp",$H$4:$I$9,2,FALSE),0)*$I$19*(VLOOKUP("FY2027",$H$11:$J$15,3,TRUE)+VLOOKUP("FY2027",$H$11:$J$15,2,TRUE))) ) / ( SUMPRODUCT((MultiYear_ProForma!$A:$A="G_DHub_EchoRamp")*(MultiYear_ProForma!$B:$B="FY2027")*(MultiYear_ProForma!$F:$F)) + IFERROR(VLOOKUP("G_DHub_EchoRamp",$H$4:$I$9,2,FALSE),0)*$I$19 ), ""),IFERROR( (SUMPRODUCT((MultiYear_ProForma!$A:$A="G_DHub_EchoRamp")*(MultiYear_ProForma!$B:$B="FY2028")*(MultiYear_ProForma!$L:$L)) + (IFERROR(VLOOKUP("G_DHub_EchoRamp",$H$4:$I$9,2,FALSE),0)*$I$19*(VLOOKUP("FY2028",$H$11:$J$15,3,TRUE)+VLOOKUP("FY2028",$H$11:$J$15,2,TRUE))) ) / ( SUMPRODUCT((MultiYear_ProForma!$A:$A="G_DHub_EchoRamp")*(MultiYear_ProForma!$B:$B="FY2028")*(MultiYear_ProForma!$F:$F)) + IFERROR(VLOOKUP("G_DHub_EchoRamp",$H$4:$I$9,2,FALSE),0)*$I$19 ), ""))</f>
        <v>#VALUE!</v>
      </c>
    </row>
    <row r="18" spans="1:10" x14ac:dyDescent="0.35">
      <c r="C18" t="s">
        <v>121</v>
      </c>
    </row>
    <row r="19" spans="1:10" x14ac:dyDescent="0.35">
      <c r="C19" t="s">
        <v>121</v>
      </c>
      <c r="I19" t="s">
        <v>122</v>
      </c>
      <c r="J19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workbookViewId="0">
      <selection activeCell="E12" sqref="E12"/>
    </sheetView>
  </sheetViews>
  <sheetFormatPr defaultRowHeight="14.5" x14ac:dyDescent="0.35"/>
  <sheetData>
    <row r="1" spans="1:3" x14ac:dyDescent="0.35">
      <c r="A1" s="1" t="s">
        <v>29</v>
      </c>
      <c r="B1" s="1" t="s">
        <v>32</v>
      </c>
      <c r="C1" s="1" t="s">
        <v>34</v>
      </c>
    </row>
    <row r="2" spans="1:3" x14ac:dyDescent="0.35">
      <c r="A2" t="s">
        <v>123</v>
      </c>
      <c r="B2">
        <f>Calc!B2</f>
        <v>1689591.96</v>
      </c>
      <c r="C2">
        <f>Calc!F2</f>
        <v>1864993.3853443579</v>
      </c>
    </row>
    <row r="3" spans="1:3" x14ac:dyDescent="0.35">
      <c r="A3" t="s">
        <v>124</v>
      </c>
      <c r="B3">
        <f>Calc!B3</f>
        <v>7129.0799999999981</v>
      </c>
      <c r="C3">
        <f>Calc!F3</f>
        <v>7869.1704022968697</v>
      </c>
    </row>
    <row r="4" spans="1:3" x14ac:dyDescent="0.35">
      <c r="A4" t="s">
        <v>15</v>
      </c>
      <c r="B4">
        <f>Calc!B11</f>
        <v>553</v>
      </c>
      <c r="C4">
        <f>Calc!B11</f>
        <v>553</v>
      </c>
    </row>
    <row r="6" spans="1:3" x14ac:dyDescent="0.35">
      <c r="A6" s="1" t="s">
        <v>125</v>
      </c>
      <c r="B6" s="1" t="s">
        <v>126</v>
      </c>
      <c r="C6" s="1"/>
    </row>
    <row r="7" spans="1:3" x14ac:dyDescent="0.35">
      <c r="A7" s="1" t="s">
        <v>127</v>
      </c>
      <c r="B7" s="1">
        <v>150</v>
      </c>
      <c r="C7" s="1"/>
    </row>
    <row r="8" spans="1:3" x14ac:dyDescent="0.35">
      <c r="A8" s="1" t="s">
        <v>128</v>
      </c>
      <c r="B8" s="1" t="s">
        <v>129</v>
      </c>
      <c r="C8" s="1"/>
    </row>
    <row r="9" spans="1:3" x14ac:dyDescent="0.35">
      <c r="A9" s="1" t="s">
        <v>130</v>
      </c>
      <c r="B9" s="1">
        <v>300</v>
      </c>
      <c r="C9" s="1"/>
    </row>
    <row r="10" spans="1:3" x14ac:dyDescent="0.35">
      <c r="A10" s="1" t="s">
        <v>131</v>
      </c>
      <c r="B10" s="1">
        <v>0.2</v>
      </c>
      <c r="C10" s="1"/>
    </row>
    <row r="12" spans="1:3" x14ac:dyDescent="0.35">
      <c r="A12" s="1" t="s">
        <v>132</v>
      </c>
      <c r="B12" s="1"/>
    </row>
    <row r="13" spans="1:3" x14ac:dyDescent="0.35">
      <c r="B13" t="e">
        <f>IF($B$8="2028", INDEX(Summary_Costs!$D:$D, MATCH($B$6&amp;"|"&amp;$B$7, Summary_Costs!$C:$C,0)), INDEX(Summary_Costs!$E:$E, MATCH($B$6&amp;"|"&amp;$B$7, Summary_Costs!$C:$C,0)))</f>
        <v>#N/A</v>
      </c>
    </row>
    <row r="15" spans="1:3" x14ac:dyDescent="0.35">
      <c r="A15" s="1" t="s">
        <v>133</v>
      </c>
      <c r="B15" s="1"/>
    </row>
    <row r="16" spans="1:3" x14ac:dyDescent="0.35">
      <c r="B16" t="e">
        <f>IF($B$8="2028", ($B$10*$B$2)/( $B$4 * ($B$13 - ($B$3 + $B$8)) ), ($B$10*$C$2)/( $B$4 * ($B$13 - ($C$3 + $B$8)) ))</f>
        <v>#N/A</v>
      </c>
    </row>
    <row r="18" spans="1:9" x14ac:dyDescent="0.35">
      <c r="A18" s="3" t="s">
        <v>134</v>
      </c>
      <c r="B18" s="3" t="s">
        <v>135</v>
      </c>
    </row>
    <row r="20" spans="1:9" x14ac:dyDescent="0.35">
      <c r="A20" s="1" t="s">
        <v>136</v>
      </c>
    </row>
    <row r="21" spans="1:9" x14ac:dyDescent="0.35">
      <c r="A21" s="1" t="s">
        <v>137</v>
      </c>
      <c r="B21" s="1">
        <v>200</v>
      </c>
      <c r="C21" s="1">
        <v>300</v>
      </c>
      <c r="D21" s="1">
        <v>400</v>
      </c>
      <c r="E21" s="1">
        <v>600</v>
      </c>
      <c r="F21" s="1">
        <v>800</v>
      </c>
      <c r="G21" s="1">
        <v>1000</v>
      </c>
      <c r="H21" s="1">
        <v>1200</v>
      </c>
      <c r="I21" s="1">
        <v>1500</v>
      </c>
    </row>
    <row r="22" spans="1:9" x14ac:dyDescent="0.35">
      <c r="A22">
        <v>0</v>
      </c>
      <c r="B22" t="e">
        <f>IF($B$8="2028", (0*$B$2)/($B$4*($B$13-($B$3+200))), (0*$C$2)/($B$4*($B$13-($C$3+200))))</f>
        <v>#N/A</v>
      </c>
      <c r="C22" t="e">
        <f>IF($B$8="2028", (0*$B$2)/($B$4*($B$13-($B$3+300))), (0*$C$2)/($B$4*($B$13-($C$3+300))))</f>
        <v>#N/A</v>
      </c>
      <c r="D22" t="e">
        <f>IF($B$8="2028", (0*$B$2)/($B$4*($B$13-($B$3+400))), (0*$C$2)/($B$4*($B$13-($C$3+400))))</f>
        <v>#N/A</v>
      </c>
      <c r="E22" t="e">
        <f>IF($B$8="2028", (0*$B$2)/($B$4*($B$13-($B$3+600))), (0*$C$2)/($B$4*($B$13-($C$3+600))))</f>
        <v>#N/A</v>
      </c>
      <c r="F22" t="e">
        <f>IF($B$8="2028", (0*$B$2)/($B$4*($B$13-($B$3+800))), (0*$C$2)/($B$4*($B$13-($C$3+800))))</f>
        <v>#N/A</v>
      </c>
      <c r="G22" t="e">
        <f>IF($B$8="2028", (0*$B$2)/($B$4*($B$13-($B$3+1000))), (0*$C$2)/($B$4*($B$13-($C$3+1000))))</f>
        <v>#N/A</v>
      </c>
      <c r="H22" t="e">
        <f>IF($B$8="2028", (0*$B$2)/($B$4*($B$13-($B$3+1200))), (0*$C$2)/($B$4*($B$13-($C$3+1200))))</f>
        <v>#N/A</v>
      </c>
      <c r="I22" t="e">
        <f>IF($B$8="2028", (0*$B$2)/($B$4*($B$13-($B$3+1500))), (0*$C$2)/($B$4*($B$13-($C$3+1500))))</f>
        <v>#N/A</v>
      </c>
    </row>
    <row r="23" spans="1:9" x14ac:dyDescent="0.35">
      <c r="A23">
        <v>0.05</v>
      </c>
      <c r="B23" t="e">
        <f>IF($B$8="2028", (0.05*$B$2)/($B$4*($B$13-($B$3+200))), (0.05*$C$2)/($B$4*($B$13-($C$3+200))))</f>
        <v>#N/A</v>
      </c>
      <c r="C23" t="e">
        <f>IF($B$8="2028", (0.05*$B$2)/($B$4*($B$13-($B$3+300))), (0.05*$C$2)/($B$4*($B$13-($C$3+300))))</f>
        <v>#N/A</v>
      </c>
      <c r="D23" t="e">
        <f>IF($B$8="2028", (0.05*$B$2)/($B$4*($B$13-($B$3+400))), (0.05*$C$2)/($B$4*($B$13-($C$3+400))))</f>
        <v>#N/A</v>
      </c>
      <c r="E23" t="e">
        <f>IF($B$8="2028", (0.05*$B$2)/($B$4*($B$13-($B$3+600))), (0.05*$C$2)/($B$4*($B$13-($C$3+600))))</f>
        <v>#N/A</v>
      </c>
      <c r="F23" t="e">
        <f>IF($B$8="2028", (0.05*$B$2)/($B$4*($B$13-($B$3+800))), (0.05*$C$2)/($B$4*($B$13-($C$3+800))))</f>
        <v>#N/A</v>
      </c>
      <c r="G23" t="e">
        <f>IF($B$8="2028", (0.05*$B$2)/($B$4*($B$13-($B$3+1000))), (0.05*$C$2)/($B$4*($B$13-($C$3+1000))))</f>
        <v>#N/A</v>
      </c>
      <c r="H23" t="e">
        <f>IF($B$8="2028", (0.05*$B$2)/($B$4*($B$13-($B$3+1200))), (0.05*$C$2)/($B$4*($B$13-($C$3+1200))))</f>
        <v>#N/A</v>
      </c>
      <c r="I23" t="e">
        <f>IF($B$8="2028", (0.05*$B$2)/($B$4*($B$13-($B$3+1500))), (0.05*$C$2)/($B$4*($B$13-($C$3+1500))))</f>
        <v>#N/A</v>
      </c>
    </row>
    <row r="24" spans="1:9" x14ac:dyDescent="0.35">
      <c r="A24">
        <v>0.1</v>
      </c>
      <c r="B24" t="e">
        <f>IF($B$8="2028", (0.1*$B$2)/($B$4*($B$13-($B$3+200))), (0.1*$C$2)/($B$4*($B$13-($C$3+200))))</f>
        <v>#N/A</v>
      </c>
      <c r="C24" t="e">
        <f>IF($B$8="2028", (0.1*$B$2)/($B$4*($B$13-($B$3+300))), (0.1*$C$2)/($B$4*($B$13-($C$3+300))))</f>
        <v>#N/A</v>
      </c>
      <c r="D24" t="e">
        <f>IF($B$8="2028", (0.1*$B$2)/($B$4*($B$13-($B$3+400))), (0.1*$C$2)/($B$4*($B$13-($C$3+400))))</f>
        <v>#N/A</v>
      </c>
      <c r="E24" t="e">
        <f>IF($B$8="2028", (0.1*$B$2)/($B$4*($B$13-($B$3+600))), (0.1*$C$2)/($B$4*($B$13-($C$3+600))))</f>
        <v>#N/A</v>
      </c>
      <c r="F24" t="e">
        <f>IF($B$8="2028", (0.1*$B$2)/($B$4*($B$13-($B$3+800))), (0.1*$C$2)/($B$4*($B$13-($C$3+800))))</f>
        <v>#N/A</v>
      </c>
      <c r="G24" t="e">
        <f>IF($B$8="2028", (0.1*$B$2)/($B$4*($B$13-($B$3+1000))), (0.1*$C$2)/($B$4*($B$13-($C$3+1000))))</f>
        <v>#N/A</v>
      </c>
      <c r="H24" t="e">
        <f>IF($B$8="2028", (0.1*$B$2)/($B$4*($B$13-($B$3+1200))), (0.1*$C$2)/($B$4*($B$13-($C$3+1200))))</f>
        <v>#N/A</v>
      </c>
      <c r="I24" t="e">
        <f>IF($B$8="2028", (0.1*$B$2)/($B$4*($B$13-($B$3+1500))), (0.1*$C$2)/($B$4*($B$13-($C$3+1500))))</f>
        <v>#N/A</v>
      </c>
    </row>
    <row r="25" spans="1:9" x14ac:dyDescent="0.35">
      <c r="A25">
        <v>0.15</v>
      </c>
      <c r="B25" t="e">
        <f>IF($B$8="2028", (0.15*$B$2)/($B$4*($B$13-($B$3+200))), (0.15*$C$2)/($B$4*($B$13-($C$3+200))))</f>
        <v>#N/A</v>
      </c>
      <c r="C25" t="e">
        <f>IF($B$8="2028", (0.15*$B$2)/($B$4*($B$13-($B$3+300))), (0.15*$C$2)/($B$4*($B$13-($C$3+300))))</f>
        <v>#N/A</v>
      </c>
      <c r="D25" t="e">
        <f>IF($B$8="2028", (0.15*$B$2)/($B$4*($B$13-($B$3+400))), (0.15*$C$2)/($B$4*($B$13-($C$3+400))))</f>
        <v>#N/A</v>
      </c>
      <c r="E25" t="e">
        <f>IF($B$8="2028", (0.15*$B$2)/($B$4*($B$13-($B$3+600))), (0.15*$C$2)/($B$4*($B$13-($C$3+600))))</f>
        <v>#N/A</v>
      </c>
      <c r="F25" t="e">
        <f>IF($B$8="2028", (0.15*$B$2)/($B$4*($B$13-($B$3+800))), (0.15*$C$2)/($B$4*($B$13-($C$3+800))))</f>
        <v>#N/A</v>
      </c>
      <c r="G25" t="e">
        <f>IF($B$8="2028", (0.15*$B$2)/($B$4*($B$13-($B$3+1000))), (0.15*$C$2)/($B$4*($B$13-($C$3+1000))))</f>
        <v>#N/A</v>
      </c>
      <c r="H25" t="e">
        <f>IF($B$8="2028", (0.15*$B$2)/($B$4*($B$13-($B$3+1200))), (0.15*$C$2)/($B$4*($B$13-($C$3+1200))))</f>
        <v>#N/A</v>
      </c>
      <c r="I25" t="e">
        <f>IF($B$8="2028", (0.15*$B$2)/($B$4*($B$13-($B$3+1500))), (0.15*$C$2)/($B$4*($B$13-($C$3+1500))))</f>
        <v>#N/A</v>
      </c>
    </row>
    <row r="26" spans="1:9" x14ac:dyDescent="0.35">
      <c r="A26">
        <v>0.2</v>
      </c>
      <c r="B26" t="e">
        <f>IF($B$8="2028", (0.2*$B$2)/($B$4*($B$13-($B$3+200))), (0.2*$C$2)/($B$4*($B$13-($C$3+200))))</f>
        <v>#N/A</v>
      </c>
      <c r="C26" t="e">
        <f>IF($B$8="2028", (0.2*$B$2)/($B$4*($B$13-($B$3+300))), (0.2*$C$2)/($B$4*($B$13-($C$3+300))))</f>
        <v>#N/A</v>
      </c>
      <c r="D26" t="e">
        <f>IF($B$8="2028", (0.2*$B$2)/($B$4*($B$13-($B$3+400))), (0.2*$C$2)/($B$4*($B$13-($C$3+400))))</f>
        <v>#N/A</v>
      </c>
      <c r="E26" t="e">
        <f>IF($B$8="2028", (0.2*$B$2)/($B$4*($B$13-($B$3+600))), (0.2*$C$2)/($B$4*($B$13-($C$3+600))))</f>
        <v>#N/A</v>
      </c>
      <c r="F26" t="e">
        <f>IF($B$8="2028", (0.2*$B$2)/($B$4*($B$13-($B$3+800))), (0.2*$C$2)/($B$4*($B$13-($C$3+800))))</f>
        <v>#N/A</v>
      </c>
      <c r="G26" t="e">
        <f>IF($B$8="2028", (0.2*$B$2)/($B$4*($B$13-($B$3+1000))), (0.2*$C$2)/($B$4*($B$13-($C$3+1000))))</f>
        <v>#N/A</v>
      </c>
      <c r="H26" t="e">
        <f>IF($B$8="2028", (0.2*$B$2)/($B$4*($B$13-($B$3+1200))), (0.2*$C$2)/($B$4*($B$13-($C$3+1200))))</f>
        <v>#N/A</v>
      </c>
      <c r="I26" t="e">
        <f>IF($B$8="2028", (0.2*$B$2)/($B$4*($B$13-($B$3+1500))), (0.2*$C$2)/($B$4*($B$13-($C$3+1500))))</f>
        <v>#N/A</v>
      </c>
    </row>
    <row r="27" spans="1:9" x14ac:dyDescent="0.35">
      <c r="A27">
        <v>0.25</v>
      </c>
      <c r="B27" t="e">
        <f>IF($B$8="2028", (0.25*$B$2)/($B$4*($B$13-($B$3+200))), (0.25*$C$2)/($B$4*($B$13-($C$3+200))))</f>
        <v>#N/A</v>
      </c>
      <c r="C27" t="e">
        <f>IF($B$8="2028", (0.25*$B$2)/($B$4*($B$13-($B$3+300))), (0.25*$C$2)/($B$4*($B$13-($C$3+300))))</f>
        <v>#N/A</v>
      </c>
      <c r="D27" t="e">
        <f>IF($B$8="2028", (0.25*$B$2)/($B$4*($B$13-($B$3+400))), (0.25*$C$2)/($B$4*($B$13-($C$3+400))))</f>
        <v>#N/A</v>
      </c>
      <c r="E27" t="e">
        <f>IF($B$8="2028", (0.25*$B$2)/($B$4*($B$13-($B$3+600))), (0.25*$C$2)/($B$4*($B$13-($C$3+600))))</f>
        <v>#N/A</v>
      </c>
      <c r="F27" t="e">
        <f>IF($B$8="2028", (0.25*$B$2)/($B$4*($B$13-($B$3+800))), (0.25*$C$2)/($B$4*($B$13-($C$3+800))))</f>
        <v>#N/A</v>
      </c>
      <c r="G27" t="e">
        <f>IF($B$8="2028", (0.25*$B$2)/($B$4*($B$13-($B$3+1000))), (0.25*$C$2)/($B$4*($B$13-($C$3+1000))))</f>
        <v>#N/A</v>
      </c>
      <c r="H27" t="e">
        <f>IF($B$8="2028", (0.25*$B$2)/($B$4*($B$13-($B$3+1200))), (0.25*$C$2)/($B$4*($B$13-($C$3+1200))))</f>
        <v>#N/A</v>
      </c>
      <c r="I27" t="e">
        <f>IF($B$8="2028", (0.25*$B$2)/($B$4*($B$13-($B$3+1500))), (0.25*$C$2)/($B$4*($B$13-($C$3+1500))))</f>
        <v>#N/A</v>
      </c>
    </row>
    <row r="28" spans="1:9" x14ac:dyDescent="0.35">
      <c r="A28">
        <v>0.3</v>
      </c>
      <c r="B28" t="e">
        <f>IF($B$8="2028", (0.3*$B$2)/($B$4*($B$13-($B$3+200))), (0.3*$C$2)/($B$4*($B$13-($C$3+200))))</f>
        <v>#N/A</v>
      </c>
      <c r="C28" t="e">
        <f>IF($B$8="2028", (0.3*$B$2)/($B$4*($B$13-($B$3+300))), (0.3*$C$2)/($B$4*($B$13-($C$3+300))))</f>
        <v>#N/A</v>
      </c>
      <c r="D28" t="e">
        <f>IF($B$8="2028", (0.3*$B$2)/($B$4*($B$13-($B$3+400))), (0.3*$C$2)/($B$4*($B$13-($C$3+400))))</f>
        <v>#N/A</v>
      </c>
      <c r="E28" t="e">
        <f>IF($B$8="2028", (0.3*$B$2)/($B$4*($B$13-($B$3+600))), (0.3*$C$2)/($B$4*($B$13-($C$3+600))))</f>
        <v>#N/A</v>
      </c>
      <c r="F28" t="e">
        <f>IF($B$8="2028", (0.3*$B$2)/($B$4*($B$13-($B$3+800))), (0.3*$C$2)/($B$4*($B$13-($C$3+800))))</f>
        <v>#N/A</v>
      </c>
      <c r="G28" t="e">
        <f>IF($B$8="2028", (0.3*$B$2)/($B$4*($B$13-($B$3+1000))), (0.3*$C$2)/($B$4*($B$13-($C$3+1000))))</f>
        <v>#N/A</v>
      </c>
      <c r="H28" t="e">
        <f>IF($B$8="2028", (0.3*$B$2)/($B$4*($B$13-($B$3+1200))), (0.3*$C$2)/($B$4*($B$13-($C$3+1200))))</f>
        <v>#N/A</v>
      </c>
      <c r="I28" t="e">
        <f>IF($B$8="2028", (0.3*$B$2)/($B$4*($B$13-($B$3+1500))), (0.3*$C$2)/($B$4*($B$13-($C$3+1500))))</f>
        <v>#N/A</v>
      </c>
    </row>
    <row r="29" spans="1:9" x14ac:dyDescent="0.35">
      <c r="A29">
        <v>0.35</v>
      </c>
      <c r="B29" t="e">
        <f>IF($B$8="2028", (0.35*$B$2)/($B$4*($B$13-($B$3+200))), (0.35*$C$2)/($B$4*($B$13-($C$3+200))))</f>
        <v>#N/A</v>
      </c>
      <c r="C29" t="e">
        <f>IF($B$8="2028", (0.35*$B$2)/($B$4*($B$13-($B$3+300))), (0.35*$C$2)/($B$4*($B$13-($C$3+300))))</f>
        <v>#N/A</v>
      </c>
      <c r="D29" t="e">
        <f>IF($B$8="2028", (0.35*$B$2)/($B$4*($B$13-($B$3+400))), (0.35*$C$2)/($B$4*($B$13-($C$3+400))))</f>
        <v>#N/A</v>
      </c>
      <c r="E29" t="e">
        <f>IF($B$8="2028", (0.35*$B$2)/($B$4*($B$13-($B$3+600))), (0.35*$C$2)/($B$4*($B$13-($C$3+600))))</f>
        <v>#N/A</v>
      </c>
      <c r="F29" t="e">
        <f>IF($B$8="2028", (0.35*$B$2)/($B$4*($B$13-($B$3+800))), (0.35*$C$2)/($B$4*($B$13-($C$3+800))))</f>
        <v>#N/A</v>
      </c>
      <c r="G29" t="e">
        <f>IF($B$8="2028", (0.35*$B$2)/($B$4*($B$13-($B$3+1000))), (0.35*$C$2)/($B$4*($B$13-($C$3+1000))))</f>
        <v>#N/A</v>
      </c>
      <c r="H29" t="e">
        <f>IF($B$8="2028", (0.35*$B$2)/($B$4*($B$13-($B$3+1200))), (0.35*$C$2)/($B$4*($B$13-($C$3+1200))))</f>
        <v>#N/A</v>
      </c>
      <c r="I29" t="e">
        <f>IF($B$8="2028", (0.35*$B$2)/($B$4*($B$13-($B$3+1500))), (0.35*$C$2)/($B$4*($B$13-($C$3+1500))))</f>
        <v>#N/A</v>
      </c>
    </row>
    <row r="30" spans="1:9" x14ac:dyDescent="0.35">
      <c r="A30">
        <v>0.4</v>
      </c>
      <c r="B30" t="e">
        <f>IF($B$8="2028", (0.4*$B$2)/($B$4*($B$13-($B$3+200))), (0.4*$C$2)/($B$4*($B$13-($C$3+200))))</f>
        <v>#N/A</v>
      </c>
      <c r="C30" t="e">
        <f>IF($B$8="2028", (0.4*$B$2)/($B$4*($B$13-($B$3+300))), (0.4*$C$2)/($B$4*($B$13-($C$3+300))))</f>
        <v>#N/A</v>
      </c>
      <c r="D30" t="e">
        <f>IF($B$8="2028", (0.4*$B$2)/($B$4*($B$13-($B$3+400))), (0.4*$C$2)/($B$4*($B$13-($C$3+400))))</f>
        <v>#N/A</v>
      </c>
      <c r="E30" t="e">
        <f>IF($B$8="2028", (0.4*$B$2)/($B$4*($B$13-($B$3+600))), (0.4*$C$2)/($B$4*($B$13-($C$3+600))))</f>
        <v>#N/A</v>
      </c>
      <c r="F30" t="e">
        <f>IF($B$8="2028", (0.4*$B$2)/($B$4*($B$13-($B$3+800))), (0.4*$C$2)/($B$4*($B$13-($C$3+800))))</f>
        <v>#N/A</v>
      </c>
      <c r="G30" t="e">
        <f>IF($B$8="2028", (0.4*$B$2)/($B$4*($B$13-($B$3+1000))), (0.4*$C$2)/($B$4*($B$13-($C$3+1000))))</f>
        <v>#N/A</v>
      </c>
      <c r="H30" t="e">
        <f>IF($B$8="2028", (0.4*$B$2)/($B$4*($B$13-($B$3+1200))), (0.4*$C$2)/($B$4*($B$13-($C$3+1200))))</f>
        <v>#N/A</v>
      </c>
      <c r="I30" t="e">
        <f>IF($B$8="2028", (0.4*$B$2)/($B$4*($B$13-($B$3+1500))), (0.4*$C$2)/($B$4*($B$13-($C$3+1500))))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A9" sqref="A9"/>
    </sheetView>
  </sheetViews>
  <sheetFormatPr defaultRowHeight="14.5" x14ac:dyDescent="0.35"/>
  <cols>
    <col min="1" max="1" width="43.453125" bestFit="1" customWidth="1"/>
    <col min="2" max="2" width="66.08984375" bestFit="1" customWidth="1"/>
  </cols>
  <sheetData>
    <row r="1" spans="1:3" x14ac:dyDescent="0.35">
      <c r="A1" s="1" t="s">
        <v>138</v>
      </c>
      <c r="B1" s="1" t="s">
        <v>139</v>
      </c>
      <c r="C1" s="1" t="s">
        <v>140</v>
      </c>
    </row>
    <row r="2" spans="1:3" x14ac:dyDescent="0.35">
      <c r="A2" t="s">
        <v>141</v>
      </c>
      <c r="B2" t="s">
        <v>142</v>
      </c>
      <c r="C2" t="s">
        <v>143</v>
      </c>
    </row>
    <row r="3" spans="1:3" x14ac:dyDescent="0.35">
      <c r="A3" t="s">
        <v>144</v>
      </c>
      <c r="B3" t="s">
        <v>145</v>
      </c>
      <c r="C3" t="s">
        <v>146</v>
      </c>
    </row>
    <row r="4" spans="1:3" x14ac:dyDescent="0.35">
      <c r="A4" t="s">
        <v>147</v>
      </c>
      <c r="B4" t="s">
        <v>148</v>
      </c>
      <c r="C4" t="s">
        <v>149</v>
      </c>
    </row>
    <row r="5" spans="1:3" x14ac:dyDescent="0.35">
      <c r="A5" t="s">
        <v>150</v>
      </c>
      <c r="B5" t="s">
        <v>151</v>
      </c>
      <c r="C5" t="s">
        <v>152</v>
      </c>
    </row>
    <row r="6" spans="1:3" x14ac:dyDescent="0.35">
      <c r="A6" t="s">
        <v>153</v>
      </c>
      <c r="B6" t="s">
        <v>154</v>
      </c>
      <c r="C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Calc</vt:lpstr>
      <vt:lpstr>Scenarios</vt:lpstr>
      <vt:lpstr>MultiYear_ProForma</vt:lpstr>
      <vt:lpstr>Summary_Costs</vt:lpstr>
      <vt:lpstr>BreakEven_Calc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Hohl</cp:lastModifiedBy>
  <dcterms:created xsi:type="dcterms:W3CDTF">2025-10-21T18:02:18Z</dcterms:created>
  <dcterms:modified xsi:type="dcterms:W3CDTF">2025-10-21T18:23:11Z</dcterms:modified>
</cp:coreProperties>
</file>