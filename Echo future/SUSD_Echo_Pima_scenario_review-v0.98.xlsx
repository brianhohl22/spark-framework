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21" documentId="8_{EFDA9AC9-07BC-4946-90CD-0BE63D8DD334}" xr6:coauthVersionLast="47" xr6:coauthVersionMax="47" xr10:uidLastSave="{C01C36A1-51DD-4B7D-9C46-E6F610D89D90}"/>
  <bookViews>
    <workbookView xWindow="-110" yWindow="-110" windowWidth="19420" windowHeight="10300" activeTab="2" xr2:uid="{00000000-000D-0000-FFFF-FFFF00000000}"/>
  </bookViews>
  <sheets>
    <sheet name="Workbook_Purpose_Overview" sheetId="1" r:id="rId1"/>
    <sheet name="How_To_Use_The_Workbook" sheetId="2" r:id="rId2"/>
    <sheet name="Scenario_Comparison" sheetId="3" r:id="rId3"/>
    <sheet name="What_Is_The_$900K_Savings" sheetId="21" r:id="rId4"/>
    <sheet name="Budget_Neutral_Calculator" sheetId="4" r:id="rId5"/>
    <sheet name="Summary_Figures" sheetId="5" r:id="rId6"/>
    <sheet name="Parameters_Public" sheetId="11" r:id="rId7"/>
    <sheet name="Inputs_Definitions_Sources" sheetId="6" r:id="rId8"/>
    <sheet name="Scenarios" sheetId="7" r:id="rId9"/>
    <sheet name="MultiYear_ProForma" sheetId="8" r:id="rId10"/>
    <sheet name="Capital_Summary" sheetId="9" r:id="rId11"/>
    <sheet name="Receiving_Capacity" sheetId="10" r:id="rId12"/>
    <sheet name="Control_Center" sheetId="12" r:id="rId13"/>
    <sheet name="BaselineCalc" sheetId="13" r:id="rId14"/>
    <sheet name="YearMap" sheetId="14" r:id="rId15"/>
    <sheet name="Site_Fixed" sheetId="15" r:id="rId16"/>
    <sheet name="Definitions_Sources" sheetId="16" r:id="rId17"/>
    <sheet name="QA_Checks" sheetId="19" r:id="rId18"/>
    <sheet name="Parameters_Map" sheetId="20" r:id="rId19"/>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0" l="1"/>
  <c r="L15" i="10"/>
  <c r="L14" i="10"/>
  <c r="L13" i="10"/>
  <c r="L12" i="10"/>
  <c r="L11" i="10"/>
  <c r="L10" i="10"/>
  <c r="L9" i="10"/>
  <c r="L8" i="10"/>
  <c r="L7" i="10"/>
  <c r="L6" i="10"/>
  <c r="L5" i="10"/>
  <c r="L4" i="10"/>
  <c r="G34" i="9"/>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A49" i="16" l="1"/>
  <c r="A48" i="16"/>
  <c r="A47" i="16"/>
  <c r="A46" i="16"/>
  <c r="A45" i="16"/>
  <c r="A44" i="16"/>
  <c r="A43" i="16"/>
  <c r="A42" i="16"/>
  <c r="A41" i="16"/>
  <c r="A40" i="16"/>
  <c r="A39" i="16"/>
  <c r="A38" i="16"/>
  <c r="A37" i="16"/>
  <c r="A36" i="16"/>
  <c r="A35" i="16"/>
  <c r="A34" i="16"/>
  <c r="A33" i="16"/>
  <c r="A32" i="16"/>
  <c r="A31" i="16"/>
  <c r="A30" i="16"/>
  <c r="A29" i="16"/>
  <c r="A28" i="16"/>
  <c r="A27" i="16"/>
  <c r="A26" i="16"/>
  <c r="A25" i="16"/>
  <c r="A24" i="16"/>
  <c r="C15" i="15"/>
  <c r="C8" i="15"/>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Q2" i="14" s="1"/>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H42" i="9" l="1"/>
  <c r="C33" i="7"/>
  <c r="E62" i="7"/>
  <c r="H58" i="9"/>
  <c r="H25" i="9"/>
  <c r="J16" i="10"/>
  <c r="D6" i="5"/>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69" i="7"/>
  <c r="E69"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F34" i="9"/>
  <c r="E36" i="8"/>
  <c r="E35" i="8"/>
  <c r="E34" i="8"/>
  <c r="E33" i="8"/>
  <c r="E32" i="8"/>
  <c r="K45" i="8"/>
  <c r="K44" i="8"/>
  <c r="K43" i="8"/>
  <c r="K42" i="8"/>
  <c r="K46" i="8"/>
  <c r="K13" i="10"/>
  <c r="J13" i="10"/>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C7" i="10"/>
  <c r="B7" i="10"/>
  <c r="B8" i="10"/>
  <c r="B12" i="10"/>
  <c r="B16" i="10"/>
  <c r="C4" i="10"/>
  <c r="G64" i="9" l="1"/>
  <c r="H64" i="9" s="1"/>
  <c r="E77" i="7"/>
  <c r="G4" i="9"/>
  <c r="H4" i="9" s="1"/>
  <c r="G24" i="9"/>
  <c r="H24" i="9" s="1"/>
  <c r="G9" i="9"/>
  <c r="H9" i="9" s="1"/>
  <c r="C83" i="7"/>
  <c r="E83" i="7" s="1"/>
  <c r="E36" i="7"/>
  <c r="G14" i="9"/>
  <c r="H14" i="9" s="1"/>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AB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B13" i="13"/>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G44" i="9"/>
  <c r="H44" i="9" s="1"/>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B15" i="13"/>
  <c r="B14" i="13"/>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AD32"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AC52" i="8"/>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V54"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U31" i="8" s="1"/>
  <c r="W31" i="8" s="1"/>
  <c r="H26" i="8"/>
  <c r="R26" i="8" s="1"/>
  <c r="G82" i="7"/>
  <c r="G72" i="7"/>
  <c r="G67" i="7"/>
  <c r="G62" i="7"/>
  <c r="G57" i="7"/>
  <c r="G52" i="7"/>
  <c r="G47" i="7"/>
  <c r="G42" i="7"/>
  <c r="G37" i="7"/>
  <c r="G32" i="7"/>
  <c r="H6" i="8"/>
  <c r="R6" i="8" s="1"/>
  <c r="G87" i="7"/>
  <c r="H11" i="8"/>
  <c r="R11" i="8" s="1"/>
  <c r="U11" i="8" s="1"/>
  <c r="W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V19" i="8" s="1"/>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U47" i="8" s="1"/>
  <c r="H42" i="8"/>
  <c r="R42" i="8" s="1"/>
  <c r="H22" i="8"/>
  <c r="R22" i="8" s="1"/>
  <c r="H17" i="8"/>
  <c r="R17" i="8" s="1"/>
  <c r="H27" i="8"/>
  <c r="R27" i="8" s="1"/>
  <c r="H37" i="8"/>
  <c r="R37" i="8" s="1"/>
  <c r="G78" i="7"/>
  <c r="H2" i="8"/>
  <c r="R2" i="8" s="1"/>
  <c r="U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6" i="8" l="1"/>
  <c r="W36" i="8" s="1"/>
  <c r="U22" i="8"/>
  <c r="W2" i="8"/>
  <c r="W47" i="8"/>
  <c r="U57" i="8"/>
  <c r="W57" i="8" s="1"/>
  <c r="Z57" i="8" s="1"/>
  <c r="AA57" i="8" s="1"/>
  <c r="U26" i="8"/>
  <c r="W26" i="8" s="1"/>
  <c r="AE26" i="8" s="1"/>
  <c r="AF26" i="8" s="1"/>
  <c r="U42" i="8"/>
  <c r="W42" i="8" s="1"/>
  <c r="U56" i="8"/>
  <c r="W56" i="8" s="1"/>
  <c r="Z56" i="8" s="1"/>
  <c r="AA56" i="8" s="1"/>
  <c r="U52" i="8"/>
  <c r="W52" i="8" s="1"/>
  <c r="AE52" i="8" s="1"/>
  <c r="AF52" i="8" s="1"/>
  <c r="U37" i="8"/>
  <c r="W37" i="8" s="1"/>
  <c r="AE37" i="8" s="1"/>
  <c r="AF37" i="8" s="1"/>
  <c r="U62" i="8"/>
  <c r="W62" i="8" s="1"/>
  <c r="Z62" i="8" s="1"/>
  <c r="AA62" i="8" s="1"/>
  <c r="W22" i="8"/>
  <c r="Z22" i="8" s="1"/>
  <c r="AA22" i="8" s="1"/>
  <c r="U30" i="8"/>
  <c r="U66" i="8"/>
  <c r="W66" i="8" s="1"/>
  <c r="U46" i="8"/>
  <c r="W46" i="8" s="1"/>
  <c r="AE46" i="8" s="1"/>
  <c r="AF46" i="8" s="1"/>
  <c r="W30" i="8"/>
  <c r="X30" i="8" s="1"/>
  <c r="U65" i="8"/>
  <c r="W65" i="8" s="1"/>
  <c r="Z65" i="8" s="1"/>
  <c r="AA65" i="8" s="1"/>
  <c r="U5" i="8"/>
  <c r="W5" i="8" s="1"/>
  <c r="Z5" i="8" s="1"/>
  <c r="AA5" i="8" s="1"/>
  <c r="U41" i="8"/>
  <c r="W41" i="8" s="1"/>
  <c r="U13" i="8"/>
  <c r="W13" i="8" s="1"/>
  <c r="Z13" i="8" s="1"/>
  <c r="AA13" i="8" s="1"/>
  <c r="U33" i="8"/>
  <c r="W33" i="8" s="1"/>
  <c r="Z33" i="8" s="1"/>
  <c r="AA33" i="8" s="1"/>
  <c r="U63" i="8"/>
  <c r="W63" i="8" s="1"/>
  <c r="AE63" i="8" s="1"/>
  <c r="AF63" i="8" s="1"/>
  <c r="D28" i="3" s="1"/>
  <c r="U54" i="8"/>
  <c r="W54" i="8" s="1"/>
  <c r="X54" i="8" s="1"/>
  <c r="U6" i="8"/>
  <c r="W6" i="8" s="1"/>
  <c r="Z6" i="8" s="1"/>
  <c r="AA6" i="8" s="1"/>
  <c r="U16" i="8"/>
  <c r="W16" i="8" s="1"/>
  <c r="Z16" i="8" s="1"/>
  <c r="AA16" i="8" s="1"/>
  <c r="U43" i="8"/>
  <c r="W43" i="8" s="1"/>
  <c r="Z43" i="8" s="1"/>
  <c r="AA43" i="8" s="1"/>
  <c r="U34" i="8"/>
  <c r="W34" i="8" s="1"/>
  <c r="AE34" i="8" s="1"/>
  <c r="AF34" i="8" s="1"/>
  <c r="U49" i="8"/>
  <c r="W49" i="8" s="1"/>
  <c r="AE49" i="8" s="1"/>
  <c r="AF49" i="8" s="1"/>
  <c r="E14" i="5" s="1"/>
  <c r="U14" i="8"/>
  <c r="W14" i="8" s="1"/>
  <c r="X14" i="8" s="1"/>
  <c r="U51" i="8"/>
  <c r="W51" i="8" s="1"/>
  <c r="AE51" i="8" s="1"/>
  <c r="AF51" i="8" s="1"/>
  <c r="AD4" i="8"/>
  <c r="AD59" i="8"/>
  <c r="X43" i="8"/>
  <c r="U53" i="8"/>
  <c r="W53" i="8" s="1"/>
  <c r="AE36" i="8"/>
  <c r="AF36" i="8" s="1"/>
  <c r="Z36" i="8"/>
  <c r="AA36" i="8" s="1"/>
  <c r="X36" i="8"/>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AE16" i="8"/>
  <c r="AF16" i="8" s="1"/>
  <c r="X16" i="8"/>
  <c r="U7" i="8"/>
  <c r="W7" i="8" s="1"/>
  <c r="U45" i="8"/>
  <c r="W45" i="8" s="1"/>
  <c r="U4" i="8"/>
  <c r="U19" i="8"/>
  <c r="W19" i="8" s="1"/>
  <c r="X19" i="8" s="1"/>
  <c r="Z26" i="8"/>
  <c r="AA26" i="8" s="1"/>
  <c r="X26" i="8"/>
  <c r="Z66" i="8"/>
  <c r="AA66" i="8" s="1"/>
  <c r="AE66" i="8"/>
  <c r="AF66" i="8" s="1"/>
  <c r="X66" i="8"/>
  <c r="U38" i="8"/>
  <c r="W38" i="8" s="1"/>
  <c r="U10" i="8"/>
  <c r="W10" i="8" s="1"/>
  <c r="U20" i="8"/>
  <c r="W20" i="8" s="1"/>
  <c r="U24" i="8"/>
  <c r="W24" i="8" s="1"/>
  <c r="AE31" i="8"/>
  <c r="AF31" i="8" s="1"/>
  <c r="Z31" i="8"/>
  <c r="AA31" i="8" s="1"/>
  <c r="X31" i="8"/>
  <c r="U3" i="8"/>
  <c r="W3" i="8" s="1"/>
  <c r="U48" i="8"/>
  <c r="W48" i="8" s="1"/>
  <c r="AE2" i="8"/>
  <c r="AF2" i="8" s="1"/>
  <c r="Z2" i="8"/>
  <c r="AA2" i="8" s="1"/>
  <c r="X2" i="8"/>
  <c r="Z11" i="8"/>
  <c r="AA11" i="8" s="1"/>
  <c r="AE11" i="8"/>
  <c r="AF11" i="8" s="1"/>
  <c r="X11" i="8"/>
  <c r="U35" i="8"/>
  <c r="W35" i="8" s="1"/>
  <c r="U32" i="8"/>
  <c r="W32" i="8" s="1"/>
  <c r="Z47" i="8"/>
  <c r="AA47" i="8" s="1"/>
  <c r="AE47" i="8"/>
  <c r="AF47" i="8" s="1"/>
  <c r="X47" i="8"/>
  <c r="U50" i="8"/>
  <c r="W50" i="8" s="1"/>
  <c r="U9" i="8"/>
  <c r="W9" i="8" s="1"/>
  <c r="U64" i="8"/>
  <c r="W64" i="8" s="1"/>
  <c r="AE41" i="8"/>
  <c r="AF41" i="8" s="1"/>
  <c r="Z41" i="8"/>
  <c r="AA41" i="8" s="1"/>
  <c r="X41" i="8"/>
  <c r="U61" i="8"/>
  <c r="W61" i="8" s="1"/>
  <c r="U28" i="8"/>
  <c r="W28" i="8" s="1"/>
  <c r="U58" i="8"/>
  <c r="W58" i="8" s="1"/>
  <c r="X13" i="8" l="1"/>
  <c r="AE13" i="8"/>
  <c r="AF13" i="8" s="1"/>
  <c r="AE43" i="8"/>
  <c r="AF43" i="8" s="1"/>
  <c r="X56" i="8"/>
  <c r="AE56" i="8"/>
  <c r="AF56" i="8" s="1"/>
  <c r="F15" i="5" s="1"/>
  <c r="Z30" i="8"/>
  <c r="AA30" i="8" s="1"/>
  <c r="AE30" i="8"/>
  <c r="AF30" i="8" s="1"/>
  <c r="Z42" i="8"/>
  <c r="AA42" i="8" s="1"/>
  <c r="X42" i="8"/>
  <c r="X57" i="8"/>
  <c r="AE33" i="8"/>
  <c r="AF33" i="8" s="1"/>
  <c r="C28" i="3" s="1"/>
  <c r="X51" i="8"/>
  <c r="X22" i="8"/>
  <c r="AE57" i="8"/>
  <c r="AF57" i="8" s="1"/>
  <c r="AE22" i="8"/>
  <c r="AF22" i="8" s="1"/>
  <c r="AE6" i="8"/>
  <c r="AF6" i="8" s="1"/>
  <c r="F5" i="5" s="1"/>
  <c r="X5" i="8"/>
  <c r="AE5" i="8"/>
  <c r="AF5" i="8" s="1"/>
  <c r="X62" i="8"/>
  <c r="X65" i="8"/>
  <c r="X63" i="8"/>
  <c r="AE62" i="8"/>
  <c r="AF62" i="8" s="1"/>
  <c r="C7" i="4" s="1"/>
  <c r="C8" i="4" s="1"/>
  <c r="AE65" i="8"/>
  <c r="AF65" i="8" s="1"/>
  <c r="D30" i="3" s="1"/>
  <c r="AE42" i="8"/>
  <c r="AF42" i="8" s="1"/>
  <c r="X6" i="8"/>
  <c r="X46" i="8"/>
  <c r="Z46" i="8"/>
  <c r="AA46" i="8" s="1"/>
  <c r="X49" i="8"/>
  <c r="X34" i="8"/>
  <c r="X52" i="8"/>
  <c r="Z34" i="8"/>
  <c r="AA34" i="8" s="1"/>
  <c r="X33" i="8"/>
  <c r="W4" i="8"/>
  <c r="Z4" i="8" s="1"/>
  <c r="AA4" i="8" s="1"/>
  <c r="Z49" i="8"/>
  <c r="AA49" i="8" s="1"/>
  <c r="Z52" i="8"/>
  <c r="AA52" i="8" s="1"/>
  <c r="Z51" i="8"/>
  <c r="AA51" i="8" s="1"/>
  <c r="X37" i="8"/>
  <c r="AE14" i="8"/>
  <c r="AF14" i="8" s="1"/>
  <c r="E7" i="5" s="1"/>
  <c r="Z37" i="8"/>
  <c r="AA37" i="8" s="1"/>
  <c r="Z63" i="8"/>
  <c r="AA63" i="8" s="1"/>
  <c r="Z14" i="8"/>
  <c r="AA14" i="8" s="1"/>
  <c r="W59" i="8"/>
  <c r="X59" i="8" s="1"/>
  <c r="Z54" i="8"/>
  <c r="AA54" i="8" s="1"/>
  <c r="AE54" i="8"/>
  <c r="AF54" i="8" s="1"/>
  <c r="E15" i="5" s="1"/>
  <c r="D5" i="5"/>
  <c r="AE38" i="8"/>
  <c r="AF38" i="8" s="1"/>
  <c r="Z38" i="8"/>
  <c r="AA38" i="8" s="1"/>
  <c r="X38" i="8"/>
  <c r="AE4" i="8"/>
  <c r="AF4" i="8" s="1"/>
  <c r="E5" i="5" s="1"/>
  <c r="F7" i="5"/>
  <c r="D7" i="5"/>
  <c r="AE55" i="8"/>
  <c r="AF55" i="8" s="1"/>
  <c r="Z55" i="8"/>
  <c r="AA55" i="8" s="1"/>
  <c r="X55" i="8"/>
  <c r="Z53" i="8"/>
  <c r="AA53" i="8" s="1"/>
  <c r="AE53" i="8"/>
  <c r="AF53" i="8" s="1"/>
  <c r="X53" i="8"/>
  <c r="AE28" i="8"/>
  <c r="AF28" i="8" s="1"/>
  <c r="Z28" i="8"/>
  <c r="AA28" i="8" s="1"/>
  <c r="X28" i="8"/>
  <c r="Z45" i="8"/>
  <c r="AA45" i="8" s="1"/>
  <c r="AE45" i="8"/>
  <c r="AF45" i="8" s="1"/>
  <c r="X45" i="8"/>
  <c r="AE23" i="8"/>
  <c r="AF23" i="8" s="1"/>
  <c r="Z23" i="8"/>
  <c r="AA23" i="8" s="1"/>
  <c r="X23" i="8"/>
  <c r="AE25" i="8"/>
  <c r="AF25" i="8" s="1"/>
  <c r="Z25" i="8"/>
  <c r="AA25" i="8" s="1"/>
  <c r="X25" i="8"/>
  <c r="AE15" i="8"/>
  <c r="AF15" i="8" s="1"/>
  <c r="Z15" i="8"/>
  <c r="AA15" i="8" s="1"/>
  <c r="X15" i="8"/>
  <c r="E11" i="5"/>
  <c r="C29" i="3"/>
  <c r="AE64" i="8"/>
  <c r="AF64" i="8" s="1"/>
  <c r="Z64" i="8"/>
  <c r="AA64" i="8" s="1"/>
  <c r="X64" i="8"/>
  <c r="AE58" i="8"/>
  <c r="AF58" i="8" s="1"/>
  <c r="Z58" i="8"/>
  <c r="AA58" i="8" s="1"/>
  <c r="X58" i="8"/>
  <c r="Z50" i="8"/>
  <c r="AA50" i="8" s="1"/>
  <c r="AE50" i="8"/>
  <c r="AF50" i="8" s="1"/>
  <c r="X50" i="8"/>
  <c r="AE32" i="8"/>
  <c r="AF32" i="8" s="1"/>
  <c r="Z32" i="8"/>
  <c r="AA32" i="8" s="1"/>
  <c r="X32" i="8"/>
  <c r="Z61" i="8"/>
  <c r="AA61" i="8" s="1"/>
  <c r="AE61" i="8"/>
  <c r="AF61" i="8" s="1"/>
  <c r="X61" i="8"/>
  <c r="D31" i="3"/>
  <c r="F17" i="5"/>
  <c r="D7" i="4"/>
  <c r="D8" i="4" s="1"/>
  <c r="B11" i="4" s="1"/>
  <c r="C53" i="3"/>
  <c r="D17" i="5"/>
  <c r="Z8" i="8"/>
  <c r="AA8" i="8" s="1"/>
  <c r="AE8" i="8"/>
  <c r="AF8" i="8" s="1"/>
  <c r="X8" i="8"/>
  <c r="AE18" i="8"/>
  <c r="AF18" i="8" s="1"/>
  <c r="Z18" i="8"/>
  <c r="AA18" i="8" s="1"/>
  <c r="X18" i="8"/>
  <c r="Z12" i="8"/>
  <c r="AA12" i="8" s="1"/>
  <c r="AE12" i="8"/>
  <c r="AF12" i="8" s="1"/>
  <c r="X12" i="8"/>
  <c r="F11" i="5"/>
  <c r="D11" i="5"/>
  <c r="C52" i="3"/>
  <c r="C31" i="3"/>
  <c r="F10" i="5"/>
  <c r="D10" i="5"/>
  <c r="AD19" i="8"/>
  <c r="AE17" i="8"/>
  <c r="AF17" i="8" s="1"/>
  <c r="Z17" i="8"/>
  <c r="AA17" i="8" s="1"/>
  <c r="X17" i="8"/>
  <c r="AE27" i="8"/>
  <c r="AF27" i="8" s="1"/>
  <c r="Z27" i="8"/>
  <c r="AA27" i="8" s="1"/>
  <c r="X27" i="8"/>
  <c r="AE35" i="8"/>
  <c r="AF35" i="8" s="1"/>
  <c r="C30" i="3" s="1"/>
  <c r="Z35" i="8"/>
  <c r="AA35" i="8" s="1"/>
  <c r="X35" i="8"/>
  <c r="Z48" i="8"/>
  <c r="AA48" i="8" s="1"/>
  <c r="AE48" i="8"/>
  <c r="AF48" i="8" s="1"/>
  <c r="X48" i="8"/>
  <c r="AE24" i="8"/>
  <c r="AF24" i="8" s="1"/>
  <c r="E9" i="5" s="1"/>
  <c r="Z24" i="8"/>
  <c r="AA24" i="8" s="1"/>
  <c r="X24" i="8"/>
  <c r="D12" i="5"/>
  <c r="F12" i="5"/>
  <c r="AE3" i="8"/>
  <c r="AF3" i="8" s="1"/>
  <c r="Z3" i="8"/>
  <c r="AA3" i="8" s="1"/>
  <c r="X3" i="8"/>
  <c r="AE20" i="8"/>
  <c r="AF20" i="8" s="1"/>
  <c r="Z20" i="8"/>
  <c r="AA20" i="8" s="1"/>
  <c r="X20" i="8"/>
  <c r="Z7" i="8"/>
  <c r="AA7" i="8" s="1"/>
  <c r="AE7" i="8"/>
  <c r="AF7" i="8" s="1"/>
  <c r="X7" i="8"/>
  <c r="F14" i="5"/>
  <c r="D14" i="5"/>
  <c r="Z44" i="8"/>
  <c r="AA44" i="8" s="1"/>
  <c r="AE44" i="8"/>
  <c r="AF44" i="8" s="1"/>
  <c r="E13" i="5" s="1"/>
  <c r="X44" i="8"/>
  <c r="AE21" i="8"/>
  <c r="AF21" i="8" s="1"/>
  <c r="Z21" i="8"/>
  <c r="AA21" i="8" s="1"/>
  <c r="X21" i="8"/>
  <c r="Z10" i="8"/>
  <c r="AA10" i="8" s="1"/>
  <c r="AE10" i="8"/>
  <c r="AF10" i="8" s="1"/>
  <c r="X10" i="8"/>
  <c r="F9" i="5"/>
  <c r="D9" i="5"/>
  <c r="AE60" i="8"/>
  <c r="AF60" i="8" s="1"/>
  <c r="Z60" i="8"/>
  <c r="AA60" i="8" s="1"/>
  <c r="X60" i="8"/>
  <c r="AE40" i="8"/>
  <c r="AF40" i="8" s="1"/>
  <c r="Z40" i="8"/>
  <c r="AA40" i="8" s="1"/>
  <c r="X40" i="8"/>
  <c r="X4" i="8"/>
  <c r="Z9" i="8"/>
  <c r="AA9" i="8" s="1"/>
  <c r="AE9" i="8"/>
  <c r="AF9" i="8" s="1"/>
  <c r="X9" i="8"/>
  <c r="AE19" i="8"/>
  <c r="Z19" i="8"/>
  <c r="AA19" i="8" s="1"/>
  <c r="AE39" i="8"/>
  <c r="AF39" i="8" s="1"/>
  <c r="E12" i="5" s="1"/>
  <c r="Z39" i="8"/>
  <c r="AA39" i="8" s="1"/>
  <c r="X39" i="8"/>
  <c r="F13" i="5"/>
  <c r="D13" i="5"/>
  <c r="AE29" i="8"/>
  <c r="AF29" i="8" s="1"/>
  <c r="E10" i="5" s="1"/>
  <c r="Z29" i="8"/>
  <c r="AA29" i="8" s="1"/>
  <c r="X29" i="8"/>
  <c r="D15" i="5" l="1"/>
  <c r="J5" i="5"/>
  <c r="D27" i="3"/>
  <c r="C48" i="3"/>
  <c r="G17" i="5"/>
  <c r="K17" i="5" s="1"/>
  <c r="Z59" i="8"/>
  <c r="AA59" i="8" s="1"/>
  <c r="AE59" i="8"/>
  <c r="AF59" i="8" s="1"/>
  <c r="E16" i="5" s="1"/>
  <c r="J15" i="5"/>
  <c r="J13" i="5"/>
  <c r="G10" i="5"/>
  <c r="J12" i="5"/>
  <c r="G14" i="5"/>
  <c r="J11" i="5"/>
  <c r="J9" i="5"/>
  <c r="G12" i="5"/>
  <c r="J10" i="5"/>
  <c r="G7" i="5"/>
  <c r="G13" i="5"/>
  <c r="J14" i="5"/>
  <c r="G15" i="5"/>
  <c r="J7" i="5"/>
  <c r="G5" i="5"/>
  <c r="D8" i="5"/>
  <c r="F8" i="5"/>
  <c r="J8" i="5" s="1"/>
  <c r="D16" i="5"/>
  <c r="F16" i="5"/>
  <c r="J16" i="5" s="1"/>
  <c r="G16" i="5"/>
  <c r="C54" i="3"/>
  <c r="D52" i="3" s="1"/>
  <c r="AF19" i="8"/>
  <c r="E8" i="5" s="1"/>
  <c r="G9" i="5"/>
  <c r="J17" i="5"/>
  <c r="J6" i="5"/>
  <c r="C27" i="3"/>
  <c r="G11" i="5"/>
  <c r="C47" i="3"/>
  <c r="E17" i="5"/>
  <c r="D29" i="3"/>
  <c r="K13" i="5" l="1"/>
  <c r="K10" i="5"/>
  <c r="C49" i="3"/>
  <c r="D47" i="3" s="1"/>
  <c r="K15" i="5"/>
  <c r="K9" i="5"/>
  <c r="K6" i="5"/>
  <c r="K14" i="5"/>
  <c r="K11" i="5"/>
  <c r="K12" i="5"/>
  <c r="K16" i="5"/>
  <c r="K7" i="5"/>
  <c r="K5" i="5"/>
  <c r="G8" i="5"/>
  <c r="K8" i="5" s="1"/>
</calcChain>
</file>

<file path=xl/sharedStrings.xml><?xml version="1.0" encoding="utf-8"?>
<sst xmlns="http://schemas.openxmlformats.org/spreadsheetml/2006/main" count="1575" uniqueCount="952">
  <si>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</si>
  <si>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</si>
  <si>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</si>
  <si>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</si>
  <si>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</si>
  <si>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</si>
  <si>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</si>
  <si>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</si>
  <si>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</si>
  <si>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</si>
  <si>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</si>
  <si>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</si>
  <si>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</si>
  <si>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</si>
  <si>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</si>
  <si>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</si>
  <si>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</si>
  <si>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</si>
  <si>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</si>
  <si>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</si>
  <si>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</si>
  <si>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</si>
  <si>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</si>
  <si>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</si>
  <si>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</si>
  <si>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</si>
  <si>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</si>
  <si>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</si>
  <si>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</si>
  <si>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</si>
  <si>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</si>
  <si>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</si>
  <si>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</si>
  <si>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</si>
  <si>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</si>
  <si>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</si>
  <si>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</si>
  <si>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</si>
  <si>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</si>
  <si>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</si>
  <si>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</si>
  <si>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</si>
  <si>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</si>
  <si>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</si>
  <si>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</si>
  <si>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</si>
  <si>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</si>
  <si>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</si>
  <si>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</si>
  <si>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</si>
  <si>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</si>
  <si>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</si>
  <si>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</si>
  <si>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</si>
  <si>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</si>
  <si>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</si>
  <si>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</si>
  <si>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</si>
  <si>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</si>
  <si>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</si>
  <si>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</si>
  <si>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</si>
  <si>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</si>
  <si>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</si>
  <si>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</si>
  <si>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</si>
  <si>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</si>
  <si>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</si>
  <si>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</si>
  <si>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</si>
  <si>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</si>
  <si>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</si>
  <si>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</si>
  <si>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</si>
  <si>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</si>
  <si>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</si>
  <si>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</si>
  <si>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</si>
  <si>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</si>
  <si>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</si>
  <si>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</si>
  <si>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</si>
  <si>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</si>
  <si>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</si>
  <si>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</si>
  <si>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</si>
  <si>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</si>
  <si>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</si>
  <si>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</si>
  <si>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</si>
  <si>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</si>
  <si>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</si>
  <si>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</si>
  <si>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</si>
  <si>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</si>
  <si>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</si>
  <si>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</si>
  <si>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</si>
  <si>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</si>
  <si>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</si>
  <si>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</si>
  <si>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</si>
  <si>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</si>
  <si>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</si>
  <si>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</si>
  <si>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</si>
  <si>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</si>
  <si>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</si>
  <si>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</si>
  <si>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</si>
  <si>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</si>
  <si>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</si>
  <si>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</si>
  <si>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</si>
  <si>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</si>
  <si>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</si>
  <si>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</si>
  <si>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</si>
  <si>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</si>
  <si>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</si>
  <si>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</si>
  <si>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</si>
  <si>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</si>
  <si>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</si>
  <si>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</si>
  <si>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</si>
  <si>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</si>
  <si>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</si>
  <si>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</si>
  <si>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</si>
  <si>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</si>
  <si>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</si>
  <si>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</si>
  <si>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</si>
  <si>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</si>
  <si>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</si>
  <si>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</si>
  <si>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</si>
  <si>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</si>
  <si>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</si>
  <si>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</si>
  <si>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</si>
  <si>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</si>
  <si>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</si>
  <si>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</si>
  <si>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</si>
  <si>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</si>
  <si>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</si>
  <si>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</si>
  <si>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</si>
  <si>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</si>
  <si>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</si>
  <si>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</si>
  <si>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</si>
  <si>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</si>
  <si>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</si>
  <si>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</si>
  <si>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</si>
  <si>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</si>
  <si>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</si>
  <si>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</si>
  <si>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</si>
  <si>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</si>
  <si>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</si>
  <si>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</si>
  <si>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</si>
  <si>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</si>
  <si>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</si>
  <si>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</si>
  <si>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</si>
  <si>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</si>
  <si>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</si>
  <si>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</si>
  <si>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</si>
  <si>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</si>
  <si>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</si>
  <si>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</si>
  <si>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</si>
  <si>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</si>
  <si>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</si>
  <si>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</si>
  <si>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</si>
  <si>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</si>
  <si>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</si>
  <si>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</si>
  <si>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</si>
  <si>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</si>
  <si>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</si>
  <si>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</si>
  <si>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</si>
  <si>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</si>
  <si>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</si>
  <si>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</si>
  <si>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</si>
  <si>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</si>
  <si>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</si>
  <si>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</si>
  <si>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</si>
  <si>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</si>
  <si>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</si>
  <si>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</si>
  <si>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</si>
  <si>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</si>
  <si>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</si>
  <si>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</si>
  <si>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</si>
  <si>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</si>
  <si>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</si>
  <si>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</si>
  <si>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</si>
  <si>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</si>
  <si>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</si>
  <si>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</si>
  <si>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</si>
  <si>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</si>
  <si>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</si>
  <si>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</si>
  <si>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</si>
  <si>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</si>
  <si>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</si>
  <si>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</si>
  <si>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</si>
  <si>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</si>
  <si>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</si>
  <si>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</si>
  <si>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</si>
  <si>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</si>
  <si>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</si>
  <si>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</si>
  <si>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</si>
  <si>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</si>
  <si>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</si>
  <si>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</si>
  <si>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</si>
  <si>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</si>
  <si>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</si>
  <si>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</si>
  <si>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</si>
  <si>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</si>
  <si>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</si>
  <si>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</si>
  <si>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</si>
  <si>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</si>
  <si>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</si>
  <si>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</si>
  <si>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</si>
  <si>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</si>
  <si>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</si>
  <si>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</si>
  <si>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</si>
  <si>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</si>
  <si>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</si>
  <si>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</si>
  <si>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</si>
  <si>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</si>
  <si>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</si>
  <si>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</si>
  <si>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</si>
  <si>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</si>
  <si>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</si>
  <si>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</si>
  <si>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</si>
  <si>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</si>
  <si>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Done by</t>
  </si>
  <si>
    <t>Date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</si>
  <si>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</si>
  <si>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</si>
  <si>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</si>
  <si>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</si>
  <si>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</si>
  <si>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</si>
  <si>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</si>
  <si>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</si>
  <si>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</si>
  <si>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</si>
  <si>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</si>
  <si>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</si>
  <si>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</si>
  <si>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</si>
  <si>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</si>
  <si>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</si>
  <si>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</si>
  <si>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</si>
  <si>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</si>
  <si>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</si>
  <si>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</si>
  <si>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</si>
  <si>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</si>
  <si>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</si>
  <si>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</si>
  <si>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</si>
  <si>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</si>
  <si>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</si>
  <si>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</si>
  <si>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</si>
  <si>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</si>
  <si>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</si>
  <si>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</si>
  <si>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</si>
  <si>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</si>
  <si>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Overlay</t>
  </si>
  <si>
    <t>Using this term in the spreadsheet to mean growth of new students</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</si>
  <si>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</si>
  <si>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</si>
  <si>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</si>
  <si>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</si>
  <si>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</si>
  <si>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</si>
  <si>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</si>
  <si>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</si>
  <si>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</si>
  <si>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</si>
  <si>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</si>
  <si>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</si>
  <si>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</si>
  <si>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</si>
  <si>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</si>
  <si>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</si>
  <si>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</si>
  <si>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</si>
  <si>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</si>
  <si>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</si>
  <si>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</si>
  <si>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</si>
  <si>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</si>
  <si>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</si>
  <si>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</si>
  <si>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</si>
  <si>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</si>
  <si>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</si>
  <si>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</si>
  <si>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</si>
  <si>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</si>
  <si>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</si>
  <si>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</si>
  <si>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</si>
  <si>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</si>
  <si>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</si>
  <si>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</si>
  <si>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</si>
  <si>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</si>
  <si>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</si>
  <si>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</si>
  <si>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</si>
  <si>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</si>
  <si>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</si>
  <si>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</si>
  <si>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</si>
  <si>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</si>
  <si>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</si>
  <si>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</si>
  <si>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</si>
  <si>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</si>
  <si>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</si>
  <si>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</si>
  <si>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</si>
  <si>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</si>
  <si>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</si>
  <si>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</si>
  <si>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</si>
  <si>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</si>
  <si>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</si>
  <si>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</si>
  <si>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</si>
  <si>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</si>
  <si>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</si>
  <si>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</si>
  <si>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</si>
  <si>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</si>
  <si>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</si>
  <si>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</si>
  <si>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</si>
  <si>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</si>
  <si>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</si>
  <si>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</si>
  <si>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</si>
  <si>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</si>
  <si>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</si>
  <si>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</si>
  <si>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</si>
  <si>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</si>
  <si>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</si>
  <si>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</si>
  <si>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</si>
  <si>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</si>
  <si>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</si>
  <si>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</si>
  <si>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</si>
  <si>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</si>
  <si>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</si>
  <si>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</si>
  <si>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</si>
  <si>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</si>
  <si>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</si>
  <si>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</si>
  <si>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</si>
  <si>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</si>
  <si>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</si>
  <si>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</si>
  <si>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</si>
  <si>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</si>
  <si>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</si>
  <si>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</si>
  <si>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</si>
  <si>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</si>
  <si>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</si>
  <si>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</si>
  <si>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</si>
  <si>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</si>
  <si>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</si>
  <si>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</si>
  <si>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</si>
  <si>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</si>
  <si>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</si>
  <si>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</si>
  <si>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</si>
  <si>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</si>
  <si>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</si>
  <si>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</si>
  <si>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</si>
  <si>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</si>
  <si>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</si>
  <si>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</si>
  <si>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</si>
  <si>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</si>
  <si>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</si>
  <si>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</si>
  <si>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</si>
  <si>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</si>
  <si>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</si>
  <si>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</si>
  <si>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</si>
  <si>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</si>
  <si>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</si>
  <si>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</si>
  <si>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</si>
  <si>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</si>
  <si>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</si>
  <si>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</si>
  <si>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</si>
  <si>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</si>
  <si>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</si>
  <si>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</si>
  <si>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</si>
  <si>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</si>
  <si>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</si>
  <si>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</si>
  <si>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</si>
  <si>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</si>
  <si>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</si>
  <si>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</si>
  <si>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</si>
  <si>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</si>
  <si>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</si>
  <si>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</si>
  <si>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</si>
  <si>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</si>
  <si>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</si>
  <si>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</si>
  <si>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</si>
  <si>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</si>
  <si>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</si>
  <si>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</si>
  <si>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</si>
  <si>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</si>
  <si>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</si>
  <si>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</si>
  <si>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</si>
  <si>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</si>
  <si>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</si>
  <si>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</si>
  <si>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</si>
  <si>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</si>
  <si>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</si>
  <si>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</si>
  <si>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</si>
  <si>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</si>
  <si>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</si>
  <si>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</si>
  <si>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</si>
  <si>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</si>
  <si>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</si>
  <si>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</si>
  <si>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</si>
  <si>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</si>
  <si>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</si>
  <si>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</si>
  <si>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</si>
  <si>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</si>
  <si>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</si>
  <si>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</si>
  <si>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</si>
  <si>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</si>
  <si>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</si>
  <si>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</si>
  <si>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</si>
  <si>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</si>
  <si>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</si>
  <si>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</si>
  <si>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</si>
  <si>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</si>
  <si>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</si>
  <si>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</si>
  <si>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</si>
  <si>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</si>
  <si>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</si>
  <si>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</si>
  <si>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</si>
  <si>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</si>
  <si>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</si>
  <si>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</si>
  <si>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</si>
  <si>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</si>
  <si>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</si>
  <si>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</si>
  <si>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</si>
  <si>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</si>
  <si>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</si>
  <si>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</si>
  <si>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</si>
  <si>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</si>
  <si>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</si>
  <si>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</si>
  <si>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</si>
  <si>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</si>
  <si>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</si>
  <si>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</si>
  <si>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</si>
  <si>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</si>
  <si>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</si>
  <si>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</si>
  <si>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</si>
  <si>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</si>
  <si>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</si>
  <si>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</si>
  <si>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</si>
  <si>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</si>
  <si>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</si>
  <si>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</si>
  <si>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</si>
  <si>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</si>
  <si>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</si>
  <si>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</si>
  <si>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</si>
  <si>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</si>
  <si>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</si>
  <si>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</si>
  <si>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</si>
  <si>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</si>
  <si>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</si>
  <si>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</si>
  <si>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</si>
  <si>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</si>
  <si>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</si>
  <si>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</si>
  <si>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</si>
  <si>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</si>
  <si>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</si>
  <si>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</si>
  <si>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</si>
  <si>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</si>
  <si>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</si>
  <si>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</si>
  <si>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</si>
  <si>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</si>
  <si>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</si>
  <si>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</si>
  <si>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</si>
  <si>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</si>
  <si>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</si>
  <si>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</si>
  <si>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</si>
  <si>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</si>
  <si>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</si>
  <si>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</si>
  <si>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</si>
  <si>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</si>
  <si>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</si>
  <si>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</si>
  <si>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</si>
  <si>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</si>
  <si>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</si>
  <si>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</si>
  <si>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</si>
  <si>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</si>
  <si>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</si>
  <si>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</si>
  <si>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</si>
  <si>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</si>
  <si>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</si>
  <si>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</si>
  <si>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</si>
  <si>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</si>
  <si>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</si>
  <si>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</si>
  <si>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</si>
  <si>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</si>
  <si>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</si>
  <si>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</si>
  <si>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</si>
  <si>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</si>
  <si>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</si>
  <si>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</si>
  <si>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</si>
  <si>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</si>
  <si>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</si>
  <si>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</si>
  <si>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</si>
  <si>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</si>
  <si>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</si>
  <si>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</si>
  <si>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</si>
  <si>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</si>
  <si>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</si>
  <si>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</si>
  <si>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</si>
  <si>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</si>
  <si>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</si>
  <si>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</si>
  <si>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</si>
  <si>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</si>
  <si>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</si>
  <si>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</si>
  <si>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</si>
  <si>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</si>
  <si>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</si>
  <si>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</si>
  <si>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Where used</t>
  </si>
  <si>
    <t>BLA (FY2025)</t>
  </si>
  <si>
    <t>AZ Senate Issue Brief (Nov 2024) / ADE FY2025 update</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</si>
  <si>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</si>
  <si>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</si>
  <si>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</si>
  <si>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</si>
  <si>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</si>
  <si>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</si>
  <si>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</si>
  <si>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</si>
  <si>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</si>
  <si>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</si>
  <si>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</si>
  <si>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</si>
  <si>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</si>
  <si>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</si>
  <si>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</si>
  <si>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</si>
  <si>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</si>
  <si>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</si>
  <si>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</si>
  <si>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</si>
  <si>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</si>
  <si>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</si>
  <si>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</si>
  <si>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</si>
  <si>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</si>
  <si>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</si>
  <si>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</si>
  <si>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</si>
  <si>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</si>
  <si>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</si>
  <si>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</si>
  <si>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</si>
  <si>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</si>
  <si>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</si>
  <si>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</si>
  <si>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</si>
  <si>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</si>
  <si>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</si>
  <si>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M&amp;O Inflation</t>
  </si>
  <si>
    <t xml:space="preserve"> </t>
  </si>
  <si>
    <t>AID inflation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</si>
  <si>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</si>
  <si>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</si>
  <si>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</si>
  <si>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</si>
  <si>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</si>
  <si>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</si>
  <si>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</si>
  <si>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</si>
  <si>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</si>
  <si>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</si>
  <si>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</si>
  <si>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</si>
  <si>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</si>
  <si>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</si>
  <si>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</si>
  <si>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</si>
  <si>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</si>
  <si>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</si>
  <si>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</si>
  <si>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</si>
  <si>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</si>
  <si>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</si>
  <si>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</si>
  <si>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</si>
  <si>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</si>
  <si>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</si>
  <si>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</si>
  <si>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</si>
  <si>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</si>
  <si>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</si>
  <si>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</si>
  <si>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</si>
  <si>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</si>
  <si>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</si>
  <si>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</si>
  <si>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</si>
  <si>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</si>
  <si>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</si>
  <si>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</si>
  <si>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</si>
  <si>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</si>
  <si>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</si>
  <si>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</si>
  <si>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</si>
  <si>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</si>
  <si>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</si>
  <si>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</si>
  <si>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</si>
  <si>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</si>
  <si>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</si>
  <si>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</si>
  <si>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</si>
  <si>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</si>
  <si>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</si>
  <si>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</si>
  <si>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</si>
  <si>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</si>
  <si>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</si>
  <si>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</si>
  <si>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</si>
  <si>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</si>
  <si>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</si>
  <si>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</si>
  <si>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</si>
  <si>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</si>
  <si>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</si>
  <si>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</si>
  <si>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</si>
  <si>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</si>
  <si>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</si>
  <si>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</si>
  <si>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</si>
  <si>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</si>
  <si>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</si>
  <si>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</si>
  <si>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</si>
  <si>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</si>
  <si>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</si>
  <si>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</si>
  <si>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</si>
  <si>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</si>
  <si>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</si>
  <si>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</si>
  <si>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</si>
  <si>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</si>
  <si>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</si>
  <si>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</si>
  <si>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</si>
  <si>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</si>
  <si>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</si>
  <si>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</si>
  <si>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</si>
  <si>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</si>
  <si>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</si>
  <si>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</si>
  <si>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</si>
  <si>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</si>
  <si>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</si>
  <si>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</si>
  <si>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</si>
  <si>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</si>
  <si>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</si>
  <si>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</si>
  <si>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</si>
  <si>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</si>
  <si>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</si>
  <si>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</si>
  <si>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</si>
  <si>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</si>
  <si>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</si>
  <si>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</si>
  <si>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</si>
  <si>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</si>
  <si>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</si>
  <si>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</si>
  <si>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</si>
  <si>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</si>
  <si>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</si>
  <si>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</si>
  <si>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</si>
  <si>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</si>
  <si>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</si>
  <si>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</si>
  <si>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</si>
  <si>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</si>
  <si>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</si>
  <si>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</si>
  <si>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</si>
  <si>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</si>
  <si>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</si>
  <si>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</si>
  <si>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</si>
  <si>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</si>
  <si>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</si>
  <si>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</si>
  <si>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</si>
  <si>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</si>
  <si>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</si>
  <si>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</si>
  <si>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</si>
  <si>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</si>
  <si>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</si>
  <si>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</si>
  <si>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</si>
  <si>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</si>
  <si>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</si>
  <si>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</si>
  <si>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</si>
  <si>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</si>
  <si>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</si>
  <si>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</si>
  <si>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</si>
  <si>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</si>
  <si>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</si>
  <si>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</si>
  <si>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</si>
  <si>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</si>
  <si>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</si>
  <si>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</si>
  <si>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</si>
  <si>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</si>
  <si>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</si>
  <si>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Definition / derivation</t>
  </si>
  <si>
    <t>Where it appears</t>
  </si>
  <si>
    <t>M&amp;O operating costs − (Aid + Override + Uplift). Capital excluded.</t>
  </si>
  <si>
    <t>Comparator 5‑yr average Net − Base 5‑yr average Net.</t>
  </si>
  <si>
    <t>Students displaced in first year of action (scenario‑specific).</t>
  </si>
  <si>
    <t>Open + retained ADM in FY2030 (Served_ADM).</t>
  </si>
  <si>
    <t>Comparable net per served student</t>
  </si>
  <si>
    <t>Optional column on Summary_Figures</t>
  </si>
  <si>
    <t>Apply_Echo_Trend / Apply_Pima_Trend (per scenario) toggle baseline trend by site.</t>
  </si>
  <si>
    <t>Scenarios; MultiYear_ProForma Potential_ADM</t>
  </si>
  <si>
    <t>Other GF revenue per served ADM; indexed annually with Aid growth.</t>
  </si>
  <si>
    <t>YearMap → Uplift_per_ADM</t>
  </si>
  <si>
    <t>YearMap → Uplift_incr_per_ADM; Revenue$ logic</t>
  </si>
  <si>
    <t>YearMap → h; Control_Center → h schedule</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</si>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</sst>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3">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7030A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s>
  <cellStyleXfs count="4">
    <xf numFmtId="0" fontId="0" fillId="0" borderId="0"/>
    <xf numFmtId="44" fontId="3" fillId="0" borderId="0"/>
    <xf numFmtId="0" fontId="11" fillId="0" borderId="0"/>
    <xf numFmtId="0" fontId="13" fillId="0" borderId="0"/>
  </cellStyleXfs>
  <cellXfs count="121">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1" fillId="0" borderId="0" xfId="2"/>
    <xf numFmtId="0" fontId="15" fillId="0" borderId="0" xfId="0" applyFont="1"/>
    <xf numFmtId="0" fontId="16" fillId="2" borderId="1" xfId="0" applyFont="1" applyFill="1" applyBorder="1"/>
    <xf numFmtId="0" fontId="16" fillId="0" borderId="0" xfId="0" applyFont="1"/>
    <xf numFmtId="166" fontId="0" fillId="0" borderId="0" xfId="0" applyNumberFormat="1"/>
    <xf numFmtId="0" fontId="3" fillId="0" borderId="0" xfId="0" applyFont="1"/>
    <xf numFmtId="0" fontId="17" fillId="2" borderId="1" xfId="0" applyFont="1" applyFill="1" applyBorder="1"/>
    <xf numFmtId="165" fontId="3" fillId="0" borderId="0" xfId="1" applyNumberFormat="1"/>
    <xf numFmtId="0" fontId="1" fillId="3" borderId="0" xfId="0" applyFont="1" applyFill="1"/>
    <xf numFmtId="0" fontId="19" fillId="0" borderId="0" xfId="0" applyFont="1"/>
    <xf numFmtId="0" fontId="15" fillId="2" borderId="1" xfId="0" applyFont="1" applyFill="1" applyBorder="1"/>
    <xf numFmtId="0" fontId="1" fillId="6" borderId="0" xfId="0" applyFont="1" applyFill="1"/>
    <xf numFmtId="0" fontId="16" fillId="6" borderId="0" xfId="0" applyFont="1" applyFill="1"/>
    <xf numFmtId="0" fontId="15"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8"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0" fillId="0" borderId="5" xfId="0" applyFont="1" applyBorder="1" applyAlignment="1">
      <alignment horizontal="center" vertical="center"/>
    </xf>
    <xf numFmtId="0" fontId="15" fillId="8" borderId="0" xfId="0" applyFont="1" applyFill="1"/>
    <xf numFmtId="0" fontId="15" fillId="9" borderId="0" xfId="0" applyFont="1" applyFill="1"/>
    <xf numFmtId="0" fontId="5" fillId="6" borderId="0" xfId="0" applyFont="1" applyFill="1"/>
    <xf numFmtId="0" fontId="22"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3" fillId="0" borderId="0" xfId="0" applyFont="1"/>
    <xf numFmtId="0" fontId="23" fillId="0" borderId="0" xfId="0" applyFont="1" applyAlignment="1">
      <alignment vertical="center" wrapText="1"/>
    </xf>
    <xf numFmtId="0" fontId="24" fillId="0" borderId="0" xfId="0" applyFont="1"/>
    <xf numFmtId="0" fontId="22" fillId="0" borderId="0" xfId="0" applyFont="1"/>
    <xf numFmtId="0" fontId="0" fillId="6" borderId="0" xfId="0" applyFill="1" applyAlignment="1">
      <alignment horizontal="left"/>
    </xf>
    <xf numFmtId="0" fontId="1" fillId="6" borderId="0" xfId="0" applyFont="1" applyFill="1" applyAlignment="1">
      <alignment horizontal="left"/>
    </xf>
    <xf numFmtId="0" fontId="24" fillId="11" borderId="0" xfId="0" applyFont="1" applyFill="1"/>
    <xf numFmtId="0" fontId="24" fillId="11" borderId="0" xfId="0" applyFont="1" applyFill="1" applyAlignment="1">
      <alignment horizontal="center" vertical="center"/>
    </xf>
    <xf numFmtId="0" fontId="25" fillId="11" borderId="0" xfId="0" applyFont="1" applyFill="1" applyAlignment="1">
      <alignment horizontal="left"/>
    </xf>
    <xf numFmtId="167" fontId="25"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2" borderId="0" xfId="0" applyFont="1" applyFill="1"/>
    <xf numFmtId="0" fontId="4" fillId="12" borderId="0" xfId="0" applyFont="1" applyFill="1" applyAlignment="1">
      <alignment vertical="center" wrapText="1"/>
    </xf>
    <xf numFmtId="0" fontId="5" fillId="12" borderId="0" xfId="0" applyFont="1" applyFill="1" applyAlignment="1">
      <alignment vertical="center" wrapText="1"/>
    </xf>
    <xf numFmtId="0" fontId="12" fillId="12" borderId="0" xfId="2" applyFont="1" applyFill="1" applyAlignment="1">
      <alignment vertical="center" wrapText="1"/>
    </xf>
    <xf numFmtId="0" fontId="0" fillId="12" borderId="0" xfId="0" applyFill="1"/>
    <xf numFmtId="0" fontId="5" fillId="11" borderId="0" xfId="0" applyFont="1" applyFill="1"/>
    <xf numFmtId="1" fontId="0" fillId="11" borderId="0" xfId="0" applyNumberFormat="1" applyFill="1" applyAlignment="1">
      <alignment horizontal="right" vertical="center"/>
    </xf>
    <xf numFmtId="0" fontId="21" fillId="11" borderId="0" xfId="0" applyFont="1" applyFill="1"/>
    <xf numFmtId="0" fontId="0" fillId="11" borderId="0" xfId="0" applyFill="1"/>
    <xf numFmtId="0" fontId="26" fillId="0" borderId="0" xfId="0" applyFont="1"/>
    <xf numFmtId="0" fontId="0" fillId="0" borderId="0" xfId="0"/>
    <xf numFmtId="0" fontId="5" fillId="11" borderId="0" xfId="0" applyFont="1" applyFill="1" applyAlignment="1">
      <alignment horizontal="left" vertical="center" wrapText="1"/>
    </xf>
    <xf numFmtId="0" fontId="20"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2" fillId="10" borderId="0" xfId="0" applyFont="1" applyFill="1"/>
    <xf numFmtId="0" fontId="5" fillId="0" borderId="0" xfId="0" applyFont="1"/>
    <xf numFmtId="0" fontId="4" fillId="2" borderId="1" xfId="0" applyFont="1" applyFill="1" applyBorder="1" applyAlignment="1">
      <alignment horizontal="center"/>
    </xf>
    <xf numFmtId="0" fontId="0" fillId="0" borderId="3" xfId="0" applyBorder="1"/>
    <xf numFmtId="0" fontId="0" fillId="0" borderId="2" xfId="0" applyBorder="1"/>
    <xf numFmtId="0" fontId="1" fillId="2" borderId="1" xfId="0" applyFont="1" applyFill="1" applyBorder="1" applyAlignment="1">
      <alignment wrapText="1"/>
    </xf>
    <xf numFmtId="0" fontId="0" fillId="0" borderId="0" xfId="0" applyFill="1"/>
    <xf numFmtId="0" fontId="0" fillId="0" borderId="0" xfId="0" applyFill="1" applyAlignment="1">
      <alignment wrapText="1"/>
    </xf>
    <xf numFmtId="0" fontId="18" fillId="3" borderId="5" xfId="0" applyFont="1" applyFill="1" applyBorder="1" applyAlignment="1">
      <alignment horizontal="center"/>
    </xf>
    <xf numFmtId="0" fontId="27" fillId="0" borderId="0" xfId="3" applyFont="1" applyAlignment="1"/>
    <xf numFmtId="0" fontId="28" fillId="0" borderId="0" xfId="0" applyFont="1" applyAlignment="1"/>
    <xf numFmtId="0" fontId="29" fillId="3" borderId="0" xfId="0" applyFont="1" applyFill="1" applyAlignment="1">
      <alignment horizontal="center"/>
    </xf>
    <xf numFmtId="0" fontId="0" fillId="6" borderId="0" xfId="0" applyFill="1" applyAlignment="1">
      <alignment horizontal="left" vertical="center" indent="1"/>
    </xf>
    <xf numFmtId="0" fontId="1" fillId="6" borderId="0" xfId="0" applyFont="1" applyFill="1" applyAlignment="1">
      <alignment horizontal="left" vertical="center" indent="1"/>
    </xf>
    <xf numFmtId="0" fontId="30"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2" fillId="6" borderId="0" xfId="0" applyFont="1" applyFill="1"/>
    <xf numFmtId="0" fontId="8" fillId="6" borderId="0" xfId="0" applyFont="1" applyFill="1"/>
    <xf numFmtId="0" fontId="0" fillId="0" borderId="0" xfId="0" applyFont="1" applyAlignment="1">
      <alignment vertical="center" wrapText="1"/>
    </xf>
    <xf numFmtId="0" fontId="11" fillId="0" borderId="0" xfId="2" applyFont="1" applyAlignment="1">
      <alignment vertical="center" wrapText="1"/>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724779.93877799716</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590186.59214258776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0</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224119</xdr:colOff>
      <xdr:row>2</xdr:row>
      <xdr:rowOff>403412</xdr:rowOff>
    </xdr:from>
    <xdr:to>
      <xdr:col>14</xdr:col>
      <xdr:colOff>508000</xdr:colOff>
      <xdr:row>11</xdr:row>
      <xdr:rowOff>112059</xdr:rowOff>
    </xdr:to>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9" y="776941"/>
          <a:ext cx="8860116" cy="43628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333374</xdr:colOff>
      <xdr:row>0</xdr:row>
      <xdr:rowOff>147340</xdr:rowOff>
    </xdr:from>
    <xdr:to>
      <xdr:col>23</xdr:col>
      <xdr:colOff>365124</xdr:colOff>
      <xdr:row>43</xdr:row>
      <xdr:rowOff>103188</xdr:rowOff>
    </xdr:to>
    <xdr:pic>
      <xdr:nvPicPr>
        <xdr:cNvPr id="8" name="Graphic 7">
          <a:extLst>
            <a:ext uri="{FF2B5EF4-FFF2-40B4-BE49-F238E27FC236}">
              <a16:creationId xmlns:a16="http://schemas.microsoft.com/office/drawing/2014/main" id="{9850DB9A-6D23-0E76-385B-EF5656839C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4" y="147340"/>
          <a:ext cx="14089063" cy="79250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topLeftCell="A3"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88"/>
      <c r="C3" s="88"/>
      <c r="D3" s="88"/>
      <c r="E3" s="88"/>
      <c r="F3" s="88"/>
      <c r="G3" s="88"/>
      <c r="H3" s="88"/>
      <c r="I3" s="88"/>
      <c r="J3" s="88"/>
      <c r="K3" s="88"/>
      <c r="L3" s="88"/>
      <c r="M3" s="88"/>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88"/>
      <c r="C6" s="88"/>
      <c r="D6" s="88"/>
      <c r="E6" s="88"/>
      <c r="F6" s="88"/>
      <c r="G6" s="88"/>
      <c r="H6" s="88"/>
      <c r="I6" s="88"/>
      <c r="J6" s="88"/>
      <c r="K6" s="88"/>
      <c r="L6" s="88"/>
      <c r="M6" s="88"/>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88"/>
      <c r="C9" s="88"/>
      <c r="D9" s="88"/>
      <c r="E9" s="88"/>
      <c r="F9" s="88"/>
      <c r="G9" s="88"/>
      <c r="H9" s="88"/>
      <c r="I9" s="88"/>
      <c r="J9" s="88"/>
      <c r="K9" s="88"/>
      <c r="L9" s="88"/>
      <c r="M9" s="88"/>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88"/>
      <c r="C12" s="88"/>
      <c r="D12" s="88"/>
      <c r="E12" s="88"/>
      <c r="F12" s="88"/>
      <c r="G12" s="88"/>
      <c r="H12" s="88"/>
      <c r="I12" s="88"/>
      <c r="J12" s="88"/>
      <c r="K12" s="88"/>
      <c r="L12" s="88"/>
      <c r="M12" s="88"/>
      <c r="N12" s="12"/>
      <c r="O12" s="12"/>
      <c r="P12" s="12"/>
      <c r="Q12" s="12"/>
      <c r="R12" s="12"/>
      <c r="S12" s="12"/>
      <c r="T12" s="12"/>
      <c r="U12" s="12"/>
      <c r="V12" s="12"/>
      <c r="W12" s="12"/>
      <c r="X12" s="12"/>
      <c r="Y12" s="12"/>
      <c r="Z12" s="12"/>
      <c r="AA12" s="12"/>
      <c r="AB12" s="12"/>
      <c r="AC12" s="12"/>
      <c r="AD12" s="12"/>
      <c r="AE12" s="12"/>
      <c r="AF12" s="12"/>
      <c r="AG12" s="12"/>
    </row>
    <row r="13" spans="1:33">
      <c r="A13" s="12"/>
      <c r="B13" s="59"/>
      <c r="C13" s="59"/>
      <c r="D13" s="59"/>
      <c r="E13" s="59"/>
      <c r="F13" s="59"/>
      <c r="G13" s="59"/>
      <c r="H13" s="59"/>
      <c r="I13" s="59"/>
      <c r="J13" s="59"/>
      <c r="K13" s="59"/>
      <c r="L13" s="59"/>
      <c r="M13" s="5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88"/>
      <c r="C14" s="88"/>
      <c r="D14" s="88"/>
      <c r="E14" s="88"/>
      <c r="F14" s="88"/>
      <c r="G14" s="88"/>
      <c r="H14" s="88"/>
      <c r="I14" s="88"/>
      <c r="J14" s="88"/>
      <c r="K14" s="88"/>
      <c r="L14" s="88"/>
      <c r="M14" s="88"/>
      <c r="N14" s="60"/>
      <c r="O14" s="60"/>
      <c r="P14" s="60"/>
      <c r="Q14" s="60"/>
      <c r="R14" s="60"/>
      <c r="S14" s="6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88"/>
      <c r="C17" s="88"/>
      <c r="D17" s="88"/>
      <c r="E17" s="88"/>
      <c r="F17" s="88"/>
      <c r="G17" s="88"/>
      <c r="H17" s="88"/>
      <c r="I17" s="88"/>
      <c r="J17" s="88"/>
      <c r="K17" s="88"/>
      <c r="L17" s="88"/>
      <c r="M17" s="88"/>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88"/>
      <c r="C20" s="88"/>
      <c r="D20" s="88"/>
      <c r="E20" s="88"/>
      <c r="F20" s="88"/>
      <c r="G20" s="88"/>
      <c r="H20" s="88"/>
      <c r="I20" s="88"/>
      <c r="J20" s="88"/>
      <c r="K20" s="88"/>
      <c r="L20" s="88"/>
      <c r="M20" s="88"/>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118"/>
      <c r="B1" s="118" t="s">
        <v>931</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43" t="s">
        <v>928</v>
      </c>
      <c r="C2" s="59"/>
      <c r="D2" s="115"/>
      <c r="E2" s="12"/>
      <c r="F2" s="12"/>
      <c r="G2" s="12"/>
      <c r="H2" s="12"/>
      <c r="I2" s="12"/>
      <c r="J2" s="12"/>
      <c r="K2" s="12"/>
      <c r="L2" s="12"/>
      <c r="M2" s="12"/>
      <c r="N2" s="12"/>
      <c r="O2" s="12"/>
      <c r="P2" s="12"/>
      <c r="Q2" s="12"/>
      <c r="R2" s="12"/>
      <c r="S2" s="12"/>
      <c r="T2" s="12"/>
      <c r="U2" s="12"/>
      <c r="V2" s="12"/>
      <c r="W2" s="12"/>
      <c r="X2" s="12"/>
    </row>
    <row r="3" spans="1:24" ht="25.5" customHeight="1">
      <c r="A3" s="12"/>
      <c r="B3" s="43" t="s">
        <v>929</v>
      </c>
      <c r="C3" s="59"/>
      <c r="D3" s="115"/>
      <c r="E3" s="12"/>
      <c r="F3" s="12"/>
      <c r="G3" s="12"/>
      <c r="H3" s="12"/>
      <c r="I3" s="12"/>
      <c r="J3" s="12"/>
      <c r="K3" s="12"/>
      <c r="L3" s="12"/>
      <c r="M3" s="12"/>
      <c r="N3" s="12"/>
      <c r="O3" s="12"/>
      <c r="P3" s="12"/>
      <c r="Q3" s="12"/>
      <c r="R3" s="12"/>
      <c r="S3" s="12"/>
      <c r="T3" s="12"/>
      <c r="U3" s="12"/>
      <c r="V3" s="12"/>
      <c r="W3" s="12"/>
      <c r="X3" s="12"/>
    </row>
    <row r="4" spans="1:24" ht="25.5" customHeight="1">
      <c r="A4" s="12"/>
      <c r="B4" s="43" t="s">
        <v>924</v>
      </c>
      <c r="C4" s="59"/>
      <c r="D4" s="115"/>
      <c r="E4" s="12"/>
      <c r="F4" s="12"/>
      <c r="G4" s="12"/>
      <c r="H4" s="12"/>
      <c r="I4" s="12"/>
      <c r="J4" s="12"/>
      <c r="K4" s="12"/>
      <c r="L4" s="12"/>
      <c r="M4" s="12"/>
      <c r="N4" s="12"/>
      <c r="O4" s="12"/>
      <c r="P4" s="12"/>
      <c r="Q4" s="12"/>
      <c r="R4" s="12"/>
      <c r="S4" s="12"/>
      <c r="T4" s="12"/>
      <c r="U4" s="12"/>
      <c r="V4" s="12"/>
      <c r="W4" s="12"/>
      <c r="X4" s="12"/>
    </row>
    <row r="5" spans="1:24" ht="25.5" customHeight="1">
      <c r="A5" s="12"/>
      <c r="B5" s="43" t="s">
        <v>926</v>
      </c>
      <c r="C5" s="59"/>
      <c r="D5" s="115"/>
      <c r="E5" s="12"/>
      <c r="F5" s="12"/>
      <c r="G5" s="12"/>
      <c r="H5" s="12"/>
      <c r="I5" s="12"/>
      <c r="J5" s="12"/>
      <c r="K5" s="12"/>
      <c r="L5" s="12"/>
      <c r="M5" s="12"/>
      <c r="N5" s="12"/>
      <c r="O5" s="12"/>
      <c r="P5" s="12"/>
      <c r="Q5" s="12"/>
      <c r="R5" s="12"/>
      <c r="S5" s="12"/>
      <c r="T5" s="12"/>
      <c r="U5" s="12"/>
      <c r="V5" s="12"/>
      <c r="W5" s="12"/>
      <c r="X5" s="12"/>
    </row>
    <row r="6" spans="1:24" ht="25.5" customHeight="1">
      <c r="A6" s="12"/>
      <c r="B6" s="43" t="s">
        <v>925</v>
      </c>
      <c r="C6" s="59"/>
      <c r="D6" s="115"/>
      <c r="E6" s="12"/>
      <c r="F6" s="12"/>
      <c r="G6" s="12"/>
      <c r="H6" s="12"/>
      <c r="I6" s="12"/>
      <c r="J6" s="12"/>
      <c r="K6" s="12"/>
      <c r="L6" s="12"/>
      <c r="M6" s="12"/>
      <c r="N6" s="12"/>
      <c r="O6" s="12"/>
      <c r="P6" s="12"/>
      <c r="Q6" s="12"/>
      <c r="R6" s="12"/>
      <c r="S6" s="12"/>
      <c r="T6" s="12"/>
      <c r="U6" s="12"/>
      <c r="V6" s="12"/>
      <c r="W6" s="12"/>
      <c r="X6" s="12"/>
    </row>
    <row r="7" spans="1:24" ht="25.5" customHeight="1">
      <c r="A7" s="12"/>
      <c r="B7" s="12" t="s">
        <v>927</v>
      </c>
      <c r="C7" s="59"/>
      <c r="D7" s="115"/>
      <c r="E7" s="12"/>
      <c r="F7" s="12"/>
      <c r="G7" s="12"/>
      <c r="H7" s="12"/>
      <c r="I7" s="12"/>
      <c r="J7" s="12"/>
      <c r="K7" s="12"/>
      <c r="L7" s="12"/>
      <c r="M7" s="12"/>
      <c r="N7" s="12"/>
      <c r="O7" s="12"/>
      <c r="P7" s="12"/>
      <c r="Q7" s="12"/>
      <c r="R7" s="12"/>
      <c r="S7" s="12"/>
      <c r="T7" s="12"/>
      <c r="U7" s="12"/>
      <c r="V7" s="12"/>
      <c r="W7" s="12"/>
      <c r="X7" s="12"/>
    </row>
    <row r="8" spans="1:24" ht="25.5" customHeight="1">
      <c r="A8" s="12"/>
      <c r="B8" s="43" t="s">
        <v>930</v>
      </c>
      <c r="C8" s="59"/>
      <c r="D8" s="115"/>
      <c r="E8" s="12"/>
      <c r="F8" s="12"/>
      <c r="G8" s="12"/>
      <c r="H8" s="12"/>
      <c r="I8" s="12"/>
      <c r="J8" s="12"/>
      <c r="K8" s="12"/>
      <c r="L8" s="12"/>
      <c r="M8" s="12"/>
      <c r="N8" s="12"/>
      <c r="O8" s="12"/>
      <c r="P8" s="12"/>
      <c r="Q8" s="12"/>
      <c r="R8" s="12"/>
      <c r="S8" s="12"/>
      <c r="T8" s="12"/>
      <c r="U8" s="12"/>
      <c r="V8" s="12"/>
      <c r="W8" s="12"/>
      <c r="X8" s="12"/>
    </row>
    <row r="9" spans="1:24">
      <c r="A9" s="12"/>
      <c r="B9" s="43"/>
      <c r="C9" s="59"/>
      <c r="D9" s="115"/>
      <c r="E9" s="12"/>
      <c r="F9" s="12"/>
      <c r="G9" s="12"/>
      <c r="H9" s="12"/>
      <c r="I9" s="12"/>
      <c r="J9" s="12"/>
      <c r="K9" s="12"/>
      <c r="L9" s="12"/>
      <c r="M9" s="12"/>
      <c r="N9" s="12"/>
      <c r="O9" s="12"/>
      <c r="P9" s="12"/>
      <c r="Q9" s="12"/>
      <c r="R9" s="12"/>
      <c r="S9" s="12"/>
      <c r="T9" s="12"/>
      <c r="U9" s="12"/>
      <c r="V9" s="12"/>
      <c r="W9" s="12"/>
      <c r="X9" s="12"/>
    </row>
    <row r="10" spans="1:24">
      <c r="A10" s="12"/>
      <c r="B10" s="43"/>
      <c r="C10" s="59"/>
      <c r="D10" s="115"/>
      <c r="E10" s="12"/>
      <c r="F10" s="12"/>
      <c r="G10" s="12"/>
      <c r="H10" s="12"/>
      <c r="I10" s="12"/>
      <c r="J10" s="12"/>
      <c r="K10" s="12"/>
      <c r="L10" s="12"/>
      <c r="M10" s="12"/>
      <c r="N10" s="12"/>
      <c r="O10" s="12"/>
      <c r="P10" s="12"/>
      <c r="Q10" s="12"/>
      <c r="R10" s="12"/>
      <c r="S10" s="12"/>
      <c r="T10" s="12"/>
      <c r="U10" s="12"/>
      <c r="V10" s="12"/>
      <c r="W10" s="12"/>
      <c r="X10" s="12"/>
    </row>
    <row r="11" spans="1:24">
      <c r="A11" s="12"/>
      <c r="B11" s="43"/>
      <c r="C11" s="59"/>
      <c r="D11" s="115"/>
      <c r="E11" s="12"/>
      <c r="F11" s="12"/>
      <c r="G11" s="12"/>
      <c r="H11" s="12"/>
      <c r="I11" s="12"/>
      <c r="J11" s="12"/>
      <c r="K11" s="12"/>
      <c r="L11" s="12"/>
      <c r="M11" s="12"/>
      <c r="N11" s="12"/>
      <c r="O11" s="12"/>
      <c r="P11" s="12"/>
      <c r="Q11" s="12"/>
      <c r="R11" s="12"/>
      <c r="S11" s="12"/>
      <c r="T11" s="12"/>
      <c r="U11" s="12"/>
      <c r="V11" s="12"/>
      <c r="W11" s="12"/>
      <c r="X11" s="12"/>
    </row>
    <row r="12" spans="1:24">
      <c r="A12" s="12"/>
      <c r="B12" s="4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4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4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4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4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116"/>
      <c r="C24" s="59"/>
      <c r="D24" s="12"/>
      <c r="E24" s="12"/>
      <c r="F24" s="12"/>
      <c r="G24" s="12"/>
      <c r="H24" s="12"/>
      <c r="I24" s="12"/>
      <c r="J24" s="12"/>
      <c r="K24" s="12"/>
      <c r="L24" s="12"/>
      <c r="M24" s="12"/>
      <c r="N24" s="12"/>
      <c r="O24" s="12"/>
      <c r="P24" s="12"/>
      <c r="Q24" s="12"/>
      <c r="R24" s="12"/>
      <c r="S24" s="12"/>
      <c r="T24" s="12"/>
      <c r="U24" s="12"/>
      <c r="V24" s="12"/>
      <c r="W24" s="12"/>
      <c r="X24" s="12"/>
    </row>
    <row r="25" spans="1:24">
      <c r="A25" s="12"/>
      <c r="B25" s="116"/>
      <c r="C25" s="59"/>
      <c r="D25" s="12"/>
      <c r="E25" s="12"/>
      <c r="F25" s="12"/>
      <c r="G25" s="12"/>
      <c r="H25" s="12"/>
      <c r="I25" s="12"/>
      <c r="J25" s="12"/>
      <c r="K25" s="12"/>
      <c r="L25" s="12"/>
      <c r="M25" s="12"/>
      <c r="N25" s="12"/>
      <c r="O25" s="12"/>
      <c r="P25" s="12"/>
      <c r="Q25" s="12"/>
      <c r="R25" s="12"/>
      <c r="S25" s="12"/>
      <c r="T25" s="12"/>
      <c r="U25" s="12"/>
      <c r="V25" s="12"/>
      <c r="W25" s="12"/>
      <c r="X25" s="12"/>
    </row>
    <row r="26" spans="1:24">
      <c r="A26" s="12"/>
      <c r="B26" s="116"/>
      <c r="C26" s="5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tabSelected="1" zoomScale="95" zoomScaleNormal="95" workbookViewId="0">
      <selection activeCell="B4" sqref="B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117" t="s">
        <v>1</v>
      </c>
      <c r="C1" s="12"/>
      <c r="D1" s="5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54" t="s">
        <v>2</v>
      </c>
      <c r="C3" s="90" t="s">
        <v>3</v>
      </c>
      <c r="D3" s="91"/>
      <c r="E3" s="91"/>
      <c r="F3" s="91"/>
      <c r="G3" s="91"/>
      <c r="H3" s="91"/>
      <c r="I3" s="50" t="s">
        <v>4</v>
      </c>
      <c r="J3" s="49"/>
      <c r="K3" s="49"/>
      <c r="L3" s="49"/>
      <c r="M3" s="12"/>
      <c r="N3" s="12"/>
      <c r="O3" s="12"/>
      <c r="P3" s="12"/>
      <c r="Q3" s="12"/>
      <c r="R3" s="12"/>
      <c r="S3" s="12"/>
    </row>
    <row r="4" spans="1:19" ht="30" customHeight="1">
      <c r="A4" s="12"/>
      <c r="B4" s="52" t="s">
        <v>5</v>
      </c>
      <c r="C4" s="95" t="str">
        <f>VLOOKUP($B4,Scenarios!$A$2:$C$15, 2, 0)</f>
        <v>Repurpose both Echo &amp; Pima; lease both properties; fixed cost reduction rate, retention %, and transition cost assumptions are key drivers</v>
      </c>
      <c r="D4" s="96"/>
      <c r="E4" s="96"/>
      <c r="F4" s="96"/>
      <c r="G4" s="96"/>
      <c r="H4" s="96"/>
      <c r="I4" s="83"/>
      <c r="J4" s="84">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85"/>
      <c r="L4" s="86"/>
      <c r="M4" s="12"/>
      <c r="N4" s="12"/>
      <c r="O4" s="12"/>
      <c r="P4" s="12"/>
      <c r="Q4" s="12"/>
      <c r="R4" s="12"/>
      <c r="S4" s="12"/>
    </row>
    <row r="5" spans="1:19" ht="31.5" customHeight="1">
      <c r="A5" s="12"/>
      <c r="B5" s="53" t="s">
        <v>6</v>
      </c>
      <c r="C5" s="89" t="str">
        <f>VLOOKUP($B5,Scenarios!$A$2:$C$15, 2, 0)</f>
        <v>Echo &amp; Pima open; no operational or strategic growth actions; enrollment decline trend continues</v>
      </c>
      <c r="D5" s="88"/>
      <c r="E5" s="88"/>
      <c r="F5" s="88"/>
      <c r="G5" s="88"/>
      <c r="H5" s="88"/>
      <c r="I5" s="83"/>
      <c r="J5" s="84">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85"/>
      <c r="L5" s="86"/>
      <c r="M5" s="12"/>
      <c r="N5" s="12"/>
      <c r="O5" s="12"/>
      <c r="P5" s="12"/>
      <c r="Q5" s="12"/>
      <c r="R5" s="12"/>
      <c r="S5" s="12"/>
    </row>
    <row r="6" spans="1:19">
      <c r="A6" s="12"/>
      <c r="B6" s="4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4" t="s">
        <v>7</v>
      </c>
      <c r="C24" s="88"/>
      <c r="D24" s="88"/>
      <c r="E24" s="88"/>
      <c r="F24" s="88"/>
      <c r="G24" s="88"/>
      <c r="H24" s="88"/>
      <c r="I24" s="88"/>
      <c r="J24" s="88"/>
      <c r="K24" s="88"/>
      <c r="L24" s="88"/>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44" t="s">
        <v>8</v>
      </c>
      <c r="C26" s="55" t="s">
        <v>9</v>
      </c>
      <c r="D26" s="56" t="s">
        <v>10</v>
      </c>
      <c r="E26" s="12"/>
      <c r="F26" s="12"/>
      <c r="G26" s="12"/>
      <c r="H26" s="12"/>
      <c r="I26" s="12"/>
      <c r="J26" s="12"/>
      <c r="K26" s="12"/>
      <c r="L26" s="12"/>
      <c r="M26" s="12"/>
      <c r="N26" s="12"/>
      <c r="O26" s="12"/>
      <c r="P26" s="12"/>
      <c r="Q26" s="12"/>
      <c r="R26" s="12"/>
      <c r="S26" s="12"/>
    </row>
    <row r="27" spans="1:19">
      <c r="A27" s="12"/>
      <c r="B27" s="12" t="s">
        <v>11</v>
      </c>
      <c r="C27" s="46">
        <f>SUMIFS(MultiYear_ProForma!$AF$2:$AF$66, MultiYear_ProForma!$B$2:$B$66, $B$4, MultiYear_ProForma!$C$2:$C$66, "FY2026")</f>
        <v>840656.32429169957</v>
      </c>
      <c r="D27" s="46">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12</v>
      </c>
      <c r="C28" s="46">
        <f>SUMIFS(MultiYear_ProForma!$AF$2:$AF$66, MultiYear_ProForma!$B$2:$B$66, $B$4, MultiYear_ProForma!$C$2:$C$66, "FY2027")</f>
        <v>952977.73239899194</v>
      </c>
      <c r="D28" s="46">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13</v>
      </c>
      <c r="C29" s="46">
        <f>SUMIFS(MultiYear_ProForma!$AF$2:$AF$66, MultiYear_ProForma!$B$2:$B$66, $B$4, MultiYear_ProForma!$C$2:$C$66, "FY2028")</f>
        <v>1223701.2431391166</v>
      </c>
      <c r="D29" s="46">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14</v>
      </c>
      <c r="C30" s="46">
        <f>SUMIFS(MultiYear_ProForma!$AF$2:$AF$66, MultiYear_ProForma!$B$2:$B$66, $B$4, MultiYear_ProForma!$C$2:$C$66, "FY2029")</f>
        <v>1462524.4183334969</v>
      </c>
      <c r="D30" s="46">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15</v>
      </c>
      <c r="C31" s="46">
        <f>SUMIFS(MultiYear_ProForma!$AF$2:$AF$66, MultiYear_ProForma!$B$2:$B$66, $B$4, MultiYear_ProForma!$C$2:$C$66, "FY2030")</f>
        <v>1585320.0287918346</v>
      </c>
      <c r="D31" s="46">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58" t="s">
        <v>16</v>
      </c>
      <c r="C33" s="57"/>
      <c r="D33" s="12"/>
      <c r="E33" s="12"/>
      <c r="F33" s="12"/>
      <c r="G33" s="12"/>
      <c r="H33" s="12"/>
      <c r="I33" s="12"/>
      <c r="J33" s="12"/>
      <c r="K33" s="12"/>
      <c r="L33" s="12"/>
      <c r="M33" s="12"/>
      <c r="N33" s="12"/>
      <c r="O33" s="12"/>
      <c r="P33" s="12"/>
      <c r="Q33" s="12"/>
      <c r="R33" s="12"/>
      <c r="S33" s="12"/>
    </row>
    <row r="34" spans="1:19">
      <c r="A34" s="12"/>
      <c r="B34" s="57" t="s">
        <v>17</v>
      </c>
      <c r="C34" s="57">
        <f>Parameters_Public!C23</f>
        <v>0.6</v>
      </c>
      <c r="D34" s="12"/>
      <c r="E34" s="12"/>
      <c r="F34" s="12"/>
      <c r="G34" s="12"/>
      <c r="H34" s="12"/>
      <c r="I34" s="12"/>
      <c r="J34" s="12"/>
      <c r="K34" s="12"/>
      <c r="L34" s="12"/>
      <c r="M34" s="12"/>
      <c r="N34" s="12"/>
      <c r="O34" s="12"/>
      <c r="P34" s="12"/>
      <c r="Q34" s="12"/>
      <c r="R34" s="12"/>
      <c r="S34" s="12"/>
    </row>
    <row r="35" spans="1:19">
      <c r="A35" s="12"/>
      <c r="B35" s="57" t="s">
        <v>18</v>
      </c>
      <c r="C35" s="57">
        <f>Parameters_Public!C24</f>
        <v>0.85</v>
      </c>
      <c r="D35" s="12"/>
      <c r="E35" s="12"/>
      <c r="F35" s="12"/>
      <c r="G35" s="12"/>
      <c r="H35" s="12"/>
      <c r="I35" s="12"/>
      <c r="J35" s="12"/>
      <c r="K35" s="12"/>
      <c r="L35" s="12"/>
      <c r="M35" s="12"/>
      <c r="N35" s="12"/>
      <c r="O35" s="12"/>
      <c r="P35" s="12"/>
      <c r="Q35" s="12"/>
      <c r="R35" s="12"/>
      <c r="S35" s="12"/>
    </row>
    <row r="36" spans="1:19">
      <c r="A36" s="12"/>
      <c r="B36" s="57" t="s">
        <v>19</v>
      </c>
      <c r="C36" s="57">
        <f>Parameters_Public!C43</f>
        <v>0.6</v>
      </c>
      <c r="D36" s="12"/>
      <c r="E36" s="12"/>
      <c r="F36" s="12"/>
      <c r="G36" s="12"/>
      <c r="H36" s="12"/>
      <c r="I36" s="12"/>
      <c r="J36" s="12"/>
      <c r="K36" s="12"/>
      <c r="L36" s="12"/>
      <c r="M36" s="12"/>
      <c r="N36" s="12"/>
      <c r="O36" s="12"/>
      <c r="P36" s="12"/>
      <c r="Q36" s="12"/>
      <c r="R36" s="12"/>
      <c r="S36" s="12"/>
    </row>
    <row r="37" spans="1:19">
      <c r="A37" s="12"/>
      <c r="B37" s="57" t="s">
        <v>20</v>
      </c>
      <c r="C37" s="57">
        <f>Parameters_Public!C17</f>
        <v>0.15</v>
      </c>
      <c r="D37" s="12"/>
      <c r="E37" s="12"/>
      <c r="F37" s="12"/>
      <c r="G37" s="12"/>
      <c r="H37" s="12"/>
      <c r="I37" s="12"/>
      <c r="J37" s="12"/>
      <c r="K37" s="12"/>
      <c r="L37" s="12"/>
      <c r="M37" s="12"/>
      <c r="N37" s="12"/>
      <c r="O37" s="12"/>
      <c r="P37" s="12"/>
      <c r="Q37" s="12"/>
      <c r="R37" s="12"/>
      <c r="S37" s="12"/>
    </row>
    <row r="38" spans="1:19">
      <c r="A38" s="12"/>
      <c r="B38" s="57" t="s">
        <v>21</v>
      </c>
      <c r="C38" s="57">
        <f>Parameters_Public!C20</f>
        <v>1</v>
      </c>
      <c r="D38" s="12"/>
      <c r="E38" s="12"/>
      <c r="F38" s="12"/>
      <c r="G38" s="12"/>
      <c r="H38" s="12"/>
      <c r="I38" s="12"/>
      <c r="J38" s="12"/>
      <c r="K38" s="12"/>
      <c r="L38" s="12"/>
      <c r="M38" s="12"/>
      <c r="N38" s="12"/>
      <c r="O38" s="12"/>
      <c r="P38" s="12"/>
      <c r="Q38" s="12"/>
      <c r="R38" s="12"/>
      <c r="S38" s="12"/>
    </row>
    <row r="39" spans="1:19">
      <c r="A39" s="12"/>
      <c r="B39" s="57" t="s">
        <v>22</v>
      </c>
      <c r="C39" s="57">
        <f>Control_Center!C10</f>
        <v>7.0000000000000001E-3</v>
      </c>
      <c r="D39" s="12"/>
      <c r="E39" s="12"/>
      <c r="F39" s="12"/>
      <c r="G39" s="12"/>
      <c r="H39" s="12"/>
      <c r="I39" s="12"/>
      <c r="J39" s="12"/>
      <c r="K39" s="12"/>
      <c r="L39" s="12"/>
      <c r="M39" s="12"/>
      <c r="N39" s="12"/>
      <c r="O39" s="12"/>
      <c r="P39" s="12"/>
      <c r="Q39" s="12"/>
      <c r="R39" s="12"/>
      <c r="S39" s="12"/>
    </row>
    <row r="40" spans="1:19">
      <c r="A40" s="12"/>
      <c r="B40" s="57" t="s">
        <v>23</v>
      </c>
      <c r="C40" s="57">
        <f>Control_Center!C11</f>
        <v>1.4999999999999999E-2</v>
      </c>
      <c r="D40" s="12"/>
      <c r="E40" s="12"/>
      <c r="G40" s="12"/>
      <c r="H40" s="12"/>
      <c r="I40" s="12"/>
      <c r="J40" s="12"/>
      <c r="K40" s="12"/>
      <c r="L40" s="12"/>
      <c r="M40" s="12"/>
      <c r="N40" s="12"/>
      <c r="O40" s="12"/>
      <c r="P40" s="12"/>
      <c r="Q40" s="12"/>
      <c r="R40" s="12"/>
      <c r="S40" s="12"/>
    </row>
    <row r="41" spans="1:19">
      <c r="A41" s="12"/>
      <c r="B41" s="57" t="s">
        <v>24</v>
      </c>
      <c r="C41" s="57"/>
      <c r="D41" s="47"/>
      <c r="E41" s="12"/>
      <c r="F41" s="12"/>
      <c r="G41" s="12"/>
      <c r="H41" s="12"/>
      <c r="I41" s="12"/>
      <c r="J41" s="12"/>
      <c r="K41" s="12"/>
      <c r="L41" s="12"/>
      <c r="M41" s="12"/>
      <c r="N41" s="12"/>
      <c r="O41" s="12"/>
      <c r="P41" s="12"/>
      <c r="Q41" s="12"/>
      <c r="R41" s="12"/>
      <c r="S41" s="12"/>
    </row>
    <row r="42" spans="1:19">
      <c r="A42" s="12"/>
      <c r="B42" s="12"/>
      <c r="C42" s="12"/>
      <c r="D42" s="47"/>
      <c r="E42" s="12"/>
      <c r="F42" s="12"/>
      <c r="G42" s="12"/>
      <c r="H42" s="12"/>
      <c r="I42" s="12"/>
      <c r="J42" s="12"/>
      <c r="K42" s="12"/>
      <c r="L42" s="12"/>
      <c r="M42" s="12"/>
      <c r="N42" s="12"/>
      <c r="O42" s="12"/>
      <c r="P42" s="12"/>
      <c r="Q42" s="12"/>
      <c r="R42" s="12"/>
      <c r="S42" s="12"/>
    </row>
    <row r="43" spans="1:19">
      <c r="A43" s="12"/>
      <c r="B43" s="12"/>
      <c r="C43" s="12"/>
      <c r="D43" s="47" t="s">
        <v>25</v>
      </c>
      <c r="E43" s="12"/>
      <c r="F43" s="12"/>
      <c r="G43" s="12"/>
      <c r="H43" s="12"/>
      <c r="I43" s="12"/>
      <c r="J43" s="12"/>
      <c r="K43" s="12"/>
      <c r="L43" s="12"/>
      <c r="M43" s="12"/>
      <c r="N43" s="12"/>
      <c r="O43" s="12"/>
      <c r="P43" s="12"/>
      <c r="Q43" s="12"/>
      <c r="R43" s="12"/>
      <c r="S43" s="12"/>
    </row>
    <row r="44" spans="1:19">
      <c r="A44" s="12"/>
      <c r="B44" s="55" t="s">
        <v>26</v>
      </c>
      <c r="C44" s="46">
        <f>SUMIFS(Capital_Summary!$H$4:$H$83, Capital_Summary!$A$4:$A$83, B4, Capital_Summary!$B$4:$B$83, "FY2026")</f>
        <v>2314479.9999999995</v>
      </c>
      <c r="D44" s="97"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88"/>
      <c r="F44" s="88"/>
      <c r="G44" s="88"/>
      <c r="H44" s="88"/>
      <c r="I44" s="88"/>
      <c r="J44" s="12"/>
      <c r="K44" s="12"/>
      <c r="L44" s="12"/>
      <c r="M44" s="12"/>
      <c r="N44" s="12"/>
      <c r="O44" s="12"/>
      <c r="P44" s="12"/>
      <c r="Q44" s="12"/>
      <c r="R44" s="12"/>
      <c r="S44" s="12"/>
    </row>
    <row r="45" spans="1:19">
      <c r="A45" s="12"/>
      <c r="B45" s="56" t="s">
        <v>27</v>
      </c>
      <c r="C45" s="46">
        <f>SUMIFS(Capital_Summary!$H$4:$H$83, Capital_Summary!$A$4:$A$83, B5, Capital_Summary!$B$4:$B$83, "FY2026")</f>
        <v>0</v>
      </c>
      <c r="D45" s="93"/>
      <c r="E45" s="88"/>
      <c r="F45" s="88"/>
      <c r="G45" s="88"/>
      <c r="H45" s="88"/>
      <c r="I45" s="88"/>
      <c r="J45" s="12"/>
      <c r="K45" s="12"/>
      <c r="L45" s="12"/>
      <c r="M45" s="12"/>
      <c r="N45" s="12"/>
      <c r="O45" s="12"/>
      <c r="P45" s="12"/>
      <c r="Q45" s="12"/>
      <c r="R45" s="12"/>
      <c r="S45" s="12"/>
    </row>
    <row r="46" spans="1:19">
      <c r="A46" s="12"/>
      <c r="B46" s="43"/>
      <c r="C46" s="12"/>
      <c r="D46" s="47"/>
      <c r="E46" s="12"/>
      <c r="F46" s="12"/>
      <c r="G46" s="12"/>
      <c r="H46" s="12"/>
      <c r="I46" s="12"/>
      <c r="J46" s="12"/>
      <c r="K46" s="12"/>
      <c r="L46" s="12"/>
      <c r="M46" s="12"/>
      <c r="N46" s="12"/>
      <c r="O46" s="12"/>
      <c r="P46" s="12"/>
      <c r="Q46" s="12"/>
      <c r="R46" s="12"/>
      <c r="S46" s="12"/>
    </row>
    <row r="47" spans="1:19">
      <c r="A47" s="12"/>
      <c r="B47" s="55" t="s">
        <v>28</v>
      </c>
      <c r="C47" s="4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97"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88"/>
      <c r="F47" s="88"/>
      <c r="G47" s="88"/>
      <c r="H47" s="88"/>
      <c r="I47" s="88"/>
      <c r="J47" s="12"/>
      <c r="K47" s="12"/>
      <c r="L47" s="12"/>
      <c r="M47" s="12"/>
      <c r="N47" s="12"/>
      <c r="O47" s="12"/>
      <c r="P47" s="12"/>
      <c r="Q47" s="12"/>
      <c r="R47" s="12"/>
      <c r="S47" s="12"/>
    </row>
    <row r="48" spans="1:19">
      <c r="A48" s="12"/>
      <c r="B48" s="56" t="s">
        <v>29</v>
      </c>
      <c r="C48" s="4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93"/>
      <c r="E48" s="88"/>
      <c r="F48" s="88"/>
      <c r="G48" s="88"/>
      <c r="H48" s="88"/>
      <c r="I48" s="88"/>
      <c r="J48" s="12"/>
      <c r="K48" s="12"/>
      <c r="L48" s="12"/>
      <c r="M48" s="12"/>
      <c r="N48" s="12"/>
      <c r="O48" s="12"/>
      <c r="P48" s="12"/>
      <c r="Q48" s="12"/>
      <c r="R48" s="12"/>
      <c r="S48" s="12"/>
    </row>
    <row r="49" spans="1:19">
      <c r="A49" s="12"/>
      <c r="B49" s="45" t="s">
        <v>30</v>
      </c>
      <c r="C49" s="46">
        <f>ROUND(C48-C47, -4)</f>
        <v>-1700000</v>
      </c>
      <c r="D49" s="93"/>
      <c r="E49" s="88"/>
      <c r="F49" s="88"/>
      <c r="G49" s="88"/>
      <c r="H49" s="88"/>
      <c r="I49" s="88"/>
      <c r="J49" s="12"/>
      <c r="K49" s="12"/>
      <c r="L49" s="12"/>
      <c r="M49" s="12"/>
      <c r="N49" s="12"/>
      <c r="O49" s="12"/>
      <c r="P49" s="12"/>
      <c r="Q49" s="12"/>
      <c r="R49" s="12"/>
      <c r="S49" s="12"/>
    </row>
    <row r="50" spans="1:19">
      <c r="A50" s="12"/>
      <c r="B50" s="43"/>
      <c r="C50" s="12"/>
      <c r="D50" s="47"/>
      <c r="E50" s="12"/>
      <c r="F50" s="12"/>
      <c r="G50" s="12"/>
      <c r="H50" s="12"/>
      <c r="I50" s="12"/>
      <c r="J50" s="12"/>
      <c r="K50" s="12"/>
      <c r="L50" s="12"/>
      <c r="M50" s="12"/>
      <c r="N50" s="12"/>
      <c r="O50" s="12"/>
      <c r="P50" s="12"/>
      <c r="Q50" s="12"/>
      <c r="R50" s="12"/>
      <c r="S50" s="12"/>
    </row>
    <row r="51" spans="1:19">
      <c r="A51" s="12"/>
      <c r="B51" s="43"/>
      <c r="C51" s="12"/>
      <c r="D51" s="47"/>
      <c r="E51" s="12"/>
      <c r="F51" s="12"/>
      <c r="G51" s="12"/>
      <c r="H51" s="12"/>
      <c r="I51" s="12"/>
      <c r="J51" s="12"/>
      <c r="K51" s="12"/>
      <c r="L51" s="12"/>
      <c r="M51" s="12"/>
      <c r="N51" s="12"/>
      <c r="O51" s="12"/>
      <c r="P51" s="12"/>
      <c r="Q51" s="12"/>
      <c r="R51" s="12"/>
      <c r="S51" s="12"/>
    </row>
    <row r="52" spans="1:19" ht="14.5" customHeight="1">
      <c r="A52" s="12"/>
      <c r="B52" s="55" t="s">
        <v>31</v>
      </c>
      <c r="C52" s="46">
        <f>ROUND(SUMIFS(MultiYear_ProForma!$AF$2:$AF$66, MultiYear_ProForma!$B$2:$B$66, $B$4, MultiYear_ProForma!$C$2:$C$66, "FY2030"), -4)</f>
        <v>1590000</v>
      </c>
      <c r="D52" s="97" t="str">
        <f>"By 2030, "&amp;$B$5&amp;" will be $"&amp;TEXT(ABS(ROUND(C54,0)), "#,##0")&amp;" "&amp;IF(C54&lt;0,"MORE COSTLY","LESS COSTLY")&amp;" to operate annually than "&amp;$B$4&amp;""</f>
        <v>By 2030, E1_StatusQuo_Decline will be $2,310,000 MORE COSTLY to operate annually than A2_Repurpose_Both_lease</v>
      </c>
      <c r="E52" s="88"/>
      <c r="F52" s="88"/>
      <c r="G52" s="88"/>
      <c r="H52" s="88"/>
      <c r="I52" s="88"/>
      <c r="J52" s="12"/>
      <c r="K52" s="12"/>
      <c r="L52" s="12"/>
      <c r="M52" s="12"/>
      <c r="N52" s="12"/>
      <c r="O52" s="12"/>
      <c r="P52" s="12"/>
      <c r="Q52" s="12"/>
      <c r="R52" s="12"/>
      <c r="S52" s="12"/>
    </row>
    <row r="53" spans="1:19">
      <c r="A53" s="12"/>
      <c r="B53" s="56" t="s">
        <v>32</v>
      </c>
      <c r="C53" s="46">
        <f>ROUND(SUMIFS(MultiYear_ProForma!$AF$2:$AF$66, MultiYear_ProForma!$B$2:$B$66, $B$5, MultiYear_ProForma!$C$2:$C$66, "FY2030"), -4)</f>
        <v>-720000</v>
      </c>
      <c r="D53" s="93"/>
      <c r="E53" s="88"/>
      <c r="F53" s="88"/>
      <c r="G53" s="88"/>
      <c r="H53" s="88"/>
      <c r="I53" s="88"/>
      <c r="J53" s="12"/>
      <c r="K53" s="12"/>
      <c r="L53" s="12"/>
      <c r="M53" s="12"/>
      <c r="N53" s="12"/>
      <c r="O53" s="12"/>
      <c r="P53" s="12"/>
      <c r="Q53" s="12"/>
      <c r="R53" s="12"/>
      <c r="S53" s="12"/>
    </row>
    <row r="54" spans="1:19">
      <c r="A54" s="12"/>
      <c r="B54" s="45" t="s">
        <v>33</v>
      </c>
      <c r="C54" s="46">
        <f>ROUND(C53-C52, -4)</f>
        <v>-2310000</v>
      </c>
      <c r="D54" s="93"/>
      <c r="E54" s="88"/>
      <c r="F54" s="88"/>
      <c r="G54" s="88"/>
      <c r="H54" s="88"/>
      <c r="I54" s="88"/>
      <c r="J54" s="12"/>
      <c r="K54" s="12"/>
      <c r="L54" s="12"/>
      <c r="M54" s="12"/>
      <c r="N54" s="12"/>
      <c r="O54" s="12"/>
      <c r="P54" s="12"/>
      <c r="Q54" s="12"/>
      <c r="R54" s="12"/>
      <c r="S54" s="12"/>
    </row>
    <row r="55" spans="1:19">
      <c r="A55" s="12"/>
      <c r="B55" s="45"/>
      <c r="C55" s="46"/>
      <c r="D55" s="12"/>
      <c r="E55" s="12"/>
      <c r="F55" s="12"/>
      <c r="G55" s="12"/>
      <c r="H55" s="12"/>
      <c r="I55" s="12"/>
      <c r="J55" s="12"/>
      <c r="K55" s="12"/>
      <c r="L55" s="12"/>
      <c r="M55" s="12"/>
      <c r="N55" s="12"/>
      <c r="O55" s="12"/>
      <c r="P55" s="12"/>
      <c r="Q55" s="12"/>
      <c r="R55" s="12"/>
      <c r="S55" s="12"/>
    </row>
    <row r="56" spans="1:19">
      <c r="A56" s="12"/>
      <c r="B56" s="55" t="s">
        <v>34</v>
      </c>
      <c r="C56" s="48">
        <f>SUMIFS(MultiYear_ProForma!$N$2:$N$66, MultiYear_ProForma!$B$2:$B$66, $B$4, MultiYear_ProForma!$C$2:$C$66, "FY2026")</f>
        <v>553</v>
      </c>
      <c r="D56" s="92" t="str">
        <f>""&amp;$B$5&amp;" will displace "&amp;ROUND(ABS(C57-C56),0)&amp;" "&amp;IF(C57&gt;C56,"MORE STUDENTS","FEWER STUDENTS")&amp;" than "&amp;$B$4&amp;""</f>
        <v>E1_StatusQuo_Decline will displace 553 FEWER STUDENTS than A2_Repurpose_Both_lease</v>
      </c>
      <c r="E56" s="88"/>
      <c r="F56" s="88"/>
      <c r="G56" s="88"/>
      <c r="H56" s="88"/>
      <c r="I56" s="88"/>
      <c r="J56" s="12"/>
      <c r="K56" s="12"/>
      <c r="L56" s="12"/>
      <c r="M56" s="12"/>
      <c r="N56" s="12"/>
      <c r="O56" s="12"/>
      <c r="P56" s="12"/>
      <c r="Q56" s="12"/>
      <c r="R56" s="12"/>
      <c r="S56" s="12"/>
    </row>
    <row r="57" spans="1:19" ht="14.5" customHeight="1">
      <c r="A57" s="12"/>
      <c r="B57" s="56" t="s">
        <v>35</v>
      </c>
      <c r="C57" s="48">
        <f>SUMIFS(MultiYear_ProForma!$N$2:$N$66, MultiYear_ProForma!$B$2:$B$66, $B$5, MultiYear_ProForma!$C$2:$C$66, "FY2026")</f>
        <v>0</v>
      </c>
      <c r="D57" s="93"/>
      <c r="E57" s="88"/>
      <c r="F57" s="88"/>
      <c r="G57" s="88"/>
      <c r="H57" s="88"/>
      <c r="I57" s="88"/>
      <c r="J57" s="12"/>
      <c r="K57" s="12"/>
      <c r="L57" s="12"/>
      <c r="M57" s="12"/>
      <c r="N57" s="12"/>
      <c r="O57" s="12"/>
      <c r="P57" s="12"/>
      <c r="Q57" s="12"/>
      <c r="R57" s="12"/>
      <c r="S57" s="12"/>
    </row>
    <row r="58" spans="1:19">
      <c r="A58" s="12"/>
      <c r="B58" s="45"/>
      <c r="C58" s="48"/>
      <c r="D58" s="12"/>
      <c r="E58" s="12"/>
      <c r="F58" s="12"/>
      <c r="G58" s="12"/>
      <c r="H58" s="12"/>
      <c r="I58" s="12"/>
      <c r="J58" s="12"/>
      <c r="K58" s="12"/>
      <c r="L58" s="12"/>
      <c r="M58" s="12"/>
      <c r="N58" s="12"/>
      <c r="O58" s="12"/>
      <c r="P58" s="12"/>
      <c r="Q58" s="12"/>
      <c r="R58" s="12"/>
      <c r="S58" s="12"/>
    </row>
    <row r="59" spans="1:19">
      <c r="A59" s="12"/>
      <c r="B59" s="55" t="s">
        <v>36</v>
      </c>
      <c r="C59" s="48">
        <f>SUMIFS(MultiYear_ProForma!$AC$2:$AC$66, MultiYear_ProForma!$B$2:$B$66, $B$4, MultiYear_ProForma!$C$2:$C$66, "FY2030")</f>
        <v>405.79999999999995</v>
      </c>
      <c r="D59" s="92" t="str">
        <f>""&amp;$B$5&amp;" will serve "&amp;ROUND(ABS(C60-C59),0)&amp;" "&amp;IF(C60&gt;C59,"MORE STUDENTS","FEWER STUDENTS")&amp;" than "&amp;$B$4&amp;""</f>
        <v>E1_StatusQuo_Decline will serve 104 MORE STUDENTS than A2_Repurpose_Both_lease</v>
      </c>
      <c r="E59" s="88"/>
      <c r="F59" s="88"/>
      <c r="G59" s="88"/>
      <c r="H59" s="88"/>
      <c r="I59" s="88"/>
      <c r="J59" s="12"/>
      <c r="K59" s="12"/>
      <c r="L59" s="12"/>
      <c r="M59" s="12"/>
      <c r="N59" s="12"/>
      <c r="O59" s="12"/>
      <c r="P59" s="12"/>
      <c r="Q59" s="12"/>
      <c r="R59" s="12"/>
      <c r="S59" s="12"/>
    </row>
    <row r="60" spans="1:19">
      <c r="A60" s="12"/>
      <c r="B60" s="56" t="s">
        <v>37</v>
      </c>
      <c r="C60" s="48">
        <f>SUMIFS(MultiYear_ProForma!$AC$2:$AC$66, MultiYear_ProForma!$B$2:$B$66, $B$5, MultiYear_ProForma!$C$2:$C$66, "FY2030")</f>
        <v>510.06959247999993</v>
      </c>
      <c r="D60" s="93"/>
      <c r="E60" s="88"/>
      <c r="F60" s="88"/>
      <c r="G60" s="88"/>
      <c r="H60" s="88"/>
      <c r="I60" s="88"/>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4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A10" sqref="A10"/>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114"/>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4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1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13"/>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13"/>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4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4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13"/>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13"/>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13"/>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13"/>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4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13"/>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13"/>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13"/>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117"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77" t="s">
        <v>39</v>
      </c>
      <c r="C3" s="31"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68" t="s">
        <v>40</v>
      </c>
      <c r="C5" s="69" t="s">
        <v>11</v>
      </c>
      <c r="D5" s="69" t="s">
        <v>15</v>
      </c>
      <c r="E5" s="12"/>
      <c r="F5" s="12"/>
      <c r="G5" s="12"/>
      <c r="H5" s="12"/>
      <c r="I5" s="12"/>
      <c r="J5" s="12"/>
      <c r="K5" s="12"/>
      <c r="L5" s="12"/>
      <c r="M5" s="12"/>
      <c r="N5" s="12"/>
      <c r="O5" s="12"/>
      <c r="P5" s="12"/>
      <c r="Q5" s="12"/>
      <c r="R5" s="12"/>
      <c r="S5" s="12"/>
      <c r="T5" s="12"/>
      <c r="U5" s="12"/>
      <c r="V5" s="12"/>
    </row>
    <row r="6" spans="1:22">
      <c r="A6" s="12"/>
      <c r="B6" s="70" t="s">
        <v>41</v>
      </c>
      <c r="C6" s="71">
        <f>INDEX(YearMap!$I$2:$I$6, MATCH("FY2026",YearMap!$A$2:$A$6,0))+IF(Override_toggle=1, INDEX(YearMap!$O$2:$O$6, MATCH("FY2026",YearMap!$A$2:$A$6,0)),0)+INDEX(YearMap!$P$2:$P$6, MATCH("FY2026",YearMap!$A$2:$A$6,0))-INDEX(YearMap!$B$2:$B$6, MATCH("FY2026",YearMap!$A$2:$A$6,0))-INDEX(YearMap!$Q$2:$Q$6, MATCH("FY2026",YearMap!$A$2:$A$6,0))</f>
        <v>3598.4885000000013</v>
      </c>
      <c r="D6" s="71">
        <f>INDEX(YearMap!$I$2:$I$6, MATCH("FY2030",YearMap!$A$2:$A$6,0))+IF(Override_toggle=1, INDEX(YearMap!$O$2:$O$6, MATCH("FY2030",YearMap!$A$2:$A$6,0)),0)+INDEX(YearMap!$P$2:$P$6, MATCH("FY2030",YearMap!$A$2:$A$6,0))-INDEX(YearMap!$B$2:$B$6, MATCH("FY2030",YearMap!$A$2:$A$6,0))-INDEX(YearMap!$Q$2:$Q$6, MATCH("FY2030",YearMap!$A$2:$A$6,0))</f>
        <v>4132.8205711908204</v>
      </c>
      <c r="E6" s="12"/>
      <c r="F6" s="12"/>
      <c r="G6" s="12"/>
      <c r="H6" s="12"/>
      <c r="I6" s="12"/>
      <c r="J6" s="12"/>
      <c r="K6" s="12"/>
      <c r="L6" s="12"/>
      <c r="M6" s="12"/>
      <c r="N6" s="12"/>
      <c r="O6" s="12"/>
      <c r="P6" s="12"/>
      <c r="Q6" s="12"/>
      <c r="R6" s="12"/>
      <c r="S6" s="12"/>
      <c r="T6" s="12"/>
      <c r="U6" s="12"/>
      <c r="V6" s="12"/>
    </row>
    <row r="7" spans="1:22">
      <c r="A7" s="12"/>
      <c r="B7" s="72" t="s">
        <v>42</v>
      </c>
      <c r="C7" s="73">
        <f>SUMIFS(MultiYear_ProForma!$AF$2:$AF$66,MultiYear_ProForma!$B$2:$B$66,$C$3,MultiYear_ProForma!$C$2:$C$66,"FY2026")</f>
        <v>-459335.0305249989</v>
      </c>
      <c r="D7" s="73">
        <f>SUMIFS(MultiYear_ProForma!$AF$2:$AF$66,MultiYear_ProForma!$B$2:$B$66,$C$3,MultiYear_ProForma!$C$2:$C$66,"FY2030")</f>
        <v>-724779.93877799716</v>
      </c>
      <c r="E7" s="12"/>
      <c r="F7" s="12"/>
      <c r="G7" s="12"/>
      <c r="H7" s="12"/>
      <c r="I7" s="12"/>
      <c r="J7" s="12"/>
      <c r="K7" s="12"/>
      <c r="L7" s="12"/>
      <c r="M7" s="12"/>
      <c r="N7" s="12"/>
      <c r="O7" s="12"/>
      <c r="P7" s="12"/>
      <c r="Q7" s="12"/>
      <c r="R7" s="12"/>
      <c r="S7" s="12"/>
      <c r="T7" s="12"/>
      <c r="U7" s="12"/>
      <c r="V7" s="12"/>
    </row>
    <row r="8" spans="1:22">
      <c r="A8" s="12"/>
      <c r="B8" s="74" t="s">
        <v>43</v>
      </c>
      <c r="C8" s="75">
        <f>IFERROR(MAX(0,-$C$7/$C$6),"")</f>
        <v>127.64665790233836</v>
      </c>
      <c r="D8" s="75">
        <f>IFERROR(MAX(0,-$D$7/$D$6),"")</f>
        <v>175.37174099217205</v>
      </c>
      <c r="E8" s="12"/>
      <c r="F8" s="12"/>
      <c r="G8" s="12"/>
      <c r="H8" s="12"/>
      <c r="I8" s="12"/>
      <c r="J8" s="12"/>
      <c r="K8" s="12"/>
      <c r="L8" s="12"/>
      <c r="M8" s="12"/>
      <c r="N8" s="12"/>
      <c r="O8" s="12"/>
      <c r="P8" s="12"/>
      <c r="Q8" s="12"/>
      <c r="R8" s="12"/>
      <c r="S8" s="12"/>
      <c r="T8" s="12"/>
      <c r="U8" s="12"/>
      <c r="V8" s="12"/>
    </row>
    <row r="9" spans="1:22">
      <c r="A9" s="12"/>
      <c r="B9" s="67"/>
      <c r="C9" s="43"/>
      <c r="D9" s="43"/>
      <c r="E9" s="12"/>
      <c r="F9" s="12"/>
      <c r="G9" s="12"/>
      <c r="H9" s="12"/>
      <c r="I9" s="12"/>
      <c r="J9" s="12"/>
      <c r="K9" s="12"/>
      <c r="L9" s="12"/>
      <c r="M9" s="12"/>
      <c r="N9" s="12"/>
      <c r="O9" s="12"/>
      <c r="P9" s="12"/>
      <c r="Q9" s="12"/>
      <c r="R9" s="12"/>
      <c r="S9" s="12"/>
      <c r="T9" s="12"/>
      <c r="U9" s="12"/>
      <c r="V9" s="12"/>
    </row>
    <row r="10" spans="1:22">
      <c r="A10" s="12"/>
      <c r="B10" s="76" t="s">
        <v>25</v>
      </c>
      <c r="C10" s="50"/>
      <c r="D10" s="50"/>
      <c r="E10" s="12"/>
      <c r="F10" s="12"/>
      <c r="G10" s="12"/>
      <c r="H10" s="12"/>
      <c r="I10" s="12"/>
      <c r="J10" s="12"/>
      <c r="K10" s="12"/>
      <c r="L10" s="12"/>
      <c r="M10" s="12"/>
      <c r="N10" s="12"/>
      <c r="O10" s="12"/>
      <c r="P10" s="12"/>
      <c r="Q10" s="12"/>
      <c r="R10" s="12"/>
      <c r="S10" s="12"/>
      <c r="T10" s="12"/>
      <c r="U10" s="12"/>
      <c r="V10" s="12"/>
    </row>
    <row r="11" spans="1:22" ht="31" customHeight="1">
      <c r="A11" s="12"/>
      <c r="B11" s="98"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175 additional students.</v>
      </c>
      <c r="C11" s="99"/>
      <c r="D11" s="99"/>
      <c r="E11" s="12"/>
      <c r="F11" s="12"/>
      <c r="G11" s="12"/>
      <c r="H11" s="12"/>
      <c r="I11" s="12"/>
      <c r="J11" s="12"/>
      <c r="K11" s="12"/>
      <c r="L11" s="12"/>
      <c r="M11" s="12"/>
      <c r="N11" s="12"/>
      <c r="O11" s="12"/>
      <c r="P11" s="12"/>
      <c r="Q11" s="12"/>
      <c r="R11" s="12"/>
      <c r="S11" s="12"/>
      <c r="T11" s="12"/>
      <c r="U11" s="12"/>
      <c r="V11" s="12"/>
    </row>
    <row r="12" spans="1:22">
      <c r="A12" s="12"/>
      <c r="B12" s="67"/>
      <c r="C12" s="43"/>
      <c r="D12" s="43"/>
      <c r="E12" s="12"/>
      <c r="F12" s="12"/>
      <c r="G12" s="12"/>
      <c r="H12" s="12"/>
      <c r="I12" s="12"/>
      <c r="J12" s="12"/>
      <c r="K12" s="12"/>
      <c r="L12" s="12"/>
      <c r="M12" s="12"/>
      <c r="N12" s="12"/>
      <c r="O12" s="12"/>
      <c r="P12" s="12"/>
      <c r="Q12" s="12"/>
      <c r="R12" s="12"/>
      <c r="S12" s="12"/>
      <c r="T12" s="12"/>
      <c r="U12" s="12"/>
      <c r="V12" s="12"/>
    </row>
    <row r="13" spans="1:22">
      <c r="A13" s="12"/>
      <c r="B13" s="66" t="s">
        <v>44</v>
      </c>
      <c r="C13" s="12"/>
      <c r="D13" s="12"/>
      <c r="E13" s="12"/>
      <c r="F13" s="12"/>
      <c r="G13" s="12"/>
      <c r="H13" s="12"/>
      <c r="I13" s="12"/>
      <c r="J13" s="12"/>
      <c r="K13" s="12"/>
      <c r="L13" s="12"/>
      <c r="M13" s="12"/>
      <c r="N13" s="12"/>
      <c r="O13" s="12"/>
      <c r="P13" s="12"/>
      <c r="Q13" s="12"/>
      <c r="R13" s="12"/>
      <c r="S13" s="12"/>
      <c r="T13" s="12"/>
      <c r="U13" s="12"/>
      <c r="V13" s="12"/>
    </row>
    <row r="14" spans="1:22">
      <c r="A14" s="12"/>
      <c r="B14" s="66" t="s">
        <v>45</v>
      </c>
      <c r="C14" s="12"/>
      <c r="D14" s="12"/>
      <c r="E14" s="12"/>
      <c r="F14" s="12"/>
      <c r="G14" s="12"/>
      <c r="H14" s="12"/>
      <c r="I14" s="12"/>
      <c r="J14" s="12"/>
      <c r="K14" s="12"/>
      <c r="L14" s="12"/>
      <c r="M14" s="12"/>
      <c r="N14" s="12"/>
      <c r="O14" s="12"/>
      <c r="P14" s="12"/>
      <c r="Q14" s="12"/>
      <c r="R14" s="12"/>
      <c r="S14" s="12"/>
      <c r="T14" s="12"/>
      <c r="U14" s="12"/>
      <c r="V14" s="12"/>
    </row>
    <row r="15" spans="1:22">
      <c r="A15" s="12"/>
      <c r="B15" s="66"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B15" sqref="B15"/>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77" t="s">
        <v>923</v>
      </c>
      <c r="C1" s="40" t="s">
        <v>6</v>
      </c>
      <c r="N1" s="4" t="s">
        <v>47</v>
      </c>
    </row>
    <row r="2" spans="1:14">
      <c r="A2" t="s">
        <v>48</v>
      </c>
      <c r="N2" s="31" t="str">
        <f>"(Comparison) Change in ops net $ by scenario compared to "&amp;C1&amp;" (Positive = savings)"</f>
        <v>(Comparison) Change in ops net $ by scenario compared to E1_StatusQuo_Decline (Positive = savings)</v>
      </c>
    </row>
    <row r="3" spans="1:14">
      <c r="A3" t="s">
        <v>49</v>
      </c>
      <c r="N3" s="31" t="str">
        <f>"(Nominal) One-time capital (FY26) &amp; Average 5-yr net ops $ by scenario"</f>
        <v>(Nominal) One-time capital (FY26) &amp; Average 5-yr net ops $ by scenario</v>
      </c>
    </row>
    <row r="4" spans="1:14">
      <c r="A4" s="41" t="s">
        <v>50</v>
      </c>
      <c r="B4" s="34" t="s">
        <v>51</v>
      </c>
      <c r="C4" s="38" t="s">
        <v>52</v>
      </c>
      <c r="D4" s="42" t="s">
        <v>53</v>
      </c>
      <c r="E4" s="42" t="s">
        <v>54</v>
      </c>
      <c r="F4" s="42" t="s">
        <v>55</v>
      </c>
      <c r="G4" s="42" t="s">
        <v>56</v>
      </c>
      <c r="H4" s="42" t="s">
        <v>57</v>
      </c>
      <c r="I4" s="42" t="s">
        <v>58</v>
      </c>
      <c r="J4" s="34" t="s">
        <v>59</v>
      </c>
      <c r="K4" s="34" t="s">
        <v>60</v>
      </c>
      <c r="L4" s="35"/>
      <c r="M4" s="35"/>
      <c r="N4" s="35"/>
    </row>
    <row r="5" spans="1:14">
      <c r="A5" s="41" t="str">
        <f t="shared" ref="A5:A17" si="0">LEFT(B5, 2)</f>
        <v>F1</v>
      </c>
      <c r="B5" t="s">
        <v>61</v>
      </c>
      <c r="C5" s="36">
        <f>SUMIFS(Capital_Summary!$H$4:$H$83, Capital_Summary!$A$4:$A$83, B5, Capital_Summary!$B$4:$B$83, "FY2026")*-1</f>
        <v>0</v>
      </c>
      <c r="D5" s="36">
        <f>SUMIFS(MultiYear_ProForma!$AF$2:$AF$66, MultiYear_ProForma!$B$2:$B$66, B5, MultiYear_ProForma!$C$2:$C$66, "FY2026")</f>
        <v>-459335.0305249989</v>
      </c>
      <c r="E5" s="36">
        <f>SUMIFS(MultiYear_ProForma!$AF$2:$AF$66, MultiYear_ProForma!$B$2:$B$66, B5, MultiYear_ProForma!$C$2:$C$66, "FY2028")</f>
        <v>-482588.86644532811</v>
      </c>
      <c r="F5" s="36">
        <f>SUMIFS(MultiYear_ProForma!$AF$2:$AF$66, MultiYear_ProForma!$B$2:$B$66, B5, MultiYear_ProForma!$C$2:$C$66, "FY2030")</f>
        <v>-507019.92780912202</v>
      </c>
      <c r="G5" s="3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36">
        <f t="shared" ref="J5:J17" si="1">F5-(VLOOKUP($C$1,$B$5:$G$17,5, 0))</f>
        <v>217760.01096887514</v>
      </c>
      <c r="K5" s="36">
        <f t="shared" ref="K5:K17" si="2">G5-(VLOOKUP($C$1,$B$5:$I$17,6, 0))</f>
        <v>107303.42830778088</v>
      </c>
    </row>
    <row r="6" spans="1:14">
      <c r="A6" s="41" t="str">
        <f t="shared" si="0"/>
        <v>E3</v>
      </c>
      <c r="B6" t="s">
        <v>62</v>
      </c>
      <c r="C6" s="36">
        <f>SUMIFS(Capital_Summary!$H$4:$H$83, Capital_Summary!$A$4:$A$83, B6, Capital_Summary!$B$4:$B$83, "FY2026")*-1</f>
        <v>0</v>
      </c>
      <c r="D6" s="36">
        <f>SUMIFS(MultiYear_ProForma!$AF$2:$AF$66, MultiYear_ProForma!$B$2:$B$66, B6, MultiYear_ProForma!$C$2:$C$66, "FY2030")</f>
        <v>0</v>
      </c>
      <c r="E6" s="36">
        <f>SUMIFS(MultiYear_ProForma!$AF$2:$AF$66, MultiYear_ProForma!$B$2:$B$66, B6, MultiYear_ProForma!$C$2:$C$66, "FY2028")</f>
        <v>0</v>
      </c>
      <c r="F6" s="36">
        <f>SUMIFS(MultiYear_ProForma!$AF$2:$AF$66, MultiYear_ProForma!$B$2:$B$66, B6, MultiYear_ProForma!$C$2:$C$66, "FY2030")</f>
        <v>0</v>
      </c>
      <c r="G6" s="3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36">
        <f t="shared" si="1"/>
        <v>724779.93877799716</v>
      </c>
      <c r="K6" s="36">
        <f t="shared" si="2"/>
        <v>590186.59214258776</v>
      </c>
    </row>
    <row r="7" spans="1:14">
      <c r="A7" s="41" t="str">
        <f t="shared" si="0"/>
        <v>D3</v>
      </c>
      <c r="B7" t="s">
        <v>63</v>
      </c>
      <c r="C7" s="36">
        <f>SUMIFS(Capital_Summary!$H$4:$H$83, Capital_Summary!$A$4:$A$83, B7, Capital_Summary!$B$4:$B$83, "FY2026")*-1</f>
        <v>0</v>
      </c>
      <c r="D7" s="36">
        <f>SUMIFS(MultiYear_ProForma!$AF$2:$AF$66, MultiYear_ProForma!$B$2:$B$66, B7, MultiYear_ProForma!$C$2:$C$66, "FY2030")</f>
        <v>412099.97333725821</v>
      </c>
      <c r="E7" s="36">
        <f>SUMIFS(MultiYear_ProForma!$AF$2:$AF$66, MultiYear_ProForma!$B$2:$B$66, B7, MultiYear_ProForma!$C$2:$C$66, "FY2028")</f>
        <v>389098.13048162591</v>
      </c>
      <c r="F7" s="36">
        <f>SUMIFS(MultiYear_ProForma!$AF$2:$AF$66, MultiYear_ProForma!$B$2:$B$66, B7, MultiYear_ProForma!$C$2:$C$66, "FY2030")</f>
        <v>412099.97333725821</v>
      </c>
      <c r="G7" s="3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36">
        <f t="shared" si="1"/>
        <v>1136879.9121152554</v>
      </c>
      <c r="K7" s="36">
        <f t="shared" si="2"/>
        <v>878294.08633143816</v>
      </c>
    </row>
    <row r="8" spans="1:14">
      <c r="A8" s="41" t="str">
        <f t="shared" si="0"/>
        <v>D1</v>
      </c>
      <c r="B8" t="s">
        <v>64</v>
      </c>
      <c r="C8" s="36">
        <f>SUMIFS(Capital_Summary!$H$4:$H$83, Capital_Summary!$A$4:$A$83, B8, Capital_Summary!$B$4:$B$83, "FY2026")*-1</f>
        <v>-2000000</v>
      </c>
      <c r="D8" s="36">
        <f>SUMIFS(MultiYear_ProForma!$AF$2:$AF$66, MultiYear_ProForma!$B$2:$B$66, B8, MultiYear_ProForma!$C$2:$C$66, "FY2030")</f>
        <v>1170321.9372465415</v>
      </c>
      <c r="E8" s="36">
        <f>SUMIFS(MultiYear_ProForma!$AF$2:$AF$66, MultiYear_ProForma!$B$2:$B$66, B8, MultiYear_ProForma!$C$2:$C$66, "FY2028")</f>
        <v>1104495.5976171717</v>
      </c>
      <c r="F8" s="36">
        <f>SUMIFS(MultiYear_ProForma!$AF$2:$AF$66, MultiYear_ProForma!$B$2:$B$66, B8, MultiYear_ProForma!$C$2:$C$66, "FY2030")</f>
        <v>1170321.9372465415</v>
      </c>
      <c r="G8" s="3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36">
        <f t="shared" si="1"/>
        <v>1895101.8760245387</v>
      </c>
      <c r="K8" s="36">
        <f t="shared" si="2"/>
        <v>1391671.9842642257</v>
      </c>
    </row>
    <row r="9" spans="1:14">
      <c r="A9" s="41" t="str">
        <f t="shared" si="0"/>
        <v>E2</v>
      </c>
      <c r="B9" t="s">
        <v>65</v>
      </c>
      <c r="C9" s="36">
        <f>SUMIFS(Capital_Summary!$H$4:$H$83, Capital_Summary!$A$4:$A$83, B9, Capital_Summary!$B$4:$B$83, "FY2026")*-1</f>
        <v>0</v>
      </c>
      <c r="D9" s="36">
        <f>SUMIFS(MultiYear_ProForma!$AF$2:$AF$66, MultiYear_ProForma!$B$2:$B$66, B9, MultiYear_ProForma!$C$2:$C$66, "FY2030")</f>
        <v>-507019.92780912202</v>
      </c>
      <c r="E9" s="36">
        <f>SUMIFS(MultiYear_ProForma!$AF$2:$AF$66, MultiYear_ProForma!$B$2:$B$66, B9, MultiYear_ProForma!$C$2:$C$66, "FY2028")</f>
        <v>-482588.86644532811</v>
      </c>
      <c r="F9" s="36">
        <f>SUMIFS(MultiYear_ProForma!$AF$2:$AF$66, MultiYear_ProForma!$B$2:$B$66, B9, MultiYear_ProForma!$C$2:$C$66, "FY2030")</f>
        <v>-507019.92780912202</v>
      </c>
      <c r="G9" s="3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36">
        <f t="shared" si="1"/>
        <v>217760.01096887514</v>
      </c>
      <c r="K9" s="36">
        <f t="shared" si="2"/>
        <v>107303.42830778088</v>
      </c>
    </row>
    <row r="10" spans="1:14">
      <c r="A10" s="41" t="str">
        <f t="shared" si="0"/>
        <v>D2</v>
      </c>
      <c r="B10" t="s">
        <v>66</v>
      </c>
      <c r="C10" s="36">
        <f>SUMIFS(Capital_Summary!$H$4:$H$83, Capital_Summary!$A$4:$A$83, B10, Capital_Summary!$B$4:$B$83, "FY2026")*-1</f>
        <v>-800000</v>
      </c>
      <c r="D10" s="36">
        <f>SUMIFS(MultiYear_ProForma!$AF$2:$AF$66, MultiYear_ProForma!$B$2:$B$66, B10, MultiYear_ProForma!$C$2:$C$66, "FY2030")</f>
        <v>890764.95973726455</v>
      </c>
      <c r="E10" s="36">
        <f>SUMIFS(MultiYear_ProForma!$AF$2:$AF$66, MultiYear_ProForma!$B$2:$B$66, B10, MultiYear_ProForma!$C$2:$C$66, "FY2028")</f>
        <v>839981.52027342282</v>
      </c>
      <c r="F10" s="36">
        <f>SUMIFS(MultiYear_ProForma!$AF$2:$AF$66, MultiYear_ProForma!$B$2:$B$66, B10, MultiYear_ProForma!$C$2:$C$66, "FY2030")</f>
        <v>890764.95973726455</v>
      </c>
      <c r="G10" s="3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36">
        <f t="shared" si="1"/>
        <v>1615544.8985152617</v>
      </c>
      <c r="K10" s="36">
        <f t="shared" si="2"/>
        <v>1177610.5582714854</v>
      </c>
    </row>
    <row r="11" spans="1:14">
      <c r="A11" s="41" t="str">
        <f t="shared" si="0"/>
        <v>A2</v>
      </c>
      <c r="B11" t="s">
        <v>5</v>
      </c>
      <c r="C11" s="36">
        <f>SUMIFS(Capital_Summary!$H$4:$H$83, Capital_Summary!$A$4:$A$83, B11, Capital_Summary!$B$4:$B$83, "FY2026")*-1</f>
        <v>-2314479.9999999995</v>
      </c>
      <c r="D11" s="36">
        <f>SUMIFS(MultiYear_ProForma!$AF$2:$AF$66, MultiYear_ProForma!$B$2:$B$66, B11, MultiYear_ProForma!$C$2:$C$66, "FY2030")</f>
        <v>1585320.0287918346</v>
      </c>
      <c r="E11" s="36">
        <f>SUMIFS(MultiYear_ProForma!$AF$2:$AF$66, MultiYear_ProForma!$B$2:$B$66, B11, MultiYear_ProForma!$C$2:$C$66, "FY2028")</f>
        <v>1223701.2431391166</v>
      </c>
      <c r="F11" s="36">
        <f>SUMIFS(MultiYear_ProForma!$AF$2:$AF$66, MultiYear_ProForma!$B$2:$B$66, B11, MultiYear_ProForma!$C$2:$C$66, "FY2030")</f>
        <v>1585320.0287918346</v>
      </c>
      <c r="G11" s="3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36">
        <f t="shared" si="1"/>
        <v>2310099.9675698318</v>
      </c>
      <c r="K11" s="36">
        <f t="shared" si="2"/>
        <v>1803222.5415336157</v>
      </c>
    </row>
    <row r="12" spans="1:14">
      <c r="A12" s="41" t="str">
        <f t="shared" si="0"/>
        <v>A1</v>
      </c>
      <c r="B12" t="s">
        <v>67</v>
      </c>
      <c r="C12" s="36">
        <f>SUMIFS(Capital_Summary!$H$4:$H$83, Capital_Summary!$A$4:$A$83, B12, Capital_Summary!$B$4:$B$83, "FY2026")*-1</f>
        <v>-3114479.9999999995</v>
      </c>
      <c r="D12" s="36">
        <f>SUMIFS(MultiYear_ProForma!$AF$2:$AF$66, MultiYear_ProForma!$B$2:$B$66, B12, MultiYear_ProForma!$C$2:$C$66, "FY2030")</f>
        <v>922909.08791663451</v>
      </c>
      <c r="E12" s="36">
        <f>SUMIFS(MultiYear_ProForma!$AF$2:$AF$66, MultiYear_ProForma!$B$2:$B$66, B12, MultiYear_ProForma!$C$2:$C$66, "FY2028")</f>
        <v>593208.97341852169</v>
      </c>
      <c r="F12" s="36">
        <f>SUMIFS(MultiYear_ProForma!$AF$2:$AF$66, MultiYear_ProForma!$B$2:$B$66, B12, MultiYear_ProForma!$C$2:$C$66, "FY2030")</f>
        <v>922909.08791663451</v>
      </c>
      <c r="G12" s="3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36">
        <f t="shared" si="1"/>
        <v>1647689.0266946317</v>
      </c>
      <c r="K12" s="36">
        <f t="shared" si="2"/>
        <v>1142340.1974729584</v>
      </c>
    </row>
    <row r="13" spans="1:14">
      <c r="A13" s="41" t="str">
        <f t="shared" si="0"/>
        <v>B2</v>
      </c>
      <c r="B13" t="s">
        <v>68</v>
      </c>
      <c r="C13" s="36">
        <f>SUMIFS(Capital_Summary!$H$4:$H$83, Capital_Summary!$A$4:$A$83, B13, Capital_Summary!$B$4:$B$83, "FY2026")*-1</f>
        <v>-800000</v>
      </c>
      <c r="D13" s="36">
        <f>SUMIFS(MultiYear_ProForma!$AF$2:$AF$66, MultiYear_ProForma!$B$2:$B$66, B13, MultiYear_ProForma!$C$2:$C$66, "FY2030")</f>
        <v>302948.49361344334</v>
      </c>
      <c r="E13" s="36">
        <f>SUMIFS(MultiYear_ProForma!$AF$2:$AF$66, MultiYear_ProForma!$B$2:$B$66, B13, MultiYear_ProForma!$C$2:$C$66, "FY2028")</f>
        <v>166608.27487642877</v>
      </c>
      <c r="F13" s="36">
        <f>SUMIFS(MultiYear_ProForma!$AF$2:$AF$66, MultiYear_ProForma!$B$2:$B$66, B13, MultiYear_ProForma!$C$2:$C$66, "FY2030")</f>
        <v>302948.49361344334</v>
      </c>
      <c r="G13" s="3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36">
        <f t="shared" si="1"/>
        <v>1027728.4323914405</v>
      </c>
      <c r="K13" s="36">
        <f t="shared" si="2"/>
        <v>752956.13442885038</v>
      </c>
    </row>
    <row r="14" spans="1:14">
      <c r="A14" s="41" t="str">
        <f t="shared" si="0"/>
        <v>B1</v>
      </c>
      <c r="B14" t="s">
        <v>69</v>
      </c>
      <c r="C14" s="36">
        <f>SUMIFS(Capital_Summary!$H$4:$H$83, Capital_Summary!$A$4:$A$83, B14, Capital_Summary!$B$4:$B$83, "FY2026")*-1</f>
        <v>-1200000</v>
      </c>
      <c r="D14" s="36">
        <f>SUMIFS(MultiYear_ProForma!$AF$2:$AF$66, MultiYear_ProForma!$B$2:$B$66, B14, MultiYear_ProForma!$C$2:$C$66, "FY2030")</f>
        <v>408845.42104159202</v>
      </c>
      <c r="E14" s="36">
        <f>SUMIFS(MultiYear_ProForma!$AF$2:$AF$66, MultiYear_ProForma!$B$2:$B$66, B14, MultiYear_ProForma!$C$2:$C$66, "FY2028")</f>
        <v>265075.52287466824</v>
      </c>
      <c r="F14" s="36">
        <f>SUMIFS(MultiYear_ProForma!$AF$2:$AF$66, MultiYear_ProForma!$B$2:$B$66, B14, MultiYear_ProForma!$C$2:$C$66, "FY2030")</f>
        <v>408845.42104159202</v>
      </c>
      <c r="G14" s="3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36">
        <f t="shared" si="1"/>
        <v>1133625.3598195892</v>
      </c>
      <c r="K14" s="36">
        <f t="shared" si="2"/>
        <v>762630.04232380493</v>
      </c>
    </row>
    <row r="15" spans="1:14">
      <c r="A15" s="41" t="str">
        <f t="shared" si="0"/>
        <v>C2</v>
      </c>
      <c r="B15" t="s">
        <v>70</v>
      </c>
      <c r="C15" s="36">
        <f>SUMIFS(Capital_Summary!$H$4:$H$83, Capital_Summary!$A$4:$A$83, B15, Capital_Summary!$B$4:$B$83, "FY2026")*-1</f>
        <v>-1600000</v>
      </c>
      <c r="D15" s="36">
        <f>SUMIFS(MultiYear_ProForma!$AF$2:$AF$66, MultiYear_ProForma!$B$2:$B$66, B15, MultiYear_ProForma!$C$2:$C$66, "FY2030")</f>
        <v>775351.60736926831</v>
      </c>
      <c r="E15" s="36">
        <f>SUMIFS(MultiYear_ProForma!$AF$2:$AF$66, MultiYear_ProForma!$B$2:$B$66, B15, MultiYear_ProForma!$C$2:$C$66, "FY2028")</f>
        <v>574504.10181736108</v>
      </c>
      <c r="F15" s="36">
        <f>SUMIFS(MultiYear_ProForma!$AF$2:$AF$66, MultiYear_ProForma!$B$2:$B$66, B15, MultiYear_ProForma!$C$2:$C$66, "FY2030")</f>
        <v>775351.60736926831</v>
      </c>
      <c r="G15" s="3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36">
        <f t="shared" si="1"/>
        <v>1500131.5461472655</v>
      </c>
      <c r="K15" s="36">
        <f t="shared" si="2"/>
        <v>1157569.8354125465</v>
      </c>
    </row>
    <row r="16" spans="1:14">
      <c r="A16" s="41" t="str">
        <f t="shared" si="0"/>
        <v>C1</v>
      </c>
      <c r="B16" t="s">
        <v>71</v>
      </c>
      <c r="C16" s="36">
        <f>SUMIFS(Capital_Summary!$H$4:$H$83, Capital_Summary!$A$4:$A$83, B16, Capital_Summary!$B$4:$B$83, "FY2026")*-1</f>
        <v>-2000000</v>
      </c>
      <c r="D16" s="36">
        <f>SUMIFS(MultiYear_ProForma!$AF$2:$AF$66, MultiYear_ProForma!$B$2:$B$66, B16, MultiYear_ProForma!$C$2:$C$66, "FY2030")</f>
        <v>979902.02079820447</v>
      </c>
      <c r="E16" s="36">
        <f>SUMIFS(MultiYear_ProForma!$AF$2:$AF$66, MultiYear_ProForma!$B$2:$B$66, B16, MultiYear_ProForma!$C$2:$C$66, "FY2028")</f>
        <v>766053.57325477712</v>
      </c>
      <c r="F16" s="36">
        <f>SUMIFS(MultiYear_ProForma!$AF$2:$AF$66, MultiYear_ProForma!$B$2:$B$66, B16, MultiYear_ProForma!$C$2:$C$66, "FY2030")</f>
        <v>979902.02079820447</v>
      </c>
      <c r="G16" s="3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36">
        <f t="shared" si="1"/>
        <v>1704681.9595762016</v>
      </c>
      <c r="K16" s="36">
        <f t="shared" si="2"/>
        <v>1231945.4841162139</v>
      </c>
    </row>
    <row r="17" spans="1:11">
      <c r="A17" s="41" t="str">
        <f t="shared" si="0"/>
        <v>E1</v>
      </c>
      <c r="B17" t="s">
        <v>6</v>
      </c>
      <c r="C17" s="36">
        <f>SUMIFS(Capital_Summary!$H$4:$H$83, Capital_Summary!$A$4:$A$83, B17, Capital_Summary!$B$4:$B$83, "FY2026")*-1</f>
        <v>0</v>
      </c>
      <c r="D17" s="36">
        <f>SUMIFS(MultiYear_ProForma!$AF$2:$AF$66, MultiYear_ProForma!$B$2:$B$66, B17, MultiYear_ProForma!$C$2:$C$66, "FY2030")</f>
        <v>-724779.93877799716</v>
      </c>
      <c r="E17" s="36">
        <f>SUMIFS(MultiYear_ProForma!$AF$2:$AF$66, MultiYear_ProForma!$B$2:$B$66, B17, MultiYear_ProForma!$C$2:$C$66, "FY2028")</f>
        <v>-588315.81673877127</v>
      </c>
      <c r="F17" s="36">
        <f>SUMIFS(MultiYear_ProForma!$AF$2:$AF$66, MultiYear_ProForma!$B$2:$B$66, B17, MultiYear_ProForma!$C$2:$C$66, "FY2030")</f>
        <v>-724779.93877799716</v>
      </c>
      <c r="G17" s="3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36">
        <f t="shared" si="1"/>
        <v>0</v>
      </c>
      <c r="K17" s="3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29" activePane="bottomRight" state="frozen"/>
      <selection pane="topRight" activeCell="B1" sqref="B1"/>
      <selection pane="bottomLeft" activeCell="A2" sqref="A2"/>
      <selection pane="bottomRight" activeCell="C34" sqref="C34"/>
    </sheetView>
  </sheetViews>
  <sheetFormatPr defaultRowHeight="14.5"/>
  <cols>
    <col min="2" max="2" width="52.81640625" bestFit="1" customWidth="1"/>
    <col min="3" max="3" width="9.54296875" bestFit="1" customWidth="1"/>
    <col min="4" max="4" width="10.453125" customWidth="1"/>
  </cols>
  <sheetData>
    <row r="1" spans="1:9" ht="17">
      <c r="A1" s="109" t="s">
        <v>420</v>
      </c>
      <c r="B1" s="110"/>
      <c r="C1" s="111" t="s">
        <v>922</v>
      </c>
      <c r="D1" s="111"/>
      <c r="E1" s="111"/>
      <c r="F1" s="110"/>
    </row>
    <row r="3" spans="1:9">
      <c r="A3" t="s">
        <v>421</v>
      </c>
      <c r="C3" t="s">
        <v>422</v>
      </c>
      <c r="E3" t="s">
        <v>136</v>
      </c>
      <c r="I3" t="s">
        <v>423</v>
      </c>
    </row>
    <row r="4" spans="1:9">
      <c r="B4" t="s">
        <v>424</v>
      </c>
      <c r="C4" s="31">
        <v>257</v>
      </c>
      <c r="E4" t="s">
        <v>425</v>
      </c>
    </row>
    <row r="5" spans="1:9">
      <c r="B5" t="s">
        <v>426</v>
      </c>
      <c r="C5" s="31">
        <v>257</v>
      </c>
      <c r="E5" t="s">
        <v>427</v>
      </c>
    </row>
    <row r="6" spans="1:9">
      <c r="B6" t="s">
        <v>428</v>
      </c>
      <c r="C6" s="31">
        <v>296</v>
      </c>
      <c r="E6" t="s">
        <v>429</v>
      </c>
    </row>
    <row r="7" spans="1:9">
      <c r="B7" t="s">
        <v>430</v>
      </c>
      <c r="C7" s="31">
        <v>296</v>
      </c>
      <c r="E7" t="s">
        <v>431</v>
      </c>
    </row>
    <row r="8" spans="1:9">
      <c r="B8" t="s">
        <v>432</v>
      </c>
      <c r="C8" s="31">
        <v>40</v>
      </c>
      <c r="E8" t="s">
        <v>433</v>
      </c>
    </row>
    <row r="10" spans="1:9">
      <c r="B10" t="s">
        <v>434</v>
      </c>
      <c r="C10" s="106">
        <f>IF(C8=40,C4,C5)</f>
        <v>257</v>
      </c>
      <c r="E10" t="s">
        <v>435</v>
      </c>
    </row>
    <row r="11" spans="1:9">
      <c r="B11" t="s">
        <v>436</v>
      </c>
      <c r="C11" s="106">
        <f>IF(C8=40,C6,C7)</f>
        <v>296</v>
      </c>
      <c r="E11" t="s">
        <v>437</v>
      </c>
    </row>
    <row r="13" spans="1:9">
      <c r="A13" t="s">
        <v>438</v>
      </c>
    </row>
    <row r="14" spans="1:9">
      <c r="B14" t="s">
        <v>439</v>
      </c>
      <c r="C14" s="31">
        <v>11589</v>
      </c>
      <c r="E14" t="s">
        <v>440</v>
      </c>
    </row>
    <row r="16" spans="1:9">
      <c r="A16" t="s">
        <v>441</v>
      </c>
    </row>
    <row r="17" spans="1:9">
      <c r="B17" t="s">
        <v>442</v>
      </c>
      <c r="C17" s="31">
        <v>0.15</v>
      </c>
      <c r="E17" t="s">
        <v>443</v>
      </c>
    </row>
    <row r="18" spans="1:9">
      <c r="B18" t="s">
        <v>444</v>
      </c>
      <c r="C18" s="31">
        <v>5013</v>
      </c>
      <c r="E18" t="s">
        <v>445</v>
      </c>
    </row>
    <row r="19" spans="1:9">
      <c r="B19" t="s">
        <v>446</v>
      </c>
      <c r="C19" s="106">
        <f>C17*C18</f>
        <v>751.94999999999993</v>
      </c>
      <c r="E19" t="s">
        <v>447</v>
      </c>
    </row>
    <row r="20" spans="1:9">
      <c r="B20" t="s">
        <v>448</v>
      </c>
      <c r="C20" s="31">
        <v>1</v>
      </c>
      <c r="E20" t="s">
        <v>449</v>
      </c>
    </row>
    <row r="21" spans="1:9">
      <c r="B21" t="s">
        <v>450</v>
      </c>
      <c r="C21" s="31">
        <v>5200</v>
      </c>
      <c r="E21" t="s">
        <v>451</v>
      </c>
      <c r="I21" t="s">
        <v>452</v>
      </c>
    </row>
    <row r="22" spans="1:9">
      <c r="B22" t="s">
        <v>453</v>
      </c>
      <c r="C22" s="31">
        <v>2.5000000000000001E-2</v>
      </c>
      <c r="E22" t="s">
        <v>454</v>
      </c>
    </row>
    <row r="23" spans="1:9">
      <c r="B23" t="s">
        <v>455</v>
      </c>
      <c r="C23" s="31">
        <v>0.6</v>
      </c>
      <c r="E23" t="s">
        <v>456</v>
      </c>
    </row>
    <row r="24" spans="1:9">
      <c r="B24" t="s">
        <v>457</v>
      </c>
      <c r="C24" s="31">
        <v>0.85</v>
      </c>
      <c r="E24" t="s">
        <v>458</v>
      </c>
    </row>
    <row r="26" spans="1:9">
      <c r="A26" s="37" t="s">
        <v>459</v>
      </c>
    </row>
    <row r="28" spans="1:9">
      <c r="B28" t="s">
        <v>460</v>
      </c>
      <c r="C28" s="31">
        <v>0</v>
      </c>
      <c r="E28" t="s">
        <v>461</v>
      </c>
    </row>
    <row r="29" spans="1:9">
      <c r="B29" t="s">
        <v>462</v>
      </c>
      <c r="C29" s="106">
        <f>BaselineCalc!$B$22</f>
        <v>1200000</v>
      </c>
      <c r="E29" t="s">
        <v>463</v>
      </c>
    </row>
    <row r="30" spans="1:9">
      <c r="B30" t="s">
        <v>464</v>
      </c>
      <c r="C30" s="31">
        <v>800000</v>
      </c>
      <c r="E30" t="s">
        <v>465</v>
      </c>
    </row>
    <row r="31" spans="1:9">
      <c r="B31" t="s">
        <v>466</v>
      </c>
      <c r="C31" s="31">
        <v>1200000</v>
      </c>
      <c r="E31" t="s">
        <v>467</v>
      </c>
    </row>
    <row r="32" spans="1:9">
      <c r="B32" t="s">
        <v>468</v>
      </c>
      <c r="C32" s="31">
        <v>0</v>
      </c>
      <c r="E32" t="s">
        <v>469</v>
      </c>
    </row>
    <row r="33" spans="2:5">
      <c r="B33" t="s">
        <v>470</v>
      </c>
      <c r="C33" s="31">
        <v>800000</v>
      </c>
      <c r="E33" t="s">
        <v>471</v>
      </c>
    </row>
    <row r="34" spans="2:5">
      <c r="B34" t="s">
        <v>472</v>
      </c>
      <c r="C34" s="31">
        <v>12000</v>
      </c>
      <c r="E34" t="s">
        <v>473</v>
      </c>
    </row>
    <row r="35" spans="2:5">
      <c r="B35" t="s">
        <v>474</v>
      </c>
      <c r="C35" s="31">
        <v>300</v>
      </c>
      <c r="E35" t="s">
        <v>475</v>
      </c>
    </row>
    <row r="36" spans="2:5">
      <c r="B36" t="s">
        <v>476</v>
      </c>
      <c r="C36" s="31">
        <v>100</v>
      </c>
      <c r="E36" t="s">
        <v>477</v>
      </c>
    </row>
    <row r="38" spans="2:5">
      <c r="B38" t="s">
        <v>478</v>
      </c>
      <c r="C38" s="31">
        <v>0.7</v>
      </c>
      <c r="E38" t="s">
        <v>479</v>
      </c>
    </row>
    <row r="39" spans="2:5">
      <c r="B39" t="s">
        <v>480</v>
      </c>
      <c r="C39" s="31">
        <v>0.3</v>
      </c>
    </row>
    <row r="40" spans="2:5">
      <c r="B40" t="s">
        <v>481</v>
      </c>
      <c r="C40" s="31">
        <v>1</v>
      </c>
    </row>
    <row r="41" spans="2:5">
      <c r="B41" t="s">
        <v>482</v>
      </c>
      <c r="C41" s="31">
        <v>0</v>
      </c>
    </row>
    <row r="43" spans="2:5">
      <c r="B43" t="s">
        <v>483</v>
      </c>
      <c r="C43" s="31">
        <v>0.6</v>
      </c>
      <c r="E43" t="s">
        <v>484</v>
      </c>
    </row>
    <row r="44" spans="2:5">
      <c r="B44" t="s">
        <v>485</v>
      </c>
      <c r="C44" s="31">
        <v>-0.02</v>
      </c>
      <c r="E44" t="s">
        <v>486</v>
      </c>
    </row>
    <row r="45" spans="2:5">
      <c r="B45" t="s">
        <v>487</v>
      </c>
      <c r="C45" s="31">
        <v>-0.02</v>
      </c>
      <c r="E45" t="s">
        <v>486</v>
      </c>
    </row>
    <row r="47" spans="2:5">
      <c r="B47" t="s">
        <v>488</v>
      </c>
      <c r="C47" s="31">
        <v>0.2</v>
      </c>
      <c r="E47" t="s">
        <v>489</v>
      </c>
    </row>
    <row r="49" spans="2:5">
      <c r="B49" t="s">
        <v>490</v>
      </c>
      <c r="C49" s="31">
        <v>0.85</v>
      </c>
      <c r="E49" t="s">
        <v>491</v>
      </c>
    </row>
  </sheetData>
  <mergeCells count="1">
    <mergeCell ref="C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0"/>
  <sheetViews>
    <sheetView topLeftCell="A36" zoomScale="70" zoomScaleNormal="70" workbookViewId="0">
      <pane xSplit="1" topLeftCell="B1" activePane="topRight" state="frozen"/>
      <selection pane="topRight" activeCell="A50" sqref="A50:F50"/>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00" t="s">
        <v>73</v>
      </c>
      <c r="B1" s="101"/>
      <c r="C1" s="101"/>
      <c r="D1" s="101"/>
      <c r="E1" s="101"/>
      <c r="F1" s="101"/>
    </row>
    <row r="2" spans="1:7" ht="14.5">
      <c r="A2" s="65" t="s">
        <v>74</v>
      </c>
      <c r="B2" s="65" t="s">
        <v>75</v>
      </c>
      <c r="C2" s="65" t="s">
        <v>76</v>
      </c>
      <c r="D2" s="65" t="s">
        <v>77</v>
      </c>
      <c r="E2" s="65" t="s">
        <v>78</v>
      </c>
      <c r="F2" s="65" t="s">
        <v>79</v>
      </c>
      <c r="G2" s="87"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00" t="s">
        <v>131</v>
      </c>
      <c r="B12" s="101"/>
      <c r="C12" s="101"/>
      <c r="D12" s="101"/>
      <c r="E12" s="101"/>
      <c r="F12" s="101"/>
    </row>
    <row r="13" spans="1:7">
      <c r="A13" s="65" t="s">
        <v>132</v>
      </c>
      <c r="B13" s="65" t="s">
        <v>133</v>
      </c>
      <c r="C13" s="65" t="s">
        <v>134</v>
      </c>
      <c r="D13" s="65" t="s">
        <v>135</v>
      </c>
      <c r="E13" s="65" t="s">
        <v>136</v>
      </c>
      <c r="F13" s="65"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88" t="s">
        <v>207</v>
      </c>
      <c r="B29" s="88" t="s">
        <v>208</v>
      </c>
      <c r="C29" s="88" t="s">
        <v>209</v>
      </c>
      <c r="D29" s="88" t="s">
        <v>210</v>
      </c>
      <c r="E29" s="88" t="s">
        <v>211</v>
      </c>
      <c r="F29" s="88"/>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00" t="s">
        <v>934</v>
      </c>
      <c r="B35" s="101"/>
      <c r="C35" s="101"/>
      <c r="D35" s="101"/>
      <c r="E35" s="101"/>
      <c r="F35" s="101"/>
    </row>
    <row r="36" spans="1:6">
      <c r="A36" s="65" t="s">
        <v>230</v>
      </c>
      <c r="B36" s="65" t="s">
        <v>231</v>
      </c>
      <c r="C36" s="65" t="s">
        <v>232</v>
      </c>
      <c r="D36" s="65" t="s">
        <v>233</v>
      </c>
      <c r="E36" s="65" t="s">
        <v>136</v>
      </c>
      <c r="F36" s="65" t="s">
        <v>78</v>
      </c>
    </row>
    <row r="37" spans="1:6">
      <c r="A37" s="7" t="s">
        <v>234</v>
      </c>
      <c r="B37" s="7" t="s">
        <v>235</v>
      </c>
      <c r="C37" s="7" t="s">
        <v>236</v>
      </c>
      <c r="D37" s="7" t="s">
        <v>237</v>
      </c>
      <c r="F37" s="7" t="s">
        <v>238</v>
      </c>
    </row>
    <row r="38" spans="1:6">
      <c r="A38" s="101" t="s">
        <v>239</v>
      </c>
      <c r="B38" s="101" t="s">
        <v>240</v>
      </c>
      <c r="C38" s="101" t="s">
        <v>241</v>
      </c>
      <c r="D38" s="101" t="s">
        <v>242</v>
      </c>
      <c r="E38" s="101" t="s">
        <v>243</v>
      </c>
      <c r="F38" s="101"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00" t="s">
        <v>259</v>
      </c>
      <c r="B43" s="101"/>
      <c r="C43" s="101"/>
      <c r="D43" s="101"/>
      <c r="E43" s="101"/>
      <c r="F43" s="101"/>
    </row>
    <row r="44" spans="1:6">
      <c r="A44" s="65" t="s">
        <v>260</v>
      </c>
      <c r="B44" s="65" t="s">
        <v>261</v>
      </c>
      <c r="C44" s="65" t="s">
        <v>262</v>
      </c>
      <c r="D44" s="65" t="s">
        <v>79</v>
      </c>
      <c r="E44" s="65" t="s">
        <v>263</v>
      </c>
      <c r="F44" s="65" t="s">
        <v>264</v>
      </c>
    </row>
    <row r="45" spans="1:6">
      <c r="A45" s="7" t="s">
        <v>265</v>
      </c>
      <c r="B45" s="7" t="s">
        <v>266</v>
      </c>
      <c r="C45" s="7" t="s">
        <v>267</v>
      </c>
      <c r="D45" s="7" t="s">
        <v>129</v>
      </c>
    </row>
    <row r="46" spans="1:6">
      <c r="A46" s="7" t="s">
        <v>268</v>
      </c>
      <c r="B46" s="7" t="s">
        <v>266</v>
      </c>
      <c r="C46" s="7" t="s">
        <v>267</v>
      </c>
      <c r="D46" s="7" t="s">
        <v>129</v>
      </c>
    </row>
    <row r="47" spans="1:6">
      <c r="A47" s="7" t="s">
        <v>269</v>
      </c>
      <c r="B47" s="7" t="s">
        <v>266</v>
      </c>
      <c r="C47" s="7" t="s">
        <v>270</v>
      </c>
      <c r="D47" s="7" t="s">
        <v>123</v>
      </c>
    </row>
    <row r="48" spans="1:6">
      <c r="A48" s="7" t="s">
        <v>271</v>
      </c>
      <c r="B48" s="7" t="s">
        <v>272</v>
      </c>
      <c r="C48" s="7" t="s">
        <v>273</v>
      </c>
      <c r="D48" s="7" t="s">
        <v>274</v>
      </c>
    </row>
    <row r="50" spans="1:6">
      <c r="A50" s="100" t="s">
        <v>932</v>
      </c>
      <c r="B50" s="101"/>
      <c r="C50" s="101"/>
      <c r="D50" s="101"/>
      <c r="E50" s="101"/>
      <c r="F50" s="101"/>
    </row>
    <row r="51" spans="1:6">
      <c r="A51" s="65" t="s">
        <v>729</v>
      </c>
      <c r="B51" s="65" t="s">
        <v>0</v>
      </c>
      <c r="C51" s="65" t="s">
        <v>933</v>
      </c>
    </row>
    <row r="52" spans="1:6" ht="182">
      <c r="A52" s="25" t="s">
        <v>275</v>
      </c>
      <c r="B52" s="25" t="s">
        <v>276</v>
      </c>
      <c r="C52" s="25" t="s">
        <v>277</v>
      </c>
      <c r="D52" s="25"/>
      <c r="E52" s="25"/>
    </row>
    <row r="53" spans="1:6" ht="156">
      <c r="A53" s="25" t="s">
        <v>278</v>
      </c>
      <c r="B53" s="25" t="s">
        <v>279</v>
      </c>
      <c r="C53" s="25" t="s">
        <v>280</v>
      </c>
      <c r="D53" s="25"/>
      <c r="E53" s="25"/>
    </row>
    <row r="54" spans="1:6" ht="169">
      <c r="A54" s="25" t="s">
        <v>281</v>
      </c>
      <c r="B54" s="25" t="s">
        <v>282</v>
      </c>
      <c r="C54" s="25" t="s">
        <v>951</v>
      </c>
      <c r="D54" s="25"/>
    </row>
    <row r="55" spans="1:6" ht="104">
      <c r="A55" s="25" t="s">
        <v>285</v>
      </c>
      <c r="B55" s="25" t="s">
        <v>286</v>
      </c>
      <c r="C55" s="25" t="s">
        <v>935</v>
      </c>
      <c r="D55" s="25"/>
    </row>
    <row r="56" spans="1:6" ht="78" customHeight="1">
      <c r="A56" s="25" t="s">
        <v>289</v>
      </c>
      <c r="B56" s="25" t="s">
        <v>286</v>
      </c>
      <c r="C56" s="25" t="s">
        <v>290</v>
      </c>
      <c r="D56" s="25"/>
    </row>
    <row r="57" spans="1:6" ht="104">
      <c r="A57" s="25" t="s">
        <v>292</v>
      </c>
      <c r="B57" s="25" t="s">
        <v>293</v>
      </c>
      <c r="C57" s="25" t="s">
        <v>295</v>
      </c>
      <c r="D57" s="26" t="s">
        <v>294</v>
      </c>
      <c r="E57" s="26"/>
    </row>
    <row r="58" spans="1:6" ht="130.5">
      <c r="A58" s="119" t="s">
        <v>936</v>
      </c>
      <c r="B58" s="119" t="s">
        <v>297</v>
      </c>
      <c r="C58" s="25" t="s">
        <v>950</v>
      </c>
      <c r="D58" s="120" t="s">
        <v>298</v>
      </c>
      <c r="E58" s="23"/>
    </row>
    <row r="59" spans="1:6" ht="26">
      <c r="A59" s="25" t="s">
        <v>300</v>
      </c>
      <c r="B59" s="25" t="s">
        <v>949</v>
      </c>
      <c r="C59" s="25" t="s">
        <v>302</v>
      </c>
      <c r="D59" s="25"/>
    </row>
    <row r="60" spans="1:6" ht="91">
      <c r="A60" s="25" t="s">
        <v>207</v>
      </c>
      <c r="B60" s="25" t="s">
        <v>303</v>
      </c>
      <c r="C60" s="25" t="s">
        <v>939</v>
      </c>
      <c r="D60" s="25"/>
    </row>
    <row r="61" spans="1:6" ht="65" customHeight="1">
      <c r="A61" s="25" t="s">
        <v>948</v>
      </c>
      <c r="B61" s="25" t="s">
        <v>307</v>
      </c>
      <c r="C61" s="25" t="s">
        <v>947</v>
      </c>
      <c r="D61" s="26" t="s">
        <v>308</v>
      </c>
      <c r="E61" s="26"/>
    </row>
    <row r="62" spans="1:6" ht="104">
      <c r="A62" s="25" t="s">
        <v>310</v>
      </c>
      <c r="B62" s="25" t="s">
        <v>311</v>
      </c>
      <c r="C62" s="25" t="s">
        <v>938</v>
      </c>
      <c r="D62" s="25"/>
    </row>
    <row r="63" spans="1:6" ht="39" customHeight="1">
      <c r="A63" s="25" t="s">
        <v>314</v>
      </c>
      <c r="B63" s="25" t="s">
        <v>946</v>
      </c>
      <c r="C63" s="25" t="s">
        <v>317</v>
      </c>
      <c r="D63" s="26" t="s">
        <v>940</v>
      </c>
      <c r="E63" s="26"/>
    </row>
    <row r="64" spans="1:6" ht="39" customHeight="1">
      <c r="A64" s="25" t="s">
        <v>318</v>
      </c>
      <c r="B64" s="25" t="s">
        <v>319</v>
      </c>
      <c r="C64" s="25" t="s">
        <v>320</v>
      </c>
      <c r="D64" s="25"/>
    </row>
    <row r="65" spans="1:5" ht="130">
      <c r="A65" s="25" t="s">
        <v>322</v>
      </c>
      <c r="B65" s="25" t="s">
        <v>941</v>
      </c>
      <c r="C65" s="25" t="s">
        <v>942</v>
      </c>
      <c r="D65" s="25"/>
    </row>
    <row r="66" spans="1:5" ht="52" customHeight="1">
      <c r="A66" s="25" t="s">
        <v>326</v>
      </c>
      <c r="B66" s="25" t="s">
        <v>943</v>
      </c>
      <c r="C66" s="25"/>
      <c r="D66" s="25"/>
    </row>
    <row r="67" spans="1:5" ht="65">
      <c r="A67" s="25" t="s">
        <v>328</v>
      </c>
      <c r="B67" s="25" t="s">
        <v>944</v>
      </c>
      <c r="C67" s="25"/>
      <c r="D67" s="25"/>
    </row>
    <row r="68" spans="1:5" ht="52">
      <c r="A68" s="25" t="s">
        <v>334</v>
      </c>
      <c r="B68" s="25" t="s">
        <v>335</v>
      </c>
      <c r="C68" s="25" t="s">
        <v>937</v>
      </c>
      <c r="D68" s="25"/>
    </row>
    <row r="69" spans="1:5" ht="52">
      <c r="A69" s="25" t="s">
        <v>338</v>
      </c>
      <c r="B69" s="25" t="s">
        <v>339</v>
      </c>
      <c r="C69" s="25" t="s">
        <v>945</v>
      </c>
      <c r="D69" s="26" t="s">
        <v>340</v>
      </c>
      <c r="E69" s="26"/>
    </row>
    <row r="70" spans="1:5" ht="65">
      <c r="A70" s="25" t="s">
        <v>342</v>
      </c>
      <c r="B70" s="25" t="s">
        <v>343</v>
      </c>
      <c r="C70" s="25" t="s">
        <v>345</v>
      </c>
      <c r="D70" s="26" t="s">
        <v>344</v>
      </c>
      <c r="E70" s="26"/>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11" activePane="bottomRight" state="frozen"/>
      <selection pane="topRight" activeCell="C1" sqref="C1"/>
      <selection pane="bottomLeft" activeCell="A2" sqref="A2"/>
      <selection pane="bottomRight" activeCell="B17" sqref="B17"/>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08" t="s">
        <v>922</v>
      </c>
      <c r="D1" s="108"/>
      <c r="E1" s="108"/>
      <c r="F1" s="108"/>
      <c r="G1" s="108"/>
    </row>
    <row r="2" spans="1:18" ht="58">
      <c r="A2" s="1" t="s">
        <v>346</v>
      </c>
      <c r="B2" s="1" t="s">
        <v>347</v>
      </c>
      <c r="C2" s="105" t="s">
        <v>916</v>
      </c>
      <c r="D2" s="105" t="s">
        <v>917</v>
      </c>
      <c r="E2" s="105" t="s">
        <v>918</v>
      </c>
      <c r="F2" s="105" t="s">
        <v>919</v>
      </c>
      <c r="G2" s="105" t="s">
        <v>920</v>
      </c>
      <c r="H2" s="1" t="s">
        <v>136</v>
      </c>
      <c r="I2" t="s">
        <v>351</v>
      </c>
      <c r="J2" t="s">
        <v>352</v>
      </c>
      <c r="K2" t="s">
        <v>353</v>
      </c>
      <c r="L2" t="s">
        <v>354</v>
      </c>
      <c r="M2" t="s">
        <v>355</v>
      </c>
      <c r="N2" t="s">
        <v>356</v>
      </c>
      <c r="O2" t="s">
        <v>357</v>
      </c>
      <c r="P2" t="s">
        <v>358</v>
      </c>
      <c r="Q2" t="s">
        <v>359</v>
      </c>
      <c r="R2" t="s">
        <v>360</v>
      </c>
    </row>
    <row r="3" spans="1:18">
      <c r="A3" s="106" t="s">
        <v>61</v>
      </c>
      <c r="B3" s="107" t="s">
        <v>534</v>
      </c>
      <c r="C3" s="31">
        <v>0</v>
      </c>
      <c r="D3" s="31">
        <v>0</v>
      </c>
      <c r="E3" s="31">
        <v>0</v>
      </c>
      <c r="F3" s="31">
        <v>0.5</v>
      </c>
      <c r="G3" s="31">
        <v>0</v>
      </c>
      <c r="H3" t="s">
        <v>361</v>
      </c>
      <c r="I3" s="11">
        <f t="shared" ref="I3:I15" si="0">C3/3</f>
        <v>0</v>
      </c>
      <c r="J3" s="11">
        <f t="shared" ref="J3:J15" si="1">I3+C3/3</f>
        <v>0</v>
      </c>
      <c r="K3" s="11">
        <f t="shared" ref="K3:K15" si="2">J3+C3/3</f>
        <v>0</v>
      </c>
      <c r="L3" s="11">
        <f t="shared" ref="L3:L15" si="3">C3</f>
        <v>0</v>
      </c>
      <c r="M3" s="11">
        <f t="shared" ref="M3:M15" si="4">C3</f>
        <v>0</v>
      </c>
      <c r="O3" t="s">
        <v>362</v>
      </c>
      <c r="P3" t="s">
        <v>362</v>
      </c>
      <c r="Q3">
        <v>0</v>
      </c>
      <c r="R3">
        <v>0</v>
      </c>
    </row>
    <row r="4" spans="1:18">
      <c r="A4" s="106" t="s">
        <v>363</v>
      </c>
      <c r="B4" s="107" t="s">
        <v>536</v>
      </c>
      <c r="C4" s="31">
        <v>75</v>
      </c>
      <c r="D4" s="31">
        <v>0</v>
      </c>
      <c r="E4" s="31">
        <v>0</v>
      </c>
      <c r="F4" s="31">
        <v>0.5</v>
      </c>
      <c r="G4" s="31">
        <v>0</v>
      </c>
      <c r="H4" t="s">
        <v>364</v>
      </c>
      <c r="I4" s="11">
        <f t="shared" si="0"/>
        <v>25</v>
      </c>
      <c r="J4" s="11">
        <f t="shared" si="1"/>
        <v>50</v>
      </c>
      <c r="K4" s="11">
        <f t="shared" si="2"/>
        <v>75</v>
      </c>
      <c r="L4" s="11">
        <f t="shared" si="3"/>
        <v>75</v>
      </c>
      <c r="M4" s="11">
        <f t="shared" si="4"/>
        <v>75</v>
      </c>
      <c r="O4" t="s">
        <v>362</v>
      </c>
      <c r="P4" t="s">
        <v>362</v>
      </c>
      <c r="Q4">
        <v>0</v>
      </c>
      <c r="R4">
        <v>0</v>
      </c>
    </row>
    <row r="5" spans="1:18" ht="29">
      <c r="A5" s="106" t="s">
        <v>63</v>
      </c>
      <c r="B5" s="107" t="s">
        <v>539</v>
      </c>
      <c r="C5" s="31">
        <v>50</v>
      </c>
      <c r="D5" s="31">
        <v>0</v>
      </c>
      <c r="E5" s="31">
        <v>0</v>
      </c>
      <c r="F5" s="31">
        <v>0.5</v>
      </c>
      <c r="G5" s="31">
        <v>0.05</v>
      </c>
      <c r="H5" t="s">
        <v>921</v>
      </c>
      <c r="I5" s="11">
        <f t="shared" si="0"/>
        <v>16.666666666666668</v>
      </c>
      <c r="J5" s="11">
        <f t="shared" si="1"/>
        <v>33.333333333333336</v>
      </c>
      <c r="K5" s="11">
        <f t="shared" si="2"/>
        <v>50</v>
      </c>
      <c r="L5" s="11">
        <f t="shared" si="3"/>
        <v>50</v>
      </c>
      <c r="M5" s="11">
        <f t="shared" si="4"/>
        <v>50</v>
      </c>
      <c r="O5" t="s">
        <v>362</v>
      </c>
      <c r="P5" t="s">
        <v>362</v>
      </c>
      <c r="Q5">
        <v>0</v>
      </c>
      <c r="R5">
        <v>0</v>
      </c>
    </row>
    <row r="6" spans="1:18" ht="29">
      <c r="A6" s="106" t="s">
        <v>64</v>
      </c>
      <c r="B6" s="107" t="s">
        <v>542</v>
      </c>
      <c r="C6" s="31">
        <v>150</v>
      </c>
      <c r="D6" s="31">
        <v>0</v>
      </c>
      <c r="E6" s="31">
        <v>0</v>
      </c>
      <c r="F6" s="31">
        <v>0.5</v>
      </c>
      <c r="G6" s="31">
        <v>0</v>
      </c>
      <c r="H6" t="s">
        <v>915</v>
      </c>
      <c r="I6" s="11">
        <f t="shared" si="0"/>
        <v>50</v>
      </c>
      <c r="J6" s="11">
        <f t="shared" si="1"/>
        <v>100</v>
      </c>
      <c r="K6" s="11">
        <f t="shared" si="2"/>
        <v>150</v>
      </c>
      <c r="L6" s="11">
        <f t="shared" si="3"/>
        <v>150</v>
      </c>
      <c r="M6" s="11">
        <f t="shared" si="4"/>
        <v>150</v>
      </c>
      <c r="O6" t="s">
        <v>365</v>
      </c>
      <c r="P6" t="s">
        <v>366</v>
      </c>
      <c r="Q6">
        <v>0</v>
      </c>
      <c r="R6">
        <v>0</v>
      </c>
    </row>
    <row r="7" spans="1:18">
      <c r="A7" s="106" t="s">
        <v>65</v>
      </c>
      <c r="B7" s="107" t="s">
        <v>545</v>
      </c>
      <c r="C7" s="31">
        <v>0</v>
      </c>
      <c r="D7" s="31">
        <v>0</v>
      </c>
      <c r="E7" s="31">
        <v>0</v>
      </c>
      <c r="F7" s="31">
        <v>0.5</v>
      </c>
      <c r="G7" s="31">
        <v>0</v>
      </c>
      <c r="H7" t="s">
        <v>913</v>
      </c>
      <c r="I7" s="11">
        <f t="shared" si="0"/>
        <v>0</v>
      </c>
      <c r="J7" s="11">
        <f t="shared" si="1"/>
        <v>0</v>
      </c>
      <c r="K7" s="11">
        <f t="shared" si="2"/>
        <v>0</v>
      </c>
      <c r="L7" s="11">
        <f t="shared" si="3"/>
        <v>0</v>
      </c>
      <c r="M7" s="11">
        <f t="shared" si="4"/>
        <v>0</v>
      </c>
      <c r="O7" t="s">
        <v>362</v>
      </c>
      <c r="P7" t="s">
        <v>362</v>
      </c>
      <c r="Q7">
        <v>0</v>
      </c>
      <c r="R7">
        <v>0</v>
      </c>
    </row>
    <row r="8" spans="1:18" ht="29">
      <c r="A8" s="106" t="s">
        <v>66</v>
      </c>
      <c r="B8" s="107" t="s">
        <v>548</v>
      </c>
      <c r="C8" s="31">
        <v>125</v>
      </c>
      <c r="D8" s="31">
        <v>0</v>
      </c>
      <c r="E8" s="31">
        <v>0</v>
      </c>
      <c r="F8" s="31">
        <v>0.7</v>
      </c>
      <c r="G8" s="31">
        <v>0</v>
      </c>
      <c r="H8" t="s">
        <v>914</v>
      </c>
      <c r="I8" s="11">
        <f t="shared" si="0"/>
        <v>41.666666666666664</v>
      </c>
      <c r="J8" s="11">
        <f t="shared" si="1"/>
        <v>83.333333333333329</v>
      </c>
      <c r="K8" s="11">
        <f t="shared" si="2"/>
        <v>125</v>
      </c>
      <c r="L8" s="11">
        <f t="shared" si="3"/>
        <v>125</v>
      </c>
      <c r="M8" s="11">
        <f t="shared" si="4"/>
        <v>125</v>
      </c>
      <c r="O8" t="s">
        <v>366</v>
      </c>
      <c r="P8" t="s">
        <v>362</v>
      </c>
      <c r="Q8">
        <v>0</v>
      </c>
      <c r="R8">
        <v>0</v>
      </c>
    </row>
    <row r="9" spans="1:18" ht="29">
      <c r="A9" s="106" t="s">
        <v>5</v>
      </c>
      <c r="B9" s="107" t="s">
        <v>551</v>
      </c>
      <c r="C9" s="31">
        <v>0</v>
      </c>
      <c r="D9" s="31">
        <v>1</v>
      </c>
      <c r="E9" s="31">
        <v>1</v>
      </c>
      <c r="F9" s="31">
        <v>0.5</v>
      </c>
      <c r="G9" s="31">
        <v>0</v>
      </c>
      <c r="H9" t="s">
        <v>367</v>
      </c>
      <c r="I9" s="11">
        <f t="shared" si="0"/>
        <v>0</v>
      </c>
      <c r="J9" s="11">
        <f t="shared" si="1"/>
        <v>0</v>
      </c>
      <c r="K9" s="11">
        <f t="shared" si="2"/>
        <v>0</v>
      </c>
      <c r="L9" s="11">
        <f t="shared" si="3"/>
        <v>0</v>
      </c>
      <c r="M9" s="11">
        <f t="shared" si="4"/>
        <v>0</v>
      </c>
      <c r="N9" t="s">
        <v>368</v>
      </c>
      <c r="O9" t="s">
        <v>362</v>
      </c>
      <c r="P9" t="s">
        <v>362</v>
      </c>
      <c r="Q9">
        <v>0</v>
      </c>
      <c r="R9">
        <v>0</v>
      </c>
    </row>
    <row r="10" spans="1:18" ht="43.5">
      <c r="A10" s="106" t="s">
        <v>67</v>
      </c>
      <c r="B10" s="107" t="s">
        <v>554</v>
      </c>
      <c r="C10" s="31">
        <v>0</v>
      </c>
      <c r="D10" s="31">
        <v>1</v>
      </c>
      <c r="E10" s="31">
        <v>1</v>
      </c>
      <c r="F10" s="31">
        <v>0.5</v>
      </c>
      <c r="G10" s="31">
        <v>0</v>
      </c>
      <c r="H10" t="s">
        <v>369</v>
      </c>
      <c r="I10" s="11">
        <f t="shared" si="0"/>
        <v>0</v>
      </c>
      <c r="J10" s="11">
        <f t="shared" si="1"/>
        <v>0</v>
      </c>
      <c r="K10" s="11">
        <f t="shared" si="2"/>
        <v>0</v>
      </c>
      <c r="L10" s="11">
        <f t="shared" si="3"/>
        <v>0</v>
      </c>
      <c r="M10" s="11">
        <f t="shared" si="4"/>
        <v>0</v>
      </c>
      <c r="N10" t="s">
        <v>370</v>
      </c>
      <c r="O10" t="s">
        <v>362</v>
      </c>
      <c r="P10" t="s">
        <v>362</v>
      </c>
      <c r="Q10">
        <v>0</v>
      </c>
      <c r="R10">
        <v>0</v>
      </c>
    </row>
    <row r="11" spans="1:18">
      <c r="A11" s="106" t="s">
        <v>68</v>
      </c>
      <c r="B11" s="107" t="s">
        <v>557</v>
      </c>
      <c r="C11" s="31">
        <v>0</v>
      </c>
      <c r="D11" s="31">
        <v>1</v>
      </c>
      <c r="E11" s="31">
        <v>0</v>
      </c>
      <c r="F11" s="31">
        <v>0</v>
      </c>
      <c r="G11" s="31">
        <v>0</v>
      </c>
      <c r="H11" t="s">
        <v>371</v>
      </c>
      <c r="I11" s="11">
        <f t="shared" si="0"/>
        <v>0</v>
      </c>
      <c r="J11" s="11">
        <f t="shared" si="1"/>
        <v>0</v>
      </c>
      <c r="K11" s="11">
        <f t="shared" si="2"/>
        <v>0</v>
      </c>
      <c r="L11" s="11">
        <f t="shared" si="3"/>
        <v>0</v>
      </c>
      <c r="M11" s="11">
        <f t="shared" si="4"/>
        <v>0</v>
      </c>
      <c r="N11" t="s">
        <v>368</v>
      </c>
      <c r="O11" t="s">
        <v>362</v>
      </c>
      <c r="P11" t="s">
        <v>362</v>
      </c>
      <c r="Q11">
        <v>0</v>
      </c>
      <c r="R11">
        <v>0</v>
      </c>
    </row>
    <row r="12" spans="1:18">
      <c r="A12" s="106" t="s">
        <v>69</v>
      </c>
      <c r="B12" s="107" t="s">
        <v>559</v>
      </c>
      <c r="C12" s="31">
        <v>37</v>
      </c>
      <c r="D12" s="31">
        <v>1</v>
      </c>
      <c r="E12" s="31">
        <v>0</v>
      </c>
      <c r="F12" s="31">
        <v>0</v>
      </c>
      <c r="G12" s="31">
        <v>0</v>
      </c>
      <c r="H12" t="s">
        <v>372</v>
      </c>
      <c r="I12" s="11">
        <f t="shared" si="0"/>
        <v>12.333333333333334</v>
      </c>
      <c r="J12" s="11">
        <f t="shared" si="1"/>
        <v>24.666666666666668</v>
      </c>
      <c r="K12" s="11">
        <f t="shared" si="2"/>
        <v>37</v>
      </c>
      <c r="L12" s="11">
        <f t="shared" si="3"/>
        <v>37</v>
      </c>
      <c r="M12" s="11">
        <f t="shared" si="4"/>
        <v>37</v>
      </c>
      <c r="N12" t="s">
        <v>370</v>
      </c>
      <c r="O12" t="s">
        <v>362</v>
      </c>
      <c r="P12" t="s">
        <v>362</v>
      </c>
      <c r="Q12">
        <v>0</v>
      </c>
      <c r="R12">
        <v>0</v>
      </c>
    </row>
    <row r="13" spans="1:18">
      <c r="A13" s="106" t="s">
        <v>70</v>
      </c>
      <c r="B13" s="107" t="s">
        <v>561</v>
      </c>
      <c r="C13" s="31">
        <v>0</v>
      </c>
      <c r="D13" s="31">
        <v>0</v>
      </c>
      <c r="E13" s="31">
        <v>1</v>
      </c>
      <c r="F13" s="31">
        <v>1</v>
      </c>
      <c r="G13" s="31">
        <v>0</v>
      </c>
      <c r="H13" t="s">
        <v>373</v>
      </c>
      <c r="I13" s="11">
        <f t="shared" si="0"/>
        <v>0</v>
      </c>
      <c r="J13" s="11">
        <f t="shared" si="1"/>
        <v>0</v>
      </c>
      <c r="K13" s="11">
        <f t="shared" si="2"/>
        <v>0</v>
      </c>
      <c r="L13" s="11">
        <f t="shared" si="3"/>
        <v>0</v>
      </c>
      <c r="M13" s="11">
        <f t="shared" si="4"/>
        <v>0</v>
      </c>
      <c r="N13" t="s">
        <v>368</v>
      </c>
      <c r="O13" t="s">
        <v>366</v>
      </c>
      <c r="P13" t="s">
        <v>362</v>
      </c>
      <c r="Q13">
        <v>0</v>
      </c>
      <c r="R13">
        <v>0</v>
      </c>
    </row>
    <row r="14" spans="1:18">
      <c r="A14" s="106" t="s">
        <v>71</v>
      </c>
      <c r="B14" s="107" t="s">
        <v>563</v>
      </c>
      <c r="C14" s="31">
        <v>50</v>
      </c>
      <c r="D14" s="31">
        <v>0</v>
      </c>
      <c r="E14" s="31">
        <v>1</v>
      </c>
      <c r="F14" s="31">
        <v>1</v>
      </c>
      <c r="G14" s="31">
        <v>0</v>
      </c>
      <c r="H14" t="s">
        <v>374</v>
      </c>
      <c r="I14" s="11">
        <f t="shared" si="0"/>
        <v>16.666666666666668</v>
      </c>
      <c r="J14" s="11">
        <f t="shared" si="1"/>
        <v>33.333333333333336</v>
      </c>
      <c r="K14" s="11">
        <f t="shared" si="2"/>
        <v>50</v>
      </c>
      <c r="L14" s="11">
        <f t="shared" si="3"/>
        <v>50</v>
      </c>
      <c r="M14" s="11">
        <f t="shared" si="4"/>
        <v>50</v>
      </c>
      <c r="N14" t="s">
        <v>370</v>
      </c>
      <c r="O14" t="s">
        <v>366</v>
      </c>
      <c r="P14" t="s">
        <v>362</v>
      </c>
      <c r="Q14">
        <v>0</v>
      </c>
      <c r="R14">
        <v>0</v>
      </c>
    </row>
    <row r="15" spans="1:18" ht="29">
      <c r="A15" s="106" t="s">
        <v>6</v>
      </c>
      <c r="B15" s="107" t="s">
        <v>375</v>
      </c>
      <c r="C15" s="31">
        <v>0</v>
      </c>
      <c r="D15" s="31">
        <v>0</v>
      </c>
      <c r="E15" s="31">
        <v>0</v>
      </c>
      <c r="F15" s="31">
        <v>0</v>
      </c>
      <c r="G15" s="31">
        <v>0</v>
      </c>
      <c r="H15" t="s">
        <v>376</v>
      </c>
      <c r="I15" s="11">
        <f t="shared" si="0"/>
        <v>0</v>
      </c>
      <c r="J15" s="11">
        <f t="shared" si="1"/>
        <v>0</v>
      </c>
      <c r="K15" s="11">
        <f t="shared" si="2"/>
        <v>0</v>
      </c>
      <c r="L15" s="11">
        <f t="shared" si="3"/>
        <v>0</v>
      </c>
      <c r="M15" s="11">
        <f t="shared" si="4"/>
        <v>0</v>
      </c>
      <c r="O15" t="s">
        <v>362</v>
      </c>
      <c r="P15" t="s">
        <v>362</v>
      </c>
      <c r="Q15">
        <v>1</v>
      </c>
      <c r="R15">
        <v>1</v>
      </c>
    </row>
    <row r="27" spans="1:16">
      <c r="A27" s="1" t="s">
        <v>346</v>
      </c>
      <c r="B27" s="1" t="s">
        <v>8</v>
      </c>
      <c r="C27" s="1" t="s">
        <v>377</v>
      </c>
      <c r="D27" s="1" t="s">
        <v>378</v>
      </c>
      <c r="E27" s="1" t="s">
        <v>379</v>
      </c>
      <c r="F27" s="1" t="s">
        <v>380</v>
      </c>
      <c r="G27" s="1" t="s">
        <v>381</v>
      </c>
      <c r="H27" s="1" t="s">
        <v>382</v>
      </c>
      <c r="I27" s="1" t="s">
        <v>383</v>
      </c>
      <c r="O27" t="s">
        <v>362</v>
      </c>
      <c r="P27" t="s">
        <v>362</v>
      </c>
    </row>
    <row r="28" spans="1:16">
      <c r="A28" t="str">
        <f>A3</f>
        <v>F1_CUSTOM1</v>
      </c>
      <c r="B28" t="s">
        <v>11</v>
      </c>
      <c r="C28">
        <f>IF(D3=1,0, BaselineCalc!$B$7 + ROUND(I3*F3,0))</f>
        <v>257</v>
      </c>
      <c r="D28">
        <f>IF(E3=1,0, BaselineCalc!$B$8 + I3 - ROUND(I3*F3,0))</f>
        <v>296</v>
      </c>
      <c r="E28">
        <f t="shared" ref="E28:E59" si="5">C28+D28</f>
        <v>553</v>
      </c>
      <c r="F28" s="2">
        <f>YearMap!B2</f>
        <v>6414.5114999999987</v>
      </c>
      <c r="G28" s="2">
        <f>YearMap!C2</f>
        <v>1404302.8695</v>
      </c>
      <c r="H28" s="2">
        <f>YearMap!D2</f>
        <v>1617407.196</v>
      </c>
      <c r="I28" t="str">
        <f t="shared" ref="I28:I59" si="6">A28&amp;"|"&amp;B28</f>
        <v>F1_CUSTOM1|FY2026</v>
      </c>
      <c r="O28" t="s">
        <v>362</v>
      </c>
      <c r="P28" t="s">
        <v>362</v>
      </c>
    </row>
    <row r="29" spans="1:16">
      <c r="A29" t="str">
        <f>A3</f>
        <v>F1_CUSTOM1</v>
      </c>
      <c r="B29" t="s">
        <v>12</v>
      </c>
      <c r="C29">
        <f>IF(D3=1,0, BaselineCalc!$B$7 + ROUND(J3*F3,0))</f>
        <v>257</v>
      </c>
      <c r="D29">
        <f>IF(E3=1,0, BaselineCalc!$B$8 + J3 - ROUND(J3*F3,0))</f>
        <v>296</v>
      </c>
      <c r="E29">
        <f t="shared" si="5"/>
        <v>553</v>
      </c>
      <c r="F29" s="2">
        <f>YearMap!B3</f>
        <v>6574.8742874999989</v>
      </c>
      <c r="G29" s="2">
        <f>YearMap!C3</f>
        <v>1439410.4412375002</v>
      </c>
      <c r="H29" s="2">
        <f>YearMap!D3</f>
        <v>1657842.3759000003</v>
      </c>
      <c r="I29" t="str">
        <f t="shared" si="6"/>
        <v>F1_CUSTOM1|FY2027</v>
      </c>
      <c r="O29" t="s">
        <v>362</v>
      </c>
      <c r="P29" t="s">
        <v>362</v>
      </c>
    </row>
    <row r="30" spans="1:16">
      <c r="A30" t="str">
        <f>A3</f>
        <v>F1_CUSTOM1</v>
      </c>
      <c r="B30" t="s">
        <v>13</v>
      </c>
      <c r="C30">
        <f>IF(D3=1,0, BaselineCalc!$B$7 + ROUND(K3*F3,0))</f>
        <v>257</v>
      </c>
      <c r="D30">
        <f>IF(E3=1,0, BaselineCalc!$B$8 + K3 - ROUND(K3*F3,0))</f>
        <v>296</v>
      </c>
      <c r="E30">
        <f t="shared" si="5"/>
        <v>553</v>
      </c>
      <c r="F30" s="2">
        <f>YearMap!B4</f>
        <v>6739.2461446874986</v>
      </c>
      <c r="G30" s="2">
        <f>YearMap!C4</f>
        <v>1475395.7022684375</v>
      </c>
      <c r="H30" s="2">
        <f>YearMap!D4</f>
        <v>1699288.4352975001</v>
      </c>
      <c r="I30" t="str">
        <f t="shared" si="6"/>
        <v>F1_CUSTOM1|FY2028</v>
      </c>
      <c r="O30" t="s">
        <v>362</v>
      </c>
      <c r="P30" t="s">
        <v>362</v>
      </c>
    </row>
    <row r="31" spans="1:16">
      <c r="A31" t="str">
        <f>A3</f>
        <v>F1_CUSTOM1</v>
      </c>
      <c r="B31" t="s">
        <v>14</v>
      </c>
      <c r="C31">
        <f>IF(D3=1,0, BaselineCalc!$B$7 + ROUND(L3*F3,0))</f>
        <v>257</v>
      </c>
      <c r="D31">
        <f>IF(E3=1,0, BaselineCalc!$B$8 + L3 - ROUND(L3*F3,0))</f>
        <v>296</v>
      </c>
      <c r="E31">
        <f t="shared" si="5"/>
        <v>553</v>
      </c>
      <c r="F31" s="2">
        <f>YearMap!B5</f>
        <v>6907.7272983046851</v>
      </c>
      <c r="G31" s="2">
        <f>YearMap!C5</f>
        <v>1512280.5948251483</v>
      </c>
      <c r="H31" s="2">
        <f>YearMap!D5</f>
        <v>1741770.6461799373</v>
      </c>
      <c r="I31" t="str">
        <f t="shared" si="6"/>
        <v>F1_CUSTOM1|FY2029</v>
      </c>
      <c r="O31" t="s">
        <v>362</v>
      </c>
      <c r="P31" t="s">
        <v>362</v>
      </c>
    </row>
    <row r="32" spans="1:16">
      <c r="A32" t="str">
        <f>A3</f>
        <v>F1_CUSTOM1</v>
      </c>
      <c r="B32" t="s">
        <v>15</v>
      </c>
      <c r="C32">
        <f>IF(D3=1,0, BaselineCalc!$B$7 + ROUND(M3*F3,0))</f>
        <v>257</v>
      </c>
      <c r="D32">
        <f>IF(E3=1,0, BaselineCalc!$B$8 + M3 - ROUND(M3*F3,0))</f>
        <v>296</v>
      </c>
      <c r="E32">
        <f t="shared" si="5"/>
        <v>553</v>
      </c>
      <c r="F32" s="2">
        <f>YearMap!B6</f>
        <v>7080.4204807623018</v>
      </c>
      <c r="G32" s="2">
        <f>YearMap!C6</f>
        <v>1550087.6096957768</v>
      </c>
      <c r="H32" s="2">
        <f>YearMap!D6</f>
        <v>1785314.9123344356</v>
      </c>
      <c r="I32" t="str">
        <f t="shared" si="6"/>
        <v>F1_CUSTOM1|FY2030</v>
      </c>
      <c r="O32" t="s">
        <v>362</v>
      </c>
      <c r="P32" t="s">
        <v>362</v>
      </c>
    </row>
    <row r="33" spans="1:16">
      <c r="A33" t="str">
        <f>A4</f>
        <v>D4_StatusQuo_Targets</v>
      </c>
      <c r="B33" t="s">
        <v>11</v>
      </c>
      <c r="C33">
        <f>IF(D4=1,0, BaselineCalc!$B$7 + ROUND(I4*F4,0))</f>
        <v>270</v>
      </c>
      <c r="D33">
        <f>IF(E4=1,0, BaselineCalc!$B$8 + I4 - ROUND(I4*F4,0))</f>
        <v>308</v>
      </c>
      <c r="E33">
        <f t="shared" si="5"/>
        <v>578</v>
      </c>
      <c r="F33" s="2">
        <f>YearMap!B2</f>
        <v>6414.5114999999987</v>
      </c>
      <c r="G33" s="2">
        <f>YearMap!C2</f>
        <v>1404302.8695</v>
      </c>
      <c r="H33" s="2">
        <f>YearMap!D2</f>
        <v>1617407.196</v>
      </c>
      <c r="I33" t="str">
        <f t="shared" si="6"/>
        <v>D4_StatusQuo_Targets|FY2026</v>
      </c>
      <c r="O33" t="s">
        <v>362</v>
      </c>
      <c r="P33" t="s">
        <v>362</v>
      </c>
    </row>
    <row r="34" spans="1:16">
      <c r="A34" t="str">
        <f>A4</f>
        <v>D4_StatusQuo_Targets</v>
      </c>
      <c r="B34" t="s">
        <v>12</v>
      </c>
      <c r="C34">
        <f>IF(D4=1,0, BaselineCalc!$B$7 + ROUND(J4*F4,0))</f>
        <v>282</v>
      </c>
      <c r="D34">
        <f>IF(E4=1,0, BaselineCalc!$B$8 + J4 - ROUND(J4*F4,0))</f>
        <v>321</v>
      </c>
      <c r="E34">
        <f t="shared" si="5"/>
        <v>603</v>
      </c>
      <c r="F34" s="2">
        <f>YearMap!B3</f>
        <v>6574.8742874999989</v>
      </c>
      <c r="G34" s="2">
        <f>YearMap!C3</f>
        <v>1439410.4412375002</v>
      </c>
      <c r="H34" s="2">
        <f>YearMap!D3</f>
        <v>1657842.3759000003</v>
      </c>
      <c r="I34" t="str">
        <f t="shared" si="6"/>
        <v>D4_StatusQuo_Targets|FY2027</v>
      </c>
      <c r="O34" t="s">
        <v>362</v>
      </c>
      <c r="P34" t="s">
        <v>362</v>
      </c>
    </row>
    <row r="35" spans="1:16">
      <c r="A35" t="str">
        <f>A4</f>
        <v>D4_StatusQuo_Targets</v>
      </c>
      <c r="B35" t="s">
        <v>13</v>
      </c>
      <c r="C35">
        <f>IF(D4=1,0, BaselineCalc!$B$7 + ROUND(K4*F4,0))</f>
        <v>295</v>
      </c>
      <c r="D35">
        <f>IF(E4=1,0, BaselineCalc!$B$8 + K4 - ROUND(K4*F4,0))</f>
        <v>333</v>
      </c>
      <c r="E35">
        <f t="shared" si="5"/>
        <v>628</v>
      </c>
      <c r="F35" s="2">
        <f>YearMap!B4</f>
        <v>6739.2461446874986</v>
      </c>
      <c r="G35" s="2">
        <f>YearMap!C4</f>
        <v>1475395.7022684375</v>
      </c>
      <c r="H35" s="2">
        <f>YearMap!D4</f>
        <v>1699288.4352975001</v>
      </c>
      <c r="I35" t="str">
        <f t="shared" si="6"/>
        <v>D4_StatusQuo_Targets|FY2028</v>
      </c>
      <c r="O35" t="s">
        <v>362</v>
      </c>
      <c r="P35" t="s">
        <v>362</v>
      </c>
    </row>
    <row r="36" spans="1:16">
      <c r="A36" t="str">
        <f>A4</f>
        <v>D4_StatusQuo_Targets</v>
      </c>
      <c r="B36" t="s">
        <v>14</v>
      </c>
      <c r="C36">
        <f>IF(D4=1,0, BaselineCalc!$B$7 + ROUND(L4*F4,0))</f>
        <v>295</v>
      </c>
      <c r="D36">
        <f>IF(E4=1,0, BaselineCalc!$B$8 + L4 - ROUND(L4*F4,0))</f>
        <v>333</v>
      </c>
      <c r="E36">
        <f t="shared" si="5"/>
        <v>628</v>
      </c>
      <c r="F36" s="2">
        <f>YearMap!B5</f>
        <v>6907.7272983046851</v>
      </c>
      <c r="G36" s="2">
        <f>YearMap!C5</f>
        <v>1512280.5948251483</v>
      </c>
      <c r="H36" s="2">
        <f>YearMap!D5</f>
        <v>1741770.6461799373</v>
      </c>
      <c r="I36" t="str">
        <f t="shared" si="6"/>
        <v>D4_StatusQuo_Targets|FY2029</v>
      </c>
      <c r="O36" t="s">
        <v>362</v>
      </c>
      <c r="P36" t="s">
        <v>362</v>
      </c>
    </row>
    <row r="37" spans="1:16">
      <c r="A37" t="str">
        <f>A4</f>
        <v>D4_StatusQuo_Targets</v>
      </c>
      <c r="B37" t="s">
        <v>15</v>
      </c>
      <c r="C37">
        <f>IF(D4=1,0, BaselineCalc!$B$7 + ROUND(M4*F4,0))</f>
        <v>295</v>
      </c>
      <c r="D37">
        <f>IF(E4=1,0, BaselineCalc!$B$8 + M4 - ROUND(M4*F4,0))</f>
        <v>333</v>
      </c>
      <c r="E37">
        <f t="shared" si="5"/>
        <v>628</v>
      </c>
      <c r="F37" s="2">
        <f>YearMap!B6</f>
        <v>7080.4204807623018</v>
      </c>
      <c r="G37" s="2">
        <f>YearMap!C6</f>
        <v>1550087.6096957768</v>
      </c>
      <c r="H37" s="2">
        <f>YearMap!D6</f>
        <v>1785314.9123344356</v>
      </c>
      <c r="I37" t="str">
        <f t="shared" si="6"/>
        <v>D4_StatusQuo_Targets|FY2030</v>
      </c>
      <c r="O37" t="s">
        <v>362</v>
      </c>
      <c r="P37" t="s">
        <v>362</v>
      </c>
    </row>
    <row r="38" spans="1:16">
      <c r="A38" t="str">
        <f>A5</f>
        <v>D3_CoLocation_Echo_Targets</v>
      </c>
      <c r="B38" t="s">
        <v>11</v>
      </c>
      <c r="C38">
        <f>IF(D5=1,0, BaselineCalc!$B$7 + ROUND(I5*F5,0))</f>
        <v>265</v>
      </c>
      <c r="D38">
        <f>IF(E5=1,0, BaselineCalc!$B$8 + I5 - ROUND(I5*F5,0))</f>
        <v>304.66666666666669</v>
      </c>
      <c r="E38">
        <f t="shared" si="5"/>
        <v>569.66666666666674</v>
      </c>
      <c r="F38" s="2">
        <f>YearMap!B2</f>
        <v>6414.5114999999987</v>
      </c>
      <c r="G38" s="2">
        <f>YearMap!C2</f>
        <v>1404302.8695</v>
      </c>
      <c r="H38" s="2">
        <f>YearMap!D2</f>
        <v>1617407.196</v>
      </c>
      <c r="I38" t="str">
        <f t="shared" si="6"/>
        <v>D3_CoLocation_Echo_Targets|FY2026</v>
      </c>
      <c r="O38" t="s">
        <v>362</v>
      </c>
      <c r="P38" t="s">
        <v>362</v>
      </c>
    </row>
    <row r="39" spans="1:16">
      <c r="A39" t="str">
        <f>A5</f>
        <v>D3_CoLocation_Echo_Targets</v>
      </c>
      <c r="B39" t="s">
        <v>12</v>
      </c>
      <c r="C39">
        <f>IF(D5=1,0, BaselineCalc!$B$7 + ROUND(J5*F5,0))</f>
        <v>274</v>
      </c>
      <c r="D39">
        <f>IF(E5=1,0, BaselineCalc!$B$8 + J5 - ROUND(J5*F5,0))</f>
        <v>312.33333333333331</v>
      </c>
      <c r="E39">
        <f t="shared" si="5"/>
        <v>586.33333333333326</v>
      </c>
      <c r="F39" s="2">
        <f>YearMap!B3</f>
        <v>6574.8742874999989</v>
      </c>
      <c r="G39" s="2">
        <f>YearMap!C3</f>
        <v>1439410.4412375002</v>
      </c>
      <c r="H39" s="2">
        <f>YearMap!D3</f>
        <v>1657842.3759000003</v>
      </c>
      <c r="I39" t="str">
        <f t="shared" si="6"/>
        <v>D3_CoLocation_Echo_Targets|FY2027</v>
      </c>
      <c r="O39" t="s">
        <v>362</v>
      </c>
      <c r="P39" t="s">
        <v>362</v>
      </c>
    </row>
    <row r="40" spans="1:16">
      <c r="A40" t="str">
        <f>A5</f>
        <v>D3_CoLocation_Echo_Targets</v>
      </c>
      <c r="B40" t="s">
        <v>13</v>
      </c>
      <c r="C40">
        <f>IF(D5=1,0, BaselineCalc!$B$7 + ROUND(K5*F5,0))</f>
        <v>282</v>
      </c>
      <c r="D40">
        <f>IF(E5=1,0, BaselineCalc!$B$8 + K5 - ROUND(K5*F5,0))</f>
        <v>321</v>
      </c>
      <c r="E40">
        <f t="shared" si="5"/>
        <v>603</v>
      </c>
      <c r="F40" s="2">
        <f>YearMap!B4</f>
        <v>6739.2461446874986</v>
      </c>
      <c r="G40" s="2">
        <f>YearMap!C4</f>
        <v>1475395.7022684375</v>
      </c>
      <c r="H40" s="2">
        <f>YearMap!D4</f>
        <v>1699288.4352975001</v>
      </c>
      <c r="I40" t="str">
        <f t="shared" si="6"/>
        <v>D3_CoLocation_Echo_Targets|FY2028</v>
      </c>
      <c r="O40" t="s">
        <v>362</v>
      </c>
      <c r="P40" t="s">
        <v>362</v>
      </c>
    </row>
    <row r="41" spans="1:16">
      <c r="A41" t="str">
        <f>A5</f>
        <v>D3_CoLocation_Echo_Targets</v>
      </c>
      <c r="B41" t="s">
        <v>14</v>
      </c>
      <c r="C41">
        <f>IF(D5=1,0, BaselineCalc!$B$7 + ROUND(L5*F5,0))</f>
        <v>282</v>
      </c>
      <c r="D41">
        <f>IF(E5=1,0, BaselineCalc!$B$8 + L5 - ROUND(L5*F5,0))</f>
        <v>321</v>
      </c>
      <c r="E41">
        <f t="shared" si="5"/>
        <v>603</v>
      </c>
      <c r="F41" s="2">
        <f>YearMap!B5</f>
        <v>6907.7272983046851</v>
      </c>
      <c r="G41" s="2">
        <f>YearMap!C5</f>
        <v>1512280.5948251483</v>
      </c>
      <c r="H41" s="2">
        <f>YearMap!D5</f>
        <v>1741770.6461799373</v>
      </c>
      <c r="I41" t="str">
        <f t="shared" si="6"/>
        <v>D3_CoLocation_Echo_Targets|FY2029</v>
      </c>
      <c r="O41" t="s">
        <v>362</v>
      </c>
      <c r="P41" t="s">
        <v>362</v>
      </c>
    </row>
    <row r="42" spans="1:16">
      <c r="A42" t="str">
        <f>A5</f>
        <v>D3_CoLocation_Echo_Targets</v>
      </c>
      <c r="B42" t="s">
        <v>15</v>
      </c>
      <c r="C42">
        <f>IF(D5=1,0, BaselineCalc!$B$7 + ROUND(M5*F5,0))</f>
        <v>282</v>
      </c>
      <c r="D42">
        <f>IF(E5=1,0, BaselineCalc!$B$8 + M5 - ROUND(M5*F5,0))</f>
        <v>321</v>
      </c>
      <c r="E42">
        <f t="shared" si="5"/>
        <v>603</v>
      </c>
      <c r="F42" s="2">
        <f>YearMap!B6</f>
        <v>7080.4204807623018</v>
      </c>
      <c r="G42" s="2">
        <f>YearMap!C6</f>
        <v>1550087.6096957768</v>
      </c>
      <c r="H42" s="2">
        <f>YearMap!D6</f>
        <v>1785314.9123344356</v>
      </c>
      <c r="I42" t="str">
        <f t="shared" si="6"/>
        <v>D3_CoLocation_Echo_Targets|FY2030</v>
      </c>
      <c r="O42" t="s">
        <v>362</v>
      </c>
      <c r="P42" t="s">
        <v>362</v>
      </c>
    </row>
    <row r="43" spans="1:16">
      <c r="A43" t="str">
        <f>A6</f>
        <v>D1_Grow_Both_Targets</v>
      </c>
      <c r="B43" t="s">
        <v>11</v>
      </c>
      <c r="C43">
        <f>IF(D6=1,0, BaselineCalc!$B$7 + ROUND(I6*F6,0))</f>
        <v>282</v>
      </c>
      <c r="D43">
        <f>IF(E6=1,0, BaselineCalc!$B$8 + I6 - ROUND(I6*F6,0))</f>
        <v>321</v>
      </c>
      <c r="E43">
        <f t="shared" si="5"/>
        <v>603</v>
      </c>
      <c r="F43" s="2">
        <f>YearMap!B2</f>
        <v>6414.5114999999987</v>
      </c>
      <c r="G43" s="2">
        <f>YearMap!C2</f>
        <v>1404302.8695</v>
      </c>
      <c r="H43" s="2">
        <f>YearMap!D2</f>
        <v>1617407.196</v>
      </c>
      <c r="I43" t="str">
        <f t="shared" si="6"/>
        <v>D1_Grow_Both_Targets|FY2026</v>
      </c>
      <c r="O43" t="s">
        <v>362</v>
      </c>
      <c r="P43" t="s">
        <v>362</v>
      </c>
    </row>
    <row r="44" spans="1:16">
      <c r="A44" t="str">
        <f>A6</f>
        <v>D1_Grow_Both_Targets</v>
      </c>
      <c r="B44" t="s">
        <v>12</v>
      </c>
      <c r="C44">
        <f>IF(D6=1,0, BaselineCalc!$B$7 + ROUND(J6*F6,0))</f>
        <v>307</v>
      </c>
      <c r="D44">
        <f>IF(E6=1,0, BaselineCalc!$B$8 + J6 - ROUND(J6*F6,0))</f>
        <v>346</v>
      </c>
      <c r="E44">
        <f t="shared" si="5"/>
        <v>653</v>
      </c>
      <c r="F44" s="2">
        <f>YearMap!B3</f>
        <v>6574.8742874999989</v>
      </c>
      <c r="G44" s="2">
        <f>YearMap!C3</f>
        <v>1439410.4412375002</v>
      </c>
      <c r="H44" s="2">
        <f>YearMap!D3</f>
        <v>1657842.3759000003</v>
      </c>
      <c r="I44" t="str">
        <f t="shared" si="6"/>
        <v>D1_Grow_Both_Targets|FY2027</v>
      </c>
      <c r="O44" t="s">
        <v>362</v>
      </c>
      <c r="P44" t="s">
        <v>362</v>
      </c>
    </row>
    <row r="45" spans="1:16">
      <c r="A45" t="str">
        <f>A6</f>
        <v>D1_Grow_Both_Targets</v>
      </c>
      <c r="B45" t="s">
        <v>13</v>
      </c>
      <c r="C45">
        <f>IF(D6=1,0, BaselineCalc!$B$7 + ROUND(K6*F6,0))</f>
        <v>332</v>
      </c>
      <c r="D45">
        <f>IF(E6=1,0, BaselineCalc!$B$8 + K6 - ROUND(K6*F6,0))</f>
        <v>371</v>
      </c>
      <c r="E45">
        <f t="shared" si="5"/>
        <v>703</v>
      </c>
      <c r="F45" s="2">
        <f>YearMap!B4</f>
        <v>6739.2461446874986</v>
      </c>
      <c r="G45" s="2">
        <f>YearMap!C4</f>
        <v>1475395.7022684375</v>
      </c>
      <c r="H45" s="2">
        <f>YearMap!D4</f>
        <v>1699288.4352975001</v>
      </c>
      <c r="I45" t="str">
        <f t="shared" si="6"/>
        <v>D1_Grow_Both_Targets|FY2028</v>
      </c>
      <c r="O45" t="s">
        <v>362</v>
      </c>
      <c r="P45" t="s">
        <v>362</v>
      </c>
    </row>
    <row r="46" spans="1:16">
      <c r="A46" t="str">
        <f>A6</f>
        <v>D1_Grow_Both_Targets</v>
      </c>
      <c r="B46" t="s">
        <v>14</v>
      </c>
      <c r="C46">
        <f>IF(D6=1,0, BaselineCalc!$B$7 + ROUND(L6*F6,0))</f>
        <v>332</v>
      </c>
      <c r="D46">
        <f>IF(E6=1,0, BaselineCalc!$B$8 + L6 - ROUND(L6*F6,0))</f>
        <v>371</v>
      </c>
      <c r="E46">
        <f t="shared" si="5"/>
        <v>703</v>
      </c>
      <c r="F46" s="2">
        <f>YearMap!B5</f>
        <v>6907.7272983046851</v>
      </c>
      <c r="G46" s="2">
        <f>YearMap!C5</f>
        <v>1512280.5948251483</v>
      </c>
      <c r="H46" s="2">
        <f>YearMap!D5</f>
        <v>1741770.6461799373</v>
      </c>
      <c r="I46" t="str">
        <f t="shared" si="6"/>
        <v>D1_Grow_Both_Targets|FY2029</v>
      </c>
      <c r="O46" t="s">
        <v>362</v>
      </c>
      <c r="P46" t="s">
        <v>362</v>
      </c>
    </row>
    <row r="47" spans="1:16">
      <c r="A47" t="str">
        <f>A6</f>
        <v>D1_Grow_Both_Targets</v>
      </c>
      <c r="B47" t="s">
        <v>15</v>
      </c>
      <c r="C47">
        <f>IF(D6=1,0, BaselineCalc!$B$7 + ROUND(M6*F6,0))</f>
        <v>332</v>
      </c>
      <c r="D47">
        <f>IF(E6=1,0, BaselineCalc!$B$8 + M6 - ROUND(M6*F6,0))</f>
        <v>371</v>
      </c>
      <c r="E47">
        <f t="shared" si="5"/>
        <v>703</v>
      </c>
      <c r="F47" s="2">
        <f>YearMap!B6</f>
        <v>7080.4204807623018</v>
      </c>
      <c r="G47" s="2">
        <f>YearMap!C6</f>
        <v>1550087.6096957768</v>
      </c>
      <c r="H47" s="2">
        <f>YearMap!D6</f>
        <v>1785314.9123344356</v>
      </c>
      <c r="I47" t="str">
        <f t="shared" si="6"/>
        <v>D1_Grow_Both_Targets|FY2030</v>
      </c>
      <c r="O47" t="s">
        <v>362</v>
      </c>
      <c r="P47" t="s">
        <v>362</v>
      </c>
    </row>
    <row r="48" spans="1:16">
      <c r="A48" t="str">
        <f>A7</f>
        <v>E2_StatusQuo_Steady</v>
      </c>
      <c r="B48" t="s">
        <v>11</v>
      </c>
      <c r="C48">
        <f>IF(D7=1,0, BaselineCalc!$B$7 + ROUND(I7*F7,0))</f>
        <v>257</v>
      </c>
      <c r="D48">
        <f>IF(E7=1,0, BaselineCalc!$B$8 + I7 - ROUND(I7*F7,0))</f>
        <v>296</v>
      </c>
      <c r="E48">
        <f t="shared" si="5"/>
        <v>553</v>
      </c>
      <c r="F48" s="2">
        <f>YearMap!B2</f>
        <v>6414.5114999999987</v>
      </c>
      <c r="G48" s="2">
        <f>YearMap!C2</f>
        <v>1404302.8695</v>
      </c>
      <c r="H48" s="2">
        <f>YearMap!D2</f>
        <v>1617407.196</v>
      </c>
      <c r="I48" t="str">
        <f t="shared" si="6"/>
        <v>E2_StatusQuo_Steady|FY2026</v>
      </c>
      <c r="O48" t="s">
        <v>362</v>
      </c>
      <c r="P48" t="s">
        <v>362</v>
      </c>
    </row>
    <row r="49" spans="1:16">
      <c r="A49" t="str">
        <f>A7</f>
        <v>E2_StatusQuo_Steady</v>
      </c>
      <c r="B49" t="s">
        <v>12</v>
      </c>
      <c r="C49">
        <f>IF(D7=1,0, BaselineCalc!$B$7 + ROUND(J7*F7,0))</f>
        <v>257</v>
      </c>
      <c r="D49">
        <f>IF(E7=1,0, BaselineCalc!$B$8 + J7 - ROUND(J7*F7,0))</f>
        <v>296</v>
      </c>
      <c r="E49">
        <f t="shared" si="5"/>
        <v>553</v>
      </c>
      <c r="F49" s="2">
        <f>YearMap!B3</f>
        <v>6574.8742874999989</v>
      </c>
      <c r="G49" s="2">
        <f>YearMap!C3</f>
        <v>1439410.4412375002</v>
      </c>
      <c r="H49" s="2">
        <f>YearMap!D3</f>
        <v>1657842.3759000003</v>
      </c>
      <c r="I49" t="str">
        <f t="shared" si="6"/>
        <v>E2_StatusQuo_Steady|FY2027</v>
      </c>
      <c r="O49" t="s">
        <v>362</v>
      </c>
      <c r="P49" t="s">
        <v>362</v>
      </c>
    </row>
    <row r="50" spans="1:16">
      <c r="A50" t="str">
        <f>A7</f>
        <v>E2_StatusQuo_Steady</v>
      </c>
      <c r="B50" t="s">
        <v>13</v>
      </c>
      <c r="C50">
        <f>IF(D7=1,0, BaselineCalc!$B$7 + ROUND(K7*F7,0))</f>
        <v>257</v>
      </c>
      <c r="D50">
        <f>IF(E7=1,0, BaselineCalc!$B$8 + K7 - ROUND(K7*F7,0))</f>
        <v>296</v>
      </c>
      <c r="E50">
        <f t="shared" si="5"/>
        <v>553</v>
      </c>
      <c r="F50" s="2">
        <f>YearMap!B4</f>
        <v>6739.2461446874986</v>
      </c>
      <c r="G50" s="2">
        <f>YearMap!C4</f>
        <v>1475395.7022684375</v>
      </c>
      <c r="H50" s="2">
        <f>YearMap!D4</f>
        <v>1699288.4352975001</v>
      </c>
      <c r="I50" t="str">
        <f t="shared" si="6"/>
        <v>E2_StatusQuo_Steady|FY2028</v>
      </c>
      <c r="O50" t="s">
        <v>362</v>
      </c>
      <c r="P50" t="s">
        <v>362</v>
      </c>
    </row>
    <row r="51" spans="1:16">
      <c r="A51" t="str">
        <f>A7</f>
        <v>E2_StatusQuo_Steady</v>
      </c>
      <c r="B51" t="s">
        <v>14</v>
      </c>
      <c r="C51">
        <f>IF(D7=1,0, BaselineCalc!$B$7 + ROUND(L7*F7,0))</f>
        <v>257</v>
      </c>
      <c r="D51">
        <f>IF(E7=1,0, BaselineCalc!$B$8 + L7 - ROUND(L7*F7,0))</f>
        <v>296</v>
      </c>
      <c r="E51">
        <f t="shared" si="5"/>
        <v>553</v>
      </c>
      <c r="F51" s="2">
        <f>YearMap!B5</f>
        <v>6907.7272983046851</v>
      </c>
      <c r="G51" s="2">
        <f>YearMap!C5</f>
        <v>1512280.5948251483</v>
      </c>
      <c r="H51" s="2">
        <f>YearMap!D5</f>
        <v>1741770.6461799373</v>
      </c>
      <c r="I51" t="str">
        <f t="shared" si="6"/>
        <v>E2_StatusQuo_Steady|FY2029</v>
      </c>
      <c r="O51" t="s">
        <v>362</v>
      </c>
      <c r="P51" t="s">
        <v>362</v>
      </c>
    </row>
    <row r="52" spans="1:16">
      <c r="A52" t="str">
        <f>A7</f>
        <v>E2_StatusQuo_Steady</v>
      </c>
      <c r="B52" t="s">
        <v>15</v>
      </c>
      <c r="C52">
        <f>IF(D7=1,0, BaselineCalc!$B$7 + ROUND(M7*F7,0))</f>
        <v>257</v>
      </c>
      <c r="D52">
        <f>IF(E7=1,0, BaselineCalc!$B$8 + M7 - ROUND(M7*F7,0))</f>
        <v>296</v>
      </c>
      <c r="E52">
        <f t="shared" si="5"/>
        <v>553</v>
      </c>
      <c r="F52" s="2">
        <f>YearMap!B6</f>
        <v>7080.4204807623018</v>
      </c>
      <c r="G52" s="2">
        <f>YearMap!C6</f>
        <v>1550087.6096957768</v>
      </c>
      <c r="H52" s="2">
        <f>YearMap!D6</f>
        <v>1785314.9123344356</v>
      </c>
      <c r="I52" t="str">
        <f t="shared" si="6"/>
        <v>E2_StatusQuo_Steady|FY2030</v>
      </c>
      <c r="O52" t="s">
        <v>362</v>
      </c>
      <c r="P52" t="s">
        <v>362</v>
      </c>
    </row>
    <row r="53" spans="1:16">
      <c r="A53" t="str">
        <f>A8</f>
        <v>D2_EchoGHubRamp_PimaTargets</v>
      </c>
      <c r="B53" t="s">
        <v>11</v>
      </c>
      <c r="C53">
        <f>IF(D8=1,0, BaselineCalc!$B$7 + ROUND(I8*F8,0))</f>
        <v>286</v>
      </c>
      <c r="D53">
        <f>IF(E8=1,0, BaselineCalc!$B$8 + I8 - ROUND(I8*F8,0))</f>
        <v>308.66666666666669</v>
      </c>
      <c r="E53">
        <f t="shared" si="5"/>
        <v>594.66666666666674</v>
      </c>
      <c r="F53" s="2">
        <f>YearMap!B2</f>
        <v>6414.5114999999987</v>
      </c>
      <c r="G53" s="2">
        <f>YearMap!C2</f>
        <v>1404302.8695</v>
      </c>
      <c r="H53" s="2">
        <f>YearMap!D2</f>
        <v>1617407.196</v>
      </c>
      <c r="I53" t="str">
        <f t="shared" si="6"/>
        <v>D2_EchoGHubRamp_PimaTargets|FY2026</v>
      </c>
      <c r="O53" t="s">
        <v>362</v>
      </c>
      <c r="P53" t="s">
        <v>362</v>
      </c>
    </row>
    <row r="54" spans="1:16">
      <c r="A54" t="str">
        <f>A8</f>
        <v>D2_EchoGHubRamp_PimaTargets</v>
      </c>
      <c r="B54" t="s">
        <v>12</v>
      </c>
      <c r="C54">
        <f>IF(D8=1,0, BaselineCalc!$B$7 + ROUND(J8*F8,0))</f>
        <v>315</v>
      </c>
      <c r="D54">
        <f>IF(E8=1,0, BaselineCalc!$B$8 + J8 - ROUND(J8*F8,0))</f>
        <v>321.33333333333331</v>
      </c>
      <c r="E54">
        <f t="shared" si="5"/>
        <v>636.33333333333326</v>
      </c>
      <c r="F54" s="2">
        <f>YearMap!B3</f>
        <v>6574.8742874999989</v>
      </c>
      <c r="G54" s="2">
        <f>YearMap!C3</f>
        <v>1439410.4412375002</v>
      </c>
      <c r="H54" s="2">
        <f>YearMap!D3</f>
        <v>1657842.3759000003</v>
      </c>
      <c r="I54" t="str">
        <f t="shared" si="6"/>
        <v>D2_EchoGHubRamp_PimaTargets|FY2027</v>
      </c>
      <c r="O54" t="s">
        <v>362</v>
      </c>
      <c r="P54" t="s">
        <v>362</v>
      </c>
    </row>
    <row r="55" spans="1:16">
      <c r="A55" t="str">
        <f>A8</f>
        <v>D2_EchoGHubRamp_PimaTargets</v>
      </c>
      <c r="B55" t="s">
        <v>13</v>
      </c>
      <c r="C55">
        <f>IF(D8=1,0, BaselineCalc!$B$7 + ROUND(K8*F8,0))</f>
        <v>345</v>
      </c>
      <c r="D55">
        <f>IF(E8=1,0, BaselineCalc!$B$8 + K8 - ROUND(K8*F8,0))</f>
        <v>333</v>
      </c>
      <c r="E55">
        <f t="shared" si="5"/>
        <v>678</v>
      </c>
      <c r="F55" s="2">
        <f>YearMap!B4</f>
        <v>6739.2461446874986</v>
      </c>
      <c r="G55" s="2">
        <f>YearMap!C4</f>
        <v>1475395.7022684375</v>
      </c>
      <c r="H55" s="2">
        <f>YearMap!D4</f>
        <v>1699288.4352975001</v>
      </c>
      <c r="I55" t="str">
        <f t="shared" si="6"/>
        <v>D2_EchoGHubRamp_PimaTargets|FY2028</v>
      </c>
      <c r="O55" t="s">
        <v>362</v>
      </c>
      <c r="P55" t="s">
        <v>362</v>
      </c>
    </row>
    <row r="56" spans="1:16">
      <c r="A56" t="str">
        <f>A8</f>
        <v>D2_EchoGHubRamp_PimaTargets</v>
      </c>
      <c r="B56" t="s">
        <v>14</v>
      </c>
      <c r="C56">
        <f>IF(D8=1,0, BaselineCalc!$B$7 + ROUND(L8*F8,0))</f>
        <v>345</v>
      </c>
      <c r="D56">
        <f>IF(E8=1,0, BaselineCalc!$B$8 + L8 - ROUND(L8*F8,0))</f>
        <v>333</v>
      </c>
      <c r="E56">
        <f t="shared" si="5"/>
        <v>678</v>
      </c>
      <c r="F56" s="2">
        <f>YearMap!B5</f>
        <v>6907.7272983046851</v>
      </c>
      <c r="G56" s="2">
        <f>YearMap!C5</f>
        <v>1512280.5948251483</v>
      </c>
      <c r="H56" s="2">
        <f>YearMap!D5</f>
        <v>1741770.6461799373</v>
      </c>
      <c r="I56" t="str">
        <f t="shared" si="6"/>
        <v>D2_EchoGHubRamp_PimaTargets|FY2029</v>
      </c>
      <c r="O56" t="s">
        <v>362</v>
      </c>
      <c r="P56" t="s">
        <v>362</v>
      </c>
    </row>
    <row r="57" spans="1:16">
      <c r="A57" t="str">
        <f>A8</f>
        <v>D2_EchoGHubRamp_PimaTargets</v>
      </c>
      <c r="B57" t="s">
        <v>15</v>
      </c>
      <c r="C57">
        <f>IF(D8=1,0, BaselineCalc!$B$7 + ROUND(M8*F8,0))</f>
        <v>345</v>
      </c>
      <c r="D57">
        <f>IF(E8=1,0, BaselineCalc!$B$8 + M8 - ROUND(M8*F8,0))</f>
        <v>333</v>
      </c>
      <c r="E57">
        <f t="shared" si="5"/>
        <v>678</v>
      </c>
      <c r="F57" s="2">
        <f>YearMap!B6</f>
        <v>7080.4204807623018</v>
      </c>
      <c r="G57" s="2">
        <f>YearMap!C6</f>
        <v>1550087.6096957768</v>
      </c>
      <c r="H57" s="2">
        <f>YearMap!D6</f>
        <v>1785314.9123344356</v>
      </c>
      <c r="I57" t="str">
        <f t="shared" si="6"/>
        <v>D2_EchoGHubRamp_PimaTargets|FY2030</v>
      </c>
      <c r="O57" t="s">
        <v>362</v>
      </c>
      <c r="P57" t="s">
        <v>362</v>
      </c>
    </row>
    <row r="58" spans="1:16">
      <c r="A58" t="str">
        <f>A9</f>
        <v>A2_Repurpose_Both_lease</v>
      </c>
      <c r="B58" t="s">
        <v>11</v>
      </c>
      <c r="C58">
        <f>IF(D9=1,0, BaselineCalc!$B$7 + ROUND(I9*F9,0))</f>
        <v>0</v>
      </c>
      <c r="D58">
        <f>IF(E9=1,0, BaselineCalc!$B$8 + I9 - ROUND(I9*F9,0))</f>
        <v>0</v>
      </c>
      <c r="E58">
        <f t="shared" si="5"/>
        <v>0</v>
      </c>
      <c r="F58" s="2">
        <f>YearMap!B2</f>
        <v>6414.5114999999987</v>
      </c>
      <c r="G58" s="2">
        <f>YearMap!C2</f>
        <v>1404302.8695</v>
      </c>
      <c r="H58" s="2">
        <f>YearMap!D2</f>
        <v>1617407.196</v>
      </c>
      <c r="I58" t="str">
        <f t="shared" si="6"/>
        <v>A2_Repurpose_Both_lease|FY2026</v>
      </c>
      <c r="O58" t="s">
        <v>362</v>
      </c>
      <c r="P58" t="s">
        <v>362</v>
      </c>
    </row>
    <row r="59" spans="1:16">
      <c r="A59" t="str">
        <f>A9</f>
        <v>A2_Repurpose_Both_lease</v>
      </c>
      <c r="B59" t="s">
        <v>12</v>
      </c>
      <c r="C59">
        <f>IF(D9=1,0, BaselineCalc!$B$7 + ROUND(J9*F9,0))</f>
        <v>0</v>
      </c>
      <c r="D59">
        <f>IF(E9=1,0, BaselineCalc!$B$8 + J9 - ROUND(J9*F9,0))</f>
        <v>0</v>
      </c>
      <c r="E59">
        <f t="shared" si="5"/>
        <v>0</v>
      </c>
      <c r="F59" s="2">
        <f>YearMap!B3</f>
        <v>6574.8742874999989</v>
      </c>
      <c r="G59" s="2">
        <f>YearMap!C3</f>
        <v>1439410.4412375002</v>
      </c>
      <c r="H59" s="2">
        <f>YearMap!D3</f>
        <v>1657842.3759000003</v>
      </c>
      <c r="I59" t="str">
        <f t="shared" si="6"/>
        <v>A2_Repurpose_Both_lease|FY2027</v>
      </c>
      <c r="O59" t="s">
        <v>362</v>
      </c>
      <c r="P59" t="s">
        <v>362</v>
      </c>
    </row>
    <row r="60" spans="1:16">
      <c r="A60" t="str">
        <f>A9</f>
        <v>A2_Repurpose_Both_lease</v>
      </c>
      <c r="B60" t="s">
        <v>13</v>
      </c>
      <c r="C60">
        <f>IF(D9=1,0, BaselineCalc!$B$7 + ROUND(K9*F9,0))</f>
        <v>0</v>
      </c>
      <c r="D60">
        <f>IF(E9=1,0, BaselineCalc!$B$8 + K9 - ROUND(K9*F9,0))</f>
        <v>0</v>
      </c>
      <c r="E60">
        <f t="shared" ref="E60:E91" si="7">C60+D60</f>
        <v>0</v>
      </c>
      <c r="F60" s="2">
        <f>YearMap!B4</f>
        <v>6739.2461446874986</v>
      </c>
      <c r="G60" s="2">
        <f>YearMap!C4</f>
        <v>1475395.7022684375</v>
      </c>
      <c r="H60" s="2">
        <f>YearMap!D4</f>
        <v>1699288.4352975001</v>
      </c>
      <c r="I60" t="str">
        <f t="shared" ref="I60:I87" si="8">A60&amp;"|"&amp;B60</f>
        <v>A2_Repurpose_Both_lease|FY2028</v>
      </c>
      <c r="O60" t="s">
        <v>362</v>
      </c>
      <c r="P60" t="s">
        <v>362</v>
      </c>
    </row>
    <row r="61" spans="1:16">
      <c r="A61" t="str">
        <f>A9</f>
        <v>A2_Repurpose_Both_lease</v>
      </c>
      <c r="B61" t="s">
        <v>14</v>
      </c>
      <c r="C61">
        <f>IF(D9=1,0, BaselineCalc!$B$7 + ROUND(L9*F9,0))</f>
        <v>0</v>
      </c>
      <c r="D61">
        <f>IF(E9=1,0, BaselineCalc!$B$8 + L9 - ROUND(L9*F9,0))</f>
        <v>0</v>
      </c>
      <c r="E61">
        <f t="shared" si="7"/>
        <v>0</v>
      </c>
      <c r="F61" s="2">
        <f>YearMap!B5</f>
        <v>6907.7272983046851</v>
      </c>
      <c r="G61" s="2">
        <f>YearMap!C5</f>
        <v>1512280.5948251483</v>
      </c>
      <c r="H61" s="2">
        <f>YearMap!D5</f>
        <v>1741770.6461799373</v>
      </c>
      <c r="I61" t="str">
        <f t="shared" si="8"/>
        <v>A2_Repurpose_Both_lease|FY2029</v>
      </c>
      <c r="O61" t="s">
        <v>362</v>
      </c>
      <c r="P61" t="s">
        <v>362</v>
      </c>
    </row>
    <row r="62" spans="1:16">
      <c r="A62" t="str">
        <f>A9</f>
        <v>A2_Repurpose_Both_lease</v>
      </c>
      <c r="B62" t="s">
        <v>15</v>
      </c>
      <c r="C62">
        <f>IF(D9=1,0, BaselineCalc!$B$7 + ROUND(M9*F9,0))</f>
        <v>0</v>
      </c>
      <c r="D62">
        <f>IF(E9=1,0, BaselineCalc!$B$8 + M9 - ROUND(M9*F9,0))</f>
        <v>0</v>
      </c>
      <c r="E62">
        <f t="shared" si="7"/>
        <v>0</v>
      </c>
      <c r="F62" s="2">
        <f>YearMap!B6</f>
        <v>7080.4204807623018</v>
      </c>
      <c r="G62" s="2">
        <f>YearMap!C6</f>
        <v>1550087.6096957768</v>
      </c>
      <c r="H62" s="2">
        <f>YearMap!D6</f>
        <v>1785314.9123344356</v>
      </c>
      <c r="I62" t="str">
        <f t="shared" si="8"/>
        <v>A2_Repurpose_Both_lease|FY2030</v>
      </c>
      <c r="O62" t="s">
        <v>362</v>
      </c>
      <c r="P62" t="s">
        <v>362</v>
      </c>
    </row>
    <row r="63" spans="1:16">
      <c r="A63" t="str">
        <f>A10</f>
        <v>A1_Repurpose_Both_ops</v>
      </c>
      <c r="B63" t="s">
        <v>11</v>
      </c>
      <c r="C63">
        <f>IF(D10=1,0, BaselineCalc!$B$7 + ROUND(I10*F10,0))</f>
        <v>0</v>
      </c>
      <c r="D63">
        <f>IF(E10=1,0, BaselineCalc!$B$8 + I10 - ROUND(I10*F10,0))</f>
        <v>0</v>
      </c>
      <c r="E63">
        <f t="shared" si="7"/>
        <v>0</v>
      </c>
      <c r="F63" s="2">
        <f>YearMap!B2</f>
        <v>6414.5114999999987</v>
      </c>
      <c r="G63" s="2">
        <f>YearMap!C2</f>
        <v>1404302.8695</v>
      </c>
      <c r="H63" s="2">
        <f>YearMap!D2</f>
        <v>1617407.196</v>
      </c>
      <c r="I63" t="str">
        <f t="shared" si="8"/>
        <v>A1_Repurpose_Both_ops|FY2026</v>
      </c>
      <c r="O63" t="s">
        <v>362</v>
      </c>
      <c r="P63" t="s">
        <v>362</v>
      </c>
    </row>
    <row r="64" spans="1:16">
      <c r="A64" t="str">
        <f>A10</f>
        <v>A1_Repurpose_Both_ops</v>
      </c>
      <c r="B64" t="s">
        <v>12</v>
      </c>
      <c r="C64">
        <f>IF(D10=1,0, BaselineCalc!$B$7 + ROUND(J10*F10,0))</f>
        <v>0</v>
      </c>
      <c r="D64">
        <f>IF(E10=1,0, BaselineCalc!$B$8 + J10 - ROUND(J10*F10,0))</f>
        <v>0</v>
      </c>
      <c r="E64">
        <f t="shared" si="7"/>
        <v>0</v>
      </c>
      <c r="F64" s="2">
        <f>YearMap!B3</f>
        <v>6574.8742874999989</v>
      </c>
      <c r="G64" s="2">
        <f>YearMap!C3</f>
        <v>1439410.4412375002</v>
      </c>
      <c r="H64" s="2">
        <f>YearMap!D3</f>
        <v>1657842.3759000003</v>
      </c>
      <c r="I64" t="str">
        <f t="shared" si="8"/>
        <v>A1_Repurpose_Both_ops|FY2027</v>
      </c>
      <c r="O64" t="s">
        <v>362</v>
      </c>
      <c r="P64" t="s">
        <v>362</v>
      </c>
    </row>
    <row r="65" spans="1:16">
      <c r="A65" t="str">
        <f>A10</f>
        <v>A1_Repurpose_Both_ops</v>
      </c>
      <c r="B65" t="s">
        <v>13</v>
      </c>
      <c r="C65">
        <f>IF(D10=1,0, BaselineCalc!$B$7 + ROUND(K10*F10,0))</f>
        <v>0</v>
      </c>
      <c r="D65">
        <f>IF(E10=1,0, BaselineCalc!$B$8 + K10 - ROUND(K10*F10,0))</f>
        <v>0</v>
      </c>
      <c r="E65">
        <f t="shared" si="7"/>
        <v>0</v>
      </c>
      <c r="F65" s="2">
        <f>YearMap!B4</f>
        <v>6739.2461446874986</v>
      </c>
      <c r="G65" s="2">
        <f>YearMap!C4</f>
        <v>1475395.7022684375</v>
      </c>
      <c r="H65" s="2">
        <f>YearMap!D4</f>
        <v>1699288.4352975001</v>
      </c>
      <c r="I65" t="str">
        <f t="shared" si="8"/>
        <v>A1_Repurpose_Both_ops|FY2028</v>
      </c>
      <c r="O65" t="s">
        <v>362</v>
      </c>
      <c r="P65" t="s">
        <v>362</v>
      </c>
    </row>
    <row r="66" spans="1:16">
      <c r="A66" t="str">
        <f>A10</f>
        <v>A1_Repurpose_Both_ops</v>
      </c>
      <c r="B66" t="s">
        <v>14</v>
      </c>
      <c r="C66">
        <f>IF(D10=1,0, BaselineCalc!$B$7 + ROUND(L10*F10,0))</f>
        <v>0</v>
      </c>
      <c r="D66">
        <f>IF(E10=1,0, BaselineCalc!$B$8 + L10 - ROUND(L10*F10,0))</f>
        <v>0</v>
      </c>
      <c r="E66">
        <f t="shared" si="7"/>
        <v>0</v>
      </c>
      <c r="F66" s="2">
        <f>YearMap!B5</f>
        <v>6907.7272983046851</v>
      </c>
      <c r="G66" s="2">
        <f>YearMap!C5</f>
        <v>1512280.5948251483</v>
      </c>
      <c r="H66" s="2">
        <f>YearMap!D5</f>
        <v>1741770.6461799373</v>
      </c>
      <c r="I66" t="str">
        <f t="shared" si="8"/>
        <v>A1_Repurpose_Both_ops|FY2029</v>
      </c>
      <c r="O66" t="s">
        <v>362</v>
      </c>
      <c r="P66" t="s">
        <v>362</v>
      </c>
    </row>
    <row r="67" spans="1:16">
      <c r="A67" t="str">
        <f>A10</f>
        <v>A1_Repurpose_Both_ops</v>
      </c>
      <c r="B67" t="s">
        <v>15</v>
      </c>
      <c r="C67">
        <f>IF(D10=1,0, BaselineCalc!$B$7 + ROUND(M10*F10,0))</f>
        <v>0</v>
      </c>
      <c r="D67">
        <f>IF(E10=1,0, BaselineCalc!$B$8 + M10 - ROUND(M10*F10,0))</f>
        <v>0</v>
      </c>
      <c r="E67">
        <f t="shared" si="7"/>
        <v>0</v>
      </c>
      <c r="F67" s="2">
        <f>YearMap!B6</f>
        <v>7080.4204807623018</v>
      </c>
      <c r="G67" s="2">
        <f>YearMap!C6</f>
        <v>1550087.6096957768</v>
      </c>
      <c r="H67" s="2">
        <f>YearMap!D6</f>
        <v>1785314.9123344356</v>
      </c>
      <c r="I67" t="str">
        <f t="shared" si="8"/>
        <v>A1_Repurpose_Both_ops|FY2030</v>
      </c>
      <c r="O67" t="s">
        <v>362</v>
      </c>
      <c r="P67" t="s">
        <v>362</v>
      </c>
    </row>
    <row r="68" spans="1:16">
      <c r="A68" t="str">
        <f>A11</f>
        <v>B2_Repurpose_Echo_lease_PimaTargets</v>
      </c>
      <c r="B68" t="s">
        <v>11</v>
      </c>
      <c r="C68">
        <f>IF(D11=1,0, BaselineCalc!$B$7 + ROUND(I11*F11,0))</f>
        <v>0</v>
      </c>
      <c r="D68">
        <f>IF(E11=1,0, BaselineCalc!$B$8 + I11 - ROUND(I11*F11,0))</f>
        <v>296</v>
      </c>
      <c r="E68">
        <f t="shared" si="7"/>
        <v>296</v>
      </c>
      <c r="F68" s="2">
        <f>YearMap!B2</f>
        <v>6414.5114999999987</v>
      </c>
      <c r="G68" s="2">
        <f>YearMap!C2</f>
        <v>1404302.8695</v>
      </c>
      <c r="H68" s="2">
        <f>YearMap!D2</f>
        <v>1617407.196</v>
      </c>
      <c r="I68" t="str">
        <f t="shared" si="8"/>
        <v>B2_Repurpose_Echo_lease_PimaTargets|FY2026</v>
      </c>
      <c r="O68" t="s">
        <v>362</v>
      </c>
      <c r="P68" t="s">
        <v>362</v>
      </c>
    </row>
    <row r="69" spans="1:16">
      <c r="A69" t="str">
        <f>A11</f>
        <v>B2_Repurpose_Echo_lease_PimaTargets</v>
      </c>
      <c r="B69" t="s">
        <v>12</v>
      </c>
      <c r="C69">
        <f>IF(D11=1,0, BaselineCalc!$B$7 + ROUND(J11*F11,0))</f>
        <v>0</v>
      </c>
      <c r="D69">
        <f>IF(E11=1,0, BaselineCalc!$B$8 + J11 - ROUND(J11*F11,0))</f>
        <v>296</v>
      </c>
      <c r="E69">
        <f t="shared" si="7"/>
        <v>296</v>
      </c>
      <c r="F69" s="2">
        <f>YearMap!B3</f>
        <v>6574.8742874999989</v>
      </c>
      <c r="G69" s="2">
        <f>YearMap!C3</f>
        <v>1439410.4412375002</v>
      </c>
      <c r="H69" s="2">
        <f>YearMap!D3</f>
        <v>1657842.3759000003</v>
      </c>
      <c r="I69" t="str">
        <f t="shared" si="8"/>
        <v>B2_Repurpose_Echo_lease_PimaTargets|FY2027</v>
      </c>
      <c r="O69" t="s">
        <v>362</v>
      </c>
      <c r="P69" t="s">
        <v>362</v>
      </c>
    </row>
    <row r="70" spans="1:16">
      <c r="A70" t="str">
        <f>A11</f>
        <v>B2_Repurpose_Echo_lease_PimaTargets</v>
      </c>
      <c r="B70" t="s">
        <v>13</v>
      </c>
      <c r="C70">
        <f>IF(D11=1,0, BaselineCalc!$B$7 + ROUND(K11*F11,0))</f>
        <v>0</v>
      </c>
      <c r="D70">
        <f>IF(E11=1,0, BaselineCalc!$B$8 + K11 - ROUND(K11*F11,0))</f>
        <v>296</v>
      </c>
      <c r="E70">
        <f t="shared" si="7"/>
        <v>296</v>
      </c>
      <c r="F70" s="2">
        <f>YearMap!B4</f>
        <v>6739.2461446874986</v>
      </c>
      <c r="G70" s="2">
        <f>YearMap!C4</f>
        <v>1475395.7022684375</v>
      </c>
      <c r="H70" s="2">
        <f>YearMap!D4</f>
        <v>1699288.4352975001</v>
      </c>
      <c r="I70" t="str">
        <f t="shared" si="8"/>
        <v>B2_Repurpose_Echo_lease_PimaTargets|FY2028</v>
      </c>
      <c r="O70" t="s">
        <v>362</v>
      </c>
      <c r="P70" t="s">
        <v>362</v>
      </c>
    </row>
    <row r="71" spans="1:16">
      <c r="A71" t="str">
        <f>A11</f>
        <v>B2_Repurpose_Echo_lease_PimaTargets</v>
      </c>
      <c r="B71" t="s">
        <v>14</v>
      </c>
      <c r="C71">
        <f>IF(D11=1,0, BaselineCalc!$B$7 + ROUND(L11*F11,0))</f>
        <v>0</v>
      </c>
      <c r="D71">
        <f>IF(E11=1,0, BaselineCalc!$B$8 + L11 - ROUND(L11*F11,0))</f>
        <v>296</v>
      </c>
      <c r="E71">
        <f t="shared" si="7"/>
        <v>296</v>
      </c>
      <c r="F71" s="2">
        <f>YearMap!B5</f>
        <v>6907.7272983046851</v>
      </c>
      <c r="G71" s="2">
        <f>YearMap!C5</f>
        <v>1512280.5948251483</v>
      </c>
      <c r="H71" s="2">
        <f>YearMap!D5</f>
        <v>1741770.6461799373</v>
      </c>
      <c r="I71" t="str">
        <f t="shared" si="8"/>
        <v>B2_Repurpose_Echo_lease_PimaTargets|FY2029</v>
      </c>
      <c r="O71" t="s">
        <v>362</v>
      </c>
      <c r="P71" t="s">
        <v>362</v>
      </c>
    </row>
    <row r="72" spans="1:16">
      <c r="A72" t="str">
        <f>A11</f>
        <v>B2_Repurpose_Echo_lease_PimaTargets</v>
      </c>
      <c r="B72" t="s">
        <v>15</v>
      </c>
      <c r="C72">
        <f>IF(D11=1,0, BaselineCalc!$B$7 + ROUND(M11*F11,0))</f>
        <v>0</v>
      </c>
      <c r="D72">
        <f>IF(E11=1,0, BaselineCalc!$B$8 + M11 - ROUND(M11*F11,0))</f>
        <v>296</v>
      </c>
      <c r="E72">
        <f t="shared" si="7"/>
        <v>296</v>
      </c>
      <c r="F72" s="2">
        <f>YearMap!B6</f>
        <v>7080.4204807623018</v>
      </c>
      <c r="G72" s="2">
        <f>YearMap!C6</f>
        <v>1550087.6096957768</v>
      </c>
      <c r="H72" s="2">
        <f>YearMap!D6</f>
        <v>1785314.9123344356</v>
      </c>
      <c r="I72" t="str">
        <f t="shared" si="8"/>
        <v>B2_Repurpose_Echo_lease_PimaTargets|FY2030</v>
      </c>
      <c r="O72" t="s">
        <v>362</v>
      </c>
      <c r="P72" t="s">
        <v>362</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6414.5114999999987</v>
      </c>
      <c r="G73" s="2">
        <f>YearMap!C2</f>
        <v>1404302.8695</v>
      </c>
      <c r="H73" s="2">
        <f>YearMap!D2</f>
        <v>1617407.196</v>
      </c>
      <c r="I73" t="str">
        <f t="shared" si="8"/>
        <v>B1_Repurpose_Echo_ops_PimaTargets|FY2026</v>
      </c>
      <c r="O73" t="s">
        <v>362</v>
      </c>
      <c r="P73" t="s">
        <v>362</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6574.8742874999989</v>
      </c>
      <c r="G74" s="2">
        <f>YearMap!C3</f>
        <v>1439410.4412375002</v>
      </c>
      <c r="H74" s="2">
        <f>YearMap!D3</f>
        <v>1657842.3759000003</v>
      </c>
      <c r="I74" t="str">
        <f t="shared" si="8"/>
        <v>B1_Repurpose_Echo_ops_PimaTargets|FY2027</v>
      </c>
      <c r="O74" t="s">
        <v>362</v>
      </c>
      <c r="P74" t="s">
        <v>362</v>
      </c>
    </row>
    <row r="75" spans="1:16">
      <c r="A75" t="str">
        <f>A12</f>
        <v>B1_Repurpose_Echo_ops_PimaTargets</v>
      </c>
      <c r="B75" t="s">
        <v>13</v>
      </c>
      <c r="C75">
        <f>IF(D12=1,0, BaselineCalc!$B$7 + ROUND(K12*F12,0))</f>
        <v>0</v>
      </c>
      <c r="D75">
        <f>IF(E12=1,0, BaselineCalc!$B$8 + K12 - ROUND(K12*F12,0))</f>
        <v>333</v>
      </c>
      <c r="E75">
        <f t="shared" si="7"/>
        <v>333</v>
      </c>
      <c r="F75" s="2">
        <f>YearMap!B4</f>
        <v>6739.2461446874986</v>
      </c>
      <c r="G75" s="2">
        <f>YearMap!C4</f>
        <v>1475395.7022684375</v>
      </c>
      <c r="H75" s="2">
        <f>YearMap!D4</f>
        <v>1699288.4352975001</v>
      </c>
      <c r="I75" t="str">
        <f t="shared" si="8"/>
        <v>B1_Repurpose_Echo_ops_PimaTargets|FY2028</v>
      </c>
      <c r="O75" t="s">
        <v>362</v>
      </c>
      <c r="P75" t="s">
        <v>362</v>
      </c>
    </row>
    <row r="76" spans="1:16">
      <c r="A76" t="str">
        <f>A12</f>
        <v>B1_Repurpose_Echo_ops_PimaTargets</v>
      </c>
      <c r="B76" t="s">
        <v>14</v>
      </c>
      <c r="C76">
        <f>IF(D12=1,0, BaselineCalc!$B$7 + ROUND(L12*F12,0))</f>
        <v>0</v>
      </c>
      <c r="D76">
        <f>IF(E12=1,0, BaselineCalc!$B$8 + L12 - ROUND(L12*F12,0))</f>
        <v>333</v>
      </c>
      <c r="E76">
        <f t="shared" si="7"/>
        <v>333</v>
      </c>
      <c r="F76" s="2">
        <f>YearMap!B5</f>
        <v>6907.7272983046851</v>
      </c>
      <c r="G76" s="2">
        <f>YearMap!C5</f>
        <v>1512280.5948251483</v>
      </c>
      <c r="H76" s="2">
        <f>YearMap!D5</f>
        <v>1741770.6461799373</v>
      </c>
      <c r="I76" t="str">
        <f t="shared" si="8"/>
        <v>B1_Repurpose_Echo_ops_PimaTargets|FY2029</v>
      </c>
      <c r="O76" t="s">
        <v>362</v>
      </c>
      <c r="P76" t="s">
        <v>362</v>
      </c>
    </row>
    <row r="77" spans="1:16">
      <c r="A77" t="str">
        <f>A12</f>
        <v>B1_Repurpose_Echo_ops_PimaTargets</v>
      </c>
      <c r="B77" t="s">
        <v>15</v>
      </c>
      <c r="C77">
        <f>IF(D12=1,0, BaselineCalc!$B$7 + ROUND(M12*F12,0))</f>
        <v>0</v>
      </c>
      <c r="D77">
        <f>IF(E12=1,0, BaselineCalc!$B$8 + M12 - ROUND(M12*F12,0))</f>
        <v>333</v>
      </c>
      <c r="E77">
        <f t="shared" si="7"/>
        <v>333</v>
      </c>
      <c r="F77" s="2">
        <f>YearMap!B6</f>
        <v>7080.4204807623018</v>
      </c>
      <c r="G77" s="2">
        <f>YearMap!C6</f>
        <v>1550087.6096957768</v>
      </c>
      <c r="H77" s="2">
        <f>YearMap!D6</f>
        <v>1785314.9123344356</v>
      </c>
      <c r="I77" t="str">
        <f t="shared" si="8"/>
        <v>B1_Repurpose_Echo_ops_PimaTargets|FY2030</v>
      </c>
      <c r="O77" t="s">
        <v>362</v>
      </c>
      <c r="P77" t="s">
        <v>362</v>
      </c>
    </row>
    <row r="78" spans="1:16">
      <c r="A78" t="str">
        <f>A13</f>
        <v>C2_Repurpose_Pima_lease_EchoGHub_EchoTargets</v>
      </c>
      <c r="B78" t="s">
        <v>11</v>
      </c>
      <c r="C78">
        <f>IF(D13=1,0, BaselineCalc!$B$7 + ROUND(I13*F13,0))</f>
        <v>257</v>
      </c>
      <c r="D78">
        <f>IF(E13=1,0, BaselineCalc!$B$8 + I13 - ROUND(I13*F13,0))</f>
        <v>0</v>
      </c>
      <c r="E78">
        <f t="shared" si="7"/>
        <v>257</v>
      </c>
      <c r="F78" s="2">
        <f>YearMap!B2</f>
        <v>6414.5114999999987</v>
      </c>
      <c r="G78" s="2">
        <f>YearMap!C2</f>
        <v>1404302.8695</v>
      </c>
      <c r="H78" s="2">
        <f>YearMap!D2</f>
        <v>1617407.196</v>
      </c>
      <c r="I78" t="str">
        <f t="shared" si="8"/>
        <v>C2_Repurpose_Pima_lease_EchoGHub_EchoTargets|FY2026</v>
      </c>
      <c r="O78" t="s">
        <v>362</v>
      </c>
      <c r="P78" t="s">
        <v>362</v>
      </c>
    </row>
    <row r="79" spans="1:16">
      <c r="A79" t="str">
        <f>A13</f>
        <v>C2_Repurpose_Pima_lease_EchoGHub_EchoTargets</v>
      </c>
      <c r="B79" t="s">
        <v>12</v>
      </c>
      <c r="C79">
        <f>IF(D13=1,0, BaselineCalc!$B$7 + ROUND(J13*F13,0))</f>
        <v>257</v>
      </c>
      <c r="D79">
        <f>IF(E13=1,0, BaselineCalc!$B$8 + J13 - ROUND(J13*F13,0))</f>
        <v>0</v>
      </c>
      <c r="E79">
        <f t="shared" si="7"/>
        <v>257</v>
      </c>
      <c r="F79" s="2">
        <f>YearMap!B3</f>
        <v>6574.8742874999989</v>
      </c>
      <c r="G79" s="2">
        <f>YearMap!C3</f>
        <v>1439410.4412375002</v>
      </c>
      <c r="H79" s="2">
        <f>YearMap!D3</f>
        <v>1657842.3759000003</v>
      </c>
      <c r="I79" t="str">
        <f t="shared" si="8"/>
        <v>C2_Repurpose_Pima_lease_EchoGHub_EchoTargets|FY2027</v>
      </c>
      <c r="O79" t="s">
        <v>362</v>
      </c>
      <c r="P79" t="s">
        <v>362</v>
      </c>
    </row>
    <row r="80" spans="1:16">
      <c r="A80" t="str">
        <f>A13</f>
        <v>C2_Repurpose_Pima_lease_EchoGHub_EchoTargets</v>
      </c>
      <c r="B80" t="s">
        <v>13</v>
      </c>
      <c r="C80">
        <f>IF(D13=1,0, BaselineCalc!$B$7 + ROUND(K13*F13,0))</f>
        <v>257</v>
      </c>
      <c r="D80">
        <f>IF(E13=1,0, BaselineCalc!$B$8 + K13 - ROUND(K13*F13,0))</f>
        <v>0</v>
      </c>
      <c r="E80">
        <f t="shared" si="7"/>
        <v>257</v>
      </c>
      <c r="F80" s="2">
        <f>YearMap!B4</f>
        <v>6739.2461446874986</v>
      </c>
      <c r="G80" s="2">
        <f>YearMap!C4</f>
        <v>1475395.7022684375</v>
      </c>
      <c r="H80" s="2">
        <f>YearMap!D4</f>
        <v>1699288.4352975001</v>
      </c>
      <c r="I80" t="str">
        <f t="shared" si="8"/>
        <v>C2_Repurpose_Pima_lease_EchoGHub_EchoTargets|FY2028</v>
      </c>
      <c r="O80" t="s">
        <v>362</v>
      </c>
      <c r="P80" t="s">
        <v>362</v>
      </c>
    </row>
    <row r="81" spans="1:16">
      <c r="A81" t="str">
        <f>A13</f>
        <v>C2_Repurpose_Pima_lease_EchoGHub_EchoTargets</v>
      </c>
      <c r="B81" t="s">
        <v>14</v>
      </c>
      <c r="C81">
        <f>IF(D13=1,0, BaselineCalc!$B$7 + ROUND(L13*F13,0))</f>
        <v>257</v>
      </c>
      <c r="D81">
        <f>IF(E13=1,0, BaselineCalc!$B$8 + L13 - ROUND(L13*F13,0))</f>
        <v>0</v>
      </c>
      <c r="E81">
        <f t="shared" si="7"/>
        <v>257</v>
      </c>
      <c r="F81" s="2">
        <f>YearMap!B5</f>
        <v>6907.7272983046851</v>
      </c>
      <c r="G81" s="2">
        <f>YearMap!C5</f>
        <v>1512280.5948251483</v>
      </c>
      <c r="H81" s="2">
        <f>YearMap!D5</f>
        <v>1741770.6461799373</v>
      </c>
      <c r="I81" t="str">
        <f t="shared" si="8"/>
        <v>C2_Repurpose_Pima_lease_EchoGHub_EchoTargets|FY2029</v>
      </c>
      <c r="O81" t="s">
        <v>362</v>
      </c>
      <c r="P81" t="s">
        <v>362</v>
      </c>
    </row>
    <row r="82" spans="1:16">
      <c r="A82" t="str">
        <f>A13</f>
        <v>C2_Repurpose_Pima_lease_EchoGHub_EchoTargets</v>
      </c>
      <c r="B82" t="s">
        <v>15</v>
      </c>
      <c r="C82">
        <f>IF(D13=1,0, BaselineCalc!$B$7 + ROUND(M13*F13,0))</f>
        <v>257</v>
      </c>
      <c r="D82">
        <f>IF(E13=1,0, BaselineCalc!$B$8 + M13 - ROUND(M13*F13,0))</f>
        <v>0</v>
      </c>
      <c r="E82">
        <f t="shared" si="7"/>
        <v>257</v>
      </c>
      <c r="F82" s="2">
        <f>YearMap!B6</f>
        <v>7080.4204807623018</v>
      </c>
      <c r="G82" s="2">
        <f>YearMap!C6</f>
        <v>1550087.6096957768</v>
      </c>
      <c r="H82" s="2">
        <f>YearMap!D6</f>
        <v>1785314.9123344356</v>
      </c>
      <c r="I82" t="str">
        <f t="shared" si="8"/>
        <v>C2_Repurpose_Pima_lease_EchoGHub_EchoTargets|FY2030</v>
      </c>
      <c r="O82" t="s">
        <v>362</v>
      </c>
      <c r="P82" t="s">
        <v>362</v>
      </c>
    </row>
    <row r="83" spans="1:16">
      <c r="A83" t="str">
        <f>A14</f>
        <v>C1_Repurpose_Pima_ops_EchoGHub_EchoTargets</v>
      </c>
      <c r="B83" t="s">
        <v>11</v>
      </c>
      <c r="C83">
        <f>IF(D14=1,0, BaselineCalc!$B$7 + ROUND(I14*F14,0))</f>
        <v>274</v>
      </c>
      <c r="D83">
        <f>IF(E14=1,0, BaselineCalc!$B$8 + I14 - ROUND(I14*F14,0))</f>
        <v>0</v>
      </c>
      <c r="E83">
        <f t="shared" si="7"/>
        <v>274</v>
      </c>
      <c r="F83" s="2">
        <f>YearMap!B2</f>
        <v>6414.5114999999987</v>
      </c>
      <c r="G83" s="2">
        <f>YearMap!C2</f>
        <v>1404302.8695</v>
      </c>
      <c r="H83" s="2">
        <f>YearMap!D2</f>
        <v>1617407.196</v>
      </c>
      <c r="I83" t="str">
        <f t="shared" si="8"/>
        <v>C1_Repurpose_Pima_ops_EchoGHub_EchoTargets|FY2026</v>
      </c>
      <c r="O83" t="s">
        <v>362</v>
      </c>
      <c r="P83" t="s">
        <v>362</v>
      </c>
    </row>
    <row r="84" spans="1:16">
      <c r="A84" t="str">
        <f>A14</f>
        <v>C1_Repurpose_Pima_ops_EchoGHub_EchoTargets</v>
      </c>
      <c r="B84" t="s">
        <v>12</v>
      </c>
      <c r="C84">
        <f>IF(D14=1,0, BaselineCalc!$B$7 + ROUND(J14*F14,0))</f>
        <v>290</v>
      </c>
      <c r="D84">
        <f>IF(E14=1,0, BaselineCalc!$B$8 + J14 - ROUND(J14*F14,0))</f>
        <v>0</v>
      </c>
      <c r="E84">
        <f t="shared" si="7"/>
        <v>290</v>
      </c>
      <c r="F84" s="2">
        <f>YearMap!B3</f>
        <v>6574.8742874999989</v>
      </c>
      <c r="G84" s="2">
        <f>YearMap!C3</f>
        <v>1439410.4412375002</v>
      </c>
      <c r="H84" s="2">
        <f>YearMap!D3</f>
        <v>1657842.3759000003</v>
      </c>
      <c r="I84" t="str">
        <f t="shared" si="8"/>
        <v>C1_Repurpose_Pima_ops_EchoGHub_EchoTargets|FY2027</v>
      </c>
      <c r="O84" t="s">
        <v>362</v>
      </c>
      <c r="P84" t="s">
        <v>362</v>
      </c>
    </row>
    <row r="85" spans="1:16">
      <c r="A85" t="str">
        <f>A14</f>
        <v>C1_Repurpose_Pima_ops_EchoGHub_EchoTargets</v>
      </c>
      <c r="B85" t="s">
        <v>13</v>
      </c>
      <c r="C85">
        <f>IF(D14=1,0, BaselineCalc!$B$7 + ROUND(K14*F14,0))</f>
        <v>307</v>
      </c>
      <c r="D85">
        <f>IF(E14=1,0, BaselineCalc!$B$8 + K14 - ROUND(K14*F14,0))</f>
        <v>0</v>
      </c>
      <c r="E85">
        <f t="shared" si="7"/>
        <v>307</v>
      </c>
      <c r="F85" s="2">
        <f>YearMap!B4</f>
        <v>6739.2461446874986</v>
      </c>
      <c r="G85" s="2">
        <f>YearMap!C4</f>
        <v>1475395.7022684375</v>
      </c>
      <c r="H85" s="2">
        <f>YearMap!D4</f>
        <v>1699288.4352975001</v>
      </c>
      <c r="I85" t="str">
        <f t="shared" si="8"/>
        <v>C1_Repurpose_Pima_ops_EchoGHub_EchoTargets|FY2028</v>
      </c>
      <c r="O85" t="s">
        <v>362</v>
      </c>
      <c r="P85" t="s">
        <v>362</v>
      </c>
    </row>
    <row r="86" spans="1:16">
      <c r="A86" t="str">
        <f>A14</f>
        <v>C1_Repurpose_Pima_ops_EchoGHub_EchoTargets</v>
      </c>
      <c r="B86" t="s">
        <v>14</v>
      </c>
      <c r="C86">
        <f>IF(D14=1,0, BaselineCalc!$B$7 + ROUND(L14*F14,0))</f>
        <v>307</v>
      </c>
      <c r="D86">
        <f>IF(E14=1,0, BaselineCalc!$B$8 + L14 - ROUND(L14*F14,0))</f>
        <v>0</v>
      </c>
      <c r="E86">
        <f t="shared" si="7"/>
        <v>307</v>
      </c>
      <c r="F86" s="2">
        <f>YearMap!B5</f>
        <v>6907.7272983046851</v>
      </c>
      <c r="G86" s="2">
        <f>YearMap!C5</f>
        <v>1512280.5948251483</v>
      </c>
      <c r="H86" s="2">
        <f>YearMap!D5</f>
        <v>1741770.6461799373</v>
      </c>
      <c r="I86" t="str">
        <f t="shared" si="8"/>
        <v>C1_Repurpose_Pima_ops_EchoGHub_EchoTargets|FY2029</v>
      </c>
      <c r="O86" t="s">
        <v>362</v>
      </c>
      <c r="P86" t="s">
        <v>362</v>
      </c>
    </row>
    <row r="87" spans="1:16">
      <c r="A87" t="str">
        <f>A14</f>
        <v>C1_Repurpose_Pima_ops_EchoGHub_EchoTargets</v>
      </c>
      <c r="B87" t="s">
        <v>15</v>
      </c>
      <c r="C87">
        <f>IF(D14=1,0, BaselineCalc!$B$7 + ROUND(M14*F14,0))</f>
        <v>307</v>
      </c>
      <c r="D87">
        <f>IF(E14=1,0, BaselineCalc!$B$8 + M14 - ROUND(M14*F14,0))</f>
        <v>0</v>
      </c>
      <c r="E87">
        <f t="shared" si="7"/>
        <v>307</v>
      </c>
      <c r="F87" s="2">
        <f>YearMap!B6</f>
        <v>7080.4204807623018</v>
      </c>
      <c r="G87" s="2">
        <f>YearMap!C6</f>
        <v>1550087.6096957768</v>
      </c>
      <c r="H87" s="2">
        <f>YearMap!D6</f>
        <v>1785314.9123344356</v>
      </c>
      <c r="I87" t="str">
        <f t="shared" si="8"/>
        <v>C1_Repurpose_Pima_ops_EchoGHub_EchoTargets|FY2030</v>
      </c>
      <c r="O87" t="s">
        <v>362</v>
      </c>
      <c r="P87" t="s">
        <v>362</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346</v>
      </c>
      <c r="C1" s="1" t="s">
        <v>8</v>
      </c>
      <c r="D1" s="1" t="s">
        <v>377</v>
      </c>
      <c r="E1" s="1" t="s">
        <v>378</v>
      </c>
      <c r="F1" s="1" t="s">
        <v>379</v>
      </c>
      <c r="G1" s="1" t="s">
        <v>380</v>
      </c>
      <c r="H1" s="1" t="s">
        <v>381</v>
      </c>
      <c r="I1" s="1" t="s">
        <v>382</v>
      </c>
      <c r="J1" s="1" t="s">
        <v>384</v>
      </c>
      <c r="K1" s="1" t="s">
        <v>350</v>
      </c>
      <c r="L1" s="1" t="s">
        <v>385</v>
      </c>
      <c r="M1" s="1" t="s">
        <v>386</v>
      </c>
      <c r="N1" s="1" t="s">
        <v>387</v>
      </c>
      <c r="O1" s="1" t="s">
        <v>388</v>
      </c>
      <c r="P1" s="1" t="s">
        <v>389</v>
      </c>
      <c r="Q1" s="1" t="s">
        <v>390</v>
      </c>
      <c r="R1" s="1" t="s">
        <v>391</v>
      </c>
      <c r="S1" s="1" t="s">
        <v>392</v>
      </c>
      <c r="T1" s="1" t="s">
        <v>393</v>
      </c>
      <c r="U1" s="1" t="s">
        <v>394</v>
      </c>
      <c r="V1" s="1" t="s">
        <v>395</v>
      </c>
      <c r="W1" s="1" t="s">
        <v>396</v>
      </c>
      <c r="X1" s="1" t="s">
        <v>397</v>
      </c>
      <c r="Y1" t="s">
        <v>398</v>
      </c>
      <c r="Z1" t="s">
        <v>399</v>
      </c>
      <c r="AA1" t="s">
        <v>400</v>
      </c>
      <c r="AB1" t="s">
        <v>401</v>
      </c>
      <c r="AC1" t="s">
        <v>402</v>
      </c>
      <c r="AD1" t="s">
        <v>403</v>
      </c>
      <c r="AE1" t="s">
        <v>404</v>
      </c>
      <c r="AF1" t="s">
        <v>146</v>
      </c>
      <c r="AG1" s="1" t="s">
        <v>383</v>
      </c>
    </row>
    <row r="2" spans="1:33">
      <c r="A2" t="str">
        <f t="shared" si="0"/>
        <v>F1_CUSTOM1|FY2026</v>
      </c>
      <c r="B2" t="str">
        <f>Scenarios!A3</f>
        <v>F1_CUSTOM1</v>
      </c>
      <c r="C2" t="s">
        <v>11</v>
      </c>
      <c r="D2">
        <f>IF(Scenarios!D3=1,0, L2)</f>
        <v>257</v>
      </c>
      <c r="E2">
        <f>IF(Scenarios!E3=1,0, M2)</f>
        <v>296</v>
      </c>
      <c r="F2">
        <f t="shared" ref="F2:F33" si="1">D2+E2</f>
        <v>553</v>
      </c>
      <c r="G2" s="2">
        <f>YearMap!B2</f>
        <v>6414.5114999999987</v>
      </c>
      <c r="H2" s="2">
        <f>YearMap!C2</f>
        <v>1404302.8695</v>
      </c>
      <c r="I2" s="2">
        <f>YearMap!D2</f>
        <v>1617407.196</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1404302.8695</v>
      </c>
      <c r="S2" s="2">
        <f>IF(Scenarios!E3=1, Q2*I2, I2)</f>
        <v>1617407.196</v>
      </c>
      <c r="T2" s="2">
        <f>IF(C2="FY2026", (Scenarios!D3+Scenarios!E3)*BaselineCalc!$B$22,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6574.8742874999989</v>
      </c>
      <c r="H3" s="2">
        <f>YearMap!C3</f>
        <v>1439410.4412375002</v>
      </c>
      <c r="I3" s="2">
        <f>YearMap!D3</f>
        <v>1657842.3759000003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1439410.4412375002</v>
      </c>
      <c r="S3" s="2">
        <f>IF(Scenarios!E3=1, Q3*I3, I3)</f>
        <v>1657842.3759000003</v>
      </c>
      <c r="T3" s="2">
        <f>IF(C3="FY2026", (Scenarios!D3+Scenarios!E3)*BaselineCalc!$B$22,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6739.2461446874986</v>
      </c>
      <c r="H4" s="2">
        <f>YearMap!C4</f>
        <v>1475395.7022684375</v>
      </c>
      <c r="I4" s="2">
        <f>YearMap!D4</f>
        <v>1699288.4352975001</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1475395.7022684375</v>
      </c>
      <c r="S4" s="2">
        <f>IF(Scenarios!E3=1, Q4*I4, I4)</f>
        <v>1699288.4352975001</v>
      </c>
      <c r="T4" s="2">
        <f>IF(C4="FY2026", (Scenarios!D3+Scenarios!E3)*BaselineCalc!$B$22,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6907.7272983046851</v>
      </c>
      <c r="H5" s="2">
        <f>YearMap!C5</f>
        <v>1512280.5948251483</v>
      </c>
      <c r="I5" s="2">
        <f>YearMap!D5</f>
        <v>1741770.6461799373</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1512280.5948251483</v>
      </c>
      <c r="S5" s="2">
        <f>IF(Scenarios!E3=1, Q5*I5, I5)</f>
        <v>1741770.6461799373</v>
      </c>
      <c r="T5" s="2">
        <f>IF(C5="FY2026", (Scenarios!D3+Scenarios!E3)*BaselineCalc!$B$22,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7080.4204807623018</v>
      </c>
      <c r="H6" s="2">
        <f>YearMap!C6</f>
        <v>1550087.6096957768</v>
      </c>
      <c r="I6" s="2">
        <f>YearMap!D6</f>
        <v>1785314.9123344356</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1550087.6096957768</v>
      </c>
      <c r="S6" s="2">
        <f>IF(Scenarios!E3=1, Q6*I6, I6)</f>
        <v>1785314.9123344356</v>
      </c>
      <c r="T6" s="2">
        <f>IF(C6="FY2026", (Scenarios!D3+Scenarios!E3)*BaselineCalc!$B$22,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6414.5114999999987</v>
      </c>
      <c r="H7" s="2">
        <f>YearMap!C2</f>
        <v>1404302.8695</v>
      </c>
      <c r="I7" s="2">
        <f>YearMap!D2</f>
        <v>1617407.196</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1404302.8695</v>
      </c>
      <c r="S7" s="2">
        <f>IF(Scenarios!E4=1, Q7*I7, I7)</f>
        <v>1617407.196</v>
      </c>
      <c r="T7" s="2">
        <f>IF(C7="FY2026", (Scenarios!D4+Scenarios!E4)*BaselineCalc!$B$22,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6574.8742874999989</v>
      </c>
      <c r="H8" s="2">
        <f>YearMap!C3</f>
        <v>1439410.4412375002</v>
      </c>
      <c r="I8" s="2">
        <f>YearMap!D3</f>
        <v>1657842.3759000003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1439410.4412375002</v>
      </c>
      <c r="S8" s="2">
        <f>IF(Scenarios!E4=1, Q8*I8, I8)</f>
        <v>1657842.3759000003</v>
      </c>
      <c r="T8" s="2">
        <f>IF(C8="FY2026", (Scenarios!D4+Scenarios!E4)*BaselineCalc!$B$22,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6739.2461446874986</v>
      </c>
      <c r="H9" s="2">
        <f>YearMap!C4</f>
        <v>1475395.7022684375</v>
      </c>
      <c r="I9" s="2">
        <f>YearMap!D4</f>
        <v>1699288.4352975001</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1475395.7022684375</v>
      </c>
      <c r="S9" s="2">
        <f>IF(Scenarios!E4=1, Q9*I9, I9)</f>
        <v>1699288.4352975001</v>
      </c>
      <c r="T9" s="2">
        <f>IF(C9="FY2026", (Scenarios!D4+Scenarios!E4)*BaselineCalc!$B$22,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6907.7272983046851</v>
      </c>
      <c r="H10" s="2">
        <f>YearMap!C5</f>
        <v>1512280.5948251483</v>
      </c>
      <c r="I10" s="2">
        <f>YearMap!D5</f>
        <v>1741770.6461799373</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1512280.5948251483</v>
      </c>
      <c r="S10" s="2">
        <f>IF(Scenarios!E4=1, Q10*I10, I10)</f>
        <v>1741770.6461799373</v>
      </c>
      <c r="T10" s="2">
        <f>IF(C10="FY2026", (Scenarios!D4+Scenarios!E4)*BaselineCalc!$B$22,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7080.4204807623018</v>
      </c>
      <c r="H11" s="2">
        <f>YearMap!C6</f>
        <v>1550087.6096957768</v>
      </c>
      <c r="I11" s="2">
        <f>YearMap!D6</f>
        <v>1785314.9123344356</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1550087.6096957768</v>
      </c>
      <c r="S11" s="2">
        <f>IF(Scenarios!E4=1, Q11*I11, I11)</f>
        <v>1785314.9123344356</v>
      </c>
      <c r="T11" s="2">
        <f>IF(C11="FY2026", (Scenarios!D4+Scenarios!E4)*BaselineCalc!$B$22,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6414.5114999999987</v>
      </c>
      <c r="H12" s="2">
        <f>YearMap!C2</f>
        <v>1404302.8695</v>
      </c>
      <c r="I12" s="2">
        <f>YearMap!D2</f>
        <v>1617407.196</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1404302.8695</v>
      </c>
      <c r="S12" s="2">
        <f>IF(Scenarios!E5=1, Q12*I12, I12)</f>
        <v>1617407.196</v>
      </c>
      <c r="T12" s="2">
        <f>IF(C12="FY2026", (Scenarios!D5+Scenarios!E5)*BaselineCalc!$B$22,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6574.8742874999989</v>
      </c>
      <c r="H13" s="2">
        <f>YearMap!C3</f>
        <v>1439410.4412375002</v>
      </c>
      <c r="I13" s="2">
        <f>YearMap!D3</f>
        <v>1657842.3759000003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1439410.4412375002</v>
      </c>
      <c r="S13" s="2">
        <f>IF(Scenarios!E5=1, Q13*I13, I13)</f>
        <v>1657842.3759000003</v>
      </c>
      <c r="T13" s="2">
        <f>IF(C13="FY2026", (Scenarios!D5+Scenarios!E5)*BaselineCalc!$B$22,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6739.2461446874986</v>
      </c>
      <c r="H14" s="2">
        <f>YearMap!C4</f>
        <v>1475395.7022684375</v>
      </c>
      <c r="I14" s="2">
        <f>YearMap!D4</f>
        <v>1699288.4352975001</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1475395.7022684375</v>
      </c>
      <c r="S14" s="2">
        <f>IF(Scenarios!E5=1, Q14*I14, I14)</f>
        <v>1699288.4352975001</v>
      </c>
      <c r="T14" s="2">
        <f>IF(C14="FY2026", (Scenarios!D5+Scenarios!E5)*BaselineCalc!$B$22,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6907.7272983046851</v>
      </c>
      <c r="H15" s="2">
        <f>YearMap!C5</f>
        <v>1512280.5948251483</v>
      </c>
      <c r="I15" s="2">
        <f>YearMap!D5</f>
        <v>1741770.6461799373</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1512280.5948251483</v>
      </c>
      <c r="S15" s="2">
        <f>IF(Scenarios!E5=1, Q15*I15, I15)</f>
        <v>1741770.6461799373</v>
      </c>
      <c r="T15" s="2">
        <f>IF(C15="FY2026", (Scenarios!D5+Scenarios!E5)*BaselineCalc!$B$22,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7080.4204807623018</v>
      </c>
      <c r="H16" s="2">
        <f>YearMap!C6</f>
        <v>1550087.6096957768</v>
      </c>
      <c r="I16" s="2">
        <f>YearMap!D6</f>
        <v>1785314.9123344356</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1550087.6096957768</v>
      </c>
      <c r="S16" s="2">
        <f>IF(Scenarios!E5=1, Q16*I16, I16)</f>
        <v>1785314.9123344356</v>
      </c>
      <c r="T16" s="2">
        <f>IF(C16="FY2026", (Scenarios!D5+Scenarios!E5)*BaselineCalc!$B$22,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6414.5114999999987</v>
      </c>
      <c r="H17" s="2">
        <f>YearMap!C2</f>
        <v>1404302.8695</v>
      </c>
      <c r="I17" s="2">
        <f>YearMap!D2</f>
        <v>1617407.196</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1404302.8695</v>
      </c>
      <c r="S17" s="2">
        <f>IF(Scenarios!E6=1, Q17*I17, I17)</f>
        <v>1617407.196</v>
      </c>
      <c r="T17" s="2">
        <f>IF(C17="FY2026", (Scenarios!D6+Scenarios!E6)*BaselineCalc!$B$22,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6574.8742874999989</v>
      </c>
      <c r="H18" s="2">
        <f>YearMap!C3</f>
        <v>1439410.4412375002</v>
      </c>
      <c r="I18" s="2">
        <f>YearMap!D3</f>
        <v>1657842.3759000003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1439410.4412375002</v>
      </c>
      <c r="S18" s="2">
        <f>IF(Scenarios!E6=1, Q18*I18, I18)</f>
        <v>1657842.3759000003</v>
      </c>
      <c r="T18" s="2">
        <f>IF(C18="FY2026", (Scenarios!D6+Scenarios!E6)*BaselineCalc!$B$22,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6739.2461446874986</v>
      </c>
      <c r="H19" s="2">
        <f>YearMap!C4</f>
        <v>1475395.7022684375</v>
      </c>
      <c r="I19" s="2">
        <f>YearMap!D4</f>
        <v>1699288.4352975001</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1475395.7022684375</v>
      </c>
      <c r="S19" s="2">
        <f>IF(Scenarios!E6=1, Q19*I19, I19)</f>
        <v>1699288.4352975001</v>
      </c>
      <c r="T19" s="2">
        <f>IF(C19="FY2026", (Scenarios!D6+Scenarios!E6)*BaselineCalc!$B$22,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6907.7272983046851</v>
      </c>
      <c r="H20" s="2">
        <f>YearMap!C5</f>
        <v>1512280.5948251483</v>
      </c>
      <c r="I20" s="2">
        <f>YearMap!D5</f>
        <v>1741770.6461799373</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1512280.5948251483</v>
      </c>
      <c r="S20" s="2">
        <f>IF(Scenarios!E6=1, Q20*I20, I20)</f>
        <v>1741770.6461799373</v>
      </c>
      <c r="T20" s="2">
        <f>IF(C20="FY2026", (Scenarios!D6+Scenarios!E6)*BaselineCalc!$B$22,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7080.4204807623018</v>
      </c>
      <c r="H21" s="2">
        <f>YearMap!C6</f>
        <v>1550087.6096957768</v>
      </c>
      <c r="I21" s="2">
        <f>YearMap!D6</f>
        <v>1785314.9123344356</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1550087.6096957768</v>
      </c>
      <c r="S21" s="2">
        <f>IF(Scenarios!E6=1, Q21*I21, I21)</f>
        <v>1785314.9123344356</v>
      </c>
      <c r="T21" s="2">
        <f>IF(C21="FY2026", (Scenarios!D6+Scenarios!E6)*BaselineCalc!$B$22,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6414.5114999999987</v>
      </c>
      <c r="H22" s="2">
        <f>YearMap!C2</f>
        <v>1404302.8695</v>
      </c>
      <c r="I22" s="2">
        <f>YearMap!D2</f>
        <v>1617407.196</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1404302.8695</v>
      </c>
      <c r="S22" s="2">
        <f>IF(Scenarios!E7=1, Q22*I22, I22)</f>
        <v>1617407.196</v>
      </c>
      <c r="T22" s="2">
        <f>IF(C22="FY2026", (Scenarios!D7+Scenarios!E7)*BaselineCalc!$B$22,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6574.8742874999989</v>
      </c>
      <c r="H23" s="2">
        <f>YearMap!C3</f>
        <v>1439410.4412375002</v>
      </c>
      <c r="I23" s="2">
        <f>YearMap!D3</f>
        <v>1657842.3759000003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1439410.4412375002</v>
      </c>
      <c r="S23" s="2">
        <f>IF(Scenarios!E7=1, Q23*I23, I23)</f>
        <v>1657842.3759000003</v>
      </c>
      <c r="T23" s="2">
        <f>IF(C23="FY2026", (Scenarios!D7+Scenarios!E7)*BaselineCalc!$B$22,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6739.2461446874986</v>
      </c>
      <c r="H24" s="2">
        <f>YearMap!C4</f>
        <v>1475395.7022684375</v>
      </c>
      <c r="I24" s="2">
        <f>YearMap!D4</f>
        <v>1699288.4352975001</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1475395.7022684375</v>
      </c>
      <c r="S24" s="2">
        <f>IF(Scenarios!E7=1, Q24*I24, I24)</f>
        <v>1699288.4352975001</v>
      </c>
      <c r="T24" s="2">
        <f>IF(C24="FY2026", (Scenarios!D7+Scenarios!E7)*BaselineCalc!$B$22,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6907.7272983046851</v>
      </c>
      <c r="H25" s="2">
        <f>YearMap!C5</f>
        <v>1512280.5948251483</v>
      </c>
      <c r="I25" s="2">
        <f>YearMap!D5</f>
        <v>1741770.6461799373</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1512280.5948251483</v>
      </c>
      <c r="S25" s="2">
        <f>IF(Scenarios!E7=1, Q25*I25, I25)</f>
        <v>1741770.6461799373</v>
      </c>
      <c r="T25" s="2">
        <f>IF(C25="FY2026", (Scenarios!D7+Scenarios!E7)*BaselineCalc!$B$22,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7080.4204807623018</v>
      </c>
      <c r="H26" s="2">
        <f>YearMap!C6</f>
        <v>1550087.6096957768</v>
      </c>
      <c r="I26" s="2">
        <f>YearMap!D6</f>
        <v>1785314.9123344356</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1550087.6096957768</v>
      </c>
      <c r="S26" s="2">
        <f>IF(Scenarios!E7=1, Q26*I26, I26)</f>
        <v>1785314.9123344356</v>
      </c>
      <c r="T26" s="2">
        <f>IF(C26="FY2026", (Scenarios!D7+Scenarios!E7)*BaselineCalc!$B$22,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6414.5114999999987</v>
      </c>
      <c r="H27" s="2">
        <f>YearMap!C2</f>
        <v>1404302.8695</v>
      </c>
      <c r="I27" s="2">
        <f>YearMap!D2</f>
        <v>1617407.196</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1404302.8695</v>
      </c>
      <c r="S27" s="2">
        <f>IF(Scenarios!E8=1, Q27*I27, I27)</f>
        <v>1617407.196</v>
      </c>
      <c r="T27" s="2">
        <f>IF(C27="FY2026", (Scenarios!D8+Scenarios!E8)*BaselineCalc!$B$22,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6574.8742874999989</v>
      </c>
      <c r="H28" s="2">
        <f>YearMap!C3</f>
        <v>1439410.4412375002</v>
      </c>
      <c r="I28" s="2">
        <f>YearMap!D3</f>
        <v>1657842.3759000003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1439410.4412375002</v>
      </c>
      <c r="S28" s="2">
        <f>IF(Scenarios!E8=1, Q28*I28, I28)</f>
        <v>1657842.3759000003</v>
      </c>
      <c r="T28" s="2">
        <f>IF(C28="FY2026", (Scenarios!D8+Scenarios!E8)*BaselineCalc!$B$22,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6739.2461446874986</v>
      </c>
      <c r="H29" s="2">
        <f>YearMap!C4</f>
        <v>1475395.7022684375</v>
      </c>
      <c r="I29" s="2">
        <f>YearMap!D4</f>
        <v>1699288.4352975001</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1475395.7022684375</v>
      </c>
      <c r="S29" s="2">
        <f>IF(Scenarios!E8=1, Q29*I29, I29)</f>
        <v>1699288.4352975001</v>
      </c>
      <c r="T29" s="2">
        <f>IF(C29="FY2026", (Scenarios!D8+Scenarios!E8)*BaselineCalc!$B$22,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6907.7272983046851</v>
      </c>
      <c r="H30" s="2">
        <f>YearMap!C5</f>
        <v>1512280.5948251483</v>
      </c>
      <c r="I30" s="2">
        <f>YearMap!D5</f>
        <v>1741770.6461799373</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1512280.5948251483</v>
      </c>
      <c r="S30" s="2">
        <f>IF(Scenarios!E8=1, Q30*I30, I30)</f>
        <v>1741770.6461799373</v>
      </c>
      <c r="T30" s="2">
        <f>IF(C30="FY2026", (Scenarios!D8+Scenarios!E8)*BaselineCalc!$B$22,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7080.4204807623018</v>
      </c>
      <c r="H31" s="2">
        <f>YearMap!C6</f>
        <v>1550087.6096957768</v>
      </c>
      <c r="I31" s="2">
        <f>YearMap!D6</f>
        <v>1785314.9123344356</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1550087.6096957768</v>
      </c>
      <c r="S31" s="2">
        <f>IF(Scenarios!E8=1, Q31*I31, I31)</f>
        <v>1785314.9123344356</v>
      </c>
      <c r="T31" s="2">
        <f>IF(C31="FY2026", (Scenarios!D8+Scenarios!E8)*BaselineCalc!$B$22,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6414.5114999999987</v>
      </c>
      <c r="H32" s="2">
        <f>YearMap!C2</f>
        <v>1404302.8695</v>
      </c>
      <c r="I32" s="2">
        <f>YearMap!D2</f>
        <v>1617407.196</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280860.57390000002</v>
      </c>
      <c r="S32" s="2">
        <f>IF(Scenarios!E9=1, Q32*I32, I32)</f>
        <v>323481.43920000002</v>
      </c>
      <c r="T32" s="2">
        <f>IF(C32="FY2026", (Scenarios!D9+Scenarios!E9)*BaselineCalc!$B$22,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6574.8742874999989</v>
      </c>
      <c r="H33" s="2">
        <f>YearMap!C3</f>
        <v>1439410.4412375002</v>
      </c>
      <c r="I33" s="2">
        <f>YearMap!D3</f>
        <v>1657842.3759000003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287882.08824750007</v>
      </c>
      <c r="S33" s="2">
        <f>IF(Scenarios!E9=1, Q33*I33, I33)</f>
        <v>331568.47518000007</v>
      </c>
      <c r="T33" s="2">
        <f>IF(C33="FY2026", (Scenarios!D9+Scenarios!E9)*BaselineCalc!$B$22,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6739.2461446874986</v>
      </c>
      <c r="H34" s="2">
        <f>YearMap!C4</f>
        <v>1475395.7022684375</v>
      </c>
      <c r="I34" s="2">
        <f>YearMap!D4</f>
        <v>1699288.4352975001</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221309.35534026561</v>
      </c>
      <c r="S34" s="2">
        <f>IF(Scenarios!E9=1, Q34*I34, I34)</f>
        <v>254893.26529462502</v>
      </c>
      <c r="T34" s="2">
        <f>IF(C34="FY2026", (Scenarios!D9+Scenarios!E9)*BaselineCalc!$B$22,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6907.7272983046851</v>
      </c>
      <c r="H35" s="2">
        <f>YearMap!C5</f>
        <v>1512280.5948251483</v>
      </c>
      <c r="I35" s="2">
        <f>YearMap!D5</f>
        <v>1741770.6461799373</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151228.05948251483</v>
      </c>
      <c r="S35" s="2">
        <f>IF(Scenarios!E9=1, Q35*I35, I35)</f>
        <v>174177.06461799375</v>
      </c>
      <c r="T35" s="2">
        <f>IF(C35="FY2026", (Scenarios!D9+Scenarios!E9)*BaselineCalc!$B$22,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7080.4204807623018</v>
      </c>
      <c r="H36" s="2">
        <f>YearMap!C6</f>
        <v>1550087.6096957768</v>
      </c>
      <c r="I36" s="2">
        <f>YearMap!D6</f>
        <v>1785314.9123344356</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155008.76096957768</v>
      </c>
      <c r="S36" s="2">
        <f>IF(Scenarios!E9=1, Q36*I36, I36)</f>
        <v>178531.49123344358</v>
      </c>
      <c r="T36" s="2">
        <f>IF(C36="FY2026", (Scenarios!D9+Scenarios!E9)*BaselineCalc!$B$22,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6414.5114999999987</v>
      </c>
      <c r="H37" s="2">
        <f>YearMap!C2</f>
        <v>1404302.8695</v>
      </c>
      <c r="I37" s="2">
        <f>YearMap!D2</f>
        <v>1617407.196</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631936.29127500008</v>
      </c>
      <c r="S37" s="2">
        <f>IF(Scenarios!E10=1, Q37*I37, I37)</f>
        <v>727833.23820000002</v>
      </c>
      <c r="T37" s="2">
        <f>IF(C37="FY2026", (Scenarios!D10+Scenarios!E10)*BaselineCalc!$B$22,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6574.8742874999989</v>
      </c>
      <c r="H38" s="2">
        <f>YearMap!C3</f>
        <v>1439410.4412375002</v>
      </c>
      <c r="I38" s="2">
        <f>YearMap!D3</f>
        <v>1657842.3759000003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575764.17649500014</v>
      </c>
      <c r="S38" s="2">
        <f>IF(Scenarios!E10=1, Q38*I38, I38)</f>
        <v>663136.95036000013</v>
      </c>
      <c r="T38" s="2">
        <f>IF(C38="FY2026", (Scenarios!D10+Scenarios!E10)*BaselineCalc!$B$22,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6739.2461446874986</v>
      </c>
      <c r="H39" s="2">
        <f>YearMap!C4</f>
        <v>1475395.7022684375</v>
      </c>
      <c r="I39" s="2">
        <f>YearMap!D4</f>
        <v>1699288.4352975001</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516388.49579395307</v>
      </c>
      <c r="S39" s="2">
        <f>IF(Scenarios!E10=1, Q39*I39, I39)</f>
        <v>594750.95235412498</v>
      </c>
      <c r="T39" s="2">
        <f>IF(C39="FY2026", (Scenarios!D10+Scenarios!E10)*BaselineCalc!$B$22,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6907.7272983046851</v>
      </c>
      <c r="H40" s="2">
        <f>YearMap!C5</f>
        <v>1512280.5948251483</v>
      </c>
      <c r="I40" s="2">
        <f>YearMap!D5</f>
        <v>1741770.6461799373</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453684.17844754452</v>
      </c>
      <c r="S40" s="2">
        <f>IF(Scenarios!E10=1, Q40*I40, I40)</f>
        <v>522531.19385398115</v>
      </c>
      <c r="T40" s="2">
        <f>IF(C40="FY2026", (Scenarios!D10+Scenarios!E10)*BaselineCalc!$B$22,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7080.4204807623018</v>
      </c>
      <c r="H41" s="2">
        <f>YearMap!C6</f>
        <v>1550087.6096957768</v>
      </c>
      <c r="I41" s="2">
        <f>YearMap!D6</f>
        <v>1785314.9123344356</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465026.28290873306</v>
      </c>
      <c r="S41" s="2">
        <f>IF(Scenarios!E10=1, Q41*I41, I41)</f>
        <v>535594.47370033071</v>
      </c>
      <c r="T41" s="2">
        <f>IF(C41="FY2026", (Scenarios!D10+Scenarios!E10)*BaselineCalc!$B$22,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296</v>
      </c>
      <c r="F42">
        <f t="shared" si="11"/>
        <v>296</v>
      </c>
      <c r="G42" s="2">
        <f>YearMap!B2</f>
        <v>6414.5114999999987</v>
      </c>
      <c r="H42" s="2">
        <f>YearMap!C2</f>
        <v>1404302.8695</v>
      </c>
      <c r="I42" s="2">
        <f>YearMap!D2</f>
        <v>1617407.196</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296</v>
      </c>
      <c r="N42" s="11">
        <f t="shared" si="12"/>
        <v>257</v>
      </c>
      <c r="O42" s="11">
        <f>(Parameters_Public!$C$23*(L42-D42)+Parameters_Public!$C$24*(M42-E42))</f>
        <v>154.19999999999999</v>
      </c>
      <c r="P42">
        <f>YearMap!E2</f>
        <v>1000</v>
      </c>
      <c r="Q42">
        <f>IF(Scenarios!N11="lease", YearMap!F2, YearMap!G2)</f>
        <v>0.2</v>
      </c>
      <c r="R42" s="2">
        <f>IF(Scenarios!D11=1, Q42*H42, H42)</f>
        <v>280860.57390000002</v>
      </c>
      <c r="S42" s="2">
        <f>IF(Scenarios!E11=1, Q42*I42, I42)</f>
        <v>1617407.196</v>
      </c>
      <c r="T42" s="2">
        <f>IF(C42="FY2026", (Scenarios!D11+Scenarios!E11)*BaselineCalc!$B$22,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296</v>
      </c>
      <c r="F43">
        <f t="shared" si="11"/>
        <v>296</v>
      </c>
      <c r="G43" s="2">
        <f>YearMap!B3</f>
        <v>6574.8742874999989</v>
      </c>
      <c r="H43" s="2">
        <f>YearMap!C3</f>
        <v>1439410.4412375002</v>
      </c>
      <c r="I43" s="2">
        <f>YearMap!D3</f>
        <v>1657842.3759000003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296</v>
      </c>
      <c r="N43" s="11">
        <f t="shared" si="12"/>
        <v>257</v>
      </c>
      <c r="O43" s="11">
        <f>(Parameters_Public!$C$23*(L43-D43)+Parameters_Public!$C$24*(M43-E43))</f>
        <v>154.19999999999999</v>
      </c>
      <c r="P43">
        <f>YearMap!E3</f>
        <v>800</v>
      </c>
      <c r="Q43">
        <f>IF(Scenarios!N11="lease", YearMap!F3, YearMap!G3)</f>
        <v>0.2</v>
      </c>
      <c r="R43" s="2">
        <f>IF(Scenarios!D11=1, Q43*H43, H43)</f>
        <v>287882.08824750007</v>
      </c>
      <c r="S43" s="2">
        <f>IF(Scenarios!E11=1, Q43*I43, I43)</f>
        <v>1657842.3759000003</v>
      </c>
      <c r="T43" s="2">
        <f>IF(C43="FY2026", (Scenarios!D11+Scenarios!E11)*BaselineCalc!$B$22,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296</v>
      </c>
      <c r="F44">
        <f t="shared" si="11"/>
        <v>296</v>
      </c>
      <c r="G44" s="2">
        <f>YearMap!B4</f>
        <v>6739.2461446874986</v>
      </c>
      <c r="H44" s="2">
        <f>YearMap!C4</f>
        <v>1475395.7022684375</v>
      </c>
      <c r="I44" s="2">
        <f>YearMap!D4</f>
        <v>1699288.4352975001</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296</v>
      </c>
      <c r="N44" s="11">
        <f t="shared" si="12"/>
        <v>257</v>
      </c>
      <c r="O44" s="11">
        <f>(Parameters_Public!$C$23*(L44-D44)+Parameters_Public!$C$24*(M44-E44))</f>
        <v>154.19999999999999</v>
      </c>
      <c r="P44">
        <f>YearMap!E4</f>
        <v>600</v>
      </c>
      <c r="Q44">
        <f>IF(Scenarios!N11="lease", YearMap!F4, YearMap!G4)</f>
        <v>0.15</v>
      </c>
      <c r="R44" s="2">
        <f>IF(Scenarios!D11=1, Q44*H44, H44)</f>
        <v>221309.35534026561</v>
      </c>
      <c r="S44" s="2">
        <f>IF(Scenarios!E11=1, Q44*I44, I44)</f>
        <v>1699288.4352975001</v>
      </c>
      <c r="T44" s="2">
        <f>IF(C44="FY2026", (Scenarios!D11+Scenarios!E11)*BaselineCalc!$B$22,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296</v>
      </c>
      <c r="F45">
        <f t="shared" si="11"/>
        <v>296</v>
      </c>
      <c r="G45" s="2">
        <f>YearMap!B5</f>
        <v>6907.7272983046851</v>
      </c>
      <c r="H45" s="2">
        <f>YearMap!C5</f>
        <v>1512280.5948251483</v>
      </c>
      <c r="I45" s="2">
        <f>YearMap!D5</f>
        <v>1741770.6461799373</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296</v>
      </c>
      <c r="N45" s="11">
        <f t="shared" si="12"/>
        <v>257</v>
      </c>
      <c r="O45" s="11">
        <f>(Parameters_Public!$C$23*(L45-D45)+Parameters_Public!$C$24*(M45-E45))</f>
        <v>154.19999999999999</v>
      </c>
      <c r="P45">
        <f>YearMap!E5</f>
        <v>500</v>
      </c>
      <c r="Q45">
        <f>IF(Scenarios!N11="lease", YearMap!F5, YearMap!G5)</f>
        <v>0.1</v>
      </c>
      <c r="R45" s="2">
        <f>IF(Scenarios!D11=1, Q45*H45, H45)</f>
        <v>151228.05948251483</v>
      </c>
      <c r="S45" s="2">
        <f>IF(Scenarios!E11=1, Q45*I45, I45)</f>
        <v>1741770.6461799373</v>
      </c>
      <c r="T45" s="2">
        <f>IF(C45="FY2026", (Scenarios!D11+Scenarios!E11)*BaselineCalc!$B$22,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296</v>
      </c>
      <c r="F46">
        <f t="shared" si="11"/>
        <v>296</v>
      </c>
      <c r="G46" s="2">
        <f>YearMap!B6</f>
        <v>7080.4204807623018</v>
      </c>
      <c r="H46" s="2">
        <f>YearMap!C6</f>
        <v>1550087.6096957768</v>
      </c>
      <c r="I46" s="2">
        <f>YearMap!D6</f>
        <v>1785314.9123344356</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296</v>
      </c>
      <c r="N46" s="11">
        <f t="shared" si="12"/>
        <v>257</v>
      </c>
      <c r="O46" s="11">
        <f>(Parameters_Public!$C$23*(L46-D46)+Parameters_Public!$C$24*(M46-E46))</f>
        <v>154.19999999999999</v>
      </c>
      <c r="P46">
        <f>YearMap!E6</f>
        <v>300</v>
      </c>
      <c r="Q46">
        <f>IF(Scenarios!N11="lease", YearMap!F6, YearMap!G6)</f>
        <v>0.1</v>
      </c>
      <c r="R46" s="2">
        <f>IF(Scenarios!D11=1, Q46*H46, H46)</f>
        <v>155008.76096957768</v>
      </c>
      <c r="S46" s="2">
        <f>IF(Scenarios!E11=1, Q46*I46, I46)</f>
        <v>1785314.9123344356</v>
      </c>
      <c r="T46" s="2">
        <f>IF(C46="FY2026", (Scenarios!D11+Scenarios!E11)*BaselineCalc!$B$22,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6414.5114999999987</v>
      </c>
      <c r="H47" s="2">
        <f>YearMap!C2</f>
        <v>1404302.8695</v>
      </c>
      <c r="I47" s="2">
        <f>YearMap!D2</f>
        <v>1617407.196</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631936.29127500008</v>
      </c>
      <c r="S47" s="2">
        <f>IF(Scenarios!E12=1, Q47*I47, I47)</f>
        <v>1617407.196</v>
      </c>
      <c r="T47" s="2">
        <f>IF(C47="FY2026", (Scenarios!D12+Scenarios!E12)*BaselineCalc!$B$22,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6574.8742874999989</v>
      </c>
      <c r="H48" s="2">
        <f>YearMap!C3</f>
        <v>1439410.4412375002</v>
      </c>
      <c r="I48" s="2">
        <f>YearMap!D3</f>
        <v>1657842.3759000003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575764.17649500014</v>
      </c>
      <c r="S48" s="2">
        <f>IF(Scenarios!E12=1, Q48*I48, I48)</f>
        <v>1657842.3759000003</v>
      </c>
      <c r="T48" s="2">
        <f>IF(C48="FY2026", (Scenarios!D12+Scenarios!E12)*BaselineCalc!$B$22,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6739.2461446874986</v>
      </c>
      <c r="H49" s="2">
        <f>YearMap!C4</f>
        <v>1475395.7022684375</v>
      </c>
      <c r="I49" s="2">
        <f>YearMap!D4</f>
        <v>1699288.4352975001</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516388.49579395307</v>
      </c>
      <c r="S49" s="2">
        <f>IF(Scenarios!E12=1, Q49*I49, I49)</f>
        <v>1699288.4352975001</v>
      </c>
      <c r="T49" s="2">
        <f>IF(C49="FY2026", (Scenarios!D12+Scenarios!E12)*BaselineCalc!$B$22,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6907.7272983046851</v>
      </c>
      <c r="H50" s="2">
        <f>YearMap!C5</f>
        <v>1512280.5948251483</v>
      </c>
      <c r="I50" s="2">
        <f>YearMap!D5</f>
        <v>1741770.6461799373</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453684.17844754452</v>
      </c>
      <c r="S50" s="2">
        <f>IF(Scenarios!E12=1, Q50*I50, I50)</f>
        <v>1741770.6461799373</v>
      </c>
      <c r="T50" s="2">
        <f>IF(C50="FY2026", (Scenarios!D12+Scenarios!E12)*BaselineCalc!$B$22,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7080.4204807623018</v>
      </c>
      <c r="H51" s="2">
        <f>YearMap!C6</f>
        <v>1550087.6096957768</v>
      </c>
      <c r="I51" s="2">
        <f>YearMap!D6</f>
        <v>1785314.9123344356</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465026.28290873306</v>
      </c>
      <c r="S51" s="2">
        <f>IF(Scenarios!E12=1, Q51*I51, I51)</f>
        <v>1785314.9123344356</v>
      </c>
      <c r="T51" s="2">
        <f>IF(C51="FY2026", (Scenarios!D12+Scenarios!E12)*BaselineCalc!$B$22,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257</v>
      </c>
      <c r="E52">
        <f>IF(Scenarios!E13=1,0, M52)</f>
        <v>0</v>
      </c>
      <c r="F52">
        <f t="shared" si="11"/>
        <v>257</v>
      </c>
      <c r="G52" s="2">
        <f>YearMap!B2</f>
        <v>6414.5114999999987</v>
      </c>
      <c r="H52" s="2">
        <f>YearMap!C2</f>
        <v>1404302.8695</v>
      </c>
      <c r="I52" s="2">
        <f>YearMap!D2</f>
        <v>1617407.196</v>
      </c>
      <c r="J52">
        <f>1-BaselineCalc!$B$5</f>
        <v>0.99299999999999999</v>
      </c>
      <c r="K52">
        <f>Scenarios!G13</f>
        <v>0</v>
      </c>
      <c r="L52">
        <f>IF(Scenarios!$Q13=1,BaselineCalc!$B$7*(1+Parameters_Public!$C44)^(IF($C52="FY2026",0,IF($C52="FY2027",1,IF($C52="FY2028",2,IF($C52="FY2029",3,IF($C52="FY2030",4,0))))))+ROUND(Scenarios!I13*Scenarios!$F13,0),BaselineCalc!$B$7+ROUND(Scenarios!I13*Scenarios!$F13,0))</f>
        <v>257</v>
      </c>
      <c r="M52">
        <f>IF(Scenarios!$R13=1,BaselineCalc!$B$8*(1+Parameters_Public!$C45)^(IF($C52="FY2026",0,IF($C52="FY2027",1,IF($C52="FY2028",2,IF($C52="FY2029",3,IF($C52="FY2030",4,0))))))+Scenarios!I13-ROUND(Scenarios!I13*Scenarios!$F13,0),BaselineCalc!$B$8+Scenarios!I13-ROUND(Scenarios!I13*Scenarios!$F13,0))</f>
        <v>296</v>
      </c>
      <c r="N52" s="11">
        <f t="shared" si="12"/>
        <v>296</v>
      </c>
      <c r="O52" s="11">
        <f>(Parameters_Public!$C$23*(L52-D52)+Parameters_Public!$C$24*(M52-E52))</f>
        <v>251.6</v>
      </c>
      <c r="P52">
        <f>YearMap!E2</f>
        <v>1000</v>
      </c>
      <c r="Q52">
        <f>IF(Scenarios!N13="lease", YearMap!F2, YearMap!G2)</f>
        <v>0.2</v>
      </c>
      <c r="R52" s="2">
        <f>IF(Scenarios!D13=1, Q52*H52, H52)</f>
        <v>1404302.8695</v>
      </c>
      <c r="S52" s="2">
        <f>IF(Scenarios!E13=1, Q52*I52, I52)</f>
        <v>323481.43920000002</v>
      </c>
      <c r="T52" s="2">
        <f>IF(C52="FY2026", (Scenarios!D13+Scenarios!E13)*BaselineCalc!$B$22,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257</v>
      </c>
      <c r="E53">
        <f>IF(Scenarios!E13=1,0, M53)</f>
        <v>0</v>
      </c>
      <c r="F53">
        <f t="shared" si="11"/>
        <v>257</v>
      </c>
      <c r="G53" s="2">
        <f>YearMap!B3</f>
        <v>6574.8742874999989</v>
      </c>
      <c r="H53" s="2">
        <f>YearMap!C3</f>
        <v>1439410.4412375002</v>
      </c>
      <c r="I53" s="2">
        <f>YearMap!D3</f>
        <v>1657842.3759000003</v>
      </c>
      <c r="J53">
        <f>1-BaselineCalc!$B$5</f>
        <v>0.99299999999999999</v>
      </c>
      <c r="K53">
        <f>Scenarios!G13</f>
        <v>0</v>
      </c>
      <c r="L53">
        <f>IF(Scenarios!$Q13=1,BaselineCalc!$B$7*(1+Parameters_Public!$C44)^(IF($C53="FY2026",0,IF($C53="FY2027",1,IF($C53="FY2028",2,IF($C53="FY2029",3,IF($C53="FY2030",4,0))))))+ROUND(Scenarios!J13*Scenarios!$F13,0),BaselineCalc!$B$7+ROUND(Scenarios!J13*Scenarios!$F13,0))</f>
        <v>257</v>
      </c>
      <c r="M53">
        <f>IF(Scenarios!$R13=1,BaselineCalc!$B$8*(1+Parameters_Public!$C45)^(IF($C53="FY2026",0,IF($C53="FY2027",1,IF($C53="FY2028",2,IF($C53="FY2029",3,IF($C53="FY2030",4,0))))))+Scenarios!J13-ROUND(Scenarios!J13*Scenarios!$F13,0),BaselineCalc!$B$8+Scenarios!J13-ROUND(Scenarios!J13*Scenarios!$F13,0))</f>
        <v>296</v>
      </c>
      <c r="N53" s="11">
        <f t="shared" si="12"/>
        <v>296</v>
      </c>
      <c r="O53" s="11">
        <f>(Parameters_Public!$C$23*(L53-D53)+Parameters_Public!$C$24*(M53-E53))</f>
        <v>251.6</v>
      </c>
      <c r="P53">
        <f>YearMap!E3</f>
        <v>800</v>
      </c>
      <c r="Q53">
        <f>IF(Scenarios!N13="lease", YearMap!F3, YearMap!G3)</f>
        <v>0.2</v>
      </c>
      <c r="R53" s="2">
        <f>IF(Scenarios!D13=1, Q53*H53, H53)</f>
        <v>1439410.4412375002</v>
      </c>
      <c r="S53" s="2">
        <f>IF(Scenarios!E13=1, Q53*I53, I53)</f>
        <v>331568.47518000007</v>
      </c>
      <c r="T53" s="2">
        <f>IF(C53="FY2026", (Scenarios!D13+Scenarios!E13)*BaselineCalc!$B$22,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257</v>
      </c>
      <c r="E54">
        <f>IF(Scenarios!E13=1,0, M54)</f>
        <v>0</v>
      </c>
      <c r="F54">
        <f t="shared" si="11"/>
        <v>257</v>
      </c>
      <c r="G54" s="2">
        <f>YearMap!B4</f>
        <v>6739.2461446874986</v>
      </c>
      <c r="H54" s="2">
        <f>YearMap!C4</f>
        <v>1475395.7022684375</v>
      </c>
      <c r="I54" s="2">
        <f>YearMap!D4</f>
        <v>1699288.4352975001</v>
      </c>
      <c r="J54">
        <f>1-BaselineCalc!$B$5</f>
        <v>0.99299999999999999</v>
      </c>
      <c r="K54">
        <f>Scenarios!G13</f>
        <v>0</v>
      </c>
      <c r="L54">
        <f>IF(Scenarios!$Q13=1,BaselineCalc!$B$7*(1+Parameters_Public!$C44)^(IF($C54="FY2026",0,IF($C54="FY2027",1,IF($C54="FY2028",2,IF($C54="FY2029",3,IF($C54="FY2030",4,0))))))+ROUND(Scenarios!K13*Scenarios!$F13,0),BaselineCalc!$B$7+ROUND(Scenarios!K13*Scenarios!$F13,0))</f>
        <v>257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1475395.7022684375</v>
      </c>
      <c r="S54" s="2">
        <f>IF(Scenarios!E13=1, Q54*I54, I54)</f>
        <v>254893.26529462502</v>
      </c>
      <c r="T54" s="2">
        <f>IF(C54="FY2026", (Scenarios!D13+Scenarios!E13)*BaselineCalc!$B$22,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257</v>
      </c>
      <c r="E55">
        <f>IF(Scenarios!E13=1,0, M55)</f>
        <v>0</v>
      </c>
      <c r="F55">
        <f t="shared" si="11"/>
        <v>257</v>
      </c>
      <c r="G55" s="2">
        <f>YearMap!B5</f>
        <v>6907.7272983046851</v>
      </c>
      <c r="H55" s="2">
        <f>YearMap!C5</f>
        <v>1512280.5948251483</v>
      </c>
      <c r="I55" s="2">
        <f>YearMap!D5</f>
        <v>1741770.6461799373</v>
      </c>
      <c r="J55">
        <f>1-BaselineCalc!$B$5</f>
        <v>0.99299999999999999</v>
      </c>
      <c r="K55">
        <f>Scenarios!G13</f>
        <v>0</v>
      </c>
      <c r="L55">
        <f>IF(Scenarios!$Q13=1,BaselineCalc!$B$7*(1+Parameters_Public!$C44)^(IF($C55="FY2026",0,IF($C55="FY2027",1,IF($C55="FY2028",2,IF($C55="FY2029",3,IF($C55="FY2030",4,0))))))+ROUND(Scenarios!L13*Scenarios!$F13,0),BaselineCalc!$B$7+ROUND(Scenarios!L13*Scenarios!$F13,0))</f>
        <v>257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1512280.5948251483</v>
      </c>
      <c r="S55" s="2">
        <f>IF(Scenarios!E13=1, Q55*I55, I55)</f>
        <v>174177.06461799375</v>
      </c>
      <c r="T55" s="2">
        <f>IF(C55="FY2026", (Scenarios!D13+Scenarios!E13)*BaselineCalc!$B$22,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257</v>
      </c>
      <c r="E56">
        <f>IF(Scenarios!E13=1,0, M56)</f>
        <v>0</v>
      </c>
      <c r="F56">
        <f t="shared" si="11"/>
        <v>257</v>
      </c>
      <c r="G56" s="2">
        <f>YearMap!B6</f>
        <v>7080.4204807623018</v>
      </c>
      <c r="H56" s="2">
        <f>YearMap!C6</f>
        <v>1550087.6096957768</v>
      </c>
      <c r="I56" s="2">
        <f>YearMap!D6</f>
        <v>1785314.9123344356</v>
      </c>
      <c r="J56">
        <f>1-BaselineCalc!$B$5</f>
        <v>0.99299999999999999</v>
      </c>
      <c r="K56">
        <f>Scenarios!G13</f>
        <v>0</v>
      </c>
      <c r="L56">
        <f>IF(Scenarios!$Q13=1,BaselineCalc!$B$7*(1+Parameters_Public!$C44)^(IF($C56="FY2026",0,IF($C56="FY2027",1,IF($C56="FY2028",2,IF($C56="FY2029",3,IF($C56="FY2030",4,0))))))+ROUND(Scenarios!M13*Scenarios!$F13,0),BaselineCalc!$B$7+ROUND(Scenarios!M13*Scenarios!$F13,0))</f>
        <v>257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1550087.6096957768</v>
      </c>
      <c r="S56" s="2">
        <f>IF(Scenarios!E13=1, Q56*I56, I56)</f>
        <v>178531.49123344358</v>
      </c>
      <c r="T56" s="2">
        <f>IF(C56="FY2026", (Scenarios!D13+Scenarios!E13)*BaselineCalc!$B$22,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6414.5114999999987</v>
      </c>
      <c r="H57" s="2">
        <f>YearMap!C2</f>
        <v>1404302.8695</v>
      </c>
      <c r="I57" s="2">
        <f>YearMap!D2</f>
        <v>1617407.196</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1404302.8695</v>
      </c>
      <c r="S57" s="2">
        <f>IF(Scenarios!E14=1, Q57*I57, I57)</f>
        <v>727833.23820000002</v>
      </c>
      <c r="T57" s="2">
        <f>IF(C57="FY2026", (Scenarios!D14+Scenarios!E14)*BaselineCalc!$B$22,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6574.8742874999989</v>
      </c>
      <c r="H58" s="2">
        <f>YearMap!C3</f>
        <v>1439410.4412375002</v>
      </c>
      <c r="I58" s="2">
        <f>YearMap!D3</f>
        <v>1657842.3759000003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1439410.4412375002</v>
      </c>
      <c r="S58" s="2">
        <f>IF(Scenarios!E14=1, Q58*I58, I58)</f>
        <v>663136.95036000013</v>
      </c>
      <c r="T58" s="2">
        <f>IF(C58="FY2026", (Scenarios!D14+Scenarios!E14)*BaselineCalc!$B$22,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6739.2461446874986</v>
      </c>
      <c r="H59" s="2">
        <f>YearMap!C4</f>
        <v>1475395.7022684375</v>
      </c>
      <c r="I59" s="2">
        <f>YearMap!D4</f>
        <v>1699288.4352975001</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1475395.7022684375</v>
      </c>
      <c r="S59" s="2">
        <f>IF(Scenarios!E14=1, Q59*I59, I59)</f>
        <v>594750.95235412498</v>
      </c>
      <c r="T59" s="2">
        <f>IF(C59="FY2026", (Scenarios!D14+Scenarios!E14)*BaselineCalc!$B$22,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6907.7272983046851</v>
      </c>
      <c r="H60" s="2">
        <f>YearMap!C5</f>
        <v>1512280.5948251483</v>
      </c>
      <c r="I60" s="2">
        <f>YearMap!D5</f>
        <v>1741770.6461799373</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1512280.5948251483</v>
      </c>
      <c r="S60" s="2">
        <f>IF(Scenarios!E14=1, Q60*I60, I60)</f>
        <v>522531.19385398115</v>
      </c>
      <c r="T60" s="2">
        <f>IF(C60="FY2026", (Scenarios!D14+Scenarios!E14)*BaselineCalc!$B$22,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7080.4204807623018</v>
      </c>
      <c r="H61" s="2">
        <f>YearMap!C6</f>
        <v>1550087.6096957768</v>
      </c>
      <c r="I61" s="2">
        <f>YearMap!D6</f>
        <v>1785314.9123344356</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1550087.6096957768</v>
      </c>
      <c r="S61" s="2">
        <f>IF(Scenarios!E14=1, Q61*I61, I61)</f>
        <v>535594.47370033071</v>
      </c>
      <c r="T61" s="2">
        <f>IF(C61="FY2026", (Scenarios!D14+Scenarios!E14)*BaselineCalc!$B$22,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6414.5114999999987</v>
      </c>
      <c r="H62" s="2">
        <f>YearMap!C2</f>
        <v>1404302.8695</v>
      </c>
      <c r="I62" s="2">
        <f>YearMap!D2</f>
        <v>1617407.196</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1404302.8695</v>
      </c>
      <c r="S62" s="2">
        <f>IF(Scenarios!E15=1, Q62*I62, I62)</f>
        <v>1617407.196</v>
      </c>
      <c r="T62" s="2">
        <f>IF(C62="FY2026", (Scenarios!D15+Scenarios!E15)*BaselineCalc!$B$22,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6574.8742874999989</v>
      </c>
      <c r="H63" s="2">
        <f>YearMap!C3</f>
        <v>1439410.4412375002</v>
      </c>
      <c r="I63" s="2">
        <f>YearMap!D3</f>
        <v>1657842.3759000003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1439410.4412375002</v>
      </c>
      <c r="S63" s="2">
        <f>IF(Scenarios!E15=1, Q63*I63, I63)</f>
        <v>1657842.3759000003</v>
      </c>
      <c r="T63" s="2">
        <f>IF(C63="FY2026", (Scenarios!D15+Scenarios!E15)*BaselineCalc!$B$22,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6739.2461446874986</v>
      </c>
      <c r="H64" s="2">
        <f>YearMap!C4</f>
        <v>1475395.7022684375</v>
      </c>
      <c r="I64" s="2">
        <f>YearMap!D4</f>
        <v>1699288.4352975001</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1475395.7022684375</v>
      </c>
      <c r="S64" s="2">
        <f>IF(Scenarios!E15=1, Q64*I64, I64)</f>
        <v>1699288.4352975001</v>
      </c>
      <c r="T64" s="2">
        <f>IF(C64="FY2026", (Scenarios!D15+Scenarios!E15)*BaselineCalc!$B$22,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6907.7272983046851</v>
      </c>
      <c r="H65" s="2">
        <f>YearMap!C5</f>
        <v>1512280.5948251483</v>
      </c>
      <c r="I65" s="2">
        <f>YearMap!D5</f>
        <v>1741770.6461799373</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1512280.5948251483</v>
      </c>
      <c r="S65" s="2">
        <f>IF(Scenarios!E15=1, Q65*I65, I65)</f>
        <v>1741770.6461799373</v>
      </c>
      <c r="T65" s="2">
        <f>IF(C65="FY2026", (Scenarios!D15+Scenarios!E15)*BaselineCalc!$B$22,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1550087.6096957768</v>
      </c>
      <c r="S66" s="2">
        <f>IF(Scenarios!E15=1, Q66*I66, I66)</f>
        <v>1785314.9123344356</v>
      </c>
      <c r="T66" s="2">
        <f>IF(C66="FY2026", (Scenarios!D15+Scenarios!E15)*BaselineCalc!$B$22,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8" t="s">
        <v>405</v>
      </c>
      <c r="B1" s="88"/>
      <c r="C1" s="88"/>
      <c r="D1" s="88"/>
      <c r="E1" s="88"/>
      <c r="F1" s="88"/>
      <c r="G1" s="88"/>
      <c r="H1" s="88"/>
    </row>
    <row r="3" spans="1:8">
      <c r="A3" s="4" t="s">
        <v>346</v>
      </c>
      <c r="B3" s="4" t="s">
        <v>8</v>
      </c>
      <c r="C3" s="4" t="s">
        <v>406</v>
      </c>
      <c r="D3" s="4" t="s">
        <v>407</v>
      </c>
      <c r="E3" s="4" t="s">
        <v>408</v>
      </c>
      <c r="F3" s="4" t="s">
        <v>409</v>
      </c>
      <c r="G3" s="4" t="s">
        <v>410</v>
      </c>
      <c r="H3" s="4" t="s">
        <v>411</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346</v>
      </c>
      <c r="B70" s="4" t="s">
        <v>412</v>
      </c>
    </row>
    <row r="71" spans="1:8">
      <c r="A71" t="str">
        <f t="array" ref="A71:A83">_xlfn.UNIQUE(A4:A68)</f>
        <v>F1_CUSTOM1</v>
      </c>
      <c r="B71" s="39">
        <f t="shared" ref="B71:B83" si="3">VLOOKUP(A71,A4:H63, 8, 0)</f>
        <v>0</v>
      </c>
    </row>
    <row r="72" spans="1:8">
      <c r="A72" t="str">
        <v>D4_StatusQuo_Targets</v>
      </c>
      <c r="B72" s="39">
        <f t="shared" si="3"/>
        <v>0</v>
      </c>
    </row>
    <row r="73" spans="1:8">
      <c r="A73" t="str">
        <v>D3_CoLocation_Echo_Targets</v>
      </c>
      <c r="B73" s="39">
        <f t="shared" si="3"/>
        <v>0</v>
      </c>
    </row>
    <row r="74" spans="1:8">
      <c r="A74" t="str">
        <v>D1_Grow_Both_Targets</v>
      </c>
      <c r="B74" s="39">
        <f t="shared" si="3"/>
        <v>2000000</v>
      </c>
    </row>
    <row r="75" spans="1:8">
      <c r="A75" t="str">
        <v>E2_StatusQuo_Steady</v>
      </c>
      <c r="B75" s="39">
        <f t="shared" si="3"/>
        <v>0</v>
      </c>
    </row>
    <row r="76" spans="1:8">
      <c r="A76" t="str">
        <v>D2_EchoGHubRamp_PimaTargets</v>
      </c>
      <c r="B76" s="39">
        <f t="shared" si="3"/>
        <v>800000</v>
      </c>
    </row>
    <row r="77" spans="1:8">
      <c r="A77" t="str">
        <v>A2_Repurpose_Both_lease</v>
      </c>
      <c r="B77" s="39">
        <f t="shared" si="3"/>
        <v>2314479.9999999995</v>
      </c>
    </row>
    <row r="78" spans="1:8">
      <c r="A78" t="str">
        <v>A1_Repurpose_Both_ops</v>
      </c>
      <c r="B78" s="39">
        <f t="shared" si="3"/>
        <v>3114479.9999999995</v>
      </c>
    </row>
    <row r="79" spans="1:8">
      <c r="A79" t="str">
        <v>B2_Repurpose_Echo_lease_PimaTargets</v>
      </c>
      <c r="B79" s="39">
        <f t="shared" si="3"/>
        <v>800000</v>
      </c>
    </row>
    <row r="80" spans="1:8">
      <c r="A80" t="str">
        <v>B1_Repurpose_Echo_ops_PimaTargets</v>
      </c>
      <c r="B80" s="39">
        <f t="shared" si="3"/>
        <v>1200000</v>
      </c>
    </row>
    <row r="81" spans="1:2">
      <c r="A81" t="str">
        <v>C2_Repurpose_Pima_lease_EchoGHub_EchoTargets</v>
      </c>
      <c r="B81" s="39">
        <f t="shared" si="3"/>
        <v>1600000</v>
      </c>
    </row>
    <row r="82" spans="1:2">
      <c r="A82" t="str">
        <v>C1_Repurpose_Pima_ops_EchoGHub_EchoTargets</v>
      </c>
      <c r="B82" s="39">
        <f t="shared" si="3"/>
        <v>2000000</v>
      </c>
    </row>
    <row r="83" spans="1:2">
      <c r="A83" t="str">
        <v>E1_StatusQuo_Decline</v>
      </c>
      <c r="B83" s="39">
        <f t="shared" si="3"/>
        <v>0</v>
      </c>
    </row>
  </sheetData>
  <mergeCells count="1">
    <mergeCell ref="A1:H1"/>
  </mergeCells>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8" t="s">
        <v>413</v>
      </c>
      <c r="B1" s="88"/>
      <c r="C1" s="88"/>
      <c r="D1" s="88"/>
      <c r="E1" s="88"/>
      <c r="F1" s="88"/>
      <c r="G1" s="88"/>
      <c r="H1" s="88"/>
      <c r="I1" s="88"/>
      <c r="J1" s="88"/>
      <c r="K1" s="88"/>
      <c r="L1" s="88"/>
    </row>
    <row r="3" spans="1:12">
      <c r="A3" t="s">
        <v>346</v>
      </c>
      <c r="B3" t="s">
        <v>348</v>
      </c>
      <c r="C3" t="s">
        <v>349</v>
      </c>
      <c r="D3" t="s">
        <v>414</v>
      </c>
      <c r="E3" t="s">
        <v>415</v>
      </c>
      <c r="G3" t="s">
        <v>416</v>
      </c>
      <c r="H3" t="s">
        <v>417</v>
      </c>
      <c r="J3" t="s">
        <v>418</v>
      </c>
      <c r="K3" t="s">
        <v>419</v>
      </c>
      <c r="L3" t="s">
        <v>410</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4: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492</v>
      </c>
    </row>
    <row r="3" spans="1:16">
      <c r="A3" s="4" t="s">
        <v>493</v>
      </c>
      <c r="B3" s="7"/>
    </row>
    <row r="4" spans="1:16">
      <c r="A4" s="4"/>
    </row>
    <row r="5" spans="1:16">
      <c r="B5" s="6" t="s">
        <v>494</v>
      </c>
      <c r="C5" s="102" t="s">
        <v>495</v>
      </c>
      <c r="D5" s="103"/>
      <c r="E5" s="103"/>
      <c r="F5" s="103"/>
      <c r="G5" s="104"/>
      <c r="H5" s="6" t="s">
        <v>136</v>
      </c>
      <c r="J5" s="4"/>
      <c r="K5" s="4"/>
      <c r="L5" s="4"/>
      <c r="M5" s="4"/>
      <c r="N5" s="4"/>
      <c r="O5" s="4"/>
      <c r="P5" s="4"/>
    </row>
    <row r="6" spans="1:16">
      <c r="B6" s="7" t="s">
        <v>496</v>
      </c>
      <c r="C6" s="14">
        <v>2.5000000000000001E-2</v>
      </c>
      <c r="D6" s="7"/>
      <c r="E6" s="7"/>
      <c r="F6" s="7"/>
      <c r="G6" s="7"/>
      <c r="H6" s="8" t="s">
        <v>497</v>
      </c>
    </row>
    <row r="7" spans="1:16">
      <c r="B7" s="7" t="s">
        <v>498</v>
      </c>
      <c r="C7" s="14">
        <v>9936</v>
      </c>
      <c r="D7" s="7"/>
      <c r="E7" s="7"/>
      <c r="F7" s="7"/>
      <c r="G7" s="7"/>
      <c r="H7" s="8" t="s">
        <v>499</v>
      </c>
    </row>
    <row r="8" spans="1:16">
      <c r="B8" s="7" t="s">
        <v>500</v>
      </c>
      <c r="C8" s="14">
        <v>0.46</v>
      </c>
      <c r="D8" s="7"/>
      <c r="E8" s="7"/>
      <c r="F8" s="7"/>
      <c r="G8" s="7"/>
      <c r="H8" s="8" t="s">
        <v>501</v>
      </c>
    </row>
    <row r="9" spans="1:16">
      <c r="B9" s="7" t="s">
        <v>502</v>
      </c>
      <c r="C9" s="14">
        <v>5013</v>
      </c>
      <c r="D9" s="7"/>
      <c r="E9" s="7"/>
      <c r="F9" s="7"/>
      <c r="G9" s="7"/>
      <c r="H9" s="8" t="s">
        <v>503</v>
      </c>
    </row>
    <row r="10" spans="1:16">
      <c r="B10" s="7" t="s">
        <v>504</v>
      </c>
      <c r="C10" s="14">
        <v>7.0000000000000001E-3</v>
      </c>
      <c r="D10" s="7"/>
      <c r="E10" s="7"/>
      <c r="F10" s="7"/>
      <c r="G10" s="7"/>
      <c r="H10" s="8" t="s">
        <v>505</v>
      </c>
    </row>
    <row r="11" spans="1:16">
      <c r="B11" s="7" t="s">
        <v>506</v>
      </c>
      <c r="C11" s="14">
        <v>1.4999999999999999E-2</v>
      </c>
      <c r="D11" s="7"/>
      <c r="E11" s="7"/>
      <c r="F11" s="7"/>
      <c r="G11" s="7"/>
      <c r="H11" s="8" t="s">
        <v>507</v>
      </c>
    </row>
    <row r="12" spans="1:16">
      <c r="B12" s="7" t="s">
        <v>508</v>
      </c>
      <c r="C12" s="14">
        <v>257</v>
      </c>
      <c r="D12" s="7"/>
      <c r="E12" s="7"/>
      <c r="F12" s="7"/>
      <c r="G12" s="7"/>
      <c r="H12" s="8" t="s">
        <v>509</v>
      </c>
    </row>
    <row r="13" spans="1:16">
      <c r="B13" s="7" t="s">
        <v>510</v>
      </c>
      <c r="C13" s="14">
        <v>296</v>
      </c>
      <c r="D13" s="7"/>
      <c r="E13" s="7"/>
      <c r="F13" s="7"/>
      <c r="G13" s="7"/>
      <c r="H13" s="8" t="s">
        <v>511</v>
      </c>
    </row>
    <row r="14" spans="1:16">
      <c r="B14" s="7" t="s">
        <v>512</v>
      </c>
      <c r="C14" s="7">
        <f>C12+C13</f>
        <v>553</v>
      </c>
      <c r="D14" s="7"/>
      <c r="E14" s="7"/>
      <c r="F14" s="7"/>
      <c r="G14" s="7"/>
      <c r="H14" s="8" t="s">
        <v>513</v>
      </c>
    </row>
    <row r="15" spans="1:16">
      <c r="B15" s="7" t="s">
        <v>514</v>
      </c>
      <c r="C15" s="13">
        <v>1200000</v>
      </c>
      <c r="D15" s="7"/>
      <c r="E15" s="7"/>
      <c r="F15" s="7"/>
      <c r="G15" s="7"/>
      <c r="H15" s="8" t="s">
        <v>515</v>
      </c>
    </row>
    <row r="16" spans="1:16">
      <c r="B16" s="7" t="s">
        <v>516</v>
      </c>
      <c r="C16" s="14">
        <v>0.75</v>
      </c>
      <c r="D16" s="7"/>
      <c r="E16" s="7"/>
      <c r="F16" s="7"/>
      <c r="G16" s="7"/>
      <c r="H16" s="8" t="s">
        <v>517</v>
      </c>
    </row>
    <row r="17" spans="1:8">
      <c r="B17" s="7" t="s">
        <v>19</v>
      </c>
      <c r="C17" s="14">
        <f>Parameters_Public!$C41</f>
        <v>0</v>
      </c>
      <c r="D17" s="7"/>
      <c r="E17" s="7"/>
      <c r="F17" s="7"/>
      <c r="G17" s="7"/>
      <c r="H17" s="8" t="s">
        <v>518</v>
      </c>
    </row>
    <row r="18" spans="1:8">
      <c r="B18" s="7"/>
      <c r="C18" s="7"/>
      <c r="D18" s="7"/>
      <c r="E18" s="7"/>
      <c r="F18" s="7"/>
      <c r="G18" s="7"/>
      <c r="H18" s="9"/>
    </row>
    <row r="19" spans="1:8">
      <c r="A19" s="4" t="s">
        <v>519</v>
      </c>
      <c r="B19" s="7"/>
      <c r="C19" s="7"/>
      <c r="D19" s="7"/>
      <c r="E19" s="7"/>
      <c r="F19" s="7"/>
      <c r="G19" s="7"/>
      <c r="H19" s="9"/>
    </row>
    <row r="20" spans="1:8">
      <c r="A20" s="4"/>
      <c r="B20" s="7"/>
      <c r="C20" s="7"/>
      <c r="D20" s="7"/>
      <c r="E20" s="7"/>
      <c r="F20" s="7"/>
      <c r="G20" s="7"/>
      <c r="H20" s="9"/>
    </row>
    <row r="21" spans="1:8">
      <c r="B21" s="6" t="s">
        <v>8</v>
      </c>
      <c r="C21" s="6" t="s">
        <v>389</v>
      </c>
      <c r="D21" s="6" t="s">
        <v>520</v>
      </c>
      <c r="E21" s="6" t="s">
        <v>521</v>
      </c>
      <c r="F21" s="15"/>
      <c r="G21" s="15"/>
      <c r="H21" s="9"/>
    </row>
    <row r="22" spans="1:8">
      <c r="B22" s="7" t="s">
        <v>11</v>
      </c>
      <c r="C22" s="14">
        <v>1000</v>
      </c>
      <c r="D22" s="14">
        <v>0.2</v>
      </c>
      <c r="E22" s="14">
        <v>0.45</v>
      </c>
      <c r="F22" s="7"/>
      <c r="G22" s="7"/>
      <c r="H22" s="8" t="s">
        <v>522</v>
      </c>
    </row>
    <row r="23" spans="1:8">
      <c r="B23" s="7" t="s">
        <v>12</v>
      </c>
      <c r="C23" s="14">
        <v>800</v>
      </c>
      <c r="D23" s="14">
        <v>0.2</v>
      </c>
      <c r="E23" s="14">
        <v>0.4</v>
      </c>
      <c r="F23" s="7"/>
      <c r="G23" s="7"/>
      <c r="H23" s="8" t="s">
        <v>523</v>
      </c>
    </row>
    <row r="24" spans="1:8">
      <c r="B24" s="7" t="s">
        <v>13</v>
      </c>
      <c r="C24" s="14">
        <v>600</v>
      </c>
      <c r="D24" s="14">
        <v>0.15</v>
      </c>
      <c r="E24" s="14">
        <v>0.35</v>
      </c>
      <c r="F24" s="7"/>
      <c r="G24" s="7"/>
      <c r="H24" s="8" t="s">
        <v>524</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525</v>
      </c>
      <c r="B28" s="7"/>
      <c r="C28" s="7"/>
      <c r="D28" s="7"/>
      <c r="E28" s="7"/>
      <c r="F28" s="7"/>
      <c r="G28" s="7"/>
      <c r="H28" s="9"/>
    </row>
    <row r="29" spans="1:8">
      <c r="A29" s="4"/>
      <c r="B29" s="7"/>
      <c r="C29" s="7"/>
      <c r="D29" s="7"/>
      <c r="E29" s="7"/>
      <c r="F29" s="7"/>
      <c r="G29" s="7"/>
      <c r="H29" s="9"/>
    </row>
    <row r="30" spans="1:8">
      <c r="A30" s="10" t="s">
        <v>526</v>
      </c>
      <c r="B30" s="6" t="s">
        <v>527</v>
      </c>
      <c r="C30" s="6" t="s">
        <v>528</v>
      </c>
      <c r="D30" s="6" t="s">
        <v>529</v>
      </c>
      <c r="E30" s="6" t="s">
        <v>530</v>
      </c>
      <c r="F30" s="6" t="s">
        <v>531</v>
      </c>
      <c r="G30" s="6" t="s">
        <v>532</v>
      </c>
      <c r="H30" s="9"/>
    </row>
    <row r="31" spans="1:8">
      <c r="A31" s="10" t="s">
        <v>533</v>
      </c>
      <c r="B31" s="7" t="s">
        <v>534</v>
      </c>
      <c r="C31" s="14">
        <v>0</v>
      </c>
      <c r="D31" s="14">
        <v>0</v>
      </c>
      <c r="E31" s="14">
        <v>0</v>
      </c>
      <c r="F31" s="14">
        <v>0.5</v>
      </c>
      <c r="G31" s="14">
        <v>0</v>
      </c>
      <c r="H31" s="9"/>
    </row>
    <row r="32" spans="1:8">
      <c r="A32" s="10" t="s">
        <v>535</v>
      </c>
      <c r="B32" s="9" t="s">
        <v>536</v>
      </c>
      <c r="C32" s="14">
        <v>75</v>
      </c>
      <c r="D32" s="14">
        <v>0</v>
      </c>
      <c r="E32" s="14">
        <v>0</v>
      </c>
      <c r="F32" s="14">
        <v>0.5</v>
      </c>
      <c r="G32" s="14">
        <v>0</v>
      </c>
      <c r="H32" s="7" t="s">
        <v>537</v>
      </c>
    </row>
    <row r="33" spans="1:8">
      <c r="A33" s="10" t="s">
        <v>538</v>
      </c>
      <c r="B33" s="9" t="s">
        <v>539</v>
      </c>
      <c r="C33" s="14">
        <v>50</v>
      </c>
      <c r="D33" s="14">
        <v>0</v>
      </c>
      <c r="E33" s="14">
        <v>0</v>
      </c>
      <c r="F33" s="14">
        <v>0.5</v>
      </c>
      <c r="G33" s="14">
        <v>0.05</v>
      </c>
      <c r="H33" s="7" t="s">
        <v>540</v>
      </c>
    </row>
    <row r="34" spans="1:8">
      <c r="A34" s="10" t="s">
        <v>541</v>
      </c>
      <c r="B34" s="9" t="s">
        <v>542</v>
      </c>
      <c r="C34" s="14">
        <v>150</v>
      </c>
      <c r="D34" s="14">
        <v>0</v>
      </c>
      <c r="E34" s="14">
        <v>0</v>
      </c>
      <c r="F34" s="14">
        <v>0.5</v>
      </c>
      <c r="G34" s="14">
        <v>0</v>
      </c>
      <c r="H34" s="7" t="s">
        <v>543</v>
      </c>
    </row>
    <row r="35" spans="1:8">
      <c r="A35" s="10" t="s">
        <v>544</v>
      </c>
      <c r="B35" s="9" t="s">
        <v>545</v>
      </c>
      <c r="C35" s="14">
        <v>0</v>
      </c>
      <c r="D35" s="14">
        <v>0</v>
      </c>
      <c r="E35" s="14">
        <v>0</v>
      </c>
      <c r="F35" s="14">
        <v>0.5</v>
      </c>
      <c r="G35" s="14">
        <v>0</v>
      </c>
      <c r="H35" s="7" t="s">
        <v>546</v>
      </c>
    </row>
    <row r="36" spans="1:8">
      <c r="A36" s="10" t="s">
        <v>547</v>
      </c>
      <c r="B36" s="9" t="s">
        <v>548</v>
      </c>
      <c r="C36" s="14">
        <v>125</v>
      </c>
      <c r="D36" s="14">
        <v>0</v>
      </c>
      <c r="E36" s="14">
        <v>0</v>
      </c>
      <c r="F36" s="14">
        <v>0.7</v>
      </c>
      <c r="G36" s="14">
        <v>0</v>
      </c>
      <c r="H36" s="7" t="s">
        <v>549</v>
      </c>
    </row>
    <row r="37" spans="1:8">
      <c r="A37" s="10" t="s">
        <v>550</v>
      </c>
      <c r="B37" s="7" t="s">
        <v>551</v>
      </c>
      <c r="C37" s="14">
        <v>0</v>
      </c>
      <c r="D37" s="14">
        <v>1</v>
      </c>
      <c r="E37" s="14">
        <v>1</v>
      </c>
      <c r="F37" s="14">
        <v>0.5</v>
      </c>
      <c r="G37" s="14">
        <v>0</v>
      </c>
      <c r="H37" s="7" t="s">
        <v>552</v>
      </c>
    </row>
    <row r="38" spans="1:8">
      <c r="A38" s="10" t="s">
        <v>553</v>
      </c>
      <c r="B38" s="7" t="s">
        <v>554</v>
      </c>
      <c r="C38" s="14">
        <v>0</v>
      </c>
      <c r="D38" s="14">
        <v>1</v>
      </c>
      <c r="E38" s="14">
        <v>1</v>
      </c>
      <c r="F38" s="14">
        <v>0.5</v>
      </c>
      <c r="G38" s="14">
        <v>0</v>
      </c>
      <c r="H38" s="7" t="s">
        <v>555</v>
      </c>
    </row>
    <row r="39" spans="1:8">
      <c r="A39" s="10" t="s">
        <v>556</v>
      </c>
      <c r="B39" s="7" t="s">
        <v>557</v>
      </c>
      <c r="C39" s="14">
        <v>0</v>
      </c>
      <c r="D39" s="14">
        <v>1</v>
      </c>
      <c r="E39" s="14">
        <v>0</v>
      </c>
      <c r="F39" s="14">
        <v>0</v>
      </c>
      <c r="G39" s="14">
        <v>0</v>
      </c>
      <c r="H39" s="7" t="s">
        <v>557</v>
      </c>
    </row>
    <row r="40" spans="1:8">
      <c r="A40" s="10" t="s">
        <v>558</v>
      </c>
      <c r="B40" s="7" t="s">
        <v>559</v>
      </c>
      <c r="C40" s="14">
        <v>37</v>
      </c>
      <c r="D40" s="14">
        <v>1</v>
      </c>
      <c r="E40" s="14">
        <v>0</v>
      </c>
      <c r="F40" s="14">
        <v>0</v>
      </c>
      <c r="G40" s="14">
        <v>0</v>
      </c>
      <c r="H40" s="7" t="s">
        <v>559</v>
      </c>
    </row>
    <row r="41" spans="1:8">
      <c r="A41" s="10" t="s">
        <v>560</v>
      </c>
      <c r="B41" s="7" t="s">
        <v>561</v>
      </c>
      <c r="C41" s="14">
        <v>0</v>
      </c>
      <c r="D41" s="14">
        <v>0</v>
      </c>
      <c r="E41" s="14">
        <v>1</v>
      </c>
      <c r="F41" s="14">
        <v>1</v>
      </c>
      <c r="G41" s="14">
        <v>0</v>
      </c>
      <c r="H41" s="7" t="s">
        <v>561</v>
      </c>
    </row>
    <row r="42" spans="1:8">
      <c r="A42" s="10" t="s">
        <v>562</v>
      </c>
      <c r="B42" s="7" t="s">
        <v>563</v>
      </c>
      <c r="C42" s="14">
        <v>50</v>
      </c>
      <c r="D42" s="14">
        <v>0</v>
      </c>
      <c r="E42" s="14">
        <v>1</v>
      </c>
      <c r="F42" s="14">
        <v>1</v>
      </c>
      <c r="G42" s="14">
        <v>0</v>
      </c>
      <c r="H42" s="7" t="s">
        <v>563</v>
      </c>
    </row>
    <row r="43" spans="1:8">
      <c r="B43" s="7"/>
      <c r="C43" s="7"/>
      <c r="D43" s="7"/>
      <c r="E43" s="7"/>
      <c r="F43" s="7"/>
      <c r="G43" s="7"/>
    </row>
    <row r="44" spans="1:8">
      <c r="A44" s="4" t="s">
        <v>564</v>
      </c>
      <c r="B44" s="7"/>
      <c r="C44" s="7"/>
      <c r="D44" s="7"/>
      <c r="E44" s="7"/>
      <c r="F44" s="7"/>
      <c r="G44" s="7"/>
    </row>
    <row r="45" spans="1:8">
      <c r="B45" s="7"/>
      <c r="C45" s="7"/>
      <c r="D45" s="7"/>
      <c r="E45" s="7"/>
      <c r="F45" s="7"/>
      <c r="G45" s="7"/>
    </row>
    <row r="46" spans="1:8">
      <c r="B46" s="6" t="s">
        <v>527</v>
      </c>
      <c r="C46" s="6" t="s">
        <v>565</v>
      </c>
      <c r="D46" s="6" t="s">
        <v>566</v>
      </c>
      <c r="E46" s="7"/>
      <c r="F46" s="7"/>
      <c r="G46" s="7"/>
      <c r="H46" s="9" t="s">
        <v>567</v>
      </c>
    </row>
    <row r="47" spans="1:8">
      <c r="B47" s="7" t="s">
        <v>568</v>
      </c>
      <c r="C47" s="14" t="s">
        <v>569</v>
      </c>
      <c r="D47" s="14" t="s">
        <v>570</v>
      </c>
      <c r="E47" s="7"/>
      <c r="F47" s="7"/>
      <c r="G47" s="7"/>
      <c r="H47" s="9"/>
    </row>
    <row r="48" spans="1:8">
      <c r="B48" s="7" t="s">
        <v>537</v>
      </c>
      <c r="C48" s="14" t="s">
        <v>571</v>
      </c>
      <c r="D48" s="14" t="s">
        <v>572</v>
      </c>
      <c r="E48" s="7"/>
      <c r="F48" s="7"/>
      <c r="G48" s="7"/>
      <c r="H48" s="9"/>
    </row>
    <row r="49" spans="2:8">
      <c r="B49" s="7" t="s">
        <v>540</v>
      </c>
      <c r="C49" s="16" t="s">
        <v>573</v>
      </c>
      <c r="D49" s="14" t="s">
        <v>570</v>
      </c>
      <c r="E49" s="7"/>
      <c r="F49" s="7"/>
      <c r="G49" s="7"/>
      <c r="H49" s="9"/>
    </row>
    <row r="50" spans="2:8">
      <c r="B50" s="7" t="s">
        <v>543</v>
      </c>
      <c r="C50" s="16" t="s">
        <v>573</v>
      </c>
      <c r="D50" s="14" t="s">
        <v>570</v>
      </c>
      <c r="E50" s="7"/>
      <c r="F50" s="7"/>
      <c r="G50" s="7"/>
      <c r="H50" s="9"/>
    </row>
    <row r="51" spans="2:8">
      <c r="B51" s="7" t="s">
        <v>574</v>
      </c>
      <c r="C51" s="14" t="s">
        <v>569</v>
      </c>
      <c r="D51" s="14" t="s">
        <v>570</v>
      </c>
      <c r="E51" s="7"/>
      <c r="F51" s="7"/>
      <c r="G51" s="7"/>
      <c r="H51" s="9"/>
    </row>
    <row r="52" spans="2:8">
      <c r="B52" s="7" t="s">
        <v>549</v>
      </c>
      <c r="C52" s="16" t="s">
        <v>573</v>
      </c>
      <c r="D52" s="14" t="s">
        <v>570</v>
      </c>
      <c r="E52" s="7"/>
      <c r="F52" s="7"/>
      <c r="G52" s="7"/>
      <c r="H52" s="9"/>
    </row>
    <row r="53" spans="2:8">
      <c r="B53" s="7" t="s">
        <v>552</v>
      </c>
      <c r="C53" s="16" t="s">
        <v>575</v>
      </c>
      <c r="D53" s="14" t="s">
        <v>576</v>
      </c>
      <c r="E53" s="7"/>
      <c r="F53" s="7"/>
      <c r="G53" s="7"/>
      <c r="H53" s="9"/>
    </row>
    <row r="54" spans="2:8">
      <c r="B54" s="7" t="s">
        <v>555</v>
      </c>
      <c r="C54" s="16" t="s">
        <v>577</v>
      </c>
      <c r="D54" s="14" t="s">
        <v>578</v>
      </c>
      <c r="E54" s="7"/>
      <c r="F54" s="7"/>
      <c r="G54" s="7"/>
      <c r="H54" s="9"/>
    </row>
    <row r="55" spans="2:8">
      <c r="B55" s="7" t="s">
        <v>557</v>
      </c>
      <c r="C55" s="16" t="s">
        <v>577</v>
      </c>
      <c r="D55" s="14" t="s">
        <v>578</v>
      </c>
      <c r="E55" s="7"/>
      <c r="F55" s="7"/>
      <c r="G55" s="7"/>
      <c r="H55" s="9"/>
    </row>
    <row r="56" spans="2:8">
      <c r="B56" s="7" t="s">
        <v>559</v>
      </c>
      <c r="C56" s="14" t="s">
        <v>571</v>
      </c>
      <c r="D56" s="14" t="s">
        <v>578</v>
      </c>
      <c r="E56" s="7"/>
      <c r="F56" s="7"/>
      <c r="G56" s="7"/>
      <c r="H56" s="9"/>
    </row>
    <row r="57" spans="2:8">
      <c r="B57" s="7" t="s">
        <v>561</v>
      </c>
      <c r="C57" s="16" t="s">
        <v>577</v>
      </c>
      <c r="D57" s="14" t="s">
        <v>578</v>
      </c>
      <c r="E57" s="7"/>
      <c r="F57" s="7"/>
      <c r="G57" s="7"/>
      <c r="H57" s="9"/>
    </row>
    <row r="58" spans="2:8">
      <c r="B58" s="7" t="s">
        <v>563</v>
      </c>
      <c r="C58" s="14" t="s">
        <v>571</v>
      </c>
      <c r="D58" s="14" t="s">
        <v>578</v>
      </c>
      <c r="E58" s="7"/>
      <c r="F58" s="7"/>
      <c r="G58" s="7"/>
      <c r="H58" s="9"/>
    </row>
    <row r="59" spans="2:8">
      <c r="H59" s="9"/>
    </row>
  </sheetData>
  <mergeCells count="1">
    <mergeCell ref="C5:G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494</v>
      </c>
      <c r="B1" s="1" t="s">
        <v>495</v>
      </c>
      <c r="C1" s="1" t="s">
        <v>136</v>
      </c>
    </row>
    <row r="2" spans="1:11">
      <c r="A2" t="s">
        <v>496</v>
      </c>
      <c r="B2">
        <f>Control_Center!C6</f>
        <v>2.5000000000000001E-2</v>
      </c>
      <c r="C2" t="s">
        <v>497</v>
      </c>
    </row>
    <row r="3" spans="1:11">
      <c r="A3" t="s">
        <v>498</v>
      </c>
      <c r="B3">
        <f>Parameters_Public!$C$14</f>
        <v>11589</v>
      </c>
      <c r="C3" t="s">
        <v>579</v>
      </c>
    </row>
    <row r="4" spans="1:11">
      <c r="A4" t="s">
        <v>500</v>
      </c>
      <c r="B4">
        <f>Control_Center!C8</f>
        <v>0.46</v>
      </c>
      <c r="C4" t="s">
        <v>580</v>
      </c>
    </row>
    <row r="5" spans="1:11">
      <c r="A5" t="s">
        <v>504</v>
      </c>
      <c r="B5">
        <f>Control_Center!C10</f>
        <v>7.0000000000000001E-3</v>
      </c>
      <c r="C5" t="s">
        <v>505</v>
      </c>
    </row>
    <row r="6" spans="1:11">
      <c r="A6" t="s">
        <v>506</v>
      </c>
      <c r="B6">
        <f>Control_Center!C11</f>
        <v>1.4999999999999999E-2</v>
      </c>
      <c r="C6" t="s">
        <v>507</v>
      </c>
    </row>
    <row r="7" spans="1:11">
      <c r="A7" t="s">
        <v>508</v>
      </c>
      <c r="B7">
        <f>Parameters_Public!$C$10</f>
        <v>257</v>
      </c>
    </row>
    <row r="8" spans="1:11">
      <c r="A8" t="s">
        <v>510</v>
      </c>
      <c r="B8">
        <f>Parameters_Public!$C$11</f>
        <v>296</v>
      </c>
    </row>
    <row r="9" spans="1:11">
      <c r="A9" t="s">
        <v>512</v>
      </c>
      <c r="B9">
        <f>B7+B8</f>
        <v>553</v>
      </c>
      <c r="C9" t="s">
        <v>513</v>
      </c>
    </row>
    <row r="12" spans="1:11">
      <c r="A12" s="1" t="s">
        <v>581</v>
      </c>
      <c r="B12" s="1" t="s">
        <v>582</v>
      </c>
      <c r="C12" s="1" t="s">
        <v>583</v>
      </c>
      <c r="D12" s="1" t="s">
        <v>584</v>
      </c>
      <c r="E12" s="1" t="s">
        <v>585</v>
      </c>
      <c r="F12" s="1" t="s">
        <v>586</v>
      </c>
      <c r="G12" s="1" t="s">
        <v>136</v>
      </c>
    </row>
    <row r="13" spans="1:11">
      <c r="A13" t="s">
        <v>587</v>
      </c>
      <c r="B13" s="2">
        <f>B9*B3</f>
        <v>6408717</v>
      </c>
      <c r="C13" s="2">
        <f>C14/$B$4</f>
        <v>6568934.9249999998</v>
      </c>
      <c r="D13" s="2">
        <f>D14/$B$4</f>
        <v>6733158.2981250007</v>
      </c>
      <c r="E13" s="2">
        <f>E14/$B$4</f>
        <v>6901487.255578124</v>
      </c>
      <c r="F13" s="2">
        <f>F14/$B$4</f>
        <v>7074024.4369675769</v>
      </c>
      <c r="G13" t="s">
        <v>588</v>
      </c>
      <c r="K13" t="s">
        <v>589</v>
      </c>
    </row>
    <row r="14" spans="1:11">
      <c r="A14" t="s">
        <v>590</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591</v>
      </c>
      <c r="K14" t="s">
        <v>592</v>
      </c>
    </row>
    <row r="15" spans="1:11">
      <c r="A15" t="s">
        <v>593</v>
      </c>
      <c r="B15" s="2">
        <f>(B13-B14)/B9</f>
        <v>6258.0599999999995</v>
      </c>
      <c r="C15" s="2">
        <f t="shared" si="0"/>
        <v>6414.5114999999987</v>
      </c>
      <c r="D15" s="2">
        <f t="shared" si="0"/>
        <v>6574.8742874999989</v>
      </c>
      <c r="E15" s="2">
        <f t="shared" si="0"/>
        <v>6739.2461446874986</v>
      </c>
      <c r="F15" s="2">
        <f t="shared" si="0"/>
        <v>6907.7272983046851</v>
      </c>
      <c r="G15" t="s">
        <v>594</v>
      </c>
      <c r="K15" t="s">
        <v>595</v>
      </c>
    </row>
    <row r="17" spans="1:6">
      <c r="A17" t="s">
        <v>596</v>
      </c>
      <c r="B17" s="2">
        <f>$B$14*(1+$B$2)^1</f>
        <v>3021710.0655</v>
      </c>
      <c r="C17" s="2">
        <f>$B$14*(1+$B$2)^2</f>
        <v>3097252.8171375003</v>
      </c>
      <c r="D17" s="2">
        <f>$B$14*(1+$B$2)^3</f>
        <v>3174684.1375659374</v>
      </c>
      <c r="E17" s="2">
        <f>$B$14*(1+$B$2)^4</f>
        <v>3254051.2410050854</v>
      </c>
      <c r="F17" s="2">
        <f>$B$14*(1+$B$2)^5</f>
        <v>3335402.5220302125</v>
      </c>
    </row>
    <row r="18" spans="1:6">
      <c r="A18" t="s">
        <v>597</v>
      </c>
      <c r="B18" s="2">
        <f>$B$15*(1+$B$2)^1</f>
        <v>6414.5114999999987</v>
      </c>
      <c r="C18" s="2">
        <f>$B$15*(1+$B$2)^2</f>
        <v>6574.8742874999989</v>
      </c>
      <c r="D18" s="2">
        <f>$B$15*(1+$B$2)^3</f>
        <v>6739.2461446874986</v>
      </c>
      <c r="E18" s="2">
        <f>$B$15*(1+$B$2)^4</f>
        <v>6907.7272983046851</v>
      </c>
      <c r="F18" s="2">
        <f>$B$15*(1+$B$2)^5</f>
        <v>7080.4204807623018</v>
      </c>
    </row>
    <row r="19" spans="1:6">
      <c r="A19" t="s">
        <v>598</v>
      </c>
      <c r="B19" s="2">
        <f>IF(Site_Fixed!$C$8&gt;0, Site_Fixed!$C$8*(1+$B$2)^1, B17*($B$7/$B$9))</f>
        <v>1404302.8695</v>
      </c>
      <c r="C19" s="2">
        <f>C17*($B$7/$B$9)</f>
        <v>1439410.4412375002</v>
      </c>
      <c r="D19" s="2">
        <f>D17*($B$7/$B$9)</f>
        <v>1475395.7022684375</v>
      </c>
      <c r="E19" s="2">
        <f>E17*($B$7/$B$9)</f>
        <v>1512280.5948251483</v>
      </c>
      <c r="F19" s="2">
        <f>F17*($B$7/$B$9)</f>
        <v>1550087.6096957768</v>
      </c>
    </row>
    <row r="20" spans="1:6">
      <c r="A20" t="s">
        <v>599</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514</v>
      </c>
      <c r="B22">
        <f>Control_Center!C15</f>
        <v>1200000</v>
      </c>
    </row>
    <row r="23" spans="1:6">
      <c r="A23" t="s">
        <v>600</v>
      </c>
      <c r="B23">
        <f>Control_Center!C16</f>
        <v>0.75</v>
      </c>
    </row>
    <row r="25" spans="1:6">
      <c r="A25" s="1" t="s">
        <v>136</v>
      </c>
    </row>
    <row r="26" spans="1:6">
      <c r="A26" s="3" t="s">
        <v>601</v>
      </c>
    </row>
    <row r="27" spans="1:6">
      <c r="A27" t="s">
        <v>502</v>
      </c>
      <c r="B27">
        <f>Parameters_Public!$C18</f>
        <v>5013</v>
      </c>
      <c r="C27" t="s">
        <v>503</v>
      </c>
    </row>
    <row r="28" spans="1:6">
      <c r="A28" t="s">
        <v>602</v>
      </c>
      <c r="B28">
        <f>Parameters_Public!$C22</f>
        <v>2.5000000000000001E-2</v>
      </c>
      <c r="C28" t="s">
        <v>603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8</v>
      </c>
      <c r="B1" s="1" t="s">
        <v>380</v>
      </c>
      <c r="C1" s="1" t="s">
        <v>381</v>
      </c>
      <c r="D1" s="1" t="s">
        <v>382</v>
      </c>
      <c r="E1" s="1" t="s">
        <v>389</v>
      </c>
      <c r="F1" s="1" t="s">
        <v>520</v>
      </c>
      <c r="G1" s="1" t="s">
        <v>521</v>
      </c>
      <c r="H1" s="1" t="s">
        <v>604</v>
      </c>
      <c r="I1" s="1" t="s">
        <v>605</v>
      </c>
      <c r="L1" s="1" t="s">
        <v>606</v>
      </c>
      <c r="M1" s="1" t="s">
        <v>607</v>
      </c>
      <c r="N1" s="1" t="s">
        <v>608</v>
      </c>
      <c r="O1" t="s">
        <v>609</v>
      </c>
      <c r="P1" t="s">
        <v>610</v>
      </c>
      <c r="Q1" t="s">
        <v>611</v>
      </c>
      <c r="R1" t="s">
        <v>612</v>
      </c>
    </row>
    <row r="2" spans="1:18">
      <c r="A2" t="s">
        <v>11</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election activeCell="B3" sqref="B3"/>
    </sheetView>
  </sheetViews>
  <sheetFormatPr defaultRowHeight="14.5"/>
  <cols>
    <col min="1" max="1" width="59.1796875" bestFit="1" customWidth="1"/>
    <col min="2" max="2" width="5.6328125" customWidth="1"/>
    <col min="3" max="3" width="5.26953125" customWidth="1"/>
  </cols>
  <sheetData>
    <row r="1" spans="1:3">
      <c r="A1" t="s">
        <v>613</v>
      </c>
    </row>
    <row r="3" spans="1:3">
      <c r="A3" t="s">
        <v>614</v>
      </c>
      <c r="B3">
        <v>0</v>
      </c>
    </row>
    <row r="4" spans="1:3">
      <c r="A4" t="s">
        <v>615</v>
      </c>
      <c r="B4">
        <v>0</v>
      </c>
    </row>
    <row r="5" spans="1:3">
      <c r="A5" t="s">
        <v>616</v>
      </c>
      <c r="B5">
        <v>0</v>
      </c>
    </row>
    <row r="6" spans="1:3">
      <c r="A6" t="s">
        <v>617</v>
      </c>
      <c r="B6">
        <v>0</v>
      </c>
    </row>
    <row r="7" spans="1:3">
      <c r="A7" t="s">
        <v>618</v>
      </c>
      <c r="B7">
        <v>0</v>
      </c>
    </row>
    <row r="8" spans="1:3">
      <c r="A8" t="s">
        <v>619</v>
      </c>
      <c r="C8">
        <f>SUM(B3:B7)</f>
        <v>0</v>
      </c>
    </row>
    <row r="10" spans="1:3">
      <c r="A10" t="s">
        <v>620</v>
      </c>
      <c r="B10">
        <v>0</v>
      </c>
    </row>
    <row r="11" spans="1:3">
      <c r="A11" t="s">
        <v>621</v>
      </c>
      <c r="B11">
        <v>0</v>
      </c>
    </row>
    <row r="12" spans="1:3">
      <c r="A12" t="s">
        <v>622</v>
      </c>
      <c r="B12">
        <v>0</v>
      </c>
    </row>
    <row r="13" spans="1:3">
      <c r="A13" t="s">
        <v>623</v>
      </c>
      <c r="B13">
        <v>0</v>
      </c>
    </row>
    <row r="14" spans="1:3">
      <c r="A14" t="s">
        <v>624</v>
      </c>
      <c r="B14">
        <v>0</v>
      </c>
    </row>
    <row r="15" spans="1:3">
      <c r="A15" t="s">
        <v>625</v>
      </c>
      <c r="C15">
        <f>SUM(B10:B14)</f>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
  <sheetViews>
    <sheetView zoomScale="70" zoomScaleNormal="70" workbookViewId="0">
      <pane xSplit="3" ySplit="2" topLeftCell="D37" activePane="bottomRight" state="frozen"/>
      <selection pane="topRight" activeCell="C1" sqref="C1"/>
      <selection pane="bottomLeft" activeCell="A3" sqref="A3"/>
      <selection pane="bottomRight" activeCell="B43" activeCellId="3" sqref="B33:F41 B27:F30 B24:F26 B43:F46"/>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62" t="s">
        <v>626</v>
      </c>
      <c r="B1" s="7"/>
      <c r="C1" s="7"/>
      <c r="D1" s="7"/>
      <c r="E1" s="7"/>
      <c r="F1" s="7"/>
      <c r="G1" s="7"/>
      <c r="H1" s="7"/>
      <c r="I1" s="7"/>
    </row>
    <row r="2" spans="1:10">
      <c r="A2" s="7"/>
      <c r="B2" s="7"/>
      <c r="C2" s="6"/>
      <c r="D2" s="6"/>
      <c r="E2" s="6"/>
      <c r="F2" s="6"/>
      <c r="G2" s="6"/>
      <c r="H2" s="7"/>
      <c r="I2" s="7"/>
    </row>
    <row r="3" spans="1:10">
      <c r="A3" s="62" t="s">
        <v>74</v>
      </c>
      <c r="B3" s="62" t="s">
        <v>75</v>
      </c>
      <c r="C3" s="63" t="s">
        <v>76</v>
      </c>
      <c r="D3" s="63" t="s">
        <v>627</v>
      </c>
      <c r="E3" s="25"/>
      <c r="F3" s="25"/>
      <c r="G3" s="25"/>
      <c r="H3" s="7"/>
      <c r="I3" s="7"/>
    </row>
    <row r="4" spans="1:10" ht="26" customHeight="1">
      <c r="A4" s="7" t="s">
        <v>628</v>
      </c>
      <c r="B4" s="7" t="s">
        <v>82</v>
      </c>
      <c r="C4" s="24" t="s">
        <v>629</v>
      </c>
      <c r="D4" s="25" t="s">
        <v>84</v>
      </c>
      <c r="E4" s="25"/>
      <c r="F4" s="25"/>
      <c r="G4" s="25"/>
      <c r="H4" s="7"/>
      <c r="I4" s="7"/>
    </row>
    <row r="5" spans="1:10" ht="26" customHeight="1">
      <c r="A5" s="7" t="s">
        <v>88</v>
      </c>
      <c r="B5" s="7" t="s">
        <v>630</v>
      </c>
      <c r="C5" s="24" t="s">
        <v>631</v>
      </c>
      <c r="D5" s="25" t="s">
        <v>632</v>
      </c>
      <c r="E5" s="24"/>
      <c r="F5" s="24"/>
      <c r="G5" s="25"/>
      <c r="H5" s="7"/>
      <c r="I5" s="7"/>
    </row>
    <row r="6" spans="1:10" ht="26" customHeight="1">
      <c r="A6" s="7" t="s">
        <v>633</v>
      </c>
      <c r="B6" s="7" t="s">
        <v>634</v>
      </c>
      <c r="C6" s="24" t="s">
        <v>635</v>
      </c>
      <c r="D6" s="25" t="s">
        <v>636</v>
      </c>
      <c r="E6" s="25"/>
      <c r="F6" s="25"/>
      <c r="G6" s="25"/>
      <c r="H6" s="7"/>
      <c r="I6" s="7"/>
    </row>
    <row r="7" spans="1:10" ht="26" customHeight="1">
      <c r="A7" s="7" t="s">
        <v>637</v>
      </c>
      <c r="B7" s="7" t="s">
        <v>638</v>
      </c>
      <c r="C7" s="24" t="s">
        <v>639</v>
      </c>
      <c r="D7" s="25" t="s">
        <v>640</v>
      </c>
      <c r="E7" s="24"/>
      <c r="F7" s="24"/>
      <c r="G7" s="25"/>
      <c r="H7" s="7"/>
      <c r="I7" s="7"/>
    </row>
    <row r="8" spans="1:10" ht="26" customHeight="1">
      <c r="A8" s="7" t="s">
        <v>641</v>
      </c>
      <c r="B8" s="7" t="s">
        <v>642</v>
      </c>
      <c r="C8" s="24" t="s">
        <v>643</v>
      </c>
      <c r="D8" s="25" t="s">
        <v>644</v>
      </c>
      <c r="E8" s="26" t="s">
        <v>645</v>
      </c>
      <c r="F8" s="26"/>
      <c r="G8" s="25"/>
      <c r="H8" s="7"/>
      <c r="I8" s="7"/>
    </row>
    <row r="9" spans="1:10" ht="29" customHeight="1">
      <c r="A9" s="7" t="s">
        <v>269</v>
      </c>
      <c r="B9" s="7" t="s">
        <v>646</v>
      </c>
      <c r="C9" s="20" t="s">
        <v>647</v>
      </c>
      <c r="D9" s="19" t="s">
        <v>648</v>
      </c>
      <c r="E9" s="23" t="s">
        <v>649</v>
      </c>
      <c r="F9" s="23"/>
      <c r="G9" s="25"/>
      <c r="H9" s="7"/>
      <c r="I9" s="7"/>
    </row>
    <row r="10" spans="1:10" ht="26" customHeight="1">
      <c r="A10" s="7" t="s">
        <v>650</v>
      </c>
      <c r="B10" s="7" t="s">
        <v>651</v>
      </c>
      <c r="C10" s="24" t="s">
        <v>652</v>
      </c>
      <c r="D10" s="28" t="s">
        <v>653</v>
      </c>
      <c r="E10" s="27"/>
      <c r="F10" s="27"/>
      <c r="G10" s="28"/>
      <c r="H10" s="7"/>
      <c r="I10" s="7"/>
    </row>
    <row r="11" spans="1:10">
      <c r="A11" s="7"/>
      <c r="B11" s="7"/>
      <c r="C11" s="24"/>
      <c r="D11" s="28"/>
      <c r="E11" s="27"/>
      <c r="F11" s="27"/>
      <c r="G11" s="28"/>
      <c r="H11" s="7"/>
      <c r="I11" s="7"/>
    </row>
    <row r="12" spans="1:10">
      <c r="A12" s="62" t="s">
        <v>136</v>
      </c>
      <c r="B12" s="7"/>
      <c r="C12" s="24"/>
      <c r="D12" s="25"/>
      <c r="E12" s="25"/>
      <c r="F12" s="25"/>
      <c r="G12" s="25"/>
      <c r="H12" s="7"/>
      <c r="I12" s="7"/>
    </row>
    <row r="13" spans="1:10">
      <c r="A13" s="7" t="s">
        <v>654</v>
      </c>
      <c r="B13" s="7"/>
      <c r="C13" s="24"/>
      <c r="D13" s="25"/>
      <c r="E13" s="24"/>
      <c r="F13" s="24"/>
      <c r="G13" s="25"/>
      <c r="H13" s="7"/>
      <c r="I13" s="7"/>
    </row>
    <row r="14" spans="1:10" ht="52" customHeight="1">
      <c r="A14" s="7" t="s">
        <v>655</v>
      </c>
      <c r="B14" s="7"/>
      <c r="C14" s="24"/>
      <c r="D14" s="25"/>
      <c r="E14" s="27" t="s">
        <v>656</v>
      </c>
      <c r="F14" s="27"/>
      <c r="G14" s="25"/>
      <c r="H14" s="7"/>
      <c r="I14" s="7"/>
    </row>
    <row r="15" spans="1:10" ht="101.5" customHeight="1">
      <c r="A15" s="7" t="s">
        <v>657</v>
      </c>
      <c r="B15" s="7"/>
      <c r="C15" s="24"/>
      <c r="D15" s="25"/>
      <c r="E15" s="24"/>
      <c r="F15" s="19" t="s">
        <v>658</v>
      </c>
      <c r="G15" s="25"/>
      <c r="H15" s="20"/>
      <c r="I15" s="19"/>
      <c r="J15" s="19"/>
    </row>
    <row r="16" spans="1:10" ht="65" customHeight="1">
      <c r="A16" s="7" t="s">
        <v>659</v>
      </c>
      <c r="B16" s="7"/>
      <c r="C16" s="24"/>
      <c r="D16" s="25"/>
      <c r="E16" s="27" t="s">
        <v>660</v>
      </c>
      <c r="F16" s="27"/>
      <c r="G16" s="25"/>
      <c r="H16" s="7"/>
      <c r="I16" s="7"/>
    </row>
    <row r="17" spans="1:11">
      <c r="A17" s="7" t="s">
        <v>661</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662</v>
      </c>
      <c r="B23" s="6" t="s">
        <v>663</v>
      </c>
      <c r="C23" s="6" t="s">
        <v>664</v>
      </c>
      <c r="D23" s="6" t="s">
        <v>665</v>
      </c>
      <c r="E23" s="6" t="s">
        <v>666</v>
      </c>
      <c r="F23" s="6" t="s">
        <v>667</v>
      </c>
      <c r="G23" s="7"/>
      <c r="H23" s="7"/>
    </row>
    <row r="24" spans="1:11" ht="273" customHeight="1">
      <c r="A24" s="7">
        <f t="shared" ref="A24:A49" si="0">ROW()-2</f>
        <v>22</v>
      </c>
      <c r="B24" s="24" t="s">
        <v>275</v>
      </c>
      <c r="C24" s="25" t="s">
        <v>276</v>
      </c>
      <c r="D24" s="25" t="s">
        <v>277</v>
      </c>
      <c r="E24" s="25"/>
      <c r="F24" s="25"/>
      <c r="G24" s="7"/>
      <c r="H24" s="7"/>
    </row>
    <row r="25" spans="1:11" ht="65" customHeight="1">
      <c r="A25" s="7">
        <f t="shared" si="0"/>
        <v>23</v>
      </c>
      <c r="B25" s="24" t="s">
        <v>278</v>
      </c>
      <c r="C25" s="25" t="s">
        <v>279</v>
      </c>
      <c r="D25" s="25" t="s">
        <v>280</v>
      </c>
      <c r="E25" s="25"/>
      <c r="F25" s="25"/>
      <c r="G25" s="7"/>
      <c r="H25" s="7"/>
    </row>
    <row r="26" spans="1:11" ht="156" customHeight="1">
      <c r="A26" s="7">
        <f t="shared" si="0"/>
        <v>24</v>
      </c>
      <c r="B26" s="24" t="s">
        <v>281</v>
      </c>
      <c r="C26" s="25" t="s">
        <v>282</v>
      </c>
      <c r="D26" s="24" t="s">
        <v>283</v>
      </c>
      <c r="E26" s="24"/>
      <c r="F26" s="25" t="s">
        <v>284</v>
      </c>
      <c r="G26" s="7"/>
      <c r="H26" s="7"/>
    </row>
    <row r="27" spans="1:11" ht="65" customHeight="1">
      <c r="A27" s="7">
        <f t="shared" si="0"/>
        <v>25</v>
      </c>
      <c r="B27" s="24" t="s">
        <v>285</v>
      </c>
      <c r="C27" s="25" t="s">
        <v>286</v>
      </c>
      <c r="D27" s="25" t="s">
        <v>287</v>
      </c>
      <c r="E27" s="25"/>
      <c r="F27" s="25" t="s">
        <v>288</v>
      </c>
      <c r="G27" s="7"/>
      <c r="H27" s="7"/>
    </row>
    <row r="28" spans="1:11" ht="29" customHeight="1">
      <c r="A28" s="7">
        <f t="shared" si="0"/>
        <v>26</v>
      </c>
      <c r="B28" s="24" t="s">
        <v>289</v>
      </c>
      <c r="C28" s="25" t="s">
        <v>286</v>
      </c>
      <c r="D28" s="24" t="s">
        <v>290</v>
      </c>
      <c r="E28" s="24"/>
      <c r="F28" s="25" t="s">
        <v>291</v>
      </c>
      <c r="G28" s="7"/>
      <c r="H28" s="7"/>
    </row>
    <row r="29" spans="1:11" ht="130" customHeight="1">
      <c r="A29" s="7">
        <f t="shared" si="0"/>
        <v>27</v>
      </c>
      <c r="B29" s="24" t="s">
        <v>292</v>
      </c>
      <c r="C29" s="25" t="s">
        <v>293</v>
      </c>
      <c r="D29" s="26" t="s">
        <v>294</v>
      </c>
      <c r="E29" s="26"/>
      <c r="F29" s="25" t="s">
        <v>295</v>
      </c>
      <c r="G29" s="7"/>
      <c r="H29" s="7"/>
    </row>
    <row r="30" spans="1:11" ht="26" customHeight="1">
      <c r="A30" s="7">
        <f t="shared" si="0"/>
        <v>28</v>
      </c>
      <c r="B30" s="20" t="s">
        <v>296</v>
      </c>
      <c r="C30" s="19" t="s">
        <v>297</v>
      </c>
      <c r="D30" s="23" t="s">
        <v>298</v>
      </c>
      <c r="E30" s="23"/>
      <c r="F30" s="25" t="s">
        <v>299</v>
      </c>
      <c r="G30" s="7"/>
      <c r="H30" s="7"/>
    </row>
    <row r="31" spans="1:11" ht="52" customHeight="1">
      <c r="A31" s="7">
        <f t="shared" si="0"/>
        <v>29</v>
      </c>
      <c r="B31" s="24" t="s">
        <v>668</v>
      </c>
      <c r="C31" s="28"/>
      <c r="D31" s="27"/>
      <c r="E31" s="27"/>
      <c r="F31" s="28"/>
      <c r="G31" s="7"/>
      <c r="H31" s="7"/>
      <c r="K31" s="22" t="s">
        <v>669</v>
      </c>
    </row>
    <row r="32" spans="1:11" ht="52" customHeight="1">
      <c r="A32" s="7">
        <f t="shared" si="0"/>
        <v>30</v>
      </c>
      <c r="B32" s="24" t="s">
        <v>670</v>
      </c>
      <c r="C32" s="28"/>
      <c r="D32" s="27"/>
      <c r="E32" s="27"/>
      <c r="F32" s="28"/>
      <c r="G32" s="7"/>
      <c r="H32" s="7"/>
    </row>
    <row r="33" spans="1:9" ht="26" customHeight="1">
      <c r="A33" s="7">
        <f t="shared" si="0"/>
        <v>31</v>
      </c>
      <c r="B33" s="24" t="s">
        <v>300</v>
      </c>
      <c r="C33" s="25" t="s">
        <v>301</v>
      </c>
      <c r="D33" s="25" t="s">
        <v>302</v>
      </c>
      <c r="E33" s="25"/>
      <c r="F33" s="25"/>
      <c r="G33" s="7"/>
      <c r="H33" s="7"/>
    </row>
    <row r="34" spans="1:9" ht="26" customHeight="1">
      <c r="A34" s="7">
        <f t="shared" si="0"/>
        <v>32</v>
      </c>
      <c r="B34" s="24" t="s">
        <v>207</v>
      </c>
      <c r="C34" s="25" t="s">
        <v>303</v>
      </c>
      <c r="D34" s="24" t="s">
        <v>304</v>
      </c>
      <c r="E34" s="24"/>
      <c r="F34" s="25" t="s">
        <v>305</v>
      </c>
      <c r="G34" s="7"/>
      <c r="H34" s="7"/>
    </row>
    <row r="35" spans="1:9" ht="26" customHeight="1">
      <c r="A35" s="7">
        <f t="shared" si="0"/>
        <v>33</v>
      </c>
      <c r="B35" s="24" t="s">
        <v>306</v>
      </c>
      <c r="C35" s="25" t="s">
        <v>307</v>
      </c>
      <c r="D35" s="27" t="s">
        <v>308</v>
      </c>
      <c r="E35" s="27"/>
      <c r="F35" s="25" t="s">
        <v>309</v>
      </c>
      <c r="G35" s="7"/>
      <c r="H35" s="7"/>
    </row>
    <row r="36" spans="1:9" ht="26" customHeight="1">
      <c r="A36" s="7">
        <f t="shared" si="0"/>
        <v>34</v>
      </c>
      <c r="B36" s="24" t="s">
        <v>310</v>
      </c>
      <c r="C36" s="25" t="s">
        <v>311</v>
      </c>
      <c r="D36" s="24" t="s">
        <v>312</v>
      </c>
      <c r="E36" s="24"/>
      <c r="F36" s="25" t="s">
        <v>313</v>
      </c>
      <c r="G36" s="20" t="s">
        <v>671</v>
      </c>
      <c r="H36" s="19" t="s">
        <v>672</v>
      </c>
      <c r="I36" s="19" t="s">
        <v>673</v>
      </c>
    </row>
    <row r="37" spans="1:9" ht="52" customHeight="1">
      <c r="A37" s="7">
        <f t="shared" si="0"/>
        <v>35</v>
      </c>
      <c r="B37" s="24" t="s">
        <v>314</v>
      </c>
      <c r="C37" s="25" t="s">
        <v>315</v>
      </c>
      <c r="D37" s="27" t="s">
        <v>316</v>
      </c>
      <c r="E37" s="27"/>
      <c r="F37" s="25" t="s">
        <v>317</v>
      </c>
      <c r="G37" s="7"/>
      <c r="H37" s="7"/>
    </row>
    <row r="38" spans="1:9" ht="26" customHeight="1">
      <c r="A38" s="7">
        <f t="shared" si="0"/>
        <v>36</v>
      </c>
      <c r="B38" s="24" t="s">
        <v>318</v>
      </c>
      <c r="C38" s="25" t="s">
        <v>319</v>
      </c>
      <c r="D38" s="24" t="s">
        <v>320</v>
      </c>
      <c r="E38" s="24"/>
      <c r="F38" s="25" t="s">
        <v>321</v>
      </c>
      <c r="G38" s="7"/>
      <c r="H38" s="7"/>
    </row>
    <row r="39" spans="1:9" ht="26" customHeight="1">
      <c r="A39" s="7">
        <f t="shared" si="0"/>
        <v>37</v>
      </c>
      <c r="B39" s="24" t="s">
        <v>322</v>
      </c>
      <c r="C39" s="30" t="s">
        <v>323</v>
      </c>
      <c r="D39" s="24" t="s">
        <v>324</v>
      </c>
      <c r="E39" s="24"/>
      <c r="F39" s="25" t="s">
        <v>325</v>
      </c>
      <c r="G39" s="7"/>
      <c r="H39" s="7"/>
    </row>
    <row r="40" spans="1:9" ht="26" customHeight="1">
      <c r="A40" s="7">
        <f t="shared" si="0"/>
        <v>38</v>
      </c>
      <c r="B40" s="24" t="s">
        <v>326</v>
      </c>
      <c r="C40" s="28" t="s">
        <v>327</v>
      </c>
      <c r="D40" s="29"/>
      <c r="E40" s="29"/>
      <c r="F40" s="28"/>
      <c r="G40" s="7"/>
      <c r="H40" s="7"/>
    </row>
    <row r="41" spans="1:9" ht="26" customHeight="1">
      <c r="A41" s="7">
        <f t="shared" si="0"/>
        <v>39</v>
      </c>
      <c r="B41" s="24" t="s">
        <v>328</v>
      </c>
      <c r="C41" s="28" t="s">
        <v>329</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330</v>
      </c>
      <c r="C43" s="25" t="s">
        <v>331</v>
      </c>
      <c r="D43" s="24" t="s">
        <v>332</v>
      </c>
      <c r="E43" s="24"/>
      <c r="F43" s="25" t="s">
        <v>333</v>
      </c>
      <c r="G43" s="7" t="s">
        <v>669</v>
      </c>
      <c r="H43" s="7"/>
    </row>
    <row r="44" spans="1:9" ht="52" customHeight="1">
      <c r="A44" s="7">
        <f t="shared" si="0"/>
        <v>42</v>
      </c>
      <c r="B44" s="24" t="s">
        <v>334</v>
      </c>
      <c r="C44" s="25" t="s">
        <v>335</v>
      </c>
      <c r="D44" s="25" t="s">
        <v>336</v>
      </c>
      <c r="E44" s="25"/>
      <c r="F44" s="25" t="s">
        <v>337</v>
      </c>
      <c r="G44" s="7"/>
      <c r="H44" s="7"/>
    </row>
    <row r="45" spans="1:9" ht="87" customHeight="1">
      <c r="A45" s="7">
        <f t="shared" si="0"/>
        <v>43</v>
      </c>
      <c r="B45" s="24" t="s">
        <v>338</v>
      </c>
      <c r="C45" s="25" t="s">
        <v>339</v>
      </c>
      <c r="D45" s="26" t="s">
        <v>340</v>
      </c>
      <c r="E45" s="26"/>
      <c r="F45" s="25" t="s">
        <v>341</v>
      </c>
      <c r="G45" s="7"/>
      <c r="H45" s="7"/>
    </row>
    <row r="46" spans="1:9" ht="43.5" customHeight="1">
      <c r="A46" s="7">
        <f t="shared" si="0"/>
        <v>44</v>
      </c>
      <c r="B46" s="24" t="s">
        <v>342</v>
      </c>
      <c r="C46" s="25" t="s">
        <v>343</v>
      </c>
      <c r="D46" s="26" t="s">
        <v>344</v>
      </c>
      <c r="E46" s="26"/>
      <c r="F46" s="25" t="s">
        <v>345</v>
      </c>
      <c r="G46" s="7"/>
      <c r="H46" s="7"/>
    </row>
    <row r="47" spans="1:9" ht="87" customHeight="1">
      <c r="A47" s="78">
        <f t="shared" si="0"/>
        <v>45</v>
      </c>
      <c r="B47" s="79"/>
      <c r="C47" s="80"/>
      <c r="D47" s="81"/>
      <c r="E47" s="81"/>
      <c r="F47" s="80"/>
      <c r="G47" s="78"/>
      <c r="H47" s="78"/>
      <c r="I47" s="82"/>
    </row>
    <row r="48" spans="1:9" ht="58" customHeight="1">
      <c r="A48" s="7">
        <f t="shared" si="0"/>
        <v>46</v>
      </c>
      <c r="B48" s="24"/>
      <c r="C48" s="25"/>
      <c r="D48" s="26"/>
      <c r="E48" s="26"/>
      <c r="F48" s="25"/>
      <c r="G48" s="7"/>
      <c r="H48" s="7"/>
    </row>
    <row r="49" spans="1:8" ht="72.5" customHeight="1">
      <c r="A49" s="7">
        <f t="shared" si="0"/>
        <v>47</v>
      </c>
      <c r="B49" s="18" t="s">
        <v>674</v>
      </c>
      <c r="C49" s="18" t="s">
        <v>675</v>
      </c>
      <c r="D49" s="18" t="s">
        <v>676</v>
      </c>
      <c r="E49" s="18"/>
      <c r="F49" s="18" t="s">
        <v>677</v>
      </c>
      <c r="G49" s="7"/>
      <c r="H49" s="7"/>
    </row>
    <row r="50" spans="1:8" ht="72.5" customHeight="1">
      <c r="A50" s="7"/>
      <c r="G50" s="7"/>
      <c r="H50" s="7"/>
    </row>
    <row r="51" spans="1:8" ht="58" customHeight="1">
      <c r="A51" s="7"/>
      <c r="B51" s="21" t="s">
        <v>678</v>
      </c>
      <c r="C51" s="21" t="s">
        <v>3</v>
      </c>
      <c r="D51" s="21" t="s">
        <v>679</v>
      </c>
      <c r="E51" s="21"/>
      <c r="F51" s="21" t="s">
        <v>680</v>
      </c>
      <c r="G51" s="21" t="s">
        <v>681</v>
      </c>
      <c r="H51" s="7"/>
    </row>
    <row r="52" spans="1:8" ht="101.5" customHeight="1">
      <c r="A52" s="7"/>
      <c r="B52" s="21" t="s">
        <v>498</v>
      </c>
      <c r="C52" s="22" t="s">
        <v>682</v>
      </c>
      <c r="D52" s="22" t="s">
        <v>683</v>
      </c>
      <c r="E52" s="22"/>
      <c r="F52" s="22" t="s">
        <v>684</v>
      </c>
      <c r="G52" s="22" t="s">
        <v>685</v>
      </c>
      <c r="H52" s="7"/>
    </row>
    <row r="53" spans="1:8" ht="101.5" customHeight="1">
      <c r="A53" s="7"/>
      <c r="B53" s="21" t="s">
        <v>500</v>
      </c>
      <c r="C53" s="22" t="s">
        <v>686</v>
      </c>
      <c r="D53" s="22" t="s">
        <v>683</v>
      </c>
      <c r="E53" s="22"/>
      <c r="F53" s="22" t="s">
        <v>687</v>
      </c>
      <c r="G53" s="22" t="s">
        <v>688</v>
      </c>
      <c r="H53" s="15" t="s">
        <v>689</v>
      </c>
    </row>
    <row r="54" spans="1:8" ht="58" customHeight="1">
      <c r="A54" s="7"/>
      <c r="B54" s="21" t="s">
        <v>593</v>
      </c>
      <c r="C54" s="22" t="s">
        <v>690</v>
      </c>
      <c r="D54" s="22" t="s">
        <v>683</v>
      </c>
      <c r="E54" s="22"/>
      <c r="F54" s="22" t="s">
        <v>691</v>
      </c>
      <c r="G54" s="22" t="s">
        <v>692</v>
      </c>
      <c r="H54" s="7"/>
    </row>
    <row r="55" spans="1:8" ht="72.5" customHeight="1">
      <c r="A55" s="7"/>
      <c r="B55" s="21" t="s">
        <v>496</v>
      </c>
      <c r="C55" s="22" t="s">
        <v>693</v>
      </c>
      <c r="D55" s="22" t="s">
        <v>683</v>
      </c>
      <c r="E55" s="22"/>
      <c r="F55" s="22" t="s">
        <v>694</v>
      </c>
      <c r="G55" s="22" t="s">
        <v>695</v>
      </c>
      <c r="H55" s="7"/>
    </row>
    <row r="56" spans="1:8" ht="58" customHeight="1">
      <c r="A56" s="7"/>
      <c r="B56" s="21" t="s">
        <v>696</v>
      </c>
      <c r="C56" s="22" t="s">
        <v>697</v>
      </c>
      <c r="D56" s="22" t="s">
        <v>683</v>
      </c>
      <c r="E56" s="22"/>
      <c r="F56" s="22" t="s">
        <v>698</v>
      </c>
      <c r="G56" s="22" t="s">
        <v>699</v>
      </c>
      <c r="H56" s="7"/>
    </row>
    <row r="57" spans="1:8" ht="58" customHeight="1">
      <c r="A57" s="7"/>
      <c r="B57" s="21" t="s">
        <v>700</v>
      </c>
      <c r="C57" s="22" t="s">
        <v>701</v>
      </c>
      <c r="D57" s="22" t="s">
        <v>702</v>
      </c>
      <c r="E57" s="22"/>
      <c r="F57" s="22" t="s">
        <v>703</v>
      </c>
      <c r="G57" s="22" t="s">
        <v>692</v>
      </c>
      <c r="H57" s="7"/>
    </row>
    <row r="58" spans="1:8" ht="58" customHeight="1">
      <c r="A58" s="7"/>
      <c r="B58" s="21" t="s">
        <v>704</v>
      </c>
      <c r="C58" s="22" t="s">
        <v>705</v>
      </c>
      <c r="D58" s="22" t="s">
        <v>702</v>
      </c>
      <c r="E58" s="22"/>
      <c r="F58" s="22" t="s">
        <v>706</v>
      </c>
      <c r="G58" s="22" t="s">
        <v>707</v>
      </c>
      <c r="H58" s="7"/>
    </row>
    <row r="59" spans="1:8" ht="29" customHeight="1">
      <c r="A59" s="7"/>
      <c r="B59" s="21" t="s">
        <v>708</v>
      </c>
      <c r="C59" s="22" t="s">
        <v>709</v>
      </c>
      <c r="D59" s="22" t="s">
        <v>702</v>
      </c>
      <c r="E59" s="22"/>
      <c r="F59" s="22" t="s">
        <v>710</v>
      </c>
      <c r="G59" s="22" t="s">
        <v>711</v>
      </c>
      <c r="H59" s="7"/>
    </row>
    <row r="60" spans="1:8" ht="58" customHeight="1">
      <c r="A60" s="7"/>
      <c r="B60" s="21" t="s">
        <v>712</v>
      </c>
      <c r="C60" s="22" t="s">
        <v>713</v>
      </c>
      <c r="D60" s="22" t="s">
        <v>702</v>
      </c>
      <c r="E60" s="22"/>
      <c r="F60" s="22" t="s">
        <v>714</v>
      </c>
      <c r="G60" s="22" t="s">
        <v>715</v>
      </c>
      <c r="H60" s="7"/>
    </row>
    <row r="61" spans="1:8" ht="29" customHeight="1">
      <c r="A61" s="7"/>
      <c r="B61" s="21" t="s">
        <v>716</v>
      </c>
      <c r="C61" s="22" t="s">
        <v>717</v>
      </c>
      <c r="D61" s="22" t="s">
        <v>702</v>
      </c>
      <c r="E61" s="22"/>
      <c r="F61" s="22" t="s">
        <v>718</v>
      </c>
      <c r="G61" s="22" t="s">
        <v>719</v>
      </c>
      <c r="H61" s="7"/>
    </row>
    <row r="62" spans="1:8" ht="43.5" customHeight="1">
      <c r="A62" s="7"/>
      <c r="B62" s="21" t="s">
        <v>19</v>
      </c>
      <c r="C62" s="22" t="s">
        <v>720</v>
      </c>
      <c r="D62" s="22" t="s">
        <v>721</v>
      </c>
      <c r="E62" s="22"/>
      <c r="F62" s="22" t="s">
        <v>722</v>
      </c>
      <c r="G62" s="22" t="s">
        <v>723</v>
      </c>
      <c r="H62" s="7"/>
    </row>
    <row r="63" spans="1:8" ht="43.5" customHeight="1">
      <c r="A63" s="7"/>
      <c r="B63" s="21" t="s">
        <v>724</v>
      </c>
      <c r="C63" s="22" t="s">
        <v>725</v>
      </c>
      <c r="D63" s="22" t="s">
        <v>726</v>
      </c>
      <c r="E63" s="22"/>
      <c r="F63" s="22" t="s">
        <v>727</v>
      </c>
      <c r="G63" s="22" t="s">
        <v>728</v>
      </c>
      <c r="H63" s="7"/>
    </row>
    <row r="64" spans="1:8" ht="43.5" customHeight="1"/>
    <row r="65" spans="1:6" ht="29" customHeight="1">
      <c r="B65" s="18" t="s">
        <v>729</v>
      </c>
      <c r="C65" s="18" t="s">
        <v>730</v>
      </c>
      <c r="D65" s="18" t="s">
        <v>731</v>
      </c>
      <c r="E65" s="18" t="s">
        <v>732</v>
      </c>
      <c r="F65" s="18" t="s">
        <v>733</v>
      </c>
    </row>
    <row r="66" spans="1:6" ht="101.5" customHeight="1">
      <c r="A66" s="7"/>
      <c r="B66" s="20" t="s">
        <v>202</v>
      </c>
      <c r="C66" s="19" t="s">
        <v>734</v>
      </c>
      <c r="D66" s="19" t="s">
        <v>735</v>
      </c>
      <c r="E66" s="32" t="s">
        <v>736</v>
      </c>
      <c r="F66" s="19" t="s">
        <v>737</v>
      </c>
    </row>
    <row r="67" spans="1:6" ht="43.5" customHeight="1">
      <c r="A67" s="15"/>
      <c r="B67" s="20" t="s">
        <v>738</v>
      </c>
      <c r="C67" s="19" t="s">
        <v>739</v>
      </c>
      <c r="D67" s="19" t="s">
        <v>740</v>
      </c>
      <c r="E67" s="32" t="s">
        <v>741</v>
      </c>
      <c r="F67" s="19" t="s">
        <v>742</v>
      </c>
    </row>
    <row r="68" spans="1:6" ht="87" customHeight="1">
      <c r="A68" s="7"/>
      <c r="B68" s="20" t="s">
        <v>743</v>
      </c>
      <c r="C68" s="19" t="s">
        <v>744</v>
      </c>
      <c r="D68" s="20" t="s">
        <v>745</v>
      </c>
      <c r="E68" s="32" t="s">
        <v>746</v>
      </c>
      <c r="F68" s="19" t="s">
        <v>747</v>
      </c>
    </row>
    <row r="69" spans="1:6" ht="72.5" customHeight="1">
      <c r="A69" s="7"/>
      <c r="B69" s="20" t="s">
        <v>748</v>
      </c>
      <c r="C69" s="19" t="s">
        <v>749</v>
      </c>
      <c r="D69" s="19" t="s">
        <v>750</v>
      </c>
      <c r="E69" s="32" t="s">
        <v>751</v>
      </c>
      <c r="F69" s="19" t="s">
        <v>752</v>
      </c>
    </row>
    <row r="70" spans="1:6" ht="87" customHeight="1">
      <c r="A70" s="7"/>
      <c r="B70" s="20" t="s">
        <v>753</v>
      </c>
      <c r="C70" s="19" t="s">
        <v>754</v>
      </c>
      <c r="D70" s="19" t="s">
        <v>755</v>
      </c>
      <c r="E70" s="32" t="s">
        <v>756</v>
      </c>
      <c r="F70" s="20" t="s">
        <v>757</v>
      </c>
    </row>
    <row r="71" spans="1:6" ht="87" customHeight="1">
      <c r="A71" s="7"/>
      <c r="B71" s="20" t="s">
        <v>758</v>
      </c>
      <c r="C71" s="19" t="s">
        <v>759</v>
      </c>
      <c r="D71" s="19" t="s">
        <v>760</v>
      </c>
      <c r="E71" s="32" t="s">
        <v>761</v>
      </c>
      <c r="F71" s="19" t="s">
        <v>762</v>
      </c>
    </row>
    <row r="72" spans="1:6" ht="72.5" customHeight="1">
      <c r="A72" s="7"/>
      <c r="B72" s="20" t="s">
        <v>763</v>
      </c>
      <c r="C72" s="19" t="s">
        <v>764</v>
      </c>
      <c r="D72" s="20" t="s">
        <v>765</v>
      </c>
      <c r="E72" s="32" t="s">
        <v>766</v>
      </c>
      <c r="F72" s="19" t="s">
        <v>767</v>
      </c>
    </row>
    <row r="73" spans="1:6" ht="101.5" customHeight="1">
      <c r="A73" s="7"/>
      <c r="B73" s="20" t="s">
        <v>768</v>
      </c>
      <c r="C73" s="19" t="s">
        <v>769</v>
      </c>
      <c r="D73" s="19" t="s">
        <v>770</v>
      </c>
      <c r="E73" s="32" t="s">
        <v>771</v>
      </c>
      <c r="F73" s="20" t="s">
        <v>772</v>
      </c>
    </row>
    <row r="74" spans="1:6" ht="116" customHeight="1">
      <c r="A74" s="7"/>
      <c r="B74" s="20" t="s">
        <v>773</v>
      </c>
      <c r="C74" s="20" t="s">
        <v>774</v>
      </c>
      <c r="D74" s="19" t="s">
        <v>775</v>
      </c>
      <c r="E74" s="32" t="s">
        <v>776</v>
      </c>
      <c r="F74" s="19" t="s">
        <v>777</v>
      </c>
    </row>
    <row r="75" spans="1:6" ht="72.5" customHeight="1">
      <c r="A75" s="7"/>
      <c r="B75" s="20" t="s">
        <v>19</v>
      </c>
      <c r="C75" s="19" t="s">
        <v>778</v>
      </c>
      <c r="D75" s="19" t="s">
        <v>779</v>
      </c>
      <c r="E75" s="32" t="s">
        <v>780</v>
      </c>
      <c r="F75" s="19" t="s">
        <v>781</v>
      </c>
    </row>
    <row r="76" spans="1:6" ht="87" customHeight="1">
      <c r="B76" s="20" t="s">
        <v>782</v>
      </c>
      <c r="C76" s="19" t="s">
        <v>783</v>
      </c>
      <c r="D76" s="19" t="s">
        <v>784</v>
      </c>
      <c r="E76" s="32" t="s">
        <v>785</v>
      </c>
      <c r="F76" s="19" t="s">
        <v>786</v>
      </c>
    </row>
    <row r="77" spans="1:6" ht="58" customHeight="1">
      <c r="B77" s="20" t="s">
        <v>787</v>
      </c>
      <c r="C77" s="19" t="s">
        <v>788</v>
      </c>
      <c r="D77" s="19" t="s">
        <v>789</v>
      </c>
      <c r="E77" s="32" t="s">
        <v>790</v>
      </c>
      <c r="F77" s="19" t="s">
        <v>791</v>
      </c>
    </row>
    <row r="78" spans="1:6" ht="72.5" customHeight="1">
      <c r="B78" s="20" t="s">
        <v>792</v>
      </c>
      <c r="C78" s="19" t="s">
        <v>793</v>
      </c>
      <c r="D78" s="19" t="s">
        <v>794</v>
      </c>
      <c r="E78" s="19" t="s">
        <v>795</v>
      </c>
      <c r="F78" s="19" t="s">
        <v>796</v>
      </c>
    </row>
    <row r="79" spans="1:6" ht="72.5" customHeight="1">
      <c r="B79" s="20" t="s">
        <v>797</v>
      </c>
      <c r="C79" s="19" t="s">
        <v>798</v>
      </c>
      <c r="D79" s="19" t="s">
        <v>799</v>
      </c>
      <c r="E79" s="32" t="s">
        <v>800</v>
      </c>
      <c r="F79" s="19" t="s">
        <v>801</v>
      </c>
    </row>
    <row r="80" spans="1:6" ht="43.5" customHeight="1">
      <c r="B80" s="20" t="s">
        <v>802</v>
      </c>
      <c r="C80" s="19" t="s">
        <v>803</v>
      </c>
      <c r="D80" s="19" t="s">
        <v>804</v>
      </c>
      <c r="E80" s="32" t="s">
        <v>805</v>
      </c>
      <c r="F80" s="19" t="s">
        <v>806</v>
      </c>
    </row>
    <row r="81" spans="1:6" ht="72.5" customHeight="1">
      <c r="B81" s="20" t="s">
        <v>807</v>
      </c>
      <c r="C81" s="19" t="s">
        <v>808</v>
      </c>
      <c r="D81" s="19" t="s">
        <v>809</v>
      </c>
      <c r="E81" s="32" t="s">
        <v>810</v>
      </c>
      <c r="F81" s="19" t="s">
        <v>811</v>
      </c>
    </row>
    <row r="82" spans="1:6" ht="43.5" customHeight="1">
      <c r="B82" s="20" t="s">
        <v>812</v>
      </c>
      <c r="C82" s="19" t="s">
        <v>813</v>
      </c>
      <c r="D82" s="19" t="s">
        <v>814</v>
      </c>
      <c r="E82" s="32" t="s">
        <v>815</v>
      </c>
      <c r="F82" s="19" t="s">
        <v>816</v>
      </c>
    </row>
    <row r="83" spans="1:6" ht="58" customHeight="1">
      <c r="B83" s="20" t="s">
        <v>817</v>
      </c>
      <c r="C83" s="19" t="s">
        <v>818</v>
      </c>
      <c r="D83" s="19" t="s">
        <v>819</v>
      </c>
      <c r="E83" s="32" t="s">
        <v>820</v>
      </c>
      <c r="F83" s="19" t="s">
        <v>821</v>
      </c>
    </row>
    <row r="84" spans="1:6" ht="58" customHeight="1">
      <c r="B84" s="20" t="s">
        <v>822</v>
      </c>
      <c r="C84" s="19" t="s">
        <v>823</v>
      </c>
      <c r="D84" s="19" t="s">
        <v>824</v>
      </c>
      <c r="E84" s="32" t="s">
        <v>825</v>
      </c>
      <c r="F84" s="19" t="s">
        <v>826</v>
      </c>
    </row>
    <row r="85" spans="1:6" ht="43.5" customHeight="1">
      <c r="B85" s="20" t="s">
        <v>827</v>
      </c>
      <c r="C85" s="19" t="s">
        <v>828</v>
      </c>
      <c r="D85" s="19" t="s">
        <v>829</v>
      </c>
      <c r="E85" s="32" t="s">
        <v>830</v>
      </c>
      <c r="F85" s="19" t="s">
        <v>831</v>
      </c>
    </row>
    <row r="87" spans="1:6">
      <c r="A87" s="64" t="s">
        <v>832</v>
      </c>
    </row>
    <row r="88" spans="1:6">
      <c r="A88" s="64" t="s">
        <v>132</v>
      </c>
      <c r="B88" s="64" t="s">
        <v>833</v>
      </c>
      <c r="C88" s="64" t="s">
        <v>834</v>
      </c>
    </row>
    <row r="89" spans="1:6">
      <c r="A89" t="s">
        <v>138</v>
      </c>
      <c r="B89" t="s">
        <v>835</v>
      </c>
      <c r="C89" t="s">
        <v>140</v>
      </c>
    </row>
    <row r="90" spans="1:6">
      <c r="A90" t="s">
        <v>143</v>
      </c>
      <c r="B90" t="s">
        <v>144</v>
      </c>
      <c r="C90" t="s">
        <v>145</v>
      </c>
    </row>
    <row r="91" spans="1:6">
      <c r="A91" t="s">
        <v>147</v>
      </c>
      <c r="B91" t="s">
        <v>836</v>
      </c>
      <c r="C91" t="s">
        <v>145</v>
      </c>
    </row>
    <row r="92" spans="1:6">
      <c r="A92" t="s">
        <v>150</v>
      </c>
      <c r="B92" t="s">
        <v>837</v>
      </c>
      <c r="C92" t="s">
        <v>145</v>
      </c>
    </row>
    <row r="93" spans="1:6">
      <c r="A93" t="s">
        <v>153</v>
      </c>
      <c r="B93" t="s">
        <v>838</v>
      </c>
      <c r="C93" t="s">
        <v>145</v>
      </c>
    </row>
    <row r="94" spans="1:6">
      <c r="A94" t="s">
        <v>839</v>
      </c>
      <c r="B94" t="s">
        <v>157</v>
      </c>
      <c r="C94" t="s">
        <v>840</v>
      </c>
    </row>
    <row r="95" spans="1:6">
      <c r="A95" t="s">
        <v>197</v>
      </c>
      <c r="B95" t="s">
        <v>841</v>
      </c>
      <c r="C95" t="s">
        <v>842</v>
      </c>
    </row>
    <row r="96" spans="1:6">
      <c r="A96" t="s">
        <v>170</v>
      </c>
      <c r="B96" t="s">
        <v>843</v>
      </c>
      <c r="C96" t="s">
        <v>844</v>
      </c>
    </row>
    <row r="97" spans="1:3">
      <c r="A97" t="s">
        <v>175</v>
      </c>
      <c r="B97" t="s">
        <v>176</v>
      </c>
      <c r="C97" t="s">
        <v>845</v>
      </c>
    </row>
    <row r="98" spans="1:3">
      <c r="A98" t="s">
        <v>180</v>
      </c>
      <c r="B98" t="s">
        <v>181</v>
      </c>
      <c r="C98" t="s">
        <v>846</v>
      </c>
    </row>
    <row r="99" spans="1:3">
      <c r="A99" t="s">
        <v>185</v>
      </c>
      <c r="B99" t="s">
        <v>847</v>
      </c>
      <c r="C99" t="s">
        <v>848</v>
      </c>
    </row>
    <row r="100" spans="1:3">
      <c r="A100" t="s">
        <v>849</v>
      </c>
      <c r="B100" t="s">
        <v>850</v>
      </c>
      <c r="C100" t="s">
        <v>851</v>
      </c>
    </row>
  </sheetData>
  <hyperlinks>
    <hyperlink ref="E8" r:id="rId1" tooltip="Microsoft Word - FS ACFR FY24 Scottsdale USD" xr:uid="{00000000-0004-0000-0F00-000000000000}"/>
    <hyperlink ref="E9" r:id="rId2" tooltip="sdspending.azauditor.gov" xr:uid="{00000000-0004-0000-0F00-000001000000}"/>
    <hyperlink ref="E14" r:id="rId3" tooltip="List Of Groups - Sun Devil Central - Arizona State University" xr:uid="{00000000-0004-0000-0F00-000002000000}"/>
    <hyperlink ref="E16" r:id="rId4" tooltip="School Closings in Chicago" xr:uid="{00000000-0004-0000-0F00-000003000000}"/>
    <hyperlink ref="D29" r:id="rId5" tooltip="Microsoft Word - FS ACFR FY24 Scottsdale USD" display="https://www.susd.org/fs/resource-manager/view/01a0856f-3a75-4ceb-9e90-02f85099b68d" xr:uid="{00000000-0004-0000-0F00-000004000000}"/>
    <hyperlink ref="D30" r:id="rId6" tooltip="sdspending.azauditor.gov" display="https://sdspending.azauditor.gov/" xr:uid="{00000000-0004-0000-0F00-000005000000}"/>
    <hyperlink ref="D35" r:id="rId7" tooltip="List Of Groups - Sun Devil Central - Arizona State University" display="https://sundevilcentral.eoss.asu.edu/club_signup?category_tags=6551555&amp;group_type=&amp;view=all&amp;utm_source=chatgpt.com" xr:uid="{00000000-0004-0000-0F00-000006000000}"/>
    <hyperlink ref="D37" r:id="rId8" tooltip="School Closings in Chicago" display="https://consortium.uchicago.edu/publications/school-closings-chicago-staff-and-student-experiences-and-academic-outcomes?utm_source=chatgpt.com" xr:uid="{00000000-0004-0000-0F00-000007000000}"/>
    <hyperlink ref="D45" r:id="rId9" tooltip="School Finance Data Processing for Kindergarten Students" display="https://ade.az.gov/schoolfinance/STaR/SAISInfoSeries/SIS16.pdf?utm_source=chatgpt.com" xr:uid="{00000000-0004-0000-0F00-000008000000}"/>
    <hyperlink ref="D46" r:id="rId10" tooltip="Bill Text: AZ HB2969 | 2025 | Fifty-seventh Legislature 1st ..." display="https://legiscan.com/AZ/text/HB2969/2025?utm_source=chatgpt.com" xr:uid="{00000000-0004-0000-0F00-000009000000}"/>
    <hyperlink ref="E66" r:id="rId11" tooltip="15-901 - Definitions" display="https://www.azleg.gov/ars/15/00901.htm?utm_source=chatgpt.com" xr:uid="{00000000-0004-0000-0F00-00000A000000}"/>
    <hyperlink ref="E67" r:id="rId12" tooltip="School Finance Guidelines &amp; Manuals" display="https://www.azed.gov/finance/school-finance-external-guidelines?utm_source=chatgpt.com" xr:uid="{00000000-0004-0000-0F00-00000B000000}"/>
    <hyperlink ref="E68" r:id="rId13" tooltip="uniform system - financial records" display="https://www.azauditor.gov/sites/default/files/2023-11/USFR102323%282%29.pdf?utm_source=chatgpt.com" xr:uid="{00000000-0004-0000-0F00-00000C000000}"/>
    <hyperlink ref="E69" r:id="rId14" tooltip="Budget - Scottsdale Unified School District 48" display="https://www.susd.org/departments/finance/budget?utm_source=chatgpt.com" xr:uid="{00000000-0004-0000-0F00-00000D000000}"/>
    <hyperlink ref="E70" r:id="rId15" tooltip="HOW TO CALCULATE OPERATIONAL AND ..." display="https://www.azauditor.gov/sites/default/files/2023-09/HowToCalculateOperational-NonoperationalSpending.pdf?utm_source=chatgpt.com" xr:uid="{00000000-0004-0000-0F00-00000E000000}"/>
    <hyperlink ref="E71" r:id="rId16" tooltip="Glossary" display="https://sfbudget.ade.az.gov/Budget/Help/Introduction/Glossary.htm?utm_source=chatgpt.com" xr:uid="{00000000-0004-0000-0F00-00000F000000}"/>
    <hyperlink ref="E72" r:id="rId17" tooltip="15-481 - Override election; budget increases; informational ..." display="https://www.azleg.gov/ars/15/00481.htm?utm_source=chatgpt.com" xr:uid="{00000000-0004-0000-0F00-000010000000}"/>
    <hyperlink ref="E73" r:id="rId18" tooltip="Understanding the SDADMS75 Report" display="https://www.ade.az.gov/schoolfinance/star/SAISInfoSeries/SIS7.pdf?utm_source=chatgpt.com" xr:uid="{00000000-0004-0000-0F00-000011000000}"/>
    <hyperlink ref="E74" r:id="rId19" tooltip="School District Spending Report" display="https://www.azauditor.gov/sites/default/files/2023-11/Skull_Valley_ESD_12.pdf?utm_source=chatgpt.com" xr:uid="{00000000-0004-0000-0F00-000012000000}"/>
    <hyperlink ref="E75" r:id="rId20" tooltip="HOW TO CALCULATE OPERATIONAL AND ..." display="https://www.azauditor.gov/sites/default/files/2023-09/HowToCalculateOperational-NonoperationalSpending.pdf?utm_source=chatgpt.com" xr:uid="{00000000-0004-0000-0F00-000013000000}"/>
    <hyperlink ref="E76" r:id="rId21" tooltip="uniform system - financial records" display="https://www.azauditor.gov/sites/default/files/2023-11/USFR102323%282%29.pdf?utm_source=chatgpt.com" xr:uid="{00000000-0004-0000-0F00-000014000000}"/>
    <hyperlink ref="E77" r:id="rId22" tooltip="HOW TO CALCULATE OPERATIONAL AND ..." display="https://www.azauditor.gov/sites/default/files/2023-09/HowToCalculateOperational-NonoperationalSpending.pdf?utm_source=chatgpt.com" xr:uid="{00000000-0004-0000-0F00-000015000000}"/>
    <hyperlink ref="E79" r:id="rId23" tooltip="Budget - Scottsdale Unified School District 48" display="https://www.susd.org/departments/finance/budget?utm_source=chatgpt.com" xr:uid="{00000000-0004-0000-0F00-000016000000}"/>
    <hyperlink ref="E80" r:id="rId24" tooltip="Scottsdale Unified School District No. 48" display="https://www.susd.org/fs/resource-manager/view/01a0856f-3a75-4ceb-9e90-02f85099b68d?utm_source=chatgpt.com" xr:uid="{00000000-0004-0000-0F00-000017000000}"/>
    <hyperlink ref="E81" r:id="rId25" tooltip="HOW TO CALCULATE OPERATIONAL AND ..." display="https://www.azauditor.gov/sites/default/files/2023-09/HowToCalculateOperational-NonoperationalSpending.pdf?utm_source=chatgpt.com" xr:uid="{00000000-0004-0000-0F00-000018000000}"/>
    <hyperlink ref="E82" r:id="rId26" tooltip="HOW TO CALCULATE OPERATIONAL AND ..." display="https://www.azauditor.gov/sites/default/files/2023-09/HowToCalculateOperational-NonoperationalSpending.pdf?utm_source=chatgpt.com" xr:uid="{00000000-0004-0000-0F00-000019000000}"/>
    <hyperlink ref="E83" r:id="rId27" tooltip="uniform system - financial records" display="https://www.azauditor.gov/sites/default/files/2023-11/USFR102323%282%29.pdf?utm_source=chatgpt.com" xr:uid="{00000000-0004-0000-0F00-00001A000000}"/>
    <hyperlink ref="E84" r:id="rId28" tooltip="Scottsdale Unified School District No. 48" display="https://www.susd.org/fs/resource-manager/view/01a0856f-3a75-4ceb-9e90-02f85099b68d?utm_source=chatgpt.com" xr:uid="{00000000-0004-0000-0F00-00001B000000}"/>
    <hyperlink ref="E85" r:id="rId29" tooltip="Budget - Scottsdale Unified School District 48" display="https://www.susd.org/departments/finance/budget?utm_source=chatgpt.com" xr:uid="{00000000-0004-0000-0F00-00001C000000}"/>
  </hyperlinks>
  <pageMargins left="0.7" right="0.7" top="0.75" bottom="0.75" header="0.3" footer="0.3"/>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33" t="s">
        <v>852</v>
      </c>
    </row>
    <row r="2" spans="1:2">
      <c r="A2" t="s">
        <v>853</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854</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855</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856</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62" t="s">
        <v>857</v>
      </c>
      <c r="B1" s="62" t="s">
        <v>858</v>
      </c>
      <c r="C1" s="62" t="s">
        <v>859</v>
      </c>
      <c r="D1" s="62" t="s">
        <v>860</v>
      </c>
      <c r="E1" s="62" t="s">
        <v>861</v>
      </c>
    </row>
    <row r="2" spans="1:5">
      <c r="A2" t="s">
        <v>862</v>
      </c>
      <c r="B2" t="s">
        <v>123</v>
      </c>
      <c r="C2" t="s">
        <v>863</v>
      </c>
      <c r="D2" t="s">
        <v>862</v>
      </c>
      <c r="E2" t="s">
        <v>864</v>
      </c>
    </row>
    <row r="3" spans="1:5">
      <c r="A3" t="s">
        <v>865</v>
      </c>
      <c r="B3" t="s">
        <v>116</v>
      </c>
      <c r="C3" t="s">
        <v>866</v>
      </c>
      <c r="D3" t="s">
        <v>865</v>
      </c>
      <c r="E3" t="s">
        <v>867</v>
      </c>
    </row>
    <row r="4" spans="1:5">
      <c r="A4" t="s">
        <v>868</v>
      </c>
      <c r="B4" t="s">
        <v>683</v>
      </c>
      <c r="C4" t="s">
        <v>869</v>
      </c>
      <c r="D4" t="s">
        <v>868</v>
      </c>
      <c r="E4" t="s">
        <v>870</v>
      </c>
    </row>
    <row r="5" spans="1:5">
      <c r="A5" t="s">
        <v>871</v>
      </c>
      <c r="B5" t="s">
        <v>123</v>
      </c>
      <c r="C5" t="s">
        <v>872</v>
      </c>
      <c r="D5" t="s">
        <v>871</v>
      </c>
      <c r="E5" t="s">
        <v>873</v>
      </c>
    </row>
    <row r="6" spans="1:5">
      <c r="A6" t="s">
        <v>874</v>
      </c>
      <c r="B6" t="s">
        <v>123</v>
      </c>
      <c r="C6" t="s">
        <v>875</v>
      </c>
      <c r="D6" t="s">
        <v>874</v>
      </c>
      <c r="E6" t="s">
        <v>876</v>
      </c>
    </row>
    <row r="7" spans="1:5">
      <c r="A7" t="s">
        <v>877</v>
      </c>
      <c r="B7" t="s">
        <v>123</v>
      </c>
      <c r="C7" t="s">
        <v>878</v>
      </c>
      <c r="D7" t="s">
        <v>877</v>
      </c>
      <c r="E7" t="s">
        <v>879</v>
      </c>
    </row>
    <row r="8" spans="1:5">
      <c r="A8" t="s">
        <v>439</v>
      </c>
      <c r="B8" t="s">
        <v>123</v>
      </c>
      <c r="C8" t="s">
        <v>880</v>
      </c>
      <c r="D8" t="s">
        <v>439</v>
      </c>
      <c r="E8" t="s">
        <v>881</v>
      </c>
    </row>
    <row r="9" spans="1:5">
      <c r="A9" t="s">
        <v>174</v>
      </c>
      <c r="B9" t="s">
        <v>123</v>
      </c>
      <c r="C9" t="s">
        <v>882</v>
      </c>
      <c r="D9" t="s">
        <v>174</v>
      </c>
      <c r="E9" t="s">
        <v>883</v>
      </c>
    </row>
    <row r="10" spans="1:5">
      <c r="A10" t="s">
        <v>178</v>
      </c>
      <c r="B10" t="s">
        <v>123</v>
      </c>
      <c r="C10" t="s">
        <v>884</v>
      </c>
      <c r="D10" t="s">
        <v>178</v>
      </c>
      <c r="E10" t="s">
        <v>885</v>
      </c>
    </row>
    <row r="11" spans="1:5">
      <c r="A11" t="s">
        <v>190</v>
      </c>
      <c r="B11" t="s">
        <v>123</v>
      </c>
      <c r="C11" t="s">
        <v>886</v>
      </c>
      <c r="D11" t="s">
        <v>190</v>
      </c>
      <c r="E11" t="s">
        <v>887</v>
      </c>
    </row>
    <row r="12" spans="1:5">
      <c r="A12" t="s">
        <v>888</v>
      </c>
      <c r="B12" t="s">
        <v>123</v>
      </c>
      <c r="C12" t="s">
        <v>889</v>
      </c>
      <c r="D12" t="s">
        <v>888</v>
      </c>
      <c r="E12" t="s">
        <v>890</v>
      </c>
    </row>
    <row r="13" spans="1:5">
      <c r="A13" t="s">
        <v>891</v>
      </c>
      <c r="B13" t="s">
        <v>123</v>
      </c>
      <c r="C13" t="s">
        <v>892</v>
      </c>
      <c r="D13" t="s">
        <v>891</v>
      </c>
      <c r="E13" t="s">
        <v>893</v>
      </c>
    </row>
    <row r="14" spans="1:5">
      <c r="A14" t="s">
        <v>19</v>
      </c>
      <c r="B14" t="s">
        <v>123</v>
      </c>
      <c r="C14" t="s">
        <v>894</v>
      </c>
      <c r="D14" t="s">
        <v>19</v>
      </c>
      <c r="E14" t="s">
        <v>895</v>
      </c>
    </row>
    <row r="15" spans="1:5">
      <c r="A15" t="s">
        <v>896</v>
      </c>
      <c r="B15" t="s">
        <v>123</v>
      </c>
      <c r="C15" t="s">
        <v>897</v>
      </c>
      <c r="D15" t="s">
        <v>896</v>
      </c>
      <c r="E15" t="s">
        <v>898</v>
      </c>
    </row>
    <row r="16" spans="1:5">
      <c r="A16" t="s">
        <v>899</v>
      </c>
      <c r="B16" t="s">
        <v>123</v>
      </c>
      <c r="C16" t="s">
        <v>900</v>
      </c>
      <c r="D16" t="s">
        <v>899</v>
      </c>
      <c r="E16" t="s">
        <v>901</v>
      </c>
    </row>
    <row r="17" spans="1:5">
      <c r="A17" t="s">
        <v>902</v>
      </c>
      <c r="B17" t="s">
        <v>123</v>
      </c>
      <c r="C17" t="s">
        <v>903</v>
      </c>
      <c r="D17" t="s">
        <v>902</v>
      </c>
      <c r="E17" t="s">
        <v>904</v>
      </c>
    </row>
    <row r="18" spans="1:5">
      <c r="A18" t="s">
        <v>183</v>
      </c>
      <c r="B18" t="s">
        <v>116</v>
      </c>
      <c r="C18" t="s">
        <v>905</v>
      </c>
      <c r="D18" t="s">
        <v>183</v>
      </c>
      <c r="E18" t="s">
        <v>906</v>
      </c>
    </row>
    <row r="19" spans="1:5">
      <c r="A19" t="s">
        <v>907</v>
      </c>
      <c r="B19" t="s">
        <v>116</v>
      </c>
      <c r="C19" t="s">
        <v>908</v>
      </c>
      <c r="D19" t="s">
        <v>907</v>
      </c>
      <c r="E19" t="s">
        <v>909</v>
      </c>
    </row>
    <row r="20" spans="1:5">
      <c r="A20" t="s">
        <v>910</v>
      </c>
      <c r="B20" t="s">
        <v>116</v>
      </c>
      <c r="C20" t="s">
        <v>911</v>
      </c>
      <c r="D20" t="s">
        <v>910</v>
      </c>
      <c r="E20" t="s">
        <v>912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30</vt:i4>
      </vt:variant>
    </vt:vector>
  </HeadingPairs>
  <TitlesOfParts>
    <vt:vector size="49" baseType="lpstr">
      <vt:lpstr>Workbook_Purpose_Overview</vt:lpstr>
      <vt:lpstr>How_To_Use_The_Workbook</vt:lpstr>
      <vt:lpstr>Scenario_Comparison</vt:lpstr>
      <vt:lpstr>What_Is_The_$900K_Savings</vt:lpstr>
      <vt:lpstr>Budget_Neutral_Calculator</vt:lpstr>
      <vt:lpstr>Summary_Figures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Definitions_Sources</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2025-11-06T00:24:42Z</dcterms:modified>
</cp:coreProperties>
</file>