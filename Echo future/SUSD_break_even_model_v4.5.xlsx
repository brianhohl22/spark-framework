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40" yWindow="0" windowWidth="17430" windowHeight="10170" tabRatio="600" firstSheet="0" activeTab="5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rds" sheetId="2" state="visible" r:id="rId2"/>
    <sheet xmlns:r="http://schemas.openxmlformats.org/officeDocument/2006/relationships" name="BaselineCalc" sheetId="3" state="visible" r:id="rId3"/>
    <sheet xmlns:r="http://schemas.openxmlformats.org/officeDocument/2006/relationships" name="YearMap" sheetId="4" state="visible" r:id="rId4"/>
    <sheet xmlns:r="http://schemas.openxmlformats.org/officeDocument/2006/relationships" name="MultiYear_ProForma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Summary_Costs" sheetId="7" state="visible" r:id="rId7"/>
    <sheet xmlns:r="http://schemas.openxmlformats.org/officeDocument/2006/relationships" name="BreakEven" sheetId="8" state="visible" r:id="rId8"/>
    <sheet xmlns:r="http://schemas.openxmlformats.org/officeDocument/2006/relationships" name="Notes" sheetId="9" state="visible" r:id="rId9"/>
    <sheet xmlns:r="http://schemas.openxmlformats.org/officeDocument/2006/relationships" name="Attributes" sheetId="10" state="visible" r:id="rId10"/>
    <sheet xmlns:r="http://schemas.openxmlformats.org/officeDocument/2006/relationships" name="BreakEven_X" sheetId="11" state="visible" r:id="rId11"/>
    <sheet xmlns:r="http://schemas.openxmlformats.org/officeDocument/2006/relationships" name="BreakEven_Y" sheetId="12" state="visible" r:id="rId12"/>
    <sheet xmlns:r="http://schemas.openxmlformats.org/officeDocument/2006/relationships" name="Parameters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#,##0"/>
    <numFmt numFmtId="165" formatCode="0.0%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4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DE9"/>
        <bgColor rgb="FFFFFDE9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3" fillId="0" borderId="0"/>
    <xf numFmtId="9" fontId="3" fillId="0" borderId="0"/>
  </cellStyleXfs>
  <cellXfs count="25">
    <xf numFmtId="0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0" fillId="4" borderId="0" pivotButton="0" quotePrefix="0" xfId="0"/>
    <xf numFmtId="1" fontId="0" fillId="0" borderId="0" pivotButton="0" quotePrefix="0" xfId="0"/>
    <xf numFmtId="165" fontId="0" fillId="0" borderId="0" pivotButton="0" quotePrefix="0" xfId="0"/>
    <xf numFmtId="0" fontId="1" fillId="2" borderId="1" applyAlignment="1" pivotButton="0" quotePrefix="0" xfId="0">
      <alignment wrapText="1"/>
    </xf>
    <xf numFmtId="9" fontId="0" fillId="0" borderId="0" pivotButton="0" quotePrefix="0" xfId="1"/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4" fillId="5" borderId="0" pivotButton="0" quotePrefix="0" xfId="0"/>
    <xf numFmtId="0" fontId="4" fillId="0" borderId="2" pivotButton="0" quotePrefix="0" xfId="0"/>
    <xf numFmtId="0" fontId="4" fillId="5" borderId="3" pivotButton="0" quotePrefix="0" xfId="0"/>
    <xf numFmtId="0" fontId="4" fillId="0" borderId="7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5" pivotButton="0" quotePrefix="0" xfId="0"/>
    <xf numFmtId="0" fontId="4" fillId="0" borderId="6" pivotButton="0" quotePrefix="0" xfId="0"/>
    <xf numFmtId="164" fontId="4" fillId="0" borderId="0" pivotButton="0" quotePrefix="0" xfId="0"/>
    <xf numFmtId="9" fontId="4" fillId="0" borderId="0" pivotButton="0" quotePrefix="0" xfId="1"/>
    <xf numFmtId="1" fontId="4" fillId="0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Annual Net (Cost after base aid) — A vs X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strRef>
              <f>Dashboard!$B$15</f>
              <strCache>
                <ptCount val="1"/>
                <pt idx="0">
                  <v>A Net ($)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Dashboard!$A$16:$A$20</f>
              <strCache>
                <ptCount val="5"/>
                <pt idx="0">
                  <v>FY2026</v>
                </pt>
                <pt idx="1">
                  <v>FY2027</v>
                </pt>
                <pt idx="2">
                  <v>FY2028</v>
                </pt>
                <pt idx="3">
                  <v>FY2029</v>
                </pt>
                <pt idx="4">
                  <v>FY2030</v>
                </pt>
              </strCache>
            </strRef>
          </cat>
          <val>
            <numRef>
              <f>Dashboard!$B$16:$B$21</f>
              <numCache>
                <formatCode>\$#,##0</formatCode>
                <ptCount val="6"/>
                <pt idx="0">
                  <v>4322025.106512</v>
                </pt>
                <pt idx="1">
                  <v>1801374.621090449</v>
                </pt>
                <pt idx="2">
                  <v>1677844.049037502</v>
                </pt>
                <pt idx="3">
                  <v>1551311.8885166</v>
                </pt>
                <pt idx="4">
                  <v>1463127.341447338</v>
                </pt>
              </numCache>
            </numRef>
          </val>
          <smooth val="0"/>
        </ser>
        <ser>
          <idx val="1"/>
          <order val="1"/>
          <tx>
            <strRef>
              <f>Dashboard!$C$15</f>
              <strCache>
                <ptCount val="1"/>
                <pt idx="0">
                  <v>X Net ($)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Dashboard!$A$16:$A$20</f>
              <strCache>
                <ptCount val="5"/>
                <pt idx="0">
                  <v>FY2026</v>
                </pt>
                <pt idx="1">
                  <v>FY2027</v>
                </pt>
                <pt idx="2">
                  <v>FY2028</v>
                </pt>
                <pt idx="3">
                  <v>FY2029</v>
                </pt>
                <pt idx="4">
                  <v>FY2030</v>
                </pt>
              </strCache>
            </strRef>
          </cat>
          <val>
            <numRef>
              <f>Dashboard!$C$16:$C$21</f>
              <numCache>
                <formatCode>\$#,##0</formatCode>
                <ptCount val="6"/>
                <pt idx="0">
                  <v>2863369.209599999</v>
                </pt>
                <pt idx="1">
                  <v>3052413.927389998</v>
                </pt>
                <pt idx="2">
                  <v>3251651.826838499</v>
                </pt>
                <pt idx="3">
                  <v>3351641.394187462</v>
                </pt>
                <pt idx="4">
                  <v>3454504.666153707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Year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crossAx val="100"/>
        <crosses val="autoZero"/>
        <auto val="0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Net ($)</a:t>
                </a:r>
              </a:p>
            </rich>
          </tx>
          <overlay val="0"/>
        </title>
        <numFmt formatCode="\$#,##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100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"/>
  <sheetViews>
    <sheetView zoomScale="85" zoomScaleNormal="85" workbookViewId="0">
      <selection activeCell="B6" sqref="B6"/>
    </sheetView>
  </sheetViews>
  <sheetFormatPr baseColWidth="8" defaultRowHeight="14.5"/>
  <cols>
    <col width="32.54296875" customWidth="1" min="1" max="1"/>
    <col width="25.453125" bestFit="1" customWidth="1" min="2" max="2"/>
    <col width="20.7265625" customWidth="1" min="3" max="3"/>
    <col width="56.1796875" customWidth="1" min="4" max="4"/>
    <col width="10.7265625" bestFit="1" customWidth="1" min="5" max="5"/>
    <col width="24.54296875" customWidth="1" min="7" max="7"/>
    <col width="13.36328125" bestFit="1" customWidth="1" min="8" max="8"/>
  </cols>
  <sheetData>
    <row r="1" ht="18.5" customHeight="1">
      <c r="A1" s="11" t="inlineStr">
        <is>
          <t>SUSD Keep-Open vs Repurpose — Interactive Dashboard (v4.4)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5" customHeight="1" thickBot="1">
      <c r="A3" s="13" t="inlineStr">
        <is>
          <t>Pick scenarios &amp; assumptions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</row>
    <row r="4" ht="16" customHeight="1">
      <c r="A4" s="12" t="n"/>
      <c r="B4" s="12" t="n"/>
      <c r="C4" s="12" t="n"/>
      <c r="D4" s="12" t="inlineStr">
        <is>
          <t>Metric</t>
        </is>
      </c>
      <c r="E4" s="12" t="inlineStr">
        <is>
          <t>A (baseline)</t>
        </is>
      </c>
      <c r="F4" s="12" t="inlineStr">
        <is>
          <t>X (compare)</t>
        </is>
      </c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</row>
    <row r="5" ht="16" customHeight="1">
      <c r="A5" s="12" t="inlineStr">
        <is>
          <t>Baseline A (auto):</t>
        </is>
      </c>
      <c r="B5" s="14" t="inlineStr">
        <is>
          <t>A_Repurpose_Both_ops</t>
        </is>
      </c>
      <c r="C5" s="12" t="n"/>
      <c r="D5" s="12" t="inlineStr">
        <is>
          <t>FY2030 Net ($)</t>
        </is>
      </c>
      <c r="E5" s="2">
        <f>INDEX(Summary_Costs!$C$2:$C$13, MATCH($B$5, Summary_Costs!$A$2:$A$13, 0))</f>
        <v/>
      </c>
      <c r="F5" s="2">
        <f>INDEX(Summary_Costs!$C$2:$C$13, MATCH($B$6, Summary_Costs!$A$2:$A$13, 0))</f>
        <v/>
      </c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</row>
    <row r="6" ht="16" customHeight="1">
      <c r="A6" s="12" t="inlineStr">
        <is>
          <t>Compare to (X):</t>
        </is>
      </c>
      <c r="B6" s="16" t="inlineStr">
        <is>
          <t>G_DHub_EchoRamp</t>
        </is>
      </c>
      <c r="C6" s="14" t="inlineStr">
        <is>
          <t>D_Grow_Both_150</t>
        </is>
      </c>
      <c r="D6" s="12" t="inlineStr">
        <is>
          <t>5‑yr Avg Net ($)</t>
        </is>
      </c>
      <c r="E6" s="2">
        <f>INDEX(Summary_Costs!$E$2:$E$13, MATCH($B$5, Summary_Costs!$A$2:$A$13, 0))</f>
        <v/>
      </c>
      <c r="F6" s="2">
        <f>INDEX(Summary_Costs!$E$2:$E$13, MATCH($B$6, Summary_Costs!$A$2:$A$13, 0))</f>
        <v/>
      </c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 ht="16" customHeight="1">
      <c r="A7" s="15" t="inlineStr">
        <is>
          <t>Compare to (Y) [optional]:</t>
        </is>
      </c>
      <c r="B7" s="16" t="inlineStr">
        <is>
          <t>G_DHub_EchoRamp</t>
        </is>
      </c>
      <c r="C7" s="17" t="n"/>
      <c r="D7" s="12" t="inlineStr">
        <is>
          <t># students displaced</t>
        </is>
      </c>
      <c r="E7" s="12">
        <f>INDEX(Summary_Costs!$F$2:$F$13, MATCH($B$5, Summary_Costs!$A$2:$A$13, 0))</f>
        <v/>
      </c>
      <c r="F7" s="12">
        <f>INDEX(Summary_Costs!$F$2:$F$13, MATCH($B$6, Summary_Costs!$A$2:$A$13, 0))</f>
        <v/>
      </c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</row>
    <row r="8" ht="16" customHeight="1">
      <c r="A8" s="15" t="n"/>
      <c r="B8" s="18" t="n"/>
      <c r="C8" s="17" t="n"/>
      <c r="D8" s="12" t="inlineStr">
        <is>
          <t>FY2030 # served (open &amp; retained)</t>
        </is>
      </c>
      <c r="E8" s="12">
        <f>INDEX(Summary_Costs!$G$2:$G$13, MATCH($B$5, Summary_Costs!$A$2:$A$13, 0))</f>
        <v/>
      </c>
      <c r="F8" s="12">
        <f>INDEX(Summary_Costs!$G$2:$G$13, MATCH($B$6, Summary_Costs!$A$2:$A$13, 0))</f>
        <v/>
      </c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</row>
    <row r="9" ht="16" customHeight="1">
      <c r="A9" s="15" t="n"/>
      <c r="B9" s="18" t="n"/>
      <c r="C9" s="17" t="n"/>
      <c r="D9" s="18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</row>
    <row r="10" ht="16" customHeight="1">
      <c r="A10" s="15" t="n"/>
      <c r="B10" s="18" t="n"/>
      <c r="C10" s="17" t="n"/>
      <c r="D10" s="18" t="inlineStr">
        <is>
          <t>Δ vs A by FY2030 ($)</t>
        </is>
      </c>
      <c r="E10" s="12" t="n"/>
      <c r="F10" s="2">
        <f>F5-E5</f>
        <v/>
      </c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ht="16" customHeight="1">
      <c r="A11" s="15" t="n"/>
      <c r="B11" s="18" t="n"/>
      <c r="C11" s="17" t="n"/>
      <c r="D11" s="18" t="inlineStr">
        <is>
          <t>Δ vs A (5‑yr Avg) ($)</t>
        </is>
      </c>
      <c r="E11" s="12" t="n"/>
      <c r="F11" s="2">
        <f>F6-E6</f>
        <v/>
      </c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t="16" customHeight="1">
      <c r="A12" s="15" t="n"/>
      <c r="B12" s="18" t="n"/>
      <c r="C12" s="17" t="n"/>
      <c r="D12" s="18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</row>
    <row r="13" ht="16" customHeight="1">
      <c r="A13" s="15" t="n"/>
      <c r="B13" s="18" t="n"/>
      <c r="C13" s="17" t="n"/>
      <c r="D13" s="18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</row>
    <row r="14" ht="16" customHeight="1" thickBot="1">
      <c r="A14" s="19" t="n"/>
      <c r="B14" s="20" t="n"/>
      <c r="C14" s="21" t="n"/>
      <c r="D14" s="20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</row>
    <row r="15">
      <c r="A15" s="12" t="inlineStr">
        <is>
          <t>Year</t>
        </is>
      </c>
      <c r="B15" s="12" t="inlineStr">
        <is>
          <t>A Net ($)</t>
        </is>
      </c>
      <c r="C15" s="12" t="inlineStr">
        <is>
          <t>X Net ($)</t>
        </is>
      </c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>
      <c r="A16" s="12" t="inlineStr">
        <is>
          <t>FY2026</t>
        </is>
      </c>
      <c r="B16" s="2">
        <f>SUMIFS(MultiYear_ProForma!$AA:$AA, MultiYear_ProForma!$B:$B, $B$5, MultiYear_ProForma!$C:$C, "FY2026")</f>
        <v/>
      </c>
      <c r="C16" s="2">
        <f>SUMIFS(MultiYear_ProForma!$AA:$AA, MultiYear_ProForma!$B:$B, $B$6, MultiYear_ProForma!$C:$C, "FY2026")</f>
        <v/>
      </c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</row>
    <row r="17">
      <c r="A17" s="12" t="inlineStr">
        <is>
          <t>FY2027</t>
        </is>
      </c>
      <c r="B17" s="2">
        <f>SUMIFS(MultiYear_ProForma!$AA:$AA, MultiYear_ProForma!$B:$B, $B$5, MultiYear_ProForma!$C:$C, "FY2027")</f>
        <v/>
      </c>
      <c r="C17" s="2">
        <f>SUMIFS(MultiYear_ProForma!$AA:$AA, MultiYear_ProForma!$B:$B, $B$6, MultiYear_ProForma!$C:$C, "FY2027")</f>
        <v/>
      </c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>
      <c r="A18" s="12" t="inlineStr">
        <is>
          <t>FY2028</t>
        </is>
      </c>
      <c r="B18" s="2">
        <f>SUMIFS(MultiYear_ProForma!$AA:$AA, MultiYear_ProForma!$B:$B, $B$5, MultiYear_ProForma!$C:$C, "FY2028")</f>
        <v/>
      </c>
      <c r="C18" s="2">
        <f>SUMIFS(MultiYear_ProForma!$AA:$AA, MultiYear_ProForma!$B:$B, $B$6, MultiYear_ProForma!$C:$C, "FY2028")</f>
        <v/>
      </c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</row>
    <row r="19">
      <c r="A19" s="12" t="inlineStr">
        <is>
          <t>FY2029</t>
        </is>
      </c>
      <c r="B19" s="2">
        <f>SUMIFS(MultiYear_ProForma!$AA:$AA, MultiYear_ProForma!$B:$B, $B$5, MultiYear_ProForma!$C:$C, "FY2029")</f>
        <v/>
      </c>
      <c r="C19" s="2">
        <f>SUMIFS(MultiYear_ProForma!$AA:$AA, MultiYear_ProForma!$B:$B, $B$6, MultiYear_ProForma!$C:$C, "FY2029")</f>
        <v/>
      </c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</row>
    <row r="20">
      <c r="A20" s="12" t="inlineStr">
        <is>
          <t>FY2030</t>
        </is>
      </c>
      <c r="B20" s="2">
        <f>SUMIFS(MultiYear_ProForma!$AA:$AA, MultiYear_ProForma!$B:$B, $B$5, MultiYear_ProForma!$C:$C, "FY2030")</f>
        <v/>
      </c>
      <c r="C20" s="2">
        <f>SUMIFS(MultiYear_ProForma!$AA:$AA, MultiYear_ProForma!$B:$B, $B$6, MultiYear_ProForma!$C:$C, "FY2030")</f>
        <v/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</row>
    <row r="21">
      <c r="A21" s="12" t="n"/>
      <c r="B21" s="2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</row>
    <row r="22">
      <c r="A22" s="12" t="n"/>
      <c r="B22" s="2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</row>
    <row r="23">
      <c r="A23" s="12" t="n"/>
      <c r="B23" s="22" t="n"/>
      <c r="C23" s="12" t="n"/>
      <c r="D23" s="12" t="n"/>
      <c r="E23" s="12" t="n"/>
      <c r="F23" s="12" t="n"/>
      <c r="G23" s="12" t="n"/>
      <c r="H23" s="12" t="n"/>
      <c r="I23" s="23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</row>
    <row r="24">
      <c r="A24" s="12" t="n"/>
      <c r="B24" s="24" t="n"/>
      <c r="C24" s="12" t="n"/>
      <c r="D24" s="12" t="n"/>
      <c r="E24" s="12" t="n"/>
      <c r="F24" s="12" t="n"/>
      <c r="G24" s="12" t="n"/>
      <c r="H24" s="12" t="n"/>
      <c r="I24" s="23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</row>
    <row r="25">
      <c r="A25" s="12" t="inlineStr">
        <is>
          <t>Notes</t>
        </is>
      </c>
      <c r="B25" s="24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>
      <c r="A26" s="12" t="inlineStr">
        <is>
          <t>• 'Net ($)' = Comparable M&amp;O costs minus base state aid on students served (open &amp; retained). This is a two‑site view (Echo+Pima), not the entire district budget.
• Positive Δ vs A means the comparator is more expensive than 'A_Repurpose_Both_ops' under the Parameters tab assumptions.</t>
        </is>
      </c>
      <c r="B26" s="12" t="n"/>
      <c r="C26" s="12" t="n"/>
      <c r="D26" s="12" t="n"/>
      <c r="E26" s="12" t="n"/>
      <c r="F26" s="12" t="n"/>
      <c r="G26" s="12" t="n"/>
      <c r="H26" s="12" t="n"/>
      <c r="I26" s="22" t="n"/>
      <c r="J26" s="2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</row>
    <row r="27">
      <c r="A27" s="12" t="n"/>
      <c r="B27" s="22" t="n"/>
      <c r="C27" s="12" t="n"/>
      <c r="D27" s="12" t="n"/>
      <c r="E27" s="12" t="n"/>
      <c r="F27" s="12" t="n"/>
      <c r="G27" s="12" t="n"/>
      <c r="H27" s="12" t="n"/>
      <c r="I27" s="22" t="n"/>
      <c r="J27" s="2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</row>
    <row r="28">
      <c r="A28" s="12" t="n"/>
      <c r="B28" s="22" t="n"/>
      <c r="C28" s="12" t="n"/>
      <c r="D28" s="12" t="n"/>
      <c r="E28" s="12" t="n"/>
      <c r="F28" s="12" t="n"/>
      <c r="G28" s="12" t="n"/>
      <c r="H28" s="12" t="n"/>
      <c r="I28" s="22" t="n"/>
      <c r="J28" s="2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</row>
    <row r="29">
      <c r="A29" s="12" t="n"/>
      <c r="B29" s="22" t="n"/>
      <c r="C29" s="12" t="n"/>
      <c r="D29" s="12" t="n"/>
      <c r="E29" s="12" t="n"/>
      <c r="F29" s="12" t="n"/>
      <c r="G29" s="12" t="n"/>
      <c r="H29" s="12" t="n"/>
      <c r="I29" s="22" t="n"/>
      <c r="J29" s="2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</row>
    <row r="30">
      <c r="A30" s="12" t="n"/>
      <c r="B30" s="2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</row>
    <row r="31">
      <c r="A31" s="12" t="n"/>
      <c r="B31" s="24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</row>
    <row r="32">
      <c r="A32" s="12" t="n"/>
      <c r="B32" s="24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</row>
    <row r="34">
      <c r="A34" s="12" t="n"/>
      <c r="B34" s="2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>
      <c r="A35" s="12" t="n"/>
      <c r="B35" s="2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</row>
    <row r="36">
      <c r="A36" s="12" t="n"/>
      <c r="B36" s="2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</row>
    <row r="37">
      <c r="A37" s="12" t="n"/>
      <c r="B37" s="2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</row>
    <row r="38">
      <c r="A38" s="12" t="n"/>
      <c r="B38" s="24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>
      <c r="A39" s="12" t="n"/>
      <c r="B39" s="24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</row>
  </sheetData>
  <dataValidations count="3">
    <dataValidation sqref="B10" showErrorMessage="1" showInputMessage="1" allowBlank="0" type="list">
      <formula1>"200,300,400,600,800,1000,1200,1500"</formula1>
    </dataValidation>
    <dataValidation sqref="B11" showErrorMessage="1" showInputMessage="1" allowBlank="0" type="list">
      <formula1>"FY2028,FY2030"</formula1>
    </dataValidation>
    <dataValidation sqref="B12" showErrorMessage="1" showInputMessage="1" allowBlank="0" type="list">
      <formula1>"ops,lease"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B5" sqref="B5"/>
    </sheetView>
  </sheetViews>
  <sheetFormatPr baseColWidth="8" defaultRowHeight="14.5"/>
  <cols>
    <col width="37.36328125" bestFit="1" customWidth="1" min="1" max="1"/>
    <col width="19.1796875" bestFit="1" customWidth="1" min="2" max="2"/>
    <col width="26.54296875" bestFit="1" customWidth="1" min="4" max="4"/>
    <col width="17.81640625" bestFit="1" customWidth="1" min="5" max="5"/>
  </cols>
  <sheetData>
    <row r="1">
      <c r="A1" t="inlineStr">
        <is>
          <t>Mini-Cards: A (Repurpose-Both) vs X and Y</t>
        </is>
      </c>
    </row>
    <row r="3">
      <c r="A3" t="inlineStr">
        <is>
          <t>Comparator X</t>
        </is>
      </c>
      <c r="B3">
        <f>Dashboard!$B$6</f>
        <v/>
      </c>
      <c r="D3" t="inlineStr">
        <is>
          <t>Comparator Y</t>
        </is>
      </c>
      <c r="E3">
        <f>Dashboard!$B$7</f>
        <v/>
      </c>
    </row>
    <row r="4">
      <c r="A4" t="inlineStr">
        <is>
          <t>r* needed (year/mode/h)</t>
        </is>
      </c>
      <c r="B4" s="10">
        <f>Dashboard!$I$23</f>
        <v/>
      </c>
      <c r="D4" t="inlineStr">
        <is>
          <t>r* needed (year/mode/h)</t>
        </is>
      </c>
      <c r="E4" s="10">
        <f>Dashboard!$I$24</f>
        <v/>
      </c>
    </row>
    <row r="5">
      <c r="A5" t="inlineStr">
        <is>
          <t>Δ FY2030 $/student</t>
        </is>
      </c>
      <c r="B5" s="2">
        <f>Dashboard!$I$26</f>
        <v/>
      </c>
      <c r="D5" t="inlineStr">
        <is>
          <t>Δ FY2030 $/student</t>
        </is>
      </c>
      <c r="E5" s="2">
        <f>Dashboard!$I$27</f>
        <v/>
      </c>
    </row>
    <row r="6">
      <c r="A6" t="inlineStr">
        <is>
          <t>Δ 5-yr Avg $/student</t>
        </is>
      </c>
      <c r="B6" s="2">
        <f>Dashboard!$I$28</f>
        <v/>
      </c>
      <c r="D6" t="inlineStr">
        <is>
          <t>Δ 5-yr Avg $/student</t>
        </is>
      </c>
      <c r="E6" s="2">
        <f>Dashboard!$I$29</f>
        <v/>
      </c>
    </row>
    <row r="7">
      <c r="A7" t="inlineStr">
        <is>
          <t># displaced (A)</t>
        </is>
      </c>
      <c r="B7" s="7">
        <f>INDEX(Summary_Costs!$F:$F, MATCH(Dashboard!$B$5, Summary_Costs!$A:$A,0))</f>
        <v/>
      </c>
      <c r="D7" t="inlineStr">
        <is>
          <t># displaced (A)</t>
        </is>
      </c>
      <c r="E7" s="7">
        <f>INDEX(Summary_Costs!$F:$F, MATCH(Dashboard!$B$5, Summary_Costs!$A:$A,0))</f>
        <v/>
      </c>
    </row>
    <row r="8">
      <c r="A8" t="inlineStr">
        <is>
          <t># displaced (X)</t>
        </is>
      </c>
      <c r="B8" s="7">
        <f>INDEX(Summary_Costs!$F:$F, MATCH(Dashboard!$B$6, Summary_Costs!$A:$A,0))</f>
        <v/>
      </c>
      <c r="D8" t="inlineStr">
        <is>
          <t># displaced (Y)</t>
        </is>
      </c>
      <c r="E8" s="7">
        <f>INDEX(Summary_Costs!$F:$F, MATCH(Dashboard!$B$7, Summary_Costs!$A:$A,0))</f>
        <v/>
      </c>
    </row>
    <row r="9">
      <c r="A9" t="inlineStr">
        <is>
          <t>Distinctiveness / Reversibility</t>
        </is>
      </c>
      <c r="B9">
        <f>Dashboard!$E$26 &amp; " / " &amp; Dashboard!$F$26</f>
        <v/>
      </c>
      <c r="D9" t="inlineStr">
        <is>
          <t>Distinctiveness / Reversibility</t>
        </is>
      </c>
      <c r="E9">
        <f>Dashboard!$E$33 &amp; " / " &amp; Dashboard!$F$33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zoomScale="85" zoomScaleNormal="85" workbookViewId="0">
      <pane ySplit="1" topLeftCell="A2" activePane="bottomLeft" state="frozen"/>
      <selection pane="bottomLeft" activeCell="B3" sqref="A3:B3"/>
    </sheetView>
  </sheetViews>
  <sheetFormatPr baseColWidth="8" defaultRowHeight="14.5"/>
  <cols>
    <col width="25.1796875" customWidth="1" min="1" max="1"/>
    <col width="10.54296875" bestFit="1" customWidth="1" min="2" max="2"/>
    <col width="11" customWidth="1" min="3" max="3"/>
    <col width="11.90625" customWidth="1" min="4" max="4"/>
    <col width="11.1796875" customWidth="1" min="5" max="5"/>
    <col width="11.36328125" customWidth="1" min="6" max="6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MO inflation</t>
        </is>
      </c>
      <c r="B2" s="4" t="n">
        <v>0.025</v>
      </c>
      <c r="C2" s="6" t="inlineStr">
        <is>
          <t>Annual inflation factor.</t>
        </is>
      </c>
    </row>
    <row r="3">
      <c r="A3" t="inlineStr">
        <is>
          <t>Base MO per ADM (FY25)</t>
        </is>
      </c>
      <c r="B3" s="4" t="n">
        <v>9936</v>
      </c>
      <c r="C3" s="6" t="inlineStr">
        <is>
          <t>Working base for FY25.</t>
        </is>
      </c>
    </row>
    <row r="4">
      <c r="A4" t="inlineStr">
        <is>
          <t>Fixed share of MO</t>
        </is>
      </c>
      <c r="B4" s="4" t="n">
        <v>0.3</v>
      </c>
      <c r="C4" s="6" t="inlineStr">
        <is>
          <t>Share treated as semi‑fixed (plant/insurance).</t>
        </is>
      </c>
    </row>
    <row r="5">
      <c r="A5" t="inlineStr">
        <is>
          <t>Ops savings (keep‑open)</t>
        </is>
      </c>
      <c r="B5" s="4" t="n">
        <v>0.007</v>
      </c>
      <c r="C5" s="6" t="inlineStr">
        <is>
          <t>Light discipline if sites remain open (not used here).</t>
        </is>
      </c>
    </row>
    <row r="6">
      <c r="A6" t="inlineStr">
        <is>
          <t>Extra savings (Co‑location)</t>
        </is>
      </c>
      <c r="B6" s="4" t="n">
        <v>0.015</v>
      </c>
      <c r="C6" s="6" t="inlineStr">
        <is>
          <t>Incremental savings for co‑location (not used here).</t>
        </is>
      </c>
    </row>
    <row r="7">
      <c r="A7" t="inlineStr">
        <is>
          <t>Echo base ADM</t>
        </is>
      </c>
      <c r="B7" s="4" t="n">
        <v>257</v>
      </c>
    </row>
    <row r="8">
      <c r="A8" t="inlineStr">
        <is>
          <t>Pima base ADM</t>
        </is>
      </c>
      <c r="B8" s="4" t="n">
        <v>296</v>
      </c>
    </row>
    <row r="9">
      <c r="A9" t="inlineStr">
        <is>
          <t>Total base ADM</t>
        </is>
      </c>
      <c r="B9">
        <f>B7+B8</f>
        <v/>
      </c>
      <c r="C9" t="inlineStr">
        <is>
          <t>Echo base ADM + Pima base ADM</t>
        </is>
      </c>
    </row>
    <row r="10"/>
    <row r="11"/>
    <row r="12">
      <c r="A12" s="1" t="inlineStr">
        <is>
          <t>Helper / Derivation</t>
        </is>
      </c>
      <c r="B12" s="1" t="inlineStr">
        <is>
          <t>FY26</t>
        </is>
      </c>
      <c r="C12" s="1" t="inlineStr">
        <is>
          <t>FY27</t>
        </is>
      </c>
      <c r="D12" s="1" t="inlineStr">
        <is>
          <t>FY28</t>
        </is>
      </c>
      <c r="E12" s="1" t="inlineStr">
        <is>
          <t>FY29</t>
        </is>
      </c>
      <c r="F12" s="1" t="inlineStr">
        <is>
          <t>FY30</t>
        </is>
      </c>
      <c r="G12" s="1" t="inlineStr">
        <is>
          <t>Notes</t>
        </is>
      </c>
    </row>
    <row r="13">
      <c r="A13" t="inlineStr">
        <is>
          <t>Base total MO (FY25)</t>
        </is>
      </c>
      <c r="B13" s="2">
        <f>B9*B3</f>
        <v/>
      </c>
      <c r="C13" s="2">
        <f>C14/$B$4</f>
        <v/>
      </c>
      <c r="D13" s="2">
        <f>D14/$B$4</f>
        <v/>
      </c>
      <c r="E13" s="2">
        <f>E14/$B$4</f>
        <v/>
      </c>
      <c r="F13" s="2">
        <f>F14/$B$4</f>
        <v/>
      </c>
      <c r="G13" t="inlineStr">
        <is>
          <t>Total ADM × Base MO/ADM</t>
        </is>
      </c>
      <c r="K13" t="inlineStr">
        <is>
          <t>B13 = B9*B3 (Base total MO, FY25)</t>
        </is>
      </c>
    </row>
    <row r="14">
      <c r="A14" t="inlineStr">
        <is>
          <t>Fixed MO (FY25)</t>
        </is>
      </c>
      <c r="B14" s="2">
        <f>B13*B4</f>
        <v/>
      </c>
      <c r="C14" s="2">
        <f>B17</f>
        <v/>
      </c>
      <c r="D14" s="2">
        <f>C17</f>
        <v/>
      </c>
      <c r="E14" s="2">
        <f>D17</f>
        <v/>
      </c>
      <c r="F14" s="2">
        <f>E17</f>
        <v/>
      </c>
      <c r="G14" t="inlineStr">
        <is>
          <t>Fixed = Base total × Fixed share</t>
        </is>
      </c>
      <c r="K14" t="inlineStr">
        <is>
          <t>B14 = B13*B4 (Fixed MO, FY25)</t>
        </is>
      </c>
    </row>
    <row r="15">
      <c r="A15" t="inlineStr">
        <is>
          <t>Var per student (FY25)</t>
        </is>
      </c>
      <c r="B15" s="2">
        <f>(B13-B14)/B9</f>
        <v/>
      </c>
      <c r="C15" s="2">
        <f>B18</f>
        <v/>
      </c>
      <c r="D15" s="2">
        <f>C18</f>
        <v/>
      </c>
      <c r="E15" s="2">
        <f>D18</f>
        <v/>
      </c>
      <c r="F15" s="2">
        <f>E18</f>
        <v/>
      </c>
      <c r="G15" t="inlineStr">
        <is>
          <t>Variable = (Base total − Fixed)/Total ADM</t>
        </is>
      </c>
      <c r="K15" t="inlineStr">
        <is>
          <t>B15 = (B13–B14)/B9 (Variable $/student, FY25)</t>
        </is>
      </c>
    </row>
    <row r="16"/>
    <row r="17">
      <c r="A17" t="inlineStr">
        <is>
          <t>Fixed total ($)</t>
        </is>
      </c>
      <c r="B17" s="2">
        <f>$B$14*(1+$B$2)^1</f>
        <v/>
      </c>
      <c r="C17" s="2">
        <f>$B$14*(1+$B$2)^2</f>
        <v/>
      </c>
      <c r="D17" s="2">
        <f>$B$14*(1+$B$2)^3</f>
        <v/>
      </c>
      <c r="E17" s="2">
        <f>$B$14*(1+$B$2)^4</f>
        <v/>
      </c>
      <c r="F17" s="2">
        <f>$B$14*(1+$B$2)^5</f>
        <v/>
      </c>
    </row>
    <row r="18">
      <c r="A18" t="inlineStr">
        <is>
          <t>Var unit ($/student)</t>
        </is>
      </c>
      <c r="B18" s="2">
        <f>$B$15*(1+$B$2)^1</f>
        <v/>
      </c>
      <c r="C18" s="2">
        <f>$B$15*(1+$B$2)^2</f>
        <v/>
      </c>
      <c r="D18" s="2">
        <f>$B$15*(1+$B$2)^3</f>
        <v/>
      </c>
      <c r="E18" s="2">
        <f>$B$15*(1+$B$2)^4</f>
        <v/>
      </c>
      <c r="F18" s="2">
        <f>$B$15*(1+$B$2)^5</f>
        <v/>
      </c>
    </row>
    <row r="19">
      <c r="A19" t="inlineStr">
        <is>
          <t>Echo fixed ($)</t>
        </is>
      </c>
      <c r="B19" s="2">
        <f>B17*($B$7/$B$9)</f>
        <v/>
      </c>
      <c r="C19" s="2">
        <f>C17*($B$7/$B$9)</f>
        <v/>
      </c>
      <c r="D19" s="2">
        <f>D17*($B$7/$B$9)</f>
        <v/>
      </c>
      <c r="E19" s="2">
        <f>E17*($B$7/$B$9)</f>
        <v/>
      </c>
      <c r="F19" s="2">
        <f>F17*($B$7/$B$9)</f>
        <v/>
      </c>
    </row>
    <row r="20">
      <c r="A20" t="inlineStr">
        <is>
          <t>Pima fixed ($)</t>
        </is>
      </c>
      <c r="B20" s="2">
        <f>B17*($B$8/$B$9)</f>
        <v/>
      </c>
      <c r="C20" s="2">
        <f>C17*($B$8/$B$9)</f>
        <v/>
      </c>
      <c r="D20" s="2">
        <f>D17*($B$8/$B$9)</f>
        <v/>
      </c>
      <c r="E20" s="2">
        <f>E17*($B$8/$B$9)</f>
        <v/>
      </c>
      <c r="F20" s="2">
        <f>F17*($B$8/$B$9)</f>
        <v/>
      </c>
    </row>
    <row r="21">
      <c r="A21" t="inlineStr">
        <is>
          <t>Repurpose TI per closed site (FY26)</t>
        </is>
      </c>
      <c r="B21" s="4" t="n">
        <v>1200000</v>
      </c>
    </row>
    <row r="22">
      <c r="A22" t="inlineStr">
        <is>
          <t>Retention r (central)</t>
        </is>
      </c>
      <c r="B22" s="4" t="n">
        <v>0.75</v>
      </c>
    </row>
    <row r="23"/>
    <row r="24">
      <c r="A24" s="1" t="inlineStr">
        <is>
          <t>Notes</t>
        </is>
      </c>
    </row>
    <row r="25">
      <c r="A25" s="3" t="inlineStr">
        <is>
          <t>All formulas are same‑sheet and reference the Parameter cells above.</t>
        </is>
      </c>
    </row>
    <row r="26">
      <c r="A26" t="inlineStr">
        <is>
          <t>Base State Aid per ADM (FY26)</t>
        </is>
      </c>
      <c r="B26" t="n">
        <v>5113</v>
      </c>
      <c r="C26" t="inlineStr">
        <is>
          <t>Editable; ADE base aid.</t>
        </is>
      </c>
    </row>
    <row r="27">
      <c r="A27" t="inlineStr">
        <is>
          <t>Aid inflation (annual)</t>
        </is>
      </c>
      <c r="B27" t="n">
        <v>0.02</v>
      </c>
      <c r="C27" t="inlineStr">
        <is>
          <t>Editable; assumed growth in base aid.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zoomScale="90" zoomScaleNormal="90" workbookViewId="0">
      <selection activeCell="D2" sqref="D2"/>
    </sheetView>
  </sheetViews>
  <sheetFormatPr baseColWidth="8" defaultRowHeight="14.5"/>
  <cols>
    <col width="6.7265625" bestFit="1" customWidth="1" min="1" max="1"/>
    <col width="11.81640625" bestFit="1" customWidth="1" min="2" max="4"/>
    <col width="5.26953125" bestFit="1" customWidth="1" min="5" max="5"/>
    <col width="7.08984375" bestFit="1" customWidth="1" min="6" max="6"/>
    <col width="5.54296875" bestFit="1" customWidth="1" min="7" max="7"/>
    <col width="7.1796875" bestFit="1" customWidth="1" min="8" max="8"/>
  </cols>
  <sheetData>
    <row r="1">
      <c r="A1" s="1" t="inlineStr">
        <is>
          <t>Year</t>
        </is>
      </c>
      <c r="B1" s="1" t="inlineStr">
        <is>
          <t>VarUnit$</t>
        </is>
      </c>
      <c r="C1" s="1" t="inlineStr">
        <is>
          <t>EchoFixed$</t>
        </is>
      </c>
      <c r="D1" s="1" t="inlineStr">
        <is>
          <t>PimaFixed$</t>
        </is>
      </c>
      <c r="E1" s="1" t="inlineStr">
        <is>
          <t>h</t>
        </is>
      </c>
      <c r="F1" s="1" t="inlineStr">
        <is>
          <t>f_lease</t>
        </is>
      </c>
      <c r="G1" s="1" t="inlineStr">
        <is>
          <t>f_ops</t>
        </is>
      </c>
      <c r="H1" t="inlineStr">
        <is>
          <t>YearIdx</t>
        </is>
      </c>
      <c r="I1" t="inlineStr">
        <is>
          <t>Aid$</t>
        </is>
      </c>
    </row>
    <row r="2">
      <c r="A2" t="inlineStr">
        <is>
          <t>FY2026</t>
        </is>
      </c>
      <c r="B2" s="2">
        <f>BaselineCalc!B18</f>
        <v/>
      </c>
      <c r="C2" s="2">
        <f>BaselineCalc!B19</f>
        <v/>
      </c>
      <c r="D2" s="2">
        <f>BaselineCalc!B20</f>
        <v/>
      </c>
      <c r="E2" s="4" t="n">
        <v>1000</v>
      </c>
      <c r="F2" s="4" t="n">
        <v>0.4</v>
      </c>
      <c r="G2" s="4" t="n">
        <v>0.4</v>
      </c>
      <c r="H2" t="n">
        <v>1</v>
      </c>
      <c r="I2">
        <f>BaselineCalc!$B$26*(1+BaselineCalc!$B$27)^(H2-1)</f>
        <v/>
      </c>
    </row>
    <row r="3">
      <c r="A3" t="inlineStr">
        <is>
          <t>FY2027</t>
        </is>
      </c>
      <c r="B3" s="2">
        <f>BaselineCalc!C18</f>
        <v/>
      </c>
      <c r="C3" s="2">
        <f>BaselineCalc!C19</f>
        <v/>
      </c>
      <c r="D3" s="2">
        <f>BaselineCalc!C20</f>
        <v/>
      </c>
      <c r="E3" s="4" t="n">
        <v>800</v>
      </c>
      <c r="F3" s="4" t="n">
        <v>0.3</v>
      </c>
      <c r="G3" s="4" t="n">
        <v>0.35</v>
      </c>
      <c r="H3" t="n">
        <v>2</v>
      </c>
      <c r="I3">
        <f>BaselineCalc!$B$26*(1+BaselineCalc!$B$27)^(H3-1)</f>
        <v/>
      </c>
    </row>
    <row r="4">
      <c r="A4" t="inlineStr">
        <is>
          <t>FY2028</t>
        </is>
      </c>
      <c r="B4" s="2">
        <f>BaselineCalc!D18</f>
        <v/>
      </c>
      <c r="C4" s="2">
        <f>BaselineCalc!D19</f>
        <v/>
      </c>
      <c r="D4" s="2">
        <f>BaselineCalc!D20</f>
        <v/>
      </c>
      <c r="E4" s="4" t="n">
        <v>600</v>
      </c>
      <c r="F4" s="4" t="n">
        <v>0.2</v>
      </c>
      <c r="G4" s="4" t="n">
        <v>0.3</v>
      </c>
      <c r="H4" t="n">
        <v>3</v>
      </c>
      <c r="I4">
        <f>BaselineCalc!$B$26*(1+BaselineCalc!$B$27)^(H4-1)</f>
        <v/>
      </c>
    </row>
    <row r="5">
      <c r="A5" t="inlineStr">
        <is>
          <t>FY2029</t>
        </is>
      </c>
      <c r="B5" s="2">
        <f>BaselineCalc!E18</f>
        <v/>
      </c>
      <c r="C5" s="2">
        <f>BaselineCalc!E19</f>
        <v/>
      </c>
      <c r="D5" s="2">
        <f>BaselineCalc!E20</f>
        <v/>
      </c>
      <c r="E5" s="4" t="n">
        <v>400</v>
      </c>
      <c r="F5" s="4" t="n">
        <v>0.1</v>
      </c>
      <c r="G5" s="4" t="n">
        <v>0.25</v>
      </c>
      <c r="H5" t="n">
        <v>4</v>
      </c>
      <c r="I5">
        <f>BaselineCalc!$B$26*(1+BaselineCalc!$B$27)^(H5-1)</f>
        <v/>
      </c>
    </row>
    <row r="6">
      <c r="A6" t="inlineStr">
        <is>
          <t>FY2030</t>
        </is>
      </c>
      <c r="B6" s="2">
        <f>BaselineCalc!F18</f>
        <v/>
      </c>
      <c r="C6" s="2">
        <f>BaselineCalc!F19</f>
        <v/>
      </c>
      <c r="D6" s="2">
        <f>BaselineCalc!F20</f>
        <v/>
      </c>
      <c r="E6" s="4" t="n">
        <v>300</v>
      </c>
      <c r="F6" s="4" t="n">
        <v>0</v>
      </c>
      <c r="G6" s="4" t="n">
        <v>0.2</v>
      </c>
      <c r="H6" t="n">
        <v>5</v>
      </c>
      <c r="I6">
        <f>BaselineCalc!$B$26*(1+BaselineCalc!$B$27)^(H6-1)</f>
        <v/>
      </c>
    </row>
  </sheetData>
  <pageMargins left="0.75" right="0.75" top="1" bottom="1" header="0.5" footer="0.5"/>
  <pageSetup orientation="portrait" paperSize="0" horizontalDpi="0" verticalDpi="0" copies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61"/>
  <sheetViews>
    <sheetView zoomScale="60" zoomScaleNormal="60" workbookViewId="0">
      <pane xSplit="2" ySplit="1" topLeftCell="L2" activePane="bottomRight" state="frozen"/>
      <selection pane="topRight" activeCell="B1" sqref="B1"/>
      <selection pane="bottomLeft" activeCell="A2" sqref="A2"/>
      <selection pane="bottomRight" activeCell="AB2" sqref="AB2"/>
    </sheetView>
  </sheetViews>
  <sheetFormatPr baseColWidth="8" defaultRowHeight="14.5"/>
  <cols>
    <col width="22.81640625" bestFit="1" customWidth="1" min="2" max="2"/>
    <col width="10.26953125" bestFit="1" customWidth="1" min="4" max="4"/>
    <col width="10.54296875" bestFit="1" customWidth="1" min="5" max="6"/>
    <col width="13.08984375" bestFit="1" customWidth="1" min="7" max="9"/>
    <col width="9.6328125" bestFit="1" customWidth="1" min="10" max="10"/>
    <col width="9.1796875" bestFit="1" customWidth="1" min="11" max="11"/>
    <col width="18" bestFit="1" customWidth="1" min="12" max="12"/>
    <col width="18.26953125" bestFit="1" customWidth="1" min="13" max="13"/>
    <col width="14.36328125" bestFit="1" customWidth="1" min="14" max="14"/>
    <col width="13.6328125" bestFit="1" customWidth="1" min="15" max="15"/>
    <col width="5.453125" bestFit="1" customWidth="1" min="16" max="16"/>
    <col width="9.08984375" bestFit="1" customWidth="1" min="17" max="17"/>
    <col width="13.08984375" bestFit="1" customWidth="1" min="18" max="19"/>
    <col width="12.6328125" bestFit="1" customWidth="1" min="20" max="20"/>
    <col width="13.08984375" bestFit="1" customWidth="1" min="21" max="22"/>
    <col width="16.54296875" bestFit="1" customWidth="1" min="23" max="23"/>
    <col width="24.453125" bestFit="1" customWidth="1" min="24" max="24"/>
    <col width="12.6328125" bestFit="1" customWidth="1" min="26" max="26"/>
    <col width="17.54296875" bestFit="1" customWidth="1" min="27" max="27"/>
  </cols>
  <sheetData>
    <row r="1">
      <c r="A1">
        <f>Y1</f>
        <v/>
      </c>
      <c r="B1" s="1" t="inlineStr">
        <is>
          <t>ScenarioKey</t>
        </is>
      </c>
      <c r="C1" s="1" t="inlineStr">
        <is>
          <t>Year</t>
        </is>
      </c>
      <c r="D1" s="1" t="inlineStr">
        <is>
          <t>Echo_ADM</t>
        </is>
      </c>
      <c r="E1" s="1" t="inlineStr">
        <is>
          <t>Pima_ADM</t>
        </is>
      </c>
      <c r="F1" s="1" t="inlineStr">
        <is>
          <t>Total_ADM</t>
        </is>
      </c>
      <c r="G1" s="1" t="inlineStr">
        <is>
          <t>VarUnit$</t>
        </is>
      </c>
      <c r="H1" s="1" t="inlineStr">
        <is>
          <t>EchoFixed$</t>
        </is>
      </c>
      <c r="I1" s="1" t="inlineStr">
        <is>
          <t>PimaFixed$</t>
        </is>
      </c>
      <c r="J1" s="1" t="inlineStr">
        <is>
          <t>OpsFactor</t>
        </is>
      </c>
      <c r="K1" s="1" t="inlineStr">
        <is>
          <t>ExtraSave</t>
        </is>
      </c>
      <c r="L1" s="1" t="inlineStr">
        <is>
          <t>EchoPotential_ADM</t>
        </is>
      </c>
      <c r="M1" s="1" t="inlineStr">
        <is>
          <t>PimaPotential_ADM</t>
        </is>
      </c>
      <c r="N1" s="1" t="inlineStr">
        <is>
          <t>Displaced_ADM</t>
        </is>
      </c>
      <c r="O1" s="1" t="inlineStr">
        <is>
          <t>Retained_ADM</t>
        </is>
      </c>
      <c r="P1" s="1" t="inlineStr">
        <is>
          <t>h</t>
        </is>
      </c>
      <c r="Q1" s="1" t="inlineStr">
        <is>
          <t>CarryFrac</t>
        </is>
      </c>
      <c r="R1" s="1" t="inlineStr">
        <is>
          <t>EchoFixedEff$</t>
        </is>
      </c>
      <c r="S1" s="1" t="inlineStr">
        <is>
          <t>PimaFixedEff$</t>
        </is>
      </c>
      <c r="T1" s="1" t="inlineStr">
        <is>
          <t>TI_adds$</t>
        </is>
      </c>
      <c r="U1" s="1" t="inlineStr">
        <is>
          <t>SiteCost$</t>
        </is>
      </c>
      <c r="V1" s="1" t="inlineStr">
        <is>
          <t>RetainedSvc$</t>
        </is>
      </c>
      <c r="W1" s="1" t="inlineStr">
        <is>
          <t>Comparable_MO$</t>
        </is>
      </c>
      <c r="X1" s="1" t="inlineStr">
        <is>
          <t>Comparable_per_Student$</t>
        </is>
      </c>
      <c r="Y1" s="1" t="inlineStr">
        <is>
          <t>Key</t>
        </is>
      </c>
      <c r="Z1" t="inlineStr">
        <is>
          <t>Aid_per_ADM</t>
        </is>
      </c>
      <c r="AA1" t="inlineStr">
        <is>
          <t>Net_MO_after_aid$</t>
        </is>
      </c>
      <c r="AB1" t="inlineStr">
        <is>
          <t>Net_per_served$</t>
        </is>
      </c>
      <c r="AC1" t="inlineStr">
        <is>
          <t>Overlay_ADM</t>
        </is>
      </c>
      <c r="AD1" t="inlineStr">
        <is>
          <t>Served_ADM</t>
        </is>
      </c>
      <c r="AE1" t="inlineStr">
        <is>
          <t>Revenue$</t>
        </is>
      </c>
      <c r="AF1" t="inlineStr">
        <is>
          <t>Adj_MO$</t>
        </is>
      </c>
    </row>
    <row r="2">
      <c r="A2">
        <f>Y2</f>
        <v/>
      </c>
      <c r="B2">
        <f>Scenarios!A2</f>
        <v/>
      </c>
      <c r="C2" t="inlineStr">
        <is>
          <t>FY2026</t>
        </is>
      </c>
      <c r="D2">
        <f>IF(Scenarios!D2=1,0, L2)</f>
        <v/>
      </c>
      <c r="E2">
        <f>IF(Scenarios!E2=1,0, M2)</f>
        <v/>
      </c>
      <c r="F2">
        <f>D2+E2</f>
        <v/>
      </c>
      <c r="G2" s="2">
        <f>YearMap!B2</f>
        <v/>
      </c>
      <c r="H2" s="2">
        <f>YearMap!C2</f>
        <v/>
      </c>
      <c r="I2" s="2">
        <f>YearMap!D2</f>
        <v/>
      </c>
      <c r="J2">
        <f>1-BaselineCalc!$B$5</f>
        <v/>
      </c>
      <c r="K2">
        <f>Scenarios!G2</f>
        <v/>
      </c>
      <c r="L2">
        <f>BaselineCalc!$B$7 + ROUND(Scenarios!I2*Scenarios!F2,0)</f>
        <v/>
      </c>
      <c r="M2">
        <f>BaselineCalc!$B$8 + Scenarios!I2 - ROUND(Scenarios!I2*Scenarios!F2,0)</f>
        <v/>
      </c>
      <c r="N2" s="7">
        <f>(L2-D2) + (M2-E2)</f>
        <v/>
      </c>
      <c r="O2" s="7">
        <f>BaselineCalc!$B$22 * N2</f>
        <v/>
      </c>
      <c r="P2">
        <f>YearMap!E2</f>
        <v/>
      </c>
      <c r="Q2">
        <f>IF(Scenarios!N2="lease", YearMap!F2, YearMap!G2)</f>
        <v/>
      </c>
      <c r="R2" s="2">
        <f>IF(Scenarios!D2=1, Q2*H2, H2)</f>
        <v/>
      </c>
      <c r="S2" s="2">
        <f>IF(Scenarios!E2=1, Q2*I2, I2)</f>
        <v/>
      </c>
      <c r="T2" s="2">
        <f>IF(C2="FY2026", (Scenarios!D2+Scenarios!E2)*BaselineCalc!$B$21, 0)</f>
        <v/>
      </c>
      <c r="U2" s="2">
        <f>(R2+S2+G2*F2)*J2*(1-K2)</f>
        <v/>
      </c>
      <c r="V2" s="2">
        <f>O2*(G2+P2)</f>
        <v/>
      </c>
      <c r="W2" s="2">
        <f>U2+V2+T2</f>
        <v/>
      </c>
      <c r="X2" s="2">
        <f>IF(F2+O2&gt;0, W2/(F2+O2),"")</f>
        <v/>
      </c>
      <c r="Y2">
        <f>B2&amp;"|"&amp;C2</f>
        <v/>
      </c>
      <c r="Z2">
        <f>INDEX(YearMap!$I$2:$I$6, MATCH(C2, YearMap!$A$2:$A$6, 0))</f>
        <v/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>
        <f>Y3</f>
        <v/>
      </c>
      <c r="B3">
        <f>Scenarios!A2</f>
        <v/>
      </c>
      <c r="C3" t="inlineStr">
        <is>
          <t>FY2027</t>
        </is>
      </c>
      <c r="D3">
        <f>IF(Scenarios!D2=1,0, L3)</f>
        <v/>
      </c>
      <c r="E3">
        <f>IF(Scenarios!E2=1,0, M3)</f>
        <v/>
      </c>
      <c r="F3">
        <f>D3+E3</f>
        <v/>
      </c>
      <c r="G3" s="2">
        <f>YearMap!B3</f>
        <v/>
      </c>
      <c r="H3" s="2">
        <f>YearMap!C3</f>
        <v/>
      </c>
      <c r="I3" s="2">
        <f>YearMap!D3</f>
        <v/>
      </c>
      <c r="J3">
        <f>1-BaselineCalc!$B$5</f>
        <v/>
      </c>
      <c r="K3">
        <f>Scenarios!G2</f>
        <v/>
      </c>
      <c r="L3">
        <f>BaselineCalc!$B$7 + ROUND(Scenarios!J2*Scenarios!F2,0)</f>
        <v/>
      </c>
      <c r="M3">
        <f>BaselineCalc!$B$8 + Scenarios!J2 - ROUND(Scenarios!J2*Scenarios!F2,0)</f>
        <v/>
      </c>
      <c r="N3" s="7">
        <f>(L3-D3) + (M3-E3)</f>
        <v/>
      </c>
      <c r="O3" s="7">
        <f>BaselineCalc!$B$22 * N3</f>
        <v/>
      </c>
      <c r="P3">
        <f>YearMap!E3</f>
        <v/>
      </c>
      <c r="Q3">
        <f>IF(Scenarios!N2="lease", YearMap!F3, YearMap!G3)</f>
        <v/>
      </c>
      <c r="R3" s="2">
        <f>IF(Scenarios!D2=1, Q3*H3, H3)</f>
        <v/>
      </c>
      <c r="S3" s="2">
        <f>IF(Scenarios!E2=1, Q3*I3, I3)</f>
        <v/>
      </c>
      <c r="T3" s="2">
        <f>IF(C3="FY2026", (Scenarios!D2+Scenarios!E2)*BaselineCalc!$B$21, 0)</f>
        <v/>
      </c>
      <c r="U3" s="2">
        <f>(R3+S3+G3*F3)*J3*(1-K3)</f>
        <v/>
      </c>
      <c r="V3" s="2">
        <f>O3*(G3+P3)</f>
        <v/>
      </c>
      <c r="W3" s="2">
        <f>U3+V3+T3</f>
        <v/>
      </c>
      <c r="X3" s="2">
        <f>IF(F3+O3&gt;0, W3/(F3+O3),"")</f>
        <v/>
      </c>
      <c r="Y3">
        <f>B3&amp;"|"&amp;C3</f>
        <v/>
      </c>
      <c r="Z3">
        <f>INDEX(YearMap!$I$2:$I$6, MATCH(C3, YearMap!$A$2:$A$6, 0))</f>
        <v/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>
        <f>Y4</f>
        <v/>
      </c>
      <c r="B4">
        <f>Scenarios!A2</f>
        <v/>
      </c>
      <c r="C4" t="inlineStr">
        <is>
          <t>FY2028</t>
        </is>
      </c>
      <c r="D4">
        <f>IF(Scenarios!D2=1,0, L4)</f>
        <v/>
      </c>
      <c r="E4">
        <f>IF(Scenarios!E2=1,0, M4)</f>
        <v/>
      </c>
      <c r="F4">
        <f>D4+E4</f>
        <v/>
      </c>
      <c r="G4" s="2">
        <f>YearMap!B4</f>
        <v/>
      </c>
      <c r="H4" s="2">
        <f>YearMap!C4</f>
        <v/>
      </c>
      <c r="I4" s="2">
        <f>YearMap!D4</f>
        <v/>
      </c>
      <c r="J4">
        <f>1-BaselineCalc!$B$5</f>
        <v/>
      </c>
      <c r="K4">
        <f>Scenarios!G2</f>
        <v/>
      </c>
      <c r="L4">
        <f>BaselineCalc!$B$7 + ROUND(Scenarios!K2*Scenarios!F2,0)</f>
        <v/>
      </c>
      <c r="M4">
        <f>BaselineCalc!$B$8 + Scenarios!K2 - ROUND(Scenarios!K2*Scenarios!F2,0)</f>
        <v/>
      </c>
      <c r="N4" s="7">
        <f>(L4-D4) + (M4-E4)</f>
        <v/>
      </c>
      <c r="O4" s="7">
        <f>BaselineCalc!$B$22 * N4</f>
        <v/>
      </c>
      <c r="P4">
        <f>YearMap!E4</f>
        <v/>
      </c>
      <c r="Q4">
        <f>IF(Scenarios!N2="lease", YearMap!F4, YearMap!G4)</f>
        <v/>
      </c>
      <c r="R4" s="2">
        <f>IF(Scenarios!D2=1, Q4*H4, H4)</f>
        <v/>
      </c>
      <c r="S4" s="2">
        <f>IF(Scenarios!E2=1, Q4*I4, I4)</f>
        <v/>
      </c>
      <c r="T4" s="2">
        <f>IF(C4="FY2026", (Scenarios!D2+Scenarios!E2)*BaselineCalc!$B$21, 0)</f>
        <v/>
      </c>
      <c r="U4" s="2">
        <f>(R4+S4+G4*F4)*J4*(1-K4)</f>
        <v/>
      </c>
      <c r="V4" s="2">
        <f>O4*(G4+P4)</f>
        <v/>
      </c>
      <c r="W4" s="2">
        <f>U4+V4+T4</f>
        <v/>
      </c>
      <c r="X4" s="2">
        <f>IF(F4+O4&gt;0, W4/(F4+O4),"")</f>
        <v/>
      </c>
      <c r="Y4">
        <f>B4&amp;"|"&amp;C4</f>
        <v/>
      </c>
      <c r="Z4">
        <f>INDEX(YearMap!$I$2:$I$6, MATCH(C4, YearMap!$A$2:$A$6, 0))</f>
        <v/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>
        <f>Y5</f>
        <v/>
      </c>
      <c r="B5">
        <f>Scenarios!A2</f>
        <v/>
      </c>
      <c r="C5" t="inlineStr">
        <is>
          <t>FY2029</t>
        </is>
      </c>
      <c r="D5">
        <f>IF(Scenarios!D2=1,0, L5)</f>
        <v/>
      </c>
      <c r="E5">
        <f>IF(Scenarios!E2=1,0, M5)</f>
        <v/>
      </c>
      <c r="F5">
        <f>D5+E5</f>
        <v/>
      </c>
      <c r="G5" s="2">
        <f>YearMap!B5</f>
        <v/>
      </c>
      <c r="H5" s="2">
        <f>YearMap!C5</f>
        <v/>
      </c>
      <c r="I5" s="2">
        <f>YearMap!D5</f>
        <v/>
      </c>
      <c r="J5">
        <f>1-BaselineCalc!$B$5</f>
        <v/>
      </c>
      <c r="K5">
        <f>Scenarios!G2</f>
        <v/>
      </c>
      <c r="L5">
        <f>BaselineCalc!$B$7 + ROUND(Scenarios!L2*Scenarios!F2,0)</f>
        <v/>
      </c>
      <c r="M5">
        <f>BaselineCalc!$B$8 + Scenarios!L2 - ROUND(Scenarios!L2*Scenarios!F2,0)</f>
        <v/>
      </c>
      <c r="N5" s="7">
        <f>(L5-D5) + (M5-E5)</f>
        <v/>
      </c>
      <c r="O5" s="7">
        <f>BaselineCalc!$B$22 * N5</f>
        <v/>
      </c>
      <c r="P5">
        <f>YearMap!E5</f>
        <v/>
      </c>
      <c r="Q5">
        <f>IF(Scenarios!N2="lease", YearMap!F5, YearMap!G5)</f>
        <v/>
      </c>
      <c r="R5" s="2">
        <f>IF(Scenarios!D2=1, Q5*H5, H5)</f>
        <v/>
      </c>
      <c r="S5" s="2">
        <f>IF(Scenarios!E2=1, Q5*I5, I5)</f>
        <v/>
      </c>
      <c r="T5" s="2">
        <f>IF(C5="FY2026", (Scenarios!D2+Scenarios!E2)*BaselineCalc!$B$21, 0)</f>
        <v/>
      </c>
      <c r="U5" s="2">
        <f>(R5+S5+G5*F5)*J5*(1-K5)</f>
        <v/>
      </c>
      <c r="V5" s="2">
        <f>O5*(G5+P5)</f>
        <v/>
      </c>
      <c r="W5" s="2">
        <f>U5+V5+T5</f>
        <v/>
      </c>
      <c r="X5" s="2">
        <f>IF(F5+O5&gt;0, W5/(F5+O5),"")</f>
        <v/>
      </c>
      <c r="Y5">
        <f>B5&amp;"|"&amp;C5</f>
        <v/>
      </c>
      <c r="Z5">
        <f>INDEX(YearMap!$I$2:$I$6, MATCH(C5, YearMap!$A$2:$A$6, 0))</f>
        <v/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>
        <f>Y6</f>
        <v/>
      </c>
      <c r="B6">
        <f>Scenarios!A2</f>
        <v/>
      </c>
      <c r="C6" t="inlineStr">
        <is>
          <t>FY2030</t>
        </is>
      </c>
      <c r="D6">
        <f>IF(Scenarios!D2=1,0, L6)</f>
        <v/>
      </c>
      <c r="E6">
        <f>IF(Scenarios!E2=1,0, M6)</f>
        <v/>
      </c>
      <c r="F6">
        <f>D6+E6</f>
        <v/>
      </c>
      <c r="G6" s="2">
        <f>YearMap!B6</f>
        <v/>
      </c>
      <c r="H6" s="2">
        <f>YearMap!C6</f>
        <v/>
      </c>
      <c r="I6" s="2">
        <f>YearMap!D6</f>
        <v/>
      </c>
      <c r="J6">
        <f>1-BaselineCalc!$B$5</f>
        <v/>
      </c>
      <c r="K6">
        <f>Scenarios!G2</f>
        <v/>
      </c>
      <c r="L6">
        <f>BaselineCalc!$B$7 + ROUND(Scenarios!M2*Scenarios!F2,0)</f>
        <v/>
      </c>
      <c r="M6">
        <f>BaselineCalc!$B$8 + Scenarios!M2 - ROUND(Scenarios!M2*Scenarios!F2,0)</f>
        <v/>
      </c>
      <c r="N6" s="7">
        <f>(L6-D6) + (M6-E6)</f>
        <v/>
      </c>
      <c r="O6" s="7">
        <f>BaselineCalc!$B$22 * N6</f>
        <v/>
      </c>
      <c r="P6">
        <f>YearMap!E6</f>
        <v/>
      </c>
      <c r="Q6">
        <f>IF(Scenarios!N2="lease", YearMap!F6, YearMap!G6)</f>
        <v/>
      </c>
      <c r="R6" s="2">
        <f>IF(Scenarios!D2=1, Q6*H6, H6)</f>
        <v/>
      </c>
      <c r="S6" s="2">
        <f>IF(Scenarios!E2=1, Q6*I6, I6)</f>
        <v/>
      </c>
      <c r="T6" s="2">
        <f>IF(C6="FY2026", (Scenarios!D2+Scenarios!E2)*BaselineCalc!$B$21, 0)</f>
        <v/>
      </c>
      <c r="U6" s="2">
        <f>(R6+S6+G6*F6)*J6*(1-K6)</f>
        <v/>
      </c>
      <c r="V6" s="2">
        <f>O6*(G6+P6)</f>
        <v/>
      </c>
      <c r="W6" s="2">
        <f>U6+V6+T6</f>
        <v/>
      </c>
      <c r="X6" s="2">
        <f>IF(F6+O6&gt;0, W6/(F6+O6),"")</f>
        <v/>
      </c>
      <c r="Y6">
        <f>B6&amp;"|"&amp;C6</f>
        <v/>
      </c>
      <c r="Z6">
        <f>INDEX(YearMap!$I$2:$I$6, MATCH(C6, YearMap!$A$2:$A$6, 0))</f>
        <v/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>
        <f>Y7</f>
        <v/>
      </c>
      <c r="B7">
        <f>Scenarios!A3</f>
        <v/>
      </c>
      <c r="C7" t="inlineStr">
        <is>
          <t>FY2026</t>
        </is>
      </c>
      <c r="D7">
        <f>IF(Scenarios!D3=1,0, L7)</f>
        <v/>
      </c>
      <c r="E7">
        <f>IF(Scenarios!E3=1,0, M7)</f>
        <v/>
      </c>
      <c r="F7">
        <f>D7+E7</f>
        <v/>
      </c>
      <c r="G7" s="2">
        <f>YearMap!B2</f>
        <v/>
      </c>
      <c r="H7" s="2">
        <f>YearMap!C2</f>
        <v/>
      </c>
      <c r="I7" s="2">
        <f>YearMap!D2</f>
        <v/>
      </c>
      <c r="J7">
        <f>1-BaselineCalc!$B$5</f>
        <v/>
      </c>
      <c r="K7">
        <f>Scenarios!G3</f>
        <v/>
      </c>
      <c r="L7">
        <f>BaselineCalc!$B$7 + ROUND(Scenarios!I3*Scenarios!F3,0)</f>
        <v/>
      </c>
      <c r="M7">
        <f>BaselineCalc!$B$8 + Scenarios!I3 - ROUND(Scenarios!J3*Scenarios!F3,0)</f>
        <v/>
      </c>
      <c r="N7" s="7">
        <f>(L7-D7) + (M7-E7)</f>
        <v/>
      </c>
      <c r="O7" s="7">
        <f>BaselineCalc!$B$22 * N7</f>
        <v/>
      </c>
      <c r="P7">
        <f>YearMap!E2</f>
        <v/>
      </c>
      <c r="Q7">
        <f>IF(Scenarios!N3="lease", YearMap!F2, YearMap!G2)</f>
        <v/>
      </c>
      <c r="R7" s="2">
        <f>IF(Scenarios!D3=1, Q7*H7, H7)</f>
        <v/>
      </c>
      <c r="S7" s="2">
        <f>IF(Scenarios!E3=1, Q7*I7, I7)</f>
        <v/>
      </c>
      <c r="T7" s="2">
        <f>IF(C7="FY2026", (Scenarios!D3+Scenarios!E3)*BaselineCalc!$B$21, 0)</f>
        <v/>
      </c>
      <c r="U7" s="2">
        <f>(R7+S7+G7*F7)*J7*(1-K7)</f>
        <v/>
      </c>
      <c r="V7" s="2">
        <f>O7*(G7+P7)</f>
        <v/>
      </c>
      <c r="W7" s="2">
        <f>U7+V7+T7</f>
        <v/>
      </c>
      <c r="X7" s="2">
        <f>IF(F7+O7&gt;0, W7/(F7+O7),"")</f>
        <v/>
      </c>
      <c r="Y7">
        <f>B7&amp;"|"&amp;C7</f>
        <v/>
      </c>
      <c r="Z7">
        <f>INDEX(YearMap!$I$2:$I$6, MATCH(C7, YearMap!$A$2:$A$6, 0))</f>
        <v/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>
        <f>Y8</f>
        <v/>
      </c>
      <c r="B8">
        <f>Scenarios!A3</f>
        <v/>
      </c>
      <c r="C8" t="inlineStr">
        <is>
          <t>FY2027</t>
        </is>
      </c>
      <c r="D8">
        <f>IF(Scenarios!D3=1,0, L8)</f>
        <v/>
      </c>
      <c r="E8">
        <f>IF(Scenarios!E3=1,0, M8)</f>
        <v/>
      </c>
      <c r="F8">
        <f>D8+E8</f>
        <v/>
      </c>
      <c r="G8" s="2">
        <f>YearMap!B3</f>
        <v/>
      </c>
      <c r="H8" s="2">
        <f>YearMap!C3</f>
        <v/>
      </c>
      <c r="I8" s="2">
        <f>YearMap!D3</f>
        <v/>
      </c>
      <c r="J8">
        <f>1-BaselineCalc!$B$5</f>
        <v/>
      </c>
      <c r="K8">
        <f>Scenarios!G3</f>
        <v/>
      </c>
      <c r="L8">
        <f>BaselineCalc!$B$7 + ROUND(Scenarios!J3*Scenarios!F3,0)</f>
        <v/>
      </c>
      <c r="M8">
        <f>BaselineCalc!$B$8 + Scenarios!J3 - ROUND(Scenarios!J3*Scenarios!F3,0)</f>
        <v/>
      </c>
      <c r="N8" s="7">
        <f>(L8-D8) + (M8-E8)</f>
        <v/>
      </c>
      <c r="O8" s="7">
        <f>BaselineCalc!$B$22 * N8</f>
        <v/>
      </c>
      <c r="P8">
        <f>YearMap!E3</f>
        <v/>
      </c>
      <c r="Q8">
        <f>IF(Scenarios!N3="lease", YearMap!F3, YearMap!G3)</f>
        <v/>
      </c>
      <c r="R8" s="2">
        <f>IF(Scenarios!D3=1, Q8*H8, H8)</f>
        <v/>
      </c>
      <c r="S8" s="2">
        <f>IF(Scenarios!E3=1, Q8*I8, I8)</f>
        <v/>
      </c>
      <c r="T8" s="2">
        <f>IF(C8="FY2026", (Scenarios!D3+Scenarios!E3)*BaselineCalc!$B$21, 0)</f>
        <v/>
      </c>
      <c r="U8" s="2">
        <f>(R8+S8+G8*F8)*J8*(1-K8)</f>
        <v/>
      </c>
      <c r="V8" s="2">
        <f>O8*(G8+P8)</f>
        <v/>
      </c>
      <c r="W8" s="2">
        <f>U8+V8+T8</f>
        <v/>
      </c>
      <c r="X8" s="2">
        <f>IF(F8+O8&gt;0, W8/(F8+O8),"")</f>
        <v/>
      </c>
      <c r="Y8">
        <f>B8&amp;"|"&amp;C8</f>
        <v/>
      </c>
      <c r="Z8">
        <f>INDEX(YearMap!$I$2:$I$6, MATCH(C8, YearMap!$A$2:$A$6, 0))</f>
        <v/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>
        <f>Y9</f>
        <v/>
      </c>
      <c r="B9">
        <f>Scenarios!A3</f>
        <v/>
      </c>
      <c r="C9" t="inlineStr">
        <is>
          <t>FY2028</t>
        </is>
      </c>
      <c r="D9">
        <f>IF(Scenarios!D3=1,0, L9)</f>
        <v/>
      </c>
      <c r="E9">
        <f>IF(Scenarios!E3=1,0, M9)</f>
        <v/>
      </c>
      <c r="F9">
        <f>D9+E9</f>
        <v/>
      </c>
      <c r="G9" s="2">
        <f>YearMap!B4</f>
        <v/>
      </c>
      <c r="H9" s="2">
        <f>YearMap!C4</f>
        <v/>
      </c>
      <c r="I9" s="2">
        <f>YearMap!D4</f>
        <v/>
      </c>
      <c r="J9">
        <f>1-BaselineCalc!$B$5</f>
        <v/>
      </c>
      <c r="K9">
        <f>Scenarios!G3</f>
        <v/>
      </c>
      <c r="L9">
        <f>BaselineCalc!$B$7 + ROUND(Scenarios!K3*Scenarios!F3,0)</f>
        <v/>
      </c>
      <c r="M9">
        <f>BaselineCalc!$B$8 + Scenarios!K3 - ROUND(Scenarios!K3*Scenarios!F3,0)</f>
        <v/>
      </c>
      <c r="N9" s="7">
        <f>(L9-D9) + (M9-E9)</f>
        <v/>
      </c>
      <c r="O9" s="7">
        <f>BaselineCalc!$B$22 * N9</f>
        <v/>
      </c>
      <c r="P9">
        <f>YearMap!E4</f>
        <v/>
      </c>
      <c r="Q9">
        <f>IF(Scenarios!N3="lease", YearMap!F4, YearMap!G4)</f>
        <v/>
      </c>
      <c r="R9" s="2">
        <f>IF(Scenarios!D3=1, Q9*H9, H9)</f>
        <v/>
      </c>
      <c r="S9" s="2">
        <f>IF(Scenarios!E3=1, Q9*I9, I9)</f>
        <v/>
      </c>
      <c r="T9" s="2">
        <f>IF(C9="FY2026", (Scenarios!D3+Scenarios!E3)*BaselineCalc!$B$21, 0)</f>
        <v/>
      </c>
      <c r="U9" s="2">
        <f>(R9+S9+G9*F9)*J9*(1-K9)</f>
        <v/>
      </c>
      <c r="V9" s="2">
        <f>O9*(G9+P9)</f>
        <v/>
      </c>
      <c r="W9" s="2">
        <f>U9+V9+T9</f>
        <v/>
      </c>
      <c r="X9" s="2">
        <f>IF(F9+O9&gt;0, W9/(F9+O9),"")</f>
        <v/>
      </c>
      <c r="Y9">
        <f>B9&amp;"|"&amp;C9</f>
        <v/>
      </c>
      <c r="Z9">
        <f>INDEX(YearMap!$I$2:$I$6, MATCH(C9, YearMap!$A$2:$A$6, 0))</f>
        <v/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>
        <f>Y10</f>
        <v/>
      </c>
      <c r="B10">
        <f>Scenarios!A3</f>
        <v/>
      </c>
      <c r="C10" t="inlineStr">
        <is>
          <t>FY2029</t>
        </is>
      </c>
      <c r="D10">
        <f>IF(Scenarios!D3=1,0, L10)</f>
        <v/>
      </c>
      <c r="E10">
        <f>IF(Scenarios!E3=1,0, M10)</f>
        <v/>
      </c>
      <c r="F10">
        <f>D10+E10</f>
        <v/>
      </c>
      <c r="G10" s="2">
        <f>YearMap!B5</f>
        <v/>
      </c>
      <c r="H10" s="2">
        <f>YearMap!C5</f>
        <v/>
      </c>
      <c r="I10" s="2">
        <f>YearMap!D5</f>
        <v/>
      </c>
      <c r="J10">
        <f>1-BaselineCalc!$B$5</f>
        <v/>
      </c>
      <c r="K10">
        <f>Scenarios!G3</f>
        <v/>
      </c>
      <c r="L10">
        <f>BaselineCalc!$B$7 + ROUND(Scenarios!L3*Scenarios!F3,0)</f>
        <v/>
      </c>
      <c r="M10">
        <f>BaselineCalc!$B$8 + Scenarios!L3 - ROUND(Scenarios!L3*Scenarios!F3,0)</f>
        <v/>
      </c>
      <c r="N10" s="7">
        <f>(L10-D10) + (M10-E10)</f>
        <v/>
      </c>
      <c r="O10" s="7">
        <f>BaselineCalc!$B$22 * N10</f>
        <v/>
      </c>
      <c r="P10">
        <f>YearMap!E5</f>
        <v/>
      </c>
      <c r="Q10">
        <f>IF(Scenarios!N3="lease", YearMap!F5, YearMap!G5)</f>
        <v/>
      </c>
      <c r="R10" s="2">
        <f>IF(Scenarios!D3=1, Q10*H10, H10)</f>
        <v/>
      </c>
      <c r="S10" s="2">
        <f>IF(Scenarios!E3=1, Q10*I10, I10)</f>
        <v/>
      </c>
      <c r="T10" s="2">
        <f>IF(C10="FY2026", (Scenarios!D3+Scenarios!E3)*BaselineCalc!$B$21, 0)</f>
        <v/>
      </c>
      <c r="U10" s="2">
        <f>(R10+S10+G10*F10)*J10*(1-K10)</f>
        <v/>
      </c>
      <c r="V10" s="2">
        <f>O10*(G10+P10)</f>
        <v/>
      </c>
      <c r="W10" s="2">
        <f>U10+V10+T10</f>
        <v/>
      </c>
      <c r="X10" s="2">
        <f>IF(F10+O10&gt;0, W10/(F10+O10),"")</f>
        <v/>
      </c>
      <c r="Y10">
        <f>B10&amp;"|"&amp;C10</f>
        <v/>
      </c>
      <c r="Z10">
        <f>INDEX(YearMap!$I$2:$I$6, MATCH(C10, YearMap!$A$2:$A$6, 0))</f>
        <v/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>
        <f>Y11</f>
        <v/>
      </c>
      <c r="B11">
        <f>Scenarios!A3</f>
        <v/>
      </c>
      <c r="C11" t="inlineStr">
        <is>
          <t>FY2030</t>
        </is>
      </c>
      <c r="D11">
        <f>IF(Scenarios!D3=1,0, L11)</f>
        <v/>
      </c>
      <c r="E11">
        <f>IF(Scenarios!E3=1,0, M11)</f>
        <v/>
      </c>
      <c r="F11">
        <f>D11+E11</f>
        <v/>
      </c>
      <c r="G11" s="2">
        <f>YearMap!B6</f>
        <v/>
      </c>
      <c r="H11" s="2">
        <f>YearMap!C6</f>
        <v/>
      </c>
      <c r="I11" s="2">
        <f>YearMap!D6</f>
        <v/>
      </c>
      <c r="J11">
        <f>1-BaselineCalc!$B$5</f>
        <v/>
      </c>
      <c r="K11">
        <f>Scenarios!G3</f>
        <v/>
      </c>
      <c r="L11">
        <f>BaselineCalc!$B$7 + ROUND(Scenarios!M3*Scenarios!F3,0)</f>
        <v/>
      </c>
      <c r="M11">
        <f>BaselineCalc!$B$8 + Scenarios!M3 - ROUND(Scenarios!M3*Scenarios!F3,0)</f>
        <v/>
      </c>
      <c r="N11" s="7">
        <f>(L11-D11) + (M11-E11)</f>
        <v/>
      </c>
      <c r="O11" s="7">
        <f>BaselineCalc!$B$22 * N11</f>
        <v/>
      </c>
      <c r="P11">
        <f>YearMap!E6</f>
        <v/>
      </c>
      <c r="Q11">
        <f>IF(Scenarios!N3="lease", YearMap!F6, YearMap!G6)</f>
        <v/>
      </c>
      <c r="R11" s="2">
        <f>IF(Scenarios!D3=1, Q11*H11, H11)</f>
        <v/>
      </c>
      <c r="S11" s="2">
        <f>IF(Scenarios!E3=1, Q11*I11, I11)</f>
        <v/>
      </c>
      <c r="T11" s="2">
        <f>IF(C11="FY2026", (Scenarios!D3+Scenarios!E3)*BaselineCalc!$B$21, 0)</f>
        <v/>
      </c>
      <c r="U11" s="2">
        <f>(R11+S11+G11*F11)*J11*(1-K11)</f>
        <v/>
      </c>
      <c r="V11" s="2">
        <f>O11*(G11+P11)</f>
        <v/>
      </c>
      <c r="W11" s="2">
        <f>U11+V11+T11</f>
        <v/>
      </c>
      <c r="X11" s="2">
        <f>IF(F11+O11&gt;0, W11/(F11+O11),"")</f>
        <v/>
      </c>
      <c r="Y11">
        <f>B11&amp;"|"&amp;C11</f>
        <v/>
      </c>
      <c r="Z11">
        <f>INDEX(YearMap!$I$2:$I$6, MATCH(C11, YearMap!$A$2:$A$6, 0))</f>
        <v/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>
        <f>Y12</f>
        <v/>
      </c>
      <c r="B12">
        <f>Scenarios!A4</f>
        <v/>
      </c>
      <c r="C12" t="inlineStr">
        <is>
          <t>FY2026</t>
        </is>
      </c>
      <c r="D12">
        <f>IF(Scenarios!D4=1,0, L12)</f>
        <v/>
      </c>
      <c r="E12">
        <f>IF(Scenarios!E4=1,0, M12)</f>
        <v/>
      </c>
      <c r="F12">
        <f>D12+E12</f>
        <v/>
      </c>
      <c r="G12" s="2">
        <f>YearMap!B2</f>
        <v/>
      </c>
      <c r="H12" s="2">
        <f>YearMap!C2</f>
        <v/>
      </c>
      <c r="I12" s="2">
        <f>YearMap!D2</f>
        <v/>
      </c>
      <c r="J12">
        <f>1-BaselineCalc!$B$5</f>
        <v/>
      </c>
      <c r="K12">
        <f>Scenarios!G4</f>
        <v/>
      </c>
      <c r="L12">
        <f>BaselineCalc!$B$7 + ROUND(Scenarios!I4*Scenarios!F4,0)</f>
        <v/>
      </c>
      <c r="M12">
        <f>BaselineCalc!$B$8 + Scenarios!I4 - ROUND(Scenarios!I4*Scenarios!F4,0)</f>
        <v/>
      </c>
      <c r="N12" s="7">
        <f>(L12-D12) + (M12-E12)</f>
        <v/>
      </c>
      <c r="O12" s="7">
        <f>BaselineCalc!$B$22 * N12</f>
        <v/>
      </c>
      <c r="P12">
        <f>YearMap!E2</f>
        <v/>
      </c>
      <c r="Q12">
        <f>IF(Scenarios!N4="lease", YearMap!F2, YearMap!G2)</f>
        <v/>
      </c>
      <c r="R12" s="2">
        <f>IF(Scenarios!D4=1, Q12*H12, H12)</f>
        <v/>
      </c>
      <c r="S12" s="2">
        <f>IF(Scenarios!E4=1, Q12*I12, I12)</f>
        <v/>
      </c>
      <c r="T12" s="2">
        <f>IF(C12="FY2026", (Scenarios!D4+Scenarios!E4)*BaselineCalc!$B$21, 0)</f>
        <v/>
      </c>
      <c r="U12" s="2">
        <f>(R12+S12+G12*F12)*J12*(1-K12)</f>
        <v/>
      </c>
      <c r="V12" s="2">
        <f>O12*(G12+P12)</f>
        <v/>
      </c>
      <c r="W12" s="2">
        <f>U12+V12+T12</f>
        <v/>
      </c>
      <c r="X12" s="2">
        <f>IF(F12+O12&gt;0, W12/(F12+O12),"")</f>
        <v/>
      </c>
      <c r="Y12">
        <f>B12&amp;"|"&amp;C12</f>
        <v/>
      </c>
      <c r="Z12">
        <f>INDEX(YearMap!$I$2:$I$6, MATCH(C12, YearMap!$A$2:$A$6, 0))</f>
        <v/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>
        <f>Y13</f>
        <v/>
      </c>
      <c r="B13">
        <f>Scenarios!A4</f>
        <v/>
      </c>
      <c r="C13" t="inlineStr">
        <is>
          <t>FY2027</t>
        </is>
      </c>
      <c r="D13">
        <f>IF(Scenarios!D4=1,0, L13)</f>
        <v/>
      </c>
      <c r="E13">
        <f>IF(Scenarios!E4=1,0, M13)</f>
        <v/>
      </c>
      <c r="F13">
        <f>D13+E13</f>
        <v/>
      </c>
      <c r="G13" s="2">
        <f>YearMap!B3</f>
        <v/>
      </c>
      <c r="H13" s="2">
        <f>YearMap!C3</f>
        <v/>
      </c>
      <c r="I13" s="2">
        <f>YearMap!D3</f>
        <v/>
      </c>
      <c r="J13">
        <f>1-BaselineCalc!$B$5</f>
        <v/>
      </c>
      <c r="K13">
        <f>Scenarios!G4</f>
        <v/>
      </c>
      <c r="L13">
        <f>BaselineCalc!$B$7 + ROUND(Scenarios!J4*Scenarios!F4,0)</f>
        <v/>
      </c>
      <c r="M13">
        <f>BaselineCalc!$B$8 + Scenarios!J4 - ROUND(Scenarios!J4*Scenarios!F4,0)</f>
        <v/>
      </c>
      <c r="N13" s="7">
        <f>(L13-D13) + (M13-E13)</f>
        <v/>
      </c>
      <c r="O13" s="7">
        <f>BaselineCalc!$B$22 * N13</f>
        <v/>
      </c>
      <c r="P13">
        <f>YearMap!E3</f>
        <v/>
      </c>
      <c r="Q13">
        <f>IF(Scenarios!N4="lease", YearMap!F3, YearMap!G3)</f>
        <v/>
      </c>
      <c r="R13" s="2">
        <f>IF(Scenarios!D4=1, Q13*H13, H13)</f>
        <v/>
      </c>
      <c r="S13" s="2">
        <f>IF(Scenarios!E4=1, Q13*I13, I13)</f>
        <v/>
      </c>
      <c r="T13" s="2">
        <f>IF(C13="FY2026", (Scenarios!D4+Scenarios!E4)*BaselineCalc!$B$21, 0)</f>
        <v/>
      </c>
      <c r="U13" s="2">
        <f>(R13+S13+G13*F13)*J13*(1-K13)</f>
        <v/>
      </c>
      <c r="V13" s="2">
        <f>O13*(G13+P13)</f>
        <v/>
      </c>
      <c r="W13" s="2">
        <f>U13+V13+T13</f>
        <v/>
      </c>
      <c r="X13" s="2">
        <f>IF(F13+O13&gt;0, W13/(F13+O13),"")</f>
        <v/>
      </c>
      <c r="Y13">
        <f>B13&amp;"|"&amp;C13</f>
        <v/>
      </c>
      <c r="Z13">
        <f>INDEX(YearMap!$I$2:$I$6, MATCH(C13, YearMap!$A$2:$A$6, 0))</f>
        <v/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>
        <f>Y14</f>
        <v/>
      </c>
      <c r="B14">
        <f>Scenarios!A4</f>
        <v/>
      </c>
      <c r="C14" t="inlineStr">
        <is>
          <t>FY2028</t>
        </is>
      </c>
      <c r="D14">
        <f>IF(Scenarios!D4=1,0, L14)</f>
        <v/>
      </c>
      <c r="E14">
        <f>IF(Scenarios!E4=1,0, M14)</f>
        <v/>
      </c>
      <c r="F14">
        <f>D14+E14</f>
        <v/>
      </c>
      <c r="G14" s="2">
        <f>YearMap!B4</f>
        <v/>
      </c>
      <c r="H14" s="2">
        <f>YearMap!C4</f>
        <v/>
      </c>
      <c r="I14" s="2">
        <f>YearMap!D4</f>
        <v/>
      </c>
      <c r="J14">
        <f>1-BaselineCalc!$B$5</f>
        <v/>
      </c>
      <c r="K14">
        <f>Scenarios!G4</f>
        <v/>
      </c>
      <c r="L14">
        <f>BaselineCalc!$B$7 + ROUND(Scenarios!K4*Scenarios!F4,0)</f>
        <v/>
      </c>
      <c r="M14">
        <f>BaselineCalc!$B$8 + Scenarios!K4 - ROUND(Scenarios!K4*Scenarios!F4,0)</f>
        <v/>
      </c>
      <c r="N14" s="7">
        <f>(L14-D14) + (M14-E14)</f>
        <v/>
      </c>
      <c r="O14" s="7">
        <f>BaselineCalc!$B$22 * N14</f>
        <v/>
      </c>
      <c r="P14">
        <f>YearMap!E4</f>
        <v/>
      </c>
      <c r="Q14">
        <f>IF(Scenarios!N4="lease", YearMap!F4, YearMap!G4)</f>
        <v/>
      </c>
      <c r="R14" s="2">
        <f>IF(Scenarios!D4=1, Q14*H14, H14)</f>
        <v/>
      </c>
      <c r="S14" s="2">
        <f>IF(Scenarios!E4=1, Q14*I14, I14)</f>
        <v/>
      </c>
      <c r="T14" s="2">
        <f>IF(C14="FY2026", (Scenarios!D4+Scenarios!E4)*BaselineCalc!$B$21, 0)</f>
        <v/>
      </c>
      <c r="U14" s="2">
        <f>(R14+S14+G14*F14)*J14*(1-K14)</f>
        <v/>
      </c>
      <c r="V14" s="2">
        <f>O14*(G14+P14)</f>
        <v/>
      </c>
      <c r="W14" s="2">
        <f>U14+V14+T14</f>
        <v/>
      </c>
      <c r="X14" s="2">
        <f>IF(F14+O14&gt;0, W14/(F14+O14),"")</f>
        <v/>
      </c>
      <c r="Y14">
        <f>B14&amp;"|"&amp;C14</f>
        <v/>
      </c>
      <c r="Z14">
        <f>INDEX(YearMap!$I$2:$I$6, MATCH(C14, YearMap!$A$2:$A$6, 0))</f>
        <v/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>
        <f>Y15</f>
        <v/>
      </c>
      <c r="B15">
        <f>Scenarios!A4</f>
        <v/>
      </c>
      <c r="C15" t="inlineStr">
        <is>
          <t>FY2029</t>
        </is>
      </c>
      <c r="D15">
        <f>IF(Scenarios!D4=1,0, L15)</f>
        <v/>
      </c>
      <c r="E15">
        <f>IF(Scenarios!E4=1,0, M15)</f>
        <v/>
      </c>
      <c r="F15">
        <f>D15+E15</f>
        <v/>
      </c>
      <c r="G15" s="2">
        <f>YearMap!B5</f>
        <v/>
      </c>
      <c r="H15" s="2">
        <f>YearMap!C5</f>
        <v/>
      </c>
      <c r="I15" s="2">
        <f>YearMap!D5</f>
        <v/>
      </c>
      <c r="J15">
        <f>1-BaselineCalc!$B$5</f>
        <v/>
      </c>
      <c r="K15">
        <f>Scenarios!G4</f>
        <v/>
      </c>
      <c r="L15">
        <f>BaselineCalc!$B$7 + ROUND(Scenarios!L4*Scenarios!F4,0)</f>
        <v/>
      </c>
      <c r="M15">
        <f>BaselineCalc!$B$8 + Scenarios!L4 - ROUND(Scenarios!L4*Scenarios!F4,0)</f>
        <v/>
      </c>
      <c r="N15" s="7">
        <f>(L15-D15) + (M15-E15)</f>
        <v/>
      </c>
      <c r="O15" s="7">
        <f>BaselineCalc!$B$22 * N15</f>
        <v/>
      </c>
      <c r="P15">
        <f>YearMap!E5</f>
        <v/>
      </c>
      <c r="Q15">
        <f>IF(Scenarios!N4="lease", YearMap!F5, YearMap!G5)</f>
        <v/>
      </c>
      <c r="R15" s="2">
        <f>IF(Scenarios!D4=1, Q15*H15, H15)</f>
        <v/>
      </c>
      <c r="S15" s="2">
        <f>IF(Scenarios!E4=1, Q15*I15, I15)</f>
        <v/>
      </c>
      <c r="T15" s="2">
        <f>IF(C15="FY2026", (Scenarios!D4+Scenarios!E4)*BaselineCalc!$B$21, 0)</f>
        <v/>
      </c>
      <c r="U15" s="2">
        <f>(R15+S15+G15*F15)*J15*(1-K15)</f>
        <v/>
      </c>
      <c r="V15" s="2">
        <f>O15*(G15+P15)</f>
        <v/>
      </c>
      <c r="W15" s="2">
        <f>U15+V15+T15</f>
        <v/>
      </c>
      <c r="X15" s="2">
        <f>IF(F15+O15&gt;0, W15/(F15+O15),"")</f>
        <v/>
      </c>
      <c r="Y15">
        <f>B15&amp;"|"&amp;C15</f>
        <v/>
      </c>
      <c r="Z15">
        <f>INDEX(YearMap!$I$2:$I$6, MATCH(C15, YearMap!$A$2:$A$6, 0))</f>
        <v/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>
        <f>Y16</f>
        <v/>
      </c>
      <c r="B16">
        <f>Scenarios!A4</f>
        <v/>
      </c>
      <c r="C16" t="inlineStr">
        <is>
          <t>FY2030</t>
        </is>
      </c>
      <c r="D16">
        <f>IF(Scenarios!D4=1,0, L16)</f>
        <v/>
      </c>
      <c r="E16">
        <f>IF(Scenarios!E4=1,0, M16)</f>
        <v/>
      </c>
      <c r="F16">
        <f>D16+E16</f>
        <v/>
      </c>
      <c r="G16" s="2">
        <f>YearMap!B6</f>
        <v/>
      </c>
      <c r="H16" s="2">
        <f>YearMap!C6</f>
        <v/>
      </c>
      <c r="I16" s="2">
        <f>YearMap!D6</f>
        <v/>
      </c>
      <c r="J16">
        <f>1-BaselineCalc!$B$5</f>
        <v/>
      </c>
      <c r="K16">
        <f>Scenarios!G4</f>
        <v/>
      </c>
      <c r="L16">
        <f>BaselineCalc!$B$7 + ROUND(Scenarios!M4*Scenarios!F4,0)</f>
        <v/>
      </c>
      <c r="M16">
        <f>BaselineCalc!$B$8 + Scenarios!M4 - ROUND(Scenarios!M4*Scenarios!F4,0)</f>
        <v/>
      </c>
      <c r="N16" s="7">
        <f>(L16-D16) + (M16-E16)</f>
        <v/>
      </c>
      <c r="O16" s="7">
        <f>BaselineCalc!$B$22 * N16</f>
        <v/>
      </c>
      <c r="P16">
        <f>YearMap!E6</f>
        <v/>
      </c>
      <c r="Q16">
        <f>IF(Scenarios!N4="lease", YearMap!F6, YearMap!G6)</f>
        <v/>
      </c>
      <c r="R16" s="2">
        <f>IF(Scenarios!D4=1, Q16*H16, H16)</f>
        <v/>
      </c>
      <c r="S16" s="2">
        <f>IF(Scenarios!E4=1, Q16*I16, I16)</f>
        <v/>
      </c>
      <c r="T16" s="2">
        <f>IF(C16="FY2026", (Scenarios!D4+Scenarios!E4)*BaselineCalc!$B$21, 0)</f>
        <v/>
      </c>
      <c r="U16" s="2">
        <f>(R16+S16+G16*F16)*J16*(1-K16)</f>
        <v/>
      </c>
      <c r="V16" s="2">
        <f>O16*(G16+P16)</f>
        <v/>
      </c>
      <c r="W16" s="2">
        <f>U16+V16+T16</f>
        <v/>
      </c>
      <c r="X16" s="2">
        <f>IF(F16+O16&gt;0, W16/(F16+O16),"")</f>
        <v/>
      </c>
      <c r="Y16">
        <f>B16&amp;"|"&amp;C16</f>
        <v/>
      </c>
      <c r="Z16">
        <f>INDEX(YearMap!$I$2:$I$6, MATCH(C16, YearMap!$A$2:$A$6, 0))</f>
        <v/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>
        <f>Y17</f>
        <v/>
      </c>
      <c r="B17">
        <f>Scenarios!A5</f>
        <v/>
      </c>
      <c r="C17" t="inlineStr">
        <is>
          <t>FY2026</t>
        </is>
      </c>
      <c r="D17">
        <f>IF(Scenarios!D5=1,0, L17)</f>
        <v/>
      </c>
      <c r="E17">
        <f>IF(Scenarios!E5=1,0, M17)</f>
        <v/>
      </c>
      <c r="F17">
        <f>D17+E17</f>
        <v/>
      </c>
      <c r="G17" s="2">
        <f>YearMap!B2</f>
        <v/>
      </c>
      <c r="H17" s="2">
        <f>YearMap!C2</f>
        <v/>
      </c>
      <c r="I17" s="2">
        <f>YearMap!D2</f>
        <v/>
      </c>
      <c r="J17">
        <f>1-BaselineCalc!$B$5</f>
        <v/>
      </c>
      <c r="K17">
        <f>Scenarios!G5</f>
        <v/>
      </c>
      <c r="L17">
        <f>BaselineCalc!$B$7 + ROUND(Scenarios!I5*Scenarios!F5,0)</f>
        <v/>
      </c>
      <c r="M17">
        <f>BaselineCalc!$B$8 + Scenarios!I5 - ROUND(Scenarios!I5*Scenarios!F5,0)</f>
        <v/>
      </c>
      <c r="N17" s="7">
        <f>(L17-D17) + (M17-E17)</f>
        <v/>
      </c>
      <c r="O17" s="7">
        <f>BaselineCalc!$B$22 * N17</f>
        <v/>
      </c>
      <c r="P17">
        <f>YearMap!E2</f>
        <v/>
      </c>
      <c r="Q17">
        <f>IF(Scenarios!N5="lease", YearMap!F2, YearMap!G2)</f>
        <v/>
      </c>
      <c r="R17" s="2">
        <f>IF(Scenarios!D5=1, Q17*H17, H17)</f>
        <v/>
      </c>
      <c r="S17" s="2">
        <f>IF(Scenarios!E5=1, Q17*I17, I17)</f>
        <v/>
      </c>
      <c r="T17" s="2">
        <f>IF(C17="FY2026", (Scenarios!D5+Scenarios!E5)*BaselineCalc!$B$21, 0)</f>
        <v/>
      </c>
      <c r="U17" s="2">
        <f>(R17+S17+G17*F17)*J17*(1-K17)</f>
        <v/>
      </c>
      <c r="V17" s="2">
        <f>O17*(G17+P17)</f>
        <v/>
      </c>
      <c r="W17" s="2">
        <f>U17+V17+T17</f>
        <v/>
      </c>
      <c r="X17" s="2">
        <f>IF(F17+O17&gt;0, W17/(F17+O17),"")</f>
        <v/>
      </c>
      <c r="Y17">
        <f>B17&amp;"|"&amp;C17</f>
        <v/>
      </c>
      <c r="Z17">
        <f>INDEX(YearMap!$I$2:$I$6, MATCH(C17, YearMap!$A$2:$A$6, 0))</f>
        <v/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>
        <f>Y18</f>
        <v/>
      </c>
      <c r="B18">
        <f>Scenarios!A5</f>
        <v/>
      </c>
      <c r="C18" t="inlineStr">
        <is>
          <t>FY2027</t>
        </is>
      </c>
      <c r="D18">
        <f>IF(Scenarios!D5=1,0, L18)</f>
        <v/>
      </c>
      <c r="E18">
        <f>IF(Scenarios!E5=1,0, M18)</f>
        <v/>
      </c>
      <c r="F18">
        <f>D18+E18</f>
        <v/>
      </c>
      <c r="G18" s="2">
        <f>YearMap!B3</f>
        <v/>
      </c>
      <c r="H18" s="2">
        <f>YearMap!C3</f>
        <v/>
      </c>
      <c r="I18" s="2">
        <f>YearMap!D3</f>
        <v/>
      </c>
      <c r="J18">
        <f>1-BaselineCalc!$B$5</f>
        <v/>
      </c>
      <c r="K18">
        <f>Scenarios!G5</f>
        <v/>
      </c>
      <c r="L18">
        <f>BaselineCalc!$B$7 + ROUND(Scenarios!J5*Scenarios!F5,0)</f>
        <v/>
      </c>
      <c r="M18">
        <f>BaselineCalc!$B$8 + Scenarios!J5 - ROUND(Scenarios!J5*Scenarios!F5,0)</f>
        <v/>
      </c>
      <c r="N18" s="7">
        <f>(L18-D18) + (M18-E18)</f>
        <v/>
      </c>
      <c r="O18" s="7">
        <f>BaselineCalc!$B$22 * N18</f>
        <v/>
      </c>
      <c r="P18">
        <f>YearMap!E3</f>
        <v/>
      </c>
      <c r="Q18">
        <f>IF(Scenarios!N5="lease", YearMap!F3, YearMap!G3)</f>
        <v/>
      </c>
      <c r="R18" s="2">
        <f>IF(Scenarios!D5=1, Q18*H18, H18)</f>
        <v/>
      </c>
      <c r="S18" s="2">
        <f>IF(Scenarios!E5=1, Q18*I18, I18)</f>
        <v/>
      </c>
      <c r="T18" s="2">
        <f>IF(C18="FY2026", (Scenarios!D5+Scenarios!E5)*BaselineCalc!$B$21, 0)</f>
        <v/>
      </c>
      <c r="U18" s="2">
        <f>(R18+S18+G18*F18)*J18*(1-K18)</f>
        <v/>
      </c>
      <c r="V18" s="2">
        <f>O18*(G18+P18)</f>
        <v/>
      </c>
      <c r="W18" s="2">
        <f>U18+V18+T18</f>
        <v/>
      </c>
      <c r="X18" s="2">
        <f>IF(F18+O18&gt;0, W18/(F18+O18),"")</f>
        <v/>
      </c>
      <c r="Y18">
        <f>B18&amp;"|"&amp;C18</f>
        <v/>
      </c>
      <c r="Z18">
        <f>INDEX(YearMap!$I$2:$I$6, MATCH(C18, YearMap!$A$2:$A$6, 0))</f>
        <v/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>
        <f>Y19</f>
        <v/>
      </c>
      <c r="B19">
        <f>Scenarios!A5</f>
        <v/>
      </c>
      <c r="C19" t="inlineStr">
        <is>
          <t>FY2028</t>
        </is>
      </c>
      <c r="D19">
        <f>IF(Scenarios!D5=1,0, L19)</f>
        <v/>
      </c>
      <c r="E19">
        <f>IF(Scenarios!E5=1,0, M19)</f>
        <v/>
      </c>
      <c r="F19">
        <f>D19+E19</f>
        <v/>
      </c>
      <c r="G19" s="2">
        <f>YearMap!B4</f>
        <v/>
      </c>
      <c r="H19" s="2">
        <f>YearMap!C4</f>
        <v/>
      </c>
      <c r="I19" s="2">
        <f>YearMap!D4</f>
        <v/>
      </c>
      <c r="J19">
        <f>1-BaselineCalc!$B$5</f>
        <v/>
      </c>
      <c r="K19">
        <f>Scenarios!G5</f>
        <v/>
      </c>
      <c r="L19">
        <f>BaselineCalc!$B$7 + ROUND(Scenarios!K5*Scenarios!F5,0)</f>
        <v/>
      </c>
      <c r="M19">
        <f>BaselineCalc!$B$8 + Scenarios!K5 - ROUND(Scenarios!K5*Scenarios!F5,0)</f>
        <v/>
      </c>
      <c r="N19" s="7">
        <f>(L19-D19) + (M19-E19)</f>
        <v/>
      </c>
      <c r="O19" s="7">
        <f>BaselineCalc!$B$22 * N19</f>
        <v/>
      </c>
      <c r="P19">
        <f>YearMap!E4</f>
        <v/>
      </c>
      <c r="Q19">
        <f>IF(Scenarios!N5="lease", YearMap!F4, YearMap!G4)</f>
        <v/>
      </c>
      <c r="R19" s="2">
        <f>IF(Scenarios!D5=1, Q19*H19, H19)</f>
        <v/>
      </c>
      <c r="S19" s="2">
        <f>IF(Scenarios!E5=1, Q19*I19, I19)</f>
        <v/>
      </c>
      <c r="T19" s="2">
        <f>IF(C19="FY2026", (Scenarios!D5+Scenarios!E5)*BaselineCalc!$B$21, 0)</f>
        <v/>
      </c>
      <c r="U19" s="2">
        <f>(R19+S19+G19*F19)*J19*(1-K19)</f>
        <v/>
      </c>
      <c r="V19" s="2">
        <f>O19*(G19+P19)</f>
        <v/>
      </c>
      <c r="W19" s="2">
        <f>U19+V19+T19</f>
        <v/>
      </c>
      <c r="X19" s="2">
        <f>IF(F19+O19&gt;0, W19/(F19+O19),"")</f>
        <v/>
      </c>
      <c r="Y19">
        <f>B19&amp;"|"&amp;C19</f>
        <v/>
      </c>
      <c r="Z19">
        <f>INDEX(YearMap!$I$2:$I$6, MATCH(C19, YearMap!$A$2:$A$6, 0))</f>
        <v/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>
        <f>Y20</f>
        <v/>
      </c>
      <c r="B20">
        <f>Scenarios!A5</f>
        <v/>
      </c>
      <c r="C20" t="inlineStr">
        <is>
          <t>FY2029</t>
        </is>
      </c>
      <c r="D20">
        <f>IF(Scenarios!D5=1,0, L20)</f>
        <v/>
      </c>
      <c r="E20">
        <f>IF(Scenarios!E5=1,0, M20)</f>
        <v/>
      </c>
      <c r="F20">
        <f>D20+E20</f>
        <v/>
      </c>
      <c r="G20" s="2">
        <f>YearMap!B5</f>
        <v/>
      </c>
      <c r="H20" s="2">
        <f>YearMap!C5</f>
        <v/>
      </c>
      <c r="I20" s="2">
        <f>YearMap!D5</f>
        <v/>
      </c>
      <c r="J20">
        <f>1-BaselineCalc!$B$5</f>
        <v/>
      </c>
      <c r="K20">
        <f>Scenarios!G5</f>
        <v/>
      </c>
      <c r="L20">
        <f>BaselineCalc!$B$7 + ROUND(Scenarios!L5*Scenarios!F5,0)</f>
        <v/>
      </c>
      <c r="M20">
        <f>BaselineCalc!$B$8 + Scenarios!L5 - ROUND(Scenarios!L5*Scenarios!F5,0)</f>
        <v/>
      </c>
      <c r="N20" s="7">
        <f>(L20-D20) + (M20-E20)</f>
        <v/>
      </c>
      <c r="O20" s="7">
        <f>BaselineCalc!$B$22 * N20</f>
        <v/>
      </c>
      <c r="P20">
        <f>YearMap!E5</f>
        <v/>
      </c>
      <c r="Q20">
        <f>IF(Scenarios!N5="lease", YearMap!F5, YearMap!G5)</f>
        <v/>
      </c>
      <c r="R20" s="2">
        <f>IF(Scenarios!D5=1, Q20*H20, H20)</f>
        <v/>
      </c>
      <c r="S20" s="2">
        <f>IF(Scenarios!E5=1, Q20*I20, I20)</f>
        <v/>
      </c>
      <c r="T20" s="2">
        <f>IF(C20="FY2026", (Scenarios!D5+Scenarios!E5)*BaselineCalc!$B$21, 0)</f>
        <v/>
      </c>
      <c r="U20" s="2">
        <f>(R20+S20+G20*F20)*J20*(1-K20)</f>
        <v/>
      </c>
      <c r="V20" s="2">
        <f>O20*(G20+P20)</f>
        <v/>
      </c>
      <c r="W20" s="2">
        <f>U20+V20+T20</f>
        <v/>
      </c>
      <c r="X20" s="2">
        <f>IF(F20+O20&gt;0, W20/(F20+O20),"")</f>
        <v/>
      </c>
      <c r="Y20">
        <f>B20&amp;"|"&amp;C20</f>
        <v/>
      </c>
      <c r="Z20">
        <f>INDEX(YearMap!$I$2:$I$6, MATCH(C20, YearMap!$A$2:$A$6, 0))</f>
        <v/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>
        <f>Y21</f>
        <v/>
      </c>
      <c r="B21">
        <f>Scenarios!A5</f>
        <v/>
      </c>
      <c r="C21" t="inlineStr">
        <is>
          <t>FY2030</t>
        </is>
      </c>
      <c r="D21">
        <f>IF(Scenarios!D5=1,0, L21)</f>
        <v/>
      </c>
      <c r="E21">
        <f>IF(Scenarios!E5=1,0, M21)</f>
        <v/>
      </c>
      <c r="F21">
        <f>D21+E21</f>
        <v/>
      </c>
      <c r="G21" s="2">
        <f>YearMap!B6</f>
        <v/>
      </c>
      <c r="H21" s="2">
        <f>YearMap!C6</f>
        <v/>
      </c>
      <c r="I21" s="2">
        <f>YearMap!D6</f>
        <v/>
      </c>
      <c r="J21">
        <f>1-BaselineCalc!$B$5</f>
        <v/>
      </c>
      <c r="K21">
        <f>Scenarios!G5</f>
        <v/>
      </c>
      <c r="L21">
        <f>BaselineCalc!$B$7 + ROUND(Scenarios!M5*Scenarios!F5,0)</f>
        <v/>
      </c>
      <c r="M21">
        <f>BaselineCalc!$B$8 + Scenarios!M5 - ROUND(Scenarios!M5*Scenarios!F5,0)</f>
        <v/>
      </c>
      <c r="N21" s="7">
        <f>(L21-D21) + (M21-E21)</f>
        <v/>
      </c>
      <c r="O21" s="7">
        <f>BaselineCalc!$B$22 * N21</f>
        <v/>
      </c>
      <c r="P21">
        <f>YearMap!E6</f>
        <v/>
      </c>
      <c r="Q21">
        <f>IF(Scenarios!N5="lease", YearMap!F6, YearMap!G6)</f>
        <v/>
      </c>
      <c r="R21" s="2">
        <f>IF(Scenarios!D5=1, Q21*H21, H21)</f>
        <v/>
      </c>
      <c r="S21" s="2">
        <f>IF(Scenarios!E5=1, Q21*I21, I21)</f>
        <v/>
      </c>
      <c r="T21" s="2">
        <f>IF(C21="FY2026", (Scenarios!D5+Scenarios!E5)*BaselineCalc!$B$21, 0)</f>
        <v/>
      </c>
      <c r="U21" s="2">
        <f>(R21+S21+G21*F21)*J21*(1-K21)</f>
        <v/>
      </c>
      <c r="V21" s="2">
        <f>O21*(G21+P21)</f>
        <v/>
      </c>
      <c r="W21" s="2">
        <f>U21+V21+T21</f>
        <v/>
      </c>
      <c r="X21" s="2">
        <f>IF(F21+O21&gt;0, W21/(F21+O21),"")</f>
        <v/>
      </c>
      <c r="Y21">
        <f>B21&amp;"|"&amp;C21</f>
        <v/>
      </c>
      <c r="Z21">
        <f>INDEX(YearMap!$I$2:$I$6, MATCH(C21, YearMap!$A$2:$A$6, 0))</f>
        <v/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>
        <f>Y22</f>
        <v/>
      </c>
      <c r="B22">
        <f>Scenarios!A6</f>
        <v/>
      </c>
      <c r="C22" t="inlineStr">
        <is>
          <t>FY2026</t>
        </is>
      </c>
      <c r="D22">
        <f>IF(Scenarios!D6=1,0, L22)</f>
        <v/>
      </c>
      <c r="E22">
        <f>IF(Scenarios!E6=1,0, M22)</f>
        <v/>
      </c>
      <c r="F22">
        <f>D22+E22</f>
        <v/>
      </c>
      <c r="G22" s="2">
        <f>YearMap!B2</f>
        <v/>
      </c>
      <c r="H22" s="2">
        <f>YearMap!C2</f>
        <v/>
      </c>
      <c r="I22" s="2">
        <f>YearMap!D2</f>
        <v/>
      </c>
      <c r="J22">
        <f>1-BaselineCalc!$B$5</f>
        <v/>
      </c>
      <c r="K22">
        <f>Scenarios!G6</f>
        <v/>
      </c>
      <c r="L22">
        <f>BaselineCalc!$B$7 + ROUND(Scenarios!I6*Scenarios!F6,0)</f>
        <v/>
      </c>
      <c r="M22">
        <f>BaselineCalc!$B$8 + Scenarios!I6 - ROUND(Scenarios!I6*Scenarios!F6,0)</f>
        <v/>
      </c>
      <c r="N22" s="7">
        <f>(L22-D22) + (M22-E22)</f>
        <v/>
      </c>
      <c r="O22" s="7">
        <f>BaselineCalc!$B$22 * N22</f>
        <v/>
      </c>
      <c r="P22">
        <f>YearMap!E2</f>
        <v/>
      </c>
      <c r="Q22">
        <f>IF(Scenarios!N6="lease", YearMap!F2, YearMap!G2)</f>
        <v/>
      </c>
      <c r="R22" s="2">
        <f>IF(Scenarios!D6=1, Q22*H22, H22)</f>
        <v/>
      </c>
      <c r="S22" s="2">
        <f>IF(Scenarios!E6=1, Q22*I22, I22)</f>
        <v/>
      </c>
      <c r="T22" s="2">
        <f>IF(C22="FY2026", (Scenarios!D6+Scenarios!E6)*BaselineCalc!$B$21, 0)</f>
        <v/>
      </c>
      <c r="U22" s="2">
        <f>(R22+S22+G22*F22)*J22*(1-K22)</f>
        <v/>
      </c>
      <c r="V22" s="2">
        <f>O22*(G22+P22)</f>
        <v/>
      </c>
      <c r="W22" s="2">
        <f>U22+V22+T22</f>
        <v/>
      </c>
      <c r="X22" s="2">
        <f>IF(F22+O22&gt;0, W22/(F22+O22),"")</f>
        <v/>
      </c>
      <c r="Y22">
        <f>B22&amp;"|"&amp;C22</f>
        <v/>
      </c>
      <c r="Z22">
        <f>INDEX(YearMap!$I$2:$I$6, MATCH(C22, YearMap!$A$2:$A$6, 0))</f>
        <v/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>
        <f>Y23</f>
        <v/>
      </c>
      <c r="B23">
        <f>Scenarios!A6</f>
        <v/>
      </c>
      <c r="C23" t="inlineStr">
        <is>
          <t>FY2027</t>
        </is>
      </c>
      <c r="D23">
        <f>IF(Scenarios!D6=1,0, L23)</f>
        <v/>
      </c>
      <c r="E23">
        <f>IF(Scenarios!E6=1,0, M23)</f>
        <v/>
      </c>
      <c r="F23">
        <f>D23+E23</f>
        <v/>
      </c>
      <c r="G23" s="2">
        <f>YearMap!B3</f>
        <v/>
      </c>
      <c r="H23" s="2">
        <f>YearMap!C3</f>
        <v/>
      </c>
      <c r="I23" s="2">
        <f>YearMap!D3</f>
        <v/>
      </c>
      <c r="J23">
        <f>1-BaselineCalc!$B$5</f>
        <v/>
      </c>
      <c r="K23">
        <f>Scenarios!G6</f>
        <v/>
      </c>
      <c r="L23">
        <f>BaselineCalc!$B$7 + ROUND(Scenarios!J6*Scenarios!F6,0)</f>
        <v/>
      </c>
      <c r="M23">
        <f>BaselineCalc!$B$8 + Scenarios!J6 - ROUND(Scenarios!J6*Scenarios!F6,0)</f>
        <v/>
      </c>
      <c r="N23" s="7">
        <f>(L23-D23) + (M23-E23)</f>
        <v/>
      </c>
      <c r="O23" s="7">
        <f>BaselineCalc!$B$22 * N23</f>
        <v/>
      </c>
      <c r="P23">
        <f>YearMap!E3</f>
        <v/>
      </c>
      <c r="Q23">
        <f>IF(Scenarios!N6="lease", YearMap!F3, YearMap!G3)</f>
        <v/>
      </c>
      <c r="R23" s="2">
        <f>IF(Scenarios!D6=1, Q23*H23, H23)</f>
        <v/>
      </c>
      <c r="S23" s="2">
        <f>IF(Scenarios!E6=1, Q23*I23, I23)</f>
        <v/>
      </c>
      <c r="T23" s="2">
        <f>IF(C23="FY2026", (Scenarios!D6+Scenarios!E6)*BaselineCalc!$B$21, 0)</f>
        <v/>
      </c>
      <c r="U23" s="2">
        <f>(R23+S23+G23*F23)*J23*(1-K23)</f>
        <v/>
      </c>
      <c r="V23" s="2">
        <f>O23*(G23+P23)</f>
        <v/>
      </c>
      <c r="W23" s="2">
        <f>U23+V23+T23</f>
        <v/>
      </c>
      <c r="X23" s="2">
        <f>IF(F23+O23&gt;0, W23/(F23+O23),"")</f>
        <v/>
      </c>
      <c r="Y23">
        <f>B23&amp;"|"&amp;C23</f>
        <v/>
      </c>
      <c r="Z23">
        <f>INDEX(YearMap!$I$2:$I$6, MATCH(C23, YearMap!$A$2:$A$6, 0))</f>
        <v/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>
        <f>Y24</f>
        <v/>
      </c>
      <c r="B24">
        <f>Scenarios!A6</f>
        <v/>
      </c>
      <c r="C24" t="inlineStr">
        <is>
          <t>FY2028</t>
        </is>
      </c>
      <c r="D24">
        <f>IF(Scenarios!D6=1,0, L24)</f>
        <v/>
      </c>
      <c r="E24">
        <f>IF(Scenarios!E6=1,0, M24)</f>
        <v/>
      </c>
      <c r="F24">
        <f>D24+E24</f>
        <v/>
      </c>
      <c r="G24" s="2">
        <f>YearMap!B4</f>
        <v/>
      </c>
      <c r="H24" s="2">
        <f>YearMap!C4</f>
        <v/>
      </c>
      <c r="I24" s="2">
        <f>YearMap!D4</f>
        <v/>
      </c>
      <c r="J24">
        <f>1-BaselineCalc!$B$5</f>
        <v/>
      </c>
      <c r="K24">
        <f>Scenarios!G6</f>
        <v/>
      </c>
      <c r="L24">
        <f>BaselineCalc!$B$7 + ROUND(Scenarios!K6*Scenarios!F6,0)</f>
        <v/>
      </c>
      <c r="M24">
        <f>BaselineCalc!$B$8 + Scenarios!K6 - ROUND(Scenarios!K6*Scenarios!F6,0)</f>
        <v/>
      </c>
      <c r="N24" s="7">
        <f>(L24-D24) + (M24-E24)</f>
        <v/>
      </c>
      <c r="O24" s="7">
        <f>BaselineCalc!$B$22 * N24</f>
        <v/>
      </c>
      <c r="P24">
        <f>YearMap!E4</f>
        <v/>
      </c>
      <c r="Q24">
        <f>IF(Scenarios!N6="lease", YearMap!F4, YearMap!G4)</f>
        <v/>
      </c>
      <c r="R24" s="2">
        <f>IF(Scenarios!D6=1, Q24*H24, H24)</f>
        <v/>
      </c>
      <c r="S24" s="2">
        <f>IF(Scenarios!E6=1, Q24*I24, I24)</f>
        <v/>
      </c>
      <c r="T24" s="2">
        <f>IF(C24="FY2026", (Scenarios!D6+Scenarios!E6)*BaselineCalc!$B$21, 0)</f>
        <v/>
      </c>
      <c r="U24" s="2">
        <f>(R24+S24+G24*F24)*J24*(1-K24)</f>
        <v/>
      </c>
      <c r="V24" s="2">
        <f>O24*(G24+P24)</f>
        <v/>
      </c>
      <c r="W24" s="2">
        <f>U24+V24+T24</f>
        <v/>
      </c>
      <c r="X24" s="2">
        <f>IF(F24+O24&gt;0, W24/(F24+O24),"")</f>
        <v/>
      </c>
      <c r="Y24">
        <f>B24&amp;"|"&amp;C24</f>
        <v/>
      </c>
      <c r="Z24">
        <f>INDEX(YearMap!$I$2:$I$6, MATCH(C24, YearMap!$A$2:$A$6, 0))</f>
        <v/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>
        <f>Y25</f>
        <v/>
      </c>
      <c r="B25">
        <f>Scenarios!A6</f>
        <v/>
      </c>
      <c r="C25" t="inlineStr">
        <is>
          <t>FY2029</t>
        </is>
      </c>
      <c r="D25">
        <f>IF(Scenarios!D6=1,0, L25)</f>
        <v/>
      </c>
      <c r="E25">
        <f>IF(Scenarios!E6=1,0, M25)</f>
        <v/>
      </c>
      <c r="F25">
        <f>D25+E25</f>
        <v/>
      </c>
      <c r="G25" s="2">
        <f>YearMap!B5</f>
        <v/>
      </c>
      <c r="H25" s="2">
        <f>YearMap!C5</f>
        <v/>
      </c>
      <c r="I25" s="2">
        <f>YearMap!D5</f>
        <v/>
      </c>
      <c r="J25">
        <f>1-BaselineCalc!$B$5</f>
        <v/>
      </c>
      <c r="K25">
        <f>Scenarios!G6</f>
        <v/>
      </c>
      <c r="L25">
        <f>BaselineCalc!$B$7 + ROUND(Scenarios!L6*Scenarios!F6,0)</f>
        <v/>
      </c>
      <c r="M25">
        <f>BaselineCalc!$B$8 + Scenarios!L6 - ROUND(Scenarios!L6*Scenarios!F6,0)</f>
        <v/>
      </c>
      <c r="N25" s="7">
        <f>(L25-D25) + (M25-E25)</f>
        <v/>
      </c>
      <c r="O25" s="7">
        <f>BaselineCalc!$B$22 * N25</f>
        <v/>
      </c>
      <c r="P25">
        <f>YearMap!E5</f>
        <v/>
      </c>
      <c r="Q25">
        <f>IF(Scenarios!N6="lease", YearMap!F5, YearMap!G5)</f>
        <v/>
      </c>
      <c r="R25" s="2">
        <f>IF(Scenarios!D6=1, Q25*H25, H25)</f>
        <v/>
      </c>
      <c r="S25" s="2">
        <f>IF(Scenarios!E6=1, Q25*I25, I25)</f>
        <v/>
      </c>
      <c r="T25" s="2">
        <f>IF(C25="FY2026", (Scenarios!D6+Scenarios!E6)*BaselineCalc!$B$21, 0)</f>
        <v/>
      </c>
      <c r="U25" s="2">
        <f>(R25+S25+G25*F25)*J25*(1-K25)</f>
        <v/>
      </c>
      <c r="V25" s="2">
        <f>O25*(G25+P25)</f>
        <v/>
      </c>
      <c r="W25" s="2">
        <f>U25+V25+T25</f>
        <v/>
      </c>
      <c r="X25" s="2">
        <f>IF(F25+O25&gt;0, W25/(F25+O25),"")</f>
        <v/>
      </c>
      <c r="Y25">
        <f>B25&amp;"|"&amp;C25</f>
        <v/>
      </c>
      <c r="Z25">
        <f>INDEX(YearMap!$I$2:$I$6, MATCH(C25, YearMap!$A$2:$A$6, 0))</f>
        <v/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>
        <f>Y26</f>
        <v/>
      </c>
      <c r="B26">
        <f>Scenarios!A6</f>
        <v/>
      </c>
      <c r="C26" t="inlineStr">
        <is>
          <t>FY2030</t>
        </is>
      </c>
      <c r="D26">
        <f>IF(Scenarios!D6=1,0, L26)</f>
        <v/>
      </c>
      <c r="E26">
        <f>IF(Scenarios!E6=1,0, M26)</f>
        <v/>
      </c>
      <c r="F26">
        <f>D26+E26</f>
        <v/>
      </c>
      <c r="G26" s="2">
        <f>YearMap!B6</f>
        <v/>
      </c>
      <c r="H26" s="2">
        <f>YearMap!C6</f>
        <v/>
      </c>
      <c r="I26" s="2">
        <f>YearMap!D6</f>
        <v/>
      </c>
      <c r="J26">
        <f>1-BaselineCalc!$B$5</f>
        <v/>
      </c>
      <c r="K26">
        <f>Scenarios!G6</f>
        <v/>
      </c>
      <c r="L26">
        <f>BaselineCalc!$B$7 + ROUND(Scenarios!M6*Scenarios!F6,0)</f>
        <v/>
      </c>
      <c r="M26">
        <f>BaselineCalc!$B$8 + Scenarios!M6 - ROUND(Scenarios!M6*Scenarios!F6,0)</f>
        <v/>
      </c>
      <c r="N26" s="7">
        <f>(L26-D26) + (M26-E26)</f>
        <v/>
      </c>
      <c r="O26" s="7">
        <f>BaselineCalc!$B$22 * N26</f>
        <v/>
      </c>
      <c r="P26">
        <f>YearMap!E6</f>
        <v/>
      </c>
      <c r="Q26">
        <f>IF(Scenarios!N6="lease", YearMap!F6, YearMap!G6)</f>
        <v/>
      </c>
      <c r="R26" s="2">
        <f>IF(Scenarios!D6=1, Q26*H26, H26)</f>
        <v/>
      </c>
      <c r="S26" s="2">
        <f>IF(Scenarios!E6=1, Q26*I26, I26)</f>
        <v/>
      </c>
      <c r="T26" s="2">
        <f>IF(C26="FY2026", (Scenarios!D6+Scenarios!E6)*BaselineCalc!$B$21, 0)</f>
        <v/>
      </c>
      <c r="U26" s="2">
        <f>(R26+S26+G26*F26)*J26*(1-K26)</f>
        <v/>
      </c>
      <c r="V26" s="2">
        <f>O26*(G26+P26)</f>
        <v/>
      </c>
      <c r="W26" s="2">
        <f>U26+V26+T26</f>
        <v/>
      </c>
      <c r="X26" s="2">
        <f>IF(F26+O26&gt;0, W26/(F26+O26),"")</f>
        <v/>
      </c>
      <c r="Y26">
        <f>B26&amp;"|"&amp;C26</f>
        <v/>
      </c>
      <c r="Z26">
        <f>INDEX(YearMap!$I$2:$I$6, MATCH(C26, YearMap!$A$2:$A$6, 0))</f>
        <v/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>
        <f>Y27</f>
        <v/>
      </c>
      <c r="B27">
        <f>Scenarios!A7</f>
        <v/>
      </c>
      <c r="C27" t="inlineStr">
        <is>
          <t>FY2026</t>
        </is>
      </c>
      <c r="D27">
        <f>IF(Scenarios!D7=1,0, L27)</f>
        <v/>
      </c>
      <c r="E27">
        <f>IF(Scenarios!E7=1,0, M27)</f>
        <v/>
      </c>
      <c r="F27">
        <f>D27+E27</f>
        <v/>
      </c>
      <c r="G27" s="2">
        <f>YearMap!B2</f>
        <v/>
      </c>
      <c r="H27" s="2">
        <f>YearMap!C2</f>
        <v/>
      </c>
      <c r="I27" s="2">
        <f>YearMap!D2</f>
        <v/>
      </c>
      <c r="J27">
        <f>1-BaselineCalc!$B$5</f>
        <v/>
      </c>
      <c r="K27">
        <f>Scenarios!G7</f>
        <v/>
      </c>
      <c r="L27">
        <f>BaselineCalc!$B$7 + ROUND(Scenarios!I7*Scenarios!F7,0)</f>
        <v/>
      </c>
      <c r="M27">
        <f>BaselineCalc!$B$8 + Scenarios!I7 - ROUND(Scenarios!I7*Scenarios!F7,0)</f>
        <v/>
      </c>
      <c r="N27" s="7">
        <f>(L27-D27) + (M27-E27)</f>
        <v/>
      </c>
      <c r="O27" s="7">
        <f>BaselineCalc!$B$22 * N27</f>
        <v/>
      </c>
      <c r="P27">
        <f>YearMap!E2</f>
        <v/>
      </c>
      <c r="Q27">
        <f>IF(Scenarios!N7="lease", YearMap!F2, YearMap!G2)</f>
        <v/>
      </c>
      <c r="R27" s="2">
        <f>IF(Scenarios!D7=1, Q27*H27, H27)</f>
        <v/>
      </c>
      <c r="S27" s="2">
        <f>IF(Scenarios!E7=1, Q27*I27, I27)</f>
        <v/>
      </c>
      <c r="T27" s="2">
        <f>IF(C27="FY2026", (Scenarios!D7+Scenarios!E7)*BaselineCalc!$B$21, 0)</f>
        <v/>
      </c>
      <c r="U27" s="2">
        <f>(R27+S27+G27*F27)*J27*(1-K27)</f>
        <v/>
      </c>
      <c r="V27" s="2">
        <f>O27*(G27+P27)</f>
        <v/>
      </c>
      <c r="W27" s="2">
        <f>U27+V27+T27</f>
        <v/>
      </c>
      <c r="X27" s="2">
        <f>IF(F27+O27&gt;0, W27/(F27+O27),"")</f>
        <v/>
      </c>
      <c r="Y27">
        <f>B27&amp;"|"&amp;C27</f>
        <v/>
      </c>
      <c r="Z27">
        <f>INDEX(YearMap!$I$2:$I$6, MATCH(C27, YearMap!$A$2:$A$6, 0))</f>
        <v/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>
        <f>Y28</f>
        <v/>
      </c>
      <c r="B28">
        <f>Scenarios!A7</f>
        <v/>
      </c>
      <c r="C28" t="inlineStr">
        <is>
          <t>FY2027</t>
        </is>
      </c>
      <c r="D28">
        <f>IF(Scenarios!D7=1,0, L28)</f>
        <v/>
      </c>
      <c r="E28">
        <f>IF(Scenarios!E7=1,0, M28)</f>
        <v/>
      </c>
      <c r="F28">
        <f>D28+E28</f>
        <v/>
      </c>
      <c r="G28" s="2">
        <f>YearMap!B3</f>
        <v/>
      </c>
      <c r="H28" s="2">
        <f>YearMap!C3</f>
        <v/>
      </c>
      <c r="I28" s="2">
        <f>YearMap!D3</f>
        <v/>
      </c>
      <c r="J28">
        <f>1-BaselineCalc!$B$5</f>
        <v/>
      </c>
      <c r="K28">
        <f>Scenarios!G7</f>
        <v/>
      </c>
      <c r="L28">
        <f>BaselineCalc!$B$7 + ROUND(Scenarios!J7*Scenarios!F7,0)</f>
        <v/>
      </c>
      <c r="M28">
        <f>BaselineCalc!$B$8 + Scenarios!J7 - ROUND(Scenarios!J7*Scenarios!F7,0)</f>
        <v/>
      </c>
      <c r="N28" s="7">
        <f>(L28-D28) + (M28-E28)</f>
        <v/>
      </c>
      <c r="O28" s="7">
        <f>BaselineCalc!$B$22 * N28</f>
        <v/>
      </c>
      <c r="P28">
        <f>YearMap!E3</f>
        <v/>
      </c>
      <c r="Q28">
        <f>IF(Scenarios!N7="lease", YearMap!F3, YearMap!G3)</f>
        <v/>
      </c>
      <c r="R28" s="2">
        <f>IF(Scenarios!D7=1, Q28*H28, H28)</f>
        <v/>
      </c>
      <c r="S28" s="2">
        <f>IF(Scenarios!E7=1, Q28*I28, I28)</f>
        <v/>
      </c>
      <c r="T28" s="2">
        <f>IF(C28="FY2026", (Scenarios!D7+Scenarios!E7)*BaselineCalc!$B$21, 0)</f>
        <v/>
      </c>
      <c r="U28" s="2">
        <f>(R28+S28+G28*F28)*J28*(1-K28)</f>
        <v/>
      </c>
      <c r="V28" s="2">
        <f>O28*(G28+P28)</f>
        <v/>
      </c>
      <c r="W28" s="2">
        <f>U28+V28+T28</f>
        <v/>
      </c>
      <c r="X28" s="2">
        <f>IF(F28+O28&gt;0, W28/(F28+O28),"")</f>
        <v/>
      </c>
      <c r="Y28">
        <f>B28&amp;"|"&amp;C28</f>
        <v/>
      </c>
      <c r="Z28">
        <f>INDEX(YearMap!$I$2:$I$6, MATCH(C28, YearMap!$A$2:$A$6, 0))</f>
        <v/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>
        <f>Y29</f>
        <v/>
      </c>
      <c r="B29">
        <f>Scenarios!A7</f>
        <v/>
      </c>
      <c r="C29" t="inlineStr">
        <is>
          <t>FY2028</t>
        </is>
      </c>
      <c r="D29">
        <f>IF(Scenarios!D7=1,0, L29)</f>
        <v/>
      </c>
      <c r="E29">
        <f>IF(Scenarios!E7=1,0, M29)</f>
        <v/>
      </c>
      <c r="F29">
        <f>D29+E29</f>
        <v/>
      </c>
      <c r="G29" s="2">
        <f>YearMap!B4</f>
        <v/>
      </c>
      <c r="H29" s="2">
        <f>YearMap!C4</f>
        <v/>
      </c>
      <c r="I29" s="2">
        <f>YearMap!D4</f>
        <v/>
      </c>
      <c r="J29">
        <f>1-BaselineCalc!$B$5</f>
        <v/>
      </c>
      <c r="K29">
        <f>Scenarios!G7</f>
        <v/>
      </c>
      <c r="L29">
        <f>BaselineCalc!$B$7 + ROUND(Scenarios!K7*Scenarios!F7,0)</f>
        <v/>
      </c>
      <c r="M29">
        <f>BaselineCalc!$B$8 + Scenarios!K7 - ROUND(Scenarios!K7*Scenarios!F7,0)</f>
        <v/>
      </c>
      <c r="N29" s="7">
        <f>(L29-D29) + (M29-E29)</f>
        <v/>
      </c>
      <c r="O29" s="7">
        <f>BaselineCalc!$B$22 * N29</f>
        <v/>
      </c>
      <c r="P29">
        <f>YearMap!E4</f>
        <v/>
      </c>
      <c r="Q29">
        <f>IF(Scenarios!N7="lease", YearMap!F4, YearMap!G4)</f>
        <v/>
      </c>
      <c r="R29" s="2">
        <f>IF(Scenarios!D7=1, Q29*H29, H29)</f>
        <v/>
      </c>
      <c r="S29" s="2">
        <f>IF(Scenarios!E7=1, Q29*I29, I29)</f>
        <v/>
      </c>
      <c r="T29" s="2">
        <f>IF(C29="FY2026", (Scenarios!D7+Scenarios!E7)*BaselineCalc!$B$21, 0)</f>
        <v/>
      </c>
      <c r="U29" s="2">
        <f>(R29+S29+G29*F29)*J29*(1-K29)</f>
        <v/>
      </c>
      <c r="V29" s="2">
        <f>O29*(G29+P29)</f>
        <v/>
      </c>
      <c r="W29" s="2">
        <f>U29+V29+T29</f>
        <v/>
      </c>
      <c r="X29" s="2">
        <f>IF(F29+O29&gt;0, W29/(F29+O29),"")</f>
        <v/>
      </c>
      <c r="Y29">
        <f>B29&amp;"|"&amp;C29</f>
        <v/>
      </c>
      <c r="Z29">
        <f>INDEX(YearMap!$I$2:$I$6, MATCH(C29, YearMap!$A$2:$A$6, 0))</f>
        <v/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>
        <f>Y30</f>
        <v/>
      </c>
      <c r="B30">
        <f>Scenarios!A7</f>
        <v/>
      </c>
      <c r="C30" t="inlineStr">
        <is>
          <t>FY2029</t>
        </is>
      </c>
      <c r="D30">
        <f>IF(Scenarios!D7=1,0, L30)</f>
        <v/>
      </c>
      <c r="E30">
        <f>IF(Scenarios!E7=1,0, M30)</f>
        <v/>
      </c>
      <c r="F30">
        <f>D30+E30</f>
        <v/>
      </c>
      <c r="G30" s="2">
        <f>YearMap!B5</f>
        <v/>
      </c>
      <c r="H30" s="2">
        <f>YearMap!C5</f>
        <v/>
      </c>
      <c r="I30" s="2">
        <f>YearMap!D5</f>
        <v/>
      </c>
      <c r="J30">
        <f>1-BaselineCalc!$B$5</f>
        <v/>
      </c>
      <c r="K30">
        <f>Scenarios!G7</f>
        <v/>
      </c>
      <c r="L30">
        <f>BaselineCalc!$B$7 + ROUND(Scenarios!L7*Scenarios!F7,0)</f>
        <v/>
      </c>
      <c r="M30">
        <f>BaselineCalc!$B$8 + Scenarios!L7 - ROUND(Scenarios!L7*Scenarios!F7,0)</f>
        <v/>
      </c>
      <c r="N30" s="7">
        <f>(L30-D30) + (M30-E30)</f>
        <v/>
      </c>
      <c r="O30" s="7">
        <f>BaselineCalc!$B$22 * N30</f>
        <v/>
      </c>
      <c r="P30">
        <f>YearMap!E5</f>
        <v/>
      </c>
      <c r="Q30">
        <f>IF(Scenarios!N7="lease", YearMap!F5, YearMap!G5)</f>
        <v/>
      </c>
      <c r="R30" s="2">
        <f>IF(Scenarios!D7=1, Q30*H30, H30)</f>
        <v/>
      </c>
      <c r="S30" s="2">
        <f>IF(Scenarios!E7=1, Q30*I30, I30)</f>
        <v/>
      </c>
      <c r="T30" s="2">
        <f>IF(C30="FY2026", (Scenarios!D7+Scenarios!E7)*BaselineCalc!$B$21, 0)</f>
        <v/>
      </c>
      <c r="U30" s="2">
        <f>(R30+S30+G30*F30)*J30*(1-K30)</f>
        <v/>
      </c>
      <c r="V30" s="2">
        <f>O30*(G30+P30)</f>
        <v/>
      </c>
      <c r="W30" s="2">
        <f>U30+V30+T30</f>
        <v/>
      </c>
      <c r="X30" s="2">
        <f>IF(F30+O30&gt;0, W30/(F30+O30),"")</f>
        <v/>
      </c>
      <c r="Y30">
        <f>B30&amp;"|"&amp;C30</f>
        <v/>
      </c>
      <c r="Z30">
        <f>INDEX(YearMap!$I$2:$I$6, MATCH(C30, YearMap!$A$2:$A$6, 0))</f>
        <v/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>
        <f>Y31</f>
        <v/>
      </c>
      <c r="B31">
        <f>Scenarios!A7</f>
        <v/>
      </c>
      <c r="C31" t="inlineStr">
        <is>
          <t>FY2030</t>
        </is>
      </c>
      <c r="D31">
        <f>IF(Scenarios!D7=1,0, L31)</f>
        <v/>
      </c>
      <c r="E31">
        <f>IF(Scenarios!E7=1,0, M31)</f>
        <v/>
      </c>
      <c r="F31">
        <f>D31+E31</f>
        <v/>
      </c>
      <c r="G31" s="2">
        <f>YearMap!B6</f>
        <v/>
      </c>
      <c r="H31" s="2">
        <f>YearMap!C6</f>
        <v/>
      </c>
      <c r="I31" s="2">
        <f>YearMap!D6</f>
        <v/>
      </c>
      <c r="J31">
        <f>1-BaselineCalc!$B$5</f>
        <v/>
      </c>
      <c r="K31">
        <f>Scenarios!G7</f>
        <v/>
      </c>
      <c r="L31">
        <f>BaselineCalc!$B$7 + ROUND(Scenarios!M7*Scenarios!F7,0)</f>
        <v/>
      </c>
      <c r="M31">
        <f>BaselineCalc!$B$8 + Scenarios!M7 - ROUND(Scenarios!M7*Scenarios!F7,0)</f>
        <v/>
      </c>
      <c r="N31" s="7">
        <f>(L31-D31) + (M31-E31)</f>
        <v/>
      </c>
      <c r="O31" s="7">
        <f>BaselineCalc!$B$22 * N31</f>
        <v/>
      </c>
      <c r="P31">
        <f>YearMap!E6</f>
        <v/>
      </c>
      <c r="Q31">
        <f>IF(Scenarios!N7="lease", YearMap!F6, YearMap!G6)</f>
        <v/>
      </c>
      <c r="R31" s="2">
        <f>IF(Scenarios!D7=1, Q31*H31, H31)</f>
        <v/>
      </c>
      <c r="S31" s="2">
        <f>IF(Scenarios!E7=1, Q31*I31, I31)</f>
        <v/>
      </c>
      <c r="T31" s="2">
        <f>IF(C31="FY2026", (Scenarios!D7+Scenarios!E7)*BaselineCalc!$B$21, 0)</f>
        <v/>
      </c>
      <c r="U31" s="2">
        <f>(R31+S31+G31*F31)*J31*(1-K31)</f>
        <v/>
      </c>
      <c r="V31" s="2">
        <f>O31*(G31+P31)</f>
        <v/>
      </c>
      <c r="W31" s="2">
        <f>U31+V31+T31</f>
        <v/>
      </c>
      <c r="X31" s="2">
        <f>IF(F31+O31&gt;0, W31/(F31+O31),"")</f>
        <v/>
      </c>
      <c r="Y31">
        <f>B31&amp;"|"&amp;C31</f>
        <v/>
      </c>
      <c r="Z31">
        <f>INDEX(YearMap!$I$2:$I$6, MATCH(C31, YearMap!$A$2:$A$6, 0))</f>
        <v/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>
        <f>Y32</f>
        <v/>
      </c>
      <c r="B32">
        <f>Scenarios!A8</f>
        <v/>
      </c>
      <c r="C32" t="inlineStr">
        <is>
          <t>FY2026</t>
        </is>
      </c>
      <c r="D32">
        <f>IF(Scenarios!D8=1,0, L32)</f>
        <v/>
      </c>
      <c r="E32">
        <f>IF(Scenarios!E8=1,0, M32)</f>
        <v/>
      </c>
      <c r="F32">
        <f>D32+E32</f>
        <v/>
      </c>
      <c r="G32" s="2">
        <f>YearMap!B2</f>
        <v/>
      </c>
      <c r="H32" s="2">
        <f>YearMap!C2</f>
        <v/>
      </c>
      <c r="I32" s="2">
        <f>YearMap!D2</f>
        <v/>
      </c>
      <c r="J32">
        <f>1-BaselineCalc!$B$5</f>
        <v/>
      </c>
      <c r="K32">
        <f>Scenarios!G8</f>
        <v/>
      </c>
      <c r="L32">
        <f>BaselineCalc!$B$7 + ROUND(Scenarios!I8*Scenarios!F8,0)</f>
        <v/>
      </c>
      <c r="M32">
        <f>BaselineCalc!$B$8 + Scenarios!I8 - ROUND(Scenarios!I8*Scenarios!F8,0)</f>
        <v/>
      </c>
      <c r="N32" s="7">
        <f>(L32-D32) + (M32-E32)</f>
        <v/>
      </c>
      <c r="O32" s="7">
        <f>BaselineCalc!$B$22 * N32</f>
        <v/>
      </c>
      <c r="P32">
        <f>YearMap!E2</f>
        <v/>
      </c>
      <c r="Q32">
        <f>IF(Scenarios!N8="lease", YearMap!F2, YearMap!G2)</f>
        <v/>
      </c>
      <c r="R32" s="2">
        <f>IF(Scenarios!D8=1, Q32*H32, H32)</f>
        <v/>
      </c>
      <c r="S32" s="2">
        <f>IF(Scenarios!E8=1, Q32*I32, I32)</f>
        <v/>
      </c>
      <c r="T32" s="2">
        <f>IF(C32="FY2026", (Scenarios!D8+Scenarios!E8)*BaselineCalc!$B$21, 0)</f>
        <v/>
      </c>
      <c r="U32" s="2">
        <f>(R32+S32+G32*F32)*J32*(1-K32)</f>
        <v/>
      </c>
      <c r="V32" s="2">
        <f>O32*(G32+P32)</f>
        <v/>
      </c>
      <c r="W32" s="2">
        <f>U32+V32+T32</f>
        <v/>
      </c>
      <c r="X32" s="2">
        <f>IF(F32+O32&gt;0, W32/(F32+O32),"")</f>
        <v/>
      </c>
      <c r="Y32">
        <f>B32&amp;"|"&amp;C32</f>
        <v/>
      </c>
      <c r="Z32">
        <f>INDEX(YearMap!$I$2:$I$6, MATCH(C32, YearMap!$A$2:$A$6, 0))</f>
        <v/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>
        <f>Y33</f>
        <v/>
      </c>
      <c r="B33">
        <f>Scenarios!A8</f>
        <v/>
      </c>
      <c r="C33" t="inlineStr">
        <is>
          <t>FY2027</t>
        </is>
      </c>
      <c r="D33">
        <f>IF(Scenarios!D8=1,0, L33)</f>
        <v/>
      </c>
      <c r="E33">
        <f>IF(Scenarios!E8=1,0, M33)</f>
        <v/>
      </c>
      <c r="F33">
        <f>D33+E33</f>
        <v/>
      </c>
      <c r="G33" s="2">
        <f>YearMap!B3</f>
        <v/>
      </c>
      <c r="H33" s="2">
        <f>YearMap!C3</f>
        <v/>
      </c>
      <c r="I33" s="2">
        <f>YearMap!D3</f>
        <v/>
      </c>
      <c r="J33">
        <f>1-BaselineCalc!$B$5</f>
        <v/>
      </c>
      <c r="K33">
        <f>Scenarios!G8</f>
        <v/>
      </c>
      <c r="L33">
        <f>BaselineCalc!$B$7 + ROUND(Scenarios!J8*Scenarios!F8,0)</f>
        <v/>
      </c>
      <c r="M33">
        <f>BaselineCalc!$B$8 + Scenarios!J8 - ROUND(Scenarios!J8*Scenarios!F8,0)</f>
        <v/>
      </c>
      <c r="N33" s="7">
        <f>(L33-D33) + (M33-E33)</f>
        <v/>
      </c>
      <c r="O33" s="7">
        <f>BaselineCalc!$B$22 * N33</f>
        <v/>
      </c>
      <c r="P33">
        <f>YearMap!E3</f>
        <v/>
      </c>
      <c r="Q33">
        <f>IF(Scenarios!N8="lease", YearMap!F3, YearMap!G3)</f>
        <v/>
      </c>
      <c r="R33" s="2">
        <f>IF(Scenarios!D8=1, Q33*H33, H33)</f>
        <v/>
      </c>
      <c r="S33" s="2">
        <f>IF(Scenarios!E8=1, Q33*I33, I33)</f>
        <v/>
      </c>
      <c r="T33" s="2">
        <f>IF(C33="FY2026", (Scenarios!D8+Scenarios!E8)*BaselineCalc!$B$21, 0)</f>
        <v/>
      </c>
      <c r="U33" s="2">
        <f>(R33+S33+G33*F33)*J33*(1-K33)</f>
        <v/>
      </c>
      <c r="V33" s="2">
        <f>O33*(G33+P33)</f>
        <v/>
      </c>
      <c r="W33" s="2">
        <f>U33+V33+T33</f>
        <v/>
      </c>
      <c r="X33" s="2">
        <f>IF(F33+O33&gt;0, W33/(F33+O33),"")</f>
        <v/>
      </c>
      <c r="Y33">
        <f>B33&amp;"|"&amp;C33</f>
        <v/>
      </c>
      <c r="Z33">
        <f>INDEX(YearMap!$I$2:$I$6, MATCH(C33, YearMap!$A$2:$A$6, 0))</f>
        <v/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>
        <f>Y34</f>
        <v/>
      </c>
      <c r="B34">
        <f>Scenarios!A8</f>
        <v/>
      </c>
      <c r="C34" t="inlineStr">
        <is>
          <t>FY2028</t>
        </is>
      </c>
      <c r="D34">
        <f>IF(Scenarios!D8=1,0, L34)</f>
        <v/>
      </c>
      <c r="E34">
        <f>IF(Scenarios!E8=1,0, M34)</f>
        <v/>
      </c>
      <c r="F34">
        <f>D34+E34</f>
        <v/>
      </c>
      <c r="G34" s="2">
        <f>YearMap!B4</f>
        <v/>
      </c>
      <c r="H34" s="2">
        <f>YearMap!C4</f>
        <v/>
      </c>
      <c r="I34" s="2">
        <f>YearMap!D4</f>
        <v/>
      </c>
      <c r="J34">
        <f>1-BaselineCalc!$B$5</f>
        <v/>
      </c>
      <c r="K34">
        <f>Scenarios!G8</f>
        <v/>
      </c>
      <c r="L34">
        <f>BaselineCalc!$B$7 + ROUND(Scenarios!K8*Scenarios!F8,0)</f>
        <v/>
      </c>
      <c r="M34">
        <f>BaselineCalc!$B$8 + Scenarios!K8 - ROUND(Scenarios!K8*Scenarios!F8,0)</f>
        <v/>
      </c>
      <c r="N34" s="7">
        <f>(L34-D34) + (M34-E34)</f>
        <v/>
      </c>
      <c r="O34" s="7">
        <f>BaselineCalc!$B$22 * N34</f>
        <v/>
      </c>
      <c r="P34">
        <f>YearMap!E4</f>
        <v/>
      </c>
      <c r="Q34">
        <f>IF(Scenarios!N8="lease", YearMap!F4, YearMap!G4)</f>
        <v/>
      </c>
      <c r="R34" s="2">
        <f>IF(Scenarios!D8=1, Q34*H34, H34)</f>
        <v/>
      </c>
      <c r="S34" s="2">
        <f>IF(Scenarios!E8=1, Q34*I34, I34)</f>
        <v/>
      </c>
      <c r="T34" s="2">
        <f>IF(C34="FY2026", (Scenarios!D8+Scenarios!E8)*BaselineCalc!$B$21, 0)</f>
        <v/>
      </c>
      <c r="U34" s="2">
        <f>(R34+S34+G34*F34)*J34*(1-K34)</f>
        <v/>
      </c>
      <c r="V34" s="2">
        <f>O34*(G34+P34)</f>
        <v/>
      </c>
      <c r="W34" s="2">
        <f>U34+V34+T34</f>
        <v/>
      </c>
      <c r="X34" s="2">
        <f>IF(F34+O34&gt;0, W34/(F34+O34),"")</f>
        <v/>
      </c>
      <c r="Y34">
        <f>B34&amp;"|"&amp;C34</f>
        <v/>
      </c>
      <c r="Z34">
        <f>INDEX(YearMap!$I$2:$I$6, MATCH(C34, YearMap!$A$2:$A$6, 0))</f>
        <v/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>
        <f>Y35</f>
        <v/>
      </c>
      <c r="B35">
        <f>Scenarios!A8</f>
        <v/>
      </c>
      <c r="C35" t="inlineStr">
        <is>
          <t>FY2029</t>
        </is>
      </c>
      <c r="D35">
        <f>IF(Scenarios!D8=1,0, L35)</f>
        <v/>
      </c>
      <c r="E35">
        <f>IF(Scenarios!E8=1,0, M35)</f>
        <v/>
      </c>
      <c r="F35">
        <f>D35+E35</f>
        <v/>
      </c>
      <c r="G35" s="2">
        <f>YearMap!B5</f>
        <v/>
      </c>
      <c r="H35" s="2">
        <f>YearMap!C5</f>
        <v/>
      </c>
      <c r="I35" s="2">
        <f>YearMap!D5</f>
        <v/>
      </c>
      <c r="J35">
        <f>1-BaselineCalc!$B$5</f>
        <v/>
      </c>
      <c r="K35">
        <f>Scenarios!G8</f>
        <v/>
      </c>
      <c r="L35">
        <f>BaselineCalc!$B$7 + ROUND(Scenarios!L8*Scenarios!F8,0)</f>
        <v/>
      </c>
      <c r="M35">
        <f>BaselineCalc!$B$8 + Scenarios!L8 - ROUND(Scenarios!L8*Scenarios!F8,0)</f>
        <v/>
      </c>
      <c r="N35" s="7">
        <f>(L35-D35) + (M35-E35)</f>
        <v/>
      </c>
      <c r="O35" s="7">
        <f>BaselineCalc!$B$22 * N35</f>
        <v/>
      </c>
      <c r="P35">
        <f>YearMap!E5</f>
        <v/>
      </c>
      <c r="Q35">
        <f>IF(Scenarios!N8="lease", YearMap!F5, YearMap!G5)</f>
        <v/>
      </c>
      <c r="R35" s="2">
        <f>IF(Scenarios!D8=1, Q35*H35, H35)</f>
        <v/>
      </c>
      <c r="S35" s="2">
        <f>IF(Scenarios!E8=1, Q35*I35, I35)</f>
        <v/>
      </c>
      <c r="T35" s="2">
        <f>IF(C35="FY2026", (Scenarios!D8+Scenarios!E8)*BaselineCalc!$B$21, 0)</f>
        <v/>
      </c>
      <c r="U35" s="2">
        <f>(R35+S35+G35*F35)*J35*(1-K35)</f>
        <v/>
      </c>
      <c r="V35" s="2">
        <f>O35*(G35+P35)</f>
        <v/>
      </c>
      <c r="W35" s="2">
        <f>U35+V35+T35</f>
        <v/>
      </c>
      <c r="X35" s="2">
        <f>IF(F35+O35&gt;0, W35/(F35+O35),"")</f>
        <v/>
      </c>
      <c r="Y35">
        <f>B35&amp;"|"&amp;C35</f>
        <v/>
      </c>
      <c r="Z35">
        <f>INDEX(YearMap!$I$2:$I$6, MATCH(C35, YearMap!$A$2:$A$6, 0))</f>
        <v/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>
        <f>Y36</f>
        <v/>
      </c>
      <c r="B36">
        <f>Scenarios!A8</f>
        <v/>
      </c>
      <c r="C36" t="inlineStr">
        <is>
          <t>FY2030</t>
        </is>
      </c>
      <c r="D36">
        <f>IF(Scenarios!D8=1,0, L36)</f>
        <v/>
      </c>
      <c r="E36">
        <f>IF(Scenarios!E8=1,0, M36)</f>
        <v/>
      </c>
      <c r="F36">
        <f>D36+E36</f>
        <v/>
      </c>
      <c r="G36" s="2">
        <f>YearMap!B6</f>
        <v/>
      </c>
      <c r="H36" s="2">
        <f>YearMap!C6</f>
        <v/>
      </c>
      <c r="I36" s="2">
        <f>YearMap!D6</f>
        <v/>
      </c>
      <c r="J36">
        <f>1-BaselineCalc!$B$5</f>
        <v/>
      </c>
      <c r="K36">
        <f>Scenarios!G8</f>
        <v/>
      </c>
      <c r="L36">
        <f>BaselineCalc!$B$7 + ROUND(Scenarios!M8*Scenarios!F8,0)</f>
        <v/>
      </c>
      <c r="M36">
        <f>BaselineCalc!$B$8 + Scenarios!M8 - ROUND(Scenarios!M8*Scenarios!F8,0)</f>
        <v/>
      </c>
      <c r="N36" s="7">
        <f>(L36-D36) + (M36-E36)</f>
        <v/>
      </c>
      <c r="O36" s="7">
        <f>BaselineCalc!$B$22 * N36</f>
        <v/>
      </c>
      <c r="P36">
        <f>YearMap!E6</f>
        <v/>
      </c>
      <c r="Q36">
        <f>IF(Scenarios!N8="lease", YearMap!F6, YearMap!G6)</f>
        <v/>
      </c>
      <c r="R36" s="2">
        <f>IF(Scenarios!D8=1, Q36*H36, H36)</f>
        <v/>
      </c>
      <c r="S36" s="2">
        <f>IF(Scenarios!E8=1, Q36*I36, I36)</f>
        <v/>
      </c>
      <c r="T36" s="2">
        <f>IF(C36="FY2026", (Scenarios!D8+Scenarios!E8)*BaselineCalc!$B$21, 0)</f>
        <v/>
      </c>
      <c r="U36" s="2">
        <f>(R36+S36+G36*F36)*J36*(1-K36)</f>
        <v/>
      </c>
      <c r="V36" s="2">
        <f>O36*(G36+P36)</f>
        <v/>
      </c>
      <c r="W36" s="2">
        <f>U36+V36+T36</f>
        <v/>
      </c>
      <c r="X36" s="2">
        <f>IF(F36+O36&gt;0, W36/(F36+O36),"")</f>
        <v/>
      </c>
      <c r="Y36">
        <f>B36&amp;"|"&amp;C36</f>
        <v/>
      </c>
      <c r="Z36">
        <f>INDEX(YearMap!$I$2:$I$6, MATCH(C36, YearMap!$A$2:$A$6, 0))</f>
        <v/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>
        <f>Y37</f>
        <v/>
      </c>
      <c r="B37">
        <f>Scenarios!A9</f>
        <v/>
      </c>
      <c r="C37" t="inlineStr">
        <is>
          <t>FY2026</t>
        </is>
      </c>
      <c r="D37">
        <f>IF(Scenarios!D9=1,0, L37)</f>
        <v/>
      </c>
      <c r="E37">
        <f>IF(Scenarios!E9=1,0, M37)</f>
        <v/>
      </c>
      <c r="F37">
        <f>D37+E37</f>
        <v/>
      </c>
      <c r="G37" s="2">
        <f>YearMap!B2</f>
        <v/>
      </c>
      <c r="H37" s="2">
        <f>YearMap!C2</f>
        <v/>
      </c>
      <c r="I37" s="2">
        <f>YearMap!D2</f>
        <v/>
      </c>
      <c r="J37">
        <f>1-BaselineCalc!$B$5</f>
        <v/>
      </c>
      <c r="K37">
        <f>Scenarios!G9</f>
        <v/>
      </c>
      <c r="L37">
        <f>BaselineCalc!$B$7 + ROUND(Scenarios!I9*Scenarios!F9,0)</f>
        <v/>
      </c>
      <c r="M37">
        <f>BaselineCalc!$B$8 + Scenarios!I9 - ROUND(Scenarios!I9*Scenarios!F9,0)</f>
        <v/>
      </c>
      <c r="N37" s="7">
        <f>(L37-D37) + (M37-E37)</f>
        <v/>
      </c>
      <c r="O37" s="7">
        <f>BaselineCalc!$B$22 * N37</f>
        <v/>
      </c>
      <c r="P37">
        <f>YearMap!E2</f>
        <v/>
      </c>
      <c r="Q37">
        <f>IF(Scenarios!N9="lease", YearMap!F2, YearMap!G2)</f>
        <v/>
      </c>
      <c r="R37" s="2">
        <f>IF(Scenarios!D9=1, Q37*H37, H37)</f>
        <v/>
      </c>
      <c r="S37" s="2">
        <f>IF(Scenarios!E9=1, Q37*I37, I37)</f>
        <v/>
      </c>
      <c r="T37" s="2">
        <f>IF(C37="FY2026", (Scenarios!D9+Scenarios!E9)*BaselineCalc!$B$21, 0)</f>
        <v/>
      </c>
      <c r="U37" s="2">
        <f>(R37+S37+G37*F37)*J37*(1-K37)</f>
        <v/>
      </c>
      <c r="V37" s="2">
        <f>O37*(G37+P37)</f>
        <v/>
      </c>
      <c r="W37" s="2">
        <f>U37+V37+T37</f>
        <v/>
      </c>
      <c r="X37" s="2">
        <f>IF(F37+O37&gt;0, W37/(F37+O37),"")</f>
        <v/>
      </c>
      <c r="Y37">
        <f>B37&amp;"|"&amp;C37</f>
        <v/>
      </c>
      <c r="Z37">
        <f>INDEX(YearMap!$I$2:$I$6, MATCH(C37, YearMap!$A$2:$A$6, 0))</f>
        <v/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>
        <f>Y38</f>
        <v/>
      </c>
      <c r="B38">
        <f>Scenarios!A9</f>
        <v/>
      </c>
      <c r="C38" t="inlineStr">
        <is>
          <t>FY2027</t>
        </is>
      </c>
      <c r="D38">
        <f>IF(Scenarios!D9=1,0, L38)</f>
        <v/>
      </c>
      <c r="E38">
        <f>IF(Scenarios!E9=1,0, M38)</f>
        <v/>
      </c>
      <c r="F38">
        <f>D38+E38</f>
        <v/>
      </c>
      <c r="G38" s="2">
        <f>YearMap!B3</f>
        <v/>
      </c>
      <c r="H38" s="2">
        <f>YearMap!C3</f>
        <v/>
      </c>
      <c r="I38" s="2">
        <f>YearMap!D3</f>
        <v/>
      </c>
      <c r="J38">
        <f>1-BaselineCalc!$B$5</f>
        <v/>
      </c>
      <c r="K38">
        <f>Scenarios!G9</f>
        <v/>
      </c>
      <c r="L38">
        <f>BaselineCalc!$B$7 + ROUND(Scenarios!J9*Scenarios!F9,0)</f>
        <v/>
      </c>
      <c r="M38">
        <f>BaselineCalc!$B$8 + Scenarios!J9 - ROUND(Scenarios!J9*Scenarios!F9,0)</f>
        <v/>
      </c>
      <c r="N38" s="7">
        <f>(L38-D38) + (M38-E38)</f>
        <v/>
      </c>
      <c r="O38" s="7">
        <f>BaselineCalc!$B$22 * N38</f>
        <v/>
      </c>
      <c r="P38">
        <f>YearMap!E3</f>
        <v/>
      </c>
      <c r="Q38">
        <f>IF(Scenarios!N9="lease", YearMap!F3, YearMap!G3)</f>
        <v/>
      </c>
      <c r="R38" s="2">
        <f>IF(Scenarios!D9=1, Q38*H38, H38)</f>
        <v/>
      </c>
      <c r="S38" s="2">
        <f>IF(Scenarios!E9=1, Q38*I38, I38)</f>
        <v/>
      </c>
      <c r="T38" s="2">
        <f>IF(C38="FY2026", (Scenarios!D9+Scenarios!E9)*BaselineCalc!$B$21, 0)</f>
        <v/>
      </c>
      <c r="U38" s="2">
        <f>(R38+S38+G38*F38)*J38*(1-K38)</f>
        <v/>
      </c>
      <c r="V38" s="2">
        <f>O38*(G38+P38)</f>
        <v/>
      </c>
      <c r="W38" s="2">
        <f>U38+V38+T38</f>
        <v/>
      </c>
      <c r="X38" s="2">
        <f>IF(F38+O38&gt;0, W38/(F38+O38),"")</f>
        <v/>
      </c>
      <c r="Y38">
        <f>B38&amp;"|"&amp;C38</f>
        <v/>
      </c>
      <c r="Z38">
        <f>INDEX(YearMap!$I$2:$I$6, MATCH(C38, YearMap!$A$2:$A$6, 0))</f>
        <v/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>
        <f>Y39</f>
        <v/>
      </c>
      <c r="B39">
        <f>Scenarios!A9</f>
        <v/>
      </c>
      <c r="C39" t="inlineStr">
        <is>
          <t>FY2028</t>
        </is>
      </c>
      <c r="D39">
        <f>IF(Scenarios!D9=1,0, L39)</f>
        <v/>
      </c>
      <c r="E39">
        <f>IF(Scenarios!E9=1,0, M39)</f>
        <v/>
      </c>
      <c r="F39">
        <f>D39+E39</f>
        <v/>
      </c>
      <c r="G39" s="2">
        <f>YearMap!B4</f>
        <v/>
      </c>
      <c r="H39" s="2">
        <f>YearMap!C4</f>
        <v/>
      </c>
      <c r="I39" s="2">
        <f>YearMap!D4</f>
        <v/>
      </c>
      <c r="J39">
        <f>1-BaselineCalc!$B$5</f>
        <v/>
      </c>
      <c r="K39">
        <f>Scenarios!G9</f>
        <v/>
      </c>
      <c r="L39">
        <f>BaselineCalc!$B$7 + ROUND(Scenarios!K9*Scenarios!F9,0)</f>
        <v/>
      </c>
      <c r="M39">
        <f>BaselineCalc!$B$8 + Scenarios!K9 - ROUND(Scenarios!K9*Scenarios!F9,0)</f>
        <v/>
      </c>
      <c r="N39" s="7">
        <f>(L39-D39) + (M39-E39)</f>
        <v/>
      </c>
      <c r="O39" s="7">
        <f>BaselineCalc!$B$22 * N39</f>
        <v/>
      </c>
      <c r="P39">
        <f>YearMap!E4</f>
        <v/>
      </c>
      <c r="Q39">
        <f>IF(Scenarios!N9="lease", YearMap!F4, YearMap!G4)</f>
        <v/>
      </c>
      <c r="R39" s="2">
        <f>IF(Scenarios!D9=1, Q39*H39, H39)</f>
        <v/>
      </c>
      <c r="S39" s="2">
        <f>IF(Scenarios!E9=1, Q39*I39, I39)</f>
        <v/>
      </c>
      <c r="T39" s="2">
        <f>IF(C39="FY2026", (Scenarios!D9+Scenarios!E9)*BaselineCalc!$B$21, 0)</f>
        <v/>
      </c>
      <c r="U39" s="2">
        <f>(R39+S39+G39*F39)*J39*(1-K39)</f>
        <v/>
      </c>
      <c r="V39" s="2">
        <f>O39*(G39+P39)</f>
        <v/>
      </c>
      <c r="W39" s="2">
        <f>U39+V39+T39</f>
        <v/>
      </c>
      <c r="X39" s="2">
        <f>IF(F39+O39&gt;0, W39/(F39+O39),"")</f>
        <v/>
      </c>
      <c r="Y39">
        <f>B39&amp;"|"&amp;C39</f>
        <v/>
      </c>
      <c r="Z39">
        <f>INDEX(YearMap!$I$2:$I$6, MATCH(C39, YearMap!$A$2:$A$6, 0))</f>
        <v/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>
        <f>Y40</f>
        <v/>
      </c>
      <c r="B40">
        <f>Scenarios!A9</f>
        <v/>
      </c>
      <c r="C40" t="inlineStr">
        <is>
          <t>FY2029</t>
        </is>
      </c>
      <c r="D40">
        <f>IF(Scenarios!D9=1,0, L40)</f>
        <v/>
      </c>
      <c r="E40">
        <f>IF(Scenarios!E9=1,0, M40)</f>
        <v/>
      </c>
      <c r="F40">
        <f>D40+E40</f>
        <v/>
      </c>
      <c r="G40" s="2">
        <f>YearMap!B5</f>
        <v/>
      </c>
      <c r="H40" s="2">
        <f>YearMap!C5</f>
        <v/>
      </c>
      <c r="I40" s="2">
        <f>YearMap!D5</f>
        <v/>
      </c>
      <c r="J40">
        <f>1-BaselineCalc!$B$5</f>
        <v/>
      </c>
      <c r="K40">
        <f>Scenarios!G9</f>
        <v/>
      </c>
      <c r="L40">
        <f>BaselineCalc!$B$7 + ROUND(Scenarios!L9*Scenarios!F9,0)</f>
        <v/>
      </c>
      <c r="M40">
        <f>BaselineCalc!$B$8 + Scenarios!L9 - ROUND(Scenarios!L9*Scenarios!F9,0)</f>
        <v/>
      </c>
      <c r="N40" s="7">
        <f>(L40-D40) + (M40-E40)</f>
        <v/>
      </c>
      <c r="O40" s="7">
        <f>BaselineCalc!$B$22 * N40</f>
        <v/>
      </c>
      <c r="P40">
        <f>YearMap!E5</f>
        <v/>
      </c>
      <c r="Q40">
        <f>IF(Scenarios!N9="lease", YearMap!F5, YearMap!G5)</f>
        <v/>
      </c>
      <c r="R40" s="2">
        <f>IF(Scenarios!D9=1, Q40*H40, H40)</f>
        <v/>
      </c>
      <c r="S40" s="2">
        <f>IF(Scenarios!E9=1, Q40*I40, I40)</f>
        <v/>
      </c>
      <c r="T40" s="2">
        <f>IF(C40="FY2026", (Scenarios!D9+Scenarios!E9)*BaselineCalc!$B$21, 0)</f>
        <v/>
      </c>
      <c r="U40" s="2">
        <f>(R40+S40+G40*F40)*J40*(1-K40)</f>
        <v/>
      </c>
      <c r="V40" s="2">
        <f>O40*(G40+P40)</f>
        <v/>
      </c>
      <c r="W40" s="2">
        <f>U40+V40+T40</f>
        <v/>
      </c>
      <c r="X40" s="2">
        <f>IF(F40+O40&gt;0, W40/(F40+O40),"")</f>
        <v/>
      </c>
      <c r="Y40">
        <f>B40&amp;"|"&amp;C40</f>
        <v/>
      </c>
      <c r="Z40">
        <f>INDEX(YearMap!$I$2:$I$6, MATCH(C40, YearMap!$A$2:$A$6, 0))</f>
        <v/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>
        <f>Y41</f>
        <v/>
      </c>
      <c r="B41">
        <f>Scenarios!A9</f>
        <v/>
      </c>
      <c r="C41" t="inlineStr">
        <is>
          <t>FY2030</t>
        </is>
      </c>
      <c r="D41">
        <f>IF(Scenarios!D9=1,0, L41)</f>
        <v/>
      </c>
      <c r="E41">
        <f>IF(Scenarios!E9=1,0, M41)</f>
        <v/>
      </c>
      <c r="F41">
        <f>D41+E41</f>
        <v/>
      </c>
      <c r="G41" s="2">
        <f>YearMap!B6</f>
        <v/>
      </c>
      <c r="H41" s="2">
        <f>YearMap!C6</f>
        <v/>
      </c>
      <c r="I41" s="2">
        <f>YearMap!D6</f>
        <v/>
      </c>
      <c r="J41">
        <f>1-BaselineCalc!$B$5</f>
        <v/>
      </c>
      <c r="K41">
        <f>Scenarios!G9</f>
        <v/>
      </c>
      <c r="L41">
        <f>BaselineCalc!$B$7 + ROUND(Scenarios!M9*Scenarios!F9,0)</f>
        <v/>
      </c>
      <c r="M41">
        <f>BaselineCalc!$B$8 + Scenarios!M9 - ROUND(Scenarios!M9*Scenarios!F9,0)</f>
        <v/>
      </c>
      <c r="N41" s="7">
        <f>(L41-D41) + (M41-E41)</f>
        <v/>
      </c>
      <c r="O41" s="7">
        <f>BaselineCalc!$B$22 * N41</f>
        <v/>
      </c>
      <c r="P41">
        <f>YearMap!E6</f>
        <v/>
      </c>
      <c r="Q41">
        <f>IF(Scenarios!N9="lease", YearMap!F6, YearMap!G6)</f>
        <v/>
      </c>
      <c r="R41" s="2">
        <f>IF(Scenarios!D9=1, Q41*H41, H41)</f>
        <v/>
      </c>
      <c r="S41" s="2">
        <f>IF(Scenarios!E9=1, Q41*I41, I41)</f>
        <v/>
      </c>
      <c r="T41" s="2">
        <f>IF(C41="FY2026", (Scenarios!D9+Scenarios!E9)*BaselineCalc!$B$21, 0)</f>
        <v/>
      </c>
      <c r="U41" s="2">
        <f>(R41+S41+G41*F41)*J41*(1-K41)</f>
        <v/>
      </c>
      <c r="V41" s="2">
        <f>O41*(G41+P41)</f>
        <v/>
      </c>
      <c r="W41" s="2">
        <f>U41+V41+T41</f>
        <v/>
      </c>
      <c r="X41" s="2">
        <f>IF(F41+O41&gt;0, W41/(F41+O41),"")</f>
        <v/>
      </c>
      <c r="Y41">
        <f>B41&amp;"|"&amp;C41</f>
        <v/>
      </c>
      <c r="Z41">
        <f>INDEX(YearMap!$I$2:$I$6, MATCH(C41, YearMap!$A$2:$A$6, 0))</f>
        <v/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>
        <f>Y42</f>
        <v/>
      </c>
      <c r="B42">
        <f>Scenarios!A10</f>
        <v/>
      </c>
      <c r="C42" t="inlineStr">
        <is>
          <t>FY2026</t>
        </is>
      </c>
      <c r="D42">
        <f>IF(Scenarios!D10=1,0, L42)</f>
        <v/>
      </c>
      <c r="E42">
        <f>IF(Scenarios!E10=1,0, M42)</f>
        <v/>
      </c>
      <c r="F42">
        <f>D42+E42</f>
        <v/>
      </c>
      <c r="G42" s="2">
        <f>YearMap!B2</f>
        <v/>
      </c>
      <c r="H42" s="2">
        <f>YearMap!C2</f>
        <v/>
      </c>
      <c r="I42" s="2">
        <f>YearMap!D2</f>
        <v/>
      </c>
      <c r="J42">
        <f>1-BaselineCalc!$B$5</f>
        <v/>
      </c>
      <c r="K42">
        <f>Scenarios!G10</f>
        <v/>
      </c>
      <c r="L42">
        <f>BaselineCalc!$B$7 + ROUND(Scenarios!I10*Scenarios!F10,0)</f>
        <v/>
      </c>
      <c r="M42">
        <f>BaselineCalc!$B$8 + Scenarios!I10 - ROUND(Scenarios!I10*Scenarios!F10,0)</f>
        <v/>
      </c>
      <c r="N42" s="7">
        <f>(L42-D42) + (M42-E42)</f>
        <v/>
      </c>
      <c r="O42" s="7">
        <f>BaselineCalc!$B$22 * N42</f>
        <v/>
      </c>
      <c r="P42">
        <f>YearMap!E2</f>
        <v/>
      </c>
      <c r="Q42">
        <f>IF(Scenarios!N10="lease", YearMap!F2, YearMap!G2)</f>
        <v/>
      </c>
      <c r="R42" s="2">
        <f>IF(Scenarios!D10=1, Q42*H42, H42)</f>
        <v/>
      </c>
      <c r="S42" s="2">
        <f>IF(Scenarios!E10=1, Q42*I42, I42)</f>
        <v/>
      </c>
      <c r="T42" s="2">
        <f>IF(C42="FY2026", (Scenarios!D10+Scenarios!E10)*BaselineCalc!$B$21, 0)</f>
        <v/>
      </c>
      <c r="U42" s="2">
        <f>(R42+S42+G42*F42)*J42*(1-K42)</f>
        <v/>
      </c>
      <c r="V42" s="2">
        <f>O42*(G42+P42)</f>
        <v/>
      </c>
      <c r="W42" s="2">
        <f>U42+V42+T42</f>
        <v/>
      </c>
      <c r="X42" s="2">
        <f>IF(F42+O42&gt;0, W42/(F42+O42),"")</f>
        <v/>
      </c>
      <c r="Y42">
        <f>B42&amp;"|"&amp;C42</f>
        <v/>
      </c>
      <c r="Z42">
        <f>INDEX(YearMap!$I$2:$I$6, MATCH(C42, YearMap!$A$2:$A$6, 0))</f>
        <v/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>
        <f>Y43</f>
        <v/>
      </c>
      <c r="B43">
        <f>Scenarios!A10</f>
        <v/>
      </c>
      <c r="C43" t="inlineStr">
        <is>
          <t>FY2027</t>
        </is>
      </c>
      <c r="D43">
        <f>IF(Scenarios!D10=1,0, L43)</f>
        <v/>
      </c>
      <c r="E43">
        <f>IF(Scenarios!E10=1,0, M43)</f>
        <v/>
      </c>
      <c r="F43">
        <f>D43+E43</f>
        <v/>
      </c>
      <c r="G43" s="2">
        <f>YearMap!B3</f>
        <v/>
      </c>
      <c r="H43" s="2">
        <f>YearMap!C3</f>
        <v/>
      </c>
      <c r="I43" s="2">
        <f>YearMap!D3</f>
        <v/>
      </c>
      <c r="J43">
        <f>1-BaselineCalc!$B$5</f>
        <v/>
      </c>
      <c r="K43">
        <f>Scenarios!G10</f>
        <v/>
      </c>
      <c r="L43">
        <f>BaselineCalc!$B$7 + ROUND(Scenarios!J10*Scenarios!F10,0)</f>
        <v/>
      </c>
      <c r="M43">
        <f>BaselineCalc!$B$8 + Scenarios!J10 - ROUND(Scenarios!J10*Scenarios!F10,0)</f>
        <v/>
      </c>
      <c r="N43" s="7">
        <f>(L43-D43) + (M43-E43)</f>
        <v/>
      </c>
      <c r="O43" s="7">
        <f>BaselineCalc!$B$22 * N43</f>
        <v/>
      </c>
      <c r="P43">
        <f>YearMap!E3</f>
        <v/>
      </c>
      <c r="Q43">
        <f>IF(Scenarios!N10="lease", YearMap!F3, YearMap!G3)</f>
        <v/>
      </c>
      <c r="R43" s="2">
        <f>IF(Scenarios!D10=1, Q43*H43, H43)</f>
        <v/>
      </c>
      <c r="S43" s="2">
        <f>IF(Scenarios!E10=1, Q43*I43, I43)</f>
        <v/>
      </c>
      <c r="T43" s="2">
        <f>IF(C43="FY2026", (Scenarios!D10+Scenarios!E10)*BaselineCalc!$B$21, 0)</f>
        <v/>
      </c>
      <c r="U43" s="2">
        <f>(R43+S43+G43*F43)*J43*(1-K43)</f>
        <v/>
      </c>
      <c r="V43" s="2">
        <f>O43*(G43+P43)</f>
        <v/>
      </c>
      <c r="W43" s="2">
        <f>U43+V43+T43</f>
        <v/>
      </c>
      <c r="X43" s="2">
        <f>IF(F43+O43&gt;0, W43/(F43+O43),"")</f>
        <v/>
      </c>
      <c r="Y43">
        <f>B43&amp;"|"&amp;C43</f>
        <v/>
      </c>
      <c r="Z43">
        <f>INDEX(YearMap!$I$2:$I$6, MATCH(C43, YearMap!$A$2:$A$6, 0))</f>
        <v/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>
        <f>Y44</f>
        <v/>
      </c>
      <c r="B44">
        <f>Scenarios!A10</f>
        <v/>
      </c>
      <c r="C44" t="inlineStr">
        <is>
          <t>FY2028</t>
        </is>
      </c>
      <c r="D44">
        <f>IF(Scenarios!D10=1,0, L44)</f>
        <v/>
      </c>
      <c r="E44">
        <f>IF(Scenarios!E10=1,0, M44)</f>
        <v/>
      </c>
      <c r="F44">
        <f>D44+E44</f>
        <v/>
      </c>
      <c r="G44" s="2">
        <f>YearMap!B4</f>
        <v/>
      </c>
      <c r="H44" s="2">
        <f>YearMap!C4</f>
        <v/>
      </c>
      <c r="I44" s="2">
        <f>YearMap!D4</f>
        <v/>
      </c>
      <c r="J44">
        <f>1-BaselineCalc!$B$5</f>
        <v/>
      </c>
      <c r="K44">
        <f>Scenarios!G10</f>
        <v/>
      </c>
      <c r="L44">
        <f>BaselineCalc!$B$7 + ROUND(Scenarios!K10*Scenarios!F10,0)</f>
        <v/>
      </c>
      <c r="M44">
        <f>BaselineCalc!$B$8 + Scenarios!K10 - ROUND(Scenarios!K10*Scenarios!F10,0)</f>
        <v/>
      </c>
      <c r="N44" s="7">
        <f>(L44-D44) + (M44-E44)</f>
        <v/>
      </c>
      <c r="O44" s="7">
        <f>BaselineCalc!$B$22 * N44</f>
        <v/>
      </c>
      <c r="P44">
        <f>YearMap!E4</f>
        <v/>
      </c>
      <c r="Q44">
        <f>IF(Scenarios!N10="lease", YearMap!F4, YearMap!G4)</f>
        <v/>
      </c>
      <c r="R44" s="2">
        <f>IF(Scenarios!D10=1, Q44*H44, H44)</f>
        <v/>
      </c>
      <c r="S44" s="2">
        <f>IF(Scenarios!E10=1, Q44*I44, I44)</f>
        <v/>
      </c>
      <c r="T44" s="2">
        <f>IF(C44="FY2026", (Scenarios!D10+Scenarios!E10)*BaselineCalc!$B$21, 0)</f>
        <v/>
      </c>
      <c r="U44" s="2">
        <f>(R44+S44+G44*F44)*J44*(1-K44)</f>
        <v/>
      </c>
      <c r="V44" s="2">
        <f>O44*(G44+P44)</f>
        <v/>
      </c>
      <c r="W44" s="2">
        <f>U44+V44+T44</f>
        <v/>
      </c>
      <c r="X44" s="2">
        <f>IF(F44+O44&gt;0, W44/(F44+O44),"")</f>
        <v/>
      </c>
      <c r="Y44">
        <f>B44&amp;"|"&amp;C44</f>
        <v/>
      </c>
      <c r="Z44">
        <f>INDEX(YearMap!$I$2:$I$6, MATCH(C44, YearMap!$A$2:$A$6, 0))</f>
        <v/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>
        <f>Y45</f>
        <v/>
      </c>
      <c r="B45">
        <f>Scenarios!A10</f>
        <v/>
      </c>
      <c r="C45" t="inlineStr">
        <is>
          <t>FY2029</t>
        </is>
      </c>
      <c r="D45">
        <f>IF(Scenarios!D10=1,0, L45)</f>
        <v/>
      </c>
      <c r="E45">
        <f>IF(Scenarios!E10=1,0, M45)</f>
        <v/>
      </c>
      <c r="F45">
        <f>D45+E45</f>
        <v/>
      </c>
      <c r="G45" s="2">
        <f>YearMap!B5</f>
        <v/>
      </c>
      <c r="H45" s="2">
        <f>YearMap!C5</f>
        <v/>
      </c>
      <c r="I45" s="2">
        <f>YearMap!D5</f>
        <v/>
      </c>
      <c r="J45">
        <f>1-BaselineCalc!$B$5</f>
        <v/>
      </c>
      <c r="K45">
        <f>Scenarios!G10</f>
        <v/>
      </c>
      <c r="L45">
        <f>BaselineCalc!$B$7 + ROUND(Scenarios!L10*Scenarios!F10,0)</f>
        <v/>
      </c>
      <c r="M45">
        <f>BaselineCalc!$B$8 + Scenarios!L10 - ROUND(Scenarios!L10*Scenarios!F10,0)</f>
        <v/>
      </c>
      <c r="N45" s="7">
        <f>(L45-D45) + (M45-E45)</f>
        <v/>
      </c>
      <c r="O45" s="7">
        <f>BaselineCalc!$B$22 * N45</f>
        <v/>
      </c>
      <c r="P45">
        <f>YearMap!E5</f>
        <v/>
      </c>
      <c r="Q45">
        <f>IF(Scenarios!N10="lease", YearMap!F5, YearMap!G5)</f>
        <v/>
      </c>
      <c r="R45" s="2">
        <f>IF(Scenarios!D10=1, Q45*H45, H45)</f>
        <v/>
      </c>
      <c r="S45" s="2">
        <f>IF(Scenarios!E10=1, Q45*I45, I45)</f>
        <v/>
      </c>
      <c r="T45" s="2">
        <f>IF(C45="FY2026", (Scenarios!D10+Scenarios!E10)*BaselineCalc!$B$21, 0)</f>
        <v/>
      </c>
      <c r="U45" s="2">
        <f>(R45+S45+G45*F45)*J45*(1-K45)</f>
        <v/>
      </c>
      <c r="V45" s="2">
        <f>O45*(G45+P45)</f>
        <v/>
      </c>
      <c r="W45" s="2">
        <f>U45+V45+T45</f>
        <v/>
      </c>
      <c r="X45" s="2">
        <f>IF(F45+O45&gt;0, W45/(F45+O45),"")</f>
        <v/>
      </c>
      <c r="Y45">
        <f>B45&amp;"|"&amp;C45</f>
        <v/>
      </c>
      <c r="Z45">
        <f>INDEX(YearMap!$I$2:$I$6, MATCH(C45, YearMap!$A$2:$A$6, 0))</f>
        <v/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>
        <f>Y46</f>
        <v/>
      </c>
      <c r="B46">
        <f>Scenarios!A10</f>
        <v/>
      </c>
      <c r="C46" t="inlineStr">
        <is>
          <t>FY2030</t>
        </is>
      </c>
      <c r="D46">
        <f>IF(Scenarios!D10=1,0, L46)</f>
        <v/>
      </c>
      <c r="E46">
        <f>IF(Scenarios!E10=1,0, M46)</f>
        <v/>
      </c>
      <c r="F46">
        <f>D46+E46</f>
        <v/>
      </c>
      <c r="G46" s="2">
        <f>YearMap!B6</f>
        <v/>
      </c>
      <c r="H46" s="2">
        <f>YearMap!C6</f>
        <v/>
      </c>
      <c r="I46" s="2">
        <f>YearMap!D6</f>
        <v/>
      </c>
      <c r="J46">
        <f>1-BaselineCalc!$B$5</f>
        <v/>
      </c>
      <c r="K46">
        <f>Scenarios!G10</f>
        <v/>
      </c>
      <c r="L46">
        <f>BaselineCalc!$B$7 + ROUND(Scenarios!M10*Scenarios!F10,0)</f>
        <v/>
      </c>
      <c r="M46">
        <f>BaselineCalc!$B$8 + Scenarios!M10 - ROUND(Scenarios!M10*Scenarios!F10,0)</f>
        <v/>
      </c>
      <c r="N46" s="7">
        <f>(L46-D46) + (M46-E46)</f>
        <v/>
      </c>
      <c r="O46" s="7">
        <f>BaselineCalc!$B$22 * N46</f>
        <v/>
      </c>
      <c r="P46">
        <f>YearMap!E6</f>
        <v/>
      </c>
      <c r="Q46">
        <f>IF(Scenarios!N10="lease", YearMap!F6, YearMap!G6)</f>
        <v/>
      </c>
      <c r="R46" s="2">
        <f>IF(Scenarios!D10=1, Q46*H46, H46)</f>
        <v/>
      </c>
      <c r="S46" s="2">
        <f>IF(Scenarios!E10=1, Q46*I46, I46)</f>
        <v/>
      </c>
      <c r="T46" s="2">
        <f>IF(C46="FY2026", (Scenarios!D10+Scenarios!E10)*BaselineCalc!$B$21, 0)</f>
        <v/>
      </c>
      <c r="U46" s="2">
        <f>(R46+S46+G46*F46)*J46*(1-K46)</f>
        <v/>
      </c>
      <c r="V46" s="2">
        <f>O46*(G46+P46)</f>
        <v/>
      </c>
      <c r="W46" s="2">
        <f>U46+V46+T46</f>
        <v/>
      </c>
      <c r="X46" s="2">
        <f>IF(F46+O46&gt;0, W46/(F46+O46),"")</f>
        <v/>
      </c>
      <c r="Y46">
        <f>B46&amp;"|"&amp;C46</f>
        <v/>
      </c>
      <c r="Z46">
        <f>INDEX(YearMap!$I$2:$I$6, MATCH(C46, YearMap!$A$2:$A$6, 0))</f>
        <v/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>
        <f>Y47</f>
        <v/>
      </c>
      <c r="B47">
        <f>Scenarios!A11</f>
        <v/>
      </c>
      <c r="C47" t="inlineStr">
        <is>
          <t>FY2026</t>
        </is>
      </c>
      <c r="D47">
        <f>IF(Scenarios!D11=1,0, L47)</f>
        <v/>
      </c>
      <c r="E47">
        <f>IF(Scenarios!E11=1,0, M47)</f>
        <v/>
      </c>
      <c r="F47">
        <f>D47+E47</f>
        <v/>
      </c>
      <c r="G47" s="2">
        <f>YearMap!B2</f>
        <v/>
      </c>
      <c r="H47" s="2">
        <f>YearMap!C2</f>
        <v/>
      </c>
      <c r="I47" s="2">
        <f>YearMap!D2</f>
        <v/>
      </c>
      <c r="J47">
        <f>1-BaselineCalc!$B$5</f>
        <v/>
      </c>
      <c r="K47">
        <f>Scenarios!G11</f>
        <v/>
      </c>
      <c r="L47">
        <f>BaselineCalc!$B$7 + ROUND(Scenarios!I11*Scenarios!F11,0)</f>
        <v/>
      </c>
      <c r="M47">
        <f>BaselineCalc!$B$8 + Scenarios!I11 - ROUND(Scenarios!I11*Scenarios!F11,0)</f>
        <v/>
      </c>
      <c r="N47" s="7">
        <f>(L47-D47) + (M47-E47)</f>
        <v/>
      </c>
      <c r="O47" s="7">
        <f>BaselineCalc!$B$22 * N47</f>
        <v/>
      </c>
      <c r="P47">
        <f>YearMap!E2</f>
        <v/>
      </c>
      <c r="Q47">
        <f>IF(Scenarios!N11="lease", YearMap!F2, YearMap!G2)</f>
        <v/>
      </c>
      <c r="R47" s="2">
        <f>IF(Scenarios!D11=1, Q47*H47, H47)</f>
        <v/>
      </c>
      <c r="S47" s="2">
        <f>IF(Scenarios!E11=1, Q47*I47, I47)</f>
        <v/>
      </c>
      <c r="T47" s="2">
        <f>IF(C47="FY2026", (Scenarios!D11+Scenarios!E11)*BaselineCalc!$B$21, 0)</f>
        <v/>
      </c>
      <c r="U47" s="2">
        <f>(R47+S47+G47*F47)*J47*(1-K47)</f>
        <v/>
      </c>
      <c r="V47" s="2">
        <f>O47*(G47+P47)</f>
        <v/>
      </c>
      <c r="W47" s="2">
        <f>U47+V47+T47</f>
        <v/>
      </c>
      <c r="X47" s="2">
        <f>IF(F47+O47&gt;0, W47/(F47+O47),"")</f>
        <v/>
      </c>
      <c r="Y47">
        <f>B47&amp;"|"&amp;C47</f>
        <v/>
      </c>
      <c r="Z47">
        <f>INDEX(YearMap!$I$2:$I$6, MATCH(C47, YearMap!$A$2:$A$6, 0))</f>
        <v/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>
        <f>Y48</f>
        <v/>
      </c>
      <c r="B48">
        <f>Scenarios!A11</f>
        <v/>
      </c>
      <c r="C48" t="inlineStr">
        <is>
          <t>FY2027</t>
        </is>
      </c>
      <c r="D48">
        <f>IF(Scenarios!D11=1,0, L48)</f>
        <v/>
      </c>
      <c r="E48">
        <f>IF(Scenarios!E11=1,0, M48)</f>
        <v/>
      </c>
      <c r="F48">
        <f>D48+E48</f>
        <v/>
      </c>
      <c r="G48" s="2">
        <f>YearMap!B3</f>
        <v/>
      </c>
      <c r="H48" s="2">
        <f>YearMap!C3</f>
        <v/>
      </c>
      <c r="I48" s="2">
        <f>YearMap!D3</f>
        <v/>
      </c>
      <c r="J48">
        <f>1-BaselineCalc!$B$5</f>
        <v/>
      </c>
      <c r="K48">
        <f>Scenarios!G11</f>
        <v/>
      </c>
      <c r="L48">
        <f>BaselineCalc!$B$7 + ROUND(Scenarios!J11*Scenarios!F11,0)</f>
        <v/>
      </c>
      <c r="M48">
        <f>BaselineCalc!$B$8 + Scenarios!J11 - ROUND(Scenarios!J11*Scenarios!F11,0)</f>
        <v/>
      </c>
      <c r="N48" s="7">
        <f>(L48-D48) + (M48-E48)</f>
        <v/>
      </c>
      <c r="O48" s="7">
        <f>BaselineCalc!$B$22 * N48</f>
        <v/>
      </c>
      <c r="P48">
        <f>YearMap!E3</f>
        <v/>
      </c>
      <c r="Q48">
        <f>IF(Scenarios!N11="lease", YearMap!F3, YearMap!G3)</f>
        <v/>
      </c>
      <c r="R48" s="2">
        <f>IF(Scenarios!D11=1, Q48*H48, H48)</f>
        <v/>
      </c>
      <c r="S48" s="2">
        <f>IF(Scenarios!E11=1, Q48*I48, I48)</f>
        <v/>
      </c>
      <c r="T48" s="2">
        <f>IF(C48="FY2026", (Scenarios!D11+Scenarios!E11)*BaselineCalc!$B$21, 0)</f>
        <v/>
      </c>
      <c r="U48" s="2">
        <f>(R48+S48+G48*F48)*J48*(1-K48)</f>
        <v/>
      </c>
      <c r="V48" s="2">
        <f>O48*(G48+P48)</f>
        <v/>
      </c>
      <c r="W48" s="2">
        <f>U48+V48+T48</f>
        <v/>
      </c>
      <c r="X48" s="2">
        <f>IF(F48+O48&gt;0, W48/(F48+O48),"")</f>
        <v/>
      </c>
      <c r="Y48">
        <f>B48&amp;"|"&amp;C48</f>
        <v/>
      </c>
      <c r="Z48">
        <f>INDEX(YearMap!$I$2:$I$6, MATCH(C48, YearMap!$A$2:$A$6, 0))</f>
        <v/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>
        <f>Y49</f>
        <v/>
      </c>
      <c r="B49">
        <f>Scenarios!A11</f>
        <v/>
      </c>
      <c r="C49" t="inlineStr">
        <is>
          <t>FY2028</t>
        </is>
      </c>
      <c r="D49">
        <f>IF(Scenarios!D11=1,0, L49)</f>
        <v/>
      </c>
      <c r="E49">
        <f>IF(Scenarios!E11=1,0, M49)</f>
        <v/>
      </c>
      <c r="F49">
        <f>D49+E49</f>
        <v/>
      </c>
      <c r="G49" s="2">
        <f>YearMap!B4</f>
        <v/>
      </c>
      <c r="H49" s="2">
        <f>YearMap!C4</f>
        <v/>
      </c>
      <c r="I49" s="2">
        <f>YearMap!D4</f>
        <v/>
      </c>
      <c r="J49">
        <f>1-BaselineCalc!$B$5</f>
        <v/>
      </c>
      <c r="K49">
        <f>Scenarios!G11</f>
        <v/>
      </c>
      <c r="L49">
        <f>BaselineCalc!$B$7 + ROUND(Scenarios!K11*Scenarios!F11,0)</f>
        <v/>
      </c>
      <c r="M49">
        <f>BaselineCalc!$B$8 + Scenarios!K11 - ROUND(Scenarios!K11*Scenarios!F11,0)</f>
        <v/>
      </c>
      <c r="N49" s="7">
        <f>(L49-D49) + (M49-E49)</f>
        <v/>
      </c>
      <c r="O49" s="7">
        <f>BaselineCalc!$B$22 * N49</f>
        <v/>
      </c>
      <c r="P49">
        <f>YearMap!E4</f>
        <v/>
      </c>
      <c r="Q49">
        <f>IF(Scenarios!N11="lease", YearMap!F4, YearMap!G4)</f>
        <v/>
      </c>
      <c r="R49" s="2">
        <f>IF(Scenarios!D11=1, Q49*H49, H49)</f>
        <v/>
      </c>
      <c r="S49" s="2">
        <f>IF(Scenarios!E11=1, Q49*I49, I49)</f>
        <v/>
      </c>
      <c r="T49" s="2">
        <f>IF(C49="FY2026", (Scenarios!D11+Scenarios!E11)*BaselineCalc!$B$21, 0)</f>
        <v/>
      </c>
      <c r="U49" s="2">
        <f>(R49+S49+G49*F49)*J49*(1-K49)</f>
        <v/>
      </c>
      <c r="V49" s="2">
        <f>O49*(G49+P49)</f>
        <v/>
      </c>
      <c r="W49" s="2">
        <f>U49+V49+T49</f>
        <v/>
      </c>
      <c r="X49" s="2">
        <f>IF(F49+O49&gt;0, W49/(F49+O49),"")</f>
        <v/>
      </c>
      <c r="Y49">
        <f>B49&amp;"|"&amp;C49</f>
        <v/>
      </c>
      <c r="Z49">
        <f>INDEX(YearMap!$I$2:$I$6, MATCH(C49, YearMap!$A$2:$A$6, 0))</f>
        <v/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>
        <f>Y50</f>
        <v/>
      </c>
      <c r="B50">
        <f>Scenarios!A11</f>
        <v/>
      </c>
      <c r="C50" t="inlineStr">
        <is>
          <t>FY2029</t>
        </is>
      </c>
      <c r="D50">
        <f>IF(Scenarios!D11=1,0, L50)</f>
        <v/>
      </c>
      <c r="E50">
        <f>IF(Scenarios!E11=1,0, M50)</f>
        <v/>
      </c>
      <c r="F50">
        <f>D50+E50</f>
        <v/>
      </c>
      <c r="G50" s="2">
        <f>YearMap!B5</f>
        <v/>
      </c>
      <c r="H50" s="2">
        <f>YearMap!C5</f>
        <v/>
      </c>
      <c r="I50" s="2">
        <f>YearMap!D5</f>
        <v/>
      </c>
      <c r="J50">
        <f>1-BaselineCalc!$B$5</f>
        <v/>
      </c>
      <c r="K50">
        <f>Scenarios!G11</f>
        <v/>
      </c>
      <c r="L50">
        <f>BaselineCalc!$B$7 + ROUND(Scenarios!L11*Scenarios!F11,0)</f>
        <v/>
      </c>
      <c r="M50">
        <f>BaselineCalc!$B$8 + Scenarios!L11 - ROUND(Scenarios!L11*Scenarios!F11,0)</f>
        <v/>
      </c>
      <c r="N50" s="7">
        <f>(L50-D50) + (M50-E50)</f>
        <v/>
      </c>
      <c r="O50" s="7">
        <f>BaselineCalc!$B$22 * N50</f>
        <v/>
      </c>
      <c r="P50">
        <f>YearMap!E5</f>
        <v/>
      </c>
      <c r="Q50">
        <f>IF(Scenarios!N11="lease", YearMap!F5, YearMap!G5)</f>
        <v/>
      </c>
      <c r="R50" s="2">
        <f>IF(Scenarios!D11=1, Q50*H50, H50)</f>
        <v/>
      </c>
      <c r="S50" s="2">
        <f>IF(Scenarios!E11=1, Q50*I50, I50)</f>
        <v/>
      </c>
      <c r="T50" s="2">
        <f>IF(C50="FY2026", (Scenarios!D11+Scenarios!E11)*BaselineCalc!$B$21, 0)</f>
        <v/>
      </c>
      <c r="U50" s="2">
        <f>(R50+S50+G50*F50)*J50*(1-K50)</f>
        <v/>
      </c>
      <c r="V50" s="2">
        <f>O50*(G50+P50)</f>
        <v/>
      </c>
      <c r="W50" s="2">
        <f>U50+V50+T50</f>
        <v/>
      </c>
      <c r="X50" s="2">
        <f>IF(F50+O50&gt;0, W50/(F50+O50),"")</f>
        <v/>
      </c>
      <c r="Y50">
        <f>B50&amp;"|"&amp;C50</f>
        <v/>
      </c>
      <c r="Z50">
        <f>INDEX(YearMap!$I$2:$I$6, MATCH(C50, YearMap!$A$2:$A$6, 0))</f>
        <v/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>
        <f>Y51</f>
        <v/>
      </c>
      <c r="B51">
        <f>Scenarios!A11</f>
        <v/>
      </c>
      <c r="C51" t="inlineStr">
        <is>
          <t>FY2030</t>
        </is>
      </c>
      <c r="D51">
        <f>IF(Scenarios!D11=1,0, L51)</f>
        <v/>
      </c>
      <c r="E51">
        <f>IF(Scenarios!E11=1,0, M51)</f>
        <v/>
      </c>
      <c r="F51">
        <f>D51+E51</f>
        <v/>
      </c>
      <c r="G51" s="2">
        <f>YearMap!B6</f>
        <v/>
      </c>
      <c r="H51" s="2">
        <f>YearMap!C6</f>
        <v/>
      </c>
      <c r="I51" s="2">
        <f>YearMap!D6</f>
        <v/>
      </c>
      <c r="J51">
        <f>1-BaselineCalc!$B$5</f>
        <v/>
      </c>
      <c r="K51">
        <f>Scenarios!G11</f>
        <v/>
      </c>
      <c r="L51">
        <f>BaselineCalc!$B$7 + ROUND(Scenarios!M11*Scenarios!F11,0)</f>
        <v/>
      </c>
      <c r="M51">
        <f>BaselineCalc!$B$8 + Scenarios!M11 - ROUND(Scenarios!M11*Scenarios!F11,0)</f>
        <v/>
      </c>
      <c r="N51" s="7">
        <f>(L51-D51) + (M51-E51)</f>
        <v/>
      </c>
      <c r="O51" s="7">
        <f>BaselineCalc!$B$22 * N51</f>
        <v/>
      </c>
      <c r="P51">
        <f>YearMap!E6</f>
        <v/>
      </c>
      <c r="Q51">
        <f>IF(Scenarios!N11="lease", YearMap!F6, YearMap!G6)</f>
        <v/>
      </c>
      <c r="R51" s="2">
        <f>IF(Scenarios!D11=1, Q51*H51, H51)</f>
        <v/>
      </c>
      <c r="S51" s="2">
        <f>IF(Scenarios!E11=1, Q51*I51, I51)</f>
        <v/>
      </c>
      <c r="T51" s="2">
        <f>IF(C51="FY2026", (Scenarios!D11+Scenarios!E11)*BaselineCalc!$B$21, 0)</f>
        <v/>
      </c>
      <c r="U51" s="2">
        <f>(R51+S51+G51*F51)*J51*(1-K51)</f>
        <v/>
      </c>
      <c r="V51" s="2">
        <f>O51*(G51+P51)</f>
        <v/>
      </c>
      <c r="W51" s="2">
        <f>U51+V51+T51</f>
        <v/>
      </c>
      <c r="X51" s="2">
        <f>IF(F51+O51&gt;0, W51/(F51+O51),"")</f>
        <v/>
      </c>
      <c r="Y51">
        <f>B51&amp;"|"&amp;C51</f>
        <v/>
      </c>
      <c r="Z51">
        <f>INDEX(YearMap!$I$2:$I$6, MATCH(C51, YearMap!$A$2:$A$6, 0))</f>
        <v/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>
        <f>Y52</f>
        <v/>
      </c>
      <c r="B52">
        <f>Scenarios!A12</f>
        <v/>
      </c>
      <c r="C52" t="inlineStr">
        <is>
          <t>FY2026</t>
        </is>
      </c>
      <c r="D52">
        <f>IF(Scenarios!D12=1,0, L52)</f>
        <v/>
      </c>
      <c r="E52">
        <f>IF(Scenarios!E12=1,0, M52)</f>
        <v/>
      </c>
      <c r="F52">
        <f>D52+E52</f>
        <v/>
      </c>
      <c r="G52" s="2">
        <f>YearMap!B2</f>
        <v/>
      </c>
      <c r="H52" s="2">
        <f>YearMap!C2</f>
        <v/>
      </c>
      <c r="I52" s="2">
        <f>YearMap!D2</f>
        <v/>
      </c>
      <c r="J52">
        <f>1-BaselineCalc!$B$5</f>
        <v/>
      </c>
      <c r="K52">
        <f>Scenarios!G12</f>
        <v/>
      </c>
      <c r="L52">
        <f>BaselineCalc!$B$7 + ROUND(Scenarios!I12*Scenarios!F12,0)</f>
        <v/>
      </c>
      <c r="M52">
        <f>BaselineCalc!$B$8 + Scenarios!I12 - ROUND(Scenarios!I12*Scenarios!F12,0)</f>
        <v/>
      </c>
      <c r="N52" s="7">
        <f>(L52-D52) + (M52-E52)</f>
        <v/>
      </c>
      <c r="O52" s="7">
        <f>BaselineCalc!$B$22 * N52</f>
        <v/>
      </c>
      <c r="P52">
        <f>YearMap!E2</f>
        <v/>
      </c>
      <c r="Q52">
        <f>IF(Scenarios!N12="lease", YearMap!F2, YearMap!G2)</f>
        <v/>
      </c>
      <c r="R52" s="2">
        <f>IF(Scenarios!D12=1, Q52*H52, H52)</f>
        <v/>
      </c>
      <c r="S52" s="2">
        <f>IF(Scenarios!E12=1, Q52*I52, I52)</f>
        <v/>
      </c>
      <c r="T52" s="2">
        <f>IF(C52="FY2026", (Scenarios!D12+Scenarios!E12)*BaselineCalc!$B$21, 0)</f>
        <v/>
      </c>
      <c r="U52" s="2">
        <f>(R52+S52+G52*F52)*J52*(1-K52)</f>
        <v/>
      </c>
      <c r="V52" s="2">
        <f>O52*(G52+P52)</f>
        <v/>
      </c>
      <c r="W52" s="2">
        <f>U52+V52+T52</f>
        <v/>
      </c>
      <c r="X52" s="2">
        <f>IF(F52+O52&gt;0, W52/(F52+O52),"")</f>
        <v/>
      </c>
      <c r="Y52">
        <f>B52&amp;"|"&amp;C52</f>
        <v/>
      </c>
      <c r="Z52">
        <f>INDEX(YearMap!$I$2:$I$6, MATCH(C52, YearMap!$A$2:$A$6, 0))</f>
        <v/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>
        <f>Y53</f>
        <v/>
      </c>
      <c r="B53">
        <f>Scenarios!A12</f>
        <v/>
      </c>
      <c r="C53" t="inlineStr">
        <is>
          <t>FY2027</t>
        </is>
      </c>
      <c r="D53">
        <f>IF(Scenarios!D12=1,0, L53)</f>
        <v/>
      </c>
      <c r="E53">
        <f>IF(Scenarios!E12=1,0, M53)</f>
        <v/>
      </c>
      <c r="F53">
        <f>D53+E53</f>
        <v/>
      </c>
      <c r="G53" s="2">
        <f>YearMap!B3</f>
        <v/>
      </c>
      <c r="H53" s="2">
        <f>YearMap!C3</f>
        <v/>
      </c>
      <c r="I53" s="2">
        <f>YearMap!D3</f>
        <v/>
      </c>
      <c r="J53">
        <f>1-BaselineCalc!$B$5</f>
        <v/>
      </c>
      <c r="K53">
        <f>Scenarios!G12</f>
        <v/>
      </c>
      <c r="L53">
        <f>BaselineCalc!$B$7 + ROUND(Scenarios!J12*Scenarios!F12,0)</f>
        <v/>
      </c>
      <c r="M53">
        <f>BaselineCalc!$B$8 + Scenarios!J12 - ROUND(Scenarios!J12*Scenarios!F12,0)</f>
        <v/>
      </c>
      <c r="N53" s="7">
        <f>(L53-D53) + (M53-E53)</f>
        <v/>
      </c>
      <c r="O53" s="7">
        <f>BaselineCalc!$B$22 * N53</f>
        <v/>
      </c>
      <c r="P53">
        <f>YearMap!E3</f>
        <v/>
      </c>
      <c r="Q53">
        <f>IF(Scenarios!N12="lease", YearMap!F3, YearMap!G3)</f>
        <v/>
      </c>
      <c r="R53" s="2">
        <f>IF(Scenarios!D12=1, Q53*H53, H53)</f>
        <v/>
      </c>
      <c r="S53" s="2">
        <f>IF(Scenarios!E12=1, Q53*I53, I53)</f>
        <v/>
      </c>
      <c r="T53" s="2">
        <f>IF(C53="FY2026", (Scenarios!D12+Scenarios!E12)*BaselineCalc!$B$21, 0)</f>
        <v/>
      </c>
      <c r="U53" s="2">
        <f>(R53+S53+G53*F53)*J53*(1-K53)</f>
        <v/>
      </c>
      <c r="V53" s="2">
        <f>O53*(G53+P53)</f>
        <v/>
      </c>
      <c r="W53" s="2">
        <f>U53+V53+T53</f>
        <v/>
      </c>
      <c r="X53" s="2">
        <f>IF(F53+O53&gt;0, W53/(F53+O53),"")</f>
        <v/>
      </c>
      <c r="Y53">
        <f>B53&amp;"|"&amp;C53</f>
        <v/>
      </c>
      <c r="Z53">
        <f>INDEX(YearMap!$I$2:$I$6, MATCH(C53, YearMap!$A$2:$A$6, 0))</f>
        <v/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>
        <f>Y54</f>
        <v/>
      </c>
      <c r="B54">
        <f>Scenarios!A12</f>
        <v/>
      </c>
      <c r="C54" t="inlineStr">
        <is>
          <t>FY2028</t>
        </is>
      </c>
      <c r="D54">
        <f>IF(Scenarios!D12=1,0, L54)</f>
        <v/>
      </c>
      <c r="E54">
        <f>IF(Scenarios!E12=1,0, M54)</f>
        <v/>
      </c>
      <c r="F54">
        <f>D54+E54</f>
        <v/>
      </c>
      <c r="G54" s="2">
        <f>YearMap!B4</f>
        <v/>
      </c>
      <c r="H54" s="2">
        <f>YearMap!C4</f>
        <v/>
      </c>
      <c r="I54" s="2">
        <f>YearMap!D4</f>
        <v/>
      </c>
      <c r="J54">
        <f>1-BaselineCalc!$B$5</f>
        <v/>
      </c>
      <c r="K54">
        <f>Scenarios!G12</f>
        <v/>
      </c>
      <c r="L54">
        <f>BaselineCalc!$B$7 + ROUND(Scenarios!K12*Scenarios!F12,0)</f>
        <v/>
      </c>
      <c r="M54">
        <f>BaselineCalc!$B$8 + Scenarios!K12 - ROUND(Scenarios!K12*Scenarios!F12,0)</f>
        <v/>
      </c>
      <c r="N54" s="7">
        <f>(L54-D54) + (M54-E54)</f>
        <v/>
      </c>
      <c r="O54" s="7">
        <f>BaselineCalc!$B$22 * N54</f>
        <v/>
      </c>
      <c r="P54">
        <f>YearMap!E4</f>
        <v/>
      </c>
      <c r="Q54">
        <f>IF(Scenarios!N12="lease", YearMap!F4, YearMap!G4)</f>
        <v/>
      </c>
      <c r="R54" s="2">
        <f>IF(Scenarios!D12=1, Q54*H54, H54)</f>
        <v/>
      </c>
      <c r="S54" s="2">
        <f>IF(Scenarios!E12=1, Q54*I54, I54)</f>
        <v/>
      </c>
      <c r="T54" s="2">
        <f>IF(C54="FY2026", (Scenarios!D12+Scenarios!E12)*BaselineCalc!$B$21, 0)</f>
        <v/>
      </c>
      <c r="U54" s="2">
        <f>(R54+S54+G54*F54)*J54*(1-K54)</f>
        <v/>
      </c>
      <c r="V54" s="2">
        <f>O54*(G54+P54)</f>
        <v/>
      </c>
      <c r="W54" s="2">
        <f>U54+V54+T54</f>
        <v/>
      </c>
      <c r="X54" s="2">
        <f>IF(F54+O54&gt;0, W54/(F54+O54),"")</f>
        <v/>
      </c>
      <c r="Y54">
        <f>B54&amp;"|"&amp;C54</f>
        <v/>
      </c>
      <c r="Z54">
        <f>INDEX(YearMap!$I$2:$I$6, MATCH(C54, YearMap!$A$2:$A$6, 0))</f>
        <v/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>
        <f>Y55</f>
        <v/>
      </c>
      <c r="B55">
        <f>Scenarios!A12</f>
        <v/>
      </c>
      <c r="C55" t="inlineStr">
        <is>
          <t>FY2029</t>
        </is>
      </c>
      <c r="D55">
        <f>IF(Scenarios!D12=1,0, L55)</f>
        <v/>
      </c>
      <c r="E55">
        <f>IF(Scenarios!E12=1,0, M55)</f>
        <v/>
      </c>
      <c r="F55">
        <f>D55+E55</f>
        <v/>
      </c>
      <c r="G55" s="2">
        <f>YearMap!B5</f>
        <v/>
      </c>
      <c r="H55" s="2">
        <f>YearMap!C5</f>
        <v/>
      </c>
      <c r="I55" s="2">
        <f>YearMap!D5</f>
        <v/>
      </c>
      <c r="J55">
        <f>1-BaselineCalc!$B$5</f>
        <v/>
      </c>
      <c r="K55">
        <f>Scenarios!G12</f>
        <v/>
      </c>
      <c r="L55">
        <f>BaselineCalc!$B$7 + ROUND(Scenarios!L12*Scenarios!F12,0)</f>
        <v/>
      </c>
      <c r="M55">
        <f>BaselineCalc!$B$8 + Scenarios!L12 - ROUND(Scenarios!L12*Scenarios!F12,0)</f>
        <v/>
      </c>
      <c r="N55" s="7">
        <f>(L55-D55) + (M55-E55)</f>
        <v/>
      </c>
      <c r="O55" s="7">
        <f>BaselineCalc!$B$22 * N55</f>
        <v/>
      </c>
      <c r="P55">
        <f>YearMap!E5</f>
        <v/>
      </c>
      <c r="Q55">
        <f>IF(Scenarios!N12="lease", YearMap!F5, YearMap!G5)</f>
        <v/>
      </c>
      <c r="R55" s="2">
        <f>IF(Scenarios!D12=1, Q55*H55, H55)</f>
        <v/>
      </c>
      <c r="S55" s="2">
        <f>IF(Scenarios!E12=1, Q55*I55, I55)</f>
        <v/>
      </c>
      <c r="T55" s="2">
        <f>IF(C55="FY2026", (Scenarios!D12+Scenarios!E12)*BaselineCalc!$B$21, 0)</f>
        <v/>
      </c>
      <c r="U55" s="2">
        <f>(R55+S55+G55*F55)*J55*(1-K55)</f>
        <v/>
      </c>
      <c r="V55" s="2">
        <f>O55*(G55+P55)</f>
        <v/>
      </c>
      <c r="W55" s="2">
        <f>U55+V55+T55</f>
        <v/>
      </c>
      <c r="X55" s="2">
        <f>IF(F55+O55&gt;0, W55/(F55+O55),"")</f>
        <v/>
      </c>
      <c r="Y55">
        <f>B55&amp;"|"&amp;C55</f>
        <v/>
      </c>
      <c r="Z55">
        <f>INDEX(YearMap!$I$2:$I$6, MATCH(C55, YearMap!$A$2:$A$6, 0))</f>
        <v/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>
        <f>Y56</f>
        <v/>
      </c>
      <c r="B56">
        <f>Scenarios!A12</f>
        <v/>
      </c>
      <c r="C56" t="inlineStr">
        <is>
          <t>FY2030</t>
        </is>
      </c>
      <c r="D56">
        <f>IF(Scenarios!D12=1,0, L56)</f>
        <v/>
      </c>
      <c r="E56">
        <f>IF(Scenarios!E12=1,0, M56)</f>
        <v/>
      </c>
      <c r="F56">
        <f>D56+E56</f>
        <v/>
      </c>
      <c r="G56" s="2">
        <f>YearMap!B6</f>
        <v/>
      </c>
      <c r="H56" s="2">
        <f>YearMap!C6</f>
        <v/>
      </c>
      <c r="I56" s="2">
        <f>YearMap!D6</f>
        <v/>
      </c>
      <c r="J56">
        <f>1-BaselineCalc!$B$5</f>
        <v/>
      </c>
      <c r="K56">
        <f>Scenarios!G12</f>
        <v/>
      </c>
      <c r="L56">
        <f>BaselineCalc!$B$7 + ROUND(Scenarios!M12*Scenarios!F12,0)</f>
        <v/>
      </c>
      <c r="M56">
        <f>BaselineCalc!$B$8 + Scenarios!M12 - ROUND(Scenarios!M12*Scenarios!F12,0)</f>
        <v/>
      </c>
      <c r="N56" s="7">
        <f>(L56-D56) + (M56-E56)</f>
        <v/>
      </c>
      <c r="O56" s="7">
        <f>BaselineCalc!$B$22 * N56</f>
        <v/>
      </c>
      <c r="P56">
        <f>YearMap!E6</f>
        <v/>
      </c>
      <c r="Q56">
        <f>IF(Scenarios!N12="lease", YearMap!F6, YearMap!G6)</f>
        <v/>
      </c>
      <c r="R56" s="2">
        <f>IF(Scenarios!D12=1, Q56*H56, H56)</f>
        <v/>
      </c>
      <c r="S56" s="2">
        <f>IF(Scenarios!E12=1, Q56*I56, I56)</f>
        <v/>
      </c>
      <c r="T56" s="2">
        <f>IF(C56="FY2026", (Scenarios!D12+Scenarios!E12)*BaselineCalc!$B$21, 0)</f>
        <v/>
      </c>
      <c r="U56" s="2">
        <f>(R56+S56+G56*F56)*J56*(1-K56)</f>
        <v/>
      </c>
      <c r="V56" s="2">
        <f>O56*(G56+P56)</f>
        <v/>
      </c>
      <c r="W56" s="2">
        <f>U56+V56+T56</f>
        <v/>
      </c>
      <c r="X56" s="2">
        <f>IF(F56+O56&gt;0, W56/(F56+O56),"")</f>
        <v/>
      </c>
      <c r="Y56">
        <f>B56&amp;"|"&amp;C56</f>
        <v/>
      </c>
      <c r="Z56">
        <f>INDEX(YearMap!$I$2:$I$6, MATCH(C56, YearMap!$A$2:$A$6, 0))</f>
        <v/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>
        <f>Y57</f>
        <v/>
      </c>
      <c r="B57">
        <f>Scenarios!A13</f>
        <v/>
      </c>
      <c r="C57" t="inlineStr">
        <is>
          <t>FY2026</t>
        </is>
      </c>
      <c r="D57">
        <f>IF(Scenarios!D13=1,0, L57)</f>
        <v/>
      </c>
      <c r="E57">
        <f>IF(Scenarios!E13=1,0, M57)</f>
        <v/>
      </c>
      <c r="F57">
        <f>D57+E57</f>
        <v/>
      </c>
      <c r="G57" s="2">
        <f>YearMap!B2</f>
        <v/>
      </c>
      <c r="H57" s="2">
        <f>YearMap!C2</f>
        <v/>
      </c>
      <c r="I57" s="2">
        <f>YearMap!D2</f>
        <v/>
      </c>
      <c r="J57">
        <f>1-BaselineCalc!$B$5</f>
        <v/>
      </c>
      <c r="K57">
        <f>Scenarios!G13</f>
        <v/>
      </c>
      <c r="L57">
        <f>BaselineCalc!$B$7 + ROUND(Scenarios!I13*Scenarios!F13,0)</f>
        <v/>
      </c>
      <c r="M57">
        <f>BaselineCalc!$B$8 + Scenarios!I13 - ROUND(Scenarios!I13*Scenarios!F13,0)</f>
        <v/>
      </c>
      <c r="N57" s="7">
        <f>(L57-D57) + (M57-E57)</f>
        <v/>
      </c>
      <c r="O57" s="7">
        <f>BaselineCalc!$B$22 * N57</f>
        <v/>
      </c>
      <c r="P57">
        <f>YearMap!E2</f>
        <v/>
      </c>
      <c r="Q57">
        <f>IF(Scenarios!N13="lease", YearMap!F2, YearMap!G2)</f>
        <v/>
      </c>
      <c r="R57" s="2">
        <f>IF(Scenarios!D13=1, Q57*H57, H57)</f>
        <v/>
      </c>
      <c r="S57" s="2">
        <f>IF(Scenarios!E13=1, Q57*I57, I57)</f>
        <v/>
      </c>
      <c r="T57" s="2">
        <f>IF(C57="FY2026", (Scenarios!D13+Scenarios!E13)*BaselineCalc!$B$21, 0)</f>
        <v/>
      </c>
      <c r="U57" s="2">
        <f>(R57+S57+G57*F57)*J57*(1-K57)</f>
        <v/>
      </c>
      <c r="V57" s="2">
        <f>O57*(G57+P57)</f>
        <v/>
      </c>
      <c r="W57" s="2">
        <f>U57+V57+T57</f>
        <v/>
      </c>
      <c r="X57" s="2">
        <f>IF(F57+O57&gt;0, W57/(F57+O57),"")</f>
        <v/>
      </c>
      <c r="Y57">
        <f>B57&amp;"|"&amp;C57</f>
        <v/>
      </c>
      <c r="Z57">
        <f>INDEX(YearMap!$I$2:$I$6, MATCH(C57, YearMap!$A$2:$A$6, 0))</f>
        <v/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</row>
    <row r="58">
      <c r="A58">
        <f>Y58</f>
        <v/>
      </c>
      <c r="B58">
        <f>Scenarios!A13</f>
        <v/>
      </c>
      <c r="C58" t="inlineStr">
        <is>
          <t>FY2027</t>
        </is>
      </c>
      <c r="D58">
        <f>IF(Scenarios!D13=1,0, L58)</f>
        <v/>
      </c>
      <c r="E58">
        <f>IF(Scenarios!E13=1,0, M58)</f>
        <v/>
      </c>
      <c r="F58">
        <f>D58+E58</f>
        <v/>
      </c>
      <c r="G58" s="2">
        <f>YearMap!B3</f>
        <v/>
      </c>
      <c r="H58" s="2">
        <f>YearMap!C3</f>
        <v/>
      </c>
      <c r="I58" s="2">
        <f>YearMap!D3</f>
        <v/>
      </c>
      <c r="J58">
        <f>1-BaselineCalc!$B$5</f>
        <v/>
      </c>
      <c r="K58">
        <f>Scenarios!G13</f>
        <v/>
      </c>
      <c r="L58">
        <f>BaselineCalc!$B$7 + ROUND(Scenarios!J13*Scenarios!F13,0)</f>
        <v/>
      </c>
      <c r="M58">
        <f>BaselineCalc!$B$8 + Scenarios!J13 - ROUND(Scenarios!J13*Scenarios!F13,0)</f>
        <v/>
      </c>
      <c r="N58" s="7">
        <f>(L58-D58) + (M58-E58)</f>
        <v/>
      </c>
      <c r="O58" s="7">
        <f>BaselineCalc!$B$22 * N58</f>
        <v/>
      </c>
      <c r="P58">
        <f>YearMap!E3</f>
        <v/>
      </c>
      <c r="Q58">
        <f>IF(Scenarios!N13="lease", YearMap!F3, YearMap!G3)</f>
        <v/>
      </c>
      <c r="R58" s="2">
        <f>IF(Scenarios!D13=1, Q58*H58, H58)</f>
        <v/>
      </c>
      <c r="S58" s="2">
        <f>IF(Scenarios!E13=1, Q58*I58, I58)</f>
        <v/>
      </c>
      <c r="T58" s="2">
        <f>IF(C58="FY2026", (Scenarios!D13+Scenarios!E13)*BaselineCalc!$B$21, 0)</f>
        <v/>
      </c>
      <c r="U58" s="2">
        <f>(R58+S58+G58*F58)*J58*(1-K58)</f>
        <v/>
      </c>
      <c r="V58" s="2">
        <f>O58*(G58+P58)</f>
        <v/>
      </c>
      <c r="W58" s="2">
        <f>U58+V58+T58</f>
        <v/>
      </c>
      <c r="X58" s="2">
        <f>IF(F58+O58&gt;0, W58/(F58+O58),"")</f>
        <v/>
      </c>
      <c r="Y58">
        <f>B58&amp;"|"&amp;C58</f>
        <v/>
      </c>
      <c r="Z58">
        <f>INDEX(YearMap!$I$2:$I$6, MATCH(C58, YearMap!$A$2:$A$6, 0))</f>
        <v/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>
        <f>Y59</f>
        <v/>
      </c>
      <c r="B59">
        <f>Scenarios!A13</f>
        <v/>
      </c>
      <c r="C59" t="inlineStr">
        <is>
          <t>FY2028</t>
        </is>
      </c>
      <c r="D59">
        <f>IF(Scenarios!D13=1,0, L59)</f>
        <v/>
      </c>
      <c r="E59">
        <f>IF(Scenarios!E13=1,0, M59)</f>
        <v/>
      </c>
      <c r="F59">
        <f>D59+E59</f>
        <v/>
      </c>
      <c r="G59" s="2">
        <f>YearMap!B4</f>
        <v/>
      </c>
      <c r="H59" s="2">
        <f>YearMap!C4</f>
        <v/>
      </c>
      <c r="I59" s="2">
        <f>YearMap!D4</f>
        <v/>
      </c>
      <c r="J59">
        <f>1-BaselineCalc!$B$5</f>
        <v/>
      </c>
      <c r="K59">
        <f>Scenarios!G13</f>
        <v/>
      </c>
      <c r="L59">
        <f>BaselineCalc!$B$7 + ROUND(Scenarios!K13*Scenarios!F13,0)</f>
        <v/>
      </c>
      <c r="M59">
        <f>BaselineCalc!$B$8 + Scenarios!K13 - ROUND(Scenarios!K13*Scenarios!F13,0)</f>
        <v/>
      </c>
      <c r="N59" s="7">
        <f>(L59-D59) + (M59-E59)</f>
        <v/>
      </c>
      <c r="O59" s="7">
        <f>BaselineCalc!$B$22 * N59</f>
        <v/>
      </c>
      <c r="P59">
        <f>YearMap!E4</f>
        <v/>
      </c>
      <c r="Q59">
        <f>IF(Scenarios!N13="lease", YearMap!F4, YearMap!G4)</f>
        <v/>
      </c>
      <c r="R59" s="2">
        <f>IF(Scenarios!D13=1, Q59*H59, H59)</f>
        <v/>
      </c>
      <c r="S59" s="2">
        <f>IF(Scenarios!E13=1, Q59*I59, I59)</f>
        <v/>
      </c>
      <c r="T59" s="2">
        <f>IF(C59="FY2026", (Scenarios!D13+Scenarios!E13)*BaselineCalc!$B$21, 0)</f>
        <v/>
      </c>
      <c r="U59" s="2">
        <f>(R59+S59+G59*F59)*J59*(1-K59)</f>
        <v/>
      </c>
      <c r="V59" s="2">
        <f>O59*(G59+P59)</f>
        <v/>
      </c>
      <c r="W59" s="2">
        <f>U59+V59+T59</f>
        <v/>
      </c>
      <c r="X59" s="2">
        <f>IF(F59+O59&gt;0, W59/(F59+O59),"")</f>
        <v/>
      </c>
      <c r="Y59">
        <f>B59&amp;"|"&amp;C59</f>
        <v/>
      </c>
      <c r="Z59">
        <f>INDEX(YearMap!$I$2:$I$6, MATCH(C59, YearMap!$A$2:$A$6, 0))</f>
        <v/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  <row r="60">
      <c r="A60">
        <f>Y60</f>
        <v/>
      </c>
      <c r="B60">
        <f>Scenarios!A13</f>
        <v/>
      </c>
      <c r="C60" t="inlineStr">
        <is>
          <t>FY2029</t>
        </is>
      </c>
      <c r="D60">
        <f>IF(Scenarios!D13=1,0, L60)</f>
        <v/>
      </c>
      <c r="E60">
        <f>IF(Scenarios!E13=1,0, M60)</f>
        <v/>
      </c>
      <c r="F60">
        <f>D60+E60</f>
        <v/>
      </c>
      <c r="G60" s="2">
        <f>YearMap!B5</f>
        <v/>
      </c>
      <c r="H60" s="2">
        <f>YearMap!C5</f>
        <v/>
      </c>
      <c r="I60" s="2">
        <f>YearMap!D5</f>
        <v/>
      </c>
      <c r="J60">
        <f>1-BaselineCalc!$B$5</f>
        <v/>
      </c>
      <c r="K60">
        <f>Scenarios!G13</f>
        <v/>
      </c>
      <c r="L60">
        <f>BaselineCalc!$B$7 + ROUND(Scenarios!L13*Scenarios!F13,0)</f>
        <v/>
      </c>
      <c r="M60">
        <f>BaselineCalc!$B$8 + Scenarios!L13 - ROUND(Scenarios!L13*Scenarios!F13,0)</f>
        <v/>
      </c>
      <c r="N60" s="7">
        <f>(L60-D60) + (M60-E60)</f>
        <v/>
      </c>
      <c r="O60" s="7">
        <f>BaselineCalc!$B$22 * N60</f>
        <v/>
      </c>
      <c r="P60">
        <f>YearMap!E5</f>
        <v/>
      </c>
      <c r="Q60">
        <f>IF(Scenarios!N13="lease", YearMap!F5, YearMap!G5)</f>
        <v/>
      </c>
      <c r="R60" s="2">
        <f>IF(Scenarios!D13=1, Q60*H60, H60)</f>
        <v/>
      </c>
      <c r="S60" s="2">
        <f>IF(Scenarios!E13=1, Q60*I60, I60)</f>
        <v/>
      </c>
      <c r="T60" s="2">
        <f>IF(C60="FY2026", (Scenarios!D13+Scenarios!E13)*BaselineCalc!$B$21, 0)</f>
        <v/>
      </c>
      <c r="U60" s="2">
        <f>(R60+S60+G60*F60)*J60*(1-K60)</f>
        <v/>
      </c>
      <c r="V60" s="2">
        <f>O60*(G60+P60)</f>
        <v/>
      </c>
      <c r="W60" s="2">
        <f>U60+V60+T60</f>
        <v/>
      </c>
      <c r="X60" s="2">
        <f>IF(F60+O60&gt;0, W60/(F60+O60),"")</f>
        <v/>
      </c>
      <c r="Y60">
        <f>B60&amp;"|"&amp;C60</f>
        <v/>
      </c>
      <c r="Z60">
        <f>INDEX(YearMap!$I$2:$I$6, MATCH(C60, YearMap!$A$2:$A$6, 0))</f>
        <v/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>
        <f>Y61</f>
        <v/>
      </c>
      <c r="B61">
        <f>Scenarios!A13</f>
        <v/>
      </c>
      <c r="C61" t="inlineStr">
        <is>
          <t>FY2030</t>
        </is>
      </c>
      <c r="D61">
        <f>IF(Scenarios!D13=1,0, L61)</f>
        <v/>
      </c>
      <c r="E61">
        <f>IF(Scenarios!E13=1,0, M61)</f>
        <v/>
      </c>
      <c r="F61">
        <f>D61+E61</f>
        <v/>
      </c>
      <c r="G61" s="2">
        <f>YearMap!B6</f>
        <v/>
      </c>
      <c r="H61" s="2">
        <f>YearMap!C6</f>
        <v/>
      </c>
      <c r="I61" s="2">
        <f>YearMap!D6</f>
        <v/>
      </c>
      <c r="J61">
        <f>1-BaselineCalc!$B$5</f>
        <v/>
      </c>
      <c r="K61">
        <f>Scenarios!G13</f>
        <v/>
      </c>
      <c r="L61">
        <f>BaselineCalc!$B$7 + ROUND(Scenarios!M13*Scenarios!F13,0)</f>
        <v/>
      </c>
      <c r="M61">
        <f>BaselineCalc!$B$8 + Scenarios!M13 - ROUND(Scenarios!M13*Scenarios!F13,0)</f>
        <v/>
      </c>
      <c r="N61" s="7">
        <f>(L61-D61) + (M61-E61)</f>
        <v/>
      </c>
      <c r="O61" s="7">
        <f>BaselineCalc!$B$22 * N61</f>
        <v/>
      </c>
      <c r="P61">
        <f>YearMap!E6</f>
        <v/>
      </c>
      <c r="Q61">
        <f>IF(Scenarios!N13="lease", YearMap!F6, YearMap!G6)</f>
        <v/>
      </c>
      <c r="R61" s="2">
        <f>IF(Scenarios!D13=1, Q61*H61, H61)</f>
        <v/>
      </c>
      <c r="S61" s="2">
        <f>IF(Scenarios!E13=1, Q61*I61, I61)</f>
        <v/>
      </c>
      <c r="T61" s="2">
        <f>IF(C61="FY2026", (Scenarios!D13+Scenarios!E13)*BaselineCalc!$B$21, 0)</f>
        <v/>
      </c>
      <c r="U61" s="2">
        <f>(R61+S61+G61*F61)*J61*(1-K61)</f>
        <v/>
      </c>
      <c r="V61" s="2">
        <f>O61*(G61+P61)</f>
        <v/>
      </c>
      <c r="W61" s="2">
        <f>U61+V61+T61</f>
        <v/>
      </c>
      <c r="X61" s="2">
        <f>IF(F61+O61&gt;0, W61/(F61+O61),"")</f>
        <v/>
      </c>
      <c r="Y61">
        <f>B61&amp;"|"&amp;C61</f>
        <v/>
      </c>
      <c r="Z61">
        <f>INDEX(YearMap!$I$2:$I$6, MATCH(C61, YearMap!$A$2:$A$6, 0))</f>
        <v/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5"/>
  <sheetViews>
    <sheetView tabSelected="1" zoomScale="70" zoomScaleNormal="70" workbookViewId="0">
      <selection activeCell="C16" sqref="C16"/>
    </sheetView>
  </sheetViews>
  <sheetFormatPr baseColWidth="8" defaultRowHeight="14.5"/>
  <cols>
    <col width="26.1796875" bestFit="1" customWidth="1" min="1" max="1"/>
    <col width="23.26953125" bestFit="1" customWidth="1" min="2" max="2"/>
    <col width="10" bestFit="1" customWidth="1" min="3" max="3"/>
    <col width="10.1796875" bestFit="1" customWidth="1" min="4" max="5"/>
    <col width="13.08984375" bestFit="1" customWidth="1" min="6" max="6"/>
    <col width="11.81640625" bestFit="1" customWidth="1" min="7" max="7"/>
    <col width="36.54296875" bestFit="1" customWidth="1" min="8" max="8"/>
    <col width="13.1796875" customWidth="1" min="9" max="9"/>
    <col width="12.54296875" bestFit="1" customWidth="1" min="10" max="13"/>
  </cols>
  <sheetData>
    <row r="1">
      <c r="A1" s="1" t="inlineStr">
        <is>
          <t>ScenarioKey</t>
        </is>
      </c>
      <c r="B1" s="1" t="inlineStr">
        <is>
          <t>Label</t>
        </is>
      </c>
      <c r="C1" s="1" t="inlineStr">
        <is>
          <t>Overlay</t>
        </is>
      </c>
      <c r="D1" s="1" t="inlineStr">
        <is>
          <t>CloseEcho</t>
        </is>
      </c>
      <c r="E1" s="1" t="inlineStr">
        <is>
          <t>ClosePima</t>
        </is>
      </c>
      <c r="F1" s="1" t="inlineStr">
        <is>
          <t>EchoShareDist</t>
        </is>
      </c>
      <c r="G1" s="1" t="inlineStr">
        <is>
          <t>ExtraSave</t>
        </is>
      </c>
      <c r="H1" s="1" t="inlineStr">
        <is>
          <t>Notes</t>
        </is>
      </c>
      <c r="I1" t="inlineStr">
        <is>
          <t>Overlay_FY26</t>
        </is>
      </c>
      <c r="J1" t="inlineStr">
        <is>
          <t>Overlay_FY27</t>
        </is>
      </c>
      <c r="K1" t="inlineStr">
        <is>
          <t>Overlay_FY28</t>
        </is>
      </c>
      <c r="L1" t="inlineStr">
        <is>
          <t>Overlay_FY29</t>
        </is>
      </c>
      <c r="M1" t="inlineStr">
        <is>
          <t>Overlay_FY30</t>
        </is>
      </c>
      <c r="N1" t="inlineStr">
        <is>
          <t>Carry</t>
        </is>
      </c>
    </row>
    <row r="2">
      <c r="A2" t="inlineStr">
        <is>
          <t>D_Grow_Both_0</t>
        </is>
      </c>
      <c r="B2" t="inlineStr">
        <is>
          <t>D. Grow Both (Overlay 0)</t>
        </is>
      </c>
      <c r="C2" s="4" t="n">
        <v>0</v>
      </c>
      <c r="D2" s="4" t="n">
        <v>0</v>
      </c>
      <c r="E2" s="4" t="n">
        <v>0</v>
      </c>
      <c r="F2" s="4" t="n">
        <v>0.5</v>
      </c>
      <c r="G2" s="4" t="n">
        <v>0</v>
      </c>
      <c r="H2" t="inlineStr">
        <is>
          <t>Baseline + outreach; no closures</t>
        </is>
      </c>
      <c r="I2">
        <f>$C2</f>
        <v/>
      </c>
      <c r="J2">
        <f>$C2</f>
        <v/>
      </c>
      <c r="K2">
        <f>$C2</f>
        <v/>
      </c>
      <c r="L2">
        <f>$C2</f>
        <v/>
      </c>
      <c r="M2">
        <f>$C2</f>
        <v/>
      </c>
    </row>
    <row r="3">
      <c r="A3" t="inlineStr">
        <is>
          <t>E_StatusQuo_Targets_0</t>
        </is>
      </c>
      <c r="B3" t="inlineStr">
        <is>
          <t>E. Status‑Quo + Targets (0)</t>
        </is>
      </c>
      <c r="C3" s="4" t="n">
        <v>0</v>
      </c>
      <c r="D3" s="4" t="n">
        <v>0</v>
      </c>
      <c r="E3" s="4" t="n">
        <v>0</v>
      </c>
      <c r="F3" s="4" t="n">
        <v>0.5</v>
      </c>
      <c r="G3" s="4" t="n">
        <v>0</v>
      </c>
      <c r="H3" t="inlineStr">
        <is>
          <t>Baseline + targets; no closures</t>
        </is>
      </c>
      <c r="I3">
        <f>$C3</f>
        <v/>
      </c>
      <c r="J3">
        <f>$C3</f>
        <v/>
      </c>
      <c r="K3">
        <f>$C3</f>
        <v/>
      </c>
      <c r="L3">
        <f>$C3</f>
        <v/>
      </c>
      <c r="M3">
        <f>$C3</f>
        <v/>
      </c>
    </row>
    <row r="4">
      <c r="A4" t="inlineStr">
        <is>
          <t>F_CoLocation_Echo_0</t>
        </is>
      </c>
      <c r="B4" t="inlineStr">
        <is>
          <t>F. Co‑Location @ Echo (0)</t>
        </is>
      </c>
      <c r="C4" s="4" t="n">
        <v>0</v>
      </c>
      <c r="D4" s="4" t="n">
        <v>0</v>
      </c>
      <c r="E4" s="4" t="n">
        <v>0</v>
      </c>
      <c r="F4" s="4" t="n">
        <v>0.7</v>
      </c>
      <c r="G4" s="4" t="n">
        <v>0.015</v>
      </c>
      <c r="H4" t="inlineStr">
        <is>
          <t>Shared‑use efficiencies later (no closure)</t>
        </is>
      </c>
      <c r="I4">
        <f>$C4</f>
        <v/>
      </c>
      <c r="J4">
        <f>$C4</f>
        <v/>
      </c>
      <c r="K4">
        <f>$C4</f>
        <v/>
      </c>
      <c r="L4">
        <f>$C4</f>
        <v/>
      </c>
      <c r="M4">
        <f>$C4</f>
        <v/>
      </c>
    </row>
    <row r="5">
      <c r="A5" t="inlineStr">
        <is>
          <t>D_Grow_Both_100</t>
        </is>
      </c>
      <c r="B5" t="inlineStr">
        <is>
          <t>D. Grow Both (Overlay 100)</t>
        </is>
      </c>
      <c r="C5" s="4" t="n">
        <v>100</v>
      </c>
      <c r="D5" s="4" t="n">
        <v>0</v>
      </c>
      <c r="E5" s="4" t="n">
        <v>0</v>
      </c>
      <c r="F5" s="4" t="n">
        <v>0.5</v>
      </c>
      <c r="G5" s="4" t="n">
        <v>0</v>
      </c>
      <c r="H5" t="inlineStr">
        <is>
          <t>Baseline +100 overlay</t>
        </is>
      </c>
      <c r="I5">
        <f>$C5</f>
        <v/>
      </c>
      <c r="J5">
        <f>$C5</f>
        <v/>
      </c>
      <c r="K5">
        <f>$C5</f>
        <v/>
      </c>
      <c r="L5">
        <f>$C5</f>
        <v/>
      </c>
      <c r="M5">
        <f>$C5</f>
        <v/>
      </c>
    </row>
    <row r="6">
      <c r="A6" t="inlineStr">
        <is>
          <t>D_Grow_Both_150</t>
        </is>
      </c>
      <c r="B6" t="inlineStr">
        <is>
          <t>D. Grow Both (Overlay 150)</t>
        </is>
      </c>
      <c r="C6" s="4" t="n">
        <v>150</v>
      </c>
      <c r="D6" s="4" t="n">
        <v>0</v>
      </c>
      <c r="E6" s="4" t="n">
        <v>0</v>
      </c>
      <c r="F6" s="4" t="n">
        <v>0.5</v>
      </c>
      <c r="G6" s="4" t="n">
        <v>0</v>
      </c>
      <c r="H6" t="inlineStr">
        <is>
          <t>Baseline +150 overlay</t>
        </is>
      </c>
      <c r="I6">
        <f>$C6</f>
        <v/>
      </c>
      <c r="J6">
        <f>$C6</f>
        <v/>
      </c>
      <c r="K6">
        <f>$C6</f>
        <v/>
      </c>
      <c r="L6">
        <f>$C6</f>
        <v/>
      </c>
      <c r="M6">
        <f>$C6</f>
        <v/>
      </c>
    </row>
    <row r="7">
      <c r="A7" t="inlineStr">
        <is>
          <t>G_DHub_EchoRamp</t>
        </is>
      </c>
      <c r="B7" t="inlineStr">
        <is>
          <t>G. D‑Hub @ Echo (Ramp 50→100→150)</t>
        </is>
      </c>
      <c r="C7" s="4" t="n">
        <v>150</v>
      </c>
      <c r="D7" s="4" t="n">
        <v>0</v>
      </c>
      <c r="E7" s="4" t="n">
        <v>0</v>
      </c>
      <c r="F7" s="4" t="n">
        <v>0.7</v>
      </c>
      <c r="G7" s="4" t="n">
        <v>0</v>
      </c>
      <c r="H7" t="inlineStr">
        <is>
          <t>Time‑phased ramp (+50,+100,+150 years 1–3)</t>
        </is>
      </c>
      <c r="I7">
        <f>C7/3</f>
        <v/>
      </c>
      <c r="J7">
        <f>I7+C7/3</f>
        <v/>
      </c>
      <c r="K7">
        <f>J7+C7/3</f>
        <v/>
      </c>
      <c r="L7">
        <f>C7</f>
        <v/>
      </c>
      <c r="M7">
        <f>C7</f>
        <v/>
      </c>
    </row>
    <row r="8">
      <c r="A8" t="inlineStr">
        <is>
          <t>A_Repurpose_Both_lease</t>
        </is>
      </c>
      <c r="B8" t="inlineStr">
        <is>
          <t>A. Repurpose BOTH (lease)</t>
        </is>
      </c>
      <c r="C8" s="4" t="n">
        <v>0</v>
      </c>
      <c r="D8" s="4" t="n">
        <v>1</v>
      </c>
      <c r="E8" s="4" t="n">
        <v>1</v>
      </c>
      <c r="F8" s="4" t="n">
        <v>0.5</v>
      </c>
      <c r="G8" s="4" t="n">
        <v>0</v>
      </c>
      <c r="H8" t="inlineStr">
        <is>
          <t>Repurpose both; lease/sale glide</t>
        </is>
      </c>
      <c r="I8">
        <f>$C8</f>
        <v/>
      </c>
      <c r="J8">
        <f>$C8</f>
        <v/>
      </c>
      <c r="K8">
        <f>$C8</f>
        <v/>
      </c>
      <c r="L8">
        <f>$C8</f>
        <v/>
      </c>
      <c r="M8">
        <f>$C8</f>
        <v/>
      </c>
      <c r="N8" t="inlineStr">
        <is>
          <t>lease</t>
        </is>
      </c>
    </row>
    <row r="9">
      <c r="A9" t="inlineStr">
        <is>
          <t>A_Repurpose_Both_ops</t>
        </is>
      </c>
      <c r="B9" t="inlineStr">
        <is>
          <t>A. Repurpose BOTH (ops)</t>
        </is>
      </c>
      <c r="C9" s="4" t="n">
        <v>0</v>
      </c>
      <c r="D9" s="4" t="n">
        <v>1</v>
      </c>
      <c r="E9" s="4" t="n">
        <v>1</v>
      </c>
      <c r="F9" s="4" t="n">
        <v>0.5</v>
      </c>
      <c r="G9" s="4" t="n">
        <v>0</v>
      </c>
      <c r="H9" t="inlineStr">
        <is>
          <t>Repurpose both; operations carry</t>
        </is>
      </c>
      <c r="I9">
        <f>$C9</f>
        <v/>
      </c>
      <c r="J9">
        <f>$C9</f>
        <v/>
      </c>
      <c r="K9">
        <f>$C9</f>
        <v/>
      </c>
      <c r="L9">
        <f>$C9</f>
        <v/>
      </c>
      <c r="M9">
        <f>$C9</f>
        <v/>
      </c>
      <c r="N9" t="inlineStr">
        <is>
          <t>ops</t>
        </is>
      </c>
    </row>
    <row r="10">
      <c r="A10" t="inlineStr">
        <is>
          <t>B_Repurpose_Echo_lease</t>
        </is>
      </c>
      <c r="B10" t="inlineStr">
        <is>
          <t>B. Repurpose ECHO (lease)</t>
        </is>
      </c>
      <c r="C10" s="4" t="n">
        <v>0</v>
      </c>
      <c r="D10" s="4" t="n">
        <v>1</v>
      </c>
      <c r="E10" s="4" t="n">
        <v>0</v>
      </c>
      <c r="F10" s="4" t="n">
        <v>0.5</v>
      </c>
      <c r="G10" s="4" t="n">
        <v>0</v>
      </c>
      <c r="H10" t="inlineStr">
        <is>
          <t>Repurpose Echo only; lease glide</t>
        </is>
      </c>
      <c r="I10">
        <f>$C10</f>
        <v/>
      </c>
      <c r="J10">
        <f>$C10</f>
        <v/>
      </c>
      <c r="K10">
        <f>$C10</f>
        <v/>
      </c>
      <c r="L10">
        <f>$C10</f>
        <v/>
      </c>
      <c r="M10">
        <f>$C10</f>
        <v/>
      </c>
      <c r="N10" t="inlineStr">
        <is>
          <t>lease</t>
        </is>
      </c>
    </row>
    <row r="11">
      <c r="A11" t="inlineStr">
        <is>
          <t>B_Repurpose_Echo_ops</t>
        </is>
      </c>
      <c r="B11" t="inlineStr">
        <is>
          <t>B. Repurpose ECHO (ops)</t>
        </is>
      </c>
      <c r="C11" s="4" t="n">
        <v>0</v>
      </c>
      <c r="D11" s="4" t="n">
        <v>1</v>
      </c>
      <c r="E11" s="4" t="n">
        <v>0</v>
      </c>
      <c r="F11" s="4" t="n">
        <v>0.5</v>
      </c>
      <c r="G11" s="4" t="n">
        <v>0</v>
      </c>
      <c r="H11" t="inlineStr">
        <is>
          <t>Repurpose Echo only; ops carry</t>
        </is>
      </c>
      <c r="I11">
        <f>$C11</f>
        <v/>
      </c>
      <c r="J11">
        <f>$C11</f>
        <v/>
      </c>
      <c r="K11">
        <f>$C11</f>
        <v/>
      </c>
      <c r="L11">
        <f>$C11</f>
        <v/>
      </c>
      <c r="M11">
        <f>$C11</f>
        <v/>
      </c>
      <c r="N11" t="inlineStr">
        <is>
          <t>ops</t>
        </is>
      </c>
    </row>
    <row r="12">
      <c r="A12" t="inlineStr">
        <is>
          <t>C_Repurpose_Pima_lease</t>
        </is>
      </c>
      <c r="B12" t="inlineStr">
        <is>
          <t>C. Repurpose PIMA (lease)</t>
        </is>
      </c>
      <c r="C12" s="4" t="n">
        <v>0</v>
      </c>
      <c r="D12" s="4" t="n">
        <v>0</v>
      </c>
      <c r="E12" s="4" t="n">
        <v>1</v>
      </c>
      <c r="F12" s="4" t="n">
        <v>0.5</v>
      </c>
      <c r="G12" s="4" t="n">
        <v>0</v>
      </c>
      <c r="H12" t="inlineStr">
        <is>
          <t>Repurpose Pima only; lease glide</t>
        </is>
      </c>
      <c r="I12">
        <f>$C12</f>
        <v/>
      </c>
      <c r="J12">
        <f>$C12</f>
        <v/>
      </c>
      <c r="K12">
        <f>$C12</f>
        <v/>
      </c>
      <c r="L12">
        <f>$C12</f>
        <v/>
      </c>
      <c r="M12">
        <f>$C12</f>
        <v/>
      </c>
      <c r="N12" t="inlineStr">
        <is>
          <t>lease</t>
        </is>
      </c>
    </row>
    <row r="13">
      <c r="A13" t="inlineStr">
        <is>
          <t>C_Repurpose_Pima_ops</t>
        </is>
      </c>
      <c r="B13" t="inlineStr">
        <is>
          <t>C. Repurpose PIMA (ops)</t>
        </is>
      </c>
      <c r="C13" s="4" t="n">
        <v>0</v>
      </c>
      <c r="D13" s="4" t="n">
        <v>0</v>
      </c>
      <c r="E13" s="4" t="n">
        <v>1</v>
      </c>
      <c r="F13" s="4" t="n">
        <v>0.5</v>
      </c>
      <c r="G13" s="4" t="n">
        <v>0</v>
      </c>
      <c r="H13" t="inlineStr">
        <is>
          <t>Repurpose Pima only; ops carry</t>
        </is>
      </c>
      <c r="I13">
        <f>$C13</f>
        <v/>
      </c>
      <c r="J13">
        <f>$C13</f>
        <v/>
      </c>
      <c r="K13">
        <f>$C13</f>
        <v/>
      </c>
      <c r="L13">
        <f>$C13</f>
        <v/>
      </c>
      <c r="M13">
        <f>$C13</f>
        <v/>
      </c>
      <c r="N13" t="inlineStr">
        <is>
          <t>ops</t>
        </is>
      </c>
    </row>
    <row r="15">
      <c r="A15" s="1" t="inlineStr">
        <is>
          <t>ScenarioKey</t>
        </is>
      </c>
      <c r="B15" s="1" t="inlineStr">
        <is>
          <t>Year</t>
        </is>
      </c>
      <c r="C15" s="1" t="inlineStr">
        <is>
          <t>Echo_ADM</t>
        </is>
      </c>
      <c r="D15" s="1" t="inlineStr">
        <is>
          <t>Pima_ADM</t>
        </is>
      </c>
      <c r="E15" s="1" t="inlineStr">
        <is>
          <t>Total_ADM</t>
        </is>
      </c>
      <c r="F15" s="1" t="inlineStr">
        <is>
          <t>VarUnit$</t>
        </is>
      </c>
      <c r="G15" s="1" t="inlineStr">
        <is>
          <t>EchoFixed$</t>
        </is>
      </c>
      <c r="H15" s="1" t="inlineStr">
        <is>
          <t>PimaFixed$</t>
        </is>
      </c>
      <c r="I15" s="1" t="inlineStr">
        <is>
          <t>Key</t>
        </is>
      </c>
    </row>
    <row r="16">
      <c r="A16">
        <f>A2</f>
        <v/>
      </c>
      <c r="B16" t="inlineStr">
        <is>
          <t>FY2026</t>
        </is>
      </c>
      <c r="C16">
        <f>IF(D2=1,0, BaselineCalc!$B$7 + ROUND(I2*F2,0))</f>
        <v/>
      </c>
      <c r="D16">
        <f>IF(E2=1,0, BaselineCalc!$B$8 + I2 - ROUND(I2*F2,0))</f>
        <v/>
      </c>
      <c r="E16">
        <f>C16+D16</f>
        <v/>
      </c>
      <c r="F16" s="2">
        <f>YearMap!B2</f>
        <v/>
      </c>
      <c r="G16" s="2">
        <f>YearMap!C2</f>
        <v/>
      </c>
      <c r="H16" s="2">
        <f>YearMap!D2</f>
        <v/>
      </c>
      <c r="I16">
        <f>A16&amp;"|"&amp;B16</f>
        <v/>
      </c>
    </row>
    <row r="17">
      <c r="A17">
        <f>A2</f>
        <v/>
      </c>
      <c r="B17" t="inlineStr">
        <is>
          <t>FY2027</t>
        </is>
      </c>
      <c r="C17">
        <f>IF(D2=1,0, BaselineCalc!$B$7 + ROUND(J2*F2,0))</f>
        <v/>
      </c>
      <c r="D17">
        <f>IF(E2=1,0, BaselineCalc!$B$8 + J2 - ROUND(J2*F2,0))</f>
        <v/>
      </c>
      <c r="E17">
        <f>C17+D17</f>
        <v/>
      </c>
      <c r="F17" s="2">
        <f>YearMap!B3</f>
        <v/>
      </c>
      <c r="G17" s="2">
        <f>YearMap!C3</f>
        <v/>
      </c>
      <c r="H17" s="2">
        <f>YearMap!D3</f>
        <v/>
      </c>
      <c r="I17">
        <f>A17&amp;"|"&amp;B17</f>
        <v/>
      </c>
    </row>
    <row r="18">
      <c r="A18">
        <f>A2</f>
        <v/>
      </c>
      <c r="B18" t="inlineStr">
        <is>
          <t>FY2028</t>
        </is>
      </c>
      <c r="C18">
        <f>IF(D2=1,0, BaselineCalc!$B$7 + ROUND(K2*F2,0))</f>
        <v/>
      </c>
      <c r="D18">
        <f>IF(E2=1,0, BaselineCalc!$B$8 + K2 - ROUND(K2*F2,0))</f>
        <v/>
      </c>
      <c r="E18">
        <f>C18+D18</f>
        <v/>
      </c>
      <c r="F18" s="2">
        <f>YearMap!B4</f>
        <v/>
      </c>
      <c r="G18" s="2">
        <f>YearMap!C4</f>
        <v/>
      </c>
      <c r="H18" s="2">
        <f>YearMap!D4</f>
        <v/>
      </c>
      <c r="I18">
        <f>A18&amp;"|"&amp;B18</f>
        <v/>
      </c>
    </row>
    <row r="19">
      <c r="A19">
        <f>A2</f>
        <v/>
      </c>
      <c r="B19" t="inlineStr">
        <is>
          <t>FY2029</t>
        </is>
      </c>
      <c r="C19">
        <f>IF(D2=1,0, BaselineCalc!$B$7 + ROUND(L2*F2,0))</f>
        <v/>
      </c>
      <c r="D19">
        <f>IF(E2=1,0, BaselineCalc!$B$8 + L2 - ROUND(L2*F2,0))</f>
        <v/>
      </c>
      <c r="E19">
        <f>C19+D19</f>
        <v/>
      </c>
      <c r="F19" s="2">
        <f>YearMap!B5</f>
        <v/>
      </c>
      <c r="G19" s="2">
        <f>YearMap!C5</f>
        <v/>
      </c>
      <c r="H19" s="2">
        <f>YearMap!D5</f>
        <v/>
      </c>
      <c r="I19">
        <f>A19&amp;"|"&amp;B19</f>
        <v/>
      </c>
    </row>
    <row r="20">
      <c r="A20">
        <f>A2</f>
        <v/>
      </c>
      <c r="B20" t="inlineStr">
        <is>
          <t>FY2030</t>
        </is>
      </c>
      <c r="C20">
        <f>IF(D2=1,0, BaselineCalc!$B$7 + ROUND(M2*F2,0))</f>
        <v/>
      </c>
      <c r="D20">
        <f>IF(E2=1,0, BaselineCalc!$B$8 + M2 - ROUND(M2*F2,0))</f>
        <v/>
      </c>
      <c r="E20">
        <f>C20+D20</f>
        <v/>
      </c>
      <c r="F20" s="2">
        <f>YearMap!B6</f>
        <v/>
      </c>
      <c r="G20" s="2">
        <f>YearMap!C6</f>
        <v/>
      </c>
      <c r="H20" s="2">
        <f>YearMap!D6</f>
        <v/>
      </c>
      <c r="I20">
        <f>A20&amp;"|"&amp;B20</f>
        <v/>
      </c>
    </row>
    <row r="21">
      <c r="A21">
        <f>A3</f>
        <v/>
      </c>
      <c r="B21" t="inlineStr">
        <is>
          <t>FY2026</t>
        </is>
      </c>
      <c r="C21">
        <f>IF(D3=1,0, BaselineCalc!$B$7 + ROUND(I3*F3,0))</f>
        <v/>
      </c>
      <c r="D21">
        <f>IF(E3=1,0, BaselineCalc!$B$8 + I3 - ROUND(I3*F3,0))</f>
        <v/>
      </c>
      <c r="E21">
        <f>C21+D21</f>
        <v/>
      </c>
      <c r="F21" s="2">
        <f>YearMap!B2</f>
        <v/>
      </c>
      <c r="G21" s="2">
        <f>YearMap!C2</f>
        <v/>
      </c>
      <c r="H21" s="2">
        <f>YearMap!D2</f>
        <v/>
      </c>
      <c r="I21">
        <f>A21&amp;"|"&amp;B21</f>
        <v/>
      </c>
    </row>
    <row r="22">
      <c r="A22">
        <f>A3</f>
        <v/>
      </c>
      <c r="B22" t="inlineStr">
        <is>
          <t>FY2027</t>
        </is>
      </c>
      <c r="C22">
        <f>IF(D3=1,0, BaselineCalc!$B$7 + ROUND(J3*F3,0))</f>
        <v/>
      </c>
      <c r="D22">
        <f>IF(E3=1,0, BaselineCalc!$B$8 + J3 - ROUND(J3*F3,0))</f>
        <v/>
      </c>
      <c r="E22">
        <f>C22+D22</f>
        <v/>
      </c>
      <c r="F22" s="2">
        <f>YearMap!B3</f>
        <v/>
      </c>
      <c r="G22" s="2">
        <f>YearMap!C3</f>
        <v/>
      </c>
      <c r="H22" s="2">
        <f>YearMap!D3</f>
        <v/>
      </c>
      <c r="I22">
        <f>A22&amp;"|"&amp;B22</f>
        <v/>
      </c>
    </row>
    <row r="23">
      <c r="A23">
        <f>A3</f>
        <v/>
      </c>
      <c r="B23" t="inlineStr">
        <is>
          <t>FY2028</t>
        </is>
      </c>
      <c r="C23">
        <f>IF(D3=1,0, BaselineCalc!$B$7 + ROUND(K3*F3,0))</f>
        <v/>
      </c>
      <c r="D23">
        <f>IF(E3=1,0, BaselineCalc!$B$8 + K3 - ROUND(K3*F3,0))</f>
        <v/>
      </c>
      <c r="E23">
        <f>C23+D23</f>
        <v/>
      </c>
      <c r="F23" s="2">
        <f>YearMap!B4</f>
        <v/>
      </c>
      <c r="G23" s="2">
        <f>YearMap!C4</f>
        <v/>
      </c>
      <c r="H23" s="2">
        <f>YearMap!D4</f>
        <v/>
      </c>
      <c r="I23">
        <f>A23&amp;"|"&amp;B23</f>
        <v/>
      </c>
    </row>
    <row r="24">
      <c r="A24">
        <f>A3</f>
        <v/>
      </c>
      <c r="B24" t="inlineStr">
        <is>
          <t>FY2029</t>
        </is>
      </c>
      <c r="C24">
        <f>IF(D3=1,0, BaselineCalc!$B$7 + ROUND(L3*F3,0))</f>
        <v/>
      </c>
      <c r="D24">
        <f>IF(E3=1,0, BaselineCalc!$B$8 + L3 - ROUND(L3*F3,0))</f>
        <v/>
      </c>
      <c r="E24">
        <f>C24+D24</f>
        <v/>
      </c>
      <c r="F24" s="2">
        <f>YearMap!B5</f>
        <v/>
      </c>
      <c r="G24" s="2">
        <f>YearMap!C5</f>
        <v/>
      </c>
      <c r="H24" s="2">
        <f>YearMap!D5</f>
        <v/>
      </c>
      <c r="I24">
        <f>A24&amp;"|"&amp;B24</f>
        <v/>
      </c>
    </row>
    <row r="25">
      <c r="A25">
        <f>A3</f>
        <v/>
      </c>
      <c r="B25" t="inlineStr">
        <is>
          <t>FY2030</t>
        </is>
      </c>
      <c r="C25">
        <f>IF(D3=1,0, BaselineCalc!$B$7 + ROUND(M3*F3,0))</f>
        <v/>
      </c>
      <c r="D25">
        <f>IF(E3=1,0, BaselineCalc!$B$8 + M3 - ROUND(M3*F3,0))</f>
        <v/>
      </c>
      <c r="E25">
        <f>C25+D25</f>
        <v/>
      </c>
      <c r="F25" s="2">
        <f>YearMap!B6</f>
        <v/>
      </c>
      <c r="G25" s="2">
        <f>YearMap!C6</f>
        <v/>
      </c>
      <c r="H25" s="2">
        <f>YearMap!D6</f>
        <v/>
      </c>
      <c r="I25">
        <f>A25&amp;"|"&amp;B25</f>
        <v/>
      </c>
    </row>
    <row r="26">
      <c r="A26">
        <f>A4</f>
        <v/>
      </c>
      <c r="B26" t="inlineStr">
        <is>
          <t>FY2026</t>
        </is>
      </c>
      <c r="C26">
        <f>IF(D4=1,0, BaselineCalc!$B$7 + ROUND(I4*F4,0))</f>
        <v/>
      </c>
      <c r="D26">
        <f>IF(E4=1,0, BaselineCalc!$B$8 + I4 - ROUND(I4*F4,0))</f>
        <v/>
      </c>
      <c r="E26">
        <f>C26+D26</f>
        <v/>
      </c>
      <c r="F26" s="2">
        <f>YearMap!B2</f>
        <v/>
      </c>
      <c r="G26" s="2">
        <f>YearMap!C2</f>
        <v/>
      </c>
      <c r="H26" s="2">
        <f>YearMap!D2</f>
        <v/>
      </c>
      <c r="I26">
        <f>A26&amp;"|"&amp;B26</f>
        <v/>
      </c>
    </row>
    <row r="27">
      <c r="A27">
        <f>A4</f>
        <v/>
      </c>
      <c r="B27" t="inlineStr">
        <is>
          <t>FY2027</t>
        </is>
      </c>
      <c r="C27">
        <f>IF(D4=1,0, BaselineCalc!$B$7 + ROUND(J4*F4,0))</f>
        <v/>
      </c>
      <c r="D27">
        <f>IF(E4=1,0, BaselineCalc!$B$8 + J4 - ROUND(J4*F4,0))</f>
        <v/>
      </c>
      <c r="E27">
        <f>C27+D27</f>
        <v/>
      </c>
      <c r="F27" s="2">
        <f>YearMap!B3</f>
        <v/>
      </c>
      <c r="G27" s="2">
        <f>YearMap!C3</f>
        <v/>
      </c>
      <c r="H27" s="2">
        <f>YearMap!D3</f>
        <v/>
      </c>
      <c r="I27">
        <f>A27&amp;"|"&amp;B27</f>
        <v/>
      </c>
    </row>
    <row r="28">
      <c r="A28">
        <f>A4</f>
        <v/>
      </c>
      <c r="B28" t="inlineStr">
        <is>
          <t>FY2028</t>
        </is>
      </c>
      <c r="C28">
        <f>IF(D4=1,0, BaselineCalc!$B$7 + ROUND(K4*F4,0))</f>
        <v/>
      </c>
      <c r="D28">
        <f>IF(E4=1,0, BaselineCalc!$B$8 + K4 - ROUND(K4*F4,0))</f>
        <v/>
      </c>
      <c r="E28">
        <f>C28+D28</f>
        <v/>
      </c>
      <c r="F28" s="2">
        <f>YearMap!B4</f>
        <v/>
      </c>
      <c r="G28" s="2">
        <f>YearMap!C4</f>
        <v/>
      </c>
      <c r="H28" s="2">
        <f>YearMap!D4</f>
        <v/>
      </c>
      <c r="I28">
        <f>A28&amp;"|"&amp;B28</f>
        <v/>
      </c>
    </row>
    <row r="29">
      <c r="A29">
        <f>A4</f>
        <v/>
      </c>
      <c r="B29" t="inlineStr">
        <is>
          <t>FY2029</t>
        </is>
      </c>
      <c r="C29">
        <f>IF(D4=1,0, BaselineCalc!$B$7 + ROUND(L4*F4,0))</f>
        <v/>
      </c>
      <c r="D29">
        <f>IF(E4=1,0, BaselineCalc!$B$8 + L4 - ROUND(L4*F4,0))</f>
        <v/>
      </c>
      <c r="E29">
        <f>C29+D29</f>
        <v/>
      </c>
      <c r="F29" s="2">
        <f>YearMap!B5</f>
        <v/>
      </c>
      <c r="G29" s="2">
        <f>YearMap!C5</f>
        <v/>
      </c>
      <c r="H29" s="2">
        <f>YearMap!D5</f>
        <v/>
      </c>
      <c r="I29">
        <f>A29&amp;"|"&amp;B29</f>
        <v/>
      </c>
    </row>
    <row r="30">
      <c r="A30">
        <f>A4</f>
        <v/>
      </c>
      <c r="B30" t="inlineStr">
        <is>
          <t>FY2030</t>
        </is>
      </c>
      <c r="C30">
        <f>IF(D4=1,0, BaselineCalc!$B$7 + ROUND(M4*F4,0))</f>
        <v/>
      </c>
      <c r="D30">
        <f>IF(E4=1,0, BaselineCalc!$B$8 + M4 - ROUND(M4*F4,0))</f>
        <v/>
      </c>
      <c r="E30">
        <f>C30+D30</f>
        <v/>
      </c>
      <c r="F30" s="2">
        <f>YearMap!B6</f>
        <v/>
      </c>
      <c r="G30" s="2">
        <f>YearMap!C6</f>
        <v/>
      </c>
      <c r="H30" s="2">
        <f>YearMap!D6</f>
        <v/>
      </c>
      <c r="I30">
        <f>A30&amp;"|"&amp;B30</f>
        <v/>
      </c>
    </row>
    <row r="31">
      <c r="A31">
        <f>A5</f>
        <v/>
      </c>
      <c r="B31" t="inlineStr">
        <is>
          <t>FY2026</t>
        </is>
      </c>
      <c r="C31">
        <f>IF(D5=1,0, BaselineCalc!$B$7 + ROUND(I5*F5,0))</f>
        <v/>
      </c>
      <c r="D31">
        <f>IF(E5=1,0, BaselineCalc!$B$8 + I5 - ROUND(I5*F5,0))</f>
        <v/>
      </c>
      <c r="E31">
        <f>C31+D31</f>
        <v/>
      </c>
      <c r="F31" s="2">
        <f>YearMap!B2</f>
        <v/>
      </c>
      <c r="G31" s="2">
        <f>YearMap!C2</f>
        <v/>
      </c>
      <c r="H31" s="2">
        <f>YearMap!D2</f>
        <v/>
      </c>
      <c r="I31">
        <f>A31&amp;"|"&amp;B31</f>
        <v/>
      </c>
    </row>
    <row r="32">
      <c r="A32">
        <f>A5</f>
        <v/>
      </c>
      <c r="B32" t="inlineStr">
        <is>
          <t>FY2027</t>
        </is>
      </c>
      <c r="C32">
        <f>IF(D5=1,0, BaselineCalc!$B$7 + ROUND(J5*F5,0))</f>
        <v/>
      </c>
      <c r="D32">
        <f>IF(E5=1,0, BaselineCalc!$B$8 + J5 - ROUND(J5*F5,0))</f>
        <v/>
      </c>
      <c r="E32">
        <f>C32+D32</f>
        <v/>
      </c>
      <c r="F32" s="2">
        <f>YearMap!B3</f>
        <v/>
      </c>
      <c r="G32" s="2">
        <f>YearMap!C3</f>
        <v/>
      </c>
      <c r="H32" s="2">
        <f>YearMap!D3</f>
        <v/>
      </c>
      <c r="I32">
        <f>A32&amp;"|"&amp;B32</f>
        <v/>
      </c>
    </row>
    <row r="33">
      <c r="A33">
        <f>A5</f>
        <v/>
      </c>
      <c r="B33" t="inlineStr">
        <is>
          <t>FY2028</t>
        </is>
      </c>
      <c r="C33">
        <f>IF(D5=1,0, BaselineCalc!$B$7 + ROUND(K5*F5,0))</f>
        <v/>
      </c>
      <c r="D33">
        <f>IF(E5=1,0, BaselineCalc!$B$8 + K5 - ROUND(K5*F5,0))</f>
        <v/>
      </c>
      <c r="E33">
        <f>C33+D33</f>
        <v/>
      </c>
      <c r="F33" s="2">
        <f>YearMap!B4</f>
        <v/>
      </c>
      <c r="G33" s="2">
        <f>YearMap!C4</f>
        <v/>
      </c>
      <c r="H33" s="2">
        <f>YearMap!D4</f>
        <v/>
      </c>
      <c r="I33">
        <f>A33&amp;"|"&amp;B33</f>
        <v/>
      </c>
    </row>
    <row r="34">
      <c r="A34">
        <f>A5</f>
        <v/>
      </c>
      <c r="B34" t="inlineStr">
        <is>
          <t>FY2029</t>
        </is>
      </c>
      <c r="C34">
        <f>IF(D5=1,0, BaselineCalc!$B$7 + ROUND(L5*F5,0))</f>
        <v/>
      </c>
      <c r="D34">
        <f>IF(E5=1,0, BaselineCalc!$B$8 + L5 - ROUND(L5*F5,0))</f>
        <v/>
      </c>
      <c r="E34">
        <f>C34+D34</f>
        <v/>
      </c>
      <c r="F34" s="2">
        <f>YearMap!B5</f>
        <v/>
      </c>
      <c r="G34" s="2">
        <f>YearMap!C5</f>
        <v/>
      </c>
      <c r="H34" s="2">
        <f>YearMap!D5</f>
        <v/>
      </c>
      <c r="I34">
        <f>A34&amp;"|"&amp;B34</f>
        <v/>
      </c>
    </row>
    <row r="35">
      <c r="A35">
        <f>A5</f>
        <v/>
      </c>
      <c r="B35" t="inlineStr">
        <is>
          <t>FY2030</t>
        </is>
      </c>
      <c r="C35">
        <f>IF(D5=1,0, BaselineCalc!$B$7 + ROUND(M5*F5,0))</f>
        <v/>
      </c>
      <c r="D35">
        <f>IF(E5=1,0, BaselineCalc!$B$8 + M5 - ROUND(M5*F5,0))</f>
        <v/>
      </c>
      <c r="E35">
        <f>C35+D35</f>
        <v/>
      </c>
      <c r="F35" s="2">
        <f>YearMap!B6</f>
        <v/>
      </c>
      <c r="G35" s="2">
        <f>YearMap!C6</f>
        <v/>
      </c>
      <c r="H35" s="2">
        <f>YearMap!D6</f>
        <v/>
      </c>
      <c r="I35">
        <f>A35&amp;"|"&amp;B35</f>
        <v/>
      </c>
    </row>
    <row r="36">
      <c r="A36">
        <f>A6</f>
        <v/>
      </c>
      <c r="B36" t="inlineStr">
        <is>
          <t>FY2026</t>
        </is>
      </c>
      <c r="C36">
        <f>IF(D6=1,0, BaselineCalc!$B$7 + ROUND(I6*F6,0))</f>
        <v/>
      </c>
      <c r="D36">
        <f>IF(E6=1,0, BaselineCalc!$B$8 + I6 - ROUND(I6*F6,0))</f>
        <v/>
      </c>
      <c r="E36">
        <f>C36+D36</f>
        <v/>
      </c>
      <c r="F36" s="2">
        <f>YearMap!B2</f>
        <v/>
      </c>
      <c r="G36" s="2">
        <f>YearMap!C2</f>
        <v/>
      </c>
      <c r="H36" s="2">
        <f>YearMap!D2</f>
        <v/>
      </c>
      <c r="I36">
        <f>A36&amp;"|"&amp;B36</f>
        <v/>
      </c>
    </row>
    <row r="37">
      <c r="A37">
        <f>A6</f>
        <v/>
      </c>
      <c r="B37" t="inlineStr">
        <is>
          <t>FY2027</t>
        </is>
      </c>
      <c r="C37">
        <f>IF(D6=1,0, BaselineCalc!$B$7 + ROUND(J6*F6,0))</f>
        <v/>
      </c>
      <c r="D37">
        <f>IF(E6=1,0, BaselineCalc!$B$8 + J6 - ROUND(J6*F6,0))</f>
        <v/>
      </c>
      <c r="E37">
        <f>C37+D37</f>
        <v/>
      </c>
      <c r="F37" s="2">
        <f>YearMap!B3</f>
        <v/>
      </c>
      <c r="G37" s="2">
        <f>YearMap!C3</f>
        <v/>
      </c>
      <c r="H37" s="2">
        <f>YearMap!D3</f>
        <v/>
      </c>
      <c r="I37">
        <f>A37&amp;"|"&amp;B37</f>
        <v/>
      </c>
    </row>
    <row r="38">
      <c r="A38">
        <f>A6</f>
        <v/>
      </c>
      <c r="B38" t="inlineStr">
        <is>
          <t>FY2028</t>
        </is>
      </c>
      <c r="C38">
        <f>IF(D6=1,0, BaselineCalc!$B$7 + ROUND(K6*F6,0))</f>
        <v/>
      </c>
      <c r="D38">
        <f>IF(E6=1,0, BaselineCalc!$B$8 + K6 - ROUND(K6*F6,0))</f>
        <v/>
      </c>
      <c r="E38">
        <f>C38+D38</f>
        <v/>
      </c>
      <c r="F38" s="2">
        <f>YearMap!B4</f>
        <v/>
      </c>
      <c r="G38" s="2">
        <f>YearMap!C4</f>
        <v/>
      </c>
      <c r="H38" s="2">
        <f>YearMap!D4</f>
        <v/>
      </c>
      <c r="I38">
        <f>A38&amp;"|"&amp;B38</f>
        <v/>
      </c>
    </row>
    <row r="39">
      <c r="A39">
        <f>A6</f>
        <v/>
      </c>
      <c r="B39" t="inlineStr">
        <is>
          <t>FY2029</t>
        </is>
      </c>
      <c r="C39">
        <f>IF(D6=1,0, BaselineCalc!$B$7 + ROUND(L6*F6,0))</f>
        <v/>
      </c>
      <c r="D39">
        <f>IF(E6=1,0, BaselineCalc!$B$8 + L6 - ROUND(L6*F6,0))</f>
        <v/>
      </c>
      <c r="E39">
        <f>C39+D39</f>
        <v/>
      </c>
      <c r="F39" s="2">
        <f>YearMap!B5</f>
        <v/>
      </c>
      <c r="G39" s="2">
        <f>YearMap!C5</f>
        <v/>
      </c>
      <c r="H39" s="2">
        <f>YearMap!D5</f>
        <v/>
      </c>
      <c r="I39">
        <f>A39&amp;"|"&amp;B39</f>
        <v/>
      </c>
    </row>
    <row r="40">
      <c r="A40">
        <f>A6</f>
        <v/>
      </c>
      <c r="B40" t="inlineStr">
        <is>
          <t>FY2030</t>
        </is>
      </c>
      <c r="C40">
        <f>IF(D6=1,0, BaselineCalc!$B$7 + ROUND(M6*F6,0))</f>
        <v/>
      </c>
      <c r="D40">
        <f>IF(E6=1,0, BaselineCalc!$B$8 + M6 - ROUND(M6*F6,0))</f>
        <v/>
      </c>
      <c r="E40">
        <f>C40+D40</f>
        <v/>
      </c>
      <c r="F40" s="2">
        <f>YearMap!B6</f>
        <v/>
      </c>
      <c r="G40" s="2">
        <f>YearMap!C6</f>
        <v/>
      </c>
      <c r="H40" s="2">
        <f>YearMap!D6</f>
        <v/>
      </c>
      <c r="I40">
        <f>A40&amp;"|"&amp;B40</f>
        <v/>
      </c>
    </row>
    <row r="41">
      <c r="A41">
        <f>A7</f>
        <v/>
      </c>
      <c r="B41" t="inlineStr">
        <is>
          <t>FY2026</t>
        </is>
      </c>
      <c r="C41">
        <f>IF(D7=1,0, BaselineCalc!$B$7 + ROUND(I7*F7,0))</f>
        <v/>
      </c>
      <c r="D41">
        <f>IF(E7=1,0, BaselineCalc!$B$8 + I7 - ROUND(I7*F7,0))</f>
        <v/>
      </c>
      <c r="E41">
        <f>C41+D41</f>
        <v/>
      </c>
      <c r="F41" s="2">
        <f>YearMap!B2</f>
        <v/>
      </c>
      <c r="G41" s="2">
        <f>YearMap!C2</f>
        <v/>
      </c>
      <c r="H41" s="2">
        <f>YearMap!D2</f>
        <v/>
      </c>
      <c r="I41">
        <f>A41&amp;"|"&amp;B41</f>
        <v/>
      </c>
    </row>
    <row r="42">
      <c r="A42">
        <f>A7</f>
        <v/>
      </c>
      <c r="B42" t="inlineStr">
        <is>
          <t>FY2027</t>
        </is>
      </c>
      <c r="C42">
        <f>IF(D7=1,0, BaselineCalc!$B$7 + ROUND(J7*F7,0))</f>
        <v/>
      </c>
      <c r="D42">
        <f>IF(E7=1,0, BaselineCalc!$B$8 + J7 - ROUND(J7*F7,0))</f>
        <v/>
      </c>
      <c r="E42">
        <f>C42+D42</f>
        <v/>
      </c>
      <c r="F42" s="2">
        <f>YearMap!B3</f>
        <v/>
      </c>
      <c r="G42" s="2">
        <f>YearMap!C3</f>
        <v/>
      </c>
      <c r="H42" s="2">
        <f>YearMap!D3</f>
        <v/>
      </c>
      <c r="I42">
        <f>A42&amp;"|"&amp;B42</f>
        <v/>
      </c>
    </row>
    <row r="43">
      <c r="A43">
        <f>A7</f>
        <v/>
      </c>
      <c r="B43" t="inlineStr">
        <is>
          <t>FY2028</t>
        </is>
      </c>
      <c r="C43">
        <f>IF(D7=1,0, BaselineCalc!$B$7 + ROUND(K7*F7,0))</f>
        <v/>
      </c>
      <c r="D43">
        <f>IF(E7=1,0, BaselineCalc!$B$8 + K7 - ROUND(K7*F7,0))</f>
        <v/>
      </c>
      <c r="E43">
        <f>C43+D43</f>
        <v/>
      </c>
      <c r="F43" s="2">
        <f>YearMap!B4</f>
        <v/>
      </c>
      <c r="G43" s="2">
        <f>YearMap!C4</f>
        <v/>
      </c>
      <c r="H43" s="2">
        <f>YearMap!D4</f>
        <v/>
      </c>
      <c r="I43">
        <f>A43&amp;"|"&amp;B43</f>
        <v/>
      </c>
    </row>
    <row r="44">
      <c r="A44">
        <f>A7</f>
        <v/>
      </c>
      <c r="B44" t="inlineStr">
        <is>
          <t>FY2029</t>
        </is>
      </c>
      <c r="C44">
        <f>IF(D7=1,0, BaselineCalc!$B$7 + ROUND(L7*F7,0))</f>
        <v/>
      </c>
      <c r="D44">
        <f>IF(E7=1,0, BaselineCalc!$B$8 + L7 - ROUND(L7*F7,0))</f>
        <v/>
      </c>
      <c r="E44">
        <f>C44+D44</f>
        <v/>
      </c>
      <c r="F44" s="2">
        <f>YearMap!B5</f>
        <v/>
      </c>
      <c r="G44" s="2">
        <f>YearMap!C5</f>
        <v/>
      </c>
      <c r="H44" s="2">
        <f>YearMap!D5</f>
        <v/>
      </c>
      <c r="I44">
        <f>A44&amp;"|"&amp;B44</f>
        <v/>
      </c>
    </row>
    <row r="45">
      <c r="A45">
        <f>A7</f>
        <v/>
      </c>
      <c r="B45" t="inlineStr">
        <is>
          <t>FY2030</t>
        </is>
      </c>
      <c r="C45">
        <f>IF(D7=1,0, BaselineCalc!$B$7 + ROUND(M7*F7,0))</f>
        <v/>
      </c>
      <c r="D45">
        <f>IF(E7=1,0, BaselineCalc!$B$8 + M7 - ROUND(M7*F7,0))</f>
        <v/>
      </c>
      <c r="E45">
        <f>C45+D45</f>
        <v/>
      </c>
      <c r="F45" s="2">
        <f>YearMap!B6</f>
        <v/>
      </c>
      <c r="G45" s="2">
        <f>YearMap!C6</f>
        <v/>
      </c>
      <c r="H45" s="2">
        <f>YearMap!D6</f>
        <v/>
      </c>
      <c r="I45">
        <f>A45&amp;"|"&amp;B45</f>
        <v/>
      </c>
    </row>
    <row r="46">
      <c r="A46">
        <f>A8</f>
        <v/>
      </c>
      <c r="B46" t="inlineStr">
        <is>
          <t>FY2026</t>
        </is>
      </c>
      <c r="C46">
        <f>IF(D8=1,0, BaselineCalc!$B$7 + ROUND(I8*F8,0))</f>
        <v/>
      </c>
      <c r="D46">
        <f>IF(E8=1,0, BaselineCalc!$B$8 + I8 - ROUND(I8*F8,0))</f>
        <v/>
      </c>
      <c r="E46">
        <f>C46+D46</f>
        <v/>
      </c>
      <c r="F46" s="2">
        <f>YearMap!B2</f>
        <v/>
      </c>
      <c r="G46" s="2">
        <f>YearMap!C2</f>
        <v/>
      </c>
      <c r="H46" s="2">
        <f>YearMap!D2</f>
        <v/>
      </c>
      <c r="I46">
        <f>A46&amp;"|"&amp;B46</f>
        <v/>
      </c>
    </row>
    <row r="47">
      <c r="A47">
        <f>A8</f>
        <v/>
      </c>
      <c r="B47" t="inlineStr">
        <is>
          <t>FY2027</t>
        </is>
      </c>
      <c r="C47">
        <f>IF(D8=1,0, BaselineCalc!$B$7 + ROUND(J8*F8,0))</f>
        <v/>
      </c>
      <c r="D47">
        <f>IF(E8=1,0, BaselineCalc!$B$8 + J8 - ROUND(J8*F8,0))</f>
        <v/>
      </c>
      <c r="E47">
        <f>C47+D47</f>
        <v/>
      </c>
      <c r="F47" s="2">
        <f>YearMap!B3</f>
        <v/>
      </c>
      <c r="G47" s="2">
        <f>YearMap!C3</f>
        <v/>
      </c>
      <c r="H47" s="2">
        <f>YearMap!D3</f>
        <v/>
      </c>
      <c r="I47">
        <f>A47&amp;"|"&amp;B47</f>
        <v/>
      </c>
    </row>
    <row r="48">
      <c r="A48">
        <f>A8</f>
        <v/>
      </c>
      <c r="B48" t="inlineStr">
        <is>
          <t>FY2028</t>
        </is>
      </c>
      <c r="C48">
        <f>IF(D8=1,0, BaselineCalc!$B$7 + ROUND(K8*F8,0))</f>
        <v/>
      </c>
      <c r="D48">
        <f>IF(E8=1,0, BaselineCalc!$B$8 + K8 - ROUND(K8*F8,0))</f>
        <v/>
      </c>
      <c r="E48">
        <f>C48+D48</f>
        <v/>
      </c>
      <c r="F48" s="2">
        <f>YearMap!B4</f>
        <v/>
      </c>
      <c r="G48" s="2">
        <f>YearMap!C4</f>
        <v/>
      </c>
      <c r="H48" s="2">
        <f>YearMap!D4</f>
        <v/>
      </c>
      <c r="I48">
        <f>A48&amp;"|"&amp;B48</f>
        <v/>
      </c>
    </row>
    <row r="49">
      <c r="A49">
        <f>A8</f>
        <v/>
      </c>
      <c r="B49" t="inlineStr">
        <is>
          <t>FY2029</t>
        </is>
      </c>
      <c r="C49">
        <f>IF(D8=1,0, BaselineCalc!$B$7 + ROUND(L8*F8,0))</f>
        <v/>
      </c>
      <c r="D49">
        <f>IF(E8=1,0, BaselineCalc!$B$8 + L8 - ROUND(L8*F8,0))</f>
        <v/>
      </c>
      <c r="E49">
        <f>C49+D49</f>
        <v/>
      </c>
      <c r="F49" s="2">
        <f>YearMap!B5</f>
        <v/>
      </c>
      <c r="G49" s="2">
        <f>YearMap!C5</f>
        <v/>
      </c>
      <c r="H49" s="2">
        <f>YearMap!D5</f>
        <v/>
      </c>
      <c r="I49">
        <f>A49&amp;"|"&amp;B49</f>
        <v/>
      </c>
    </row>
    <row r="50">
      <c r="A50">
        <f>A8</f>
        <v/>
      </c>
      <c r="B50" t="inlineStr">
        <is>
          <t>FY2030</t>
        </is>
      </c>
      <c r="C50">
        <f>IF(D8=1,0, BaselineCalc!$B$7 + ROUND(M8*F8,0))</f>
        <v/>
      </c>
      <c r="D50">
        <f>IF(E8=1,0, BaselineCalc!$B$8 + M8 - ROUND(M8*F8,0))</f>
        <v/>
      </c>
      <c r="E50">
        <f>C50+D50</f>
        <v/>
      </c>
      <c r="F50" s="2">
        <f>YearMap!B6</f>
        <v/>
      </c>
      <c r="G50" s="2">
        <f>YearMap!C6</f>
        <v/>
      </c>
      <c r="H50" s="2">
        <f>YearMap!D6</f>
        <v/>
      </c>
      <c r="I50">
        <f>A50&amp;"|"&amp;B50</f>
        <v/>
      </c>
    </row>
    <row r="51">
      <c r="A51">
        <f>A9</f>
        <v/>
      </c>
      <c r="B51" t="inlineStr">
        <is>
          <t>FY2026</t>
        </is>
      </c>
      <c r="C51">
        <f>IF(D9=1,0, BaselineCalc!$B$7 + ROUND(I9*F9,0))</f>
        <v/>
      </c>
      <c r="D51">
        <f>IF(E9=1,0, BaselineCalc!$B$8 + I9 - ROUND(I9*F9,0))</f>
        <v/>
      </c>
      <c r="E51">
        <f>C51+D51</f>
        <v/>
      </c>
      <c r="F51" s="2">
        <f>YearMap!B2</f>
        <v/>
      </c>
      <c r="G51" s="2">
        <f>YearMap!C2</f>
        <v/>
      </c>
      <c r="H51" s="2">
        <f>YearMap!D2</f>
        <v/>
      </c>
      <c r="I51">
        <f>A51&amp;"|"&amp;B51</f>
        <v/>
      </c>
    </row>
    <row r="52">
      <c r="A52">
        <f>A9</f>
        <v/>
      </c>
      <c r="B52" t="inlineStr">
        <is>
          <t>FY2027</t>
        </is>
      </c>
      <c r="C52">
        <f>IF(D9=1,0, BaselineCalc!$B$7 + ROUND(J9*F9,0))</f>
        <v/>
      </c>
      <c r="D52">
        <f>IF(E9=1,0, BaselineCalc!$B$8 + J9 - ROUND(J9*F9,0))</f>
        <v/>
      </c>
      <c r="E52">
        <f>C52+D52</f>
        <v/>
      </c>
      <c r="F52" s="2">
        <f>YearMap!B3</f>
        <v/>
      </c>
      <c r="G52" s="2">
        <f>YearMap!C3</f>
        <v/>
      </c>
      <c r="H52" s="2">
        <f>YearMap!D3</f>
        <v/>
      </c>
      <c r="I52">
        <f>A52&amp;"|"&amp;B52</f>
        <v/>
      </c>
    </row>
    <row r="53">
      <c r="A53">
        <f>A9</f>
        <v/>
      </c>
      <c r="B53" t="inlineStr">
        <is>
          <t>FY2028</t>
        </is>
      </c>
      <c r="C53">
        <f>IF(D9=1,0, BaselineCalc!$B$7 + ROUND(K9*F9,0))</f>
        <v/>
      </c>
      <c r="D53">
        <f>IF(E9=1,0, BaselineCalc!$B$8 + K9 - ROUND(K9*F9,0))</f>
        <v/>
      </c>
      <c r="E53">
        <f>C53+D53</f>
        <v/>
      </c>
      <c r="F53" s="2">
        <f>YearMap!B4</f>
        <v/>
      </c>
      <c r="G53" s="2">
        <f>YearMap!C4</f>
        <v/>
      </c>
      <c r="H53" s="2">
        <f>YearMap!D4</f>
        <v/>
      </c>
      <c r="I53">
        <f>A53&amp;"|"&amp;B53</f>
        <v/>
      </c>
    </row>
    <row r="54">
      <c r="A54">
        <f>A9</f>
        <v/>
      </c>
      <c r="B54" t="inlineStr">
        <is>
          <t>FY2029</t>
        </is>
      </c>
      <c r="C54">
        <f>IF(D9=1,0, BaselineCalc!$B$7 + ROUND(L9*F9,0))</f>
        <v/>
      </c>
      <c r="D54">
        <f>IF(E9=1,0, BaselineCalc!$B$8 + L9 - ROUND(L9*F9,0))</f>
        <v/>
      </c>
      <c r="E54">
        <f>C54+D54</f>
        <v/>
      </c>
      <c r="F54" s="2">
        <f>YearMap!B5</f>
        <v/>
      </c>
      <c r="G54" s="2">
        <f>YearMap!C5</f>
        <v/>
      </c>
      <c r="H54" s="2">
        <f>YearMap!D5</f>
        <v/>
      </c>
      <c r="I54">
        <f>A54&amp;"|"&amp;B54</f>
        <v/>
      </c>
    </row>
    <row r="55">
      <c r="A55">
        <f>A9</f>
        <v/>
      </c>
      <c r="B55" t="inlineStr">
        <is>
          <t>FY2030</t>
        </is>
      </c>
      <c r="C55">
        <f>IF(D9=1,0, BaselineCalc!$B$7 + ROUND(M9*F9,0))</f>
        <v/>
      </c>
      <c r="D55">
        <f>IF(E9=1,0, BaselineCalc!$B$8 + M9 - ROUND(M9*F9,0))</f>
        <v/>
      </c>
      <c r="E55">
        <f>C55+D55</f>
        <v/>
      </c>
      <c r="F55" s="2">
        <f>YearMap!B6</f>
        <v/>
      </c>
      <c r="G55" s="2">
        <f>YearMap!C6</f>
        <v/>
      </c>
      <c r="H55" s="2">
        <f>YearMap!D6</f>
        <v/>
      </c>
      <c r="I55">
        <f>A55&amp;"|"&amp;B55</f>
        <v/>
      </c>
    </row>
    <row r="56">
      <c r="A56">
        <f>A10</f>
        <v/>
      </c>
      <c r="B56" t="inlineStr">
        <is>
          <t>FY2026</t>
        </is>
      </c>
      <c r="C56">
        <f>IF(D10=1,0, BaselineCalc!$B$7 + ROUND(I10*F10,0))</f>
        <v/>
      </c>
      <c r="D56">
        <f>IF(E10=1,0, BaselineCalc!$B$8 + I10 - ROUND(I10*F10,0))</f>
        <v/>
      </c>
      <c r="E56">
        <f>C56+D56</f>
        <v/>
      </c>
      <c r="F56" s="2">
        <f>YearMap!B2</f>
        <v/>
      </c>
      <c r="G56" s="2">
        <f>YearMap!C2</f>
        <v/>
      </c>
      <c r="H56" s="2">
        <f>YearMap!D2</f>
        <v/>
      </c>
      <c r="I56">
        <f>A56&amp;"|"&amp;B56</f>
        <v/>
      </c>
    </row>
    <row r="57">
      <c r="A57">
        <f>A10</f>
        <v/>
      </c>
      <c r="B57" t="inlineStr">
        <is>
          <t>FY2027</t>
        </is>
      </c>
      <c r="C57">
        <f>IF(D10=1,0, BaselineCalc!$B$7 + ROUND(J10*F10,0))</f>
        <v/>
      </c>
      <c r="D57">
        <f>IF(E10=1,0, BaselineCalc!$B$8 + J10 - ROUND(J10*F10,0))</f>
        <v/>
      </c>
      <c r="E57">
        <f>C57+D57</f>
        <v/>
      </c>
      <c r="F57" s="2">
        <f>YearMap!B3</f>
        <v/>
      </c>
      <c r="G57" s="2">
        <f>YearMap!C3</f>
        <v/>
      </c>
      <c r="H57" s="2">
        <f>YearMap!D3</f>
        <v/>
      </c>
      <c r="I57">
        <f>A57&amp;"|"&amp;B57</f>
        <v/>
      </c>
    </row>
    <row r="58">
      <c r="A58">
        <f>A10</f>
        <v/>
      </c>
      <c r="B58" t="inlineStr">
        <is>
          <t>FY2028</t>
        </is>
      </c>
      <c r="C58">
        <f>IF(D10=1,0, BaselineCalc!$B$7 + ROUND(K10*F10,0))</f>
        <v/>
      </c>
      <c r="D58">
        <f>IF(E10=1,0, BaselineCalc!$B$8 + K10 - ROUND(K10*F10,0))</f>
        <v/>
      </c>
      <c r="E58">
        <f>C58+D58</f>
        <v/>
      </c>
      <c r="F58" s="2">
        <f>YearMap!B4</f>
        <v/>
      </c>
      <c r="G58" s="2">
        <f>YearMap!C4</f>
        <v/>
      </c>
      <c r="H58" s="2">
        <f>YearMap!D4</f>
        <v/>
      </c>
      <c r="I58">
        <f>A58&amp;"|"&amp;B58</f>
        <v/>
      </c>
    </row>
    <row r="59">
      <c r="A59">
        <f>A10</f>
        <v/>
      </c>
      <c r="B59" t="inlineStr">
        <is>
          <t>FY2029</t>
        </is>
      </c>
      <c r="C59">
        <f>IF(D10=1,0, BaselineCalc!$B$7 + ROUND(L10*F10,0))</f>
        <v/>
      </c>
      <c r="D59">
        <f>IF(E10=1,0, BaselineCalc!$B$8 + L10 - ROUND(L10*F10,0))</f>
        <v/>
      </c>
      <c r="E59">
        <f>C59+D59</f>
        <v/>
      </c>
      <c r="F59" s="2">
        <f>YearMap!B5</f>
        <v/>
      </c>
      <c r="G59" s="2">
        <f>YearMap!C5</f>
        <v/>
      </c>
      <c r="H59" s="2">
        <f>YearMap!D5</f>
        <v/>
      </c>
      <c r="I59">
        <f>A59&amp;"|"&amp;B59</f>
        <v/>
      </c>
    </row>
    <row r="60">
      <c r="A60">
        <f>A10</f>
        <v/>
      </c>
      <c r="B60" t="inlineStr">
        <is>
          <t>FY2030</t>
        </is>
      </c>
      <c r="C60">
        <f>IF(D10=1,0, BaselineCalc!$B$7 + ROUND(M10*F10,0))</f>
        <v/>
      </c>
      <c r="D60">
        <f>IF(E10=1,0, BaselineCalc!$B$8 + M10 - ROUND(M10*F10,0))</f>
        <v/>
      </c>
      <c r="E60">
        <f>C60+D60</f>
        <v/>
      </c>
      <c r="F60" s="2">
        <f>YearMap!B6</f>
        <v/>
      </c>
      <c r="G60" s="2">
        <f>YearMap!C6</f>
        <v/>
      </c>
      <c r="H60" s="2">
        <f>YearMap!D6</f>
        <v/>
      </c>
      <c r="I60">
        <f>A60&amp;"|"&amp;B60</f>
        <v/>
      </c>
    </row>
    <row r="61">
      <c r="A61">
        <f>A11</f>
        <v/>
      </c>
      <c r="B61" t="inlineStr">
        <is>
          <t>FY2026</t>
        </is>
      </c>
      <c r="C61">
        <f>IF(D11=1,0, BaselineCalc!$B$7 + ROUND(I11*F11,0))</f>
        <v/>
      </c>
      <c r="D61">
        <f>IF(E11=1,0, BaselineCalc!$B$8 + I11 - ROUND(I11*F11,0))</f>
        <v/>
      </c>
      <c r="E61">
        <f>C61+D61</f>
        <v/>
      </c>
      <c r="F61" s="2">
        <f>YearMap!B2</f>
        <v/>
      </c>
      <c r="G61" s="2">
        <f>YearMap!C2</f>
        <v/>
      </c>
      <c r="H61" s="2">
        <f>YearMap!D2</f>
        <v/>
      </c>
      <c r="I61">
        <f>A61&amp;"|"&amp;B61</f>
        <v/>
      </c>
    </row>
    <row r="62">
      <c r="A62">
        <f>A11</f>
        <v/>
      </c>
      <c r="B62" t="inlineStr">
        <is>
          <t>FY2027</t>
        </is>
      </c>
      <c r="C62">
        <f>IF(D11=1,0, BaselineCalc!$B$7 + ROUND(J11*F11,0))</f>
        <v/>
      </c>
      <c r="D62">
        <f>IF(E11=1,0, BaselineCalc!$B$8 + J11 - ROUND(J11*F11,0))</f>
        <v/>
      </c>
      <c r="E62">
        <f>C62+D62</f>
        <v/>
      </c>
      <c r="F62" s="2">
        <f>YearMap!B3</f>
        <v/>
      </c>
      <c r="G62" s="2">
        <f>YearMap!C3</f>
        <v/>
      </c>
      <c r="H62" s="2">
        <f>YearMap!D3</f>
        <v/>
      </c>
      <c r="I62">
        <f>A62&amp;"|"&amp;B62</f>
        <v/>
      </c>
    </row>
    <row r="63">
      <c r="A63">
        <f>A11</f>
        <v/>
      </c>
      <c r="B63" t="inlineStr">
        <is>
          <t>FY2028</t>
        </is>
      </c>
      <c r="C63">
        <f>IF(D11=1,0, BaselineCalc!$B$7 + ROUND(K11*F11,0))</f>
        <v/>
      </c>
      <c r="D63">
        <f>IF(E11=1,0, BaselineCalc!$B$8 + K11 - ROUND(K11*F11,0))</f>
        <v/>
      </c>
      <c r="E63">
        <f>C63+D63</f>
        <v/>
      </c>
      <c r="F63" s="2">
        <f>YearMap!B4</f>
        <v/>
      </c>
      <c r="G63" s="2">
        <f>YearMap!C4</f>
        <v/>
      </c>
      <c r="H63" s="2">
        <f>YearMap!D4</f>
        <v/>
      </c>
      <c r="I63">
        <f>A63&amp;"|"&amp;B63</f>
        <v/>
      </c>
    </row>
    <row r="64">
      <c r="A64">
        <f>A11</f>
        <v/>
      </c>
      <c r="B64" t="inlineStr">
        <is>
          <t>FY2029</t>
        </is>
      </c>
      <c r="C64">
        <f>IF(D11=1,0, BaselineCalc!$B$7 + ROUND(L11*F11,0))</f>
        <v/>
      </c>
      <c r="D64">
        <f>IF(E11=1,0, BaselineCalc!$B$8 + L11 - ROUND(L11*F11,0))</f>
        <v/>
      </c>
      <c r="E64">
        <f>C64+D64</f>
        <v/>
      </c>
      <c r="F64" s="2">
        <f>YearMap!B5</f>
        <v/>
      </c>
      <c r="G64" s="2">
        <f>YearMap!C5</f>
        <v/>
      </c>
      <c r="H64" s="2">
        <f>YearMap!D5</f>
        <v/>
      </c>
      <c r="I64">
        <f>A64&amp;"|"&amp;B64</f>
        <v/>
      </c>
    </row>
    <row r="65">
      <c r="A65">
        <f>A11</f>
        <v/>
      </c>
      <c r="B65" t="inlineStr">
        <is>
          <t>FY2030</t>
        </is>
      </c>
      <c r="C65">
        <f>IF(D11=1,0, BaselineCalc!$B$7 + ROUND(M11*F11,0))</f>
        <v/>
      </c>
      <c r="D65">
        <f>IF(E11=1,0, BaselineCalc!$B$8 + M11 - ROUND(M11*F11,0))</f>
        <v/>
      </c>
      <c r="E65">
        <f>C65+D65</f>
        <v/>
      </c>
      <c r="F65" s="2">
        <f>YearMap!B6</f>
        <v/>
      </c>
      <c r="G65" s="2">
        <f>YearMap!C6</f>
        <v/>
      </c>
      <c r="H65" s="2">
        <f>YearMap!D6</f>
        <v/>
      </c>
      <c r="I65">
        <f>A65&amp;"|"&amp;B65</f>
        <v/>
      </c>
    </row>
    <row r="66">
      <c r="A66">
        <f>A12</f>
        <v/>
      </c>
      <c r="B66" t="inlineStr">
        <is>
          <t>FY2026</t>
        </is>
      </c>
      <c r="C66">
        <f>IF(D12=1,0, BaselineCalc!$B$7 + ROUND(I12*F12,0))</f>
        <v/>
      </c>
      <c r="D66">
        <f>IF(E12=1,0, BaselineCalc!$B$8 + I12 - ROUND(I12*F12,0))</f>
        <v/>
      </c>
      <c r="E66">
        <f>C66+D66</f>
        <v/>
      </c>
      <c r="F66" s="2">
        <f>YearMap!B2</f>
        <v/>
      </c>
      <c r="G66" s="2">
        <f>YearMap!C2</f>
        <v/>
      </c>
      <c r="H66" s="2">
        <f>YearMap!D2</f>
        <v/>
      </c>
      <c r="I66">
        <f>A66&amp;"|"&amp;B66</f>
        <v/>
      </c>
    </row>
    <row r="67">
      <c r="A67">
        <f>A12</f>
        <v/>
      </c>
      <c r="B67" t="inlineStr">
        <is>
          <t>FY2027</t>
        </is>
      </c>
      <c r="C67">
        <f>IF(D12=1,0, BaselineCalc!$B$7 + ROUND(J12*F12,0))</f>
        <v/>
      </c>
      <c r="D67">
        <f>IF(E12=1,0, BaselineCalc!$B$8 + J12 - ROUND(J12*F12,0))</f>
        <v/>
      </c>
      <c r="E67">
        <f>C67+D67</f>
        <v/>
      </c>
      <c r="F67" s="2">
        <f>YearMap!B3</f>
        <v/>
      </c>
      <c r="G67" s="2">
        <f>YearMap!C3</f>
        <v/>
      </c>
      <c r="H67" s="2">
        <f>YearMap!D3</f>
        <v/>
      </c>
      <c r="I67">
        <f>A67&amp;"|"&amp;B67</f>
        <v/>
      </c>
    </row>
    <row r="68">
      <c r="A68">
        <f>A12</f>
        <v/>
      </c>
      <c r="B68" t="inlineStr">
        <is>
          <t>FY2028</t>
        </is>
      </c>
      <c r="C68">
        <f>IF(D12=1,0, BaselineCalc!$B$7 + ROUND(K12*F12,0))</f>
        <v/>
      </c>
      <c r="D68">
        <f>IF(E12=1,0, BaselineCalc!$B$8 + K12 - ROUND(K12*F12,0))</f>
        <v/>
      </c>
      <c r="E68">
        <f>C68+D68</f>
        <v/>
      </c>
      <c r="F68" s="2">
        <f>YearMap!B4</f>
        <v/>
      </c>
      <c r="G68" s="2">
        <f>YearMap!C4</f>
        <v/>
      </c>
      <c r="H68" s="2">
        <f>YearMap!D4</f>
        <v/>
      </c>
      <c r="I68">
        <f>A68&amp;"|"&amp;B68</f>
        <v/>
      </c>
    </row>
    <row r="69">
      <c r="A69">
        <f>A12</f>
        <v/>
      </c>
      <c r="B69" t="inlineStr">
        <is>
          <t>FY2029</t>
        </is>
      </c>
      <c r="C69">
        <f>IF(D12=1,0, BaselineCalc!$B$7 + ROUND(L12*F12,0))</f>
        <v/>
      </c>
      <c r="D69">
        <f>IF(E12=1,0, BaselineCalc!$B$8 + L12 - ROUND(L12*F12,0))</f>
        <v/>
      </c>
      <c r="E69">
        <f>C69+D69</f>
        <v/>
      </c>
      <c r="F69" s="2">
        <f>YearMap!B5</f>
        <v/>
      </c>
      <c r="G69" s="2">
        <f>YearMap!C5</f>
        <v/>
      </c>
      <c r="H69" s="2">
        <f>YearMap!D5</f>
        <v/>
      </c>
      <c r="I69">
        <f>A69&amp;"|"&amp;B69</f>
        <v/>
      </c>
    </row>
    <row r="70">
      <c r="A70">
        <f>A12</f>
        <v/>
      </c>
      <c r="B70" t="inlineStr">
        <is>
          <t>FY2030</t>
        </is>
      </c>
      <c r="C70">
        <f>IF(D12=1,0, BaselineCalc!$B$7 + ROUND(M12*F12,0))</f>
        <v/>
      </c>
      <c r="D70">
        <f>IF(E12=1,0, BaselineCalc!$B$8 + M12 - ROUND(M12*F12,0))</f>
        <v/>
      </c>
      <c r="E70">
        <f>C70+D70</f>
        <v/>
      </c>
      <c r="F70" s="2">
        <f>YearMap!B6</f>
        <v/>
      </c>
      <c r="G70" s="2">
        <f>YearMap!C6</f>
        <v/>
      </c>
      <c r="H70" s="2">
        <f>YearMap!D6</f>
        <v/>
      </c>
      <c r="I70">
        <f>A70&amp;"|"&amp;B70</f>
        <v/>
      </c>
    </row>
    <row r="71">
      <c r="A71">
        <f>A13</f>
        <v/>
      </c>
      <c r="B71" t="inlineStr">
        <is>
          <t>FY2026</t>
        </is>
      </c>
      <c r="C71">
        <f>IF(D13=1,0, BaselineCalc!$B$7 + ROUND(I13*F13,0))</f>
        <v/>
      </c>
      <c r="D71">
        <f>IF(E13=1,0, BaselineCalc!$B$8 + I13 - ROUND(I13*F13,0))</f>
        <v/>
      </c>
      <c r="E71">
        <f>C71+D71</f>
        <v/>
      </c>
      <c r="F71" s="2">
        <f>YearMap!B2</f>
        <v/>
      </c>
      <c r="G71" s="2">
        <f>YearMap!C2</f>
        <v/>
      </c>
      <c r="H71" s="2">
        <f>YearMap!D2</f>
        <v/>
      </c>
      <c r="I71">
        <f>A71&amp;"|"&amp;B71</f>
        <v/>
      </c>
    </row>
    <row r="72">
      <c r="A72">
        <f>A13</f>
        <v/>
      </c>
      <c r="B72" t="inlineStr">
        <is>
          <t>FY2027</t>
        </is>
      </c>
      <c r="C72">
        <f>IF(D13=1,0, BaselineCalc!$B$7 + ROUND(J13*F13,0))</f>
        <v/>
      </c>
      <c r="D72">
        <f>IF(E13=1,0, BaselineCalc!$B$8 + J13 - ROUND(J13*F13,0))</f>
        <v/>
      </c>
      <c r="E72">
        <f>C72+D72</f>
        <v/>
      </c>
      <c r="F72" s="2">
        <f>YearMap!B3</f>
        <v/>
      </c>
      <c r="G72" s="2">
        <f>YearMap!C3</f>
        <v/>
      </c>
      <c r="H72" s="2">
        <f>YearMap!D3</f>
        <v/>
      </c>
      <c r="I72">
        <f>A72&amp;"|"&amp;B72</f>
        <v/>
      </c>
    </row>
    <row r="73">
      <c r="A73">
        <f>A13</f>
        <v/>
      </c>
      <c r="B73" t="inlineStr">
        <is>
          <t>FY2028</t>
        </is>
      </c>
      <c r="C73">
        <f>IF(D13=1,0, BaselineCalc!$B$7 + ROUND(K13*F13,0))</f>
        <v/>
      </c>
      <c r="D73">
        <f>IF(E13=1,0, BaselineCalc!$B$8 + K13 - ROUND(K13*F13,0))</f>
        <v/>
      </c>
      <c r="E73">
        <f>C73+D73</f>
        <v/>
      </c>
      <c r="F73" s="2">
        <f>YearMap!B4</f>
        <v/>
      </c>
      <c r="G73" s="2">
        <f>YearMap!C4</f>
        <v/>
      </c>
      <c r="H73" s="2">
        <f>YearMap!D4</f>
        <v/>
      </c>
      <c r="I73">
        <f>A73&amp;"|"&amp;B73</f>
        <v/>
      </c>
    </row>
    <row r="74">
      <c r="A74">
        <f>A13</f>
        <v/>
      </c>
      <c r="B74" t="inlineStr">
        <is>
          <t>FY2029</t>
        </is>
      </c>
      <c r="C74">
        <f>IF(D13=1,0, BaselineCalc!$B$7 + ROUND(L13*F13,0))</f>
        <v/>
      </c>
      <c r="D74">
        <f>IF(E13=1,0, BaselineCalc!$B$8 + L13 - ROUND(L13*F13,0))</f>
        <v/>
      </c>
      <c r="E74">
        <f>C74+D74</f>
        <v/>
      </c>
      <c r="F74" s="2">
        <f>YearMap!B5</f>
        <v/>
      </c>
      <c r="G74" s="2">
        <f>YearMap!C5</f>
        <v/>
      </c>
      <c r="H74" s="2">
        <f>YearMap!D5</f>
        <v/>
      </c>
      <c r="I74">
        <f>A74&amp;"|"&amp;B74</f>
        <v/>
      </c>
    </row>
    <row r="75">
      <c r="A75">
        <f>A13</f>
        <v/>
      </c>
      <c r="B75" t="inlineStr">
        <is>
          <t>FY2030</t>
        </is>
      </c>
      <c r="C75">
        <f>IF(D13=1,0, BaselineCalc!$B$7 + ROUND(M13*F13,0))</f>
        <v/>
      </c>
      <c r="D75">
        <f>IF(E13=1,0, BaselineCalc!$B$8 + M13 - ROUND(M13*F13,0))</f>
        <v/>
      </c>
      <c r="E75">
        <f>C75+D75</f>
        <v/>
      </c>
      <c r="F75" s="2">
        <f>YearMap!B6</f>
        <v/>
      </c>
      <c r="G75" s="2">
        <f>YearMap!C6</f>
        <v/>
      </c>
      <c r="H75" s="2">
        <f>YearMap!D6</f>
        <v/>
      </c>
      <c r="I75">
        <f>A75&amp;"|"&amp;B75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"/>
  <sheetViews>
    <sheetView zoomScale="80" zoomScaleNormal="80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M6" sqref="M6"/>
    </sheetView>
  </sheetViews>
  <sheetFormatPr baseColWidth="8" defaultRowHeight="14.5"/>
  <cols>
    <col width="25.7265625" bestFit="1" customWidth="1" min="1" max="1"/>
    <col width="23" customWidth="1" min="2" max="7"/>
    <col width="13.1796875" bestFit="1" customWidth="1" min="8" max="8"/>
    <col width="13.1796875" bestFit="1" customWidth="1" min="10" max="10"/>
    <col width="14" bestFit="1" customWidth="1" min="13" max="13"/>
  </cols>
  <sheetData>
    <row r="1" ht="29" customHeight="1">
      <c r="A1" s="9" t="inlineStr">
        <is>
          <t>ScenarioKey</t>
        </is>
      </c>
      <c r="B1" s="9" t="inlineStr">
        <is>
          <t>FY2028 Comparable $/Student</t>
        </is>
      </c>
      <c r="C1" s="9" t="inlineStr">
        <is>
          <t>FY2030 Comparable $/Student</t>
        </is>
      </c>
      <c r="D1" s="9" t="inlineStr">
        <is>
          <t>3‑yr Avg Comparable $/Student (FY26–FY28)</t>
        </is>
      </c>
      <c r="E1" s="9" t="inlineStr">
        <is>
          <t>5‑yr Avg Comparable $/Student (FY26–FY30)</t>
        </is>
      </c>
      <c r="F1" s="9" t="inlineStr">
        <is>
          <t># students displaced</t>
        </is>
      </c>
      <c r="G1" s="9" t="inlineStr">
        <is>
          <t>FY2030 # students served (open &amp; retained)</t>
        </is>
      </c>
      <c r="H1" t="inlineStr">
        <is>
          <t>FY2028 Net ($)</t>
        </is>
      </c>
      <c r="J1" t="inlineStr">
        <is>
          <t>FY2030 Net ($)</t>
        </is>
      </c>
      <c r="M1" t="inlineStr">
        <is>
          <t>5-yr Net Avg ($)</t>
        </is>
      </c>
      <c r="N1" t="inlineStr">
        <is>
          <t>5-yr Avg Net ($)</t>
        </is>
      </c>
      <c r="O1" t="inlineStr">
        <is>
          <t>Δ FY2030 vs A ($)</t>
        </is>
      </c>
      <c r="P1" t="inlineStr">
        <is>
          <t>Δ 5-yr Avg vs A ($)</t>
        </is>
      </c>
    </row>
    <row r="2">
      <c r="A2">
        <f>Scenarios!A2</f>
        <v/>
      </c>
      <c r="B2" s="2">
        <f>INDEX(MultiYear_ProForma!$X$2:$X$61, MATCH(Scenarios!A2&amp;"|FY2028", MultiYear_ProForma!$Y$2:$Y$61, 0))</f>
        <v/>
      </c>
      <c r="C2" s="2">
        <f>INDEX(MultiYear_ProForma!$X$2:$X$61, MATCH(Scenarios!A2&amp;"|FY2030", MultiYear_ProForma!$Y$2:$Y$61, 0))</f>
        <v/>
      </c>
      <c r="D2" s="2">
        <f>AVERAGE(INDEX(MultiYear_ProForma!$X$2:$X$61, MATCH(Scenarios!A2&amp;"|FY2026", MultiYear_ProForma!$Y$2:$Y$61, 0)),INDEX(MultiYear_ProForma!$X$2:$X$61, MATCH(Scenarios!A2&amp;"|FY2027", MultiYear_ProForma!$Y$2:$Y$61, 0)),INDEX(MultiYear_ProForma!$X$2:$X$61, MATCH(Scenarios!A2&amp;"|FY2028", MultiYear_ProForma!$Y$2:$Y$61, 0)))</f>
        <v/>
      </c>
      <c r="E2" s="2">
        <f>AVERAGE(INDEX(MultiYear_ProForma!$X$2:$X$61, MATCH(Scenarios!A2&amp;"|FY2026", MultiYear_ProForma!$Y$2:$Y$61, 0)),INDEX(MultiYear_ProForma!$X$2:$X$61, MATCH(Scenarios!A2&amp;"|FY2027", MultiYear_ProForma!$Y$2:$Y$61, 0)),INDEX(MultiYear_ProForma!$X$2:$X$61, MATCH(Scenarios!A2&amp;"|FY2028", MultiYear_ProForma!$Y$2:$Y$61, 0)),INDEX(MultiYear_ProForma!$X$2:$X$61, MATCH(Scenarios!A2&amp;"|FY2029", MultiYear_ProForma!$Y$2:$Y$61, 0)),INDEX(MultiYear_ProForma!$X$2:$X$61, MATCH(Scenarios!A2&amp;"|FY2030", MultiYear_ProForma!$Y$2:$Y$61, 0)))</f>
        <v/>
      </c>
      <c r="F2">
        <f>IFERROR(VLOOKUP($A2&amp;"|FY2026", MultiYear_ProForma!$A:$Y, 14, FALSE), "")</f>
        <v/>
      </c>
      <c r="G2">
        <f>IFERROR(VLOOKUP($A2&amp;"|FY2030", MultiYear_ProForma!$A:$Y, 6, FALSE) + VLOOKUP($A2&amp;"|FY2030", MultiYear_ProForma!$A:$Y, 15, FALSE), "")</f>
        <v/>
      </c>
      <c r="H2" s="2" t="n">
        <v>0</v>
      </c>
      <c r="J2" s="2" t="n">
        <v>0</v>
      </c>
      <c r="K2">
        <f>INDEX(MultiYear_ProForma!$AA:$AA,MATCH($A2&amp;"|"&amp;"FY2028",MultiYear_ProForma!$B:$B&amp;"|"&amp;MultiYear_ProForma!$C:$C,0))</f>
        <v/>
      </c>
      <c r="L2">
        <f>INDEX(MultiYear_ProForma!$AA:$AA,MATCH($A2&amp;"|"&amp;"FY2030",MultiYear_ProForma!$B:$B&amp;"|"&amp;MultiYear_ProForma!$C:$C,0))</f>
        <v/>
      </c>
      <c r="M2" s="2">
        <f>(SUMIFS(MultiYear_ProForma!$AA:$AA, MultiYear_ProForma!$B:$B, $A2, MultiYear_ProForma!$C:$C, "FY2026")+SUMIFS(MultiYear_ProForma!$AA:$AA, MultiYear_ProForma!$B:$B, $A2, MultiYear_ProForma!$C:$C, "FY2027")+SUMIFS(MultiYear_ProForma!$AA:$AA, MultiYear_ProForma!$B:$B, $A2, MultiYear_ProForma!$C:$C, "FY2028")+SUMIFS(MultiYear_ProForma!$AA:$AA, MultiYear_ProForma!$B:$B, $A2, MultiYear_ProForma!$C:$C, "FY2029")+SUMIFS(MultiYear_ProForma!$AA:$AA, MultiYear_ProForma!$B:$B, $A2, MultiYear_ProForma!$C:$C, "FY2030"))/5</f>
        <v/>
      </c>
      <c r="N2" t="n">
        <v>0</v>
      </c>
    </row>
    <row r="3">
      <c r="A3">
        <f>Scenarios!A3</f>
        <v/>
      </c>
      <c r="B3" s="2">
        <f>INDEX(MultiYear_ProForma!$X$2:$X$61, MATCH(Scenarios!A3&amp;"|FY2028", MultiYear_ProForma!$Y$2:$Y$61, 0))</f>
        <v/>
      </c>
      <c r="C3" s="2">
        <f>INDEX(MultiYear_ProForma!$X$2:$X$61, MATCH(Scenarios!A3&amp;"|FY2030", MultiYear_ProForma!$Y$2:$Y$61, 0))</f>
        <v/>
      </c>
      <c r="D3" s="2">
        <f>AVERAGE(INDEX(MultiYear_ProForma!$X$2:$X$61, MATCH(Scenarios!A3&amp;"|FY2026", MultiYear_ProForma!$Y$2:$Y$61, 0)),INDEX(MultiYear_ProForma!$X$2:$X$61, MATCH(Scenarios!A3&amp;"|FY2027", MultiYear_ProForma!$Y$2:$Y$61, 0)),INDEX(MultiYear_ProForma!$X$2:$X$61, MATCH(Scenarios!A3&amp;"|FY2028", MultiYear_ProForma!$Y$2:$Y$61, 0)))</f>
        <v/>
      </c>
      <c r="E3" s="2">
        <f>AVERAGE(INDEX(MultiYear_ProForma!$X$2:$X$61, MATCH(Scenarios!A3&amp;"|FY2026", MultiYear_ProForma!$Y$2:$Y$61, 0)),INDEX(MultiYear_ProForma!$X$2:$X$61, MATCH(Scenarios!A3&amp;"|FY2027", MultiYear_ProForma!$Y$2:$Y$61, 0)),INDEX(MultiYear_ProForma!$X$2:$X$61, MATCH(Scenarios!A3&amp;"|FY2028", MultiYear_ProForma!$Y$2:$Y$61, 0)),INDEX(MultiYear_ProForma!$X$2:$X$61, MATCH(Scenarios!A3&amp;"|FY2029", MultiYear_ProForma!$Y$2:$Y$61, 0)),INDEX(MultiYear_ProForma!$X$2:$X$61, MATCH(Scenarios!A3&amp;"|FY2030", MultiYear_ProForma!$Y$2:$Y$61, 0)))</f>
        <v/>
      </c>
      <c r="F3">
        <f>IFERROR(VLOOKUP($A3&amp;"|FY2026", MultiYear_ProForma!$A:$Y, 14, FALSE), "")</f>
        <v/>
      </c>
      <c r="G3" s="7">
        <f>IFERROR(VLOOKUP($A3&amp;"|FY2030", MultiYear_ProForma!$A:$Y, 6, FALSE) + VLOOKUP($A3&amp;"|FY2030", MultiYear_ProForma!$A:$Y, 15, FALSE), "")</f>
        <v/>
      </c>
      <c r="H3" s="2" t="n">
        <v>0</v>
      </c>
      <c r="J3" s="2" t="n">
        <v>0</v>
      </c>
      <c r="K3">
        <f>INDEX(MultiYear_ProForma!$AA:$AA,MATCH($A3&amp;"|"&amp;"FY2028",MultiYear_ProForma!$B:$B&amp;"|"&amp;MultiYear_ProForma!$C:$C,0))</f>
        <v/>
      </c>
      <c r="L3">
        <f>INDEX(MultiYear_ProForma!$AA:$AA,MATCH($A3&amp;"|"&amp;"FY2030",MultiYear_ProForma!$B:$B&amp;"|"&amp;MultiYear_ProForma!$C:$C,0))</f>
        <v/>
      </c>
      <c r="M3" s="2">
        <f>(SUMIFS(MultiYear_ProForma!$AA:$AA, MultiYear_ProForma!$B:$B, $A3, MultiYear_ProForma!$C:$C, "FY2026")+SUMIFS(MultiYear_ProForma!$AA:$AA, MultiYear_ProForma!$B:$B, $A3, MultiYear_ProForma!$C:$C, "FY2027")+SUMIFS(MultiYear_ProForma!$AA:$AA, MultiYear_ProForma!$B:$B, $A3, MultiYear_ProForma!$C:$C, "FY2028")+SUMIFS(MultiYear_ProForma!$AA:$AA, MultiYear_ProForma!$B:$B, $A3, MultiYear_ProForma!$C:$C, "FY2029")+SUMIFS(MultiYear_ProForma!$AA:$AA, MultiYear_ProForma!$B:$B, $A3, MultiYear_ProForma!$C:$C, "FY2030"))/5</f>
        <v/>
      </c>
      <c r="N3" t="n">
        <v>0</v>
      </c>
    </row>
    <row r="4">
      <c r="A4">
        <f>Scenarios!A4</f>
        <v/>
      </c>
      <c r="B4" s="2">
        <f>INDEX(MultiYear_ProForma!$X$2:$X$61, MATCH(Scenarios!A4&amp;"|FY2028", MultiYear_ProForma!$Y$2:$Y$61, 0))</f>
        <v/>
      </c>
      <c r="C4" s="2">
        <f>INDEX(MultiYear_ProForma!$X$2:$X$61, MATCH(Scenarios!A4&amp;"|FY2030", MultiYear_ProForma!$Y$2:$Y$61, 0))</f>
        <v/>
      </c>
      <c r="D4" s="2">
        <f>AVERAGE(INDEX(MultiYear_ProForma!$X$2:$X$61, MATCH(Scenarios!A4&amp;"|FY2026", MultiYear_ProForma!$Y$2:$Y$61, 0)),INDEX(MultiYear_ProForma!$X$2:$X$61, MATCH(Scenarios!A4&amp;"|FY2027", MultiYear_ProForma!$Y$2:$Y$61, 0)),INDEX(MultiYear_ProForma!$X$2:$X$61, MATCH(Scenarios!A4&amp;"|FY2028", MultiYear_ProForma!$Y$2:$Y$61, 0)))</f>
        <v/>
      </c>
      <c r="E4" s="2">
        <f>AVERAGE(INDEX(MultiYear_ProForma!$X$2:$X$61, MATCH(Scenarios!A4&amp;"|FY2026", MultiYear_ProForma!$Y$2:$Y$61, 0)),INDEX(MultiYear_ProForma!$X$2:$X$61, MATCH(Scenarios!A4&amp;"|FY2027", MultiYear_ProForma!$Y$2:$Y$61, 0)),INDEX(MultiYear_ProForma!$X$2:$X$61, MATCH(Scenarios!A4&amp;"|FY2028", MultiYear_ProForma!$Y$2:$Y$61, 0)),INDEX(MultiYear_ProForma!$X$2:$X$61, MATCH(Scenarios!A4&amp;"|FY2029", MultiYear_ProForma!$Y$2:$Y$61, 0)),INDEX(MultiYear_ProForma!$X$2:$X$61, MATCH(Scenarios!A4&amp;"|FY2030", MultiYear_ProForma!$Y$2:$Y$61, 0)))</f>
        <v/>
      </c>
      <c r="F4">
        <f>IFERROR(VLOOKUP($A4&amp;"|FY2026", MultiYear_ProForma!$A:$Y, 14, FALSE), "")</f>
        <v/>
      </c>
      <c r="G4" s="7">
        <f>IFERROR(VLOOKUP($A4&amp;"|FY2030", MultiYear_ProForma!$A:$Y, 6, FALSE) + VLOOKUP($A4&amp;"|FY2030", MultiYear_ProForma!$A:$Y, 15, FALSE), "")</f>
        <v/>
      </c>
      <c r="H4" s="2" t="n">
        <v>0</v>
      </c>
      <c r="J4" s="2" t="n">
        <v>0</v>
      </c>
      <c r="K4">
        <f>INDEX(MultiYear_ProForma!$AA:$AA,MATCH($A4&amp;"|"&amp;"FY2028",MultiYear_ProForma!$B:$B&amp;"|"&amp;MultiYear_ProForma!$C:$C,0))</f>
        <v/>
      </c>
      <c r="L4">
        <f>INDEX(MultiYear_ProForma!$AA:$AA,MATCH($A4&amp;"|"&amp;"FY2030",MultiYear_ProForma!$B:$B&amp;"|"&amp;MultiYear_ProForma!$C:$C,0))</f>
        <v/>
      </c>
      <c r="M4" s="2">
        <f>(SUMIFS(MultiYear_ProForma!$AA:$AA, MultiYear_ProForma!$B:$B, $A4, MultiYear_ProForma!$C:$C, "FY2026")+SUMIFS(MultiYear_ProForma!$AA:$AA, MultiYear_ProForma!$B:$B, $A4, MultiYear_ProForma!$C:$C, "FY2027")+SUMIFS(MultiYear_ProForma!$AA:$AA, MultiYear_ProForma!$B:$B, $A4, MultiYear_ProForma!$C:$C, "FY2028")+SUMIFS(MultiYear_ProForma!$AA:$AA, MultiYear_ProForma!$B:$B, $A4, MultiYear_ProForma!$C:$C, "FY2029")+SUMIFS(MultiYear_ProForma!$AA:$AA, MultiYear_ProForma!$B:$B, $A4, MultiYear_ProForma!$C:$C, "FY2030"))/5</f>
        <v/>
      </c>
      <c r="N4" t="n">
        <v>0</v>
      </c>
    </row>
    <row r="5">
      <c r="A5">
        <f>Scenarios!A5</f>
        <v/>
      </c>
      <c r="B5" s="2">
        <f>INDEX(MultiYear_ProForma!$X$2:$X$61, MATCH(Scenarios!A5&amp;"|FY2028", MultiYear_ProForma!$Y$2:$Y$61, 0))</f>
        <v/>
      </c>
      <c r="C5" s="2">
        <f>INDEX(MultiYear_ProForma!$X$2:$X$61, MATCH(Scenarios!A5&amp;"|FY2030", MultiYear_ProForma!$Y$2:$Y$61, 0))</f>
        <v/>
      </c>
      <c r="D5" s="2">
        <f>AVERAGE(INDEX(MultiYear_ProForma!$X$2:$X$61, MATCH(Scenarios!A5&amp;"|FY2026", MultiYear_ProForma!$Y$2:$Y$61, 0)),INDEX(MultiYear_ProForma!$X$2:$X$61, MATCH(Scenarios!A5&amp;"|FY2027", MultiYear_ProForma!$Y$2:$Y$61, 0)),INDEX(MultiYear_ProForma!$X$2:$X$61, MATCH(Scenarios!A5&amp;"|FY2028", MultiYear_ProForma!$Y$2:$Y$61, 0)))</f>
        <v/>
      </c>
      <c r="E5" s="2">
        <f>AVERAGE(INDEX(MultiYear_ProForma!$X$2:$X$61, MATCH(Scenarios!A5&amp;"|FY2026", MultiYear_ProForma!$Y$2:$Y$61, 0)),INDEX(MultiYear_ProForma!$X$2:$X$61, MATCH(Scenarios!A5&amp;"|FY2027", MultiYear_ProForma!$Y$2:$Y$61, 0)),INDEX(MultiYear_ProForma!$X$2:$X$61, MATCH(Scenarios!A5&amp;"|FY2028", MultiYear_ProForma!$Y$2:$Y$61, 0)),INDEX(MultiYear_ProForma!$X$2:$X$61, MATCH(Scenarios!A5&amp;"|FY2029", MultiYear_ProForma!$Y$2:$Y$61, 0)),INDEX(MultiYear_ProForma!$X$2:$X$61, MATCH(Scenarios!A5&amp;"|FY2030", MultiYear_ProForma!$Y$2:$Y$61, 0)))</f>
        <v/>
      </c>
      <c r="F5">
        <f>IFERROR(VLOOKUP($A5&amp;"|FY2026", MultiYear_ProForma!$A:$Y, 14, FALSE), "")</f>
        <v/>
      </c>
      <c r="G5" s="7">
        <f>IFERROR(VLOOKUP($A5&amp;"|FY2030", MultiYear_ProForma!$A:$Y, 6, FALSE) + VLOOKUP($A5&amp;"|FY2030", MultiYear_ProForma!$A:$Y, 15, FALSE), "")</f>
        <v/>
      </c>
      <c r="H5" s="2" t="n">
        <v>0</v>
      </c>
      <c r="J5" s="2" t="n">
        <v>0</v>
      </c>
      <c r="K5">
        <f>INDEX(MultiYear_ProForma!$AA:$AA,MATCH($A5&amp;"|"&amp;"FY2028",MultiYear_ProForma!$B:$B&amp;"|"&amp;MultiYear_ProForma!$C:$C,0))</f>
        <v/>
      </c>
      <c r="L5">
        <f>INDEX(MultiYear_ProForma!$AA:$AA,MATCH($A5&amp;"|"&amp;"FY2030",MultiYear_ProForma!$B:$B&amp;"|"&amp;MultiYear_ProForma!$C:$C,0))</f>
        <v/>
      </c>
      <c r="M5" s="2">
        <f>(SUMIFS(MultiYear_ProForma!$AA:$AA, MultiYear_ProForma!$B:$B, $A5, MultiYear_ProForma!$C:$C, "FY2026")+SUMIFS(MultiYear_ProForma!$AA:$AA, MultiYear_ProForma!$B:$B, $A5, MultiYear_ProForma!$C:$C, "FY2027")+SUMIFS(MultiYear_ProForma!$AA:$AA, MultiYear_ProForma!$B:$B, $A5, MultiYear_ProForma!$C:$C, "FY2028")+SUMIFS(MultiYear_ProForma!$AA:$AA, MultiYear_ProForma!$B:$B, $A5, MultiYear_ProForma!$C:$C, "FY2029")+SUMIFS(MultiYear_ProForma!$AA:$AA, MultiYear_ProForma!$B:$B, $A5, MultiYear_ProForma!$C:$C, "FY2030"))/5</f>
        <v/>
      </c>
      <c r="N5" t="n">
        <v>0</v>
      </c>
    </row>
    <row r="6">
      <c r="A6">
        <f>Scenarios!A6</f>
        <v/>
      </c>
      <c r="B6" s="2">
        <f>INDEX(MultiYear_ProForma!$X$2:$X$61, MATCH(Scenarios!A6&amp;"|FY2028", MultiYear_ProForma!$Y$2:$Y$61, 0))</f>
        <v/>
      </c>
      <c r="C6" s="2">
        <f>INDEX(MultiYear_ProForma!$X$2:$X$61, MATCH(Scenarios!A6&amp;"|FY2030", MultiYear_ProForma!$Y$2:$Y$61, 0))</f>
        <v/>
      </c>
      <c r="D6" s="2">
        <f>AVERAGE(INDEX(MultiYear_ProForma!$X$2:$X$61, MATCH(Scenarios!A6&amp;"|FY2026", MultiYear_ProForma!$Y$2:$Y$61, 0)),INDEX(MultiYear_ProForma!$X$2:$X$61, MATCH(Scenarios!A6&amp;"|FY2027", MultiYear_ProForma!$Y$2:$Y$61, 0)),INDEX(MultiYear_ProForma!$X$2:$X$61, MATCH(Scenarios!A6&amp;"|FY2028", MultiYear_ProForma!$Y$2:$Y$61, 0)))</f>
        <v/>
      </c>
      <c r="E6" s="2">
        <f>AVERAGE(INDEX(MultiYear_ProForma!$X$2:$X$61, MATCH(Scenarios!A6&amp;"|FY2026", MultiYear_ProForma!$Y$2:$Y$61, 0)),INDEX(MultiYear_ProForma!$X$2:$X$61, MATCH(Scenarios!A6&amp;"|FY2027", MultiYear_ProForma!$Y$2:$Y$61, 0)),INDEX(MultiYear_ProForma!$X$2:$X$61, MATCH(Scenarios!A6&amp;"|FY2028", MultiYear_ProForma!$Y$2:$Y$61, 0)),INDEX(MultiYear_ProForma!$X$2:$X$61, MATCH(Scenarios!A6&amp;"|FY2029", MultiYear_ProForma!$Y$2:$Y$61, 0)),INDEX(MultiYear_ProForma!$X$2:$X$61, MATCH(Scenarios!A6&amp;"|FY2030", MultiYear_ProForma!$Y$2:$Y$61, 0)))</f>
        <v/>
      </c>
      <c r="F6">
        <f>IFERROR(VLOOKUP($A6&amp;"|FY2026", MultiYear_ProForma!$A:$Y, 14, FALSE), "")</f>
        <v/>
      </c>
      <c r="G6" s="7">
        <f>IFERROR(VLOOKUP($A6&amp;"|FY2030", MultiYear_ProForma!$A:$Y, 6, FALSE) + VLOOKUP($A6&amp;"|FY2030", MultiYear_ProForma!$A:$Y, 15, FALSE), "")</f>
        <v/>
      </c>
      <c r="H6" s="2" t="n">
        <v>0</v>
      </c>
      <c r="J6" s="2" t="n">
        <v>0</v>
      </c>
      <c r="K6">
        <f>INDEX(MultiYear_ProForma!$AA:$AA,MATCH($A6&amp;"|"&amp;"FY2028",MultiYear_ProForma!$B:$B&amp;"|"&amp;MultiYear_ProForma!$C:$C,0))</f>
        <v/>
      </c>
      <c r="L6">
        <f>INDEX(MultiYear_ProForma!$AA:$AA,MATCH($A6&amp;"|"&amp;"FY2030",MultiYear_ProForma!$B:$B&amp;"|"&amp;MultiYear_ProForma!$C:$C,0))</f>
        <v/>
      </c>
      <c r="M6" s="2">
        <f>(SUMIFS(MultiYear_ProForma!$AA:$AA, MultiYear_ProForma!$B:$B, $A6, MultiYear_ProForma!$C:$C, "FY2026")+SUMIFS(MultiYear_ProForma!$AA:$AA, MultiYear_ProForma!$B:$B, $A6, MultiYear_ProForma!$C:$C, "FY2027")+SUMIFS(MultiYear_ProForma!$AA:$AA, MultiYear_ProForma!$B:$B, $A6, MultiYear_ProForma!$C:$C, "FY2028")+SUMIFS(MultiYear_ProForma!$AA:$AA, MultiYear_ProForma!$B:$B, $A6, MultiYear_ProForma!$C:$C, "FY2029")+SUMIFS(MultiYear_ProForma!$AA:$AA, MultiYear_ProForma!$B:$B, $A6, MultiYear_ProForma!$C:$C, "FY2030"))/5</f>
        <v/>
      </c>
      <c r="N6" t="n">
        <v>0</v>
      </c>
    </row>
    <row r="7">
      <c r="A7">
        <f>Scenarios!A7</f>
        <v/>
      </c>
      <c r="B7" s="2">
        <f>INDEX(MultiYear_ProForma!$X$2:$X$61, MATCH(Scenarios!A7&amp;"|FY2028", MultiYear_ProForma!$Y$2:$Y$61, 0))</f>
        <v/>
      </c>
      <c r="C7" s="2">
        <f>INDEX(MultiYear_ProForma!$X$2:$X$61, MATCH(Scenarios!A7&amp;"|FY2030", MultiYear_ProForma!$Y$2:$Y$61, 0))</f>
        <v/>
      </c>
      <c r="D7" s="2">
        <f>AVERAGE(INDEX(MultiYear_ProForma!$X$2:$X$61, MATCH(Scenarios!A7&amp;"|FY2026", MultiYear_ProForma!$Y$2:$Y$61, 0)),INDEX(MultiYear_ProForma!$X$2:$X$61, MATCH(Scenarios!A7&amp;"|FY2027", MultiYear_ProForma!$Y$2:$Y$61, 0)),INDEX(MultiYear_ProForma!$X$2:$X$61, MATCH(Scenarios!A7&amp;"|FY2028", MultiYear_ProForma!$Y$2:$Y$61, 0)))</f>
        <v/>
      </c>
      <c r="E7" s="2">
        <f>AVERAGE(INDEX(MultiYear_ProForma!$X$2:$X$61, MATCH(Scenarios!A7&amp;"|FY2026", MultiYear_ProForma!$Y$2:$Y$61, 0)),INDEX(MultiYear_ProForma!$X$2:$X$61, MATCH(Scenarios!A7&amp;"|FY2027", MultiYear_ProForma!$Y$2:$Y$61, 0)),INDEX(MultiYear_ProForma!$X$2:$X$61, MATCH(Scenarios!A7&amp;"|FY2028", MultiYear_ProForma!$Y$2:$Y$61, 0)),INDEX(MultiYear_ProForma!$X$2:$X$61, MATCH(Scenarios!A7&amp;"|FY2029", MultiYear_ProForma!$Y$2:$Y$61, 0)),INDEX(MultiYear_ProForma!$X$2:$X$61, MATCH(Scenarios!A7&amp;"|FY2030", MultiYear_ProForma!$Y$2:$Y$61, 0)))</f>
        <v/>
      </c>
      <c r="F7">
        <f>IFERROR(VLOOKUP($A7&amp;"|FY2026", MultiYear_ProForma!$A:$Y, 14, FALSE), "")</f>
        <v/>
      </c>
      <c r="G7" s="7">
        <f>IFERROR(VLOOKUP($A7&amp;"|FY2030", MultiYear_ProForma!$A:$Y, 6, FALSE) + VLOOKUP($A7&amp;"|FY2030", MultiYear_ProForma!$A:$Y, 15, FALSE), "")</f>
        <v/>
      </c>
      <c r="H7" s="2" t="n">
        <v>0</v>
      </c>
      <c r="J7" s="2" t="n">
        <v>0</v>
      </c>
      <c r="K7">
        <f>INDEX(MultiYear_ProForma!$AA:$AA,MATCH($A7&amp;"|"&amp;"FY2028",MultiYear_ProForma!$B:$B&amp;"|"&amp;MultiYear_ProForma!$C:$C,0))</f>
        <v/>
      </c>
      <c r="L7">
        <f>INDEX(MultiYear_ProForma!$AA:$AA,MATCH($A7&amp;"|"&amp;"FY2030",MultiYear_ProForma!$B:$B&amp;"|"&amp;MultiYear_ProForma!$C:$C,0))</f>
        <v/>
      </c>
      <c r="M7" s="2">
        <f>(SUMIFS(MultiYear_ProForma!$AA:$AA, MultiYear_ProForma!$B:$B, $A7, MultiYear_ProForma!$C:$C, "FY2026")+SUMIFS(MultiYear_ProForma!$AA:$AA, MultiYear_ProForma!$B:$B, $A7, MultiYear_ProForma!$C:$C, "FY2027")+SUMIFS(MultiYear_ProForma!$AA:$AA, MultiYear_ProForma!$B:$B, $A7, MultiYear_ProForma!$C:$C, "FY2028")+SUMIFS(MultiYear_ProForma!$AA:$AA, MultiYear_ProForma!$B:$B, $A7, MultiYear_ProForma!$C:$C, "FY2029")+SUMIFS(MultiYear_ProForma!$AA:$AA, MultiYear_ProForma!$B:$B, $A7, MultiYear_ProForma!$C:$C, "FY2030"))/5</f>
        <v/>
      </c>
      <c r="N7" t="n">
        <v>0</v>
      </c>
    </row>
    <row r="8">
      <c r="A8">
        <f>Scenarios!A8</f>
        <v/>
      </c>
      <c r="B8" s="2">
        <f>INDEX(MultiYear_ProForma!$X$2:$X$61, MATCH(Scenarios!A8&amp;"|FY2028", MultiYear_ProForma!$Y$2:$Y$61, 0))</f>
        <v/>
      </c>
      <c r="C8" s="2">
        <f>INDEX(MultiYear_ProForma!$X$2:$X$61, MATCH(Scenarios!A8&amp;"|FY2030", MultiYear_ProForma!$Y$2:$Y$61, 0))</f>
        <v/>
      </c>
      <c r="D8" s="2">
        <f>AVERAGE(INDEX(MultiYear_ProForma!$X$2:$X$61, MATCH(Scenarios!A8&amp;"|FY2026", MultiYear_ProForma!$Y$2:$Y$61, 0)),INDEX(MultiYear_ProForma!$X$2:$X$61, MATCH(Scenarios!A8&amp;"|FY2027", MultiYear_ProForma!$Y$2:$Y$61, 0)),INDEX(MultiYear_ProForma!$X$2:$X$61, MATCH(Scenarios!A8&amp;"|FY2028", MultiYear_ProForma!$Y$2:$Y$61, 0)))</f>
        <v/>
      </c>
      <c r="E8" s="2">
        <f>AVERAGE(INDEX(MultiYear_ProForma!$X$2:$X$61, MATCH(Scenarios!A8&amp;"|FY2026", MultiYear_ProForma!$Y$2:$Y$61, 0)),INDEX(MultiYear_ProForma!$X$2:$X$61, MATCH(Scenarios!A8&amp;"|FY2027", MultiYear_ProForma!$Y$2:$Y$61, 0)),INDEX(MultiYear_ProForma!$X$2:$X$61, MATCH(Scenarios!A8&amp;"|FY2028", MultiYear_ProForma!$Y$2:$Y$61, 0)),INDEX(MultiYear_ProForma!$X$2:$X$61, MATCH(Scenarios!A8&amp;"|FY2029", MultiYear_ProForma!$Y$2:$Y$61, 0)),INDEX(MultiYear_ProForma!$X$2:$X$61, MATCH(Scenarios!A8&amp;"|FY2030", MultiYear_ProForma!$Y$2:$Y$61, 0)))</f>
        <v/>
      </c>
      <c r="F8">
        <f>IFERROR(VLOOKUP($A8&amp;"|FY2026", MultiYear_ProForma!$A:$Y, 14, FALSE), "")</f>
        <v/>
      </c>
      <c r="G8" s="7">
        <f>IFERROR(VLOOKUP($A8&amp;"|FY2030", MultiYear_ProForma!$A:$Y, 6, FALSE) + VLOOKUP($A8&amp;"|FY2030", MultiYear_ProForma!$A:$Y, 15, FALSE), "")</f>
        <v/>
      </c>
      <c r="H8" s="2" t="n">
        <v>0</v>
      </c>
      <c r="J8" s="2" t="n">
        <v>0</v>
      </c>
      <c r="K8">
        <f>INDEX(MultiYear_ProForma!$AA:$AA,MATCH($A8&amp;"|"&amp;"FY2028",MultiYear_ProForma!$B:$B&amp;"|"&amp;MultiYear_ProForma!$C:$C,0))</f>
        <v/>
      </c>
      <c r="L8">
        <f>INDEX(MultiYear_ProForma!$AA:$AA,MATCH($A8&amp;"|"&amp;"FY2030",MultiYear_ProForma!$B:$B&amp;"|"&amp;MultiYear_ProForma!$C:$C,0))</f>
        <v/>
      </c>
      <c r="M8" s="2">
        <f>(SUMIFS(MultiYear_ProForma!$AA:$AA, MultiYear_ProForma!$B:$B, $A8, MultiYear_ProForma!$C:$C, "FY2026")+SUMIFS(MultiYear_ProForma!$AA:$AA, MultiYear_ProForma!$B:$B, $A8, MultiYear_ProForma!$C:$C, "FY2027")+SUMIFS(MultiYear_ProForma!$AA:$AA, MultiYear_ProForma!$B:$B, $A8, MultiYear_ProForma!$C:$C, "FY2028")+SUMIFS(MultiYear_ProForma!$AA:$AA, MultiYear_ProForma!$B:$B, $A8, MultiYear_ProForma!$C:$C, "FY2029")+SUMIFS(MultiYear_ProForma!$AA:$AA, MultiYear_ProForma!$B:$B, $A8, MultiYear_ProForma!$C:$C, "FY2030"))/5</f>
        <v/>
      </c>
      <c r="N8" t="n">
        <v>0</v>
      </c>
    </row>
    <row r="9">
      <c r="A9">
        <f>Scenarios!A9</f>
        <v/>
      </c>
      <c r="B9" s="2">
        <f>INDEX(MultiYear_ProForma!$X$2:$X$61, MATCH(Scenarios!A9&amp;"|FY2028", MultiYear_ProForma!$Y$2:$Y$61, 0))</f>
        <v/>
      </c>
      <c r="C9" s="2">
        <f>INDEX(MultiYear_ProForma!$X$2:$X$61, MATCH(Scenarios!A9&amp;"|FY2030", MultiYear_ProForma!$Y$2:$Y$61, 0))</f>
        <v/>
      </c>
      <c r="D9" s="2">
        <f>AVERAGE(INDEX(MultiYear_ProForma!$X$2:$X$61, MATCH(Scenarios!A9&amp;"|FY2026", MultiYear_ProForma!$Y$2:$Y$61, 0)),INDEX(MultiYear_ProForma!$X$2:$X$61, MATCH(Scenarios!A9&amp;"|FY2027", MultiYear_ProForma!$Y$2:$Y$61, 0)),INDEX(MultiYear_ProForma!$X$2:$X$61, MATCH(Scenarios!A9&amp;"|FY2028", MultiYear_ProForma!$Y$2:$Y$61, 0)))</f>
        <v/>
      </c>
      <c r="E9" s="2">
        <f>AVERAGE(INDEX(MultiYear_ProForma!$X$2:$X$61, MATCH(Scenarios!A9&amp;"|FY2026", MultiYear_ProForma!$Y$2:$Y$61, 0)),INDEX(MultiYear_ProForma!$X$2:$X$61, MATCH(Scenarios!A9&amp;"|FY2027", MultiYear_ProForma!$Y$2:$Y$61, 0)),INDEX(MultiYear_ProForma!$X$2:$X$61, MATCH(Scenarios!A9&amp;"|FY2028", MultiYear_ProForma!$Y$2:$Y$61, 0)),INDEX(MultiYear_ProForma!$X$2:$X$61, MATCH(Scenarios!A9&amp;"|FY2029", MultiYear_ProForma!$Y$2:$Y$61, 0)),INDEX(MultiYear_ProForma!$X$2:$X$61, MATCH(Scenarios!A9&amp;"|FY2030", MultiYear_ProForma!$Y$2:$Y$61, 0)))</f>
        <v/>
      </c>
      <c r="F9">
        <f>IFERROR(VLOOKUP($A9&amp;"|FY2026", MultiYear_ProForma!$A:$Y, 14, FALSE), "")</f>
        <v/>
      </c>
      <c r="G9" s="7">
        <f>IFERROR(VLOOKUP($A9&amp;"|FY2030", MultiYear_ProForma!$A:$Y, 6, FALSE) + VLOOKUP($A9&amp;"|FY2030", MultiYear_ProForma!$A:$Y, 15, FALSE), "")</f>
        <v/>
      </c>
      <c r="H9" s="2" t="n">
        <v>0</v>
      </c>
      <c r="J9" s="2" t="n">
        <v>0</v>
      </c>
      <c r="K9">
        <f>INDEX(MultiYear_ProForma!$AA:$AA,MATCH($A9&amp;"|"&amp;"FY2028",MultiYear_ProForma!$B:$B&amp;"|"&amp;MultiYear_ProForma!$C:$C,0))</f>
        <v/>
      </c>
      <c r="L9">
        <f>INDEX(MultiYear_ProForma!$AA:$AA,MATCH($A9&amp;"|"&amp;"FY2030",MultiYear_ProForma!$B:$B&amp;"|"&amp;MultiYear_ProForma!$C:$C,0))</f>
        <v/>
      </c>
      <c r="M9" s="2">
        <f>(SUMIFS(MultiYear_ProForma!$AA:$AA, MultiYear_ProForma!$B:$B, $A9, MultiYear_ProForma!$C:$C, "FY2026")+SUMIFS(MultiYear_ProForma!$AA:$AA, MultiYear_ProForma!$B:$B, $A9, MultiYear_ProForma!$C:$C, "FY2027")+SUMIFS(MultiYear_ProForma!$AA:$AA, MultiYear_ProForma!$B:$B, $A9, MultiYear_ProForma!$C:$C, "FY2028")+SUMIFS(MultiYear_ProForma!$AA:$AA, MultiYear_ProForma!$B:$B, $A9, MultiYear_ProForma!$C:$C, "FY2029")+SUMIFS(MultiYear_ProForma!$AA:$AA, MultiYear_ProForma!$B:$B, $A9, MultiYear_ProForma!$C:$C, "FY2030"))/5</f>
        <v/>
      </c>
      <c r="N9" t="n">
        <v>0</v>
      </c>
    </row>
    <row r="10">
      <c r="A10">
        <f>Scenarios!A10</f>
        <v/>
      </c>
      <c r="B10" s="2">
        <f>INDEX(MultiYear_ProForma!$X$2:$X$61, MATCH(Scenarios!A10&amp;"|FY2028", MultiYear_ProForma!$Y$2:$Y$61, 0))</f>
        <v/>
      </c>
      <c r="C10" s="2">
        <f>INDEX(MultiYear_ProForma!$X$2:$X$61, MATCH(Scenarios!A10&amp;"|FY2030", MultiYear_ProForma!$Y$2:$Y$61, 0))</f>
        <v/>
      </c>
      <c r="D10" s="2">
        <f>AVERAGE(INDEX(MultiYear_ProForma!$X$2:$X$61, MATCH(Scenarios!A10&amp;"|FY2026", MultiYear_ProForma!$Y$2:$Y$61, 0)),INDEX(MultiYear_ProForma!$X$2:$X$61, MATCH(Scenarios!A10&amp;"|FY2027", MultiYear_ProForma!$Y$2:$Y$61, 0)),INDEX(MultiYear_ProForma!$X$2:$X$61, MATCH(Scenarios!A10&amp;"|FY2028", MultiYear_ProForma!$Y$2:$Y$61, 0)))</f>
        <v/>
      </c>
      <c r="E10" s="2">
        <f>AVERAGE(INDEX(MultiYear_ProForma!$X$2:$X$61, MATCH(Scenarios!A10&amp;"|FY2026", MultiYear_ProForma!$Y$2:$Y$61, 0)),INDEX(MultiYear_ProForma!$X$2:$X$61, MATCH(Scenarios!A10&amp;"|FY2027", MultiYear_ProForma!$Y$2:$Y$61, 0)),INDEX(MultiYear_ProForma!$X$2:$X$61, MATCH(Scenarios!A10&amp;"|FY2028", MultiYear_ProForma!$Y$2:$Y$61, 0)),INDEX(MultiYear_ProForma!$X$2:$X$61, MATCH(Scenarios!A10&amp;"|FY2029", MultiYear_ProForma!$Y$2:$Y$61, 0)),INDEX(MultiYear_ProForma!$X$2:$X$61, MATCH(Scenarios!A10&amp;"|FY2030", MultiYear_ProForma!$Y$2:$Y$61, 0)))</f>
        <v/>
      </c>
      <c r="F10">
        <f>IFERROR(VLOOKUP($A10&amp;"|FY2026", MultiYear_ProForma!$A:$Y, 14, FALSE), "")</f>
        <v/>
      </c>
      <c r="G10" s="7">
        <f>IFERROR(VLOOKUP($A10&amp;"|FY2030", MultiYear_ProForma!$A:$Y, 6, FALSE) + VLOOKUP($A10&amp;"|FY2030", MultiYear_ProForma!$A:$Y, 15, FALSE), "")</f>
        <v/>
      </c>
      <c r="H10" s="2" t="n">
        <v>0</v>
      </c>
      <c r="J10" s="2" t="n">
        <v>0</v>
      </c>
      <c r="K10">
        <f>INDEX(MultiYear_ProForma!$AA:$AA,MATCH($A10&amp;"|"&amp;"FY2028",MultiYear_ProForma!$B:$B&amp;"|"&amp;MultiYear_ProForma!$C:$C,0))</f>
        <v/>
      </c>
      <c r="L10">
        <f>INDEX(MultiYear_ProForma!$AA:$AA,MATCH($A10&amp;"|"&amp;"FY2030",MultiYear_ProForma!$B:$B&amp;"|"&amp;MultiYear_ProForma!$C:$C,0))</f>
        <v/>
      </c>
      <c r="M10" s="2">
        <f>(SUMIFS(MultiYear_ProForma!$AA:$AA, MultiYear_ProForma!$B:$B, $A10, MultiYear_ProForma!$C:$C, "FY2026")+SUMIFS(MultiYear_ProForma!$AA:$AA, MultiYear_ProForma!$B:$B, $A10, MultiYear_ProForma!$C:$C, "FY2027")+SUMIFS(MultiYear_ProForma!$AA:$AA, MultiYear_ProForma!$B:$B, $A10, MultiYear_ProForma!$C:$C, "FY2028")+SUMIFS(MultiYear_ProForma!$AA:$AA, MultiYear_ProForma!$B:$B, $A10, MultiYear_ProForma!$C:$C, "FY2029")+SUMIFS(MultiYear_ProForma!$AA:$AA, MultiYear_ProForma!$B:$B, $A10, MultiYear_ProForma!$C:$C, "FY2030"))/5</f>
        <v/>
      </c>
      <c r="N10" t="n">
        <v>0</v>
      </c>
    </row>
    <row r="11">
      <c r="A11">
        <f>Scenarios!A11</f>
        <v/>
      </c>
      <c r="B11" s="2">
        <f>INDEX(MultiYear_ProForma!$X$2:$X$61, MATCH(Scenarios!A11&amp;"|FY2028", MultiYear_ProForma!$Y$2:$Y$61, 0))</f>
        <v/>
      </c>
      <c r="C11" s="2">
        <f>INDEX(MultiYear_ProForma!$X$2:$X$61, MATCH(Scenarios!A11&amp;"|FY2030", MultiYear_ProForma!$Y$2:$Y$61, 0))</f>
        <v/>
      </c>
      <c r="D11" s="2">
        <f>AVERAGE(INDEX(MultiYear_ProForma!$X$2:$X$61, MATCH(Scenarios!A11&amp;"|FY2026", MultiYear_ProForma!$Y$2:$Y$61, 0)),INDEX(MultiYear_ProForma!$X$2:$X$61, MATCH(Scenarios!A11&amp;"|FY2027", MultiYear_ProForma!$Y$2:$Y$61, 0)),INDEX(MultiYear_ProForma!$X$2:$X$61, MATCH(Scenarios!A11&amp;"|FY2028", MultiYear_ProForma!$Y$2:$Y$61, 0)))</f>
        <v/>
      </c>
      <c r="E11" s="2">
        <f>AVERAGE(INDEX(MultiYear_ProForma!$X$2:$X$61, MATCH(Scenarios!A11&amp;"|FY2026", MultiYear_ProForma!$Y$2:$Y$61, 0)),INDEX(MultiYear_ProForma!$X$2:$X$61, MATCH(Scenarios!A11&amp;"|FY2027", MultiYear_ProForma!$Y$2:$Y$61, 0)),INDEX(MultiYear_ProForma!$X$2:$X$61, MATCH(Scenarios!A11&amp;"|FY2028", MultiYear_ProForma!$Y$2:$Y$61, 0)),INDEX(MultiYear_ProForma!$X$2:$X$61, MATCH(Scenarios!A11&amp;"|FY2029", MultiYear_ProForma!$Y$2:$Y$61, 0)),INDEX(MultiYear_ProForma!$X$2:$X$61, MATCH(Scenarios!A11&amp;"|FY2030", MultiYear_ProForma!$Y$2:$Y$61, 0)))</f>
        <v/>
      </c>
      <c r="F11">
        <f>IFERROR(VLOOKUP($A11&amp;"|FY2026", MultiYear_ProForma!$A:$Y, 14, FALSE), "")</f>
        <v/>
      </c>
      <c r="G11" s="7">
        <f>IFERROR(VLOOKUP($A11&amp;"|FY2030", MultiYear_ProForma!$A:$Y, 6, FALSE) + VLOOKUP($A11&amp;"|FY2030", MultiYear_ProForma!$A:$Y, 15, FALSE), "")</f>
        <v/>
      </c>
      <c r="H11" s="2" t="n">
        <v>0</v>
      </c>
      <c r="J11" s="2" t="n">
        <v>0</v>
      </c>
      <c r="K11">
        <f>INDEX(MultiYear_ProForma!$AA:$AA,MATCH($A11&amp;"|"&amp;"FY2028",MultiYear_ProForma!$B:$B&amp;"|"&amp;MultiYear_ProForma!$C:$C,0))</f>
        <v/>
      </c>
      <c r="L11">
        <f>INDEX(MultiYear_ProForma!$AA:$AA,MATCH($A11&amp;"|"&amp;"FY2030",MultiYear_ProForma!$B:$B&amp;"|"&amp;MultiYear_ProForma!$C:$C,0))</f>
        <v/>
      </c>
      <c r="M11" s="2">
        <f>(SUMIFS(MultiYear_ProForma!$AA:$AA, MultiYear_ProForma!$B:$B, $A11, MultiYear_ProForma!$C:$C, "FY2026")+SUMIFS(MultiYear_ProForma!$AA:$AA, MultiYear_ProForma!$B:$B, $A11, MultiYear_ProForma!$C:$C, "FY2027")+SUMIFS(MultiYear_ProForma!$AA:$AA, MultiYear_ProForma!$B:$B, $A11, MultiYear_ProForma!$C:$C, "FY2028")+SUMIFS(MultiYear_ProForma!$AA:$AA, MultiYear_ProForma!$B:$B, $A11, MultiYear_ProForma!$C:$C, "FY2029")+SUMIFS(MultiYear_ProForma!$AA:$AA, MultiYear_ProForma!$B:$B, $A11, MultiYear_ProForma!$C:$C, "FY2030"))/5</f>
        <v/>
      </c>
      <c r="N11" t="n">
        <v>0</v>
      </c>
    </row>
    <row r="12">
      <c r="A12">
        <f>Scenarios!A12</f>
        <v/>
      </c>
      <c r="B12" s="2">
        <f>INDEX(MultiYear_ProForma!$X$2:$X$61, MATCH(Scenarios!A12&amp;"|FY2028", MultiYear_ProForma!$Y$2:$Y$61, 0))</f>
        <v/>
      </c>
      <c r="C12" s="2">
        <f>INDEX(MultiYear_ProForma!$X$2:$X$61, MATCH(Scenarios!A12&amp;"|FY2030", MultiYear_ProForma!$Y$2:$Y$61, 0))</f>
        <v/>
      </c>
      <c r="D12" s="2">
        <f>AVERAGE(INDEX(MultiYear_ProForma!$X$2:$X$61, MATCH(Scenarios!A12&amp;"|FY2026", MultiYear_ProForma!$Y$2:$Y$61, 0)),INDEX(MultiYear_ProForma!$X$2:$X$61, MATCH(Scenarios!A12&amp;"|FY2027", MultiYear_ProForma!$Y$2:$Y$61, 0)),INDEX(MultiYear_ProForma!$X$2:$X$61, MATCH(Scenarios!A12&amp;"|FY2028", MultiYear_ProForma!$Y$2:$Y$61, 0)))</f>
        <v/>
      </c>
      <c r="E12" s="2">
        <f>AVERAGE(INDEX(MultiYear_ProForma!$X$2:$X$61, MATCH(Scenarios!A12&amp;"|FY2026", MultiYear_ProForma!$Y$2:$Y$61, 0)),INDEX(MultiYear_ProForma!$X$2:$X$61, MATCH(Scenarios!A12&amp;"|FY2027", MultiYear_ProForma!$Y$2:$Y$61, 0)),INDEX(MultiYear_ProForma!$X$2:$X$61, MATCH(Scenarios!A12&amp;"|FY2028", MultiYear_ProForma!$Y$2:$Y$61, 0)),INDEX(MultiYear_ProForma!$X$2:$X$61, MATCH(Scenarios!A12&amp;"|FY2029", MultiYear_ProForma!$Y$2:$Y$61, 0)),INDEX(MultiYear_ProForma!$X$2:$X$61, MATCH(Scenarios!A12&amp;"|FY2030", MultiYear_ProForma!$Y$2:$Y$61, 0)))</f>
        <v/>
      </c>
      <c r="F12">
        <f>IFERROR(VLOOKUP($A12&amp;"|FY2026", MultiYear_ProForma!$A:$Y, 14, FALSE), "")</f>
        <v/>
      </c>
      <c r="G12" s="7">
        <f>IFERROR(VLOOKUP($A12&amp;"|FY2030", MultiYear_ProForma!$A:$Y, 6, FALSE) + VLOOKUP($A12&amp;"|FY2030", MultiYear_ProForma!$A:$Y, 15, FALSE), "")</f>
        <v/>
      </c>
      <c r="H12" s="2" t="n">
        <v>0</v>
      </c>
      <c r="J12" s="2" t="n">
        <v>0</v>
      </c>
      <c r="K12">
        <f>INDEX(MultiYear_ProForma!$AA:$AA,MATCH($A12&amp;"|"&amp;"FY2028",MultiYear_ProForma!$B:$B&amp;"|"&amp;MultiYear_ProForma!$C:$C,0))</f>
        <v/>
      </c>
      <c r="L12">
        <f>INDEX(MultiYear_ProForma!$AA:$AA,MATCH($A12&amp;"|"&amp;"FY2030",MultiYear_ProForma!$B:$B&amp;"|"&amp;MultiYear_ProForma!$C:$C,0))</f>
        <v/>
      </c>
      <c r="M12" s="2">
        <f>(SUMIFS(MultiYear_ProForma!$AA:$AA, MultiYear_ProForma!$B:$B, $A12, MultiYear_ProForma!$C:$C, "FY2026")+SUMIFS(MultiYear_ProForma!$AA:$AA, MultiYear_ProForma!$B:$B, $A12, MultiYear_ProForma!$C:$C, "FY2027")+SUMIFS(MultiYear_ProForma!$AA:$AA, MultiYear_ProForma!$B:$B, $A12, MultiYear_ProForma!$C:$C, "FY2028")+SUMIFS(MultiYear_ProForma!$AA:$AA, MultiYear_ProForma!$B:$B, $A12, MultiYear_ProForma!$C:$C, "FY2029")+SUMIFS(MultiYear_ProForma!$AA:$AA, MultiYear_ProForma!$B:$B, $A12, MultiYear_ProForma!$C:$C, "FY2030"))/5</f>
        <v/>
      </c>
      <c r="N12" t="n">
        <v>0</v>
      </c>
    </row>
    <row r="13">
      <c r="A13">
        <f>Scenarios!A13</f>
        <v/>
      </c>
      <c r="B13" s="2">
        <f>INDEX(MultiYear_ProForma!$X$2:$X$61, MATCH(Scenarios!A13&amp;"|FY2028", MultiYear_ProForma!$Y$2:$Y$61, 0))</f>
        <v/>
      </c>
      <c r="C13" s="2">
        <f>INDEX(MultiYear_ProForma!$X$2:$X$61, MATCH(Scenarios!A13&amp;"|FY2030", MultiYear_ProForma!$Y$2:$Y$61, 0))</f>
        <v/>
      </c>
      <c r="D13" s="2">
        <f>AVERAGE(INDEX(MultiYear_ProForma!$X$2:$X$61, MATCH(Scenarios!A13&amp;"|FY2026", MultiYear_ProForma!$Y$2:$Y$61, 0)),INDEX(MultiYear_ProForma!$X$2:$X$61, MATCH(Scenarios!A13&amp;"|FY2027", MultiYear_ProForma!$Y$2:$Y$61, 0)),INDEX(MultiYear_ProForma!$X$2:$X$61, MATCH(Scenarios!A13&amp;"|FY2028", MultiYear_ProForma!$Y$2:$Y$61, 0)))</f>
        <v/>
      </c>
      <c r="E13" s="2">
        <f>AVERAGE(INDEX(MultiYear_ProForma!$X$2:$X$61, MATCH(Scenarios!A13&amp;"|FY2026", MultiYear_ProForma!$Y$2:$Y$61, 0)),INDEX(MultiYear_ProForma!$X$2:$X$61, MATCH(Scenarios!A13&amp;"|FY2027", MultiYear_ProForma!$Y$2:$Y$61, 0)),INDEX(MultiYear_ProForma!$X$2:$X$61, MATCH(Scenarios!A13&amp;"|FY2028", MultiYear_ProForma!$Y$2:$Y$61, 0)),INDEX(MultiYear_ProForma!$X$2:$X$61, MATCH(Scenarios!A13&amp;"|FY2029", MultiYear_ProForma!$Y$2:$Y$61, 0)),INDEX(MultiYear_ProForma!$X$2:$X$61, MATCH(Scenarios!A13&amp;"|FY2030", MultiYear_ProForma!$Y$2:$Y$61, 0)))</f>
        <v/>
      </c>
      <c r="F13">
        <f>IFERROR(VLOOKUP($A13&amp;"|FY2026", MultiYear_ProForma!$A:$Y, 14, FALSE), "")</f>
        <v/>
      </c>
      <c r="G13" s="7">
        <f>IFERROR(VLOOKUP($A13&amp;"|FY2030", MultiYear_ProForma!$A:$Y, 6, FALSE) + VLOOKUP($A13&amp;"|FY2030", MultiYear_ProForma!$A:$Y, 15, FALSE), "")</f>
        <v/>
      </c>
      <c r="H13" s="2" t="n">
        <v>0</v>
      </c>
      <c r="J13" s="2" t="n">
        <v>0</v>
      </c>
      <c r="K13">
        <f>INDEX(MultiYear_ProForma!$AA:$AA,MATCH($A13&amp;"|"&amp;"FY2028",MultiYear_ProForma!$B:$B&amp;"|"&amp;MultiYear_ProForma!$C:$C,0))</f>
        <v/>
      </c>
      <c r="L13">
        <f>INDEX(MultiYear_ProForma!$AA:$AA,MATCH($A13&amp;"|"&amp;"FY2030",MultiYear_ProForma!$B:$B&amp;"|"&amp;MultiYear_ProForma!$C:$C,0))</f>
        <v/>
      </c>
      <c r="M13" s="2">
        <f>(SUMIFS(MultiYear_ProForma!$AA:$AA, MultiYear_ProForma!$B:$B, $A13, MultiYear_ProForma!$C:$C, "FY2026")+SUMIFS(MultiYear_ProForma!$AA:$AA, MultiYear_ProForma!$B:$B, $A13, MultiYear_ProForma!$C:$C, "FY2027")+SUMIFS(MultiYear_ProForma!$AA:$AA, MultiYear_ProForma!$B:$B, $A13, MultiYear_ProForma!$C:$C, "FY2028")+SUMIFS(MultiYear_ProForma!$AA:$AA, MultiYear_ProForma!$B:$B, $A13, MultiYear_ProForma!$C:$C, "FY2029")+SUMIFS(MultiYear_ProForma!$AA:$AA, MultiYear_ProForma!$B:$B, $A13, MultiYear_ProForma!$C:$C, "FY2030"))/5</f>
        <v/>
      </c>
      <c r="N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2"/>
  <sheetViews>
    <sheetView zoomScale="85" zoomScaleNormal="85" workbookViewId="0">
      <pane xSplit="2" ySplit="3" topLeftCell="C4" activePane="bottomRight" state="frozen"/>
      <selection activeCell="T42" sqref="T42"/>
      <selection pane="topRight" activeCell="T42" sqref="T42"/>
      <selection pane="bottomLeft" activeCell="T42" sqref="T42"/>
      <selection pane="bottomRight" activeCell="B3" sqref="B3"/>
    </sheetView>
  </sheetViews>
  <sheetFormatPr baseColWidth="8" defaultRowHeight="14.5"/>
  <cols>
    <col width="67.54296875" bestFit="1" customWidth="1" min="1" max="1"/>
    <col width="24" bestFit="1" customWidth="1" min="2" max="2"/>
  </cols>
  <sheetData>
    <row r="1">
      <c r="A1" s="5" t="inlineStr">
        <is>
          <t>Break-even retention r* for A_Repurpose_Both vs selected keep-open scenario</t>
        </is>
      </c>
    </row>
    <row r="3">
      <c r="A3" s="5" t="inlineStr">
        <is>
          <t>Keep-open scenario (pick from Summary_Costs!A)</t>
        </is>
      </c>
      <c r="B3" s="4" t="inlineStr">
        <is>
          <t>D_Grow_Both_0</t>
        </is>
      </c>
    </row>
    <row r="5">
      <c r="A5" t="inlineStr">
        <is>
          <t>OpsFactor</t>
        </is>
      </c>
      <c r="B5">
        <f>1-BaselineCalc!$B$5</f>
        <v/>
      </c>
    </row>
    <row r="6">
      <c r="A6" t="inlineStr">
        <is>
          <t>M (displaced if close both)</t>
        </is>
      </c>
      <c r="B6">
        <f>BaselineCalc!$B$7 + BaselineCalc!$B$8</f>
        <v/>
      </c>
    </row>
    <row r="8">
      <c r="A8" t="inlineStr">
        <is>
          <t>FY2028 helpers</t>
        </is>
      </c>
    </row>
    <row r="9">
      <c r="A9" t="inlineStr">
        <is>
          <t>Var</t>
        </is>
      </c>
      <c r="B9" s="2">
        <f>YearMap!B4</f>
        <v/>
      </c>
    </row>
    <row r="10">
      <c r="A10" t="inlineStr">
        <is>
          <t>EchoFixed</t>
        </is>
      </c>
      <c r="B10" s="2">
        <f>YearMap!C4</f>
        <v/>
      </c>
    </row>
    <row r="11">
      <c r="A11" t="inlineStr">
        <is>
          <t>PimaFixed</t>
        </is>
      </c>
      <c r="B11" s="2">
        <f>YearMap!D4</f>
        <v/>
      </c>
    </row>
    <row r="12">
      <c r="A12" t="inlineStr">
        <is>
          <t>f_ops</t>
        </is>
      </c>
      <c r="B12">
        <f>YearMap!G4</f>
        <v/>
      </c>
    </row>
    <row r="13">
      <c r="A13" t="inlineStr">
        <is>
          <t>f_lease</t>
        </is>
      </c>
      <c r="B13">
        <f>YearMap!F4</f>
        <v/>
      </c>
    </row>
    <row r="14">
      <c r="A14" t="inlineStr">
        <is>
          <t>Ct(FY2028)</t>
        </is>
      </c>
      <c r="B14" s="2">
        <f>INDEX(Summary_Costs!$B:$B, MATCH($B$3, Summary_Costs!$A:$A, 0))</f>
        <v/>
      </c>
    </row>
    <row r="16">
      <c r="B16" t="inlineStr">
        <is>
          <t>h →</t>
        </is>
      </c>
      <c r="C16" t="n">
        <v>200</v>
      </c>
      <c r="D16" t="n">
        <v>300</v>
      </c>
      <c r="E16" t="n">
        <v>400</v>
      </c>
      <c r="F16" t="n">
        <v>600</v>
      </c>
      <c r="G16" t="n">
        <v>800</v>
      </c>
      <c r="H16" t="n">
        <v>1000</v>
      </c>
      <c r="I16" t="n">
        <v>1200</v>
      </c>
      <c r="J16" t="n">
        <v>1500</v>
      </c>
    </row>
    <row r="17">
      <c r="A17" t="inlineStr">
        <is>
          <t>FY2028 f_ops</t>
        </is>
      </c>
      <c r="C17" s="8">
        <f>IF(($B$14-( $B$9+C16))&lt;=0,NA(),($B$5*$B$12*($B$10+$B$11))/($B$6*($B$14-( $B$9+C16))))</f>
        <v/>
      </c>
      <c r="D17" s="8">
        <f>IF(($B$14-( $B$9+D16))&lt;=0,NA(),($B$5*$B$12*($B$10+$B$11))/($B$6*($B$14-( $B$9+D16))))</f>
        <v/>
      </c>
      <c r="E17" s="8">
        <f>IF(($B$14-( $B$9+E16))&lt;=0,NA(),($B$5*$B$12*($B$10+$B$11))/($B$6*($B$14-( $B$9+E16))))</f>
        <v/>
      </c>
      <c r="F17" s="8">
        <f>IF(($B$14-( $B$9+F16))&lt;=0,NA(),($B$5*$B$12*($B$10+$B$11))/($B$6*($B$14-( $B$9+F16))))</f>
        <v/>
      </c>
      <c r="G17" s="8">
        <f>IF(($B$14-( $B$9+G16))&lt;=0,NA(),($B$5*$B$12*($B$10+$B$11))/($B$6*($B$14-( $B$9+G16))))</f>
        <v/>
      </c>
      <c r="H17" s="8">
        <f>IF(($B$14-( $B$9+H16))&lt;=0,NA(),($B$5*$B$12*($B$10+$B$11))/($B$6*($B$14-( $B$9+H16))))</f>
        <v/>
      </c>
      <c r="I17" s="8">
        <f>IF(($B$14-( $B$9+I16))&lt;=0,NA(),($B$5*$B$12*($B$10+$B$11))/($B$6*($B$14-( $B$9+I16))))</f>
        <v/>
      </c>
      <c r="J17" s="8">
        <f>IF(($B$14-( $B$9+J16))&lt;=0,NA(),($B$5*$B$12*($B$10+$B$11))/($B$6*($B$14-( $B$9+J16))))</f>
        <v/>
      </c>
    </row>
    <row r="18">
      <c r="A18" t="inlineStr">
        <is>
          <t>FY2028 f_lease</t>
        </is>
      </c>
      <c r="C18" s="8">
        <f>IF(($B$14-( $B$9+C16))&lt;=0,NA(),($B$5*$B$13*($B$10+$B$11))/($B$6*($B$14-( $B$9+C16))))</f>
        <v/>
      </c>
      <c r="D18" s="8">
        <f>IF(($B$14-( $B$9+D16))&lt;=0,NA(),($B$5*$B$13*($B$10+$B$11))/($B$6*($B$14-( $B$9+D16))))</f>
        <v/>
      </c>
      <c r="E18" s="8">
        <f>IF(($B$14-( $B$9+E16))&lt;=0,NA(),($B$5*$B$13*($B$10+$B$11))/($B$6*($B$14-( $B$9+E16))))</f>
        <v/>
      </c>
      <c r="F18" s="8">
        <f>IF(($B$14-( $B$9+F16))&lt;=0,NA(),($B$5*$B$13*($B$10+$B$11))/($B$6*($B$14-( $B$9+F16))))</f>
        <v/>
      </c>
      <c r="G18" s="8">
        <f>IF(($B$14-( $B$9+G16))&lt;=0,NA(),($B$5*$B$13*($B$10+$B$11))/($B$6*($B$14-( $B$9+G16))))</f>
        <v/>
      </c>
      <c r="H18" s="8">
        <f>IF(($B$14-( $B$9+H16))&lt;=0,NA(),($B$5*$B$13*($B$10+$B$11))/($B$6*($B$14-( $B$9+H16))))</f>
        <v/>
      </c>
      <c r="I18" s="8">
        <f>IF(($B$14-( $B$9+I16))&lt;=0,NA(),($B$5*$B$13*($B$10+$B$11))/($B$6*($B$14-( $B$9+I16))))</f>
        <v/>
      </c>
      <c r="J18" s="8">
        <f>IF(($B$14-( $B$9+J16))&lt;=0,NA(),($B$5*$B$13*($B$10+$B$11))/($B$6*($B$14-( $B$9+J16))))</f>
        <v/>
      </c>
    </row>
    <row r="22">
      <c r="A22" t="inlineStr">
        <is>
          <t>FY2030 helpers</t>
        </is>
      </c>
    </row>
    <row r="23">
      <c r="A23" t="inlineStr">
        <is>
          <t>Var</t>
        </is>
      </c>
      <c r="B23" s="2">
        <f>YearMap!B6</f>
        <v/>
      </c>
    </row>
    <row r="24">
      <c r="A24" t="inlineStr">
        <is>
          <t>EchoFixed</t>
        </is>
      </c>
      <c r="B24" s="2">
        <f>YearMap!C6</f>
        <v/>
      </c>
    </row>
    <row r="25">
      <c r="A25" t="inlineStr">
        <is>
          <t>PimaFixed</t>
        </is>
      </c>
      <c r="B25" s="2">
        <f>YearMap!D6</f>
        <v/>
      </c>
    </row>
    <row r="26">
      <c r="A26" t="inlineStr">
        <is>
          <t>f_ops</t>
        </is>
      </c>
      <c r="B26">
        <f>YearMap!G6</f>
        <v/>
      </c>
    </row>
    <row r="27">
      <c r="A27" t="inlineStr">
        <is>
          <t>f_lease</t>
        </is>
      </c>
      <c r="B27">
        <f>YearMap!F6</f>
        <v/>
      </c>
    </row>
    <row r="28">
      <c r="A28" t="inlineStr">
        <is>
          <t>Ct(FY2030)</t>
        </is>
      </c>
      <c r="B28" s="2">
        <f>INDEX(Summary_Costs!$C:$C, MATCH($B$3, Summary_Costs!$A:$A, 0))</f>
        <v/>
      </c>
    </row>
    <row r="30">
      <c r="B30" t="inlineStr">
        <is>
          <t>h →</t>
        </is>
      </c>
      <c r="C30" t="n">
        <v>200</v>
      </c>
      <c r="D30" t="n">
        <v>300</v>
      </c>
      <c r="E30" t="n">
        <v>400</v>
      </c>
      <c r="F30" t="n">
        <v>600</v>
      </c>
      <c r="G30" t="n">
        <v>800</v>
      </c>
      <c r="H30" t="n">
        <v>1000</v>
      </c>
      <c r="I30" t="n">
        <v>1200</v>
      </c>
      <c r="J30" t="n">
        <v>1500</v>
      </c>
    </row>
    <row r="31">
      <c r="A31" t="inlineStr">
        <is>
          <t>FY2030 f_ops</t>
        </is>
      </c>
      <c r="C31" s="8">
        <f>IF(($B$28-( $B$23+C30))&lt;=0,NA(),($B$5*$B$26*($B$24+$B$25))/($B$6*($B$28-( $B$23+C30))))</f>
        <v/>
      </c>
      <c r="D31" s="8">
        <f>IF(($B$28-( $B$23+D30))&lt;=0,NA(),($B$5*$B$26*($B$24+$B$25))/($B$6*($B$28-( $B$23+D30))))</f>
        <v/>
      </c>
      <c r="E31" s="8">
        <f>IF(($B$28-( $B$23+E30))&lt;=0,NA(),($B$5*$B$26*($B$24+$B$25))/($B$6*($B$28-( $B$23+E30))))</f>
        <v/>
      </c>
      <c r="F31" s="8">
        <f>IF(($B$28-( $B$23+F30))&lt;=0,NA(),($B$5*$B$26*($B$24+$B$25))/($B$6*($B$28-( $B$23+F30))))</f>
        <v/>
      </c>
      <c r="G31" s="8">
        <f>IF(($B$28-( $B$23+G30))&lt;=0,NA(),($B$5*$B$26*($B$24+$B$25))/($B$6*($B$28-( $B$23+G30))))</f>
        <v/>
      </c>
      <c r="H31" s="8">
        <f>IF(($B$28-( $B$23+H30))&lt;=0,NA(),($B$5*$B$26*($B$24+$B$25))/($B$6*($B$28-( $B$23+H30))))</f>
        <v/>
      </c>
      <c r="I31" s="8">
        <f>IF(($B$28-( $B$23+I30))&lt;=0,NA(),($B$5*$B$26*($B$24+$B$25))/($B$6*($B$28-( $B$23+I30))))</f>
        <v/>
      </c>
      <c r="J31" s="8">
        <f>IF(($B$28-( $B$23+J30))&lt;=0,NA(),($B$5*$B$26*($B$24+$B$25))/($B$6*($B$28-( $B$23+J30))))</f>
        <v/>
      </c>
    </row>
    <row r="32">
      <c r="A32" t="inlineStr">
        <is>
          <t>FY2030 f_lease</t>
        </is>
      </c>
      <c r="C32" s="8">
        <f>IF(($B$28-( $B$23+C30))&lt;=0,NA(),($B$5*$B$27*($B$24+$B$25))/($B$6*($B$28-( $B$23+C30))))</f>
        <v/>
      </c>
      <c r="D32" s="8">
        <f>IF(($B$28-( $B$23+D30))&lt;=0,NA(),($B$5*$B$27*($B$24+$B$25))/($B$6*($B$28-( $B$23+D30))))</f>
        <v/>
      </c>
      <c r="E32" s="8">
        <f>IF(($B$28-( $B$23+E30))&lt;=0,NA(),($B$5*$B$27*($B$24+$B$25))/($B$6*($B$28-( $B$23+E30))))</f>
        <v/>
      </c>
      <c r="F32" s="8">
        <f>IF(($B$28-( $B$23+F30))&lt;=0,NA(),($B$5*$B$27*($B$24+$B$25))/($B$6*($B$28-( $B$23+F30))))</f>
        <v/>
      </c>
      <c r="G32" s="8">
        <f>IF(($B$28-( $B$23+G30))&lt;=0,NA(),($B$5*$B$27*($B$24+$B$25))/($B$6*($B$28-( $B$23+G30))))</f>
        <v/>
      </c>
      <c r="H32" s="8">
        <f>IF(($B$28-( $B$23+H30))&lt;=0,NA(),($B$5*$B$27*($B$24+$B$25))/($B$6*($B$28-( $B$23+H30))))</f>
        <v/>
      </c>
      <c r="I32" s="8">
        <f>IF(($B$28-( $B$23+I30))&lt;=0,NA(),($B$5*$B$27*($B$24+$B$25))/($B$6*($B$28-( $B$23+I30))))</f>
        <v/>
      </c>
      <c r="J32" s="8">
        <f>IF(($B$28-( $B$23+J30))&lt;=0,NA(),($B$5*$B$27*($B$24+$B$25))/($B$6*($B$28-( $B$23+J30))))</f>
        <v/>
      </c>
    </row>
  </sheetData>
  <pageMargins left="0.75" right="0.75" top="1" bottom="1" header="0.5" footer="0.5"/>
  <pageSetup orientation="portrait" paperSize="0" horizontalDpi="0" verticalDpi="0" copies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zoomScale="90" zoomScaleNormal="90" workbookViewId="0">
      <selection activeCell="A17" sqref="A17"/>
    </sheetView>
  </sheetViews>
  <sheetFormatPr baseColWidth="8" defaultRowHeight="14.5"/>
  <sheetData>
    <row r="1">
      <c r="A1" s="5" t="inlineStr">
        <is>
          <t>FAQs</t>
        </is>
      </c>
    </row>
    <row r="2">
      <c r="B2" s="5" t="inlineStr">
        <is>
          <t>Why “Fixed share of M&amp;O = 0.30”?</t>
        </is>
      </c>
    </row>
    <row r="3">
      <c r="B3" t="inlineStr">
        <is>
          <t>District M&amp;O typically has a sizable semi‑fixed component (plant ops/custodial/insurance/admin overhead). Without site‑level detail yet, 30% is a conservative placeholder in the middle of the 25–40% range many K‑12 systems sit in. We will replace it with SUSD plant ops + insurance shares when available.</t>
        </is>
      </c>
    </row>
    <row r="5">
      <c r="B5" s="5" t="inlineStr">
        <is>
          <t>Why “Ops savings (keep‑open) = 0.007 (0.7%)”?</t>
        </is>
      </c>
    </row>
    <row r="6">
      <c r="B6" t="inlineStr">
        <is>
          <t>This represents “light discipline” (utilities/purchasing tweaks, route smoothing) that does not depend on closing a site. I set it very low on purpose so it doesn’t drive results. We’ll calibrate with SUSD data (e.g., last year’s utility audits) if provided.</t>
        </is>
      </c>
    </row>
    <row r="8">
      <c r="B8" s="5" t="inlineStr">
        <is>
          <t>Why “Extra savings (co‑location) = 0.015 (1.5%)”?</t>
        </is>
      </c>
    </row>
    <row r="9">
      <c r="B9" t="inlineStr">
        <is>
          <t>This reflects incremental savings from consolidating some services on one campus (custodial/grounds/partial routing). Again kept small and conservative; we’ll swap in real custodial (sq‑ft), grounds and route deltas when we get them.</t>
        </is>
      </c>
    </row>
    <row r="11">
      <c r="B11" s="5" t="inlineStr">
        <is>
          <t>Why “Repurpose TI per closed site (FY26) = $1.2M”? What is “one‑time carry/TI”?</t>
        </is>
      </c>
    </row>
    <row r="12">
      <c r="B12" t="inlineStr">
        <is>
          <t>“TI” = tenant improvements / transition investments needed to convert a K‑8 to a different use (early learning, admin consolidation) and carry costs in year one (e.g., abatement, doors/security, low‑voltage re‑work, furniture, swing space). A light‑touch repurpose can easily run $10–$20/sq‑ft; Echo’s plant is ~77k sq ft, so $1.2M is a reasonable placeholder (we are not assuming a gut remodel). We’ll replace this with SUSD’s scope/estimate if they have one.</t>
        </is>
      </c>
    </row>
    <row r="17">
      <c r="A17" s="5" t="inlineStr">
        <is>
          <t>Definitions</t>
        </is>
      </c>
    </row>
    <row r="18">
      <c r="B18" t="inlineStr">
        <is>
          <t>MO inflation</t>
        </is>
      </c>
    </row>
    <row r="19">
      <c r="B19" t="inlineStr">
        <is>
          <t>Base MO per ADM (FY25)</t>
        </is>
      </c>
    </row>
    <row r="20">
      <c r="B20" t="inlineStr">
        <is>
          <t>Fixed share of MO</t>
        </is>
      </c>
    </row>
    <row r="21">
      <c r="B21" t="inlineStr">
        <is>
          <t>Ops savings (keep‑open)</t>
        </is>
      </c>
    </row>
    <row r="22">
      <c r="B22" t="inlineStr">
        <is>
          <t>Extra savings (Co‑location)</t>
        </is>
      </c>
    </row>
    <row r="23">
      <c r="B23" t="inlineStr">
        <is>
          <t>Echo base ADM</t>
        </is>
      </c>
    </row>
    <row r="24">
      <c r="B24" t="inlineStr">
        <is>
          <t>Pima base ADM</t>
        </is>
      </c>
    </row>
    <row r="25">
      <c r="B25" t="inlineStr">
        <is>
          <t>Total base ADM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ScenarioKey</t>
        </is>
      </c>
      <c r="B1" t="inlineStr">
        <is>
          <t>Distinctiveness</t>
        </is>
      </c>
      <c r="C1" t="inlineStr">
        <is>
          <t>Reversibility</t>
        </is>
      </c>
    </row>
    <row r="2">
      <c r="A2" t="inlineStr">
        <is>
          <t>A_Repurpose_Both_ops</t>
        </is>
      </c>
      <c r="B2" t="inlineStr">
        <is>
          <t>-</t>
        </is>
      </c>
      <c r="C2" t="inlineStr">
        <is>
          <t>Low</t>
        </is>
      </c>
    </row>
    <row r="3">
      <c r="A3" t="inlineStr">
        <is>
          <t>A_Repurpose_Both_lease</t>
        </is>
      </c>
      <c r="B3" t="inlineStr">
        <is>
          <t>-</t>
        </is>
      </c>
      <c r="C3" t="inlineStr">
        <is>
          <t>Low</t>
        </is>
      </c>
    </row>
    <row r="4">
      <c r="A4" t="inlineStr">
        <is>
          <t>F_CoLocation_Echo_0</t>
        </is>
      </c>
      <c r="B4" t="inlineStr">
        <is>
          <t>+</t>
        </is>
      </c>
      <c r="C4" t="inlineStr">
        <is>
          <t>High</t>
        </is>
      </c>
    </row>
    <row r="5">
      <c r="A5" t="inlineStr">
        <is>
          <t>D_Grow_Both_0</t>
        </is>
      </c>
      <c r="B5" t="inlineStr">
        <is>
          <t>+</t>
        </is>
      </c>
      <c r="C5" t="inlineStr">
        <is>
          <t>Med</t>
        </is>
      </c>
    </row>
    <row r="6">
      <c r="A6" t="inlineStr">
        <is>
          <t>D_Grow_Both_100</t>
        </is>
      </c>
      <c r="B6" t="inlineStr">
        <is>
          <t>+</t>
        </is>
      </c>
      <c r="C6" t="inlineStr">
        <is>
          <t>Med</t>
        </is>
      </c>
    </row>
    <row r="7">
      <c r="A7" t="inlineStr">
        <is>
          <t>D_Grow_Both_150</t>
        </is>
      </c>
      <c r="B7" t="inlineStr">
        <is>
          <t>+</t>
        </is>
      </c>
      <c r="C7" t="inlineStr">
        <is>
          <t>Med</t>
        </is>
      </c>
    </row>
    <row r="8">
      <c r="A8" t="inlineStr">
        <is>
          <t>E_StatusQuo_Targets_0</t>
        </is>
      </c>
      <c r="B8" t="inlineStr">
        <is>
          <t>o</t>
        </is>
      </c>
      <c r="C8" t="inlineStr">
        <is>
          <t>High</t>
        </is>
      </c>
    </row>
    <row r="9">
      <c r="A9" t="inlineStr">
        <is>
          <t>G_DHub_EchoRamp</t>
        </is>
      </c>
      <c r="B9" t="inlineStr">
        <is>
          <t>+</t>
        </is>
      </c>
      <c r="C9" t="inlineStr">
        <is>
          <t>Med-High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F31" sqref="F31"/>
    </sheetView>
  </sheetViews>
  <sheetFormatPr baseColWidth="8" defaultRowHeight="14.5"/>
  <cols>
    <col width="67.54296875" bestFit="1" customWidth="1" min="1" max="1"/>
    <col width="24" bestFit="1" customWidth="1" min="2" max="2"/>
  </cols>
  <sheetData>
    <row r="1">
      <c r="A1" s="5" t="inlineStr">
        <is>
          <t>Break-even retention r* for A_Repurpose_Both vs selected keep-open scenario</t>
        </is>
      </c>
    </row>
    <row r="3">
      <c r="A3" s="5" t="inlineStr">
        <is>
          <t>Keep-open scenario (pick from Summary_Costs!A)</t>
        </is>
      </c>
      <c r="B3" s="4">
        <f>Dashboard!$B$6</f>
        <v/>
      </c>
    </row>
    <row r="5">
      <c r="A5" t="inlineStr">
        <is>
          <t>OpsFactor</t>
        </is>
      </c>
      <c r="B5">
        <f>1-BaselineCalc!$B$5</f>
        <v/>
      </c>
    </row>
    <row r="6">
      <c r="A6" t="inlineStr">
        <is>
          <t>M (displaced if close both)</t>
        </is>
      </c>
      <c r="B6">
        <f>BaselineCalc!$B$7 + BaselineCalc!$B$8</f>
        <v/>
      </c>
    </row>
    <row r="8">
      <c r="A8" t="inlineStr">
        <is>
          <t>FY2028 helpers</t>
        </is>
      </c>
    </row>
    <row r="9">
      <c r="A9" t="inlineStr">
        <is>
          <t>Var</t>
        </is>
      </c>
      <c r="B9" s="2">
        <f>YearMap!B4</f>
        <v/>
      </c>
    </row>
    <row r="10">
      <c r="A10" t="inlineStr">
        <is>
          <t>EchoFixed</t>
        </is>
      </c>
      <c r="B10" s="2">
        <f>YearMap!C4</f>
        <v/>
      </c>
    </row>
    <row r="11">
      <c r="A11" t="inlineStr">
        <is>
          <t>PimaFixed</t>
        </is>
      </c>
      <c r="B11" s="2">
        <f>YearMap!D4</f>
        <v/>
      </c>
    </row>
    <row r="12">
      <c r="A12" t="inlineStr">
        <is>
          <t>f_ops</t>
        </is>
      </c>
      <c r="B12">
        <f>YearMap!G4</f>
        <v/>
      </c>
    </row>
    <row r="13">
      <c r="A13" t="inlineStr">
        <is>
          <t>f_lease</t>
        </is>
      </c>
      <c r="B13">
        <f>YearMap!F4</f>
        <v/>
      </c>
    </row>
    <row r="14">
      <c r="A14" t="inlineStr">
        <is>
          <t>Ct(FY2028)</t>
        </is>
      </c>
      <c r="B14" s="2">
        <f>INDEX(Summary_Costs!$B:$B, MATCH($B$3, Summary_Costs!$A:$A, 0))</f>
        <v/>
      </c>
    </row>
    <row r="16">
      <c r="B16" t="inlineStr">
        <is>
          <t>h →</t>
        </is>
      </c>
      <c r="C16" t="n">
        <v>200</v>
      </c>
      <c r="D16" t="n">
        <v>300</v>
      </c>
      <c r="E16" t="n">
        <v>400</v>
      </c>
      <c r="F16" t="n">
        <v>600</v>
      </c>
      <c r="G16" t="n">
        <v>800</v>
      </c>
      <c r="H16" t="n">
        <v>1000</v>
      </c>
      <c r="I16" t="n">
        <v>1200</v>
      </c>
      <c r="J16" t="n">
        <v>1500</v>
      </c>
    </row>
    <row r="17">
      <c r="A17" t="inlineStr">
        <is>
          <t>FY2028 f_ops</t>
        </is>
      </c>
      <c r="C17" s="8">
        <f>IF(($B$14-( $B$9+C16))&lt;=0,NA(),($B$5*$B$12*($B$10+$B$11))/($B$6*($B$14-( $B$9+C16))))</f>
        <v/>
      </c>
      <c r="D17" s="8">
        <f>IF(($B$14-( $B$9+D16))&lt;=0,NA(),($B$5*$B$12*($B$10+$B$11))/($B$6*($B$14-( $B$9+D16))))</f>
        <v/>
      </c>
      <c r="E17" s="8">
        <f>IF(($B$14-( $B$9+E16))&lt;=0,NA(),($B$5*$B$12*($B$10+$B$11))/($B$6*($B$14-( $B$9+E16))))</f>
        <v/>
      </c>
      <c r="F17" s="8">
        <f>IF(($B$14-( $B$9+F16))&lt;=0,NA(),($B$5*$B$12*($B$10+$B$11))/($B$6*($B$14-( $B$9+F16))))</f>
        <v/>
      </c>
      <c r="G17" s="8">
        <f>IF(($B$14-( $B$9+G16))&lt;=0,NA(),($B$5*$B$12*($B$10+$B$11))/($B$6*($B$14-( $B$9+G16))))</f>
        <v/>
      </c>
      <c r="H17" s="8">
        <f>IF(($B$14-( $B$9+H16))&lt;=0,NA(),($B$5*$B$12*($B$10+$B$11))/($B$6*($B$14-( $B$9+H16))))</f>
        <v/>
      </c>
      <c r="I17" s="8">
        <f>IF(($B$14-( $B$9+I16))&lt;=0,NA(),($B$5*$B$12*($B$10+$B$11))/($B$6*($B$14-( $B$9+I16))))</f>
        <v/>
      </c>
      <c r="J17" s="8">
        <f>IF(($B$14-( $B$9+J16))&lt;=0,NA(),($B$5*$B$12*($B$10+$B$11))/($B$6*($B$14-( $B$9+J16))))</f>
        <v/>
      </c>
    </row>
    <row r="18">
      <c r="A18" t="inlineStr">
        <is>
          <t>FY2028 f_lease</t>
        </is>
      </c>
      <c r="C18" s="8">
        <f>IF(($B$14-( $B$9+C16))&lt;=0,NA(),($B$5*$B$13*($B$10+$B$11))/($B$6*($B$14-( $B$9+C16))))</f>
        <v/>
      </c>
      <c r="D18" s="8">
        <f>IF(($B$14-( $B$9+D16))&lt;=0,NA(),($B$5*$B$13*($B$10+$B$11))/($B$6*($B$14-( $B$9+D16))))</f>
        <v/>
      </c>
      <c r="E18" s="8">
        <f>IF(($B$14-( $B$9+E16))&lt;=0,NA(),($B$5*$B$13*($B$10+$B$11))/($B$6*($B$14-( $B$9+E16))))</f>
        <v/>
      </c>
      <c r="F18" s="8">
        <f>IF(($B$14-( $B$9+F16))&lt;=0,NA(),($B$5*$B$13*($B$10+$B$11))/($B$6*($B$14-( $B$9+F16))))</f>
        <v/>
      </c>
      <c r="G18" s="8">
        <f>IF(($B$14-( $B$9+G16))&lt;=0,NA(),($B$5*$B$13*($B$10+$B$11))/($B$6*($B$14-( $B$9+G16))))</f>
        <v/>
      </c>
      <c r="H18" s="8">
        <f>IF(($B$14-( $B$9+H16))&lt;=0,NA(),($B$5*$B$13*($B$10+$B$11))/($B$6*($B$14-( $B$9+H16))))</f>
        <v/>
      </c>
      <c r="I18" s="8">
        <f>IF(($B$14-( $B$9+I16))&lt;=0,NA(),($B$5*$B$13*($B$10+$B$11))/($B$6*($B$14-( $B$9+I16))))</f>
        <v/>
      </c>
      <c r="J18" s="8">
        <f>IF(($B$14-( $B$9+J16))&lt;=0,NA(),($B$5*$B$13*($B$10+$B$11))/($B$6*($B$14-( $B$9+J16))))</f>
        <v/>
      </c>
    </row>
    <row r="22">
      <c r="A22" t="inlineStr">
        <is>
          <t>FY2030 helpers</t>
        </is>
      </c>
    </row>
    <row r="23">
      <c r="A23" t="inlineStr">
        <is>
          <t>Var</t>
        </is>
      </c>
      <c r="B23" s="2">
        <f>YearMap!B6</f>
        <v/>
      </c>
    </row>
    <row r="24">
      <c r="A24" t="inlineStr">
        <is>
          <t>EchoFixed</t>
        </is>
      </c>
      <c r="B24" s="2">
        <f>YearMap!C6</f>
        <v/>
      </c>
    </row>
    <row r="25">
      <c r="A25" t="inlineStr">
        <is>
          <t>PimaFixed</t>
        </is>
      </c>
      <c r="B25" s="2">
        <f>YearMap!D6</f>
        <v/>
      </c>
    </row>
    <row r="26">
      <c r="A26" t="inlineStr">
        <is>
          <t>f_ops</t>
        </is>
      </c>
      <c r="B26">
        <f>YearMap!G6</f>
        <v/>
      </c>
    </row>
    <row r="27">
      <c r="A27" t="inlineStr">
        <is>
          <t>f_lease</t>
        </is>
      </c>
      <c r="B27">
        <f>YearMap!F6</f>
        <v/>
      </c>
    </row>
    <row r="28">
      <c r="A28" t="inlineStr">
        <is>
          <t>Ct(FY2030)</t>
        </is>
      </c>
      <c r="B28" s="2">
        <f>INDEX(Summary_Costs!$C:$C, MATCH($B$3, Summary_Costs!$A:$A, 0))</f>
        <v/>
      </c>
    </row>
    <row r="30">
      <c r="B30" t="inlineStr">
        <is>
          <t>h →</t>
        </is>
      </c>
      <c r="C30" t="n">
        <v>200</v>
      </c>
      <c r="D30" t="n">
        <v>300</v>
      </c>
      <c r="E30" t="n">
        <v>400</v>
      </c>
      <c r="F30" t="n">
        <v>600</v>
      </c>
      <c r="G30" t="n">
        <v>800</v>
      </c>
      <c r="H30" t="n">
        <v>1000</v>
      </c>
      <c r="I30" t="n">
        <v>1200</v>
      </c>
      <c r="J30" t="n">
        <v>1500</v>
      </c>
    </row>
    <row r="31">
      <c r="A31" t="inlineStr">
        <is>
          <t>FY2030 f_ops</t>
        </is>
      </c>
      <c r="C31" s="8">
        <f>IF(($B$28-( $B$23+C30))&lt;=0,NA(),($B$5*$B$26*($B$24+$B$25))/($B$6*($B$28-( $B$23+C30))))</f>
        <v/>
      </c>
      <c r="D31" s="8">
        <f>IF(($B$28-( $B$23+D30))&lt;=0,NA(),($B$5*$B$26*($B$24+$B$25))/($B$6*($B$28-( $B$23+D30))))</f>
        <v/>
      </c>
      <c r="E31" s="8">
        <f>IF(($B$28-( $B$23+E30))&lt;=0,NA(),($B$5*$B$26*($B$24+$B$25))/($B$6*($B$28-( $B$23+E30))))</f>
        <v/>
      </c>
      <c r="F31" s="8">
        <f>IF(($B$28-( $B$23+F30))&lt;=0,NA(),($B$5*$B$26*($B$24+$B$25))/($B$6*($B$28-( $B$23+F30))))</f>
        <v/>
      </c>
      <c r="G31" s="8">
        <f>IF(($B$28-( $B$23+G30))&lt;=0,NA(),($B$5*$B$26*($B$24+$B$25))/($B$6*($B$28-( $B$23+G30))))</f>
        <v/>
      </c>
      <c r="H31" s="8">
        <f>IF(($B$28-( $B$23+H30))&lt;=0,NA(),($B$5*$B$26*($B$24+$B$25))/($B$6*($B$28-( $B$23+H30))))</f>
        <v/>
      </c>
      <c r="I31" s="8">
        <f>IF(($B$28-( $B$23+I30))&lt;=0,NA(),($B$5*$B$26*($B$24+$B$25))/($B$6*($B$28-( $B$23+I30))))</f>
        <v/>
      </c>
      <c r="J31" s="8">
        <f>IF(($B$28-( $B$23+J30))&lt;=0,NA(),($B$5*$B$26*($B$24+$B$25))/($B$6*($B$28-( $B$23+J30))))</f>
        <v/>
      </c>
    </row>
    <row r="32">
      <c r="A32" t="inlineStr">
        <is>
          <t>FY2030 f_lease</t>
        </is>
      </c>
      <c r="C32" s="8">
        <f>IF(($B$28-( $B$23+C30))&lt;=0,NA(),($B$5*$B$27*($B$24+$B$25))/($B$6*($B$28-( $B$23+C30))))</f>
        <v/>
      </c>
      <c r="D32" s="8">
        <f>IF(($B$28-( $B$23+D30))&lt;=0,NA(),($B$5*$B$27*($B$24+$B$25))/($B$6*($B$28-( $B$23+D30))))</f>
        <v/>
      </c>
      <c r="E32" s="8">
        <f>IF(($B$28-( $B$23+E30))&lt;=0,NA(),($B$5*$B$27*($B$24+$B$25))/($B$6*($B$28-( $B$23+E30))))</f>
        <v/>
      </c>
      <c r="F32" s="8">
        <f>IF(($B$28-( $B$23+F30))&lt;=0,NA(),($B$5*$B$27*($B$24+$B$25))/($B$6*($B$28-( $B$23+F30))))</f>
        <v/>
      </c>
      <c r="G32" s="8">
        <f>IF(($B$28-( $B$23+G30))&lt;=0,NA(),($B$5*$B$27*($B$24+$B$25))/($B$6*($B$28-( $B$23+G30))))</f>
        <v/>
      </c>
      <c r="H32" s="8">
        <f>IF(($B$28-( $B$23+H30))&lt;=0,NA(),($B$5*$B$27*($B$24+$B$25))/($B$6*($B$28-( $B$23+H30))))</f>
        <v/>
      </c>
      <c r="I32" s="8">
        <f>IF(($B$28-( $B$23+I30))&lt;=0,NA(),($B$5*$B$27*($B$24+$B$25))/($B$6*($B$28-( $B$23+I30))))</f>
        <v/>
      </c>
      <c r="J32" s="8">
        <f>IF(($B$28-( $B$23+J30))&lt;=0,NA(),($B$5*$B$27*($B$24+$B$25))/($B$6*($B$28-( $B$23+J30))))</f>
        <v/>
      </c>
    </row>
  </sheetData>
  <pageMargins left="0.75" right="0.75" top="1" bottom="1" header="0.5" footer="0.5"/>
  <pageSetup orientation="portrait" paperSize="0" horizontalDpi="0" verticalDpi="0" copies="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B3" sqref="B3"/>
    </sheetView>
  </sheetViews>
  <sheetFormatPr baseColWidth="8" defaultRowHeight="14.5"/>
  <cols>
    <col width="67.54296875" bestFit="1" customWidth="1" min="1" max="1"/>
    <col width="24" bestFit="1" customWidth="1" min="2" max="2"/>
  </cols>
  <sheetData>
    <row r="1">
      <c r="A1" s="5" t="inlineStr">
        <is>
          <t>Break-even retention r* for A_Repurpose_Both vs selected keep-open scenario</t>
        </is>
      </c>
    </row>
    <row r="3">
      <c r="A3" s="5" t="inlineStr">
        <is>
          <t>Keep-open scenario (pick from Summary_Costs!A)</t>
        </is>
      </c>
      <c r="B3" s="4">
        <f>Dashboard!$B$7</f>
        <v/>
      </c>
    </row>
    <row r="5">
      <c r="A5" t="inlineStr">
        <is>
          <t>OpsFactor</t>
        </is>
      </c>
      <c r="B5">
        <f>1-BaselineCalc!$B$5</f>
        <v/>
      </c>
    </row>
    <row r="6">
      <c r="A6" t="inlineStr">
        <is>
          <t>M (displaced if close both)</t>
        </is>
      </c>
      <c r="B6">
        <f>BaselineCalc!$B$7 + BaselineCalc!$B$8</f>
        <v/>
      </c>
    </row>
    <row r="8">
      <c r="A8" t="inlineStr">
        <is>
          <t>FY2028 helpers</t>
        </is>
      </c>
    </row>
    <row r="9">
      <c r="A9" t="inlineStr">
        <is>
          <t>Var</t>
        </is>
      </c>
      <c r="B9" s="2">
        <f>YearMap!B4</f>
        <v/>
      </c>
    </row>
    <row r="10">
      <c r="A10" t="inlineStr">
        <is>
          <t>EchoFixed</t>
        </is>
      </c>
      <c r="B10" s="2">
        <f>YearMap!C4</f>
        <v/>
      </c>
    </row>
    <row r="11">
      <c r="A11" t="inlineStr">
        <is>
          <t>PimaFixed</t>
        </is>
      </c>
      <c r="B11" s="2">
        <f>YearMap!D4</f>
        <v/>
      </c>
    </row>
    <row r="12">
      <c r="A12" t="inlineStr">
        <is>
          <t>f_ops</t>
        </is>
      </c>
      <c r="B12">
        <f>YearMap!G4</f>
        <v/>
      </c>
    </row>
    <row r="13">
      <c r="A13" t="inlineStr">
        <is>
          <t>f_lease</t>
        </is>
      </c>
      <c r="B13">
        <f>YearMap!F4</f>
        <v/>
      </c>
    </row>
    <row r="14">
      <c r="A14" t="inlineStr">
        <is>
          <t>Ct(FY2028)</t>
        </is>
      </c>
      <c r="B14" s="2">
        <f>INDEX(Summary_Costs!$B:$B, MATCH($B$3, Summary_Costs!$A:$A, 0))</f>
        <v/>
      </c>
    </row>
    <row r="16">
      <c r="B16" t="inlineStr">
        <is>
          <t>h →</t>
        </is>
      </c>
      <c r="C16" t="n">
        <v>200</v>
      </c>
      <c r="D16" t="n">
        <v>300</v>
      </c>
      <c r="E16" t="n">
        <v>400</v>
      </c>
      <c r="F16" t="n">
        <v>600</v>
      </c>
      <c r="G16" t="n">
        <v>800</v>
      </c>
      <c r="H16" t="n">
        <v>1000</v>
      </c>
      <c r="I16" t="n">
        <v>1200</v>
      </c>
      <c r="J16" t="n">
        <v>1500</v>
      </c>
    </row>
    <row r="17">
      <c r="A17" t="inlineStr">
        <is>
          <t>FY2028 f_ops</t>
        </is>
      </c>
      <c r="C17" s="8">
        <f>IF(($B$14-( $B$9+C16))&lt;=0,NA(),($B$5*$B$12*($B$10+$B$11))/($B$6*($B$14-( $B$9+C16))))</f>
        <v/>
      </c>
      <c r="D17" s="8">
        <f>IF(($B$14-( $B$9+D16))&lt;=0,NA(),($B$5*$B$12*($B$10+$B$11))/($B$6*($B$14-( $B$9+D16))))</f>
        <v/>
      </c>
      <c r="E17" s="8">
        <f>IF(($B$14-( $B$9+E16))&lt;=0,NA(),($B$5*$B$12*($B$10+$B$11))/($B$6*($B$14-( $B$9+E16))))</f>
        <v/>
      </c>
      <c r="F17" s="8">
        <f>IF(($B$14-( $B$9+F16))&lt;=0,NA(),($B$5*$B$12*($B$10+$B$11))/($B$6*($B$14-( $B$9+F16))))</f>
        <v/>
      </c>
      <c r="G17" s="8">
        <f>IF(($B$14-( $B$9+G16))&lt;=0,NA(),($B$5*$B$12*($B$10+$B$11))/($B$6*($B$14-( $B$9+G16))))</f>
        <v/>
      </c>
      <c r="H17" s="8">
        <f>IF(($B$14-( $B$9+H16))&lt;=0,NA(),($B$5*$B$12*($B$10+$B$11))/($B$6*($B$14-( $B$9+H16))))</f>
        <v/>
      </c>
      <c r="I17" s="8">
        <f>IF(($B$14-( $B$9+I16))&lt;=0,NA(),($B$5*$B$12*($B$10+$B$11))/($B$6*($B$14-( $B$9+I16))))</f>
        <v/>
      </c>
      <c r="J17" s="8">
        <f>IF(($B$14-( $B$9+J16))&lt;=0,NA(),($B$5*$B$12*($B$10+$B$11))/($B$6*($B$14-( $B$9+J16))))</f>
        <v/>
      </c>
    </row>
    <row r="18">
      <c r="A18" t="inlineStr">
        <is>
          <t>FY2028 f_lease</t>
        </is>
      </c>
      <c r="C18" s="8">
        <f>IF(($B$14-( $B$9+C16))&lt;=0,NA(),($B$5*$B$13*($B$10+$B$11))/($B$6*($B$14-( $B$9+C16))))</f>
        <v/>
      </c>
      <c r="D18" s="8">
        <f>IF(($B$14-( $B$9+D16))&lt;=0,NA(),($B$5*$B$13*($B$10+$B$11))/($B$6*($B$14-( $B$9+D16))))</f>
        <v/>
      </c>
      <c r="E18" s="8">
        <f>IF(($B$14-( $B$9+E16))&lt;=0,NA(),($B$5*$B$13*($B$10+$B$11))/($B$6*($B$14-( $B$9+E16))))</f>
        <v/>
      </c>
      <c r="F18" s="8">
        <f>IF(($B$14-( $B$9+F16))&lt;=0,NA(),($B$5*$B$13*($B$10+$B$11))/($B$6*($B$14-( $B$9+F16))))</f>
        <v/>
      </c>
      <c r="G18" s="8">
        <f>IF(($B$14-( $B$9+G16))&lt;=0,NA(),($B$5*$B$13*($B$10+$B$11))/($B$6*($B$14-( $B$9+G16))))</f>
        <v/>
      </c>
      <c r="H18" s="8">
        <f>IF(($B$14-( $B$9+H16))&lt;=0,NA(),($B$5*$B$13*($B$10+$B$11))/($B$6*($B$14-( $B$9+H16))))</f>
        <v/>
      </c>
      <c r="I18" s="8">
        <f>IF(($B$14-( $B$9+I16))&lt;=0,NA(),($B$5*$B$13*($B$10+$B$11))/($B$6*($B$14-( $B$9+I16))))</f>
        <v/>
      </c>
      <c r="J18" s="8">
        <f>IF(($B$14-( $B$9+J16))&lt;=0,NA(),($B$5*$B$13*($B$10+$B$11))/($B$6*($B$14-( $B$9+J16))))</f>
        <v/>
      </c>
    </row>
    <row r="22">
      <c r="A22" t="inlineStr">
        <is>
          <t>FY2030 helpers</t>
        </is>
      </c>
    </row>
    <row r="23">
      <c r="A23" t="inlineStr">
        <is>
          <t>Var</t>
        </is>
      </c>
      <c r="B23" s="2">
        <f>YearMap!B6</f>
        <v/>
      </c>
    </row>
    <row r="24">
      <c r="A24" t="inlineStr">
        <is>
          <t>EchoFixed</t>
        </is>
      </c>
      <c r="B24" s="2">
        <f>YearMap!C6</f>
        <v/>
      </c>
    </row>
    <row r="25">
      <c r="A25" t="inlineStr">
        <is>
          <t>PimaFixed</t>
        </is>
      </c>
      <c r="B25" s="2">
        <f>YearMap!D6</f>
        <v/>
      </c>
    </row>
    <row r="26">
      <c r="A26" t="inlineStr">
        <is>
          <t>f_ops</t>
        </is>
      </c>
      <c r="B26">
        <f>YearMap!G6</f>
        <v/>
      </c>
    </row>
    <row r="27">
      <c r="A27" t="inlineStr">
        <is>
          <t>f_lease</t>
        </is>
      </c>
      <c r="B27">
        <f>YearMap!F6</f>
        <v/>
      </c>
    </row>
    <row r="28">
      <c r="A28" t="inlineStr">
        <is>
          <t>Ct(FY2030)</t>
        </is>
      </c>
      <c r="B28" s="2">
        <f>INDEX(Summary_Costs!$C:$C, MATCH($B$3, Summary_Costs!$A:$A, 0))</f>
        <v/>
      </c>
    </row>
    <row r="30">
      <c r="B30" t="inlineStr">
        <is>
          <t>h →</t>
        </is>
      </c>
      <c r="C30" t="n">
        <v>200</v>
      </c>
      <c r="D30" t="n">
        <v>300</v>
      </c>
      <c r="E30" t="n">
        <v>400</v>
      </c>
      <c r="F30" t="n">
        <v>600</v>
      </c>
      <c r="G30" t="n">
        <v>800</v>
      </c>
      <c r="H30" t="n">
        <v>1000</v>
      </c>
      <c r="I30" t="n">
        <v>1200</v>
      </c>
      <c r="J30" t="n">
        <v>1500</v>
      </c>
    </row>
    <row r="31">
      <c r="A31" t="inlineStr">
        <is>
          <t>FY2030 f_ops</t>
        </is>
      </c>
      <c r="C31" s="8">
        <f>IF(($B$28-( $B$23+C30))&lt;=0,NA(),($B$5*$B$26*($B$24+$B$25))/($B$6*($B$28-( $B$23+C30))))</f>
        <v/>
      </c>
      <c r="D31" s="8">
        <f>IF(($B$28-( $B$23+D30))&lt;=0,NA(),($B$5*$B$26*($B$24+$B$25))/($B$6*($B$28-( $B$23+D30))))</f>
        <v/>
      </c>
      <c r="E31" s="8">
        <f>IF(($B$28-( $B$23+E30))&lt;=0,NA(),($B$5*$B$26*($B$24+$B$25))/($B$6*($B$28-( $B$23+E30))))</f>
        <v/>
      </c>
      <c r="F31" s="8">
        <f>IF(($B$28-( $B$23+F30))&lt;=0,NA(),($B$5*$B$26*($B$24+$B$25))/($B$6*($B$28-( $B$23+F30))))</f>
        <v/>
      </c>
      <c r="G31" s="8">
        <f>IF(($B$28-( $B$23+G30))&lt;=0,NA(),($B$5*$B$26*($B$24+$B$25))/($B$6*($B$28-( $B$23+G30))))</f>
        <v/>
      </c>
      <c r="H31" s="8">
        <f>IF(($B$28-( $B$23+H30))&lt;=0,NA(),($B$5*$B$26*($B$24+$B$25))/($B$6*($B$28-( $B$23+H30))))</f>
        <v/>
      </c>
      <c r="I31" s="8">
        <f>IF(($B$28-( $B$23+I30))&lt;=0,NA(),($B$5*$B$26*($B$24+$B$25))/($B$6*($B$28-( $B$23+I30))))</f>
        <v/>
      </c>
      <c r="J31" s="8">
        <f>IF(($B$28-( $B$23+J30))&lt;=0,NA(),($B$5*$B$26*($B$24+$B$25))/($B$6*($B$28-( $B$23+J30))))</f>
        <v/>
      </c>
    </row>
    <row r="32">
      <c r="A32" t="inlineStr">
        <is>
          <t>FY2030 f_lease</t>
        </is>
      </c>
      <c r="C32" s="8">
        <f>IF(($B$28-( $B$23+C30))&lt;=0,NA(),($B$5*$B$27*($B$24+$B$25))/($B$6*($B$28-( $B$23+C30))))</f>
        <v/>
      </c>
      <c r="D32" s="8">
        <f>IF(($B$28-( $B$23+D30))&lt;=0,NA(),($B$5*$B$27*($B$24+$B$25))/($B$6*($B$28-( $B$23+D30))))</f>
        <v/>
      </c>
      <c r="E32" s="8">
        <f>IF(($B$28-( $B$23+E30))&lt;=0,NA(),($B$5*$B$27*($B$24+$B$25))/($B$6*($B$28-( $B$23+E30))))</f>
        <v/>
      </c>
      <c r="F32" s="8">
        <f>IF(($B$28-( $B$23+F30))&lt;=0,NA(),($B$5*$B$27*($B$24+$B$25))/($B$6*($B$28-( $B$23+F30))))</f>
        <v/>
      </c>
      <c r="G32" s="8">
        <f>IF(($B$28-( $B$23+G30))&lt;=0,NA(),($B$5*$B$27*($B$24+$B$25))/($B$6*($B$28-( $B$23+G30))))</f>
        <v/>
      </c>
      <c r="H32" s="8">
        <f>IF(($B$28-( $B$23+H30))&lt;=0,NA(),($B$5*$B$27*($B$24+$B$25))/($B$6*($B$28-( $B$23+H30))))</f>
        <v/>
      </c>
      <c r="I32" s="8">
        <f>IF(($B$28-( $B$23+I30))&lt;=0,NA(),($B$5*$B$27*($B$24+$B$25))/($B$6*($B$28-( $B$23+I30))))</f>
        <v/>
      </c>
      <c r="J32" s="8">
        <f>IF(($B$28-( $B$23+J30))&lt;=0,NA(),($B$5*$B$27*($B$24+$B$25))/($B$6*($B$28-( $B$23+J30))))</f>
        <v/>
      </c>
    </row>
  </sheetData>
  <pageMargins left="0.75" right="0.75" top="1" bottom="1" header="0.5" footer="0.5"/>
  <pageSetup orientation="portrait" paperSize="0" horizontalDpi="0" verticalDpi="0" copies="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MarginalFactor_for_Overlay</t>
        </is>
      </c>
      <c r="B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Brian Hohl</dc:creator>
  <dcterms:created xmlns:dcterms="http://purl.org/dc/terms/" xmlns:xsi="http://www.w3.org/2001/XMLSchema-instance" xsi:type="dcterms:W3CDTF">2025-10-21T22:31:51Z</dcterms:created>
  <dcterms:modified xmlns:dcterms="http://purl.org/dc/terms/" xmlns:xsi="http://www.w3.org/2001/XMLSchema-instance" xsi:type="dcterms:W3CDTF">2025-10-23T05:21:01Z</dcterms:modified>
  <cp:lastModifiedBy>Brian Hohl</cp:lastModifiedBy>
</cp:coreProperties>
</file>