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hlb\Downloads\"/>
    </mc:Choice>
  </mc:AlternateContent>
  <xr:revisionPtr revIDLastSave="0" documentId="13_ncr:1_{F02E543B-1AFA-4473-9C34-C4C6D1C237B0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Dashboard" sheetId="1" r:id="rId1"/>
    <sheet name="Cards" sheetId="2" r:id="rId2"/>
    <sheet name="BaselineCalc" sheetId="3" r:id="rId3"/>
    <sheet name="YearMap" sheetId="4" r:id="rId4"/>
    <sheet name="MultiYear_ProForma" sheetId="5" r:id="rId5"/>
    <sheet name="Scenarios" sheetId="6" r:id="rId6"/>
    <sheet name="Summary_Costs" sheetId="7" r:id="rId7"/>
    <sheet name="Control center" sheetId="14" r:id="rId8"/>
    <sheet name="BreakEven" sheetId="8" r:id="rId9"/>
    <sheet name="Notes" sheetId="9" r:id="rId10"/>
    <sheet name="Attributes" sheetId="10" r:id="rId11"/>
    <sheet name="BreakEven_X" sheetId="11" r:id="rId12"/>
    <sheet name="BreakEven_Y" sheetId="12" r:id="rId13"/>
    <sheet name="Parameters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/>
  <c r="K4" i="7"/>
  <c r="K5" i="7"/>
  <c r="K6" i="7"/>
  <c r="K7" i="7"/>
  <c r="K8" i="7"/>
  <c r="K9" i="7"/>
  <c r="K10" i="7"/>
  <c r="K11" i="7"/>
  <c r="K12" i="7"/>
  <c r="K13" i="7"/>
  <c r="K2" i="7"/>
  <c r="AB11" i="5"/>
  <c r="AB10" i="5"/>
  <c r="AB9" i="5"/>
  <c r="AB8" i="5"/>
  <c r="AB7" i="5"/>
  <c r="AB6" i="5"/>
  <c r="AB5" i="5"/>
  <c r="AB4" i="5"/>
  <c r="AB3" i="5"/>
  <c r="AB2" i="5"/>
  <c r="AB16" i="5"/>
  <c r="AB15" i="5"/>
  <c r="AB14" i="5"/>
  <c r="AB13" i="5"/>
  <c r="AB12" i="5"/>
  <c r="AB21" i="5"/>
  <c r="AB20" i="5"/>
  <c r="AB19" i="5"/>
  <c r="AB18" i="5"/>
  <c r="AB17" i="5"/>
  <c r="AB26" i="5"/>
  <c r="AB25" i="5"/>
  <c r="AB24" i="5"/>
  <c r="AB23" i="5"/>
  <c r="AB22" i="5"/>
  <c r="AB28" i="5"/>
  <c r="AB27" i="5"/>
  <c r="AB31" i="5"/>
  <c r="AB30" i="5"/>
  <c r="AB29" i="5"/>
  <c r="AB46" i="5"/>
  <c r="AB45" i="5"/>
  <c r="AB44" i="5"/>
  <c r="AB43" i="5"/>
  <c r="AB42" i="5"/>
  <c r="AB41" i="5"/>
  <c r="AB40" i="5"/>
  <c r="AB39" i="5"/>
  <c r="AB38" i="5"/>
  <c r="AB37" i="5"/>
  <c r="AB36" i="5"/>
  <c r="AB35" i="5"/>
  <c r="AB34" i="5"/>
  <c r="AB33" i="5"/>
  <c r="AB32" i="5"/>
  <c r="AB56" i="5"/>
  <c r="AB55" i="5"/>
  <c r="AB54" i="5"/>
  <c r="AB53" i="5"/>
  <c r="AB52" i="5"/>
  <c r="AB51" i="5"/>
  <c r="AB50" i="5"/>
  <c r="AB49" i="5"/>
  <c r="AB48" i="5"/>
  <c r="AB47" i="5"/>
  <c r="AB60" i="5"/>
  <c r="AB59" i="5"/>
  <c r="AB58" i="5"/>
  <c r="AB57" i="5"/>
  <c r="AB61" i="5"/>
  <c r="B27" i="12"/>
  <c r="B26" i="12"/>
  <c r="B13" i="12"/>
  <c r="B12" i="12"/>
  <c r="B6" i="12"/>
  <c r="B5" i="12"/>
  <c r="B3" i="12"/>
  <c r="B27" i="11"/>
  <c r="B26" i="11"/>
  <c r="B13" i="11"/>
  <c r="B12" i="11"/>
  <c r="B6" i="11"/>
  <c r="B5" i="11"/>
  <c r="B3" i="11"/>
  <c r="B27" i="8"/>
  <c r="B26" i="8"/>
  <c r="B13" i="8"/>
  <c r="B12" i="8"/>
  <c r="B6" i="8"/>
  <c r="B5" i="8"/>
  <c r="A13" i="7"/>
  <c r="A12" i="7"/>
  <c r="A11" i="7"/>
  <c r="A10" i="7"/>
  <c r="A9" i="7"/>
  <c r="A8" i="7"/>
  <c r="A7" i="7"/>
  <c r="A6" i="7"/>
  <c r="A5" i="7"/>
  <c r="A4" i="7"/>
  <c r="A3" i="7"/>
  <c r="A2" i="7"/>
  <c r="I75" i="6"/>
  <c r="D75" i="6"/>
  <c r="A75" i="6"/>
  <c r="I74" i="6"/>
  <c r="D74" i="6"/>
  <c r="A74" i="6"/>
  <c r="I73" i="6"/>
  <c r="D73" i="6"/>
  <c r="A73" i="6"/>
  <c r="I72" i="6"/>
  <c r="D72" i="6"/>
  <c r="A72" i="6"/>
  <c r="I71" i="6"/>
  <c r="D71" i="6"/>
  <c r="A71" i="6"/>
  <c r="I70" i="6"/>
  <c r="D70" i="6"/>
  <c r="C70" i="6"/>
  <c r="E70" i="6" s="1"/>
  <c r="A70" i="6"/>
  <c r="I69" i="6"/>
  <c r="D69" i="6"/>
  <c r="A69" i="6"/>
  <c r="I68" i="6"/>
  <c r="D68" i="6"/>
  <c r="C68" i="6"/>
  <c r="E68" i="6" s="1"/>
  <c r="A68" i="6"/>
  <c r="I67" i="6"/>
  <c r="D67" i="6"/>
  <c r="A67" i="6"/>
  <c r="I66" i="6"/>
  <c r="D66" i="6"/>
  <c r="A66" i="6"/>
  <c r="I65" i="6"/>
  <c r="C65" i="6"/>
  <c r="A65" i="6"/>
  <c r="I64" i="6"/>
  <c r="C64" i="6"/>
  <c r="A64" i="6"/>
  <c r="I63" i="6"/>
  <c r="C63" i="6"/>
  <c r="A63" i="6"/>
  <c r="I62" i="6"/>
  <c r="C62" i="6"/>
  <c r="A62" i="6"/>
  <c r="I61" i="6"/>
  <c r="C61" i="6"/>
  <c r="A61" i="6"/>
  <c r="I60" i="6"/>
  <c r="C60" i="6"/>
  <c r="A60" i="6"/>
  <c r="I59" i="6"/>
  <c r="C59" i="6"/>
  <c r="A59" i="6"/>
  <c r="I58" i="6"/>
  <c r="C58" i="6"/>
  <c r="A58" i="6"/>
  <c r="I57" i="6"/>
  <c r="C57" i="6"/>
  <c r="E57" i="6" s="1"/>
  <c r="A57" i="6"/>
  <c r="I56" i="6"/>
  <c r="C56" i="6"/>
  <c r="A56" i="6"/>
  <c r="I55" i="6"/>
  <c r="D55" i="6"/>
  <c r="C55" i="6"/>
  <c r="E55" i="6" s="1"/>
  <c r="A55" i="6"/>
  <c r="I54" i="6"/>
  <c r="D54" i="6"/>
  <c r="C54" i="6"/>
  <c r="E54" i="6" s="1"/>
  <c r="A54" i="6"/>
  <c r="I53" i="6"/>
  <c r="D53" i="6"/>
  <c r="C53" i="6"/>
  <c r="E53" i="6" s="1"/>
  <c r="A53" i="6"/>
  <c r="I52" i="6"/>
  <c r="D52" i="6"/>
  <c r="C52" i="6"/>
  <c r="E52" i="6" s="1"/>
  <c r="A52" i="6"/>
  <c r="I51" i="6"/>
  <c r="D51" i="6"/>
  <c r="C51" i="6"/>
  <c r="E51" i="6" s="1"/>
  <c r="A51" i="6"/>
  <c r="I50" i="6"/>
  <c r="D50" i="6"/>
  <c r="C50" i="6"/>
  <c r="E50" i="6" s="1"/>
  <c r="A50" i="6"/>
  <c r="I49" i="6"/>
  <c r="D49" i="6"/>
  <c r="C49" i="6"/>
  <c r="E49" i="6" s="1"/>
  <c r="A49" i="6"/>
  <c r="I48" i="6"/>
  <c r="D48" i="6"/>
  <c r="C48" i="6"/>
  <c r="E48" i="6" s="1"/>
  <c r="A48" i="6"/>
  <c r="I47" i="6"/>
  <c r="D47" i="6"/>
  <c r="C47" i="6"/>
  <c r="E47" i="6" s="1"/>
  <c r="A47" i="6"/>
  <c r="I46" i="6"/>
  <c r="D46" i="6"/>
  <c r="C46" i="6"/>
  <c r="E46" i="6" s="1"/>
  <c r="A46" i="6"/>
  <c r="I45" i="6"/>
  <c r="A45" i="6"/>
  <c r="I44" i="6"/>
  <c r="A44" i="6"/>
  <c r="I43" i="6"/>
  <c r="A43" i="6"/>
  <c r="I42" i="6"/>
  <c r="A42" i="6"/>
  <c r="I41" i="6"/>
  <c r="A41" i="6"/>
  <c r="I40" i="6"/>
  <c r="A40" i="6"/>
  <c r="I39" i="6"/>
  <c r="A39" i="6"/>
  <c r="I38" i="6"/>
  <c r="C38" i="6"/>
  <c r="E38" i="6" s="1"/>
  <c r="A38" i="6"/>
  <c r="I37" i="6"/>
  <c r="A37" i="6"/>
  <c r="I36" i="6"/>
  <c r="A36" i="6"/>
  <c r="I35" i="6"/>
  <c r="A35" i="6"/>
  <c r="I34" i="6"/>
  <c r="C34" i="6"/>
  <c r="E34" i="6" s="1"/>
  <c r="A34" i="6"/>
  <c r="I33" i="6"/>
  <c r="A33" i="6"/>
  <c r="I32" i="6"/>
  <c r="C32" i="6"/>
  <c r="E32" i="6" s="1"/>
  <c r="A32" i="6"/>
  <c r="I31" i="6"/>
  <c r="A31" i="6"/>
  <c r="I30" i="6"/>
  <c r="A30" i="6"/>
  <c r="I29" i="6"/>
  <c r="A29" i="6"/>
  <c r="I28" i="6"/>
  <c r="A28" i="6"/>
  <c r="I27" i="6"/>
  <c r="A27" i="6"/>
  <c r="I26" i="6"/>
  <c r="A26" i="6"/>
  <c r="I25" i="6"/>
  <c r="A25" i="6"/>
  <c r="I24" i="6"/>
  <c r="C24" i="6"/>
  <c r="E24" i="6" s="1"/>
  <c r="A24" i="6"/>
  <c r="I23" i="6"/>
  <c r="A23" i="6"/>
  <c r="I22" i="6"/>
  <c r="E22" i="6"/>
  <c r="C22" i="6"/>
  <c r="A22" i="6"/>
  <c r="I21" i="6"/>
  <c r="A21" i="6"/>
  <c r="I20" i="6"/>
  <c r="E20" i="6"/>
  <c r="C20" i="6"/>
  <c r="A20" i="6"/>
  <c r="I19" i="6"/>
  <c r="A19" i="6"/>
  <c r="I18" i="6"/>
  <c r="A18" i="6"/>
  <c r="I17" i="6"/>
  <c r="A17" i="6"/>
  <c r="I16" i="6"/>
  <c r="C16" i="6"/>
  <c r="E16" i="6" s="1"/>
  <c r="A16" i="6"/>
  <c r="M13" i="6"/>
  <c r="L13" i="6"/>
  <c r="C74" i="6" s="1"/>
  <c r="E74" i="6" s="1"/>
  <c r="K13" i="6"/>
  <c r="C73" i="6" s="1"/>
  <c r="J13" i="6"/>
  <c r="M58" i="5" s="1"/>
  <c r="I13" i="6"/>
  <c r="C71" i="6" s="1"/>
  <c r="M12" i="6"/>
  <c r="L12" i="6"/>
  <c r="K12" i="6"/>
  <c r="J12" i="6"/>
  <c r="I12" i="6"/>
  <c r="C66" i="6" s="1"/>
  <c r="E66" i="6" s="1"/>
  <c r="M11" i="6"/>
  <c r="D65" i="6" s="1"/>
  <c r="L11" i="6"/>
  <c r="D64" i="6" s="1"/>
  <c r="K11" i="6"/>
  <c r="D63" i="6" s="1"/>
  <c r="J11" i="6"/>
  <c r="D62" i="6" s="1"/>
  <c r="I11" i="6"/>
  <c r="D61" i="6" s="1"/>
  <c r="M10" i="6"/>
  <c r="D60" i="6" s="1"/>
  <c r="L10" i="6"/>
  <c r="D59" i="6" s="1"/>
  <c r="K10" i="6"/>
  <c r="D58" i="6" s="1"/>
  <c r="J10" i="6"/>
  <c r="D57" i="6" s="1"/>
  <c r="I10" i="6"/>
  <c r="D56" i="6" s="1"/>
  <c r="M9" i="6"/>
  <c r="L9" i="6"/>
  <c r="K9" i="6"/>
  <c r="J9" i="6"/>
  <c r="I9" i="6"/>
  <c r="M8" i="6"/>
  <c r="L8" i="6"/>
  <c r="K8" i="6"/>
  <c r="J8" i="6"/>
  <c r="I8" i="6"/>
  <c r="M7" i="6"/>
  <c r="M31" i="5" s="1"/>
  <c r="E31" i="5" s="1"/>
  <c r="L7" i="6"/>
  <c r="D44" i="6" s="1"/>
  <c r="I7" i="6"/>
  <c r="D41" i="6" s="1"/>
  <c r="M6" i="6"/>
  <c r="D40" i="6" s="1"/>
  <c r="L6" i="6"/>
  <c r="D39" i="6" s="1"/>
  <c r="K6" i="6"/>
  <c r="D38" i="6" s="1"/>
  <c r="J6" i="6"/>
  <c r="I6" i="6"/>
  <c r="D36" i="6" s="1"/>
  <c r="M5" i="6"/>
  <c r="L5" i="6"/>
  <c r="D34" i="6" s="1"/>
  <c r="K5" i="6"/>
  <c r="D33" i="6" s="1"/>
  <c r="J5" i="6"/>
  <c r="D32" i="6" s="1"/>
  <c r="I5" i="6"/>
  <c r="D31" i="6" s="1"/>
  <c r="M4" i="6"/>
  <c r="D30" i="6" s="1"/>
  <c r="L4" i="6"/>
  <c r="M15" i="5" s="1"/>
  <c r="E15" i="5" s="1"/>
  <c r="K4" i="6"/>
  <c r="D28" i="6" s="1"/>
  <c r="J4" i="6"/>
  <c r="M13" i="5" s="1"/>
  <c r="E13" i="5" s="1"/>
  <c r="I4" i="6"/>
  <c r="D26" i="6" s="1"/>
  <c r="M3" i="6"/>
  <c r="D25" i="6" s="1"/>
  <c r="L3" i="6"/>
  <c r="D24" i="6" s="1"/>
  <c r="K3" i="6"/>
  <c r="D23" i="6" s="1"/>
  <c r="J3" i="6"/>
  <c r="D22" i="6" s="1"/>
  <c r="I3" i="6"/>
  <c r="M2" i="6"/>
  <c r="D20" i="6" s="1"/>
  <c r="L2" i="6"/>
  <c r="K2" i="6"/>
  <c r="D18" i="6" s="1"/>
  <c r="J2" i="6"/>
  <c r="D17" i="6" s="1"/>
  <c r="I2" i="6"/>
  <c r="D16" i="6" s="1"/>
  <c r="T61" i="5"/>
  <c r="Q61" i="5"/>
  <c r="P61" i="5"/>
  <c r="K61" i="5"/>
  <c r="J61" i="5"/>
  <c r="E61" i="5"/>
  <c r="B61" i="5"/>
  <c r="AG61" i="5" s="1"/>
  <c r="A61" i="5" s="1"/>
  <c r="T60" i="5"/>
  <c r="Q60" i="5"/>
  <c r="P60" i="5"/>
  <c r="M60" i="5"/>
  <c r="K60" i="5"/>
  <c r="J60" i="5"/>
  <c r="E60" i="5"/>
  <c r="B60" i="5"/>
  <c r="AG60" i="5" s="1"/>
  <c r="A60" i="5" s="1"/>
  <c r="AG59" i="5"/>
  <c r="A59" i="5" s="1"/>
  <c r="T59" i="5"/>
  <c r="Q59" i="5"/>
  <c r="P59" i="5"/>
  <c r="K59" i="5"/>
  <c r="J59" i="5"/>
  <c r="E59" i="5"/>
  <c r="B59" i="5"/>
  <c r="T58" i="5"/>
  <c r="Q58" i="5"/>
  <c r="P58" i="5"/>
  <c r="K58" i="5"/>
  <c r="J58" i="5"/>
  <c r="E58" i="5"/>
  <c r="B58" i="5"/>
  <c r="AG58" i="5" s="1"/>
  <c r="A58" i="5" s="1"/>
  <c r="T57" i="5"/>
  <c r="Q57" i="5"/>
  <c r="P57" i="5"/>
  <c r="K57" i="5"/>
  <c r="J57" i="5"/>
  <c r="E57" i="5"/>
  <c r="B57" i="5"/>
  <c r="AG57" i="5" s="1"/>
  <c r="A57" i="5" s="1"/>
  <c r="T56" i="5"/>
  <c r="Q56" i="5"/>
  <c r="P56" i="5"/>
  <c r="M56" i="5"/>
  <c r="L56" i="5"/>
  <c r="D56" i="5" s="1"/>
  <c r="K56" i="5"/>
  <c r="J56" i="5"/>
  <c r="E56" i="5"/>
  <c r="B56" i="5"/>
  <c r="T55" i="5"/>
  <c r="Q55" i="5"/>
  <c r="P55" i="5"/>
  <c r="L55" i="5"/>
  <c r="K55" i="5"/>
  <c r="J55" i="5"/>
  <c r="E55" i="5"/>
  <c r="B55" i="5"/>
  <c r="AG55" i="5" s="1"/>
  <c r="A55" i="5" s="1"/>
  <c r="T54" i="5"/>
  <c r="Q54" i="5"/>
  <c r="P54" i="5"/>
  <c r="M54" i="5"/>
  <c r="L54" i="5"/>
  <c r="D54" i="5" s="1"/>
  <c r="K54" i="5"/>
  <c r="J54" i="5"/>
  <c r="E54" i="5"/>
  <c r="B54" i="5"/>
  <c r="T53" i="5"/>
  <c r="Q53" i="5"/>
  <c r="P53" i="5"/>
  <c r="L53" i="5"/>
  <c r="K53" i="5"/>
  <c r="J53" i="5"/>
  <c r="E53" i="5"/>
  <c r="B53" i="5"/>
  <c r="AG53" i="5" s="1"/>
  <c r="A53" i="5" s="1"/>
  <c r="T52" i="5"/>
  <c r="Q52" i="5"/>
  <c r="P52" i="5"/>
  <c r="M52" i="5"/>
  <c r="L52" i="5"/>
  <c r="D52" i="5" s="1"/>
  <c r="K52" i="5"/>
  <c r="J52" i="5"/>
  <c r="E52" i="5"/>
  <c r="B52" i="5"/>
  <c r="AG51" i="5"/>
  <c r="A51" i="5" s="1"/>
  <c r="T51" i="5"/>
  <c r="Q51" i="5"/>
  <c r="P51" i="5"/>
  <c r="M51" i="5"/>
  <c r="E51" i="5" s="1"/>
  <c r="L51" i="5"/>
  <c r="K51" i="5"/>
  <c r="J51" i="5"/>
  <c r="D51" i="5"/>
  <c r="B51" i="5"/>
  <c r="T50" i="5"/>
  <c r="Q50" i="5"/>
  <c r="P50" i="5"/>
  <c r="M50" i="5"/>
  <c r="E50" i="5" s="1"/>
  <c r="L50" i="5"/>
  <c r="K50" i="5"/>
  <c r="J50" i="5"/>
  <c r="D50" i="5"/>
  <c r="B50" i="5"/>
  <c r="T49" i="5"/>
  <c r="Q49" i="5"/>
  <c r="P49" i="5"/>
  <c r="K49" i="5"/>
  <c r="J49" i="5"/>
  <c r="D49" i="5"/>
  <c r="B49" i="5"/>
  <c r="T48" i="5"/>
  <c r="Q48" i="5"/>
  <c r="P48" i="5"/>
  <c r="M48" i="5"/>
  <c r="E48" i="5" s="1"/>
  <c r="L48" i="5"/>
  <c r="K48" i="5"/>
  <c r="J48" i="5"/>
  <c r="D48" i="5"/>
  <c r="B48" i="5"/>
  <c r="T47" i="5"/>
  <c r="Q47" i="5"/>
  <c r="P47" i="5"/>
  <c r="K47" i="5"/>
  <c r="J47" i="5"/>
  <c r="D47" i="5"/>
  <c r="B47" i="5"/>
  <c r="T46" i="5"/>
  <c r="Q46" i="5"/>
  <c r="P46" i="5"/>
  <c r="M46" i="5"/>
  <c r="E46" i="5" s="1"/>
  <c r="L46" i="5"/>
  <c r="K46" i="5"/>
  <c r="J46" i="5"/>
  <c r="D46" i="5"/>
  <c r="F46" i="5" s="1"/>
  <c r="B46" i="5"/>
  <c r="T45" i="5"/>
  <c r="Q45" i="5"/>
  <c r="P45" i="5"/>
  <c r="M45" i="5"/>
  <c r="L45" i="5"/>
  <c r="K45" i="5"/>
  <c r="J45" i="5"/>
  <c r="E45" i="5"/>
  <c r="D45" i="5"/>
  <c r="B45" i="5"/>
  <c r="AG45" i="5" s="1"/>
  <c r="A45" i="5" s="1"/>
  <c r="T44" i="5"/>
  <c r="Q44" i="5"/>
  <c r="P44" i="5"/>
  <c r="M44" i="5"/>
  <c r="E44" i="5" s="1"/>
  <c r="F44" i="5" s="1"/>
  <c r="L44" i="5"/>
  <c r="K44" i="5"/>
  <c r="J44" i="5"/>
  <c r="D44" i="5"/>
  <c r="B44" i="5"/>
  <c r="AG44" i="5" s="1"/>
  <c r="A44" i="5" s="1"/>
  <c r="T43" i="5"/>
  <c r="Q43" i="5"/>
  <c r="P43" i="5"/>
  <c r="M43" i="5"/>
  <c r="E43" i="5" s="1"/>
  <c r="L43" i="5"/>
  <c r="K43" i="5"/>
  <c r="J43" i="5"/>
  <c r="D43" i="5"/>
  <c r="B43" i="5"/>
  <c r="AG43" i="5" s="1"/>
  <c r="A43" i="5" s="1"/>
  <c r="T42" i="5"/>
  <c r="Q42" i="5"/>
  <c r="P42" i="5"/>
  <c r="M42" i="5"/>
  <c r="E42" i="5" s="1"/>
  <c r="L42" i="5"/>
  <c r="K42" i="5"/>
  <c r="J42" i="5"/>
  <c r="D42" i="5"/>
  <c r="B42" i="5"/>
  <c r="AG42" i="5" s="1"/>
  <c r="A42" i="5" s="1"/>
  <c r="T41" i="5"/>
  <c r="Q41" i="5"/>
  <c r="P41" i="5"/>
  <c r="M41" i="5"/>
  <c r="L41" i="5"/>
  <c r="K41" i="5"/>
  <c r="J41" i="5"/>
  <c r="E41" i="5"/>
  <c r="D41" i="5"/>
  <c r="F41" i="5" s="1"/>
  <c r="B41" i="5"/>
  <c r="AG41" i="5" s="1"/>
  <c r="A41" i="5" s="1"/>
  <c r="T40" i="5"/>
  <c r="Q40" i="5"/>
  <c r="P40" i="5"/>
  <c r="M40" i="5"/>
  <c r="L40" i="5"/>
  <c r="K40" i="5"/>
  <c r="J40" i="5"/>
  <c r="E40" i="5"/>
  <c r="D40" i="5"/>
  <c r="B40" i="5"/>
  <c r="AG40" i="5" s="1"/>
  <c r="A40" i="5" s="1"/>
  <c r="T39" i="5"/>
  <c r="Q39" i="5"/>
  <c r="P39" i="5"/>
  <c r="M39" i="5"/>
  <c r="L39" i="5"/>
  <c r="K39" i="5"/>
  <c r="J39" i="5"/>
  <c r="E39" i="5"/>
  <c r="D39" i="5"/>
  <c r="F39" i="5" s="1"/>
  <c r="B39" i="5"/>
  <c r="AG39" i="5" s="1"/>
  <c r="A39" i="5" s="1"/>
  <c r="T38" i="5"/>
  <c r="Q38" i="5"/>
  <c r="P38" i="5"/>
  <c r="M38" i="5"/>
  <c r="L38" i="5"/>
  <c r="K38" i="5"/>
  <c r="J38" i="5"/>
  <c r="E38" i="5"/>
  <c r="D38" i="5"/>
  <c r="B38" i="5"/>
  <c r="AG38" i="5" s="1"/>
  <c r="A38" i="5" s="1"/>
  <c r="T37" i="5"/>
  <c r="Q37" i="5"/>
  <c r="P37" i="5"/>
  <c r="M37" i="5"/>
  <c r="L37" i="5"/>
  <c r="K37" i="5"/>
  <c r="J37" i="5"/>
  <c r="E37" i="5"/>
  <c r="D37" i="5"/>
  <c r="B37" i="5"/>
  <c r="AG37" i="5" s="1"/>
  <c r="A37" i="5" s="1"/>
  <c r="T36" i="5"/>
  <c r="Q36" i="5"/>
  <c r="P36" i="5"/>
  <c r="M36" i="5"/>
  <c r="L36" i="5"/>
  <c r="K36" i="5"/>
  <c r="J36" i="5"/>
  <c r="E36" i="5"/>
  <c r="D36" i="5"/>
  <c r="B36" i="5"/>
  <c r="AG36" i="5" s="1"/>
  <c r="A36" i="5" s="1"/>
  <c r="T35" i="5"/>
  <c r="Q35" i="5"/>
  <c r="P35" i="5"/>
  <c r="M35" i="5"/>
  <c r="L35" i="5"/>
  <c r="K35" i="5"/>
  <c r="J35" i="5"/>
  <c r="E35" i="5"/>
  <c r="D35" i="5"/>
  <c r="B35" i="5"/>
  <c r="AG35" i="5" s="1"/>
  <c r="A35" i="5" s="1"/>
  <c r="T34" i="5"/>
  <c r="Q34" i="5"/>
  <c r="P34" i="5"/>
  <c r="M34" i="5"/>
  <c r="L34" i="5"/>
  <c r="K34" i="5"/>
  <c r="J34" i="5"/>
  <c r="E34" i="5"/>
  <c r="D34" i="5"/>
  <c r="B34" i="5"/>
  <c r="AG34" i="5" s="1"/>
  <c r="A34" i="5" s="1"/>
  <c r="T33" i="5"/>
  <c r="Q33" i="5"/>
  <c r="P33" i="5"/>
  <c r="M33" i="5"/>
  <c r="L33" i="5"/>
  <c r="K33" i="5"/>
  <c r="J33" i="5"/>
  <c r="E33" i="5"/>
  <c r="D33" i="5"/>
  <c r="B33" i="5"/>
  <c r="AG33" i="5" s="1"/>
  <c r="A33" i="5" s="1"/>
  <c r="T32" i="5"/>
  <c r="Q32" i="5"/>
  <c r="P32" i="5"/>
  <c r="M32" i="5"/>
  <c r="L32" i="5"/>
  <c r="K32" i="5"/>
  <c r="J32" i="5"/>
  <c r="E32" i="5"/>
  <c r="D32" i="5"/>
  <c r="B32" i="5"/>
  <c r="T31" i="5"/>
  <c r="Q31" i="5"/>
  <c r="P31" i="5"/>
  <c r="K31" i="5"/>
  <c r="J31" i="5"/>
  <c r="B31" i="5"/>
  <c r="T30" i="5"/>
  <c r="Q30" i="5"/>
  <c r="P30" i="5"/>
  <c r="M30" i="5"/>
  <c r="E30" i="5" s="1"/>
  <c r="L30" i="5"/>
  <c r="K30" i="5"/>
  <c r="J30" i="5"/>
  <c r="B30" i="5"/>
  <c r="T29" i="5"/>
  <c r="Q29" i="5"/>
  <c r="P29" i="5"/>
  <c r="K29" i="5"/>
  <c r="J29" i="5"/>
  <c r="B29" i="5"/>
  <c r="T28" i="5"/>
  <c r="Q28" i="5"/>
  <c r="P28" i="5"/>
  <c r="K28" i="5"/>
  <c r="J28" i="5"/>
  <c r="B28" i="5"/>
  <c r="T27" i="5"/>
  <c r="Q27" i="5"/>
  <c r="P27" i="5"/>
  <c r="K27" i="5"/>
  <c r="J27" i="5"/>
  <c r="B27" i="5"/>
  <c r="AG27" i="5" s="1"/>
  <c r="A27" i="5" s="1"/>
  <c r="T26" i="5"/>
  <c r="Q26" i="5"/>
  <c r="P26" i="5"/>
  <c r="K26" i="5"/>
  <c r="J26" i="5"/>
  <c r="B26" i="5"/>
  <c r="T25" i="5"/>
  <c r="Q25" i="5"/>
  <c r="P25" i="5"/>
  <c r="K25" i="5"/>
  <c r="J25" i="5"/>
  <c r="B25" i="5"/>
  <c r="AG25" i="5" s="1"/>
  <c r="A25" i="5" s="1"/>
  <c r="T24" i="5"/>
  <c r="Q24" i="5"/>
  <c r="P24" i="5"/>
  <c r="M24" i="5"/>
  <c r="E24" i="5" s="1"/>
  <c r="L24" i="5"/>
  <c r="K24" i="5"/>
  <c r="J24" i="5"/>
  <c r="B24" i="5"/>
  <c r="T23" i="5"/>
  <c r="Q23" i="5"/>
  <c r="P23" i="5"/>
  <c r="M23" i="5"/>
  <c r="E23" i="5" s="1"/>
  <c r="L23" i="5"/>
  <c r="D23" i="5" s="1"/>
  <c r="K23" i="5"/>
  <c r="J23" i="5"/>
  <c r="B23" i="5"/>
  <c r="AG23" i="5" s="1"/>
  <c r="A23" i="5" s="1"/>
  <c r="T22" i="5"/>
  <c r="Q22" i="5"/>
  <c r="P22" i="5"/>
  <c r="M22" i="5"/>
  <c r="E22" i="5" s="1"/>
  <c r="L22" i="5"/>
  <c r="K22" i="5"/>
  <c r="J22" i="5"/>
  <c r="B22" i="5"/>
  <c r="AG21" i="5"/>
  <c r="A21" i="5" s="1"/>
  <c r="T21" i="5"/>
  <c r="Q21" i="5"/>
  <c r="P21" i="5"/>
  <c r="M21" i="5"/>
  <c r="E21" i="5" s="1"/>
  <c r="L21" i="5"/>
  <c r="D21" i="5" s="1"/>
  <c r="K21" i="5"/>
  <c r="J21" i="5"/>
  <c r="B21" i="5"/>
  <c r="T20" i="5"/>
  <c r="Q20" i="5"/>
  <c r="P20" i="5"/>
  <c r="M20" i="5"/>
  <c r="E20" i="5" s="1"/>
  <c r="L20" i="5"/>
  <c r="K20" i="5"/>
  <c r="J20" i="5"/>
  <c r="B20" i="5"/>
  <c r="T19" i="5"/>
  <c r="Q19" i="5"/>
  <c r="P19" i="5"/>
  <c r="M19" i="5"/>
  <c r="E19" i="5" s="1"/>
  <c r="L19" i="5"/>
  <c r="D19" i="5" s="1"/>
  <c r="K19" i="5"/>
  <c r="J19" i="5"/>
  <c r="B19" i="5"/>
  <c r="AG19" i="5" s="1"/>
  <c r="A19" i="5" s="1"/>
  <c r="T18" i="5"/>
  <c r="Q18" i="5"/>
  <c r="P18" i="5"/>
  <c r="M18" i="5"/>
  <c r="E18" i="5" s="1"/>
  <c r="L18" i="5"/>
  <c r="K18" i="5"/>
  <c r="J18" i="5"/>
  <c r="B18" i="5"/>
  <c r="T17" i="5"/>
  <c r="Q17" i="5"/>
  <c r="P17" i="5"/>
  <c r="M17" i="5"/>
  <c r="E17" i="5" s="1"/>
  <c r="L17" i="5"/>
  <c r="D17" i="5" s="1"/>
  <c r="K17" i="5"/>
  <c r="J17" i="5"/>
  <c r="B17" i="5"/>
  <c r="AG17" i="5" s="1"/>
  <c r="A17" i="5" s="1"/>
  <c r="T16" i="5"/>
  <c r="Q16" i="5"/>
  <c r="P16" i="5"/>
  <c r="M16" i="5"/>
  <c r="E16" i="5" s="1"/>
  <c r="L16" i="5"/>
  <c r="D16" i="5" s="1"/>
  <c r="K16" i="5"/>
  <c r="J16" i="5"/>
  <c r="B16" i="5"/>
  <c r="T15" i="5"/>
  <c r="Q15" i="5"/>
  <c r="P15" i="5"/>
  <c r="K15" i="5"/>
  <c r="J15" i="5"/>
  <c r="B15" i="5"/>
  <c r="AG15" i="5" s="1"/>
  <c r="A15" i="5" s="1"/>
  <c r="T14" i="5"/>
  <c r="Q14" i="5"/>
  <c r="P14" i="5"/>
  <c r="K14" i="5"/>
  <c r="J14" i="5"/>
  <c r="B14" i="5"/>
  <c r="AG14" i="5" s="1"/>
  <c r="A14" i="5" s="1"/>
  <c r="T13" i="5"/>
  <c r="Q13" i="5"/>
  <c r="P13" i="5"/>
  <c r="K13" i="5"/>
  <c r="J13" i="5"/>
  <c r="B13" i="5"/>
  <c r="AG13" i="5" s="1"/>
  <c r="A13" i="5" s="1"/>
  <c r="T12" i="5"/>
  <c r="Q12" i="5"/>
  <c r="P12" i="5"/>
  <c r="K12" i="5"/>
  <c r="J12" i="5"/>
  <c r="B12" i="5"/>
  <c r="AG12" i="5" s="1"/>
  <c r="A12" i="5" s="1"/>
  <c r="T11" i="5"/>
  <c r="Q11" i="5"/>
  <c r="P11" i="5"/>
  <c r="M11" i="5"/>
  <c r="L11" i="5"/>
  <c r="D11" i="5" s="1"/>
  <c r="K11" i="5"/>
  <c r="J11" i="5"/>
  <c r="E11" i="5"/>
  <c r="B11" i="5"/>
  <c r="AG11" i="5" s="1"/>
  <c r="A11" i="5" s="1"/>
  <c r="T10" i="5"/>
  <c r="Q10" i="5"/>
  <c r="P10" i="5"/>
  <c r="M10" i="5"/>
  <c r="L10" i="5"/>
  <c r="K10" i="5"/>
  <c r="J10" i="5"/>
  <c r="E10" i="5"/>
  <c r="D10" i="5"/>
  <c r="B10" i="5"/>
  <c r="AG10" i="5" s="1"/>
  <c r="A10" i="5" s="1"/>
  <c r="T9" i="5"/>
  <c r="Q9" i="5"/>
  <c r="P9" i="5"/>
  <c r="M9" i="5"/>
  <c r="E9" i="5" s="1"/>
  <c r="L9" i="5"/>
  <c r="D9" i="5" s="1"/>
  <c r="K9" i="5"/>
  <c r="J9" i="5"/>
  <c r="B9" i="5"/>
  <c r="AG9" i="5" s="1"/>
  <c r="A9" i="5" s="1"/>
  <c r="T8" i="5"/>
  <c r="Q8" i="5"/>
  <c r="P8" i="5"/>
  <c r="M8" i="5"/>
  <c r="E8" i="5" s="1"/>
  <c r="L8" i="5"/>
  <c r="K8" i="5"/>
  <c r="J8" i="5"/>
  <c r="B8" i="5"/>
  <c r="AG8" i="5" s="1"/>
  <c r="A8" i="5" s="1"/>
  <c r="T7" i="5"/>
  <c r="Q7" i="5"/>
  <c r="P7" i="5"/>
  <c r="M7" i="5"/>
  <c r="E7" i="5" s="1"/>
  <c r="L7" i="5"/>
  <c r="D7" i="5" s="1"/>
  <c r="K7" i="5"/>
  <c r="J7" i="5"/>
  <c r="B7" i="5"/>
  <c r="AG7" i="5" s="1"/>
  <c r="A7" i="5" s="1"/>
  <c r="T6" i="5"/>
  <c r="Q6" i="5"/>
  <c r="P6" i="5"/>
  <c r="M6" i="5"/>
  <c r="E6" i="5" s="1"/>
  <c r="L6" i="5"/>
  <c r="D6" i="5" s="1"/>
  <c r="K6" i="5"/>
  <c r="J6" i="5"/>
  <c r="B6" i="5"/>
  <c r="AG6" i="5" s="1"/>
  <c r="A6" i="5" s="1"/>
  <c r="T5" i="5"/>
  <c r="Q5" i="5"/>
  <c r="P5" i="5"/>
  <c r="M5" i="5"/>
  <c r="E5" i="5" s="1"/>
  <c r="L5" i="5"/>
  <c r="D5" i="5" s="1"/>
  <c r="K5" i="5"/>
  <c r="J5" i="5"/>
  <c r="B5" i="5"/>
  <c r="AG5" i="5" s="1"/>
  <c r="A5" i="5" s="1"/>
  <c r="T4" i="5"/>
  <c r="Q4" i="5"/>
  <c r="P4" i="5"/>
  <c r="M4" i="5"/>
  <c r="E4" i="5" s="1"/>
  <c r="L4" i="5"/>
  <c r="K4" i="5"/>
  <c r="J4" i="5"/>
  <c r="B4" i="5"/>
  <c r="AG4" i="5" s="1"/>
  <c r="A4" i="5" s="1"/>
  <c r="T3" i="5"/>
  <c r="Q3" i="5"/>
  <c r="P3" i="5"/>
  <c r="M3" i="5"/>
  <c r="L3" i="5"/>
  <c r="K3" i="5"/>
  <c r="J3" i="5"/>
  <c r="E3" i="5"/>
  <c r="D3" i="5"/>
  <c r="F3" i="5" s="1"/>
  <c r="B3" i="5"/>
  <c r="AG3" i="5" s="1"/>
  <c r="A3" i="5" s="1"/>
  <c r="T2" i="5"/>
  <c r="Q2" i="5"/>
  <c r="P2" i="5"/>
  <c r="M2" i="5"/>
  <c r="L2" i="5"/>
  <c r="K2" i="5"/>
  <c r="J2" i="5"/>
  <c r="E2" i="5"/>
  <c r="D2" i="5"/>
  <c r="B2" i="5"/>
  <c r="A1" i="5"/>
  <c r="I6" i="4"/>
  <c r="Y21" i="5" s="1"/>
  <c r="I5" i="4"/>
  <c r="Y15" i="5" s="1"/>
  <c r="I4" i="4"/>
  <c r="Y24" i="5" s="1"/>
  <c r="I3" i="4"/>
  <c r="Y23" i="5" s="1"/>
  <c r="I2" i="4"/>
  <c r="B9" i="3"/>
  <c r="B13" i="3" s="1"/>
  <c r="E9" i="2"/>
  <c r="B9" i="2"/>
  <c r="E6" i="2"/>
  <c r="B6" i="2"/>
  <c r="E5" i="2"/>
  <c r="B5" i="2"/>
  <c r="E4" i="2"/>
  <c r="B4" i="2"/>
  <c r="E3" i="2"/>
  <c r="B3" i="2"/>
  <c r="E8" i="2" l="1"/>
  <c r="B28" i="12"/>
  <c r="E65" i="6"/>
  <c r="E63" i="6"/>
  <c r="L47" i="5"/>
  <c r="N47" i="5" s="1"/>
  <c r="O47" i="5" s="1"/>
  <c r="AC47" i="5" s="1"/>
  <c r="M47" i="5"/>
  <c r="E47" i="5" s="1"/>
  <c r="L49" i="5"/>
  <c r="M49" i="5"/>
  <c r="E49" i="5" s="1"/>
  <c r="L57" i="5"/>
  <c r="M57" i="5"/>
  <c r="L60" i="5"/>
  <c r="D60" i="5" s="1"/>
  <c r="F60" i="5" s="1"/>
  <c r="C72" i="6"/>
  <c r="E72" i="6" s="1"/>
  <c r="M59" i="5"/>
  <c r="E73" i="6"/>
  <c r="L58" i="5"/>
  <c r="D58" i="5" s="1"/>
  <c r="F58" i="5" s="1"/>
  <c r="L59" i="5"/>
  <c r="D59" i="5" s="1"/>
  <c r="F59" i="5" s="1"/>
  <c r="E71" i="6"/>
  <c r="L25" i="5"/>
  <c r="D25" i="5" s="1"/>
  <c r="M25" i="5"/>
  <c r="E25" i="5" s="1"/>
  <c r="C36" i="6"/>
  <c r="E36" i="6" s="1"/>
  <c r="N32" i="5"/>
  <c r="O32" i="5" s="1"/>
  <c r="AC32" i="5" s="1"/>
  <c r="N45" i="5"/>
  <c r="O45" i="5" s="1"/>
  <c r="F11" i="5"/>
  <c r="N41" i="5"/>
  <c r="O41" i="5" s="1"/>
  <c r="AC41" i="5" s="1"/>
  <c r="F52" i="5"/>
  <c r="F54" i="5"/>
  <c r="F7" i="5"/>
  <c r="F32" i="5"/>
  <c r="F36" i="5"/>
  <c r="N34" i="5"/>
  <c r="O34" i="5" s="1"/>
  <c r="N37" i="5"/>
  <c r="O37" i="5" s="1"/>
  <c r="AC37" i="5" s="1"/>
  <c r="N40" i="5"/>
  <c r="O40" i="5" s="1"/>
  <c r="AC40" i="5" s="1"/>
  <c r="F2" i="5"/>
  <c r="F6" i="5"/>
  <c r="AC6" i="5" s="1"/>
  <c r="F10" i="5"/>
  <c r="F33" i="5"/>
  <c r="F42" i="5"/>
  <c r="F45" i="5"/>
  <c r="N5" i="5"/>
  <c r="O5" i="5" s="1"/>
  <c r="N9" i="5"/>
  <c r="O9" i="5" s="1"/>
  <c r="N35" i="5"/>
  <c r="O35" i="5" s="1"/>
  <c r="AC35" i="5" s="1"/>
  <c r="N38" i="5"/>
  <c r="O38" i="5" s="1"/>
  <c r="AC38" i="5" s="1"/>
  <c r="F34" i="5"/>
  <c r="F37" i="5"/>
  <c r="F40" i="5"/>
  <c r="F56" i="5"/>
  <c r="N2" i="5"/>
  <c r="O2" i="5" s="1"/>
  <c r="D4" i="5"/>
  <c r="F4" i="5" s="1"/>
  <c r="N6" i="5"/>
  <c r="O6" i="5" s="1"/>
  <c r="D8" i="5"/>
  <c r="F8" i="5" s="1"/>
  <c r="N10" i="5"/>
  <c r="O10" i="5" s="1"/>
  <c r="N33" i="5"/>
  <c r="O33" i="5" s="1"/>
  <c r="AC33" i="5" s="1"/>
  <c r="N42" i="5"/>
  <c r="O42" i="5" s="1"/>
  <c r="AC42" i="5" s="1"/>
  <c r="N36" i="5"/>
  <c r="O36" i="5" s="1"/>
  <c r="N39" i="5"/>
  <c r="O39" i="5" s="1"/>
  <c r="AC39" i="5" s="1"/>
  <c r="N3" i="5"/>
  <c r="O3" i="5" s="1"/>
  <c r="F5" i="5"/>
  <c r="N7" i="5"/>
  <c r="O7" i="5" s="1"/>
  <c r="F9" i="5"/>
  <c r="AC9" i="5" s="1"/>
  <c r="N11" i="5"/>
  <c r="O11" i="5" s="1"/>
  <c r="F35" i="5"/>
  <c r="F38" i="5"/>
  <c r="N43" i="5"/>
  <c r="O43" i="5" s="1"/>
  <c r="N51" i="5"/>
  <c r="O51" i="5" s="1"/>
  <c r="AC51" i="5" s="1"/>
  <c r="M27" i="5"/>
  <c r="E27" i="5" s="1"/>
  <c r="F27" i="5" s="1"/>
  <c r="AC27" i="5" s="1"/>
  <c r="L26" i="5"/>
  <c r="D26" i="5" s="1"/>
  <c r="F26" i="5" s="1"/>
  <c r="AC26" i="5" s="1"/>
  <c r="M26" i="5"/>
  <c r="E26" i="5" s="1"/>
  <c r="C40" i="6"/>
  <c r="E40" i="6" s="1"/>
  <c r="L12" i="5"/>
  <c r="D12" i="5" s="1"/>
  <c r="C26" i="6"/>
  <c r="E26" i="6" s="1"/>
  <c r="M12" i="5"/>
  <c r="E12" i="5" s="1"/>
  <c r="L13" i="5"/>
  <c r="D13" i="5" s="1"/>
  <c r="F13" i="5" s="1"/>
  <c r="AC13" i="5" s="1"/>
  <c r="C30" i="6"/>
  <c r="E30" i="6" s="1"/>
  <c r="L14" i="5"/>
  <c r="F16" i="5"/>
  <c r="M14" i="5"/>
  <c r="E14" i="5" s="1"/>
  <c r="L15" i="5"/>
  <c r="C28" i="6"/>
  <c r="E28" i="6" s="1"/>
  <c r="C44" i="6"/>
  <c r="E44" i="6" s="1"/>
  <c r="L27" i="5"/>
  <c r="D27" i="5" s="1"/>
  <c r="L31" i="5"/>
  <c r="D31" i="5" s="1"/>
  <c r="F31" i="5" s="1"/>
  <c r="B14" i="3"/>
  <c r="B15" i="3" s="1"/>
  <c r="Y52" i="5"/>
  <c r="Y47" i="5"/>
  <c r="Y42" i="5"/>
  <c r="Y37" i="5"/>
  <c r="Y32" i="5"/>
  <c r="Y57" i="5"/>
  <c r="Y2" i="5"/>
  <c r="Y3" i="5"/>
  <c r="Y4" i="5"/>
  <c r="Y5" i="5"/>
  <c r="Y6" i="5"/>
  <c r="Y7" i="5"/>
  <c r="Y8" i="5"/>
  <c r="Y9" i="5"/>
  <c r="Y10" i="5"/>
  <c r="Y11" i="5"/>
  <c r="Y12" i="5"/>
  <c r="Y13" i="5"/>
  <c r="Y14" i="5"/>
  <c r="AG31" i="5"/>
  <c r="A31" i="5" s="1"/>
  <c r="AC31" i="5"/>
  <c r="AG29" i="5"/>
  <c r="A29" i="5" s="1"/>
  <c r="AG32" i="5"/>
  <c r="A32" i="5" s="1"/>
  <c r="AG46" i="5"/>
  <c r="A46" i="5" s="1"/>
  <c r="AG49" i="5"/>
  <c r="A49" i="5" s="1"/>
  <c r="Y60" i="5"/>
  <c r="Y55" i="5"/>
  <c r="Y40" i="5"/>
  <c r="Y35" i="5"/>
  <c r="Y45" i="5"/>
  <c r="Y50" i="5"/>
  <c r="N16" i="5"/>
  <c r="O16" i="5" s="1"/>
  <c r="Y17" i="5"/>
  <c r="Y19" i="5"/>
  <c r="Y25" i="5"/>
  <c r="Y27" i="5"/>
  <c r="AG28" i="5"/>
  <c r="A28" i="5" s="1"/>
  <c r="Y49" i="5"/>
  <c r="Y38" i="5"/>
  <c r="Y33" i="5"/>
  <c r="Y48" i="5"/>
  <c r="Y53" i="5"/>
  <c r="Y58" i="5"/>
  <c r="Y43" i="5"/>
  <c r="D18" i="5"/>
  <c r="F18" i="5" s="1"/>
  <c r="D20" i="5"/>
  <c r="F20" i="5" s="1"/>
  <c r="AC20" i="5" s="1"/>
  <c r="D22" i="5"/>
  <c r="F22" i="5" s="1"/>
  <c r="D24" i="5"/>
  <c r="F24" i="5" s="1"/>
  <c r="Y28" i="5"/>
  <c r="Y30" i="5"/>
  <c r="N48" i="5"/>
  <c r="O48" i="5" s="1"/>
  <c r="AC48" i="5" s="1"/>
  <c r="AC2" i="5"/>
  <c r="AC3" i="5"/>
  <c r="AC4" i="5"/>
  <c r="AC7" i="5"/>
  <c r="AC11" i="5"/>
  <c r="AG30" i="5"/>
  <c r="A30" i="5" s="1"/>
  <c r="Y44" i="5"/>
  <c r="Y54" i="5"/>
  <c r="AG16" i="5"/>
  <c r="A16" i="5" s="1"/>
  <c r="AG18" i="5"/>
  <c r="A18" i="5" s="1"/>
  <c r="AG20" i="5"/>
  <c r="A20" i="5" s="1"/>
  <c r="AG22" i="5"/>
  <c r="A22" i="5" s="1"/>
  <c r="AG24" i="5"/>
  <c r="A24" i="5" s="1"/>
  <c r="AG26" i="5"/>
  <c r="A26" i="5" s="1"/>
  <c r="D30" i="5"/>
  <c r="F30" i="5" s="1"/>
  <c r="AC45" i="5"/>
  <c r="Y61" i="5"/>
  <c r="Y51" i="5"/>
  <c r="Y56" i="5"/>
  <c r="Y41" i="5"/>
  <c r="Y36" i="5"/>
  <c r="Y31" i="5"/>
  <c r="Y46" i="5"/>
  <c r="Y16" i="5"/>
  <c r="N17" i="5"/>
  <c r="O17" i="5" s="1"/>
  <c r="Y18" i="5"/>
  <c r="N19" i="5"/>
  <c r="O19" i="5" s="1"/>
  <c r="Y20" i="5"/>
  <c r="N21" i="5"/>
  <c r="O21" i="5" s="1"/>
  <c r="Y22" i="5"/>
  <c r="N23" i="5"/>
  <c r="O23" i="5" s="1"/>
  <c r="Y26" i="5"/>
  <c r="N31" i="5"/>
  <c r="O31" i="5" s="1"/>
  <c r="F43" i="5"/>
  <c r="N44" i="5"/>
  <c r="O44" i="5" s="1"/>
  <c r="Y39" i="5"/>
  <c r="Y34" i="5"/>
  <c r="Y59" i="5"/>
  <c r="AG2" i="5"/>
  <c r="F17" i="5"/>
  <c r="AC17" i="5" s="1"/>
  <c r="F19" i="5"/>
  <c r="F21" i="5"/>
  <c r="F23" i="5"/>
  <c r="Y29" i="5"/>
  <c r="AC34" i="5"/>
  <c r="AC36" i="5"/>
  <c r="N49" i="5"/>
  <c r="O49" i="5" s="1"/>
  <c r="F50" i="5"/>
  <c r="AG54" i="5"/>
  <c r="A54" i="5" s="1"/>
  <c r="E61" i="6"/>
  <c r="N46" i="5"/>
  <c r="O46" i="5" s="1"/>
  <c r="AG48" i="5"/>
  <c r="A48" i="5" s="1"/>
  <c r="D53" i="5"/>
  <c r="F53" i="5" s="1"/>
  <c r="D57" i="5"/>
  <c r="F57" i="5" s="1"/>
  <c r="E59" i="6"/>
  <c r="AG47" i="5"/>
  <c r="A47" i="5" s="1"/>
  <c r="F48" i="5"/>
  <c r="N52" i="5"/>
  <c r="O52" i="5" s="1"/>
  <c r="N56" i="5"/>
  <c r="O56" i="5" s="1"/>
  <c r="AC56" i="5" s="1"/>
  <c r="M53" i="5"/>
  <c r="C67" i="6"/>
  <c r="E67" i="6" s="1"/>
  <c r="M61" i="5"/>
  <c r="L61" i="5"/>
  <c r="C75" i="6"/>
  <c r="E75" i="6" s="1"/>
  <c r="AC43" i="5"/>
  <c r="AG52" i="5"/>
  <c r="A52" i="5" s="1"/>
  <c r="AG56" i="5"/>
  <c r="A56" i="5" s="1"/>
  <c r="D19" i="6"/>
  <c r="C19" i="6"/>
  <c r="E19" i="6" s="1"/>
  <c r="D27" i="6"/>
  <c r="C27" i="6"/>
  <c r="D35" i="6"/>
  <c r="C35" i="6"/>
  <c r="D45" i="6"/>
  <c r="C45" i="6"/>
  <c r="M55" i="5"/>
  <c r="C69" i="6"/>
  <c r="E69" i="6" s="1"/>
  <c r="N50" i="5"/>
  <c r="O50" i="5" s="1"/>
  <c r="AC50" i="5" s="1"/>
  <c r="D55" i="5"/>
  <c r="F55" i="5" s="1"/>
  <c r="D21" i="6"/>
  <c r="C21" i="6"/>
  <c r="E21" i="6" s="1"/>
  <c r="D29" i="6"/>
  <c r="C29" i="6"/>
  <c r="D37" i="6"/>
  <c r="C37" i="6"/>
  <c r="AG50" i="5"/>
  <c r="A50" i="5" s="1"/>
  <c r="N54" i="5"/>
  <c r="O54" i="5" s="1"/>
  <c r="AC54" i="5" s="1"/>
  <c r="C17" i="6"/>
  <c r="E17" i="6" s="1"/>
  <c r="E56" i="6"/>
  <c r="E58" i="6"/>
  <c r="E60" i="6"/>
  <c r="E62" i="6"/>
  <c r="E64" i="6"/>
  <c r="C23" i="6"/>
  <c r="E23" i="6" s="1"/>
  <c r="F49" i="5"/>
  <c r="F51" i="5"/>
  <c r="C25" i="6"/>
  <c r="E25" i="6" s="1"/>
  <c r="C31" i="6"/>
  <c r="E31" i="6" s="1"/>
  <c r="C33" i="6"/>
  <c r="E33" i="6" s="1"/>
  <c r="C39" i="6"/>
  <c r="E39" i="6" s="1"/>
  <c r="C41" i="6"/>
  <c r="E41" i="6" s="1"/>
  <c r="J7" i="6"/>
  <c r="C18" i="6"/>
  <c r="E18" i="6" s="1"/>
  <c r="B14" i="12"/>
  <c r="F47" i="5" l="1"/>
  <c r="N58" i="5"/>
  <c r="O58" i="5" s="1"/>
  <c r="AC58" i="5" s="1"/>
  <c r="AD58" i="5" s="1"/>
  <c r="N60" i="5"/>
  <c r="O60" i="5" s="1"/>
  <c r="AC60" i="5" s="1"/>
  <c r="AD60" i="5" s="1"/>
  <c r="N12" i="5"/>
  <c r="O12" i="5" s="1"/>
  <c r="AC16" i="5"/>
  <c r="AD16" i="5" s="1"/>
  <c r="F25" i="5"/>
  <c r="AC25" i="5" s="1"/>
  <c r="N25" i="5"/>
  <c r="O25" i="5" s="1"/>
  <c r="AD20" i="5"/>
  <c r="AC8" i="5"/>
  <c r="AD8" i="5" s="1"/>
  <c r="F12" i="5"/>
  <c r="AC12" i="5" s="1"/>
  <c r="AD12" i="5" s="1"/>
  <c r="N27" i="5"/>
  <c r="O27" i="5" s="1"/>
  <c r="AC5" i="5"/>
  <c r="AD5" i="5" s="1"/>
  <c r="N8" i="5"/>
  <c r="O8" i="5" s="1"/>
  <c r="AC10" i="5"/>
  <c r="AD10" i="5" s="1"/>
  <c r="N4" i="5"/>
  <c r="O4" i="5" s="1"/>
  <c r="N57" i="5"/>
  <c r="O57" i="5" s="1"/>
  <c r="N55" i="5"/>
  <c r="O55" i="5" s="1"/>
  <c r="AC55" i="5" s="1"/>
  <c r="AD55" i="5" s="1"/>
  <c r="N26" i="5"/>
  <c r="O26" i="5" s="1"/>
  <c r="N24" i="5"/>
  <c r="O24" i="5" s="1"/>
  <c r="D15" i="5"/>
  <c r="F15" i="5" s="1"/>
  <c r="E27" i="6"/>
  <c r="D14" i="5"/>
  <c r="F14" i="5" s="1"/>
  <c r="N13" i="5"/>
  <c r="O13" i="5" s="1"/>
  <c r="E45" i="6"/>
  <c r="AD26" i="5"/>
  <c r="AD39" i="5"/>
  <c r="AD6" i="5"/>
  <c r="AD32" i="5"/>
  <c r="AD31" i="5"/>
  <c r="E18" i="3"/>
  <c r="C18" i="3"/>
  <c r="B18" i="3"/>
  <c r="F18" i="3"/>
  <c r="B6" i="4" s="1"/>
  <c r="D18" i="3"/>
  <c r="D61" i="5"/>
  <c r="F61" i="5" s="1"/>
  <c r="AD54" i="5"/>
  <c r="AD27" i="5"/>
  <c r="N20" i="5"/>
  <c r="O20" i="5" s="1"/>
  <c r="AD45" i="5"/>
  <c r="AD2" i="5"/>
  <c r="E37" i="6"/>
  <c r="AD48" i="5"/>
  <c r="AD35" i="5"/>
  <c r="AD9" i="5"/>
  <c r="D42" i="6"/>
  <c r="C42" i="6"/>
  <c r="K7" i="6"/>
  <c r="M28" i="5"/>
  <c r="E28" i="5" s="1"/>
  <c r="L28" i="5"/>
  <c r="AC44" i="5"/>
  <c r="AC21" i="5"/>
  <c r="AD33" i="5"/>
  <c r="AD40" i="5"/>
  <c r="AC46" i="5"/>
  <c r="E29" i="6"/>
  <c r="E35" i="6"/>
  <c r="N53" i="5"/>
  <c r="O53" i="5" s="1"/>
  <c r="A2" i="5"/>
  <c r="AD34" i="5"/>
  <c r="AD38" i="5"/>
  <c r="AD25" i="5"/>
  <c r="N18" i="5"/>
  <c r="O18" i="5" s="1"/>
  <c r="AD7" i="5"/>
  <c r="AC18" i="5"/>
  <c r="AD18" i="5" s="1"/>
  <c r="AC52" i="5"/>
  <c r="AC19" i="5"/>
  <c r="AD41" i="5"/>
  <c r="N59" i="5"/>
  <c r="O59" i="5" s="1"/>
  <c r="N30" i="5"/>
  <c r="O30" i="5" s="1"/>
  <c r="AC24" i="5"/>
  <c r="AD17" i="5"/>
  <c r="AD13" i="5"/>
  <c r="AD37" i="5"/>
  <c r="AD56" i="5"/>
  <c r="AD43" i="5"/>
  <c r="N22" i="5"/>
  <c r="O22" i="5" s="1"/>
  <c r="AC49" i="5"/>
  <c r="AD49" i="5" s="1"/>
  <c r="AD4" i="5"/>
  <c r="AD42" i="5"/>
  <c r="AD36" i="5"/>
  <c r="AC23" i="5"/>
  <c r="AD51" i="5"/>
  <c r="AC30" i="5"/>
  <c r="AD30" i="5" s="1"/>
  <c r="AC22" i="5"/>
  <c r="AD50" i="5"/>
  <c r="AD11" i="5"/>
  <c r="AD3" i="5"/>
  <c r="AD47" i="5"/>
  <c r="B17" i="3"/>
  <c r="E17" i="3"/>
  <c r="F17" i="3"/>
  <c r="D17" i="3"/>
  <c r="C17" i="3"/>
  <c r="AC57" i="5" l="1"/>
  <c r="AD57" i="5" s="1"/>
  <c r="AC14" i="5"/>
  <c r="AD14" i="5" s="1"/>
  <c r="N14" i="5"/>
  <c r="O14" i="5" s="1"/>
  <c r="AC15" i="5"/>
  <c r="AD15" i="5" s="1"/>
  <c r="N15" i="5"/>
  <c r="O15" i="5" s="1"/>
  <c r="E42" i="6"/>
  <c r="F19" i="3"/>
  <c r="C6" i="4" s="1"/>
  <c r="F20" i="3"/>
  <c r="D6" i="4" s="1"/>
  <c r="AC59" i="5"/>
  <c r="AD21" i="5"/>
  <c r="AD22" i="5"/>
  <c r="B5" i="4"/>
  <c r="F15" i="3"/>
  <c r="E19" i="3"/>
  <c r="C5" i="4" s="1"/>
  <c r="E20" i="3"/>
  <c r="D5" i="4" s="1"/>
  <c r="F14" i="3"/>
  <c r="F13" i="3" s="1"/>
  <c r="B19" i="3"/>
  <c r="C2" i="4" s="1"/>
  <c r="B20" i="3"/>
  <c r="D2" i="4" s="1"/>
  <c r="C14" i="3"/>
  <c r="C13" i="3" s="1"/>
  <c r="AD23" i="5"/>
  <c r="F12" i="7"/>
  <c r="F39" i="7" s="1"/>
  <c r="F13" i="7"/>
  <c r="F40" i="7" s="1"/>
  <c r="F4" i="7"/>
  <c r="F31" i="7" s="1"/>
  <c r="F11" i="7"/>
  <c r="F38" i="7" s="1"/>
  <c r="F10" i="7"/>
  <c r="F37" i="7" s="1"/>
  <c r="G2" i="7"/>
  <c r="G29" i="7" s="1"/>
  <c r="G3" i="7"/>
  <c r="G30" i="7" s="1"/>
  <c r="F8" i="7"/>
  <c r="F35" i="7" s="1"/>
  <c r="F7" i="7"/>
  <c r="F34" i="7" s="1"/>
  <c r="G4" i="7"/>
  <c r="G31" i="7" s="1"/>
  <c r="G5" i="7"/>
  <c r="G32" i="7" s="1"/>
  <c r="G7" i="7"/>
  <c r="F2" i="7"/>
  <c r="F29" i="7" s="1"/>
  <c r="G8" i="7"/>
  <c r="G35" i="7" s="1"/>
  <c r="G9" i="7"/>
  <c r="F9" i="7"/>
  <c r="F36" i="7" s="1"/>
  <c r="G10" i="7"/>
  <c r="G37" i="7" s="1"/>
  <c r="G11" i="7"/>
  <c r="G38" i="7" s="1"/>
  <c r="G6" i="7"/>
  <c r="G33" i="7" s="1"/>
  <c r="F6" i="7"/>
  <c r="F33" i="7" s="1"/>
  <c r="G12" i="7"/>
  <c r="G39" i="7" s="1"/>
  <c r="F5" i="7"/>
  <c r="F32" i="7" s="1"/>
  <c r="F3" i="7"/>
  <c r="F30" i="7" s="1"/>
  <c r="N61" i="5"/>
  <c r="O61" i="5" s="1"/>
  <c r="G13" i="7" s="1"/>
  <c r="G40" i="7" s="1"/>
  <c r="D28" i="5"/>
  <c r="F28" i="5" s="1"/>
  <c r="AC53" i="5"/>
  <c r="AD52" i="5"/>
  <c r="E15" i="3"/>
  <c r="B4" i="4"/>
  <c r="D43" i="6"/>
  <c r="C43" i="6"/>
  <c r="M29" i="5"/>
  <c r="E29" i="5" s="1"/>
  <c r="L29" i="5"/>
  <c r="B23" i="8"/>
  <c r="B23" i="11"/>
  <c r="B23" i="12"/>
  <c r="F75" i="6"/>
  <c r="F70" i="6"/>
  <c r="F65" i="6"/>
  <c r="F60" i="6"/>
  <c r="F55" i="6"/>
  <c r="F50" i="6"/>
  <c r="F45" i="6"/>
  <c r="F40" i="6"/>
  <c r="F35" i="6"/>
  <c r="F30" i="6"/>
  <c r="F25" i="6"/>
  <c r="F20" i="6"/>
  <c r="G46" i="5"/>
  <c r="V46" i="5" s="1"/>
  <c r="G61" i="5"/>
  <c r="G56" i="5"/>
  <c r="V56" i="5" s="1"/>
  <c r="G51" i="5"/>
  <c r="V51" i="5" s="1"/>
  <c r="G36" i="5"/>
  <c r="V36" i="5" s="1"/>
  <c r="G26" i="5"/>
  <c r="V26" i="5" s="1"/>
  <c r="G16" i="5"/>
  <c r="V16" i="5" s="1"/>
  <c r="G11" i="5"/>
  <c r="V11" i="5" s="1"/>
  <c r="G6" i="5"/>
  <c r="V6" i="5" s="1"/>
  <c r="G41" i="5"/>
  <c r="V41" i="5" s="1"/>
  <c r="G31" i="5"/>
  <c r="V31" i="5" s="1"/>
  <c r="G21" i="5"/>
  <c r="V21" i="5" s="1"/>
  <c r="C20" i="3"/>
  <c r="D3" i="4" s="1"/>
  <c r="D14" i="3"/>
  <c r="D13" i="3" s="1"/>
  <c r="C19" i="3"/>
  <c r="C3" i="4" s="1"/>
  <c r="AD44" i="5"/>
  <c r="B2" i="4"/>
  <c r="C15" i="3"/>
  <c r="AD24" i="5"/>
  <c r="D19" i="3"/>
  <c r="C4" i="4" s="1"/>
  <c r="D20" i="3"/>
  <c r="D4" i="4" s="1"/>
  <c r="E14" i="3"/>
  <c r="E13" i="3" s="1"/>
  <c r="AD19" i="5"/>
  <c r="AD46" i="5"/>
  <c r="B3" i="4"/>
  <c r="D15" i="3"/>
  <c r="F8" i="1" l="1"/>
  <c r="G34" i="7"/>
  <c r="E8" i="1"/>
  <c r="G36" i="7"/>
  <c r="B11" i="11"/>
  <c r="B11" i="12"/>
  <c r="H73" i="6"/>
  <c r="H68" i="6"/>
  <c r="H63" i="6"/>
  <c r="H58" i="6"/>
  <c r="H53" i="6"/>
  <c r="H48" i="6"/>
  <c r="H43" i="6"/>
  <c r="H38" i="6"/>
  <c r="H33" i="6"/>
  <c r="H28" i="6"/>
  <c r="H23" i="6"/>
  <c r="B11" i="8"/>
  <c r="I59" i="5"/>
  <c r="S59" i="5" s="1"/>
  <c r="I54" i="5"/>
  <c r="S54" i="5" s="1"/>
  <c r="I49" i="5"/>
  <c r="S49" i="5" s="1"/>
  <c r="H18" i="6"/>
  <c r="I44" i="5"/>
  <c r="S44" i="5" s="1"/>
  <c r="I39" i="5"/>
  <c r="S39" i="5" s="1"/>
  <c r="I34" i="5"/>
  <c r="S34" i="5" s="1"/>
  <c r="I29" i="5"/>
  <c r="S29" i="5" s="1"/>
  <c r="I24" i="5"/>
  <c r="S24" i="5" s="1"/>
  <c r="I14" i="5"/>
  <c r="S14" i="5" s="1"/>
  <c r="I9" i="5"/>
  <c r="S9" i="5" s="1"/>
  <c r="I4" i="5"/>
  <c r="S4" i="5" s="1"/>
  <c r="I19" i="5"/>
  <c r="S19" i="5" s="1"/>
  <c r="H31" i="12"/>
  <c r="D31" i="12"/>
  <c r="G32" i="12"/>
  <c r="C32" i="12"/>
  <c r="F32" i="12"/>
  <c r="G31" i="12"/>
  <c r="C31" i="12"/>
  <c r="J31" i="12"/>
  <c r="F31" i="12"/>
  <c r="I32" i="12"/>
  <c r="E32" i="12"/>
  <c r="I31" i="12"/>
  <c r="E31" i="12"/>
  <c r="H32" i="12"/>
  <c r="D32" i="12"/>
  <c r="J32" i="12"/>
  <c r="AC28" i="5"/>
  <c r="B10" i="8"/>
  <c r="B10" i="11"/>
  <c r="H59" i="5"/>
  <c r="R59" i="5" s="1"/>
  <c r="B10" i="12"/>
  <c r="G53" i="6"/>
  <c r="G43" i="6"/>
  <c r="G33" i="6"/>
  <c r="G23" i="6"/>
  <c r="H44" i="5"/>
  <c r="R44" i="5" s="1"/>
  <c r="G48" i="6"/>
  <c r="G58" i="6"/>
  <c r="G38" i="6"/>
  <c r="G28" i="6"/>
  <c r="G73" i="6"/>
  <c r="G63" i="6"/>
  <c r="G18" i="6"/>
  <c r="G68" i="6"/>
  <c r="H54" i="5"/>
  <c r="R54" i="5" s="1"/>
  <c r="H49" i="5"/>
  <c r="R49" i="5" s="1"/>
  <c r="H39" i="5"/>
  <c r="R39" i="5" s="1"/>
  <c r="H34" i="5"/>
  <c r="R34" i="5" s="1"/>
  <c r="H29" i="5"/>
  <c r="R29" i="5" s="1"/>
  <c r="H24" i="5"/>
  <c r="R24" i="5" s="1"/>
  <c r="H14" i="5"/>
  <c r="R14" i="5" s="1"/>
  <c r="H9" i="5"/>
  <c r="R9" i="5" s="1"/>
  <c r="H4" i="5"/>
  <c r="R4" i="5" s="1"/>
  <c r="H19" i="5"/>
  <c r="R19" i="5" s="1"/>
  <c r="N28" i="5"/>
  <c r="O28" i="5" s="1"/>
  <c r="H74" i="6"/>
  <c r="H69" i="6"/>
  <c r="H64" i="6"/>
  <c r="H59" i="6"/>
  <c r="H54" i="6"/>
  <c r="H49" i="6"/>
  <c r="H44" i="6"/>
  <c r="H39" i="6"/>
  <c r="H34" i="6"/>
  <c r="H29" i="6"/>
  <c r="H24" i="6"/>
  <c r="I50" i="5"/>
  <c r="S50" i="5" s="1"/>
  <c r="H19" i="6"/>
  <c r="I45" i="5"/>
  <c r="S45" i="5" s="1"/>
  <c r="I55" i="5"/>
  <c r="S55" i="5" s="1"/>
  <c r="I40" i="5"/>
  <c r="S40" i="5" s="1"/>
  <c r="I35" i="5"/>
  <c r="S35" i="5" s="1"/>
  <c r="I30" i="5"/>
  <c r="S30" i="5" s="1"/>
  <c r="I60" i="5"/>
  <c r="S60" i="5" s="1"/>
  <c r="I20" i="5"/>
  <c r="S20" i="5" s="1"/>
  <c r="I15" i="5"/>
  <c r="S15" i="5" s="1"/>
  <c r="I10" i="5"/>
  <c r="S10" i="5" s="1"/>
  <c r="I5" i="5"/>
  <c r="S5" i="5" s="1"/>
  <c r="I25" i="5"/>
  <c r="S25" i="5" s="1"/>
  <c r="AD59" i="5"/>
  <c r="AD53" i="5"/>
  <c r="H60" i="5"/>
  <c r="R60" i="5" s="1"/>
  <c r="G39" i="6"/>
  <c r="G29" i="6"/>
  <c r="G19" i="6"/>
  <c r="H45" i="5"/>
  <c r="R45" i="5" s="1"/>
  <c r="G74" i="6"/>
  <c r="G69" i="6"/>
  <c r="G64" i="6"/>
  <c r="G54" i="6"/>
  <c r="G49" i="6"/>
  <c r="G44" i="6"/>
  <c r="G34" i="6"/>
  <c r="G24" i="6"/>
  <c r="G59" i="6"/>
  <c r="H50" i="5"/>
  <c r="R50" i="5" s="1"/>
  <c r="H55" i="5"/>
  <c r="R55" i="5" s="1"/>
  <c r="H40" i="5"/>
  <c r="R40" i="5" s="1"/>
  <c r="H35" i="5"/>
  <c r="R35" i="5" s="1"/>
  <c r="H30" i="5"/>
  <c r="R30" i="5" s="1"/>
  <c r="H20" i="5"/>
  <c r="R20" i="5" s="1"/>
  <c r="H15" i="5"/>
  <c r="R15" i="5" s="1"/>
  <c r="H10" i="5"/>
  <c r="R10" i="5" s="1"/>
  <c r="H5" i="5"/>
  <c r="R5" i="5" s="1"/>
  <c r="H25" i="5"/>
  <c r="R25" i="5" s="1"/>
  <c r="B25" i="8"/>
  <c r="B25" i="11"/>
  <c r="B25" i="12"/>
  <c r="H75" i="6"/>
  <c r="H70" i="6"/>
  <c r="H65" i="6"/>
  <c r="H60" i="6"/>
  <c r="H55" i="6"/>
  <c r="H50" i="6"/>
  <c r="H45" i="6"/>
  <c r="H40" i="6"/>
  <c r="H35" i="6"/>
  <c r="H30" i="6"/>
  <c r="H25" i="6"/>
  <c r="H20" i="6"/>
  <c r="I56" i="5"/>
  <c r="S56" i="5" s="1"/>
  <c r="I61" i="5"/>
  <c r="S61" i="5" s="1"/>
  <c r="I46" i="5"/>
  <c r="S46" i="5" s="1"/>
  <c r="I41" i="5"/>
  <c r="S41" i="5" s="1"/>
  <c r="I36" i="5"/>
  <c r="S36" i="5" s="1"/>
  <c r="I31" i="5"/>
  <c r="S31" i="5" s="1"/>
  <c r="I51" i="5"/>
  <c r="S51" i="5" s="1"/>
  <c r="I26" i="5"/>
  <c r="S26" i="5" s="1"/>
  <c r="I16" i="5"/>
  <c r="S16" i="5" s="1"/>
  <c r="I11" i="5"/>
  <c r="S11" i="5" s="1"/>
  <c r="I6" i="5"/>
  <c r="S6" i="5" s="1"/>
  <c r="I21" i="5"/>
  <c r="S21" i="5" s="1"/>
  <c r="F74" i="6"/>
  <c r="F69" i="6"/>
  <c r="F64" i="6"/>
  <c r="F59" i="6"/>
  <c r="F54" i="6"/>
  <c r="F49" i="6"/>
  <c r="F44" i="6"/>
  <c r="F39" i="6"/>
  <c r="F34" i="6"/>
  <c r="F29" i="6"/>
  <c r="F24" i="6"/>
  <c r="F19" i="6"/>
  <c r="G60" i="5"/>
  <c r="V60" i="5" s="1"/>
  <c r="G45" i="5"/>
  <c r="V45" i="5" s="1"/>
  <c r="G50" i="5"/>
  <c r="V50" i="5" s="1"/>
  <c r="G55" i="5"/>
  <c r="V55" i="5" s="1"/>
  <c r="G30" i="5"/>
  <c r="V30" i="5" s="1"/>
  <c r="G40" i="5"/>
  <c r="V40" i="5" s="1"/>
  <c r="G20" i="5"/>
  <c r="V20" i="5" s="1"/>
  <c r="G15" i="5"/>
  <c r="V15" i="5" s="1"/>
  <c r="G10" i="5"/>
  <c r="V10" i="5" s="1"/>
  <c r="G5" i="5"/>
  <c r="V5" i="5" s="1"/>
  <c r="G25" i="5"/>
  <c r="V25" i="5" s="1"/>
  <c r="G35" i="5"/>
  <c r="V35" i="5" s="1"/>
  <c r="H61" i="5"/>
  <c r="R61" i="5" s="1"/>
  <c r="B24" i="8"/>
  <c r="B24" i="11"/>
  <c r="B24" i="12"/>
  <c r="G45" i="6"/>
  <c r="G35" i="6"/>
  <c r="G25" i="6"/>
  <c r="H46" i="5"/>
  <c r="R46" i="5" s="1"/>
  <c r="G60" i="6"/>
  <c r="G20" i="6"/>
  <c r="G75" i="6"/>
  <c r="G40" i="6"/>
  <c r="G30" i="6"/>
  <c r="G70" i="6"/>
  <c r="G65" i="6"/>
  <c r="G55" i="6"/>
  <c r="H41" i="5"/>
  <c r="R41" i="5" s="1"/>
  <c r="H36" i="5"/>
  <c r="R36" i="5" s="1"/>
  <c r="H31" i="5"/>
  <c r="R31" i="5" s="1"/>
  <c r="H56" i="5"/>
  <c r="R56" i="5" s="1"/>
  <c r="H26" i="5"/>
  <c r="R26" i="5" s="1"/>
  <c r="H16" i="5"/>
  <c r="R16" i="5" s="1"/>
  <c r="H11" i="5"/>
  <c r="R11" i="5" s="1"/>
  <c r="H6" i="5"/>
  <c r="R6" i="5" s="1"/>
  <c r="G50" i="6"/>
  <c r="H21" i="5"/>
  <c r="R21" i="5" s="1"/>
  <c r="H51" i="5"/>
  <c r="R51" i="5" s="1"/>
  <c r="U51" i="5" s="1"/>
  <c r="W51" i="5" s="1"/>
  <c r="F72" i="6"/>
  <c r="F67" i="6"/>
  <c r="F62" i="6"/>
  <c r="F57" i="6"/>
  <c r="F52" i="6"/>
  <c r="F47" i="6"/>
  <c r="F42" i="6"/>
  <c r="F37" i="6"/>
  <c r="F32" i="6"/>
  <c r="F27" i="6"/>
  <c r="F22" i="6"/>
  <c r="F17" i="6"/>
  <c r="G53" i="5"/>
  <c r="V53" i="5" s="1"/>
  <c r="G48" i="5"/>
  <c r="V48" i="5" s="1"/>
  <c r="G58" i="5"/>
  <c r="V58" i="5" s="1"/>
  <c r="G43" i="5"/>
  <c r="V43" i="5" s="1"/>
  <c r="G28" i="5"/>
  <c r="G18" i="5"/>
  <c r="V18" i="5" s="1"/>
  <c r="G13" i="5"/>
  <c r="V13" i="5" s="1"/>
  <c r="G8" i="5"/>
  <c r="V8" i="5" s="1"/>
  <c r="G3" i="5"/>
  <c r="V3" i="5" s="1"/>
  <c r="G33" i="5"/>
  <c r="V33" i="5" s="1"/>
  <c r="G38" i="5"/>
  <c r="V38" i="5" s="1"/>
  <c r="G23" i="5"/>
  <c r="V23" i="5" s="1"/>
  <c r="G37" i="6"/>
  <c r="G27" i="6"/>
  <c r="H43" i="5"/>
  <c r="R43" i="5" s="1"/>
  <c r="G62" i="6"/>
  <c r="G72" i="6"/>
  <c r="G67" i="6"/>
  <c r="G42" i="6"/>
  <c r="G32" i="6"/>
  <c r="G17" i="6"/>
  <c r="G57" i="6"/>
  <c r="G47" i="6"/>
  <c r="G22" i="6"/>
  <c r="H53" i="5"/>
  <c r="R53" i="5" s="1"/>
  <c r="H48" i="5"/>
  <c r="R48" i="5" s="1"/>
  <c r="H58" i="5"/>
  <c r="R58" i="5" s="1"/>
  <c r="G52" i="6"/>
  <c r="H38" i="5"/>
  <c r="R38" i="5" s="1"/>
  <c r="H33" i="5"/>
  <c r="R33" i="5" s="1"/>
  <c r="H28" i="5"/>
  <c r="R28" i="5" s="1"/>
  <c r="H18" i="5"/>
  <c r="R18" i="5" s="1"/>
  <c r="H13" i="5"/>
  <c r="R13" i="5" s="1"/>
  <c r="H8" i="5"/>
  <c r="R8" i="5" s="1"/>
  <c r="H3" i="5"/>
  <c r="R3" i="5" s="1"/>
  <c r="H23" i="5"/>
  <c r="R23" i="5" s="1"/>
  <c r="D29" i="5"/>
  <c r="F29" i="5" s="1"/>
  <c r="F7" i="1"/>
  <c r="B8" i="2"/>
  <c r="V61" i="5"/>
  <c r="AC61" i="5"/>
  <c r="E7" i="1"/>
  <c r="E7" i="2"/>
  <c r="B7" i="2"/>
  <c r="H71" i="6"/>
  <c r="H66" i="6"/>
  <c r="H61" i="6"/>
  <c r="H56" i="6"/>
  <c r="H51" i="6"/>
  <c r="H46" i="6"/>
  <c r="H41" i="6"/>
  <c r="H36" i="6"/>
  <c r="H31" i="6"/>
  <c r="H26" i="6"/>
  <c r="H16" i="6"/>
  <c r="I52" i="5"/>
  <c r="S52" i="5" s="1"/>
  <c r="H21" i="6"/>
  <c r="I57" i="5"/>
  <c r="S57" i="5" s="1"/>
  <c r="I47" i="5"/>
  <c r="S47" i="5" s="1"/>
  <c r="I42" i="5"/>
  <c r="S42" i="5" s="1"/>
  <c r="I37" i="5"/>
  <c r="S37" i="5" s="1"/>
  <c r="I32" i="5"/>
  <c r="S32" i="5" s="1"/>
  <c r="I22" i="5"/>
  <c r="S22" i="5" s="1"/>
  <c r="I12" i="5"/>
  <c r="S12" i="5" s="1"/>
  <c r="I7" i="5"/>
  <c r="S7" i="5" s="1"/>
  <c r="I2" i="5"/>
  <c r="S2" i="5" s="1"/>
  <c r="I27" i="5"/>
  <c r="S27" i="5" s="1"/>
  <c r="I17" i="5"/>
  <c r="S17" i="5" s="1"/>
  <c r="F71" i="6"/>
  <c r="F66" i="6"/>
  <c r="F61" i="6"/>
  <c r="F56" i="6"/>
  <c r="F51" i="6"/>
  <c r="F46" i="6"/>
  <c r="F41" i="6"/>
  <c r="F36" i="6"/>
  <c r="F31" i="6"/>
  <c r="F26" i="6"/>
  <c r="F21" i="6"/>
  <c r="G47" i="5"/>
  <c r="V47" i="5" s="1"/>
  <c r="F16" i="6"/>
  <c r="G52" i="5"/>
  <c r="V52" i="5" s="1"/>
  <c r="G57" i="5"/>
  <c r="V57" i="5" s="1"/>
  <c r="G22" i="5"/>
  <c r="V22" i="5" s="1"/>
  <c r="G12" i="5"/>
  <c r="V12" i="5" s="1"/>
  <c r="G7" i="5"/>
  <c r="V7" i="5" s="1"/>
  <c r="G2" i="5"/>
  <c r="V2" i="5" s="1"/>
  <c r="G37" i="5"/>
  <c r="V37" i="5" s="1"/>
  <c r="G32" i="5"/>
  <c r="V32" i="5" s="1"/>
  <c r="G42" i="5"/>
  <c r="V42" i="5" s="1"/>
  <c r="G27" i="5"/>
  <c r="V27" i="5" s="1"/>
  <c r="G17" i="5"/>
  <c r="V17" i="5" s="1"/>
  <c r="H72" i="6"/>
  <c r="H67" i="6"/>
  <c r="H62" i="6"/>
  <c r="H57" i="6"/>
  <c r="H52" i="6"/>
  <c r="H47" i="6"/>
  <c r="H42" i="6"/>
  <c r="H37" i="6"/>
  <c r="H32" i="6"/>
  <c r="H27" i="6"/>
  <c r="I58" i="5"/>
  <c r="S58" i="5" s="1"/>
  <c r="I48" i="5"/>
  <c r="S48" i="5" s="1"/>
  <c r="H17" i="6"/>
  <c r="I53" i="5"/>
  <c r="S53" i="5" s="1"/>
  <c r="H22" i="6"/>
  <c r="I38" i="5"/>
  <c r="S38" i="5" s="1"/>
  <c r="I33" i="5"/>
  <c r="S33" i="5" s="1"/>
  <c r="I28" i="5"/>
  <c r="S28" i="5" s="1"/>
  <c r="I43" i="5"/>
  <c r="S43" i="5" s="1"/>
  <c r="I18" i="5"/>
  <c r="S18" i="5" s="1"/>
  <c r="I13" i="5"/>
  <c r="S13" i="5" s="1"/>
  <c r="I8" i="5"/>
  <c r="S8" i="5" s="1"/>
  <c r="I3" i="5"/>
  <c r="S3" i="5" s="1"/>
  <c r="I23" i="5"/>
  <c r="S23" i="5" s="1"/>
  <c r="E43" i="6"/>
  <c r="B9" i="8"/>
  <c r="B9" i="11"/>
  <c r="B9" i="12"/>
  <c r="F73" i="6"/>
  <c r="F68" i="6"/>
  <c r="F63" i="6"/>
  <c r="F58" i="6"/>
  <c r="F53" i="6"/>
  <c r="F48" i="6"/>
  <c r="F43" i="6"/>
  <c r="F38" i="6"/>
  <c r="F33" i="6"/>
  <c r="F28" i="6"/>
  <c r="F23" i="6"/>
  <c r="F18" i="6"/>
  <c r="G59" i="5"/>
  <c r="V59" i="5" s="1"/>
  <c r="G44" i="5"/>
  <c r="V44" i="5" s="1"/>
  <c r="G54" i="5"/>
  <c r="V54" i="5" s="1"/>
  <c r="G49" i="5"/>
  <c r="V49" i="5" s="1"/>
  <c r="G24" i="5"/>
  <c r="V24" i="5" s="1"/>
  <c r="G14" i="5"/>
  <c r="V14" i="5" s="1"/>
  <c r="G9" i="5"/>
  <c r="V9" i="5" s="1"/>
  <c r="G4" i="5"/>
  <c r="V4" i="5" s="1"/>
  <c r="G29" i="5"/>
  <c r="G34" i="5"/>
  <c r="V34" i="5" s="1"/>
  <c r="G19" i="5"/>
  <c r="V19" i="5" s="1"/>
  <c r="G39" i="5"/>
  <c r="V39" i="5" s="1"/>
  <c r="G71" i="6"/>
  <c r="G41" i="6"/>
  <c r="G31" i="6"/>
  <c r="H47" i="5"/>
  <c r="R47" i="5" s="1"/>
  <c r="G66" i="6"/>
  <c r="G56" i="6"/>
  <c r="G51" i="6"/>
  <c r="G16" i="6"/>
  <c r="G46" i="6"/>
  <c r="G36" i="6"/>
  <c r="G26" i="6"/>
  <c r="G21" i="6"/>
  <c r="G61" i="6"/>
  <c r="H57" i="5"/>
  <c r="R57" i="5" s="1"/>
  <c r="H42" i="5"/>
  <c r="R42" i="5" s="1"/>
  <c r="H37" i="5"/>
  <c r="R37" i="5" s="1"/>
  <c r="U37" i="5" s="1"/>
  <c r="W37" i="5" s="1"/>
  <c r="H32" i="5"/>
  <c r="R32" i="5" s="1"/>
  <c r="H52" i="5"/>
  <c r="R52" i="5" s="1"/>
  <c r="H22" i="5"/>
  <c r="R22" i="5" s="1"/>
  <c r="H12" i="5"/>
  <c r="R12" i="5" s="1"/>
  <c r="H7" i="5"/>
  <c r="R7" i="5" s="1"/>
  <c r="H2" i="5"/>
  <c r="R2" i="5" s="1"/>
  <c r="H27" i="5"/>
  <c r="R27" i="5" s="1"/>
  <c r="H17" i="5"/>
  <c r="R17" i="5" s="1"/>
  <c r="U31" i="5" l="1"/>
  <c r="W31" i="5" s="1"/>
  <c r="U32" i="5"/>
  <c r="U6" i="5"/>
  <c r="W6" i="5" s="1"/>
  <c r="Z6" i="5" s="1"/>
  <c r="AA6" i="5" s="1"/>
  <c r="U27" i="5"/>
  <c r="W27" i="5" s="1"/>
  <c r="Z27" i="5" s="1"/>
  <c r="AA27" i="5" s="1"/>
  <c r="U61" i="5"/>
  <c r="U20" i="5"/>
  <c r="W20" i="5" s="1"/>
  <c r="W32" i="5"/>
  <c r="AE32" i="5" s="1"/>
  <c r="AF32" i="5" s="1"/>
  <c r="U46" i="5"/>
  <c r="W46" i="5" s="1"/>
  <c r="AE46" i="5" s="1"/>
  <c r="AF46" i="5" s="1"/>
  <c r="I10" i="7" s="1"/>
  <c r="U11" i="5"/>
  <c r="W11" i="5" s="1"/>
  <c r="AE11" i="5" s="1"/>
  <c r="AF11" i="5" s="1"/>
  <c r="I3" i="7" s="1"/>
  <c r="U14" i="5"/>
  <c r="W14" i="5" s="1"/>
  <c r="Z14" i="5" s="1"/>
  <c r="AA14" i="5" s="1"/>
  <c r="U56" i="5"/>
  <c r="W56" i="5" s="1"/>
  <c r="Z56" i="5" s="1"/>
  <c r="AA56" i="5" s="1"/>
  <c r="U17" i="5"/>
  <c r="W17" i="5" s="1"/>
  <c r="U2" i="5"/>
  <c r="W2" i="5" s="1"/>
  <c r="U57" i="5"/>
  <c r="W57" i="5" s="1"/>
  <c r="AE57" i="5" s="1"/>
  <c r="U13" i="5"/>
  <c r="W13" i="5" s="1"/>
  <c r="AE13" i="5" s="1"/>
  <c r="AF13" i="5" s="1"/>
  <c r="U53" i="5"/>
  <c r="W53" i="5" s="1"/>
  <c r="Z53" i="5" s="1"/>
  <c r="AA53" i="5" s="1"/>
  <c r="U36" i="5"/>
  <c r="W36" i="5" s="1"/>
  <c r="X36" i="5" s="1"/>
  <c r="C8" i="7" s="1"/>
  <c r="U16" i="5"/>
  <c r="W16" i="5" s="1"/>
  <c r="Z16" i="5" s="1"/>
  <c r="AA16" i="5" s="1"/>
  <c r="N29" i="5"/>
  <c r="O29" i="5" s="1"/>
  <c r="V29" i="5" s="1"/>
  <c r="U42" i="5"/>
  <c r="W42" i="5" s="1"/>
  <c r="U18" i="5"/>
  <c r="W18" i="5" s="1"/>
  <c r="U30" i="5"/>
  <c r="W30" i="5" s="1"/>
  <c r="U24" i="5"/>
  <c r="W24" i="5" s="1"/>
  <c r="AD28" i="5"/>
  <c r="Z37" i="5"/>
  <c r="AA37" i="5" s="1"/>
  <c r="AE37" i="5"/>
  <c r="AF37" i="5" s="1"/>
  <c r="X37" i="5"/>
  <c r="H17" i="12"/>
  <c r="D17" i="12"/>
  <c r="C18" i="12"/>
  <c r="F17" i="12"/>
  <c r="J17" i="12"/>
  <c r="G18" i="12"/>
  <c r="H18" i="12"/>
  <c r="G17" i="12"/>
  <c r="C17" i="12"/>
  <c r="F18" i="12"/>
  <c r="J18" i="12"/>
  <c r="D18" i="12"/>
  <c r="E18" i="12"/>
  <c r="I18" i="12"/>
  <c r="E17" i="12"/>
  <c r="I17" i="12"/>
  <c r="U28" i="5"/>
  <c r="U43" i="5"/>
  <c r="W43" i="5" s="1"/>
  <c r="U35" i="5"/>
  <c r="W35" i="5" s="1"/>
  <c r="V28" i="5"/>
  <c r="U29" i="5"/>
  <c r="AE6" i="5"/>
  <c r="AF6" i="5" s="1"/>
  <c r="I2" i="7" s="1"/>
  <c r="X6" i="5"/>
  <c r="C2" i="7" s="1"/>
  <c r="U7" i="5"/>
  <c r="W7" i="5" s="1"/>
  <c r="AC29" i="5"/>
  <c r="U33" i="5"/>
  <c r="W33" i="5" s="1"/>
  <c r="U26" i="5"/>
  <c r="W26" i="5" s="1"/>
  <c r="U40" i="5"/>
  <c r="W40" i="5" s="1"/>
  <c r="U60" i="5"/>
  <c r="W60" i="5" s="1"/>
  <c r="U34" i="5"/>
  <c r="W34" i="5" s="1"/>
  <c r="U47" i="5"/>
  <c r="W47" i="5" s="1"/>
  <c r="U38" i="5"/>
  <c r="W38" i="5" s="1"/>
  <c r="U25" i="5"/>
  <c r="W25" i="5" s="1"/>
  <c r="U55" i="5"/>
  <c r="W55" i="5" s="1"/>
  <c r="U39" i="5"/>
  <c r="W39" i="5" s="1"/>
  <c r="U22" i="5"/>
  <c r="W22" i="5" s="1"/>
  <c r="U23" i="5"/>
  <c r="W23" i="5" s="1"/>
  <c r="AE51" i="5"/>
  <c r="AF51" i="5" s="1"/>
  <c r="I11" i="7" s="1"/>
  <c r="Z51" i="5"/>
  <c r="AA51" i="5" s="1"/>
  <c r="X51" i="5"/>
  <c r="C11" i="7" s="1"/>
  <c r="AE31" i="5"/>
  <c r="AF31" i="5" s="1"/>
  <c r="Z31" i="5"/>
  <c r="AA31" i="5" s="1"/>
  <c r="X31" i="5"/>
  <c r="C7" i="7" s="1"/>
  <c r="U5" i="5"/>
  <c r="W5" i="5" s="1"/>
  <c r="U50" i="5"/>
  <c r="W50" i="5" s="1"/>
  <c r="U19" i="5"/>
  <c r="W19" i="5" s="1"/>
  <c r="U49" i="5"/>
  <c r="W49" i="5" s="1"/>
  <c r="U59" i="5"/>
  <c r="W59" i="5" s="1"/>
  <c r="U12" i="5"/>
  <c r="W12" i="5" s="1"/>
  <c r="U52" i="5"/>
  <c r="W52" i="5" s="1"/>
  <c r="U3" i="5"/>
  <c r="W3" i="5" s="1"/>
  <c r="U58" i="5"/>
  <c r="W58" i="5" s="1"/>
  <c r="U21" i="5"/>
  <c r="W21" i="5" s="1"/>
  <c r="U10" i="5"/>
  <c r="W10" i="5" s="1"/>
  <c r="U4" i="5"/>
  <c r="W4" i="5" s="1"/>
  <c r="U54" i="5"/>
  <c r="W54" i="5" s="1"/>
  <c r="AD61" i="5"/>
  <c r="U8" i="5"/>
  <c r="W8" i="5" s="1"/>
  <c r="U48" i="5"/>
  <c r="W48" i="5" s="1"/>
  <c r="U41" i="5"/>
  <c r="W41" i="5" s="1"/>
  <c r="W61" i="5"/>
  <c r="U15" i="5"/>
  <c r="W15" i="5" s="1"/>
  <c r="U45" i="5"/>
  <c r="W45" i="5" s="1"/>
  <c r="U9" i="5"/>
  <c r="W9" i="5" s="1"/>
  <c r="U44" i="5"/>
  <c r="W44" i="5" s="1"/>
  <c r="B28" i="11" l="1"/>
  <c r="G32" i="11" s="1"/>
  <c r="B28" i="8"/>
  <c r="F32" i="8" s="1"/>
  <c r="X56" i="5"/>
  <c r="C12" i="7" s="1"/>
  <c r="AE56" i="5"/>
  <c r="AF56" i="5" s="1"/>
  <c r="I12" i="7" s="1"/>
  <c r="X46" i="5"/>
  <c r="C10" i="7" s="1"/>
  <c r="Z46" i="5"/>
  <c r="AA46" i="5" s="1"/>
  <c r="Z32" i="5"/>
  <c r="AA32" i="5" s="1"/>
  <c r="X32" i="5"/>
  <c r="Z17" i="5"/>
  <c r="AA17" i="5" s="1"/>
  <c r="AE17" i="5"/>
  <c r="AF17" i="5" s="1"/>
  <c r="AE36" i="5"/>
  <c r="AF36" i="5" s="1"/>
  <c r="I8" i="7" s="1"/>
  <c r="Z36" i="5"/>
  <c r="AA36" i="5" s="1"/>
  <c r="AE53" i="5"/>
  <c r="AF53" i="5" s="1"/>
  <c r="X11" i="5"/>
  <c r="C3" i="7" s="1"/>
  <c r="Z11" i="5"/>
  <c r="AA11" i="5" s="1"/>
  <c r="AF57" i="5"/>
  <c r="X57" i="5"/>
  <c r="Z20" i="5"/>
  <c r="AA20" i="5" s="1"/>
  <c r="AE20" i="5"/>
  <c r="AF20" i="5" s="1"/>
  <c r="X20" i="5"/>
  <c r="X13" i="5"/>
  <c r="Z13" i="5"/>
  <c r="AA13" i="5" s="1"/>
  <c r="X53" i="5"/>
  <c r="AE2" i="5"/>
  <c r="AF2" i="5" s="1"/>
  <c r="Z2" i="5"/>
  <c r="AA2" i="5" s="1"/>
  <c r="X2" i="5"/>
  <c r="X16" i="5"/>
  <c r="C4" i="7" s="1"/>
  <c r="AE16" i="5"/>
  <c r="AF16" i="5" s="1"/>
  <c r="I4" i="7" s="1"/>
  <c r="X27" i="5"/>
  <c r="AE27" i="5"/>
  <c r="AF27" i="5" s="1"/>
  <c r="W29" i="5"/>
  <c r="X29" i="5" s="1"/>
  <c r="B7" i="7" s="1"/>
  <c r="AE14" i="5"/>
  <c r="AF14" i="5" s="1"/>
  <c r="H4" i="7" s="1"/>
  <c r="Z57" i="5"/>
  <c r="AA57" i="5" s="1"/>
  <c r="X17" i="5"/>
  <c r="X14" i="5"/>
  <c r="B4" i="7" s="1"/>
  <c r="W28" i="5"/>
  <c r="X28" i="5" s="1"/>
  <c r="Z24" i="5"/>
  <c r="AA24" i="5" s="1"/>
  <c r="AE24" i="5"/>
  <c r="AF24" i="5" s="1"/>
  <c r="H6" i="7" s="1"/>
  <c r="X24" i="5"/>
  <c r="B6" i="7" s="1"/>
  <c r="Z35" i="5"/>
  <c r="AA35" i="5" s="1"/>
  <c r="AE35" i="5"/>
  <c r="AF35" i="5" s="1"/>
  <c r="X35" i="5"/>
  <c r="AE30" i="5"/>
  <c r="AF30" i="5" s="1"/>
  <c r="D19" i="1" s="1"/>
  <c r="Z30" i="5"/>
  <c r="AA30" i="5" s="1"/>
  <c r="X30" i="5"/>
  <c r="D16" i="1"/>
  <c r="AE49" i="5"/>
  <c r="AF49" i="5" s="1"/>
  <c r="H11" i="7" s="1"/>
  <c r="Z49" i="5"/>
  <c r="AA49" i="5" s="1"/>
  <c r="X49" i="5"/>
  <c r="B11" i="7" s="1"/>
  <c r="Z41" i="5"/>
  <c r="AA41" i="5" s="1"/>
  <c r="AE41" i="5"/>
  <c r="AF41" i="5" s="1"/>
  <c r="X41" i="5"/>
  <c r="C9" i="7" s="1"/>
  <c r="AE19" i="5"/>
  <c r="AF19" i="5" s="1"/>
  <c r="H5" i="7" s="1"/>
  <c r="Z19" i="5"/>
  <c r="AA19" i="5" s="1"/>
  <c r="X19" i="5"/>
  <c r="B5" i="7" s="1"/>
  <c r="Z34" i="5"/>
  <c r="AA34" i="5" s="1"/>
  <c r="AE34" i="5"/>
  <c r="AF34" i="5" s="1"/>
  <c r="H8" i="7" s="1"/>
  <c r="X34" i="5"/>
  <c r="B8" i="7" s="1"/>
  <c r="AE7" i="5"/>
  <c r="AF7" i="5" s="1"/>
  <c r="Z7" i="5"/>
  <c r="AA7" i="5" s="1"/>
  <c r="X7" i="5"/>
  <c r="Z48" i="5"/>
  <c r="AA48" i="5" s="1"/>
  <c r="AE48" i="5"/>
  <c r="AF48" i="5" s="1"/>
  <c r="X48" i="5"/>
  <c r="AE21" i="5"/>
  <c r="AF21" i="5" s="1"/>
  <c r="I5" i="7" s="1"/>
  <c r="Z21" i="5"/>
  <c r="AA21" i="5" s="1"/>
  <c r="X21" i="5"/>
  <c r="C5" i="7" s="1"/>
  <c r="AE60" i="5"/>
  <c r="AF60" i="5" s="1"/>
  <c r="Z60" i="5"/>
  <c r="AA60" i="5" s="1"/>
  <c r="X60" i="5"/>
  <c r="AE25" i="5"/>
  <c r="AF25" i="5" s="1"/>
  <c r="Z25" i="5"/>
  <c r="AA25" i="5" s="1"/>
  <c r="X25" i="5"/>
  <c r="AE58" i="5"/>
  <c r="AF58" i="5" s="1"/>
  <c r="Z58" i="5"/>
  <c r="AA58" i="5" s="1"/>
  <c r="X58" i="5"/>
  <c r="Z50" i="5"/>
  <c r="AA50" i="5" s="1"/>
  <c r="AE50" i="5"/>
  <c r="AF50" i="5" s="1"/>
  <c r="X50" i="5"/>
  <c r="Z38" i="5"/>
  <c r="AA38" i="5" s="1"/>
  <c r="AE38" i="5"/>
  <c r="AF38" i="5" s="1"/>
  <c r="C17" i="1" s="1"/>
  <c r="X38" i="5"/>
  <c r="Z40" i="5"/>
  <c r="AA40" i="5" s="1"/>
  <c r="AE40" i="5"/>
  <c r="AF40" i="5" s="1"/>
  <c r="C19" i="1" s="1"/>
  <c r="X40" i="5"/>
  <c r="C16" i="1"/>
  <c r="AE15" i="5"/>
  <c r="AF15" i="5" s="1"/>
  <c r="Z15" i="5"/>
  <c r="AA15" i="5" s="1"/>
  <c r="X15" i="5"/>
  <c r="AE59" i="5"/>
  <c r="AF59" i="5" s="1"/>
  <c r="H13" i="7" s="1"/>
  <c r="Z59" i="5"/>
  <c r="AA59" i="5" s="1"/>
  <c r="X59" i="5"/>
  <c r="B13" i="7" s="1"/>
  <c r="AE61" i="5"/>
  <c r="AF61" i="5" s="1"/>
  <c r="I13" i="7" s="1"/>
  <c r="Z61" i="5"/>
  <c r="AA61" i="5" s="1"/>
  <c r="X61" i="5"/>
  <c r="C13" i="7" s="1"/>
  <c r="AE8" i="5"/>
  <c r="AF8" i="5" s="1"/>
  <c r="Z8" i="5"/>
  <c r="AA8" i="5" s="1"/>
  <c r="X8" i="5"/>
  <c r="AE23" i="5"/>
  <c r="AF23" i="5" s="1"/>
  <c r="Z23" i="5"/>
  <c r="AA23" i="5" s="1"/>
  <c r="X23" i="5"/>
  <c r="AE44" i="5"/>
  <c r="AF44" i="5" s="1"/>
  <c r="H10" i="7" s="1"/>
  <c r="Z44" i="5"/>
  <c r="AA44" i="5" s="1"/>
  <c r="X44" i="5"/>
  <c r="B10" i="7" s="1"/>
  <c r="Z54" i="5"/>
  <c r="AA54" i="5" s="1"/>
  <c r="AE54" i="5"/>
  <c r="AF54" i="5" s="1"/>
  <c r="H12" i="7" s="1"/>
  <c r="X54" i="5"/>
  <c r="B12" i="7" s="1"/>
  <c r="AE3" i="5"/>
  <c r="AF3" i="5" s="1"/>
  <c r="Z3" i="5"/>
  <c r="AA3" i="5" s="1"/>
  <c r="X3" i="5"/>
  <c r="AE5" i="5"/>
  <c r="AF5" i="5" s="1"/>
  <c r="Z5" i="5"/>
  <c r="AA5" i="5" s="1"/>
  <c r="X5" i="5"/>
  <c r="Z22" i="5"/>
  <c r="AA22" i="5" s="1"/>
  <c r="AE22" i="5"/>
  <c r="AF22" i="5" s="1"/>
  <c r="X22" i="5"/>
  <c r="AE47" i="5"/>
  <c r="AF47" i="5" s="1"/>
  <c r="Z47" i="5"/>
  <c r="AA47" i="5" s="1"/>
  <c r="X47" i="5"/>
  <c r="Z26" i="5"/>
  <c r="AA26" i="5" s="1"/>
  <c r="AE26" i="5"/>
  <c r="AF26" i="5" s="1"/>
  <c r="I6" i="7" s="1"/>
  <c r="X26" i="5"/>
  <c r="C6" i="7" s="1"/>
  <c r="AE43" i="5"/>
  <c r="AF43" i="5" s="1"/>
  <c r="Z43" i="5"/>
  <c r="AA43" i="5" s="1"/>
  <c r="X43" i="5"/>
  <c r="Z18" i="5"/>
  <c r="AA18" i="5" s="1"/>
  <c r="AE18" i="5"/>
  <c r="AF18" i="5" s="1"/>
  <c r="X18" i="5"/>
  <c r="AE9" i="5"/>
  <c r="AF9" i="5" s="1"/>
  <c r="H3" i="7" s="1"/>
  <c r="Z9" i="5"/>
  <c r="AA9" i="5" s="1"/>
  <c r="X9" i="5"/>
  <c r="B3" i="7" s="1"/>
  <c r="Z52" i="5"/>
  <c r="AA52" i="5" s="1"/>
  <c r="AE52" i="5"/>
  <c r="AF52" i="5" s="1"/>
  <c r="X52" i="5"/>
  <c r="I32" i="11"/>
  <c r="C32" i="11"/>
  <c r="J31" i="11"/>
  <c r="Z39" i="5"/>
  <c r="AA39" i="5" s="1"/>
  <c r="AE39" i="5"/>
  <c r="AF39" i="5" s="1"/>
  <c r="X39" i="5"/>
  <c r="B9" i="7" s="1"/>
  <c r="C29" i="7" s="1"/>
  <c r="Z33" i="5"/>
  <c r="AA33" i="5" s="1"/>
  <c r="AE33" i="5"/>
  <c r="AF33" i="5" s="1"/>
  <c r="X33" i="5"/>
  <c r="G31" i="8"/>
  <c r="Z42" i="5"/>
  <c r="AA42" i="5" s="1"/>
  <c r="AE42" i="5"/>
  <c r="AF42" i="5" s="1"/>
  <c r="X42" i="5"/>
  <c r="D20" i="1"/>
  <c r="F5" i="1"/>
  <c r="I7" i="7"/>
  <c r="AE4" i="5"/>
  <c r="AF4" i="5" s="1"/>
  <c r="H2" i="7" s="1"/>
  <c r="Z4" i="5"/>
  <c r="AA4" i="5" s="1"/>
  <c r="X4" i="5"/>
  <c r="B2" i="7" s="1"/>
  <c r="AE45" i="5"/>
  <c r="AF45" i="5" s="1"/>
  <c r="Z45" i="5"/>
  <c r="AA45" i="5" s="1"/>
  <c r="X45" i="5"/>
  <c r="AE10" i="5"/>
  <c r="AF10" i="5" s="1"/>
  <c r="Z10" i="5"/>
  <c r="AA10" i="5" s="1"/>
  <c r="X10" i="5"/>
  <c r="AE12" i="5"/>
  <c r="AF12" i="5" s="1"/>
  <c r="J4" i="7" s="1"/>
  <c r="Z12" i="5"/>
  <c r="AA12" i="5" s="1"/>
  <c r="X12" i="5"/>
  <c r="AE55" i="5"/>
  <c r="AF55" i="5" s="1"/>
  <c r="Z55" i="5"/>
  <c r="AA55" i="5" s="1"/>
  <c r="X55" i="5"/>
  <c r="AD29" i="5"/>
  <c r="AE29" i="5"/>
  <c r="Z29" i="5"/>
  <c r="AA29" i="5" s="1"/>
  <c r="C40" i="7" l="1"/>
  <c r="F31" i="11"/>
  <c r="H31" i="11"/>
  <c r="C31" i="8"/>
  <c r="C31" i="11"/>
  <c r="H32" i="11"/>
  <c r="D31" i="11"/>
  <c r="D32" i="11"/>
  <c r="E32" i="11"/>
  <c r="G31" i="11"/>
  <c r="E31" i="11"/>
  <c r="I31" i="11"/>
  <c r="B32" i="7"/>
  <c r="J32" i="11"/>
  <c r="F32" i="11"/>
  <c r="B33" i="7"/>
  <c r="B37" i="7"/>
  <c r="C30" i="7"/>
  <c r="C38" i="7"/>
  <c r="B14" i="8"/>
  <c r="F18" i="8" s="1"/>
  <c r="B29" i="7"/>
  <c r="D32" i="8"/>
  <c r="H32" i="8"/>
  <c r="C37" i="7"/>
  <c r="I31" i="8"/>
  <c r="E31" i="8"/>
  <c r="B40" i="7"/>
  <c r="C36" i="7"/>
  <c r="C34" i="7"/>
  <c r="C32" i="8"/>
  <c r="B14" i="11"/>
  <c r="D17" i="11" s="1"/>
  <c r="B34" i="7"/>
  <c r="H31" i="8"/>
  <c r="I32" i="8"/>
  <c r="E32" i="8"/>
  <c r="B30" i="7"/>
  <c r="B39" i="7"/>
  <c r="C32" i="7"/>
  <c r="B31" i="7"/>
  <c r="C31" i="7"/>
  <c r="C39" i="7"/>
  <c r="D31" i="8"/>
  <c r="J31" i="8"/>
  <c r="F31" i="8"/>
  <c r="C33" i="7"/>
  <c r="B35" i="7"/>
  <c r="C35" i="7"/>
  <c r="G32" i="8"/>
  <c r="J32" i="8"/>
  <c r="B38" i="7"/>
  <c r="D2" i="7"/>
  <c r="D29" i="7" s="1"/>
  <c r="J8" i="7"/>
  <c r="J11" i="7"/>
  <c r="D7" i="7"/>
  <c r="D34" i="7" s="1"/>
  <c r="Z28" i="5"/>
  <c r="AA28" i="5" s="1"/>
  <c r="AE28" i="5"/>
  <c r="AF28" i="5" s="1"/>
  <c r="D17" i="1" s="1"/>
  <c r="E7" i="7"/>
  <c r="E34" i="7" s="1"/>
  <c r="J10" i="7"/>
  <c r="J5" i="7"/>
  <c r="E2" i="7"/>
  <c r="E29" i="7" s="1"/>
  <c r="E5" i="7"/>
  <c r="E32" i="7" s="1"/>
  <c r="E8" i="7"/>
  <c r="E35" i="7" s="1"/>
  <c r="D8" i="7"/>
  <c r="D35" i="7" s="1"/>
  <c r="J2" i="7"/>
  <c r="D13" i="7"/>
  <c r="D40" i="7" s="1"/>
  <c r="D5" i="7"/>
  <c r="D32" i="7" s="1"/>
  <c r="E9" i="7"/>
  <c r="E36" i="7" s="1"/>
  <c r="D3" i="7"/>
  <c r="D30" i="7" s="1"/>
  <c r="E3" i="7"/>
  <c r="E30" i="7" s="1"/>
  <c r="D12" i="7"/>
  <c r="D39" i="7" s="1"/>
  <c r="E12" i="7"/>
  <c r="E39" i="7" s="1"/>
  <c r="E11" i="7"/>
  <c r="E38" i="7" s="1"/>
  <c r="D11" i="7"/>
  <c r="D38" i="7" s="1"/>
  <c r="D9" i="7"/>
  <c r="D36" i="7" s="1"/>
  <c r="J3" i="7"/>
  <c r="J12" i="7"/>
  <c r="E5" i="1"/>
  <c r="F10" i="1" s="1"/>
  <c r="C20" i="1"/>
  <c r="I9" i="7"/>
  <c r="E13" i="7"/>
  <c r="E40" i="7" s="1"/>
  <c r="C18" i="1"/>
  <c r="H9" i="7"/>
  <c r="H33" i="7" s="1"/>
  <c r="D4" i="7"/>
  <c r="D31" i="7" s="1"/>
  <c r="E4" i="7"/>
  <c r="E31" i="7" s="1"/>
  <c r="E10" i="7"/>
  <c r="E37" i="7" s="1"/>
  <c r="D10" i="7"/>
  <c r="D37" i="7" s="1"/>
  <c r="D6" i="7"/>
  <c r="D33" i="7" s="1"/>
  <c r="E6" i="7"/>
  <c r="E33" i="7" s="1"/>
  <c r="J13" i="7"/>
  <c r="J6" i="7"/>
  <c r="J33" i="7" s="1"/>
  <c r="E6" i="1"/>
  <c r="AF29" i="5"/>
  <c r="D18" i="8"/>
  <c r="D17" i="8"/>
  <c r="C18" i="8"/>
  <c r="C17" i="8"/>
  <c r="G18" i="8"/>
  <c r="G17" i="8"/>
  <c r="H18" i="8"/>
  <c r="H17" i="8"/>
  <c r="J9" i="7"/>
  <c r="F6" i="1" l="1"/>
  <c r="F11" i="1" s="1"/>
  <c r="J30" i="7"/>
  <c r="J40" i="7"/>
  <c r="J18" i="11"/>
  <c r="I17" i="8"/>
  <c r="E17" i="8"/>
  <c r="I18" i="8"/>
  <c r="E18" i="8"/>
  <c r="J17" i="8"/>
  <c r="F17" i="8"/>
  <c r="J18" i="8"/>
  <c r="F17" i="11"/>
  <c r="I17" i="11"/>
  <c r="J29" i="7"/>
  <c r="I33" i="7"/>
  <c r="I40" i="7"/>
  <c r="E17" i="11"/>
  <c r="I31" i="7"/>
  <c r="G17" i="11"/>
  <c r="I35" i="7"/>
  <c r="H29" i="7"/>
  <c r="C17" i="11"/>
  <c r="H18" i="11"/>
  <c r="H40" i="7"/>
  <c r="F18" i="11"/>
  <c r="H39" i="7"/>
  <c r="I32" i="7"/>
  <c r="J35" i="7"/>
  <c r="H30" i="7"/>
  <c r="M9" i="7"/>
  <c r="M36" i="7" s="1"/>
  <c r="J36" i="7"/>
  <c r="J38" i="7"/>
  <c r="H37" i="7"/>
  <c r="L5" i="7"/>
  <c r="L32" i="7" s="1"/>
  <c r="I36" i="7"/>
  <c r="J39" i="7"/>
  <c r="H17" i="11"/>
  <c r="J17" i="11"/>
  <c r="D18" i="11"/>
  <c r="I34" i="7"/>
  <c r="H31" i="7"/>
  <c r="J31" i="7"/>
  <c r="J32" i="7"/>
  <c r="C18" i="11"/>
  <c r="E18" i="11"/>
  <c r="I37" i="7"/>
  <c r="I30" i="7"/>
  <c r="I38" i="7"/>
  <c r="I29" i="7"/>
  <c r="J37" i="7"/>
  <c r="G18" i="11"/>
  <c r="I18" i="11"/>
  <c r="H35" i="7"/>
  <c r="I39" i="7"/>
  <c r="H32" i="7"/>
  <c r="H38" i="7"/>
  <c r="J7" i="7"/>
  <c r="M3" i="7"/>
  <c r="M30" i="7" s="1"/>
  <c r="M5" i="7"/>
  <c r="M32" i="7" s="1"/>
  <c r="M13" i="7"/>
  <c r="M40" i="7" s="1"/>
  <c r="L9" i="7"/>
  <c r="L36" i="7" s="1"/>
  <c r="L2" i="7"/>
  <c r="L29" i="7" s="1"/>
  <c r="L12" i="7"/>
  <c r="L39" i="7" s="1"/>
  <c r="L3" i="7"/>
  <c r="L30" i="7" s="1"/>
  <c r="L4" i="7"/>
  <c r="L31" i="7" s="1"/>
  <c r="L10" i="7"/>
  <c r="L37" i="7" s="1"/>
  <c r="L11" i="7"/>
  <c r="L38" i="7" s="1"/>
  <c r="L8" i="7"/>
  <c r="L35" i="7" s="1"/>
  <c r="L13" i="7"/>
  <c r="L40" i="7" s="1"/>
  <c r="D18" i="1"/>
  <c r="H7" i="7"/>
  <c r="H34" i="7" s="1"/>
  <c r="M10" i="7"/>
  <c r="M37" i="7" s="1"/>
  <c r="M11" i="7"/>
  <c r="M38" i="7" s="1"/>
  <c r="M4" i="7"/>
  <c r="M31" i="7" s="1"/>
  <c r="L6" i="7"/>
  <c r="L33" i="7" s="1"/>
  <c r="M6" i="7"/>
  <c r="M33" i="7" s="1"/>
  <c r="L7" i="7"/>
  <c r="L34" i="7" s="1"/>
  <c r="M2" i="7"/>
  <c r="M29" i="7" s="1"/>
  <c r="M12" i="7"/>
  <c r="M39" i="7" s="1"/>
  <c r="M8" i="7"/>
  <c r="M35" i="7" s="1"/>
  <c r="M7" i="7" l="1"/>
  <c r="M34" i="7" s="1"/>
  <c r="J3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tc={F97E6F2C-3130-40DF-89F9-DCE5ECC4CFEC}</author>
    <author>tc={7CD921EF-81B9-4E85-B3F4-9F97BBE42FDA}</author>
    <author>tc={3B1EB5CC-937A-4F70-9052-9D0C02F3349A}</author>
    <author>tc={1E38F14A-3136-4E92-A2CB-3B9B6F4E2B3D}</author>
    <author>tc={53F7E55F-BC00-4C47-9313-F3DED64B84B8}</author>
    <author>tc={03A8DC09-E997-4F55-BFCB-CF6742A2B9C8}</author>
    <author>tc={661AD4F0-C53D-48F0-8A38-375ABA5B9DCA}</author>
    <author>tc={17351E05-C16E-4174-851E-ABE0B7161AD8}</author>
  </authors>
  <commentList>
    <comment ref="C4" authorId="0" shapeId="0" xr:uid="{F97E6F2C-3130-40DF-89F9-DCE5ECC4CFEC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G4" authorId="1" shapeId="0" xr:uid="{7CD921EF-81B9-4E85-B3F4-9F97BBE42FD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0.015</t>
      </text>
    </comment>
    <comment ref="C6" authorId="2" shapeId="0" xr:uid="{3B1EB5CC-937A-4F70-9052-9D0C02F3349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150</t>
      </text>
    </comment>
    <comment ref="C7" authorId="3" shapeId="0" xr:uid="{1E38F14A-3136-4E92-A2CB-3B9B6F4E2B3D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150</t>
      </text>
    </comment>
    <comment ref="C11" authorId="4" shapeId="0" xr:uid="{53F7E55F-BC00-4C47-9313-F3DED64B84B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F11" authorId="5" shapeId="0" xr:uid="{03A8DC09-E997-4F55-BFCB-CF6742A2B9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Orig = N/A, since overlay was orig 0
</t>
      </text>
    </comment>
    <comment ref="C13" authorId="6" shapeId="0" xr:uid="{661AD4F0-C53D-48F0-8A38-375ABA5B9DCA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0</t>
      </text>
    </comment>
    <comment ref="F13" authorId="7" shapeId="0" xr:uid="{17351E05-C16E-4174-851E-ABE0B7161AD8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 = N/A, since overlay was orig 0</t>
      </text>
    </comment>
  </commentList>
</comments>
</file>

<file path=xl/sharedStrings.xml><?xml version="1.0" encoding="utf-8"?>
<sst xmlns="http://schemas.openxmlformats.org/spreadsheetml/2006/main" count="567" uniqueCount="242">
  <si>
    <t>SUSD Keep-Open vs Repurpose — Interactive Dashboard (v4.4)</t>
  </si>
  <si>
    <t>Pick scenarios &amp; assumptions</t>
  </si>
  <si>
    <t>Pick scenarios &amp; assumptions (A vs X)</t>
  </si>
  <si>
    <t>Metric</t>
  </si>
  <si>
    <t>A (baseline)</t>
  </si>
  <si>
    <t>X (compare)</t>
  </si>
  <si>
    <t>Baseline A (auto):</t>
  </si>
  <si>
    <t>A_Repurpose_Both_ops</t>
  </si>
  <si>
    <t>FY2030 Net ($)</t>
  </si>
  <si>
    <t>Compare to (X):</t>
  </si>
  <si>
    <t>G_DHub_EchoRamp</t>
  </si>
  <si>
    <t>D_Grow_Both_150</t>
  </si>
  <si>
    <t>5‑yr Avg Net ($)</t>
  </si>
  <si>
    <t>Compare to (Y) [optional]:</t>
  </si>
  <si>
    <t># students displaced</t>
  </si>
  <si>
    <t>FY2030 # served (open &amp; retained)</t>
  </si>
  <si>
    <t>Δ vs A by FY2030 ($)</t>
  </si>
  <si>
    <t>Δ vs A (5‑yr Avg) ($)</t>
  </si>
  <si>
    <t>Year</t>
  </si>
  <si>
    <t>A Net ($)</t>
  </si>
  <si>
    <t>X Net ($)</t>
  </si>
  <si>
    <t>FY2026</t>
  </si>
  <si>
    <t>FY2027</t>
  </si>
  <si>
    <t>FY2028</t>
  </si>
  <si>
    <t>FY2029</t>
  </si>
  <si>
    <t>FY2030</t>
  </si>
  <si>
    <t>Notes</t>
  </si>
  <si>
    <t>• 'Net ($)' = Comparable M&amp;O costs minus base state aid on students served (open &amp; retained). This is a two‑site view (Echo+Pima), not the entire district budget.
• Positive Δ vs A means the comparator is more expensive than 'A_Repurpose_Both_ops' under the Parameters tab assumptions.</t>
  </si>
  <si>
    <t>Mini-Cards: A (Repurpose-Both) vs X and Y</t>
  </si>
  <si>
    <t>Comparator X</t>
  </si>
  <si>
    <t>Comparator Y</t>
  </si>
  <si>
    <t>r* needed (year/mode/h)</t>
  </si>
  <si>
    <t>Δ FY2030 $/student</t>
  </si>
  <si>
    <t>Δ 5-yr Avg $/student</t>
  </si>
  <si>
    <t># displaced (A)</t>
  </si>
  <si>
    <t># displaced (X)</t>
  </si>
  <si>
    <t># displaced (Y)</t>
  </si>
  <si>
    <t>Distinctiveness / Reversibility</t>
  </si>
  <si>
    <t>Parameter</t>
  </si>
  <si>
    <t>Value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</si>
  <si>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</si>
  <si>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</si>
  <si>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</si>
  <si>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</si>
  <si>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</si>
  <si>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</si>
  <si>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</si>
  <si>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</si>
  <si>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</si>
  <si>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</si>
  <si>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</si>
  <si>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</si>
  <si>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</si>
  <si>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</si>
  <si>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</si>
  <si>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</si>
  <si>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</si>
  <si>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</si>
  <si>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</si>
  <si>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</si>
  <si>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</si>
  <si>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</si>
  <si>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</si>
  <si>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</si>
  <si>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</si>
  <si>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</si>
  <si>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</si>
  <si>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</si>
  <si>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</si>
  <si>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</si>
  <si>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</si>
  <si>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</si>
  <si>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</si>
  <si>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</si>
  <si>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</si>
  <si>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</si>
  <si>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Base State Aid per ADM (FY26)</t>
  </si>
  <si>
    <t>Editable; ADE base aid.</t>
  </si>
  <si>
    <t>Aid inflation (annual)</t>
  </si>
  <si>
    <t>Editable; assumed growth in base aid.</t>
  </si>
  <si>
    <t>VarUnit$</t>
  </si>
  <si>
    <t>EchoFixed$</t>
  </si>
  <si>
    <t>PimaFixed$</t>
  </si>
  <si>
    <t>h</t>
  </si>
  <si>
    <t>f_lease</t>
  </si>
  <si>
    <t>f_ops</t>
  </si>
  <si>
    <t>YearIdx</t>
  </si>
  <si>
    <t>Aid$</t>
  </si>
  <si>
    <t>ScenarioKey</t>
  </si>
  <si>
    <t>Echo_ADM</t>
  </si>
  <si>
    <t>Pima_ADM</t>
  </si>
  <si>
    <t>Total_ADM</t>
  </si>
  <si>
    <t>OpsFactor</t>
  </si>
  <si>
    <t>ExtraSave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</si>
  <si>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</si>
  <si>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</si>
  <si>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</si>
  <si>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</si>
  <si>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</si>
  <si>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</si>
  <si>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</si>
  <si>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</si>
  <si>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</si>
  <si>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</si>
  <si>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</si>
  <si>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</si>
  <si>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Key</t>
  </si>
  <si>
    <t>Aid_per_ADM</t>
  </si>
  <si>
    <t>Net_MO_after_aid$</t>
  </si>
  <si>
    <t>Net_per_served$</t>
  </si>
  <si>
    <t>Overlay_ADM</t>
  </si>
  <si>
    <t>Served_ADM</t>
  </si>
  <si>
    <t>Revenue$</t>
  </si>
  <si>
    <t>Adj_MO$</t>
  </si>
  <si>
    <t>Net$</t>
  </si>
  <si>
    <t>Label</t>
  </si>
  <si>
    <t>Overlay</t>
  </si>
  <si>
    <t>CloseEcho</t>
  </si>
  <si>
    <t>ClosePima</t>
  </si>
  <si>
    <t>EchoShareDist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</si>
  <si>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</si>
  <si>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</si>
  <si>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</si>
  <si>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</si>
  <si>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</si>
  <si>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</si>
  <si>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</si>
  <si>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</si>
  <si>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</si>
  <si>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</si>
  <si>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</si>
  <si>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</si>
  <si>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</si>
  <si>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</si>
  <si>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</si>
  <si>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</si>
  <si>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</si>
  <si>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</si>
  <si>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</si>
  <si>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</si>
  <si>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</si>
  <si>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</si>
  <si>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</si>
  <si>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</si>
  <si>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</si>
  <si>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</si>
  <si>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</si>
  <si>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</si>
  <si>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</si>
  <si>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</si>
  <si>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</si>
  <si>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</si>
  <si>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</si>
  <si>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</si>
  <si>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</si>
  <si>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</si>
  <si>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</si>
  <si>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</si>
  <si>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</si>
  <si>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</si>
  <si>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</si>
  <si>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FY2028 Comparable $/Student</t>
  </si>
  <si>
    <t>FY2030 Comparable $/Student</t>
  </si>
  <si>
    <t>3‑yr Avg Comparable $/Student (FY26–FY28)</t>
  </si>
  <si>
    <t>5‑yr Avg Comparable $/Student (FY26–FY30)</t>
  </si>
  <si>
    <t>FY2030 # students served (open &amp; retained)</t>
  </si>
  <si>
    <t>FY2028 Net ($)</t>
  </si>
  <si>
    <t>5-yr Net Avg ($)</t>
  </si>
  <si>
    <t>Δ FY2030 vs A ($)</t>
  </si>
  <si>
    <t>Δ 5-yr Avg vs A ($)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</si>
  <si>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</si>
  <si>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</si>
  <si>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</si>
  <si>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</si>
  <si>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</si>
  <si>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</si>
  <si>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</si>
  <si>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</si>
  <si>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</si>
  <si>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</si>
  <si>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</si>
  <si>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</si>
  <si>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</si>
  <si>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</si>
  <si>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</si>
  <si>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</si>
  <si>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</si>
  <si>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</si>
  <si>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</si>
  <si>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</si>
  <si>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</si>
  <si>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</si>
  <si>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</si>
  <si>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</si>
  <si>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</si>
  <si>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</si>
  <si>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</si>
  <si>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</si>
  <si>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</si>
  <si>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</si>
  <si>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</si>
  <si>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</si>
  <si>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</si>
  <si>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Med-High</t>
  </si>
  <si>
    <t>MarginalFactor_for_Overlay</t>
  </si>
  <si>
    <t>Orig</t>
  </si>
  <si>
    <t>Orig h</t>
  </si>
  <si>
    <t>Orig f_ops</t>
  </si>
  <si>
    <t>Orig f_lease</t>
  </si>
  <si>
    <t>Working base for FY25.  Calculated from budget data and enrollment estimates</t>
  </si>
  <si>
    <t>Approximate current Echo enrollment</t>
  </si>
  <si>
    <t>Approximate current Pima enrollment</t>
  </si>
  <si>
    <t>Research suggests a xx</t>
  </si>
  <si>
    <t>Research suggests a range in the 0.5-0.8 range.  Since Echo is a choice school with high % from out of district, this might be lower?</t>
  </si>
  <si>
    <t>Repurpose trajectory assumptions</t>
  </si>
  <si>
    <t>Retention r (in case of repurpose)</t>
  </si>
  <si>
    <t>Scenario assumptions</t>
  </si>
  <si>
    <t>Foundational inputs</t>
  </si>
  <si>
    <r>
      <rPr>
        <b/>
        <sz val="8"/>
        <color theme="1"/>
        <rFont val="Calibri"/>
        <family val="2"/>
        <scheme val="minor"/>
      </rPr>
      <t xml:space="preserve">(For 'h') </t>
    </r>
    <r>
      <rPr>
        <sz val="8"/>
        <color theme="1"/>
        <rFont val="Calibri"/>
        <family val="2"/>
        <scheme val="minor"/>
      </rPr>
      <t>Research suggests an incremental transition cost (largely related to bus transportation) that can start higher than $1000. Assumption is this is managed down over time</t>
    </r>
  </si>
  <si>
    <r>
      <rPr>
        <b/>
        <sz val="8"/>
        <color theme="1"/>
        <rFont val="Calibri"/>
        <family val="2"/>
        <scheme val="minor"/>
      </rPr>
      <t xml:space="preserve">(For 'f_lease') </t>
    </r>
    <r>
      <rPr>
        <sz val="8"/>
        <color theme="1"/>
        <rFont val="Calibri"/>
        <family val="2"/>
        <scheme val="minor"/>
      </rPr>
      <t>Assuming repurpose = lease… depending on lease timing and type / arrangement (e.g. triple net?), district will carry some percentage of fixed and semi-fixed costs for a certain period of time</t>
    </r>
  </si>
  <si>
    <r>
      <rPr>
        <b/>
        <sz val="8"/>
        <color theme="1"/>
        <rFont val="Calibri"/>
        <family val="2"/>
        <scheme val="minor"/>
      </rPr>
      <t xml:space="preserve">(For 'f_ops') </t>
    </r>
    <r>
      <rPr>
        <sz val="8"/>
        <color theme="1"/>
        <rFont val="Calibri"/>
        <family val="2"/>
        <scheme val="minor"/>
      </rPr>
      <t>Assuming repurpose = some operational repurpose (not lease or sale)… depending on timing and type of repurpose, district will still carry some percentage of fixed and semi-fixed costs</t>
    </r>
  </si>
  <si>
    <t>Echo and Pima remain open; uplift warm handoff effort and implement cross-district marketing initiative (e.g. capture ~10% of Kyrene's displaced families?)</t>
  </si>
  <si>
    <t>CloseEcho (0 or 1)</t>
  </si>
  <si>
    <t>ClosePima (0 or 1)</t>
  </si>
  <si>
    <t>TargetGrowth (#)</t>
  </si>
  <si>
    <t>ExtraOpSavings (ratio)</t>
  </si>
  <si>
    <t>EchoShareGrowth (ratio)</t>
  </si>
  <si>
    <t>Status‑Quo + Op Growth Targets</t>
  </si>
  <si>
    <t>Grow Both + Op Growth Targets</t>
  </si>
  <si>
    <t>CUSTOM2</t>
  </si>
  <si>
    <t>CUSTOM1</t>
  </si>
  <si>
    <t>Co‑Location @ Echo + Op Growth Targets</t>
  </si>
  <si>
    <t>(Ref) Control center labels</t>
  </si>
  <si>
    <t>Growth Hub @ Echo + Status-Quo Pima + Op Growth Targets</t>
  </si>
  <si>
    <t>Repurpose BOTH (lease)</t>
  </si>
  <si>
    <t>Repurpose BOTH (ops)</t>
  </si>
  <si>
    <t>Repurpose ECHO (lease) + Status-Quo Pima + Pima Op Growth Targets</t>
  </si>
  <si>
    <t>Repurpose ECHO (ops) + Status-Quo Pima + Pima Op Growth Targets</t>
  </si>
  <si>
    <t>Repurpose PIMA (lease) + Growth Hub @ Echo + Echo Op Growth Targets</t>
  </si>
  <si>
    <t>Repurpose PIMA (ops) + Growth Hub @ Echo + Echo Op Growth Targets</t>
  </si>
  <si>
    <t>Δ FY2030 vs Repurpose BOTH (ops) ($)</t>
  </si>
  <si>
    <t>Δ 5-yr Avg vs Repurpose BOTH (ops)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</si>
</sst>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"/>
    <numFmt numFmtId="165" formatCode="0.0%"/>
    <numFmt numFmtId="167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4"/>
      <name val="Calibri"/>
    </font>
    <font>
      <b/>
      <sz val="11"/>
      <name val="Calibri"/>
    </font>
    <font>
      <sz val="9"/>
      <color indexed="81"/>
      <name val="Tahoma"/>
      <charset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DE9"/>
        <bgColor rgb="FFFFFDE9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9" fontId="0" fillId="0" borderId="0" xfId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4" fillId="5" borderId="0" xfId="0" applyFont="1" applyFill="1"/>
    <xf numFmtId="0" fontId="4" fillId="0" borderId="2" xfId="0" applyFont="1" applyBorder="1"/>
    <xf numFmtId="0" fontId="4" fillId="5" borderId="3" xfId="0" applyFont="1" applyFill="1" applyBorder="1"/>
    <xf numFmtId="0" fontId="4" fillId="0" borderId="7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4" fontId="4" fillId="0" borderId="0" xfId="0" applyNumberFormat="1" applyFont="1"/>
    <xf numFmtId="9" fontId="4" fillId="0" borderId="0" xfId="1" applyFont="1"/>
    <xf numFmtId="1" fontId="4" fillId="0" borderId="0" xfId="0" applyNumberFormat="1" applyFont="1"/>
    <xf numFmtId="0" fontId="0" fillId="0" borderId="0" xfId="0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0" fontId="0" fillId="8" borderId="0" xfId="0" applyFill="1"/>
    <xf numFmtId="164" fontId="0" fillId="9" borderId="0" xfId="0" applyNumberFormat="1" applyFill="1"/>
    <xf numFmtId="164" fontId="0" fillId="10" borderId="0" xfId="0" applyNumberFormat="1" applyFill="1"/>
    <xf numFmtId="1" fontId="0" fillId="11" borderId="0" xfId="0" applyNumberFormat="1" applyFill="1"/>
    <xf numFmtId="164" fontId="0" fillId="12" borderId="0" xfId="0" applyNumberFormat="1" applyFill="1"/>
    <xf numFmtId="0" fontId="0" fillId="13" borderId="0" xfId="0" applyFill="1"/>
    <xf numFmtId="164" fontId="0" fillId="13" borderId="0" xfId="0" applyNumberFormat="1" applyFill="1"/>
    <xf numFmtId="164" fontId="0" fillId="14" borderId="0" xfId="0" applyNumberFormat="1" applyFill="1"/>
    <xf numFmtId="164" fontId="0" fillId="4" borderId="0" xfId="0" applyNumberFormat="1" applyFill="1"/>
    <xf numFmtId="0" fontId="0" fillId="15" borderId="0" xfId="0" applyFill="1"/>
    <xf numFmtId="43" fontId="0" fillId="0" borderId="0" xfId="2" applyFont="1"/>
    <xf numFmtId="43" fontId="1" fillId="6" borderId="0" xfId="2" applyFont="1" applyFill="1"/>
    <xf numFmtId="164" fontId="0" fillId="3" borderId="0" xfId="0" applyNumberFormat="1" applyFill="1"/>
    <xf numFmtId="0" fontId="1" fillId="0" borderId="0" xfId="0" applyFont="1" applyFill="1" applyBorder="1"/>
    <xf numFmtId="0" fontId="0" fillId="0" borderId="0" xfId="0" applyFill="1" applyBorder="1"/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67" fontId="0" fillId="3" borderId="0" xfId="3" applyNumberFormat="1" applyFont="1" applyFill="1"/>
    <xf numFmtId="0" fontId="8" fillId="2" borderId="1" xfId="0" applyFont="1" applyFill="1" applyBorder="1"/>
    <xf numFmtId="0" fontId="9" fillId="4" borderId="0" xfId="0" applyFont="1" applyFill="1"/>
    <xf numFmtId="0" fontId="9" fillId="0" borderId="0" xfId="0" applyFont="1"/>
    <xf numFmtId="0" fontId="0" fillId="16" borderId="0" xfId="0" applyFill="1"/>
    <xf numFmtId="0" fontId="0" fillId="17" borderId="0" xfId="0" applyFill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D0D7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Net (Cost after base aid) — A vs 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Year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Dashboard!$A$16:$A$20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Dashboard!$B$16:$B$21</c:f>
              <c:numCache>
                <c:formatCode>\$#,##0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4-4CDB-B727-4B838B4172D7}"/>
            </c:ext>
          </c:extLst>
        </c:ser>
        <c:ser>
          <c:idx val="1"/>
          <c:order val="1"/>
          <c:tx>
            <c:strRef>
              <c:f>Dashboard!$C$15</c:f>
              <c:strCache>
                <c:ptCount val="1"/>
                <c:pt idx="0">
                  <c:v>A Net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Dashboard!$A$16:$A$20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Dashboard!$C$16:$C$21</c:f>
              <c:numCache>
                <c:formatCode>\$#,##0</c:formatCode>
                <c:ptCount val="6"/>
                <c:pt idx="0">
                  <c:v>-4489801.5881399997</c:v>
                </c:pt>
                <c:pt idx="1">
                  <c:v>-1887360.0679247994</c:v>
                </c:pt>
                <c:pt idx="2">
                  <c:v>-1765979.1320427107</c:v>
                </c:pt>
                <c:pt idx="3">
                  <c:v>-1683125.3485969394</c:v>
                </c:pt>
                <c:pt idx="4">
                  <c:v>-1689796.184612033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4-4CDB-B727-4B838B417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($)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Echo Canyon and Pima</a:t>
            </a:r>
            <a:r>
              <a:rPr lang="en-US" b="1" baseline="0"/>
              <a:t> - Go-forward scenarios vs. Repurpose of both (operationally)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Summary_Costs!$L$1</c:f>
              <c:strCache>
                <c:ptCount val="1"/>
                <c:pt idx="0">
                  <c:v>Δ FY2030 vs Repurpose BOTH (ops)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Summary_Costs!$K$2:$K$13</c:f>
              <c:strCache>
                <c:ptCount val="12"/>
                <c:pt idx="0">
                  <c:v>CUSTOM1</c:v>
                </c:pt>
                <c:pt idx="1">
                  <c:v>Status‑Quo + Op Growth Targets</c:v>
                </c:pt>
                <c:pt idx="2">
                  <c:v>Co‑Location @ Echo + Op Growth Targets</c:v>
                </c:pt>
                <c:pt idx="3">
                  <c:v>Grow Both + Op Growth Targets</c:v>
                </c:pt>
                <c:pt idx="4">
                  <c:v>CUSTOM2</c:v>
                </c:pt>
                <c:pt idx="5">
                  <c:v>Growth Hub @ Echo + Status-Quo Pima + Op Growth Targets</c:v>
                </c:pt>
                <c:pt idx="6">
                  <c:v>Repurpose BOTH (lease)</c:v>
                </c:pt>
                <c:pt idx="7">
                  <c:v>Repurpose BOTH (ops)</c:v>
                </c:pt>
                <c:pt idx="8">
                  <c:v>Repurpose ECHO (lease) + Status-Quo Pima + Pima Op Growth Targets</c:v>
                </c:pt>
                <c:pt idx="9">
                  <c:v>Repurpose ECHO (ops) + Status-Quo Pima + Pima Op Growth Targets</c:v>
                </c:pt>
                <c:pt idx="10">
                  <c:v>Repurpose PIMA (lease) + Growth Hub @ Echo + Echo Op Growth Targets</c:v>
                </c:pt>
                <c:pt idx="11">
                  <c:v>Repurpose PIMA (ops) + Growth Hub @ Echo + Echo Op Growth Targets</c:v>
                </c:pt>
              </c:strCache>
            </c:strRef>
          </c:cat>
          <c:val>
            <c:numRef>
              <c:f>Summary_Costs!$L$2:$L$13</c:f>
              <c:numCache>
                <c:formatCode>\$#,##0</c:formatCode>
                <c:ptCount val="12"/>
                <c:pt idx="0">
                  <c:v>-1422766.8952315552</c:v>
                </c:pt>
                <c:pt idx="1">
                  <c:v>-1422766.8952315552</c:v>
                </c:pt>
                <c:pt idx="2">
                  <c:v>-617991.33030036697</c:v>
                </c:pt>
                <c:pt idx="3">
                  <c:v>-1103741.9181079795</c:v>
                </c:pt>
                <c:pt idx="4">
                  <c:v>-625204.45242261421</c:v>
                </c:pt>
                <c:pt idx="5">
                  <c:v>-944229.42954619089</c:v>
                </c:pt>
                <c:pt idx="6">
                  <c:v>555581.52949408442</c:v>
                </c:pt>
                <c:pt idx="7">
                  <c:v>0</c:v>
                </c:pt>
                <c:pt idx="8">
                  <c:v>-503353.61285453988</c:v>
                </c:pt>
                <c:pt idx="9">
                  <c:v>-123503.39292923221</c:v>
                </c:pt>
                <c:pt idx="10">
                  <c:v>-363831.75288293092</c:v>
                </c:pt>
                <c:pt idx="11">
                  <c:v>-23163.593808019068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8-4FCC-8C51-38A46F76BAD1}"/>
            </c:ext>
          </c:extLst>
        </c:ser>
        <c:ser>
          <c:idx val="1"/>
          <c:order val="1"/>
          <c:tx>
            <c:strRef>
              <c:f>Summary_Costs!$M$1</c:f>
              <c:strCache>
                <c:ptCount val="1"/>
                <c:pt idx="0">
                  <c:v>Δ 5-yr Avg vs Repurpose BOTH (ops)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Summary_Costs!$K$2:$K$13</c:f>
              <c:strCache>
                <c:ptCount val="12"/>
                <c:pt idx="0">
                  <c:v>CUSTOM1</c:v>
                </c:pt>
                <c:pt idx="1">
                  <c:v>Status‑Quo + Op Growth Targets</c:v>
                </c:pt>
                <c:pt idx="2">
                  <c:v>Co‑Location @ Echo + Op Growth Targets</c:v>
                </c:pt>
                <c:pt idx="3">
                  <c:v>Grow Both + Op Growth Targets</c:v>
                </c:pt>
                <c:pt idx="4">
                  <c:v>CUSTOM2</c:v>
                </c:pt>
                <c:pt idx="5">
                  <c:v>Growth Hub @ Echo + Status-Quo Pima + Op Growth Targets</c:v>
                </c:pt>
                <c:pt idx="6">
                  <c:v>Repurpose BOTH (lease)</c:v>
                </c:pt>
                <c:pt idx="7">
                  <c:v>Repurpose BOTH (ops)</c:v>
                </c:pt>
                <c:pt idx="8">
                  <c:v>Repurpose ECHO (lease) + Status-Quo Pima + Pima Op Growth Targets</c:v>
                </c:pt>
                <c:pt idx="9">
                  <c:v>Repurpose ECHO (ops) + Status-Quo Pima + Pima Op Growth Targets</c:v>
                </c:pt>
                <c:pt idx="10">
                  <c:v>Repurpose PIMA (lease) + Growth Hub @ Echo + Echo Op Growth Targets</c:v>
                </c:pt>
                <c:pt idx="11">
                  <c:v>Repurpose PIMA (ops) + Growth Hub @ Echo + Echo Op Growth Targets</c:v>
                </c:pt>
              </c:strCache>
            </c:strRef>
          </c:cat>
          <c:val>
            <c:numRef>
              <c:f>Summary_Costs!$M$2:$M$13</c:f>
              <c:numCache>
                <c:formatCode>\$#,##0</c:formatCode>
                <c:ptCount val="12"/>
                <c:pt idx="0">
                  <c:v>-633169.63836165704</c:v>
                </c:pt>
                <c:pt idx="1">
                  <c:v>-633169.63836165704</c:v>
                </c:pt>
                <c:pt idx="2">
                  <c:v>140891.27173807984</c:v>
                </c:pt>
                <c:pt idx="3">
                  <c:v>-324267.35353233293</c:v>
                </c:pt>
                <c:pt idx="4">
                  <c:v>139086.07371165324</c:v>
                </c:pt>
                <c:pt idx="5">
                  <c:v>-259985.28492467105</c:v>
                </c:pt>
                <c:pt idx="6">
                  <c:v>304217.5988255532</c:v>
                </c:pt>
                <c:pt idx="7">
                  <c:v>0</c:v>
                </c:pt>
                <c:pt idx="8">
                  <c:v>-214456.22071769135</c:v>
                </c:pt>
                <c:pt idx="9">
                  <c:v>261966.93321190146</c:v>
                </c:pt>
                <c:pt idx="10">
                  <c:v>-114495.81881841226</c:v>
                </c:pt>
                <c:pt idx="11">
                  <c:v>340472.56774373655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8-4FCC-8C51-38A46F76BAD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26607071"/>
        <c:axId val="1126606591"/>
      </c:barChart>
      <c:catAx>
        <c:axId val="1126607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06591"/>
        <c:crosses val="autoZero"/>
        <c:auto val="1"/>
        <c:lblAlgn val="ctr"/>
        <c:lblOffset val="100"/>
        <c:noMultiLvlLbl val="0"/>
      </c:catAx>
      <c:valAx>
        <c:axId val="112660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0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156883</xdr:rowOff>
    </xdr:from>
    <xdr:ext cx="100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458787</xdr:colOff>
      <xdr:row>19</xdr:row>
      <xdr:rowOff>86527</xdr:rowOff>
    </xdr:from>
    <xdr:to>
      <xdr:col>12</xdr:col>
      <xdr:colOff>273843</xdr:colOff>
      <xdr:row>46</xdr:row>
      <xdr:rowOff>29368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076E7C5-190B-D68C-47F6-F918F4791797}"/>
            </a:ext>
          </a:extLst>
        </xdr:cNvPr>
        <xdr:cNvGrpSpPr/>
      </xdr:nvGrpSpPr>
      <xdr:grpSpPr>
        <a:xfrm>
          <a:off x="5471318" y="3667133"/>
          <a:ext cx="11486356" cy="4955373"/>
          <a:chOff x="5471318" y="3670308"/>
          <a:chExt cx="11483181" cy="495537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828E9C1-2E1C-942B-273A-C770233BE299}"/>
              </a:ext>
            </a:extLst>
          </xdr:cNvPr>
          <xdr:cNvGraphicFramePr/>
        </xdr:nvGraphicFramePr>
        <xdr:xfrm>
          <a:off x="5471318" y="3670308"/>
          <a:ext cx="11483181" cy="495537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0A606515-01FC-39F0-DDB8-5733BD4E3D97}"/>
              </a:ext>
            </a:extLst>
          </xdr:cNvPr>
          <xdr:cNvCxnSpPr/>
        </xdr:nvCxnSpPr>
        <xdr:spPr>
          <a:xfrm>
            <a:off x="14052550" y="4146550"/>
            <a:ext cx="8731" cy="3913981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89D66A7C-A8FD-9EF7-A359-BC5613957811}"/>
              </a:ext>
            </a:extLst>
          </xdr:cNvPr>
          <xdr:cNvSpPr/>
        </xdr:nvSpPr>
        <xdr:spPr>
          <a:xfrm>
            <a:off x="13954124" y="5488782"/>
            <a:ext cx="193675" cy="109728"/>
          </a:xfrm>
          <a:prstGeom prst="rect">
            <a:avLst/>
          </a:prstGeom>
          <a:solidFill>
            <a:srgbClr val="FFFF00"/>
          </a:solidFill>
          <a:ln w="3175">
            <a:solidFill>
              <a:srgbClr val="D0D78D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 b="1" kern="1200">
                <a:solidFill>
                  <a:schemeClr val="tx1">
                    <a:lumMod val="75000"/>
                    <a:lumOff val="25000"/>
                  </a:schemeClr>
                </a:solidFill>
              </a:rPr>
              <a:t>0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6B165761-D904-3A5C-75E0-35107414891D}"/>
              </a:ext>
            </a:extLst>
          </xdr:cNvPr>
          <xdr:cNvSpPr/>
        </xdr:nvSpPr>
        <xdr:spPr>
          <a:xfrm>
            <a:off x="14159085" y="5417344"/>
            <a:ext cx="175857" cy="387350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 kern="12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B09B9A67-651B-7726-0F06-0D784CBE218D}"/>
              </a:ext>
            </a:extLst>
          </xdr:cNvPr>
          <xdr:cNvSpPr/>
        </xdr:nvSpPr>
        <xdr:spPr>
          <a:xfrm>
            <a:off x="13954124" y="5595938"/>
            <a:ext cx="193675" cy="109728"/>
          </a:xfrm>
          <a:prstGeom prst="rect">
            <a:avLst/>
          </a:prstGeom>
          <a:solidFill>
            <a:srgbClr val="FFFF00"/>
          </a:solidFill>
          <a:ln w="3175">
            <a:solidFill>
              <a:srgbClr val="D0D78D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 b="1" kern="1200">
                <a:solidFill>
                  <a:schemeClr val="tx1">
                    <a:lumMod val="75000"/>
                    <a:lumOff val="25000"/>
                  </a:schemeClr>
                </a:solidFill>
              </a:rPr>
              <a:t>0</a:t>
            </a: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0.18504</cdr:x>
      <cdr:y>0.36457</cdr:y>
    </cdr:from>
    <cdr:to>
      <cdr:x>0.31245</cdr:x>
      <cdr:y>0.41983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CE51E72-73B8-783E-051F-EC22650F9654}"/>
            </a:ext>
          </a:extLst>
        </cdr:cNvPr>
        <cdr:cNvSpPr/>
      </cdr:nvSpPr>
      <cdr:spPr>
        <a:xfrm xmlns:a="http://schemas.openxmlformats.org/drawingml/2006/main">
          <a:off x="2124870" y="1806567"/>
          <a:ext cx="1463040" cy="2738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000" kern="1200">
              <a:solidFill>
                <a:schemeClr val="tx1">
                  <a:lumMod val="50000"/>
                  <a:lumOff val="50000"/>
                </a:schemeClr>
              </a:solidFill>
            </a:rPr>
            <a:t>Repurpose BOTH (ops)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Brian Hohl" id="{23D5FC06-65CB-4CF9-B61C-95A61A5D2882}" userId="757b1534c68434b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0-23T18:31:51.74" personId="{23D5FC06-65CB-4CF9-B61C-95A61A5D2882}" id="{F97E6F2C-3130-40DF-89F9-DCE5ECC4CFEC}">
    <text>Orig = 0</text>
  </threadedComment>
  <threadedComment ref="G4" dT="2025-10-23T18:31:34.42" personId="{23D5FC06-65CB-4CF9-B61C-95A61A5D2882}" id="{7CD921EF-81B9-4E85-B3F4-9F97BBE42FDA}">
    <text>Orig = 0.015</text>
  </threadedComment>
  <threadedComment ref="C6" dT="2025-10-23T18:31:03.10" personId="{23D5FC06-65CB-4CF9-B61C-95A61A5D2882}" id="{3B1EB5CC-937A-4F70-9052-9D0C02F3349A}">
    <text>Orig = 150</text>
  </threadedComment>
  <threadedComment ref="C7" dT="2025-10-23T18:30:48.91" personId="{23D5FC06-65CB-4CF9-B61C-95A61A5D2882}" id="{1E38F14A-3136-4E92-A2CB-3B9B6F4E2B3D}">
    <text>Orig = 150</text>
  </threadedComment>
  <threadedComment ref="C11" dT="2025-10-23T19:11:02.39" personId="{23D5FC06-65CB-4CF9-B61C-95A61A5D2882}" id="{53F7E55F-BC00-4C47-9313-F3DED64B84B8}">
    <text>Orig = 0</text>
  </threadedComment>
  <threadedComment ref="F11" dT="2025-10-23T19:10:39.43" personId="{23D5FC06-65CB-4CF9-B61C-95A61A5D2882}" id="{03A8DC09-E997-4F55-BFCB-CF6742A2B9C8}">
    <text xml:space="preserve">Orig = N/A, since overlay was orig 0
</text>
  </threadedComment>
  <threadedComment ref="C13" dT="2025-10-23T18:57:25.65" personId="{23D5FC06-65CB-4CF9-B61C-95A61A5D2882}" id="{661AD4F0-C53D-48F0-8A38-375ABA5B9DCA}">
    <text>Orig = 0</text>
  </threadedComment>
  <threadedComment ref="F13" dT="2025-10-23T19:09:45.50" personId="{23D5FC06-65CB-4CF9-B61C-95A61A5D2882}" id="{17351E05-C16E-4174-851E-ABE0B7161AD8}">
    <text>Orig = N/A, since overlay was orig 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zoomScale="85" zoomScaleNormal="85" workbookViewId="0">
      <selection activeCell="D35" sqref="D35"/>
    </sheetView>
  </sheetViews>
  <sheetFormatPr defaultRowHeight="14.5" x14ac:dyDescent="0.35"/>
  <cols>
    <col min="1" max="1" width="32.54296875" customWidth="1"/>
    <col min="2" max="2" width="25.453125" bestFit="1" customWidth="1"/>
    <col min="3" max="3" width="20.7265625" customWidth="1"/>
    <col min="4" max="4" width="56.1796875" customWidth="1"/>
    <col min="5" max="6" width="11.1796875" bestFit="1" customWidth="1"/>
    <col min="7" max="7" width="24.54296875" customWidth="1"/>
    <col min="8" max="8" width="13.36328125" bestFit="1" customWidth="1"/>
  </cols>
  <sheetData>
    <row r="1" spans="1:26" ht="18.5" customHeight="1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customHeight="1" thickBot="1" x14ac:dyDescent="0.4">
      <c r="A3" s="13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6" customHeight="1" x14ac:dyDescent="0.35">
      <c r="A4" s="12"/>
      <c r="B4" s="12"/>
      <c r="C4" s="12"/>
      <c r="D4" s="12" t="s">
        <v>3</v>
      </c>
      <c r="E4" s="12" t="s">
        <v>4</v>
      </c>
      <c r="F4" s="12" t="s">
        <v>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6" customHeight="1" x14ac:dyDescent="0.35">
      <c r="A5" s="12" t="s">
        <v>6</v>
      </c>
      <c r="B5" s="14" t="s">
        <v>7</v>
      </c>
      <c r="C5" s="12"/>
      <c r="D5" s="12" t="s">
        <v>8</v>
      </c>
      <c r="E5" s="2">
        <f>SUMIFS(MultiYear_ProForma!$AF:$AF, MultiYear_ProForma!$B:$B, $B$5, MultiYear_ProForma!$C:$C, "FY2030")</f>
        <v>-1689796.184612033</v>
      </c>
      <c r="F5" s="2">
        <f>SUMIFS(MultiYear_ProForma!$AF:$AF, MultiYear_ProForma!$B:$B, $B$6, MultiYear_ProForma!$C:$C, "FY2030")</f>
        <v>-2634025.6141582238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6" customHeight="1" x14ac:dyDescent="0.35">
      <c r="A6" s="12" t="s">
        <v>9</v>
      </c>
      <c r="B6" s="16" t="s">
        <v>10</v>
      </c>
      <c r="C6" s="14" t="s">
        <v>11</v>
      </c>
      <c r="D6" s="12" t="s">
        <v>12</v>
      </c>
      <c r="E6" s="2">
        <f>(SUMIFS(MultiYear_ProForma!$AF:$AF, MultiYear_ProForma!$B:$B, $B$5, MultiYear_ProForma!$C:$C, "FY2026")+SUMIFS(MultiYear_ProForma!$AF:$AF, MultiYear_ProForma!$B:$B, $B$5, MultiYear_ProForma!$C:$C, "FY2027")+SUMIFS(MultiYear_ProForma!$AF:$AF, MultiYear_ProForma!$B:$B, $B$5, MultiYear_ProForma!$C:$C, "FY2028")+SUMIFS(MultiYear_ProForma!$AF:$AF, MultiYear_ProForma!$B:$B, $B$5, MultiYear_ProForma!$C:$C, "FY2029")+SUMIFS(MultiYear_ProForma!$AF:$AF, MultiYear_ProForma!$B:$B, $B$5, MultiYear_ProForma!$C:$C, "FY2030"))/5</f>
        <v>-2303212.4642632962</v>
      </c>
      <c r="F6" s="2">
        <f>(SUMIFS(MultiYear_ProForma!$AF:$AF, MultiYear_ProForma!$B:$B, $B$6, MultiYear_ProForma!$C:$C, "FY2026")+SUMIFS(MultiYear_ProForma!$AF:$AF, MultiYear_ProForma!$B:$B, $B$6, MultiYear_ProForma!$C:$C, "FY2027")+SUMIFS(MultiYear_ProForma!$AF:$AF, MultiYear_ProForma!$B:$B, $B$6, MultiYear_ProForma!$C:$C, "FY2028")+SUMIFS(MultiYear_ProForma!$AF:$AF, MultiYear_ProForma!$B:$B, $B$6, MultiYear_ProForma!$C:$C, "FY2029")+SUMIFS(MultiYear_ProForma!$AF:$AF, MultiYear_ProForma!$B:$B, $B$6, MultiYear_ProForma!$C:$C, "FY2030"))/5</f>
        <v>-2563197.7491879673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6" customHeight="1" x14ac:dyDescent="0.35">
      <c r="A7" s="15" t="s">
        <v>13</v>
      </c>
      <c r="B7" s="16"/>
      <c r="C7" s="17"/>
      <c r="D7" s="12" t="s">
        <v>14</v>
      </c>
      <c r="E7" s="12">
        <f>INDEX(Summary_Costs!$F$2:$F$13, MATCH($B$5, Summary_Costs!$A$2:$A$13, 0))</f>
        <v>553</v>
      </c>
      <c r="F7" s="12">
        <f>INDEX(Summary_Costs!$F$2:$F$13, MATCH($B$6, Summary_Costs!$A$2:$A$13, 0))</f>
        <v>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" customHeight="1" x14ac:dyDescent="0.35">
      <c r="A8" s="15"/>
      <c r="B8" s="18"/>
      <c r="C8" s="17"/>
      <c r="D8" s="12" t="s">
        <v>15</v>
      </c>
      <c r="E8" s="12">
        <f>INDEX(Summary_Costs!$G$2:$G$13, MATCH($B$5, Summary_Costs!$A$2:$A$13, 0))</f>
        <v>414.75</v>
      </c>
      <c r="F8" s="12">
        <f>INDEX(Summary_Costs!$G$2:$G$13, MATCH($B$6, Summary_Costs!$A$2:$A$13, 0))</f>
        <v>703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6" customHeight="1" x14ac:dyDescent="0.35">
      <c r="A9" s="15"/>
      <c r="B9" s="18"/>
      <c r="C9" s="17"/>
      <c r="D9" s="1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6" customHeight="1" x14ac:dyDescent="0.35">
      <c r="A10" s="15"/>
      <c r="B10" s="18"/>
      <c r="C10" s="17"/>
      <c r="D10" s="18" t="s">
        <v>16</v>
      </c>
      <c r="E10" s="12"/>
      <c r="F10" s="2">
        <f>F5-E5</f>
        <v>-944229.42954619089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" customHeight="1" x14ac:dyDescent="0.35">
      <c r="A11" s="15"/>
      <c r="B11" s="18"/>
      <c r="C11" s="17"/>
      <c r="D11" s="18" t="s">
        <v>17</v>
      </c>
      <c r="E11" s="12"/>
      <c r="F11" s="2">
        <f>F6-E6</f>
        <v>-259985.28492467105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6" customHeight="1" x14ac:dyDescent="0.35">
      <c r="A12" s="15"/>
      <c r="B12" s="18"/>
      <c r="C12" s="17"/>
      <c r="D12" s="1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" customHeight="1" x14ac:dyDescent="0.35">
      <c r="A13" s="15"/>
      <c r="B13" s="18"/>
      <c r="C13" s="17"/>
      <c r="D13" s="1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" customHeight="1" thickBot="1" x14ac:dyDescent="0.4">
      <c r="A14" s="19"/>
      <c r="B14" s="20"/>
      <c r="C14" s="21"/>
      <c r="D14" s="2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2" t="s">
        <v>18</v>
      </c>
      <c r="B15" s="12" t="s">
        <v>18</v>
      </c>
      <c r="C15" s="12" t="s">
        <v>19</v>
      </c>
      <c r="D15" s="12" t="s">
        <v>20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35">
      <c r="A16" s="12" t="s">
        <v>21</v>
      </c>
      <c r="B16" s="2" t="s">
        <v>21</v>
      </c>
      <c r="C16" s="2">
        <f>SUMIFS(MultiYear_ProForma!$AF:$AF, MultiYear_ProForma!$B:$B, $B$5, MultiYear_ProForma!$C:$C, "FY2026")</f>
        <v>-4489801.5881399997</v>
      </c>
      <c r="D16" s="2">
        <f>SUMIFS(MultiYear_ProForma!$AF:$AF, MultiYear_ProForma!$B:$B, $B$6, MultiYear_ProForma!$C:$C, "FY2026")</f>
        <v>-2615598.0341999987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35">
      <c r="A17" s="12" t="s">
        <v>22</v>
      </c>
      <c r="B17" s="2" t="s">
        <v>22</v>
      </c>
      <c r="C17" s="2">
        <f>SUMIFS(MultiYear_ProForma!$AF:$AF, MultiYear_ProForma!$B:$B, $B$5, MultiYear_ProForma!$C:$C, "FY2027")</f>
        <v>-1887360.0679247994</v>
      </c>
      <c r="D17" s="2">
        <f>SUMIFS(MultiYear_ProForma!$AF:$AF, MultiYear_ProForma!$B:$B, $B$6, MultiYear_ProForma!$C:$C, "FY2027")</f>
        <v>-2544483.0178199979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35">
      <c r="A18" s="12" t="s">
        <v>23</v>
      </c>
      <c r="B18" s="2" t="s">
        <v>23</v>
      </c>
      <c r="C18" s="2">
        <f>SUMIFS(MultiYear_ProForma!$AF:$AF, MultiYear_ProForma!$B:$B, $B$5, MultiYear_ProForma!$C:$C, "FY2028")</f>
        <v>-1765979.1320427107</v>
      </c>
      <c r="D18" s="2">
        <f>SUMIFS(MultiYear_ProForma!$AF:$AF, MultiYear_ProForma!$B:$B, $B$6, MultiYear_ProForma!$C:$C, "FY2028")</f>
        <v>-2470708.0533746239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35">
      <c r="A19" s="12" t="s">
        <v>24</v>
      </c>
      <c r="B19" s="2" t="s">
        <v>24</v>
      </c>
      <c r="C19" s="2">
        <f>SUMIFS(MultiYear_ProForma!$AF:$AF, MultiYear_ProForma!$B:$B, $B$5, MultiYear_ProForma!$C:$C, "FY2029")</f>
        <v>-1683125.3485969394</v>
      </c>
      <c r="D19" s="2">
        <f>SUMIFS(MultiYear_ProForma!$AF:$AF, MultiYear_ProForma!$B:$B, $B$6, MultiYear_ProForma!$C:$C, "FY2029")</f>
        <v>-2551174.0263869902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35">
      <c r="A20" s="12" t="s">
        <v>25</v>
      </c>
      <c r="B20" s="2" t="s">
        <v>25</v>
      </c>
      <c r="C20" s="2">
        <f>SUMIFS(MultiYear_ProForma!$AF:$AF, MultiYear_ProForma!$B:$B, $B$5, MultiYear_ProForma!$C:$C, "FY2030")</f>
        <v>-1689796.184612033</v>
      </c>
      <c r="D20" s="2">
        <f>SUMIFS(MultiYear_ProForma!$AF:$AF, MultiYear_ProForma!$B:$B, $B$6, MultiYear_ProForma!$C:$C, "FY2030")</f>
        <v>-2634025.6141582238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35">
      <c r="A21" s="12"/>
      <c r="B21" s="2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35">
      <c r="A22" s="12"/>
      <c r="B22" s="2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35">
      <c r="A23" s="12"/>
      <c r="B23" s="22"/>
      <c r="C23" s="12"/>
      <c r="D23" s="12"/>
      <c r="E23" s="12"/>
      <c r="F23" s="12"/>
      <c r="G23" s="12"/>
      <c r="H23" s="12"/>
      <c r="I23" s="2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35">
      <c r="A24" s="12"/>
      <c r="B24" s="24"/>
      <c r="C24" s="12"/>
      <c r="D24" s="12"/>
      <c r="E24" s="12"/>
      <c r="F24" s="12"/>
      <c r="G24" s="12"/>
      <c r="H24" s="12"/>
      <c r="I24" s="2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35">
      <c r="A25" s="12" t="s">
        <v>26</v>
      </c>
      <c r="B25" s="2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35">
      <c r="A26" s="12" t="s">
        <v>27</v>
      </c>
      <c r="B26" s="12"/>
      <c r="C26" s="12"/>
      <c r="D26" s="12"/>
      <c r="E26" s="12"/>
      <c r="F26" s="12"/>
      <c r="G26" s="12"/>
      <c r="H26" s="12"/>
      <c r="I26" s="22"/>
      <c r="J26" s="2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35">
      <c r="A27" s="12"/>
      <c r="B27" s="22"/>
      <c r="C27" s="12"/>
      <c r="D27" s="12"/>
      <c r="E27" s="12"/>
      <c r="F27" s="12"/>
      <c r="G27" s="12"/>
      <c r="H27" s="12"/>
      <c r="I27" s="22"/>
      <c r="J27" s="2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35">
      <c r="A28" s="12"/>
      <c r="B28" s="22"/>
      <c r="C28" s="12"/>
      <c r="D28" s="12"/>
      <c r="E28" s="12"/>
      <c r="F28" s="12"/>
      <c r="G28" s="12"/>
      <c r="H28" s="12"/>
      <c r="I28" s="22"/>
      <c r="J28" s="2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35">
      <c r="A29" s="12"/>
      <c r="B29" s="22"/>
      <c r="C29" s="12"/>
      <c r="D29" s="12"/>
      <c r="E29" s="12"/>
      <c r="F29" s="12"/>
      <c r="G29" s="12"/>
      <c r="H29" s="12"/>
      <c r="I29" s="22"/>
      <c r="J29" s="2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35">
      <c r="A30" s="12"/>
      <c r="B30" s="2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35">
      <c r="A31" s="12"/>
      <c r="B31" s="2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35">
      <c r="A32" s="12"/>
      <c r="B32" s="2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5">
      <c r="A34" s="12"/>
      <c r="B34" s="2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5">
      <c r="A35" s="12"/>
      <c r="B35" s="2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5">
      <c r="A36" s="12"/>
      <c r="B36" s="2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5">
      <c r="A37" s="12"/>
      <c r="B37" s="2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5">
      <c r="A38" s="12"/>
      <c r="B38" s="2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5">
      <c r="A39" s="12"/>
      <c r="B39" s="2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</sheetData>
  <dataValidations count="3">
    <dataValidation type="list" showInputMessage="1" showErrorMessage="1" sqref="B10" xr:uid="{00000000-0002-0000-0000-000000000000}">
      <formula1>"200,300,400,600,800,1000,1200,1500"</formula1>
    </dataValidation>
    <dataValidation type="list" showInputMessage="1" showErrorMessage="1" sqref="B11" xr:uid="{00000000-0002-0000-0000-000001000000}">
      <formula1>"FY2028,FY2030"</formula1>
    </dataValidation>
    <dataValidation type="list" showInputMessage="1" showErrorMessage="1" sqref="B12" xr:uid="{00000000-0002-0000-0000-000002000000}">
      <formula1>"ops,lease"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5" sqref="B5"/>
    </sheetView>
  </sheetViews>
  <sheetFormatPr defaultRowHeight="14.5" x14ac:dyDescent="0.35"/>
  <cols>
    <col min="1" max="1" width="37.36328125" bestFit="1" customWidth="1"/>
    <col min="2" max="2" width="19.1796875" bestFit="1" customWidth="1"/>
    <col min="4" max="4" width="26.54296875" bestFit="1" customWidth="1"/>
    <col min="5" max="5" width="17.81640625" bestFit="1" customWidth="1"/>
  </cols>
  <sheetData>
    <row r="1" spans="1:5" x14ac:dyDescent="0.35">
      <c r="A1" t="s">
        <v>28</v>
      </c>
    </row>
    <row r="3" spans="1:5" x14ac:dyDescent="0.35">
      <c r="A3" t="s">
        <v>29</v>
      </c>
      <c r="B3" t="str">
        <f>Dashboard!$B$6</f>
        <v>G_DHub_EchoRamp</v>
      </c>
      <c r="D3" t="s">
        <v>30</v>
      </c>
      <c r="E3">
        <f>Dashboard!$B$7</f>
        <v>0</v>
      </c>
    </row>
    <row r="4" spans="1:5" x14ac:dyDescent="0.35">
      <c r="A4" t="s">
        <v>31</v>
      </c>
      <c r="B4" s="10">
        <f>Dashboard!$I$23</f>
        <v>0</v>
      </c>
      <c r="D4" t="s">
        <v>31</v>
      </c>
      <c r="E4" s="10">
        <f>Dashboard!$I$24</f>
        <v>0</v>
      </c>
    </row>
    <row r="5" spans="1:5" x14ac:dyDescent="0.35">
      <c r="A5" t="s">
        <v>32</v>
      </c>
      <c r="B5" s="2">
        <f>Dashboard!$I$26</f>
        <v>0</v>
      </c>
      <c r="D5" t="s">
        <v>32</v>
      </c>
      <c r="E5" s="2">
        <f>Dashboard!$I$27</f>
        <v>0</v>
      </c>
    </row>
    <row r="6" spans="1:5" x14ac:dyDescent="0.35">
      <c r="A6" t="s">
        <v>33</v>
      </c>
      <c r="B6" s="2">
        <f>Dashboard!$I$28</f>
        <v>0</v>
      </c>
      <c r="D6" t="s">
        <v>33</v>
      </c>
      <c r="E6" s="2">
        <f>Dashboard!$I$29</f>
        <v>0</v>
      </c>
    </row>
    <row r="7" spans="1:5" x14ac:dyDescent="0.35">
      <c r="A7" t="s">
        <v>34</v>
      </c>
      <c r="B7" s="7">
        <f>INDEX(Summary_Costs!$F:$F, MATCH(Dashboard!$B$5, Summary_Costs!$A:$A,0))</f>
        <v>553</v>
      </c>
      <c r="D7" t="s">
        <v>34</v>
      </c>
      <c r="E7" s="7">
        <f>INDEX(Summary_Costs!$F:$F, MATCH(Dashboard!$B$5, Summary_Costs!$A:$A,0))</f>
        <v>553</v>
      </c>
    </row>
    <row r="8" spans="1:5" x14ac:dyDescent="0.35">
      <c r="A8" t="s">
        <v>35</v>
      </c>
      <c r="B8" s="7">
        <f>INDEX(Summary_Costs!$F:$F, MATCH(Dashboard!$B$6, Summary_Costs!$A:$A,0))</f>
        <v>0</v>
      </c>
      <c r="D8" t="s">
        <v>36</v>
      </c>
      <c r="E8" s="7" t="e">
        <f>INDEX(Summary_Costs!$F:$F, MATCH(Dashboard!$B$7, Summary_Costs!$A:$A,0))</f>
        <v>#N/A</v>
      </c>
    </row>
    <row r="9" spans="1:5" x14ac:dyDescent="0.35">
      <c r="A9" t="s">
        <v>37</v>
      </c>
      <c r="B9" t="str">
        <f>Dashboard!$E$26 &amp; " / " &amp; Dashboard!$F$26</f>
        <v xml:space="preserve"> / </v>
      </c>
      <c r="D9" t="s">
        <v>37</v>
      </c>
      <c r="E9" t="str">
        <f>Dashboard!$E$33 &amp; " / " &amp; Dashboard!$F$33</f>
        <v xml:space="preserve"> /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zoomScale="85" zoomScaleNormal="85" workbookViewId="0">
      <pane ySplit="1" topLeftCell="A2" activePane="bottomLeft" state="frozen"/>
      <selection pane="bottomLeft" activeCell="A21" sqref="A21:B22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38</v>
      </c>
      <c r="B1" s="1" t="s">
        <v>39</v>
      </c>
      <c r="C1" s="1" t="s">
        <v>26</v>
      </c>
    </row>
    <row r="2" spans="1:11" x14ac:dyDescent="0.35">
      <c r="A2" t="s">
        <v>40</v>
      </c>
      <c r="B2" s="4">
        <v>2.5000000000000001E-2</v>
      </c>
      <c r="C2" s="6" t="s">
        <v>41</v>
      </c>
    </row>
    <row r="3" spans="1:11" x14ac:dyDescent="0.35">
      <c r="A3" t="s">
        <v>42</v>
      </c>
      <c r="B3" s="4">
        <v>9936</v>
      </c>
      <c r="C3" s="6" t="s">
        <v>43</v>
      </c>
    </row>
    <row r="4" spans="1:11" x14ac:dyDescent="0.35">
      <c r="A4" t="s">
        <v>44</v>
      </c>
      <c r="B4" s="4">
        <v>0.3</v>
      </c>
      <c r="C4" s="6" t="s">
        <v>45</v>
      </c>
    </row>
    <row r="5" spans="1:11" x14ac:dyDescent="0.35">
      <c r="A5" t="s">
        <v>46</v>
      </c>
      <c r="B5" s="4">
        <v>7.0000000000000001E-3</v>
      </c>
      <c r="C5" s="6" t="s">
        <v>47</v>
      </c>
    </row>
    <row r="6" spans="1:11" x14ac:dyDescent="0.35">
      <c r="A6" t="s">
        <v>48</v>
      </c>
      <c r="B6" s="4">
        <v>1.4999999999999999E-2</v>
      </c>
      <c r="C6" s="6" t="s">
        <v>49</v>
      </c>
    </row>
    <row r="7" spans="1:11" x14ac:dyDescent="0.35">
      <c r="A7" t="s">
        <v>50</v>
      </c>
      <c r="B7" s="4">
        <v>257</v>
      </c>
    </row>
    <row r="8" spans="1:11" x14ac:dyDescent="0.35">
      <c r="A8" t="s">
        <v>51</v>
      </c>
      <c r="B8" s="4">
        <v>296</v>
      </c>
    </row>
    <row r="9" spans="1:11" x14ac:dyDescent="0.35">
      <c r="A9" t="s">
        <v>52</v>
      </c>
      <c r="B9">
        <f>B7+B8</f>
        <v>553</v>
      </c>
      <c r="C9" t="s">
        <v>53</v>
      </c>
    </row>
    <row r="12" spans="1:11" x14ac:dyDescent="0.3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26</v>
      </c>
    </row>
    <row r="13" spans="1:11" x14ac:dyDescent="0.35">
      <c r="A13" t="s">
        <v>60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61</v>
      </c>
      <c r="K13" t="s">
        <v>62</v>
      </c>
    </row>
    <row r="14" spans="1:11" x14ac:dyDescent="0.35">
      <c r="A14" t="s">
        <v>63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64</v>
      </c>
      <c r="K14" t="s">
        <v>65</v>
      </c>
    </row>
    <row r="15" spans="1:11" x14ac:dyDescent="0.35">
      <c r="A15" t="s">
        <v>66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67</v>
      </c>
      <c r="K15" t="s">
        <v>68</v>
      </c>
    </row>
    <row r="17" spans="1:6" x14ac:dyDescent="0.35">
      <c r="A17" t="s">
        <v>69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70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71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72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73</v>
      </c>
      <c r="B21" s="4">
        <v>1200000</v>
      </c>
    </row>
    <row r="22" spans="1:6" x14ac:dyDescent="0.35">
      <c r="A22" t="s">
        <v>74</v>
      </c>
      <c r="B22" s="4">
        <v>0.75</v>
      </c>
    </row>
    <row r="24" spans="1:6" x14ac:dyDescent="0.35">
      <c r="A24" s="1" t="s">
        <v>26</v>
      </c>
    </row>
    <row r="25" spans="1:6" x14ac:dyDescent="0.35">
      <c r="A25" s="3" t="s">
        <v>75</v>
      </c>
    </row>
    <row r="26" spans="1:6" x14ac:dyDescent="0.35">
      <c r="A26" t="s">
        <v>76</v>
      </c>
      <c r="B26">
        <v>5113</v>
      </c>
      <c r="C26" t="s">
        <v>77</v>
      </c>
    </row>
    <row r="27" spans="1:6" x14ac:dyDescent="0.35">
      <c r="A27" t="s">
        <v>78</v>
      </c>
      <c r="B27">
        <v>0.02</v>
      </c>
      <c r="C27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zoomScale="90" zoomScaleNormal="90" workbookViewId="0">
      <selection sqref="A1:G6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6.816406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14" x14ac:dyDescent="0.35">
      <c r="A1" s="1" t="s">
        <v>18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t="s">
        <v>86</v>
      </c>
      <c r="I1" t="s">
        <v>87</v>
      </c>
      <c r="L1" t="s">
        <v>206</v>
      </c>
      <c r="M1" t="s">
        <v>208</v>
      </c>
      <c r="N1" t="s">
        <v>207</v>
      </c>
    </row>
    <row r="2" spans="1:14" x14ac:dyDescent="0.35">
      <c r="A2" t="s">
        <v>21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1">
        <v>1000</v>
      </c>
      <c r="F2" s="4">
        <v>0.4</v>
      </c>
      <c r="G2" s="4">
        <v>0.5</v>
      </c>
      <c r="H2">
        <v>1</v>
      </c>
      <c r="I2" s="2">
        <f>BaselineCalc!$B$26*(1+BaselineCalc!$B$27)^(H2-1)</f>
        <v>5113</v>
      </c>
      <c r="L2" s="38">
        <v>1000</v>
      </c>
      <c r="M2" s="38">
        <v>0.4</v>
      </c>
      <c r="N2" s="38">
        <v>0.4</v>
      </c>
    </row>
    <row r="3" spans="1:14" x14ac:dyDescent="0.35">
      <c r="A3" t="s">
        <v>22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1">
        <v>800</v>
      </c>
      <c r="F3" s="4">
        <v>0.3</v>
      </c>
      <c r="G3" s="4">
        <v>0.4</v>
      </c>
      <c r="H3">
        <v>2</v>
      </c>
      <c r="I3" s="2">
        <f>BaselineCalc!$B$26*(1+BaselineCalc!$B$27)^(H3-1)</f>
        <v>5215.26</v>
      </c>
      <c r="L3" s="38">
        <v>800</v>
      </c>
      <c r="M3" s="38">
        <v>0.3</v>
      </c>
      <c r="N3" s="38">
        <v>0.35</v>
      </c>
    </row>
    <row r="4" spans="1:14" x14ac:dyDescent="0.35">
      <c r="A4" t="s">
        <v>23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1">
        <v>600</v>
      </c>
      <c r="F4" s="4">
        <v>0.2</v>
      </c>
      <c r="G4" s="4">
        <v>0.35</v>
      </c>
      <c r="H4">
        <v>3</v>
      </c>
      <c r="I4" s="2">
        <f>BaselineCalc!$B$26*(1+BaselineCalc!$B$27)^(H4-1)</f>
        <v>5319.5652</v>
      </c>
      <c r="L4" s="38">
        <v>600</v>
      </c>
      <c r="M4" s="38">
        <v>0.2</v>
      </c>
      <c r="N4" s="38">
        <v>0.3</v>
      </c>
    </row>
    <row r="5" spans="1:14" x14ac:dyDescent="0.35">
      <c r="A5" t="s">
        <v>24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1">
        <v>500</v>
      </c>
      <c r="F5" s="4">
        <v>0.1</v>
      </c>
      <c r="G5" s="4">
        <v>0.3</v>
      </c>
      <c r="H5">
        <v>4</v>
      </c>
      <c r="I5" s="2">
        <f>BaselineCalc!$B$26*(1+BaselineCalc!$B$27)^(H5-1)</f>
        <v>5425.9565039999998</v>
      </c>
      <c r="L5" s="38">
        <v>400</v>
      </c>
      <c r="M5" s="38">
        <v>0.1</v>
      </c>
      <c r="N5" s="38">
        <v>0.25</v>
      </c>
    </row>
    <row r="6" spans="1:14" x14ac:dyDescent="0.35">
      <c r="A6" t="s">
        <v>25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1">
        <v>400</v>
      </c>
      <c r="F6" s="4">
        <v>0</v>
      </c>
      <c r="G6" s="4">
        <v>0.3</v>
      </c>
      <c r="H6">
        <v>5</v>
      </c>
      <c r="I6" s="2">
        <f>BaselineCalc!$B$26*(1+BaselineCalc!$B$27)^(H6-1)</f>
        <v>5534.4756340799995</v>
      </c>
      <c r="L6" s="38">
        <v>300</v>
      </c>
      <c r="M6" s="38">
        <v>0</v>
      </c>
      <c r="N6" s="38">
        <v>0.2</v>
      </c>
    </row>
    <row r="7" spans="1:14" x14ac:dyDescent="0.35">
      <c r="L7" s="25"/>
      <c r="M7" s="25"/>
      <c r="N7" s="25"/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1"/>
  <sheetViews>
    <sheetView zoomScale="60" zoomScaleNormal="6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B63" sqref="AB63:AB65"/>
    </sheetView>
  </sheetViews>
  <sheetFormatPr defaultRowHeight="14.5" x14ac:dyDescent="0.35"/>
  <cols>
    <col min="1" max="1" width="9.453125" customWidth="1"/>
    <col min="2" max="2" width="27.6328125" bestFit="1" customWidth="1"/>
    <col min="4" max="4" width="10.26953125" bestFit="1" customWidth="1"/>
    <col min="5" max="5" width="10.54296875" bestFit="1" customWidth="1"/>
    <col min="6" max="6" width="12.90625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1" width="13.08984375" bestFit="1" customWidth="1"/>
    <col min="22" max="22" width="18.26953125" bestFit="1" customWidth="1"/>
    <col min="23" max="23" width="16.54296875" bestFit="1" customWidth="1"/>
    <col min="24" max="24" width="24.453125" bestFit="1" customWidth="1"/>
    <col min="25" max="25" width="12.6328125" bestFit="1" customWidth="1"/>
    <col min="26" max="26" width="17.54296875" bestFit="1" customWidth="1"/>
    <col min="30" max="31" width="14" bestFit="1" customWidth="1"/>
    <col min="32" max="32" width="14.7265625" bestFit="1" customWidth="1"/>
  </cols>
  <sheetData>
    <row r="1" spans="1:33" x14ac:dyDescent="0.35">
      <c r="A1" t="str">
        <f>AG1</f>
        <v>Key</v>
      </c>
      <c r="B1" s="1" t="s">
        <v>88</v>
      </c>
      <c r="C1" s="1" t="s">
        <v>18</v>
      </c>
      <c r="D1" s="1" t="s">
        <v>89</v>
      </c>
      <c r="E1" s="1" t="s">
        <v>90</v>
      </c>
      <c r="F1" s="1" t="s">
        <v>91</v>
      </c>
      <c r="G1" s="1" t="s">
        <v>80</v>
      </c>
      <c r="H1" s="1" t="s">
        <v>81</v>
      </c>
      <c r="I1" s="1" t="s">
        <v>82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83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s="1" t="s">
        <v>106</v>
      </c>
    </row>
    <row r="2" spans="1:33" x14ac:dyDescent="0.35">
      <c r="A2" t="str">
        <f>AG2</f>
        <v>D_Grow_Both_0|FY2026</v>
      </c>
      <c r="B2" t="str">
        <f>Scenarios!A2</f>
        <v>D_Grow_Both_0</v>
      </c>
      <c r="C2" t="s">
        <v>21</v>
      </c>
      <c r="D2">
        <f>IF(Scenarios!D2=1,0, L2)</f>
        <v>257</v>
      </c>
      <c r="E2">
        <f>IF(Scenarios!E2=1,0, M2)</f>
        <v>296</v>
      </c>
      <c r="F2">
        <f t="shared" ref="F2:F33" si="0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1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0.5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2">(R2+S2+G2*F2)*J2*(1-K2)</f>
        <v>5592549.3875999991</v>
      </c>
      <c r="V2" s="2">
        <f t="shared" ref="V2:V33" si="3">O2*(G2+P2)</f>
        <v>0</v>
      </c>
      <c r="W2" s="2">
        <f t="shared" ref="W2:W33" si="4">U2+V2+T2</f>
        <v>5592549.3875999991</v>
      </c>
      <c r="X2" s="2">
        <f t="shared" ref="X2:X33" si="5">IF(F2+O2&gt;0, W2/(F2+O2),"")</f>
        <v>10113.109199999999</v>
      </c>
      <c r="Y2" s="2">
        <f>INDEX(YearMap!$I$2:$I$6, MATCH(C2, YearMap!$A$2:$A$6, 0))</f>
        <v>5113</v>
      </c>
      <c r="Z2" s="2">
        <f>$W2-$Y2*$AC2</f>
        <v>2765060.3875999991</v>
      </c>
      <c r="AA2" s="2">
        <f t="shared" ref="AA2:AA33" si="6">IF($AC2&gt;0, $Z2/$AC2, 0)</f>
        <v>5000.1091999999981</v>
      </c>
      <c r="AB2">
        <f>MAX(0, (MAX(0, $D2-BaselineCalc!$B$7) + MAX(0, $E2-BaselineCalc!$B$8)))</f>
        <v>0</v>
      </c>
      <c r="AC2">
        <f t="shared" ref="AC2:AC33" si="7">IF(LEFT($B2,2)="A_", $O2, IF(LEFT($B2,2)="B_", $M2+$O2, IF(LEFT($B2,2)="C_", $L2+$O2, $F2)))</f>
        <v>553</v>
      </c>
      <c r="AD2" s="2">
        <f t="shared" ref="AD2:AD33" si="8">$Y2*$AC2</f>
        <v>2827489</v>
      </c>
      <c r="AE2" s="2">
        <f>W2 - (1-Parameters!$B$2)*$G2*$AB2*$J2*(1-$K2)</f>
        <v>5592549.3875999991</v>
      </c>
      <c r="AF2" s="2">
        <f t="shared" ref="AF2:AF33" si="9">AD2-AE2</f>
        <v>-2765060.3875999991</v>
      </c>
      <c r="AG2" t="str">
        <f>B2&amp;"|"&amp;C2</f>
        <v>D_Grow_Both_0|FY2026</v>
      </c>
    </row>
    <row r="3" spans="1:33" x14ac:dyDescent="0.35">
      <c r="A3" t="str">
        <f>AG3</f>
        <v>D_Grow_Both_0|FY2027</v>
      </c>
      <c r="B3" t="str">
        <f>Scenarios!A2</f>
        <v>D_Grow_Both_0</v>
      </c>
      <c r="C3" t="s">
        <v>22</v>
      </c>
      <c r="D3">
        <f>IF(Scenarios!D2=1,0, L3)</f>
        <v>257</v>
      </c>
      <c r="E3">
        <f>IF(Scenarios!E2=1,0, M3)</f>
        <v>296</v>
      </c>
      <c r="F3">
        <f t="shared" si="0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1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0.4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2"/>
        <v>5732363.1222899994</v>
      </c>
      <c r="V3" s="2">
        <f t="shared" si="3"/>
        <v>0</v>
      </c>
      <c r="W3" s="2">
        <f t="shared" si="4"/>
        <v>5732363.1222899994</v>
      </c>
      <c r="X3" s="2">
        <f t="shared" si="5"/>
        <v>10365.936929999998</v>
      </c>
      <c r="Y3" s="2">
        <f>INDEX(YearMap!$I$2:$I$6, MATCH(C3, YearMap!$A$2:$A$6, 0))</f>
        <v>5215.26</v>
      </c>
      <c r="Z3" s="2">
        <f>$W3-$Y3*$AC3</f>
        <v>2848324.3422899991</v>
      </c>
      <c r="AA3" s="2">
        <f t="shared" si="6"/>
        <v>5150.6769299999987</v>
      </c>
      <c r="AB3">
        <f>MAX(0, (MAX(0, $D3-BaselineCalc!$B$7) + MAX(0, $E3-BaselineCalc!$B$8)))</f>
        <v>0</v>
      </c>
      <c r="AC3">
        <f t="shared" si="7"/>
        <v>553</v>
      </c>
      <c r="AD3" s="2">
        <f t="shared" si="8"/>
        <v>2884038.7800000003</v>
      </c>
      <c r="AE3" s="2">
        <f>W3 - (1-Parameters!$B$2)*$G3*$AB3*$J3*(1-$K3)</f>
        <v>5732363.1222899994</v>
      </c>
      <c r="AF3" s="2">
        <f t="shared" si="9"/>
        <v>-2848324.3422899991</v>
      </c>
      <c r="AG3" t="str">
        <f>B3&amp;"|"&amp;C3</f>
        <v>D_Grow_Both_0|FY2027</v>
      </c>
    </row>
    <row r="4" spans="1:33" x14ac:dyDescent="0.35">
      <c r="A4" t="str">
        <f>AG4</f>
        <v>D_Grow_Both_0|FY2028</v>
      </c>
      <c r="B4" t="str">
        <f>Scenarios!A2</f>
        <v>D_Grow_Both_0</v>
      </c>
      <c r="C4" t="s">
        <v>23</v>
      </c>
      <c r="D4">
        <f>IF(Scenarios!D2=1,0, L4)</f>
        <v>257</v>
      </c>
      <c r="E4">
        <f>IF(Scenarios!E2=1,0, M4)</f>
        <v>296</v>
      </c>
      <c r="F4">
        <f t="shared" si="0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1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0.35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2"/>
        <v>5875672.2003472494</v>
      </c>
      <c r="V4" s="2">
        <f t="shared" si="3"/>
        <v>0</v>
      </c>
      <c r="W4" s="2">
        <f t="shared" si="4"/>
        <v>5875672.2003472494</v>
      </c>
      <c r="X4" s="2">
        <f t="shared" si="5"/>
        <v>10625.085353249999</v>
      </c>
      <c r="Y4" s="2">
        <f>INDEX(YearMap!$I$2:$I$6, MATCH(C4, YearMap!$A$2:$A$6, 0))</f>
        <v>5319.5652</v>
      </c>
      <c r="Z4" s="2">
        <f>$W4-$Y4*$AC4</f>
        <v>2933952.6447472493</v>
      </c>
      <c r="AA4" s="2">
        <f t="shared" si="6"/>
        <v>5305.5201532499987</v>
      </c>
      <c r="AB4">
        <f>MAX(0, (MAX(0, $D4-BaselineCalc!$B$7) + MAX(0, $E4-BaselineCalc!$B$8)))</f>
        <v>0</v>
      </c>
      <c r="AC4">
        <f t="shared" si="7"/>
        <v>553</v>
      </c>
      <c r="AD4" s="2">
        <f t="shared" si="8"/>
        <v>2941719.5556000001</v>
      </c>
      <c r="AE4" s="2">
        <f>W4 - (1-Parameters!$B$2)*$G4*$AB4*$J4*(1-$K4)</f>
        <v>5875672.2003472494</v>
      </c>
      <c r="AF4" s="2">
        <f t="shared" si="9"/>
        <v>-2933952.6447472493</v>
      </c>
      <c r="AG4" t="str">
        <f>B4&amp;"|"&amp;C4</f>
        <v>D_Grow_Both_0|FY2028</v>
      </c>
    </row>
    <row r="5" spans="1:33" x14ac:dyDescent="0.35">
      <c r="A5" t="str">
        <f>AG5</f>
        <v>D_Grow_Both_0|FY2029</v>
      </c>
      <c r="B5" t="str">
        <f>Scenarios!A2</f>
        <v>D_Grow_Both_0</v>
      </c>
      <c r="C5" t="s">
        <v>24</v>
      </c>
      <c r="D5">
        <f>IF(Scenarios!D2=1,0, L5)</f>
        <v>257</v>
      </c>
      <c r="E5">
        <f>IF(Scenarios!E2=1,0, M5)</f>
        <v>296</v>
      </c>
      <c r="F5">
        <f t="shared" si="0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1"/>
        <v>0</v>
      </c>
      <c r="O5" s="7">
        <f>BaselineCalc!$B$22 * N5</f>
        <v>0</v>
      </c>
      <c r="P5">
        <f>YearMap!E5</f>
        <v>500</v>
      </c>
      <c r="Q5">
        <f>IF(Scenarios!N2="lease", YearMap!F5, YearMap!G5)</f>
        <v>0.3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2"/>
        <v>6022564.005355929</v>
      </c>
      <c r="V5" s="2">
        <f t="shared" si="3"/>
        <v>0</v>
      </c>
      <c r="W5" s="2">
        <f t="shared" si="4"/>
        <v>6022564.005355929</v>
      </c>
      <c r="X5" s="2">
        <f t="shared" si="5"/>
        <v>10890.712487081246</v>
      </c>
      <c r="Y5" s="2">
        <f>INDEX(YearMap!$I$2:$I$6, MATCH(C5, YearMap!$A$2:$A$6, 0))</f>
        <v>5425.9565039999998</v>
      </c>
      <c r="Z5" s="2">
        <f>$W5-$Y5*$AC5</f>
        <v>3022010.0586439292</v>
      </c>
      <c r="AA5" s="2">
        <f t="shared" si="6"/>
        <v>5464.7559830812461</v>
      </c>
      <c r="AB5">
        <f>MAX(0, (MAX(0, $D5-BaselineCalc!$B$7) + MAX(0, $E5-BaselineCalc!$B$8)))</f>
        <v>0</v>
      </c>
      <c r="AC5">
        <f t="shared" si="7"/>
        <v>553</v>
      </c>
      <c r="AD5" s="2">
        <f t="shared" si="8"/>
        <v>3000553.9467119998</v>
      </c>
      <c r="AE5" s="2">
        <f>W5 - (1-Parameters!$B$2)*$G5*$AB5*$J5*(1-$K5)</f>
        <v>6022564.005355929</v>
      </c>
      <c r="AF5" s="2">
        <f t="shared" si="9"/>
        <v>-3022010.0586439292</v>
      </c>
      <c r="AG5" t="str">
        <f>B5&amp;"|"&amp;C5</f>
        <v>D_Grow_Both_0|FY2029</v>
      </c>
    </row>
    <row r="6" spans="1:33" x14ac:dyDescent="0.35">
      <c r="A6" t="str">
        <f>AG6</f>
        <v>D_Grow_Both_0|FY2030</v>
      </c>
      <c r="B6" t="str">
        <f>Scenarios!A2</f>
        <v>D_Grow_Both_0</v>
      </c>
      <c r="C6" t="s">
        <v>25</v>
      </c>
      <c r="D6">
        <f>IF(Scenarios!D2=1,0, L6)</f>
        <v>257</v>
      </c>
      <c r="E6">
        <f>IF(Scenarios!E2=1,0, M6)</f>
        <v>296</v>
      </c>
      <c r="F6">
        <f t="shared" si="0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1"/>
        <v>0</v>
      </c>
      <c r="O6" s="7">
        <f>BaselineCalc!$B$22 * N6</f>
        <v>0</v>
      </c>
      <c r="P6">
        <f>YearMap!E6</f>
        <v>400</v>
      </c>
      <c r="Q6">
        <f>IF(Scenarios!N2="lease", YearMap!F6, YearMap!G6)</f>
        <v>0.3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2"/>
        <v>6173128.1054898277</v>
      </c>
      <c r="V6" s="2">
        <f t="shared" si="3"/>
        <v>0</v>
      </c>
      <c r="W6" s="2">
        <f t="shared" si="4"/>
        <v>6173128.1054898277</v>
      </c>
      <c r="X6" s="2">
        <f t="shared" si="5"/>
        <v>11162.980299258277</v>
      </c>
      <c r="Y6" s="2">
        <f>INDEX(YearMap!$I$2:$I$6, MATCH(C6, YearMap!$A$2:$A$6, 0))</f>
        <v>5534.4756340799995</v>
      </c>
      <c r="Z6" s="2">
        <f>$W6-$Y6*$AC6</f>
        <v>3112563.0798435882</v>
      </c>
      <c r="AA6" s="2">
        <f t="shared" si="6"/>
        <v>5628.5046651782786</v>
      </c>
      <c r="AB6">
        <f>MAX(0, (MAX(0, $D6-BaselineCalc!$B$7) + MAX(0, $E6-BaselineCalc!$B$8)))</f>
        <v>0</v>
      </c>
      <c r="AC6">
        <f t="shared" si="7"/>
        <v>553</v>
      </c>
      <c r="AD6" s="2">
        <f t="shared" si="8"/>
        <v>3060565.0256462395</v>
      </c>
      <c r="AE6" s="2">
        <f>W6 - (1-Parameters!$B$2)*$G6*$AB6*$J6*(1-$K6)</f>
        <v>6173128.1054898277</v>
      </c>
      <c r="AF6" s="2">
        <f t="shared" si="9"/>
        <v>-3112563.0798435882</v>
      </c>
      <c r="AG6" t="str">
        <f>B6&amp;"|"&amp;C6</f>
        <v>D_Grow_Both_0|FY2030</v>
      </c>
    </row>
    <row r="7" spans="1:33" x14ac:dyDescent="0.35">
      <c r="A7" t="str">
        <f>AG7</f>
        <v>E_StatusQuo_Targets_0|FY2026</v>
      </c>
      <c r="B7" t="str">
        <f>Scenarios!A3</f>
        <v>E_StatusQuo_Targets_0</v>
      </c>
      <c r="C7" t="s">
        <v>21</v>
      </c>
      <c r="D7">
        <f>IF(Scenarios!D3=1,0, L7)</f>
        <v>257</v>
      </c>
      <c r="E7">
        <f>IF(Scenarios!E3=1,0, M7)</f>
        <v>296</v>
      </c>
      <c r="F7">
        <f t="shared" si="0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1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0.5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2"/>
        <v>5592549.3875999991</v>
      </c>
      <c r="V7" s="2">
        <f t="shared" si="3"/>
        <v>0</v>
      </c>
      <c r="W7" s="2">
        <f t="shared" si="4"/>
        <v>5592549.3875999991</v>
      </c>
      <c r="X7" s="2">
        <f t="shared" si="5"/>
        <v>10113.109199999999</v>
      </c>
      <c r="Y7" s="2">
        <f>INDEX(YearMap!$I$2:$I$6, MATCH(C7, YearMap!$A$2:$A$6, 0))</f>
        <v>5113</v>
      </c>
      <c r="Z7" s="2">
        <f>$W7-$Y7*$AC7</f>
        <v>2765060.3875999991</v>
      </c>
      <c r="AA7" s="2">
        <f t="shared" si="6"/>
        <v>5000.1091999999981</v>
      </c>
      <c r="AB7">
        <f>MAX(0, (MAX(0, $D7-BaselineCalc!$B$7) + MAX(0, $E7-BaselineCalc!$B$8)))</f>
        <v>0</v>
      </c>
      <c r="AC7">
        <f t="shared" si="7"/>
        <v>553</v>
      </c>
      <c r="AD7" s="2">
        <f t="shared" si="8"/>
        <v>2827489</v>
      </c>
      <c r="AE7" s="2">
        <f>W7 - (1-Parameters!$B$2)*$G7*$AB7*$J7*(1-$K7)</f>
        <v>5592549.3875999991</v>
      </c>
      <c r="AF7" s="2">
        <f t="shared" si="9"/>
        <v>-2765060.3875999991</v>
      </c>
      <c r="AG7" t="str">
        <f>B7&amp;"|"&amp;C7</f>
        <v>E_StatusQuo_Targets_0|FY2026</v>
      </c>
    </row>
    <row r="8" spans="1:33" x14ac:dyDescent="0.35">
      <c r="A8" t="str">
        <f>AG8</f>
        <v>E_StatusQuo_Targets_0|FY2027</v>
      </c>
      <c r="B8" t="str">
        <f>Scenarios!A3</f>
        <v>E_StatusQuo_Targets_0</v>
      </c>
      <c r="C8" t="s">
        <v>22</v>
      </c>
      <c r="D8">
        <f>IF(Scenarios!D3=1,0, L8)</f>
        <v>257</v>
      </c>
      <c r="E8">
        <f>IF(Scenarios!E3=1,0, M8)</f>
        <v>296</v>
      </c>
      <c r="F8">
        <f t="shared" si="0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1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0.4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2"/>
        <v>5732363.1222899994</v>
      </c>
      <c r="V8" s="2">
        <f t="shared" si="3"/>
        <v>0</v>
      </c>
      <c r="W8" s="2">
        <f t="shared" si="4"/>
        <v>5732363.1222899994</v>
      </c>
      <c r="X8" s="2">
        <f t="shared" si="5"/>
        <v>10365.936929999998</v>
      </c>
      <c r="Y8" s="2">
        <f>INDEX(YearMap!$I$2:$I$6, MATCH(C8, YearMap!$A$2:$A$6, 0))</f>
        <v>5215.26</v>
      </c>
      <c r="Z8" s="2">
        <f>$W8-$Y8*$AC8</f>
        <v>2848324.3422899991</v>
      </c>
      <c r="AA8" s="2">
        <f t="shared" si="6"/>
        <v>5150.6769299999987</v>
      </c>
      <c r="AB8">
        <f>MAX(0, (MAX(0, $D8-BaselineCalc!$B$7) + MAX(0, $E8-BaselineCalc!$B$8)))</f>
        <v>0</v>
      </c>
      <c r="AC8">
        <f t="shared" si="7"/>
        <v>553</v>
      </c>
      <c r="AD8" s="2">
        <f t="shared" si="8"/>
        <v>2884038.7800000003</v>
      </c>
      <c r="AE8" s="2">
        <f>W8 - (1-Parameters!$B$2)*$G8*$AB8*$J8*(1-$K8)</f>
        <v>5732363.1222899994</v>
      </c>
      <c r="AF8" s="2">
        <f t="shared" si="9"/>
        <v>-2848324.3422899991</v>
      </c>
      <c r="AG8" t="str">
        <f>B8&amp;"|"&amp;C8</f>
        <v>E_StatusQuo_Targets_0|FY2027</v>
      </c>
    </row>
    <row r="9" spans="1:33" x14ac:dyDescent="0.35">
      <c r="A9" t="str">
        <f>AG9</f>
        <v>E_StatusQuo_Targets_0|FY2028</v>
      </c>
      <c r="B9" t="str">
        <f>Scenarios!A3</f>
        <v>E_StatusQuo_Targets_0</v>
      </c>
      <c r="C9" t="s">
        <v>23</v>
      </c>
      <c r="D9">
        <f>IF(Scenarios!D3=1,0, L9)</f>
        <v>257</v>
      </c>
      <c r="E9">
        <f>IF(Scenarios!E3=1,0, M9)</f>
        <v>296</v>
      </c>
      <c r="F9">
        <f t="shared" si="0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1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0.35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2"/>
        <v>5875672.2003472494</v>
      </c>
      <c r="V9" s="2">
        <f t="shared" si="3"/>
        <v>0</v>
      </c>
      <c r="W9" s="2">
        <f t="shared" si="4"/>
        <v>5875672.2003472494</v>
      </c>
      <c r="X9" s="2">
        <f t="shared" si="5"/>
        <v>10625.085353249999</v>
      </c>
      <c r="Y9" s="2">
        <f>INDEX(YearMap!$I$2:$I$6, MATCH(C9, YearMap!$A$2:$A$6, 0))</f>
        <v>5319.5652</v>
      </c>
      <c r="Z9" s="2">
        <f>$W9-$Y9*$AC9</f>
        <v>2933952.6447472493</v>
      </c>
      <c r="AA9" s="2">
        <f t="shared" si="6"/>
        <v>5305.5201532499987</v>
      </c>
      <c r="AB9">
        <f>MAX(0, (MAX(0, $D9-BaselineCalc!$B$7) + MAX(0, $E9-BaselineCalc!$B$8)))</f>
        <v>0</v>
      </c>
      <c r="AC9">
        <f t="shared" si="7"/>
        <v>553</v>
      </c>
      <c r="AD9" s="2">
        <f t="shared" si="8"/>
        <v>2941719.5556000001</v>
      </c>
      <c r="AE9" s="2">
        <f>W9 - (1-Parameters!$B$2)*$G9*$AB9*$J9*(1-$K9)</f>
        <v>5875672.2003472494</v>
      </c>
      <c r="AF9" s="2">
        <f t="shared" si="9"/>
        <v>-2933952.6447472493</v>
      </c>
      <c r="AG9" t="str">
        <f>B9&amp;"|"&amp;C9</f>
        <v>E_StatusQuo_Targets_0|FY2028</v>
      </c>
    </row>
    <row r="10" spans="1:33" x14ac:dyDescent="0.35">
      <c r="A10" t="str">
        <f>AG10</f>
        <v>E_StatusQuo_Targets_0|FY2029</v>
      </c>
      <c r="B10" t="str">
        <f>Scenarios!A3</f>
        <v>E_StatusQuo_Targets_0</v>
      </c>
      <c r="C10" t="s">
        <v>24</v>
      </c>
      <c r="D10">
        <f>IF(Scenarios!D3=1,0, L10)</f>
        <v>257</v>
      </c>
      <c r="E10">
        <f>IF(Scenarios!E3=1,0, M10)</f>
        <v>296</v>
      </c>
      <c r="F10">
        <f t="shared" si="0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1"/>
        <v>0</v>
      </c>
      <c r="O10" s="7">
        <f>BaselineCalc!$B$22 * N10</f>
        <v>0</v>
      </c>
      <c r="P10">
        <f>YearMap!E5</f>
        <v>500</v>
      </c>
      <c r="Q10">
        <f>IF(Scenarios!N3="lease", YearMap!F5, YearMap!G5)</f>
        <v>0.3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2"/>
        <v>6022564.005355929</v>
      </c>
      <c r="V10" s="2">
        <f t="shared" si="3"/>
        <v>0</v>
      </c>
      <c r="W10" s="2">
        <f t="shared" si="4"/>
        <v>6022564.005355929</v>
      </c>
      <c r="X10" s="2">
        <f t="shared" si="5"/>
        <v>10890.712487081246</v>
      </c>
      <c r="Y10" s="2">
        <f>INDEX(YearMap!$I$2:$I$6, MATCH(C10, YearMap!$A$2:$A$6, 0))</f>
        <v>5425.9565039999998</v>
      </c>
      <c r="Z10" s="2">
        <f>$W10-$Y10*$AC10</f>
        <v>3022010.0586439292</v>
      </c>
      <c r="AA10" s="2">
        <f t="shared" si="6"/>
        <v>5464.7559830812461</v>
      </c>
      <c r="AB10">
        <f>MAX(0, (MAX(0, $D10-BaselineCalc!$B$7) + MAX(0, $E10-BaselineCalc!$B$8)))</f>
        <v>0</v>
      </c>
      <c r="AC10">
        <f t="shared" si="7"/>
        <v>553</v>
      </c>
      <c r="AD10" s="2">
        <f t="shared" si="8"/>
        <v>3000553.9467119998</v>
      </c>
      <c r="AE10" s="2">
        <f>W10 - (1-Parameters!$B$2)*$G10*$AB10*$J10*(1-$K10)</f>
        <v>6022564.005355929</v>
      </c>
      <c r="AF10" s="2">
        <f t="shared" si="9"/>
        <v>-3022010.0586439292</v>
      </c>
      <c r="AG10" t="str">
        <f>B10&amp;"|"&amp;C10</f>
        <v>E_StatusQuo_Targets_0|FY2029</v>
      </c>
    </row>
    <row r="11" spans="1:33" x14ac:dyDescent="0.35">
      <c r="A11" t="str">
        <f>AG11</f>
        <v>E_StatusQuo_Targets_0|FY2030</v>
      </c>
      <c r="B11" t="str">
        <f>Scenarios!A3</f>
        <v>E_StatusQuo_Targets_0</v>
      </c>
      <c r="C11" t="s">
        <v>25</v>
      </c>
      <c r="D11">
        <f>IF(Scenarios!D3=1,0, L11)</f>
        <v>257</v>
      </c>
      <c r="E11">
        <f>IF(Scenarios!E3=1,0, M11)</f>
        <v>296</v>
      </c>
      <c r="F11">
        <f t="shared" si="0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1"/>
        <v>0</v>
      </c>
      <c r="O11" s="7">
        <f>BaselineCalc!$B$22 * N11</f>
        <v>0</v>
      </c>
      <c r="P11">
        <f>YearMap!E6</f>
        <v>400</v>
      </c>
      <c r="Q11">
        <f>IF(Scenarios!N3="lease", YearMap!F6, YearMap!G6)</f>
        <v>0.3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2"/>
        <v>6173128.1054898277</v>
      </c>
      <c r="V11" s="2">
        <f t="shared" si="3"/>
        <v>0</v>
      </c>
      <c r="W11" s="2">
        <f t="shared" si="4"/>
        <v>6173128.1054898277</v>
      </c>
      <c r="X11" s="2">
        <f t="shared" si="5"/>
        <v>11162.980299258277</v>
      </c>
      <c r="Y11" s="2">
        <f>INDEX(YearMap!$I$2:$I$6, MATCH(C11, YearMap!$A$2:$A$6, 0))</f>
        <v>5534.4756340799995</v>
      </c>
      <c r="Z11" s="2">
        <f>$W11-$Y11*$AC11</f>
        <v>3112563.0798435882</v>
      </c>
      <c r="AA11" s="2">
        <f t="shared" si="6"/>
        <v>5628.5046651782786</v>
      </c>
      <c r="AB11">
        <f>MAX(0, (MAX(0, $D11-BaselineCalc!$B$7) + MAX(0, $E11-BaselineCalc!$B$8)))</f>
        <v>0</v>
      </c>
      <c r="AC11">
        <f t="shared" si="7"/>
        <v>553</v>
      </c>
      <c r="AD11" s="2">
        <f t="shared" si="8"/>
        <v>3060565.0256462395</v>
      </c>
      <c r="AE11" s="2">
        <f>W11 - (1-Parameters!$B$2)*$G11*$AB11*$J11*(1-$K11)</f>
        <v>6173128.1054898277</v>
      </c>
      <c r="AF11" s="2">
        <f t="shared" si="9"/>
        <v>-3112563.0798435882</v>
      </c>
      <c r="AG11" t="str">
        <f>B11&amp;"|"&amp;C11</f>
        <v>E_StatusQuo_Targets_0|FY2030</v>
      </c>
    </row>
    <row r="12" spans="1:33" x14ac:dyDescent="0.35">
      <c r="A12" t="str">
        <f>AG12</f>
        <v>F_CoLocation_Echo_0|FY2026</v>
      </c>
      <c r="B12" t="str">
        <f>Scenarios!A4</f>
        <v>F_CoLocation_Echo_0</v>
      </c>
      <c r="C12" t="s">
        <v>21</v>
      </c>
      <c r="D12">
        <f>IF(Scenarios!D4=1,0, L12)</f>
        <v>362</v>
      </c>
      <c r="E12">
        <f>IF(Scenarios!E4=1,0, M12)</f>
        <v>341</v>
      </c>
      <c r="F12">
        <f t="shared" si="0"/>
        <v>703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0.05</v>
      </c>
      <c r="L12">
        <f>BaselineCalc!$B$7 + ROUND(Scenarios!I4*Scenarios!F4,0)</f>
        <v>362</v>
      </c>
      <c r="M12">
        <f>BaselineCalc!$B$8 + Scenarios!I4 - ROUND(Scenarios!I4*Scenarios!F4,0)</f>
        <v>341</v>
      </c>
      <c r="N12" s="7">
        <f t="shared" si="1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0.5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2"/>
        <v>6321704.5609199991</v>
      </c>
      <c r="V12" s="2">
        <f t="shared" si="3"/>
        <v>0</v>
      </c>
      <c r="W12" s="2">
        <f t="shared" si="4"/>
        <v>6321704.5609199991</v>
      </c>
      <c r="X12" s="2">
        <f t="shared" si="5"/>
        <v>8992.4673697297294</v>
      </c>
      <c r="Y12" s="2">
        <f>INDEX(YearMap!$I$2:$I$6, MATCH(C12, YearMap!$A$2:$A$6, 0))</f>
        <v>5113</v>
      </c>
      <c r="Z12" s="2">
        <f>$W12-$Y12*$AC12</f>
        <v>2727265.5609199991</v>
      </c>
      <c r="AA12" s="2">
        <f t="shared" si="6"/>
        <v>3879.4673697297285</v>
      </c>
      <c r="AB12">
        <f>MAX(0, (MAX(0, $D12-BaselineCalc!$B$7) + MAX(0, $E12-BaselineCalc!$B$8)))</f>
        <v>150</v>
      </c>
      <c r="AC12">
        <f t="shared" si="7"/>
        <v>703</v>
      </c>
      <c r="AD12" s="2">
        <f t="shared" si="8"/>
        <v>3594439</v>
      </c>
      <c r="AE12" s="2">
        <f>W12 - (1-Parameters!$B$2)*$G12*$AB12*$J12*(1-$K12)</f>
        <v>5615556.711029999</v>
      </c>
      <c r="AF12" s="2">
        <f t="shared" si="9"/>
        <v>-2021117.711029999</v>
      </c>
      <c r="AG12" t="str">
        <f>B12&amp;"|"&amp;C12</f>
        <v>F_CoLocation_Echo_0|FY2026</v>
      </c>
    </row>
    <row r="13" spans="1:33" x14ac:dyDescent="0.35">
      <c r="A13" t="str">
        <f>AG13</f>
        <v>F_CoLocation_Echo_0|FY2027</v>
      </c>
      <c r="B13" t="str">
        <f>Scenarios!A4</f>
        <v>F_CoLocation_Echo_0</v>
      </c>
      <c r="C13" t="s">
        <v>22</v>
      </c>
      <c r="D13">
        <f>IF(Scenarios!D4=1,0, L13)</f>
        <v>362</v>
      </c>
      <c r="E13">
        <f>IF(Scenarios!E4=1,0, M13)</f>
        <v>341</v>
      </c>
      <c r="F13">
        <f t="shared" si="0"/>
        <v>703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0.05</v>
      </c>
      <c r="L13">
        <f>BaselineCalc!$B$7 + ROUND(Scenarios!J4*Scenarios!F4,0)</f>
        <v>362</v>
      </c>
      <c r="M13">
        <f>BaselineCalc!$B$8 + Scenarios!J4 - ROUND(Scenarios!J4*Scenarios!F4,0)</f>
        <v>341</v>
      </c>
      <c r="N13" s="7">
        <f t="shared" si="1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0.4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2"/>
        <v>6479747.1749430001</v>
      </c>
      <c r="V13" s="2">
        <f t="shared" si="3"/>
        <v>0</v>
      </c>
      <c r="W13" s="2">
        <f t="shared" si="4"/>
        <v>6479747.1749430001</v>
      </c>
      <c r="X13" s="2">
        <f t="shared" si="5"/>
        <v>9217.2790539729722</v>
      </c>
      <c r="Y13" s="2">
        <f>INDEX(YearMap!$I$2:$I$6, MATCH(C13, YearMap!$A$2:$A$6, 0))</f>
        <v>5215.26</v>
      </c>
      <c r="Z13" s="2">
        <f>$W13-$Y13*$AC13</f>
        <v>2813419.3949429998</v>
      </c>
      <c r="AA13" s="2">
        <f t="shared" si="6"/>
        <v>4002.0190539729729</v>
      </c>
      <c r="AB13">
        <f>MAX(0, (MAX(0, $D13-BaselineCalc!$B$7) + MAX(0, $E13-BaselineCalc!$B$8)))</f>
        <v>150</v>
      </c>
      <c r="AC13">
        <f t="shared" si="7"/>
        <v>703</v>
      </c>
      <c r="AD13" s="2">
        <f t="shared" si="8"/>
        <v>3666327.7800000003</v>
      </c>
      <c r="AE13" s="2">
        <f>W13 - (1-Parameters!$B$2)*$G13*$AB13*$J13*(1-$K13)</f>
        <v>5755945.62880575</v>
      </c>
      <c r="AF13" s="2">
        <f t="shared" si="9"/>
        <v>-2089617.8488057498</v>
      </c>
      <c r="AG13" t="str">
        <f>B13&amp;"|"&amp;C13</f>
        <v>F_CoLocation_Echo_0|FY2027</v>
      </c>
    </row>
    <row r="14" spans="1:33" x14ac:dyDescent="0.35">
      <c r="A14" t="str">
        <f>AG14</f>
        <v>F_CoLocation_Echo_0|FY2028</v>
      </c>
      <c r="B14" t="str">
        <f>Scenarios!A4</f>
        <v>F_CoLocation_Echo_0</v>
      </c>
      <c r="C14" t="s">
        <v>23</v>
      </c>
      <c r="D14">
        <f>IF(Scenarios!D4=1,0, L14)</f>
        <v>362</v>
      </c>
      <c r="E14">
        <f>IF(Scenarios!E4=1,0, M14)</f>
        <v>341</v>
      </c>
      <c r="F14">
        <f t="shared" si="0"/>
        <v>703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0.05</v>
      </c>
      <c r="L14">
        <f>BaselineCalc!$B$7 + ROUND(Scenarios!K4*Scenarios!F4,0)</f>
        <v>362</v>
      </c>
      <c r="M14">
        <f>BaselineCalc!$B$8 + Scenarios!K4 - ROUND(Scenarios!K4*Scenarios!F4,0)</f>
        <v>341</v>
      </c>
      <c r="N14" s="7">
        <f t="shared" si="1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0.35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2"/>
        <v>6641740.8543165736</v>
      </c>
      <c r="V14" s="2">
        <f t="shared" si="3"/>
        <v>0</v>
      </c>
      <c r="W14" s="2">
        <f t="shared" si="4"/>
        <v>6641740.8543165736</v>
      </c>
      <c r="X14" s="2">
        <f t="shared" si="5"/>
        <v>9447.7110303222944</v>
      </c>
      <c r="Y14" s="2">
        <f>INDEX(YearMap!$I$2:$I$6, MATCH(C14, YearMap!$A$2:$A$6, 0))</f>
        <v>5319.5652</v>
      </c>
      <c r="Z14" s="2">
        <f>$W14-$Y14*$AC14</f>
        <v>2902086.5187165737</v>
      </c>
      <c r="AA14" s="2">
        <f t="shared" si="6"/>
        <v>4128.1458303222953</v>
      </c>
      <c r="AB14">
        <f>MAX(0, (MAX(0, $D14-BaselineCalc!$B$7) + MAX(0, $E14-BaselineCalc!$B$8)))</f>
        <v>150</v>
      </c>
      <c r="AC14">
        <f t="shared" si="7"/>
        <v>703</v>
      </c>
      <c r="AD14" s="2">
        <f t="shared" si="8"/>
        <v>3739654.3355999999</v>
      </c>
      <c r="AE14" s="2">
        <f>W14 - (1-Parameters!$B$2)*$G14*$AB14*$J14*(1-$K14)</f>
        <v>5899844.269525893</v>
      </c>
      <c r="AF14" s="2">
        <f t="shared" si="9"/>
        <v>-2160189.9339258932</v>
      </c>
      <c r="AG14" t="str">
        <f>B14&amp;"|"&amp;C14</f>
        <v>F_CoLocation_Echo_0|FY2028</v>
      </c>
    </row>
    <row r="15" spans="1:33" x14ac:dyDescent="0.35">
      <c r="A15" t="str">
        <f>AG15</f>
        <v>F_CoLocation_Echo_0|FY2029</v>
      </c>
      <c r="B15" t="str">
        <f>Scenarios!A4</f>
        <v>F_CoLocation_Echo_0</v>
      </c>
      <c r="C15" t="s">
        <v>24</v>
      </c>
      <c r="D15">
        <f>IF(Scenarios!D4=1,0, L15)</f>
        <v>362</v>
      </c>
      <c r="E15">
        <f>IF(Scenarios!E4=1,0, M15)</f>
        <v>341</v>
      </c>
      <c r="F15">
        <f t="shared" si="0"/>
        <v>703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0.05</v>
      </c>
      <c r="L15">
        <f>BaselineCalc!$B$7 + ROUND(Scenarios!L4*Scenarios!F4,0)</f>
        <v>362</v>
      </c>
      <c r="M15">
        <f>BaselineCalc!$B$8 + Scenarios!L4 - ROUND(Scenarios!L4*Scenarios!F4,0)</f>
        <v>341</v>
      </c>
      <c r="N15" s="7">
        <f t="shared" si="1"/>
        <v>0</v>
      </c>
      <c r="O15" s="7">
        <f>BaselineCalc!$B$22 * N15</f>
        <v>0</v>
      </c>
      <c r="P15">
        <f>YearMap!E5</f>
        <v>500</v>
      </c>
      <c r="Q15">
        <f>IF(Scenarios!N4="lease", YearMap!F5, YearMap!G5)</f>
        <v>0.3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2"/>
        <v>6807784.375674488</v>
      </c>
      <c r="V15" s="2">
        <f t="shared" si="3"/>
        <v>0</v>
      </c>
      <c r="W15" s="2">
        <f t="shared" si="4"/>
        <v>6807784.375674488</v>
      </c>
      <c r="X15" s="2">
        <f t="shared" si="5"/>
        <v>9683.9038060803523</v>
      </c>
      <c r="Y15" s="2">
        <f>INDEX(YearMap!$I$2:$I$6, MATCH(C15, YearMap!$A$2:$A$6, 0))</f>
        <v>5425.9565039999998</v>
      </c>
      <c r="Z15" s="2">
        <f>$W15-$Y15*$AC15</f>
        <v>2993336.9533624882</v>
      </c>
      <c r="AA15" s="2">
        <f t="shared" si="6"/>
        <v>4257.9473020803534</v>
      </c>
      <c r="AB15">
        <f>MAX(0, (MAX(0, $D15-BaselineCalc!$B$7) + MAX(0, $E15-BaselineCalc!$B$8)))</f>
        <v>150</v>
      </c>
      <c r="AC15">
        <f t="shared" si="7"/>
        <v>703</v>
      </c>
      <c r="AD15" s="2">
        <f t="shared" si="8"/>
        <v>3814447.4223119998</v>
      </c>
      <c r="AE15" s="2">
        <f>W15 - (1-Parameters!$B$2)*$G15*$AB15*$J15*(1-$K15)</f>
        <v>6047340.3762640404</v>
      </c>
      <c r="AF15" s="2">
        <f t="shared" si="9"/>
        <v>-2232892.9539520405</v>
      </c>
      <c r="AG15" t="str">
        <f>B15&amp;"|"&amp;C15</f>
        <v>F_CoLocation_Echo_0|FY2029</v>
      </c>
    </row>
    <row r="16" spans="1:33" x14ac:dyDescent="0.35">
      <c r="A16" t="str">
        <f>AG16</f>
        <v>F_CoLocation_Echo_0|FY2030</v>
      </c>
      <c r="B16" t="str">
        <f>Scenarios!A4</f>
        <v>F_CoLocation_Echo_0</v>
      </c>
      <c r="C16" t="s">
        <v>25</v>
      </c>
      <c r="D16">
        <f>IF(Scenarios!D4=1,0, L16)</f>
        <v>362</v>
      </c>
      <c r="E16">
        <f>IF(Scenarios!E4=1,0, M16)</f>
        <v>341</v>
      </c>
      <c r="F16">
        <f t="shared" si="0"/>
        <v>703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0.05</v>
      </c>
      <c r="L16">
        <f>BaselineCalc!$B$7 + ROUND(Scenarios!M4*Scenarios!F4,0)</f>
        <v>362</v>
      </c>
      <c r="M16">
        <f>BaselineCalc!$B$8 + Scenarios!M4 - ROUND(Scenarios!M4*Scenarios!F4,0)</f>
        <v>341</v>
      </c>
      <c r="N16" s="7">
        <f t="shared" si="1"/>
        <v>0</v>
      </c>
      <c r="O16" s="7">
        <f>BaselineCalc!$B$22 * N16</f>
        <v>0</v>
      </c>
      <c r="P16">
        <f>YearMap!E6</f>
        <v>400</v>
      </c>
      <c r="Q16">
        <f>IF(Scenarios!N4="lease", YearMap!F6, YearMap!G6)</f>
        <v>0.3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2"/>
        <v>6977978.9850663487</v>
      </c>
      <c r="V16" s="2">
        <f t="shared" si="3"/>
        <v>0</v>
      </c>
      <c r="W16" s="2">
        <f t="shared" si="4"/>
        <v>6977978.9850663487</v>
      </c>
      <c r="X16" s="2">
        <f t="shared" si="5"/>
        <v>9926.0014012323591</v>
      </c>
      <c r="Y16" s="2">
        <f>INDEX(YearMap!$I$2:$I$6, MATCH(C16, YearMap!$A$2:$A$6, 0))</f>
        <v>5534.4756340799995</v>
      </c>
      <c r="Z16" s="2">
        <f>$W16-$Y16*$AC16</f>
        <v>3087242.614308109</v>
      </c>
      <c r="AA16" s="2">
        <f t="shared" si="6"/>
        <v>4391.5257671523595</v>
      </c>
      <c r="AB16">
        <f>MAX(0, (MAX(0, $D16-BaselineCalc!$B$7) + MAX(0, $E16-BaselineCalc!$B$8)))</f>
        <v>150</v>
      </c>
      <c r="AC16">
        <f t="shared" si="7"/>
        <v>703</v>
      </c>
      <c r="AD16" s="2">
        <f t="shared" si="8"/>
        <v>3890736.3707582396</v>
      </c>
      <c r="AE16" s="2">
        <f>W16 - (1-Parameters!$B$2)*$G16*$AB16*$J16*(1-$K16)</f>
        <v>6198523.8856706396</v>
      </c>
      <c r="AF16" s="2">
        <f t="shared" si="9"/>
        <v>-2307787.5149123999</v>
      </c>
      <c r="AG16" t="str">
        <f>B16&amp;"|"&amp;C16</f>
        <v>F_CoLocation_Echo_0|FY2030</v>
      </c>
    </row>
    <row r="17" spans="1:33" x14ac:dyDescent="0.35">
      <c r="A17" t="str">
        <f>AG17</f>
        <v>D_Grow_Both_100|FY2026</v>
      </c>
      <c r="B17" t="str">
        <f>Scenarios!A5</f>
        <v>D_Grow_Both_100</v>
      </c>
      <c r="C17" t="s">
        <v>21</v>
      </c>
      <c r="D17">
        <f>IF(Scenarios!D5=1,0, L17)</f>
        <v>307</v>
      </c>
      <c r="E17">
        <f>IF(Scenarios!E5=1,0, M17)</f>
        <v>346</v>
      </c>
      <c r="F17">
        <f t="shared" si="0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1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0.5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2"/>
        <v>6300467.0315999994</v>
      </c>
      <c r="V17" s="2">
        <f t="shared" si="3"/>
        <v>0</v>
      </c>
      <c r="W17" s="2">
        <f t="shared" si="4"/>
        <v>6300467.0315999994</v>
      </c>
      <c r="X17" s="2">
        <f t="shared" si="5"/>
        <v>9648.4946885145473</v>
      </c>
      <c r="Y17" s="2">
        <f>INDEX(YearMap!$I$2:$I$6, MATCH(C17, YearMap!$A$2:$A$6, 0))</f>
        <v>5113</v>
      </c>
      <c r="Z17" s="2">
        <f>$W17-$Y17*$AC17</f>
        <v>2961678.0315999994</v>
      </c>
      <c r="AA17" s="2">
        <f t="shared" si="6"/>
        <v>4535.4946885145473</v>
      </c>
      <c r="AB17">
        <f>MAX(0, (MAX(0, $D17-BaselineCalc!$B$7) + MAX(0, $E17-BaselineCalc!$B$8)))</f>
        <v>100</v>
      </c>
      <c r="AC17">
        <f t="shared" si="7"/>
        <v>653</v>
      </c>
      <c r="AD17" s="2">
        <f t="shared" si="8"/>
        <v>3338789</v>
      </c>
      <c r="AE17" s="2">
        <f>W17 - (1-Parameters!$B$2)*$G17*$AB17*$J17*(1-$K17)</f>
        <v>5804924.6807999993</v>
      </c>
      <c r="AF17" s="2">
        <f t="shared" si="9"/>
        <v>-2466135.6807999993</v>
      </c>
      <c r="AG17" t="str">
        <f>B17&amp;"|"&amp;C17</f>
        <v>D_Grow_Both_100|FY2026</v>
      </c>
    </row>
    <row r="18" spans="1:33" x14ac:dyDescent="0.35">
      <c r="A18" t="str">
        <f>AG18</f>
        <v>D_Grow_Both_100|FY2027</v>
      </c>
      <c r="B18" t="str">
        <f>Scenarios!A5</f>
        <v>D_Grow_Both_100</v>
      </c>
      <c r="C18" t="s">
        <v>22</v>
      </c>
      <c r="D18">
        <f>IF(Scenarios!D5=1,0, L18)</f>
        <v>307</v>
      </c>
      <c r="E18">
        <f>IF(Scenarios!E5=1,0, M18)</f>
        <v>346</v>
      </c>
      <c r="F18">
        <f t="shared" si="0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1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0.4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2"/>
        <v>6457978.7073899982</v>
      </c>
      <c r="V18" s="2">
        <f t="shared" si="3"/>
        <v>0</v>
      </c>
      <c r="W18" s="2">
        <f t="shared" si="4"/>
        <v>6457978.7073899982</v>
      </c>
      <c r="X18" s="2">
        <f t="shared" si="5"/>
        <v>9889.7070557274092</v>
      </c>
      <c r="Y18" s="2">
        <f>INDEX(YearMap!$I$2:$I$6, MATCH(C18, YearMap!$A$2:$A$6, 0))</f>
        <v>5215.26</v>
      </c>
      <c r="Z18" s="2">
        <f>$W18-$Y18*$AC18</f>
        <v>3052413.927389998</v>
      </c>
      <c r="AA18" s="2">
        <f t="shared" si="6"/>
        <v>4674.447055727409</v>
      </c>
      <c r="AB18">
        <f>MAX(0, (MAX(0, $D18-BaselineCalc!$B$7) + MAX(0, $E18-BaselineCalc!$B$8)))</f>
        <v>100</v>
      </c>
      <c r="AC18">
        <f t="shared" si="7"/>
        <v>653</v>
      </c>
      <c r="AD18" s="2">
        <f t="shared" si="8"/>
        <v>3405564.7800000003</v>
      </c>
      <c r="AE18" s="2">
        <f>W18 - (1-Parameters!$B$2)*$G18*$AB18*$J18*(1-$K18)</f>
        <v>5950047.7978199981</v>
      </c>
      <c r="AF18" s="2">
        <f t="shared" si="9"/>
        <v>-2544483.0178199979</v>
      </c>
      <c r="AG18" t="str">
        <f>B18&amp;"|"&amp;C18</f>
        <v>D_Grow_Both_100|FY2027</v>
      </c>
    </row>
    <row r="19" spans="1:33" x14ac:dyDescent="0.35">
      <c r="A19" t="str">
        <f>AG19</f>
        <v>D_Grow_Both_100|FY2028</v>
      </c>
      <c r="B19" t="str">
        <f>Scenarios!A5</f>
        <v>D_Grow_Both_100</v>
      </c>
      <c r="C19" t="s">
        <v>23</v>
      </c>
      <c r="D19">
        <f>IF(Scenarios!D5=1,0, L19)</f>
        <v>307</v>
      </c>
      <c r="E19">
        <f>IF(Scenarios!E5=1,0, M19)</f>
        <v>346</v>
      </c>
      <c r="F19">
        <f t="shared" si="0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1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0.35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2"/>
        <v>6619428.1750747496</v>
      </c>
      <c r="V19" s="2">
        <f t="shared" si="3"/>
        <v>0</v>
      </c>
      <c r="W19" s="2">
        <f t="shared" si="4"/>
        <v>6619428.1750747496</v>
      </c>
      <c r="X19" s="2">
        <f t="shared" si="5"/>
        <v>10136.949732120596</v>
      </c>
      <c r="Y19" s="2">
        <f>INDEX(YearMap!$I$2:$I$6, MATCH(C19, YearMap!$A$2:$A$6, 0))</f>
        <v>5319.5652</v>
      </c>
      <c r="Z19" s="2">
        <f>$W19-$Y19*$AC19</f>
        <v>3145752.0994747495</v>
      </c>
      <c r="AA19" s="2">
        <f t="shared" si="6"/>
        <v>4817.3845321205963</v>
      </c>
      <c r="AB19">
        <f>MAX(0, (MAX(0, $D19-BaselineCalc!$B$7) + MAX(0, $E19-BaselineCalc!$B$8)))</f>
        <v>100</v>
      </c>
      <c r="AC19">
        <f t="shared" si="7"/>
        <v>653</v>
      </c>
      <c r="AD19" s="2">
        <f t="shared" si="8"/>
        <v>3473676.0756000001</v>
      </c>
      <c r="AE19" s="2">
        <f>W19 - (1-Parameters!$B$2)*$G19*$AB19*$J19*(1-$K19)</f>
        <v>6098798.9927654993</v>
      </c>
      <c r="AF19" s="2">
        <f t="shared" si="9"/>
        <v>-2625122.9171654992</v>
      </c>
      <c r="AG19" t="str">
        <f>B19&amp;"|"&amp;C19</f>
        <v>D_Grow_Both_100|FY2028</v>
      </c>
    </row>
    <row r="20" spans="1:33" x14ac:dyDescent="0.35">
      <c r="A20" t="str">
        <f>AG20</f>
        <v>D_Grow_Both_100|FY2029</v>
      </c>
      <c r="B20" t="str">
        <f>Scenarios!A5</f>
        <v>D_Grow_Both_100</v>
      </c>
      <c r="C20" t="s">
        <v>24</v>
      </c>
      <c r="D20">
        <f>IF(Scenarios!D5=1,0, L20)</f>
        <v>307</v>
      </c>
      <c r="E20">
        <f>IF(Scenarios!E5=1,0, M20)</f>
        <v>346</v>
      </c>
      <c r="F20">
        <f t="shared" si="0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1"/>
        <v>0</v>
      </c>
      <c r="O20" s="7">
        <f>BaselineCalc!$B$22 * N20</f>
        <v>0</v>
      </c>
      <c r="P20">
        <f>YearMap!E5</f>
        <v>500</v>
      </c>
      <c r="Q20">
        <f>IF(Scenarios!N5="lease", YearMap!F5, YearMap!G5)</f>
        <v>0.3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2"/>
        <v>6784913.8794516167</v>
      </c>
      <c r="V20" s="2">
        <f t="shared" si="3"/>
        <v>0</v>
      </c>
      <c r="W20" s="2">
        <f t="shared" si="4"/>
        <v>6784913.8794516167</v>
      </c>
      <c r="X20" s="2">
        <f t="shared" si="5"/>
        <v>10390.373475423608</v>
      </c>
      <c r="Y20" s="2">
        <f>INDEX(YearMap!$I$2:$I$6, MATCH(C20, YearMap!$A$2:$A$6, 0))</f>
        <v>5425.9565039999998</v>
      </c>
      <c r="Z20" s="2">
        <f>$W20-$Y20*$AC20</f>
        <v>3241764.2823396167</v>
      </c>
      <c r="AA20" s="2">
        <f t="shared" si="6"/>
        <v>4964.4169714236086</v>
      </c>
      <c r="AB20">
        <f>MAX(0, (MAX(0, $D20-BaselineCalc!$B$7) + MAX(0, $E20-BaselineCalc!$B$8)))</f>
        <v>100</v>
      </c>
      <c r="AC20">
        <f t="shared" si="7"/>
        <v>653</v>
      </c>
      <c r="AD20" s="2">
        <f t="shared" si="8"/>
        <v>3543149.597112</v>
      </c>
      <c r="AE20" s="2">
        <f>W20 - (1-Parameters!$B$2)*$G20*$AB20*$J20*(1-$K20)</f>
        <v>6251268.9675846361</v>
      </c>
      <c r="AF20" s="2">
        <f t="shared" si="9"/>
        <v>-2708119.3704726361</v>
      </c>
      <c r="AG20" t="str">
        <f>B20&amp;"|"&amp;C20</f>
        <v>D_Grow_Both_100|FY2029</v>
      </c>
    </row>
    <row r="21" spans="1:33" x14ac:dyDescent="0.35">
      <c r="A21" t="str">
        <f>AG21</f>
        <v>D_Grow_Both_100|FY2030</v>
      </c>
      <c r="B21" t="str">
        <f>Scenarios!A5</f>
        <v>D_Grow_Both_100</v>
      </c>
      <c r="C21" t="s">
        <v>25</v>
      </c>
      <c r="D21">
        <f>IF(Scenarios!D5=1,0, L21)</f>
        <v>307</v>
      </c>
      <c r="E21">
        <f>IF(Scenarios!E5=1,0, M21)</f>
        <v>346</v>
      </c>
      <c r="F21">
        <f t="shared" si="0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1"/>
        <v>0</v>
      </c>
      <c r="O21" s="7">
        <f>BaselineCalc!$B$22 * N21</f>
        <v>0</v>
      </c>
      <c r="P21">
        <f>YearMap!E6</f>
        <v>400</v>
      </c>
      <c r="Q21">
        <f>IF(Scenarios!N5="lease", YearMap!F6, YearMap!G6)</f>
        <v>0.3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2"/>
        <v>6954536.7264379077</v>
      </c>
      <c r="V21" s="2">
        <f t="shared" si="3"/>
        <v>0</v>
      </c>
      <c r="W21" s="2">
        <f t="shared" si="4"/>
        <v>6954536.7264379077</v>
      </c>
      <c r="X21" s="2">
        <f t="shared" si="5"/>
        <v>10650.132812309201</v>
      </c>
      <c r="Y21" s="2">
        <f>INDEX(YearMap!$I$2:$I$6, MATCH(C21, YearMap!$A$2:$A$6, 0))</f>
        <v>5534.4756340799995</v>
      </c>
      <c r="Z21" s="2">
        <f>$W21-$Y21*$AC21</f>
        <v>3340524.1373836682</v>
      </c>
      <c r="AA21" s="2">
        <f t="shared" si="6"/>
        <v>5115.6571782292012</v>
      </c>
      <c r="AB21">
        <f>MAX(0, (MAX(0, $D21-BaselineCalc!$B$7) + MAX(0, $E21-BaselineCalc!$B$8)))</f>
        <v>100</v>
      </c>
      <c r="AC21">
        <f t="shared" si="7"/>
        <v>653</v>
      </c>
      <c r="AD21" s="2">
        <f t="shared" si="8"/>
        <v>3614012.5890542394</v>
      </c>
      <c r="AE21" s="2">
        <f>W21 - (1-Parameters!$B$2)*$G21*$AB21*$J21*(1-$K21)</f>
        <v>6407550.6917742519</v>
      </c>
      <c r="AF21" s="2">
        <f t="shared" si="9"/>
        <v>-2793538.1027200124</v>
      </c>
      <c r="AG21" t="str">
        <f>B21&amp;"|"&amp;C21</f>
        <v>D_Grow_Both_100|FY2030</v>
      </c>
    </row>
    <row r="22" spans="1:33" x14ac:dyDescent="0.35">
      <c r="A22" t="str">
        <f>AG22</f>
        <v>D_Grow_Both_150|FY2026</v>
      </c>
      <c r="B22" t="str">
        <f>Scenarios!A6</f>
        <v>D_Grow_Both_150</v>
      </c>
      <c r="C22" t="s">
        <v>21</v>
      </c>
      <c r="D22">
        <f>IF(Scenarios!D6=1,0, L22)</f>
        <v>382</v>
      </c>
      <c r="E22">
        <f>IF(Scenarios!E6=1,0, M22)</f>
        <v>421</v>
      </c>
      <c r="F22">
        <f t="shared" si="0"/>
        <v>803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382</v>
      </c>
      <c r="M22">
        <f>BaselineCalc!$B$8 + Scenarios!I6 - ROUND(Scenarios!I6*Scenarios!F6,0)</f>
        <v>421</v>
      </c>
      <c r="N22" s="7">
        <f t="shared" si="1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0.5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2"/>
        <v>7362343.4975999994</v>
      </c>
      <c r="V22" s="2">
        <f t="shared" si="3"/>
        <v>0</v>
      </c>
      <c r="W22" s="2">
        <f t="shared" si="4"/>
        <v>7362343.4975999994</v>
      </c>
      <c r="X22" s="2">
        <f t="shared" si="5"/>
        <v>9168.5473195516806</v>
      </c>
      <c r="Y22" s="2">
        <f>INDEX(YearMap!$I$2:$I$6, MATCH(C22, YearMap!$A$2:$A$6, 0))</f>
        <v>5113</v>
      </c>
      <c r="Z22" s="2">
        <f>$W22-$Y22*$AC22</f>
        <v>3256604.4975999994</v>
      </c>
      <c r="AA22" s="2">
        <f t="shared" si="6"/>
        <v>4055.5473195516806</v>
      </c>
      <c r="AB22">
        <f>MAX(0, (MAX(0, $D22-BaselineCalc!$B$7) + MAX(0, $E22-BaselineCalc!$B$8)))</f>
        <v>250</v>
      </c>
      <c r="AC22">
        <f t="shared" si="7"/>
        <v>803</v>
      </c>
      <c r="AD22" s="2">
        <f t="shared" si="8"/>
        <v>4105739</v>
      </c>
      <c r="AE22" s="2">
        <f>W22 - (1-Parameters!$B$2)*$G22*$AB22*$J22*(1-$K22)</f>
        <v>6123487.6206</v>
      </c>
      <c r="AF22" s="2">
        <f t="shared" si="9"/>
        <v>-2017748.6206</v>
      </c>
      <c r="AG22" t="str">
        <f>B22&amp;"|"&amp;C22</f>
        <v>D_Grow_Both_150|FY2026</v>
      </c>
    </row>
    <row r="23" spans="1:33" x14ac:dyDescent="0.35">
      <c r="A23" t="str">
        <f>AG23</f>
        <v>D_Grow_Both_150|FY2027</v>
      </c>
      <c r="B23" t="str">
        <f>Scenarios!A6</f>
        <v>D_Grow_Both_150</v>
      </c>
      <c r="C23" t="s">
        <v>22</v>
      </c>
      <c r="D23">
        <f>IF(Scenarios!D6=1,0, L23)</f>
        <v>382</v>
      </c>
      <c r="E23">
        <f>IF(Scenarios!E6=1,0, M23)</f>
        <v>421</v>
      </c>
      <c r="F23">
        <f t="shared" si="0"/>
        <v>803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382</v>
      </c>
      <c r="M23">
        <f>BaselineCalc!$B$8 + Scenarios!J6 - ROUND(Scenarios!J6*Scenarios!F6,0)</f>
        <v>421</v>
      </c>
      <c r="N23" s="7">
        <f t="shared" si="1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0.4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2"/>
        <v>7546402.0850399993</v>
      </c>
      <c r="V23" s="2">
        <f t="shared" si="3"/>
        <v>0</v>
      </c>
      <c r="W23" s="2">
        <f t="shared" si="4"/>
        <v>7546402.0850399993</v>
      </c>
      <c r="X23" s="2">
        <f t="shared" si="5"/>
        <v>9397.761002540472</v>
      </c>
      <c r="Y23" s="2">
        <f>INDEX(YearMap!$I$2:$I$6, MATCH(C23, YearMap!$A$2:$A$6, 0))</f>
        <v>5215.26</v>
      </c>
      <c r="Z23" s="2">
        <f>$W23-$Y23*$AC23</f>
        <v>3358548.3050399991</v>
      </c>
      <c r="AA23" s="2">
        <f t="shared" si="6"/>
        <v>4182.5010025404717</v>
      </c>
      <c r="AB23">
        <f>MAX(0, (MAX(0, $D23-BaselineCalc!$B$7) + MAX(0, $E23-BaselineCalc!$B$8)))</f>
        <v>250</v>
      </c>
      <c r="AC23">
        <f t="shared" si="7"/>
        <v>803</v>
      </c>
      <c r="AD23" s="2">
        <f t="shared" si="8"/>
        <v>4187853.7800000003</v>
      </c>
      <c r="AE23" s="2">
        <f>W23 - (1-Parameters!$B$2)*$G23*$AB23*$J23*(1-$K23)</f>
        <v>6276574.8111149995</v>
      </c>
      <c r="AF23" s="2">
        <f t="shared" si="9"/>
        <v>-2088721.0311149992</v>
      </c>
      <c r="AG23" t="str">
        <f>B23&amp;"|"&amp;C23</f>
        <v>D_Grow_Both_150|FY2027</v>
      </c>
    </row>
    <row r="24" spans="1:33" x14ac:dyDescent="0.35">
      <c r="A24" t="str">
        <f>AG24</f>
        <v>D_Grow_Both_150|FY2028</v>
      </c>
      <c r="B24" t="str">
        <f>Scenarios!A6</f>
        <v>D_Grow_Both_150</v>
      </c>
      <c r="C24" t="s">
        <v>23</v>
      </c>
      <c r="D24">
        <f>IF(Scenarios!D6=1,0, L24)</f>
        <v>382</v>
      </c>
      <c r="E24">
        <f>IF(Scenarios!E6=1,0, M24)</f>
        <v>421</v>
      </c>
      <c r="F24">
        <f t="shared" si="0"/>
        <v>803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382</v>
      </c>
      <c r="M24">
        <f>BaselineCalc!$B$8 + Scenarios!K6 - ROUND(Scenarios!K6*Scenarios!F6,0)</f>
        <v>421</v>
      </c>
      <c r="N24" s="7">
        <f t="shared" si="1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0.35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2"/>
        <v>7735062.137165999</v>
      </c>
      <c r="V24" s="2">
        <f t="shared" si="3"/>
        <v>0</v>
      </c>
      <c r="W24" s="2">
        <f t="shared" si="4"/>
        <v>7735062.137165999</v>
      </c>
      <c r="X24" s="2">
        <f t="shared" si="5"/>
        <v>9632.7050276039845</v>
      </c>
      <c r="Y24" s="2">
        <f>INDEX(YearMap!$I$2:$I$6, MATCH(C24, YearMap!$A$2:$A$6, 0))</f>
        <v>5319.5652</v>
      </c>
      <c r="Z24" s="2">
        <f>$W24-$Y24*$AC24</f>
        <v>3463451.2815659987</v>
      </c>
      <c r="AA24" s="2">
        <f t="shared" si="6"/>
        <v>4313.1398276039836</v>
      </c>
      <c r="AB24">
        <f>MAX(0, (MAX(0, $D24-BaselineCalc!$B$7) + MAX(0, $E24-BaselineCalc!$B$8)))</f>
        <v>250</v>
      </c>
      <c r="AC24">
        <f t="shared" si="7"/>
        <v>803</v>
      </c>
      <c r="AD24" s="2">
        <f t="shared" si="8"/>
        <v>4271610.8556000004</v>
      </c>
      <c r="AE24" s="2">
        <f>W24 - (1-Parameters!$B$2)*$G24*$AB24*$J24*(1-$K24)</f>
        <v>6433489.1813928746</v>
      </c>
      <c r="AF24" s="2">
        <f t="shared" si="9"/>
        <v>-2161878.3257928742</v>
      </c>
      <c r="AG24" t="str">
        <f>B24&amp;"|"&amp;C24</f>
        <v>D_Grow_Both_150|FY2028</v>
      </c>
    </row>
    <row r="25" spans="1:33" x14ac:dyDescent="0.35">
      <c r="A25" t="str">
        <f>AG25</f>
        <v>D_Grow_Both_150|FY2029</v>
      </c>
      <c r="B25" t="str">
        <f>Scenarios!A6</f>
        <v>D_Grow_Both_150</v>
      </c>
      <c r="C25" t="s">
        <v>24</v>
      </c>
      <c r="D25">
        <f>IF(Scenarios!D6=1,0, L25)</f>
        <v>382</v>
      </c>
      <c r="E25">
        <f>IF(Scenarios!E6=1,0, M25)</f>
        <v>421</v>
      </c>
      <c r="F25">
        <f t="shared" si="0"/>
        <v>803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382</v>
      </c>
      <c r="M25">
        <f>BaselineCalc!$B$8 + Scenarios!L6 - ROUND(Scenarios!L6*Scenarios!F6,0)</f>
        <v>421</v>
      </c>
      <c r="N25" s="7">
        <f t="shared" si="1"/>
        <v>0</v>
      </c>
      <c r="O25" s="7">
        <f>BaselineCalc!$B$22 * N25</f>
        <v>0</v>
      </c>
      <c r="P25">
        <f>YearMap!E5</f>
        <v>500</v>
      </c>
      <c r="Q25">
        <f>IF(Scenarios!N6="lease", YearMap!F5, YearMap!G5)</f>
        <v>0.3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2"/>
        <v>7928438.6905951472</v>
      </c>
      <c r="V25" s="2">
        <f t="shared" si="3"/>
        <v>0</v>
      </c>
      <c r="W25" s="2">
        <f t="shared" si="4"/>
        <v>7928438.6905951472</v>
      </c>
      <c r="X25" s="2">
        <f t="shared" si="5"/>
        <v>9873.5226532940815</v>
      </c>
      <c r="Y25" s="2">
        <f>INDEX(YearMap!$I$2:$I$6, MATCH(C25, YearMap!$A$2:$A$6, 0))</f>
        <v>5425.9565039999998</v>
      </c>
      <c r="Z25" s="2">
        <f>$W25-$Y25*$AC25</f>
        <v>3571395.6178831477</v>
      </c>
      <c r="AA25" s="2">
        <f t="shared" si="6"/>
        <v>4447.5661492940817</v>
      </c>
      <c r="AB25">
        <f>MAX(0, (MAX(0, $D25-BaselineCalc!$B$7) + MAX(0, $E25-BaselineCalc!$B$8)))</f>
        <v>250</v>
      </c>
      <c r="AC25">
        <f t="shared" si="7"/>
        <v>803</v>
      </c>
      <c r="AD25" s="2">
        <f t="shared" si="8"/>
        <v>4357043.0727119995</v>
      </c>
      <c r="AE25" s="2">
        <f>W25 - (1-Parameters!$B$2)*$G25*$AB25*$J25*(1-$K25)</f>
        <v>6594326.4109276943</v>
      </c>
      <c r="AF25" s="2">
        <f t="shared" si="9"/>
        <v>-2237283.3382156948</v>
      </c>
      <c r="AG25" t="str">
        <f>B25&amp;"|"&amp;C25</f>
        <v>D_Grow_Both_150|FY2029</v>
      </c>
    </row>
    <row r="26" spans="1:33" x14ac:dyDescent="0.35">
      <c r="A26" t="str">
        <f>AG26</f>
        <v>D_Grow_Both_150|FY2030</v>
      </c>
      <c r="B26" t="str">
        <f>Scenarios!A6</f>
        <v>D_Grow_Both_150</v>
      </c>
      <c r="C26" t="s">
        <v>25</v>
      </c>
      <c r="D26">
        <f>IF(Scenarios!D6=1,0, L26)</f>
        <v>382</v>
      </c>
      <c r="E26">
        <f>IF(Scenarios!E6=1,0, M26)</f>
        <v>421</v>
      </c>
      <c r="F26">
        <f t="shared" si="0"/>
        <v>803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382</v>
      </c>
      <c r="M26">
        <f>BaselineCalc!$B$8 + Scenarios!M6 - ROUND(Scenarios!M6*Scenarios!F6,0)</f>
        <v>421</v>
      </c>
      <c r="N26" s="7">
        <f t="shared" si="1"/>
        <v>0</v>
      </c>
      <c r="O26" s="7">
        <f>BaselineCalc!$B$22 * N26</f>
        <v>0</v>
      </c>
      <c r="P26">
        <f>YearMap!E6</f>
        <v>400</v>
      </c>
      <c r="Q26">
        <f>IF(Scenarios!N6="lease", YearMap!F6, YearMap!G6)</f>
        <v>0.3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2"/>
        <v>8126649.6578600258</v>
      </c>
      <c r="V26" s="2">
        <f t="shared" si="3"/>
        <v>0</v>
      </c>
      <c r="W26" s="2">
        <f t="shared" si="4"/>
        <v>8126649.6578600258</v>
      </c>
      <c r="X26" s="2">
        <f t="shared" si="5"/>
        <v>10120.360719626433</v>
      </c>
      <c r="Y26" s="2">
        <f>INDEX(YearMap!$I$2:$I$6, MATCH(C26, YearMap!$A$2:$A$6, 0))</f>
        <v>5534.4756340799995</v>
      </c>
      <c r="Z26" s="2">
        <f>$W26-$Y26*$AC26</f>
        <v>3682465.7236937862</v>
      </c>
      <c r="AA26" s="2">
        <f t="shared" si="6"/>
        <v>4585.8850855464334</v>
      </c>
      <c r="AB26">
        <f>MAX(0, (MAX(0, $D26-BaselineCalc!$B$7) + MAX(0, $E26-BaselineCalc!$B$8)))</f>
        <v>250</v>
      </c>
      <c r="AC26">
        <f t="shared" si="7"/>
        <v>803</v>
      </c>
      <c r="AD26" s="2">
        <f t="shared" si="8"/>
        <v>4444183.9341662396</v>
      </c>
      <c r="AE26" s="2">
        <f>W26 - (1-Parameters!$B$2)*$G26*$AB26*$J26*(1-$K26)</f>
        <v>6759184.5712008867</v>
      </c>
      <c r="AF26" s="2">
        <f t="shared" si="9"/>
        <v>-2315000.6370346472</v>
      </c>
      <c r="AG26" t="str">
        <f>B26&amp;"|"&amp;C26</f>
        <v>D_Grow_Both_150|FY2030</v>
      </c>
    </row>
    <row r="27" spans="1:33" x14ac:dyDescent="0.35">
      <c r="A27" t="str">
        <f>AG27</f>
        <v>G_DHub_EchoRamp|FY2026</v>
      </c>
      <c r="B27" t="str">
        <f>Scenarios!A7</f>
        <v>G_DHub_EchoRamp</v>
      </c>
      <c r="C27" t="s">
        <v>21</v>
      </c>
      <c r="D27">
        <f>IF(Scenarios!D7=1,0, L27)</f>
        <v>292</v>
      </c>
      <c r="E27">
        <f>IF(Scenarios!E7=1,0, M27)</f>
        <v>311</v>
      </c>
      <c r="F27">
        <f t="shared" si="0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1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0.5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2"/>
        <v>5946508.2095999988</v>
      </c>
      <c r="V27" s="2">
        <f t="shared" si="3"/>
        <v>0</v>
      </c>
      <c r="W27" s="2">
        <f t="shared" si="4"/>
        <v>5946508.2095999988</v>
      </c>
      <c r="X27" s="2">
        <f t="shared" si="5"/>
        <v>9861.5393194029839</v>
      </c>
      <c r="Y27" s="2">
        <f>INDEX(YearMap!$I$2:$I$6, MATCH(C27, YearMap!$A$2:$A$6, 0))</f>
        <v>5113</v>
      </c>
      <c r="Z27" s="2">
        <f>$W27-$Y27*$AC27</f>
        <v>2863369.2095999988</v>
      </c>
      <c r="AA27" s="2">
        <f t="shared" si="6"/>
        <v>4748.539319402983</v>
      </c>
      <c r="AB27">
        <f>MAX(0, (MAX(0, $D27-BaselineCalc!$B$7) + MAX(0, $E27-BaselineCalc!$B$8)))</f>
        <v>50</v>
      </c>
      <c r="AC27">
        <f t="shared" si="7"/>
        <v>603</v>
      </c>
      <c r="AD27" s="2">
        <f t="shared" si="8"/>
        <v>3083139</v>
      </c>
      <c r="AE27" s="2">
        <f>W27 - (1-Parameters!$B$2)*$G27*$AB27*$J27*(1-$K27)</f>
        <v>5698737.0341999987</v>
      </c>
      <c r="AF27" s="2">
        <f t="shared" si="9"/>
        <v>-2615598.0341999987</v>
      </c>
      <c r="AG27" t="str">
        <f>B27&amp;"|"&amp;C27</f>
        <v>G_DHub_EchoRamp|FY2026</v>
      </c>
    </row>
    <row r="28" spans="1:33" x14ac:dyDescent="0.35">
      <c r="A28" t="str">
        <f>AG28</f>
        <v>G_DHub_EchoRamp|FY2027</v>
      </c>
      <c r="B28" t="str">
        <f>Scenarios!A7</f>
        <v>G_DHub_EchoRamp</v>
      </c>
      <c r="C28" t="s">
        <v>22</v>
      </c>
      <c r="D28">
        <f>IF(Scenarios!D7=1,0, L28)</f>
        <v>327</v>
      </c>
      <c r="E28">
        <f>IF(Scenarios!E7=1,0, M28)</f>
        <v>326</v>
      </c>
      <c r="F28">
        <f t="shared" si="0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1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0.4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2"/>
        <v>6457978.7073899982</v>
      </c>
      <c r="V28" s="2">
        <f t="shared" si="3"/>
        <v>0</v>
      </c>
      <c r="W28" s="2">
        <f t="shared" si="4"/>
        <v>6457978.7073899982</v>
      </c>
      <c r="X28" s="2">
        <f t="shared" si="5"/>
        <v>9889.7070557274092</v>
      </c>
      <c r="Y28" s="2">
        <f>INDEX(YearMap!$I$2:$I$6, MATCH(C28, YearMap!$A$2:$A$6, 0))</f>
        <v>5215.26</v>
      </c>
      <c r="Z28" s="2">
        <f>$W28-$Y28*$AC28</f>
        <v>3052413.927389998</v>
      </c>
      <c r="AA28" s="2">
        <f t="shared" si="6"/>
        <v>4674.447055727409</v>
      </c>
      <c r="AB28">
        <f>MAX(0, (MAX(0, $D28-BaselineCalc!$B$7) + MAX(0, $E28-BaselineCalc!$B$8)))</f>
        <v>100</v>
      </c>
      <c r="AC28">
        <f t="shared" si="7"/>
        <v>653</v>
      </c>
      <c r="AD28" s="2">
        <f t="shared" si="8"/>
        <v>3405564.7800000003</v>
      </c>
      <c r="AE28" s="2">
        <f>W28 - (1-Parameters!$B$2)*$G28*$AB28*$J28*(1-$K28)</f>
        <v>5950047.7978199981</v>
      </c>
      <c r="AF28" s="2">
        <f t="shared" si="9"/>
        <v>-2544483.0178199979</v>
      </c>
      <c r="AG28" t="str">
        <f>B28&amp;"|"&amp;C28</f>
        <v>G_DHub_EchoRamp|FY2027</v>
      </c>
    </row>
    <row r="29" spans="1:33" x14ac:dyDescent="0.35">
      <c r="A29" t="str">
        <f>AG29</f>
        <v>G_DHub_EchoRamp|FY2028</v>
      </c>
      <c r="B29" t="str">
        <f>Scenarios!A7</f>
        <v>G_DHub_EchoRamp</v>
      </c>
      <c r="C29" t="s">
        <v>23</v>
      </c>
      <c r="D29">
        <f>IF(Scenarios!D7=1,0, L29)</f>
        <v>362</v>
      </c>
      <c r="E29">
        <f>IF(Scenarios!E7=1,0, M29)</f>
        <v>341</v>
      </c>
      <c r="F29">
        <f t="shared" si="0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1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0.35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2"/>
        <v>6991306.1624384988</v>
      </c>
      <c r="V29" s="2">
        <f t="shared" si="3"/>
        <v>0</v>
      </c>
      <c r="W29" s="2">
        <f t="shared" si="4"/>
        <v>6991306.1624384988</v>
      </c>
      <c r="X29" s="2">
        <f t="shared" si="5"/>
        <v>9944.9589792866263</v>
      </c>
      <c r="Y29" s="2">
        <f>INDEX(YearMap!$I$2:$I$6, MATCH(C29, YearMap!$A$2:$A$6, 0))</f>
        <v>5319.5652</v>
      </c>
      <c r="Z29" s="2">
        <f>$W29-$Y29*$AC29</f>
        <v>3251651.8268384989</v>
      </c>
      <c r="AA29" s="2">
        <f t="shared" si="6"/>
        <v>4625.3937792866273</v>
      </c>
      <c r="AB29">
        <f>MAX(0, (MAX(0, $D29-BaselineCalc!$B$7) + MAX(0, $E29-BaselineCalc!$B$8)))</f>
        <v>150</v>
      </c>
      <c r="AC29">
        <f t="shared" si="7"/>
        <v>703</v>
      </c>
      <c r="AD29" s="2">
        <f t="shared" si="8"/>
        <v>3739654.3355999999</v>
      </c>
      <c r="AE29" s="2">
        <f>W29 - (1-Parameters!$B$2)*$G29*$AB29*$J29*(1-$K29)</f>
        <v>6210362.3889746238</v>
      </c>
      <c r="AF29" s="2">
        <f t="shared" si="9"/>
        <v>-2470708.0533746239</v>
      </c>
      <c r="AG29" t="str">
        <f>B29&amp;"|"&amp;C29</f>
        <v>G_DHub_EchoRamp|FY2028</v>
      </c>
    </row>
    <row r="30" spans="1:33" x14ac:dyDescent="0.35">
      <c r="A30" t="str">
        <f>AG30</f>
        <v>G_DHub_EchoRamp|FY2029</v>
      </c>
      <c r="B30" t="str">
        <f>Scenarios!A7</f>
        <v>G_DHub_EchoRamp</v>
      </c>
      <c r="C30" t="s">
        <v>24</v>
      </c>
      <c r="D30">
        <f>IF(Scenarios!D7=1,0, L30)</f>
        <v>362</v>
      </c>
      <c r="E30">
        <f>IF(Scenarios!E7=1,0, M30)</f>
        <v>341</v>
      </c>
      <c r="F30">
        <f t="shared" si="0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1"/>
        <v>0</v>
      </c>
      <c r="O30" s="7">
        <f>BaselineCalc!$B$22 * N30</f>
        <v>0</v>
      </c>
      <c r="P30">
        <f>YearMap!E5</f>
        <v>500</v>
      </c>
      <c r="Q30">
        <f>IF(Scenarios!N7="lease", YearMap!F5, YearMap!G5)</f>
        <v>0.3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2"/>
        <v>7166088.8164994614</v>
      </c>
      <c r="V30" s="2">
        <f t="shared" si="3"/>
        <v>0</v>
      </c>
      <c r="W30" s="2">
        <f t="shared" si="4"/>
        <v>7166088.8164994614</v>
      </c>
      <c r="X30" s="2">
        <f t="shared" si="5"/>
        <v>10193.582953768793</v>
      </c>
      <c r="Y30" s="2">
        <f>INDEX(YearMap!$I$2:$I$6, MATCH(C30, YearMap!$A$2:$A$6, 0))</f>
        <v>5425.9565039999998</v>
      </c>
      <c r="Z30" s="2">
        <f>$W30-$Y30*$AC30</f>
        <v>3351641.3941874616</v>
      </c>
      <c r="AA30" s="2">
        <f t="shared" si="6"/>
        <v>4767.6264497687935</v>
      </c>
      <c r="AB30">
        <f>MAX(0, (MAX(0, $D30-BaselineCalc!$B$7) + MAX(0, $E30-BaselineCalc!$B$8)))</f>
        <v>150</v>
      </c>
      <c r="AC30">
        <f t="shared" si="7"/>
        <v>703</v>
      </c>
      <c r="AD30" s="2">
        <f t="shared" si="8"/>
        <v>3814447.4223119998</v>
      </c>
      <c r="AE30" s="2">
        <f>W30 - (1-Parameters!$B$2)*$G30*$AB30*$J30*(1-$K30)</f>
        <v>6365621.44869899</v>
      </c>
      <c r="AF30" s="2">
        <f t="shared" si="9"/>
        <v>-2551174.0263869902</v>
      </c>
      <c r="AG30" t="str">
        <f>B30&amp;"|"&amp;C30</f>
        <v>G_DHub_EchoRamp|FY2029</v>
      </c>
    </row>
    <row r="31" spans="1:33" x14ac:dyDescent="0.35">
      <c r="A31" t="str">
        <f>AG31</f>
        <v>G_DHub_EchoRamp|FY2030</v>
      </c>
      <c r="B31" t="str">
        <f>Scenarios!A7</f>
        <v>G_DHub_EchoRamp</v>
      </c>
      <c r="C31" t="s">
        <v>25</v>
      </c>
      <c r="D31">
        <f>IF(Scenarios!D7=1,0, L31)</f>
        <v>362</v>
      </c>
      <c r="E31">
        <f>IF(Scenarios!E7=1,0, M31)</f>
        <v>341</v>
      </c>
      <c r="F31">
        <f t="shared" si="0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1"/>
        <v>0</v>
      </c>
      <c r="O31" s="7">
        <f>BaselineCalc!$B$22 * N31</f>
        <v>0</v>
      </c>
      <c r="P31">
        <f>YearMap!E6</f>
        <v>400</v>
      </c>
      <c r="Q31">
        <f>IF(Scenarios!N7="lease", YearMap!F6, YearMap!G6)</f>
        <v>0.3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>(R31+S31+G31*F31)*J31*(1-K31)</f>
        <v>7345241.0369119467</v>
      </c>
      <c r="V31" s="2">
        <f t="shared" si="3"/>
        <v>0</v>
      </c>
      <c r="W31" s="2">
        <f>U31+V31+T31</f>
        <v>7345241.0369119467</v>
      </c>
      <c r="X31" s="2">
        <f t="shared" si="5"/>
        <v>10448.422527613011</v>
      </c>
      <c r="Y31" s="2">
        <f>INDEX(YearMap!$I$2:$I$6, MATCH(C31, YearMap!$A$2:$A$6, 0))</f>
        <v>5534.4756340799995</v>
      </c>
      <c r="Z31" s="2">
        <f>$W31-$Y31*$AC31</f>
        <v>3454504.6661537071</v>
      </c>
      <c r="AA31" s="2">
        <f t="shared" si="6"/>
        <v>4913.9468935330115</v>
      </c>
      <c r="AB31">
        <f>MAX(0, (MAX(0, $D31-BaselineCalc!$B$7) + MAX(0, $E31-BaselineCalc!$B$8)))</f>
        <v>150</v>
      </c>
      <c r="AC31">
        <f t="shared" si="7"/>
        <v>703</v>
      </c>
      <c r="AD31" s="2">
        <f t="shared" si="8"/>
        <v>3890736.3707582396</v>
      </c>
      <c r="AE31" s="2">
        <f>W31 - (1-Parameters!$B$2)*$G31*$AB31*$J31*(1-$K31)</f>
        <v>6524761.9849164635</v>
      </c>
      <c r="AF31" s="2">
        <f t="shared" si="9"/>
        <v>-2634025.6141582238</v>
      </c>
      <c r="AG31" t="str">
        <f>B31&amp;"|"&amp;C31</f>
        <v>G_DHub_EchoRamp|FY2030</v>
      </c>
    </row>
    <row r="32" spans="1:33" x14ac:dyDescent="0.35">
      <c r="A32" t="str">
        <f>AG32</f>
        <v>A_Repurpose_Both_lease|FY2026</v>
      </c>
      <c r="B32" t="str">
        <f>Scenarios!A8</f>
        <v>A_Repurpose_Both_lease</v>
      </c>
      <c r="C32" t="s">
        <v>21</v>
      </c>
      <c r="D32">
        <f>IF(Scenarios!D8=1,0, L32)</f>
        <v>0</v>
      </c>
      <c r="E32">
        <f>IF(Scenarios!E8=1,0, M32)</f>
        <v>0</v>
      </c>
      <c r="F32">
        <f t="shared" si="0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1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>(R32+S32+G32*F32)*J32*(1-K32)</f>
        <v>671105.92651200003</v>
      </c>
      <c r="V32" s="2">
        <f t="shared" si="3"/>
        <v>3371535.9299999997</v>
      </c>
      <c r="W32" s="2">
        <f t="shared" si="4"/>
        <v>6442641.8565119999</v>
      </c>
      <c r="X32" s="2">
        <f t="shared" si="5"/>
        <v>15533.795916846293</v>
      </c>
      <c r="Y32" s="2">
        <f>INDEX(YearMap!$I$2:$I$6, MATCH(C32, YearMap!$A$2:$A$6, 0))</f>
        <v>5113</v>
      </c>
      <c r="Z32" s="2">
        <f>$W32-$Y32*$AC32</f>
        <v>4322025.1065119999</v>
      </c>
      <c r="AA32" s="2">
        <f t="shared" si="6"/>
        <v>10420.795916846293</v>
      </c>
      <c r="AB32">
        <f>MAX(0, (MAX(0, $D32-BaselineCalc!$B$7) + MAX(0, $E32-BaselineCalc!$B$8)))</f>
        <v>0</v>
      </c>
      <c r="AC32">
        <f t="shared" si="7"/>
        <v>414.75</v>
      </c>
      <c r="AD32" s="2">
        <f t="shared" si="8"/>
        <v>2120616.75</v>
      </c>
      <c r="AE32" s="2">
        <f>W32 - (1-Parameters!$B$2)*$G32*$AB32*$J32*(1-$K32)</f>
        <v>6442641.8565119999</v>
      </c>
      <c r="AF32" s="2">
        <f t="shared" si="9"/>
        <v>-4322025.1065119999</v>
      </c>
      <c r="AG32" t="str">
        <f>B32&amp;"|"&amp;C32</f>
        <v>A_Repurpose_Both_lease|FY2026</v>
      </c>
    </row>
    <row r="33" spans="1:33" x14ac:dyDescent="0.35">
      <c r="A33" t="str">
        <f>AG33</f>
        <v>A_Repurpose_Both_lease|FY2027</v>
      </c>
      <c r="B33" t="str">
        <f>Scenarios!A8</f>
        <v>A_Repurpose_Both_lease</v>
      </c>
      <c r="C33" t="s">
        <v>22</v>
      </c>
      <c r="D33">
        <f>IF(Scenarios!D8=1,0, L33)</f>
        <v>0</v>
      </c>
      <c r="E33">
        <f>IF(Scenarios!E8=1,0, M33)</f>
        <v>0</v>
      </c>
      <c r="F33">
        <f t="shared" si="0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1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2"/>
        <v>515912.68100609997</v>
      </c>
      <c r="V33" s="2">
        <f t="shared" si="3"/>
        <v>3362505.5782499993</v>
      </c>
      <c r="W33" s="2">
        <f t="shared" si="4"/>
        <v>3878418.2592560994</v>
      </c>
      <c r="X33" s="2">
        <f t="shared" si="5"/>
        <v>9351.2194315999986</v>
      </c>
      <c r="Y33" s="2">
        <f>INDEX(YearMap!$I$2:$I$6, MATCH(C33, YearMap!$A$2:$A$6, 0))</f>
        <v>5215.26</v>
      </c>
      <c r="Z33" s="2">
        <f>$W33-$Y33*$AC33</f>
        <v>1715389.1742560994</v>
      </c>
      <c r="AA33" s="2">
        <f t="shared" si="6"/>
        <v>4135.9594315999984</v>
      </c>
      <c r="AB33">
        <f>MAX(0, (MAX(0, $D33-BaselineCalc!$B$7) + MAX(0, $E33-BaselineCalc!$B$8)))</f>
        <v>0</v>
      </c>
      <c r="AC33">
        <f t="shared" si="7"/>
        <v>414.75</v>
      </c>
      <c r="AD33" s="2">
        <f t="shared" si="8"/>
        <v>2163029.085</v>
      </c>
      <c r="AE33" s="2">
        <f>W33 - (1-Parameters!$B$2)*$G33*$AB33*$J33*(1-$K33)</f>
        <v>3878418.2592560994</v>
      </c>
      <c r="AF33" s="2">
        <f t="shared" si="9"/>
        <v>-1715389.1742560994</v>
      </c>
      <c r="AG33" t="str">
        <f>B33&amp;"|"&amp;C33</f>
        <v>A_Repurpose_Both_lease|FY2027</v>
      </c>
    </row>
    <row r="34" spans="1:33" x14ac:dyDescent="0.35">
      <c r="A34" t="str">
        <f>AG34</f>
        <v>A_Repurpose_Both_lease|FY2028</v>
      </c>
      <c r="B34" t="str">
        <f>Scenarios!A8</f>
        <v>A_Repurpose_Both_lease</v>
      </c>
      <c r="C34" t="s">
        <v>23</v>
      </c>
      <c r="D34">
        <f>IF(Scenarios!D8=1,0, L34)</f>
        <v>0</v>
      </c>
      <c r="E34">
        <f>IF(Scenarios!E8=1,0, M34)</f>
        <v>0</v>
      </c>
      <c r="F34">
        <f t="shared" ref="F34:F61" si="10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1" si="11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2">(R34+S34+G34*F34)*J34*(1-K34)</f>
        <v>352540.33202083502</v>
      </c>
      <c r="V34" s="2">
        <f t="shared" ref="V34:V61" si="13">O34*(G34+P34)</f>
        <v>3355323.2177062496</v>
      </c>
      <c r="W34" s="2">
        <f t="shared" ref="W34:W61" si="14">U34+V34+T34</f>
        <v>3707863.5497270846</v>
      </c>
      <c r="X34" s="2">
        <f t="shared" ref="X34:X61" si="15">IF(F34+O34&gt;0, W34/(F34+O34),"")</f>
        <v>8939.9965032599994</v>
      </c>
      <c r="Y34" s="2">
        <f>INDEX(YearMap!$I$2:$I$6, MATCH(C34, YearMap!$A$2:$A$6, 0))</f>
        <v>5319.5652</v>
      </c>
      <c r="Z34" s="2">
        <f>$W34-$Y34*$AC34</f>
        <v>1501573.8830270846</v>
      </c>
      <c r="AA34" s="2">
        <f t="shared" ref="AA34:AA61" si="16">IF($AC34&gt;0, $Z34/$AC34, 0)</f>
        <v>3620.4313032599989</v>
      </c>
      <c r="AB34">
        <f>MAX(0, (MAX(0, $D34-BaselineCalc!$B$7) + MAX(0, $E34-BaselineCalc!$B$8)))</f>
        <v>0</v>
      </c>
      <c r="AC34">
        <f t="shared" ref="AC34:AC61" si="17">IF(LEFT($B34,2)="A_", $O34, IF(LEFT($B34,2)="B_", $M34+$O34, IF(LEFT($B34,2)="C_", $L34+$O34, $F34)))</f>
        <v>414.75</v>
      </c>
      <c r="AD34" s="2">
        <f t="shared" ref="AD34:AD61" si="18">$Y34*$AC34</f>
        <v>2206289.6666999999</v>
      </c>
      <c r="AE34" s="2">
        <f>W34 - (1-Parameters!$B$2)*$G34*$AB34*$J34*(1-$K34)</f>
        <v>3707863.5497270846</v>
      </c>
      <c r="AF34" s="2">
        <f t="shared" ref="AF34:AF65" si="19">AD34-AE34</f>
        <v>-1501573.8830270846</v>
      </c>
      <c r="AG34" t="str">
        <f>B34&amp;"|"&amp;C34</f>
        <v>A_Repurpose_Both_lease|FY2028</v>
      </c>
    </row>
    <row r="35" spans="1:33" x14ac:dyDescent="0.35">
      <c r="A35" t="str">
        <f>AG35</f>
        <v>A_Repurpose_Both_lease|FY2029</v>
      </c>
      <c r="B35" t="str">
        <f>Scenarios!A8</f>
        <v>A_Repurpose_Both_lease</v>
      </c>
      <c r="C35" t="s">
        <v>24</v>
      </c>
      <c r="D35">
        <f>IF(Scenarios!D8=1,0, L35)</f>
        <v>0</v>
      </c>
      <c r="E35">
        <f>IF(Scenarios!E8=1,0, M35)</f>
        <v>0</v>
      </c>
      <c r="F35">
        <f t="shared" si="10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1"/>
        <v>553</v>
      </c>
      <c r="O35" s="7">
        <f>BaselineCalc!$B$22 * N35</f>
        <v>414.75</v>
      </c>
      <c r="P35">
        <f>YearMap!E5</f>
        <v>500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2"/>
        <v>180676.92016067792</v>
      </c>
      <c r="V35" s="2">
        <f t="shared" si="13"/>
        <v>3391510.0481489054</v>
      </c>
      <c r="W35" s="2">
        <f t="shared" si="14"/>
        <v>3572186.9683095831</v>
      </c>
      <c r="X35" s="2">
        <f t="shared" si="15"/>
        <v>8612.8679163582474</v>
      </c>
      <c r="Y35" s="2">
        <f>INDEX(YearMap!$I$2:$I$6, MATCH(C35, YearMap!$A$2:$A$6, 0))</f>
        <v>5425.9565039999998</v>
      </c>
      <c r="Z35" s="2">
        <f>$W35-$Y35*$AC35</f>
        <v>1321771.5082755834</v>
      </c>
      <c r="AA35" s="2">
        <f t="shared" si="16"/>
        <v>3186.9114123582481</v>
      </c>
      <c r="AB35">
        <f>MAX(0, (MAX(0, $D35-BaselineCalc!$B$7) + MAX(0, $E35-BaselineCalc!$B$8)))</f>
        <v>0</v>
      </c>
      <c r="AC35">
        <f t="shared" si="17"/>
        <v>414.75</v>
      </c>
      <c r="AD35" s="2">
        <f t="shared" si="18"/>
        <v>2250415.4600339998</v>
      </c>
      <c r="AE35" s="2">
        <f>W35 - (1-Parameters!$B$2)*$G35*$AB35*$J35*(1-$K35)</f>
        <v>3572186.9683095831</v>
      </c>
      <c r="AF35" s="2">
        <f t="shared" si="19"/>
        <v>-1321771.5082755834</v>
      </c>
      <c r="AG35" t="str">
        <f>B35&amp;"|"&amp;C35</f>
        <v>A_Repurpose_Both_lease|FY2029</v>
      </c>
    </row>
    <row r="36" spans="1:33" x14ac:dyDescent="0.35">
      <c r="A36" t="str">
        <f>AG36</f>
        <v>A_Repurpose_Both_lease|FY2030</v>
      </c>
      <c r="B36" t="str">
        <f>Scenarios!A8</f>
        <v>A_Repurpose_Both_lease</v>
      </c>
      <c r="C36" t="s">
        <v>25</v>
      </c>
      <c r="D36">
        <f>IF(Scenarios!D8=1,0, L36)</f>
        <v>0</v>
      </c>
      <c r="E36">
        <f>IF(Scenarios!E8=1,0, M36)</f>
        <v>0</v>
      </c>
      <c r="F36">
        <f t="shared" si="10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1"/>
        <v>553</v>
      </c>
      <c r="O36" s="7">
        <f>BaselineCalc!$B$22 * N36</f>
        <v>414.75</v>
      </c>
      <c r="P36">
        <f>YearMap!E6</f>
        <v>400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2"/>
        <v>0</v>
      </c>
      <c r="V36" s="2">
        <f t="shared" si="13"/>
        <v>3429638.4243526282</v>
      </c>
      <c r="W36" s="2">
        <f t="shared" si="14"/>
        <v>3429638.4243526282</v>
      </c>
      <c r="X36" s="2">
        <f t="shared" si="15"/>
        <v>8269.1704022968734</v>
      </c>
      <c r="Y36" s="2">
        <f>INDEX(YearMap!$I$2:$I$6, MATCH(C36, YearMap!$A$2:$A$6, 0))</f>
        <v>5534.4756340799995</v>
      </c>
      <c r="Z36" s="2">
        <f>$W36-$Y36*$AC36</f>
        <v>1134214.6551179485</v>
      </c>
      <c r="AA36" s="2">
        <f t="shared" si="16"/>
        <v>2734.6947682168743</v>
      </c>
      <c r="AB36">
        <f>MAX(0, (MAX(0, $D36-BaselineCalc!$B$7) + MAX(0, $E36-BaselineCalc!$B$8)))</f>
        <v>0</v>
      </c>
      <c r="AC36">
        <f t="shared" si="17"/>
        <v>414.75</v>
      </c>
      <c r="AD36" s="2">
        <f t="shared" si="18"/>
        <v>2295423.7692346796</v>
      </c>
      <c r="AE36" s="2">
        <f>W36 - (1-Parameters!$B$2)*$G36*$AB36*$J36*(1-$K36)</f>
        <v>3429638.4243526282</v>
      </c>
      <c r="AF36" s="2">
        <f t="shared" si="19"/>
        <v>-1134214.6551179485</v>
      </c>
      <c r="AG36" t="str">
        <f>B36&amp;"|"&amp;C36</f>
        <v>A_Repurpose_Both_lease|FY2030</v>
      </c>
    </row>
    <row r="37" spans="1:33" x14ac:dyDescent="0.35">
      <c r="A37" t="str">
        <f>AG37</f>
        <v>A_Repurpose_Both_ops|FY2026</v>
      </c>
      <c r="B37" t="str">
        <f>Scenarios!A9</f>
        <v>A_Repurpose_Both_ops</v>
      </c>
      <c r="C37" t="s">
        <v>21</v>
      </c>
      <c r="D37">
        <f>IF(Scenarios!D9=1,0, L37)</f>
        <v>0</v>
      </c>
      <c r="E37">
        <f>IF(Scenarios!E9=1,0, M37)</f>
        <v>0</v>
      </c>
      <c r="F37">
        <f t="shared" si="10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1"/>
        <v>553</v>
      </c>
      <c r="O37" s="7">
        <f>BaselineCalc!$B$22 * N37</f>
        <v>414.75</v>
      </c>
      <c r="P37" s="6">
        <f>YearMap!E2</f>
        <v>1000</v>
      </c>
      <c r="Q37">
        <f>IF(Scenarios!N9="lease", YearMap!F2, YearMap!G2)</f>
        <v>0.5</v>
      </c>
      <c r="R37" s="36">
        <f>IF(Scenarios!D9=1, Q37*H37, H37)</f>
        <v>392608.61999999994</v>
      </c>
      <c r="S37" s="36">
        <f>IF(Scenarios!E9=1, Q37*I37, I37)</f>
        <v>452187.35999999993</v>
      </c>
      <c r="T37" s="37">
        <f>IF(C37="FY2026", (Scenarios!D9+Scenarios!E9)*BaselineCalc!$B$21, 0)</f>
        <v>2400000</v>
      </c>
      <c r="U37" s="2">
        <f t="shared" si="12"/>
        <v>838882.40813999984</v>
      </c>
      <c r="V37" s="2">
        <f t="shared" si="13"/>
        <v>3371535.9299999997</v>
      </c>
      <c r="W37" s="2">
        <f t="shared" si="14"/>
        <v>6610418.3381399997</v>
      </c>
      <c r="X37" s="2">
        <f t="shared" si="15"/>
        <v>15938.320284846292</v>
      </c>
      <c r="Y37" s="2">
        <f>INDEX(YearMap!$I$2:$I$6, MATCH(C37, YearMap!$A$2:$A$6, 0))</f>
        <v>5113</v>
      </c>
      <c r="Z37" s="2">
        <f>$W37-$Y37*$AC37</f>
        <v>4489801.5881399997</v>
      </c>
      <c r="AA37" s="2">
        <f t="shared" si="16"/>
        <v>10825.320284846292</v>
      </c>
      <c r="AB37">
        <f>MAX(0, (MAX(0, $D37-BaselineCalc!$B$7) + MAX(0, $E37-BaselineCalc!$B$8)))</f>
        <v>0</v>
      </c>
      <c r="AC37">
        <f t="shared" si="17"/>
        <v>414.75</v>
      </c>
      <c r="AD37" s="2">
        <f t="shared" si="18"/>
        <v>2120616.75</v>
      </c>
      <c r="AE37" s="2">
        <f>W37 - (1-Parameters!$B$2)*$G37*$AB37*$J37*(1-$K37)</f>
        <v>6610418.3381399997</v>
      </c>
      <c r="AF37" s="2">
        <f t="shared" si="19"/>
        <v>-4489801.5881399997</v>
      </c>
      <c r="AG37" t="str">
        <f>B37&amp;"|"&amp;C37</f>
        <v>A_Repurpose_Both_ops|FY2026</v>
      </c>
    </row>
    <row r="38" spans="1:33" x14ac:dyDescent="0.35">
      <c r="A38" t="str">
        <f>AG38</f>
        <v>A_Repurpose_Both_ops|FY2027</v>
      </c>
      <c r="B38" t="str">
        <f>Scenarios!A9</f>
        <v>A_Repurpose_Both_ops</v>
      </c>
      <c r="C38" t="s">
        <v>22</v>
      </c>
      <c r="D38">
        <f>IF(Scenarios!D9=1,0, L38)</f>
        <v>0</v>
      </c>
      <c r="E38">
        <f>IF(Scenarios!E9=1,0, M38)</f>
        <v>0</v>
      </c>
      <c r="F38">
        <f t="shared" si="10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1"/>
        <v>553</v>
      </c>
      <c r="O38" s="7">
        <f>BaselineCalc!$B$22 * N38</f>
        <v>414.75</v>
      </c>
      <c r="P38" s="6">
        <f>YearMap!E3</f>
        <v>800</v>
      </c>
      <c r="Q38">
        <f>IF(Scenarios!N9="lease", YearMap!F3, YearMap!G3)</f>
        <v>0.4</v>
      </c>
      <c r="R38" s="36">
        <f>IF(Scenarios!D9=1, Q38*H38, H38)</f>
        <v>321939.06839999999</v>
      </c>
      <c r="S38" s="36">
        <f>IF(Scenarios!E9=1, Q38*I38, I38)</f>
        <v>370793.63520000002</v>
      </c>
      <c r="T38" s="2">
        <f>IF(C38="FY2026", (Scenarios!D9+Scenarios!E9)*BaselineCalc!$B$21, 0)</f>
        <v>0</v>
      </c>
      <c r="U38" s="2">
        <f t="shared" si="12"/>
        <v>687883.57467480004</v>
      </c>
      <c r="V38" s="2">
        <f t="shared" si="13"/>
        <v>3362505.5782499993</v>
      </c>
      <c r="W38" s="2">
        <f t="shared" si="14"/>
        <v>4050389.1529247994</v>
      </c>
      <c r="X38" s="2">
        <f t="shared" si="15"/>
        <v>9765.8569087999986</v>
      </c>
      <c r="Y38" s="2">
        <f>INDEX(YearMap!$I$2:$I$6, MATCH(C38, YearMap!$A$2:$A$6, 0))</f>
        <v>5215.26</v>
      </c>
      <c r="Z38" s="2">
        <f>$W38-$Y38*$AC38</f>
        <v>1887360.0679247994</v>
      </c>
      <c r="AA38" s="2">
        <f t="shared" si="16"/>
        <v>4550.5969087999983</v>
      </c>
      <c r="AB38">
        <f>MAX(0, (MAX(0, $D38-BaselineCalc!$B$7) + MAX(0, $E38-BaselineCalc!$B$8)))</f>
        <v>0</v>
      </c>
      <c r="AC38">
        <f t="shared" si="17"/>
        <v>414.75</v>
      </c>
      <c r="AD38" s="2">
        <f t="shared" si="18"/>
        <v>2163029.085</v>
      </c>
      <c r="AE38" s="2">
        <f>W38 - (1-Parameters!$B$2)*$G38*$AB38*$J38*(1-$K38)</f>
        <v>4050389.1529247994</v>
      </c>
      <c r="AF38" s="2">
        <f t="shared" si="19"/>
        <v>-1887360.0679247994</v>
      </c>
      <c r="AG38" t="str">
        <f>B38&amp;"|"&amp;C38</f>
        <v>A_Repurpose_Both_ops|FY2027</v>
      </c>
    </row>
    <row r="39" spans="1:33" x14ac:dyDescent="0.35">
      <c r="A39" t="str">
        <f>AG39</f>
        <v>A_Repurpose_Both_ops|FY2028</v>
      </c>
      <c r="B39" t="str">
        <f>Scenarios!A9</f>
        <v>A_Repurpose_Both_ops</v>
      </c>
      <c r="C39" t="s">
        <v>23</v>
      </c>
      <c r="D39">
        <f>IF(Scenarios!D9=1,0, L39)</f>
        <v>0</v>
      </c>
      <c r="E39">
        <f>IF(Scenarios!E9=1,0, M39)</f>
        <v>0</v>
      </c>
      <c r="F39">
        <f t="shared" si="10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1"/>
        <v>553</v>
      </c>
      <c r="O39" s="7">
        <f>BaselineCalc!$B$22 * N39</f>
        <v>414.75</v>
      </c>
      <c r="P39" s="6">
        <f>YearMap!E4</f>
        <v>600</v>
      </c>
      <c r="Q39">
        <f>IF(Scenarios!N9="lease", YearMap!F4, YearMap!G4)</f>
        <v>0.35</v>
      </c>
      <c r="R39" s="36">
        <f>IF(Scenarios!D9=1, Q39*H39, H39)</f>
        <v>288739.10197124997</v>
      </c>
      <c r="S39" s="36">
        <f>IF(Scenarios!E9=1, Q39*I39, I39)</f>
        <v>332555.54156999994</v>
      </c>
      <c r="T39" s="2">
        <f>IF(C39="FY2026", (Scenarios!D9+Scenarios!E9)*BaselineCalc!$B$21, 0)</f>
        <v>0</v>
      </c>
      <c r="U39" s="2">
        <f t="shared" si="12"/>
        <v>616945.58103646117</v>
      </c>
      <c r="V39" s="2">
        <f t="shared" si="13"/>
        <v>3355323.2177062496</v>
      </c>
      <c r="W39" s="2">
        <f t="shared" si="14"/>
        <v>3972268.7987427106</v>
      </c>
      <c r="X39" s="2">
        <f t="shared" si="15"/>
        <v>9577.5016244549988</v>
      </c>
      <c r="Y39" s="2">
        <f>INDEX(YearMap!$I$2:$I$6, MATCH(C39, YearMap!$A$2:$A$6, 0))</f>
        <v>5319.5652</v>
      </c>
      <c r="Z39" s="2">
        <f>$W39-$Y39*$AC39</f>
        <v>1765979.1320427107</v>
      </c>
      <c r="AA39" s="2">
        <f t="shared" si="16"/>
        <v>4257.9364244549988</v>
      </c>
      <c r="AB39">
        <f>MAX(0, (MAX(0, $D39-BaselineCalc!$B$7) + MAX(0, $E39-BaselineCalc!$B$8)))</f>
        <v>0</v>
      </c>
      <c r="AC39">
        <f t="shared" si="17"/>
        <v>414.75</v>
      </c>
      <c r="AD39" s="2">
        <f t="shared" si="18"/>
        <v>2206289.6666999999</v>
      </c>
      <c r="AE39" s="2">
        <f>W39 - (1-Parameters!$B$2)*$G39*$AB39*$J39*(1-$K39)</f>
        <v>3972268.7987427106</v>
      </c>
      <c r="AF39" s="2">
        <f t="shared" si="19"/>
        <v>-1765979.1320427107</v>
      </c>
      <c r="AG39" t="str">
        <f>B39&amp;"|"&amp;C39</f>
        <v>A_Repurpose_Both_ops|FY2028</v>
      </c>
    </row>
    <row r="40" spans="1:33" x14ac:dyDescent="0.35">
      <c r="A40" t="str">
        <f>AG40</f>
        <v>A_Repurpose_Both_ops|FY2029</v>
      </c>
      <c r="B40" t="str">
        <f>Scenarios!A9</f>
        <v>A_Repurpose_Both_ops</v>
      </c>
      <c r="C40" t="s">
        <v>24</v>
      </c>
      <c r="D40">
        <f>IF(Scenarios!D9=1,0, L40)</f>
        <v>0</v>
      </c>
      <c r="E40">
        <f>IF(Scenarios!E9=1,0, M40)</f>
        <v>0</v>
      </c>
      <c r="F40">
        <f t="shared" si="10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1"/>
        <v>553</v>
      </c>
      <c r="O40" s="7">
        <f>BaselineCalc!$B$22 * N40</f>
        <v>414.75</v>
      </c>
      <c r="P40" s="6">
        <f>YearMap!E5</f>
        <v>500</v>
      </c>
      <c r="Q40">
        <f>IF(Scenarios!N9="lease", YearMap!F5, YearMap!G5)</f>
        <v>0.3</v>
      </c>
      <c r="R40" s="36">
        <f>IF(Scenarios!D9=1, Q40*H40, H40)</f>
        <v>253677.92530331243</v>
      </c>
      <c r="S40" s="36">
        <f>IF(Scenarios!E9=1, Q40*I40, I40)</f>
        <v>292173.79723649996</v>
      </c>
      <c r="T40" s="2">
        <f>IF(C40="FY2026", (Scenarios!D9+Scenarios!E9)*BaselineCalc!$B$21, 0)</f>
        <v>0</v>
      </c>
      <c r="U40" s="2">
        <f t="shared" si="12"/>
        <v>542030.7604820336</v>
      </c>
      <c r="V40" s="2">
        <f t="shared" si="13"/>
        <v>3391510.0481489054</v>
      </c>
      <c r="W40" s="2">
        <f t="shared" si="14"/>
        <v>3933540.8086309391</v>
      </c>
      <c r="X40" s="2">
        <f t="shared" si="15"/>
        <v>9484.1249153247481</v>
      </c>
      <c r="Y40" s="2">
        <f>INDEX(YearMap!$I$2:$I$6, MATCH(C40, YearMap!$A$2:$A$6, 0))</f>
        <v>5425.9565039999998</v>
      </c>
      <c r="Z40" s="2">
        <f>$W40-$Y40*$AC40</f>
        <v>1683125.3485969394</v>
      </c>
      <c r="AA40" s="2">
        <f t="shared" si="16"/>
        <v>4058.1684113247484</v>
      </c>
      <c r="AB40">
        <f>MAX(0, (MAX(0, $D40-BaselineCalc!$B$7) + MAX(0, $E40-BaselineCalc!$B$8)))</f>
        <v>0</v>
      </c>
      <c r="AC40">
        <f t="shared" si="17"/>
        <v>414.75</v>
      </c>
      <c r="AD40" s="2">
        <f t="shared" si="18"/>
        <v>2250415.4600339998</v>
      </c>
      <c r="AE40" s="2">
        <f>W40 - (1-Parameters!$B$2)*$G40*$AB40*$J40*(1-$K40)</f>
        <v>3933540.8086309391</v>
      </c>
      <c r="AF40" s="2">
        <f t="shared" si="19"/>
        <v>-1683125.3485969394</v>
      </c>
      <c r="AG40" t="str">
        <f>B40&amp;"|"&amp;C40</f>
        <v>A_Repurpose_Both_ops|FY2029</v>
      </c>
    </row>
    <row r="41" spans="1:33" x14ac:dyDescent="0.35">
      <c r="A41" t="str">
        <f>AG41</f>
        <v>A_Repurpose_Both_ops|FY2030</v>
      </c>
      <c r="B41" t="str">
        <f>Scenarios!A9</f>
        <v>A_Repurpose_Both_ops</v>
      </c>
      <c r="C41" t="s">
        <v>25</v>
      </c>
      <c r="D41">
        <f>IF(Scenarios!D9=1,0, L41)</f>
        <v>0</v>
      </c>
      <c r="E41">
        <f>IF(Scenarios!E9=1,0, M41)</f>
        <v>0</v>
      </c>
      <c r="F41" s="34">
        <f t="shared" si="10"/>
        <v>0</v>
      </c>
      <c r="G41" s="35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 s="34">
        <f>1-BaselineCalc!$B$5</f>
        <v>0.99299999999999999</v>
      </c>
      <c r="K41" s="34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1"/>
        <v>553</v>
      </c>
      <c r="O41" s="32">
        <f>BaselineCalc!$B$22 * N41</f>
        <v>414.75</v>
      </c>
      <c r="P41" s="6">
        <f>YearMap!E6</f>
        <v>400</v>
      </c>
      <c r="Q41">
        <f>IF(Scenarios!N9="lease", YearMap!F6, YearMap!G6)</f>
        <v>0.3</v>
      </c>
      <c r="R41" s="36">
        <f>IF(Scenarios!D9=1, Q41*H41, H41)</f>
        <v>260019.87343589522</v>
      </c>
      <c r="S41" s="36">
        <f>IF(Scenarios!E9=1, Q41*I41, I41)</f>
        <v>299478.14216741238</v>
      </c>
      <c r="T41" s="31">
        <f>IF(C41="FY2026", (Scenarios!D9+Scenarios!E9)*BaselineCalc!$B$21, 0)</f>
        <v>0</v>
      </c>
      <c r="U41" s="33">
        <f t="shared" si="12"/>
        <v>555581.52949408453</v>
      </c>
      <c r="V41" s="31">
        <f>O41*(G41+P41)</f>
        <v>3429638.4243526282</v>
      </c>
      <c r="W41" s="30">
        <f t="shared" si="14"/>
        <v>3985219.9538467126</v>
      </c>
      <c r="X41" s="2">
        <f t="shared" si="15"/>
        <v>9608.7280382078661</v>
      </c>
      <c r="Y41" s="28">
        <f>INDEX(YearMap!$I$2:$I$6, MATCH(C41, YearMap!$A$2:$A$6, 0))</f>
        <v>5534.4756340799995</v>
      </c>
      <c r="Z41" s="2">
        <f>$W41-$Y41*$AC41</f>
        <v>1689796.184612033</v>
      </c>
      <c r="AA41" s="2">
        <f t="shared" si="16"/>
        <v>4074.2524041278671</v>
      </c>
      <c r="AB41">
        <f>MAX(0, (MAX(0, $D41-BaselineCalc!$B$7) + MAX(0, $E41-BaselineCalc!$B$8)))</f>
        <v>0</v>
      </c>
      <c r="AC41" s="29">
        <f t="shared" si="17"/>
        <v>414.75</v>
      </c>
      <c r="AD41" s="27">
        <f t="shared" si="18"/>
        <v>2295423.7692346796</v>
      </c>
      <c r="AE41" s="27">
        <f>W41 - (1-Parameters!$B$2)*$G41*$AB41*$J41*(1-$K41)</f>
        <v>3985219.9538467126</v>
      </c>
      <c r="AF41" s="26">
        <f t="shared" si="19"/>
        <v>-1689796.184612033</v>
      </c>
      <c r="AG41" t="str">
        <f>B41&amp;"|"&amp;C41</f>
        <v>A_Repurpose_Both_ops|FY2030</v>
      </c>
    </row>
    <row r="42" spans="1:33" x14ac:dyDescent="0.35">
      <c r="A42" t="str">
        <f>AG42</f>
        <v>B_Repurpose_Echo_lease|FY2026</v>
      </c>
      <c r="B42" t="str">
        <f>Scenarios!A10</f>
        <v>B_Repurpose_Echo_lease</v>
      </c>
      <c r="C42" t="s">
        <v>21</v>
      </c>
      <c r="D42">
        <f>IF(Scenarios!D10=1,0, L42)</f>
        <v>0</v>
      </c>
      <c r="E42">
        <f>IF(Scenarios!E10=1,0, M42)</f>
        <v>296</v>
      </c>
      <c r="F42">
        <f t="shared" si="10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1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2"/>
        <v>3305368.6109279995</v>
      </c>
      <c r="V42" s="2">
        <f t="shared" si="13"/>
        <v>1566880.17</v>
      </c>
      <c r="W42" s="2">
        <f t="shared" si="14"/>
        <v>6072248.7809279989</v>
      </c>
      <c r="X42" s="2">
        <f t="shared" si="15"/>
        <v>12424.038426451149</v>
      </c>
      <c r="Y42" s="2">
        <f>INDEX(YearMap!$I$2:$I$6, MATCH(C42, YearMap!$A$2:$A$6, 0))</f>
        <v>5113</v>
      </c>
      <c r="Z42" s="2">
        <f>$W42-$Y42*$AC42</f>
        <v>3573270.0309279989</v>
      </c>
      <c r="AA42" s="2">
        <f t="shared" si="16"/>
        <v>7311.0384264511486</v>
      </c>
      <c r="AB42">
        <f>MAX(0, (MAX(0, $D42-BaselineCalc!$B$7) + MAX(0, $E42-BaselineCalc!$B$8)))</f>
        <v>0</v>
      </c>
      <c r="AC42">
        <f t="shared" si="17"/>
        <v>488.75</v>
      </c>
      <c r="AD42" s="2">
        <f t="shared" si="18"/>
        <v>2498978.75</v>
      </c>
      <c r="AE42" s="2">
        <f>W42 - (1-Parameters!$B$2)*$G42*$AB42*$J42*(1-$K42)</f>
        <v>6072248.7809279989</v>
      </c>
      <c r="AF42" s="2">
        <f t="shared" si="19"/>
        <v>-3573270.0309279989</v>
      </c>
      <c r="AG42" t="str">
        <f>B42&amp;"|"&amp;C42</f>
        <v>B_Repurpose_Echo_lease|FY2026</v>
      </c>
    </row>
    <row r="43" spans="1:33" x14ac:dyDescent="0.35">
      <c r="A43" t="str">
        <f>AG43</f>
        <v>B_Repurpose_Echo_lease|FY2027</v>
      </c>
      <c r="B43" t="str">
        <f>Scenarios!A10</f>
        <v>B_Repurpose_Echo_lease</v>
      </c>
      <c r="C43" t="s">
        <v>22</v>
      </c>
      <c r="D43">
        <f>IF(Scenarios!D10=1,0, L43)</f>
        <v>0</v>
      </c>
      <c r="E43">
        <f>IF(Scenarios!E10=1,0, M43)</f>
        <v>296</v>
      </c>
      <c r="F43">
        <f t="shared" si="10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1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2"/>
        <v>3308081.4524708996</v>
      </c>
      <c r="V43" s="2">
        <f t="shared" si="13"/>
        <v>1562683.4242499997</v>
      </c>
      <c r="W43" s="2">
        <f t="shared" si="14"/>
        <v>4870764.8767208997</v>
      </c>
      <c r="X43" s="2">
        <f t="shared" si="15"/>
        <v>9965.7593385593864</v>
      </c>
      <c r="Y43" s="2">
        <f>INDEX(YearMap!$I$2:$I$6, MATCH(C43, YearMap!$A$2:$A$6, 0))</f>
        <v>5215.26</v>
      </c>
      <c r="Z43" s="2">
        <f>$W43-$Y43*$AC43</f>
        <v>2321806.5517208995</v>
      </c>
      <c r="AA43" s="2">
        <f t="shared" si="16"/>
        <v>4750.4993385593853</v>
      </c>
      <c r="AB43">
        <f>MAX(0, (MAX(0, $D43-BaselineCalc!$B$7) + MAX(0, $E43-BaselineCalc!$B$8)))</f>
        <v>0</v>
      </c>
      <c r="AC43">
        <f t="shared" si="17"/>
        <v>488.75</v>
      </c>
      <c r="AD43" s="2">
        <f t="shared" si="18"/>
        <v>2548958.3250000002</v>
      </c>
      <c r="AE43" s="2">
        <f>W43 - (1-Parameters!$B$2)*$G43*$AB43*$J43*(1-$K43)</f>
        <v>4870764.8767208997</v>
      </c>
      <c r="AF43" s="2">
        <f t="shared" si="19"/>
        <v>-2321806.5517208995</v>
      </c>
      <c r="AG43" t="str">
        <f>B43&amp;"|"&amp;C43</f>
        <v>B_Repurpose_Echo_lease|FY2027</v>
      </c>
    </row>
    <row r="44" spans="1:33" x14ac:dyDescent="0.35">
      <c r="A44" t="str">
        <f>AG44</f>
        <v>B_Repurpose_Echo_lease|FY2028</v>
      </c>
      <c r="B44" t="str">
        <f>Scenarios!A10</f>
        <v>B_Repurpose_Echo_lease</v>
      </c>
      <c r="C44" t="s">
        <v>23</v>
      </c>
      <c r="D44">
        <f>IF(Scenarios!D10=1,0, L44)</f>
        <v>0</v>
      </c>
      <c r="E44">
        <f>IF(Scenarios!E10=1,0, M44)</f>
        <v>296</v>
      </c>
      <c r="F44">
        <f t="shared" si="10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1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2"/>
        <v>3308864.0807091142</v>
      </c>
      <c r="V44" s="2">
        <f t="shared" si="13"/>
        <v>1559345.5098562497</v>
      </c>
      <c r="W44" s="2">
        <f t="shared" si="14"/>
        <v>4868209.5905653639</v>
      </c>
      <c r="X44" s="2">
        <f t="shared" si="15"/>
        <v>9960.5311315915369</v>
      </c>
      <c r="Y44" s="2">
        <f>INDEX(YearMap!$I$2:$I$6, MATCH(C44, YearMap!$A$2:$A$6, 0))</f>
        <v>5319.5652</v>
      </c>
      <c r="Z44" s="2">
        <f>$W44-$Y44*$AC44</f>
        <v>2268272.0990653639</v>
      </c>
      <c r="AA44" s="2">
        <f t="shared" si="16"/>
        <v>4640.9659315915369</v>
      </c>
      <c r="AB44">
        <f>MAX(0, (MAX(0, $D44-BaselineCalc!$B$7) + MAX(0, $E44-BaselineCalc!$B$8)))</f>
        <v>0</v>
      </c>
      <c r="AC44">
        <f t="shared" si="17"/>
        <v>488.75</v>
      </c>
      <c r="AD44" s="2">
        <f t="shared" si="18"/>
        <v>2599937.4915</v>
      </c>
      <c r="AE44" s="2">
        <f>W44 - (1-Parameters!$B$2)*$G44*$AB44*$J44*(1-$K44)</f>
        <v>4868209.5905653639</v>
      </c>
      <c r="AF44" s="2">
        <f t="shared" si="19"/>
        <v>-2268272.0990653639</v>
      </c>
      <c r="AG44" t="str">
        <f>B44&amp;"|"&amp;C44</f>
        <v>B_Repurpose_Echo_lease|FY2028</v>
      </c>
    </row>
    <row r="45" spans="1:33" x14ac:dyDescent="0.35">
      <c r="A45" t="str">
        <f>AG45</f>
        <v>B_Repurpose_Echo_lease|FY2029</v>
      </c>
      <c r="B45" t="str">
        <f>Scenarios!A10</f>
        <v>B_Repurpose_Echo_lease</v>
      </c>
      <c r="C45" t="s">
        <v>24</v>
      </c>
      <c r="D45">
        <f>IF(Scenarios!D10=1,0, L45)</f>
        <v>0</v>
      </c>
      <c r="E45">
        <f>IF(Scenarios!E10=1,0, M45)</f>
        <v>296</v>
      </c>
      <c r="F45">
        <f t="shared" si="10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1"/>
        <v>257</v>
      </c>
      <c r="O45" s="7">
        <f>BaselineCalc!$B$22 * N45</f>
        <v>192.75</v>
      </c>
      <c r="P45">
        <f>YearMap!E5</f>
        <v>500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2"/>
        <v>3307618.2894514455</v>
      </c>
      <c r="V45" s="2">
        <f t="shared" si="13"/>
        <v>1576162.8976026559</v>
      </c>
      <c r="W45" s="2">
        <f t="shared" si="14"/>
        <v>4883781.1870541014</v>
      </c>
      <c r="X45" s="2">
        <f t="shared" si="15"/>
        <v>9992.3911755582631</v>
      </c>
      <c r="Y45" s="2">
        <f>INDEX(YearMap!$I$2:$I$6, MATCH(C45, YearMap!$A$2:$A$6, 0))</f>
        <v>5425.9565039999998</v>
      </c>
      <c r="Z45" s="2">
        <f>$W45-$Y45*$AC45</f>
        <v>2231844.9457241013</v>
      </c>
      <c r="AA45" s="2">
        <f t="shared" si="16"/>
        <v>4566.4346715582633</v>
      </c>
      <c r="AB45">
        <f>MAX(0, (MAX(0, $D45-BaselineCalc!$B$7) + MAX(0, $E45-BaselineCalc!$B$8)))</f>
        <v>0</v>
      </c>
      <c r="AC45">
        <f t="shared" si="17"/>
        <v>488.75</v>
      </c>
      <c r="AD45" s="2">
        <f t="shared" si="18"/>
        <v>2651936.2413300001</v>
      </c>
      <c r="AE45" s="2">
        <f>W45 - (1-Parameters!$B$2)*$G45*$AB45*$J45*(1-$K45)</f>
        <v>4883781.1870541014</v>
      </c>
      <c r="AF45" s="2">
        <f t="shared" si="19"/>
        <v>-2231844.9457241013</v>
      </c>
      <c r="AG45" t="str">
        <f>B45&amp;"|"&amp;C45</f>
        <v>B_Repurpose_Echo_lease|FY2029</v>
      </c>
    </row>
    <row r="46" spans="1:33" x14ac:dyDescent="0.35">
      <c r="A46" t="str">
        <f>AG46</f>
        <v>B_Repurpose_Echo_lease|FY2030</v>
      </c>
      <c r="B46" t="str">
        <f>Scenarios!A10</f>
        <v>B_Repurpose_Echo_lease</v>
      </c>
      <c r="C46" t="s">
        <v>25</v>
      </c>
      <c r="D46">
        <f>IF(Scenarios!D10=1,0, L46)</f>
        <v>0</v>
      </c>
      <c r="E46">
        <f>IF(Scenarios!E10=1,0, M46)</f>
        <v>296</v>
      </c>
      <c r="F46">
        <f t="shared" si="10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1"/>
        <v>257</v>
      </c>
      <c r="O46" s="7">
        <f>BaselineCalc!$B$22 * N46</f>
        <v>192.75</v>
      </c>
      <c r="P46">
        <f>YearMap!E6</f>
        <v>400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2"/>
        <v>3304242.1685804501</v>
      </c>
      <c r="V46" s="2">
        <f t="shared" si="13"/>
        <v>1593882.5950427223</v>
      </c>
      <c r="W46" s="2">
        <f t="shared" si="14"/>
        <v>4898124.7636231724</v>
      </c>
      <c r="X46" s="2">
        <f t="shared" si="15"/>
        <v>10021.738646799329</v>
      </c>
      <c r="Y46" s="2">
        <f>INDEX(YearMap!$I$2:$I$6, MATCH(C46, YearMap!$A$2:$A$6, 0))</f>
        <v>5534.4756340799995</v>
      </c>
      <c r="Z46" s="2">
        <f>$W46-$Y46*$AC46</f>
        <v>2193149.7974665728</v>
      </c>
      <c r="AA46" s="2">
        <f t="shared" si="16"/>
        <v>4487.2630127193306</v>
      </c>
      <c r="AB46">
        <f>MAX(0, (MAX(0, $D46-BaselineCalc!$B$7) + MAX(0, $E46-BaselineCalc!$B$8)))</f>
        <v>0</v>
      </c>
      <c r="AC46">
        <f t="shared" si="17"/>
        <v>488.75</v>
      </c>
      <c r="AD46" s="2">
        <f t="shared" si="18"/>
        <v>2704974.9661565996</v>
      </c>
      <c r="AE46" s="2">
        <f>W46 - (1-Parameters!$B$2)*$G46*$AB46*$J46*(1-$K46)</f>
        <v>4898124.7636231724</v>
      </c>
      <c r="AF46" s="2">
        <f t="shared" si="19"/>
        <v>-2193149.7974665728</v>
      </c>
      <c r="AG46" t="str">
        <f>B46&amp;"|"&amp;C46</f>
        <v>B_Repurpose_Echo_lease|FY2030</v>
      </c>
    </row>
    <row r="47" spans="1:33" x14ac:dyDescent="0.35">
      <c r="A47" t="str">
        <f>AG47</f>
        <v>B_Repurpose_Echo_ops|FY2026</v>
      </c>
      <c r="B47" t="str">
        <f>Scenarios!A11</f>
        <v>B_Repurpose_Echo_ops</v>
      </c>
      <c r="C47" t="s">
        <v>21</v>
      </c>
      <c r="D47">
        <f>IF(Scenarios!D11=1,0, L47)</f>
        <v>0</v>
      </c>
      <c r="E47">
        <f>IF(Scenarios!E11=1,0, M47)</f>
        <v>496</v>
      </c>
      <c r="F47">
        <f t="shared" si="10"/>
        <v>496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496</v>
      </c>
      <c r="N47" s="7">
        <f t="shared" si="11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0.5</v>
      </c>
      <c r="R47" s="2">
        <f>IF(Scenarios!D11=1, Q47*H47, H47)</f>
        <v>392608.61999999994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2"/>
        <v>4799175.9708599998</v>
      </c>
      <c r="V47" s="2">
        <f t="shared" si="13"/>
        <v>1566880.17</v>
      </c>
      <c r="W47" s="2">
        <f t="shared" si="14"/>
        <v>7566056.1408599997</v>
      </c>
      <c r="X47" s="2">
        <f t="shared" si="15"/>
        <v>10985.199478562614</v>
      </c>
      <c r="Y47" s="2">
        <f>INDEX(YearMap!$I$2:$I$6, MATCH(C47, YearMap!$A$2:$A$6, 0))</f>
        <v>5113</v>
      </c>
      <c r="Z47" s="2">
        <f>$W47-$Y47*$AC47</f>
        <v>4044477.3908599997</v>
      </c>
      <c r="AA47" s="2">
        <f t="shared" si="16"/>
        <v>5872.199478562613</v>
      </c>
      <c r="AB47">
        <f>MAX(0, (MAX(0, $D47-BaselineCalc!$B$7) + MAX(0, $E47-BaselineCalc!$B$8)))</f>
        <v>200</v>
      </c>
      <c r="AC47">
        <f t="shared" si="17"/>
        <v>688.75</v>
      </c>
      <c r="AD47" s="2">
        <f t="shared" si="18"/>
        <v>3521578.75</v>
      </c>
      <c r="AE47" s="2">
        <f>W47 - (1-Parameters!$B$2)*$G47*$AB47*$J47*(1-$K47)</f>
        <v>6574971.4392600004</v>
      </c>
      <c r="AF47" s="2">
        <f t="shared" si="19"/>
        <v>-3053392.6892600004</v>
      </c>
      <c r="AG47" t="str">
        <f>B47&amp;"|"&amp;C47</f>
        <v>B_Repurpose_Echo_ops|FY2026</v>
      </c>
    </row>
    <row r="48" spans="1:33" x14ac:dyDescent="0.35">
      <c r="A48" t="str">
        <f>AG48</f>
        <v>B_Repurpose_Echo_ops|FY2027</v>
      </c>
      <c r="B48" t="str">
        <f>Scenarios!A11</f>
        <v>B_Repurpose_Echo_ops</v>
      </c>
      <c r="C48" t="s">
        <v>22</v>
      </c>
      <c r="D48">
        <f>IF(Scenarios!D11=1,0, L48)</f>
        <v>0</v>
      </c>
      <c r="E48">
        <f>IF(Scenarios!E11=1,0, M48)</f>
        <v>496</v>
      </c>
      <c r="F48">
        <f t="shared" si="10"/>
        <v>496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496</v>
      </c>
      <c r="N48" s="7">
        <f t="shared" si="11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0.4</v>
      </c>
      <c r="R48" s="2">
        <f>IF(Scenarios!D11=1, Q48*H48, H48)</f>
        <v>321939.06839999999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2"/>
        <v>4839233.9964011991</v>
      </c>
      <c r="V48" s="2">
        <f t="shared" si="13"/>
        <v>1562683.4242499997</v>
      </c>
      <c r="W48" s="2">
        <f t="shared" si="14"/>
        <v>6401917.4206511993</v>
      </c>
      <c r="X48" s="2">
        <f t="shared" si="15"/>
        <v>9294.9799210906713</v>
      </c>
      <c r="Y48" s="2">
        <f>INDEX(YearMap!$I$2:$I$6, MATCH(C48, YearMap!$A$2:$A$6, 0))</f>
        <v>5215.26</v>
      </c>
      <c r="Z48" s="2">
        <f>$W48-$Y48*$AC48</f>
        <v>2809907.0956511991</v>
      </c>
      <c r="AA48" s="2">
        <f t="shared" si="16"/>
        <v>4079.7199210906701</v>
      </c>
      <c r="AB48">
        <f>MAX(0, (MAX(0, $D48-BaselineCalc!$B$7) + MAX(0, $E48-BaselineCalc!$B$8)))</f>
        <v>200</v>
      </c>
      <c r="AC48">
        <f t="shared" si="17"/>
        <v>688.75</v>
      </c>
      <c r="AD48" s="2">
        <f t="shared" si="18"/>
        <v>3592010.3250000002</v>
      </c>
      <c r="AE48" s="2">
        <f>W48 - (1-Parameters!$B$2)*$G48*$AB48*$J48*(1-$K48)</f>
        <v>5386055.6015112</v>
      </c>
      <c r="AF48" s="2">
        <f t="shared" si="19"/>
        <v>-1794045.2765111998</v>
      </c>
      <c r="AG48" t="str">
        <f>B48&amp;"|"&amp;C48</f>
        <v>B_Repurpose_Echo_ops|FY2027</v>
      </c>
    </row>
    <row r="49" spans="1:33" x14ac:dyDescent="0.35">
      <c r="A49" t="str">
        <f>AG49</f>
        <v>B_Repurpose_Echo_ops|FY2028</v>
      </c>
      <c r="B49" t="str">
        <f>Scenarios!A11</f>
        <v>B_Repurpose_Echo_ops</v>
      </c>
      <c r="C49" t="s">
        <v>23</v>
      </c>
      <c r="D49">
        <f>IF(Scenarios!D11=1,0, L49)</f>
        <v>0</v>
      </c>
      <c r="E49">
        <f>IF(Scenarios!E11=1,0, M49)</f>
        <v>496</v>
      </c>
      <c r="F49">
        <f t="shared" si="10"/>
        <v>496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496</v>
      </c>
      <c r="N49" s="7">
        <f t="shared" si="11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0.35</v>
      </c>
      <c r="R49" s="2">
        <f>IF(Scenarios!D11=1, Q49*H49, H49)</f>
        <v>288739.10197124997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2"/>
        <v>4919255.1422744505</v>
      </c>
      <c r="V49" s="2">
        <f t="shared" si="13"/>
        <v>1559345.5098562497</v>
      </c>
      <c r="W49" s="2">
        <f t="shared" si="14"/>
        <v>6478600.6521307006</v>
      </c>
      <c r="X49" s="2">
        <f t="shared" si="15"/>
        <v>9406.3167363059183</v>
      </c>
      <c r="Y49" s="2">
        <f>INDEX(YearMap!$I$2:$I$6, MATCH(C49, YearMap!$A$2:$A$6, 0))</f>
        <v>5319.5652</v>
      </c>
      <c r="Z49" s="2">
        <f>$W49-$Y49*$AC49</f>
        <v>2814750.1206307006</v>
      </c>
      <c r="AA49" s="2">
        <f t="shared" si="16"/>
        <v>4086.7515363059174</v>
      </c>
      <c r="AB49">
        <f>MAX(0, (MAX(0, $D49-BaselineCalc!$B$7) + MAX(0, $E49-BaselineCalc!$B$8)))</f>
        <v>200</v>
      </c>
      <c r="AC49">
        <f t="shared" si="17"/>
        <v>688.75</v>
      </c>
      <c r="AD49" s="2">
        <f t="shared" si="18"/>
        <v>3663850.5315</v>
      </c>
      <c r="AE49" s="2">
        <f>W49 - (1-Parameters!$B$2)*$G49*$AB49*$J49*(1-$K49)</f>
        <v>5437342.2875122009</v>
      </c>
      <c r="AF49" s="2">
        <f t="shared" si="19"/>
        <v>-1773491.7560122008</v>
      </c>
      <c r="AG49" t="str">
        <f>B49&amp;"|"&amp;C49</f>
        <v>B_Repurpose_Echo_ops|FY2028</v>
      </c>
    </row>
    <row r="50" spans="1:33" x14ac:dyDescent="0.35">
      <c r="A50" t="str">
        <f>AG50</f>
        <v>B_Repurpose_Echo_ops|FY2029</v>
      </c>
      <c r="B50" t="str">
        <f>Scenarios!A11</f>
        <v>B_Repurpose_Echo_ops</v>
      </c>
      <c r="C50" t="s">
        <v>24</v>
      </c>
      <c r="D50">
        <f>IF(Scenarios!D11=1,0, L50)</f>
        <v>0</v>
      </c>
      <c r="E50">
        <f>IF(Scenarios!E11=1,0, M50)</f>
        <v>496</v>
      </c>
      <c r="F50">
        <f t="shared" si="10"/>
        <v>496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496</v>
      </c>
      <c r="N50" s="7">
        <f t="shared" si="11"/>
        <v>257</v>
      </c>
      <c r="O50" s="7">
        <f>BaselineCalc!$B$22 * N50</f>
        <v>192.75</v>
      </c>
      <c r="P50">
        <f>YearMap!E5</f>
        <v>500</v>
      </c>
      <c r="Q50">
        <f>IF(Scenarios!N11="lease", YearMap!F5, YearMap!G5)</f>
        <v>0.3</v>
      </c>
      <c r="R50" s="2">
        <f>IF(Scenarios!D11=1, Q50*H50, H50)</f>
        <v>253677.92530331243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2"/>
        <v>5000252.8241936127</v>
      </c>
      <c r="V50" s="2">
        <f t="shared" si="13"/>
        <v>1576162.8976026559</v>
      </c>
      <c r="W50" s="2">
        <f t="shared" si="14"/>
        <v>6576415.7217962686</v>
      </c>
      <c r="X50" s="2">
        <f t="shared" si="15"/>
        <v>9548.3349862740743</v>
      </c>
      <c r="Y50" s="2">
        <f>INDEX(YearMap!$I$2:$I$6, MATCH(C50, YearMap!$A$2:$A$6, 0))</f>
        <v>5425.9565039999998</v>
      </c>
      <c r="Z50" s="2">
        <f>$W50-$Y50*$AC50</f>
        <v>2839288.1796662686</v>
      </c>
      <c r="AA50" s="2">
        <f t="shared" si="16"/>
        <v>4122.3784822740745</v>
      </c>
      <c r="AB50">
        <f>MAX(0, (MAX(0, $D50-BaselineCalc!$B$7) + MAX(0, $E50-BaselineCalc!$B$8)))</f>
        <v>200</v>
      </c>
      <c r="AC50">
        <f t="shared" si="17"/>
        <v>688.75</v>
      </c>
      <c r="AD50" s="2">
        <f t="shared" si="18"/>
        <v>3737127.54213</v>
      </c>
      <c r="AE50" s="2">
        <f>W50 - (1-Parameters!$B$2)*$G50*$AB50*$J50*(1-$K50)</f>
        <v>5509125.8980623065</v>
      </c>
      <c r="AF50" s="2">
        <f t="shared" si="19"/>
        <v>-1771998.3559323065</v>
      </c>
      <c r="AG50" t="str">
        <f>B50&amp;"|"&amp;C50</f>
        <v>B_Repurpose_Echo_ops|FY2029</v>
      </c>
    </row>
    <row r="51" spans="1:33" x14ac:dyDescent="0.35">
      <c r="A51" t="str">
        <f>AG51</f>
        <v>B_Repurpose_Echo_ops|FY2030</v>
      </c>
      <c r="B51" t="str">
        <f>Scenarios!A11</f>
        <v>B_Repurpose_Echo_ops</v>
      </c>
      <c r="C51" t="s">
        <v>25</v>
      </c>
      <c r="D51">
        <f>IF(Scenarios!D11=1,0, L51)</f>
        <v>0</v>
      </c>
      <c r="E51">
        <f>IF(Scenarios!E11=1,0, M51)</f>
        <v>496</v>
      </c>
      <c r="F51">
        <f t="shared" si="10"/>
        <v>496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496</v>
      </c>
      <c r="N51" s="7">
        <f t="shared" si="11"/>
        <v>257</v>
      </c>
      <c r="O51" s="7">
        <f>BaselineCalc!$B$22 * N51</f>
        <v>192.75</v>
      </c>
      <c r="P51">
        <f>YearMap!E6</f>
        <v>400</v>
      </c>
      <c r="Q51">
        <f>IF(Scenarios!N11="lease", YearMap!F6, YearMap!G6)</f>
        <v>0.3</v>
      </c>
      <c r="R51" s="2">
        <f>IF(Scenarios!D11=1, Q51*H51, H51)</f>
        <v>260019.87343589522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2"/>
        <v>5125259.144798453</v>
      </c>
      <c r="V51" s="2">
        <f t="shared" si="13"/>
        <v>1593882.5950427223</v>
      </c>
      <c r="W51" s="2">
        <f t="shared" si="14"/>
        <v>6719141.7398411753</v>
      </c>
      <c r="X51" s="2">
        <f t="shared" si="15"/>
        <v>9755.55969486922</v>
      </c>
      <c r="Y51" s="2">
        <f>INDEX(YearMap!$I$2:$I$6, MATCH(C51, YearMap!$A$2:$A$6, 0))</f>
        <v>5534.4756340799995</v>
      </c>
      <c r="Z51" s="2">
        <f>$W51-$Y51*$AC51</f>
        <v>2907271.6468685758</v>
      </c>
      <c r="AA51" s="2">
        <f t="shared" si="16"/>
        <v>4221.0840607892205</v>
      </c>
      <c r="AB51">
        <f>MAX(0, (MAX(0, $D51-BaselineCalc!$B$7) + MAX(0, $E51-BaselineCalc!$B$8)))</f>
        <v>200</v>
      </c>
      <c r="AC51">
        <f t="shared" si="17"/>
        <v>688.75</v>
      </c>
      <c r="AD51" s="2">
        <f t="shared" si="18"/>
        <v>3811870.0929725994</v>
      </c>
      <c r="AE51" s="2">
        <f>W51 - (1-Parameters!$B$2)*$G51*$AB51*$J51*(1-$K51)</f>
        <v>5625169.6705138646</v>
      </c>
      <c r="AF51" s="2">
        <f t="shared" si="19"/>
        <v>-1813299.5775412652</v>
      </c>
      <c r="AG51" t="str">
        <f>B51&amp;"|"&amp;C51</f>
        <v>B_Repurpose_Echo_ops|FY2030</v>
      </c>
    </row>
    <row r="52" spans="1:33" x14ac:dyDescent="0.35">
      <c r="A52" t="str">
        <f>AG52</f>
        <v>C_Repurpose_Pima_lease|FY2026</v>
      </c>
      <c r="B52" t="str">
        <f>Scenarios!A12</f>
        <v>C_Repurpose_Pima_lease</v>
      </c>
      <c r="C52" t="s">
        <v>21</v>
      </c>
      <c r="D52">
        <f>IF(Scenarios!D12=1,0, L52)</f>
        <v>257</v>
      </c>
      <c r="E52">
        <f>IF(Scenarios!E12=1,0, M52)</f>
        <v>0</v>
      </c>
      <c r="F52">
        <f t="shared" si="10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1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2"/>
        <v>2958286.7031839998</v>
      </c>
      <c r="V52" s="2">
        <f t="shared" si="13"/>
        <v>1804655.7599999998</v>
      </c>
      <c r="W52" s="2">
        <f t="shared" si="14"/>
        <v>5962942.4631839991</v>
      </c>
      <c r="X52" s="2">
        <f t="shared" si="15"/>
        <v>12448.73165591649</v>
      </c>
      <c r="Y52" s="2">
        <f>INDEX(YearMap!$I$2:$I$6, MATCH(C52, YearMap!$A$2:$A$6, 0))</f>
        <v>5113</v>
      </c>
      <c r="Z52" s="2">
        <f>$W52-$Y52*$AC52</f>
        <v>3513815.4631839991</v>
      </c>
      <c r="AA52" s="2">
        <f t="shared" si="16"/>
        <v>7335.731655916491</v>
      </c>
      <c r="AB52">
        <f>MAX(0, (MAX(0, $D52-BaselineCalc!$B$7) + MAX(0, $E52-BaselineCalc!$B$8)))</f>
        <v>0</v>
      </c>
      <c r="AC52">
        <f t="shared" si="17"/>
        <v>479</v>
      </c>
      <c r="AD52" s="2">
        <f t="shared" si="18"/>
        <v>2449127</v>
      </c>
      <c r="AE52" s="2">
        <f>W52 - (1-Parameters!$B$2)*$G52*$AB52*$J52*(1-$K52)</f>
        <v>5962942.4631839991</v>
      </c>
      <c r="AF52" s="2">
        <f t="shared" si="19"/>
        <v>-3513815.4631839991</v>
      </c>
      <c r="AG52" t="str">
        <f>B52&amp;"|"&amp;C52</f>
        <v>C_Repurpose_Pima_lease|FY2026</v>
      </c>
    </row>
    <row r="53" spans="1:33" x14ac:dyDescent="0.35">
      <c r="A53" t="str">
        <f>AG53</f>
        <v>C_Repurpose_Pima_lease|FY2027</v>
      </c>
      <c r="B53" t="str">
        <f>Scenarios!A12</f>
        <v>C_Repurpose_Pima_lease</v>
      </c>
      <c r="C53" t="s">
        <v>22</v>
      </c>
      <c r="D53">
        <f>IF(Scenarios!D12=1,0, L53)</f>
        <v>257</v>
      </c>
      <c r="E53">
        <f>IF(Scenarios!E12=1,0, M53)</f>
        <v>0</v>
      </c>
      <c r="F53">
        <f t="shared" si="10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1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2"/>
        <v>2940194.3508251994</v>
      </c>
      <c r="V53" s="2">
        <f t="shared" si="13"/>
        <v>1799822.1539999999</v>
      </c>
      <c r="W53" s="2">
        <f t="shared" si="14"/>
        <v>4740016.504825199</v>
      </c>
      <c r="X53" s="2">
        <f t="shared" si="15"/>
        <v>9895.6503232258856</v>
      </c>
      <c r="Y53" s="2">
        <f>INDEX(YearMap!$I$2:$I$6, MATCH(C53, YearMap!$A$2:$A$6, 0))</f>
        <v>5215.26</v>
      </c>
      <c r="Z53" s="2">
        <f>$W53-$Y53*$AC53</f>
        <v>2241906.964825199</v>
      </c>
      <c r="AA53" s="2">
        <f t="shared" si="16"/>
        <v>4680.3903232258854</v>
      </c>
      <c r="AB53">
        <f>MAX(0, (MAX(0, $D53-BaselineCalc!$B$7) + MAX(0, $E53-BaselineCalc!$B$8)))</f>
        <v>0</v>
      </c>
      <c r="AC53">
        <f t="shared" si="17"/>
        <v>479</v>
      </c>
      <c r="AD53" s="2">
        <f t="shared" si="18"/>
        <v>2498109.54</v>
      </c>
      <c r="AE53" s="2">
        <f>W53 - (1-Parameters!$B$2)*$G53*$AB53*$J53*(1-$K53)</f>
        <v>4740016.504825199</v>
      </c>
      <c r="AF53" s="2">
        <f t="shared" si="19"/>
        <v>-2241906.964825199</v>
      </c>
      <c r="AG53" t="str">
        <f>B53&amp;"|"&amp;C53</f>
        <v>C_Repurpose_Pima_lease|FY2027</v>
      </c>
    </row>
    <row r="54" spans="1:33" x14ac:dyDescent="0.35">
      <c r="A54" t="str">
        <f>AG54</f>
        <v>C_Repurpose_Pima_lease|FY2028</v>
      </c>
      <c r="B54" t="str">
        <f>Scenarios!A12</f>
        <v>C_Repurpose_Pima_lease</v>
      </c>
      <c r="C54" t="s">
        <v>23</v>
      </c>
      <c r="D54">
        <f>IF(Scenarios!D12=1,0, L54)</f>
        <v>257</v>
      </c>
      <c r="E54">
        <f>IF(Scenarios!E12=1,0, M54)</f>
        <v>0</v>
      </c>
      <c r="F54">
        <f t="shared" si="10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1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2"/>
        <v>2919348.4516589697</v>
      </c>
      <c r="V54" s="2">
        <f t="shared" si="13"/>
        <v>1795977.7078499997</v>
      </c>
      <c r="W54" s="2">
        <f t="shared" si="14"/>
        <v>4715326.1595089696</v>
      </c>
      <c r="X54" s="2">
        <f t="shared" si="15"/>
        <v>9844.1047171377231</v>
      </c>
      <c r="Y54" s="2">
        <f>INDEX(YearMap!$I$2:$I$6, MATCH(C54, YearMap!$A$2:$A$6, 0))</f>
        <v>5319.5652</v>
      </c>
      <c r="Z54" s="2">
        <f>$W54-$Y54*$AC54</f>
        <v>2167254.4287089696</v>
      </c>
      <c r="AA54" s="2">
        <f t="shared" si="16"/>
        <v>4524.539517137724</v>
      </c>
      <c r="AB54">
        <f>MAX(0, (MAX(0, $D54-BaselineCalc!$B$7) + MAX(0, $E54-BaselineCalc!$B$8)))</f>
        <v>0</v>
      </c>
      <c r="AC54">
        <f t="shared" si="17"/>
        <v>479</v>
      </c>
      <c r="AD54" s="2">
        <f t="shared" si="18"/>
        <v>2548071.7308</v>
      </c>
      <c r="AE54" s="2">
        <f>W54 - (1-Parameters!$B$2)*$G54*$AB54*$J54*(1-$K54)</f>
        <v>4715326.1595089696</v>
      </c>
      <c r="AF54" s="2">
        <f t="shared" si="19"/>
        <v>-2167254.4287089696</v>
      </c>
      <c r="AG54" t="str">
        <f>B54&amp;"|"&amp;C54</f>
        <v>C_Repurpose_Pima_lease|FY2028</v>
      </c>
    </row>
    <row r="55" spans="1:33" x14ac:dyDescent="0.35">
      <c r="A55" t="str">
        <f>AG55</f>
        <v>C_Repurpose_Pima_lease|FY2029</v>
      </c>
      <c r="B55" t="str">
        <f>Scenarios!A12</f>
        <v>C_Repurpose_Pima_lease</v>
      </c>
      <c r="C55" t="s">
        <v>24</v>
      </c>
      <c r="D55">
        <f>IF(Scenarios!D12=1,0, L55)</f>
        <v>257</v>
      </c>
      <c r="E55">
        <f>IF(Scenarios!E12=1,0, M55)</f>
        <v>0</v>
      </c>
      <c r="F55">
        <f t="shared" si="10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1"/>
        <v>296</v>
      </c>
      <c r="O55" s="7">
        <f>BaselineCalc!$B$22 * N55</f>
        <v>222</v>
      </c>
      <c r="P55">
        <f>YearMap!E5</f>
        <v>500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2"/>
        <v>2895622.6360651618</v>
      </c>
      <c r="V55" s="2">
        <f t="shared" si="13"/>
        <v>1815347.1505462495</v>
      </c>
      <c r="W55" s="2">
        <f t="shared" si="14"/>
        <v>4710969.7866114117</v>
      </c>
      <c r="X55" s="2">
        <f t="shared" si="15"/>
        <v>9835.009992925703</v>
      </c>
      <c r="Y55" s="2">
        <f>INDEX(YearMap!$I$2:$I$6, MATCH(C55, YearMap!$A$2:$A$6, 0))</f>
        <v>5425.9565039999998</v>
      </c>
      <c r="Z55" s="2">
        <f>$W55-$Y55*$AC55</f>
        <v>2111936.6211954118</v>
      </c>
      <c r="AA55" s="2">
        <f t="shared" si="16"/>
        <v>4409.0534889257033</v>
      </c>
      <c r="AB55">
        <f>MAX(0, (MAX(0, $D55-BaselineCalc!$B$7) + MAX(0, $E55-BaselineCalc!$B$8)))</f>
        <v>0</v>
      </c>
      <c r="AC55">
        <f t="shared" si="17"/>
        <v>479</v>
      </c>
      <c r="AD55" s="2">
        <f t="shared" si="18"/>
        <v>2599033.1654159999</v>
      </c>
      <c r="AE55" s="2">
        <f>W55 - (1-Parameters!$B$2)*$G55*$AB55*$J55*(1-$K55)</f>
        <v>4710969.7866114117</v>
      </c>
      <c r="AF55" s="2">
        <f t="shared" si="19"/>
        <v>-2111936.6211954118</v>
      </c>
      <c r="AG55" t="str">
        <f>B55&amp;"|"&amp;C55</f>
        <v>C_Repurpose_Pima_lease|FY2029</v>
      </c>
    </row>
    <row r="56" spans="1:33" x14ac:dyDescent="0.35">
      <c r="A56" t="str">
        <f>AG56</f>
        <v>C_Repurpose_Pima_lease|FY2030</v>
      </c>
      <c r="B56" t="str">
        <f>Scenarios!A12</f>
        <v>C_Repurpose_Pima_lease</v>
      </c>
      <c r="C56" t="s">
        <v>25</v>
      </c>
      <c r="D56">
        <f>IF(Scenarios!D12=1,0, L56)</f>
        <v>257</v>
      </c>
      <c r="E56">
        <f>IF(Scenarios!E12=1,0, M56)</f>
        <v>0</v>
      </c>
      <c r="F56">
        <f t="shared" si="10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1"/>
        <v>296</v>
      </c>
      <c r="O56" s="7">
        <f>BaselineCalc!$B$22 * N56</f>
        <v>222</v>
      </c>
      <c r="P56">
        <f>YearMap!E6</f>
        <v>400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2"/>
        <v>2868885.9369093776</v>
      </c>
      <c r="V56" s="2">
        <f t="shared" si="13"/>
        <v>1835755.8293099059</v>
      </c>
      <c r="W56" s="2">
        <f t="shared" si="14"/>
        <v>4704641.7662192835</v>
      </c>
      <c r="X56" s="2">
        <f t="shared" si="15"/>
        <v>9821.7990944035137</v>
      </c>
      <c r="Y56" s="2">
        <f>INDEX(YearMap!$I$2:$I$6, MATCH(C56, YearMap!$A$2:$A$6, 0))</f>
        <v>5534.4756340799995</v>
      </c>
      <c r="Z56" s="2">
        <f>$W56-$Y56*$AC56</f>
        <v>2053627.9374949639</v>
      </c>
      <c r="AA56" s="2">
        <f t="shared" si="16"/>
        <v>4287.3234603235151</v>
      </c>
      <c r="AB56">
        <f>MAX(0, (MAX(0, $D56-BaselineCalc!$B$7) + MAX(0, $E56-BaselineCalc!$B$8)))</f>
        <v>0</v>
      </c>
      <c r="AC56">
        <f t="shared" si="17"/>
        <v>479</v>
      </c>
      <c r="AD56" s="2">
        <f t="shared" si="18"/>
        <v>2651013.8287243196</v>
      </c>
      <c r="AE56" s="2">
        <f>W56 - (1-Parameters!$B$2)*$G56*$AB56*$J56*(1-$K56)</f>
        <v>4704641.7662192835</v>
      </c>
      <c r="AF56" s="2">
        <f t="shared" si="19"/>
        <v>-2053627.9374949639</v>
      </c>
      <c r="AG56" t="str">
        <f>B56&amp;"|"&amp;C56</f>
        <v>C_Repurpose_Pima_lease|FY2030</v>
      </c>
    </row>
    <row r="57" spans="1:33" x14ac:dyDescent="0.35">
      <c r="A57" t="str">
        <f>AG57</f>
        <v>C_Repurpose_Pima_ops|FY2026</v>
      </c>
      <c r="B57" t="str">
        <f>Scenarios!A13</f>
        <v>C_Repurpose_Pima_ops</v>
      </c>
      <c r="C57" t="s">
        <v>21</v>
      </c>
      <c r="D57">
        <f>IF(Scenarios!D13=1,0, L57)</f>
        <v>457</v>
      </c>
      <c r="E57">
        <f>IF(Scenarios!E13=1,0, M57)</f>
        <v>0</v>
      </c>
      <c r="F57">
        <f t="shared" si="10"/>
        <v>457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457</v>
      </c>
      <c r="M57">
        <f>BaselineCalc!$B$8 + Scenarios!I13 - ROUND(Scenarios!I13*Scenarios!F13,0)</f>
        <v>296</v>
      </c>
      <c r="N57" s="7">
        <f t="shared" si="11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0.5</v>
      </c>
      <c r="R57" s="2">
        <f>IF(Scenarios!D13=1, Q57*H57, H57)</f>
        <v>785217.23999999987</v>
      </c>
      <c r="S57" s="2">
        <f>IF(Scenarios!E13=1, Q57*I57, I57)</f>
        <v>452187.35999999993</v>
      </c>
      <c r="T57" s="2">
        <f>IF(C57="FY2026", (Scenarios!D13+Scenarios!E13)*BaselineCalc!$B$21, 0)</f>
        <v>1200000</v>
      </c>
      <c r="U57" s="2">
        <f t="shared" si="12"/>
        <v>4463926.4008799996</v>
      </c>
      <c r="V57" s="2">
        <f t="shared" si="13"/>
        <v>1804655.7599999998</v>
      </c>
      <c r="W57" s="2">
        <f t="shared" si="14"/>
        <v>7468582.1608799994</v>
      </c>
      <c r="X57" s="2">
        <f t="shared" si="15"/>
        <v>10999.38462574374</v>
      </c>
      <c r="Y57" s="2">
        <f>INDEX(YearMap!$I$2:$I$6, MATCH(C57, YearMap!$A$2:$A$6, 0))</f>
        <v>5113</v>
      </c>
      <c r="Z57" s="2">
        <f>$W57-$Y57*$AC57</f>
        <v>3996855.1608799994</v>
      </c>
      <c r="AA57" s="2">
        <f t="shared" si="16"/>
        <v>5886.3846257437399</v>
      </c>
      <c r="AB57">
        <f>MAX(0, (MAX(0, $D57-BaselineCalc!$B$7) + MAX(0, $E57-BaselineCalc!$B$8)))</f>
        <v>200</v>
      </c>
      <c r="AC57">
        <f>IF(LEFT($B57,2)="A_", $O57, IF(LEFT($B57,2)="B_", $M57+$O57, IF(LEFT($B57,2)="C_", $L57+$O57, $F57)))</f>
        <v>679</v>
      </c>
      <c r="AD57" s="2">
        <f t="shared" si="18"/>
        <v>3471727</v>
      </c>
      <c r="AE57" s="2">
        <f>W57 - (1-Parameters!$B$2)*$G57*$AB57*$J57*(1-$K57)</f>
        <v>6477497.4592800001</v>
      </c>
      <c r="AF57" s="2">
        <f t="shared" si="19"/>
        <v>-3005770.4592800001</v>
      </c>
      <c r="AG57" t="str">
        <f>B57&amp;"|"&amp;C57</f>
        <v>C_Repurpose_Pima_ops|FY2026</v>
      </c>
    </row>
    <row r="58" spans="1:33" x14ac:dyDescent="0.35">
      <c r="A58" t="str">
        <f>AG58</f>
        <v>C_Repurpose_Pima_ops|FY2027</v>
      </c>
      <c r="B58" t="str">
        <f>Scenarios!A13</f>
        <v>C_Repurpose_Pima_ops</v>
      </c>
      <c r="C58" t="s">
        <v>22</v>
      </c>
      <c r="D58">
        <f>IF(Scenarios!D13=1,0, L58)</f>
        <v>457</v>
      </c>
      <c r="E58">
        <f>IF(Scenarios!E13=1,0, M58)</f>
        <v>0</v>
      </c>
      <c r="F58">
        <f t="shared" si="10"/>
        <v>457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457</v>
      </c>
      <c r="M58">
        <f>BaselineCalc!$B$8 + Scenarios!J13 - ROUND(Scenarios!J13*Scenarios!F13,0)</f>
        <v>296</v>
      </c>
      <c r="N58" s="7">
        <f t="shared" si="11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0.4</v>
      </c>
      <c r="R58" s="2">
        <f>IF(Scenarios!D13=1, Q58*H58, H58)</f>
        <v>804847.67099999997</v>
      </c>
      <c r="S58" s="2">
        <f>IF(Scenarios!E13=1, Q58*I58, I58)</f>
        <v>370793.63520000002</v>
      </c>
      <c r="T58" s="2">
        <f>IF(C58="FY2026", (Scenarios!D13+Scenarios!E13)*BaselineCalc!$B$21, 0)</f>
        <v>0</v>
      </c>
      <c r="U58" s="2">
        <f t="shared" si="12"/>
        <v>4483475.0409636004</v>
      </c>
      <c r="V58" s="2">
        <f t="shared" si="13"/>
        <v>1799822.1539999999</v>
      </c>
      <c r="W58" s="2">
        <f t="shared" si="14"/>
        <v>6283297.1949636005</v>
      </c>
      <c r="X58" s="2">
        <f t="shared" si="15"/>
        <v>9253.7513916989701</v>
      </c>
      <c r="Y58" s="2">
        <f>INDEX(YearMap!$I$2:$I$6, MATCH(C58, YearMap!$A$2:$A$6, 0))</f>
        <v>5215.26</v>
      </c>
      <c r="Z58" s="2">
        <f>$W58-$Y58*$AC58</f>
        <v>2742135.6549636004</v>
      </c>
      <c r="AA58" s="2">
        <f t="shared" si="16"/>
        <v>4038.4913916989699</v>
      </c>
      <c r="AB58">
        <f>MAX(0, (MAX(0, $D58-BaselineCalc!$B$7) + MAX(0, $E58-BaselineCalc!$B$8)))</f>
        <v>200</v>
      </c>
      <c r="AC58">
        <f t="shared" si="17"/>
        <v>679</v>
      </c>
      <c r="AD58" s="2">
        <f t="shared" si="18"/>
        <v>3541161.54</v>
      </c>
      <c r="AE58" s="2">
        <f>W58 - (1-Parameters!$B$2)*$G58*$AB58*$J58*(1-$K58)</f>
        <v>5267435.3758236011</v>
      </c>
      <c r="AF58" s="2">
        <f t="shared" si="19"/>
        <v>-1726273.8358236011</v>
      </c>
      <c r="AG58" t="str">
        <f>B58&amp;"|"&amp;C58</f>
        <v>C_Repurpose_Pima_ops|FY2027</v>
      </c>
    </row>
    <row r="59" spans="1:33" x14ac:dyDescent="0.35">
      <c r="A59" t="str">
        <f>AG59</f>
        <v>C_Repurpose_Pima_ops|FY2028</v>
      </c>
      <c r="B59" t="str">
        <f>Scenarios!A13</f>
        <v>C_Repurpose_Pima_ops</v>
      </c>
      <c r="C59" t="s">
        <v>23</v>
      </c>
      <c r="D59">
        <f>IF(Scenarios!D13=1,0, L59)</f>
        <v>457</v>
      </c>
      <c r="E59">
        <f>IF(Scenarios!E13=1,0, M59)</f>
        <v>0</v>
      </c>
      <c r="F59">
        <f t="shared" si="10"/>
        <v>457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457</v>
      </c>
      <c r="M59">
        <f>BaselineCalc!$B$8 + Scenarios!K13 - ROUND(Scenarios!K13*Scenarios!F13,0)</f>
        <v>296</v>
      </c>
      <c r="N59" s="7">
        <f t="shared" si="11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0.35</v>
      </c>
      <c r="R59" s="2">
        <f>IF(Scenarios!D13=1, Q59*H59, H59)</f>
        <v>824968.86277499993</v>
      </c>
      <c r="S59" s="2">
        <f>IF(Scenarios!E13=1, Q59*I59, I59)</f>
        <v>332555.54156999994</v>
      </c>
      <c r="T59" s="2">
        <f>IF(C59="FY2026", (Scenarios!D13+Scenarios!E13)*BaselineCalc!$B$21, 0)</f>
        <v>0</v>
      </c>
      <c r="U59" s="2">
        <f t="shared" si="12"/>
        <v>4548386.5380192595</v>
      </c>
      <c r="V59" s="2">
        <f t="shared" si="13"/>
        <v>1795977.7078499997</v>
      </c>
      <c r="W59" s="2">
        <f t="shared" si="14"/>
        <v>6344364.2458692594</v>
      </c>
      <c r="X59" s="2">
        <f t="shared" si="15"/>
        <v>9343.6881382463325</v>
      </c>
      <c r="Y59" s="2">
        <f>INDEX(YearMap!$I$2:$I$6, MATCH(C59, YearMap!$A$2:$A$6, 0))</f>
        <v>5319.5652</v>
      </c>
      <c r="Z59" s="2">
        <f>$W59-$Y59*$AC59</f>
        <v>2732379.4750692593</v>
      </c>
      <c r="AA59" s="2">
        <f t="shared" si="16"/>
        <v>4024.1229382463316</v>
      </c>
      <c r="AB59">
        <f>MAX(0, (MAX(0, $D59-BaselineCalc!$B$7) + MAX(0, $E59-BaselineCalc!$B$8)))</f>
        <v>200</v>
      </c>
      <c r="AC59">
        <f t="shared" si="17"/>
        <v>679</v>
      </c>
      <c r="AD59" s="2">
        <f t="shared" si="18"/>
        <v>3611984.7708000001</v>
      </c>
      <c r="AE59" s="2">
        <f>W59 - (1-Parameters!$B$2)*$G59*$AB59*$J59*(1-$K59)</f>
        <v>5303105.8812507596</v>
      </c>
      <c r="AF59" s="2">
        <f t="shared" si="19"/>
        <v>-1691121.1104507595</v>
      </c>
      <c r="AG59" t="str">
        <f>B59&amp;"|"&amp;C59</f>
        <v>C_Repurpose_Pima_ops|FY2028</v>
      </c>
    </row>
    <row r="60" spans="1:33" x14ac:dyDescent="0.35">
      <c r="A60" t="str">
        <f>AG60</f>
        <v>C_Repurpose_Pima_ops|FY2029</v>
      </c>
      <c r="B60" t="str">
        <f>Scenarios!A13</f>
        <v>C_Repurpose_Pima_ops</v>
      </c>
      <c r="C60" t="s">
        <v>24</v>
      </c>
      <c r="D60">
        <f>IF(Scenarios!D13=1,0, L60)</f>
        <v>457</v>
      </c>
      <c r="E60">
        <f>IF(Scenarios!E13=1,0, M60)</f>
        <v>0</v>
      </c>
      <c r="F60">
        <f t="shared" si="10"/>
        <v>457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457</v>
      </c>
      <c r="M60">
        <f>BaselineCalc!$B$8 + Scenarios!L13 - ROUND(Scenarios!L13*Scenarios!F13,0)</f>
        <v>296</v>
      </c>
      <c r="N60" s="7">
        <f t="shared" si="11"/>
        <v>296</v>
      </c>
      <c r="O60" s="7">
        <f>BaselineCalc!$B$22 * N60</f>
        <v>222</v>
      </c>
      <c r="P60">
        <f>YearMap!E5</f>
        <v>500</v>
      </c>
      <c r="Q60">
        <f>IF(Scenarios!N13="lease", YearMap!F5, YearMap!G5)</f>
        <v>0.3</v>
      </c>
      <c r="R60" s="2">
        <f>IF(Scenarios!D13=1, Q60*H60, H60)</f>
        <v>845593.08434437483</v>
      </c>
      <c r="S60" s="2">
        <f>IF(Scenarios!E13=1, Q60*I60, I60)</f>
        <v>292173.79723649996</v>
      </c>
      <c r="T60" s="2">
        <f>IF(C60="FY2026", (Scenarios!D13+Scenarios!E13)*BaselineCalc!$B$21, 0)</f>
        <v>0</v>
      </c>
      <c r="U60" s="2">
        <f t="shared" si="12"/>
        <v>4613741.4380270988</v>
      </c>
      <c r="V60" s="2">
        <f t="shared" si="13"/>
        <v>1815347.1505462495</v>
      </c>
      <c r="W60" s="2">
        <f t="shared" si="14"/>
        <v>6429088.5885733478</v>
      </c>
      <c r="X60" s="2">
        <f t="shared" si="15"/>
        <v>9468.4662571036042</v>
      </c>
      <c r="Y60" s="2">
        <f>INDEX(YearMap!$I$2:$I$6, MATCH(C60, YearMap!$A$2:$A$6, 0))</f>
        <v>5425.9565039999998</v>
      </c>
      <c r="Z60" s="2">
        <f>$W60-$Y60*$AC60</f>
        <v>2744864.122357348</v>
      </c>
      <c r="AA60" s="2">
        <f t="shared" si="16"/>
        <v>4042.5097531036054</v>
      </c>
      <c r="AB60">
        <f>MAX(0, (MAX(0, $D60-BaselineCalc!$B$7) + MAX(0, $E60-BaselineCalc!$B$8)))</f>
        <v>200</v>
      </c>
      <c r="AC60">
        <f t="shared" si="17"/>
        <v>679</v>
      </c>
      <c r="AD60" s="2">
        <f t="shared" si="18"/>
        <v>3684224.4662159998</v>
      </c>
      <c r="AE60" s="2">
        <f>W60 - (1-Parameters!$B$2)*$G60*$AB60*$J60*(1-$K60)</f>
        <v>5361798.7648393856</v>
      </c>
      <c r="AF60" s="2">
        <f t="shared" si="19"/>
        <v>-1677574.2986233858</v>
      </c>
      <c r="AG60" t="str">
        <f>B60&amp;"|"&amp;C60</f>
        <v>C_Repurpose_Pima_ops|FY2029</v>
      </c>
    </row>
    <row r="61" spans="1:33" x14ac:dyDescent="0.35">
      <c r="A61" t="str">
        <f>AG61</f>
        <v>C_Repurpose_Pima_ops|FY2030</v>
      </c>
      <c r="B61" t="str">
        <f>Scenarios!A13</f>
        <v>C_Repurpose_Pima_ops</v>
      </c>
      <c r="C61" t="s">
        <v>25</v>
      </c>
      <c r="D61">
        <f>IF(Scenarios!D13=1,0, L61)</f>
        <v>457</v>
      </c>
      <c r="E61">
        <f>IF(Scenarios!E13=1,0, M61)</f>
        <v>0</v>
      </c>
      <c r="F61">
        <f t="shared" si="10"/>
        <v>457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457</v>
      </c>
      <c r="M61">
        <f>BaselineCalc!$B$8 + Scenarios!M13 - ROUND(Scenarios!M13*Scenarios!F13,0)</f>
        <v>296</v>
      </c>
      <c r="N61" s="7">
        <f t="shared" si="11"/>
        <v>296</v>
      </c>
      <c r="O61" s="7">
        <f>BaselineCalc!$B$22 * N61</f>
        <v>222</v>
      </c>
      <c r="P61">
        <f>YearMap!E6</f>
        <v>400</v>
      </c>
      <c r="Q61">
        <f>IF(Scenarios!N13="lease", YearMap!F6, YearMap!G6)</f>
        <v>0.3</v>
      </c>
      <c r="R61" s="2">
        <f>IF(Scenarios!D13=1, Q61*H61, H61)</f>
        <v>866732.91145298409</v>
      </c>
      <c r="S61" s="2">
        <f>IF(Scenarios!E13=1, Q61*I61, I61)</f>
        <v>299478.14216741238</v>
      </c>
      <c r="T61" s="2">
        <f>IF(C61="FY2026", (Scenarios!D13+Scenarios!E13)*BaselineCalc!$B$21, 0)</f>
        <v>0</v>
      </c>
      <c r="U61" s="2">
        <f t="shared" si="12"/>
        <v>4729084.9739777772</v>
      </c>
      <c r="V61" s="2">
        <f t="shared" si="13"/>
        <v>1835755.8293099059</v>
      </c>
      <c r="W61" s="2">
        <f t="shared" si="14"/>
        <v>6564840.8032876831</v>
      </c>
      <c r="X61" s="2">
        <f t="shared" si="15"/>
        <v>9668.3958811306074</v>
      </c>
      <c r="Y61" s="2">
        <f>INDEX(YearMap!$I$2:$I$6, MATCH(C61, YearMap!$A$2:$A$6, 0))</f>
        <v>5534.4756340799995</v>
      </c>
      <c r="Z61" s="2">
        <f>$W61-$Y61*$AC61</f>
        <v>2806931.8477473636</v>
      </c>
      <c r="AA61" s="2">
        <f t="shared" si="16"/>
        <v>4133.9202470506089</v>
      </c>
      <c r="AB61">
        <f>MAX(0, (MAX(0, $D61-BaselineCalc!$B$7) + MAX(0, $E61-BaselineCalc!$B$8)))</f>
        <v>200</v>
      </c>
      <c r="AC61">
        <f t="shared" si="17"/>
        <v>679</v>
      </c>
      <c r="AD61" s="2">
        <f t="shared" si="18"/>
        <v>3757908.9555403194</v>
      </c>
      <c r="AE61" s="2">
        <f>W61 - (1-Parameters!$B$2)*$G61*$AB61*$J61*(1-$K61)</f>
        <v>5470868.7339603715</v>
      </c>
      <c r="AF61" s="2">
        <f t="shared" si="19"/>
        <v>-1712959.778420052</v>
      </c>
      <c r="AG61" t="str">
        <f>B61&amp;"|"&amp;C61</f>
        <v>C_Repurpose_Pima_ops|FY2030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5"/>
  <sheetViews>
    <sheetView zoomScale="70" zoomScaleNormal="70" workbookViewId="0">
      <selection activeCell="B1" sqref="B1:G13"/>
    </sheetView>
  </sheetViews>
  <sheetFormatPr defaultRowHeight="14.5" x14ac:dyDescent="0.35"/>
  <cols>
    <col min="1" max="1" width="26.1796875" bestFit="1" customWidth="1"/>
    <col min="2" max="2" width="29.7265625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88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93</v>
      </c>
      <c r="H1" s="1" t="s">
        <v>26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125</v>
      </c>
    </row>
    <row r="2" spans="1:14" x14ac:dyDescent="0.35">
      <c r="A2" t="s">
        <v>126</v>
      </c>
      <c r="B2" t="s">
        <v>127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128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129</v>
      </c>
      <c r="B3" t="s">
        <v>130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131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132</v>
      </c>
      <c r="B4" t="s">
        <v>133</v>
      </c>
      <c r="C4" s="4">
        <v>150</v>
      </c>
      <c r="D4" s="4">
        <v>0</v>
      </c>
      <c r="E4" s="4">
        <v>0</v>
      </c>
      <c r="F4" s="4">
        <v>0.7</v>
      </c>
      <c r="G4" s="4">
        <v>0.05</v>
      </c>
      <c r="H4" t="s">
        <v>134</v>
      </c>
      <c r="I4">
        <f t="shared" si="0"/>
        <v>150</v>
      </c>
      <c r="J4">
        <f t="shared" si="0"/>
        <v>150</v>
      </c>
      <c r="K4">
        <f t="shared" si="0"/>
        <v>150</v>
      </c>
      <c r="L4">
        <f t="shared" si="0"/>
        <v>150</v>
      </c>
      <c r="M4">
        <f t="shared" si="0"/>
        <v>150</v>
      </c>
    </row>
    <row r="5" spans="1:14" x14ac:dyDescent="0.35">
      <c r="A5" t="s">
        <v>135</v>
      </c>
      <c r="B5" t="s">
        <v>136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137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11</v>
      </c>
      <c r="B6" t="s">
        <v>138</v>
      </c>
      <c r="C6" s="4">
        <v>250</v>
      </c>
      <c r="D6" s="4">
        <v>0</v>
      </c>
      <c r="E6" s="4">
        <v>0</v>
      </c>
      <c r="F6" s="4">
        <v>0.5</v>
      </c>
      <c r="G6" s="4">
        <v>0</v>
      </c>
      <c r="H6" t="s">
        <v>139</v>
      </c>
      <c r="I6">
        <f t="shared" si="0"/>
        <v>250</v>
      </c>
      <c r="J6">
        <f t="shared" si="0"/>
        <v>250</v>
      </c>
      <c r="K6">
        <f t="shared" si="0"/>
        <v>250</v>
      </c>
      <c r="L6">
        <f t="shared" si="0"/>
        <v>250</v>
      </c>
      <c r="M6">
        <f t="shared" si="0"/>
        <v>250</v>
      </c>
    </row>
    <row r="7" spans="1:14" x14ac:dyDescent="0.35">
      <c r="A7" t="s">
        <v>10</v>
      </c>
      <c r="B7" t="s">
        <v>140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141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142</v>
      </c>
      <c r="B8" t="s">
        <v>143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144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145</v>
      </c>
    </row>
    <row r="9" spans="1:14" x14ac:dyDescent="0.35">
      <c r="A9" t="s">
        <v>7</v>
      </c>
      <c r="B9" t="s">
        <v>146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147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148</v>
      </c>
    </row>
    <row r="10" spans="1:14" x14ac:dyDescent="0.35">
      <c r="A10" t="s">
        <v>149</v>
      </c>
      <c r="B10" t="s">
        <v>150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151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145</v>
      </c>
    </row>
    <row r="11" spans="1:14" x14ac:dyDescent="0.35">
      <c r="A11" t="s">
        <v>152</v>
      </c>
      <c r="B11" t="s">
        <v>153</v>
      </c>
      <c r="C11" s="4">
        <v>200</v>
      </c>
      <c r="D11" s="4">
        <v>1</v>
      </c>
      <c r="E11" s="4">
        <v>0</v>
      </c>
      <c r="F11" s="4">
        <v>0</v>
      </c>
      <c r="G11" s="4">
        <v>0</v>
      </c>
      <c r="H11" t="s">
        <v>154</v>
      </c>
      <c r="I11">
        <f t="shared" si="1"/>
        <v>200</v>
      </c>
      <c r="J11">
        <f t="shared" si="1"/>
        <v>200</v>
      </c>
      <c r="K11">
        <f t="shared" si="1"/>
        <v>200</v>
      </c>
      <c r="L11">
        <f t="shared" si="1"/>
        <v>200</v>
      </c>
      <c r="M11">
        <f t="shared" si="1"/>
        <v>200</v>
      </c>
      <c r="N11" t="s">
        <v>148</v>
      </c>
    </row>
    <row r="12" spans="1:14" x14ac:dyDescent="0.35">
      <c r="A12" t="s">
        <v>155</v>
      </c>
      <c r="B12" t="s">
        <v>156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157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145</v>
      </c>
    </row>
    <row r="13" spans="1:14" x14ac:dyDescent="0.35">
      <c r="A13" t="s">
        <v>158</v>
      </c>
      <c r="B13" t="s">
        <v>159</v>
      </c>
      <c r="C13" s="4">
        <v>200</v>
      </c>
      <c r="D13" s="4">
        <v>0</v>
      </c>
      <c r="E13" s="4">
        <v>1</v>
      </c>
      <c r="F13" s="4">
        <v>1</v>
      </c>
      <c r="G13" s="4">
        <v>0</v>
      </c>
      <c r="H13" t="s">
        <v>160</v>
      </c>
      <c r="I13">
        <f t="shared" si="1"/>
        <v>200</v>
      </c>
      <c r="J13">
        <f t="shared" si="1"/>
        <v>200</v>
      </c>
      <c r="K13">
        <f t="shared" si="1"/>
        <v>200</v>
      </c>
      <c r="L13">
        <f t="shared" si="1"/>
        <v>200</v>
      </c>
      <c r="M13">
        <f t="shared" si="1"/>
        <v>200</v>
      </c>
      <c r="N13" t="s">
        <v>148</v>
      </c>
    </row>
    <row r="15" spans="1:14" x14ac:dyDescent="0.35">
      <c r="A15" s="1" t="s">
        <v>88</v>
      </c>
      <c r="B15" s="1" t="s">
        <v>18</v>
      </c>
      <c r="C15" s="1" t="s">
        <v>89</v>
      </c>
      <c r="D15" s="1" t="s">
        <v>90</v>
      </c>
      <c r="E15" s="1" t="s">
        <v>91</v>
      </c>
      <c r="F15" s="1" t="s">
        <v>80</v>
      </c>
      <c r="G15" s="1" t="s">
        <v>81</v>
      </c>
      <c r="H15" s="1" t="s">
        <v>82</v>
      </c>
      <c r="I15" s="1" t="s">
        <v>106</v>
      </c>
    </row>
    <row r="16" spans="1:14" x14ac:dyDescent="0.35">
      <c r="A16" t="str">
        <f>A2</f>
        <v>D_Grow_Both_0</v>
      </c>
      <c r="B16" t="s">
        <v>21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22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23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24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25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21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22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23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24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25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21</v>
      </c>
      <c r="C26">
        <f>IF(D4=1,0, BaselineCalc!$B$7 + ROUND(I4*F4,0))</f>
        <v>362</v>
      </c>
      <c r="D26">
        <f>IF(E4=1,0, BaselineCalc!$B$8 + I4 - ROUND(I4*F4,0))</f>
        <v>341</v>
      </c>
      <c r="E26">
        <f t="shared" si="2"/>
        <v>703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22</v>
      </c>
      <c r="C27">
        <f>IF(D4=1,0, BaselineCalc!$B$7 + ROUND(J4*F4,0))</f>
        <v>362</v>
      </c>
      <c r="D27">
        <f>IF(E4=1,0, BaselineCalc!$B$8 + J4 - ROUND(J4*F4,0))</f>
        <v>341</v>
      </c>
      <c r="E27">
        <f t="shared" si="2"/>
        <v>703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23</v>
      </c>
      <c r="C28">
        <f>IF(D4=1,0, BaselineCalc!$B$7 + ROUND(K4*F4,0))</f>
        <v>362</v>
      </c>
      <c r="D28">
        <f>IF(E4=1,0, BaselineCalc!$B$8 + K4 - ROUND(K4*F4,0))</f>
        <v>341</v>
      </c>
      <c r="E28">
        <f t="shared" si="2"/>
        <v>703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24</v>
      </c>
      <c r="C29">
        <f>IF(D4=1,0, BaselineCalc!$B$7 + ROUND(L4*F4,0))</f>
        <v>362</v>
      </c>
      <c r="D29">
        <f>IF(E4=1,0, BaselineCalc!$B$8 + L4 - ROUND(L4*F4,0))</f>
        <v>341</v>
      </c>
      <c r="E29">
        <f t="shared" si="2"/>
        <v>703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25</v>
      </c>
      <c r="C30">
        <f>IF(D4=1,0, BaselineCalc!$B$7 + ROUND(M4*F4,0))</f>
        <v>362</v>
      </c>
      <c r="D30">
        <f>IF(E4=1,0, BaselineCalc!$B$8 + M4 - ROUND(M4*F4,0))</f>
        <v>341</v>
      </c>
      <c r="E30">
        <f t="shared" si="2"/>
        <v>703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21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22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23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24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25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21</v>
      </c>
      <c r="C36">
        <f>IF(D6=1,0, BaselineCalc!$B$7 + ROUND(I6*F6,0))</f>
        <v>382</v>
      </c>
      <c r="D36">
        <f>IF(E6=1,0, BaselineCalc!$B$8 + I6 - ROUND(I6*F6,0))</f>
        <v>421</v>
      </c>
      <c r="E36">
        <f t="shared" si="2"/>
        <v>803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22</v>
      </c>
      <c r="C37">
        <f>IF(D6=1,0, BaselineCalc!$B$7 + ROUND(J6*F6,0))</f>
        <v>382</v>
      </c>
      <c r="D37">
        <f>IF(E6=1,0, BaselineCalc!$B$8 + J6 - ROUND(J6*F6,0))</f>
        <v>421</v>
      </c>
      <c r="E37">
        <f t="shared" si="2"/>
        <v>803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23</v>
      </c>
      <c r="C38">
        <f>IF(D6=1,0, BaselineCalc!$B$7 + ROUND(K6*F6,0))</f>
        <v>382</v>
      </c>
      <c r="D38">
        <f>IF(E6=1,0, BaselineCalc!$B$8 + K6 - ROUND(K6*F6,0))</f>
        <v>421</v>
      </c>
      <c r="E38">
        <f t="shared" si="2"/>
        <v>803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24</v>
      </c>
      <c r="C39">
        <f>IF(D6=1,0, BaselineCalc!$B$7 + ROUND(L6*F6,0))</f>
        <v>382</v>
      </c>
      <c r="D39">
        <f>IF(E6=1,0, BaselineCalc!$B$8 + L6 - ROUND(L6*F6,0))</f>
        <v>421</v>
      </c>
      <c r="E39">
        <f t="shared" si="2"/>
        <v>803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25</v>
      </c>
      <c r="C40">
        <f>IF(D6=1,0, BaselineCalc!$B$7 + ROUND(M6*F6,0))</f>
        <v>382</v>
      </c>
      <c r="D40">
        <f>IF(E6=1,0, BaselineCalc!$B$8 + M6 - ROUND(M6*F6,0))</f>
        <v>421</v>
      </c>
      <c r="E40">
        <f t="shared" si="2"/>
        <v>803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21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22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23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24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25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21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22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23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24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25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21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22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23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24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25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21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22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23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24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25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21</v>
      </c>
      <c r="C61">
        <f>IF(D11=1,0, BaselineCalc!$B$7 + ROUND(I11*F11,0))</f>
        <v>0</v>
      </c>
      <c r="D61">
        <f>IF(E11=1,0, BaselineCalc!$B$8 + I11 - ROUND(I11*F11,0))</f>
        <v>496</v>
      </c>
      <c r="E61">
        <f t="shared" si="4"/>
        <v>496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22</v>
      </c>
      <c r="C62">
        <f>IF(D11=1,0, BaselineCalc!$B$7 + ROUND(J11*F11,0))</f>
        <v>0</v>
      </c>
      <c r="D62">
        <f>IF(E11=1,0, BaselineCalc!$B$8 + J11 - ROUND(J11*F11,0))</f>
        <v>496</v>
      </c>
      <c r="E62">
        <f t="shared" si="4"/>
        <v>496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23</v>
      </c>
      <c r="C63">
        <f>IF(D11=1,0, BaselineCalc!$B$7 + ROUND(K11*F11,0))</f>
        <v>0</v>
      </c>
      <c r="D63">
        <f>IF(E11=1,0, BaselineCalc!$B$8 + K11 - ROUND(K11*F11,0))</f>
        <v>496</v>
      </c>
      <c r="E63">
        <f t="shared" si="4"/>
        <v>496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24</v>
      </c>
      <c r="C64">
        <f>IF(D11=1,0, BaselineCalc!$B$7 + ROUND(L11*F11,0))</f>
        <v>0</v>
      </c>
      <c r="D64">
        <f>IF(E11=1,0, BaselineCalc!$B$8 + L11 - ROUND(L11*F11,0))</f>
        <v>496</v>
      </c>
      <c r="E64">
        <f t="shared" si="4"/>
        <v>496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25</v>
      </c>
      <c r="C65">
        <f>IF(D11=1,0, BaselineCalc!$B$7 + ROUND(M11*F11,0))</f>
        <v>0</v>
      </c>
      <c r="D65">
        <f>IF(E11=1,0, BaselineCalc!$B$8 + M11 - ROUND(M11*F11,0))</f>
        <v>496</v>
      </c>
      <c r="E65">
        <f t="shared" si="4"/>
        <v>496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21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22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23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24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25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21</v>
      </c>
      <c r="C71">
        <f>IF(D13=1,0, BaselineCalc!$B$7 + ROUND(I13*F13,0))</f>
        <v>457</v>
      </c>
      <c r="D71">
        <f>IF(E13=1,0, BaselineCalc!$B$8 + I13 - ROUND(I13*F13,0))</f>
        <v>0</v>
      </c>
      <c r="E71">
        <f t="shared" si="4"/>
        <v>457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22</v>
      </c>
      <c r="C72">
        <f>IF(D13=1,0, BaselineCalc!$B$7 + ROUND(J13*F13,0))</f>
        <v>457</v>
      </c>
      <c r="D72">
        <f>IF(E13=1,0, BaselineCalc!$B$8 + J13 - ROUND(J13*F13,0))</f>
        <v>0</v>
      </c>
      <c r="E72">
        <f t="shared" si="4"/>
        <v>457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23</v>
      </c>
      <c r="C73">
        <f>IF(D13=1,0, BaselineCalc!$B$7 + ROUND(K13*F13,0))</f>
        <v>457</v>
      </c>
      <c r="D73">
        <f>IF(E13=1,0, BaselineCalc!$B$8 + K13 - ROUND(K13*F13,0))</f>
        <v>0</v>
      </c>
      <c r="E73">
        <f t="shared" si="4"/>
        <v>457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24</v>
      </c>
      <c r="C74">
        <f>IF(D13=1,0, BaselineCalc!$B$7 + ROUND(L13*F13,0))</f>
        <v>457</v>
      </c>
      <c r="D74">
        <f>IF(E13=1,0, BaselineCalc!$B$8 + L13 - ROUND(L13*F13,0))</f>
        <v>0</v>
      </c>
      <c r="E74">
        <f t="shared" si="4"/>
        <v>457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25</v>
      </c>
      <c r="C75">
        <f>IF(D13=1,0, BaselineCalc!$B$7 + ROUND(M13*F13,0))</f>
        <v>457</v>
      </c>
      <c r="D75">
        <f>IF(E13=1,0, BaselineCalc!$B$8 + M13 - ROUND(M13*F13,0))</f>
        <v>0</v>
      </c>
      <c r="E75">
        <f t="shared" si="4"/>
        <v>457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defaultRowHeight="14.5" x14ac:dyDescent="0.35"/>
  <cols>
    <col min="1" max="1" width="25.7265625" bestFit="1" customWidth="1"/>
    <col min="2" max="7" width="23" customWidth="1"/>
    <col min="8" max="10" width="13.1796875" bestFit="1" customWidth="1"/>
    <col min="11" max="11" width="14" customWidth="1"/>
    <col min="12" max="12" width="21.08984375" bestFit="1" customWidth="1"/>
    <col min="13" max="13" width="22.36328125" bestFit="1" customWidth="1"/>
  </cols>
  <sheetData>
    <row r="1" spans="1:13" ht="29" customHeight="1" x14ac:dyDescent="0.35">
      <c r="A1" s="9" t="s">
        <v>88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14</v>
      </c>
      <c r="G1" s="9" t="s">
        <v>165</v>
      </c>
      <c r="H1" s="9" t="s">
        <v>166</v>
      </c>
      <c r="I1" s="9" t="s">
        <v>8</v>
      </c>
      <c r="J1" s="9" t="s">
        <v>167</v>
      </c>
      <c r="K1" s="52" t="s">
        <v>232</v>
      </c>
      <c r="L1" s="9" t="s">
        <v>240</v>
      </c>
      <c r="M1" s="9" t="s">
        <v>241</v>
      </c>
    </row>
    <row r="2" spans="1:13" x14ac:dyDescent="0.35">
      <c r="A2" t="str">
        <f>Scenarios!A2</f>
        <v>D_Grow_Both_0</v>
      </c>
      <c r="B2" s="2">
        <f>INDEX(MultiYear_ProForma!$X$2:$X$61, MATCH(Scenarios!A2&amp;"|FY2028", MultiYear_ProForma!$AG$2:$AG$61, 0))</f>
        <v>10625.085353249999</v>
      </c>
      <c r="C2" s="2">
        <f>INDEX(MultiYear_ProForma!$X$2:$X$61, MATCH(Scenarios!A2&amp;"|FY2030", MultiYear_ProForma!$AG$2:$AG$61, 0))</f>
        <v>11162.980299258277</v>
      </c>
      <c r="D2" s="2">
        <f>AVERAGE(INDEX(MultiYear_ProForma!$X$2:$X$61, MATCH(Scenarios!A2&amp;"|FY2026", MultiYear_ProForma!$AG$2:$AG$61, 0)),INDEX(MultiYear_ProForma!$X$2:$X$61, MATCH(Scenarios!A2&amp;"|FY2027", MultiYear_ProForma!$AG$2:$AG$61, 0)),INDEX(MultiYear_ProForma!$X$2:$X$61, MATCH(Scenarios!A2&amp;"|FY2028", MultiYear_ProForma!$AG$2:$AG$61, 0)))</f>
        <v>10368.043827749998</v>
      </c>
      <c r="E2" s="2">
        <f>AVERAGE(INDEX(MultiYear_ProForma!$X$2:$X$61, MATCH(Scenarios!A2&amp;"|FY2026", MultiYear_ProForma!$AG$2:$AG$61, 0)),INDEX(MultiYear_ProForma!$X$2:$X$61, MATCH(Scenarios!A2&amp;"|FY2027", MultiYear_ProForma!$AG$2:$AG$61, 0)),INDEX(MultiYear_ProForma!$X$2:$X$61, MATCH(Scenarios!A2&amp;"|FY2028", MultiYear_ProForma!$AG$2:$AG$61, 0)),INDEX(MultiYear_ProForma!$X$2:$X$61, MATCH(Scenarios!A2&amp;"|FY2029", MultiYear_ProForma!$AG$2:$AG$61, 0)),INDEX(MultiYear_ProForma!$X$2:$X$61, MATCH(Scenarios!A2&amp;"|FY2030", MultiYear_ProForma!$AG$2:$AG$61, 0)))</f>
        <v>10631.564853917904</v>
      </c>
      <c r="F2">
        <f>IFERROR(VLOOKUP($A2&amp;"|FY2026", MultiYear_ProForma!$A:$AG, 14, FALSE), "")</f>
        <v>0</v>
      </c>
      <c r="G2">
        <f>IFERROR(VLOOKUP($A2&amp;"|FY2030", MultiYear_ProForma!$A:$AG, 6, FALSE) + VLOOKUP($A2&amp;"|FY2030", MultiYear_ProForma!$A:$AG, 15, FALSE), "")</f>
        <v>553</v>
      </c>
      <c r="H2" s="2">
        <f>SUMIFS(MultiYear_ProForma!$AF:$AF, MultiYear_ProForma!$B:$B, $A2, MultiYear_ProForma!$C:$C, "FY2028")</f>
        <v>-2933952.6447472493</v>
      </c>
      <c r="I2" s="2">
        <f>SUMIFS(MultiYear_ProForma!$AF:$AF, MultiYear_ProForma!$B:$B, $A2, MultiYear_ProForma!$C:$C, "FY2030")</f>
        <v>-3112563.0798435882</v>
      </c>
      <c r="J2" s="2">
        <f>(SUMIFS(MultiYear_ProForma!$AF:$AF, MultiYear_ProForma!$B:$B, $A2, MultiYear_ProForma!$C:$C, "FY2026")+SUMIFS(MultiYear_ProForma!$AF:$AF, MultiYear_ProForma!$B:$B, $A2, MultiYear_ProForma!$C:$C, "FY2027")+SUMIFS(MultiYear_ProForma!$AF:$AF, MultiYear_ProForma!$B:$B, $A2, MultiYear_ProForma!$C:$C, "FY2028")+SUMIFS(MultiYear_ProForma!$AF:$AF, MultiYear_ProForma!$B:$B, $A2, MultiYear_ProForma!$C:$C, "FY2029")+SUMIFS(MultiYear_ProForma!$AF:$AF, MultiYear_ProForma!$B:$B, $A2, MultiYear_ProForma!$C:$C, "FY2030"))/5</f>
        <v>-2936382.1026249533</v>
      </c>
      <c r="K2" s="52" t="str">
        <f>'Control center'!B25</f>
        <v>CUSTOM1</v>
      </c>
      <c r="L2" s="2">
        <f>I2 - INDEX(I:I, MATCH("A_Repurpose_Both_ops", $A:$A, 0))</f>
        <v>-1422766.8952315552</v>
      </c>
      <c r="M2" s="2">
        <f>J2 - INDEX(J:J, MATCH("A_Repurpose_Both_ops", $A:$A, 0))</f>
        <v>-633169.63836165704</v>
      </c>
    </row>
    <row r="3" spans="1:13" x14ac:dyDescent="0.35">
      <c r="A3" t="str">
        <f>Scenarios!A3</f>
        <v>E_StatusQuo_Targets_0</v>
      </c>
      <c r="B3" s="2">
        <f>INDEX(MultiYear_ProForma!$X$2:$X$61, MATCH(Scenarios!A3&amp;"|FY2028", MultiYear_ProForma!$AG$2:$AG$61, 0))</f>
        <v>10625.085353249999</v>
      </c>
      <c r="C3" s="2">
        <f>INDEX(MultiYear_ProForma!$X$2:$X$61, MATCH(Scenarios!A3&amp;"|FY2030", MultiYear_ProForma!$AG$2:$AG$61, 0))</f>
        <v>11162.980299258277</v>
      </c>
      <c r="D3" s="2">
        <f>AVERAGE(INDEX(MultiYear_ProForma!$X$2:$X$61, MATCH(Scenarios!A3&amp;"|FY2026", MultiYear_ProForma!$AG$2:$AG$61, 0)),INDEX(MultiYear_ProForma!$X$2:$X$61, MATCH(Scenarios!A3&amp;"|FY2027", MultiYear_ProForma!$AG$2:$AG$61, 0)),INDEX(MultiYear_ProForma!$X$2:$X$61, MATCH(Scenarios!A3&amp;"|FY2028", MultiYear_ProForma!$AG$2:$AG$61, 0)))</f>
        <v>10368.043827749998</v>
      </c>
      <c r="E3" s="2">
        <f>AVERAGE(INDEX(MultiYear_ProForma!$X$2:$X$61, MATCH(Scenarios!A3&amp;"|FY2026", MultiYear_ProForma!$AG$2:$AG$61, 0)),INDEX(MultiYear_ProForma!$X$2:$X$61, MATCH(Scenarios!A3&amp;"|FY2027", MultiYear_ProForma!$AG$2:$AG$61, 0)),INDEX(MultiYear_ProForma!$X$2:$X$61, MATCH(Scenarios!A3&amp;"|FY2028", MultiYear_ProForma!$AG$2:$AG$61, 0)),INDEX(MultiYear_ProForma!$X$2:$X$61, MATCH(Scenarios!A3&amp;"|FY2029", MultiYear_ProForma!$AG$2:$AG$61, 0)),INDEX(MultiYear_ProForma!$X$2:$X$61, MATCH(Scenarios!A3&amp;"|FY2030", MultiYear_ProForma!$AG$2:$AG$61, 0)))</f>
        <v>10631.564853917904</v>
      </c>
      <c r="F3">
        <f>IFERROR(VLOOKUP($A3&amp;"|FY2026", MultiYear_ProForma!$A:$AG, 14, FALSE), "")</f>
        <v>0</v>
      </c>
      <c r="G3" s="7">
        <f>IFERROR(VLOOKUP($A3&amp;"|FY2030", MultiYear_ProForma!$A:$AG, 6, FALSE) + VLOOKUP($A3&amp;"|FY2030", MultiYear_ProForma!$A:$AG, 15, FALSE), "")</f>
        <v>553</v>
      </c>
      <c r="H3" s="2">
        <f>SUMIFS(MultiYear_ProForma!$AF:$AF, MultiYear_ProForma!$B:$B, $A3, MultiYear_ProForma!$C:$C, "FY2028")</f>
        <v>-2933952.6447472493</v>
      </c>
      <c r="I3" s="2">
        <f>SUMIFS(MultiYear_ProForma!$AF:$AF, MultiYear_ProForma!$B:$B, $A3, MultiYear_ProForma!$C:$C, "FY2030")</f>
        <v>-3112563.0798435882</v>
      </c>
      <c r="J3" s="2">
        <f>(SUMIFS(MultiYear_ProForma!$AF:$AF, MultiYear_ProForma!$B:$B, $A3, MultiYear_ProForma!$C:$C, "FY2026")+SUMIFS(MultiYear_ProForma!$AF:$AF, MultiYear_ProForma!$B:$B, $A3, MultiYear_ProForma!$C:$C, "FY2027")+SUMIFS(MultiYear_ProForma!$AF:$AF, MultiYear_ProForma!$B:$B, $A3, MultiYear_ProForma!$C:$C, "FY2028")+SUMIFS(MultiYear_ProForma!$AF:$AF, MultiYear_ProForma!$B:$B, $A3, MultiYear_ProForma!$C:$C, "FY2029")+SUMIFS(MultiYear_ProForma!$AF:$AF, MultiYear_ProForma!$B:$B, $A3, MultiYear_ProForma!$C:$C, "FY2030"))/5</f>
        <v>-2936382.1026249533</v>
      </c>
      <c r="K3" s="52" t="str">
        <f>'Control center'!B26</f>
        <v>Status‑Quo + Op Growth Targets</v>
      </c>
      <c r="L3" s="2">
        <f>I3 - INDEX(I:I, MATCH("A_Repurpose_Both_ops", $A:$A, 0))</f>
        <v>-1422766.8952315552</v>
      </c>
      <c r="M3" s="2">
        <f>J3 - INDEX(J:J, MATCH("A_Repurpose_Both_ops", $A:$A, 0))</f>
        <v>-633169.63836165704</v>
      </c>
    </row>
    <row r="4" spans="1:13" x14ac:dyDescent="0.35">
      <c r="A4" t="str">
        <f>Scenarios!A4</f>
        <v>F_CoLocation_Echo_0</v>
      </c>
      <c r="B4" s="2">
        <f>INDEX(MultiYear_ProForma!$X$2:$X$61, MATCH(Scenarios!A4&amp;"|FY2028", MultiYear_ProForma!$AG$2:$AG$61, 0))</f>
        <v>9447.7110303222944</v>
      </c>
      <c r="C4" s="2">
        <f>INDEX(MultiYear_ProForma!$X$2:$X$61, MATCH(Scenarios!A4&amp;"|FY2030", MultiYear_ProForma!$AG$2:$AG$61, 0))</f>
        <v>9926.0014012323591</v>
      </c>
      <c r="D4" s="2">
        <f>AVERAGE(INDEX(MultiYear_ProForma!$X$2:$X$61, MATCH(Scenarios!A4&amp;"|FY2026", MultiYear_ProForma!$AG$2:$AG$61, 0)),INDEX(MultiYear_ProForma!$X$2:$X$61, MATCH(Scenarios!A4&amp;"|FY2027", MultiYear_ProForma!$AG$2:$AG$61, 0)),INDEX(MultiYear_ProForma!$X$2:$X$61, MATCH(Scenarios!A4&amp;"|FY2028", MultiYear_ProForma!$AG$2:$AG$61, 0)))</f>
        <v>9219.152484674998</v>
      </c>
      <c r="E4" s="2">
        <f>AVERAGE(INDEX(MultiYear_ProForma!$X$2:$X$61, MATCH(Scenarios!A4&amp;"|FY2026", MultiYear_ProForma!$AG$2:$AG$61, 0)),INDEX(MultiYear_ProForma!$X$2:$X$61, MATCH(Scenarios!A4&amp;"|FY2027", MultiYear_ProForma!$AG$2:$AG$61, 0)),INDEX(MultiYear_ProForma!$X$2:$X$61, MATCH(Scenarios!A4&amp;"|FY2028", MultiYear_ProForma!$AG$2:$AG$61, 0)),INDEX(MultiYear_ProForma!$X$2:$X$61, MATCH(Scenarios!A4&amp;"|FY2029", MultiYear_ProForma!$AG$2:$AG$61, 0)),INDEX(MultiYear_ProForma!$X$2:$X$61, MATCH(Scenarios!A4&amp;"|FY2030", MultiYear_ProForma!$AG$2:$AG$61, 0)))</f>
        <v>9453.4725322675404</v>
      </c>
      <c r="F4">
        <f>IFERROR(VLOOKUP($A4&amp;"|FY2026", MultiYear_ProForma!$A:$AG, 14, FALSE), "")</f>
        <v>0</v>
      </c>
      <c r="G4" s="7">
        <f>IFERROR(VLOOKUP($A4&amp;"|FY2030", MultiYear_ProForma!$A:$AG, 6, FALSE) + VLOOKUP($A4&amp;"|FY2030", MultiYear_ProForma!$A:$AG, 15, FALSE), "")</f>
        <v>703</v>
      </c>
      <c r="H4" s="2">
        <f>SUMIFS(MultiYear_ProForma!$AF:$AF, MultiYear_ProForma!$B:$B, $A4, MultiYear_ProForma!$C:$C, "FY2028")</f>
        <v>-2160189.9339258932</v>
      </c>
      <c r="I4" s="2">
        <f>SUMIFS(MultiYear_ProForma!$AF:$AF, MultiYear_ProForma!$B:$B, $A4, MultiYear_ProForma!$C:$C, "FY2030")</f>
        <v>-2307787.5149123999</v>
      </c>
      <c r="J4" s="2">
        <f>(SUMIFS(MultiYear_ProForma!$AF:$AF, MultiYear_ProForma!$B:$B, $A4, MultiYear_ProForma!$C:$C, "FY2026")+SUMIFS(MultiYear_ProForma!$AF:$AF, MultiYear_ProForma!$B:$B, $A4, MultiYear_ProForma!$C:$C, "FY2027")+SUMIFS(MultiYear_ProForma!$AF:$AF, MultiYear_ProForma!$B:$B, $A4, MultiYear_ProForma!$C:$C, "FY2028")+SUMIFS(MultiYear_ProForma!$AF:$AF, MultiYear_ProForma!$B:$B, $A4, MultiYear_ProForma!$C:$C, "FY2029")+SUMIFS(MultiYear_ProForma!$AF:$AF, MultiYear_ProForma!$B:$B, $A4, MultiYear_ProForma!$C:$C, "FY2030"))/5</f>
        <v>-2162321.1925252164</v>
      </c>
      <c r="K4" s="52" t="str">
        <f>'Control center'!B27</f>
        <v>Co‑Location @ Echo + Op Growth Targets</v>
      </c>
      <c r="L4" s="2">
        <f>I4 - INDEX(I:I, MATCH("A_Repurpose_Both_ops", $A:$A, 0))</f>
        <v>-617991.33030036697</v>
      </c>
      <c r="M4" s="2">
        <f>J4 - INDEX(J:J, MATCH("A_Repurpose_Both_ops", $A:$A, 0))</f>
        <v>140891.27173807984</v>
      </c>
    </row>
    <row r="5" spans="1:13" x14ac:dyDescent="0.35">
      <c r="A5" t="str">
        <f>Scenarios!A5</f>
        <v>D_Grow_Both_100</v>
      </c>
      <c r="B5" s="2">
        <f>INDEX(MultiYear_ProForma!$X$2:$X$61, MATCH(Scenarios!A5&amp;"|FY2028", MultiYear_ProForma!$AG$2:$AG$61, 0))</f>
        <v>10136.949732120596</v>
      </c>
      <c r="C5" s="2">
        <f>INDEX(MultiYear_ProForma!$X$2:$X$61, MATCH(Scenarios!A5&amp;"|FY2030", MultiYear_ProForma!$AG$2:$AG$61, 0))</f>
        <v>10650.132812309201</v>
      </c>
      <c r="D5" s="2">
        <f>AVERAGE(INDEX(MultiYear_ProForma!$X$2:$X$61, MATCH(Scenarios!A5&amp;"|FY2026", MultiYear_ProForma!$AG$2:$AG$61, 0)),INDEX(MultiYear_ProForma!$X$2:$X$61, MATCH(Scenarios!A5&amp;"|FY2027", MultiYear_ProForma!$AG$2:$AG$61, 0)),INDEX(MultiYear_ProForma!$X$2:$X$61, MATCH(Scenarios!A5&amp;"|FY2028", MultiYear_ProForma!$AG$2:$AG$61, 0)))</f>
        <v>9891.7171587875182</v>
      </c>
      <c r="E5" s="2">
        <f>AVERAGE(INDEX(MultiYear_ProForma!$X$2:$X$61, MATCH(Scenarios!A5&amp;"|FY2026", MultiYear_ProForma!$AG$2:$AG$61, 0)),INDEX(MultiYear_ProForma!$X$2:$X$61, MATCH(Scenarios!A5&amp;"|FY2027", MultiYear_ProForma!$AG$2:$AG$61, 0)),INDEX(MultiYear_ProForma!$X$2:$X$61, MATCH(Scenarios!A5&amp;"|FY2028", MultiYear_ProForma!$AG$2:$AG$61, 0)),INDEX(MultiYear_ProForma!$X$2:$X$61, MATCH(Scenarios!A5&amp;"|FY2029", MultiYear_ProForma!$AG$2:$AG$61, 0)),INDEX(MultiYear_ProForma!$X$2:$X$61, MATCH(Scenarios!A5&amp;"|FY2030", MultiYear_ProForma!$AG$2:$AG$61, 0)))</f>
        <v>10143.131552819072</v>
      </c>
      <c r="F5">
        <f>IFERROR(VLOOKUP($A5&amp;"|FY2026", MultiYear_ProForma!$A:$AG, 14, FALSE), "")</f>
        <v>0</v>
      </c>
      <c r="G5" s="7">
        <f>IFERROR(VLOOKUP($A5&amp;"|FY2030", MultiYear_ProForma!$A:$AG, 6, FALSE) + VLOOKUP($A5&amp;"|FY2030", MultiYear_ProForma!$A:$AG, 15, FALSE), "")</f>
        <v>653</v>
      </c>
      <c r="H5" s="2">
        <f>SUMIFS(MultiYear_ProForma!$AF:$AF, MultiYear_ProForma!$B:$B, $A5, MultiYear_ProForma!$C:$C, "FY2028")</f>
        <v>-2625122.9171654992</v>
      </c>
      <c r="I5" s="2">
        <f>SUMIFS(MultiYear_ProForma!$AF:$AF, MultiYear_ProForma!$B:$B, $A5, MultiYear_ProForma!$C:$C, "FY2030")</f>
        <v>-2793538.1027200124</v>
      </c>
      <c r="J5" s="2">
        <f>(SUMIFS(MultiYear_ProForma!$AF:$AF, MultiYear_ProForma!$B:$B, $A5, MultiYear_ProForma!$C:$C, "FY2026")+SUMIFS(MultiYear_ProForma!$AF:$AF, MultiYear_ProForma!$B:$B, $A5, MultiYear_ProForma!$C:$C, "FY2027")+SUMIFS(MultiYear_ProForma!$AF:$AF, MultiYear_ProForma!$B:$B, $A5, MultiYear_ProForma!$C:$C, "FY2028")+SUMIFS(MultiYear_ProForma!$AF:$AF, MultiYear_ProForma!$B:$B, $A5, MultiYear_ProForma!$C:$C, "FY2029")+SUMIFS(MultiYear_ProForma!$AF:$AF, MultiYear_ProForma!$B:$B, $A5, MultiYear_ProForma!$C:$C, "FY2030"))/5</f>
        <v>-2627479.8177956291</v>
      </c>
      <c r="K5" s="52" t="str">
        <f>'Control center'!B28</f>
        <v>Grow Both + Op Growth Targets</v>
      </c>
      <c r="L5" s="2">
        <f>I5 - INDEX(I:I, MATCH("A_Repurpose_Both_ops", $A:$A, 0))</f>
        <v>-1103741.9181079795</v>
      </c>
      <c r="M5" s="2">
        <f>J5 - INDEX(J:J, MATCH("A_Repurpose_Both_ops", $A:$A, 0))</f>
        <v>-324267.35353233293</v>
      </c>
    </row>
    <row r="6" spans="1:13" x14ac:dyDescent="0.35">
      <c r="A6" t="str">
        <f>Scenarios!A6</f>
        <v>D_Grow_Both_150</v>
      </c>
      <c r="B6" s="2">
        <f>INDEX(MultiYear_ProForma!$X$2:$X$61, MATCH(Scenarios!A6&amp;"|FY2028", MultiYear_ProForma!$AG$2:$AG$61, 0))</f>
        <v>9632.7050276039845</v>
      </c>
      <c r="C6" s="2">
        <f>INDEX(MultiYear_ProForma!$X$2:$X$61, MATCH(Scenarios!A6&amp;"|FY2030", MultiYear_ProForma!$AG$2:$AG$61, 0))</f>
        <v>10120.360719626433</v>
      </c>
      <c r="D6" s="2">
        <f>AVERAGE(INDEX(MultiYear_ProForma!$X$2:$X$61, MATCH(Scenarios!A6&amp;"|FY2026", MultiYear_ProForma!$AG$2:$AG$61, 0)),INDEX(MultiYear_ProForma!$X$2:$X$61, MATCH(Scenarios!A6&amp;"|FY2027", MultiYear_ProForma!$AG$2:$AG$61, 0)),INDEX(MultiYear_ProForma!$X$2:$X$61, MATCH(Scenarios!A6&amp;"|FY2028", MultiYear_ProForma!$AG$2:$AG$61, 0)))</f>
        <v>9399.6711165653796</v>
      </c>
      <c r="E6" s="2">
        <f>AVERAGE(INDEX(MultiYear_ProForma!$X$2:$X$61, MATCH(Scenarios!A6&amp;"|FY2026", MultiYear_ProForma!$AG$2:$AG$61, 0)),INDEX(MultiYear_ProForma!$X$2:$X$61, MATCH(Scenarios!A6&amp;"|FY2027", MultiYear_ProForma!$AG$2:$AG$61, 0)),INDEX(MultiYear_ProForma!$X$2:$X$61, MATCH(Scenarios!A6&amp;"|FY2028", MultiYear_ProForma!$AG$2:$AG$61, 0)),INDEX(MultiYear_ProForma!$X$2:$X$61, MATCH(Scenarios!A6&amp;"|FY2029", MultiYear_ProForma!$AG$2:$AG$61, 0)),INDEX(MultiYear_ProForma!$X$2:$X$61, MATCH(Scenarios!A6&amp;"|FY2030", MultiYear_ProForma!$AG$2:$AG$61, 0)))</f>
        <v>9638.5793445233321</v>
      </c>
      <c r="F6">
        <f>IFERROR(VLOOKUP($A6&amp;"|FY2026", MultiYear_ProForma!$A:$AG, 14, FALSE), "")</f>
        <v>0</v>
      </c>
      <c r="G6" s="7">
        <f>IFERROR(VLOOKUP($A6&amp;"|FY2030", MultiYear_ProForma!$A:$AG, 6, FALSE) + VLOOKUP($A6&amp;"|FY2030", MultiYear_ProForma!$A:$AG, 15, FALSE), "")</f>
        <v>803</v>
      </c>
      <c r="H6" s="2">
        <f>SUMIFS(MultiYear_ProForma!$AF:$AF, MultiYear_ProForma!$B:$B, $A6, MultiYear_ProForma!$C:$C, "FY2028")</f>
        <v>-2161878.3257928742</v>
      </c>
      <c r="I6" s="2">
        <f>SUMIFS(MultiYear_ProForma!$AF:$AF, MultiYear_ProForma!$B:$B, $A6, MultiYear_ProForma!$C:$C, "FY2030")</f>
        <v>-2315000.6370346472</v>
      </c>
      <c r="J6" s="2">
        <f>(SUMIFS(MultiYear_ProForma!$AF:$AF, MultiYear_ProForma!$B:$B, $A6, MultiYear_ProForma!$C:$C, "FY2026")+SUMIFS(MultiYear_ProForma!$AF:$AF, MultiYear_ProForma!$B:$B, $A6, MultiYear_ProForma!$C:$C, "FY2027")+SUMIFS(MultiYear_ProForma!$AF:$AF, MultiYear_ProForma!$B:$B, $A6, MultiYear_ProForma!$C:$C, "FY2028")+SUMIFS(MultiYear_ProForma!$AF:$AF, MultiYear_ProForma!$B:$B, $A6, MultiYear_ProForma!$C:$C, "FY2029")+SUMIFS(MultiYear_ProForma!$AF:$AF, MultiYear_ProForma!$B:$B, $A6, MultiYear_ProForma!$C:$C, "FY2030"))/5</f>
        <v>-2164126.390551643</v>
      </c>
      <c r="K6" s="52" t="str">
        <f>'Control center'!B29</f>
        <v>CUSTOM2</v>
      </c>
      <c r="L6" s="2">
        <f>I6 - INDEX(I:I, MATCH("A_Repurpose_Both_ops", $A:$A, 0))</f>
        <v>-625204.45242261421</v>
      </c>
      <c r="M6" s="2">
        <f>J6 - INDEX(J:J, MATCH("A_Repurpose_Both_ops", $A:$A, 0))</f>
        <v>139086.07371165324</v>
      </c>
    </row>
    <row r="7" spans="1:13" x14ac:dyDescent="0.35">
      <c r="A7" t="str">
        <f>Scenarios!A7</f>
        <v>G_DHub_EchoRamp</v>
      </c>
      <c r="B7" s="2">
        <f>INDEX(MultiYear_ProForma!$X$2:$X$61, MATCH(Scenarios!A7&amp;"|FY2028", MultiYear_ProForma!$AG$2:$AG$61, 0))</f>
        <v>9944.9589792866263</v>
      </c>
      <c r="C7" s="2">
        <f>INDEX(MultiYear_ProForma!$X$2:$X$61, MATCH(Scenarios!A7&amp;"|FY2030", MultiYear_ProForma!$AG$2:$AG$61, 0))</f>
        <v>10448.422527613011</v>
      </c>
      <c r="D7" s="2">
        <f>AVERAGE(INDEX(MultiYear_ProForma!$X$2:$X$61, MATCH(Scenarios!A7&amp;"|FY2026", MultiYear_ProForma!$AG$2:$AG$61, 0)),INDEX(MultiYear_ProForma!$X$2:$X$61, MATCH(Scenarios!A7&amp;"|FY2027", MultiYear_ProForma!$AG$2:$AG$61, 0)),INDEX(MultiYear_ProForma!$X$2:$X$61, MATCH(Scenarios!A7&amp;"|FY2028", MultiYear_ProForma!$AG$2:$AG$61, 0)))</f>
        <v>9898.7351181390059</v>
      </c>
      <c r="E7" s="2">
        <f>AVERAGE(INDEX(MultiYear_ProForma!$X$2:$X$61, MATCH(Scenarios!A7&amp;"|FY2026", MultiYear_ProForma!$AG$2:$AG$61, 0)),INDEX(MultiYear_ProForma!$X$2:$X$61, MATCH(Scenarios!A7&amp;"|FY2027", MultiYear_ProForma!$AG$2:$AG$61, 0)),INDEX(MultiYear_ProForma!$X$2:$X$61, MATCH(Scenarios!A7&amp;"|FY2028", MultiYear_ProForma!$AG$2:$AG$61, 0)),INDEX(MultiYear_ProForma!$X$2:$X$61, MATCH(Scenarios!A7&amp;"|FY2029", MultiYear_ProForma!$AG$2:$AG$61, 0)),INDEX(MultiYear_ProForma!$X$2:$X$61, MATCH(Scenarios!A7&amp;"|FY2030", MultiYear_ProForma!$AG$2:$AG$61, 0)))</f>
        <v>10067.642167159765</v>
      </c>
      <c r="F7">
        <f>IFERROR(VLOOKUP($A7&amp;"|FY2026", MultiYear_ProForma!$A:$AG, 14, FALSE), "")</f>
        <v>0</v>
      </c>
      <c r="G7" s="7">
        <f>IFERROR(VLOOKUP($A7&amp;"|FY2030", MultiYear_ProForma!$A:$AG, 6, FALSE) + VLOOKUP($A7&amp;"|FY2030", MultiYear_ProForma!$A:$AG, 15, FALSE), "")</f>
        <v>703</v>
      </c>
      <c r="H7" s="2">
        <f>SUMIFS(MultiYear_ProForma!$AF:$AF, MultiYear_ProForma!$B:$B, $A7, MultiYear_ProForma!$C:$C, "FY2028")</f>
        <v>-2470708.0533746239</v>
      </c>
      <c r="I7" s="2">
        <f>SUMIFS(MultiYear_ProForma!$AF:$AF, MultiYear_ProForma!$B:$B, $A7, MultiYear_ProForma!$C:$C, "FY2030")</f>
        <v>-2634025.6141582238</v>
      </c>
      <c r="J7" s="2">
        <f>(SUMIFS(MultiYear_ProForma!$AF:$AF, MultiYear_ProForma!$B:$B, $A7, MultiYear_ProForma!$C:$C, "FY2026")+SUMIFS(MultiYear_ProForma!$AF:$AF, MultiYear_ProForma!$B:$B, $A7, MultiYear_ProForma!$C:$C, "FY2027")+SUMIFS(MultiYear_ProForma!$AF:$AF, MultiYear_ProForma!$B:$B, $A7, MultiYear_ProForma!$C:$C, "FY2028")+SUMIFS(MultiYear_ProForma!$AF:$AF, MultiYear_ProForma!$B:$B, $A7, MultiYear_ProForma!$C:$C, "FY2029")+SUMIFS(MultiYear_ProForma!$AF:$AF, MultiYear_ProForma!$B:$B, $A7, MultiYear_ProForma!$C:$C, "FY2030"))/5</f>
        <v>-2563197.7491879673</v>
      </c>
      <c r="K7" s="52" t="str">
        <f>'Control center'!B30</f>
        <v>Growth Hub @ Echo + Status-Quo Pima + Op Growth Targets</v>
      </c>
      <c r="L7" s="2">
        <f>I7 - INDEX(I:I, MATCH("A_Repurpose_Both_ops", $A:$A, 0))</f>
        <v>-944229.42954619089</v>
      </c>
      <c r="M7" s="2">
        <f>J7 - INDEX(J:J, MATCH("A_Repurpose_Both_ops", $A:$A, 0))</f>
        <v>-259985.28492467105</v>
      </c>
    </row>
    <row r="8" spans="1:13" x14ac:dyDescent="0.35">
      <c r="A8" t="str">
        <f>Scenarios!A8</f>
        <v>A_Repurpose_Both_lease</v>
      </c>
      <c r="B8" s="2">
        <f>INDEX(MultiYear_ProForma!$X$2:$X$61, MATCH(Scenarios!A8&amp;"|FY2028", MultiYear_ProForma!$AG$2:$AG$61, 0))</f>
        <v>8939.9965032599994</v>
      </c>
      <c r="C8" s="2">
        <f>INDEX(MultiYear_ProForma!$X$2:$X$61, MATCH(Scenarios!A8&amp;"|FY2030", MultiYear_ProForma!$AG$2:$AG$61, 0))</f>
        <v>8269.1704022968734</v>
      </c>
      <c r="D8" s="2">
        <f>AVERAGE(INDEX(MultiYear_ProForma!$X$2:$X$61, MATCH(Scenarios!A8&amp;"|FY2026", MultiYear_ProForma!$AG$2:$AG$61, 0)),INDEX(MultiYear_ProForma!$X$2:$X$61, MATCH(Scenarios!A8&amp;"|FY2027", MultiYear_ProForma!$AG$2:$AG$61, 0)),INDEX(MultiYear_ProForma!$X$2:$X$61, MATCH(Scenarios!A8&amp;"|FY2028", MultiYear_ProForma!$AG$2:$AG$61, 0)))</f>
        <v>11275.003950568766</v>
      </c>
      <c r="E8" s="2">
        <f>AVERAGE(INDEX(MultiYear_ProForma!$X$2:$X$61, MATCH(Scenarios!A8&amp;"|FY2026", MultiYear_ProForma!$AG$2:$AG$61, 0)),INDEX(MultiYear_ProForma!$X$2:$X$61, MATCH(Scenarios!A8&amp;"|FY2027", MultiYear_ProForma!$AG$2:$AG$61, 0)),INDEX(MultiYear_ProForma!$X$2:$X$61, MATCH(Scenarios!A8&amp;"|FY2028", MultiYear_ProForma!$AG$2:$AG$61, 0)),INDEX(MultiYear_ProForma!$X$2:$X$61, MATCH(Scenarios!A8&amp;"|FY2029", MultiYear_ProForma!$AG$2:$AG$61, 0)),INDEX(MultiYear_ProForma!$X$2:$X$61, MATCH(Scenarios!A8&amp;"|FY2030", MultiYear_ProForma!$AG$2:$AG$61, 0)))</f>
        <v>10141.410034072283</v>
      </c>
      <c r="F8">
        <f>IFERROR(VLOOKUP($A8&amp;"|FY2026", MultiYear_ProForma!$A:$AG, 14, FALSE), "")</f>
        <v>553</v>
      </c>
      <c r="G8" s="7">
        <f>IFERROR(VLOOKUP($A8&amp;"|FY2030", MultiYear_ProForma!$A:$AG, 6, FALSE) + VLOOKUP($A8&amp;"|FY2030", MultiYear_ProForma!$A:$AG, 15, FALSE), "")</f>
        <v>414.75</v>
      </c>
      <c r="H8" s="2">
        <f>SUMIFS(MultiYear_ProForma!$AF:$AF, MultiYear_ProForma!$B:$B, $A8, MultiYear_ProForma!$C:$C, "FY2028")</f>
        <v>-1501573.8830270846</v>
      </c>
      <c r="I8" s="2">
        <f>SUMIFS(MultiYear_ProForma!$AF:$AF, MultiYear_ProForma!$B:$B, $A8, MultiYear_ProForma!$C:$C, "FY2030")</f>
        <v>-1134214.6551179485</v>
      </c>
      <c r="J8" s="2">
        <f>(SUMIFS(MultiYear_ProForma!$AF:$AF, MultiYear_ProForma!$B:$B, $A8, MultiYear_ProForma!$C:$C, "FY2026")+SUMIFS(MultiYear_ProForma!$AF:$AF, MultiYear_ProForma!$B:$B, $A8, MultiYear_ProForma!$C:$C, "FY2027")+SUMIFS(MultiYear_ProForma!$AF:$AF, MultiYear_ProForma!$B:$B, $A8, MultiYear_ProForma!$C:$C, "FY2028")+SUMIFS(MultiYear_ProForma!$AF:$AF, MultiYear_ProForma!$B:$B, $A8, MultiYear_ProForma!$C:$C, "FY2029")+SUMIFS(MultiYear_ProForma!$AF:$AF, MultiYear_ProForma!$B:$B, $A8, MultiYear_ProForma!$C:$C, "FY2030"))/5</f>
        <v>-1998994.865437743</v>
      </c>
      <c r="K8" s="52" t="str">
        <f>'Control center'!B31</f>
        <v>Repurpose BOTH (lease)</v>
      </c>
      <c r="L8" s="2">
        <f>I8 - INDEX(I:I, MATCH("A_Repurpose_Both_ops", $A:$A, 0))</f>
        <v>555581.52949408442</v>
      </c>
      <c r="M8" s="2">
        <f>J8 - INDEX(J:J, MATCH("A_Repurpose_Both_ops", $A:$A, 0))</f>
        <v>304217.5988255532</v>
      </c>
    </row>
    <row r="9" spans="1:13" x14ac:dyDescent="0.35">
      <c r="A9" t="str">
        <f>Scenarios!A9</f>
        <v>A_Repurpose_Both_ops</v>
      </c>
      <c r="B9" s="2">
        <f>INDEX(MultiYear_ProForma!$X$2:$X$61, MATCH(Scenarios!A9&amp;"|FY2028", MultiYear_ProForma!$AG$2:$AG$61, 0))</f>
        <v>9577.5016244549988</v>
      </c>
      <c r="C9" s="2">
        <f>INDEX(MultiYear_ProForma!$X$2:$X$61, MATCH(Scenarios!A9&amp;"|FY2030", MultiYear_ProForma!$AG$2:$AG$61, 0))</f>
        <v>9608.7280382078661</v>
      </c>
      <c r="D9" s="2">
        <f>AVERAGE(INDEX(MultiYear_ProForma!$X$2:$X$61, MATCH(Scenarios!A9&amp;"|FY2026", MultiYear_ProForma!$AG$2:$AG$61, 0)),INDEX(MultiYear_ProForma!$X$2:$X$61, MATCH(Scenarios!A9&amp;"|FY2027", MultiYear_ProForma!$AG$2:$AG$61, 0)),INDEX(MultiYear_ProForma!$X$2:$X$61, MATCH(Scenarios!A9&amp;"|FY2028", MultiYear_ProForma!$AG$2:$AG$61, 0)))</f>
        <v>11760.559606033763</v>
      </c>
      <c r="E9" s="2">
        <f>AVERAGE(INDEX(MultiYear_ProForma!$X$2:$X$61, MATCH(Scenarios!A9&amp;"|FY2026", MultiYear_ProForma!$AG$2:$AG$61, 0)),INDEX(MultiYear_ProForma!$X$2:$X$61, MATCH(Scenarios!A9&amp;"|FY2027", MultiYear_ProForma!$AG$2:$AG$61, 0)),INDEX(MultiYear_ProForma!$X$2:$X$61, MATCH(Scenarios!A9&amp;"|FY2028", MultiYear_ProForma!$AG$2:$AG$61, 0)),INDEX(MultiYear_ProForma!$X$2:$X$61, MATCH(Scenarios!A9&amp;"|FY2029", MultiYear_ProForma!$AG$2:$AG$61, 0)),INDEX(MultiYear_ProForma!$X$2:$X$61, MATCH(Scenarios!A9&amp;"|FY2030", MultiYear_ProForma!$AG$2:$AG$61, 0)))</f>
        <v>10874.90635432678</v>
      </c>
      <c r="F9">
        <f>IFERROR(VLOOKUP($A9&amp;"|FY2026", MultiYear_ProForma!$A:$AG, 14, FALSE), "")</f>
        <v>553</v>
      </c>
      <c r="G9" s="7">
        <f>IFERROR(VLOOKUP($A9&amp;"|FY2030", MultiYear_ProForma!$A:$AG, 6, FALSE) + VLOOKUP($A9&amp;"|FY2030", MultiYear_ProForma!$A:$AG, 15, FALSE), "")</f>
        <v>414.75</v>
      </c>
      <c r="H9" s="2">
        <f>SUMIFS(MultiYear_ProForma!$AF:$AF, MultiYear_ProForma!$B:$B, $A9, MultiYear_ProForma!$C:$C, "FY2028")</f>
        <v>-1765979.1320427107</v>
      </c>
      <c r="I9" s="2">
        <f>SUMIFS(MultiYear_ProForma!$AF:$AF, MultiYear_ProForma!$B:$B, $A9, MultiYear_ProForma!$C:$C, "FY2030")</f>
        <v>-1689796.184612033</v>
      </c>
      <c r="J9" s="2">
        <f>(SUMIFS(MultiYear_ProForma!$AF:$AF, MultiYear_ProForma!$B:$B, $A9, MultiYear_ProForma!$C:$C, "FY2026")+SUMIFS(MultiYear_ProForma!$AF:$AF, MultiYear_ProForma!$B:$B, $A9, MultiYear_ProForma!$C:$C, "FY2027")+SUMIFS(MultiYear_ProForma!$AF:$AF, MultiYear_ProForma!$B:$B, $A9, MultiYear_ProForma!$C:$C, "FY2028")+SUMIFS(MultiYear_ProForma!$AF:$AF, MultiYear_ProForma!$B:$B, $A9, MultiYear_ProForma!$C:$C, "FY2029")+SUMIFS(MultiYear_ProForma!$AF:$AF, MultiYear_ProForma!$B:$B, $A9, MultiYear_ProForma!$C:$C, "FY2030"))/5</f>
        <v>-2303212.4642632962</v>
      </c>
      <c r="K9" s="52" t="str">
        <f>'Control center'!B32</f>
        <v>Repurpose BOTH (ops)</v>
      </c>
      <c r="L9" s="2">
        <f>I9 - INDEX(I:I, MATCH("A_Repurpose_Both_ops", $A:$A, 0))</f>
        <v>0</v>
      </c>
      <c r="M9" s="2">
        <f>J9 - INDEX(J:J, MATCH("A_Repurpose_Both_ops", $A:$A, 0))</f>
        <v>0</v>
      </c>
    </row>
    <row r="10" spans="1:13" x14ac:dyDescent="0.35">
      <c r="A10" t="str">
        <f>Scenarios!A10</f>
        <v>B_Repurpose_Echo_lease</v>
      </c>
      <c r="B10" s="2">
        <f>INDEX(MultiYear_ProForma!$X$2:$X$61, MATCH(Scenarios!A10&amp;"|FY2028", MultiYear_ProForma!$AG$2:$AG$61, 0))</f>
        <v>9960.5311315915369</v>
      </c>
      <c r="C10" s="2">
        <f>INDEX(MultiYear_ProForma!$X$2:$X$61, MATCH(Scenarios!A10&amp;"|FY2030", MultiYear_ProForma!$AG$2:$AG$61, 0))</f>
        <v>10021.738646799329</v>
      </c>
      <c r="D10" s="2">
        <f>AVERAGE(INDEX(MultiYear_ProForma!$X$2:$X$61, MATCH(Scenarios!A10&amp;"|FY2026", MultiYear_ProForma!$AG$2:$AG$61, 0)),INDEX(MultiYear_ProForma!$X$2:$X$61, MATCH(Scenarios!A10&amp;"|FY2027", MultiYear_ProForma!$AG$2:$AG$61, 0)),INDEX(MultiYear_ProForma!$X$2:$X$61, MATCH(Scenarios!A10&amp;"|FY2028", MultiYear_ProForma!$AG$2:$AG$61, 0)))</f>
        <v>10783.442965534023</v>
      </c>
      <c r="E10" s="2">
        <f>AVERAGE(INDEX(MultiYear_ProForma!$X$2:$X$61, MATCH(Scenarios!A10&amp;"|FY2026", MultiYear_ProForma!$AG$2:$AG$61, 0)),INDEX(MultiYear_ProForma!$X$2:$X$61, MATCH(Scenarios!A10&amp;"|FY2027", MultiYear_ProForma!$AG$2:$AG$61, 0)),INDEX(MultiYear_ProForma!$X$2:$X$61, MATCH(Scenarios!A10&amp;"|FY2028", MultiYear_ProForma!$AG$2:$AG$61, 0)),INDEX(MultiYear_ProForma!$X$2:$X$61, MATCH(Scenarios!A10&amp;"|FY2029", MultiYear_ProForma!$AG$2:$AG$61, 0)),INDEX(MultiYear_ProForma!$X$2:$X$61, MATCH(Scenarios!A10&amp;"|FY2030", MultiYear_ProForma!$AG$2:$AG$61, 0)))</f>
        <v>10472.891743791932</v>
      </c>
      <c r="F10">
        <f>IFERROR(VLOOKUP($A10&amp;"|FY2026", MultiYear_ProForma!$A:$AG, 14, FALSE), "")</f>
        <v>257</v>
      </c>
      <c r="G10" s="7">
        <f>IFERROR(VLOOKUP($A10&amp;"|FY2030", MultiYear_ProForma!$A:$AG, 6, FALSE) + VLOOKUP($A10&amp;"|FY2030", MultiYear_ProForma!$A:$AG, 15, FALSE), "")</f>
        <v>488.75</v>
      </c>
      <c r="H10" s="2">
        <f>SUMIFS(MultiYear_ProForma!$AF:$AF, MultiYear_ProForma!$B:$B, $A10, MultiYear_ProForma!$C:$C, "FY2028")</f>
        <v>-2268272.0990653639</v>
      </c>
      <c r="I10" s="2">
        <f>SUMIFS(MultiYear_ProForma!$AF:$AF, MultiYear_ProForma!$B:$B, $A10, MultiYear_ProForma!$C:$C, "FY2030")</f>
        <v>-2193149.7974665728</v>
      </c>
      <c r="J10" s="2">
        <f>(SUMIFS(MultiYear_ProForma!$AF:$AF, MultiYear_ProForma!$B:$B, $A10, MultiYear_ProForma!$C:$C, "FY2026")+SUMIFS(MultiYear_ProForma!$AF:$AF, MultiYear_ProForma!$B:$B, $A10, MultiYear_ProForma!$C:$C, "FY2027")+SUMIFS(MultiYear_ProForma!$AF:$AF, MultiYear_ProForma!$B:$B, $A10, MultiYear_ProForma!$C:$C, "FY2028")+SUMIFS(MultiYear_ProForma!$AF:$AF, MultiYear_ProForma!$B:$B, $A10, MultiYear_ProForma!$C:$C, "FY2029")+SUMIFS(MultiYear_ProForma!$AF:$AF, MultiYear_ProForma!$B:$B, $A10, MultiYear_ProForma!$C:$C, "FY2030"))/5</f>
        <v>-2517668.6849809876</v>
      </c>
      <c r="K10" s="52" t="str">
        <f>'Control center'!B33</f>
        <v>Repurpose ECHO (lease) + Status-Quo Pima + Pima Op Growth Targets</v>
      </c>
      <c r="L10" s="2">
        <f>I10 - INDEX(I:I, MATCH("A_Repurpose_Both_ops", $A:$A, 0))</f>
        <v>-503353.61285453988</v>
      </c>
      <c r="M10" s="2">
        <f>J10 - INDEX(J:J, MATCH("A_Repurpose_Both_ops", $A:$A, 0))</f>
        <v>-214456.22071769135</v>
      </c>
    </row>
    <row r="11" spans="1:13" x14ac:dyDescent="0.35">
      <c r="A11" t="str">
        <f>Scenarios!A11</f>
        <v>B_Repurpose_Echo_ops</v>
      </c>
      <c r="B11" s="2">
        <f>INDEX(MultiYear_ProForma!$X$2:$X$61, MATCH(Scenarios!A11&amp;"|FY2028", MultiYear_ProForma!$AG$2:$AG$61, 0))</f>
        <v>9406.3167363059183</v>
      </c>
      <c r="C11" s="2">
        <f>INDEX(MultiYear_ProForma!$X$2:$X$61, MATCH(Scenarios!A11&amp;"|FY2030", MultiYear_ProForma!$AG$2:$AG$61, 0))</f>
        <v>9755.55969486922</v>
      </c>
      <c r="D11" s="2">
        <f>AVERAGE(INDEX(MultiYear_ProForma!$X$2:$X$61, MATCH(Scenarios!A11&amp;"|FY2026", MultiYear_ProForma!$AG$2:$AG$61, 0)),INDEX(MultiYear_ProForma!$X$2:$X$61, MATCH(Scenarios!A11&amp;"|FY2027", MultiYear_ProForma!$AG$2:$AG$61, 0)),INDEX(MultiYear_ProForma!$X$2:$X$61, MATCH(Scenarios!A11&amp;"|FY2028", MultiYear_ProForma!$AG$2:$AG$61, 0)))</f>
        <v>9895.4987119864018</v>
      </c>
      <c r="E11" s="2">
        <f>AVERAGE(INDEX(MultiYear_ProForma!$X$2:$X$61, MATCH(Scenarios!A11&amp;"|FY2026", MultiYear_ProForma!$AG$2:$AG$61, 0)),INDEX(MultiYear_ProForma!$X$2:$X$61, MATCH(Scenarios!A11&amp;"|FY2027", MultiYear_ProForma!$AG$2:$AG$61, 0)),INDEX(MultiYear_ProForma!$X$2:$X$61, MATCH(Scenarios!A11&amp;"|FY2028", MultiYear_ProForma!$AG$2:$AG$61, 0)),INDEX(MultiYear_ProForma!$X$2:$X$61, MATCH(Scenarios!A11&amp;"|FY2029", MultiYear_ProForma!$AG$2:$AG$61, 0)),INDEX(MultiYear_ProForma!$X$2:$X$61, MATCH(Scenarios!A11&amp;"|FY2030", MultiYear_ProForma!$AG$2:$AG$61, 0)))</f>
        <v>9798.0781634204995</v>
      </c>
      <c r="F11">
        <f>IFERROR(VLOOKUP($A11&amp;"|FY2026", MultiYear_ProForma!$A:$AG, 14, FALSE), "")</f>
        <v>257</v>
      </c>
      <c r="G11" s="7">
        <f>IFERROR(VLOOKUP($A11&amp;"|FY2030", MultiYear_ProForma!$A:$AG, 6, FALSE) + VLOOKUP($A11&amp;"|FY2030", MultiYear_ProForma!$A:$AG, 15, FALSE), "")</f>
        <v>688.75</v>
      </c>
      <c r="H11" s="2">
        <f>SUMIFS(MultiYear_ProForma!$AF:$AF, MultiYear_ProForma!$B:$B, $A11, MultiYear_ProForma!$C:$C, "FY2028")</f>
        <v>-1773491.7560122008</v>
      </c>
      <c r="I11" s="2">
        <f>SUMIFS(MultiYear_ProForma!$AF:$AF, MultiYear_ProForma!$B:$B, $A11, MultiYear_ProForma!$C:$C, "FY2030")</f>
        <v>-1813299.5775412652</v>
      </c>
      <c r="J11" s="2">
        <f>(SUMIFS(MultiYear_ProForma!$AF:$AF, MultiYear_ProForma!$B:$B, $A11, MultiYear_ProForma!$C:$C, "FY2026")+SUMIFS(MultiYear_ProForma!$AF:$AF, MultiYear_ProForma!$B:$B, $A11, MultiYear_ProForma!$C:$C, "FY2027")+SUMIFS(MultiYear_ProForma!$AF:$AF, MultiYear_ProForma!$B:$B, $A11, MultiYear_ProForma!$C:$C, "FY2028")+SUMIFS(MultiYear_ProForma!$AF:$AF, MultiYear_ProForma!$B:$B, $A11, MultiYear_ProForma!$C:$C, "FY2029")+SUMIFS(MultiYear_ProForma!$AF:$AF, MultiYear_ProForma!$B:$B, $A11, MultiYear_ProForma!$C:$C, "FY2030"))/5</f>
        <v>-2041245.5310513948</v>
      </c>
      <c r="K11" s="52" t="str">
        <f>'Control center'!B34</f>
        <v>Repurpose ECHO (ops) + Status-Quo Pima + Pima Op Growth Targets</v>
      </c>
      <c r="L11" s="2">
        <f>I11 - INDEX(I:I, MATCH("A_Repurpose_Both_ops", $A:$A, 0))</f>
        <v>-123503.39292923221</v>
      </c>
      <c r="M11" s="2">
        <f>J11 - INDEX(J:J, MATCH("A_Repurpose_Both_ops", $A:$A, 0))</f>
        <v>261966.93321190146</v>
      </c>
    </row>
    <row r="12" spans="1:13" x14ac:dyDescent="0.35">
      <c r="A12" t="str">
        <f>Scenarios!A12</f>
        <v>C_Repurpose_Pima_lease</v>
      </c>
      <c r="B12" s="2">
        <f>INDEX(MultiYear_ProForma!$X$2:$X$61, MATCH(Scenarios!A12&amp;"|FY2028", MultiYear_ProForma!$AG$2:$AG$61, 0))</f>
        <v>9844.1047171377231</v>
      </c>
      <c r="C12" s="2">
        <f>INDEX(MultiYear_ProForma!$X$2:$X$61, MATCH(Scenarios!A12&amp;"|FY2030", MultiYear_ProForma!$AG$2:$AG$61, 0))</f>
        <v>9821.7990944035137</v>
      </c>
      <c r="D12" s="2">
        <f>AVERAGE(INDEX(MultiYear_ProForma!$X$2:$X$61, MATCH(Scenarios!A12&amp;"|FY2026", MultiYear_ProForma!$AG$2:$AG$61, 0)),INDEX(MultiYear_ProForma!$X$2:$X$61, MATCH(Scenarios!A12&amp;"|FY2027", MultiYear_ProForma!$AG$2:$AG$61, 0)),INDEX(MultiYear_ProForma!$X$2:$X$61, MATCH(Scenarios!A12&amp;"|FY2028", MultiYear_ProForma!$AG$2:$AG$61, 0)))</f>
        <v>10729.495565426698</v>
      </c>
      <c r="E12" s="2">
        <f>AVERAGE(INDEX(MultiYear_ProForma!$X$2:$X$61, MATCH(Scenarios!A12&amp;"|FY2026", MultiYear_ProForma!$AG$2:$AG$61, 0)),INDEX(MultiYear_ProForma!$X$2:$X$61, MATCH(Scenarios!A12&amp;"|FY2027", MultiYear_ProForma!$AG$2:$AG$61, 0)),INDEX(MultiYear_ProForma!$X$2:$X$61, MATCH(Scenarios!A12&amp;"|FY2028", MultiYear_ProForma!$AG$2:$AG$61, 0)),INDEX(MultiYear_ProForma!$X$2:$X$61, MATCH(Scenarios!A12&amp;"|FY2029", MultiYear_ProForma!$AG$2:$AG$61, 0)),INDEX(MultiYear_ProForma!$X$2:$X$61, MATCH(Scenarios!A12&amp;"|FY2030", MultiYear_ProForma!$AG$2:$AG$61, 0)))</f>
        <v>10369.059156721862</v>
      </c>
      <c r="F12">
        <f>IFERROR(VLOOKUP($A12&amp;"|FY2026", MultiYear_ProForma!$A:$AG, 14, FALSE), "")</f>
        <v>296</v>
      </c>
      <c r="G12" s="7">
        <f>IFERROR(VLOOKUP($A12&amp;"|FY2030", MultiYear_ProForma!$A:$AG, 6, FALSE) + VLOOKUP($A12&amp;"|FY2030", MultiYear_ProForma!$A:$AG, 15, FALSE), "")</f>
        <v>479</v>
      </c>
      <c r="H12" s="2">
        <f>SUMIFS(MultiYear_ProForma!$AF:$AF, MultiYear_ProForma!$B:$B, $A12, MultiYear_ProForma!$C:$C, "FY2028")</f>
        <v>-2167254.4287089696</v>
      </c>
      <c r="I12" s="2">
        <f>SUMIFS(MultiYear_ProForma!$AF:$AF, MultiYear_ProForma!$B:$B, $A12, MultiYear_ProForma!$C:$C, "FY2030")</f>
        <v>-2053627.9374949639</v>
      </c>
      <c r="J12" s="2">
        <f>(SUMIFS(MultiYear_ProForma!$AF:$AF, MultiYear_ProForma!$B:$B, $A12, MultiYear_ProForma!$C:$C, "FY2026")+SUMIFS(MultiYear_ProForma!$AF:$AF, MultiYear_ProForma!$B:$B, $A12, MultiYear_ProForma!$C:$C, "FY2027")+SUMIFS(MultiYear_ProForma!$AF:$AF, MultiYear_ProForma!$B:$B, $A12, MultiYear_ProForma!$C:$C, "FY2028")+SUMIFS(MultiYear_ProForma!$AF:$AF, MultiYear_ProForma!$B:$B, $A12, MultiYear_ProForma!$C:$C, "FY2029")+SUMIFS(MultiYear_ProForma!$AF:$AF, MultiYear_ProForma!$B:$B, $A12, MultiYear_ProForma!$C:$C, "FY2030"))/5</f>
        <v>-2417708.2830817085</v>
      </c>
      <c r="K12" s="52" t="str">
        <f>'Control center'!B35</f>
        <v>Repurpose PIMA (lease) + Growth Hub @ Echo + Echo Op Growth Targets</v>
      </c>
      <c r="L12" s="2">
        <f>I12 - INDEX(I:I, MATCH("A_Repurpose_Both_ops", $A:$A, 0))</f>
        <v>-363831.75288293092</v>
      </c>
      <c r="M12" s="2">
        <f>J12 - INDEX(J:J, MATCH("A_Repurpose_Both_ops", $A:$A, 0))</f>
        <v>-114495.81881841226</v>
      </c>
    </row>
    <row r="13" spans="1:13" x14ac:dyDescent="0.35">
      <c r="A13" t="str">
        <f>Scenarios!A13</f>
        <v>C_Repurpose_Pima_ops</v>
      </c>
      <c r="B13" s="2">
        <f>INDEX(MultiYear_ProForma!$X$2:$X$61, MATCH(Scenarios!A13&amp;"|FY2028", MultiYear_ProForma!$AG$2:$AG$61, 0))</f>
        <v>9343.6881382463325</v>
      </c>
      <c r="C13" s="2">
        <f>INDEX(MultiYear_ProForma!$X$2:$X$61, MATCH(Scenarios!A13&amp;"|FY2030", MultiYear_ProForma!$AG$2:$AG$61, 0))</f>
        <v>9668.3958811306074</v>
      </c>
      <c r="D13" s="2">
        <f>AVERAGE(INDEX(MultiYear_ProForma!$X$2:$X$61, MATCH(Scenarios!A13&amp;"|FY2026", MultiYear_ProForma!$AG$2:$AG$61, 0)),INDEX(MultiYear_ProForma!$X$2:$X$61, MATCH(Scenarios!A13&amp;"|FY2027", MultiYear_ProForma!$AG$2:$AG$61, 0)),INDEX(MultiYear_ProForma!$X$2:$X$61, MATCH(Scenarios!A13&amp;"|FY2028", MultiYear_ProForma!$AG$2:$AG$61, 0)))</f>
        <v>9865.6080518963481</v>
      </c>
      <c r="E13" s="2">
        <f>AVERAGE(INDEX(MultiYear_ProForma!$X$2:$X$61, MATCH(Scenarios!A13&amp;"|FY2026", MultiYear_ProForma!$AG$2:$AG$61, 0)),INDEX(MultiYear_ProForma!$X$2:$X$61, MATCH(Scenarios!A13&amp;"|FY2027", MultiYear_ProForma!$AG$2:$AG$61, 0)),INDEX(MultiYear_ProForma!$X$2:$X$61, MATCH(Scenarios!A13&amp;"|FY2028", MultiYear_ProForma!$AG$2:$AG$61, 0)),INDEX(MultiYear_ProForma!$X$2:$X$61, MATCH(Scenarios!A13&amp;"|FY2029", MultiYear_ProForma!$AG$2:$AG$61, 0)),INDEX(MultiYear_ProForma!$X$2:$X$61, MATCH(Scenarios!A13&amp;"|FY2030", MultiYear_ProForma!$AG$2:$AG$61, 0)))</f>
        <v>9746.7372587846512</v>
      </c>
      <c r="F13">
        <f>IFERROR(VLOOKUP($A13&amp;"|FY2026", MultiYear_ProForma!$A:$AG, 14, FALSE), "")</f>
        <v>296</v>
      </c>
      <c r="G13" s="7">
        <f>IFERROR(VLOOKUP($A13&amp;"|FY2030", MultiYear_ProForma!$A:$AG, 6, FALSE) + VLOOKUP($A13&amp;"|FY2030", MultiYear_ProForma!$A:$AG, 15, FALSE), "")</f>
        <v>679</v>
      </c>
      <c r="H13" s="2">
        <f>SUMIFS(MultiYear_ProForma!$AF:$AF, MultiYear_ProForma!$B:$B, $A13, MultiYear_ProForma!$C:$C, "FY2028")</f>
        <v>-1691121.1104507595</v>
      </c>
      <c r="I13" s="2">
        <f>SUMIFS(MultiYear_ProForma!$AF:$AF, MultiYear_ProForma!$B:$B, $A13, MultiYear_ProForma!$C:$C, "FY2030")</f>
        <v>-1712959.778420052</v>
      </c>
      <c r="J13" s="2">
        <f>(SUMIFS(MultiYear_ProForma!$AF:$AF, MultiYear_ProForma!$B:$B, $A13, MultiYear_ProForma!$C:$C, "FY2026")+SUMIFS(MultiYear_ProForma!$AF:$AF, MultiYear_ProForma!$B:$B, $A13, MultiYear_ProForma!$C:$C, "FY2027")+SUMIFS(MultiYear_ProForma!$AF:$AF, MultiYear_ProForma!$B:$B, $A13, MultiYear_ProForma!$C:$C, "FY2028")+SUMIFS(MultiYear_ProForma!$AF:$AF, MultiYear_ProForma!$B:$B, $A13, MultiYear_ProForma!$C:$C, "FY2029")+SUMIFS(MultiYear_ProForma!$AF:$AF, MultiYear_ProForma!$B:$B, $A13, MultiYear_ProForma!$C:$C, "FY2030"))/5</f>
        <v>-1962739.8965195597</v>
      </c>
      <c r="K13" s="52" t="str">
        <f>'Control center'!B36</f>
        <v>Repurpose PIMA (ops) + Growth Hub @ Echo + Echo Op Growth Targets</v>
      </c>
      <c r="L13" s="2">
        <f>I13 - INDEX(I:I, MATCH("A_Repurpose_Both_ops", $A:$A, 0))</f>
        <v>-23163.593808019068</v>
      </c>
      <c r="M13" s="2">
        <f>J13 - INDEX(J:J, MATCH("A_Repurpose_Both_ops", $A:$A, 0))</f>
        <v>340472.56774373655</v>
      </c>
    </row>
    <row r="28" spans="1:13" ht="29" x14ac:dyDescent="0.35">
      <c r="A28" s="9" t="s">
        <v>88</v>
      </c>
      <c r="B28" s="9" t="s">
        <v>161</v>
      </c>
      <c r="C28" s="9" t="s">
        <v>162</v>
      </c>
      <c r="D28" s="9" t="s">
        <v>163</v>
      </c>
      <c r="E28" s="9" t="s">
        <v>164</v>
      </c>
      <c r="F28" s="9" t="s">
        <v>14</v>
      </c>
      <c r="G28" s="9" t="s">
        <v>165</v>
      </c>
      <c r="H28" s="9" t="s">
        <v>166</v>
      </c>
      <c r="I28" s="9" t="s">
        <v>8</v>
      </c>
      <c r="J28" s="9" t="s">
        <v>167</v>
      </c>
      <c r="L28" s="9" t="s">
        <v>168</v>
      </c>
      <c r="M28" s="9" t="s">
        <v>169</v>
      </c>
    </row>
    <row r="29" spans="1:13" x14ac:dyDescent="0.35">
      <c r="A29" t="s">
        <v>126</v>
      </c>
      <c r="B29" s="39">
        <f t="shared" ref="B29:E29" si="0">$B$36+((B2-$B$9)/B2)</f>
        <v>1.0985953236107007</v>
      </c>
      <c r="C29" s="39">
        <f t="shared" si="0"/>
        <v>1.1420300522172044</v>
      </c>
      <c r="D29" s="39">
        <f t="shared" si="0"/>
        <v>1.076247961180403</v>
      </c>
      <c r="E29" s="39">
        <f t="shared" si="0"/>
        <v>1.0991446926154493</v>
      </c>
      <c r="F29">
        <f>F2</f>
        <v>0</v>
      </c>
      <c r="G29" s="7">
        <f>G2</f>
        <v>553</v>
      </c>
      <c r="H29" s="39">
        <f>$H$36+((H2-$H$9)/H2)</f>
        <v>1.3980887403876814</v>
      </c>
      <c r="I29" s="39">
        <f>$H$36+((I2-$H$9)/I2)</f>
        <v>1.4326286450292747</v>
      </c>
      <c r="J29" s="39">
        <f>$H$36+((J2-$H$9)/J2)</f>
        <v>1.3985867403073908</v>
      </c>
      <c r="L29" s="39">
        <f>$H$36+((L2-$H$9)/L2)</f>
        <v>0.75877128012927397</v>
      </c>
      <c r="M29" s="39">
        <f>$H$36+((M2-$H$9)/M2)</f>
        <v>-0.78910899235823706</v>
      </c>
    </row>
    <row r="30" spans="1:13" x14ac:dyDescent="0.35">
      <c r="A30" t="s">
        <v>129</v>
      </c>
      <c r="B30" s="39">
        <f t="shared" ref="B30:E30" si="1">$B$36+((B3-$B$9)/B3)</f>
        <v>1.0985953236107007</v>
      </c>
      <c r="C30" s="39">
        <f t="shared" si="1"/>
        <v>1.1420300522172044</v>
      </c>
      <c r="D30" s="39">
        <f t="shared" si="1"/>
        <v>1.076247961180403</v>
      </c>
      <c r="E30" s="39">
        <f t="shared" si="1"/>
        <v>1.0991446926154493</v>
      </c>
      <c r="F30">
        <f t="shared" ref="F30:G30" si="2">F3</f>
        <v>0</v>
      </c>
      <c r="G30" s="7">
        <f t="shared" si="2"/>
        <v>553</v>
      </c>
      <c r="H30" s="39">
        <f>$H$36+((H3-$H$9)/H3)</f>
        <v>1.3980887403876814</v>
      </c>
      <c r="I30" s="39">
        <f>$H$36+((I3-$H$9)/I3)</f>
        <v>1.4326286450292747</v>
      </c>
      <c r="J30" s="39">
        <f>$H$36+((J3-$H$9)/J3)</f>
        <v>1.3985867403073908</v>
      </c>
      <c r="L30" s="39">
        <f>$H$36+((L3-$H$9)/L3)</f>
        <v>0.75877128012927397</v>
      </c>
      <c r="M30" s="39">
        <f>$H$36+((M3-$H$9)/M3)</f>
        <v>-0.78910899235823706</v>
      </c>
    </row>
    <row r="31" spans="1:13" x14ac:dyDescent="0.35">
      <c r="A31" t="s">
        <v>132</v>
      </c>
      <c r="B31" s="39">
        <f t="shared" ref="B31:E31" si="3">$B$36+((B4-$B$9)/B4)</f>
        <v>0.9862622180424292</v>
      </c>
      <c r="C31" s="39">
        <f t="shared" si="3"/>
        <v>1.0351097851682847</v>
      </c>
      <c r="D31" s="39">
        <f t="shared" si="3"/>
        <v>0.96112992594756574</v>
      </c>
      <c r="E31" s="39">
        <f t="shared" si="3"/>
        <v>0.98688004944594598</v>
      </c>
      <c r="F31">
        <f t="shared" ref="F31:G31" si="4">F4</f>
        <v>0</v>
      </c>
      <c r="G31" s="7">
        <f t="shared" si="4"/>
        <v>703</v>
      </c>
      <c r="H31" s="39">
        <f>$H$36+((H4-$H$9)/H4)</f>
        <v>1.1824889541850379</v>
      </c>
      <c r="I31" s="39">
        <f>$H$36+((I4-$H$9)/I4)</f>
        <v>1.2347739466344481</v>
      </c>
      <c r="J31" s="39">
        <f>$H$36+((J4-$H$9)/J4)</f>
        <v>1.1832947213635949</v>
      </c>
      <c r="L31" s="39">
        <f>$H$36+((L4-$H$9)/L4)</f>
        <v>-0.85761149947585591</v>
      </c>
      <c r="M31" s="39">
        <f>$H$36+((M4-$H$9)/M4)</f>
        <v>14.534340206153487</v>
      </c>
    </row>
    <row r="32" spans="1:13" x14ac:dyDescent="0.35">
      <c r="A32" t="s">
        <v>135</v>
      </c>
      <c r="B32" s="39">
        <f t="shared" ref="B32:E32" si="5">$B$36+((B5-$B$9)/B5)</f>
        <v>1.0551889989049559</v>
      </c>
      <c r="C32" s="39">
        <f t="shared" si="5"/>
        <v>1.1007152874764601</v>
      </c>
      <c r="D32" s="39">
        <f t="shared" si="5"/>
        <v>1.031765519503697</v>
      </c>
      <c r="E32" s="39">
        <f t="shared" si="5"/>
        <v>1.0557648222759044</v>
      </c>
      <c r="F32">
        <f t="shared" ref="F32:G32" si="6">F5</f>
        <v>0</v>
      </c>
      <c r="G32" s="7">
        <f t="shared" si="6"/>
        <v>653</v>
      </c>
      <c r="H32" s="39">
        <f>$H$36+((H5-$H$9)/H5)</f>
        <v>1.3272775455598311</v>
      </c>
      <c r="I32" s="39">
        <f>$H$36+((I5-$H$9)/I5)</f>
        <v>1.367834242059125</v>
      </c>
      <c r="J32" s="39">
        <f>$H$36+((J5-$H$9)/J5)</f>
        <v>1.3278809907189657</v>
      </c>
      <c r="L32" s="39">
        <f>$H$36+((L5-$H$9)/L5)</f>
        <v>0.40000719092926185</v>
      </c>
      <c r="M32" s="39">
        <f>$H$36+((M5-$H$9)/M5)</f>
        <v>-3.4460589782024531</v>
      </c>
    </row>
    <row r="33" spans="1:13" x14ac:dyDescent="0.35">
      <c r="A33" t="s">
        <v>11</v>
      </c>
      <c r="B33" s="39">
        <f t="shared" ref="B33:E33" si="7">$B$36+((B6-$B$9)/B6)</f>
        <v>1.0057308308508142</v>
      </c>
      <c r="C33" s="39">
        <f t="shared" si="7"/>
        <v>1.0536402911132077</v>
      </c>
      <c r="D33" s="39">
        <f t="shared" si="7"/>
        <v>0.98108119893937329</v>
      </c>
      <c r="E33" s="39">
        <f t="shared" si="7"/>
        <v>1.0063367969370962</v>
      </c>
      <c r="F33">
        <f t="shared" ref="F33:G33" si="8">F6</f>
        <v>0</v>
      </c>
      <c r="G33" s="7">
        <f t="shared" si="8"/>
        <v>803</v>
      </c>
      <c r="H33" s="39">
        <f>$H$36+((H6-$H$9)/H6)</f>
        <v>1.1831274170367412</v>
      </c>
      <c r="I33" s="39">
        <f>$H$36+((I6-$H$9)/I6)</f>
        <v>1.2371582522306319</v>
      </c>
      <c r="J33" s="39">
        <f>$H$36+((J6-$H$9)/J6)</f>
        <v>1.1839759730518526</v>
      </c>
      <c r="L33" s="39">
        <f>$H$36+((L6-$H$9)/L6)</f>
        <v>-0.82464260323113714</v>
      </c>
      <c r="M33" s="39">
        <f>$H$36+((M6-$H$9)/M6)</f>
        <v>14.697023396489401</v>
      </c>
    </row>
    <row r="34" spans="1:13" x14ac:dyDescent="0.35">
      <c r="A34" t="s">
        <v>10</v>
      </c>
      <c r="B34" s="39">
        <f t="shared" ref="B34:E34" si="9">$B$36+((B7-$B$9)/B7)</f>
        <v>1.0369491071403079</v>
      </c>
      <c r="C34" s="39">
        <f t="shared" si="9"/>
        <v>1.0833542959098705</v>
      </c>
      <c r="D34" s="39">
        <f t="shared" si="9"/>
        <v>1.0324519738987015</v>
      </c>
      <c r="E34" s="39">
        <f t="shared" si="9"/>
        <v>1.0486847401374262</v>
      </c>
      <c r="F34">
        <f t="shared" ref="F34:G34" si="10">F7</f>
        <v>0</v>
      </c>
      <c r="G34" s="7">
        <f t="shared" si="10"/>
        <v>703</v>
      </c>
      <c r="H34" s="39">
        <f>$H$36+((H7-$H$9)/H7)</f>
        <v>1.2852335873392071</v>
      </c>
      <c r="I34" s="39">
        <f>$H$36+((I7-$H$9)/I7)</f>
        <v>1.329551268389211</v>
      </c>
      <c r="J34" s="39">
        <f>$H$36+((J7-$H$9)/J7)</f>
        <v>1.3110250145147089</v>
      </c>
      <c r="L34" s="39">
        <f>$H$36+((L7-$H$9)/L7)</f>
        <v>0.1297139479210434</v>
      </c>
      <c r="M34" s="39">
        <f>$H$36+((M7-$H$9)/M7)</f>
        <v>-4.7926118686078363</v>
      </c>
    </row>
    <row r="35" spans="1:13" x14ac:dyDescent="0.35">
      <c r="A35" t="s">
        <v>142</v>
      </c>
      <c r="B35" s="39">
        <f>$B$36+((B8-$B$9)/B8)</f>
        <v>0.92869067443566322</v>
      </c>
      <c r="C35" s="39">
        <f t="shared" ref="C35:E35" si="11">$B$36+((C8-$B$9)/C8)</f>
        <v>0.841782046020636</v>
      </c>
      <c r="D35" s="39">
        <f t="shared" si="11"/>
        <v>1.1505544772805278</v>
      </c>
      <c r="E35" s="39">
        <f t="shared" si="11"/>
        <v>1.0556045370143512</v>
      </c>
      <c r="F35">
        <f t="shared" ref="F35:G35" si="12">F8</f>
        <v>553</v>
      </c>
      <c r="G35" s="7">
        <f t="shared" si="12"/>
        <v>414.75</v>
      </c>
      <c r="H35" s="39">
        <f>$H$36+((H8-$H$9)/H8)</f>
        <v>0.8239145925456558</v>
      </c>
      <c r="I35" s="39">
        <f t="shared" ref="I35:M35" si="13">$H$36+((I8-$H$9)/I8)</f>
        <v>0.44299390413090367</v>
      </c>
      <c r="J35" s="39">
        <f t="shared" si="13"/>
        <v>1.1165664491809519</v>
      </c>
      <c r="L35" s="39">
        <f t="shared" si="13"/>
        <v>5.1786138276605795</v>
      </c>
      <c r="M35" s="39">
        <f t="shared" si="13"/>
        <v>7.8049867557312886</v>
      </c>
    </row>
    <row r="36" spans="1:13" x14ac:dyDescent="0.35">
      <c r="A36" t="s">
        <v>7</v>
      </c>
      <c r="B36" s="40">
        <v>1</v>
      </c>
      <c r="C36" s="39">
        <f t="shared" ref="C36:E36" si="14">$B$36+((C9-$B$9)/C9)</f>
        <v>1.0032497968127205</v>
      </c>
      <c r="D36" s="39">
        <f t="shared" si="14"/>
        <v>1.1856253490232509</v>
      </c>
      <c r="E36" s="39">
        <f t="shared" si="14"/>
        <v>1.1193026116823144</v>
      </c>
      <c r="F36">
        <f t="shared" ref="F36:G36" si="15">F9</f>
        <v>553</v>
      </c>
      <c r="G36" s="7">
        <f t="shared" si="15"/>
        <v>414.75</v>
      </c>
      <c r="H36" s="40">
        <v>1</v>
      </c>
      <c r="I36" s="39">
        <f t="shared" ref="I36:M36" si="16">$H$36+((I9-$H$9)/I9)</f>
        <v>0.95491589570125057</v>
      </c>
      <c r="J36" s="39">
        <f t="shared" si="16"/>
        <v>1.2332539184101823</v>
      </c>
      <c r="L36" s="39" t="e">
        <f t="shared" si="16"/>
        <v>#DIV/0!</v>
      </c>
      <c r="M36" s="39" t="e">
        <f t="shared" si="16"/>
        <v>#DIV/0!</v>
      </c>
    </row>
    <row r="37" spans="1:13" x14ac:dyDescent="0.35">
      <c r="A37" t="s">
        <v>149</v>
      </c>
      <c r="B37" s="39">
        <f t="shared" ref="B37" si="17">$B$36+((B10-$B$9)/B10)</f>
        <v>1.0384547271702906</v>
      </c>
      <c r="C37" s="39">
        <f t="shared" ref="C37:E37" si="18">$B$36+((C10-$B$9)/C10)</f>
        <v>1.0443273405943596</v>
      </c>
      <c r="D37" s="39">
        <f t="shared" si="18"/>
        <v>1.1118326813554305</v>
      </c>
      <c r="E37" s="39">
        <f t="shared" si="18"/>
        <v>1.0854959777339146</v>
      </c>
      <c r="F37">
        <f t="shared" ref="F37:G37" si="19">F10</f>
        <v>257</v>
      </c>
      <c r="G37" s="7">
        <f t="shared" si="19"/>
        <v>488.75</v>
      </c>
      <c r="H37" s="39">
        <f t="shared" ref="H37" si="20">$H$36+((H10-$H$9)/H10)</f>
        <v>1.2214429949694403</v>
      </c>
      <c r="I37" s="39">
        <f t="shared" ref="I37:M37" si="21">$H$36+((I10-$H$9)/I10)</f>
        <v>1.1947749606147791</v>
      </c>
      <c r="J37" s="39">
        <f t="shared" si="21"/>
        <v>1.2985657157442674</v>
      </c>
      <c r="L37" s="39">
        <f t="shared" si="21"/>
        <v>-1.5084264559615801</v>
      </c>
      <c r="M37" s="39">
        <f t="shared" si="21"/>
        <v>-6.2346836390791065</v>
      </c>
    </row>
    <row r="38" spans="1:13" x14ac:dyDescent="0.35">
      <c r="A38" t="s">
        <v>152</v>
      </c>
      <c r="B38" s="39">
        <f>$B$36+((B11-$B$9)/B11)</f>
        <v>0.98180107124307736</v>
      </c>
      <c r="C38" s="39">
        <f t="shared" ref="C38:E38" si="22">$B$36+((C11-$B$9)/C11)</f>
        <v>1.018251958471216</v>
      </c>
      <c r="D38" s="39">
        <f t="shared" si="22"/>
        <v>1.0321355291720884</v>
      </c>
      <c r="E38" s="39">
        <f t="shared" si="22"/>
        <v>1.0225122248757912</v>
      </c>
      <c r="F38">
        <f t="shared" ref="F38:G38" si="23">F11</f>
        <v>257</v>
      </c>
      <c r="G38" s="7">
        <f t="shared" si="23"/>
        <v>688.75</v>
      </c>
      <c r="H38" s="39">
        <f>$H$36+((H11-$H$9)/H11)</f>
        <v>1.0042360636546643</v>
      </c>
      <c r="I38" s="39">
        <f>$H$36+((I11-$H$9)/I11)</f>
        <v>1.0260963197061561</v>
      </c>
      <c r="J38" s="39">
        <f>$H$36+((J11-$H$9)/J11)</f>
        <v>1.1348521747243709</v>
      </c>
      <c r="L38" s="39">
        <f>$H$36+((L11-$H$9)/L11)</f>
        <v>-12.299033331453668</v>
      </c>
      <c r="M38" s="39">
        <f>$H$36+((M11-$H$9)/M11)</f>
        <v>8.7412291711421233</v>
      </c>
    </row>
    <row r="39" spans="1:13" x14ac:dyDescent="0.35">
      <c r="A39" t="s">
        <v>155</v>
      </c>
      <c r="B39" s="39">
        <f t="shared" ref="B39" si="24">$B$36+((B12-$B$9)/B12)</f>
        <v>1.0270825128687011</v>
      </c>
      <c r="C39" s="39">
        <f t="shared" ref="C39:E39" si="25">$B$36+((C12-$B$9)/C12)</f>
        <v>1.0248729858552814</v>
      </c>
      <c r="D39" s="39">
        <f t="shared" si="25"/>
        <v>1.1073670177639787</v>
      </c>
      <c r="E39" s="39">
        <f t="shared" si="25"/>
        <v>1.076338414151464</v>
      </c>
      <c r="F39">
        <f t="shared" ref="F39:G39" si="26">F12</f>
        <v>296</v>
      </c>
      <c r="G39" s="7">
        <f t="shared" si="26"/>
        <v>479</v>
      </c>
      <c r="H39" s="39">
        <f t="shared" ref="H39" si="27">$H$36+((H12-$H$9)/H12)</f>
        <v>1.185153755530816</v>
      </c>
      <c r="I39" s="39">
        <f t="shared" ref="I39:M39" si="28">$H$36+((I12-$H$9)/I12)</f>
        <v>1.1400686074631075</v>
      </c>
      <c r="J39" s="39">
        <f t="shared" si="28"/>
        <v>1.2695648418792187</v>
      </c>
      <c r="L39" s="39">
        <f t="shared" si="28"/>
        <v>-2.8538345486600356</v>
      </c>
      <c r="M39" s="39">
        <f t="shared" si="28"/>
        <v>-13.423961767927203</v>
      </c>
    </row>
    <row r="40" spans="1:13" x14ac:dyDescent="0.35">
      <c r="A40" t="s">
        <v>158</v>
      </c>
      <c r="B40" s="39">
        <f t="shared" ref="B40" si="29">$B$36+((B13-$B$9)/B13)</f>
        <v>0.97497631740815471</v>
      </c>
      <c r="C40" s="39">
        <f t="shared" ref="C40:E40" si="30">$B$36+((C13-$B$9)/C13)</f>
        <v>1.0094011724171332</v>
      </c>
      <c r="D40" s="39">
        <f t="shared" si="30"/>
        <v>1.0292031090152594</v>
      </c>
      <c r="E40" s="39">
        <f t="shared" si="30"/>
        <v>1.0173633114175846</v>
      </c>
      <c r="F40">
        <f t="shared" ref="F40:G40" si="31">F13</f>
        <v>296</v>
      </c>
      <c r="G40" s="7">
        <f t="shared" si="31"/>
        <v>679</v>
      </c>
      <c r="H40" s="39">
        <f t="shared" ref="H40" si="32">$H$36+((H13-$H$9)/H13)</f>
        <v>0.95573467735140616</v>
      </c>
      <c r="I40" s="39">
        <f t="shared" ref="I40:M40" si="33">$H$36+((I13-$H$9)/I13)</f>
        <v>0.96904810358620264</v>
      </c>
      <c r="J40" s="39">
        <f t="shared" si="33"/>
        <v>1.1002480078107937</v>
      </c>
      <c r="L40" s="39">
        <f t="shared" si="33"/>
        <v>-74.239427555120642</v>
      </c>
      <c r="M40" s="39">
        <f t="shared" si="33"/>
        <v>7.1868470454039919</v>
      </c>
    </row>
  </sheetData>
  <pageMargins left="0.75" right="0.75" top="1" bottom="1" header="0.5" footer="0.5"/>
  <pageSetup paperSize="0" orientation="portrait" horizontalDpi="0" verticalDpi="0" copie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FA2-F52D-4DA3-A796-BDE1E0BE95CD}">
  <dimension ref="A2:P36"/>
  <sheetViews>
    <sheetView zoomScale="85" zoomScaleNormal="85" workbookViewId="0">
      <selection activeCell="B33" sqref="B33"/>
    </sheetView>
  </sheetViews>
  <sheetFormatPr defaultRowHeight="14.5" x14ac:dyDescent="0.35"/>
  <cols>
    <col min="2" max="2" width="54.54296875" bestFit="1" customWidth="1"/>
    <col min="3" max="3" width="15.54296875" bestFit="1" customWidth="1"/>
    <col min="4" max="4" width="15.90625" bestFit="1" customWidth="1"/>
    <col min="5" max="5" width="9.81640625" bestFit="1" customWidth="1"/>
    <col min="6" max="6" width="22.1796875" bestFit="1" customWidth="1"/>
    <col min="7" max="7" width="19.90625" bestFit="1" customWidth="1"/>
    <col min="8" max="8" width="134.1796875" bestFit="1" customWidth="1"/>
    <col min="11" max="11" width="34.36328125" bestFit="1" customWidth="1"/>
  </cols>
  <sheetData>
    <row r="2" spans="1:16" x14ac:dyDescent="0.35">
      <c r="A2" s="5" t="s">
        <v>217</v>
      </c>
    </row>
    <row r="3" spans="1:16" x14ac:dyDescent="0.35">
      <c r="B3" s="1" t="s">
        <v>38</v>
      </c>
      <c r="C3" s="44" t="s">
        <v>39</v>
      </c>
      <c r="D3" s="45"/>
      <c r="E3" s="45"/>
      <c r="F3" s="45"/>
      <c r="G3" s="46"/>
      <c r="H3" s="48" t="s">
        <v>26</v>
      </c>
      <c r="J3" s="42"/>
      <c r="K3" s="42"/>
      <c r="L3" s="42"/>
      <c r="M3" s="42"/>
      <c r="N3" s="42"/>
      <c r="O3" s="42"/>
      <c r="P3" s="42"/>
    </row>
    <row r="4" spans="1:16" x14ac:dyDescent="0.35">
      <c r="B4" t="s">
        <v>40</v>
      </c>
      <c r="C4" s="4">
        <v>2.5000000000000001E-2</v>
      </c>
      <c r="D4" s="43"/>
      <c r="E4" s="43"/>
      <c r="F4" s="43"/>
      <c r="G4" s="43"/>
      <c r="H4" s="49" t="s">
        <v>41</v>
      </c>
      <c r="J4" s="43"/>
      <c r="K4" s="43"/>
      <c r="L4" s="43"/>
      <c r="M4" s="43"/>
      <c r="N4" s="43"/>
      <c r="O4" s="43"/>
      <c r="P4" s="43"/>
    </row>
    <row r="5" spans="1:16" x14ac:dyDescent="0.35">
      <c r="B5" t="s">
        <v>42</v>
      </c>
      <c r="C5" s="4">
        <v>9936</v>
      </c>
      <c r="D5" s="43"/>
      <c r="E5" s="43"/>
      <c r="F5" s="43"/>
      <c r="G5" s="43"/>
      <c r="H5" s="49" t="s">
        <v>209</v>
      </c>
      <c r="J5" s="43"/>
      <c r="K5" s="43"/>
      <c r="L5" s="43"/>
      <c r="M5" s="43"/>
      <c r="N5" s="43"/>
      <c r="O5" s="43"/>
      <c r="P5" s="43"/>
    </row>
    <row r="6" spans="1:16" x14ac:dyDescent="0.35">
      <c r="B6" t="s">
        <v>44</v>
      </c>
      <c r="C6" s="4">
        <v>0.3</v>
      </c>
      <c r="D6" s="43"/>
      <c r="E6" s="43"/>
      <c r="F6" s="43"/>
      <c r="G6" s="43"/>
      <c r="H6" s="49" t="s">
        <v>45</v>
      </c>
      <c r="J6" s="43"/>
      <c r="K6" s="43"/>
      <c r="L6" s="43"/>
      <c r="M6" s="43"/>
      <c r="N6" s="43"/>
      <c r="O6" s="43"/>
      <c r="P6" s="43"/>
    </row>
    <row r="7" spans="1:16" x14ac:dyDescent="0.35">
      <c r="B7" t="s">
        <v>46</v>
      </c>
      <c r="C7" s="4">
        <v>7.0000000000000001E-3</v>
      </c>
      <c r="D7" s="43"/>
      <c r="E7" s="43"/>
      <c r="F7" s="43"/>
      <c r="G7" s="43"/>
      <c r="H7" s="49" t="s">
        <v>47</v>
      </c>
      <c r="J7" s="43"/>
      <c r="K7" s="43"/>
      <c r="L7" s="43"/>
      <c r="M7" s="43"/>
      <c r="N7" s="43"/>
      <c r="O7" s="43"/>
      <c r="P7" s="43"/>
    </row>
    <row r="8" spans="1:16" x14ac:dyDescent="0.35">
      <c r="B8" t="s">
        <v>48</v>
      </c>
      <c r="C8" s="4">
        <v>1.4999999999999999E-2</v>
      </c>
      <c r="D8" s="43"/>
      <c r="E8" s="43"/>
      <c r="F8" s="43"/>
      <c r="G8" s="43"/>
      <c r="H8" s="49" t="s">
        <v>49</v>
      </c>
      <c r="J8" s="43"/>
      <c r="K8" s="43"/>
      <c r="L8" s="43"/>
      <c r="M8" s="43"/>
      <c r="N8" s="43"/>
      <c r="O8" s="43"/>
      <c r="P8" s="43"/>
    </row>
    <row r="9" spans="1:16" x14ac:dyDescent="0.35">
      <c r="B9" t="s">
        <v>50</v>
      </c>
      <c r="C9" s="4">
        <v>257</v>
      </c>
      <c r="D9" s="43"/>
      <c r="E9" s="43"/>
      <c r="F9" s="43"/>
      <c r="G9" s="43"/>
      <c r="H9" s="49" t="s">
        <v>210</v>
      </c>
      <c r="K9" s="43"/>
      <c r="L9" s="43"/>
      <c r="M9" s="43"/>
      <c r="N9" s="43"/>
      <c r="O9" s="43"/>
      <c r="P9" s="43"/>
    </row>
    <row r="10" spans="1:16" x14ac:dyDescent="0.35">
      <c r="B10" t="s">
        <v>51</v>
      </c>
      <c r="C10" s="4">
        <v>296</v>
      </c>
      <c r="D10" s="43"/>
      <c r="E10" s="43"/>
      <c r="F10" s="43"/>
      <c r="G10" s="43"/>
      <c r="H10" s="49" t="s">
        <v>211</v>
      </c>
      <c r="K10" s="43"/>
      <c r="L10" s="43"/>
      <c r="M10" s="43"/>
      <c r="N10" s="43"/>
      <c r="O10" s="43"/>
      <c r="P10" s="43"/>
    </row>
    <row r="11" spans="1:16" x14ac:dyDescent="0.35">
      <c r="B11" t="s">
        <v>52</v>
      </c>
      <c r="C11">
        <v>553</v>
      </c>
      <c r="D11" s="43"/>
      <c r="E11" s="43"/>
      <c r="F11" s="43"/>
      <c r="G11" s="43"/>
      <c r="H11" s="49" t="s">
        <v>53</v>
      </c>
      <c r="K11" s="43"/>
      <c r="L11" s="43"/>
      <c r="M11" s="43"/>
      <c r="N11" s="43"/>
      <c r="O11" s="43"/>
      <c r="P11" s="43"/>
    </row>
    <row r="12" spans="1:16" x14ac:dyDescent="0.35">
      <c r="B12" t="s">
        <v>73</v>
      </c>
      <c r="C12" s="47">
        <v>1200000</v>
      </c>
      <c r="D12" s="43"/>
      <c r="E12" s="43"/>
      <c r="F12" s="43"/>
      <c r="G12" s="43"/>
      <c r="H12" s="49" t="s">
        <v>212</v>
      </c>
      <c r="K12" s="43"/>
      <c r="L12" s="43"/>
      <c r="M12" s="43"/>
      <c r="N12" s="43"/>
      <c r="O12" s="43"/>
      <c r="P12" s="43"/>
    </row>
    <row r="13" spans="1:16" x14ac:dyDescent="0.35">
      <c r="B13" t="s">
        <v>215</v>
      </c>
      <c r="C13" s="4">
        <v>0.75</v>
      </c>
      <c r="D13" s="43"/>
      <c r="E13" s="43"/>
      <c r="F13" s="43"/>
      <c r="G13" s="43"/>
      <c r="H13" s="49" t="s">
        <v>213</v>
      </c>
      <c r="K13" s="43"/>
      <c r="L13" s="43"/>
      <c r="M13" s="43"/>
      <c r="N13" s="43"/>
      <c r="O13" s="43"/>
      <c r="P13" s="43"/>
    </row>
    <row r="14" spans="1:16" x14ac:dyDescent="0.35">
      <c r="H14" s="50"/>
      <c r="K14" s="43"/>
      <c r="L14" s="43"/>
      <c r="M14" s="43"/>
      <c r="N14" s="43"/>
      <c r="O14" s="43"/>
      <c r="P14" s="43"/>
    </row>
    <row r="15" spans="1:16" x14ac:dyDescent="0.35">
      <c r="A15" s="5" t="s">
        <v>214</v>
      </c>
      <c r="H15" s="50"/>
      <c r="K15" s="43"/>
      <c r="L15" s="43"/>
      <c r="M15" s="43"/>
      <c r="N15" s="43"/>
      <c r="O15" s="43"/>
      <c r="P15" s="43"/>
    </row>
    <row r="16" spans="1:16" x14ac:dyDescent="0.35">
      <c r="B16" s="1" t="s">
        <v>18</v>
      </c>
      <c r="C16" s="1" t="s">
        <v>83</v>
      </c>
      <c r="D16" s="1" t="s">
        <v>84</v>
      </c>
      <c r="E16" s="1" t="s">
        <v>85</v>
      </c>
      <c r="F16" s="42"/>
      <c r="G16" s="42"/>
      <c r="H16" s="50"/>
      <c r="K16" s="43"/>
      <c r="L16" s="43"/>
      <c r="M16" s="43"/>
      <c r="N16" s="43"/>
      <c r="O16" s="43"/>
      <c r="P16" s="43"/>
    </row>
    <row r="17" spans="1:8" x14ac:dyDescent="0.35">
      <c r="B17" t="s">
        <v>21</v>
      </c>
      <c r="C17" s="4">
        <v>1000</v>
      </c>
      <c r="D17" s="4">
        <v>0.4</v>
      </c>
      <c r="E17" s="4">
        <v>0.5</v>
      </c>
      <c r="F17" s="25"/>
      <c r="G17" s="25"/>
      <c r="H17" s="49" t="s">
        <v>218</v>
      </c>
    </row>
    <row r="18" spans="1:8" x14ac:dyDescent="0.35">
      <c r="B18" t="s">
        <v>22</v>
      </c>
      <c r="C18" s="4">
        <v>800</v>
      </c>
      <c r="D18" s="4">
        <v>0.3</v>
      </c>
      <c r="E18" s="4">
        <v>0.4</v>
      </c>
      <c r="F18" s="25"/>
      <c r="G18" s="25"/>
      <c r="H18" s="49" t="s">
        <v>219</v>
      </c>
    </row>
    <row r="19" spans="1:8" x14ac:dyDescent="0.35">
      <c r="B19" t="s">
        <v>23</v>
      </c>
      <c r="C19" s="4">
        <v>600</v>
      </c>
      <c r="D19" s="4">
        <v>0.2</v>
      </c>
      <c r="E19" s="4">
        <v>0.35</v>
      </c>
      <c r="F19" s="25"/>
      <c r="G19" s="25"/>
      <c r="H19" s="49" t="s">
        <v>220</v>
      </c>
    </row>
    <row r="20" spans="1:8" x14ac:dyDescent="0.35">
      <c r="B20" t="s">
        <v>24</v>
      </c>
      <c r="C20" s="4">
        <v>500</v>
      </c>
      <c r="D20" s="4">
        <v>0.1</v>
      </c>
      <c r="E20" s="4">
        <v>0.3</v>
      </c>
      <c r="F20" s="25"/>
      <c r="G20" s="25"/>
      <c r="H20" s="50"/>
    </row>
    <row r="21" spans="1:8" x14ac:dyDescent="0.35">
      <c r="B21" t="s">
        <v>25</v>
      </c>
      <c r="C21" s="4">
        <v>400</v>
      </c>
      <c r="D21" s="4">
        <v>0</v>
      </c>
      <c r="E21" s="4">
        <v>0.3</v>
      </c>
      <c r="F21" s="25"/>
      <c r="G21" s="25"/>
      <c r="H21" s="50"/>
    </row>
    <row r="22" spans="1:8" x14ac:dyDescent="0.35">
      <c r="H22" s="50"/>
    </row>
    <row r="23" spans="1:8" x14ac:dyDescent="0.35">
      <c r="A23" s="5" t="s">
        <v>216</v>
      </c>
      <c r="H23" s="50"/>
    </row>
    <row r="24" spans="1:8" x14ac:dyDescent="0.35">
      <c r="B24" s="1" t="s">
        <v>115</v>
      </c>
      <c r="C24" s="1" t="s">
        <v>224</v>
      </c>
      <c r="D24" s="1" t="s">
        <v>222</v>
      </c>
      <c r="E24" s="1" t="s">
        <v>223</v>
      </c>
      <c r="F24" s="1" t="s">
        <v>226</v>
      </c>
      <c r="G24" s="1" t="s">
        <v>225</v>
      </c>
      <c r="H24" s="50"/>
    </row>
    <row r="25" spans="1:8" x14ac:dyDescent="0.35">
      <c r="A25" s="51" t="s">
        <v>127</v>
      </c>
      <c r="B25" s="51" t="s">
        <v>230</v>
      </c>
      <c r="C25" s="51">
        <v>0</v>
      </c>
      <c r="D25" s="51">
        <v>0</v>
      </c>
      <c r="E25" s="51">
        <v>0</v>
      </c>
      <c r="F25" s="51">
        <v>0.5</v>
      </c>
      <c r="G25" s="51">
        <v>0</v>
      </c>
      <c r="H25" t="s">
        <v>127</v>
      </c>
    </row>
    <row r="26" spans="1:8" x14ac:dyDescent="0.35">
      <c r="A26" t="s">
        <v>130</v>
      </c>
      <c r="B26" s="52" t="s">
        <v>227</v>
      </c>
      <c r="C26" s="4">
        <v>0</v>
      </c>
      <c r="D26" s="4">
        <v>0</v>
      </c>
      <c r="E26" s="4">
        <v>0</v>
      </c>
      <c r="F26" s="4">
        <v>0.5</v>
      </c>
      <c r="G26" s="4">
        <v>0</v>
      </c>
      <c r="H26" t="s">
        <v>221</v>
      </c>
    </row>
    <row r="27" spans="1:8" x14ac:dyDescent="0.35">
      <c r="A27" t="s">
        <v>133</v>
      </c>
      <c r="B27" s="52" t="s">
        <v>231</v>
      </c>
      <c r="C27" s="4">
        <v>150</v>
      </c>
      <c r="D27" s="4">
        <v>0</v>
      </c>
      <c r="E27" s="4">
        <v>0</v>
      </c>
      <c r="F27" s="4">
        <v>0.7</v>
      </c>
      <c r="G27" s="4">
        <v>0.05</v>
      </c>
      <c r="H27" t="s">
        <v>133</v>
      </c>
    </row>
    <row r="28" spans="1:8" x14ac:dyDescent="0.35">
      <c r="A28" t="s">
        <v>136</v>
      </c>
      <c r="B28" s="52" t="s">
        <v>228</v>
      </c>
      <c r="C28" s="4">
        <v>250</v>
      </c>
      <c r="D28" s="4">
        <v>0</v>
      </c>
      <c r="E28" s="4">
        <v>0</v>
      </c>
      <c r="F28" s="4">
        <v>0.5</v>
      </c>
      <c r="G28" s="4">
        <v>0</v>
      </c>
      <c r="H28" t="s">
        <v>136</v>
      </c>
    </row>
    <row r="29" spans="1:8" x14ac:dyDescent="0.35">
      <c r="A29" s="51" t="s">
        <v>138</v>
      </c>
      <c r="B29" s="51" t="s">
        <v>229</v>
      </c>
      <c r="C29" s="51">
        <v>250</v>
      </c>
      <c r="D29" s="51">
        <v>0</v>
      </c>
      <c r="E29" s="51">
        <v>0</v>
      </c>
      <c r="F29" s="51">
        <v>0.5</v>
      </c>
      <c r="G29" s="51">
        <v>0</v>
      </c>
      <c r="H29" t="s">
        <v>138</v>
      </c>
    </row>
    <row r="30" spans="1:8" x14ac:dyDescent="0.35">
      <c r="A30" t="s">
        <v>140</v>
      </c>
      <c r="B30" s="52" t="s">
        <v>233</v>
      </c>
      <c r="C30" s="4">
        <v>150</v>
      </c>
      <c r="D30" s="4">
        <v>0</v>
      </c>
      <c r="E30" s="4">
        <v>0</v>
      </c>
      <c r="F30" s="4">
        <v>0.7</v>
      </c>
      <c r="G30" s="4">
        <v>0</v>
      </c>
      <c r="H30" t="s">
        <v>140</v>
      </c>
    </row>
    <row r="31" spans="1:8" x14ac:dyDescent="0.35">
      <c r="A31" t="s">
        <v>143</v>
      </c>
      <c r="B31" t="s">
        <v>234</v>
      </c>
      <c r="C31" s="4">
        <v>0</v>
      </c>
      <c r="D31" s="4">
        <v>1</v>
      </c>
      <c r="E31" s="4">
        <v>1</v>
      </c>
      <c r="F31" s="4">
        <v>0.5</v>
      </c>
      <c r="G31" s="4">
        <v>0</v>
      </c>
      <c r="H31" t="s">
        <v>143</v>
      </c>
    </row>
    <row r="32" spans="1:8" x14ac:dyDescent="0.35">
      <c r="A32" t="s">
        <v>146</v>
      </c>
      <c r="B32" t="s">
        <v>235</v>
      </c>
      <c r="C32" s="4">
        <v>0</v>
      </c>
      <c r="D32" s="4">
        <v>1</v>
      </c>
      <c r="E32" s="4">
        <v>1</v>
      </c>
      <c r="F32" s="4">
        <v>0.5</v>
      </c>
      <c r="G32" s="4">
        <v>0</v>
      </c>
      <c r="H32" t="s">
        <v>146</v>
      </c>
    </row>
    <row r="33" spans="1:8" x14ac:dyDescent="0.35">
      <c r="A33" t="s">
        <v>150</v>
      </c>
      <c r="B33" t="s">
        <v>236</v>
      </c>
      <c r="C33" s="4">
        <v>0</v>
      </c>
      <c r="D33" s="4">
        <v>1</v>
      </c>
      <c r="E33" s="4">
        <v>0</v>
      </c>
      <c r="F33" s="4">
        <v>0.5</v>
      </c>
      <c r="G33" s="4">
        <v>0</v>
      </c>
      <c r="H33" t="s">
        <v>150</v>
      </c>
    </row>
    <row r="34" spans="1:8" x14ac:dyDescent="0.35">
      <c r="A34" t="s">
        <v>153</v>
      </c>
      <c r="B34" t="s">
        <v>237</v>
      </c>
      <c r="C34" s="4">
        <v>150</v>
      </c>
      <c r="D34" s="4">
        <v>1</v>
      </c>
      <c r="E34" s="4">
        <v>0</v>
      </c>
      <c r="F34" s="4">
        <v>0</v>
      </c>
      <c r="G34" s="4">
        <v>0</v>
      </c>
      <c r="H34" t="s">
        <v>153</v>
      </c>
    </row>
    <row r="35" spans="1:8" x14ac:dyDescent="0.35">
      <c r="A35" t="s">
        <v>156</v>
      </c>
      <c r="B35" t="s">
        <v>238</v>
      </c>
      <c r="C35" s="4">
        <v>0</v>
      </c>
      <c r="D35" s="4">
        <v>0</v>
      </c>
      <c r="E35" s="4">
        <v>1</v>
      </c>
      <c r="F35" s="4">
        <v>0.5</v>
      </c>
      <c r="G35" s="4">
        <v>0</v>
      </c>
      <c r="H35" t="s">
        <v>156</v>
      </c>
    </row>
    <row r="36" spans="1:8" x14ac:dyDescent="0.35">
      <c r="A36" t="s">
        <v>159</v>
      </c>
      <c r="B36" t="s">
        <v>239</v>
      </c>
      <c r="C36" s="4">
        <v>200</v>
      </c>
      <c r="D36" s="4">
        <v>0</v>
      </c>
      <c r="E36" s="4">
        <v>1</v>
      </c>
      <c r="F36" s="4">
        <v>1</v>
      </c>
      <c r="G36" s="4">
        <v>0</v>
      </c>
      <c r="H36" t="s">
        <v>159</v>
      </c>
    </row>
  </sheetData>
  <mergeCells count="1">
    <mergeCell ref="C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170</v>
      </c>
    </row>
    <row r="3" spans="1:10" x14ac:dyDescent="0.35">
      <c r="A3" s="5" t="s">
        <v>171</v>
      </c>
      <c r="B3" s="4" t="s">
        <v>126</v>
      </c>
    </row>
    <row r="5" spans="1:10" x14ac:dyDescent="0.35">
      <c r="A5" t="s">
        <v>92</v>
      </c>
      <c r="B5">
        <f>1-BaselineCalc!$B$5</f>
        <v>0.99299999999999999</v>
      </c>
    </row>
    <row r="6" spans="1:10" x14ac:dyDescent="0.35">
      <c r="A6" t="s">
        <v>172</v>
      </c>
      <c r="B6">
        <f>BaselineCalc!$B$7 + BaselineCalc!$B$8</f>
        <v>553</v>
      </c>
    </row>
    <row r="8" spans="1:10" x14ac:dyDescent="0.35">
      <c r="A8" t="s">
        <v>173</v>
      </c>
    </row>
    <row r="9" spans="1:10" x14ac:dyDescent="0.35">
      <c r="A9" t="s">
        <v>174</v>
      </c>
      <c r="B9" s="2">
        <f>YearMap!B4</f>
        <v>7489.9896749999989</v>
      </c>
    </row>
    <row r="10" spans="1:10" x14ac:dyDescent="0.35">
      <c r="A10" t="s">
        <v>175</v>
      </c>
      <c r="B10" s="2">
        <f>YearMap!C4</f>
        <v>824968.86277499993</v>
      </c>
    </row>
    <row r="11" spans="1:10" x14ac:dyDescent="0.35">
      <c r="A11" t="s">
        <v>176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0.35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177</v>
      </c>
      <c r="B14" s="2">
        <f>INDEX(Summary_Costs!$B:$B, MATCH($B$3, Summary_Costs!$A:$A, 0))</f>
        <v>10625.085353249999</v>
      </c>
    </row>
    <row r="16" spans="1:10" x14ac:dyDescent="0.35">
      <c r="B16" t="s">
        <v>178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179</v>
      </c>
      <c r="C17" s="8">
        <f t="shared" ref="C17:J17" si="0">IF(($B$14-( $B$9+C16))&lt;=0,NA(),($B$5*$B$12*($B$10+$B$11))/($B$6*($B$14-( $B$9+C16))))</f>
        <v>0.3801013951124167</v>
      </c>
      <c r="D17" s="8">
        <f t="shared" si="0"/>
        <v>0.39350839925793601</v>
      </c>
      <c r="E17" s="8">
        <f t="shared" si="0"/>
        <v>0.40789577160425611</v>
      </c>
      <c r="F17" s="8">
        <f t="shared" si="0"/>
        <v>0.44007568300592997</v>
      </c>
      <c r="G17" s="8">
        <f t="shared" si="0"/>
        <v>0.47776798718900632</v>
      </c>
      <c r="H17" s="8">
        <f t="shared" si="0"/>
        <v>0.52252176492889679</v>
      </c>
      <c r="I17" s="8">
        <f t="shared" si="0"/>
        <v>0.57652651216717687</v>
      </c>
      <c r="J17" s="8">
        <f t="shared" si="0"/>
        <v>0.68230500326762766</v>
      </c>
    </row>
    <row r="18" spans="1:10" x14ac:dyDescent="0.35">
      <c r="A18" t="s">
        <v>180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181</v>
      </c>
    </row>
    <row r="23" spans="1:10" x14ac:dyDescent="0.35">
      <c r="A23" t="s">
        <v>174</v>
      </c>
      <c r="B23" s="2">
        <f>YearMap!B6</f>
        <v>7869.1704022968725</v>
      </c>
    </row>
    <row r="24" spans="1:10" x14ac:dyDescent="0.35">
      <c r="A24" t="s">
        <v>175</v>
      </c>
      <c r="B24" s="2">
        <f>YearMap!C6</f>
        <v>866732.91145298409</v>
      </c>
    </row>
    <row r="25" spans="1:10" x14ac:dyDescent="0.35">
      <c r="A25" t="s">
        <v>176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0.3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182</v>
      </c>
      <c r="B28" s="2">
        <f>INDEX(Summary_Costs!$C:$C, MATCH($B$3, Summary_Costs!$A:$A, 0))</f>
        <v>11162.980299258277</v>
      </c>
    </row>
    <row r="30" spans="1:10" x14ac:dyDescent="0.35">
      <c r="B30" t="s">
        <v>178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183</v>
      </c>
      <c r="C31" s="8">
        <f t="shared" ref="C31:J31" si="2">IF(($B$28-( $B$23+C30))&lt;=0,NA(),($B$5*$B$26*($B$24+$B$25))/($B$6*($B$28-( $B$23+C30))))</f>
        <v>0.3247349579946664</v>
      </c>
      <c r="D31" s="8">
        <f t="shared" si="2"/>
        <v>0.335581837695487</v>
      </c>
      <c r="E31" s="8">
        <f t="shared" si="2"/>
        <v>0.34717837823009029</v>
      </c>
      <c r="F31" s="8">
        <f t="shared" si="2"/>
        <v>0.37295439001337943</v>
      </c>
      <c r="G31" s="8">
        <f t="shared" si="2"/>
        <v>0.40286480062389207</v>
      </c>
      <c r="H31" s="8">
        <f t="shared" si="2"/>
        <v>0.43799105944399436</v>
      </c>
      <c r="I31" s="8">
        <f t="shared" si="2"/>
        <v>0.47982781454574636</v>
      </c>
      <c r="J31" s="8">
        <f t="shared" si="2"/>
        <v>0.56007508300354847</v>
      </c>
    </row>
    <row r="32" spans="1:10" x14ac:dyDescent="0.35">
      <c r="A32" t="s">
        <v>184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185</v>
      </c>
    </row>
    <row r="2" spans="1:2" x14ac:dyDescent="0.35">
      <c r="B2" s="5" t="s">
        <v>186</v>
      </c>
    </row>
    <row r="3" spans="1:2" x14ac:dyDescent="0.35">
      <c r="B3" t="s">
        <v>187</v>
      </c>
    </row>
    <row r="5" spans="1:2" x14ac:dyDescent="0.35">
      <c r="B5" s="5" t="s">
        <v>188</v>
      </c>
    </row>
    <row r="6" spans="1:2" x14ac:dyDescent="0.35">
      <c r="B6" t="s">
        <v>189</v>
      </c>
    </row>
    <row r="8" spans="1:2" x14ac:dyDescent="0.35">
      <c r="B8" s="5" t="s">
        <v>190</v>
      </c>
    </row>
    <row r="9" spans="1:2" x14ac:dyDescent="0.35">
      <c r="B9" t="s">
        <v>191</v>
      </c>
    </row>
    <row r="11" spans="1:2" x14ac:dyDescent="0.35">
      <c r="B11" s="5" t="s">
        <v>192</v>
      </c>
    </row>
    <row r="12" spans="1:2" x14ac:dyDescent="0.35">
      <c r="B12" t="s">
        <v>193</v>
      </c>
    </row>
    <row r="17" spans="1:2" x14ac:dyDescent="0.35">
      <c r="A17" s="5" t="s">
        <v>194</v>
      </c>
    </row>
    <row r="18" spans="1:2" x14ac:dyDescent="0.35">
      <c r="B18" t="s">
        <v>40</v>
      </c>
    </row>
    <row r="19" spans="1:2" x14ac:dyDescent="0.35">
      <c r="B19" t="s">
        <v>42</v>
      </c>
    </row>
    <row r="20" spans="1:2" x14ac:dyDescent="0.35">
      <c r="B20" t="s">
        <v>44</v>
      </c>
    </row>
    <row r="21" spans="1:2" x14ac:dyDescent="0.35">
      <c r="B21" t="s">
        <v>46</v>
      </c>
    </row>
    <row r="22" spans="1:2" x14ac:dyDescent="0.35">
      <c r="B22" t="s">
        <v>48</v>
      </c>
    </row>
    <row r="23" spans="1:2" x14ac:dyDescent="0.35">
      <c r="B23" t="s">
        <v>50</v>
      </c>
    </row>
    <row r="24" spans="1:2" x14ac:dyDescent="0.35">
      <c r="B24" t="s">
        <v>51</v>
      </c>
    </row>
    <row r="25" spans="1:2" x14ac:dyDescent="0.35">
      <c r="B25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88</v>
      </c>
      <c r="B1" t="s">
        <v>195</v>
      </c>
      <c r="C1" t="s">
        <v>196</v>
      </c>
    </row>
    <row r="2" spans="1:3" x14ac:dyDescent="0.35">
      <c r="A2" t="s">
        <v>7</v>
      </c>
      <c r="B2" t="s">
        <v>197</v>
      </c>
      <c r="C2" t="s">
        <v>198</v>
      </c>
    </row>
    <row r="3" spans="1:3" x14ac:dyDescent="0.35">
      <c r="A3" t="s">
        <v>142</v>
      </c>
      <c r="B3" t="s">
        <v>197</v>
      </c>
      <c r="C3" t="s">
        <v>198</v>
      </c>
    </row>
    <row r="4" spans="1:3" x14ac:dyDescent="0.35">
      <c r="A4" t="s">
        <v>132</v>
      </c>
      <c r="B4" t="s">
        <v>199</v>
      </c>
      <c r="C4" t="s">
        <v>200</v>
      </c>
    </row>
    <row r="5" spans="1:3" x14ac:dyDescent="0.35">
      <c r="A5" t="s">
        <v>126</v>
      </c>
      <c r="B5" t="s">
        <v>199</v>
      </c>
      <c r="C5" t="s">
        <v>201</v>
      </c>
    </row>
    <row r="6" spans="1:3" x14ac:dyDescent="0.35">
      <c r="A6" t="s">
        <v>135</v>
      </c>
      <c r="B6" t="s">
        <v>199</v>
      </c>
      <c r="C6" t="s">
        <v>201</v>
      </c>
    </row>
    <row r="7" spans="1:3" x14ac:dyDescent="0.35">
      <c r="A7" t="s">
        <v>11</v>
      </c>
      <c r="B7" t="s">
        <v>199</v>
      </c>
      <c r="C7" t="s">
        <v>201</v>
      </c>
    </row>
    <row r="8" spans="1:3" x14ac:dyDescent="0.35">
      <c r="A8" t="s">
        <v>129</v>
      </c>
      <c r="B8" t="s">
        <v>202</v>
      </c>
      <c r="C8" t="s">
        <v>200</v>
      </c>
    </row>
    <row r="9" spans="1:3" x14ac:dyDescent="0.35">
      <c r="A9" t="s">
        <v>10</v>
      </c>
      <c r="B9" t="s">
        <v>199</v>
      </c>
      <c r="C9" t="s">
        <v>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selection activeCell="F31" sqref="F31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170</v>
      </c>
    </row>
    <row r="3" spans="1:10" x14ac:dyDescent="0.35">
      <c r="A3" s="5" t="s">
        <v>171</v>
      </c>
      <c r="B3" s="4" t="str">
        <f>Dashboard!$B$6</f>
        <v>G_DHub_EchoRamp</v>
      </c>
    </row>
    <row r="5" spans="1:10" x14ac:dyDescent="0.35">
      <c r="A5" t="s">
        <v>92</v>
      </c>
      <c r="B5">
        <f>1-BaselineCalc!$B$5</f>
        <v>0.99299999999999999</v>
      </c>
    </row>
    <row r="6" spans="1:10" x14ac:dyDescent="0.35">
      <c r="A6" t="s">
        <v>172</v>
      </c>
      <c r="B6">
        <f>BaselineCalc!$B$7 + BaselineCalc!$B$8</f>
        <v>553</v>
      </c>
    </row>
    <row r="8" spans="1:10" x14ac:dyDescent="0.35">
      <c r="A8" t="s">
        <v>173</v>
      </c>
    </row>
    <row r="9" spans="1:10" x14ac:dyDescent="0.35">
      <c r="A9" t="s">
        <v>174</v>
      </c>
      <c r="B9" s="2">
        <f>YearMap!B4</f>
        <v>7489.9896749999989</v>
      </c>
    </row>
    <row r="10" spans="1:10" x14ac:dyDescent="0.35">
      <c r="A10" t="s">
        <v>175</v>
      </c>
      <c r="B10" s="2">
        <f>YearMap!C4</f>
        <v>824968.86277499993</v>
      </c>
    </row>
    <row r="11" spans="1:10" x14ac:dyDescent="0.35">
      <c r="A11" t="s">
        <v>176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0.35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177</v>
      </c>
      <c r="B14" s="2">
        <f>INDEX(Summary_Costs!$B:$B, MATCH($B$3, Summary_Costs!$A:$A, 0))</f>
        <v>9944.9589792866263</v>
      </c>
    </row>
    <row r="16" spans="1:10" x14ac:dyDescent="0.35">
      <c r="B16" t="s">
        <v>178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179</v>
      </c>
      <c r="C17" s="8">
        <f t="shared" ref="C17:J17" si="0">IF(($B$14-( $B$9+C16))&lt;=0,NA(),($B$5*$B$12*($B$10+$B$11))/($B$6*($B$14-( $B$9+C16))))</f>
        <v>0.49474463353911913</v>
      </c>
      <c r="D17" s="8">
        <f t="shared" si="0"/>
        <v>0.51770294819144302</v>
      </c>
      <c r="E17" s="8">
        <f t="shared" si="0"/>
        <v>0.54289568207372174</v>
      </c>
      <c r="F17" s="8">
        <f t="shared" si="0"/>
        <v>0.60142987784926905</v>
      </c>
      <c r="G17" s="8">
        <f t="shared" si="0"/>
        <v>0.67411157367184071</v>
      </c>
      <c r="H17" s="8">
        <f t="shared" si="0"/>
        <v>0.76677491326062441</v>
      </c>
      <c r="I17" s="8">
        <f t="shared" si="0"/>
        <v>0.88897310737446189</v>
      </c>
      <c r="J17" s="8">
        <f t="shared" si="0"/>
        <v>1.1682406513837014</v>
      </c>
    </row>
    <row r="18" spans="1:10" x14ac:dyDescent="0.35">
      <c r="A18" t="s">
        <v>180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181</v>
      </c>
    </row>
    <row r="23" spans="1:10" x14ac:dyDescent="0.35">
      <c r="A23" t="s">
        <v>174</v>
      </c>
      <c r="B23" s="2">
        <f>YearMap!B6</f>
        <v>7869.1704022968725</v>
      </c>
    </row>
    <row r="24" spans="1:10" x14ac:dyDescent="0.35">
      <c r="A24" t="s">
        <v>175</v>
      </c>
      <c r="B24" s="2">
        <f>YearMap!C6</f>
        <v>866732.91145298409</v>
      </c>
    </row>
    <row r="25" spans="1:10" x14ac:dyDescent="0.35">
      <c r="A25" t="s">
        <v>176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0.3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182</v>
      </c>
      <c r="B28" s="2">
        <f>INDEX(Summary_Costs!$C:$C, MATCH($B$3, Summary_Costs!$A:$A, 0))</f>
        <v>10448.422527613011</v>
      </c>
    </row>
    <row r="30" spans="1:10" x14ac:dyDescent="0.35">
      <c r="B30" t="s">
        <v>178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183</v>
      </c>
      <c r="C31" s="8">
        <f t="shared" ref="C31:J31" si="2">IF(($B$28-( $B$23+C30))&lt;=0,NA(),($B$5*$B$26*($B$24+$B$25))/($B$6*($B$28-( $B$23+C30))))</f>
        <v>0.42226219585692354</v>
      </c>
      <c r="D31" s="8">
        <f t="shared" si="2"/>
        <v>0.44078854452922561</v>
      </c>
      <c r="E31" s="8">
        <f t="shared" si="2"/>
        <v>0.46101514150754846</v>
      </c>
      <c r="F31" s="8">
        <f t="shared" si="2"/>
        <v>0.50759992326534631</v>
      </c>
      <c r="G31" s="8">
        <f t="shared" si="2"/>
        <v>0.56465759553595329</v>
      </c>
      <c r="H31" s="8">
        <f t="shared" si="2"/>
        <v>0.6361670887301345</v>
      </c>
      <c r="I31" s="8">
        <f t="shared" si="2"/>
        <v>0.72841521031041767</v>
      </c>
      <c r="J31" s="8">
        <f t="shared" si="2"/>
        <v>0.930892979839122</v>
      </c>
    </row>
    <row r="32" spans="1:10" x14ac:dyDescent="0.35">
      <c r="A32" t="s">
        <v>184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workbookViewId="0">
      <selection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170</v>
      </c>
    </row>
    <row r="3" spans="1:10" x14ac:dyDescent="0.35">
      <c r="A3" s="5" t="s">
        <v>171</v>
      </c>
      <c r="B3" s="4">
        <f>Dashboard!$B$7</f>
        <v>0</v>
      </c>
    </row>
    <row r="5" spans="1:10" x14ac:dyDescent="0.35">
      <c r="A5" t="s">
        <v>92</v>
      </c>
      <c r="B5">
        <f>1-BaselineCalc!$B$5</f>
        <v>0.99299999999999999</v>
      </c>
    </row>
    <row r="6" spans="1:10" x14ac:dyDescent="0.35">
      <c r="A6" t="s">
        <v>172</v>
      </c>
      <c r="B6">
        <f>BaselineCalc!$B$7 + BaselineCalc!$B$8</f>
        <v>553</v>
      </c>
    </row>
    <row r="8" spans="1:10" x14ac:dyDescent="0.35">
      <c r="A8" t="s">
        <v>173</v>
      </c>
    </row>
    <row r="9" spans="1:10" x14ac:dyDescent="0.35">
      <c r="A9" t="s">
        <v>174</v>
      </c>
      <c r="B9" s="2">
        <f>YearMap!B4</f>
        <v>7489.9896749999989</v>
      </c>
    </row>
    <row r="10" spans="1:10" x14ac:dyDescent="0.35">
      <c r="A10" t="s">
        <v>175</v>
      </c>
      <c r="B10" s="2">
        <f>YearMap!C4</f>
        <v>824968.86277499993</v>
      </c>
    </row>
    <row r="11" spans="1:10" x14ac:dyDescent="0.35">
      <c r="A11" t="s">
        <v>176</v>
      </c>
      <c r="B11" s="2">
        <f>YearMap!D4</f>
        <v>950158.69019999984</v>
      </c>
    </row>
    <row r="12" spans="1:10" x14ac:dyDescent="0.35">
      <c r="A12" t="s">
        <v>85</v>
      </c>
      <c r="B12">
        <f>YearMap!G4</f>
        <v>0.35</v>
      </c>
    </row>
    <row r="13" spans="1:10" x14ac:dyDescent="0.35">
      <c r="A13" t="s">
        <v>84</v>
      </c>
      <c r="B13">
        <f>YearMap!F4</f>
        <v>0.2</v>
      </c>
    </row>
    <row r="14" spans="1:10" x14ac:dyDescent="0.35">
      <c r="A14" t="s">
        <v>177</v>
      </c>
      <c r="B14" s="2" t="e">
        <f>INDEX(Summary_Costs!$B:$B, MATCH($B$3, Summary_Costs!$A:$A, 0))</f>
        <v>#N/A</v>
      </c>
    </row>
    <row r="16" spans="1:10" x14ac:dyDescent="0.35">
      <c r="B16" t="s">
        <v>178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179</v>
      </c>
      <c r="C17" s="8" t="e">
        <f t="shared" ref="C17:J17" si="0">IF(($B$14-( $B$9+C16))&lt;=0,NA(),($B$5*$B$12*($B$10+$B$11))/($B$6*($B$14-( $B$9+C16))))</f>
        <v>#N/A</v>
      </c>
      <c r="D17" s="8" t="e">
        <f t="shared" si="0"/>
        <v>#N/A</v>
      </c>
      <c r="E17" s="8" t="e">
        <f t="shared" si="0"/>
        <v>#N/A</v>
      </c>
      <c r="F17" s="8" t="e">
        <f t="shared" si="0"/>
        <v>#N/A</v>
      </c>
      <c r="G17" s="8" t="e">
        <f t="shared" si="0"/>
        <v>#N/A</v>
      </c>
      <c r="H17" s="8" t="e">
        <f t="shared" si="0"/>
        <v>#N/A</v>
      </c>
      <c r="I17" s="8" t="e">
        <f t="shared" si="0"/>
        <v>#N/A</v>
      </c>
      <c r="J17" s="8" t="e">
        <f t="shared" si="0"/>
        <v>#N/A</v>
      </c>
    </row>
    <row r="18" spans="1:10" x14ac:dyDescent="0.35">
      <c r="A18" t="s">
        <v>180</v>
      </c>
      <c r="C18" s="8" t="e">
        <f t="shared" ref="C18:J18" si="1">IF(($B$14-( $B$9+C16))&lt;=0,NA(),($B$5*$B$13*($B$10+$B$11))/($B$6*($B$14-( $B$9+C16))))</f>
        <v>#N/A</v>
      </c>
      <c r="D18" s="8" t="e">
        <f t="shared" si="1"/>
        <v>#N/A</v>
      </c>
      <c r="E18" s="8" t="e">
        <f t="shared" si="1"/>
        <v>#N/A</v>
      </c>
      <c r="F18" s="8" t="e">
        <f t="shared" si="1"/>
        <v>#N/A</v>
      </c>
      <c r="G18" s="8" t="e">
        <f t="shared" si="1"/>
        <v>#N/A</v>
      </c>
      <c r="H18" s="8" t="e">
        <f t="shared" si="1"/>
        <v>#N/A</v>
      </c>
      <c r="I18" s="8" t="e">
        <f t="shared" si="1"/>
        <v>#N/A</v>
      </c>
      <c r="J18" s="8" t="e">
        <f t="shared" si="1"/>
        <v>#N/A</v>
      </c>
    </row>
    <row r="22" spans="1:10" x14ac:dyDescent="0.35">
      <c r="A22" t="s">
        <v>181</v>
      </c>
    </row>
    <row r="23" spans="1:10" x14ac:dyDescent="0.35">
      <c r="A23" t="s">
        <v>174</v>
      </c>
      <c r="B23" s="2">
        <f>YearMap!B6</f>
        <v>7869.1704022968725</v>
      </c>
    </row>
    <row r="24" spans="1:10" x14ac:dyDescent="0.35">
      <c r="A24" t="s">
        <v>175</v>
      </c>
      <c r="B24" s="2">
        <f>YearMap!C6</f>
        <v>866732.91145298409</v>
      </c>
    </row>
    <row r="25" spans="1:10" x14ac:dyDescent="0.35">
      <c r="A25" t="s">
        <v>176</v>
      </c>
      <c r="B25" s="2">
        <f>YearMap!D6</f>
        <v>998260.47389137466</v>
      </c>
    </row>
    <row r="26" spans="1:10" x14ac:dyDescent="0.35">
      <c r="A26" t="s">
        <v>85</v>
      </c>
      <c r="B26">
        <f>YearMap!G6</f>
        <v>0.3</v>
      </c>
    </row>
    <row r="27" spans="1:10" x14ac:dyDescent="0.35">
      <c r="A27" t="s">
        <v>84</v>
      </c>
      <c r="B27">
        <f>YearMap!F6</f>
        <v>0</v>
      </c>
    </row>
    <row r="28" spans="1:10" x14ac:dyDescent="0.35">
      <c r="A28" t="s">
        <v>182</v>
      </c>
      <c r="B28" s="2" t="e">
        <f>INDEX(Summary_Costs!$C:$C, MATCH($B$3, Summary_Costs!$A:$A, 0))</f>
        <v>#N/A</v>
      </c>
    </row>
    <row r="30" spans="1:10" x14ac:dyDescent="0.35">
      <c r="B30" t="s">
        <v>178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183</v>
      </c>
      <c r="C31" s="8" t="e">
        <f t="shared" ref="C31:J31" si="2">IF(($B$28-( $B$23+C30))&lt;=0,NA(),($B$5*$B$26*($B$24+$B$25))/($B$6*($B$28-( $B$23+C30))))</f>
        <v>#N/A</v>
      </c>
      <c r="D31" s="8" t="e">
        <f t="shared" si="2"/>
        <v>#N/A</v>
      </c>
      <c r="E31" s="8" t="e">
        <f t="shared" si="2"/>
        <v>#N/A</v>
      </c>
      <c r="F31" s="8" t="e">
        <f t="shared" si="2"/>
        <v>#N/A</v>
      </c>
      <c r="G31" s="8" t="e">
        <f t="shared" si="2"/>
        <v>#N/A</v>
      </c>
      <c r="H31" s="8" t="e">
        <f t="shared" si="2"/>
        <v>#N/A</v>
      </c>
      <c r="I31" s="8" t="e">
        <f t="shared" si="2"/>
        <v>#N/A</v>
      </c>
      <c r="J31" s="8" t="e">
        <f t="shared" si="2"/>
        <v>#N/A</v>
      </c>
    </row>
    <row r="32" spans="1:10" x14ac:dyDescent="0.35">
      <c r="A32" t="s">
        <v>184</v>
      </c>
      <c r="C32" s="8" t="e">
        <f t="shared" ref="C32:J32" si="3">IF(($B$28-( $B$23+C30))&lt;=0,NA(),($B$5*$B$27*($B$24+$B$25))/($B$6*($B$28-( $B$23+C30))))</f>
        <v>#N/A</v>
      </c>
      <c r="D32" s="8" t="e">
        <f t="shared" si="3"/>
        <v>#N/A</v>
      </c>
      <c r="E32" s="8" t="e">
        <f t="shared" si="3"/>
        <v>#N/A</v>
      </c>
      <c r="F32" s="8" t="e">
        <f t="shared" si="3"/>
        <v>#N/A</v>
      </c>
      <c r="G32" s="8" t="e">
        <f t="shared" si="3"/>
        <v>#N/A</v>
      </c>
      <c r="H32" s="8" t="e">
        <f t="shared" si="3"/>
        <v>#N/A</v>
      </c>
      <c r="I32" s="8" t="e">
        <f t="shared" si="3"/>
        <v>#N/A</v>
      </c>
      <c r="J32" s="8" t="e">
        <f t="shared" si="3"/>
        <v>#N/A</v>
      </c>
    </row>
  </sheetData>
  <pageMargins left="0.75" right="0.75" top="1" bottom="1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>
      <selection activeCell="C10" sqref="C10"/>
    </sheetView>
  </sheetViews>
  <sheetFormatPr defaultRowHeight="14.5" x14ac:dyDescent="0.35"/>
  <cols>
    <col min="1" max="1" width="24.90625" bestFit="1" customWidth="1"/>
  </cols>
  <sheetData>
    <row r="1" spans="1:4" x14ac:dyDescent="0.35">
      <c r="A1" t="s">
        <v>38</v>
      </c>
      <c r="B1" t="s">
        <v>39</v>
      </c>
      <c r="D1" t="s">
        <v>205</v>
      </c>
    </row>
    <row r="2" spans="1:4" x14ac:dyDescent="0.35">
      <c r="A2" t="s">
        <v>204</v>
      </c>
      <c r="B2" s="4">
        <v>0.3</v>
      </c>
      <c r="D2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Cards</vt:lpstr>
      <vt:lpstr>BaselineCalc</vt:lpstr>
      <vt:lpstr>YearMap</vt:lpstr>
      <vt:lpstr>MultiYear_ProForma</vt:lpstr>
      <vt:lpstr>Scenarios</vt:lpstr>
      <vt:lpstr>Summary_Costs</vt:lpstr>
      <vt:lpstr>Control center</vt:lpstr>
      <vt:lpstr>BreakEven</vt:lpstr>
      <vt:lpstr>Notes</vt:lpstr>
      <vt:lpstr>Attributes</vt:lpstr>
      <vt:lpstr>BreakEven_X</vt:lpstr>
      <vt:lpstr>BreakEven_Y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2025-10-23T20:54:35Z</dcterms:modified>
</cp:coreProperties>
</file>