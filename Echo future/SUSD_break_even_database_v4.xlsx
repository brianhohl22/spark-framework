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Calc" sheetId="2" r:id="rId2"/>
    <sheet name="Scenarios" sheetId="3" r:id="rId3"/>
    <sheet name="MultiYear_ProForma" sheetId="4" r:id="rId4"/>
    <sheet name="Summary_Costs" sheetId="5" r:id="rId5"/>
    <sheet name="BreakEven_Calc" sheetId="6" r:id="rId6"/>
    <sheet name="Sources" sheetId="7" r:id="rId7"/>
  </sheets>
  <calcPr calcId="124519" fullCalcOnLoad="1"/>
</workbook>
</file>

<file path=xl/sharedStrings.xml><?xml version="1.0" encoding="utf-8"?>
<sst xmlns="http://schemas.openxmlformats.org/spreadsheetml/2006/main" count="248" uniqueCount="132">
  <si>
    <t>Parameter</t>
  </si>
  <si>
    <t>Value</t>
  </si>
  <si>
    <t>Notes</t>
  </si>
  <si>
    <t>MO inflation</t>
  </si>
  <si>
    <t>Base MO per ADM (FY25)</t>
  </si>
  <si>
    <t>Fixed share of MO</t>
  </si>
  <si>
    <t>Ops savings (keep-open)</t>
  </si>
  <si>
    <t>Extra savings (Co-location)</t>
  </si>
  <si>
    <t>Echo base ADM</t>
  </si>
  <si>
    <t>Pima base ADM</t>
  </si>
  <si>
    <t>Total base ADM</t>
  </si>
  <si>
    <t>Repurpose TI per closed site (FY26)</t>
  </si>
  <si>
    <t>Receiving overhead taper (h)</t>
  </si>
  <si>
    <t>FY2026</t>
  </si>
  <si>
    <t>FY2027</t>
  </si>
  <si>
    <t>FY2028</t>
  </si>
  <si>
    <t>FY2029</t>
  </si>
  <si>
    <t>FY2030</t>
  </si>
  <si>
    <t>h ($/retained)</t>
  </si>
  <si>
    <t>Fixed-carry path (Lease/Sale f)</t>
  </si>
  <si>
    <t>f_lease</t>
  </si>
  <si>
    <t>Fixed-carry path (Ops f)</t>
  </si>
  <si>
    <t>f_ops</t>
  </si>
  <si>
    <t>Helper</t>
  </si>
  <si>
    <t>FY26</t>
  </si>
  <si>
    <t>FY27</t>
  </si>
  <si>
    <t>FY28</t>
  </si>
  <si>
    <t>FY29</t>
  </si>
  <si>
    <t>FY30</t>
  </si>
  <si>
    <t>Fixed total ($)</t>
  </si>
  <si>
    <t>Var unit ($/student)</t>
  </si>
  <si>
    <t>Echo fixed ($)</t>
  </si>
  <si>
    <t>Pima fixed ($)</t>
  </si>
  <si>
    <t>ScenarioKey</t>
  </si>
  <si>
    <t>Label</t>
  </si>
  <si>
    <t>Overlay</t>
  </si>
  <si>
    <t>CloseEcho</t>
  </si>
  <si>
    <t>ClosePima</t>
  </si>
  <si>
    <t>EchoShareDist</t>
  </si>
  <si>
    <t>ExtraSave</t>
  </si>
  <si>
    <t>Ramp</t>
  </si>
  <si>
    <t>Umbrella</t>
  </si>
  <si>
    <t>A_Repurpose_Both_lease</t>
  </si>
  <si>
    <t>A. Repurpose Both (Lease/Sale)</t>
  </si>
  <si>
    <t>lease</t>
  </si>
  <si>
    <t>A_Repurpose_Both_ops</t>
  </si>
  <si>
    <t>A. Repurpose Both (Ops)</t>
  </si>
  <si>
    <t>ops</t>
  </si>
  <si>
    <t>B_Repurpose_Echo_Grow_Pima_lease</t>
  </si>
  <si>
    <t>B. Repurpose Echo; Grow Pima (Lease)</t>
  </si>
  <si>
    <t>B_Repurpose_Echo_Grow_Pima_ops</t>
  </si>
  <si>
    <t>B. Repurpose Echo; Grow Pima (Ops)</t>
  </si>
  <si>
    <t>C_Repurpose_Pima_Grow_Echo_lease</t>
  </si>
  <si>
    <t>C. Repurpose Pima; Grow Echo (Lease)</t>
  </si>
  <si>
    <t>C_Repurpose_Pima_Grow_Echo_ops</t>
  </si>
  <si>
    <t>C. Repurpose Pima; Grow Echo (Ops)</t>
  </si>
  <si>
    <t>D_Grow_Both_0</t>
  </si>
  <si>
    <t>D. Grow Both (Overlay 0)</t>
  </si>
  <si>
    <t>D_Grow_Both_100</t>
  </si>
  <si>
    <t>D. Grow Both (Overlay 100)</t>
  </si>
  <si>
    <t>D_Grow_Both_150</t>
  </si>
  <si>
    <t>D. Grow Both (Overlay 150)</t>
  </si>
  <si>
    <t>E_StatusQuo_Targets_0</t>
  </si>
  <si>
    <t>E. Status-Quo + Targets (0)</t>
  </si>
  <si>
    <t>E_StatusQuo_Targets_100</t>
  </si>
  <si>
    <t>E. Status-Quo + Targets (100)</t>
  </si>
  <si>
    <t>E_StatusQuo_Targets_150</t>
  </si>
  <si>
    <t>E. Status-Quo + Targets (150)</t>
  </si>
  <si>
    <t>F_CoLocation_Echo_0</t>
  </si>
  <si>
    <t>F. Co-Location @ Echo (0)</t>
  </si>
  <si>
    <t>F_CoLocation_Echo_100</t>
  </si>
  <si>
    <t>F. Co-Location @ Echo (100)</t>
  </si>
  <si>
    <t>F_CoLocation_Echo_150</t>
  </si>
  <si>
    <t>F. Co-Location @ Echo (150)</t>
  </si>
  <si>
    <t>G_DHub_EchoRamp</t>
  </si>
  <si>
    <t>G. D-Hub @ Echo (Ramp 70/30)</t>
  </si>
  <si>
    <t>Year</t>
  </si>
  <si>
    <t>Echo_ADM</t>
  </si>
  <si>
    <t>Pima_ADM</t>
  </si>
  <si>
    <t>Total_ADM</t>
  </si>
  <si>
    <t>EchoFixed$</t>
  </si>
  <si>
    <t>PimaFixed$</t>
  </si>
  <si>
    <t>VarUnit$</t>
  </si>
  <si>
    <t>TI_add$</t>
  </si>
  <si>
    <t>OpsFactor</t>
  </si>
  <si>
    <t>Total_MO$</t>
  </si>
  <si>
    <t>MO_per_ADM$</t>
  </si>
  <si>
    <t>KeyYr</t>
  </si>
  <si>
    <t>Key</t>
  </si>
  <si>
    <t>Comparable_$FY2028</t>
  </si>
  <si>
    <t>Comparable_$FY2030</t>
  </si>
  <si>
    <t>Comparable_3yrAvg_$</t>
  </si>
  <si>
    <t>Helper: Displaced by ScenarioKey</t>
  </si>
  <si>
    <t>Displaced_T</t>
  </si>
  <si>
    <t>Retention r (central)</t>
  </si>
  <si>
    <t>h</t>
  </si>
  <si>
    <t>var</t>
  </si>
  <si>
    <t>Fixed_total ($)</t>
  </si>
  <si>
    <t>Var_unit ($/student)</t>
  </si>
  <si>
    <t>Select target ScenarioKey (from Scenarios)</t>
  </si>
  <si>
    <t>Select overlay (0/100/150)</t>
  </si>
  <si>
    <t>Select year (2028 or 2030)</t>
  </si>
  <si>
    <t>2030</t>
  </si>
  <si>
    <t>Receiving overhead h ($)</t>
  </si>
  <si>
    <t>Fixed-carry f (fraction)</t>
  </si>
  <si>
    <t>C_target (Comparable $/student)</t>
  </si>
  <si>
    <t>Break‑even retention r*</t>
  </si>
  <si>
    <t>How to use</t>
  </si>
  <si>
    <t>1) Select target/overlay/year; 2) Set h and f; 3) Read r*.  If r*≤0, A is already cheaper at those assumptions; if 0&lt;r*&lt;1, A can beat comparator if actual retention ≥ r*; if r*≥1, A cannot break even under those assumptions.</t>
  </si>
  <si>
    <t>Grid: r* vs f (rows) by h (cols)</t>
  </si>
  <si>
    <t>f \ h</t>
  </si>
  <si>
    <t>Topic</t>
  </si>
  <si>
    <t>Source (paste link)</t>
  </si>
  <si>
    <t>Use</t>
  </si>
  <si>
    <t>SUSD ACFR (fund structure)</t>
  </si>
  <si>
    <t>ACFR PDF</t>
  </si>
  <si>
    <t>Confirm M&amp;O vs Debt Service; plant carry persists without lease/sale.</t>
  </si>
  <si>
    <t>AZ Auditor General—transport</t>
  </si>
  <si>
    <t>Auditor General K‑12 transportation reports</t>
  </si>
  <si>
    <t>Set the h bands ($500–$1,500) with midline ~$1,000.</t>
  </si>
  <si>
    <t>Chicago 2013 closures—retention/outcomes</t>
  </si>
  <si>
    <t>UChicago Consortium (2015)</t>
  </si>
  <si>
    <t>Retention/context for r bands; caution on overshoot.</t>
  </si>
  <si>
    <t>Denver closures—charter capture &amp; pause</t>
  </si>
  <si>
    <t>Chalkbeat/Denverite (2024–2025)</t>
  </si>
  <si>
    <t>Choice‑market retention risk; case for iterate‑and‑evaluate.</t>
  </si>
  <si>
    <t>Kyrene revision (9→7)</t>
  </si>
  <si>
    <t>Kyrene ESD</t>
  </si>
  <si>
    <t>Local iteration example.</t>
  </si>
  <si>
    <t>SUSD Strategic Plan / WIG (enrollment)</t>
  </si>
  <si>
    <t>SUSD Strategic Plan</t>
  </si>
  <si>
    <t>Shows growth is an explicit district goal.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</si>
</sst>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</row>
    <row r="2" spans="1:6">
      <c r="A2" t="s">
        <v>3</v>
      </c>
      <c r="B2">
        <v>0.025</v>
      </c>
    </row>
    <row r="3" spans="1:6">
      <c r="A3" t="s">
        <v>4</v>
      </c>
      <c r="B3">
        <v>9936</v>
      </c>
    </row>
    <row r="4" spans="1:6">
      <c r="A4" t="s">
        <v>5</v>
      </c>
      <c r="B4">
        <v>0.3</v>
      </c>
    </row>
    <row r="5" spans="1:6">
      <c r="A5" t="s">
        <v>6</v>
      </c>
      <c r="B5">
        <v>0.007</v>
      </c>
    </row>
    <row r="6" spans="1:6">
      <c r="A6" t="s">
        <v>7</v>
      </c>
      <c r="B6">
        <v>0.015</v>
      </c>
    </row>
    <row r="7" spans="1:6">
      <c r="A7" t="s">
        <v>8</v>
      </c>
      <c r="B7">
        <v>257</v>
      </c>
    </row>
    <row r="8" spans="1:6">
      <c r="A8" t="s">
        <v>9</v>
      </c>
      <c r="B8">
        <v>296</v>
      </c>
    </row>
    <row r="9" spans="1:6">
      <c r="A9" t="s">
        <v>10</v>
      </c>
      <c r="B9">
        <v>553</v>
      </c>
      <c r="C9">
        <f>B6+B7</f>
        <v>0</v>
      </c>
    </row>
    <row r="10" spans="1:6">
      <c r="A10" t="s">
        <v>11</v>
      </c>
      <c r="B10">
        <v>1200000</v>
      </c>
    </row>
    <row r="13" spans="1:6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</row>
    <row r="14" spans="1:6">
      <c r="A14" t="s">
        <v>18</v>
      </c>
      <c r="B14">
        <v>1000</v>
      </c>
      <c r="C14">
        <v>800</v>
      </c>
      <c r="D14">
        <v>600</v>
      </c>
      <c r="E14">
        <v>400</v>
      </c>
      <c r="F14">
        <v>300</v>
      </c>
    </row>
    <row r="16" spans="1:6">
      <c r="A16" s="1" t="s">
        <v>19</v>
      </c>
      <c r="B16" s="1" t="s">
        <v>13</v>
      </c>
      <c r="C16" s="1" t="s">
        <v>14</v>
      </c>
      <c r="D16" s="1" t="s">
        <v>15</v>
      </c>
      <c r="E16" s="1" t="s">
        <v>16</v>
      </c>
      <c r="F16" s="1" t="s">
        <v>17</v>
      </c>
    </row>
    <row r="17" spans="1:6">
      <c r="A17" t="s">
        <v>20</v>
      </c>
      <c r="B17">
        <v>0.4</v>
      </c>
      <c r="C17">
        <v>0.3</v>
      </c>
      <c r="D17">
        <v>0.2</v>
      </c>
      <c r="E17">
        <v>0.1</v>
      </c>
      <c r="F17">
        <v>0</v>
      </c>
    </row>
    <row r="19" spans="1:6">
      <c r="A19" s="1" t="s">
        <v>21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</row>
    <row r="20" spans="1:6">
      <c r="A20" t="s">
        <v>22</v>
      </c>
      <c r="B20">
        <v>0.4</v>
      </c>
      <c r="C20">
        <v>0.35</v>
      </c>
      <c r="D20">
        <v>0.3</v>
      </c>
      <c r="E20">
        <v>0.25</v>
      </c>
      <c r="F20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t="s">
        <v>29</v>
      </c>
      <c r="B2" s="2">
        <v>1689591.96</v>
      </c>
      <c r="C2" s="2">
        <v>1731831.759</v>
      </c>
      <c r="D2" s="2">
        <v>1775127.552974999</v>
      </c>
      <c r="E2" s="2">
        <v>1819505.741799374</v>
      </c>
      <c r="F2" s="2">
        <v>1864993.385344358</v>
      </c>
    </row>
    <row r="3" spans="1:6">
      <c r="A3" t="s">
        <v>30</v>
      </c>
      <c r="B3" s="2">
        <v>7129.079999999998</v>
      </c>
      <c r="C3" s="2">
        <v>7307.306999999998</v>
      </c>
      <c r="D3" s="2">
        <v>7489.989674999996</v>
      </c>
      <c r="E3" s="2">
        <v>7677.239416874995</v>
      </c>
      <c r="F3" s="2">
        <v>7869.17040229687</v>
      </c>
    </row>
    <row r="4" spans="1:6">
      <c r="A4" t="s">
        <v>31</v>
      </c>
      <c r="B4" s="2">
        <v>785217.2399999999</v>
      </c>
      <c r="C4" s="2">
        <v>804847.671</v>
      </c>
      <c r="D4" s="2">
        <v>824968.8627749998</v>
      </c>
      <c r="E4" s="2">
        <v>845593.0843443746</v>
      </c>
      <c r="F4" s="2">
        <v>866732.911452984</v>
      </c>
    </row>
    <row r="5" spans="1:6">
      <c r="A5" t="s">
        <v>32</v>
      </c>
      <c r="B5" s="2">
        <v>904374.7199999999</v>
      </c>
      <c r="C5" s="2">
        <v>926984.088</v>
      </c>
      <c r="D5" s="2">
        <v>950158.6901999997</v>
      </c>
      <c r="E5" s="2">
        <v>973912.6574549996</v>
      </c>
      <c r="F5" s="2">
        <v>998260.4738913745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 t="s">
        <v>43</v>
      </c>
      <c r="C2">
        <v>0</v>
      </c>
      <c r="D2">
        <v>1</v>
      </c>
      <c r="E2">
        <v>1</v>
      </c>
      <c r="F2">
        <v>0.5</v>
      </c>
      <c r="G2">
        <v>0</v>
      </c>
      <c r="H2">
        <v>0</v>
      </c>
      <c r="I2" t="s">
        <v>44</v>
      </c>
    </row>
    <row r="3" spans="1:9">
      <c r="A3" t="s">
        <v>45</v>
      </c>
      <c r="B3" t="s">
        <v>46</v>
      </c>
      <c r="C3">
        <v>0</v>
      </c>
      <c r="D3">
        <v>1</v>
      </c>
      <c r="E3">
        <v>1</v>
      </c>
      <c r="F3">
        <v>0.5</v>
      </c>
      <c r="G3">
        <v>0</v>
      </c>
      <c r="H3">
        <v>0</v>
      </c>
      <c r="I3" t="s">
        <v>47</v>
      </c>
    </row>
    <row r="4" spans="1:9">
      <c r="A4" t="s">
        <v>48</v>
      </c>
      <c r="B4" t="s">
        <v>49</v>
      </c>
      <c r="C4">
        <v>0</v>
      </c>
      <c r="D4">
        <v>1</v>
      </c>
      <c r="E4">
        <v>0</v>
      </c>
      <c r="F4">
        <v>0.5</v>
      </c>
      <c r="G4">
        <v>0</v>
      </c>
      <c r="H4">
        <v>0</v>
      </c>
      <c r="I4" t="s">
        <v>44</v>
      </c>
    </row>
    <row r="5" spans="1:9">
      <c r="A5" t="s">
        <v>50</v>
      </c>
      <c r="B5" t="s">
        <v>51</v>
      </c>
      <c r="C5">
        <v>0</v>
      </c>
      <c r="D5">
        <v>1</v>
      </c>
      <c r="E5">
        <v>0</v>
      </c>
      <c r="F5">
        <v>0.5</v>
      </c>
      <c r="G5">
        <v>0</v>
      </c>
      <c r="H5">
        <v>0</v>
      </c>
      <c r="I5" t="s">
        <v>47</v>
      </c>
    </row>
    <row r="6" spans="1:9">
      <c r="A6" t="s">
        <v>52</v>
      </c>
      <c r="B6" t="s">
        <v>53</v>
      </c>
      <c r="C6">
        <v>0</v>
      </c>
      <c r="D6">
        <v>0</v>
      </c>
      <c r="E6">
        <v>1</v>
      </c>
      <c r="F6">
        <v>0.5</v>
      </c>
      <c r="G6">
        <v>0</v>
      </c>
      <c r="H6">
        <v>0</v>
      </c>
      <c r="I6" t="s">
        <v>44</v>
      </c>
    </row>
    <row r="7" spans="1:9">
      <c r="A7" t="s">
        <v>54</v>
      </c>
      <c r="B7" t="s">
        <v>55</v>
      </c>
      <c r="C7">
        <v>0</v>
      </c>
      <c r="D7">
        <v>0</v>
      </c>
      <c r="E7">
        <v>1</v>
      </c>
      <c r="F7">
        <v>0.5</v>
      </c>
      <c r="G7">
        <v>0</v>
      </c>
      <c r="H7">
        <v>0</v>
      </c>
      <c r="I7" t="s">
        <v>47</v>
      </c>
    </row>
    <row r="8" spans="1:9">
      <c r="A8" t="s">
        <v>56</v>
      </c>
      <c r="B8" t="s">
        <v>57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</row>
    <row r="9" spans="1:9">
      <c r="A9" t="s">
        <v>58</v>
      </c>
      <c r="B9" t="s">
        <v>59</v>
      </c>
      <c r="C9">
        <v>100</v>
      </c>
      <c r="D9">
        <v>0</v>
      </c>
      <c r="E9">
        <v>0</v>
      </c>
      <c r="F9">
        <v>0.5</v>
      </c>
      <c r="G9">
        <v>0</v>
      </c>
      <c r="H9">
        <v>0</v>
      </c>
    </row>
    <row r="10" spans="1:9">
      <c r="A10" t="s">
        <v>60</v>
      </c>
      <c r="B10" t="s">
        <v>61</v>
      </c>
      <c r="C10">
        <v>150</v>
      </c>
      <c r="D10">
        <v>0</v>
      </c>
      <c r="E10">
        <v>0</v>
      </c>
      <c r="F10">
        <v>0.5</v>
      </c>
      <c r="G10">
        <v>0</v>
      </c>
      <c r="H10">
        <v>0</v>
      </c>
    </row>
    <row r="11" spans="1:9">
      <c r="A11" t="s">
        <v>62</v>
      </c>
      <c r="B11" t="s">
        <v>63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</row>
    <row r="12" spans="1:9">
      <c r="A12" t="s">
        <v>64</v>
      </c>
      <c r="B12" t="s">
        <v>65</v>
      </c>
      <c r="C12">
        <v>100</v>
      </c>
      <c r="D12">
        <v>0</v>
      </c>
      <c r="E12">
        <v>0</v>
      </c>
      <c r="F12">
        <v>0.5</v>
      </c>
      <c r="G12">
        <v>0</v>
      </c>
      <c r="H12">
        <v>0</v>
      </c>
    </row>
    <row r="13" spans="1:9">
      <c r="A13" t="s">
        <v>66</v>
      </c>
      <c r="B13" t="s">
        <v>67</v>
      </c>
      <c r="C13">
        <v>150</v>
      </c>
      <c r="D13">
        <v>0</v>
      </c>
      <c r="E13">
        <v>0</v>
      </c>
      <c r="F13">
        <v>0.5</v>
      </c>
      <c r="G13">
        <v>0</v>
      </c>
      <c r="H13">
        <v>0</v>
      </c>
    </row>
    <row r="14" spans="1:9">
      <c r="A14" t="s">
        <v>68</v>
      </c>
      <c r="B14" t="s">
        <v>69</v>
      </c>
      <c r="C14">
        <v>0</v>
      </c>
      <c r="D14">
        <v>0</v>
      </c>
      <c r="E14">
        <v>0</v>
      </c>
      <c r="F14">
        <v>0.7</v>
      </c>
      <c r="G14">
        <v>0.015</v>
      </c>
      <c r="H14">
        <v>0</v>
      </c>
    </row>
    <row r="15" spans="1:9">
      <c r="A15" t="s">
        <v>70</v>
      </c>
      <c r="B15" t="s">
        <v>71</v>
      </c>
      <c r="C15">
        <v>100</v>
      </c>
      <c r="D15">
        <v>0</v>
      </c>
      <c r="E15">
        <v>0</v>
      </c>
      <c r="F15">
        <v>0.7</v>
      </c>
      <c r="G15">
        <v>0.015</v>
      </c>
      <c r="H15">
        <v>0</v>
      </c>
    </row>
    <row r="16" spans="1:9">
      <c r="A16" t="s">
        <v>72</v>
      </c>
      <c r="B16" t="s">
        <v>73</v>
      </c>
      <c r="C16">
        <v>150</v>
      </c>
      <c r="D16">
        <v>0</v>
      </c>
      <c r="E16">
        <v>0</v>
      </c>
      <c r="F16">
        <v>0.7</v>
      </c>
      <c r="G16">
        <v>0.015</v>
      </c>
      <c r="H16">
        <v>0</v>
      </c>
    </row>
    <row r="17" spans="1:8">
      <c r="A17" t="s">
        <v>74</v>
      </c>
      <c r="B17" t="s">
        <v>75</v>
      </c>
      <c r="C17">
        <v>150</v>
      </c>
      <c r="D17">
        <v>0</v>
      </c>
      <c r="E17">
        <v>0</v>
      </c>
      <c r="F17">
        <v>0.7</v>
      </c>
      <c r="G17">
        <v>0</v>
      </c>
      <c r="H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81"/>
  <sheetViews>
    <sheetView workbookViewId="0"/>
  </sheetViews>
  <sheetFormatPr defaultRowHeight="15"/>
  <sheetData>
    <row r="1" spans="1:15">
      <c r="A1" s="1" t="s">
        <v>33</v>
      </c>
      <c r="B1" s="1" t="s">
        <v>76</v>
      </c>
      <c r="C1" s="1" t="s">
        <v>35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39</v>
      </c>
      <c r="M1" s="1" t="s">
        <v>85</v>
      </c>
      <c r="N1" s="1" t="s">
        <v>86</v>
      </c>
      <c r="O1" s="1" t="s">
        <v>87</v>
      </c>
    </row>
    <row r="2" spans="1:15">
      <c r="A2">
        <f>Scenarios!A2</f>
        <v>0</v>
      </c>
      <c r="B2" t="s">
        <v>13</v>
      </c>
      <c r="C2">
        <f>Scenarios!C2</f>
        <v>0</v>
      </c>
      <c r="D2">
        <f>IF(=Scenarios!D2=1,0, Parameters!B6 + =ROUNDUP(=IF(=Scenarios!H2=1, IF("FY2026"="FY2026",50, IF("FY2026"="FY2027",100,150)), =Scenarios!C2)*=Scenarios!F2,0))</f>
        <v>0</v>
      </c>
      <c r="E2">
        <f>IF(=Scenarios!E2=1,0, Parameters!B7 + ==IF(=Scenarios!H2=1, IF("FY2026"="FY2026",50, IF("FY2026"="FY2027",100,150)), =Scenarios!C2)-(=ROUNDUP(=IF(=Scenarios!H2=1, IF("FY2026"="FY2026",50, IF("FY2026"="FY2027",100,150)), =Scenarios!C2)*=Scenarios!F2,0)))</f>
        <v>0</v>
      </c>
      <c r="F2">
        <f>D2+E2</f>
        <v>0</v>
      </c>
      <c r="G2" s="2">
        <f>IF(=Scenarios!D2=1, IF(=Scenarios!I2="lease", Calc!B4*Parameters!B16, Calc!B4*Parameters!B19), Calc!B4)</f>
        <v>0</v>
      </c>
      <c r="H2" s="2">
        <f>IF(=Scenarios!E2=1, IF(=Scenarios!I2="lease", Calc!B5*Parameters!B16, Calc!B5*Parameters!B19), Calc!B5)</f>
        <v>0</v>
      </c>
      <c r="I2" s="2">
        <f>Calc!B3</f>
        <v>0</v>
      </c>
      <c r="J2" s="2">
        <f>IF("FY2026"="FY2026", (IF(=Scenarios!D2=1, Parameters!B9,0) + IF(=Scenarios!E2=1, Parameters!B9,0)), 0)</f>
        <v>0</v>
      </c>
      <c r="K2" s="3">
        <f>(1-Parameters!B4)</f>
        <v>0</v>
      </c>
      <c r="L2" s="3">
        <f>Scenarios!G2</f>
        <v>0</v>
      </c>
      <c r="M2" s="2">
        <f>(IF(Scenarios!D21, IF(Scenarios!I2"lease", Calc!B4*Parameters!B16, Calc!B4*Parameters!B19), Calc!B4) + IF(Scenarios!E21, IF(Scenarios!I2"lease", Calc!B5*Parameters!B16, Calc!B5*Parameters!B19), Calc!B5) + Calc!B3*=D2+E2)*=(1-Parameters!B4)*(1-J2) + =IF("FY2026"="FY2026", (IF(=Scenarios!D2=1, Parameters!B9,0) + IF(=Scenarios!E2=1, Parameters!B9,0)), 0)</f>
        <v>0</v>
      </c>
      <c r="N2" s="2">
        <f>IF(F2&gt;0, L2/F2, NA())</f>
        <v>0</v>
      </c>
      <c r="O2">
        <f>=Scenarios!A2&amp;"|FY2026"</f>
        <v>0</v>
      </c>
    </row>
    <row r="3" spans="1:15">
      <c r="A3">
        <f>Scenarios!A2</f>
        <v>0</v>
      </c>
      <c r="B3" t="s">
        <v>14</v>
      </c>
      <c r="C3">
        <f>Scenarios!C2</f>
        <v>0</v>
      </c>
      <c r="D3">
        <f>IF(=Scenarios!D2=1,0, Parameters!B6 + =ROUNDUP(=IF(=Scenarios!H2=1, IF("FY2027"="FY2026",50, IF("FY2027"="FY2027",100,150)), =Scenarios!C2)*=Scenarios!F2,0))</f>
        <v>0</v>
      </c>
      <c r="E3">
        <f>IF(=Scenarios!E2=1,0, Parameters!B7 + ==IF(=Scenarios!H2=1, IF("FY2027"="FY2026",50, IF("FY2027"="FY2027",100,150)), =Scenarios!C2)-(=ROUNDUP(=IF(=Scenarios!H2=1, IF("FY2027"="FY2026",50, IF("FY2027"="FY2027",100,150)), =Scenarios!C2)*=Scenarios!F2,0)))</f>
        <v>0</v>
      </c>
      <c r="F3">
        <f>D3+E3</f>
        <v>0</v>
      </c>
      <c r="G3" s="2">
        <f>IF(=Scenarios!D2=1, IF(=Scenarios!I2="lease", Calc!C4*Parameters!C16, Calc!C4*Parameters!C19), Calc!C4)</f>
        <v>0</v>
      </c>
      <c r="H3" s="2">
        <f>IF(=Scenarios!E2=1, IF(=Scenarios!I2="lease", Calc!C5*Parameters!C16, Calc!C5*Parameters!C19), Calc!C5)</f>
        <v>0</v>
      </c>
      <c r="I3" s="2">
        <f>Calc!C3</f>
        <v>0</v>
      </c>
      <c r="J3" s="2">
        <f>IF("FY2027"="FY2026", (IF(=Scenarios!D2=1, Parameters!B9,0) + IF(=Scenarios!E2=1, Parameters!B9,0)), 0)</f>
        <v>0</v>
      </c>
      <c r="K3" s="3">
        <f>(1-Parameters!B4)</f>
        <v>0</v>
      </c>
      <c r="L3" s="3">
        <f>Scenarios!G2</f>
        <v>0</v>
      </c>
      <c r="M3" s="2">
        <f>(IF(Scenarios!D21, IF(Scenarios!I2"lease", Calc!C4*Parameters!C16, Calc!C4*Parameters!C19), Calc!C4) + IF(Scenarios!E21, IF(Scenarios!I2"lease", Calc!C5*Parameters!C16, Calc!C5*Parameters!C19), Calc!C5) + Calc!C3*=D3+E3)*=(1-Parameters!B4)*(1-J3) + =IF("FY2027"="FY2026", (IF(=Scenarios!D2=1, Parameters!B9,0) + IF(=Scenarios!E2=1, Parameters!B9,0)), 0)</f>
        <v>0</v>
      </c>
      <c r="N3" s="2">
        <f>IF(F3&gt;0, L3/F3, NA())</f>
        <v>0</v>
      </c>
      <c r="O3">
        <f>=Scenarios!A2&amp;"|FY2027"</f>
        <v>0</v>
      </c>
    </row>
    <row r="4" spans="1:15">
      <c r="A4">
        <f>Scenarios!A2</f>
        <v>0</v>
      </c>
      <c r="B4" t="s">
        <v>15</v>
      </c>
      <c r="C4">
        <f>Scenarios!C2</f>
        <v>0</v>
      </c>
      <c r="D4">
        <f>IF(=Scenarios!D2=1,0, Parameters!B6 + =ROUNDUP(=IF(=Scenarios!H2=1, IF("FY2028"="FY2026",50, IF("FY2028"="FY2027",100,150)), =Scenarios!C2)*=Scenarios!F2,0))</f>
        <v>0</v>
      </c>
      <c r="E4">
        <f>IF(=Scenarios!E2=1,0, Parameters!B7 + ==IF(=Scenarios!H2=1, IF("FY2028"="FY2026",50, IF("FY2028"="FY2027",100,150)), =Scenarios!C2)-(=ROUNDUP(=IF(=Scenarios!H2=1, IF("FY2028"="FY2026",50, IF("FY2028"="FY2027",100,150)), =Scenarios!C2)*=Scenarios!F2,0)))</f>
        <v>0</v>
      </c>
      <c r="F4">
        <f>D4+E4</f>
        <v>0</v>
      </c>
      <c r="G4" s="2">
        <f>IF(=Scenarios!D2=1, IF(=Scenarios!I2="lease", Calc!D4*Parameters!D16, Calc!D4*Parameters!D19), Calc!D4)</f>
        <v>0</v>
      </c>
      <c r="H4" s="2">
        <f>IF(=Scenarios!E2=1, IF(=Scenarios!I2="lease", Calc!D5*Parameters!D16, Calc!D5*Parameters!D19), Calc!D5)</f>
        <v>0</v>
      </c>
      <c r="I4" s="2">
        <f>Calc!D3</f>
        <v>0</v>
      </c>
      <c r="J4" s="2">
        <f>IF("FY2028"="FY2026", (IF(=Scenarios!D2=1, Parameters!B9,0) + IF(=Scenarios!E2=1, Parameters!B9,0)), 0)</f>
        <v>0</v>
      </c>
      <c r="K4" s="3">
        <f>(1-Parameters!B4)</f>
        <v>0</v>
      </c>
      <c r="L4" s="3">
        <f>Scenarios!G2</f>
        <v>0</v>
      </c>
      <c r="M4" s="2">
        <f>(IF(Scenarios!D21, IF(Scenarios!I2"lease", Calc!D4*Parameters!D16, Calc!D4*Parameters!D19), Calc!D4) + IF(Scenarios!E21, IF(Scenarios!I2"lease", Calc!D5*Parameters!D16, Calc!D5*Parameters!D19), Calc!D5) + Calc!D3*=D4+E4)*=(1-Parameters!B4)*(1-J4) + =IF("FY2028"="FY2026", (IF(=Scenarios!D2=1, Parameters!B9,0) + IF(=Scenarios!E2=1, Parameters!B9,0)), 0)</f>
        <v>0</v>
      </c>
      <c r="N4" s="2">
        <f>IF(F4&gt;0, L4/F4, NA())</f>
        <v>0</v>
      </c>
      <c r="O4">
        <f>=Scenarios!A2&amp;"|FY2028"</f>
        <v>0</v>
      </c>
    </row>
    <row r="5" spans="1:15">
      <c r="A5">
        <f>Scenarios!A2</f>
        <v>0</v>
      </c>
      <c r="B5" t="s">
        <v>16</v>
      </c>
      <c r="C5">
        <f>Scenarios!C2</f>
        <v>0</v>
      </c>
      <c r="D5">
        <f>IF(=Scenarios!D2=1,0, Parameters!B6 + =ROUNDUP(=IF(=Scenarios!H2=1, IF("FY2029"="FY2026",50, IF("FY2029"="FY2027",100,150)), =Scenarios!C2)*=Scenarios!F2,0))</f>
        <v>0</v>
      </c>
      <c r="E5">
        <f>IF(=Scenarios!E2=1,0, Parameters!B7 + ==IF(=Scenarios!H2=1, IF("FY2029"="FY2026",50, IF("FY2029"="FY2027",100,150)), =Scenarios!C2)-(=ROUNDUP(=IF(=Scenarios!H2=1, IF("FY2029"="FY2026",50, IF("FY2029"="FY2027",100,150)), =Scenarios!C2)*=Scenarios!F2,0)))</f>
        <v>0</v>
      </c>
      <c r="F5">
        <f>D5+E5</f>
        <v>0</v>
      </c>
      <c r="G5" s="2">
        <f>IF(=Scenarios!D2=1, IF(=Scenarios!I2="lease", Calc!E4*Parameters!E16, Calc!E4*Parameters!E19), Calc!E4)</f>
        <v>0</v>
      </c>
      <c r="H5" s="2">
        <f>IF(=Scenarios!E2=1, IF(=Scenarios!I2="lease", Calc!E5*Parameters!E16, Calc!E5*Parameters!E19), Calc!E5)</f>
        <v>0</v>
      </c>
      <c r="I5" s="2">
        <f>Calc!E3</f>
        <v>0</v>
      </c>
      <c r="J5" s="2">
        <f>IF("FY2029"="FY2026", (IF(=Scenarios!D2=1, Parameters!B9,0) + IF(=Scenarios!E2=1, Parameters!B9,0)), 0)</f>
        <v>0</v>
      </c>
      <c r="K5" s="3">
        <f>(1-Parameters!B4)</f>
        <v>0</v>
      </c>
      <c r="L5" s="3">
        <f>Scenarios!G2</f>
        <v>0</v>
      </c>
      <c r="M5" s="2">
        <f>(IF(Scenarios!D21, IF(Scenarios!I2"lease", Calc!E4*Parameters!E16, Calc!E4*Parameters!E19), Calc!E4) + IF(Scenarios!E21, IF(Scenarios!I2"lease", Calc!E5*Parameters!E16, Calc!E5*Parameters!E19), Calc!E5) + Calc!E3*=D5+E5)*=(1-Parameters!B4)*(1-J5) + =IF("FY2029"="FY2026", (IF(=Scenarios!D2=1, Parameters!B9,0) + IF(=Scenarios!E2=1, Parameters!B9,0)), 0)</f>
        <v>0</v>
      </c>
      <c r="N5" s="2">
        <f>IF(F5&gt;0, L5/F5, NA())</f>
        <v>0</v>
      </c>
      <c r="O5">
        <f>=Scenarios!A2&amp;"|FY2029"</f>
        <v>0</v>
      </c>
    </row>
    <row r="6" spans="1:15">
      <c r="A6">
        <f>Scenarios!A2</f>
        <v>0</v>
      </c>
      <c r="B6" t="s">
        <v>17</v>
      </c>
      <c r="C6">
        <f>Scenarios!C2</f>
        <v>0</v>
      </c>
      <c r="D6">
        <f>IF(=Scenarios!D2=1,0, Parameters!B6 + =ROUNDUP(=IF(=Scenarios!H2=1, IF("FY2030"="FY2026",50, IF("FY2030"="FY2027",100,150)), =Scenarios!C2)*=Scenarios!F2,0))</f>
        <v>0</v>
      </c>
      <c r="E6">
        <f>IF(=Scenarios!E2=1,0, Parameters!B7 + ==IF(=Scenarios!H2=1, IF("FY2030"="FY2026",50, IF("FY2030"="FY2027",100,150)), =Scenarios!C2)-(=ROUNDUP(=IF(=Scenarios!H2=1, IF("FY2030"="FY2026",50, IF("FY2030"="FY2027",100,150)), =Scenarios!C2)*=Scenarios!F2,0)))</f>
        <v>0</v>
      </c>
      <c r="F6">
        <f>D6+E6</f>
        <v>0</v>
      </c>
      <c r="G6" s="2">
        <f>IF(=Scenarios!D2=1, IF(=Scenarios!I2="lease", Calc!F4*Parameters!F16, Calc!F4*Parameters!F19), Calc!F4)</f>
        <v>0</v>
      </c>
      <c r="H6" s="2">
        <f>IF(=Scenarios!E2=1, IF(=Scenarios!I2="lease", Calc!F5*Parameters!F16, Calc!F5*Parameters!F19), Calc!F5)</f>
        <v>0</v>
      </c>
      <c r="I6" s="2">
        <f>Calc!F3</f>
        <v>0</v>
      </c>
      <c r="J6" s="2">
        <f>IF("FY2030"="FY2026", (IF(=Scenarios!D2=1, Parameters!B9,0) + IF(=Scenarios!E2=1, Parameters!B9,0)), 0)</f>
        <v>0</v>
      </c>
      <c r="K6" s="3">
        <f>(1-Parameters!B4)</f>
        <v>0</v>
      </c>
      <c r="L6" s="3">
        <f>Scenarios!G2</f>
        <v>0</v>
      </c>
      <c r="M6" s="2">
        <f>(IF(Scenarios!D21, IF(Scenarios!I2"lease", Calc!F4*Parameters!F16, Calc!F4*Parameters!F19), Calc!F4) + IF(Scenarios!E21, IF(Scenarios!I2"lease", Calc!F5*Parameters!F16, Calc!F5*Parameters!F19), Calc!F5) + Calc!F3*=D6+E6)*=(1-Parameters!B4)*(1-J6) + =IF("FY2030"="FY2026", (IF(=Scenarios!D2=1, Parameters!B9,0) + IF(=Scenarios!E2=1, Parameters!B9,0)), 0)</f>
        <v>0</v>
      </c>
      <c r="N6" s="2">
        <f>IF(F6&gt;0, L6/F6, NA())</f>
        <v>0</v>
      </c>
      <c r="O6">
        <f>=Scenarios!A2&amp;"|FY2030"</f>
        <v>0</v>
      </c>
    </row>
    <row r="7" spans="1:15">
      <c r="A7">
        <f>Scenarios!A3</f>
        <v>0</v>
      </c>
      <c r="B7" t="s">
        <v>13</v>
      </c>
      <c r="C7">
        <f>Scenarios!C3</f>
        <v>0</v>
      </c>
      <c r="D7">
        <f>IF(=Scenarios!D3=1,0, Parameters!B6 + =ROUNDUP(=IF(=Scenarios!H3=1, IF("FY2026"="FY2026",50, IF("FY2026"="FY2027",100,150)), =Scenarios!C3)*=Scenarios!F3,0))</f>
        <v>0</v>
      </c>
      <c r="E7">
        <f>IF(=Scenarios!E3=1,0, Parameters!B7 + ==IF(=Scenarios!H3=1, IF("FY2026"="FY2026",50, IF("FY2026"="FY2027",100,150)), =Scenarios!C3)-(=ROUNDUP(=IF(=Scenarios!H3=1, IF("FY2026"="FY2026",50, IF("FY2026"="FY2027",100,150)), =Scenarios!C3)*=Scenarios!F3,0)))</f>
        <v>0</v>
      </c>
      <c r="F7">
        <f>D7+E7</f>
        <v>0</v>
      </c>
      <c r="G7" s="2">
        <f>IF(=Scenarios!D3=1, IF(=Scenarios!I3="lease", Calc!B4*Parameters!B16, Calc!B4*Parameters!B19), Calc!B4)</f>
        <v>0</v>
      </c>
      <c r="H7" s="2">
        <f>IF(=Scenarios!E3=1, IF(=Scenarios!I3="lease", Calc!B5*Parameters!B16, Calc!B5*Parameters!B19), Calc!B5)</f>
        <v>0</v>
      </c>
      <c r="I7" s="2">
        <f>Calc!B3</f>
        <v>0</v>
      </c>
      <c r="J7" s="2">
        <f>IF("FY2026"="FY2026", (IF(=Scenarios!D3=1, Parameters!B9,0) + IF(=Scenarios!E3=1, Parameters!B9,0)), 0)</f>
        <v>0</v>
      </c>
      <c r="K7" s="3">
        <f>(1-Parameters!B4)</f>
        <v>0</v>
      </c>
      <c r="L7" s="3">
        <f>Scenarios!G3</f>
        <v>0</v>
      </c>
      <c r="M7" s="2">
        <f>(IF(Scenarios!D31, IF(Scenarios!I3"lease", Calc!B4*Parameters!B16, Calc!B4*Parameters!B19), Calc!B4) + IF(Scenarios!E31, IF(Scenarios!I3"lease", Calc!B5*Parameters!B16, Calc!B5*Parameters!B19), Calc!B5) + Calc!B3*=D7+E7)*=(1-Parameters!B4)*(1-J7) + =IF("FY2026"="FY2026", (IF(=Scenarios!D3=1, Parameters!B9,0) + IF(=Scenarios!E3=1, Parameters!B9,0)), 0)</f>
        <v>0</v>
      </c>
      <c r="N7" s="2">
        <f>IF(F7&gt;0, L7/F7, NA())</f>
        <v>0</v>
      </c>
      <c r="O7">
        <f>=Scenarios!A3&amp;"|FY2026"</f>
        <v>0</v>
      </c>
    </row>
    <row r="8" spans="1:15">
      <c r="A8">
        <f>Scenarios!A3</f>
        <v>0</v>
      </c>
      <c r="B8" t="s">
        <v>14</v>
      </c>
      <c r="C8">
        <f>Scenarios!C3</f>
        <v>0</v>
      </c>
      <c r="D8">
        <f>IF(=Scenarios!D3=1,0, Parameters!B6 + =ROUNDUP(=IF(=Scenarios!H3=1, IF("FY2027"="FY2026",50, IF("FY2027"="FY2027",100,150)), =Scenarios!C3)*=Scenarios!F3,0))</f>
        <v>0</v>
      </c>
      <c r="E8">
        <f>IF(=Scenarios!E3=1,0, Parameters!B7 + ==IF(=Scenarios!H3=1, IF("FY2027"="FY2026",50, IF("FY2027"="FY2027",100,150)), =Scenarios!C3)-(=ROUNDUP(=IF(=Scenarios!H3=1, IF("FY2027"="FY2026",50, IF("FY2027"="FY2027",100,150)), =Scenarios!C3)*=Scenarios!F3,0)))</f>
        <v>0</v>
      </c>
      <c r="F8">
        <f>D8+E8</f>
        <v>0</v>
      </c>
      <c r="G8" s="2">
        <f>IF(=Scenarios!D3=1, IF(=Scenarios!I3="lease", Calc!C4*Parameters!C16, Calc!C4*Parameters!C19), Calc!C4)</f>
        <v>0</v>
      </c>
      <c r="H8" s="2">
        <f>IF(=Scenarios!E3=1, IF(=Scenarios!I3="lease", Calc!C5*Parameters!C16, Calc!C5*Parameters!C19), Calc!C5)</f>
        <v>0</v>
      </c>
      <c r="I8" s="2">
        <f>Calc!C3</f>
        <v>0</v>
      </c>
      <c r="J8" s="2">
        <f>IF("FY2027"="FY2026", (IF(=Scenarios!D3=1, Parameters!B9,0) + IF(=Scenarios!E3=1, Parameters!B9,0)), 0)</f>
        <v>0</v>
      </c>
      <c r="K8" s="3">
        <f>(1-Parameters!B4)</f>
        <v>0</v>
      </c>
      <c r="L8" s="3">
        <f>Scenarios!G3</f>
        <v>0</v>
      </c>
      <c r="M8" s="2">
        <f>(IF(Scenarios!D31, IF(Scenarios!I3"lease", Calc!C4*Parameters!C16, Calc!C4*Parameters!C19), Calc!C4) + IF(Scenarios!E31, IF(Scenarios!I3"lease", Calc!C5*Parameters!C16, Calc!C5*Parameters!C19), Calc!C5) + Calc!C3*=D8+E8)*=(1-Parameters!B4)*(1-J8) + =IF("FY2027"="FY2026", (IF(=Scenarios!D3=1, Parameters!B9,0) + IF(=Scenarios!E3=1, Parameters!B9,0)), 0)</f>
        <v>0</v>
      </c>
      <c r="N8" s="2">
        <f>IF(F8&gt;0, L8/F8, NA())</f>
        <v>0</v>
      </c>
      <c r="O8">
        <f>=Scenarios!A3&amp;"|FY2027"</f>
        <v>0</v>
      </c>
    </row>
    <row r="9" spans="1:15">
      <c r="A9">
        <f>Scenarios!A3</f>
        <v>0</v>
      </c>
      <c r="B9" t="s">
        <v>15</v>
      </c>
      <c r="C9">
        <f>Scenarios!C3</f>
        <v>0</v>
      </c>
      <c r="D9">
        <f>IF(=Scenarios!D3=1,0, Parameters!B6 + =ROUNDUP(=IF(=Scenarios!H3=1, IF("FY2028"="FY2026",50, IF("FY2028"="FY2027",100,150)), =Scenarios!C3)*=Scenarios!F3,0))</f>
        <v>0</v>
      </c>
      <c r="E9">
        <f>IF(=Scenarios!E3=1,0, Parameters!B7 + ==IF(=Scenarios!H3=1, IF("FY2028"="FY2026",50, IF("FY2028"="FY2027",100,150)), =Scenarios!C3)-(=ROUNDUP(=IF(=Scenarios!H3=1, IF("FY2028"="FY2026",50, IF("FY2028"="FY2027",100,150)), =Scenarios!C3)*=Scenarios!F3,0)))</f>
        <v>0</v>
      </c>
      <c r="F9">
        <f>D9+E9</f>
        <v>0</v>
      </c>
      <c r="G9" s="2">
        <f>IF(=Scenarios!D3=1, IF(=Scenarios!I3="lease", Calc!D4*Parameters!D16, Calc!D4*Parameters!D19), Calc!D4)</f>
        <v>0</v>
      </c>
      <c r="H9" s="2">
        <f>IF(=Scenarios!E3=1, IF(=Scenarios!I3="lease", Calc!D5*Parameters!D16, Calc!D5*Parameters!D19), Calc!D5)</f>
        <v>0</v>
      </c>
      <c r="I9" s="2">
        <f>Calc!D3</f>
        <v>0</v>
      </c>
      <c r="J9" s="2">
        <f>IF("FY2028"="FY2026", (IF(=Scenarios!D3=1, Parameters!B9,0) + IF(=Scenarios!E3=1, Parameters!B9,0)), 0)</f>
        <v>0</v>
      </c>
      <c r="K9" s="3">
        <f>(1-Parameters!B4)</f>
        <v>0</v>
      </c>
      <c r="L9" s="3">
        <f>Scenarios!G3</f>
        <v>0</v>
      </c>
      <c r="M9" s="2">
        <f>(IF(Scenarios!D31, IF(Scenarios!I3"lease", Calc!D4*Parameters!D16, Calc!D4*Parameters!D19), Calc!D4) + IF(Scenarios!E31, IF(Scenarios!I3"lease", Calc!D5*Parameters!D16, Calc!D5*Parameters!D19), Calc!D5) + Calc!D3*=D9+E9)*=(1-Parameters!B4)*(1-J9) + =IF("FY2028"="FY2026", (IF(=Scenarios!D3=1, Parameters!B9,0) + IF(=Scenarios!E3=1, Parameters!B9,0)), 0)</f>
        <v>0</v>
      </c>
      <c r="N9" s="2">
        <f>IF(F9&gt;0, L9/F9, NA())</f>
        <v>0</v>
      </c>
      <c r="O9">
        <f>=Scenarios!A3&amp;"|FY2028"</f>
        <v>0</v>
      </c>
    </row>
    <row r="10" spans="1:15">
      <c r="A10">
        <f>Scenarios!A3</f>
        <v>0</v>
      </c>
      <c r="B10" t="s">
        <v>16</v>
      </c>
      <c r="C10">
        <f>Scenarios!C3</f>
        <v>0</v>
      </c>
      <c r="D10">
        <f>IF(=Scenarios!D3=1,0, Parameters!B6 + =ROUNDUP(=IF(=Scenarios!H3=1, IF("FY2029"="FY2026",50, IF("FY2029"="FY2027",100,150)), =Scenarios!C3)*=Scenarios!F3,0))</f>
        <v>0</v>
      </c>
      <c r="E10">
        <f>IF(=Scenarios!E3=1,0, Parameters!B7 + ==IF(=Scenarios!H3=1, IF("FY2029"="FY2026",50, IF("FY2029"="FY2027",100,150)), =Scenarios!C3)-(=ROUNDUP(=IF(=Scenarios!H3=1, IF("FY2029"="FY2026",50, IF("FY2029"="FY2027",100,150)), =Scenarios!C3)*=Scenarios!F3,0)))</f>
        <v>0</v>
      </c>
      <c r="F10">
        <f>D10+E10</f>
        <v>0</v>
      </c>
      <c r="G10" s="2">
        <f>IF(=Scenarios!D3=1, IF(=Scenarios!I3="lease", Calc!E4*Parameters!E16, Calc!E4*Parameters!E19), Calc!E4)</f>
        <v>0</v>
      </c>
      <c r="H10" s="2">
        <f>IF(=Scenarios!E3=1, IF(=Scenarios!I3="lease", Calc!E5*Parameters!E16, Calc!E5*Parameters!E19), Calc!E5)</f>
        <v>0</v>
      </c>
      <c r="I10" s="2">
        <f>Calc!E3</f>
        <v>0</v>
      </c>
      <c r="J10" s="2">
        <f>IF("FY2029"="FY2026", (IF(=Scenarios!D3=1, Parameters!B9,0) + IF(=Scenarios!E3=1, Parameters!B9,0)), 0)</f>
        <v>0</v>
      </c>
      <c r="K10" s="3">
        <f>(1-Parameters!B4)</f>
        <v>0</v>
      </c>
      <c r="L10" s="3">
        <f>Scenarios!G3</f>
        <v>0</v>
      </c>
      <c r="M10" s="2">
        <f>(IF(Scenarios!D31, IF(Scenarios!I3"lease", Calc!E4*Parameters!E16, Calc!E4*Parameters!E19), Calc!E4) + IF(Scenarios!E31, IF(Scenarios!I3"lease", Calc!E5*Parameters!E16, Calc!E5*Parameters!E19), Calc!E5) + Calc!E3*=D10+E10)*=(1-Parameters!B4)*(1-J10) + =IF("FY2029"="FY2026", (IF(=Scenarios!D3=1, Parameters!B9,0) + IF(=Scenarios!E3=1, Parameters!B9,0)), 0)</f>
        <v>0</v>
      </c>
      <c r="N10" s="2">
        <f>IF(F10&gt;0, L10/F10, NA())</f>
        <v>0</v>
      </c>
      <c r="O10">
        <f>=Scenarios!A3&amp;"|FY2029"</f>
        <v>0</v>
      </c>
    </row>
    <row r="11" spans="1:15">
      <c r="A11">
        <f>Scenarios!A3</f>
        <v>0</v>
      </c>
      <c r="B11" t="s">
        <v>17</v>
      </c>
      <c r="C11">
        <f>Scenarios!C3</f>
        <v>0</v>
      </c>
      <c r="D11">
        <f>IF(=Scenarios!D3=1,0, Parameters!B6 + =ROUNDUP(=IF(=Scenarios!H3=1, IF("FY2030"="FY2026",50, IF("FY2030"="FY2027",100,150)), =Scenarios!C3)*=Scenarios!F3,0))</f>
        <v>0</v>
      </c>
      <c r="E11">
        <f>IF(=Scenarios!E3=1,0, Parameters!B7 + ==IF(=Scenarios!H3=1, IF("FY2030"="FY2026",50, IF("FY2030"="FY2027",100,150)), =Scenarios!C3)-(=ROUNDUP(=IF(=Scenarios!H3=1, IF("FY2030"="FY2026",50, IF("FY2030"="FY2027",100,150)), =Scenarios!C3)*=Scenarios!F3,0)))</f>
        <v>0</v>
      </c>
      <c r="F11">
        <f>D11+E11</f>
        <v>0</v>
      </c>
      <c r="G11" s="2">
        <f>IF(=Scenarios!D3=1, IF(=Scenarios!I3="lease", Calc!F4*Parameters!F16, Calc!F4*Parameters!F19), Calc!F4)</f>
        <v>0</v>
      </c>
      <c r="H11" s="2">
        <f>IF(=Scenarios!E3=1, IF(=Scenarios!I3="lease", Calc!F5*Parameters!F16, Calc!F5*Parameters!F19), Calc!F5)</f>
        <v>0</v>
      </c>
      <c r="I11" s="2">
        <f>Calc!F3</f>
        <v>0</v>
      </c>
      <c r="J11" s="2">
        <f>IF("FY2030"="FY2026", (IF(=Scenarios!D3=1, Parameters!B9,0) + IF(=Scenarios!E3=1, Parameters!B9,0)), 0)</f>
        <v>0</v>
      </c>
      <c r="K11" s="3">
        <f>(1-Parameters!B4)</f>
        <v>0</v>
      </c>
      <c r="L11" s="3">
        <f>Scenarios!G3</f>
        <v>0</v>
      </c>
      <c r="M11" s="2">
        <f>(IF(Scenarios!D31, IF(Scenarios!I3"lease", Calc!F4*Parameters!F16, Calc!F4*Parameters!F19), Calc!F4) + IF(Scenarios!E31, IF(Scenarios!I3"lease", Calc!F5*Parameters!F16, Calc!F5*Parameters!F19), Calc!F5) + Calc!F3*=D11+E11)*=(1-Parameters!B4)*(1-J11) + =IF("FY2030"="FY2026", (IF(=Scenarios!D3=1, Parameters!B9,0) + IF(=Scenarios!E3=1, Parameters!B9,0)), 0)</f>
        <v>0</v>
      </c>
      <c r="N11" s="2">
        <f>IF(F11&gt;0, L11/F11, NA())</f>
        <v>0</v>
      </c>
      <c r="O11">
        <f>=Scenarios!A3&amp;"|FY2030"</f>
        <v>0</v>
      </c>
    </row>
    <row r="12" spans="1:15">
      <c r="A12">
        <f>Scenarios!A4</f>
        <v>0</v>
      </c>
      <c r="B12" t="s">
        <v>13</v>
      </c>
      <c r="C12">
        <f>Scenarios!C4</f>
        <v>0</v>
      </c>
      <c r="D12">
        <f>IF(=Scenarios!D4=1,0, Parameters!B6 + =ROUNDUP(=IF(=Scenarios!H4=1, IF("FY2026"="FY2026",50, IF("FY2026"="FY2027",100,150)), =Scenarios!C4)*=Scenarios!F4,0))</f>
        <v>0</v>
      </c>
      <c r="E12">
        <f>IF(=Scenarios!E4=1,0, Parameters!B7 + ==IF(=Scenarios!H4=1, IF("FY2026"="FY2026",50, IF("FY2026"="FY2027",100,150)), =Scenarios!C4)-(=ROUNDUP(=IF(=Scenarios!H4=1, IF("FY2026"="FY2026",50, IF("FY2026"="FY2027",100,150)), =Scenarios!C4)*=Scenarios!F4,0)))</f>
        <v>0</v>
      </c>
      <c r="F12">
        <f>D12+E12</f>
        <v>0</v>
      </c>
      <c r="G12" s="2">
        <f>IF(=Scenarios!D4=1, IF(=Scenarios!I4="lease", Calc!B4*Parameters!B16, Calc!B4*Parameters!B19), Calc!B4)</f>
        <v>0</v>
      </c>
      <c r="H12" s="2">
        <f>IF(=Scenarios!E4=1, IF(=Scenarios!I4="lease", Calc!B5*Parameters!B16, Calc!B5*Parameters!B19), Calc!B5)</f>
        <v>0</v>
      </c>
      <c r="I12" s="2">
        <f>Calc!B3</f>
        <v>0</v>
      </c>
      <c r="J12" s="2">
        <f>IF("FY2026"="FY2026", (IF(=Scenarios!D4=1, Parameters!B9,0) + IF(=Scenarios!E4=1, Parameters!B9,0)), 0)</f>
        <v>0</v>
      </c>
      <c r="K12" s="3">
        <f>(1-Parameters!B4)</f>
        <v>0</v>
      </c>
      <c r="L12" s="3">
        <f>Scenarios!G4</f>
        <v>0</v>
      </c>
      <c r="M12" s="2">
        <f>(IF(Scenarios!D41, IF(Scenarios!I4"lease", Calc!B4*Parameters!B16, Calc!B4*Parameters!B19), Calc!B4) + IF(Scenarios!E41, IF(Scenarios!I4"lease", Calc!B5*Parameters!B16, Calc!B5*Parameters!B19), Calc!B5) + Calc!B3*=D12+E12)*=(1-Parameters!B4)*(1-J12) + =IF("FY2026"="FY2026", (IF(=Scenarios!D4=1, Parameters!B9,0) + IF(=Scenarios!E4=1, Parameters!B9,0)), 0)</f>
        <v>0</v>
      </c>
      <c r="N12" s="2">
        <f>IF(F12&gt;0, L12/F12, NA())</f>
        <v>0</v>
      </c>
      <c r="O12">
        <f>=Scenarios!A4&amp;"|FY2026"</f>
        <v>0</v>
      </c>
    </row>
    <row r="13" spans="1:15">
      <c r="A13">
        <f>Scenarios!A4</f>
        <v>0</v>
      </c>
      <c r="B13" t="s">
        <v>14</v>
      </c>
      <c r="C13">
        <f>Scenarios!C4</f>
        <v>0</v>
      </c>
      <c r="D13">
        <f>IF(=Scenarios!D4=1,0, Parameters!B6 + =ROUNDUP(=IF(=Scenarios!H4=1, IF("FY2027"="FY2026",50, IF("FY2027"="FY2027",100,150)), =Scenarios!C4)*=Scenarios!F4,0))</f>
        <v>0</v>
      </c>
      <c r="E13">
        <f>IF(=Scenarios!E4=1,0, Parameters!B7 + ==IF(=Scenarios!H4=1, IF("FY2027"="FY2026",50, IF("FY2027"="FY2027",100,150)), =Scenarios!C4)-(=ROUNDUP(=IF(=Scenarios!H4=1, IF("FY2027"="FY2026",50, IF("FY2027"="FY2027",100,150)), =Scenarios!C4)*=Scenarios!F4,0)))</f>
        <v>0</v>
      </c>
      <c r="F13">
        <f>D13+E13</f>
        <v>0</v>
      </c>
      <c r="G13" s="2">
        <f>IF(=Scenarios!D4=1, IF(=Scenarios!I4="lease", Calc!C4*Parameters!C16, Calc!C4*Parameters!C19), Calc!C4)</f>
        <v>0</v>
      </c>
      <c r="H13" s="2">
        <f>IF(=Scenarios!E4=1, IF(=Scenarios!I4="lease", Calc!C5*Parameters!C16, Calc!C5*Parameters!C19), Calc!C5)</f>
        <v>0</v>
      </c>
      <c r="I13" s="2">
        <f>Calc!C3</f>
        <v>0</v>
      </c>
      <c r="J13" s="2">
        <f>IF("FY2027"="FY2026", (IF(=Scenarios!D4=1, Parameters!B9,0) + IF(=Scenarios!E4=1, Parameters!B9,0)), 0)</f>
        <v>0</v>
      </c>
      <c r="K13" s="3">
        <f>(1-Parameters!B4)</f>
        <v>0</v>
      </c>
      <c r="L13" s="3">
        <f>Scenarios!G4</f>
        <v>0</v>
      </c>
      <c r="M13" s="2">
        <f>(IF(Scenarios!D41, IF(Scenarios!I4"lease", Calc!C4*Parameters!C16, Calc!C4*Parameters!C19), Calc!C4) + IF(Scenarios!E41, IF(Scenarios!I4"lease", Calc!C5*Parameters!C16, Calc!C5*Parameters!C19), Calc!C5) + Calc!C3*=D13+E13)*=(1-Parameters!B4)*(1-J13) + =IF("FY2027"="FY2026", (IF(=Scenarios!D4=1, Parameters!B9,0) + IF(=Scenarios!E4=1, Parameters!B9,0)), 0)</f>
        <v>0</v>
      </c>
      <c r="N13" s="2">
        <f>IF(F13&gt;0, L13/F13, NA())</f>
        <v>0</v>
      </c>
      <c r="O13">
        <f>=Scenarios!A4&amp;"|FY2027"</f>
        <v>0</v>
      </c>
    </row>
    <row r="14" spans="1:15">
      <c r="A14">
        <f>Scenarios!A4</f>
        <v>0</v>
      </c>
      <c r="B14" t="s">
        <v>15</v>
      </c>
      <c r="C14">
        <f>Scenarios!C4</f>
        <v>0</v>
      </c>
      <c r="D14">
        <f>IF(=Scenarios!D4=1,0, Parameters!B6 + =ROUNDUP(=IF(=Scenarios!H4=1, IF("FY2028"="FY2026",50, IF("FY2028"="FY2027",100,150)), =Scenarios!C4)*=Scenarios!F4,0))</f>
        <v>0</v>
      </c>
      <c r="E14">
        <f>IF(=Scenarios!E4=1,0, Parameters!B7 + ==IF(=Scenarios!H4=1, IF("FY2028"="FY2026",50, IF("FY2028"="FY2027",100,150)), =Scenarios!C4)-(=ROUNDUP(=IF(=Scenarios!H4=1, IF("FY2028"="FY2026",50, IF("FY2028"="FY2027",100,150)), =Scenarios!C4)*=Scenarios!F4,0)))</f>
        <v>0</v>
      </c>
      <c r="F14">
        <f>D14+E14</f>
        <v>0</v>
      </c>
      <c r="G14" s="2">
        <f>IF(=Scenarios!D4=1, IF(=Scenarios!I4="lease", Calc!D4*Parameters!D16, Calc!D4*Parameters!D19), Calc!D4)</f>
        <v>0</v>
      </c>
      <c r="H14" s="2">
        <f>IF(=Scenarios!E4=1, IF(=Scenarios!I4="lease", Calc!D5*Parameters!D16, Calc!D5*Parameters!D19), Calc!D5)</f>
        <v>0</v>
      </c>
      <c r="I14" s="2">
        <f>Calc!D3</f>
        <v>0</v>
      </c>
      <c r="J14" s="2">
        <f>IF("FY2028"="FY2026", (IF(=Scenarios!D4=1, Parameters!B9,0) + IF(=Scenarios!E4=1, Parameters!B9,0)), 0)</f>
        <v>0</v>
      </c>
      <c r="K14" s="3">
        <f>(1-Parameters!B4)</f>
        <v>0</v>
      </c>
      <c r="L14" s="3">
        <f>Scenarios!G4</f>
        <v>0</v>
      </c>
      <c r="M14" s="2">
        <f>(IF(Scenarios!D41, IF(Scenarios!I4"lease", Calc!D4*Parameters!D16, Calc!D4*Parameters!D19), Calc!D4) + IF(Scenarios!E41, IF(Scenarios!I4"lease", Calc!D5*Parameters!D16, Calc!D5*Parameters!D19), Calc!D5) + Calc!D3*=D14+E14)*=(1-Parameters!B4)*(1-J14) + =IF("FY2028"="FY2026", (IF(=Scenarios!D4=1, Parameters!B9,0) + IF(=Scenarios!E4=1, Parameters!B9,0)), 0)</f>
        <v>0</v>
      </c>
      <c r="N14" s="2">
        <f>IF(F14&gt;0, L14/F14, NA())</f>
        <v>0</v>
      </c>
      <c r="O14">
        <f>=Scenarios!A4&amp;"|FY2028"</f>
        <v>0</v>
      </c>
    </row>
    <row r="15" spans="1:15">
      <c r="A15">
        <f>Scenarios!A4</f>
        <v>0</v>
      </c>
      <c r="B15" t="s">
        <v>16</v>
      </c>
      <c r="C15">
        <f>Scenarios!C4</f>
        <v>0</v>
      </c>
      <c r="D15">
        <f>IF(=Scenarios!D4=1,0, Parameters!B6 + =ROUNDUP(=IF(=Scenarios!H4=1, IF("FY2029"="FY2026",50, IF("FY2029"="FY2027",100,150)), =Scenarios!C4)*=Scenarios!F4,0))</f>
        <v>0</v>
      </c>
      <c r="E15">
        <f>IF(=Scenarios!E4=1,0, Parameters!B7 + ==IF(=Scenarios!H4=1, IF("FY2029"="FY2026",50, IF("FY2029"="FY2027",100,150)), =Scenarios!C4)-(=ROUNDUP(=IF(=Scenarios!H4=1, IF("FY2029"="FY2026",50, IF("FY2029"="FY2027",100,150)), =Scenarios!C4)*=Scenarios!F4,0)))</f>
        <v>0</v>
      </c>
      <c r="F15">
        <f>D15+E15</f>
        <v>0</v>
      </c>
      <c r="G15" s="2">
        <f>IF(=Scenarios!D4=1, IF(=Scenarios!I4="lease", Calc!E4*Parameters!E16, Calc!E4*Parameters!E19), Calc!E4)</f>
        <v>0</v>
      </c>
      <c r="H15" s="2">
        <f>IF(=Scenarios!E4=1, IF(=Scenarios!I4="lease", Calc!E5*Parameters!E16, Calc!E5*Parameters!E19), Calc!E5)</f>
        <v>0</v>
      </c>
      <c r="I15" s="2">
        <f>Calc!E3</f>
        <v>0</v>
      </c>
      <c r="J15" s="2">
        <f>IF("FY2029"="FY2026", (IF(=Scenarios!D4=1, Parameters!B9,0) + IF(=Scenarios!E4=1, Parameters!B9,0)), 0)</f>
        <v>0</v>
      </c>
      <c r="K15" s="3">
        <f>(1-Parameters!B4)</f>
        <v>0</v>
      </c>
      <c r="L15" s="3">
        <f>Scenarios!G4</f>
        <v>0</v>
      </c>
      <c r="M15" s="2">
        <f>(IF(Scenarios!D41, IF(Scenarios!I4"lease", Calc!E4*Parameters!E16, Calc!E4*Parameters!E19), Calc!E4) + IF(Scenarios!E41, IF(Scenarios!I4"lease", Calc!E5*Parameters!E16, Calc!E5*Parameters!E19), Calc!E5) + Calc!E3*=D15+E15)*=(1-Parameters!B4)*(1-J15) + =IF("FY2029"="FY2026", (IF(=Scenarios!D4=1, Parameters!B9,0) + IF(=Scenarios!E4=1, Parameters!B9,0)), 0)</f>
        <v>0</v>
      </c>
      <c r="N15" s="2">
        <f>IF(F15&gt;0, L15/F15, NA())</f>
        <v>0</v>
      </c>
      <c r="O15">
        <f>=Scenarios!A4&amp;"|FY2029"</f>
        <v>0</v>
      </c>
    </row>
    <row r="16" spans="1:15">
      <c r="A16">
        <f>Scenarios!A4</f>
        <v>0</v>
      </c>
      <c r="B16" t="s">
        <v>17</v>
      </c>
      <c r="C16">
        <f>Scenarios!C4</f>
        <v>0</v>
      </c>
      <c r="D16">
        <f>IF(=Scenarios!D4=1,0, Parameters!B6 + =ROUNDUP(=IF(=Scenarios!H4=1, IF("FY2030"="FY2026",50, IF("FY2030"="FY2027",100,150)), =Scenarios!C4)*=Scenarios!F4,0))</f>
        <v>0</v>
      </c>
      <c r="E16">
        <f>IF(=Scenarios!E4=1,0, Parameters!B7 + ==IF(=Scenarios!H4=1, IF("FY2030"="FY2026",50, IF("FY2030"="FY2027",100,150)), =Scenarios!C4)-(=ROUNDUP(=IF(=Scenarios!H4=1, IF("FY2030"="FY2026",50, IF("FY2030"="FY2027",100,150)), =Scenarios!C4)*=Scenarios!F4,0)))</f>
        <v>0</v>
      </c>
      <c r="F16">
        <f>D16+E16</f>
        <v>0</v>
      </c>
      <c r="G16" s="2">
        <f>IF(=Scenarios!D4=1, IF(=Scenarios!I4="lease", Calc!F4*Parameters!F16, Calc!F4*Parameters!F19), Calc!F4)</f>
        <v>0</v>
      </c>
      <c r="H16" s="2">
        <f>IF(=Scenarios!E4=1, IF(=Scenarios!I4="lease", Calc!F5*Parameters!F16, Calc!F5*Parameters!F19), Calc!F5)</f>
        <v>0</v>
      </c>
      <c r="I16" s="2">
        <f>Calc!F3</f>
        <v>0</v>
      </c>
      <c r="J16" s="2">
        <f>IF("FY2030"="FY2026", (IF(=Scenarios!D4=1, Parameters!B9,0) + IF(=Scenarios!E4=1, Parameters!B9,0)), 0)</f>
        <v>0</v>
      </c>
      <c r="K16" s="3">
        <f>(1-Parameters!B4)</f>
        <v>0</v>
      </c>
      <c r="L16" s="3">
        <f>Scenarios!G4</f>
        <v>0</v>
      </c>
      <c r="M16" s="2">
        <f>(IF(Scenarios!D41, IF(Scenarios!I4"lease", Calc!F4*Parameters!F16, Calc!F4*Parameters!F19), Calc!F4) + IF(Scenarios!E41, IF(Scenarios!I4"lease", Calc!F5*Parameters!F16, Calc!F5*Parameters!F19), Calc!F5) + Calc!F3*=D16+E16)*=(1-Parameters!B4)*(1-J16) + =IF("FY2030"="FY2026", (IF(=Scenarios!D4=1, Parameters!B9,0) + IF(=Scenarios!E4=1, Parameters!B9,0)), 0)</f>
        <v>0</v>
      </c>
      <c r="N16" s="2">
        <f>IF(F16&gt;0, L16/F16, NA())</f>
        <v>0</v>
      </c>
      <c r="O16">
        <f>=Scenarios!A4&amp;"|FY2030"</f>
        <v>0</v>
      </c>
    </row>
    <row r="17" spans="1:15">
      <c r="A17">
        <f>Scenarios!A5</f>
        <v>0</v>
      </c>
      <c r="B17" t="s">
        <v>13</v>
      </c>
      <c r="C17">
        <f>Scenarios!C5</f>
        <v>0</v>
      </c>
      <c r="D17">
        <f>IF(=Scenarios!D5=1,0, Parameters!B6 + =ROUNDUP(=IF(=Scenarios!H5=1, IF("FY2026"="FY2026",50, IF("FY2026"="FY2027",100,150)), =Scenarios!C5)*=Scenarios!F5,0))</f>
        <v>0</v>
      </c>
      <c r="E17">
        <f>IF(=Scenarios!E5=1,0, Parameters!B7 + ==IF(=Scenarios!H5=1, IF("FY2026"="FY2026",50, IF("FY2026"="FY2027",100,150)), =Scenarios!C5)-(=ROUNDUP(=IF(=Scenarios!H5=1, IF("FY2026"="FY2026",50, IF("FY2026"="FY2027",100,150)), =Scenarios!C5)*=Scenarios!F5,0)))</f>
        <v>0</v>
      </c>
      <c r="F17">
        <f>D17+E17</f>
        <v>0</v>
      </c>
      <c r="G17" s="2">
        <f>IF(=Scenarios!D5=1, IF(=Scenarios!I5="lease", Calc!B4*Parameters!B16, Calc!B4*Parameters!B19), Calc!B4)</f>
        <v>0</v>
      </c>
      <c r="H17" s="2">
        <f>IF(=Scenarios!E5=1, IF(=Scenarios!I5="lease", Calc!B5*Parameters!B16, Calc!B5*Parameters!B19), Calc!B5)</f>
        <v>0</v>
      </c>
      <c r="I17" s="2">
        <f>Calc!B3</f>
        <v>0</v>
      </c>
      <c r="J17" s="2">
        <f>IF("FY2026"="FY2026", (IF(=Scenarios!D5=1, Parameters!B9,0) + IF(=Scenarios!E5=1, Parameters!B9,0)), 0)</f>
        <v>0</v>
      </c>
      <c r="K17" s="3">
        <f>(1-Parameters!B4)</f>
        <v>0</v>
      </c>
      <c r="L17" s="3">
        <f>Scenarios!G5</f>
        <v>0</v>
      </c>
      <c r="M17" s="2">
        <f>(IF(Scenarios!D51, IF(Scenarios!I5"lease", Calc!B4*Parameters!B16, Calc!B4*Parameters!B19), Calc!B4) + IF(Scenarios!E51, IF(Scenarios!I5"lease", Calc!B5*Parameters!B16, Calc!B5*Parameters!B19), Calc!B5) + Calc!B3*=D17+E17)*=(1-Parameters!B4)*(1-J17) + =IF("FY2026"="FY2026", (IF(=Scenarios!D5=1, Parameters!B9,0) + IF(=Scenarios!E5=1, Parameters!B9,0)), 0)</f>
        <v>0</v>
      </c>
      <c r="N17" s="2">
        <f>IF(F17&gt;0, L17/F17, NA())</f>
        <v>0</v>
      </c>
      <c r="O17">
        <f>=Scenarios!A5&amp;"|FY2026"</f>
        <v>0</v>
      </c>
    </row>
    <row r="18" spans="1:15">
      <c r="A18">
        <f>Scenarios!A5</f>
        <v>0</v>
      </c>
      <c r="B18" t="s">
        <v>14</v>
      </c>
      <c r="C18">
        <f>Scenarios!C5</f>
        <v>0</v>
      </c>
      <c r="D18">
        <f>IF(=Scenarios!D5=1,0, Parameters!B6 + =ROUNDUP(=IF(=Scenarios!H5=1, IF("FY2027"="FY2026",50, IF("FY2027"="FY2027",100,150)), =Scenarios!C5)*=Scenarios!F5,0))</f>
        <v>0</v>
      </c>
      <c r="E18">
        <f>IF(=Scenarios!E5=1,0, Parameters!B7 + ==IF(=Scenarios!H5=1, IF("FY2027"="FY2026",50, IF("FY2027"="FY2027",100,150)), =Scenarios!C5)-(=ROUNDUP(=IF(=Scenarios!H5=1, IF("FY2027"="FY2026",50, IF("FY2027"="FY2027",100,150)), =Scenarios!C5)*=Scenarios!F5,0)))</f>
        <v>0</v>
      </c>
      <c r="F18">
        <f>D18+E18</f>
        <v>0</v>
      </c>
      <c r="G18" s="2">
        <f>IF(=Scenarios!D5=1, IF(=Scenarios!I5="lease", Calc!C4*Parameters!C16, Calc!C4*Parameters!C19), Calc!C4)</f>
        <v>0</v>
      </c>
      <c r="H18" s="2">
        <f>IF(=Scenarios!E5=1, IF(=Scenarios!I5="lease", Calc!C5*Parameters!C16, Calc!C5*Parameters!C19), Calc!C5)</f>
        <v>0</v>
      </c>
      <c r="I18" s="2">
        <f>Calc!C3</f>
        <v>0</v>
      </c>
      <c r="J18" s="2">
        <f>IF("FY2027"="FY2026", (IF(=Scenarios!D5=1, Parameters!B9,0) + IF(=Scenarios!E5=1, Parameters!B9,0)), 0)</f>
        <v>0</v>
      </c>
      <c r="K18" s="3">
        <f>(1-Parameters!B4)</f>
        <v>0</v>
      </c>
      <c r="L18" s="3">
        <f>Scenarios!G5</f>
        <v>0</v>
      </c>
      <c r="M18" s="2">
        <f>(IF(Scenarios!D51, IF(Scenarios!I5"lease", Calc!C4*Parameters!C16, Calc!C4*Parameters!C19), Calc!C4) + IF(Scenarios!E51, IF(Scenarios!I5"lease", Calc!C5*Parameters!C16, Calc!C5*Parameters!C19), Calc!C5) + Calc!C3*=D18+E18)*=(1-Parameters!B4)*(1-J18) + =IF("FY2027"="FY2026", (IF(=Scenarios!D5=1, Parameters!B9,0) + IF(=Scenarios!E5=1, Parameters!B9,0)), 0)</f>
        <v>0</v>
      </c>
      <c r="N18" s="2">
        <f>IF(F18&gt;0, L18/F18, NA())</f>
        <v>0</v>
      </c>
      <c r="O18">
        <f>=Scenarios!A5&amp;"|FY2027"</f>
        <v>0</v>
      </c>
    </row>
    <row r="19" spans="1:15">
      <c r="A19">
        <f>Scenarios!A5</f>
        <v>0</v>
      </c>
      <c r="B19" t="s">
        <v>15</v>
      </c>
      <c r="C19">
        <f>Scenarios!C5</f>
        <v>0</v>
      </c>
      <c r="D19">
        <f>IF(=Scenarios!D5=1,0, Parameters!B6 + =ROUNDUP(=IF(=Scenarios!H5=1, IF("FY2028"="FY2026",50, IF("FY2028"="FY2027",100,150)), =Scenarios!C5)*=Scenarios!F5,0))</f>
        <v>0</v>
      </c>
      <c r="E19">
        <f>IF(=Scenarios!E5=1,0, Parameters!B7 + ==IF(=Scenarios!H5=1, IF("FY2028"="FY2026",50, IF("FY2028"="FY2027",100,150)), =Scenarios!C5)-(=ROUNDUP(=IF(=Scenarios!H5=1, IF("FY2028"="FY2026",50, IF("FY2028"="FY2027",100,150)), =Scenarios!C5)*=Scenarios!F5,0)))</f>
        <v>0</v>
      </c>
      <c r="F19">
        <f>D19+E19</f>
        <v>0</v>
      </c>
      <c r="G19" s="2">
        <f>IF(=Scenarios!D5=1, IF(=Scenarios!I5="lease", Calc!D4*Parameters!D16, Calc!D4*Parameters!D19), Calc!D4)</f>
        <v>0</v>
      </c>
      <c r="H19" s="2">
        <f>IF(=Scenarios!E5=1, IF(=Scenarios!I5="lease", Calc!D5*Parameters!D16, Calc!D5*Parameters!D19), Calc!D5)</f>
        <v>0</v>
      </c>
      <c r="I19" s="2">
        <f>Calc!D3</f>
        <v>0</v>
      </c>
      <c r="J19" s="2">
        <f>IF("FY2028"="FY2026", (IF(=Scenarios!D5=1, Parameters!B9,0) + IF(=Scenarios!E5=1, Parameters!B9,0)), 0)</f>
        <v>0</v>
      </c>
      <c r="K19" s="3">
        <f>(1-Parameters!B4)</f>
        <v>0</v>
      </c>
      <c r="L19" s="3">
        <f>Scenarios!G5</f>
        <v>0</v>
      </c>
      <c r="M19" s="2">
        <f>(IF(Scenarios!D51, IF(Scenarios!I5"lease", Calc!D4*Parameters!D16, Calc!D4*Parameters!D19), Calc!D4) + IF(Scenarios!E51, IF(Scenarios!I5"lease", Calc!D5*Parameters!D16, Calc!D5*Parameters!D19), Calc!D5) + Calc!D3*=D19+E19)*=(1-Parameters!B4)*(1-J19) + =IF("FY2028"="FY2026", (IF(=Scenarios!D5=1, Parameters!B9,0) + IF(=Scenarios!E5=1, Parameters!B9,0)), 0)</f>
        <v>0</v>
      </c>
      <c r="N19" s="2">
        <f>IF(F19&gt;0, L19/F19, NA())</f>
        <v>0</v>
      </c>
      <c r="O19">
        <f>=Scenarios!A5&amp;"|FY2028"</f>
        <v>0</v>
      </c>
    </row>
    <row r="20" spans="1:15">
      <c r="A20">
        <f>Scenarios!A5</f>
        <v>0</v>
      </c>
      <c r="B20" t="s">
        <v>16</v>
      </c>
      <c r="C20">
        <f>Scenarios!C5</f>
        <v>0</v>
      </c>
      <c r="D20">
        <f>IF(=Scenarios!D5=1,0, Parameters!B6 + =ROUNDUP(=IF(=Scenarios!H5=1, IF("FY2029"="FY2026",50, IF("FY2029"="FY2027",100,150)), =Scenarios!C5)*=Scenarios!F5,0))</f>
        <v>0</v>
      </c>
      <c r="E20">
        <f>IF(=Scenarios!E5=1,0, Parameters!B7 + ==IF(=Scenarios!H5=1, IF("FY2029"="FY2026",50, IF("FY2029"="FY2027",100,150)), =Scenarios!C5)-(=ROUNDUP(=IF(=Scenarios!H5=1, IF("FY2029"="FY2026",50, IF("FY2029"="FY2027",100,150)), =Scenarios!C5)*=Scenarios!F5,0)))</f>
        <v>0</v>
      </c>
      <c r="F20">
        <f>D20+E20</f>
        <v>0</v>
      </c>
      <c r="G20" s="2">
        <f>IF(=Scenarios!D5=1, IF(=Scenarios!I5="lease", Calc!E4*Parameters!E16, Calc!E4*Parameters!E19), Calc!E4)</f>
        <v>0</v>
      </c>
      <c r="H20" s="2">
        <f>IF(=Scenarios!E5=1, IF(=Scenarios!I5="lease", Calc!E5*Parameters!E16, Calc!E5*Parameters!E19), Calc!E5)</f>
        <v>0</v>
      </c>
      <c r="I20" s="2">
        <f>Calc!E3</f>
        <v>0</v>
      </c>
      <c r="J20" s="2">
        <f>IF("FY2029"="FY2026", (IF(=Scenarios!D5=1, Parameters!B9,0) + IF(=Scenarios!E5=1, Parameters!B9,0)), 0)</f>
        <v>0</v>
      </c>
      <c r="K20" s="3">
        <f>(1-Parameters!B4)</f>
        <v>0</v>
      </c>
      <c r="L20" s="3">
        <f>Scenarios!G5</f>
        <v>0</v>
      </c>
      <c r="M20" s="2">
        <f>(IF(Scenarios!D51, IF(Scenarios!I5"lease", Calc!E4*Parameters!E16, Calc!E4*Parameters!E19), Calc!E4) + IF(Scenarios!E51, IF(Scenarios!I5"lease", Calc!E5*Parameters!E16, Calc!E5*Parameters!E19), Calc!E5) + Calc!E3*=D20+E20)*=(1-Parameters!B4)*(1-J20) + =IF("FY2029"="FY2026", (IF(=Scenarios!D5=1, Parameters!B9,0) + IF(=Scenarios!E5=1, Parameters!B9,0)), 0)</f>
        <v>0</v>
      </c>
      <c r="N20" s="2">
        <f>IF(F20&gt;0, L20/F20, NA())</f>
        <v>0</v>
      </c>
      <c r="O20">
        <f>=Scenarios!A5&amp;"|FY2029"</f>
        <v>0</v>
      </c>
    </row>
    <row r="21" spans="1:15">
      <c r="A21">
        <f>Scenarios!A5</f>
        <v>0</v>
      </c>
      <c r="B21" t="s">
        <v>17</v>
      </c>
      <c r="C21">
        <f>Scenarios!C5</f>
        <v>0</v>
      </c>
      <c r="D21">
        <f>IF(=Scenarios!D5=1,0, Parameters!B6 + =ROUNDUP(=IF(=Scenarios!H5=1, IF("FY2030"="FY2026",50, IF("FY2030"="FY2027",100,150)), =Scenarios!C5)*=Scenarios!F5,0))</f>
        <v>0</v>
      </c>
      <c r="E21">
        <f>IF(=Scenarios!E5=1,0, Parameters!B7 + ==IF(=Scenarios!H5=1, IF("FY2030"="FY2026",50, IF("FY2030"="FY2027",100,150)), =Scenarios!C5)-(=ROUNDUP(=IF(=Scenarios!H5=1, IF("FY2030"="FY2026",50, IF("FY2030"="FY2027",100,150)), =Scenarios!C5)*=Scenarios!F5,0)))</f>
        <v>0</v>
      </c>
      <c r="F21">
        <f>D21+E21</f>
        <v>0</v>
      </c>
      <c r="G21" s="2">
        <f>IF(=Scenarios!D5=1, IF(=Scenarios!I5="lease", Calc!F4*Parameters!F16, Calc!F4*Parameters!F19), Calc!F4)</f>
        <v>0</v>
      </c>
      <c r="H21" s="2">
        <f>IF(=Scenarios!E5=1, IF(=Scenarios!I5="lease", Calc!F5*Parameters!F16, Calc!F5*Parameters!F19), Calc!F5)</f>
        <v>0</v>
      </c>
      <c r="I21" s="2">
        <f>Calc!F3</f>
        <v>0</v>
      </c>
      <c r="J21" s="2">
        <f>IF("FY2030"="FY2026", (IF(=Scenarios!D5=1, Parameters!B9,0) + IF(=Scenarios!E5=1, Parameters!B9,0)), 0)</f>
        <v>0</v>
      </c>
      <c r="K21" s="3">
        <f>(1-Parameters!B4)</f>
        <v>0</v>
      </c>
      <c r="L21" s="3">
        <f>Scenarios!G5</f>
        <v>0</v>
      </c>
      <c r="M21" s="2">
        <f>(IF(Scenarios!D51, IF(Scenarios!I5"lease", Calc!F4*Parameters!F16, Calc!F4*Parameters!F19), Calc!F4) + IF(Scenarios!E51, IF(Scenarios!I5"lease", Calc!F5*Parameters!F16, Calc!F5*Parameters!F19), Calc!F5) + Calc!F3*=D21+E21)*=(1-Parameters!B4)*(1-J21) + =IF("FY2030"="FY2026", (IF(=Scenarios!D5=1, Parameters!B9,0) + IF(=Scenarios!E5=1, Parameters!B9,0)), 0)</f>
        <v>0</v>
      </c>
      <c r="N21" s="2">
        <f>IF(F21&gt;0, L21/F21, NA())</f>
        <v>0</v>
      </c>
      <c r="O21">
        <f>=Scenarios!A5&amp;"|FY2030"</f>
        <v>0</v>
      </c>
    </row>
    <row r="22" spans="1:15">
      <c r="A22">
        <f>Scenarios!A6</f>
        <v>0</v>
      </c>
      <c r="B22" t="s">
        <v>13</v>
      </c>
      <c r="C22">
        <f>Scenarios!C6</f>
        <v>0</v>
      </c>
      <c r="D22">
        <f>IF(=Scenarios!D6=1,0, Parameters!B6 + =ROUNDUP(=IF(=Scenarios!H6=1, IF("FY2026"="FY2026",50, IF("FY2026"="FY2027",100,150)), =Scenarios!C6)*=Scenarios!F6,0))</f>
        <v>0</v>
      </c>
      <c r="E22">
        <f>IF(=Scenarios!E6=1,0, Parameters!B7 + ==IF(=Scenarios!H6=1, IF("FY2026"="FY2026",50, IF("FY2026"="FY2027",100,150)), =Scenarios!C6)-(=ROUNDUP(=IF(=Scenarios!H6=1, IF("FY2026"="FY2026",50, IF("FY2026"="FY2027",100,150)), =Scenarios!C6)*=Scenarios!F6,0)))</f>
        <v>0</v>
      </c>
      <c r="F22">
        <f>D22+E22</f>
        <v>0</v>
      </c>
      <c r="G22" s="2">
        <f>IF(=Scenarios!D6=1, IF(=Scenarios!I6="lease", Calc!B4*Parameters!B16, Calc!B4*Parameters!B19), Calc!B4)</f>
        <v>0</v>
      </c>
      <c r="H22" s="2">
        <f>IF(=Scenarios!E6=1, IF(=Scenarios!I6="lease", Calc!B5*Parameters!B16, Calc!B5*Parameters!B19), Calc!B5)</f>
        <v>0</v>
      </c>
      <c r="I22" s="2">
        <f>Calc!B3</f>
        <v>0</v>
      </c>
      <c r="J22" s="2">
        <f>IF("FY2026"="FY2026", (IF(=Scenarios!D6=1, Parameters!B9,0) + IF(=Scenarios!E6=1, Parameters!B9,0)), 0)</f>
        <v>0</v>
      </c>
      <c r="K22" s="3">
        <f>(1-Parameters!B4)</f>
        <v>0</v>
      </c>
      <c r="L22" s="3">
        <f>Scenarios!G6</f>
        <v>0</v>
      </c>
      <c r="M22" s="2">
        <f>(IF(Scenarios!D61, IF(Scenarios!I6"lease", Calc!B4*Parameters!B16, Calc!B4*Parameters!B19), Calc!B4) + IF(Scenarios!E61, IF(Scenarios!I6"lease", Calc!B5*Parameters!B16, Calc!B5*Parameters!B19), Calc!B5) + Calc!B3*=D22+E22)*=(1-Parameters!B4)*(1-J22) + =IF("FY2026"="FY2026", (IF(=Scenarios!D6=1, Parameters!B9,0) + IF(=Scenarios!E6=1, Parameters!B9,0)), 0)</f>
        <v>0</v>
      </c>
      <c r="N22" s="2">
        <f>IF(F22&gt;0, L22/F22, NA())</f>
        <v>0</v>
      </c>
      <c r="O22">
        <f>=Scenarios!A6&amp;"|FY2026"</f>
        <v>0</v>
      </c>
    </row>
    <row r="23" spans="1:15">
      <c r="A23">
        <f>Scenarios!A6</f>
        <v>0</v>
      </c>
      <c r="B23" t="s">
        <v>14</v>
      </c>
      <c r="C23">
        <f>Scenarios!C6</f>
        <v>0</v>
      </c>
      <c r="D23">
        <f>IF(=Scenarios!D6=1,0, Parameters!B6 + =ROUNDUP(=IF(=Scenarios!H6=1, IF("FY2027"="FY2026",50, IF("FY2027"="FY2027",100,150)), =Scenarios!C6)*=Scenarios!F6,0))</f>
        <v>0</v>
      </c>
      <c r="E23">
        <f>IF(=Scenarios!E6=1,0, Parameters!B7 + ==IF(=Scenarios!H6=1, IF("FY2027"="FY2026",50, IF("FY2027"="FY2027",100,150)), =Scenarios!C6)-(=ROUNDUP(=IF(=Scenarios!H6=1, IF("FY2027"="FY2026",50, IF("FY2027"="FY2027",100,150)), =Scenarios!C6)*=Scenarios!F6,0)))</f>
        <v>0</v>
      </c>
      <c r="F23">
        <f>D23+E23</f>
        <v>0</v>
      </c>
      <c r="G23" s="2">
        <f>IF(=Scenarios!D6=1, IF(=Scenarios!I6="lease", Calc!C4*Parameters!C16, Calc!C4*Parameters!C19), Calc!C4)</f>
        <v>0</v>
      </c>
      <c r="H23" s="2">
        <f>IF(=Scenarios!E6=1, IF(=Scenarios!I6="lease", Calc!C5*Parameters!C16, Calc!C5*Parameters!C19), Calc!C5)</f>
        <v>0</v>
      </c>
      <c r="I23" s="2">
        <f>Calc!C3</f>
        <v>0</v>
      </c>
      <c r="J23" s="2">
        <f>IF("FY2027"="FY2026", (IF(=Scenarios!D6=1, Parameters!B9,0) + IF(=Scenarios!E6=1, Parameters!B9,0)), 0)</f>
        <v>0</v>
      </c>
      <c r="K23" s="3">
        <f>(1-Parameters!B4)</f>
        <v>0</v>
      </c>
      <c r="L23" s="3">
        <f>Scenarios!G6</f>
        <v>0</v>
      </c>
      <c r="M23" s="2">
        <f>(IF(Scenarios!D61, IF(Scenarios!I6"lease", Calc!C4*Parameters!C16, Calc!C4*Parameters!C19), Calc!C4) + IF(Scenarios!E61, IF(Scenarios!I6"lease", Calc!C5*Parameters!C16, Calc!C5*Parameters!C19), Calc!C5) + Calc!C3*=D23+E23)*=(1-Parameters!B4)*(1-J23) + =IF("FY2027"="FY2026", (IF(=Scenarios!D6=1, Parameters!B9,0) + IF(=Scenarios!E6=1, Parameters!B9,0)), 0)</f>
        <v>0</v>
      </c>
      <c r="N23" s="2">
        <f>IF(F23&gt;0, L23/F23, NA())</f>
        <v>0</v>
      </c>
      <c r="O23">
        <f>=Scenarios!A6&amp;"|FY2027"</f>
        <v>0</v>
      </c>
    </row>
    <row r="24" spans="1:15">
      <c r="A24">
        <f>Scenarios!A6</f>
        <v>0</v>
      </c>
      <c r="B24" t="s">
        <v>15</v>
      </c>
      <c r="C24">
        <f>Scenarios!C6</f>
        <v>0</v>
      </c>
      <c r="D24">
        <f>IF(=Scenarios!D6=1,0, Parameters!B6 + =ROUNDUP(=IF(=Scenarios!H6=1, IF("FY2028"="FY2026",50, IF("FY2028"="FY2027",100,150)), =Scenarios!C6)*=Scenarios!F6,0))</f>
        <v>0</v>
      </c>
      <c r="E24">
        <f>IF(=Scenarios!E6=1,0, Parameters!B7 + ==IF(=Scenarios!H6=1, IF("FY2028"="FY2026",50, IF("FY2028"="FY2027",100,150)), =Scenarios!C6)-(=ROUNDUP(=IF(=Scenarios!H6=1, IF("FY2028"="FY2026",50, IF("FY2028"="FY2027",100,150)), =Scenarios!C6)*=Scenarios!F6,0)))</f>
        <v>0</v>
      </c>
      <c r="F24">
        <f>D24+E24</f>
        <v>0</v>
      </c>
      <c r="G24" s="2">
        <f>IF(=Scenarios!D6=1, IF(=Scenarios!I6="lease", Calc!D4*Parameters!D16, Calc!D4*Parameters!D19), Calc!D4)</f>
        <v>0</v>
      </c>
      <c r="H24" s="2">
        <f>IF(=Scenarios!E6=1, IF(=Scenarios!I6="lease", Calc!D5*Parameters!D16, Calc!D5*Parameters!D19), Calc!D5)</f>
        <v>0</v>
      </c>
      <c r="I24" s="2">
        <f>Calc!D3</f>
        <v>0</v>
      </c>
      <c r="J24" s="2">
        <f>IF("FY2028"="FY2026", (IF(=Scenarios!D6=1, Parameters!B9,0) + IF(=Scenarios!E6=1, Parameters!B9,0)), 0)</f>
        <v>0</v>
      </c>
      <c r="K24" s="3">
        <f>(1-Parameters!B4)</f>
        <v>0</v>
      </c>
      <c r="L24" s="3">
        <f>Scenarios!G6</f>
        <v>0</v>
      </c>
      <c r="M24" s="2">
        <f>(IF(Scenarios!D61, IF(Scenarios!I6"lease", Calc!D4*Parameters!D16, Calc!D4*Parameters!D19), Calc!D4) + IF(Scenarios!E61, IF(Scenarios!I6"lease", Calc!D5*Parameters!D16, Calc!D5*Parameters!D19), Calc!D5) + Calc!D3*=D24+E24)*=(1-Parameters!B4)*(1-J24) + =IF("FY2028"="FY2026", (IF(=Scenarios!D6=1, Parameters!B9,0) + IF(=Scenarios!E6=1, Parameters!B9,0)), 0)</f>
        <v>0</v>
      </c>
      <c r="N24" s="2">
        <f>IF(F24&gt;0, L24/F24, NA())</f>
        <v>0</v>
      </c>
      <c r="O24">
        <f>=Scenarios!A6&amp;"|FY2028"</f>
        <v>0</v>
      </c>
    </row>
    <row r="25" spans="1:15">
      <c r="A25">
        <f>Scenarios!A6</f>
        <v>0</v>
      </c>
      <c r="B25" t="s">
        <v>16</v>
      </c>
      <c r="C25">
        <f>Scenarios!C6</f>
        <v>0</v>
      </c>
      <c r="D25">
        <f>IF(=Scenarios!D6=1,0, Parameters!B6 + =ROUNDUP(=IF(=Scenarios!H6=1, IF("FY2029"="FY2026",50, IF("FY2029"="FY2027",100,150)), =Scenarios!C6)*=Scenarios!F6,0))</f>
        <v>0</v>
      </c>
      <c r="E25">
        <f>IF(=Scenarios!E6=1,0, Parameters!B7 + ==IF(=Scenarios!H6=1, IF("FY2029"="FY2026",50, IF("FY2029"="FY2027",100,150)), =Scenarios!C6)-(=ROUNDUP(=IF(=Scenarios!H6=1, IF("FY2029"="FY2026",50, IF("FY2029"="FY2027",100,150)), =Scenarios!C6)*=Scenarios!F6,0)))</f>
        <v>0</v>
      </c>
      <c r="F25">
        <f>D25+E25</f>
        <v>0</v>
      </c>
      <c r="G25" s="2">
        <f>IF(=Scenarios!D6=1, IF(=Scenarios!I6="lease", Calc!E4*Parameters!E16, Calc!E4*Parameters!E19), Calc!E4)</f>
        <v>0</v>
      </c>
      <c r="H25" s="2">
        <f>IF(=Scenarios!E6=1, IF(=Scenarios!I6="lease", Calc!E5*Parameters!E16, Calc!E5*Parameters!E19), Calc!E5)</f>
        <v>0</v>
      </c>
      <c r="I25" s="2">
        <f>Calc!E3</f>
        <v>0</v>
      </c>
      <c r="J25" s="2">
        <f>IF("FY2029"="FY2026", (IF(=Scenarios!D6=1, Parameters!B9,0) + IF(=Scenarios!E6=1, Parameters!B9,0)), 0)</f>
        <v>0</v>
      </c>
      <c r="K25" s="3">
        <f>(1-Parameters!B4)</f>
        <v>0</v>
      </c>
      <c r="L25" s="3">
        <f>Scenarios!G6</f>
        <v>0</v>
      </c>
      <c r="M25" s="2">
        <f>(IF(Scenarios!D61, IF(Scenarios!I6"lease", Calc!E4*Parameters!E16, Calc!E4*Parameters!E19), Calc!E4) + IF(Scenarios!E61, IF(Scenarios!I6"lease", Calc!E5*Parameters!E16, Calc!E5*Parameters!E19), Calc!E5) + Calc!E3*=D25+E25)*=(1-Parameters!B4)*(1-J25) + =IF("FY2029"="FY2026", (IF(=Scenarios!D6=1, Parameters!B9,0) + IF(=Scenarios!E6=1, Parameters!B9,0)), 0)</f>
        <v>0</v>
      </c>
      <c r="N25" s="2">
        <f>IF(F25&gt;0, L25/F25, NA())</f>
        <v>0</v>
      </c>
      <c r="O25">
        <f>=Scenarios!A6&amp;"|FY2029"</f>
        <v>0</v>
      </c>
    </row>
    <row r="26" spans="1:15">
      <c r="A26">
        <f>Scenarios!A6</f>
        <v>0</v>
      </c>
      <c r="B26" t="s">
        <v>17</v>
      </c>
      <c r="C26">
        <f>Scenarios!C6</f>
        <v>0</v>
      </c>
      <c r="D26">
        <f>IF(=Scenarios!D6=1,0, Parameters!B6 + =ROUNDUP(=IF(=Scenarios!H6=1, IF("FY2030"="FY2026",50, IF("FY2030"="FY2027",100,150)), =Scenarios!C6)*=Scenarios!F6,0))</f>
        <v>0</v>
      </c>
      <c r="E26">
        <f>IF(=Scenarios!E6=1,0, Parameters!B7 + ==IF(=Scenarios!H6=1, IF("FY2030"="FY2026",50, IF("FY2030"="FY2027",100,150)), =Scenarios!C6)-(=ROUNDUP(=IF(=Scenarios!H6=1, IF("FY2030"="FY2026",50, IF("FY2030"="FY2027",100,150)), =Scenarios!C6)*=Scenarios!F6,0)))</f>
        <v>0</v>
      </c>
      <c r="F26">
        <f>D26+E26</f>
        <v>0</v>
      </c>
      <c r="G26" s="2">
        <f>IF(=Scenarios!D6=1, IF(=Scenarios!I6="lease", Calc!F4*Parameters!F16, Calc!F4*Parameters!F19), Calc!F4)</f>
        <v>0</v>
      </c>
      <c r="H26" s="2">
        <f>IF(=Scenarios!E6=1, IF(=Scenarios!I6="lease", Calc!F5*Parameters!F16, Calc!F5*Parameters!F19), Calc!F5)</f>
        <v>0</v>
      </c>
      <c r="I26" s="2">
        <f>Calc!F3</f>
        <v>0</v>
      </c>
      <c r="J26" s="2">
        <f>IF("FY2030"="FY2026", (IF(=Scenarios!D6=1, Parameters!B9,0) + IF(=Scenarios!E6=1, Parameters!B9,0)), 0)</f>
        <v>0</v>
      </c>
      <c r="K26" s="3">
        <f>(1-Parameters!B4)</f>
        <v>0</v>
      </c>
      <c r="L26" s="3">
        <f>Scenarios!G6</f>
        <v>0</v>
      </c>
      <c r="M26" s="2">
        <f>(IF(Scenarios!D61, IF(Scenarios!I6"lease", Calc!F4*Parameters!F16, Calc!F4*Parameters!F19), Calc!F4) + IF(Scenarios!E61, IF(Scenarios!I6"lease", Calc!F5*Parameters!F16, Calc!F5*Parameters!F19), Calc!F5) + Calc!F3*=D26+E26)*=(1-Parameters!B4)*(1-J26) + =IF("FY2030"="FY2026", (IF(=Scenarios!D6=1, Parameters!B9,0) + IF(=Scenarios!E6=1, Parameters!B9,0)), 0)</f>
        <v>0</v>
      </c>
      <c r="N26" s="2">
        <f>IF(F26&gt;0, L26/F26, NA())</f>
        <v>0</v>
      </c>
      <c r="O26">
        <f>=Scenarios!A6&amp;"|FY2030"</f>
        <v>0</v>
      </c>
    </row>
    <row r="27" spans="1:15">
      <c r="A27">
        <f>Scenarios!A7</f>
        <v>0</v>
      </c>
      <c r="B27" t="s">
        <v>13</v>
      </c>
      <c r="C27">
        <f>Scenarios!C7</f>
        <v>0</v>
      </c>
      <c r="D27">
        <f>IF(=Scenarios!D7=1,0, Parameters!B6 + =ROUNDUP(=IF(=Scenarios!H7=1, IF("FY2026"="FY2026",50, IF("FY2026"="FY2027",100,150)), =Scenarios!C7)*=Scenarios!F7,0))</f>
        <v>0</v>
      </c>
      <c r="E27">
        <f>IF(=Scenarios!E7=1,0, Parameters!B7 + ==IF(=Scenarios!H7=1, IF("FY2026"="FY2026",50, IF("FY2026"="FY2027",100,150)), =Scenarios!C7)-(=ROUNDUP(=IF(=Scenarios!H7=1, IF("FY2026"="FY2026",50, IF("FY2026"="FY2027",100,150)), =Scenarios!C7)*=Scenarios!F7,0)))</f>
        <v>0</v>
      </c>
      <c r="F27">
        <f>D27+E27</f>
        <v>0</v>
      </c>
      <c r="G27" s="2">
        <f>IF(=Scenarios!D7=1, IF(=Scenarios!I7="lease", Calc!B4*Parameters!B16, Calc!B4*Parameters!B19), Calc!B4)</f>
        <v>0</v>
      </c>
      <c r="H27" s="2">
        <f>IF(=Scenarios!E7=1, IF(=Scenarios!I7="lease", Calc!B5*Parameters!B16, Calc!B5*Parameters!B19), Calc!B5)</f>
        <v>0</v>
      </c>
      <c r="I27" s="2">
        <f>Calc!B3</f>
        <v>0</v>
      </c>
      <c r="J27" s="2">
        <f>IF("FY2026"="FY2026", (IF(=Scenarios!D7=1, Parameters!B9,0) + IF(=Scenarios!E7=1, Parameters!B9,0)), 0)</f>
        <v>0</v>
      </c>
      <c r="K27" s="3">
        <f>(1-Parameters!B4)</f>
        <v>0</v>
      </c>
      <c r="L27" s="3">
        <f>Scenarios!G7</f>
        <v>0</v>
      </c>
      <c r="M27" s="2">
        <f>(IF(Scenarios!D71, IF(Scenarios!I7"lease", Calc!B4*Parameters!B16, Calc!B4*Parameters!B19), Calc!B4) + IF(Scenarios!E71, IF(Scenarios!I7"lease", Calc!B5*Parameters!B16, Calc!B5*Parameters!B19), Calc!B5) + Calc!B3*=D27+E27)*=(1-Parameters!B4)*(1-J27) + =IF("FY2026"="FY2026", (IF(=Scenarios!D7=1, Parameters!B9,0) + IF(=Scenarios!E7=1, Parameters!B9,0)), 0)</f>
        <v>0</v>
      </c>
      <c r="N27" s="2">
        <f>IF(F27&gt;0, L27/F27, NA())</f>
        <v>0</v>
      </c>
      <c r="O27">
        <f>=Scenarios!A7&amp;"|FY2026"</f>
        <v>0</v>
      </c>
    </row>
    <row r="28" spans="1:15">
      <c r="A28">
        <f>Scenarios!A7</f>
        <v>0</v>
      </c>
      <c r="B28" t="s">
        <v>14</v>
      </c>
      <c r="C28">
        <f>Scenarios!C7</f>
        <v>0</v>
      </c>
      <c r="D28">
        <f>IF(=Scenarios!D7=1,0, Parameters!B6 + =ROUNDUP(=IF(=Scenarios!H7=1, IF("FY2027"="FY2026",50, IF("FY2027"="FY2027",100,150)), =Scenarios!C7)*=Scenarios!F7,0))</f>
        <v>0</v>
      </c>
      <c r="E28">
        <f>IF(=Scenarios!E7=1,0, Parameters!B7 + ==IF(=Scenarios!H7=1, IF("FY2027"="FY2026",50, IF("FY2027"="FY2027",100,150)), =Scenarios!C7)-(=ROUNDUP(=IF(=Scenarios!H7=1, IF("FY2027"="FY2026",50, IF("FY2027"="FY2027",100,150)), =Scenarios!C7)*=Scenarios!F7,0)))</f>
        <v>0</v>
      </c>
      <c r="F28">
        <f>D28+E28</f>
        <v>0</v>
      </c>
      <c r="G28" s="2">
        <f>IF(=Scenarios!D7=1, IF(=Scenarios!I7="lease", Calc!C4*Parameters!C16, Calc!C4*Parameters!C19), Calc!C4)</f>
        <v>0</v>
      </c>
      <c r="H28" s="2">
        <f>IF(=Scenarios!E7=1, IF(=Scenarios!I7="lease", Calc!C5*Parameters!C16, Calc!C5*Parameters!C19), Calc!C5)</f>
        <v>0</v>
      </c>
      <c r="I28" s="2">
        <f>Calc!C3</f>
        <v>0</v>
      </c>
      <c r="J28" s="2">
        <f>IF("FY2027"="FY2026", (IF(=Scenarios!D7=1, Parameters!B9,0) + IF(=Scenarios!E7=1, Parameters!B9,0)), 0)</f>
        <v>0</v>
      </c>
      <c r="K28" s="3">
        <f>(1-Parameters!B4)</f>
        <v>0</v>
      </c>
      <c r="L28" s="3">
        <f>Scenarios!G7</f>
        <v>0</v>
      </c>
      <c r="M28" s="2">
        <f>(IF(Scenarios!D71, IF(Scenarios!I7"lease", Calc!C4*Parameters!C16, Calc!C4*Parameters!C19), Calc!C4) + IF(Scenarios!E71, IF(Scenarios!I7"lease", Calc!C5*Parameters!C16, Calc!C5*Parameters!C19), Calc!C5) + Calc!C3*=D28+E28)*=(1-Parameters!B4)*(1-J28) + =IF("FY2027"="FY2026", (IF(=Scenarios!D7=1, Parameters!B9,0) + IF(=Scenarios!E7=1, Parameters!B9,0)), 0)</f>
        <v>0</v>
      </c>
      <c r="N28" s="2">
        <f>IF(F28&gt;0, L28/F28, NA())</f>
        <v>0</v>
      </c>
      <c r="O28">
        <f>=Scenarios!A7&amp;"|FY2027"</f>
        <v>0</v>
      </c>
    </row>
    <row r="29" spans="1:15">
      <c r="A29">
        <f>Scenarios!A7</f>
        <v>0</v>
      </c>
      <c r="B29" t="s">
        <v>15</v>
      </c>
      <c r="C29">
        <f>Scenarios!C7</f>
        <v>0</v>
      </c>
      <c r="D29">
        <f>IF(=Scenarios!D7=1,0, Parameters!B6 + =ROUNDUP(=IF(=Scenarios!H7=1, IF("FY2028"="FY2026",50, IF("FY2028"="FY2027",100,150)), =Scenarios!C7)*=Scenarios!F7,0))</f>
        <v>0</v>
      </c>
      <c r="E29">
        <f>IF(=Scenarios!E7=1,0, Parameters!B7 + ==IF(=Scenarios!H7=1, IF("FY2028"="FY2026",50, IF("FY2028"="FY2027",100,150)), =Scenarios!C7)-(=ROUNDUP(=IF(=Scenarios!H7=1, IF("FY2028"="FY2026",50, IF("FY2028"="FY2027",100,150)), =Scenarios!C7)*=Scenarios!F7,0)))</f>
        <v>0</v>
      </c>
      <c r="F29">
        <f>D29+E29</f>
        <v>0</v>
      </c>
      <c r="G29" s="2">
        <f>IF(=Scenarios!D7=1, IF(=Scenarios!I7="lease", Calc!D4*Parameters!D16, Calc!D4*Parameters!D19), Calc!D4)</f>
        <v>0</v>
      </c>
      <c r="H29" s="2">
        <f>IF(=Scenarios!E7=1, IF(=Scenarios!I7="lease", Calc!D5*Parameters!D16, Calc!D5*Parameters!D19), Calc!D5)</f>
        <v>0</v>
      </c>
      <c r="I29" s="2">
        <f>Calc!D3</f>
        <v>0</v>
      </c>
      <c r="J29" s="2">
        <f>IF("FY2028"="FY2026", (IF(=Scenarios!D7=1, Parameters!B9,0) + IF(=Scenarios!E7=1, Parameters!B9,0)), 0)</f>
        <v>0</v>
      </c>
      <c r="K29" s="3">
        <f>(1-Parameters!B4)</f>
        <v>0</v>
      </c>
      <c r="L29" s="3">
        <f>Scenarios!G7</f>
        <v>0</v>
      </c>
      <c r="M29" s="2">
        <f>(IF(Scenarios!D71, IF(Scenarios!I7"lease", Calc!D4*Parameters!D16, Calc!D4*Parameters!D19), Calc!D4) + IF(Scenarios!E71, IF(Scenarios!I7"lease", Calc!D5*Parameters!D16, Calc!D5*Parameters!D19), Calc!D5) + Calc!D3*=D29+E29)*=(1-Parameters!B4)*(1-J29) + =IF("FY2028"="FY2026", (IF(=Scenarios!D7=1, Parameters!B9,0) + IF(=Scenarios!E7=1, Parameters!B9,0)), 0)</f>
        <v>0</v>
      </c>
      <c r="N29" s="2">
        <f>IF(F29&gt;0, L29/F29, NA())</f>
        <v>0</v>
      </c>
      <c r="O29">
        <f>=Scenarios!A7&amp;"|FY2028"</f>
        <v>0</v>
      </c>
    </row>
    <row r="30" spans="1:15">
      <c r="A30">
        <f>Scenarios!A7</f>
        <v>0</v>
      </c>
      <c r="B30" t="s">
        <v>16</v>
      </c>
      <c r="C30">
        <f>Scenarios!C7</f>
        <v>0</v>
      </c>
      <c r="D30">
        <f>IF(=Scenarios!D7=1,0, Parameters!B6 + =ROUNDUP(=IF(=Scenarios!H7=1, IF("FY2029"="FY2026",50, IF("FY2029"="FY2027",100,150)), =Scenarios!C7)*=Scenarios!F7,0))</f>
        <v>0</v>
      </c>
      <c r="E30">
        <f>IF(=Scenarios!E7=1,0, Parameters!B7 + ==IF(=Scenarios!H7=1, IF("FY2029"="FY2026",50, IF("FY2029"="FY2027",100,150)), =Scenarios!C7)-(=ROUNDUP(=IF(=Scenarios!H7=1, IF("FY2029"="FY2026",50, IF("FY2029"="FY2027",100,150)), =Scenarios!C7)*=Scenarios!F7,0)))</f>
        <v>0</v>
      </c>
      <c r="F30">
        <f>D30+E30</f>
        <v>0</v>
      </c>
      <c r="G30" s="2">
        <f>IF(=Scenarios!D7=1, IF(=Scenarios!I7="lease", Calc!E4*Parameters!E16, Calc!E4*Parameters!E19), Calc!E4)</f>
        <v>0</v>
      </c>
      <c r="H30" s="2">
        <f>IF(=Scenarios!E7=1, IF(=Scenarios!I7="lease", Calc!E5*Parameters!E16, Calc!E5*Parameters!E19), Calc!E5)</f>
        <v>0</v>
      </c>
      <c r="I30" s="2">
        <f>Calc!E3</f>
        <v>0</v>
      </c>
      <c r="J30" s="2">
        <f>IF("FY2029"="FY2026", (IF(=Scenarios!D7=1, Parameters!B9,0) + IF(=Scenarios!E7=1, Parameters!B9,0)), 0)</f>
        <v>0</v>
      </c>
      <c r="K30" s="3">
        <f>(1-Parameters!B4)</f>
        <v>0</v>
      </c>
      <c r="L30" s="3">
        <f>Scenarios!G7</f>
        <v>0</v>
      </c>
      <c r="M30" s="2">
        <f>(IF(Scenarios!D71, IF(Scenarios!I7"lease", Calc!E4*Parameters!E16, Calc!E4*Parameters!E19), Calc!E4) + IF(Scenarios!E71, IF(Scenarios!I7"lease", Calc!E5*Parameters!E16, Calc!E5*Parameters!E19), Calc!E5) + Calc!E3*=D30+E30)*=(1-Parameters!B4)*(1-J30) + =IF("FY2029"="FY2026", (IF(=Scenarios!D7=1, Parameters!B9,0) + IF(=Scenarios!E7=1, Parameters!B9,0)), 0)</f>
        <v>0</v>
      </c>
      <c r="N30" s="2">
        <f>IF(F30&gt;0, L30/F30, NA())</f>
        <v>0</v>
      </c>
      <c r="O30">
        <f>=Scenarios!A7&amp;"|FY2029"</f>
        <v>0</v>
      </c>
    </row>
    <row r="31" spans="1:15">
      <c r="A31">
        <f>Scenarios!A7</f>
        <v>0</v>
      </c>
      <c r="B31" t="s">
        <v>17</v>
      </c>
      <c r="C31">
        <f>Scenarios!C7</f>
        <v>0</v>
      </c>
      <c r="D31">
        <f>IF(=Scenarios!D7=1,0, Parameters!B6 + =ROUNDUP(=IF(=Scenarios!H7=1, IF("FY2030"="FY2026",50, IF("FY2030"="FY2027",100,150)), =Scenarios!C7)*=Scenarios!F7,0))</f>
        <v>0</v>
      </c>
      <c r="E31">
        <f>IF(=Scenarios!E7=1,0, Parameters!B7 + ==IF(=Scenarios!H7=1, IF("FY2030"="FY2026",50, IF("FY2030"="FY2027",100,150)), =Scenarios!C7)-(=ROUNDUP(=IF(=Scenarios!H7=1, IF("FY2030"="FY2026",50, IF("FY2030"="FY2027",100,150)), =Scenarios!C7)*=Scenarios!F7,0)))</f>
        <v>0</v>
      </c>
      <c r="F31">
        <f>D31+E31</f>
        <v>0</v>
      </c>
      <c r="G31" s="2">
        <f>IF(=Scenarios!D7=1, IF(=Scenarios!I7="lease", Calc!F4*Parameters!F16, Calc!F4*Parameters!F19), Calc!F4)</f>
        <v>0</v>
      </c>
      <c r="H31" s="2">
        <f>IF(=Scenarios!E7=1, IF(=Scenarios!I7="lease", Calc!F5*Parameters!F16, Calc!F5*Parameters!F19), Calc!F5)</f>
        <v>0</v>
      </c>
      <c r="I31" s="2">
        <f>Calc!F3</f>
        <v>0</v>
      </c>
      <c r="J31" s="2">
        <f>IF("FY2030"="FY2026", (IF(=Scenarios!D7=1, Parameters!B9,0) + IF(=Scenarios!E7=1, Parameters!B9,0)), 0)</f>
        <v>0</v>
      </c>
      <c r="K31" s="3">
        <f>(1-Parameters!B4)</f>
        <v>0</v>
      </c>
      <c r="L31" s="3">
        <f>Scenarios!G7</f>
        <v>0</v>
      </c>
      <c r="M31" s="2">
        <f>(IF(Scenarios!D71, IF(Scenarios!I7"lease", Calc!F4*Parameters!F16, Calc!F4*Parameters!F19), Calc!F4) + IF(Scenarios!E71, IF(Scenarios!I7"lease", Calc!F5*Parameters!F16, Calc!F5*Parameters!F19), Calc!F5) + Calc!F3*=D31+E31)*=(1-Parameters!B4)*(1-J31) + =IF("FY2030"="FY2026", (IF(=Scenarios!D7=1, Parameters!B9,0) + IF(=Scenarios!E7=1, Parameters!B9,0)), 0)</f>
        <v>0</v>
      </c>
      <c r="N31" s="2">
        <f>IF(F31&gt;0, L31/F31, NA())</f>
        <v>0</v>
      </c>
      <c r="O31">
        <f>=Scenarios!A7&amp;"|FY2030"</f>
        <v>0</v>
      </c>
    </row>
    <row r="32" spans="1:15">
      <c r="A32">
        <f>Scenarios!A8</f>
        <v>0</v>
      </c>
      <c r="B32" t="s">
        <v>13</v>
      </c>
      <c r="C32">
        <f>Scenarios!C8</f>
        <v>0</v>
      </c>
      <c r="D32">
        <f>IF(=Scenarios!D8=1,0, Parameters!B6 + =ROUNDUP(=IF(=Scenarios!H8=1, IF("FY2026"="FY2026",50, IF("FY2026"="FY2027",100,150)), =Scenarios!C8)*=Scenarios!F8,0))</f>
        <v>0</v>
      </c>
      <c r="E32">
        <f>IF(=Scenarios!E8=1,0, Parameters!B7 + ==IF(=Scenarios!H8=1, IF("FY2026"="FY2026",50, IF("FY2026"="FY2027",100,150)), =Scenarios!C8)-(=ROUNDUP(=IF(=Scenarios!H8=1, IF("FY2026"="FY2026",50, IF("FY2026"="FY2027",100,150)), =Scenarios!C8)*=Scenarios!F8,0)))</f>
        <v>0</v>
      </c>
      <c r="F32">
        <f>D32+E32</f>
        <v>0</v>
      </c>
      <c r="G32" s="2">
        <f>IF(=Scenarios!D8=1, IF(=Scenarios!I8="lease", Calc!B4*Parameters!B16, Calc!B4*Parameters!B19), Calc!B4)</f>
        <v>0</v>
      </c>
      <c r="H32" s="2">
        <f>IF(=Scenarios!E8=1, IF(=Scenarios!I8="lease", Calc!B5*Parameters!B16, Calc!B5*Parameters!B19), Calc!B5)</f>
        <v>0</v>
      </c>
      <c r="I32" s="2">
        <f>Calc!B3</f>
        <v>0</v>
      </c>
      <c r="J32" s="2">
        <f>IF("FY2026"="FY2026", (IF(=Scenarios!D8=1, Parameters!B9,0) + IF(=Scenarios!E8=1, Parameters!B9,0)), 0)</f>
        <v>0</v>
      </c>
      <c r="K32" s="3">
        <f>(1-Parameters!B4)</f>
        <v>0</v>
      </c>
      <c r="L32" s="3">
        <f>Scenarios!G8</f>
        <v>0</v>
      </c>
      <c r="M32" s="2">
        <f>(IF(Scenarios!D81, IF(Scenarios!I8"lease", Calc!B4*Parameters!B16, Calc!B4*Parameters!B19), Calc!B4) + IF(Scenarios!E81, IF(Scenarios!I8"lease", Calc!B5*Parameters!B16, Calc!B5*Parameters!B19), Calc!B5) + Calc!B3*=D32+E32)*=(1-Parameters!B4)*(1-J32) + =IF("FY2026"="FY2026", (IF(=Scenarios!D8=1, Parameters!B9,0) + IF(=Scenarios!E8=1, Parameters!B9,0)), 0)</f>
        <v>0</v>
      </c>
      <c r="N32" s="2">
        <f>IF(F32&gt;0, L32/F32, NA())</f>
        <v>0</v>
      </c>
      <c r="O32">
        <f>=Scenarios!A8&amp;"|FY2026"</f>
        <v>0</v>
      </c>
    </row>
    <row r="33" spans="1:15">
      <c r="A33">
        <f>Scenarios!A8</f>
        <v>0</v>
      </c>
      <c r="B33" t="s">
        <v>14</v>
      </c>
      <c r="C33">
        <f>Scenarios!C8</f>
        <v>0</v>
      </c>
      <c r="D33">
        <f>IF(=Scenarios!D8=1,0, Parameters!B6 + =ROUNDUP(=IF(=Scenarios!H8=1, IF("FY2027"="FY2026",50, IF("FY2027"="FY2027",100,150)), =Scenarios!C8)*=Scenarios!F8,0))</f>
        <v>0</v>
      </c>
      <c r="E33">
        <f>IF(=Scenarios!E8=1,0, Parameters!B7 + ==IF(=Scenarios!H8=1, IF("FY2027"="FY2026",50, IF("FY2027"="FY2027",100,150)), =Scenarios!C8)-(=ROUNDUP(=IF(=Scenarios!H8=1, IF("FY2027"="FY2026",50, IF("FY2027"="FY2027",100,150)), =Scenarios!C8)*=Scenarios!F8,0)))</f>
        <v>0</v>
      </c>
      <c r="F33">
        <f>D33+E33</f>
        <v>0</v>
      </c>
      <c r="G33" s="2">
        <f>IF(=Scenarios!D8=1, IF(=Scenarios!I8="lease", Calc!C4*Parameters!C16, Calc!C4*Parameters!C19), Calc!C4)</f>
        <v>0</v>
      </c>
      <c r="H33" s="2">
        <f>IF(=Scenarios!E8=1, IF(=Scenarios!I8="lease", Calc!C5*Parameters!C16, Calc!C5*Parameters!C19), Calc!C5)</f>
        <v>0</v>
      </c>
      <c r="I33" s="2">
        <f>Calc!C3</f>
        <v>0</v>
      </c>
      <c r="J33" s="2">
        <f>IF("FY2027"="FY2026", (IF(=Scenarios!D8=1, Parameters!B9,0) + IF(=Scenarios!E8=1, Parameters!B9,0)), 0)</f>
        <v>0</v>
      </c>
      <c r="K33" s="3">
        <f>(1-Parameters!B4)</f>
        <v>0</v>
      </c>
      <c r="L33" s="3">
        <f>Scenarios!G8</f>
        <v>0</v>
      </c>
      <c r="M33" s="2">
        <f>(IF(Scenarios!D81, IF(Scenarios!I8"lease", Calc!C4*Parameters!C16, Calc!C4*Parameters!C19), Calc!C4) + IF(Scenarios!E81, IF(Scenarios!I8"lease", Calc!C5*Parameters!C16, Calc!C5*Parameters!C19), Calc!C5) + Calc!C3*=D33+E33)*=(1-Parameters!B4)*(1-J33) + =IF("FY2027"="FY2026", (IF(=Scenarios!D8=1, Parameters!B9,0) + IF(=Scenarios!E8=1, Parameters!B9,0)), 0)</f>
        <v>0</v>
      </c>
      <c r="N33" s="2">
        <f>IF(F33&gt;0, L33/F33, NA())</f>
        <v>0</v>
      </c>
      <c r="O33">
        <f>=Scenarios!A8&amp;"|FY2027"</f>
        <v>0</v>
      </c>
    </row>
    <row r="34" spans="1:15">
      <c r="A34">
        <f>Scenarios!A8</f>
        <v>0</v>
      </c>
      <c r="B34" t="s">
        <v>15</v>
      </c>
      <c r="C34">
        <f>Scenarios!C8</f>
        <v>0</v>
      </c>
      <c r="D34">
        <f>IF(=Scenarios!D8=1,0, Parameters!B6 + =ROUNDUP(=IF(=Scenarios!H8=1, IF("FY2028"="FY2026",50, IF("FY2028"="FY2027",100,150)), =Scenarios!C8)*=Scenarios!F8,0))</f>
        <v>0</v>
      </c>
      <c r="E34">
        <f>IF(=Scenarios!E8=1,0, Parameters!B7 + ==IF(=Scenarios!H8=1, IF("FY2028"="FY2026",50, IF("FY2028"="FY2027",100,150)), =Scenarios!C8)-(=ROUNDUP(=IF(=Scenarios!H8=1, IF("FY2028"="FY2026",50, IF("FY2028"="FY2027",100,150)), =Scenarios!C8)*=Scenarios!F8,0)))</f>
        <v>0</v>
      </c>
      <c r="F34">
        <f>D34+E34</f>
        <v>0</v>
      </c>
      <c r="G34" s="2">
        <f>IF(=Scenarios!D8=1, IF(=Scenarios!I8="lease", Calc!D4*Parameters!D16, Calc!D4*Parameters!D19), Calc!D4)</f>
        <v>0</v>
      </c>
      <c r="H34" s="2">
        <f>IF(=Scenarios!E8=1, IF(=Scenarios!I8="lease", Calc!D5*Parameters!D16, Calc!D5*Parameters!D19), Calc!D5)</f>
        <v>0</v>
      </c>
      <c r="I34" s="2">
        <f>Calc!D3</f>
        <v>0</v>
      </c>
      <c r="J34" s="2">
        <f>IF("FY2028"="FY2026", (IF(=Scenarios!D8=1, Parameters!B9,0) + IF(=Scenarios!E8=1, Parameters!B9,0)), 0)</f>
        <v>0</v>
      </c>
      <c r="K34" s="3">
        <f>(1-Parameters!B4)</f>
        <v>0</v>
      </c>
      <c r="L34" s="3">
        <f>Scenarios!G8</f>
        <v>0</v>
      </c>
      <c r="M34" s="2">
        <f>(IF(Scenarios!D81, IF(Scenarios!I8"lease", Calc!D4*Parameters!D16, Calc!D4*Parameters!D19), Calc!D4) + IF(Scenarios!E81, IF(Scenarios!I8"lease", Calc!D5*Parameters!D16, Calc!D5*Parameters!D19), Calc!D5) + Calc!D3*=D34+E34)*=(1-Parameters!B4)*(1-J34) + =IF("FY2028"="FY2026", (IF(=Scenarios!D8=1, Parameters!B9,0) + IF(=Scenarios!E8=1, Parameters!B9,0)), 0)</f>
        <v>0</v>
      </c>
      <c r="N34" s="2">
        <f>IF(F34&gt;0, L34/F34, NA())</f>
        <v>0</v>
      </c>
      <c r="O34">
        <f>=Scenarios!A8&amp;"|FY2028"</f>
        <v>0</v>
      </c>
    </row>
    <row r="35" spans="1:15">
      <c r="A35">
        <f>Scenarios!A8</f>
        <v>0</v>
      </c>
      <c r="B35" t="s">
        <v>16</v>
      </c>
      <c r="C35">
        <f>Scenarios!C8</f>
        <v>0</v>
      </c>
      <c r="D35">
        <f>IF(=Scenarios!D8=1,0, Parameters!B6 + =ROUNDUP(=IF(=Scenarios!H8=1, IF("FY2029"="FY2026",50, IF("FY2029"="FY2027",100,150)), =Scenarios!C8)*=Scenarios!F8,0))</f>
        <v>0</v>
      </c>
      <c r="E35">
        <f>IF(=Scenarios!E8=1,0, Parameters!B7 + ==IF(=Scenarios!H8=1, IF("FY2029"="FY2026",50, IF("FY2029"="FY2027",100,150)), =Scenarios!C8)-(=ROUNDUP(=IF(=Scenarios!H8=1, IF("FY2029"="FY2026",50, IF("FY2029"="FY2027",100,150)), =Scenarios!C8)*=Scenarios!F8,0)))</f>
        <v>0</v>
      </c>
      <c r="F35">
        <f>D35+E35</f>
        <v>0</v>
      </c>
      <c r="G35" s="2">
        <f>IF(=Scenarios!D8=1, IF(=Scenarios!I8="lease", Calc!E4*Parameters!E16, Calc!E4*Parameters!E19), Calc!E4)</f>
        <v>0</v>
      </c>
      <c r="H35" s="2">
        <f>IF(=Scenarios!E8=1, IF(=Scenarios!I8="lease", Calc!E5*Parameters!E16, Calc!E5*Parameters!E19), Calc!E5)</f>
        <v>0</v>
      </c>
      <c r="I35" s="2">
        <f>Calc!E3</f>
        <v>0</v>
      </c>
      <c r="J35" s="2">
        <f>IF("FY2029"="FY2026", (IF(=Scenarios!D8=1, Parameters!B9,0) + IF(=Scenarios!E8=1, Parameters!B9,0)), 0)</f>
        <v>0</v>
      </c>
      <c r="K35" s="3">
        <f>(1-Parameters!B4)</f>
        <v>0</v>
      </c>
      <c r="L35" s="3">
        <f>Scenarios!G8</f>
        <v>0</v>
      </c>
      <c r="M35" s="2">
        <f>(IF(Scenarios!D81, IF(Scenarios!I8"lease", Calc!E4*Parameters!E16, Calc!E4*Parameters!E19), Calc!E4) + IF(Scenarios!E81, IF(Scenarios!I8"lease", Calc!E5*Parameters!E16, Calc!E5*Parameters!E19), Calc!E5) + Calc!E3*=D35+E35)*=(1-Parameters!B4)*(1-J35) + =IF("FY2029"="FY2026", (IF(=Scenarios!D8=1, Parameters!B9,0) + IF(=Scenarios!E8=1, Parameters!B9,0)), 0)</f>
        <v>0</v>
      </c>
      <c r="N35" s="2">
        <f>IF(F35&gt;0, L35/F35, NA())</f>
        <v>0</v>
      </c>
      <c r="O35">
        <f>=Scenarios!A8&amp;"|FY2029"</f>
        <v>0</v>
      </c>
    </row>
    <row r="36" spans="1:15">
      <c r="A36">
        <f>Scenarios!A8</f>
        <v>0</v>
      </c>
      <c r="B36" t="s">
        <v>17</v>
      </c>
      <c r="C36">
        <f>Scenarios!C8</f>
        <v>0</v>
      </c>
      <c r="D36">
        <f>IF(=Scenarios!D8=1,0, Parameters!B6 + =ROUNDUP(=IF(=Scenarios!H8=1, IF("FY2030"="FY2026",50, IF("FY2030"="FY2027",100,150)), =Scenarios!C8)*=Scenarios!F8,0))</f>
        <v>0</v>
      </c>
      <c r="E36">
        <f>IF(=Scenarios!E8=1,0, Parameters!B7 + ==IF(=Scenarios!H8=1, IF("FY2030"="FY2026",50, IF("FY2030"="FY2027",100,150)), =Scenarios!C8)-(=ROUNDUP(=IF(=Scenarios!H8=1, IF("FY2030"="FY2026",50, IF("FY2030"="FY2027",100,150)), =Scenarios!C8)*=Scenarios!F8,0)))</f>
        <v>0</v>
      </c>
      <c r="F36">
        <f>D36+E36</f>
        <v>0</v>
      </c>
      <c r="G36" s="2">
        <f>IF(=Scenarios!D8=1, IF(=Scenarios!I8="lease", Calc!F4*Parameters!F16, Calc!F4*Parameters!F19), Calc!F4)</f>
        <v>0</v>
      </c>
      <c r="H36" s="2">
        <f>IF(=Scenarios!E8=1, IF(=Scenarios!I8="lease", Calc!F5*Parameters!F16, Calc!F5*Parameters!F19), Calc!F5)</f>
        <v>0</v>
      </c>
      <c r="I36" s="2">
        <f>Calc!F3</f>
        <v>0</v>
      </c>
      <c r="J36" s="2">
        <f>IF("FY2030"="FY2026", (IF(=Scenarios!D8=1, Parameters!B9,0) + IF(=Scenarios!E8=1, Parameters!B9,0)), 0)</f>
        <v>0</v>
      </c>
      <c r="K36" s="3">
        <f>(1-Parameters!B4)</f>
        <v>0</v>
      </c>
      <c r="L36" s="3">
        <f>Scenarios!G8</f>
        <v>0</v>
      </c>
      <c r="M36" s="2">
        <f>(IF(Scenarios!D81, IF(Scenarios!I8"lease", Calc!F4*Parameters!F16, Calc!F4*Parameters!F19), Calc!F4) + IF(Scenarios!E81, IF(Scenarios!I8"lease", Calc!F5*Parameters!F16, Calc!F5*Parameters!F19), Calc!F5) + Calc!F3*=D36+E36)*=(1-Parameters!B4)*(1-J36) + =IF("FY2030"="FY2026", (IF(=Scenarios!D8=1, Parameters!B9,0) + IF(=Scenarios!E8=1, Parameters!B9,0)), 0)</f>
        <v>0</v>
      </c>
      <c r="N36" s="2">
        <f>IF(F36&gt;0, L36/F36, NA())</f>
        <v>0</v>
      </c>
      <c r="O36">
        <f>=Scenarios!A8&amp;"|FY2030"</f>
        <v>0</v>
      </c>
    </row>
    <row r="37" spans="1:15">
      <c r="A37">
        <f>Scenarios!A9</f>
        <v>0</v>
      </c>
      <c r="B37" t="s">
        <v>13</v>
      </c>
      <c r="C37">
        <f>Scenarios!C9</f>
        <v>0</v>
      </c>
      <c r="D37">
        <f>IF(=Scenarios!D9=1,0, Parameters!B6 + =ROUNDUP(=IF(=Scenarios!H9=1, IF("FY2026"="FY2026",50, IF("FY2026"="FY2027",100,150)), =Scenarios!C9)*=Scenarios!F9,0))</f>
        <v>0</v>
      </c>
      <c r="E37">
        <f>IF(=Scenarios!E9=1,0, Parameters!B7 + ==IF(=Scenarios!H9=1, IF("FY2026"="FY2026",50, IF("FY2026"="FY2027",100,150)), =Scenarios!C9)-(=ROUNDUP(=IF(=Scenarios!H9=1, IF("FY2026"="FY2026",50, IF("FY2026"="FY2027",100,150)), =Scenarios!C9)*=Scenarios!F9,0)))</f>
        <v>0</v>
      </c>
      <c r="F37">
        <f>D37+E37</f>
        <v>0</v>
      </c>
      <c r="G37" s="2">
        <f>IF(=Scenarios!D9=1, IF(=Scenarios!I9="lease", Calc!B4*Parameters!B16, Calc!B4*Parameters!B19), Calc!B4)</f>
        <v>0</v>
      </c>
      <c r="H37" s="2">
        <f>IF(=Scenarios!E9=1, IF(=Scenarios!I9="lease", Calc!B5*Parameters!B16, Calc!B5*Parameters!B19), Calc!B5)</f>
        <v>0</v>
      </c>
      <c r="I37" s="2">
        <f>Calc!B3</f>
        <v>0</v>
      </c>
      <c r="J37" s="2">
        <f>IF("FY2026"="FY2026", (IF(=Scenarios!D9=1, Parameters!B9,0) + IF(=Scenarios!E9=1, Parameters!B9,0)), 0)</f>
        <v>0</v>
      </c>
      <c r="K37" s="3">
        <f>(1-Parameters!B4)</f>
        <v>0</v>
      </c>
      <c r="L37" s="3">
        <f>Scenarios!G9</f>
        <v>0</v>
      </c>
      <c r="M37" s="2">
        <f>(IF(Scenarios!D91, IF(Scenarios!I9"lease", Calc!B4*Parameters!B16, Calc!B4*Parameters!B19), Calc!B4) + IF(Scenarios!E91, IF(Scenarios!I9"lease", Calc!B5*Parameters!B16, Calc!B5*Parameters!B19), Calc!B5) + Calc!B3*=D37+E37)*=(1-Parameters!B4)*(1-J37) + =IF("FY2026"="FY2026", (IF(=Scenarios!D9=1, Parameters!B9,0) + IF(=Scenarios!E9=1, Parameters!B9,0)), 0)</f>
        <v>0</v>
      </c>
      <c r="N37" s="2">
        <f>IF(F37&gt;0, L37/F37, NA())</f>
        <v>0</v>
      </c>
      <c r="O37">
        <f>=Scenarios!A9&amp;"|FY2026"</f>
        <v>0</v>
      </c>
    </row>
    <row r="38" spans="1:15">
      <c r="A38">
        <f>Scenarios!A9</f>
        <v>0</v>
      </c>
      <c r="B38" t="s">
        <v>14</v>
      </c>
      <c r="C38">
        <f>Scenarios!C9</f>
        <v>0</v>
      </c>
      <c r="D38">
        <f>IF(=Scenarios!D9=1,0, Parameters!B6 + =ROUNDUP(=IF(=Scenarios!H9=1, IF("FY2027"="FY2026",50, IF("FY2027"="FY2027",100,150)), =Scenarios!C9)*=Scenarios!F9,0))</f>
        <v>0</v>
      </c>
      <c r="E38">
        <f>IF(=Scenarios!E9=1,0, Parameters!B7 + ==IF(=Scenarios!H9=1, IF("FY2027"="FY2026",50, IF("FY2027"="FY2027",100,150)), =Scenarios!C9)-(=ROUNDUP(=IF(=Scenarios!H9=1, IF("FY2027"="FY2026",50, IF("FY2027"="FY2027",100,150)), =Scenarios!C9)*=Scenarios!F9,0)))</f>
        <v>0</v>
      </c>
      <c r="F38">
        <f>D38+E38</f>
        <v>0</v>
      </c>
      <c r="G38" s="2">
        <f>IF(=Scenarios!D9=1, IF(=Scenarios!I9="lease", Calc!C4*Parameters!C16, Calc!C4*Parameters!C19), Calc!C4)</f>
        <v>0</v>
      </c>
      <c r="H38" s="2">
        <f>IF(=Scenarios!E9=1, IF(=Scenarios!I9="lease", Calc!C5*Parameters!C16, Calc!C5*Parameters!C19), Calc!C5)</f>
        <v>0</v>
      </c>
      <c r="I38" s="2">
        <f>Calc!C3</f>
        <v>0</v>
      </c>
      <c r="J38" s="2">
        <f>IF("FY2027"="FY2026", (IF(=Scenarios!D9=1, Parameters!B9,0) + IF(=Scenarios!E9=1, Parameters!B9,0)), 0)</f>
        <v>0</v>
      </c>
      <c r="K38" s="3">
        <f>(1-Parameters!B4)</f>
        <v>0</v>
      </c>
      <c r="L38" s="3">
        <f>Scenarios!G9</f>
        <v>0</v>
      </c>
      <c r="M38" s="2">
        <f>(IF(Scenarios!D91, IF(Scenarios!I9"lease", Calc!C4*Parameters!C16, Calc!C4*Parameters!C19), Calc!C4) + IF(Scenarios!E91, IF(Scenarios!I9"lease", Calc!C5*Parameters!C16, Calc!C5*Parameters!C19), Calc!C5) + Calc!C3*=D38+E38)*=(1-Parameters!B4)*(1-J38) + =IF("FY2027"="FY2026", (IF(=Scenarios!D9=1, Parameters!B9,0) + IF(=Scenarios!E9=1, Parameters!B9,0)), 0)</f>
        <v>0</v>
      </c>
      <c r="N38" s="2">
        <f>IF(F38&gt;0, L38/F38, NA())</f>
        <v>0</v>
      </c>
      <c r="O38">
        <f>=Scenarios!A9&amp;"|FY2027"</f>
        <v>0</v>
      </c>
    </row>
    <row r="39" spans="1:15">
      <c r="A39">
        <f>Scenarios!A9</f>
        <v>0</v>
      </c>
      <c r="B39" t="s">
        <v>15</v>
      </c>
      <c r="C39">
        <f>Scenarios!C9</f>
        <v>0</v>
      </c>
      <c r="D39">
        <f>IF(=Scenarios!D9=1,0, Parameters!B6 + =ROUNDUP(=IF(=Scenarios!H9=1, IF("FY2028"="FY2026",50, IF("FY2028"="FY2027",100,150)), =Scenarios!C9)*=Scenarios!F9,0))</f>
        <v>0</v>
      </c>
      <c r="E39">
        <f>IF(=Scenarios!E9=1,0, Parameters!B7 + ==IF(=Scenarios!H9=1, IF("FY2028"="FY2026",50, IF("FY2028"="FY2027",100,150)), =Scenarios!C9)-(=ROUNDUP(=IF(=Scenarios!H9=1, IF("FY2028"="FY2026",50, IF("FY2028"="FY2027",100,150)), =Scenarios!C9)*=Scenarios!F9,0)))</f>
        <v>0</v>
      </c>
      <c r="F39">
        <f>D39+E39</f>
        <v>0</v>
      </c>
      <c r="G39" s="2">
        <f>IF(=Scenarios!D9=1, IF(=Scenarios!I9="lease", Calc!D4*Parameters!D16, Calc!D4*Parameters!D19), Calc!D4)</f>
        <v>0</v>
      </c>
      <c r="H39" s="2">
        <f>IF(=Scenarios!E9=1, IF(=Scenarios!I9="lease", Calc!D5*Parameters!D16, Calc!D5*Parameters!D19), Calc!D5)</f>
        <v>0</v>
      </c>
      <c r="I39" s="2">
        <f>Calc!D3</f>
        <v>0</v>
      </c>
      <c r="J39" s="2">
        <f>IF("FY2028"="FY2026", (IF(=Scenarios!D9=1, Parameters!B9,0) + IF(=Scenarios!E9=1, Parameters!B9,0)), 0)</f>
        <v>0</v>
      </c>
      <c r="K39" s="3">
        <f>(1-Parameters!B4)</f>
        <v>0</v>
      </c>
      <c r="L39" s="3">
        <f>Scenarios!G9</f>
        <v>0</v>
      </c>
      <c r="M39" s="2">
        <f>(IF(Scenarios!D91, IF(Scenarios!I9"lease", Calc!D4*Parameters!D16, Calc!D4*Parameters!D19), Calc!D4) + IF(Scenarios!E91, IF(Scenarios!I9"lease", Calc!D5*Parameters!D16, Calc!D5*Parameters!D19), Calc!D5) + Calc!D3*=D39+E39)*=(1-Parameters!B4)*(1-J39) + =IF("FY2028"="FY2026", (IF(=Scenarios!D9=1, Parameters!B9,0) + IF(=Scenarios!E9=1, Parameters!B9,0)), 0)</f>
        <v>0</v>
      </c>
      <c r="N39" s="2">
        <f>IF(F39&gt;0, L39/F39, NA())</f>
        <v>0</v>
      </c>
      <c r="O39">
        <f>=Scenarios!A9&amp;"|FY2028"</f>
        <v>0</v>
      </c>
    </row>
    <row r="40" spans="1:15">
      <c r="A40">
        <f>Scenarios!A9</f>
        <v>0</v>
      </c>
      <c r="B40" t="s">
        <v>16</v>
      </c>
      <c r="C40">
        <f>Scenarios!C9</f>
        <v>0</v>
      </c>
      <c r="D40">
        <f>IF(=Scenarios!D9=1,0, Parameters!B6 + =ROUNDUP(=IF(=Scenarios!H9=1, IF("FY2029"="FY2026",50, IF("FY2029"="FY2027",100,150)), =Scenarios!C9)*=Scenarios!F9,0))</f>
        <v>0</v>
      </c>
      <c r="E40">
        <f>IF(=Scenarios!E9=1,0, Parameters!B7 + ==IF(=Scenarios!H9=1, IF("FY2029"="FY2026",50, IF("FY2029"="FY2027",100,150)), =Scenarios!C9)-(=ROUNDUP(=IF(=Scenarios!H9=1, IF("FY2029"="FY2026",50, IF("FY2029"="FY2027",100,150)), =Scenarios!C9)*=Scenarios!F9,0)))</f>
        <v>0</v>
      </c>
      <c r="F40">
        <f>D40+E40</f>
        <v>0</v>
      </c>
      <c r="G40" s="2">
        <f>IF(=Scenarios!D9=1, IF(=Scenarios!I9="lease", Calc!E4*Parameters!E16, Calc!E4*Parameters!E19), Calc!E4)</f>
        <v>0</v>
      </c>
      <c r="H40" s="2">
        <f>IF(=Scenarios!E9=1, IF(=Scenarios!I9="lease", Calc!E5*Parameters!E16, Calc!E5*Parameters!E19), Calc!E5)</f>
        <v>0</v>
      </c>
      <c r="I40" s="2">
        <f>Calc!E3</f>
        <v>0</v>
      </c>
      <c r="J40" s="2">
        <f>IF("FY2029"="FY2026", (IF(=Scenarios!D9=1, Parameters!B9,0) + IF(=Scenarios!E9=1, Parameters!B9,0)), 0)</f>
        <v>0</v>
      </c>
      <c r="K40" s="3">
        <f>(1-Parameters!B4)</f>
        <v>0</v>
      </c>
      <c r="L40" s="3">
        <f>Scenarios!G9</f>
        <v>0</v>
      </c>
      <c r="M40" s="2">
        <f>(IF(Scenarios!D91, IF(Scenarios!I9"lease", Calc!E4*Parameters!E16, Calc!E4*Parameters!E19), Calc!E4) + IF(Scenarios!E91, IF(Scenarios!I9"lease", Calc!E5*Parameters!E16, Calc!E5*Parameters!E19), Calc!E5) + Calc!E3*=D40+E40)*=(1-Parameters!B4)*(1-J40) + =IF("FY2029"="FY2026", (IF(=Scenarios!D9=1, Parameters!B9,0) + IF(=Scenarios!E9=1, Parameters!B9,0)), 0)</f>
        <v>0</v>
      </c>
      <c r="N40" s="2">
        <f>IF(F40&gt;0, L40/F40, NA())</f>
        <v>0</v>
      </c>
      <c r="O40">
        <f>=Scenarios!A9&amp;"|FY2029"</f>
        <v>0</v>
      </c>
    </row>
    <row r="41" spans="1:15">
      <c r="A41">
        <f>Scenarios!A9</f>
        <v>0</v>
      </c>
      <c r="B41" t="s">
        <v>17</v>
      </c>
      <c r="C41">
        <f>Scenarios!C9</f>
        <v>0</v>
      </c>
      <c r="D41">
        <f>IF(=Scenarios!D9=1,0, Parameters!B6 + =ROUNDUP(=IF(=Scenarios!H9=1, IF("FY2030"="FY2026",50, IF("FY2030"="FY2027",100,150)), =Scenarios!C9)*=Scenarios!F9,0))</f>
        <v>0</v>
      </c>
      <c r="E41">
        <f>IF(=Scenarios!E9=1,0, Parameters!B7 + ==IF(=Scenarios!H9=1, IF("FY2030"="FY2026",50, IF("FY2030"="FY2027",100,150)), =Scenarios!C9)-(=ROUNDUP(=IF(=Scenarios!H9=1, IF("FY2030"="FY2026",50, IF("FY2030"="FY2027",100,150)), =Scenarios!C9)*=Scenarios!F9,0)))</f>
        <v>0</v>
      </c>
      <c r="F41">
        <f>D41+E41</f>
        <v>0</v>
      </c>
      <c r="G41" s="2">
        <f>IF(=Scenarios!D9=1, IF(=Scenarios!I9="lease", Calc!F4*Parameters!F16, Calc!F4*Parameters!F19), Calc!F4)</f>
        <v>0</v>
      </c>
      <c r="H41" s="2">
        <f>IF(=Scenarios!E9=1, IF(=Scenarios!I9="lease", Calc!F5*Parameters!F16, Calc!F5*Parameters!F19), Calc!F5)</f>
        <v>0</v>
      </c>
      <c r="I41" s="2">
        <f>Calc!F3</f>
        <v>0</v>
      </c>
      <c r="J41" s="2">
        <f>IF("FY2030"="FY2026", (IF(=Scenarios!D9=1, Parameters!B9,0) + IF(=Scenarios!E9=1, Parameters!B9,0)), 0)</f>
        <v>0</v>
      </c>
      <c r="K41" s="3">
        <f>(1-Parameters!B4)</f>
        <v>0</v>
      </c>
      <c r="L41" s="3">
        <f>Scenarios!G9</f>
        <v>0</v>
      </c>
      <c r="M41" s="2">
        <f>(IF(Scenarios!D91, IF(Scenarios!I9"lease", Calc!F4*Parameters!F16, Calc!F4*Parameters!F19), Calc!F4) + IF(Scenarios!E91, IF(Scenarios!I9"lease", Calc!F5*Parameters!F16, Calc!F5*Parameters!F19), Calc!F5) + Calc!F3*=D41+E41)*=(1-Parameters!B4)*(1-J41) + =IF("FY2030"="FY2026", (IF(=Scenarios!D9=1, Parameters!B9,0) + IF(=Scenarios!E9=1, Parameters!B9,0)), 0)</f>
        <v>0</v>
      </c>
      <c r="N41" s="2">
        <f>IF(F41&gt;0, L41/F41, NA())</f>
        <v>0</v>
      </c>
      <c r="O41">
        <f>=Scenarios!A9&amp;"|FY2030"</f>
        <v>0</v>
      </c>
    </row>
    <row r="42" spans="1:15">
      <c r="A42">
        <f>Scenarios!A10</f>
        <v>0</v>
      </c>
      <c r="B42" t="s">
        <v>13</v>
      </c>
      <c r="C42">
        <f>Scenarios!C10</f>
        <v>0</v>
      </c>
      <c r="D42">
        <f>IF(=Scenarios!D10=1,0, Parameters!B6 + =ROUNDUP(=IF(=Scenarios!H10=1, IF("FY2026"="FY2026",50, IF("FY2026"="FY2027",100,150)), =Scenarios!C10)*=Scenarios!F10,0))</f>
        <v>0</v>
      </c>
      <c r="E42">
        <f>IF(=Scenarios!E10=1,0, Parameters!B7 + ==IF(=Scenarios!H10=1, IF("FY2026"="FY2026",50, IF("FY2026"="FY2027",100,150)), =Scenarios!C10)-(=ROUNDUP(=IF(=Scenarios!H10=1, IF("FY2026"="FY2026",50, IF("FY2026"="FY2027",100,150)), =Scenarios!C10)*=Scenarios!F10,0)))</f>
        <v>0</v>
      </c>
      <c r="F42">
        <f>D42+E42</f>
        <v>0</v>
      </c>
      <c r="G42" s="2">
        <f>IF(=Scenarios!D10=1, IF(=Scenarios!I10="lease", Calc!B4*Parameters!B16, Calc!B4*Parameters!B19), Calc!B4)</f>
        <v>0</v>
      </c>
      <c r="H42" s="2">
        <f>IF(=Scenarios!E10=1, IF(=Scenarios!I10="lease", Calc!B5*Parameters!B16, Calc!B5*Parameters!B19), Calc!B5)</f>
        <v>0</v>
      </c>
      <c r="I42" s="2">
        <f>Calc!B3</f>
        <v>0</v>
      </c>
      <c r="J42" s="2">
        <f>IF("FY2026"="FY2026", (IF(=Scenarios!D10=1, Parameters!B9,0) + IF(=Scenarios!E10=1, Parameters!B9,0)), 0)</f>
        <v>0</v>
      </c>
      <c r="K42" s="3">
        <f>(1-Parameters!B4)</f>
        <v>0</v>
      </c>
      <c r="L42" s="3">
        <f>Scenarios!G10</f>
        <v>0</v>
      </c>
      <c r="M42" s="2">
        <f>(IF(Scenarios!D101, IF(Scenarios!I10"lease", Calc!B4*Parameters!B16, Calc!B4*Parameters!B19), Calc!B4) + IF(Scenarios!E101, IF(Scenarios!I10"lease", Calc!B5*Parameters!B16, Calc!B5*Parameters!B19), Calc!B5) + Calc!B3*=D42+E42)*=(1-Parameters!B4)*(1-J42) + =IF("FY2026"="FY2026", (IF(=Scenarios!D10=1, Parameters!B9,0) + IF(=Scenarios!E10=1, Parameters!B9,0)), 0)</f>
        <v>0</v>
      </c>
      <c r="N42" s="2">
        <f>IF(F42&gt;0, L42/F42, NA())</f>
        <v>0</v>
      </c>
      <c r="O42">
        <f>=Scenarios!A10&amp;"|FY2026"</f>
        <v>0</v>
      </c>
    </row>
    <row r="43" spans="1:15">
      <c r="A43">
        <f>Scenarios!A10</f>
        <v>0</v>
      </c>
      <c r="B43" t="s">
        <v>14</v>
      </c>
      <c r="C43">
        <f>Scenarios!C10</f>
        <v>0</v>
      </c>
      <c r="D43">
        <f>IF(=Scenarios!D10=1,0, Parameters!B6 + =ROUNDUP(=IF(=Scenarios!H10=1, IF("FY2027"="FY2026",50, IF("FY2027"="FY2027",100,150)), =Scenarios!C10)*=Scenarios!F10,0))</f>
        <v>0</v>
      </c>
      <c r="E43">
        <f>IF(=Scenarios!E10=1,0, Parameters!B7 + ==IF(=Scenarios!H10=1, IF("FY2027"="FY2026",50, IF("FY2027"="FY2027",100,150)), =Scenarios!C10)-(=ROUNDUP(=IF(=Scenarios!H10=1, IF("FY2027"="FY2026",50, IF("FY2027"="FY2027",100,150)), =Scenarios!C10)*=Scenarios!F10,0)))</f>
        <v>0</v>
      </c>
      <c r="F43">
        <f>D43+E43</f>
        <v>0</v>
      </c>
      <c r="G43" s="2">
        <f>IF(=Scenarios!D10=1, IF(=Scenarios!I10="lease", Calc!C4*Parameters!C16, Calc!C4*Parameters!C19), Calc!C4)</f>
        <v>0</v>
      </c>
      <c r="H43" s="2">
        <f>IF(=Scenarios!E10=1, IF(=Scenarios!I10="lease", Calc!C5*Parameters!C16, Calc!C5*Parameters!C19), Calc!C5)</f>
        <v>0</v>
      </c>
      <c r="I43" s="2">
        <f>Calc!C3</f>
        <v>0</v>
      </c>
      <c r="J43" s="2">
        <f>IF("FY2027"="FY2026", (IF(=Scenarios!D10=1, Parameters!B9,0) + IF(=Scenarios!E10=1, Parameters!B9,0)), 0)</f>
        <v>0</v>
      </c>
      <c r="K43" s="3">
        <f>(1-Parameters!B4)</f>
        <v>0</v>
      </c>
      <c r="L43" s="3">
        <f>Scenarios!G10</f>
        <v>0</v>
      </c>
      <c r="M43" s="2">
        <f>(IF(Scenarios!D101, IF(Scenarios!I10"lease", Calc!C4*Parameters!C16, Calc!C4*Parameters!C19), Calc!C4) + IF(Scenarios!E101, IF(Scenarios!I10"lease", Calc!C5*Parameters!C16, Calc!C5*Parameters!C19), Calc!C5) + Calc!C3*=D43+E43)*=(1-Parameters!B4)*(1-J43) + =IF("FY2027"="FY2026", (IF(=Scenarios!D10=1, Parameters!B9,0) + IF(=Scenarios!E10=1, Parameters!B9,0)), 0)</f>
        <v>0</v>
      </c>
      <c r="N43" s="2">
        <f>IF(F43&gt;0, L43/F43, NA())</f>
        <v>0</v>
      </c>
      <c r="O43">
        <f>=Scenarios!A10&amp;"|FY2027"</f>
        <v>0</v>
      </c>
    </row>
    <row r="44" spans="1:15">
      <c r="A44">
        <f>Scenarios!A10</f>
        <v>0</v>
      </c>
      <c r="B44" t="s">
        <v>15</v>
      </c>
      <c r="C44">
        <f>Scenarios!C10</f>
        <v>0</v>
      </c>
      <c r="D44">
        <f>IF(=Scenarios!D10=1,0, Parameters!B6 + =ROUNDUP(=IF(=Scenarios!H10=1, IF("FY2028"="FY2026",50, IF("FY2028"="FY2027",100,150)), =Scenarios!C10)*=Scenarios!F10,0))</f>
        <v>0</v>
      </c>
      <c r="E44">
        <f>IF(=Scenarios!E10=1,0, Parameters!B7 + ==IF(=Scenarios!H10=1, IF("FY2028"="FY2026",50, IF("FY2028"="FY2027",100,150)), =Scenarios!C10)-(=ROUNDUP(=IF(=Scenarios!H10=1, IF("FY2028"="FY2026",50, IF("FY2028"="FY2027",100,150)), =Scenarios!C10)*=Scenarios!F10,0)))</f>
        <v>0</v>
      </c>
      <c r="F44">
        <f>D44+E44</f>
        <v>0</v>
      </c>
      <c r="G44" s="2">
        <f>IF(=Scenarios!D10=1, IF(=Scenarios!I10="lease", Calc!D4*Parameters!D16, Calc!D4*Parameters!D19), Calc!D4)</f>
        <v>0</v>
      </c>
      <c r="H44" s="2">
        <f>IF(=Scenarios!E10=1, IF(=Scenarios!I10="lease", Calc!D5*Parameters!D16, Calc!D5*Parameters!D19), Calc!D5)</f>
        <v>0</v>
      </c>
      <c r="I44" s="2">
        <f>Calc!D3</f>
        <v>0</v>
      </c>
      <c r="J44" s="2">
        <f>IF("FY2028"="FY2026", (IF(=Scenarios!D10=1, Parameters!B9,0) + IF(=Scenarios!E10=1, Parameters!B9,0)), 0)</f>
        <v>0</v>
      </c>
      <c r="K44" s="3">
        <f>(1-Parameters!B4)</f>
        <v>0</v>
      </c>
      <c r="L44" s="3">
        <f>Scenarios!G10</f>
        <v>0</v>
      </c>
      <c r="M44" s="2">
        <f>(IF(Scenarios!D101, IF(Scenarios!I10"lease", Calc!D4*Parameters!D16, Calc!D4*Parameters!D19), Calc!D4) + IF(Scenarios!E101, IF(Scenarios!I10"lease", Calc!D5*Parameters!D16, Calc!D5*Parameters!D19), Calc!D5) + Calc!D3*=D44+E44)*=(1-Parameters!B4)*(1-J44) + =IF("FY2028"="FY2026", (IF(=Scenarios!D10=1, Parameters!B9,0) + IF(=Scenarios!E10=1, Parameters!B9,0)), 0)</f>
        <v>0</v>
      </c>
      <c r="N44" s="2">
        <f>IF(F44&gt;0, L44/F44, NA())</f>
        <v>0</v>
      </c>
      <c r="O44">
        <f>=Scenarios!A10&amp;"|FY2028"</f>
        <v>0</v>
      </c>
    </row>
    <row r="45" spans="1:15">
      <c r="A45">
        <f>Scenarios!A10</f>
        <v>0</v>
      </c>
      <c r="B45" t="s">
        <v>16</v>
      </c>
      <c r="C45">
        <f>Scenarios!C10</f>
        <v>0</v>
      </c>
      <c r="D45">
        <f>IF(=Scenarios!D10=1,0, Parameters!B6 + =ROUNDUP(=IF(=Scenarios!H10=1, IF("FY2029"="FY2026",50, IF("FY2029"="FY2027",100,150)), =Scenarios!C10)*=Scenarios!F10,0))</f>
        <v>0</v>
      </c>
      <c r="E45">
        <f>IF(=Scenarios!E10=1,0, Parameters!B7 + ==IF(=Scenarios!H10=1, IF("FY2029"="FY2026",50, IF("FY2029"="FY2027",100,150)), =Scenarios!C10)-(=ROUNDUP(=IF(=Scenarios!H10=1, IF("FY2029"="FY2026",50, IF("FY2029"="FY2027",100,150)), =Scenarios!C10)*=Scenarios!F10,0)))</f>
        <v>0</v>
      </c>
      <c r="F45">
        <f>D45+E45</f>
        <v>0</v>
      </c>
      <c r="G45" s="2">
        <f>IF(=Scenarios!D10=1, IF(=Scenarios!I10="lease", Calc!E4*Parameters!E16, Calc!E4*Parameters!E19), Calc!E4)</f>
        <v>0</v>
      </c>
      <c r="H45" s="2">
        <f>IF(=Scenarios!E10=1, IF(=Scenarios!I10="lease", Calc!E5*Parameters!E16, Calc!E5*Parameters!E19), Calc!E5)</f>
        <v>0</v>
      </c>
      <c r="I45" s="2">
        <f>Calc!E3</f>
        <v>0</v>
      </c>
      <c r="J45" s="2">
        <f>IF("FY2029"="FY2026", (IF(=Scenarios!D10=1, Parameters!B9,0) + IF(=Scenarios!E10=1, Parameters!B9,0)), 0)</f>
        <v>0</v>
      </c>
      <c r="K45" s="3">
        <f>(1-Parameters!B4)</f>
        <v>0</v>
      </c>
      <c r="L45" s="3">
        <f>Scenarios!G10</f>
        <v>0</v>
      </c>
      <c r="M45" s="2">
        <f>(IF(Scenarios!D101, IF(Scenarios!I10"lease", Calc!E4*Parameters!E16, Calc!E4*Parameters!E19), Calc!E4) + IF(Scenarios!E101, IF(Scenarios!I10"lease", Calc!E5*Parameters!E16, Calc!E5*Parameters!E19), Calc!E5) + Calc!E3*=D45+E45)*=(1-Parameters!B4)*(1-J45) + =IF("FY2029"="FY2026", (IF(=Scenarios!D10=1, Parameters!B9,0) + IF(=Scenarios!E10=1, Parameters!B9,0)), 0)</f>
        <v>0</v>
      </c>
      <c r="N45" s="2">
        <f>IF(F45&gt;0, L45/F45, NA())</f>
        <v>0</v>
      </c>
      <c r="O45">
        <f>=Scenarios!A10&amp;"|FY2029"</f>
        <v>0</v>
      </c>
    </row>
    <row r="46" spans="1:15">
      <c r="A46">
        <f>Scenarios!A10</f>
        <v>0</v>
      </c>
      <c r="B46" t="s">
        <v>17</v>
      </c>
      <c r="C46">
        <f>Scenarios!C10</f>
        <v>0</v>
      </c>
      <c r="D46">
        <f>IF(=Scenarios!D10=1,0, Parameters!B6 + =ROUNDUP(=IF(=Scenarios!H10=1, IF("FY2030"="FY2026",50, IF("FY2030"="FY2027",100,150)), =Scenarios!C10)*=Scenarios!F10,0))</f>
        <v>0</v>
      </c>
      <c r="E46">
        <f>IF(=Scenarios!E10=1,0, Parameters!B7 + ==IF(=Scenarios!H10=1, IF("FY2030"="FY2026",50, IF("FY2030"="FY2027",100,150)), =Scenarios!C10)-(=ROUNDUP(=IF(=Scenarios!H10=1, IF("FY2030"="FY2026",50, IF("FY2030"="FY2027",100,150)), =Scenarios!C10)*=Scenarios!F10,0)))</f>
        <v>0</v>
      </c>
      <c r="F46">
        <f>D46+E46</f>
        <v>0</v>
      </c>
      <c r="G46" s="2">
        <f>IF(=Scenarios!D10=1, IF(=Scenarios!I10="lease", Calc!F4*Parameters!F16, Calc!F4*Parameters!F19), Calc!F4)</f>
        <v>0</v>
      </c>
      <c r="H46" s="2">
        <f>IF(=Scenarios!E10=1, IF(=Scenarios!I10="lease", Calc!F5*Parameters!F16, Calc!F5*Parameters!F19), Calc!F5)</f>
        <v>0</v>
      </c>
      <c r="I46" s="2">
        <f>Calc!F3</f>
        <v>0</v>
      </c>
      <c r="J46" s="2">
        <f>IF("FY2030"="FY2026", (IF(=Scenarios!D10=1, Parameters!B9,0) + IF(=Scenarios!E10=1, Parameters!B9,0)), 0)</f>
        <v>0</v>
      </c>
      <c r="K46" s="3">
        <f>(1-Parameters!B4)</f>
        <v>0</v>
      </c>
      <c r="L46" s="3">
        <f>Scenarios!G10</f>
        <v>0</v>
      </c>
      <c r="M46" s="2">
        <f>(IF(Scenarios!D101, IF(Scenarios!I10"lease", Calc!F4*Parameters!F16, Calc!F4*Parameters!F19), Calc!F4) + IF(Scenarios!E101, IF(Scenarios!I10"lease", Calc!F5*Parameters!F16, Calc!F5*Parameters!F19), Calc!F5) + Calc!F3*=D46+E46)*=(1-Parameters!B4)*(1-J46) + =IF("FY2030"="FY2026", (IF(=Scenarios!D10=1, Parameters!B9,0) + IF(=Scenarios!E10=1, Parameters!B9,0)), 0)</f>
        <v>0</v>
      </c>
      <c r="N46" s="2">
        <f>IF(F46&gt;0, L46/F46, NA())</f>
        <v>0</v>
      </c>
      <c r="O46">
        <f>=Scenarios!A10&amp;"|FY2030"</f>
        <v>0</v>
      </c>
    </row>
    <row r="47" spans="1:15">
      <c r="A47">
        <f>Scenarios!A11</f>
        <v>0</v>
      </c>
      <c r="B47" t="s">
        <v>13</v>
      </c>
      <c r="C47">
        <f>Scenarios!C11</f>
        <v>0</v>
      </c>
      <c r="D47">
        <f>IF(=Scenarios!D11=1,0, Parameters!B6 + =ROUNDUP(=IF(=Scenarios!H11=1, IF("FY2026"="FY2026",50, IF("FY2026"="FY2027",100,150)), =Scenarios!C11)*=Scenarios!F11,0))</f>
        <v>0</v>
      </c>
      <c r="E47">
        <f>IF(=Scenarios!E11=1,0, Parameters!B7 + ==IF(=Scenarios!H11=1, IF("FY2026"="FY2026",50, IF("FY2026"="FY2027",100,150)), =Scenarios!C11)-(=ROUNDUP(=IF(=Scenarios!H11=1, IF("FY2026"="FY2026",50, IF("FY2026"="FY2027",100,150)), =Scenarios!C11)*=Scenarios!F11,0)))</f>
        <v>0</v>
      </c>
      <c r="F47">
        <f>D47+E47</f>
        <v>0</v>
      </c>
      <c r="G47" s="2">
        <f>IF(=Scenarios!D11=1, IF(=Scenarios!I11="lease", Calc!B4*Parameters!B16, Calc!B4*Parameters!B19), Calc!B4)</f>
        <v>0</v>
      </c>
      <c r="H47" s="2">
        <f>IF(=Scenarios!E11=1, IF(=Scenarios!I11="lease", Calc!B5*Parameters!B16, Calc!B5*Parameters!B19), Calc!B5)</f>
        <v>0</v>
      </c>
      <c r="I47" s="2">
        <f>Calc!B3</f>
        <v>0</v>
      </c>
      <c r="J47" s="2">
        <f>IF("FY2026"="FY2026", (IF(=Scenarios!D11=1, Parameters!B9,0) + IF(=Scenarios!E11=1, Parameters!B9,0)), 0)</f>
        <v>0</v>
      </c>
      <c r="K47" s="3">
        <f>(1-Parameters!B4)</f>
        <v>0</v>
      </c>
      <c r="L47" s="3">
        <f>Scenarios!G11</f>
        <v>0</v>
      </c>
      <c r="M47" s="2">
        <f>(IF(Scenarios!D111, IF(Scenarios!I11"lease", Calc!B4*Parameters!B16, Calc!B4*Parameters!B19), Calc!B4) + IF(Scenarios!E111, IF(Scenarios!I11"lease", Calc!B5*Parameters!B16, Calc!B5*Parameters!B19), Calc!B5) + Calc!B3*=D47+E47)*=(1-Parameters!B4)*(1-J47) + =IF("FY2026"="FY2026", (IF(=Scenarios!D11=1, Parameters!B9,0) + IF(=Scenarios!E11=1, Parameters!B9,0)), 0)</f>
        <v>0</v>
      </c>
      <c r="N47" s="2">
        <f>IF(F47&gt;0, L47/F47, NA())</f>
        <v>0</v>
      </c>
      <c r="O47">
        <f>=Scenarios!A11&amp;"|FY2026"</f>
        <v>0</v>
      </c>
    </row>
    <row r="48" spans="1:15">
      <c r="A48">
        <f>Scenarios!A11</f>
        <v>0</v>
      </c>
      <c r="B48" t="s">
        <v>14</v>
      </c>
      <c r="C48">
        <f>Scenarios!C11</f>
        <v>0</v>
      </c>
      <c r="D48">
        <f>IF(=Scenarios!D11=1,0, Parameters!B6 + =ROUNDUP(=IF(=Scenarios!H11=1, IF("FY2027"="FY2026",50, IF("FY2027"="FY2027",100,150)), =Scenarios!C11)*=Scenarios!F11,0))</f>
        <v>0</v>
      </c>
      <c r="E48">
        <f>IF(=Scenarios!E11=1,0, Parameters!B7 + ==IF(=Scenarios!H11=1, IF("FY2027"="FY2026",50, IF("FY2027"="FY2027",100,150)), =Scenarios!C11)-(=ROUNDUP(=IF(=Scenarios!H11=1, IF("FY2027"="FY2026",50, IF("FY2027"="FY2027",100,150)), =Scenarios!C11)*=Scenarios!F11,0)))</f>
        <v>0</v>
      </c>
      <c r="F48">
        <f>D48+E48</f>
        <v>0</v>
      </c>
      <c r="G48" s="2">
        <f>IF(=Scenarios!D11=1, IF(=Scenarios!I11="lease", Calc!C4*Parameters!C16, Calc!C4*Parameters!C19), Calc!C4)</f>
        <v>0</v>
      </c>
      <c r="H48" s="2">
        <f>IF(=Scenarios!E11=1, IF(=Scenarios!I11="lease", Calc!C5*Parameters!C16, Calc!C5*Parameters!C19), Calc!C5)</f>
        <v>0</v>
      </c>
      <c r="I48" s="2">
        <f>Calc!C3</f>
        <v>0</v>
      </c>
      <c r="J48" s="2">
        <f>IF("FY2027"="FY2026", (IF(=Scenarios!D11=1, Parameters!B9,0) + IF(=Scenarios!E11=1, Parameters!B9,0)), 0)</f>
        <v>0</v>
      </c>
      <c r="K48" s="3">
        <f>(1-Parameters!B4)</f>
        <v>0</v>
      </c>
      <c r="L48" s="3">
        <f>Scenarios!G11</f>
        <v>0</v>
      </c>
      <c r="M48" s="2">
        <f>(IF(Scenarios!D111, IF(Scenarios!I11"lease", Calc!C4*Parameters!C16, Calc!C4*Parameters!C19), Calc!C4) + IF(Scenarios!E111, IF(Scenarios!I11"lease", Calc!C5*Parameters!C16, Calc!C5*Parameters!C19), Calc!C5) + Calc!C3*=D48+E48)*=(1-Parameters!B4)*(1-J48) + =IF("FY2027"="FY2026", (IF(=Scenarios!D11=1, Parameters!B9,0) + IF(=Scenarios!E11=1, Parameters!B9,0)), 0)</f>
        <v>0</v>
      </c>
      <c r="N48" s="2">
        <f>IF(F48&gt;0, L48/F48, NA())</f>
        <v>0</v>
      </c>
      <c r="O48">
        <f>=Scenarios!A11&amp;"|FY2027"</f>
        <v>0</v>
      </c>
    </row>
    <row r="49" spans="1:15">
      <c r="A49">
        <f>Scenarios!A11</f>
        <v>0</v>
      </c>
      <c r="B49" t="s">
        <v>15</v>
      </c>
      <c r="C49">
        <f>Scenarios!C11</f>
        <v>0</v>
      </c>
      <c r="D49">
        <f>IF(=Scenarios!D11=1,0, Parameters!B6 + =ROUNDUP(=IF(=Scenarios!H11=1, IF("FY2028"="FY2026",50, IF("FY2028"="FY2027",100,150)), =Scenarios!C11)*=Scenarios!F11,0))</f>
        <v>0</v>
      </c>
      <c r="E49">
        <f>IF(=Scenarios!E11=1,0, Parameters!B7 + ==IF(=Scenarios!H11=1, IF("FY2028"="FY2026",50, IF("FY2028"="FY2027",100,150)), =Scenarios!C11)-(=ROUNDUP(=IF(=Scenarios!H11=1, IF("FY2028"="FY2026",50, IF("FY2028"="FY2027",100,150)), =Scenarios!C11)*=Scenarios!F11,0)))</f>
        <v>0</v>
      </c>
      <c r="F49">
        <f>D49+E49</f>
        <v>0</v>
      </c>
      <c r="G49" s="2">
        <f>IF(=Scenarios!D11=1, IF(=Scenarios!I11="lease", Calc!D4*Parameters!D16, Calc!D4*Parameters!D19), Calc!D4)</f>
        <v>0</v>
      </c>
      <c r="H49" s="2">
        <f>IF(=Scenarios!E11=1, IF(=Scenarios!I11="lease", Calc!D5*Parameters!D16, Calc!D5*Parameters!D19), Calc!D5)</f>
        <v>0</v>
      </c>
      <c r="I49" s="2">
        <f>Calc!D3</f>
        <v>0</v>
      </c>
      <c r="J49" s="2">
        <f>IF("FY2028"="FY2026", (IF(=Scenarios!D11=1, Parameters!B9,0) + IF(=Scenarios!E11=1, Parameters!B9,0)), 0)</f>
        <v>0</v>
      </c>
      <c r="K49" s="3">
        <f>(1-Parameters!B4)</f>
        <v>0</v>
      </c>
      <c r="L49" s="3">
        <f>Scenarios!G11</f>
        <v>0</v>
      </c>
      <c r="M49" s="2">
        <f>(IF(Scenarios!D111, IF(Scenarios!I11"lease", Calc!D4*Parameters!D16, Calc!D4*Parameters!D19), Calc!D4) + IF(Scenarios!E111, IF(Scenarios!I11"lease", Calc!D5*Parameters!D16, Calc!D5*Parameters!D19), Calc!D5) + Calc!D3*=D49+E49)*=(1-Parameters!B4)*(1-J49) + =IF("FY2028"="FY2026", (IF(=Scenarios!D11=1, Parameters!B9,0) + IF(=Scenarios!E11=1, Parameters!B9,0)), 0)</f>
        <v>0</v>
      </c>
      <c r="N49" s="2">
        <f>IF(F49&gt;0, L49/F49, NA())</f>
        <v>0</v>
      </c>
      <c r="O49">
        <f>=Scenarios!A11&amp;"|FY2028"</f>
        <v>0</v>
      </c>
    </row>
    <row r="50" spans="1:15">
      <c r="A50">
        <f>Scenarios!A11</f>
        <v>0</v>
      </c>
      <c r="B50" t="s">
        <v>16</v>
      </c>
      <c r="C50">
        <f>Scenarios!C11</f>
        <v>0</v>
      </c>
      <c r="D50">
        <f>IF(=Scenarios!D11=1,0, Parameters!B6 + =ROUNDUP(=IF(=Scenarios!H11=1, IF("FY2029"="FY2026",50, IF("FY2029"="FY2027",100,150)), =Scenarios!C11)*=Scenarios!F11,0))</f>
        <v>0</v>
      </c>
      <c r="E50">
        <f>IF(=Scenarios!E11=1,0, Parameters!B7 + ==IF(=Scenarios!H11=1, IF("FY2029"="FY2026",50, IF("FY2029"="FY2027",100,150)), =Scenarios!C11)-(=ROUNDUP(=IF(=Scenarios!H11=1, IF("FY2029"="FY2026",50, IF("FY2029"="FY2027",100,150)), =Scenarios!C11)*=Scenarios!F11,0)))</f>
        <v>0</v>
      </c>
      <c r="F50">
        <f>D50+E50</f>
        <v>0</v>
      </c>
      <c r="G50" s="2">
        <f>IF(=Scenarios!D11=1, IF(=Scenarios!I11="lease", Calc!E4*Parameters!E16, Calc!E4*Parameters!E19), Calc!E4)</f>
        <v>0</v>
      </c>
      <c r="H50" s="2">
        <f>IF(=Scenarios!E11=1, IF(=Scenarios!I11="lease", Calc!E5*Parameters!E16, Calc!E5*Parameters!E19), Calc!E5)</f>
        <v>0</v>
      </c>
      <c r="I50" s="2">
        <f>Calc!E3</f>
        <v>0</v>
      </c>
      <c r="J50" s="2">
        <f>IF("FY2029"="FY2026", (IF(=Scenarios!D11=1, Parameters!B9,0) + IF(=Scenarios!E11=1, Parameters!B9,0)), 0)</f>
        <v>0</v>
      </c>
      <c r="K50" s="3">
        <f>(1-Parameters!B4)</f>
        <v>0</v>
      </c>
      <c r="L50" s="3">
        <f>Scenarios!G11</f>
        <v>0</v>
      </c>
      <c r="M50" s="2">
        <f>(IF(Scenarios!D111, IF(Scenarios!I11"lease", Calc!E4*Parameters!E16, Calc!E4*Parameters!E19), Calc!E4) + IF(Scenarios!E111, IF(Scenarios!I11"lease", Calc!E5*Parameters!E16, Calc!E5*Parameters!E19), Calc!E5) + Calc!E3*=D50+E50)*=(1-Parameters!B4)*(1-J50) + =IF("FY2029"="FY2026", (IF(=Scenarios!D11=1, Parameters!B9,0) + IF(=Scenarios!E11=1, Parameters!B9,0)), 0)</f>
        <v>0</v>
      </c>
      <c r="N50" s="2">
        <f>IF(F50&gt;0, L50/F50, NA())</f>
        <v>0</v>
      </c>
      <c r="O50">
        <f>=Scenarios!A11&amp;"|FY2029"</f>
        <v>0</v>
      </c>
    </row>
    <row r="51" spans="1:15">
      <c r="A51">
        <f>Scenarios!A11</f>
        <v>0</v>
      </c>
      <c r="B51" t="s">
        <v>17</v>
      </c>
      <c r="C51">
        <f>Scenarios!C11</f>
        <v>0</v>
      </c>
      <c r="D51">
        <f>IF(=Scenarios!D11=1,0, Parameters!B6 + =ROUNDUP(=IF(=Scenarios!H11=1, IF("FY2030"="FY2026",50, IF("FY2030"="FY2027",100,150)), =Scenarios!C11)*=Scenarios!F11,0))</f>
        <v>0</v>
      </c>
      <c r="E51">
        <f>IF(=Scenarios!E11=1,0, Parameters!B7 + ==IF(=Scenarios!H11=1, IF("FY2030"="FY2026",50, IF("FY2030"="FY2027",100,150)), =Scenarios!C11)-(=ROUNDUP(=IF(=Scenarios!H11=1, IF("FY2030"="FY2026",50, IF("FY2030"="FY2027",100,150)), =Scenarios!C11)*=Scenarios!F11,0)))</f>
        <v>0</v>
      </c>
      <c r="F51">
        <f>D51+E51</f>
        <v>0</v>
      </c>
      <c r="G51" s="2">
        <f>IF(=Scenarios!D11=1, IF(=Scenarios!I11="lease", Calc!F4*Parameters!F16, Calc!F4*Parameters!F19), Calc!F4)</f>
        <v>0</v>
      </c>
      <c r="H51" s="2">
        <f>IF(=Scenarios!E11=1, IF(=Scenarios!I11="lease", Calc!F5*Parameters!F16, Calc!F5*Parameters!F19), Calc!F5)</f>
        <v>0</v>
      </c>
      <c r="I51" s="2">
        <f>Calc!F3</f>
        <v>0</v>
      </c>
      <c r="J51" s="2">
        <f>IF("FY2030"="FY2026", (IF(=Scenarios!D11=1, Parameters!B9,0) + IF(=Scenarios!E11=1, Parameters!B9,0)), 0)</f>
        <v>0</v>
      </c>
      <c r="K51" s="3">
        <f>(1-Parameters!B4)</f>
        <v>0</v>
      </c>
      <c r="L51" s="3">
        <f>Scenarios!G11</f>
        <v>0</v>
      </c>
      <c r="M51" s="2">
        <f>(IF(Scenarios!D111, IF(Scenarios!I11"lease", Calc!F4*Parameters!F16, Calc!F4*Parameters!F19), Calc!F4) + IF(Scenarios!E111, IF(Scenarios!I11"lease", Calc!F5*Parameters!F16, Calc!F5*Parameters!F19), Calc!F5) + Calc!F3*=D51+E51)*=(1-Parameters!B4)*(1-J51) + =IF("FY2030"="FY2026", (IF(=Scenarios!D11=1, Parameters!B9,0) + IF(=Scenarios!E11=1, Parameters!B9,0)), 0)</f>
        <v>0</v>
      </c>
      <c r="N51" s="2">
        <f>IF(F51&gt;0, L51/F51, NA())</f>
        <v>0</v>
      </c>
      <c r="O51">
        <f>=Scenarios!A11&amp;"|FY2030"</f>
        <v>0</v>
      </c>
    </row>
    <row r="52" spans="1:15">
      <c r="A52">
        <f>Scenarios!A12</f>
        <v>0</v>
      </c>
      <c r="B52" t="s">
        <v>13</v>
      </c>
      <c r="C52">
        <f>Scenarios!C12</f>
        <v>0</v>
      </c>
      <c r="D52">
        <f>IF(=Scenarios!D12=1,0, Parameters!B6 + =ROUNDUP(=IF(=Scenarios!H12=1, IF("FY2026"="FY2026",50, IF("FY2026"="FY2027",100,150)), =Scenarios!C12)*=Scenarios!F12,0))</f>
        <v>0</v>
      </c>
      <c r="E52">
        <f>IF(=Scenarios!E12=1,0, Parameters!B7 + ==IF(=Scenarios!H12=1, IF("FY2026"="FY2026",50, IF("FY2026"="FY2027",100,150)), =Scenarios!C12)-(=ROUNDUP(=IF(=Scenarios!H12=1, IF("FY2026"="FY2026",50, IF("FY2026"="FY2027",100,150)), =Scenarios!C12)*=Scenarios!F12,0)))</f>
        <v>0</v>
      </c>
      <c r="F52">
        <f>D52+E52</f>
        <v>0</v>
      </c>
      <c r="G52" s="2">
        <f>IF(=Scenarios!D12=1, IF(=Scenarios!I12="lease", Calc!B4*Parameters!B16, Calc!B4*Parameters!B19), Calc!B4)</f>
        <v>0</v>
      </c>
      <c r="H52" s="2">
        <f>IF(=Scenarios!E12=1, IF(=Scenarios!I12="lease", Calc!B5*Parameters!B16, Calc!B5*Parameters!B19), Calc!B5)</f>
        <v>0</v>
      </c>
      <c r="I52" s="2">
        <f>Calc!B3</f>
        <v>0</v>
      </c>
      <c r="J52" s="2">
        <f>IF("FY2026"="FY2026", (IF(=Scenarios!D12=1, Parameters!B9,0) + IF(=Scenarios!E12=1, Parameters!B9,0)), 0)</f>
        <v>0</v>
      </c>
      <c r="K52" s="3">
        <f>(1-Parameters!B4)</f>
        <v>0</v>
      </c>
      <c r="L52" s="3">
        <f>Scenarios!G12</f>
        <v>0</v>
      </c>
      <c r="M52" s="2">
        <f>(IF(Scenarios!D121, IF(Scenarios!I12"lease", Calc!B4*Parameters!B16, Calc!B4*Parameters!B19), Calc!B4) + IF(Scenarios!E121, IF(Scenarios!I12"lease", Calc!B5*Parameters!B16, Calc!B5*Parameters!B19), Calc!B5) + Calc!B3*=D52+E52)*=(1-Parameters!B4)*(1-J52) + =IF("FY2026"="FY2026", (IF(=Scenarios!D12=1, Parameters!B9,0) + IF(=Scenarios!E12=1, Parameters!B9,0)), 0)</f>
        <v>0</v>
      </c>
      <c r="N52" s="2">
        <f>IF(F52&gt;0, L52/F52, NA())</f>
        <v>0</v>
      </c>
      <c r="O52">
        <f>=Scenarios!A12&amp;"|FY2026"</f>
        <v>0</v>
      </c>
    </row>
    <row r="53" spans="1:15">
      <c r="A53">
        <f>Scenarios!A12</f>
        <v>0</v>
      </c>
      <c r="B53" t="s">
        <v>14</v>
      </c>
      <c r="C53">
        <f>Scenarios!C12</f>
        <v>0</v>
      </c>
      <c r="D53">
        <f>IF(=Scenarios!D12=1,0, Parameters!B6 + =ROUNDUP(=IF(=Scenarios!H12=1, IF("FY2027"="FY2026",50, IF("FY2027"="FY2027",100,150)), =Scenarios!C12)*=Scenarios!F12,0))</f>
        <v>0</v>
      </c>
      <c r="E53">
        <f>IF(=Scenarios!E12=1,0, Parameters!B7 + ==IF(=Scenarios!H12=1, IF("FY2027"="FY2026",50, IF("FY2027"="FY2027",100,150)), =Scenarios!C12)-(=ROUNDUP(=IF(=Scenarios!H12=1, IF("FY2027"="FY2026",50, IF("FY2027"="FY2027",100,150)), =Scenarios!C12)*=Scenarios!F12,0)))</f>
        <v>0</v>
      </c>
      <c r="F53">
        <f>D53+E53</f>
        <v>0</v>
      </c>
      <c r="G53" s="2">
        <f>IF(=Scenarios!D12=1, IF(=Scenarios!I12="lease", Calc!C4*Parameters!C16, Calc!C4*Parameters!C19), Calc!C4)</f>
        <v>0</v>
      </c>
      <c r="H53" s="2">
        <f>IF(=Scenarios!E12=1, IF(=Scenarios!I12="lease", Calc!C5*Parameters!C16, Calc!C5*Parameters!C19), Calc!C5)</f>
        <v>0</v>
      </c>
      <c r="I53" s="2">
        <f>Calc!C3</f>
        <v>0</v>
      </c>
      <c r="J53" s="2">
        <f>IF("FY2027"="FY2026", (IF(=Scenarios!D12=1, Parameters!B9,0) + IF(=Scenarios!E12=1, Parameters!B9,0)), 0)</f>
        <v>0</v>
      </c>
      <c r="K53" s="3">
        <f>(1-Parameters!B4)</f>
        <v>0</v>
      </c>
      <c r="L53" s="3">
        <f>Scenarios!G12</f>
        <v>0</v>
      </c>
      <c r="M53" s="2">
        <f>(IF(Scenarios!D121, IF(Scenarios!I12"lease", Calc!C4*Parameters!C16, Calc!C4*Parameters!C19), Calc!C4) + IF(Scenarios!E121, IF(Scenarios!I12"lease", Calc!C5*Parameters!C16, Calc!C5*Parameters!C19), Calc!C5) + Calc!C3*=D53+E53)*=(1-Parameters!B4)*(1-J53) + =IF("FY2027"="FY2026", (IF(=Scenarios!D12=1, Parameters!B9,0) + IF(=Scenarios!E12=1, Parameters!B9,0)), 0)</f>
        <v>0</v>
      </c>
      <c r="N53" s="2">
        <f>IF(F53&gt;0, L53/F53, NA())</f>
        <v>0</v>
      </c>
      <c r="O53">
        <f>=Scenarios!A12&amp;"|FY2027"</f>
        <v>0</v>
      </c>
    </row>
    <row r="54" spans="1:15">
      <c r="A54">
        <f>Scenarios!A12</f>
        <v>0</v>
      </c>
      <c r="B54" t="s">
        <v>15</v>
      </c>
      <c r="C54">
        <f>Scenarios!C12</f>
        <v>0</v>
      </c>
      <c r="D54">
        <f>IF(=Scenarios!D12=1,0, Parameters!B6 + =ROUNDUP(=IF(=Scenarios!H12=1, IF("FY2028"="FY2026",50, IF("FY2028"="FY2027",100,150)), =Scenarios!C12)*=Scenarios!F12,0))</f>
        <v>0</v>
      </c>
      <c r="E54">
        <f>IF(=Scenarios!E12=1,0, Parameters!B7 + ==IF(=Scenarios!H12=1, IF("FY2028"="FY2026",50, IF("FY2028"="FY2027",100,150)), =Scenarios!C12)-(=ROUNDUP(=IF(=Scenarios!H12=1, IF("FY2028"="FY2026",50, IF("FY2028"="FY2027",100,150)), =Scenarios!C12)*=Scenarios!F12,0)))</f>
        <v>0</v>
      </c>
      <c r="F54">
        <f>D54+E54</f>
        <v>0</v>
      </c>
      <c r="G54" s="2">
        <f>IF(=Scenarios!D12=1, IF(=Scenarios!I12="lease", Calc!D4*Parameters!D16, Calc!D4*Parameters!D19), Calc!D4)</f>
        <v>0</v>
      </c>
      <c r="H54" s="2">
        <f>IF(=Scenarios!E12=1, IF(=Scenarios!I12="lease", Calc!D5*Parameters!D16, Calc!D5*Parameters!D19), Calc!D5)</f>
        <v>0</v>
      </c>
      <c r="I54" s="2">
        <f>Calc!D3</f>
        <v>0</v>
      </c>
      <c r="J54" s="2">
        <f>IF("FY2028"="FY2026", (IF(=Scenarios!D12=1, Parameters!B9,0) + IF(=Scenarios!E12=1, Parameters!B9,0)), 0)</f>
        <v>0</v>
      </c>
      <c r="K54" s="3">
        <f>(1-Parameters!B4)</f>
        <v>0</v>
      </c>
      <c r="L54" s="3">
        <f>Scenarios!G12</f>
        <v>0</v>
      </c>
      <c r="M54" s="2">
        <f>(IF(Scenarios!D121, IF(Scenarios!I12"lease", Calc!D4*Parameters!D16, Calc!D4*Parameters!D19), Calc!D4) + IF(Scenarios!E121, IF(Scenarios!I12"lease", Calc!D5*Parameters!D16, Calc!D5*Parameters!D19), Calc!D5) + Calc!D3*=D54+E54)*=(1-Parameters!B4)*(1-J54) + =IF("FY2028"="FY2026", (IF(=Scenarios!D12=1, Parameters!B9,0) + IF(=Scenarios!E12=1, Parameters!B9,0)), 0)</f>
        <v>0</v>
      </c>
      <c r="N54" s="2">
        <f>IF(F54&gt;0, L54/F54, NA())</f>
        <v>0</v>
      </c>
      <c r="O54">
        <f>=Scenarios!A12&amp;"|FY2028"</f>
        <v>0</v>
      </c>
    </row>
    <row r="55" spans="1:15">
      <c r="A55">
        <f>Scenarios!A12</f>
        <v>0</v>
      </c>
      <c r="B55" t="s">
        <v>16</v>
      </c>
      <c r="C55">
        <f>Scenarios!C12</f>
        <v>0</v>
      </c>
      <c r="D55">
        <f>IF(=Scenarios!D12=1,0, Parameters!B6 + =ROUNDUP(=IF(=Scenarios!H12=1, IF("FY2029"="FY2026",50, IF("FY2029"="FY2027",100,150)), =Scenarios!C12)*=Scenarios!F12,0))</f>
        <v>0</v>
      </c>
      <c r="E55">
        <f>IF(=Scenarios!E12=1,0, Parameters!B7 + ==IF(=Scenarios!H12=1, IF("FY2029"="FY2026",50, IF("FY2029"="FY2027",100,150)), =Scenarios!C12)-(=ROUNDUP(=IF(=Scenarios!H12=1, IF("FY2029"="FY2026",50, IF("FY2029"="FY2027",100,150)), =Scenarios!C12)*=Scenarios!F12,0)))</f>
        <v>0</v>
      </c>
      <c r="F55">
        <f>D55+E55</f>
        <v>0</v>
      </c>
      <c r="G55" s="2">
        <f>IF(=Scenarios!D12=1, IF(=Scenarios!I12="lease", Calc!E4*Parameters!E16, Calc!E4*Parameters!E19), Calc!E4)</f>
        <v>0</v>
      </c>
      <c r="H55" s="2">
        <f>IF(=Scenarios!E12=1, IF(=Scenarios!I12="lease", Calc!E5*Parameters!E16, Calc!E5*Parameters!E19), Calc!E5)</f>
        <v>0</v>
      </c>
      <c r="I55" s="2">
        <f>Calc!E3</f>
        <v>0</v>
      </c>
      <c r="J55" s="2">
        <f>IF("FY2029"="FY2026", (IF(=Scenarios!D12=1, Parameters!B9,0) + IF(=Scenarios!E12=1, Parameters!B9,0)), 0)</f>
        <v>0</v>
      </c>
      <c r="K55" s="3">
        <f>(1-Parameters!B4)</f>
        <v>0</v>
      </c>
      <c r="L55" s="3">
        <f>Scenarios!G12</f>
        <v>0</v>
      </c>
      <c r="M55" s="2">
        <f>(IF(Scenarios!D121, IF(Scenarios!I12"lease", Calc!E4*Parameters!E16, Calc!E4*Parameters!E19), Calc!E4) + IF(Scenarios!E121, IF(Scenarios!I12"lease", Calc!E5*Parameters!E16, Calc!E5*Parameters!E19), Calc!E5) + Calc!E3*=D55+E55)*=(1-Parameters!B4)*(1-J55) + =IF("FY2029"="FY2026", (IF(=Scenarios!D12=1, Parameters!B9,0) + IF(=Scenarios!E12=1, Parameters!B9,0)), 0)</f>
        <v>0</v>
      </c>
      <c r="N55" s="2">
        <f>IF(F55&gt;0, L55/F55, NA())</f>
        <v>0</v>
      </c>
      <c r="O55">
        <f>=Scenarios!A12&amp;"|FY2029"</f>
        <v>0</v>
      </c>
    </row>
    <row r="56" spans="1:15">
      <c r="A56">
        <f>Scenarios!A12</f>
        <v>0</v>
      </c>
      <c r="B56" t="s">
        <v>17</v>
      </c>
      <c r="C56">
        <f>Scenarios!C12</f>
        <v>0</v>
      </c>
      <c r="D56">
        <f>IF(=Scenarios!D12=1,0, Parameters!B6 + =ROUNDUP(=IF(=Scenarios!H12=1, IF("FY2030"="FY2026",50, IF("FY2030"="FY2027",100,150)), =Scenarios!C12)*=Scenarios!F12,0))</f>
        <v>0</v>
      </c>
      <c r="E56">
        <f>IF(=Scenarios!E12=1,0, Parameters!B7 + ==IF(=Scenarios!H12=1, IF("FY2030"="FY2026",50, IF("FY2030"="FY2027",100,150)), =Scenarios!C12)-(=ROUNDUP(=IF(=Scenarios!H12=1, IF("FY2030"="FY2026",50, IF("FY2030"="FY2027",100,150)), =Scenarios!C12)*=Scenarios!F12,0)))</f>
        <v>0</v>
      </c>
      <c r="F56">
        <f>D56+E56</f>
        <v>0</v>
      </c>
      <c r="G56" s="2">
        <f>IF(=Scenarios!D12=1, IF(=Scenarios!I12="lease", Calc!F4*Parameters!F16, Calc!F4*Parameters!F19), Calc!F4)</f>
        <v>0</v>
      </c>
      <c r="H56" s="2">
        <f>IF(=Scenarios!E12=1, IF(=Scenarios!I12="lease", Calc!F5*Parameters!F16, Calc!F5*Parameters!F19), Calc!F5)</f>
        <v>0</v>
      </c>
      <c r="I56" s="2">
        <f>Calc!F3</f>
        <v>0</v>
      </c>
      <c r="J56" s="2">
        <f>IF("FY2030"="FY2026", (IF(=Scenarios!D12=1, Parameters!B9,0) + IF(=Scenarios!E12=1, Parameters!B9,0)), 0)</f>
        <v>0</v>
      </c>
      <c r="K56" s="3">
        <f>(1-Parameters!B4)</f>
        <v>0</v>
      </c>
      <c r="L56" s="3">
        <f>Scenarios!G12</f>
        <v>0</v>
      </c>
      <c r="M56" s="2">
        <f>(IF(Scenarios!D121, IF(Scenarios!I12"lease", Calc!F4*Parameters!F16, Calc!F4*Parameters!F19), Calc!F4) + IF(Scenarios!E121, IF(Scenarios!I12"lease", Calc!F5*Parameters!F16, Calc!F5*Parameters!F19), Calc!F5) + Calc!F3*=D56+E56)*=(1-Parameters!B4)*(1-J56) + =IF("FY2030"="FY2026", (IF(=Scenarios!D12=1, Parameters!B9,0) + IF(=Scenarios!E12=1, Parameters!B9,0)), 0)</f>
        <v>0</v>
      </c>
      <c r="N56" s="2">
        <f>IF(F56&gt;0, L56/F56, NA())</f>
        <v>0</v>
      </c>
      <c r="O56">
        <f>=Scenarios!A12&amp;"|FY2030"</f>
        <v>0</v>
      </c>
    </row>
    <row r="57" spans="1:15">
      <c r="A57">
        <f>Scenarios!A13</f>
        <v>0</v>
      </c>
      <c r="B57" t="s">
        <v>13</v>
      </c>
      <c r="C57">
        <f>Scenarios!C13</f>
        <v>0</v>
      </c>
      <c r="D57">
        <f>IF(=Scenarios!D13=1,0, Parameters!B6 + =ROUNDUP(=IF(=Scenarios!H13=1, IF("FY2026"="FY2026",50, IF("FY2026"="FY2027",100,150)), =Scenarios!C13)*=Scenarios!F13,0))</f>
        <v>0</v>
      </c>
      <c r="E57">
        <f>IF(=Scenarios!E13=1,0, Parameters!B7 + ==IF(=Scenarios!H13=1, IF("FY2026"="FY2026",50, IF("FY2026"="FY2027",100,150)), =Scenarios!C13)-(=ROUNDUP(=IF(=Scenarios!H13=1, IF("FY2026"="FY2026",50, IF("FY2026"="FY2027",100,150)), =Scenarios!C13)*=Scenarios!F13,0)))</f>
        <v>0</v>
      </c>
      <c r="F57">
        <f>D57+E57</f>
        <v>0</v>
      </c>
      <c r="G57" s="2">
        <f>IF(=Scenarios!D13=1, IF(=Scenarios!I13="lease", Calc!B4*Parameters!B16, Calc!B4*Parameters!B19), Calc!B4)</f>
        <v>0</v>
      </c>
      <c r="H57" s="2">
        <f>IF(=Scenarios!E13=1, IF(=Scenarios!I13="lease", Calc!B5*Parameters!B16, Calc!B5*Parameters!B19), Calc!B5)</f>
        <v>0</v>
      </c>
      <c r="I57" s="2">
        <f>Calc!B3</f>
        <v>0</v>
      </c>
      <c r="J57" s="2">
        <f>IF("FY2026"="FY2026", (IF(=Scenarios!D13=1, Parameters!B9,0) + IF(=Scenarios!E13=1, Parameters!B9,0)), 0)</f>
        <v>0</v>
      </c>
      <c r="K57" s="3">
        <f>(1-Parameters!B4)</f>
        <v>0</v>
      </c>
      <c r="L57" s="3">
        <f>Scenarios!G13</f>
        <v>0</v>
      </c>
      <c r="M57" s="2">
        <f>(IF(Scenarios!D131, IF(Scenarios!I13"lease", Calc!B4*Parameters!B16, Calc!B4*Parameters!B19), Calc!B4) + IF(Scenarios!E131, IF(Scenarios!I13"lease", Calc!B5*Parameters!B16, Calc!B5*Parameters!B19), Calc!B5) + Calc!B3*=D57+E57)*=(1-Parameters!B4)*(1-J57) + =IF("FY2026"="FY2026", (IF(=Scenarios!D13=1, Parameters!B9,0) + IF(=Scenarios!E13=1, Parameters!B9,0)), 0)</f>
        <v>0</v>
      </c>
      <c r="N57" s="2">
        <f>IF(F57&gt;0, L57/F57, NA())</f>
        <v>0</v>
      </c>
      <c r="O57">
        <f>=Scenarios!A13&amp;"|FY2026"</f>
        <v>0</v>
      </c>
    </row>
    <row r="58" spans="1:15">
      <c r="A58">
        <f>Scenarios!A13</f>
        <v>0</v>
      </c>
      <c r="B58" t="s">
        <v>14</v>
      </c>
      <c r="C58">
        <f>Scenarios!C13</f>
        <v>0</v>
      </c>
      <c r="D58">
        <f>IF(=Scenarios!D13=1,0, Parameters!B6 + =ROUNDUP(=IF(=Scenarios!H13=1, IF("FY2027"="FY2026",50, IF("FY2027"="FY2027",100,150)), =Scenarios!C13)*=Scenarios!F13,0))</f>
        <v>0</v>
      </c>
      <c r="E58">
        <f>IF(=Scenarios!E13=1,0, Parameters!B7 + ==IF(=Scenarios!H13=1, IF("FY2027"="FY2026",50, IF("FY2027"="FY2027",100,150)), =Scenarios!C13)-(=ROUNDUP(=IF(=Scenarios!H13=1, IF("FY2027"="FY2026",50, IF("FY2027"="FY2027",100,150)), =Scenarios!C13)*=Scenarios!F13,0)))</f>
        <v>0</v>
      </c>
      <c r="F58">
        <f>D58+E58</f>
        <v>0</v>
      </c>
      <c r="G58" s="2">
        <f>IF(=Scenarios!D13=1, IF(=Scenarios!I13="lease", Calc!C4*Parameters!C16, Calc!C4*Parameters!C19), Calc!C4)</f>
        <v>0</v>
      </c>
      <c r="H58" s="2">
        <f>IF(=Scenarios!E13=1, IF(=Scenarios!I13="lease", Calc!C5*Parameters!C16, Calc!C5*Parameters!C19), Calc!C5)</f>
        <v>0</v>
      </c>
      <c r="I58" s="2">
        <f>Calc!C3</f>
        <v>0</v>
      </c>
      <c r="J58" s="2">
        <f>IF("FY2027"="FY2026", (IF(=Scenarios!D13=1, Parameters!B9,0) + IF(=Scenarios!E13=1, Parameters!B9,0)), 0)</f>
        <v>0</v>
      </c>
      <c r="K58" s="3">
        <f>(1-Parameters!B4)</f>
        <v>0</v>
      </c>
      <c r="L58" s="3">
        <f>Scenarios!G13</f>
        <v>0</v>
      </c>
      <c r="M58" s="2">
        <f>(IF(Scenarios!D131, IF(Scenarios!I13"lease", Calc!C4*Parameters!C16, Calc!C4*Parameters!C19), Calc!C4) + IF(Scenarios!E131, IF(Scenarios!I13"lease", Calc!C5*Parameters!C16, Calc!C5*Parameters!C19), Calc!C5) + Calc!C3*=D58+E58)*=(1-Parameters!B4)*(1-J58) + =IF("FY2027"="FY2026", (IF(=Scenarios!D13=1, Parameters!B9,0) + IF(=Scenarios!E13=1, Parameters!B9,0)), 0)</f>
        <v>0</v>
      </c>
      <c r="N58" s="2">
        <f>IF(F58&gt;0, L58/F58, NA())</f>
        <v>0</v>
      </c>
      <c r="O58">
        <f>=Scenarios!A13&amp;"|FY2027"</f>
        <v>0</v>
      </c>
    </row>
    <row r="59" spans="1:15">
      <c r="A59">
        <f>Scenarios!A13</f>
        <v>0</v>
      </c>
      <c r="B59" t="s">
        <v>15</v>
      </c>
      <c r="C59">
        <f>Scenarios!C13</f>
        <v>0</v>
      </c>
      <c r="D59">
        <f>IF(=Scenarios!D13=1,0, Parameters!B6 + =ROUNDUP(=IF(=Scenarios!H13=1, IF("FY2028"="FY2026",50, IF("FY2028"="FY2027",100,150)), =Scenarios!C13)*=Scenarios!F13,0))</f>
        <v>0</v>
      </c>
      <c r="E59">
        <f>IF(=Scenarios!E13=1,0, Parameters!B7 + ==IF(=Scenarios!H13=1, IF("FY2028"="FY2026",50, IF("FY2028"="FY2027",100,150)), =Scenarios!C13)-(=ROUNDUP(=IF(=Scenarios!H13=1, IF("FY2028"="FY2026",50, IF("FY2028"="FY2027",100,150)), =Scenarios!C13)*=Scenarios!F13,0)))</f>
        <v>0</v>
      </c>
      <c r="F59">
        <f>D59+E59</f>
        <v>0</v>
      </c>
      <c r="G59" s="2">
        <f>IF(=Scenarios!D13=1, IF(=Scenarios!I13="lease", Calc!D4*Parameters!D16, Calc!D4*Parameters!D19), Calc!D4)</f>
        <v>0</v>
      </c>
      <c r="H59" s="2">
        <f>IF(=Scenarios!E13=1, IF(=Scenarios!I13="lease", Calc!D5*Parameters!D16, Calc!D5*Parameters!D19), Calc!D5)</f>
        <v>0</v>
      </c>
      <c r="I59" s="2">
        <f>Calc!D3</f>
        <v>0</v>
      </c>
      <c r="J59" s="2">
        <f>IF("FY2028"="FY2026", (IF(=Scenarios!D13=1, Parameters!B9,0) + IF(=Scenarios!E13=1, Parameters!B9,0)), 0)</f>
        <v>0</v>
      </c>
      <c r="K59" s="3">
        <f>(1-Parameters!B4)</f>
        <v>0</v>
      </c>
      <c r="L59" s="3">
        <f>Scenarios!G13</f>
        <v>0</v>
      </c>
      <c r="M59" s="2">
        <f>(IF(Scenarios!D131, IF(Scenarios!I13"lease", Calc!D4*Parameters!D16, Calc!D4*Parameters!D19), Calc!D4) + IF(Scenarios!E131, IF(Scenarios!I13"lease", Calc!D5*Parameters!D16, Calc!D5*Parameters!D19), Calc!D5) + Calc!D3*=D59+E59)*=(1-Parameters!B4)*(1-J59) + =IF("FY2028"="FY2026", (IF(=Scenarios!D13=1, Parameters!B9,0) + IF(=Scenarios!E13=1, Parameters!B9,0)), 0)</f>
        <v>0</v>
      </c>
      <c r="N59" s="2">
        <f>IF(F59&gt;0, L59/F59, NA())</f>
        <v>0</v>
      </c>
      <c r="O59">
        <f>=Scenarios!A13&amp;"|FY2028"</f>
        <v>0</v>
      </c>
    </row>
    <row r="60" spans="1:15">
      <c r="A60">
        <f>Scenarios!A13</f>
        <v>0</v>
      </c>
      <c r="B60" t="s">
        <v>16</v>
      </c>
      <c r="C60">
        <f>Scenarios!C13</f>
        <v>0</v>
      </c>
      <c r="D60">
        <f>IF(=Scenarios!D13=1,0, Parameters!B6 + =ROUNDUP(=IF(=Scenarios!H13=1, IF("FY2029"="FY2026",50, IF("FY2029"="FY2027",100,150)), =Scenarios!C13)*=Scenarios!F13,0))</f>
        <v>0</v>
      </c>
      <c r="E60">
        <f>IF(=Scenarios!E13=1,0, Parameters!B7 + ==IF(=Scenarios!H13=1, IF("FY2029"="FY2026",50, IF("FY2029"="FY2027",100,150)), =Scenarios!C13)-(=ROUNDUP(=IF(=Scenarios!H13=1, IF("FY2029"="FY2026",50, IF("FY2029"="FY2027",100,150)), =Scenarios!C13)*=Scenarios!F13,0)))</f>
        <v>0</v>
      </c>
      <c r="F60">
        <f>D60+E60</f>
        <v>0</v>
      </c>
      <c r="G60" s="2">
        <f>IF(=Scenarios!D13=1, IF(=Scenarios!I13="lease", Calc!E4*Parameters!E16, Calc!E4*Parameters!E19), Calc!E4)</f>
        <v>0</v>
      </c>
      <c r="H60" s="2">
        <f>IF(=Scenarios!E13=1, IF(=Scenarios!I13="lease", Calc!E5*Parameters!E16, Calc!E5*Parameters!E19), Calc!E5)</f>
        <v>0</v>
      </c>
      <c r="I60" s="2">
        <f>Calc!E3</f>
        <v>0</v>
      </c>
      <c r="J60" s="2">
        <f>IF("FY2029"="FY2026", (IF(=Scenarios!D13=1, Parameters!B9,0) + IF(=Scenarios!E13=1, Parameters!B9,0)), 0)</f>
        <v>0</v>
      </c>
      <c r="K60" s="3">
        <f>(1-Parameters!B4)</f>
        <v>0</v>
      </c>
      <c r="L60" s="3">
        <f>Scenarios!G13</f>
        <v>0</v>
      </c>
      <c r="M60" s="2">
        <f>(IF(Scenarios!D131, IF(Scenarios!I13"lease", Calc!E4*Parameters!E16, Calc!E4*Parameters!E19), Calc!E4) + IF(Scenarios!E131, IF(Scenarios!I13"lease", Calc!E5*Parameters!E16, Calc!E5*Parameters!E19), Calc!E5) + Calc!E3*=D60+E60)*=(1-Parameters!B4)*(1-J60) + =IF("FY2029"="FY2026", (IF(=Scenarios!D13=1, Parameters!B9,0) + IF(=Scenarios!E13=1, Parameters!B9,0)), 0)</f>
        <v>0</v>
      </c>
      <c r="N60" s="2">
        <f>IF(F60&gt;0, L60/F60, NA())</f>
        <v>0</v>
      </c>
      <c r="O60">
        <f>=Scenarios!A13&amp;"|FY2029"</f>
        <v>0</v>
      </c>
    </row>
    <row r="61" spans="1:15">
      <c r="A61">
        <f>Scenarios!A13</f>
        <v>0</v>
      </c>
      <c r="B61" t="s">
        <v>17</v>
      </c>
      <c r="C61">
        <f>Scenarios!C13</f>
        <v>0</v>
      </c>
      <c r="D61">
        <f>IF(=Scenarios!D13=1,0, Parameters!B6 + =ROUNDUP(=IF(=Scenarios!H13=1, IF("FY2030"="FY2026",50, IF("FY2030"="FY2027",100,150)), =Scenarios!C13)*=Scenarios!F13,0))</f>
        <v>0</v>
      </c>
      <c r="E61">
        <f>IF(=Scenarios!E13=1,0, Parameters!B7 + ==IF(=Scenarios!H13=1, IF("FY2030"="FY2026",50, IF("FY2030"="FY2027",100,150)), =Scenarios!C13)-(=ROUNDUP(=IF(=Scenarios!H13=1, IF("FY2030"="FY2026",50, IF("FY2030"="FY2027",100,150)), =Scenarios!C13)*=Scenarios!F13,0)))</f>
        <v>0</v>
      </c>
      <c r="F61">
        <f>D61+E61</f>
        <v>0</v>
      </c>
      <c r="G61" s="2">
        <f>IF(=Scenarios!D13=1, IF(=Scenarios!I13="lease", Calc!F4*Parameters!F16, Calc!F4*Parameters!F19), Calc!F4)</f>
        <v>0</v>
      </c>
      <c r="H61" s="2">
        <f>IF(=Scenarios!E13=1, IF(=Scenarios!I13="lease", Calc!F5*Parameters!F16, Calc!F5*Parameters!F19), Calc!F5)</f>
        <v>0</v>
      </c>
      <c r="I61" s="2">
        <f>Calc!F3</f>
        <v>0</v>
      </c>
      <c r="J61" s="2">
        <f>IF("FY2030"="FY2026", (IF(=Scenarios!D13=1, Parameters!B9,0) + IF(=Scenarios!E13=1, Parameters!B9,0)), 0)</f>
        <v>0</v>
      </c>
      <c r="K61" s="3">
        <f>(1-Parameters!B4)</f>
        <v>0</v>
      </c>
      <c r="L61" s="3">
        <f>Scenarios!G13</f>
        <v>0</v>
      </c>
      <c r="M61" s="2">
        <f>(IF(Scenarios!D131, IF(Scenarios!I13"lease", Calc!F4*Parameters!F16, Calc!F4*Parameters!F19), Calc!F4) + IF(Scenarios!E131, IF(Scenarios!I13"lease", Calc!F5*Parameters!F16, Calc!F5*Parameters!F19), Calc!F5) + Calc!F3*=D61+E61)*=(1-Parameters!B4)*(1-J61) + =IF("FY2030"="FY2026", (IF(=Scenarios!D13=1, Parameters!B9,0) + IF(=Scenarios!E13=1, Parameters!B9,0)), 0)</f>
        <v>0</v>
      </c>
      <c r="N61" s="2">
        <f>IF(F61&gt;0, L61/F61, NA())</f>
        <v>0</v>
      </c>
      <c r="O61">
        <f>=Scenarios!A13&amp;"|FY2030"</f>
        <v>0</v>
      </c>
    </row>
    <row r="62" spans="1:15">
      <c r="A62">
        <f>Scenarios!A14</f>
        <v>0</v>
      </c>
      <c r="B62" t="s">
        <v>13</v>
      </c>
      <c r="C62">
        <f>Scenarios!C14</f>
        <v>0</v>
      </c>
      <c r="D62">
        <f>IF(=Scenarios!D14=1,0, Parameters!B6 + =ROUNDUP(=IF(=Scenarios!H14=1, IF("FY2026"="FY2026",50, IF("FY2026"="FY2027",100,150)), =Scenarios!C14)*=Scenarios!F14,0))</f>
        <v>0</v>
      </c>
      <c r="E62">
        <f>IF(=Scenarios!E14=1,0, Parameters!B7 + ==IF(=Scenarios!H14=1, IF("FY2026"="FY2026",50, IF("FY2026"="FY2027",100,150)), =Scenarios!C14)-(=ROUNDUP(=IF(=Scenarios!H14=1, IF("FY2026"="FY2026",50, IF("FY2026"="FY2027",100,150)), =Scenarios!C14)*=Scenarios!F14,0)))</f>
        <v>0</v>
      </c>
      <c r="F62">
        <f>D62+E62</f>
        <v>0</v>
      </c>
      <c r="G62" s="2">
        <f>IF(=Scenarios!D14=1, IF(=Scenarios!I14="lease", Calc!B4*Parameters!B16, Calc!B4*Parameters!B19), Calc!B4)</f>
        <v>0</v>
      </c>
      <c r="H62" s="2">
        <f>IF(=Scenarios!E14=1, IF(=Scenarios!I14="lease", Calc!B5*Parameters!B16, Calc!B5*Parameters!B19), Calc!B5)</f>
        <v>0</v>
      </c>
      <c r="I62" s="2">
        <f>Calc!B3</f>
        <v>0</v>
      </c>
      <c r="J62" s="2">
        <f>IF("FY2026"="FY2026", (IF(=Scenarios!D14=1, Parameters!B9,0) + IF(=Scenarios!E14=1, Parameters!B9,0)), 0)</f>
        <v>0</v>
      </c>
      <c r="K62" s="3">
        <f>(1-Parameters!B4)</f>
        <v>0</v>
      </c>
      <c r="L62" s="3">
        <f>Scenarios!G14</f>
        <v>0</v>
      </c>
      <c r="M62" s="2">
        <f>(IF(Scenarios!D141, IF(Scenarios!I14"lease", Calc!B4*Parameters!B16, Calc!B4*Parameters!B19), Calc!B4) + IF(Scenarios!E141, IF(Scenarios!I14"lease", Calc!B5*Parameters!B16, Calc!B5*Parameters!B19), Calc!B5) + Calc!B3*=D62+E62)*=(1-Parameters!B4)*(1-J62) + =IF("FY2026"="FY2026", (IF(=Scenarios!D14=1, Parameters!B9,0) + IF(=Scenarios!E14=1, Parameters!B9,0)), 0)</f>
        <v>0</v>
      </c>
      <c r="N62" s="2">
        <f>IF(F62&gt;0, L62/F62, NA())</f>
        <v>0</v>
      </c>
      <c r="O62">
        <f>=Scenarios!A14&amp;"|FY2026"</f>
        <v>0</v>
      </c>
    </row>
    <row r="63" spans="1:15">
      <c r="A63">
        <f>Scenarios!A14</f>
        <v>0</v>
      </c>
      <c r="B63" t="s">
        <v>14</v>
      </c>
      <c r="C63">
        <f>Scenarios!C14</f>
        <v>0</v>
      </c>
      <c r="D63">
        <f>IF(=Scenarios!D14=1,0, Parameters!B6 + =ROUNDUP(=IF(=Scenarios!H14=1, IF("FY2027"="FY2026",50, IF("FY2027"="FY2027",100,150)), =Scenarios!C14)*=Scenarios!F14,0))</f>
        <v>0</v>
      </c>
      <c r="E63">
        <f>IF(=Scenarios!E14=1,0, Parameters!B7 + ==IF(=Scenarios!H14=1, IF("FY2027"="FY2026",50, IF("FY2027"="FY2027",100,150)), =Scenarios!C14)-(=ROUNDUP(=IF(=Scenarios!H14=1, IF("FY2027"="FY2026",50, IF("FY2027"="FY2027",100,150)), =Scenarios!C14)*=Scenarios!F14,0)))</f>
        <v>0</v>
      </c>
      <c r="F63">
        <f>D63+E63</f>
        <v>0</v>
      </c>
      <c r="G63" s="2">
        <f>IF(=Scenarios!D14=1, IF(=Scenarios!I14="lease", Calc!C4*Parameters!C16, Calc!C4*Parameters!C19), Calc!C4)</f>
        <v>0</v>
      </c>
      <c r="H63" s="2">
        <f>IF(=Scenarios!E14=1, IF(=Scenarios!I14="lease", Calc!C5*Parameters!C16, Calc!C5*Parameters!C19), Calc!C5)</f>
        <v>0</v>
      </c>
      <c r="I63" s="2">
        <f>Calc!C3</f>
        <v>0</v>
      </c>
      <c r="J63" s="2">
        <f>IF("FY2027"="FY2026", (IF(=Scenarios!D14=1, Parameters!B9,0) + IF(=Scenarios!E14=1, Parameters!B9,0)), 0)</f>
        <v>0</v>
      </c>
      <c r="K63" s="3">
        <f>(1-Parameters!B4)</f>
        <v>0</v>
      </c>
      <c r="L63" s="3">
        <f>Scenarios!G14</f>
        <v>0</v>
      </c>
      <c r="M63" s="2">
        <f>(IF(Scenarios!D141, IF(Scenarios!I14"lease", Calc!C4*Parameters!C16, Calc!C4*Parameters!C19), Calc!C4) + IF(Scenarios!E141, IF(Scenarios!I14"lease", Calc!C5*Parameters!C16, Calc!C5*Parameters!C19), Calc!C5) + Calc!C3*=D63+E63)*=(1-Parameters!B4)*(1-J63) + =IF("FY2027"="FY2026", (IF(=Scenarios!D14=1, Parameters!B9,0) + IF(=Scenarios!E14=1, Parameters!B9,0)), 0)</f>
        <v>0</v>
      </c>
      <c r="N63" s="2">
        <f>IF(F63&gt;0, L63/F63, NA())</f>
        <v>0</v>
      </c>
      <c r="O63">
        <f>=Scenarios!A14&amp;"|FY2027"</f>
        <v>0</v>
      </c>
    </row>
    <row r="64" spans="1:15">
      <c r="A64">
        <f>Scenarios!A14</f>
        <v>0</v>
      </c>
      <c r="B64" t="s">
        <v>15</v>
      </c>
      <c r="C64">
        <f>Scenarios!C14</f>
        <v>0</v>
      </c>
      <c r="D64">
        <f>IF(=Scenarios!D14=1,0, Parameters!B6 + =ROUNDUP(=IF(=Scenarios!H14=1, IF("FY2028"="FY2026",50, IF("FY2028"="FY2027",100,150)), =Scenarios!C14)*=Scenarios!F14,0))</f>
        <v>0</v>
      </c>
      <c r="E64">
        <f>IF(=Scenarios!E14=1,0, Parameters!B7 + ==IF(=Scenarios!H14=1, IF("FY2028"="FY2026",50, IF("FY2028"="FY2027",100,150)), =Scenarios!C14)-(=ROUNDUP(=IF(=Scenarios!H14=1, IF("FY2028"="FY2026",50, IF("FY2028"="FY2027",100,150)), =Scenarios!C14)*=Scenarios!F14,0)))</f>
        <v>0</v>
      </c>
      <c r="F64">
        <f>D64+E64</f>
        <v>0</v>
      </c>
      <c r="G64" s="2">
        <f>IF(=Scenarios!D14=1, IF(=Scenarios!I14="lease", Calc!D4*Parameters!D16, Calc!D4*Parameters!D19), Calc!D4)</f>
        <v>0</v>
      </c>
      <c r="H64" s="2">
        <f>IF(=Scenarios!E14=1, IF(=Scenarios!I14="lease", Calc!D5*Parameters!D16, Calc!D5*Parameters!D19), Calc!D5)</f>
        <v>0</v>
      </c>
      <c r="I64" s="2">
        <f>Calc!D3</f>
        <v>0</v>
      </c>
      <c r="J64" s="2">
        <f>IF("FY2028"="FY2026", (IF(=Scenarios!D14=1, Parameters!B9,0) + IF(=Scenarios!E14=1, Parameters!B9,0)), 0)</f>
        <v>0</v>
      </c>
      <c r="K64" s="3">
        <f>(1-Parameters!B4)</f>
        <v>0</v>
      </c>
      <c r="L64" s="3">
        <f>Scenarios!G14</f>
        <v>0</v>
      </c>
      <c r="M64" s="2">
        <f>(IF(Scenarios!D141, IF(Scenarios!I14"lease", Calc!D4*Parameters!D16, Calc!D4*Parameters!D19), Calc!D4) + IF(Scenarios!E141, IF(Scenarios!I14"lease", Calc!D5*Parameters!D16, Calc!D5*Parameters!D19), Calc!D5) + Calc!D3*=D64+E64)*=(1-Parameters!B4)*(1-J64) + =IF("FY2028"="FY2026", (IF(=Scenarios!D14=1, Parameters!B9,0) + IF(=Scenarios!E14=1, Parameters!B9,0)), 0)</f>
        <v>0</v>
      </c>
      <c r="N64" s="2">
        <f>IF(F64&gt;0, L64/F64, NA())</f>
        <v>0</v>
      </c>
      <c r="O64">
        <f>=Scenarios!A14&amp;"|FY2028"</f>
        <v>0</v>
      </c>
    </row>
    <row r="65" spans="1:15">
      <c r="A65">
        <f>Scenarios!A14</f>
        <v>0</v>
      </c>
      <c r="B65" t="s">
        <v>16</v>
      </c>
      <c r="C65">
        <f>Scenarios!C14</f>
        <v>0</v>
      </c>
      <c r="D65">
        <f>IF(=Scenarios!D14=1,0, Parameters!B6 + =ROUNDUP(=IF(=Scenarios!H14=1, IF("FY2029"="FY2026",50, IF("FY2029"="FY2027",100,150)), =Scenarios!C14)*=Scenarios!F14,0))</f>
        <v>0</v>
      </c>
      <c r="E65">
        <f>IF(=Scenarios!E14=1,0, Parameters!B7 + ==IF(=Scenarios!H14=1, IF("FY2029"="FY2026",50, IF("FY2029"="FY2027",100,150)), =Scenarios!C14)-(=ROUNDUP(=IF(=Scenarios!H14=1, IF("FY2029"="FY2026",50, IF("FY2029"="FY2027",100,150)), =Scenarios!C14)*=Scenarios!F14,0)))</f>
        <v>0</v>
      </c>
      <c r="F65">
        <f>D65+E65</f>
        <v>0</v>
      </c>
      <c r="G65" s="2">
        <f>IF(=Scenarios!D14=1, IF(=Scenarios!I14="lease", Calc!E4*Parameters!E16, Calc!E4*Parameters!E19), Calc!E4)</f>
        <v>0</v>
      </c>
      <c r="H65" s="2">
        <f>IF(=Scenarios!E14=1, IF(=Scenarios!I14="lease", Calc!E5*Parameters!E16, Calc!E5*Parameters!E19), Calc!E5)</f>
        <v>0</v>
      </c>
      <c r="I65" s="2">
        <f>Calc!E3</f>
        <v>0</v>
      </c>
      <c r="J65" s="2">
        <f>IF("FY2029"="FY2026", (IF(=Scenarios!D14=1, Parameters!B9,0) + IF(=Scenarios!E14=1, Parameters!B9,0)), 0)</f>
        <v>0</v>
      </c>
      <c r="K65" s="3">
        <f>(1-Parameters!B4)</f>
        <v>0</v>
      </c>
      <c r="L65" s="3">
        <f>Scenarios!G14</f>
        <v>0</v>
      </c>
      <c r="M65" s="2">
        <f>(IF(Scenarios!D141, IF(Scenarios!I14"lease", Calc!E4*Parameters!E16, Calc!E4*Parameters!E19), Calc!E4) + IF(Scenarios!E141, IF(Scenarios!I14"lease", Calc!E5*Parameters!E16, Calc!E5*Parameters!E19), Calc!E5) + Calc!E3*=D65+E65)*=(1-Parameters!B4)*(1-J65) + =IF("FY2029"="FY2026", (IF(=Scenarios!D14=1, Parameters!B9,0) + IF(=Scenarios!E14=1, Parameters!B9,0)), 0)</f>
        <v>0</v>
      </c>
      <c r="N65" s="2">
        <f>IF(F65&gt;0, L65/F65, NA())</f>
        <v>0</v>
      </c>
      <c r="O65">
        <f>=Scenarios!A14&amp;"|FY2029"</f>
        <v>0</v>
      </c>
    </row>
    <row r="66" spans="1:15">
      <c r="A66">
        <f>Scenarios!A14</f>
        <v>0</v>
      </c>
      <c r="B66" t="s">
        <v>17</v>
      </c>
      <c r="C66">
        <f>Scenarios!C14</f>
        <v>0</v>
      </c>
      <c r="D66">
        <f>IF(=Scenarios!D14=1,0, Parameters!B6 + =ROUNDUP(=IF(=Scenarios!H14=1, IF("FY2030"="FY2026",50, IF("FY2030"="FY2027",100,150)), =Scenarios!C14)*=Scenarios!F14,0))</f>
        <v>0</v>
      </c>
      <c r="E66">
        <f>IF(=Scenarios!E14=1,0, Parameters!B7 + ==IF(=Scenarios!H14=1, IF("FY2030"="FY2026",50, IF("FY2030"="FY2027",100,150)), =Scenarios!C14)-(=ROUNDUP(=IF(=Scenarios!H14=1, IF("FY2030"="FY2026",50, IF("FY2030"="FY2027",100,150)), =Scenarios!C14)*=Scenarios!F14,0)))</f>
        <v>0</v>
      </c>
      <c r="F66">
        <f>D66+E66</f>
        <v>0</v>
      </c>
      <c r="G66" s="2">
        <f>IF(=Scenarios!D14=1, IF(=Scenarios!I14="lease", Calc!F4*Parameters!F16, Calc!F4*Parameters!F19), Calc!F4)</f>
        <v>0</v>
      </c>
      <c r="H66" s="2">
        <f>IF(=Scenarios!E14=1, IF(=Scenarios!I14="lease", Calc!F5*Parameters!F16, Calc!F5*Parameters!F19), Calc!F5)</f>
        <v>0</v>
      </c>
      <c r="I66" s="2">
        <f>Calc!F3</f>
        <v>0</v>
      </c>
      <c r="J66" s="2">
        <f>IF("FY2030"="FY2026", (IF(=Scenarios!D14=1, Parameters!B9,0) + IF(=Scenarios!E14=1, Parameters!B9,0)), 0)</f>
        <v>0</v>
      </c>
      <c r="K66" s="3">
        <f>(1-Parameters!B4)</f>
        <v>0</v>
      </c>
      <c r="L66" s="3">
        <f>Scenarios!G14</f>
        <v>0</v>
      </c>
      <c r="M66" s="2">
        <f>(IF(Scenarios!D141, IF(Scenarios!I14"lease", Calc!F4*Parameters!F16, Calc!F4*Parameters!F19), Calc!F4) + IF(Scenarios!E141, IF(Scenarios!I14"lease", Calc!F5*Parameters!F16, Calc!F5*Parameters!F19), Calc!F5) + Calc!F3*=D66+E66)*=(1-Parameters!B4)*(1-J66) + =IF("FY2030"="FY2026", (IF(=Scenarios!D14=1, Parameters!B9,0) + IF(=Scenarios!E14=1, Parameters!B9,0)), 0)</f>
        <v>0</v>
      </c>
      <c r="N66" s="2">
        <f>IF(F66&gt;0, L66/F66, NA())</f>
        <v>0</v>
      </c>
      <c r="O66">
        <f>=Scenarios!A14&amp;"|FY2030"</f>
        <v>0</v>
      </c>
    </row>
    <row r="67" spans="1:15">
      <c r="A67">
        <f>Scenarios!A15</f>
        <v>0</v>
      </c>
      <c r="B67" t="s">
        <v>13</v>
      </c>
      <c r="C67">
        <f>Scenarios!C15</f>
        <v>0</v>
      </c>
      <c r="D67">
        <f>IF(=Scenarios!D15=1,0, Parameters!B6 + =ROUNDUP(=IF(=Scenarios!H15=1, IF("FY2026"="FY2026",50, IF("FY2026"="FY2027",100,150)), =Scenarios!C15)*=Scenarios!F15,0))</f>
        <v>0</v>
      </c>
      <c r="E67">
        <f>IF(=Scenarios!E15=1,0, Parameters!B7 + ==IF(=Scenarios!H15=1, IF("FY2026"="FY2026",50, IF("FY2026"="FY2027",100,150)), =Scenarios!C15)-(=ROUNDUP(=IF(=Scenarios!H15=1, IF("FY2026"="FY2026",50, IF("FY2026"="FY2027",100,150)), =Scenarios!C15)*=Scenarios!F15,0)))</f>
        <v>0</v>
      </c>
      <c r="F67">
        <f>D67+E67</f>
        <v>0</v>
      </c>
      <c r="G67" s="2">
        <f>IF(=Scenarios!D15=1, IF(=Scenarios!I15="lease", Calc!B4*Parameters!B16, Calc!B4*Parameters!B19), Calc!B4)</f>
        <v>0</v>
      </c>
      <c r="H67" s="2">
        <f>IF(=Scenarios!E15=1, IF(=Scenarios!I15="lease", Calc!B5*Parameters!B16, Calc!B5*Parameters!B19), Calc!B5)</f>
        <v>0</v>
      </c>
      <c r="I67" s="2">
        <f>Calc!B3</f>
        <v>0</v>
      </c>
      <c r="J67" s="2">
        <f>IF("FY2026"="FY2026", (IF(=Scenarios!D15=1, Parameters!B9,0) + IF(=Scenarios!E15=1, Parameters!B9,0)), 0)</f>
        <v>0</v>
      </c>
      <c r="K67" s="3">
        <f>(1-Parameters!B4)</f>
        <v>0</v>
      </c>
      <c r="L67" s="3">
        <f>Scenarios!G15</f>
        <v>0</v>
      </c>
      <c r="M67" s="2">
        <f>(IF(Scenarios!D151, IF(Scenarios!I15"lease", Calc!B4*Parameters!B16, Calc!B4*Parameters!B19), Calc!B4) + IF(Scenarios!E151, IF(Scenarios!I15"lease", Calc!B5*Parameters!B16, Calc!B5*Parameters!B19), Calc!B5) + Calc!B3*=D67+E67)*=(1-Parameters!B4)*(1-J67) + =IF("FY2026"="FY2026", (IF(=Scenarios!D15=1, Parameters!B9,0) + IF(=Scenarios!E15=1, Parameters!B9,0)), 0)</f>
        <v>0</v>
      </c>
      <c r="N67" s="2">
        <f>IF(F67&gt;0, L67/F67, NA())</f>
        <v>0</v>
      </c>
      <c r="O67">
        <f>=Scenarios!A15&amp;"|FY2026"</f>
        <v>0</v>
      </c>
    </row>
    <row r="68" spans="1:15">
      <c r="A68">
        <f>Scenarios!A15</f>
        <v>0</v>
      </c>
      <c r="B68" t="s">
        <v>14</v>
      </c>
      <c r="C68">
        <f>Scenarios!C15</f>
        <v>0</v>
      </c>
      <c r="D68">
        <f>IF(=Scenarios!D15=1,0, Parameters!B6 + =ROUNDUP(=IF(=Scenarios!H15=1, IF("FY2027"="FY2026",50, IF("FY2027"="FY2027",100,150)), =Scenarios!C15)*=Scenarios!F15,0))</f>
        <v>0</v>
      </c>
      <c r="E68">
        <f>IF(=Scenarios!E15=1,0, Parameters!B7 + ==IF(=Scenarios!H15=1, IF("FY2027"="FY2026",50, IF("FY2027"="FY2027",100,150)), =Scenarios!C15)-(=ROUNDUP(=IF(=Scenarios!H15=1, IF("FY2027"="FY2026",50, IF("FY2027"="FY2027",100,150)), =Scenarios!C15)*=Scenarios!F15,0)))</f>
        <v>0</v>
      </c>
      <c r="F68">
        <f>D68+E68</f>
        <v>0</v>
      </c>
      <c r="G68" s="2">
        <f>IF(=Scenarios!D15=1, IF(=Scenarios!I15="lease", Calc!C4*Parameters!C16, Calc!C4*Parameters!C19), Calc!C4)</f>
        <v>0</v>
      </c>
      <c r="H68" s="2">
        <f>IF(=Scenarios!E15=1, IF(=Scenarios!I15="lease", Calc!C5*Parameters!C16, Calc!C5*Parameters!C19), Calc!C5)</f>
        <v>0</v>
      </c>
      <c r="I68" s="2">
        <f>Calc!C3</f>
        <v>0</v>
      </c>
      <c r="J68" s="2">
        <f>IF("FY2027"="FY2026", (IF(=Scenarios!D15=1, Parameters!B9,0) + IF(=Scenarios!E15=1, Parameters!B9,0)), 0)</f>
        <v>0</v>
      </c>
      <c r="K68" s="3">
        <f>(1-Parameters!B4)</f>
        <v>0</v>
      </c>
      <c r="L68" s="3">
        <f>Scenarios!G15</f>
        <v>0</v>
      </c>
      <c r="M68" s="2">
        <f>(IF(Scenarios!D151, IF(Scenarios!I15"lease", Calc!C4*Parameters!C16, Calc!C4*Parameters!C19), Calc!C4) + IF(Scenarios!E151, IF(Scenarios!I15"lease", Calc!C5*Parameters!C16, Calc!C5*Parameters!C19), Calc!C5) + Calc!C3*=D68+E68)*=(1-Parameters!B4)*(1-J68) + =IF("FY2027"="FY2026", (IF(=Scenarios!D15=1, Parameters!B9,0) + IF(=Scenarios!E15=1, Parameters!B9,0)), 0)</f>
        <v>0</v>
      </c>
      <c r="N68" s="2">
        <f>IF(F68&gt;0, L68/F68, NA())</f>
        <v>0</v>
      </c>
      <c r="O68">
        <f>=Scenarios!A15&amp;"|FY2027"</f>
        <v>0</v>
      </c>
    </row>
    <row r="69" spans="1:15">
      <c r="A69">
        <f>Scenarios!A15</f>
        <v>0</v>
      </c>
      <c r="B69" t="s">
        <v>15</v>
      </c>
      <c r="C69">
        <f>Scenarios!C15</f>
        <v>0</v>
      </c>
      <c r="D69">
        <f>IF(=Scenarios!D15=1,0, Parameters!B6 + =ROUNDUP(=IF(=Scenarios!H15=1, IF("FY2028"="FY2026",50, IF("FY2028"="FY2027",100,150)), =Scenarios!C15)*=Scenarios!F15,0))</f>
        <v>0</v>
      </c>
      <c r="E69">
        <f>IF(=Scenarios!E15=1,0, Parameters!B7 + ==IF(=Scenarios!H15=1, IF("FY2028"="FY2026",50, IF("FY2028"="FY2027",100,150)), =Scenarios!C15)-(=ROUNDUP(=IF(=Scenarios!H15=1, IF("FY2028"="FY2026",50, IF("FY2028"="FY2027",100,150)), =Scenarios!C15)*=Scenarios!F15,0)))</f>
        <v>0</v>
      </c>
      <c r="F69">
        <f>D69+E69</f>
        <v>0</v>
      </c>
      <c r="G69" s="2">
        <f>IF(=Scenarios!D15=1, IF(=Scenarios!I15="lease", Calc!D4*Parameters!D16, Calc!D4*Parameters!D19), Calc!D4)</f>
        <v>0</v>
      </c>
      <c r="H69" s="2">
        <f>IF(=Scenarios!E15=1, IF(=Scenarios!I15="lease", Calc!D5*Parameters!D16, Calc!D5*Parameters!D19), Calc!D5)</f>
        <v>0</v>
      </c>
      <c r="I69" s="2">
        <f>Calc!D3</f>
        <v>0</v>
      </c>
      <c r="J69" s="2">
        <f>IF("FY2028"="FY2026", (IF(=Scenarios!D15=1, Parameters!B9,0) + IF(=Scenarios!E15=1, Parameters!B9,0)), 0)</f>
        <v>0</v>
      </c>
      <c r="K69" s="3">
        <f>(1-Parameters!B4)</f>
        <v>0</v>
      </c>
      <c r="L69" s="3">
        <f>Scenarios!G15</f>
        <v>0</v>
      </c>
      <c r="M69" s="2">
        <f>(IF(Scenarios!D151, IF(Scenarios!I15"lease", Calc!D4*Parameters!D16, Calc!D4*Parameters!D19), Calc!D4) + IF(Scenarios!E151, IF(Scenarios!I15"lease", Calc!D5*Parameters!D16, Calc!D5*Parameters!D19), Calc!D5) + Calc!D3*=D69+E69)*=(1-Parameters!B4)*(1-J69) + =IF("FY2028"="FY2026", (IF(=Scenarios!D15=1, Parameters!B9,0) + IF(=Scenarios!E15=1, Parameters!B9,0)), 0)</f>
        <v>0</v>
      </c>
      <c r="N69" s="2">
        <f>IF(F69&gt;0, L69/F69, NA())</f>
        <v>0</v>
      </c>
      <c r="O69">
        <f>=Scenarios!A15&amp;"|FY2028"</f>
        <v>0</v>
      </c>
    </row>
    <row r="70" spans="1:15">
      <c r="A70">
        <f>Scenarios!A15</f>
        <v>0</v>
      </c>
      <c r="B70" t="s">
        <v>16</v>
      </c>
      <c r="C70">
        <f>Scenarios!C15</f>
        <v>0</v>
      </c>
      <c r="D70">
        <f>IF(=Scenarios!D15=1,0, Parameters!B6 + =ROUNDUP(=IF(=Scenarios!H15=1, IF("FY2029"="FY2026",50, IF("FY2029"="FY2027",100,150)), =Scenarios!C15)*=Scenarios!F15,0))</f>
        <v>0</v>
      </c>
      <c r="E70">
        <f>IF(=Scenarios!E15=1,0, Parameters!B7 + ==IF(=Scenarios!H15=1, IF("FY2029"="FY2026",50, IF("FY2029"="FY2027",100,150)), =Scenarios!C15)-(=ROUNDUP(=IF(=Scenarios!H15=1, IF("FY2029"="FY2026",50, IF("FY2029"="FY2027",100,150)), =Scenarios!C15)*=Scenarios!F15,0)))</f>
        <v>0</v>
      </c>
      <c r="F70">
        <f>D70+E70</f>
        <v>0</v>
      </c>
      <c r="G70" s="2">
        <f>IF(=Scenarios!D15=1, IF(=Scenarios!I15="lease", Calc!E4*Parameters!E16, Calc!E4*Parameters!E19), Calc!E4)</f>
        <v>0</v>
      </c>
      <c r="H70" s="2">
        <f>IF(=Scenarios!E15=1, IF(=Scenarios!I15="lease", Calc!E5*Parameters!E16, Calc!E5*Parameters!E19), Calc!E5)</f>
        <v>0</v>
      </c>
      <c r="I70" s="2">
        <f>Calc!E3</f>
        <v>0</v>
      </c>
      <c r="J70" s="2">
        <f>IF("FY2029"="FY2026", (IF(=Scenarios!D15=1, Parameters!B9,0) + IF(=Scenarios!E15=1, Parameters!B9,0)), 0)</f>
        <v>0</v>
      </c>
      <c r="K70" s="3">
        <f>(1-Parameters!B4)</f>
        <v>0</v>
      </c>
      <c r="L70" s="3">
        <f>Scenarios!G15</f>
        <v>0</v>
      </c>
      <c r="M70" s="2">
        <f>(IF(Scenarios!D151, IF(Scenarios!I15"lease", Calc!E4*Parameters!E16, Calc!E4*Parameters!E19), Calc!E4) + IF(Scenarios!E151, IF(Scenarios!I15"lease", Calc!E5*Parameters!E16, Calc!E5*Parameters!E19), Calc!E5) + Calc!E3*=D70+E70)*=(1-Parameters!B4)*(1-J70) + =IF("FY2029"="FY2026", (IF(=Scenarios!D15=1, Parameters!B9,0) + IF(=Scenarios!E15=1, Parameters!B9,0)), 0)</f>
        <v>0</v>
      </c>
      <c r="N70" s="2">
        <f>IF(F70&gt;0, L70/F70, NA())</f>
        <v>0</v>
      </c>
      <c r="O70">
        <f>=Scenarios!A15&amp;"|FY2029"</f>
        <v>0</v>
      </c>
    </row>
    <row r="71" spans="1:15">
      <c r="A71">
        <f>Scenarios!A15</f>
        <v>0</v>
      </c>
      <c r="B71" t="s">
        <v>17</v>
      </c>
      <c r="C71">
        <f>Scenarios!C15</f>
        <v>0</v>
      </c>
      <c r="D71">
        <f>IF(=Scenarios!D15=1,0, Parameters!B6 + =ROUNDUP(=IF(=Scenarios!H15=1, IF("FY2030"="FY2026",50, IF("FY2030"="FY2027",100,150)), =Scenarios!C15)*=Scenarios!F15,0))</f>
        <v>0</v>
      </c>
      <c r="E71">
        <f>IF(=Scenarios!E15=1,0, Parameters!B7 + ==IF(=Scenarios!H15=1, IF("FY2030"="FY2026",50, IF("FY2030"="FY2027",100,150)), =Scenarios!C15)-(=ROUNDUP(=IF(=Scenarios!H15=1, IF("FY2030"="FY2026",50, IF("FY2030"="FY2027",100,150)), =Scenarios!C15)*=Scenarios!F15,0)))</f>
        <v>0</v>
      </c>
      <c r="F71">
        <f>D71+E71</f>
        <v>0</v>
      </c>
      <c r="G71" s="2">
        <f>IF(=Scenarios!D15=1, IF(=Scenarios!I15="lease", Calc!F4*Parameters!F16, Calc!F4*Parameters!F19), Calc!F4)</f>
        <v>0</v>
      </c>
      <c r="H71" s="2">
        <f>IF(=Scenarios!E15=1, IF(=Scenarios!I15="lease", Calc!F5*Parameters!F16, Calc!F5*Parameters!F19), Calc!F5)</f>
        <v>0</v>
      </c>
      <c r="I71" s="2">
        <f>Calc!F3</f>
        <v>0</v>
      </c>
      <c r="J71" s="2">
        <f>IF("FY2030"="FY2026", (IF(=Scenarios!D15=1, Parameters!B9,0) + IF(=Scenarios!E15=1, Parameters!B9,0)), 0)</f>
        <v>0</v>
      </c>
      <c r="K71" s="3">
        <f>(1-Parameters!B4)</f>
        <v>0</v>
      </c>
      <c r="L71" s="3">
        <f>Scenarios!G15</f>
        <v>0</v>
      </c>
      <c r="M71" s="2">
        <f>(IF(Scenarios!D151, IF(Scenarios!I15"lease", Calc!F4*Parameters!F16, Calc!F4*Parameters!F19), Calc!F4) + IF(Scenarios!E151, IF(Scenarios!I15"lease", Calc!F5*Parameters!F16, Calc!F5*Parameters!F19), Calc!F5) + Calc!F3*=D71+E71)*=(1-Parameters!B4)*(1-J71) + =IF("FY2030"="FY2026", (IF(=Scenarios!D15=1, Parameters!B9,0) + IF(=Scenarios!E15=1, Parameters!B9,0)), 0)</f>
        <v>0</v>
      </c>
      <c r="N71" s="2">
        <f>IF(F71&gt;0, L71/F71, NA())</f>
        <v>0</v>
      </c>
      <c r="O71">
        <f>=Scenarios!A15&amp;"|FY2030"</f>
        <v>0</v>
      </c>
    </row>
    <row r="72" spans="1:15">
      <c r="A72">
        <f>Scenarios!A16</f>
        <v>0</v>
      </c>
      <c r="B72" t="s">
        <v>13</v>
      </c>
      <c r="C72">
        <f>Scenarios!C16</f>
        <v>0</v>
      </c>
      <c r="D72">
        <f>IF(=Scenarios!D16=1,0, Parameters!B6 + =ROUNDUP(=IF(=Scenarios!H16=1, IF("FY2026"="FY2026",50, IF("FY2026"="FY2027",100,150)), =Scenarios!C16)*=Scenarios!F16,0))</f>
        <v>0</v>
      </c>
      <c r="E72">
        <f>IF(=Scenarios!E16=1,0, Parameters!B7 + ==IF(=Scenarios!H16=1, IF("FY2026"="FY2026",50, IF("FY2026"="FY2027",100,150)), =Scenarios!C16)-(=ROUNDUP(=IF(=Scenarios!H16=1, IF("FY2026"="FY2026",50, IF("FY2026"="FY2027",100,150)), =Scenarios!C16)*=Scenarios!F16,0)))</f>
        <v>0</v>
      </c>
      <c r="F72">
        <f>D72+E72</f>
        <v>0</v>
      </c>
      <c r="G72" s="2">
        <f>IF(=Scenarios!D16=1, IF(=Scenarios!I16="lease", Calc!B4*Parameters!B16, Calc!B4*Parameters!B19), Calc!B4)</f>
        <v>0</v>
      </c>
      <c r="H72" s="2">
        <f>IF(=Scenarios!E16=1, IF(=Scenarios!I16="lease", Calc!B5*Parameters!B16, Calc!B5*Parameters!B19), Calc!B5)</f>
        <v>0</v>
      </c>
      <c r="I72" s="2">
        <f>Calc!B3</f>
        <v>0</v>
      </c>
      <c r="J72" s="2">
        <f>IF("FY2026"="FY2026", (IF(=Scenarios!D16=1, Parameters!B9,0) + IF(=Scenarios!E16=1, Parameters!B9,0)), 0)</f>
        <v>0</v>
      </c>
      <c r="K72" s="3">
        <f>(1-Parameters!B4)</f>
        <v>0</v>
      </c>
      <c r="L72" s="3">
        <f>Scenarios!G16</f>
        <v>0</v>
      </c>
      <c r="M72" s="2">
        <f>(IF(Scenarios!D161, IF(Scenarios!I16"lease", Calc!B4*Parameters!B16, Calc!B4*Parameters!B19), Calc!B4) + IF(Scenarios!E161, IF(Scenarios!I16"lease", Calc!B5*Parameters!B16, Calc!B5*Parameters!B19), Calc!B5) + Calc!B3*=D72+E72)*=(1-Parameters!B4)*(1-J72) + =IF("FY2026"="FY2026", (IF(=Scenarios!D16=1, Parameters!B9,0) + IF(=Scenarios!E16=1, Parameters!B9,0)), 0)</f>
        <v>0</v>
      </c>
      <c r="N72" s="2">
        <f>IF(F72&gt;0, L72/F72, NA())</f>
        <v>0</v>
      </c>
      <c r="O72">
        <f>=Scenarios!A16&amp;"|FY2026"</f>
        <v>0</v>
      </c>
    </row>
    <row r="73" spans="1:15">
      <c r="A73">
        <f>Scenarios!A16</f>
        <v>0</v>
      </c>
      <c r="B73" t="s">
        <v>14</v>
      </c>
      <c r="C73">
        <f>Scenarios!C16</f>
        <v>0</v>
      </c>
      <c r="D73">
        <f>IF(=Scenarios!D16=1,0, Parameters!B6 + =ROUNDUP(=IF(=Scenarios!H16=1, IF("FY2027"="FY2026",50, IF("FY2027"="FY2027",100,150)), =Scenarios!C16)*=Scenarios!F16,0))</f>
        <v>0</v>
      </c>
      <c r="E73">
        <f>IF(=Scenarios!E16=1,0, Parameters!B7 + ==IF(=Scenarios!H16=1, IF("FY2027"="FY2026",50, IF("FY2027"="FY2027",100,150)), =Scenarios!C16)-(=ROUNDUP(=IF(=Scenarios!H16=1, IF("FY2027"="FY2026",50, IF("FY2027"="FY2027",100,150)), =Scenarios!C16)*=Scenarios!F16,0)))</f>
        <v>0</v>
      </c>
      <c r="F73">
        <f>D73+E73</f>
        <v>0</v>
      </c>
      <c r="G73" s="2">
        <f>IF(=Scenarios!D16=1, IF(=Scenarios!I16="lease", Calc!C4*Parameters!C16, Calc!C4*Parameters!C19), Calc!C4)</f>
        <v>0</v>
      </c>
      <c r="H73" s="2">
        <f>IF(=Scenarios!E16=1, IF(=Scenarios!I16="lease", Calc!C5*Parameters!C16, Calc!C5*Parameters!C19), Calc!C5)</f>
        <v>0</v>
      </c>
      <c r="I73" s="2">
        <f>Calc!C3</f>
        <v>0</v>
      </c>
      <c r="J73" s="2">
        <f>IF("FY2027"="FY2026", (IF(=Scenarios!D16=1, Parameters!B9,0) + IF(=Scenarios!E16=1, Parameters!B9,0)), 0)</f>
        <v>0</v>
      </c>
      <c r="K73" s="3">
        <f>(1-Parameters!B4)</f>
        <v>0</v>
      </c>
      <c r="L73" s="3">
        <f>Scenarios!G16</f>
        <v>0</v>
      </c>
      <c r="M73" s="2">
        <f>(IF(Scenarios!D161, IF(Scenarios!I16"lease", Calc!C4*Parameters!C16, Calc!C4*Parameters!C19), Calc!C4) + IF(Scenarios!E161, IF(Scenarios!I16"lease", Calc!C5*Parameters!C16, Calc!C5*Parameters!C19), Calc!C5) + Calc!C3*=D73+E73)*=(1-Parameters!B4)*(1-J73) + =IF("FY2027"="FY2026", (IF(=Scenarios!D16=1, Parameters!B9,0) + IF(=Scenarios!E16=1, Parameters!B9,0)), 0)</f>
        <v>0</v>
      </c>
      <c r="N73" s="2">
        <f>IF(F73&gt;0, L73/F73, NA())</f>
        <v>0</v>
      </c>
      <c r="O73">
        <f>=Scenarios!A16&amp;"|FY2027"</f>
        <v>0</v>
      </c>
    </row>
    <row r="74" spans="1:15">
      <c r="A74">
        <f>Scenarios!A16</f>
        <v>0</v>
      </c>
      <c r="B74" t="s">
        <v>15</v>
      </c>
      <c r="C74">
        <f>Scenarios!C16</f>
        <v>0</v>
      </c>
      <c r="D74">
        <f>IF(=Scenarios!D16=1,0, Parameters!B6 + =ROUNDUP(=IF(=Scenarios!H16=1, IF("FY2028"="FY2026",50, IF("FY2028"="FY2027",100,150)), =Scenarios!C16)*=Scenarios!F16,0))</f>
        <v>0</v>
      </c>
      <c r="E74">
        <f>IF(=Scenarios!E16=1,0, Parameters!B7 + ==IF(=Scenarios!H16=1, IF("FY2028"="FY2026",50, IF("FY2028"="FY2027",100,150)), =Scenarios!C16)-(=ROUNDUP(=IF(=Scenarios!H16=1, IF("FY2028"="FY2026",50, IF("FY2028"="FY2027",100,150)), =Scenarios!C16)*=Scenarios!F16,0)))</f>
        <v>0</v>
      </c>
      <c r="F74">
        <f>D74+E74</f>
        <v>0</v>
      </c>
      <c r="G74" s="2">
        <f>IF(=Scenarios!D16=1, IF(=Scenarios!I16="lease", Calc!D4*Parameters!D16, Calc!D4*Parameters!D19), Calc!D4)</f>
        <v>0</v>
      </c>
      <c r="H74" s="2">
        <f>IF(=Scenarios!E16=1, IF(=Scenarios!I16="lease", Calc!D5*Parameters!D16, Calc!D5*Parameters!D19), Calc!D5)</f>
        <v>0</v>
      </c>
      <c r="I74" s="2">
        <f>Calc!D3</f>
        <v>0</v>
      </c>
      <c r="J74" s="2">
        <f>IF("FY2028"="FY2026", (IF(=Scenarios!D16=1, Parameters!B9,0) + IF(=Scenarios!E16=1, Parameters!B9,0)), 0)</f>
        <v>0</v>
      </c>
      <c r="K74" s="3">
        <f>(1-Parameters!B4)</f>
        <v>0</v>
      </c>
      <c r="L74" s="3">
        <f>Scenarios!G16</f>
        <v>0</v>
      </c>
      <c r="M74" s="2">
        <f>(IF(Scenarios!D161, IF(Scenarios!I16"lease", Calc!D4*Parameters!D16, Calc!D4*Parameters!D19), Calc!D4) + IF(Scenarios!E161, IF(Scenarios!I16"lease", Calc!D5*Parameters!D16, Calc!D5*Parameters!D19), Calc!D5) + Calc!D3*=D74+E74)*=(1-Parameters!B4)*(1-J74) + =IF("FY2028"="FY2026", (IF(=Scenarios!D16=1, Parameters!B9,0) + IF(=Scenarios!E16=1, Parameters!B9,0)), 0)</f>
        <v>0</v>
      </c>
      <c r="N74" s="2">
        <f>IF(F74&gt;0, L74/F74, NA())</f>
        <v>0</v>
      </c>
      <c r="O74">
        <f>=Scenarios!A16&amp;"|FY2028"</f>
        <v>0</v>
      </c>
    </row>
    <row r="75" spans="1:15">
      <c r="A75">
        <f>Scenarios!A16</f>
        <v>0</v>
      </c>
      <c r="B75" t="s">
        <v>16</v>
      </c>
      <c r="C75">
        <f>Scenarios!C16</f>
        <v>0</v>
      </c>
      <c r="D75">
        <f>IF(=Scenarios!D16=1,0, Parameters!B6 + =ROUNDUP(=IF(=Scenarios!H16=1, IF("FY2029"="FY2026",50, IF("FY2029"="FY2027",100,150)), =Scenarios!C16)*=Scenarios!F16,0))</f>
        <v>0</v>
      </c>
      <c r="E75">
        <f>IF(=Scenarios!E16=1,0, Parameters!B7 + ==IF(=Scenarios!H16=1, IF("FY2029"="FY2026",50, IF("FY2029"="FY2027",100,150)), =Scenarios!C16)-(=ROUNDUP(=IF(=Scenarios!H16=1, IF("FY2029"="FY2026",50, IF("FY2029"="FY2027",100,150)), =Scenarios!C16)*=Scenarios!F16,0)))</f>
        <v>0</v>
      </c>
      <c r="F75">
        <f>D75+E75</f>
        <v>0</v>
      </c>
      <c r="G75" s="2">
        <f>IF(=Scenarios!D16=1, IF(=Scenarios!I16="lease", Calc!E4*Parameters!E16, Calc!E4*Parameters!E19), Calc!E4)</f>
        <v>0</v>
      </c>
      <c r="H75" s="2">
        <f>IF(=Scenarios!E16=1, IF(=Scenarios!I16="lease", Calc!E5*Parameters!E16, Calc!E5*Parameters!E19), Calc!E5)</f>
        <v>0</v>
      </c>
      <c r="I75" s="2">
        <f>Calc!E3</f>
        <v>0</v>
      </c>
      <c r="J75" s="2">
        <f>IF("FY2029"="FY2026", (IF(=Scenarios!D16=1, Parameters!B9,0) + IF(=Scenarios!E16=1, Parameters!B9,0)), 0)</f>
        <v>0</v>
      </c>
      <c r="K75" s="3">
        <f>(1-Parameters!B4)</f>
        <v>0</v>
      </c>
      <c r="L75" s="3">
        <f>Scenarios!G16</f>
        <v>0</v>
      </c>
      <c r="M75" s="2">
        <f>(IF(Scenarios!D161, IF(Scenarios!I16"lease", Calc!E4*Parameters!E16, Calc!E4*Parameters!E19), Calc!E4) + IF(Scenarios!E161, IF(Scenarios!I16"lease", Calc!E5*Parameters!E16, Calc!E5*Parameters!E19), Calc!E5) + Calc!E3*=D75+E75)*=(1-Parameters!B4)*(1-J75) + =IF("FY2029"="FY2026", (IF(=Scenarios!D16=1, Parameters!B9,0) + IF(=Scenarios!E16=1, Parameters!B9,0)), 0)</f>
        <v>0</v>
      </c>
      <c r="N75" s="2">
        <f>IF(F75&gt;0, L75/F75, NA())</f>
        <v>0</v>
      </c>
      <c r="O75">
        <f>=Scenarios!A16&amp;"|FY2029"</f>
        <v>0</v>
      </c>
    </row>
    <row r="76" spans="1:15">
      <c r="A76">
        <f>Scenarios!A16</f>
        <v>0</v>
      </c>
      <c r="B76" t="s">
        <v>17</v>
      </c>
      <c r="C76">
        <f>Scenarios!C16</f>
        <v>0</v>
      </c>
      <c r="D76">
        <f>IF(=Scenarios!D16=1,0, Parameters!B6 + =ROUNDUP(=IF(=Scenarios!H16=1, IF("FY2030"="FY2026",50, IF("FY2030"="FY2027",100,150)), =Scenarios!C16)*=Scenarios!F16,0))</f>
        <v>0</v>
      </c>
      <c r="E76">
        <f>IF(=Scenarios!E16=1,0, Parameters!B7 + ==IF(=Scenarios!H16=1, IF("FY2030"="FY2026",50, IF("FY2030"="FY2027",100,150)), =Scenarios!C16)-(=ROUNDUP(=IF(=Scenarios!H16=1, IF("FY2030"="FY2026",50, IF("FY2030"="FY2027",100,150)), =Scenarios!C16)*=Scenarios!F16,0)))</f>
        <v>0</v>
      </c>
      <c r="F76">
        <f>D76+E76</f>
        <v>0</v>
      </c>
      <c r="G76" s="2">
        <f>IF(=Scenarios!D16=1, IF(=Scenarios!I16="lease", Calc!F4*Parameters!F16, Calc!F4*Parameters!F19), Calc!F4)</f>
        <v>0</v>
      </c>
      <c r="H76" s="2">
        <f>IF(=Scenarios!E16=1, IF(=Scenarios!I16="lease", Calc!F5*Parameters!F16, Calc!F5*Parameters!F19), Calc!F5)</f>
        <v>0</v>
      </c>
      <c r="I76" s="2">
        <f>Calc!F3</f>
        <v>0</v>
      </c>
      <c r="J76" s="2">
        <f>IF("FY2030"="FY2026", (IF(=Scenarios!D16=1, Parameters!B9,0) + IF(=Scenarios!E16=1, Parameters!B9,0)), 0)</f>
        <v>0</v>
      </c>
      <c r="K76" s="3">
        <f>(1-Parameters!B4)</f>
        <v>0</v>
      </c>
      <c r="L76" s="3">
        <f>Scenarios!G16</f>
        <v>0</v>
      </c>
      <c r="M76" s="2">
        <f>(IF(Scenarios!D161, IF(Scenarios!I16"lease", Calc!F4*Parameters!F16, Calc!F4*Parameters!F19), Calc!F4) + IF(Scenarios!E161, IF(Scenarios!I16"lease", Calc!F5*Parameters!F16, Calc!F5*Parameters!F19), Calc!F5) + Calc!F3*=D76+E76)*=(1-Parameters!B4)*(1-J76) + =IF("FY2030"="FY2026", (IF(=Scenarios!D16=1, Parameters!B9,0) + IF(=Scenarios!E16=1, Parameters!B9,0)), 0)</f>
        <v>0</v>
      </c>
      <c r="N76" s="2">
        <f>IF(F76&gt;0, L76/F76, NA())</f>
        <v>0</v>
      </c>
      <c r="O76">
        <f>=Scenarios!A16&amp;"|FY2030"</f>
        <v>0</v>
      </c>
    </row>
    <row r="77" spans="1:15">
      <c r="A77">
        <f>Scenarios!A17</f>
        <v>0</v>
      </c>
      <c r="B77" t="s">
        <v>13</v>
      </c>
      <c r="C77">
        <f>Scenarios!C17</f>
        <v>0</v>
      </c>
      <c r="D77">
        <f>IF(=Scenarios!D17=1,0, Parameters!B6 + =ROUNDUP(=IF(=Scenarios!H17=1, IF("FY2026"="FY2026",50, IF("FY2026"="FY2027",100,150)), =Scenarios!C17)*=Scenarios!F17,0))</f>
        <v>0</v>
      </c>
      <c r="E77">
        <f>IF(=Scenarios!E17=1,0, Parameters!B7 + ==IF(=Scenarios!H17=1, IF("FY2026"="FY2026",50, IF("FY2026"="FY2027",100,150)), =Scenarios!C17)-(=ROUNDUP(=IF(=Scenarios!H17=1, IF("FY2026"="FY2026",50, IF("FY2026"="FY2027",100,150)), =Scenarios!C17)*=Scenarios!F17,0)))</f>
        <v>0</v>
      </c>
      <c r="F77">
        <f>D77+E77</f>
        <v>0</v>
      </c>
      <c r="G77" s="2">
        <f>IF(=Scenarios!D17=1, IF(=Scenarios!I17="lease", Calc!B4*Parameters!B16, Calc!B4*Parameters!B19), Calc!B4)</f>
        <v>0</v>
      </c>
      <c r="H77" s="2">
        <f>IF(=Scenarios!E17=1, IF(=Scenarios!I17="lease", Calc!B5*Parameters!B16, Calc!B5*Parameters!B19), Calc!B5)</f>
        <v>0</v>
      </c>
      <c r="I77" s="2">
        <f>Calc!B3</f>
        <v>0</v>
      </c>
      <c r="J77" s="2">
        <f>IF("FY2026"="FY2026", (IF(=Scenarios!D17=1, Parameters!B9,0) + IF(=Scenarios!E17=1, Parameters!B9,0)), 0)</f>
        <v>0</v>
      </c>
      <c r="K77" s="3">
        <f>(1-Parameters!B4)</f>
        <v>0</v>
      </c>
      <c r="L77" s="3">
        <f>Scenarios!G17</f>
        <v>0</v>
      </c>
      <c r="M77" s="2">
        <f>(IF(Scenarios!D171, IF(Scenarios!I17"lease", Calc!B4*Parameters!B16, Calc!B4*Parameters!B19), Calc!B4) + IF(Scenarios!E171, IF(Scenarios!I17"lease", Calc!B5*Parameters!B16, Calc!B5*Parameters!B19), Calc!B5) + Calc!B3*=D77+E77)*=(1-Parameters!B4)*(1-J77) + =IF("FY2026"="FY2026", (IF(=Scenarios!D17=1, Parameters!B9,0) + IF(=Scenarios!E17=1, Parameters!B9,0)), 0)</f>
        <v>0</v>
      </c>
      <c r="N77" s="2">
        <f>IF(F77&gt;0, L77/F77, NA())</f>
        <v>0</v>
      </c>
      <c r="O77">
        <f>=Scenarios!A17&amp;"|FY2026"</f>
        <v>0</v>
      </c>
    </row>
    <row r="78" spans="1:15">
      <c r="A78">
        <f>Scenarios!A17</f>
        <v>0</v>
      </c>
      <c r="B78" t="s">
        <v>14</v>
      </c>
      <c r="C78">
        <f>Scenarios!C17</f>
        <v>0</v>
      </c>
      <c r="D78">
        <f>IF(=Scenarios!D17=1,0, Parameters!B6 + =ROUNDUP(=IF(=Scenarios!H17=1, IF("FY2027"="FY2026",50, IF("FY2027"="FY2027",100,150)), =Scenarios!C17)*=Scenarios!F17,0))</f>
        <v>0</v>
      </c>
      <c r="E78">
        <f>IF(=Scenarios!E17=1,0, Parameters!B7 + ==IF(=Scenarios!H17=1, IF("FY2027"="FY2026",50, IF("FY2027"="FY2027",100,150)), =Scenarios!C17)-(=ROUNDUP(=IF(=Scenarios!H17=1, IF("FY2027"="FY2026",50, IF("FY2027"="FY2027",100,150)), =Scenarios!C17)*=Scenarios!F17,0)))</f>
        <v>0</v>
      </c>
      <c r="F78">
        <f>D78+E78</f>
        <v>0</v>
      </c>
      <c r="G78" s="2">
        <f>IF(=Scenarios!D17=1, IF(=Scenarios!I17="lease", Calc!C4*Parameters!C16, Calc!C4*Parameters!C19), Calc!C4)</f>
        <v>0</v>
      </c>
      <c r="H78" s="2">
        <f>IF(=Scenarios!E17=1, IF(=Scenarios!I17="lease", Calc!C5*Parameters!C16, Calc!C5*Parameters!C19), Calc!C5)</f>
        <v>0</v>
      </c>
      <c r="I78" s="2">
        <f>Calc!C3</f>
        <v>0</v>
      </c>
      <c r="J78" s="2">
        <f>IF("FY2027"="FY2026", (IF(=Scenarios!D17=1, Parameters!B9,0) + IF(=Scenarios!E17=1, Parameters!B9,0)), 0)</f>
        <v>0</v>
      </c>
      <c r="K78" s="3">
        <f>(1-Parameters!B4)</f>
        <v>0</v>
      </c>
      <c r="L78" s="3">
        <f>Scenarios!G17</f>
        <v>0</v>
      </c>
      <c r="M78" s="2">
        <f>(IF(Scenarios!D171, IF(Scenarios!I17"lease", Calc!C4*Parameters!C16, Calc!C4*Parameters!C19), Calc!C4) + IF(Scenarios!E171, IF(Scenarios!I17"lease", Calc!C5*Parameters!C16, Calc!C5*Parameters!C19), Calc!C5) + Calc!C3*=D78+E78)*=(1-Parameters!B4)*(1-J78) + =IF("FY2027"="FY2026", (IF(=Scenarios!D17=1, Parameters!B9,0) + IF(=Scenarios!E17=1, Parameters!B9,0)), 0)</f>
        <v>0</v>
      </c>
      <c r="N78" s="2">
        <f>IF(F78&gt;0, L78/F78, NA())</f>
        <v>0</v>
      </c>
      <c r="O78">
        <f>=Scenarios!A17&amp;"|FY2027"</f>
        <v>0</v>
      </c>
    </row>
    <row r="79" spans="1:15">
      <c r="A79">
        <f>Scenarios!A17</f>
        <v>0</v>
      </c>
      <c r="B79" t="s">
        <v>15</v>
      </c>
      <c r="C79">
        <f>Scenarios!C17</f>
        <v>0</v>
      </c>
      <c r="D79">
        <f>IF(=Scenarios!D17=1,0, Parameters!B6 + =ROUNDUP(=IF(=Scenarios!H17=1, IF("FY2028"="FY2026",50, IF("FY2028"="FY2027",100,150)), =Scenarios!C17)*=Scenarios!F17,0))</f>
        <v>0</v>
      </c>
      <c r="E79">
        <f>IF(=Scenarios!E17=1,0, Parameters!B7 + ==IF(=Scenarios!H17=1, IF("FY2028"="FY2026",50, IF("FY2028"="FY2027",100,150)), =Scenarios!C17)-(=ROUNDUP(=IF(=Scenarios!H17=1, IF("FY2028"="FY2026",50, IF("FY2028"="FY2027",100,150)), =Scenarios!C17)*=Scenarios!F17,0)))</f>
        <v>0</v>
      </c>
      <c r="F79">
        <f>D79+E79</f>
        <v>0</v>
      </c>
      <c r="G79" s="2">
        <f>IF(=Scenarios!D17=1, IF(=Scenarios!I17="lease", Calc!D4*Parameters!D16, Calc!D4*Parameters!D19), Calc!D4)</f>
        <v>0</v>
      </c>
      <c r="H79" s="2">
        <f>IF(=Scenarios!E17=1, IF(=Scenarios!I17="lease", Calc!D5*Parameters!D16, Calc!D5*Parameters!D19), Calc!D5)</f>
        <v>0</v>
      </c>
      <c r="I79" s="2">
        <f>Calc!D3</f>
        <v>0</v>
      </c>
      <c r="J79" s="2">
        <f>IF("FY2028"="FY2026", (IF(=Scenarios!D17=1, Parameters!B9,0) + IF(=Scenarios!E17=1, Parameters!B9,0)), 0)</f>
        <v>0</v>
      </c>
      <c r="K79" s="3">
        <f>(1-Parameters!B4)</f>
        <v>0</v>
      </c>
      <c r="L79" s="3">
        <f>Scenarios!G17</f>
        <v>0</v>
      </c>
      <c r="M79" s="2">
        <f>(IF(Scenarios!D171, IF(Scenarios!I17"lease", Calc!D4*Parameters!D16, Calc!D4*Parameters!D19), Calc!D4) + IF(Scenarios!E171, IF(Scenarios!I17"lease", Calc!D5*Parameters!D16, Calc!D5*Parameters!D19), Calc!D5) + Calc!D3*=D79+E79)*=(1-Parameters!B4)*(1-J79) + =IF("FY2028"="FY2026", (IF(=Scenarios!D17=1, Parameters!B9,0) + IF(=Scenarios!E17=1, Parameters!B9,0)), 0)</f>
        <v>0</v>
      </c>
      <c r="N79" s="2">
        <f>IF(F79&gt;0, L79/F79, NA())</f>
        <v>0</v>
      </c>
      <c r="O79">
        <f>=Scenarios!A17&amp;"|FY2028"</f>
        <v>0</v>
      </c>
    </row>
    <row r="80" spans="1:15">
      <c r="A80">
        <f>Scenarios!A17</f>
        <v>0</v>
      </c>
      <c r="B80" t="s">
        <v>16</v>
      </c>
      <c r="C80">
        <f>Scenarios!C17</f>
        <v>0</v>
      </c>
      <c r="D80">
        <f>IF(=Scenarios!D17=1,0, Parameters!B6 + =ROUNDUP(=IF(=Scenarios!H17=1, IF("FY2029"="FY2026",50, IF("FY2029"="FY2027",100,150)), =Scenarios!C17)*=Scenarios!F17,0))</f>
        <v>0</v>
      </c>
      <c r="E80">
        <f>IF(=Scenarios!E17=1,0, Parameters!B7 + ==IF(=Scenarios!H17=1, IF("FY2029"="FY2026",50, IF("FY2029"="FY2027",100,150)), =Scenarios!C17)-(=ROUNDUP(=IF(=Scenarios!H17=1, IF("FY2029"="FY2026",50, IF("FY2029"="FY2027",100,150)), =Scenarios!C17)*=Scenarios!F17,0)))</f>
        <v>0</v>
      </c>
      <c r="F80">
        <f>D80+E80</f>
        <v>0</v>
      </c>
      <c r="G80" s="2">
        <f>IF(=Scenarios!D17=1, IF(=Scenarios!I17="lease", Calc!E4*Parameters!E16, Calc!E4*Parameters!E19), Calc!E4)</f>
        <v>0</v>
      </c>
      <c r="H80" s="2">
        <f>IF(=Scenarios!E17=1, IF(=Scenarios!I17="lease", Calc!E5*Parameters!E16, Calc!E5*Parameters!E19), Calc!E5)</f>
        <v>0</v>
      </c>
      <c r="I80" s="2">
        <f>Calc!E3</f>
        <v>0</v>
      </c>
      <c r="J80" s="2">
        <f>IF("FY2029"="FY2026", (IF(=Scenarios!D17=1, Parameters!B9,0) + IF(=Scenarios!E17=1, Parameters!B9,0)), 0)</f>
        <v>0</v>
      </c>
      <c r="K80" s="3">
        <f>(1-Parameters!B4)</f>
        <v>0</v>
      </c>
      <c r="L80" s="3">
        <f>Scenarios!G17</f>
        <v>0</v>
      </c>
      <c r="M80" s="2">
        <f>(IF(Scenarios!D171, IF(Scenarios!I17"lease", Calc!E4*Parameters!E16, Calc!E4*Parameters!E19), Calc!E4) + IF(Scenarios!E171, IF(Scenarios!I17"lease", Calc!E5*Parameters!E16, Calc!E5*Parameters!E19), Calc!E5) + Calc!E3*=D80+E80)*=(1-Parameters!B4)*(1-J80) + =IF("FY2029"="FY2026", (IF(=Scenarios!D17=1, Parameters!B9,0) + IF(=Scenarios!E17=1, Parameters!B9,0)), 0)</f>
        <v>0</v>
      </c>
      <c r="N80" s="2">
        <f>IF(F80&gt;0, L80/F80, NA())</f>
        <v>0</v>
      </c>
      <c r="O80">
        <f>=Scenarios!A17&amp;"|FY2029"</f>
        <v>0</v>
      </c>
    </row>
    <row r="81" spans="1:15">
      <c r="A81">
        <f>Scenarios!A17</f>
        <v>0</v>
      </c>
      <c r="B81" t="s">
        <v>17</v>
      </c>
      <c r="C81">
        <f>Scenarios!C17</f>
        <v>0</v>
      </c>
      <c r="D81">
        <f>IF(=Scenarios!D17=1,0, Parameters!B6 + =ROUNDUP(=IF(=Scenarios!H17=1, IF("FY2030"="FY2026",50, IF("FY2030"="FY2027",100,150)), =Scenarios!C17)*=Scenarios!F17,0))</f>
        <v>0</v>
      </c>
      <c r="E81">
        <f>IF(=Scenarios!E17=1,0, Parameters!B7 + ==IF(=Scenarios!H17=1, IF("FY2030"="FY2026",50, IF("FY2030"="FY2027",100,150)), =Scenarios!C17)-(=ROUNDUP(=IF(=Scenarios!H17=1, IF("FY2030"="FY2026",50, IF("FY2030"="FY2027",100,150)), =Scenarios!C17)*=Scenarios!F17,0)))</f>
        <v>0</v>
      </c>
      <c r="F81">
        <f>D81+E81</f>
        <v>0</v>
      </c>
      <c r="G81" s="2">
        <f>IF(=Scenarios!D17=1, IF(=Scenarios!I17="lease", Calc!F4*Parameters!F16, Calc!F4*Parameters!F19), Calc!F4)</f>
        <v>0</v>
      </c>
      <c r="H81" s="2">
        <f>IF(=Scenarios!E17=1, IF(=Scenarios!I17="lease", Calc!F5*Parameters!F16, Calc!F5*Parameters!F19), Calc!F5)</f>
        <v>0</v>
      </c>
      <c r="I81" s="2">
        <f>Calc!F3</f>
        <v>0</v>
      </c>
      <c r="J81" s="2">
        <f>IF("FY2030"="FY2026", (IF(=Scenarios!D17=1, Parameters!B9,0) + IF(=Scenarios!E17=1, Parameters!B9,0)), 0)</f>
        <v>0</v>
      </c>
      <c r="K81" s="3">
        <f>(1-Parameters!B4)</f>
        <v>0</v>
      </c>
      <c r="L81" s="3">
        <f>Scenarios!G17</f>
        <v>0</v>
      </c>
      <c r="M81" s="2">
        <f>(IF(Scenarios!D171, IF(Scenarios!I17"lease", Calc!F4*Parameters!F16, Calc!F4*Parameters!F19), Calc!F4) + IF(Scenarios!E171, IF(Scenarios!I17"lease", Calc!F5*Parameters!F16, Calc!F5*Parameters!F19), Calc!F5) + Calc!F3*=D81+E81)*=(1-Parameters!B4)*(1-J81) + =IF("FY2030"="FY2026", (IF(=Scenarios!D17=1, Parameters!B9,0) + IF(=Scenarios!E17=1, Parameters!B9,0)), 0)</f>
        <v>0</v>
      </c>
      <c r="N81" s="2">
        <f>IF(F81&gt;0, L81/F81, NA())</f>
        <v>0</v>
      </c>
      <c r="O81">
        <f>=Scenarios!A17&amp;"|FY2030"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33</v>
      </c>
      <c r="B1" s="1" t="s">
        <v>35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10">
      <c r="A2">
        <f>Scenarios!A2</f>
        <v>0</v>
      </c>
      <c r="B2">
        <v>0</v>
      </c>
      <c r="C2">
        <f>A2&amp;"|"&amp;"FY2028"</f>
        <v>0</v>
      </c>
      <c r="D2">
        <f>IFERROR( (INDEX(MultiYear_ProForma!$L:$L, MATCH($C2, MultiYear_ProForma!$O:$O,0)) + (IFERROR(VLOOKUP($A2,$H$3:$I$8,2,FALSE),0)*$I$11*(INDEX(MultiYear_ProForma!$I:$I, MATCH($C2, MultiYear_ProForma!$O:$O,0)) + VLOOKUP("FY2028",$H$13:$J$17,2,FALSE))) ) / ( INDEX(MultiYear_ProForma!$F:$F, MATCH($C2, MultiYear_ProForma!$O:$O,0)) + IFERROR(VLOOKUP($A2,$H$3:$I$8,2,FALSE),0)*$I$11 ), "")</f>
        <v>0</v>
      </c>
      <c r="E2">
        <f>IFERROR( (INDEX(MultiYear_ProForma!$L:$L, MATCH($A2&amp;"|FY2030", MultiYear_ProForma!$O:$O,0)) + (IFERROR(VLOOKUP($A2,$H$3:$I$8,2,FALSE),0)*$I$11*(INDEX(MultiYear_ProForma!$I:$I, MATCH($A2&amp;"|FY2030", MultiYear_ProForma!$O:$O,0)) + VLOOKUP("FY2030",$H$13:$J$17,2,FALSE))) ) / ( INDEX(MultiYear_ProForma!$F:$F, MATCH($A2&amp;"|FY2030", MultiYear_ProForma!$O:$O,0)) + IFERROR(VLOOKUP($A2,$H$3:$I$8,2,FALSE),0)*$I$11 ), "")</f>
        <v>0</v>
      </c>
      <c r="F2">
        <f>AVERAGE(( (INDEX(MultiYear_ProForma!$L:$L, MATCH($A2&amp;"|FY2026", MultiYear_ProForma!$O:$O,0)) + (IFERROR(VLOOKUP($A2,$H$3:$I$8,2,FALSE),0)*$I$11*(INDEX(MultiYear_ProForma!$I:$I, MATCH($A2&amp;"|FY2026", MultiYear_ProForma!$O:$O,0)) + VLOOKUP("FY2026",$H$13:$J$17,2,FALSE)))) / ( INDEX(MultiYear_ProForma!$F:$F, MATCH($A2&amp;"|FY2026", MultiYear_ProForma!$O:$O,0)) + IFERROR(VLOOKUP($A2,$H$3:$I$8,2,FALSE),0)*$I$11 ),( (INDEX(MultiYear_ProForma!$L:$L, MATCH($A2&amp;"|FY2027", MultiYear_ProForma!$O:$O,0)) + (IFERROR(VLOOKUP($A2,$H$3:$I$8,2,FALSE),0)*$I$11*(INDEX(MultiYear_ProForma!$I:$I, MATCH($A2&amp;"|FY2027", MultiYear_ProForma!$O:$O,0)) + VLOOKUP("FY2027",$H$13:$J$17,2,FALSE)))) / ( INDEX(MultiYear_ProForma!$F:$F, MATCH($A2&amp;"|FY2027", MultiYear_ProForma!$O:$O,0)) + IFERROR(VLOOKUP($A2,$H$3:$I$8,2,FALSE),0)*$I$11 ),( (INDEX(MultiYear_ProForma!$L:$L, MATCH($A2&amp;"|FY2028", MultiYear_ProForma!$O:$O,0)) + (IFERROR(VLOOKUP($A2,$H$3:$I$8,2,FALSE),0)*$I$11*(INDEX(MultiYear_ProForma!$I:$I, MATCH($A2&amp;"|FY2028", MultiYear_ProForma!$O:$O,0)) + VLOOKUP("FY2028",$H$13:$J$17,2,FALSE)))) / ( INDEX(MultiYear_ProForma!$F:$F, MATCH($A2&amp;"|FY2028", MultiYear_ProForma!$O:$O,0)) + IFERROR(VLOOKUP($A2,$H$3:$I$8,2,FALSE),0)*$I$11 ))</f>
        <v>0</v>
      </c>
    </row>
    <row r="3" spans="1:10">
      <c r="A3">
        <f>Scenarios!A3</f>
        <v>0</v>
      </c>
      <c r="B3">
        <v>0</v>
      </c>
      <c r="C3">
        <f>A3&amp;"|"&amp;"FY2028"</f>
        <v>0</v>
      </c>
      <c r="D3">
        <f>IFERROR( (INDEX(MultiYear_ProForma!$L:$L, MATCH($C3, MultiYear_ProForma!$O:$O,0)) + (IFERROR(VLOOKUP($A3,$H$3:$I$8,2,FALSE),0)*$I$11*(INDEX(MultiYear_ProForma!$I:$I, MATCH($C3, MultiYear_ProForma!$O:$O,0)) + VLOOKUP("FY2028",$H$13:$J$17,2,FALSE))) ) / ( INDEX(MultiYear_ProForma!$F:$F, MATCH($C3, MultiYear_ProForma!$O:$O,0)) + IFERROR(VLOOKUP($A3,$H$3:$I$8,2,FALSE),0)*$I$11 ), "")</f>
        <v>0</v>
      </c>
      <c r="E3">
        <f>IFERROR( (INDEX(MultiYear_ProForma!$L:$L, MATCH($A3&amp;"|FY2030", MultiYear_ProForma!$O:$O,0)) + (IFERROR(VLOOKUP($A3,$H$3:$I$8,2,FALSE),0)*$I$11*(INDEX(MultiYear_ProForma!$I:$I, MATCH($A3&amp;"|FY2030", MultiYear_ProForma!$O:$O,0)) + VLOOKUP("FY2030",$H$13:$J$17,2,FALSE))) ) / ( INDEX(MultiYear_ProForma!$F:$F, MATCH($A3&amp;"|FY2030", MultiYear_ProForma!$O:$O,0)) + IFERROR(VLOOKUP($A3,$H$3:$I$8,2,FALSE),0)*$I$11 ), "")</f>
        <v>0</v>
      </c>
      <c r="F3">
        <f>AVERAGE(( (INDEX(MultiYear_ProForma!$L:$L, MATCH($A3&amp;"|FY2026", MultiYear_ProForma!$O:$O,0)) + (IFERROR(VLOOKUP($A3,$H$3:$I$8,2,FALSE),0)*$I$11*(INDEX(MultiYear_ProForma!$I:$I, MATCH($A3&amp;"|FY2026", MultiYear_ProForma!$O:$O,0)) + VLOOKUP("FY2026",$H$13:$J$17,2,FALSE)))) / ( INDEX(MultiYear_ProForma!$F:$F, MATCH($A3&amp;"|FY2026", MultiYear_ProForma!$O:$O,0)) + IFERROR(VLOOKUP($A3,$H$3:$I$8,2,FALSE),0)*$I$11 ),( (INDEX(MultiYear_ProForma!$L:$L, MATCH($A3&amp;"|FY2027", MultiYear_ProForma!$O:$O,0)) + (IFERROR(VLOOKUP($A3,$H$3:$I$8,2,FALSE),0)*$I$11*(INDEX(MultiYear_ProForma!$I:$I, MATCH($A3&amp;"|FY2027", MultiYear_ProForma!$O:$O,0)) + VLOOKUP("FY2027",$H$13:$J$17,2,FALSE)))) / ( INDEX(MultiYear_ProForma!$F:$F, MATCH($A3&amp;"|FY2027", MultiYear_ProForma!$O:$O,0)) + IFERROR(VLOOKUP($A3,$H$3:$I$8,2,FALSE),0)*$I$11 ),( (INDEX(MultiYear_ProForma!$L:$L, MATCH($A3&amp;"|FY2028", MultiYear_ProForma!$O:$O,0)) + (IFERROR(VLOOKUP($A3,$H$3:$I$8,2,FALSE),0)*$I$11*(INDEX(MultiYear_ProForma!$I:$I, MATCH($A3&amp;"|FY2028", MultiYear_ProForma!$O:$O,0)) + VLOOKUP("FY2028",$H$13:$J$17,2,FALSE)))) / ( INDEX(MultiYear_ProForma!$F:$F, MATCH($A3&amp;"|FY2028", MultiYear_ProForma!$O:$O,0)) + IFERROR(VLOOKUP($A3,$H$3:$I$8,2,FALSE),0)*$I$11 ))</f>
        <v>0</v>
      </c>
      <c r="H3" t="s">
        <v>92</v>
      </c>
      <c r="I3" t="s">
        <v>93</v>
      </c>
    </row>
    <row r="4" spans="1:10">
      <c r="A4">
        <f>Scenarios!A4</f>
        <v>0</v>
      </c>
      <c r="B4">
        <v>0</v>
      </c>
      <c r="C4">
        <f>A4&amp;"|"&amp;"FY2028"</f>
        <v>0</v>
      </c>
      <c r="D4">
        <f>IFERROR( (INDEX(MultiYear_ProForma!$L:$L, MATCH($C4, MultiYear_ProForma!$O:$O,0)) + (IFERROR(VLOOKUP($A4,$H$3:$I$8,2,FALSE),0)*$I$11*(INDEX(MultiYear_ProForma!$I:$I, MATCH($C4, MultiYear_ProForma!$O:$O,0)) + VLOOKUP("FY2028",$H$13:$J$17,2,FALSE))) ) / ( INDEX(MultiYear_ProForma!$F:$F, MATCH($C4, MultiYear_ProForma!$O:$O,0)) + IFERROR(VLOOKUP($A4,$H$3:$I$8,2,FALSE),0)*$I$11 ), "")</f>
        <v>0</v>
      </c>
      <c r="E4">
        <f>IFERROR( (INDEX(MultiYear_ProForma!$L:$L, MATCH($A4&amp;"|FY2030", MultiYear_ProForma!$O:$O,0)) + (IFERROR(VLOOKUP($A4,$H$3:$I$8,2,FALSE),0)*$I$11*(INDEX(MultiYear_ProForma!$I:$I, MATCH($A4&amp;"|FY2030", MultiYear_ProForma!$O:$O,0)) + VLOOKUP("FY2030",$H$13:$J$17,2,FALSE))) ) / ( INDEX(MultiYear_ProForma!$F:$F, MATCH($A4&amp;"|FY2030", MultiYear_ProForma!$O:$O,0)) + IFERROR(VLOOKUP($A4,$H$3:$I$8,2,FALSE),0)*$I$11 ), "")</f>
        <v>0</v>
      </c>
      <c r="F4">
        <f>AVERAGE(( (INDEX(MultiYear_ProForma!$L:$L, MATCH($A4&amp;"|FY2026", MultiYear_ProForma!$O:$O,0)) + (IFERROR(VLOOKUP($A4,$H$3:$I$8,2,FALSE),0)*$I$11*(INDEX(MultiYear_ProForma!$I:$I, MATCH($A4&amp;"|FY2026", MultiYear_ProForma!$O:$O,0)) + VLOOKUP("FY2026",$H$13:$J$17,2,FALSE)))) / ( INDEX(MultiYear_ProForma!$F:$F, MATCH($A4&amp;"|FY2026", MultiYear_ProForma!$O:$O,0)) + IFERROR(VLOOKUP($A4,$H$3:$I$8,2,FALSE),0)*$I$11 ),( (INDEX(MultiYear_ProForma!$L:$L, MATCH($A4&amp;"|FY2027", MultiYear_ProForma!$O:$O,0)) + (IFERROR(VLOOKUP($A4,$H$3:$I$8,2,FALSE),0)*$I$11*(INDEX(MultiYear_ProForma!$I:$I, MATCH($A4&amp;"|FY2027", MultiYear_ProForma!$O:$O,0)) + VLOOKUP("FY2027",$H$13:$J$17,2,FALSE)))) / ( INDEX(MultiYear_ProForma!$F:$F, MATCH($A4&amp;"|FY2027", MultiYear_ProForma!$O:$O,0)) + IFERROR(VLOOKUP($A4,$H$3:$I$8,2,FALSE),0)*$I$11 ),( (INDEX(MultiYear_ProForma!$L:$L, MATCH($A4&amp;"|FY2028", MultiYear_ProForma!$O:$O,0)) + (IFERROR(VLOOKUP($A4,$H$3:$I$8,2,FALSE),0)*$I$11*(INDEX(MultiYear_ProForma!$I:$I, MATCH($A4&amp;"|FY2028", MultiYear_ProForma!$O:$O,0)) + VLOOKUP("FY2028",$H$13:$J$17,2,FALSE)))) / ( INDEX(MultiYear_ProForma!$F:$F, MATCH($A4&amp;"|FY2028", MultiYear_ProForma!$O:$O,0)) + IFERROR(VLOOKUP($A4,$H$3:$I$8,2,FALSE),0)*$I$11 ))</f>
        <v>0</v>
      </c>
      <c r="H4" t="s">
        <v>42</v>
      </c>
      <c r="I4">
        <v>553</v>
      </c>
    </row>
    <row r="5" spans="1:10">
      <c r="A5">
        <f>Scenarios!A5</f>
        <v>0</v>
      </c>
      <c r="B5">
        <v>0</v>
      </c>
      <c r="C5">
        <f>A5&amp;"|"&amp;"FY2028"</f>
        <v>0</v>
      </c>
      <c r="D5">
        <f>IFERROR( (INDEX(MultiYear_ProForma!$L:$L, MATCH($C5, MultiYear_ProForma!$O:$O,0)) + (IFERROR(VLOOKUP($A5,$H$3:$I$8,2,FALSE),0)*$I$11*(INDEX(MultiYear_ProForma!$I:$I, MATCH($C5, MultiYear_ProForma!$O:$O,0)) + VLOOKUP("FY2028",$H$13:$J$17,2,FALSE))) ) / ( INDEX(MultiYear_ProForma!$F:$F, MATCH($C5, MultiYear_ProForma!$O:$O,0)) + IFERROR(VLOOKUP($A5,$H$3:$I$8,2,FALSE),0)*$I$11 ), "")</f>
        <v>0</v>
      </c>
      <c r="E5">
        <f>IFERROR( (INDEX(MultiYear_ProForma!$L:$L, MATCH($A5&amp;"|FY2030", MultiYear_ProForma!$O:$O,0)) + (IFERROR(VLOOKUP($A5,$H$3:$I$8,2,FALSE),0)*$I$11*(INDEX(MultiYear_ProForma!$I:$I, MATCH($A5&amp;"|FY2030", MultiYear_ProForma!$O:$O,0)) + VLOOKUP("FY2030",$H$13:$J$17,2,FALSE))) ) / ( INDEX(MultiYear_ProForma!$F:$F, MATCH($A5&amp;"|FY2030", MultiYear_ProForma!$O:$O,0)) + IFERROR(VLOOKUP($A5,$H$3:$I$8,2,FALSE),0)*$I$11 ), "")</f>
        <v>0</v>
      </c>
      <c r="F5">
        <f>AVERAGE(( (INDEX(MultiYear_ProForma!$L:$L, MATCH($A5&amp;"|FY2026", MultiYear_ProForma!$O:$O,0)) + (IFERROR(VLOOKUP($A5,$H$3:$I$8,2,FALSE),0)*$I$11*(INDEX(MultiYear_ProForma!$I:$I, MATCH($A5&amp;"|FY2026", MultiYear_ProForma!$O:$O,0)) + VLOOKUP("FY2026",$H$13:$J$17,2,FALSE)))) / ( INDEX(MultiYear_ProForma!$F:$F, MATCH($A5&amp;"|FY2026", MultiYear_ProForma!$O:$O,0)) + IFERROR(VLOOKUP($A5,$H$3:$I$8,2,FALSE),0)*$I$11 ),( (INDEX(MultiYear_ProForma!$L:$L, MATCH($A5&amp;"|FY2027", MultiYear_ProForma!$O:$O,0)) + (IFERROR(VLOOKUP($A5,$H$3:$I$8,2,FALSE),0)*$I$11*(INDEX(MultiYear_ProForma!$I:$I, MATCH($A5&amp;"|FY2027", MultiYear_ProForma!$O:$O,0)) + VLOOKUP("FY2027",$H$13:$J$17,2,FALSE)))) / ( INDEX(MultiYear_ProForma!$F:$F, MATCH($A5&amp;"|FY2027", MultiYear_ProForma!$O:$O,0)) + IFERROR(VLOOKUP($A5,$H$3:$I$8,2,FALSE),0)*$I$11 ),( (INDEX(MultiYear_ProForma!$L:$L, MATCH($A5&amp;"|FY2028", MultiYear_ProForma!$O:$O,0)) + (IFERROR(VLOOKUP($A5,$H$3:$I$8,2,FALSE),0)*$I$11*(INDEX(MultiYear_ProForma!$I:$I, MATCH($A5&amp;"|FY2028", MultiYear_ProForma!$O:$O,0)) + VLOOKUP("FY2028",$H$13:$J$17,2,FALSE)))) / ( INDEX(MultiYear_ProForma!$F:$F, MATCH($A5&amp;"|FY2028", MultiYear_ProForma!$O:$O,0)) + IFERROR(VLOOKUP($A5,$H$3:$I$8,2,FALSE),0)*$I$11 ))</f>
        <v>0</v>
      </c>
      <c r="H5" t="s">
        <v>45</v>
      </c>
      <c r="I5">
        <v>553</v>
      </c>
    </row>
    <row r="6" spans="1:10">
      <c r="A6">
        <f>Scenarios!A6</f>
        <v>0</v>
      </c>
      <c r="B6">
        <v>0</v>
      </c>
      <c r="C6">
        <f>A6&amp;"|"&amp;"FY2028"</f>
        <v>0</v>
      </c>
      <c r="D6">
        <f>IFERROR( (INDEX(MultiYear_ProForma!$L:$L, MATCH($C6, MultiYear_ProForma!$O:$O,0)) + (IFERROR(VLOOKUP($A6,$H$3:$I$8,2,FALSE),0)*$I$11*(INDEX(MultiYear_ProForma!$I:$I, MATCH($C6, MultiYear_ProForma!$O:$O,0)) + VLOOKUP("FY2028",$H$13:$J$17,2,FALSE))) ) / ( INDEX(MultiYear_ProForma!$F:$F, MATCH($C6, MultiYear_ProForma!$O:$O,0)) + IFERROR(VLOOKUP($A6,$H$3:$I$8,2,FALSE),0)*$I$11 ), "")</f>
        <v>0</v>
      </c>
      <c r="E6">
        <f>IFERROR( (INDEX(MultiYear_ProForma!$L:$L, MATCH($A6&amp;"|FY2030", MultiYear_ProForma!$O:$O,0)) + (IFERROR(VLOOKUP($A6,$H$3:$I$8,2,FALSE),0)*$I$11*(INDEX(MultiYear_ProForma!$I:$I, MATCH($A6&amp;"|FY2030", MultiYear_ProForma!$O:$O,0)) + VLOOKUP("FY2030",$H$13:$J$17,2,FALSE))) ) / ( INDEX(MultiYear_ProForma!$F:$F, MATCH($A6&amp;"|FY2030", MultiYear_ProForma!$O:$O,0)) + IFERROR(VLOOKUP($A6,$H$3:$I$8,2,FALSE),0)*$I$11 ), "")</f>
        <v>0</v>
      </c>
      <c r="F6">
        <f>AVERAGE(( (INDEX(MultiYear_ProForma!$L:$L, MATCH($A6&amp;"|FY2026", MultiYear_ProForma!$O:$O,0)) + (IFERROR(VLOOKUP($A6,$H$3:$I$8,2,FALSE),0)*$I$11*(INDEX(MultiYear_ProForma!$I:$I, MATCH($A6&amp;"|FY2026", MultiYear_ProForma!$O:$O,0)) + VLOOKUP("FY2026",$H$13:$J$17,2,FALSE)))) / ( INDEX(MultiYear_ProForma!$F:$F, MATCH($A6&amp;"|FY2026", MultiYear_ProForma!$O:$O,0)) + IFERROR(VLOOKUP($A6,$H$3:$I$8,2,FALSE),0)*$I$11 ),( (INDEX(MultiYear_ProForma!$L:$L, MATCH($A6&amp;"|FY2027", MultiYear_ProForma!$O:$O,0)) + (IFERROR(VLOOKUP($A6,$H$3:$I$8,2,FALSE),0)*$I$11*(INDEX(MultiYear_ProForma!$I:$I, MATCH($A6&amp;"|FY2027", MultiYear_ProForma!$O:$O,0)) + VLOOKUP("FY2027",$H$13:$J$17,2,FALSE)))) / ( INDEX(MultiYear_ProForma!$F:$F, MATCH($A6&amp;"|FY2027", MultiYear_ProForma!$O:$O,0)) + IFERROR(VLOOKUP($A6,$H$3:$I$8,2,FALSE),0)*$I$11 ),( (INDEX(MultiYear_ProForma!$L:$L, MATCH($A6&amp;"|FY2028", MultiYear_ProForma!$O:$O,0)) + (IFERROR(VLOOKUP($A6,$H$3:$I$8,2,FALSE),0)*$I$11*(INDEX(MultiYear_ProForma!$I:$I, MATCH($A6&amp;"|FY2028", MultiYear_ProForma!$O:$O,0)) + VLOOKUP("FY2028",$H$13:$J$17,2,FALSE)))) / ( INDEX(MultiYear_ProForma!$F:$F, MATCH($A6&amp;"|FY2028", MultiYear_ProForma!$O:$O,0)) + IFERROR(VLOOKUP($A6,$H$3:$I$8,2,FALSE),0)*$I$11 ))</f>
        <v>0</v>
      </c>
      <c r="H6" t="s">
        <v>48</v>
      </c>
      <c r="I6">
        <v>257</v>
      </c>
    </row>
    <row r="7" spans="1:10">
      <c r="A7">
        <f>Scenarios!A7</f>
        <v>0</v>
      </c>
      <c r="B7">
        <v>0</v>
      </c>
      <c r="C7">
        <f>A7&amp;"|"&amp;"FY2028"</f>
        <v>0</v>
      </c>
      <c r="D7">
        <f>IFERROR( (INDEX(MultiYear_ProForma!$L:$L, MATCH($C7, MultiYear_ProForma!$O:$O,0)) + (IFERROR(VLOOKUP($A7,$H$3:$I$8,2,FALSE),0)*$I$11*(INDEX(MultiYear_ProForma!$I:$I, MATCH($C7, MultiYear_ProForma!$O:$O,0)) + VLOOKUP("FY2028",$H$13:$J$17,2,FALSE))) ) / ( INDEX(MultiYear_ProForma!$F:$F, MATCH($C7, MultiYear_ProForma!$O:$O,0)) + IFERROR(VLOOKUP($A7,$H$3:$I$8,2,FALSE),0)*$I$11 ), "")</f>
        <v>0</v>
      </c>
      <c r="E7">
        <f>IFERROR( (INDEX(MultiYear_ProForma!$L:$L, MATCH($A7&amp;"|FY2030", MultiYear_ProForma!$O:$O,0)) + (IFERROR(VLOOKUP($A7,$H$3:$I$8,2,FALSE),0)*$I$11*(INDEX(MultiYear_ProForma!$I:$I, MATCH($A7&amp;"|FY2030", MultiYear_ProForma!$O:$O,0)) + VLOOKUP("FY2030",$H$13:$J$17,2,FALSE))) ) / ( INDEX(MultiYear_ProForma!$F:$F, MATCH($A7&amp;"|FY2030", MultiYear_ProForma!$O:$O,0)) + IFERROR(VLOOKUP($A7,$H$3:$I$8,2,FALSE),0)*$I$11 ), "")</f>
        <v>0</v>
      </c>
      <c r="F7">
        <f>AVERAGE(( (INDEX(MultiYear_ProForma!$L:$L, MATCH($A7&amp;"|FY2026", MultiYear_ProForma!$O:$O,0)) + (IFERROR(VLOOKUP($A7,$H$3:$I$8,2,FALSE),0)*$I$11*(INDEX(MultiYear_ProForma!$I:$I, MATCH($A7&amp;"|FY2026", MultiYear_ProForma!$O:$O,0)) + VLOOKUP("FY2026",$H$13:$J$17,2,FALSE)))) / ( INDEX(MultiYear_ProForma!$F:$F, MATCH($A7&amp;"|FY2026", MultiYear_ProForma!$O:$O,0)) + IFERROR(VLOOKUP($A7,$H$3:$I$8,2,FALSE),0)*$I$11 ),( (INDEX(MultiYear_ProForma!$L:$L, MATCH($A7&amp;"|FY2027", MultiYear_ProForma!$O:$O,0)) + (IFERROR(VLOOKUP($A7,$H$3:$I$8,2,FALSE),0)*$I$11*(INDEX(MultiYear_ProForma!$I:$I, MATCH($A7&amp;"|FY2027", MultiYear_ProForma!$O:$O,0)) + VLOOKUP("FY2027",$H$13:$J$17,2,FALSE)))) / ( INDEX(MultiYear_ProForma!$F:$F, MATCH($A7&amp;"|FY2027", MultiYear_ProForma!$O:$O,0)) + IFERROR(VLOOKUP($A7,$H$3:$I$8,2,FALSE),0)*$I$11 ),( (INDEX(MultiYear_ProForma!$L:$L, MATCH($A7&amp;"|FY2028", MultiYear_ProForma!$O:$O,0)) + (IFERROR(VLOOKUP($A7,$H$3:$I$8,2,FALSE),0)*$I$11*(INDEX(MultiYear_ProForma!$I:$I, MATCH($A7&amp;"|FY2028", MultiYear_ProForma!$O:$O,0)) + VLOOKUP("FY2028",$H$13:$J$17,2,FALSE)))) / ( INDEX(MultiYear_ProForma!$F:$F, MATCH($A7&amp;"|FY2028", MultiYear_ProForma!$O:$O,0)) + IFERROR(VLOOKUP($A7,$H$3:$I$8,2,FALSE),0)*$I$11 ))</f>
        <v>0</v>
      </c>
      <c r="H7" t="s">
        <v>50</v>
      </c>
      <c r="I7">
        <v>257</v>
      </c>
    </row>
    <row r="8" spans="1:10">
      <c r="A8">
        <f>Scenarios!A8</f>
        <v>0</v>
      </c>
      <c r="B8">
        <v>0</v>
      </c>
      <c r="C8">
        <f>A8&amp;"|"&amp;"FY2028"</f>
        <v>0</v>
      </c>
      <c r="D8">
        <f>IFERROR( (INDEX(MultiYear_ProForma!$L:$L, MATCH($C8, MultiYear_ProForma!$O:$O,0)) + (IFERROR(VLOOKUP($A8,$H$3:$I$8,2,FALSE),0)*$I$11*(INDEX(MultiYear_ProForma!$I:$I, MATCH($C8, MultiYear_ProForma!$O:$O,0)) + VLOOKUP("FY2028",$H$13:$J$17,2,FALSE))) ) / ( INDEX(MultiYear_ProForma!$F:$F, MATCH($C8, MultiYear_ProForma!$O:$O,0)) + IFERROR(VLOOKUP($A8,$H$3:$I$8,2,FALSE),0)*$I$11 ), "")</f>
        <v>0</v>
      </c>
      <c r="E8">
        <f>IFERROR( (INDEX(MultiYear_ProForma!$L:$L, MATCH($A8&amp;"|FY2030", MultiYear_ProForma!$O:$O,0)) + (IFERROR(VLOOKUP($A8,$H$3:$I$8,2,FALSE),0)*$I$11*(INDEX(MultiYear_ProForma!$I:$I, MATCH($A8&amp;"|FY2030", MultiYear_ProForma!$O:$O,0)) + VLOOKUP("FY2030",$H$13:$J$17,2,FALSE))) ) / ( INDEX(MultiYear_ProForma!$F:$F, MATCH($A8&amp;"|FY2030", MultiYear_ProForma!$O:$O,0)) + IFERROR(VLOOKUP($A8,$H$3:$I$8,2,FALSE),0)*$I$11 ), "")</f>
        <v>0</v>
      </c>
      <c r="F8">
        <f>AVERAGE(( (INDEX(MultiYear_ProForma!$L:$L, MATCH($A8&amp;"|FY2026", MultiYear_ProForma!$O:$O,0)) + (IFERROR(VLOOKUP($A8,$H$3:$I$8,2,FALSE),0)*$I$11*(INDEX(MultiYear_ProForma!$I:$I, MATCH($A8&amp;"|FY2026", MultiYear_ProForma!$O:$O,0)) + VLOOKUP("FY2026",$H$13:$J$17,2,FALSE)))) / ( INDEX(MultiYear_ProForma!$F:$F, MATCH($A8&amp;"|FY2026", MultiYear_ProForma!$O:$O,0)) + IFERROR(VLOOKUP($A8,$H$3:$I$8,2,FALSE),0)*$I$11 ),( (INDEX(MultiYear_ProForma!$L:$L, MATCH($A8&amp;"|FY2027", MultiYear_ProForma!$O:$O,0)) + (IFERROR(VLOOKUP($A8,$H$3:$I$8,2,FALSE),0)*$I$11*(INDEX(MultiYear_ProForma!$I:$I, MATCH($A8&amp;"|FY2027", MultiYear_ProForma!$O:$O,0)) + VLOOKUP("FY2027",$H$13:$J$17,2,FALSE)))) / ( INDEX(MultiYear_ProForma!$F:$F, MATCH($A8&amp;"|FY2027", MultiYear_ProForma!$O:$O,0)) + IFERROR(VLOOKUP($A8,$H$3:$I$8,2,FALSE),0)*$I$11 ),( (INDEX(MultiYear_ProForma!$L:$L, MATCH($A8&amp;"|FY2028", MultiYear_ProForma!$O:$O,0)) + (IFERROR(VLOOKUP($A8,$H$3:$I$8,2,FALSE),0)*$I$11*(INDEX(MultiYear_ProForma!$I:$I, MATCH($A8&amp;"|FY2028", MultiYear_ProForma!$O:$O,0)) + VLOOKUP("FY2028",$H$13:$J$17,2,FALSE)))) / ( INDEX(MultiYear_ProForma!$F:$F, MATCH($A8&amp;"|FY2028", MultiYear_ProForma!$O:$O,0)) + IFERROR(VLOOKUP($A8,$H$3:$I$8,2,FALSE),0)*$I$11 ))</f>
        <v>0</v>
      </c>
      <c r="H8" t="s">
        <v>52</v>
      </c>
      <c r="I8">
        <v>296</v>
      </c>
    </row>
    <row r="9" spans="1:10">
      <c r="A9">
        <f>Scenarios!A9</f>
        <v>0</v>
      </c>
      <c r="B9">
        <v>100</v>
      </c>
      <c r="C9">
        <f>A9&amp;"|"&amp;"FY2028"</f>
        <v>0</v>
      </c>
      <c r="D9">
        <f>IFERROR( (INDEX(MultiYear_ProForma!$L:$L, MATCH($C9, MultiYear_ProForma!$O:$O,0)) + (IFERROR(VLOOKUP($A9,$H$3:$I$8,2,FALSE),0)*$I$11*(INDEX(MultiYear_ProForma!$I:$I, MATCH($C9, MultiYear_ProForma!$O:$O,0)) + VLOOKUP("FY2028",$H$13:$J$17,2,FALSE))) ) / ( INDEX(MultiYear_ProForma!$F:$F, MATCH($C9, MultiYear_ProForma!$O:$O,0)) + IFERROR(VLOOKUP($A9,$H$3:$I$8,2,FALSE),0)*$I$11 ), "")</f>
        <v>0</v>
      </c>
      <c r="E9">
        <f>IFERROR( (INDEX(MultiYear_ProForma!$L:$L, MATCH($A9&amp;"|FY2030", MultiYear_ProForma!$O:$O,0)) + (IFERROR(VLOOKUP($A9,$H$3:$I$8,2,FALSE),0)*$I$11*(INDEX(MultiYear_ProForma!$I:$I, MATCH($A9&amp;"|FY2030", MultiYear_ProForma!$O:$O,0)) + VLOOKUP("FY2030",$H$13:$J$17,2,FALSE))) ) / ( INDEX(MultiYear_ProForma!$F:$F, MATCH($A9&amp;"|FY2030", MultiYear_ProForma!$O:$O,0)) + IFERROR(VLOOKUP($A9,$H$3:$I$8,2,FALSE),0)*$I$11 ), "")</f>
        <v>0</v>
      </c>
      <c r="F9">
        <f>AVERAGE(( (INDEX(MultiYear_ProForma!$L:$L, MATCH($A9&amp;"|FY2026", MultiYear_ProForma!$O:$O,0)) + (IFERROR(VLOOKUP($A9,$H$3:$I$8,2,FALSE),0)*$I$11*(INDEX(MultiYear_ProForma!$I:$I, MATCH($A9&amp;"|FY2026", MultiYear_ProForma!$O:$O,0)) + VLOOKUP("FY2026",$H$13:$J$17,2,FALSE)))) / ( INDEX(MultiYear_ProForma!$F:$F, MATCH($A9&amp;"|FY2026", MultiYear_ProForma!$O:$O,0)) + IFERROR(VLOOKUP($A9,$H$3:$I$8,2,FALSE),0)*$I$11 ),( (INDEX(MultiYear_ProForma!$L:$L, MATCH($A9&amp;"|FY2027", MultiYear_ProForma!$O:$O,0)) + (IFERROR(VLOOKUP($A9,$H$3:$I$8,2,FALSE),0)*$I$11*(INDEX(MultiYear_ProForma!$I:$I, MATCH($A9&amp;"|FY2027", MultiYear_ProForma!$O:$O,0)) + VLOOKUP("FY2027",$H$13:$J$17,2,FALSE)))) / ( INDEX(MultiYear_ProForma!$F:$F, MATCH($A9&amp;"|FY2027", MultiYear_ProForma!$O:$O,0)) + IFERROR(VLOOKUP($A9,$H$3:$I$8,2,FALSE),0)*$I$11 ),( (INDEX(MultiYear_ProForma!$L:$L, MATCH($A9&amp;"|FY2028", MultiYear_ProForma!$O:$O,0)) + (IFERROR(VLOOKUP($A9,$H$3:$I$8,2,FALSE),0)*$I$11*(INDEX(MultiYear_ProForma!$I:$I, MATCH($A9&amp;"|FY2028", MultiYear_ProForma!$O:$O,0)) + VLOOKUP("FY2028",$H$13:$J$17,2,FALSE)))) / ( INDEX(MultiYear_ProForma!$F:$F, MATCH($A9&amp;"|FY2028", MultiYear_ProForma!$O:$O,0)) + IFERROR(VLOOKUP($A9,$H$3:$I$8,2,FALSE),0)*$I$11 ))</f>
        <v>0</v>
      </c>
      <c r="H9" t="s">
        <v>54</v>
      </c>
      <c r="I9">
        <v>296</v>
      </c>
    </row>
    <row r="10" spans="1:10">
      <c r="A10">
        <f>Scenarios!A10</f>
        <v>0</v>
      </c>
      <c r="B10">
        <v>150</v>
      </c>
      <c r="C10">
        <f>A10&amp;"|"&amp;"FY2028"</f>
        <v>0</v>
      </c>
      <c r="D10">
        <f>IFERROR( (INDEX(MultiYear_ProForma!$L:$L, MATCH($C10, MultiYear_ProForma!$O:$O,0)) + (IFERROR(VLOOKUP($A10,$H$3:$I$8,2,FALSE),0)*$I$11*(INDEX(MultiYear_ProForma!$I:$I, MATCH($C10, MultiYear_ProForma!$O:$O,0)) + VLOOKUP("FY2028",$H$13:$J$17,2,FALSE))) ) / ( INDEX(MultiYear_ProForma!$F:$F, MATCH($C10, MultiYear_ProForma!$O:$O,0)) + IFERROR(VLOOKUP($A10,$H$3:$I$8,2,FALSE),0)*$I$11 ), "")</f>
        <v>0</v>
      </c>
      <c r="E10">
        <f>IFERROR( (INDEX(MultiYear_ProForma!$L:$L, MATCH($A10&amp;"|FY2030", MultiYear_ProForma!$O:$O,0)) + (IFERROR(VLOOKUP($A10,$H$3:$I$8,2,FALSE),0)*$I$11*(INDEX(MultiYear_ProForma!$I:$I, MATCH($A10&amp;"|FY2030", MultiYear_ProForma!$O:$O,0)) + VLOOKUP("FY2030",$H$13:$J$17,2,FALSE))) ) / ( INDEX(MultiYear_ProForma!$F:$F, MATCH($A10&amp;"|FY2030", MultiYear_ProForma!$O:$O,0)) + IFERROR(VLOOKUP($A10,$H$3:$I$8,2,FALSE),0)*$I$11 ), "")</f>
        <v>0</v>
      </c>
      <c r="F10">
        <f>AVERAGE(( (INDEX(MultiYear_ProForma!$L:$L, MATCH($A10&amp;"|FY2026", MultiYear_ProForma!$O:$O,0)) + (IFERROR(VLOOKUP($A10,$H$3:$I$8,2,FALSE),0)*$I$11*(INDEX(MultiYear_ProForma!$I:$I, MATCH($A10&amp;"|FY2026", MultiYear_ProForma!$O:$O,0)) + VLOOKUP("FY2026",$H$13:$J$17,2,FALSE)))) / ( INDEX(MultiYear_ProForma!$F:$F, MATCH($A10&amp;"|FY2026", MultiYear_ProForma!$O:$O,0)) + IFERROR(VLOOKUP($A10,$H$3:$I$8,2,FALSE),0)*$I$11 ),( (INDEX(MultiYear_ProForma!$L:$L, MATCH($A10&amp;"|FY2027", MultiYear_ProForma!$O:$O,0)) + (IFERROR(VLOOKUP($A10,$H$3:$I$8,2,FALSE),0)*$I$11*(INDEX(MultiYear_ProForma!$I:$I, MATCH($A10&amp;"|FY2027", MultiYear_ProForma!$O:$O,0)) + VLOOKUP("FY2027",$H$13:$J$17,2,FALSE)))) / ( INDEX(MultiYear_ProForma!$F:$F, MATCH($A10&amp;"|FY2027", MultiYear_ProForma!$O:$O,0)) + IFERROR(VLOOKUP($A10,$H$3:$I$8,2,FALSE),0)*$I$11 ),( (INDEX(MultiYear_ProForma!$L:$L, MATCH($A10&amp;"|FY2028", MultiYear_ProForma!$O:$O,0)) + (IFERROR(VLOOKUP($A10,$H$3:$I$8,2,FALSE),0)*$I$11*(INDEX(MultiYear_ProForma!$I:$I, MATCH($A10&amp;"|FY2028", MultiYear_ProForma!$O:$O,0)) + VLOOKUP("FY2028",$H$13:$J$17,2,FALSE)))) / ( INDEX(MultiYear_ProForma!$F:$F, MATCH($A10&amp;"|FY2028", MultiYear_ProForma!$O:$O,0)) + IFERROR(VLOOKUP($A10,$H$3:$I$8,2,FALSE),0)*$I$11 ))</f>
        <v>0</v>
      </c>
    </row>
    <row r="11" spans="1:10">
      <c r="A11">
        <f>Scenarios!A11</f>
        <v>0</v>
      </c>
      <c r="B11">
        <v>0</v>
      </c>
      <c r="C11">
        <f>A11&amp;"|"&amp;"FY2028"</f>
        <v>0</v>
      </c>
      <c r="D11">
        <f>IFERROR( (INDEX(MultiYear_ProForma!$L:$L, MATCH($C11, MultiYear_ProForma!$O:$O,0)) + (IFERROR(VLOOKUP($A11,$H$3:$I$8,2,FALSE),0)*$I$11*(INDEX(MultiYear_ProForma!$I:$I, MATCH($C11, MultiYear_ProForma!$O:$O,0)) + VLOOKUP("FY2028",$H$13:$J$17,2,FALSE))) ) / ( INDEX(MultiYear_ProForma!$F:$F, MATCH($C11, MultiYear_ProForma!$O:$O,0)) + IFERROR(VLOOKUP($A11,$H$3:$I$8,2,FALSE),0)*$I$11 ), "")</f>
        <v>0</v>
      </c>
      <c r="E11">
        <f>IFERROR( (INDEX(MultiYear_ProForma!$L:$L, MATCH($A11&amp;"|FY2030", MultiYear_ProForma!$O:$O,0)) + (IFERROR(VLOOKUP($A11,$H$3:$I$8,2,FALSE),0)*$I$11*(INDEX(MultiYear_ProForma!$I:$I, MATCH($A11&amp;"|FY2030", MultiYear_ProForma!$O:$O,0)) + VLOOKUP("FY2030",$H$13:$J$17,2,FALSE))) ) / ( INDEX(MultiYear_ProForma!$F:$F, MATCH($A11&amp;"|FY2030", MultiYear_ProForma!$O:$O,0)) + IFERROR(VLOOKUP($A11,$H$3:$I$8,2,FALSE),0)*$I$11 ), "")</f>
        <v>0</v>
      </c>
      <c r="F11">
        <f>AVERAGE(( (INDEX(MultiYear_ProForma!$L:$L, MATCH($A11&amp;"|FY2026", MultiYear_ProForma!$O:$O,0)) + (IFERROR(VLOOKUP($A11,$H$3:$I$8,2,FALSE),0)*$I$11*(INDEX(MultiYear_ProForma!$I:$I, MATCH($A11&amp;"|FY2026", MultiYear_ProForma!$O:$O,0)) + VLOOKUP("FY2026",$H$13:$J$17,2,FALSE)))) / ( INDEX(MultiYear_ProForma!$F:$F, MATCH($A11&amp;"|FY2026", MultiYear_ProForma!$O:$O,0)) + IFERROR(VLOOKUP($A11,$H$3:$I$8,2,FALSE),0)*$I$11 ),( (INDEX(MultiYear_ProForma!$L:$L, MATCH($A11&amp;"|FY2027", MultiYear_ProForma!$O:$O,0)) + (IFERROR(VLOOKUP($A11,$H$3:$I$8,2,FALSE),0)*$I$11*(INDEX(MultiYear_ProForma!$I:$I, MATCH($A11&amp;"|FY2027", MultiYear_ProForma!$O:$O,0)) + VLOOKUP("FY2027",$H$13:$J$17,2,FALSE)))) / ( INDEX(MultiYear_ProForma!$F:$F, MATCH($A11&amp;"|FY2027", MultiYear_ProForma!$O:$O,0)) + IFERROR(VLOOKUP($A11,$H$3:$I$8,2,FALSE),0)*$I$11 ),( (INDEX(MultiYear_ProForma!$L:$L, MATCH($A11&amp;"|FY2028", MultiYear_ProForma!$O:$O,0)) + (IFERROR(VLOOKUP($A11,$H$3:$I$8,2,FALSE),0)*$I$11*(INDEX(MultiYear_ProForma!$I:$I, MATCH($A11&amp;"|FY2028", MultiYear_ProForma!$O:$O,0)) + VLOOKUP("FY2028",$H$13:$J$17,2,FALSE)))) / ( INDEX(MultiYear_ProForma!$F:$F, MATCH($A11&amp;"|FY2028", MultiYear_ProForma!$O:$O,0)) + IFERROR(VLOOKUP($A11,$H$3:$I$8,2,FALSE),0)*$I$11 ))</f>
        <v>0</v>
      </c>
      <c r="H11" t="s">
        <v>94</v>
      </c>
      <c r="I11">
        <v>0.75</v>
      </c>
    </row>
    <row r="12" spans="1:10">
      <c r="A12">
        <f>Scenarios!A12</f>
        <v>0</v>
      </c>
      <c r="B12">
        <v>100</v>
      </c>
      <c r="C12">
        <f>A12&amp;"|"&amp;"FY2028"</f>
        <v>0</v>
      </c>
      <c r="D12">
        <f>IFERROR( (INDEX(MultiYear_ProForma!$L:$L, MATCH($C12, MultiYear_ProForma!$O:$O,0)) + (IFERROR(VLOOKUP($A12,$H$3:$I$8,2,FALSE),0)*$I$11*(INDEX(MultiYear_ProForma!$I:$I, MATCH($C12, MultiYear_ProForma!$O:$O,0)) + VLOOKUP("FY2028",$H$13:$J$17,2,FALSE))) ) / ( INDEX(MultiYear_ProForma!$F:$F, MATCH($C12, MultiYear_ProForma!$O:$O,0)) + IFERROR(VLOOKUP($A12,$H$3:$I$8,2,FALSE),0)*$I$11 ), "")</f>
        <v>0</v>
      </c>
      <c r="E12">
        <f>IFERROR( (INDEX(MultiYear_ProForma!$L:$L, MATCH($A12&amp;"|FY2030", MultiYear_ProForma!$O:$O,0)) + (IFERROR(VLOOKUP($A12,$H$3:$I$8,2,FALSE),0)*$I$11*(INDEX(MultiYear_ProForma!$I:$I, MATCH($A12&amp;"|FY2030", MultiYear_ProForma!$O:$O,0)) + VLOOKUP("FY2030",$H$13:$J$17,2,FALSE))) ) / ( INDEX(MultiYear_ProForma!$F:$F, MATCH($A12&amp;"|FY2030", MultiYear_ProForma!$O:$O,0)) + IFERROR(VLOOKUP($A12,$H$3:$I$8,2,FALSE),0)*$I$11 ), "")</f>
        <v>0</v>
      </c>
      <c r="F12">
        <f>AVERAGE(( (INDEX(MultiYear_ProForma!$L:$L, MATCH($A12&amp;"|FY2026", MultiYear_ProForma!$O:$O,0)) + (IFERROR(VLOOKUP($A12,$H$3:$I$8,2,FALSE),0)*$I$11*(INDEX(MultiYear_ProForma!$I:$I, MATCH($A12&amp;"|FY2026", MultiYear_ProForma!$O:$O,0)) + VLOOKUP("FY2026",$H$13:$J$17,2,FALSE)))) / ( INDEX(MultiYear_ProForma!$F:$F, MATCH($A12&amp;"|FY2026", MultiYear_ProForma!$O:$O,0)) + IFERROR(VLOOKUP($A12,$H$3:$I$8,2,FALSE),0)*$I$11 ),( (INDEX(MultiYear_ProForma!$L:$L, MATCH($A12&amp;"|FY2027", MultiYear_ProForma!$O:$O,0)) + (IFERROR(VLOOKUP($A12,$H$3:$I$8,2,FALSE),0)*$I$11*(INDEX(MultiYear_ProForma!$I:$I, MATCH($A12&amp;"|FY2027", MultiYear_ProForma!$O:$O,0)) + VLOOKUP("FY2027",$H$13:$J$17,2,FALSE)))) / ( INDEX(MultiYear_ProForma!$F:$F, MATCH($A12&amp;"|FY2027", MultiYear_ProForma!$O:$O,0)) + IFERROR(VLOOKUP($A12,$H$3:$I$8,2,FALSE),0)*$I$11 ),( (INDEX(MultiYear_ProForma!$L:$L, MATCH($A12&amp;"|FY2028", MultiYear_ProForma!$O:$O,0)) + (IFERROR(VLOOKUP($A12,$H$3:$I$8,2,FALSE),0)*$I$11*(INDEX(MultiYear_ProForma!$I:$I, MATCH($A12&amp;"|FY2028", MultiYear_ProForma!$O:$O,0)) + VLOOKUP("FY2028",$H$13:$J$17,2,FALSE)))) / ( INDEX(MultiYear_ProForma!$F:$F, MATCH($A12&amp;"|FY2028", MultiYear_ProForma!$O:$O,0)) + IFERROR(VLOOKUP($A12,$H$3:$I$8,2,FALSE),0)*$I$11 ))</f>
        <v>0</v>
      </c>
    </row>
    <row r="13" spans="1:10">
      <c r="A13">
        <f>Scenarios!A13</f>
        <v>0</v>
      </c>
      <c r="B13">
        <v>150</v>
      </c>
      <c r="C13">
        <f>A13&amp;"|"&amp;"FY2028"</f>
        <v>0</v>
      </c>
      <c r="D13">
        <f>IFERROR( (INDEX(MultiYear_ProForma!$L:$L, MATCH($C13, MultiYear_ProForma!$O:$O,0)) + (IFERROR(VLOOKUP($A13,$H$3:$I$8,2,FALSE),0)*$I$11*(INDEX(MultiYear_ProForma!$I:$I, MATCH($C13, MultiYear_ProForma!$O:$O,0)) + VLOOKUP("FY2028",$H$13:$J$17,2,FALSE))) ) / ( INDEX(MultiYear_ProForma!$F:$F, MATCH($C13, MultiYear_ProForma!$O:$O,0)) + IFERROR(VLOOKUP($A13,$H$3:$I$8,2,FALSE),0)*$I$11 ), "")</f>
        <v>0</v>
      </c>
      <c r="E13">
        <f>IFERROR( (INDEX(MultiYear_ProForma!$L:$L, MATCH($A13&amp;"|FY2030", MultiYear_ProForma!$O:$O,0)) + (IFERROR(VLOOKUP($A13,$H$3:$I$8,2,FALSE),0)*$I$11*(INDEX(MultiYear_ProForma!$I:$I, MATCH($A13&amp;"|FY2030", MultiYear_ProForma!$O:$O,0)) + VLOOKUP("FY2030",$H$13:$J$17,2,FALSE))) ) / ( INDEX(MultiYear_ProForma!$F:$F, MATCH($A13&amp;"|FY2030", MultiYear_ProForma!$O:$O,0)) + IFERROR(VLOOKUP($A13,$H$3:$I$8,2,FALSE),0)*$I$11 ), "")</f>
        <v>0</v>
      </c>
      <c r="F13">
        <f>AVERAGE(( (INDEX(MultiYear_ProForma!$L:$L, MATCH($A13&amp;"|FY2026", MultiYear_ProForma!$O:$O,0)) + (IFERROR(VLOOKUP($A13,$H$3:$I$8,2,FALSE),0)*$I$11*(INDEX(MultiYear_ProForma!$I:$I, MATCH($A13&amp;"|FY2026", MultiYear_ProForma!$O:$O,0)) + VLOOKUP("FY2026",$H$13:$J$17,2,FALSE)))) / ( INDEX(MultiYear_ProForma!$F:$F, MATCH($A13&amp;"|FY2026", MultiYear_ProForma!$O:$O,0)) + IFERROR(VLOOKUP($A13,$H$3:$I$8,2,FALSE),0)*$I$11 ),( (INDEX(MultiYear_ProForma!$L:$L, MATCH($A13&amp;"|FY2027", MultiYear_ProForma!$O:$O,0)) + (IFERROR(VLOOKUP($A13,$H$3:$I$8,2,FALSE),0)*$I$11*(INDEX(MultiYear_ProForma!$I:$I, MATCH($A13&amp;"|FY2027", MultiYear_ProForma!$O:$O,0)) + VLOOKUP("FY2027",$H$13:$J$17,2,FALSE)))) / ( INDEX(MultiYear_ProForma!$F:$F, MATCH($A13&amp;"|FY2027", MultiYear_ProForma!$O:$O,0)) + IFERROR(VLOOKUP($A13,$H$3:$I$8,2,FALSE),0)*$I$11 ),( (INDEX(MultiYear_ProForma!$L:$L, MATCH($A13&amp;"|FY2028", MultiYear_ProForma!$O:$O,0)) + (IFERROR(VLOOKUP($A13,$H$3:$I$8,2,FALSE),0)*$I$11*(INDEX(MultiYear_ProForma!$I:$I, MATCH($A13&amp;"|FY2028", MultiYear_ProForma!$O:$O,0)) + VLOOKUP("FY2028",$H$13:$J$17,2,FALSE)))) / ( INDEX(MultiYear_ProForma!$F:$F, MATCH($A13&amp;"|FY2028", MultiYear_ProForma!$O:$O,0)) + IFERROR(VLOOKUP($A13,$H$3:$I$8,2,FALSE),0)*$I$11 ))</f>
        <v>0</v>
      </c>
      <c r="H13" t="s">
        <v>76</v>
      </c>
      <c r="I13" t="s">
        <v>95</v>
      </c>
      <c r="J13" t="s">
        <v>96</v>
      </c>
    </row>
    <row r="14" spans="1:10">
      <c r="A14">
        <f>Scenarios!A14</f>
        <v>0</v>
      </c>
      <c r="B14">
        <v>0</v>
      </c>
      <c r="C14">
        <f>A14&amp;"|"&amp;"FY2028"</f>
        <v>0</v>
      </c>
      <c r="D14">
        <f>IFERROR( (INDEX(MultiYear_ProForma!$L:$L, MATCH($C14, MultiYear_ProForma!$O:$O,0)) + (IFERROR(VLOOKUP($A14,$H$3:$I$8,2,FALSE),0)*$I$11*(INDEX(MultiYear_ProForma!$I:$I, MATCH($C14, MultiYear_ProForma!$O:$O,0)) + VLOOKUP("FY2028",$H$13:$J$17,2,FALSE))) ) / ( INDEX(MultiYear_ProForma!$F:$F, MATCH($C14, MultiYear_ProForma!$O:$O,0)) + IFERROR(VLOOKUP($A14,$H$3:$I$8,2,FALSE),0)*$I$11 ), "")</f>
        <v>0</v>
      </c>
      <c r="E14">
        <f>IFERROR( (INDEX(MultiYear_ProForma!$L:$L, MATCH($A14&amp;"|FY2030", MultiYear_ProForma!$O:$O,0)) + (IFERROR(VLOOKUP($A14,$H$3:$I$8,2,FALSE),0)*$I$11*(INDEX(MultiYear_ProForma!$I:$I, MATCH($A14&amp;"|FY2030", MultiYear_ProForma!$O:$O,0)) + VLOOKUP("FY2030",$H$13:$J$17,2,FALSE))) ) / ( INDEX(MultiYear_ProForma!$F:$F, MATCH($A14&amp;"|FY2030", MultiYear_ProForma!$O:$O,0)) + IFERROR(VLOOKUP($A14,$H$3:$I$8,2,FALSE),0)*$I$11 ), "")</f>
        <v>0</v>
      </c>
      <c r="F14">
        <f>AVERAGE(( (INDEX(MultiYear_ProForma!$L:$L, MATCH($A14&amp;"|FY2026", MultiYear_ProForma!$O:$O,0)) + (IFERROR(VLOOKUP($A14,$H$3:$I$8,2,FALSE),0)*$I$11*(INDEX(MultiYear_ProForma!$I:$I, MATCH($A14&amp;"|FY2026", MultiYear_ProForma!$O:$O,0)) + VLOOKUP("FY2026",$H$13:$J$17,2,FALSE)))) / ( INDEX(MultiYear_ProForma!$F:$F, MATCH($A14&amp;"|FY2026", MultiYear_ProForma!$O:$O,0)) + IFERROR(VLOOKUP($A14,$H$3:$I$8,2,FALSE),0)*$I$11 ),( (INDEX(MultiYear_ProForma!$L:$L, MATCH($A14&amp;"|FY2027", MultiYear_ProForma!$O:$O,0)) + (IFERROR(VLOOKUP($A14,$H$3:$I$8,2,FALSE),0)*$I$11*(INDEX(MultiYear_ProForma!$I:$I, MATCH($A14&amp;"|FY2027", MultiYear_ProForma!$O:$O,0)) + VLOOKUP("FY2027",$H$13:$J$17,2,FALSE)))) / ( INDEX(MultiYear_ProForma!$F:$F, MATCH($A14&amp;"|FY2027", MultiYear_ProForma!$O:$O,0)) + IFERROR(VLOOKUP($A14,$H$3:$I$8,2,FALSE),0)*$I$11 ),( (INDEX(MultiYear_ProForma!$L:$L, MATCH($A14&amp;"|FY2028", MultiYear_ProForma!$O:$O,0)) + (IFERROR(VLOOKUP($A14,$H$3:$I$8,2,FALSE),0)*$I$11*(INDEX(MultiYear_ProForma!$I:$I, MATCH($A14&amp;"|FY2028", MultiYear_ProForma!$O:$O,0)) + VLOOKUP("FY2028",$H$13:$J$17,2,FALSE)))) / ( INDEX(MultiYear_ProForma!$F:$F, MATCH($A14&amp;"|FY2028", MultiYear_ProForma!$O:$O,0)) + IFERROR(VLOOKUP($A14,$H$3:$I$8,2,FALSE),0)*$I$11 ))</f>
        <v>0</v>
      </c>
      <c r="H14" t="s">
        <v>13</v>
      </c>
      <c r="I14">
        <v>1000</v>
      </c>
      <c r="J14">
        <v>7129.079999999998</v>
      </c>
    </row>
    <row r="15" spans="1:10">
      <c r="A15">
        <f>Scenarios!A15</f>
        <v>0</v>
      </c>
      <c r="B15">
        <v>100</v>
      </c>
      <c r="C15">
        <f>A15&amp;"|"&amp;"FY2028"</f>
        <v>0</v>
      </c>
      <c r="D15">
        <f>IFERROR( (INDEX(MultiYear_ProForma!$L:$L, MATCH($C15, MultiYear_ProForma!$O:$O,0)) + (IFERROR(VLOOKUP($A15,$H$3:$I$8,2,FALSE),0)*$I$11*(INDEX(MultiYear_ProForma!$I:$I, MATCH($C15, MultiYear_ProForma!$O:$O,0)) + VLOOKUP("FY2028",$H$13:$J$17,2,FALSE))) ) / ( INDEX(MultiYear_ProForma!$F:$F, MATCH($C15, MultiYear_ProForma!$O:$O,0)) + IFERROR(VLOOKUP($A15,$H$3:$I$8,2,FALSE),0)*$I$11 ), "")</f>
        <v>0</v>
      </c>
      <c r="E15">
        <f>IFERROR( (INDEX(MultiYear_ProForma!$L:$L, MATCH($A15&amp;"|FY2030", MultiYear_ProForma!$O:$O,0)) + (IFERROR(VLOOKUP($A15,$H$3:$I$8,2,FALSE),0)*$I$11*(INDEX(MultiYear_ProForma!$I:$I, MATCH($A15&amp;"|FY2030", MultiYear_ProForma!$O:$O,0)) + VLOOKUP("FY2030",$H$13:$J$17,2,FALSE))) ) / ( INDEX(MultiYear_ProForma!$F:$F, MATCH($A15&amp;"|FY2030", MultiYear_ProForma!$O:$O,0)) + IFERROR(VLOOKUP($A15,$H$3:$I$8,2,FALSE),0)*$I$11 ), "")</f>
        <v>0</v>
      </c>
      <c r="F15">
        <f>AVERAGE(( (INDEX(MultiYear_ProForma!$L:$L, MATCH($A15&amp;"|FY2026", MultiYear_ProForma!$O:$O,0)) + (IFERROR(VLOOKUP($A15,$H$3:$I$8,2,FALSE),0)*$I$11*(INDEX(MultiYear_ProForma!$I:$I, MATCH($A15&amp;"|FY2026", MultiYear_ProForma!$O:$O,0)) + VLOOKUP("FY2026",$H$13:$J$17,2,FALSE)))) / ( INDEX(MultiYear_ProForma!$F:$F, MATCH($A15&amp;"|FY2026", MultiYear_ProForma!$O:$O,0)) + IFERROR(VLOOKUP($A15,$H$3:$I$8,2,FALSE),0)*$I$11 ),( (INDEX(MultiYear_ProForma!$L:$L, MATCH($A15&amp;"|FY2027", MultiYear_ProForma!$O:$O,0)) + (IFERROR(VLOOKUP($A15,$H$3:$I$8,2,FALSE),0)*$I$11*(INDEX(MultiYear_ProForma!$I:$I, MATCH($A15&amp;"|FY2027", MultiYear_ProForma!$O:$O,0)) + VLOOKUP("FY2027",$H$13:$J$17,2,FALSE)))) / ( INDEX(MultiYear_ProForma!$F:$F, MATCH($A15&amp;"|FY2027", MultiYear_ProForma!$O:$O,0)) + IFERROR(VLOOKUP($A15,$H$3:$I$8,2,FALSE),0)*$I$11 ),( (INDEX(MultiYear_ProForma!$L:$L, MATCH($A15&amp;"|FY2028", MultiYear_ProForma!$O:$O,0)) + (IFERROR(VLOOKUP($A15,$H$3:$I$8,2,FALSE),0)*$I$11*(INDEX(MultiYear_ProForma!$I:$I, MATCH($A15&amp;"|FY2028", MultiYear_ProForma!$O:$O,0)) + VLOOKUP("FY2028",$H$13:$J$17,2,FALSE)))) / ( INDEX(MultiYear_ProForma!$F:$F, MATCH($A15&amp;"|FY2028", MultiYear_ProForma!$O:$O,0)) + IFERROR(VLOOKUP($A15,$H$3:$I$8,2,FALSE),0)*$I$11 ))</f>
        <v>0</v>
      </c>
      <c r="H15" t="s">
        <v>14</v>
      </c>
      <c r="I15">
        <v>800</v>
      </c>
      <c r="J15">
        <v>7307.306999999998</v>
      </c>
    </row>
    <row r="16" spans="1:10">
      <c r="A16">
        <f>Scenarios!A16</f>
        <v>0</v>
      </c>
      <c r="B16">
        <v>150</v>
      </c>
      <c r="C16">
        <f>A16&amp;"|"&amp;"FY2028"</f>
        <v>0</v>
      </c>
      <c r="D16">
        <f>IFERROR( (INDEX(MultiYear_ProForma!$L:$L, MATCH($C16, MultiYear_ProForma!$O:$O,0)) + (IFERROR(VLOOKUP($A16,$H$3:$I$8,2,FALSE),0)*$I$11*(INDEX(MultiYear_ProForma!$I:$I, MATCH($C16, MultiYear_ProForma!$O:$O,0)) + VLOOKUP("FY2028",$H$13:$J$17,2,FALSE))) ) / ( INDEX(MultiYear_ProForma!$F:$F, MATCH($C16, MultiYear_ProForma!$O:$O,0)) + IFERROR(VLOOKUP($A16,$H$3:$I$8,2,FALSE),0)*$I$11 ), "")</f>
        <v>0</v>
      </c>
      <c r="E16">
        <f>IFERROR( (INDEX(MultiYear_ProForma!$L:$L, MATCH($A16&amp;"|FY2030", MultiYear_ProForma!$O:$O,0)) + (IFERROR(VLOOKUP($A16,$H$3:$I$8,2,FALSE),0)*$I$11*(INDEX(MultiYear_ProForma!$I:$I, MATCH($A16&amp;"|FY2030", MultiYear_ProForma!$O:$O,0)) + VLOOKUP("FY2030",$H$13:$J$17,2,FALSE))) ) / ( INDEX(MultiYear_ProForma!$F:$F, MATCH($A16&amp;"|FY2030", MultiYear_ProForma!$O:$O,0)) + IFERROR(VLOOKUP($A16,$H$3:$I$8,2,FALSE),0)*$I$11 ), "")</f>
        <v>0</v>
      </c>
      <c r="F16">
        <f>AVERAGE(( (INDEX(MultiYear_ProForma!$L:$L, MATCH($A16&amp;"|FY2026", MultiYear_ProForma!$O:$O,0)) + (IFERROR(VLOOKUP($A16,$H$3:$I$8,2,FALSE),0)*$I$11*(INDEX(MultiYear_ProForma!$I:$I, MATCH($A16&amp;"|FY2026", MultiYear_ProForma!$O:$O,0)) + VLOOKUP("FY2026",$H$13:$J$17,2,FALSE)))) / ( INDEX(MultiYear_ProForma!$F:$F, MATCH($A16&amp;"|FY2026", MultiYear_ProForma!$O:$O,0)) + IFERROR(VLOOKUP($A16,$H$3:$I$8,2,FALSE),0)*$I$11 ),( (INDEX(MultiYear_ProForma!$L:$L, MATCH($A16&amp;"|FY2027", MultiYear_ProForma!$O:$O,0)) + (IFERROR(VLOOKUP($A16,$H$3:$I$8,2,FALSE),0)*$I$11*(INDEX(MultiYear_ProForma!$I:$I, MATCH($A16&amp;"|FY2027", MultiYear_ProForma!$O:$O,0)) + VLOOKUP("FY2027",$H$13:$J$17,2,FALSE)))) / ( INDEX(MultiYear_ProForma!$F:$F, MATCH($A16&amp;"|FY2027", MultiYear_ProForma!$O:$O,0)) + IFERROR(VLOOKUP($A16,$H$3:$I$8,2,FALSE),0)*$I$11 ),( (INDEX(MultiYear_ProForma!$L:$L, MATCH($A16&amp;"|FY2028", MultiYear_ProForma!$O:$O,0)) + (IFERROR(VLOOKUP($A16,$H$3:$I$8,2,FALSE),0)*$I$11*(INDEX(MultiYear_ProForma!$I:$I, MATCH($A16&amp;"|FY2028", MultiYear_ProForma!$O:$O,0)) + VLOOKUP("FY2028",$H$13:$J$17,2,FALSE)))) / ( INDEX(MultiYear_ProForma!$F:$F, MATCH($A16&amp;"|FY2028", MultiYear_ProForma!$O:$O,0)) + IFERROR(VLOOKUP($A16,$H$3:$I$8,2,FALSE),0)*$I$11 ))</f>
        <v>0</v>
      </c>
      <c r="H16" t="s">
        <v>15</v>
      </c>
      <c r="I16">
        <v>600</v>
      </c>
      <c r="J16">
        <v>7489.989674999996</v>
      </c>
    </row>
    <row r="17" spans="1:10">
      <c r="A17">
        <f>Scenarios!A17</f>
        <v>0</v>
      </c>
      <c r="B17">
        <v>150</v>
      </c>
      <c r="C17">
        <f>A17&amp;"|"&amp;"FY2028"</f>
        <v>0</v>
      </c>
      <c r="D17">
        <f>IFERROR( (INDEX(MultiYear_ProForma!$L:$L, MATCH($C17, MultiYear_ProForma!$O:$O,0)) + (IFERROR(VLOOKUP($A17,$H$3:$I$8,2,FALSE),0)*$I$11*(INDEX(MultiYear_ProForma!$I:$I, MATCH($C17, MultiYear_ProForma!$O:$O,0)) + VLOOKUP("FY2028",$H$13:$J$17,2,FALSE))) ) / ( INDEX(MultiYear_ProForma!$F:$F, MATCH($C17, MultiYear_ProForma!$O:$O,0)) + IFERROR(VLOOKUP($A17,$H$3:$I$8,2,FALSE),0)*$I$11 ), "")</f>
        <v>0</v>
      </c>
      <c r="E17">
        <f>IFERROR( (INDEX(MultiYear_ProForma!$L:$L, MATCH($A17&amp;"|FY2030", MultiYear_ProForma!$O:$O,0)) + (IFERROR(VLOOKUP($A17,$H$3:$I$8,2,FALSE),0)*$I$11*(INDEX(MultiYear_ProForma!$I:$I, MATCH($A17&amp;"|FY2030", MultiYear_ProForma!$O:$O,0)) + VLOOKUP("FY2030",$H$13:$J$17,2,FALSE))) ) / ( INDEX(MultiYear_ProForma!$F:$F, MATCH($A17&amp;"|FY2030", MultiYear_ProForma!$O:$O,0)) + IFERROR(VLOOKUP($A17,$H$3:$I$8,2,FALSE),0)*$I$11 ), "")</f>
        <v>0</v>
      </c>
      <c r="F17">
        <f>AVERAGE(( (INDEX(MultiYear_ProForma!$L:$L, MATCH($A17&amp;"|FY2026", MultiYear_ProForma!$O:$O,0)) + (IFERROR(VLOOKUP($A17,$H$3:$I$8,2,FALSE),0)*$I$11*(INDEX(MultiYear_ProForma!$I:$I, MATCH($A17&amp;"|FY2026", MultiYear_ProForma!$O:$O,0)) + VLOOKUP("FY2026",$H$13:$J$17,2,FALSE)))) / ( INDEX(MultiYear_ProForma!$F:$F, MATCH($A17&amp;"|FY2026", MultiYear_ProForma!$O:$O,0)) + IFERROR(VLOOKUP($A17,$H$3:$I$8,2,FALSE),0)*$I$11 ),( (INDEX(MultiYear_ProForma!$L:$L, MATCH($A17&amp;"|FY2027", MultiYear_ProForma!$O:$O,0)) + (IFERROR(VLOOKUP($A17,$H$3:$I$8,2,FALSE),0)*$I$11*(INDEX(MultiYear_ProForma!$I:$I, MATCH($A17&amp;"|FY2027", MultiYear_ProForma!$O:$O,0)) + VLOOKUP("FY2027",$H$13:$J$17,2,FALSE)))) / ( INDEX(MultiYear_ProForma!$F:$F, MATCH($A17&amp;"|FY2027", MultiYear_ProForma!$O:$O,0)) + IFERROR(VLOOKUP($A17,$H$3:$I$8,2,FALSE),0)*$I$11 ),( (INDEX(MultiYear_ProForma!$L:$L, MATCH($A17&amp;"|FY2028", MultiYear_ProForma!$O:$O,0)) + (IFERROR(VLOOKUP($A17,$H$3:$I$8,2,FALSE),0)*$I$11*(INDEX(MultiYear_ProForma!$I:$I, MATCH($A17&amp;"|FY2028", MultiYear_ProForma!$O:$O,0)) + VLOOKUP("FY2028",$H$13:$J$17,2,FALSE)))) / ( INDEX(MultiYear_ProForma!$F:$F, MATCH($A17&amp;"|FY2028", MultiYear_ProForma!$O:$O,0)) + IFERROR(VLOOKUP($A17,$H$3:$I$8,2,FALSE),0)*$I$11 ))</f>
        <v>0</v>
      </c>
      <c r="H17" t="s">
        <v>16</v>
      </c>
      <c r="I17">
        <v>400</v>
      </c>
      <c r="J17">
        <v>7677.239416874995</v>
      </c>
    </row>
    <row r="18" spans="1:10">
      <c r="H18" t="s">
        <v>17</v>
      </c>
      <c r="I18">
        <v>300</v>
      </c>
      <c r="J18">
        <v>7869.17040229687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FormatPr defaultRowHeight="15"/>
  <sheetData>
    <row r="1" spans="1:3">
      <c r="A1" s="1" t="s">
        <v>23</v>
      </c>
      <c r="B1" s="1" t="s">
        <v>26</v>
      </c>
      <c r="C1" s="1" t="s">
        <v>28</v>
      </c>
    </row>
    <row r="2" spans="1:3">
      <c r="A2" t="s">
        <v>97</v>
      </c>
      <c r="B2">
        <v>1775127.552974999</v>
      </c>
      <c r="C2">
        <v>1864993.385344358</v>
      </c>
    </row>
    <row r="3" spans="1:3">
      <c r="A3" t="s">
        <v>98</v>
      </c>
      <c r="B3">
        <v>7489.989674999996</v>
      </c>
      <c r="C3">
        <v>7869.17040229687</v>
      </c>
    </row>
    <row r="4" spans="1:3">
      <c r="A4" t="s">
        <v>10</v>
      </c>
      <c r="B4">
        <v>553</v>
      </c>
      <c r="C4">
        <v>553</v>
      </c>
    </row>
    <row r="6" spans="1:3">
      <c r="A6" s="1" t="s">
        <v>99</v>
      </c>
      <c r="B6" s="1" t="s">
        <v>60</v>
      </c>
    </row>
    <row r="7" spans="1:3">
      <c r="A7" s="1" t="s">
        <v>100</v>
      </c>
      <c r="B7" s="1">
        <v>150</v>
      </c>
    </row>
    <row r="8" spans="1:3">
      <c r="A8" s="1" t="s">
        <v>101</v>
      </c>
      <c r="B8" s="1" t="s">
        <v>102</v>
      </c>
    </row>
    <row r="9" spans="1:3">
      <c r="A9" s="1" t="s">
        <v>103</v>
      </c>
      <c r="B9" s="1">
        <v>300</v>
      </c>
    </row>
    <row r="10" spans="1:3">
      <c r="A10" s="1" t="s">
        <v>104</v>
      </c>
      <c r="B10" s="1">
        <v>0.2</v>
      </c>
    </row>
    <row r="12" spans="1:3">
      <c r="A12" s="1" t="s">
        <v>105</v>
      </c>
      <c r="B12" s="1"/>
    </row>
    <row r="13" spans="1:3">
      <c r="B13">
        <f>IF($B$8="2028", INDEX(Summary_Costs!$D:$D, MATCH($B$6&amp;"|"&amp;$B$7, Summary_Costs!$C:$C,0)), INDEX(Summary_Costs!$E:$E, MATCH($B$6&amp;"|"&amp;$B$7, Summary_Costs!$C:$C,0)))</f>
        <v>0</v>
      </c>
    </row>
    <row r="15" spans="1:3">
      <c r="A15" s="1" t="s">
        <v>106</v>
      </c>
      <c r="B15" s="1"/>
    </row>
    <row r="16" spans="1:3">
      <c r="B16" s="3">
        <f>IF($B$8="2028", ($B$10*$B$2)/( $B$4 * ($B$12 - ($B$3 + $B$8)) ), ($B$10*$C$2)/( $B$4 * ($B$12 - ($C$3 + $B$8)) ))</f>
        <v>0</v>
      </c>
    </row>
    <row r="18" spans="1:9">
      <c r="A18" s="4" t="s">
        <v>107</v>
      </c>
      <c r="B18" s="4" t="s">
        <v>108</v>
      </c>
    </row>
    <row r="20" spans="1:9">
      <c r="A20" s="1" t="s">
        <v>109</v>
      </c>
    </row>
    <row r="21" spans="1:9">
      <c r="A21" s="1" t="s">
        <v>110</v>
      </c>
      <c r="B21" s="1">
        <v>200</v>
      </c>
      <c r="C21" s="1">
        <v>300</v>
      </c>
      <c r="D21" s="1">
        <v>400</v>
      </c>
      <c r="E21" s="1">
        <v>600</v>
      </c>
      <c r="F21" s="1">
        <v>800</v>
      </c>
      <c r="G21" s="1">
        <v>1000</v>
      </c>
      <c r="H21" s="1">
        <v>1200</v>
      </c>
      <c r="I21" s="1">
        <v>1500</v>
      </c>
    </row>
    <row r="22" spans="1:9">
      <c r="A22">
        <v>0</v>
      </c>
      <c r="B22" s="3">
        <f>IF($B$8="2028", (0.0*$B$2)/($B$4*($B$12-($B$3+200))), (0.0*$C$2)/($B$4*($B$12-($C$3+200))))</f>
        <v>0</v>
      </c>
      <c r="C22" s="3">
        <f>IF($B$8="2028", (0.0*$B$2)/($B$4*($B$12-($B$3+300))), (0.0*$C$2)/($B$4*($B$12-($C$3+300))))</f>
        <v>0</v>
      </c>
      <c r="D22" s="3">
        <f>IF($B$8="2028", (0.0*$B$2)/($B$4*($B$12-($B$3+400))), (0.0*$C$2)/($B$4*($B$12-($C$3+400))))</f>
        <v>0</v>
      </c>
      <c r="E22" s="3">
        <f>IF($B$8="2028", (0.0*$B$2)/($B$4*($B$12-($B$3+600))), (0.0*$C$2)/($B$4*($B$12-($C$3+600))))</f>
        <v>0</v>
      </c>
      <c r="F22" s="3">
        <f>IF($B$8="2028", (0.0*$B$2)/($B$4*($B$12-($B$3+800))), (0.0*$C$2)/($B$4*($B$12-($C$3+800))))</f>
        <v>0</v>
      </c>
      <c r="G22" s="3">
        <f>IF($B$8="2028", (0.0*$B$2)/($B$4*($B$12-($B$3+1000))), (0.0*$C$2)/($B$4*($B$12-($C$3+1000))))</f>
        <v>0</v>
      </c>
      <c r="H22" s="3">
        <f>IF($B$8="2028", (0.0*$B$2)/($B$4*($B$12-($B$3+1200))), (0.0*$C$2)/($B$4*($B$12-($C$3+1200))))</f>
        <v>0</v>
      </c>
      <c r="I22" s="3">
        <f>IF($B$8="2028", (0.0*$B$2)/($B$4*($B$12-($B$3+1500))), (0.0*$C$2)/($B$4*($B$12-($C$3+1500))))</f>
        <v>0</v>
      </c>
    </row>
    <row r="23" spans="1:9">
      <c r="A23">
        <v>0.05</v>
      </c>
      <c r="B23" s="3">
        <f>IF($B$8="2028", (0.05*$B$2)/($B$4*($B$12-($B$3+200))), (0.05*$C$2)/($B$4*($B$12-($C$3+200))))</f>
        <v>0</v>
      </c>
      <c r="C23" s="3">
        <f>IF($B$8="2028", (0.05*$B$2)/($B$4*($B$12-($B$3+300))), (0.05*$C$2)/($B$4*($B$12-($C$3+300))))</f>
        <v>0</v>
      </c>
      <c r="D23" s="3">
        <f>IF($B$8="2028", (0.05*$B$2)/($B$4*($B$12-($B$3+400))), (0.05*$C$2)/($B$4*($B$12-($C$3+400))))</f>
        <v>0</v>
      </c>
      <c r="E23" s="3">
        <f>IF($B$8="2028", (0.05*$B$2)/($B$4*($B$12-($B$3+600))), (0.05*$C$2)/($B$4*($B$12-($C$3+600))))</f>
        <v>0</v>
      </c>
      <c r="F23" s="3">
        <f>IF($B$8="2028", (0.05*$B$2)/($B$4*($B$12-($B$3+800))), (0.05*$C$2)/($B$4*($B$12-($C$3+800))))</f>
        <v>0</v>
      </c>
      <c r="G23" s="3">
        <f>IF($B$8="2028", (0.05*$B$2)/($B$4*($B$12-($B$3+1000))), (0.05*$C$2)/($B$4*($B$12-($C$3+1000))))</f>
        <v>0</v>
      </c>
      <c r="H23" s="3">
        <f>IF($B$8="2028", (0.05*$B$2)/($B$4*($B$12-($B$3+1200))), (0.05*$C$2)/($B$4*($B$12-($C$3+1200))))</f>
        <v>0</v>
      </c>
      <c r="I23" s="3">
        <f>IF($B$8="2028", (0.05*$B$2)/($B$4*($B$12-($B$3+1500))), (0.05*$C$2)/($B$4*($B$12-($C$3+1500))))</f>
        <v>0</v>
      </c>
    </row>
    <row r="24" spans="1:9">
      <c r="A24">
        <v>0.1</v>
      </c>
      <c r="B24" s="3">
        <f>IF($B$8="2028", (0.1*$B$2)/($B$4*($B$12-($B$3+200))), (0.1*$C$2)/($B$4*($B$12-($C$3+200))))</f>
        <v>0</v>
      </c>
      <c r="C24" s="3">
        <f>IF($B$8="2028", (0.1*$B$2)/($B$4*($B$12-($B$3+300))), (0.1*$C$2)/($B$4*($B$12-($C$3+300))))</f>
        <v>0</v>
      </c>
      <c r="D24" s="3">
        <f>IF($B$8="2028", (0.1*$B$2)/($B$4*($B$12-($B$3+400))), (0.1*$C$2)/($B$4*($B$12-($C$3+400))))</f>
        <v>0</v>
      </c>
      <c r="E24" s="3">
        <f>IF($B$8="2028", (0.1*$B$2)/($B$4*($B$12-($B$3+600))), (0.1*$C$2)/($B$4*($B$12-($C$3+600))))</f>
        <v>0</v>
      </c>
      <c r="F24" s="3">
        <f>IF($B$8="2028", (0.1*$B$2)/($B$4*($B$12-($B$3+800))), (0.1*$C$2)/($B$4*($B$12-($C$3+800))))</f>
        <v>0</v>
      </c>
      <c r="G24" s="3">
        <f>IF($B$8="2028", (0.1*$B$2)/($B$4*($B$12-($B$3+1000))), (0.1*$C$2)/($B$4*($B$12-($C$3+1000))))</f>
        <v>0</v>
      </c>
      <c r="H24" s="3">
        <f>IF($B$8="2028", (0.1*$B$2)/($B$4*($B$12-($B$3+1200))), (0.1*$C$2)/($B$4*($B$12-($C$3+1200))))</f>
        <v>0</v>
      </c>
      <c r="I24" s="3">
        <f>IF($B$8="2028", (0.1*$B$2)/($B$4*($B$12-($B$3+1500))), (0.1*$C$2)/($B$4*($B$12-($C$3+1500))))</f>
        <v>0</v>
      </c>
    </row>
    <row r="25" spans="1:9">
      <c r="A25">
        <v>0.15</v>
      </c>
      <c r="B25" s="3">
        <f>IF($B$8="2028", (0.15*$B$2)/($B$4*($B$12-($B$3+200))), (0.15*$C$2)/($B$4*($B$12-($C$3+200))))</f>
        <v>0</v>
      </c>
      <c r="C25" s="3">
        <f>IF($B$8="2028", (0.15*$B$2)/($B$4*($B$12-($B$3+300))), (0.15*$C$2)/($B$4*($B$12-($C$3+300))))</f>
        <v>0</v>
      </c>
      <c r="D25" s="3">
        <f>IF($B$8="2028", (0.15*$B$2)/($B$4*($B$12-($B$3+400))), (0.15*$C$2)/($B$4*($B$12-($C$3+400))))</f>
        <v>0</v>
      </c>
      <c r="E25" s="3">
        <f>IF($B$8="2028", (0.15*$B$2)/($B$4*($B$12-($B$3+600))), (0.15*$C$2)/($B$4*($B$12-($C$3+600))))</f>
        <v>0</v>
      </c>
      <c r="F25" s="3">
        <f>IF($B$8="2028", (0.15*$B$2)/($B$4*($B$12-($B$3+800))), (0.15*$C$2)/($B$4*($B$12-($C$3+800))))</f>
        <v>0</v>
      </c>
      <c r="G25" s="3">
        <f>IF($B$8="2028", (0.15*$B$2)/($B$4*($B$12-($B$3+1000))), (0.15*$C$2)/($B$4*($B$12-($C$3+1000))))</f>
        <v>0</v>
      </c>
      <c r="H25" s="3">
        <f>IF($B$8="2028", (0.15*$B$2)/($B$4*($B$12-($B$3+1200))), (0.15*$C$2)/($B$4*($B$12-($C$3+1200))))</f>
        <v>0</v>
      </c>
      <c r="I25" s="3">
        <f>IF($B$8="2028", (0.15*$B$2)/($B$4*($B$12-($B$3+1500))), (0.15*$C$2)/($B$4*($B$12-($C$3+1500))))</f>
        <v>0</v>
      </c>
    </row>
    <row r="26" spans="1:9">
      <c r="A26">
        <v>0.2</v>
      </c>
      <c r="B26" s="3">
        <f>IF($B$8="2028", (0.2*$B$2)/($B$4*($B$12-($B$3+200))), (0.2*$C$2)/($B$4*($B$12-($C$3+200))))</f>
        <v>0</v>
      </c>
      <c r="C26" s="3">
        <f>IF($B$8="2028", (0.2*$B$2)/($B$4*($B$12-($B$3+300))), (0.2*$C$2)/($B$4*($B$12-($C$3+300))))</f>
        <v>0</v>
      </c>
      <c r="D26" s="3">
        <f>IF($B$8="2028", (0.2*$B$2)/($B$4*($B$12-($B$3+400))), (0.2*$C$2)/($B$4*($B$12-($C$3+400))))</f>
        <v>0</v>
      </c>
      <c r="E26" s="3">
        <f>IF($B$8="2028", (0.2*$B$2)/($B$4*($B$12-($B$3+600))), (0.2*$C$2)/($B$4*($B$12-($C$3+600))))</f>
        <v>0</v>
      </c>
      <c r="F26" s="3">
        <f>IF($B$8="2028", (0.2*$B$2)/($B$4*($B$12-($B$3+800))), (0.2*$C$2)/($B$4*($B$12-($C$3+800))))</f>
        <v>0</v>
      </c>
      <c r="G26" s="3">
        <f>IF($B$8="2028", (0.2*$B$2)/($B$4*($B$12-($B$3+1000))), (0.2*$C$2)/($B$4*($B$12-($C$3+1000))))</f>
        <v>0</v>
      </c>
      <c r="H26" s="3">
        <f>IF($B$8="2028", (0.2*$B$2)/($B$4*($B$12-($B$3+1200))), (0.2*$C$2)/($B$4*($B$12-($C$3+1200))))</f>
        <v>0</v>
      </c>
      <c r="I26" s="3">
        <f>IF($B$8="2028", (0.2*$B$2)/($B$4*($B$12-($B$3+1500))), (0.2*$C$2)/($B$4*($B$12-($C$3+1500))))</f>
        <v>0</v>
      </c>
    </row>
    <row r="27" spans="1:9">
      <c r="A27">
        <v>0.25</v>
      </c>
      <c r="B27" s="3">
        <f>IF($B$8="2028", (0.25*$B$2)/($B$4*($B$12-($B$3+200))), (0.25*$C$2)/($B$4*($B$12-($C$3+200))))</f>
        <v>0</v>
      </c>
      <c r="C27" s="3">
        <f>IF($B$8="2028", (0.25*$B$2)/($B$4*($B$12-($B$3+300))), (0.25*$C$2)/($B$4*($B$12-($C$3+300))))</f>
        <v>0</v>
      </c>
      <c r="D27" s="3">
        <f>IF($B$8="2028", (0.25*$B$2)/($B$4*($B$12-($B$3+400))), (0.25*$C$2)/($B$4*($B$12-($C$3+400))))</f>
        <v>0</v>
      </c>
      <c r="E27" s="3">
        <f>IF($B$8="2028", (0.25*$B$2)/($B$4*($B$12-($B$3+600))), (0.25*$C$2)/($B$4*($B$12-($C$3+600))))</f>
        <v>0</v>
      </c>
      <c r="F27" s="3">
        <f>IF($B$8="2028", (0.25*$B$2)/($B$4*($B$12-($B$3+800))), (0.25*$C$2)/($B$4*($B$12-($C$3+800))))</f>
        <v>0</v>
      </c>
      <c r="G27" s="3">
        <f>IF($B$8="2028", (0.25*$B$2)/($B$4*($B$12-($B$3+1000))), (0.25*$C$2)/($B$4*($B$12-($C$3+1000))))</f>
        <v>0</v>
      </c>
      <c r="H27" s="3">
        <f>IF($B$8="2028", (0.25*$B$2)/($B$4*($B$12-($B$3+1200))), (0.25*$C$2)/($B$4*($B$12-($C$3+1200))))</f>
        <v>0</v>
      </c>
      <c r="I27" s="3">
        <f>IF($B$8="2028", (0.25*$B$2)/($B$4*($B$12-($B$3+1500))), (0.25*$C$2)/($B$4*($B$12-($C$3+1500))))</f>
        <v>0</v>
      </c>
    </row>
    <row r="28" spans="1:9">
      <c r="A28">
        <v>0.3</v>
      </c>
      <c r="B28" s="3">
        <f>IF($B$8="2028", (0.3*$B$2)/($B$4*($B$12-($B$3+200))), (0.3*$C$2)/($B$4*($B$12-($C$3+200))))</f>
        <v>0</v>
      </c>
      <c r="C28" s="3">
        <f>IF($B$8="2028", (0.3*$B$2)/($B$4*($B$12-($B$3+300))), (0.3*$C$2)/($B$4*($B$12-($C$3+300))))</f>
        <v>0</v>
      </c>
      <c r="D28" s="3">
        <f>IF($B$8="2028", (0.3*$B$2)/($B$4*($B$12-($B$3+400))), (0.3*$C$2)/($B$4*($B$12-($C$3+400))))</f>
        <v>0</v>
      </c>
      <c r="E28" s="3">
        <f>IF($B$8="2028", (0.3*$B$2)/($B$4*($B$12-($B$3+600))), (0.3*$C$2)/($B$4*($B$12-($C$3+600))))</f>
        <v>0</v>
      </c>
      <c r="F28" s="3">
        <f>IF($B$8="2028", (0.3*$B$2)/($B$4*($B$12-($B$3+800))), (0.3*$C$2)/($B$4*($B$12-($C$3+800))))</f>
        <v>0</v>
      </c>
      <c r="G28" s="3">
        <f>IF($B$8="2028", (0.3*$B$2)/($B$4*($B$12-($B$3+1000))), (0.3*$C$2)/($B$4*($B$12-($C$3+1000))))</f>
        <v>0</v>
      </c>
      <c r="H28" s="3">
        <f>IF($B$8="2028", (0.3*$B$2)/($B$4*($B$12-($B$3+1200))), (0.3*$C$2)/($B$4*($B$12-($C$3+1200))))</f>
        <v>0</v>
      </c>
      <c r="I28" s="3">
        <f>IF($B$8="2028", (0.3*$B$2)/($B$4*($B$12-($B$3+1500))), (0.3*$C$2)/($B$4*($B$12-($C$3+1500))))</f>
        <v>0</v>
      </c>
    </row>
    <row r="29" spans="1:9">
      <c r="A29">
        <v>0.35</v>
      </c>
      <c r="B29" s="3">
        <f>IF($B$8="2028", (0.35*$B$2)/($B$4*($B$12-($B$3+200))), (0.35*$C$2)/($B$4*($B$12-($C$3+200))))</f>
        <v>0</v>
      </c>
      <c r="C29" s="3">
        <f>IF($B$8="2028", (0.35*$B$2)/($B$4*($B$12-($B$3+300))), (0.35*$C$2)/($B$4*($B$12-($C$3+300))))</f>
        <v>0</v>
      </c>
      <c r="D29" s="3">
        <f>IF($B$8="2028", (0.35*$B$2)/($B$4*($B$12-($B$3+400))), (0.35*$C$2)/($B$4*($B$12-($C$3+400))))</f>
        <v>0</v>
      </c>
      <c r="E29" s="3">
        <f>IF($B$8="2028", (0.35*$B$2)/($B$4*($B$12-($B$3+600))), (0.35*$C$2)/($B$4*($B$12-($C$3+600))))</f>
        <v>0</v>
      </c>
      <c r="F29" s="3">
        <f>IF($B$8="2028", (0.35*$B$2)/($B$4*($B$12-($B$3+800))), (0.35*$C$2)/($B$4*($B$12-($C$3+800))))</f>
        <v>0</v>
      </c>
      <c r="G29" s="3">
        <f>IF($B$8="2028", (0.35*$B$2)/($B$4*($B$12-($B$3+1000))), (0.35*$C$2)/($B$4*($B$12-($C$3+1000))))</f>
        <v>0</v>
      </c>
      <c r="H29" s="3">
        <f>IF($B$8="2028", (0.35*$B$2)/($B$4*($B$12-($B$3+1200))), (0.35*$C$2)/($B$4*($B$12-($C$3+1200))))</f>
        <v>0</v>
      </c>
      <c r="I29" s="3">
        <f>IF($B$8="2028", (0.35*$B$2)/($B$4*($B$12-($B$3+1500))), (0.35*$C$2)/($B$4*($B$12-($C$3+1500))))</f>
        <v>0</v>
      </c>
    </row>
    <row r="30" spans="1:9">
      <c r="A30">
        <v>0.4</v>
      </c>
      <c r="B30" s="3">
        <f>IF($B$8="2028", (0.4*$B$2)/($B$4*($B$12-($B$3+200))), (0.4*$C$2)/($B$4*($B$12-($C$3+200))))</f>
        <v>0</v>
      </c>
      <c r="C30" s="3">
        <f>IF($B$8="2028", (0.4*$B$2)/($B$4*($B$12-($B$3+300))), (0.4*$C$2)/($B$4*($B$12-($C$3+300))))</f>
        <v>0</v>
      </c>
      <c r="D30" s="3">
        <f>IF($B$8="2028", (0.4*$B$2)/($B$4*($B$12-($B$3+400))), (0.4*$C$2)/($B$4*($B$12-($C$3+400))))</f>
        <v>0</v>
      </c>
      <c r="E30" s="3">
        <f>IF($B$8="2028", (0.4*$B$2)/($B$4*($B$12-($B$3+600))), (0.4*$C$2)/($B$4*($B$12-($C$3+600))))</f>
        <v>0</v>
      </c>
      <c r="F30" s="3">
        <f>IF($B$8="2028", (0.4*$B$2)/($B$4*($B$12-($B$3+800))), (0.4*$C$2)/($B$4*($B$12-($C$3+800))))</f>
        <v>0</v>
      </c>
      <c r="G30" s="3">
        <f>IF($B$8="2028", (0.4*$B$2)/($B$4*($B$12-($B$3+1000))), (0.4*$C$2)/($B$4*($B$12-($C$3+1000))))</f>
        <v>0</v>
      </c>
      <c r="H30" s="3">
        <f>IF($B$8="2028", (0.4*$B$2)/($B$4*($B$12-($B$3+1200))), (0.4*$C$2)/($B$4*($B$12-($C$3+1200))))</f>
        <v>0</v>
      </c>
      <c r="I30" s="3">
        <f>IF($B$8="2028", (0.4*$B$2)/($B$4*($B$12-($B$3+1500))), (0.4*$C$2)/($B$4*($B$12-($C$3+1500))))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111</v>
      </c>
      <c r="B1" s="1" t="s">
        <v>112</v>
      </c>
      <c r="C1" s="1" t="s">
        <v>113</v>
      </c>
    </row>
    <row r="2" spans="1:3">
      <c r="A2" t="s">
        <v>114</v>
      </c>
      <c r="B2" t="s">
        <v>115</v>
      </c>
      <c r="C2" t="s">
        <v>116</v>
      </c>
    </row>
    <row r="3" spans="1:3">
      <c r="A3" t="s">
        <v>117</v>
      </c>
      <c r="B3" t="s">
        <v>118</v>
      </c>
      <c r="C3" t="s">
        <v>119</v>
      </c>
    </row>
    <row r="4" spans="1:3">
      <c r="A4" t="s">
        <v>120</v>
      </c>
      <c r="B4" t="s">
        <v>121</v>
      </c>
      <c r="C4" t="s">
        <v>122</v>
      </c>
    </row>
    <row r="5" spans="1:3">
      <c r="A5" t="s">
        <v>123</v>
      </c>
      <c r="B5" t="s">
        <v>124</v>
      </c>
      <c r="C5" t="s">
        <v>125</v>
      </c>
    </row>
    <row r="6" spans="1:3">
      <c r="A6" t="s">
        <v>126</v>
      </c>
      <c r="B6" t="s">
        <v>127</v>
      </c>
      <c r="C6" t="s">
        <v>128</v>
      </c>
    </row>
    <row r="7" spans="1:3">
      <c r="A7" t="s">
        <v>129</v>
      </c>
      <c r="B7" t="s">
        <v>130</v>
      </c>
      <c r="C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Parameters</vt:lpstr>
      <vt:lpstr>Calc</vt:lpstr>
      <vt:lpstr>Scenarios</vt:lpstr>
      <vt:lpstr>MultiYear_ProForma</vt:lpstr>
      <vt:lpstr>Summary_Costs</vt:lpstr>
      <vt:lpstr>BreakEven_Calc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2025-10-21T18:24:00Z</dcterms:created>
  <dcterms:modified xsi:type="dcterms:W3CDTF">2025-10-21T18:24:00Z</dcterms:modified>
</cp:coreProperties>
</file>