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4" documentId="8_{9FE1FD56-C6B1-4ACE-94E9-C6ABC3DEDF37}" xr6:coauthVersionLast="47" xr6:coauthVersionMax="47" xr10:uidLastSave="{9DAF04DD-A716-4A60-BDC9-FE302CBD37B3}"/>
  <bookViews>
    <workbookView xWindow="38685" yWindow="1080" windowWidth="17280" windowHeight="11070" xr2:uid="{00000000-000D-0000-FFFF-FFFF00000000}"/>
  </bookViews>
  <sheets>
    <sheet name="BaselineCalc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7" i="1"/>
  <c r="D17" i="1"/>
  <c r="E17" i="1"/>
  <c r="F17" i="1"/>
  <c r="B17" i="1"/>
  <c r="C16" i="1"/>
  <c r="C18" i="1" s="1"/>
  <c r="D16" i="1"/>
  <c r="D19" i="1" s="1"/>
  <c r="E16" i="1"/>
  <c r="E18" i="1" s="1"/>
  <c r="F16" i="1"/>
  <c r="F18" i="1" s="1"/>
  <c r="B16" i="1"/>
  <c r="B19" i="1" s="1"/>
  <c r="F19" i="1"/>
  <c r="B13" i="1"/>
  <c r="C19" i="1"/>
  <c r="E19" i="1"/>
  <c r="C14" i="1"/>
  <c r="D14" i="1"/>
  <c r="E14" i="1"/>
  <c r="F14" i="1"/>
  <c r="C13" i="1"/>
  <c r="D13" i="1"/>
  <c r="E13" i="1"/>
  <c r="F13" i="1"/>
  <c r="F12" i="1"/>
  <c r="D12" i="1"/>
  <c r="E12" i="1" s="1"/>
  <c r="C12" i="1"/>
  <c r="B14" i="1"/>
  <c r="B12" i="1"/>
  <c r="B9" i="1"/>
  <c r="D18" i="1" l="1"/>
</calcChain>
</file>

<file path=xl/sharedStrings.xml><?xml version="1.0" encoding="utf-8"?>
<sst xmlns="http://schemas.openxmlformats.org/spreadsheetml/2006/main" count="41" uniqueCount="40">
  <si>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</si>
  <si>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</si>
  <si>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</si>
  <si>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</si>
  <si>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</si>
  <si>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</si>
  <si>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</si>
  <si>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</si>
  <si>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semi-fixed (plant/insurance).</t>
  </si>
  <si>
    <t>Ops savings (keep-open)</t>
  </si>
  <si>
    <t>Light discipline if sites remain open.</t>
  </si>
  <si>
    <t>Extra savings (Co-location)</t>
  </si>
  <si>
    <t>Incremental savings for co-location.</t>
  </si>
  <si>
    <t>Echo base ADM</t>
  </si>
  <si>
    <t>Pima base ADM</t>
  </si>
  <si>
    <t>Total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</si>
  <si>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</si>
  <si>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</si>
  <si>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</si>
  <si>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</si>
  <si>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</si>
  <si>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</si>
  <si>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</si>
  <si>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Fixed MO (FY25)</t>
  </si>
  <si>
    <t>Fixed = Base total × Fixed share</t>
  </si>
  <si>
    <t>Var per student (FY25)</t>
  </si>
  <si>
    <t>Fixed total ($)</t>
  </si>
  <si>
    <t>Var unit ($/student)</t>
  </si>
  <si>
    <t>Echo fixed ($)</t>
  </si>
  <si>
    <t>Pima fixed ($)</t>
  </si>
  <si>
    <t>Why “Fixed share of M&amp;O = 0.30”?</t>
  </si>
  <si>
    <r>
      <t xml:space="preserve">District M&amp;O typically has a sizable semi‑fixed component (plant ops/custodial/insurance/admin overhead). Without site‑level detail yet, </t>
    </r>
    <r>
      <rPr>
        <b/>
        <sz val="11"/>
        <color theme="1"/>
        <rFont val="Calibri"/>
        <family val="2"/>
        <scheme val="minor"/>
      </rPr>
      <t>30%</t>
    </r>
    <r>
      <rPr>
        <sz val="11"/>
        <color theme="1"/>
        <rFont val="Calibri"/>
        <family val="2"/>
        <scheme val="minor"/>
      </rPr>
      <t xml:space="preserve"> is a conservative placeholder in the middle of the 25–40% range many K‑12 systems sit in. We will replace it with SUSD plant ops + insurance shares when available.</t>
    </r>
  </si>
  <si>
    <t>Why “Ops savings (keep‑open) = 0.007 (0.7%)”?</t>
  </si>
  <si>
    <r>
      <t xml:space="preserve">This represents “light discipline” (utilities/purchasing tweaks, route smoothing) that does not depend on closing a site. I set it </t>
    </r>
    <r>
      <rPr>
        <b/>
        <sz val="11"/>
        <color theme="1"/>
        <rFont val="Calibri"/>
        <family val="2"/>
        <scheme val="minor"/>
      </rPr>
      <t>very low on purpose</t>
    </r>
    <r>
      <rPr>
        <sz val="11"/>
        <color theme="1"/>
        <rFont val="Calibri"/>
        <family val="2"/>
        <scheme val="minor"/>
      </rPr>
      <t xml:space="preserve"> so it doesn’t drive results. We’ll calibrate with SUSD data (e.g., last year’s utility audits) if provided.</t>
    </r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</si>
  <si>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</si>
  <si>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</si>
  <si>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</si>
  <si>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r>
      <t xml:space="preserve">“TI” = </t>
    </r>
    <r>
      <rPr>
        <b/>
        <sz val="11"/>
        <color theme="1"/>
        <rFont val="Calibri"/>
        <family val="2"/>
        <scheme val="minor"/>
      </rPr>
      <t>tenant improvements / transition investments</t>
    </r>
    <r>
      <rPr>
        <sz val="11"/>
        <color theme="1"/>
        <rFont val="Calibri"/>
        <family val="2"/>
        <scheme val="minor"/>
      </rPr>
      <t xml:space="preserve"> needed to convert a K‑8 to a different use (early learning, admin consolidation) and carry costs in year one (e.g., abatement, doors/security, low‑voltage re‑work, furniture, swing space). A light‑touch repurpose can easily run </t>
    </r>
    <r>
      <rPr>
        <b/>
        <sz val="11"/>
        <color theme="1"/>
        <rFont val="Calibri"/>
        <family val="2"/>
        <scheme val="minor"/>
      </rPr>
      <t>$10–$20/sq‑ft</t>
    </r>
    <r>
      <rPr>
        <sz val="11"/>
        <color theme="1"/>
        <rFont val="Calibri"/>
        <family val="2"/>
        <scheme val="minor"/>
      </rPr>
      <t xml:space="preserve">; Echo’s plant is ~77k sq ft, so </t>
    </r>
    <r>
      <rPr>
        <b/>
        <sz val="11"/>
        <color theme="1"/>
        <rFont val="Calibri"/>
        <family val="2"/>
        <scheme val="minor"/>
      </rPr>
      <t>$1.2M</t>
    </r>
    <r>
      <rPr>
        <sz val="11"/>
        <color theme="1"/>
        <rFont val="Calibri"/>
        <family val="2"/>
        <scheme val="minor"/>
      </rPr>
      <t xml:space="preserve"> is a reasonable placeholder (we are not assuming a gut remodel). We’ll replace this with SUSD’s scope/estimate if they have one.</t>
    </r>
  </si>
  <si>
    <t>Variable = Base total - Fixed MO</t>
  </si>
  <si>
    <t>Base MO per ADM (FY25) * (1+MO inflation) for FY26; Base total MO (FY25) * (1+MO inflation) for FY 26 and beyond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</si>
</sst>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1" topLeftCell="A2" activePane="bottomLeft" state="frozen"/>
      <selection pane="bottomLeft" activeCell="I18" sqref="I18"/>
    </sheetView>
  </sheetViews>
  <sheetFormatPr defaultRowHeight="14.5" x14ac:dyDescent="0.35"/>
  <cols>
    <col min="1" max="1" width="23.54296875" bestFit="1" customWidth="1"/>
    <col min="2" max="2" width="8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</row>
    <row r="2" spans="1:7" x14ac:dyDescent="0.35">
      <c r="A2" t="s">
        <v>3</v>
      </c>
      <c r="B2">
        <v>2.5000000000000001E-2</v>
      </c>
      <c r="C2" t="s">
        <v>4</v>
      </c>
    </row>
    <row r="3" spans="1:7" x14ac:dyDescent="0.35">
      <c r="A3" t="s">
        <v>5</v>
      </c>
      <c r="B3">
        <v>9936</v>
      </c>
      <c r="C3" t="s">
        <v>6</v>
      </c>
    </row>
    <row r="4" spans="1:7" x14ac:dyDescent="0.35">
      <c r="A4" t="s">
        <v>7</v>
      </c>
      <c r="B4">
        <v>0.3</v>
      </c>
      <c r="C4" t="s">
        <v>8</v>
      </c>
    </row>
    <row r="5" spans="1:7" x14ac:dyDescent="0.35">
      <c r="A5" t="s">
        <v>9</v>
      </c>
      <c r="B5">
        <v>7.0000000000000001E-3</v>
      </c>
      <c r="C5" t="s">
        <v>10</v>
      </c>
    </row>
    <row r="6" spans="1:7" x14ac:dyDescent="0.35">
      <c r="A6" t="s">
        <v>11</v>
      </c>
      <c r="B6">
        <v>1.4999999999999999E-2</v>
      </c>
      <c r="C6" t="s">
        <v>12</v>
      </c>
    </row>
    <row r="7" spans="1:7" x14ac:dyDescent="0.35">
      <c r="A7" t="s">
        <v>13</v>
      </c>
      <c r="B7">
        <v>257</v>
      </c>
    </row>
    <row r="8" spans="1:7" x14ac:dyDescent="0.35">
      <c r="A8" t="s">
        <v>14</v>
      </c>
      <c r="B8">
        <v>296</v>
      </c>
    </row>
    <row r="9" spans="1:7" x14ac:dyDescent="0.35">
      <c r="A9" t="s">
        <v>15</v>
      </c>
      <c r="B9">
        <f>B7+B8</f>
        <v>553</v>
      </c>
    </row>
    <row r="11" spans="1:7" x14ac:dyDescent="0.3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</v>
      </c>
    </row>
    <row r="12" spans="1:7" x14ac:dyDescent="0.35">
      <c r="A12" t="s">
        <v>22</v>
      </c>
      <c r="B12" s="2">
        <f>B3*(1+$B$2)</f>
        <v>10184.4</v>
      </c>
      <c r="C12" s="2">
        <f>B12*(1+$B$2)</f>
        <v>10439.009999999998</v>
      </c>
      <c r="D12" s="2">
        <f t="shared" ref="D12:F12" si="0">C12*(1+$B$2)</f>
        <v>10699.985249999998</v>
      </c>
      <c r="E12" s="2">
        <f t="shared" si="0"/>
        <v>10967.484881249997</v>
      </c>
      <c r="F12" s="2">
        <f>E12*(1+$B$2)</f>
        <v>11241.672003281246</v>
      </c>
      <c r="G12" t="s">
        <v>39</v>
      </c>
    </row>
    <row r="13" spans="1:7" x14ac:dyDescent="0.35">
      <c r="A13" t="s">
        <v>23</v>
      </c>
      <c r="B13" s="2">
        <f>B12*$B$4</f>
        <v>3055.3199999999997</v>
      </c>
      <c r="C13" s="2">
        <f t="shared" ref="C13:F13" si="1">C12*$B$4</f>
        <v>3131.7029999999995</v>
      </c>
      <c r="D13" s="2">
        <f t="shared" si="1"/>
        <v>3209.9955749999995</v>
      </c>
      <c r="E13" s="2">
        <f t="shared" si="1"/>
        <v>3290.2454643749988</v>
      </c>
      <c r="F13" s="2">
        <f t="shared" si="1"/>
        <v>3372.5016009843739</v>
      </c>
      <c r="G13" t="s">
        <v>24</v>
      </c>
    </row>
    <row r="14" spans="1:7" x14ac:dyDescent="0.35">
      <c r="A14" t="s">
        <v>25</v>
      </c>
      <c r="B14" s="2">
        <f>B12-B13</f>
        <v>7129.08</v>
      </c>
      <c r="C14" s="2">
        <f t="shared" ref="C14:F14" si="2">C12-C13</f>
        <v>7307.3069999999989</v>
      </c>
      <c r="D14" s="2">
        <f t="shared" si="2"/>
        <v>7489.9896749999989</v>
      </c>
      <c r="E14" s="2">
        <f t="shared" si="2"/>
        <v>7677.2394168749979</v>
      </c>
      <c r="F14" s="2">
        <f t="shared" si="2"/>
        <v>7869.1704022968725</v>
      </c>
      <c r="G14" t="s">
        <v>38</v>
      </c>
    </row>
    <row r="16" spans="1:7" x14ac:dyDescent="0.35">
      <c r="A16" t="s">
        <v>26</v>
      </c>
      <c r="B16" s="2">
        <f>B$13</f>
        <v>3055.3199999999997</v>
      </c>
      <c r="C16" s="2">
        <f t="shared" ref="C16:F16" si="3">C$13</f>
        <v>3131.7029999999995</v>
      </c>
      <c r="D16" s="2">
        <f t="shared" si="3"/>
        <v>3209.9955749999995</v>
      </c>
      <c r="E16" s="2">
        <f t="shared" si="3"/>
        <v>3290.2454643749988</v>
      </c>
      <c r="F16" s="2">
        <f t="shared" si="3"/>
        <v>3372.5016009843739</v>
      </c>
    </row>
    <row r="17" spans="1:6" x14ac:dyDescent="0.35">
      <c r="A17" t="s">
        <v>27</v>
      </c>
      <c r="B17" s="2">
        <f>B$14</f>
        <v>7129.08</v>
      </c>
      <c r="C17" s="2">
        <f t="shared" ref="C17:F17" si="4">C$14</f>
        <v>7307.3069999999989</v>
      </c>
      <c r="D17" s="2">
        <f t="shared" si="4"/>
        <v>7489.9896749999989</v>
      </c>
      <c r="E17" s="2">
        <f t="shared" si="4"/>
        <v>7677.2394168749979</v>
      </c>
      <c r="F17" s="2">
        <f t="shared" si="4"/>
        <v>7869.1704022968725</v>
      </c>
    </row>
    <row r="18" spans="1:6" x14ac:dyDescent="0.35">
      <c r="A18" t="s">
        <v>28</v>
      </c>
      <c r="B18" s="2">
        <f>B16*($B$7/$B$9)</f>
        <v>1419.9226763110307</v>
      </c>
      <c r="C18" s="2">
        <f>C16*($B$7/$B$9)</f>
        <v>1455.4207432188064</v>
      </c>
      <c r="D18" s="2">
        <f t="shared" ref="C18:F18" si="5">D16*($B$7/$B$9)</f>
        <v>1491.8062617992764</v>
      </c>
      <c r="E18" s="2">
        <f t="shared" si="5"/>
        <v>1529.101418344258</v>
      </c>
      <c r="F18" s="2">
        <f t="shared" si="5"/>
        <v>1567.3289538028646</v>
      </c>
    </row>
    <row r="19" spans="1:6" x14ac:dyDescent="0.35">
      <c r="A19" t="s">
        <v>29</v>
      </c>
      <c r="B19" s="2">
        <f>B16*($B$8/$B$9)</f>
        <v>1635.3973236889692</v>
      </c>
      <c r="C19" s="2">
        <f t="shared" ref="C19:F19" si="6">C16*($B$8/$B$9)</f>
        <v>1676.2822567811934</v>
      </c>
      <c r="D19" s="2">
        <f t="shared" si="6"/>
        <v>1718.1893132007231</v>
      </c>
      <c r="E19" s="2">
        <f t="shared" si="6"/>
        <v>1761.1440460307408</v>
      </c>
      <c r="F19" s="2">
        <f t="shared" si="6"/>
        <v>1805.1726471815095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C4F8-1F5C-4509-B5F9-EAB5899DDBDB}">
  <dimension ref="B2:B12"/>
  <sheetViews>
    <sheetView workbookViewId="0">
      <selection activeCell="B2" sqref="B2:B12"/>
    </sheetView>
  </sheetViews>
  <sheetFormatPr defaultRowHeight="14.5" x14ac:dyDescent="0.35"/>
  <sheetData>
    <row r="2" spans="2:2" x14ac:dyDescent="0.35">
      <c r="B2" s="3" t="s">
        <v>30</v>
      </c>
    </row>
    <row r="3" spans="2:2" x14ac:dyDescent="0.35">
      <c r="B3" t="s">
        <v>31</v>
      </c>
    </row>
    <row r="5" spans="2:2" x14ac:dyDescent="0.35">
      <c r="B5" s="3" t="s">
        <v>32</v>
      </c>
    </row>
    <row r="6" spans="2:2" x14ac:dyDescent="0.35">
      <c r="B6" t="s">
        <v>33</v>
      </c>
    </row>
    <row r="8" spans="2:2" x14ac:dyDescent="0.35">
      <c r="B8" s="3" t="s">
        <v>34</v>
      </c>
    </row>
    <row r="9" spans="2:2" x14ac:dyDescent="0.35">
      <c r="B9" t="s">
        <v>35</v>
      </c>
    </row>
    <row r="11" spans="2:2" x14ac:dyDescent="0.35">
      <c r="B11" s="3" t="s">
        <v>36</v>
      </c>
    </row>
    <row r="12" spans="2:2" x14ac:dyDescent="0.35">
      <c r="B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BaselineCalc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2025-10-21T19:45:48Z</dcterms:created>
  <dcterms:modified xsi:type="dcterms:W3CDTF">2025-10-21T22:25:31Z</dcterms:modified>
</cp:coreProperties>
</file>