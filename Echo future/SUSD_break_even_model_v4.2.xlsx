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0" documentId="8_{5E4E6090-1CCF-47E3-B803-3951F09EED55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Dashboard" sheetId="1" r:id="rId1"/>
    <sheet name="Cards" sheetId="2" r:id="rId2"/>
    <sheet name="BaselineCalc" sheetId="3" r:id="rId3"/>
    <sheet name="YearMap" sheetId="4" r:id="rId4"/>
    <sheet name="Scenarios" sheetId="5" r:id="rId5"/>
    <sheet name="MultiYear_ProForma" sheetId="6" r:id="rId6"/>
    <sheet name="Summary_Costs" sheetId="7" r:id="rId7"/>
    <sheet name="BreakEven" sheetId="8" r:id="rId8"/>
    <sheet name="Notes" sheetId="9" r:id="rId9"/>
    <sheet name="Attributes" sheetId="10" r:id="rId10"/>
    <sheet name="BreakEven_X" sheetId="11" r:id="rId11"/>
    <sheet name="BreakEven_Y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2" l="1"/>
  <c r="B26" i="12"/>
  <c r="B13" i="12"/>
  <c r="B12" i="12"/>
  <c r="B6" i="12"/>
  <c r="B5" i="12"/>
  <c r="B3" i="12"/>
  <c r="B27" i="11"/>
  <c r="B26" i="11"/>
  <c r="B13" i="11"/>
  <c r="B12" i="11"/>
  <c r="B6" i="11"/>
  <c r="B5" i="11"/>
  <c r="B3" i="11"/>
  <c r="B27" i="8"/>
  <c r="B26" i="8"/>
  <c r="B13" i="8"/>
  <c r="B12" i="8"/>
  <c r="B6" i="8"/>
  <c r="B5" i="8"/>
  <c r="A13" i="7"/>
  <c r="A12" i="7"/>
  <c r="A11" i="7"/>
  <c r="A10" i="7"/>
  <c r="A9" i="7"/>
  <c r="A8" i="7"/>
  <c r="A7" i="7"/>
  <c r="A6" i="7"/>
  <c r="A5" i="7"/>
  <c r="A4" i="7"/>
  <c r="A3" i="7"/>
  <c r="A2" i="7"/>
  <c r="T61" i="6"/>
  <c r="Q61" i="6"/>
  <c r="P61" i="6"/>
  <c r="K61" i="6"/>
  <c r="J61" i="6"/>
  <c r="E61" i="6"/>
  <c r="B61" i="6"/>
  <c r="Y61" i="6" s="1"/>
  <c r="A61" i="6" s="1"/>
  <c r="T60" i="6"/>
  <c r="Q60" i="6"/>
  <c r="P60" i="6"/>
  <c r="K60" i="6"/>
  <c r="J60" i="6"/>
  <c r="E60" i="6"/>
  <c r="B60" i="6"/>
  <c r="Y60" i="6" s="1"/>
  <c r="A60" i="6" s="1"/>
  <c r="T59" i="6"/>
  <c r="Q59" i="6"/>
  <c r="P59" i="6"/>
  <c r="K59" i="6"/>
  <c r="J59" i="6"/>
  <c r="E59" i="6"/>
  <c r="B59" i="6"/>
  <c r="Y59" i="6" s="1"/>
  <c r="A59" i="6" s="1"/>
  <c r="T58" i="6"/>
  <c r="Q58" i="6"/>
  <c r="P58" i="6"/>
  <c r="K58" i="6"/>
  <c r="J58" i="6"/>
  <c r="E58" i="6"/>
  <c r="B58" i="6"/>
  <c r="Y58" i="6" s="1"/>
  <c r="A58" i="6" s="1"/>
  <c r="T57" i="6"/>
  <c r="Q57" i="6"/>
  <c r="P57" i="6"/>
  <c r="K57" i="6"/>
  <c r="J57" i="6"/>
  <c r="E57" i="6"/>
  <c r="B57" i="6"/>
  <c r="Y57" i="6" s="1"/>
  <c r="A57" i="6" s="1"/>
  <c r="T56" i="6"/>
  <c r="Q56" i="6"/>
  <c r="P56" i="6"/>
  <c r="K56" i="6"/>
  <c r="J56" i="6"/>
  <c r="E56" i="6"/>
  <c r="B56" i="6"/>
  <c r="Y56" i="6" s="1"/>
  <c r="A56" i="6" s="1"/>
  <c r="T55" i="6"/>
  <c r="Q55" i="6"/>
  <c r="P55" i="6"/>
  <c r="K55" i="6"/>
  <c r="J55" i="6"/>
  <c r="E55" i="6"/>
  <c r="B55" i="6"/>
  <c r="Y55" i="6" s="1"/>
  <c r="A55" i="6" s="1"/>
  <c r="T54" i="6"/>
  <c r="Q54" i="6"/>
  <c r="P54" i="6"/>
  <c r="K54" i="6"/>
  <c r="J54" i="6"/>
  <c r="E54" i="6"/>
  <c r="B54" i="6"/>
  <c r="Y54" i="6" s="1"/>
  <c r="A54" i="6" s="1"/>
  <c r="T53" i="6"/>
  <c r="Q53" i="6"/>
  <c r="P53" i="6"/>
  <c r="K53" i="6"/>
  <c r="J53" i="6"/>
  <c r="E53" i="6"/>
  <c r="B53" i="6"/>
  <c r="Y53" i="6" s="1"/>
  <c r="A53" i="6" s="1"/>
  <c r="T52" i="6"/>
  <c r="Q52" i="6"/>
  <c r="P52" i="6"/>
  <c r="K52" i="6"/>
  <c r="J52" i="6"/>
  <c r="E52" i="6"/>
  <c r="B52" i="6"/>
  <c r="Y52" i="6" s="1"/>
  <c r="A52" i="6" s="1"/>
  <c r="Y51" i="6"/>
  <c r="A51" i="6" s="1"/>
  <c r="T51" i="6"/>
  <c r="Q51" i="6"/>
  <c r="P51" i="6"/>
  <c r="K51" i="6"/>
  <c r="J51" i="6"/>
  <c r="D51" i="6"/>
  <c r="B51" i="6"/>
  <c r="T50" i="6"/>
  <c r="Q50" i="6"/>
  <c r="P50" i="6"/>
  <c r="K50" i="6"/>
  <c r="J50" i="6"/>
  <c r="D50" i="6"/>
  <c r="B50" i="6"/>
  <c r="Y50" i="6" s="1"/>
  <c r="A50" i="6" s="1"/>
  <c r="T49" i="6"/>
  <c r="Q49" i="6"/>
  <c r="P49" i="6"/>
  <c r="K49" i="6"/>
  <c r="J49" i="6"/>
  <c r="D49" i="6"/>
  <c r="B49" i="6"/>
  <c r="Y49" i="6" s="1"/>
  <c r="A49" i="6" s="1"/>
  <c r="Y48" i="6"/>
  <c r="A48" i="6" s="1"/>
  <c r="T48" i="6"/>
  <c r="Q48" i="6"/>
  <c r="P48" i="6"/>
  <c r="K48" i="6"/>
  <c r="J48" i="6"/>
  <c r="D48" i="6"/>
  <c r="B48" i="6"/>
  <c r="T47" i="6"/>
  <c r="Q47" i="6"/>
  <c r="P47" i="6"/>
  <c r="K47" i="6"/>
  <c r="J47" i="6"/>
  <c r="D47" i="6"/>
  <c r="B47" i="6"/>
  <c r="Y47" i="6" s="1"/>
  <c r="A47" i="6" s="1"/>
  <c r="T46" i="6"/>
  <c r="Q46" i="6"/>
  <c r="P46" i="6"/>
  <c r="K46" i="6"/>
  <c r="J46" i="6"/>
  <c r="D46" i="6"/>
  <c r="B46" i="6"/>
  <c r="Y46" i="6" s="1"/>
  <c r="A46" i="6" s="1"/>
  <c r="Y45" i="6"/>
  <c r="A45" i="6" s="1"/>
  <c r="T45" i="6"/>
  <c r="Q45" i="6"/>
  <c r="P45" i="6"/>
  <c r="K45" i="6"/>
  <c r="J45" i="6"/>
  <c r="D45" i="6"/>
  <c r="B45" i="6"/>
  <c r="Y44" i="6"/>
  <c r="A44" i="6" s="1"/>
  <c r="T44" i="6"/>
  <c r="Q44" i="6"/>
  <c r="P44" i="6"/>
  <c r="K44" i="6"/>
  <c r="J44" i="6"/>
  <c r="D44" i="6"/>
  <c r="B44" i="6"/>
  <c r="T43" i="6"/>
  <c r="Q43" i="6"/>
  <c r="P43" i="6"/>
  <c r="K43" i="6"/>
  <c r="J43" i="6"/>
  <c r="D43" i="6"/>
  <c r="B43" i="6"/>
  <c r="Y43" i="6" s="1"/>
  <c r="A43" i="6" s="1"/>
  <c r="T42" i="6"/>
  <c r="Q42" i="6"/>
  <c r="P42" i="6"/>
  <c r="K42" i="6"/>
  <c r="J42" i="6"/>
  <c r="D42" i="6"/>
  <c r="B42" i="6"/>
  <c r="Y42" i="6" s="1"/>
  <c r="A42" i="6" s="1"/>
  <c r="T41" i="6"/>
  <c r="Q41" i="6"/>
  <c r="P41" i="6"/>
  <c r="K41" i="6"/>
  <c r="J41" i="6"/>
  <c r="E41" i="6"/>
  <c r="D41" i="6"/>
  <c r="F41" i="6" s="1"/>
  <c r="B41" i="6"/>
  <c r="Y41" i="6" s="1"/>
  <c r="A41" i="6" s="1"/>
  <c r="T40" i="6"/>
  <c r="Q40" i="6"/>
  <c r="P40" i="6"/>
  <c r="K40" i="6"/>
  <c r="J40" i="6"/>
  <c r="E40" i="6"/>
  <c r="D40" i="6"/>
  <c r="F40" i="6" s="1"/>
  <c r="B40" i="6"/>
  <c r="Y40" i="6" s="1"/>
  <c r="A40" i="6" s="1"/>
  <c r="T39" i="6"/>
  <c r="Q39" i="6"/>
  <c r="P39" i="6"/>
  <c r="K39" i="6"/>
  <c r="J39" i="6"/>
  <c r="E39" i="6"/>
  <c r="F39" i="6" s="1"/>
  <c r="D39" i="6"/>
  <c r="B39" i="6"/>
  <c r="Y39" i="6" s="1"/>
  <c r="A39" i="6"/>
  <c r="Y38" i="6"/>
  <c r="T38" i="6"/>
  <c r="Q38" i="6"/>
  <c r="P38" i="6"/>
  <c r="K38" i="6"/>
  <c r="J38" i="6"/>
  <c r="E38" i="6"/>
  <c r="D38" i="6"/>
  <c r="F38" i="6" s="1"/>
  <c r="B38" i="6"/>
  <c r="A38" i="6"/>
  <c r="T37" i="6"/>
  <c r="Q37" i="6"/>
  <c r="P37" i="6"/>
  <c r="K37" i="6"/>
  <c r="J37" i="6"/>
  <c r="E37" i="6"/>
  <c r="D37" i="6"/>
  <c r="F37" i="6" s="1"/>
  <c r="B37" i="6"/>
  <c r="Y37" i="6" s="1"/>
  <c r="A37" i="6" s="1"/>
  <c r="T36" i="6"/>
  <c r="Q36" i="6"/>
  <c r="P36" i="6"/>
  <c r="K36" i="6"/>
  <c r="J36" i="6"/>
  <c r="E36" i="6"/>
  <c r="D36" i="6"/>
  <c r="F36" i="6" s="1"/>
  <c r="B36" i="6"/>
  <c r="Y36" i="6" s="1"/>
  <c r="A36" i="6"/>
  <c r="T35" i="6"/>
  <c r="Q35" i="6"/>
  <c r="P35" i="6"/>
  <c r="K35" i="6"/>
  <c r="J35" i="6"/>
  <c r="E35" i="6"/>
  <c r="D35" i="6"/>
  <c r="F35" i="6" s="1"/>
  <c r="B35" i="6"/>
  <c r="Y35" i="6" s="1"/>
  <c r="A35" i="6" s="1"/>
  <c r="T34" i="6"/>
  <c r="Q34" i="6"/>
  <c r="P34" i="6"/>
  <c r="K34" i="6"/>
  <c r="J34" i="6"/>
  <c r="F34" i="6"/>
  <c r="E34" i="6"/>
  <c r="D34" i="6"/>
  <c r="B34" i="6"/>
  <c r="Y34" i="6" s="1"/>
  <c r="A34" i="6" s="1"/>
  <c r="Y33" i="6"/>
  <c r="A33" i="6" s="1"/>
  <c r="T33" i="6"/>
  <c r="Q33" i="6"/>
  <c r="P33" i="6"/>
  <c r="K33" i="6"/>
  <c r="J33" i="6"/>
  <c r="F33" i="6"/>
  <c r="E33" i="6"/>
  <c r="D33" i="6"/>
  <c r="B33" i="6"/>
  <c r="T32" i="6"/>
  <c r="Q32" i="6"/>
  <c r="P32" i="6"/>
  <c r="K32" i="6"/>
  <c r="J32" i="6"/>
  <c r="E32" i="6"/>
  <c r="D32" i="6"/>
  <c r="F32" i="6" s="1"/>
  <c r="B32" i="6"/>
  <c r="Y32" i="6" s="1"/>
  <c r="A32" i="6" s="1"/>
  <c r="T31" i="6"/>
  <c r="Q31" i="6"/>
  <c r="P31" i="6"/>
  <c r="K31" i="6"/>
  <c r="J31" i="6"/>
  <c r="B31" i="6"/>
  <c r="Y31" i="6" s="1"/>
  <c r="A31" i="6" s="1"/>
  <c r="T30" i="6"/>
  <c r="Q30" i="6"/>
  <c r="P30" i="6"/>
  <c r="K30" i="6"/>
  <c r="J30" i="6"/>
  <c r="B30" i="6"/>
  <c r="Y30" i="6" s="1"/>
  <c r="A30" i="6" s="1"/>
  <c r="Y29" i="6"/>
  <c r="A29" i="6" s="1"/>
  <c r="T29" i="6"/>
  <c r="Q29" i="6"/>
  <c r="P29" i="6"/>
  <c r="K29" i="6"/>
  <c r="J29" i="6"/>
  <c r="B29" i="6"/>
  <c r="T28" i="6"/>
  <c r="Q28" i="6"/>
  <c r="P28" i="6"/>
  <c r="K28" i="6"/>
  <c r="J28" i="6"/>
  <c r="B28" i="6"/>
  <c r="Y28" i="6" s="1"/>
  <c r="A28" i="6" s="1"/>
  <c r="T27" i="6"/>
  <c r="Q27" i="6"/>
  <c r="P27" i="6"/>
  <c r="K27" i="6"/>
  <c r="J27" i="6"/>
  <c r="B27" i="6"/>
  <c r="Y27" i="6" s="1"/>
  <c r="A27" i="6" s="1"/>
  <c r="T26" i="6"/>
  <c r="Q26" i="6"/>
  <c r="P26" i="6"/>
  <c r="K26" i="6"/>
  <c r="J26" i="6"/>
  <c r="B26" i="6"/>
  <c r="Y26" i="6" s="1"/>
  <c r="A26" i="6" s="1"/>
  <c r="Y25" i="6"/>
  <c r="A25" i="6" s="1"/>
  <c r="T25" i="6"/>
  <c r="Q25" i="6"/>
  <c r="P25" i="6"/>
  <c r="K25" i="6"/>
  <c r="J25" i="6"/>
  <c r="B25" i="6"/>
  <c r="T24" i="6"/>
  <c r="Q24" i="6"/>
  <c r="P24" i="6"/>
  <c r="K24" i="6"/>
  <c r="J24" i="6"/>
  <c r="B24" i="6"/>
  <c r="Y24" i="6" s="1"/>
  <c r="A24" i="6"/>
  <c r="T23" i="6"/>
  <c r="Q23" i="6"/>
  <c r="P23" i="6"/>
  <c r="K23" i="6"/>
  <c r="J23" i="6"/>
  <c r="B23" i="6"/>
  <c r="Y23" i="6" s="1"/>
  <c r="A23" i="6" s="1"/>
  <c r="Y22" i="6"/>
  <c r="A22" i="6" s="1"/>
  <c r="T22" i="6"/>
  <c r="Q22" i="6"/>
  <c r="P22" i="6"/>
  <c r="K22" i="6"/>
  <c r="J22" i="6"/>
  <c r="B22" i="6"/>
  <c r="T21" i="6"/>
  <c r="Q21" i="6"/>
  <c r="P21" i="6"/>
  <c r="K21" i="6"/>
  <c r="J21" i="6"/>
  <c r="B21" i="6"/>
  <c r="Y21" i="6" s="1"/>
  <c r="A21" i="6" s="1"/>
  <c r="Y20" i="6"/>
  <c r="T20" i="6"/>
  <c r="Q20" i="6"/>
  <c r="P20" i="6"/>
  <c r="K20" i="6"/>
  <c r="J20" i="6"/>
  <c r="B20" i="6"/>
  <c r="A20" i="6"/>
  <c r="T19" i="6"/>
  <c r="Q19" i="6"/>
  <c r="P19" i="6"/>
  <c r="K19" i="6"/>
  <c r="J19" i="6"/>
  <c r="B19" i="6"/>
  <c r="Y19" i="6" s="1"/>
  <c r="A19" i="6" s="1"/>
  <c r="Y18" i="6"/>
  <c r="A18" i="6" s="1"/>
  <c r="T18" i="6"/>
  <c r="Q18" i="6"/>
  <c r="P18" i="6"/>
  <c r="K18" i="6"/>
  <c r="J18" i="6"/>
  <c r="B18" i="6"/>
  <c r="T17" i="6"/>
  <c r="Q17" i="6"/>
  <c r="P17" i="6"/>
  <c r="K17" i="6"/>
  <c r="J17" i="6"/>
  <c r="B17" i="6"/>
  <c r="Y17" i="6" s="1"/>
  <c r="A17" i="6" s="1"/>
  <c r="Y16" i="6"/>
  <c r="T16" i="6"/>
  <c r="Q16" i="6"/>
  <c r="P16" i="6"/>
  <c r="K16" i="6"/>
  <c r="J16" i="6"/>
  <c r="B16" i="6"/>
  <c r="A16" i="6"/>
  <c r="T15" i="6"/>
  <c r="Q15" i="6"/>
  <c r="P15" i="6"/>
  <c r="K15" i="6"/>
  <c r="J15" i="6"/>
  <c r="B15" i="6"/>
  <c r="Y15" i="6" s="1"/>
  <c r="A15" i="6" s="1"/>
  <c r="Y14" i="6"/>
  <c r="A14" i="6" s="1"/>
  <c r="T14" i="6"/>
  <c r="Q14" i="6"/>
  <c r="P14" i="6"/>
  <c r="K14" i="6"/>
  <c r="J14" i="6"/>
  <c r="B14" i="6"/>
  <c r="T13" i="6"/>
  <c r="Q13" i="6"/>
  <c r="P13" i="6"/>
  <c r="K13" i="6"/>
  <c r="J13" i="6"/>
  <c r="B13" i="6"/>
  <c r="M13" i="7" s="1"/>
  <c r="Y12" i="6"/>
  <c r="T12" i="6"/>
  <c r="Q12" i="6"/>
  <c r="P12" i="6"/>
  <c r="K12" i="6"/>
  <c r="J12" i="6"/>
  <c r="B12" i="6"/>
  <c r="A12" i="6"/>
  <c r="T11" i="6"/>
  <c r="Q11" i="6"/>
  <c r="P11" i="6"/>
  <c r="K11" i="6"/>
  <c r="J11" i="6"/>
  <c r="B11" i="6"/>
  <c r="M11" i="7" s="1"/>
  <c r="Y10" i="6"/>
  <c r="A10" i="6" s="1"/>
  <c r="T10" i="6"/>
  <c r="Q10" i="6"/>
  <c r="P10" i="6"/>
  <c r="K10" i="6"/>
  <c r="J10" i="6"/>
  <c r="B10" i="6"/>
  <c r="T9" i="6"/>
  <c r="Q9" i="6"/>
  <c r="P9" i="6"/>
  <c r="K9" i="6"/>
  <c r="J9" i="6"/>
  <c r="B9" i="6"/>
  <c r="Y8" i="6"/>
  <c r="T8" i="6"/>
  <c r="Q8" i="6"/>
  <c r="P8" i="6"/>
  <c r="K8" i="6"/>
  <c r="J8" i="6"/>
  <c r="B8" i="6"/>
  <c r="K8" i="7" s="1"/>
  <c r="A8" i="6"/>
  <c r="T7" i="6"/>
  <c r="Q7" i="6"/>
  <c r="P7" i="6"/>
  <c r="M7" i="6"/>
  <c r="E7" i="6" s="1"/>
  <c r="K7" i="6"/>
  <c r="J7" i="6"/>
  <c r="B7" i="6"/>
  <c r="Y7" i="6" s="1"/>
  <c r="A7" i="6" s="1"/>
  <c r="Y6" i="6"/>
  <c r="A6" i="6" s="1"/>
  <c r="T6" i="6"/>
  <c r="Q6" i="6"/>
  <c r="P6" i="6"/>
  <c r="K6" i="6"/>
  <c r="J6" i="6"/>
  <c r="B6" i="6"/>
  <c r="T5" i="6"/>
  <c r="Q5" i="6"/>
  <c r="P5" i="6"/>
  <c r="K5" i="6"/>
  <c r="J5" i="6"/>
  <c r="B5" i="6"/>
  <c r="Y4" i="6"/>
  <c r="A4" i="6" s="1"/>
  <c r="T4" i="6"/>
  <c r="Q4" i="6"/>
  <c r="P4" i="6"/>
  <c r="K4" i="6"/>
  <c r="J4" i="6"/>
  <c r="B4" i="6"/>
  <c r="T3" i="6"/>
  <c r="Q3" i="6"/>
  <c r="P3" i="6"/>
  <c r="K3" i="6"/>
  <c r="J3" i="6"/>
  <c r="B3" i="6"/>
  <c r="Y2" i="6"/>
  <c r="T2" i="6"/>
  <c r="Q2" i="6"/>
  <c r="P2" i="6"/>
  <c r="K2" i="6"/>
  <c r="J2" i="6"/>
  <c r="B2" i="6"/>
  <c r="A1" i="6"/>
  <c r="D75" i="5"/>
  <c r="A75" i="5"/>
  <c r="I75" i="5" s="1"/>
  <c r="D74" i="5"/>
  <c r="A74" i="5"/>
  <c r="I74" i="5" s="1"/>
  <c r="D73" i="5"/>
  <c r="A73" i="5"/>
  <c r="I73" i="5" s="1"/>
  <c r="D72" i="5"/>
  <c r="A72" i="5"/>
  <c r="I72" i="5" s="1"/>
  <c r="D71" i="5"/>
  <c r="A71" i="5"/>
  <c r="I71" i="5" s="1"/>
  <c r="D70" i="5"/>
  <c r="A70" i="5"/>
  <c r="I70" i="5" s="1"/>
  <c r="D69" i="5"/>
  <c r="A69" i="5"/>
  <c r="I69" i="5" s="1"/>
  <c r="D68" i="5"/>
  <c r="A68" i="5"/>
  <c r="I68" i="5" s="1"/>
  <c r="D67" i="5"/>
  <c r="A67" i="5"/>
  <c r="I67" i="5" s="1"/>
  <c r="D66" i="5"/>
  <c r="A66" i="5"/>
  <c r="I66" i="5" s="1"/>
  <c r="C65" i="5"/>
  <c r="A65" i="5"/>
  <c r="I65" i="5" s="1"/>
  <c r="D64" i="5"/>
  <c r="E64" i="5" s="1"/>
  <c r="C64" i="5"/>
  <c r="A64" i="5"/>
  <c r="I64" i="5" s="1"/>
  <c r="C63" i="5"/>
  <c r="A63" i="5"/>
  <c r="I63" i="5" s="1"/>
  <c r="C62" i="5"/>
  <c r="A62" i="5"/>
  <c r="I62" i="5" s="1"/>
  <c r="C61" i="5"/>
  <c r="A61" i="5"/>
  <c r="I61" i="5" s="1"/>
  <c r="I60" i="5"/>
  <c r="C60" i="5"/>
  <c r="A60" i="5"/>
  <c r="I59" i="5"/>
  <c r="C59" i="5"/>
  <c r="A59" i="5"/>
  <c r="I58" i="5"/>
  <c r="C58" i="5"/>
  <c r="A58" i="5"/>
  <c r="I57" i="5"/>
  <c r="C57" i="5"/>
  <c r="A57" i="5"/>
  <c r="I56" i="5"/>
  <c r="C56" i="5"/>
  <c r="A56" i="5"/>
  <c r="I55" i="5"/>
  <c r="E55" i="5"/>
  <c r="D55" i="5"/>
  <c r="C55" i="5"/>
  <c r="A55" i="5"/>
  <c r="I54" i="5"/>
  <c r="E54" i="5"/>
  <c r="D54" i="5"/>
  <c r="C54" i="5"/>
  <c r="A54" i="5"/>
  <c r="I53" i="5"/>
  <c r="E53" i="5"/>
  <c r="D53" i="5"/>
  <c r="C53" i="5"/>
  <c r="A53" i="5"/>
  <c r="I52" i="5"/>
  <c r="E52" i="5"/>
  <c r="D52" i="5"/>
  <c r="C52" i="5"/>
  <c r="A52" i="5"/>
  <c r="I51" i="5"/>
  <c r="E51" i="5"/>
  <c r="D51" i="5"/>
  <c r="C51" i="5"/>
  <c r="A51" i="5"/>
  <c r="I50" i="5"/>
  <c r="E50" i="5"/>
  <c r="D50" i="5"/>
  <c r="C50" i="5"/>
  <c r="A50" i="5"/>
  <c r="I49" i="5"/>
  <c r="E49" i="5"/>
  <c r="D49" i="5"/>
  <c r="C49" i="5"/>
  <c r="A49" i="5"/>
  <c r="I48" i="5"/>
  <c r="E48" i="5"/>
  <c r="D48" i="5"/>
  <c r="C48" i="5"/>
  <c r="A48" i="5"/>
  <c r="I47" i="5"/>
  <c r="E47" i="5"/>
  <c r="D47" i="5"/>
  <c r="C47" i="5"/>
  <c r="A47" i="5"/>
  <c r="I46" i="5"/>
  <c r="E46" i="5"/>
  <c r="D46" i="5"/>
  <c r="C46" i="5"/>
  <c r="A46" i="5"/>
  <c r="I45" i="5"/>
  <c r="A45" i="5"/>
  <c r="I44" i="5"/>
  <c r="A44" i="5"/>
  <c r="I43" i="5"/>
  <c r="A43" i="5"/>
  <c r="I42" i="5"/>
  <c r="A42" i="5"/>
  <c r="I41" i="5"/>
  <c r="D41" i="5"/>
  <c r="A41" i="5"/>
  <c r="I40" i="5"/>
  <c r="D40" i="5"/>
  <c r="A40" i="5"/>
  <c r="I39" i="5"/>
  <c r="A39" i="5"/>
  <c r="I38" i="5"/>
  <c r="A38" i="5"/>
  <c r="I37" i="5"/>
  <c r="A37" i="5"/>
  <c r="I36" i="5"/>
  <c r="A36" i="5"/>
  <c r="I35" i="5"/>
  <c r="A35" i="5"/>
  <c r="I34" i="5"/>
  <c r="D34" i="5"/>
  <c r="A34" i="5"/>
  <c r="I33" i="5"/>
  <c r="D33" i="5"/>
  <c r="E33" i="5" s="1"/>
  <c r="C33" i="5"/>
  <c r="A33" i="5"/>
  <c r="I32" i="5"/>
  <c r="D32" i="5"/>
  <c r="E32" i="5" s="1"/>
  <c r="C32" i="5"/>
  <c r="A32" i="5"/>
  <c r="I31" i="5"/>
  <c r="A31" i="5"/>
  <c r="I30" i="5"/>
  <c r="A30" i="5"/>
  <c r="I29" i="5"/>
  <c r="A29" i="5"/>
  <c r="I28" i="5"/>
  <c r="A28" i="5"/>
  <c r="I27" i="5"/>
  <c r="A27" i="5"/>
  <c r="I26" i="5"/>
  <c r="D26" i="5"/>
  <c r="E26" i="5" s="1"/>
  <c r="C26" i="5"/>
  <c r="A26" i="5"/>
  <c r="I25" i="5"/>
  <c r="D25" i="5"/>
  <c r="E25" i="5" s="1"/>
  <c r="C25" i="5"/>
  <c r="A25" i="5"/>
  <c r="I24" i="5"/>
  <c r="D24" i="5"/>
  <c r="E24" i="5" s="1"/>
  <c r="C24" i="5"/>
  <c r="A24" i="5"/>
  <c r="I23" i="5"/>
  <c r="D23" i="5"/>
  <c r="A23" i="5"/>
  <c r="I22" i="5"/>
  <c r="A22" i="5"/>
  <c r="I21" i="5"/>
  <c r="D21" i="5"/>
  <c r="A21" i="5"/>
  <c r="I20" i="5"/>
  <c r="D20" i="5"/>
  <c r="A20" i="5"/>
  <c r="I19" i="5"/>
  <c r="A19" i="5"/>
  <c r="I18" i="5"/>
  <c r="D18" i="5"/>
  <c r="C18" i="5"/>
  <c r="E18" i="5" s="1"/>
  <c r="A18" i="5"/>
  <c r="I17" i="5"/>
  <c r="D17" i="5"/>
  <c r="C17" i="5"/>
  <c r="E17" i="5" s="1"/>
  <c r="A17" i="5"/>
  <c r="I16" i="5"/>
  <c r="D16" i="5"/>
  <c r="C16" i="5"/>
  <c r="E16" i="5" s="1"/>
  <c r="A16" i="5"/>
  <c r="M13" i="5"/>
  <c r="L13" i="5"/>
  <c r="K13" i="5"/>
  <c r="J13" i="5"/>
  <c r="I13" i="5"/>
  <c r="M12" i="5"/>
  <c r="L12" i="5"/>
  <c r="K12" i="5"/>
  <c r="J12" i="5"/>
  <c r="C67" i="5" s="1"/>
  <c r="E67" i="5" s="1"/>
  <c r="I12" i="5"/>
  <c r="C66" i="5" s="1"/>
  <c r="E66" i="5" s="1"/>
  <c r="M11" i="5"/>
  <c r="L11" i="5"/>
  <c r="K11" i="5"/>
  <c r="D63" i="5" s="1"/>
  <c r="J11" i="5"/>
  <c r="D62" i="5" s="1"/>
  <c r="I11" i="5"/>
  <c r="M10" i="5"/>
  <c r="L10" i="5"/>
  <c r="K10" i="5"/>
  <c r="D58" i="5" s="1"/>
  <c r="E58" i="5" s="1"/>
  <c r="J10" i="5"/>
  <c r="D57" i="5" s="1"/>
  <c r="E57" i="5" s="1"/>
  <c r="I10" i="5"/>
  <c r="D56" i="5" s="1"/>
  <c r="E56" i="5" s="1"/>
  <c r="M9" i="5"/>
  <c r="L9" i="5"/>
  <c r="K9" i="5"/>
  <c r="J9" i="5"/>
  <c r="I9" i="5"/>
  <c r="M8" i="5"/>
  <c r="L8" i="5"/>
  <c r="K8" i="5"/>
  <c r="J8" i="5"/>
  <c r="I8" i="5"/>
  <c r="M7" i="5"/>
  <c r="L7" i="5"/>
  <c r="K7" i="5"/>
  <c r="J7" i="5"/>
  <c r="D42" i="5" s="1"/>
  <c r="I7" i="5"/>
  <c r="C41" i="5" s="1"/>
  <c r="E41" i="5" s="1"/>
  <c r="M6" i="5"/>
  <c r="C40" i="5" s="1"/>
  <c r="E40" i="5" s="1"/>
  <c r="L6" i="5"/>
  <c r="D39" i="5" s="1"/>
  <c r="K6" i="5"/>
  <c r="C38" i="5" s="1"/>
  <c r="J6" i="5"/>
  <c r="I6" i="5"/>
  <c r="M5" i="5"/>
  <c r="C35" i="5" s="1"/>
  <c r="L5" i="5"/>
  <c r="C34" i="5" s="1"/>
  <c r="E34" i="5" s="1"/>
  <c r="K5" i="5"/>
  <c r="J5" i="5"/>
  <c r="I5" i="5"/>
  <c r="D31" i="5" s="1"/>
  <c r="M4" i="5"/>
  <c r="C30" i="5" s="1"/>
  <c r="L4" i="5"/>
  <c r="K4" i="5"/>
  <c r="J4" i="5"/>
  <c r="I4" i="5"/>
  <c r="L12" i="6" s="1"/>
  <c r="M3" i="5"/>
  <c r="M11" i="6" s="1"/>
  <c r="E11" i="6" s="1"/>
  <c r="L3" i="5"/>
  <c r="K3" i="5"/>
  <c r="C23" i="5" s="1"/>
  <c r="E23" i="5" s="1"/>
  <c r="J3" i="5"/>
  <c r="L8" i="6" s="1"/>
  <c r="I3" i="5"/>
  <c r="L7" i="6" s="1"/>
  <c r="M2" i="5"/>
  <c r="M6" i="6" s="1"/>
  <c r="E6" i="6" s="1"/>
  <c r="L2" i="5"/>
  <c r="K2" i="5"/>
  <c r="L4" i="6" s="1"/>
  <c r="J2" i="5"/>
  <c r="M3" i="6" s="1"/>
  <c r="E3" i="6" s="1"/>
  <c r="I2" i="5"/>
  <c r="M2" i="6" s="1"/>
  <c r="E2" i="6" s="1"/>
  <c r="I6" i="4"/>
  <c r="I5" i="4"/>
  <c r="I4" i="4"/>
  <c r="Z4" i="6" s="1"/>
  <c r="I3" i="4"/>
  <c r="Z3" i="6" s="1"/>
  <c r="I2" i="4"/>
  <c r="Z12" i="6" s="1"/>
  <c r="E17" i="3"/>
  <c r="E20" i="3" s="1"/>
  <c r="D5" i="4" s="1"/>
  <c r="B15" i="3"/>
  <c r="D18" i="3" s="1"/>
  <c r="B14" i="3"/>
  <c r="D17" i="3" s="1"/>
  <c r="B13" i="3"/>
  <c r="B9" i="3"/>
  <c r="E9" i="2"/>
  <c r="B9" i="2"/>
  <c r="E3" i="2"/>
  <c r="B3" i="2"/>
  <c r="F34" i="1"/>
  <c r="E34" i="1"/>
  <c r="F33" i="1"/>
  <c r="E33" i="1"/>
  <c r="E27" i="1"/>
  <c r="F26" i="1"/>
  <c r="F27" i="1" s="1"/>
  <c r="E26" i="1"/>
  <c r="K18" i="1"/>
  <c r="B14" i="1"/>
  <c r="K12" i="1"/>
  <c r="K11" i="1"/>
  <c r="K13" i="1" s="1"/>
  <c r="B9" i="1"/>
  <c r="K8" i="1"/>
  <c r="B5" i="1"/>
  <c r="D7" i="6" l="1"/>
  <c r="F7" i="6" s="1"/>
  <c r="D20" i="3"/>
  <c r="D4" i="4" s="1"/>
  <c r="E14" i="3"/>
  <c r="E13" i="3" s="1"/>
  <c r="D19" i="3"/>
  <c r="C4" i="4" s="1"/>
  <c r="E15" i="3"/>
  <c r="B4" i="4"/>
  <c r="I40" i="6"/>
  <c r="S40" i="6" s="1"/>
  <c r="I55" i="6"/>
  <c r="S55" i="6" s="1"/>
  <c r="I50" i="6"/>
  <c r="S50" i="6" s="1"/>
  <c r="I35" i="6"/>
  <c r="I30" i="6"/>
  <c r="S30" i="6" s="1"/>
  <c r="I60" i="6"/>
  <c r="I45" i="6"/>
  <c r="S45" i="6" s="1"/>
  <c r="I20" i="6"/>
  <c r="S20" i="6" s="1"/>
  <c r="I25" i="6"/>
  <c r="S25" i="6" s="1"/>
  <c r="I15" i="6"/>
  <c r="S15" i="6" s="1"/>
  <c r="H59" i="5"/>
  <c r="H54" i="5"/>
  <c r="H49" i="5"/>
  <c r="H44" i="5"/>
  <c r="H39" i="5"/>
  <c r="H34" i="5"/>
  <c r="H29" i="5"/>
  <c r="H24" i="5"/>
  <c r="H19" i="5"/>
  <c r="H69" i="5"/>
  <c r="H74" i="5"/>
  <c r="H64" i="5"/>
  <c r="I10" i="6"/>
  <c r="S10" i="6" s="1"/>
  <c r="I5" i="6"/>
  <c r="S5" i="6" s="1"/>
  <c r="E62" i="5"/>
  <c r="E63" i="5"/>
  <c r="L13" i="6"/>
  <c r="M13" i="6"/>
  <c r="E13" i="6" s="1"/>
  <c r="Z55" i="6"/>
  <c r="Z45" i="6"/>
  <c r="Z60" i="6"/>
  <c r="Z40" i="6"/>
  <c r="Z35" i="6"/>
  <c r="Z30" i="6"/>
  <c r="Z50" i="6"/>
  <c r="Z25" i="6"/>
  <c r="Z10" i="6"/>
  <c r="Z5" i="6"/>
  <c r="Z20" i="6"/>
  <c r="Z15" i="6"/>
  <c r="M29" i="6"/>
  <c r="E29" i="6" s="1"/>
  <c r="L29" i="6"/>
  <c r="M3" i="7"/>
  <c r="K3" i="7"/>
  <c r="Y3" i="6"/>
  <c r="A3" i="6" s="1"/>
  <c r="F17" i="3"/>
  <c r="M14" i="6"/>
  <c r="E14" i="6" s="1"/>
  <c r="L14" i="6"/>
  <c r="M22" i="6"/>
  <c r="E22" i="6" s="1"/>
  <c r="L22" i="6"/>
  <c r="M30" i="6"/>
  <c r="E30" i="6" s="1"/>
  <c r="L30" i="6"/>
  <c r="M38" i="6"/>
  <c r="L38" i="6"/>
  <c r="N38" i="6" s="1"/>
  <c r="O38" i="6" s="1"/>
  <c r="M46" i="6"/>
  <c r="E46" i="6" s="1"/>
  <c r="L46" i="6"/>
  <c r="N46" i="6" s="1"/>
  <c r="O46" i="6" s="1"/>
  <c r="L54" i="6"/>
  <c r="M54" i="6"/>
  <c r="M4" i="6"/>
  <c r="E4" i="6" s="1"/>
  <c r="M12" i="6"/>
  <c r="E12" i="6" s="1"/>
  <c r="Z58" i="6"/>
  <c r="Z53" i="6"/>
  <c r="Z48" i="6"/>
  <c r="Z38" i="6"/>
  <c r="Z43" i="6"/>
  <c r="Z33" i="6"/>
  <c r="Z18" i="6"/>
  <c r="Z28" i="6"/>
  <c r="Z13" i="6"/>
  <c r="Z23" i="6"/>
  <c r="L5" i="6"/>
  <c r="M5" i="6"/>
  <c r="E5" i="6" s="1"/>
  <c r="M45" i="6"/>
  <c r="E45" i="6" s="1"/>
  <c r="F45" i="6" s="1"/>
  <c r="L45" i="6"/>
  <c r="N45" i="6" s="1"/>
  <c r="O45" i="6" s="1"/>
  <c r="E19" i="1"/>
  <c r="E20" i="1" s="1"/>
  <c r="D12" i="1" s="1"/>
  <c r="B18" i="3"/>
  <c r="E19" i="3"/>
  <c r="C5" i="4" s="1"/>
  <c r="M15" i="6"/>
  <c r="E15" i="6" s="1"/>
  <c r="L15" i="6"/>
  <c r="M23" i="6"/>
  <c r="E23" i="6" s="1"/>
  <c r="L23" i="6"/>
  <c r="M31" i="6"/>
  <c r="E31" i="6" s="1"/>
  <c r="L31" i="6"/>
  <c r="L39" i="6"/>
  <c r="M39" i="6"/>
  <c r="L47" i="6"/>
  <c r="M47" i="6"/>
  <c r="E47" i="6" s="1"/>
  <c r="F47" i="6" s="1"/>
  <c r="L55" i="6"/>
  <c r="M55" i="6"/>
  <c r="C69" i="5"/>
  <c r="E69" i="5" s="1"/>
  <c r="C19" i="5"/>
  <c r="E19" i="5" s="1"/>
  <c r="C20" i="5"/>
  <c r="E20" i="5" s="1"/>
  <c r="C21" i="5"/>
  <c r="E21" i="5" s="1"/>
  <c r="C22" i="5"/>
  <c r="C27" i="5"/>
  <c r="C28" i="5"/>
  <c r="C29" i="5"/>
  <c r="C31" i="5"/>
  <c r="E31" i="5" s="1"/>
  <c r="C36" i="5"/>
  <c r="E36" i="5" s="1"/>
  <c r="C37" i="5"/>
  <c r="C39" i="5"/>
  <c r="E39" i="5" s="1"/>
  <c r="C42" i="5"/>
  <c r="E42" i="5" s="1"/>
  <c r="C43" i="5"/>
  <c r="C44" i="5"/>
  <c r="C45" i="5"/>
  <c r="L21" i="6"/>
  <c r="M21" i="6"/>
  <c r="E21" i="6" s="1"/>
  <c r="L61" i="6"/>
  <c r="M61" i="6"/>
  <c r="C75" i="5"/>
  <c r="E75" i="5" s="1"/>
  <c r="F19" i="1"/>
  <c r="F20" i="1" s="1"/>
  <c r="D11" i="1" s="1"/>
  <c r="C18" i="3"/>
  <c r="D8" i="6"/>
  <c r="F8" i="6" s="1"/>
  <c r="M16" i="6"/>
  <c r="E16" i="6" s="1"/>
  <c r="L16" i="6"/>
  <c r="M24" i="6"/>
  <c r="E24" i="6" s="1"/>
  <c r="L24" i="6"/>
  <c r="M32" i="6"/>
  <c r="L32" i="6"/>
  <c r="M40" i="6"/>
  <c r="L40" i="6"/>
  <c r="N40" i="6" s="1"/>
  <c r="O40" i="6" s="1"/>
  <c r="L48" i="6"/>
  <c r="M48" i="6"/>
  <c r="E48" i="6" s="1"/>
  <c r="F48" i="6" s="1"/>
  <c r="L56" i="6"/>
  <c r="M56" i="6"/>
  <c r="C70" i="5"/>
  <c r="E70" i="5" s="1"/>
  <c r="D19" i="5"/>
  <c r="D22" i="5"/>
  <c r="D27" i="5"/>
  <c r="D28" i="5"/>
  <c r="D29" i="5"/>
  <c r="D30" i="5"/>
  <c r="E30" i="5" s="1"/>
  <c r="D35" i="5"/>
  <c r="E35" i="5" s="1"/>
  <c r="D36" i="5"/>
  <c r="D37" i="5"/>
  <c r="D38" i="5"/>
  <c r="E38" i="5" s="1"/>
  <c r="D43" i="5"/>
  <c r="D44" i="5"/>
  <c r="D45" i="5"/>
  <c r="D59" i="5"/>
  <c r="E59" i="5" s="1"/>
  <c r="D60" i="5"/>
  <c r="E60" i="5" s="1"/>
  <c r="D61" i="5"/>
  <c r="E61" i="5" s="1"/>
  <c r="C68" i="5"/>
  <c r="E68" i="5" s="1"/>
  <c r="K4" i="7"/>
  <c r="M4" i="7"/>
  <c r="Z8" i="6"/>
  <c r="Z51" i="6"/>
  <c r="Z61" i="6"/>
  <c r="Z56" i="6"/>
  <c r="Z36" i="6"/>
  <c r="Z41" i="6"/>
  <c r="Z31" i="6"/>
  <c r="Z46" i="6"/>
  <c r="Z26" i="6"/>
  <c r="Z6" i="6"/>
  <c r="Z21" i="6"/>
  <c r="Z16" i="6"/>
  <c r="Z11" i="6"/>
  <c r="L9" i="6"/>
  <c r="M9" i="6"/>
  <c r="E9" i="6" s="1"/>
  <c r="L17" i="6"/>
  <c r="M17" i="6"/>
  <c r="E17" i="6" s="1"/>
  <c r="M25" i="6"/>
  <c r="E25" i="6" s="1"/>
  <c r="L25" i="6"/>
  <c r="M33" i="6"/>
  <c r="L33" i="6"/>
  <c r="M41" i="6"/>
  <c r="L41" i="6"/>
  <c r="N41" i="6" s="1"/>
  <c r="O41" i="6" s="1"/>
  <c r="M49" i="6"/>
  <c r="E49" i="6" s="1"/>
  <c r="F49" i="6" s="1"/>
  <c r="L49" i="6"/>
  <c r="L57" i="6"/>
  <c r="M57" i="6"/>
  <c r="C71" i="5"/>
  <c r="E71" i="5" s="1"/>
  <c r="L2" i="6"/>
  <c r="M5" i="7"/>
  <c r="K5" i="7"/>
  <c r="Y5" i="6"/>
  <c r="A5" i="6" s="1"/>
  <c r="M8" i="6"/>
  <c r="E8" i="6" s="1"/>
  <c r="M9" i="7"/>
  <c r="K9" i="7"/>
  <c r="Y9" i="6"/>
  <c r="A9" i="6" s="1"/>
  <c r="M53" i="6"/>
  <c r="L53" i="6"/>
  <c r="Z59" i="6"/>
  <c r="Z49" i="6"/>
  <c r="Z44" i="6"/>
  <c r="Z39" i="6"/>
  <c r="Z34" i="6"/>
  <c r="Z29" i="6"/>
  <c r="Z14" i="6"/>
  <c r="Z9" i="6"/>
  <c r="Z54" i="6"/>
  <c r="Z24" i="6"/>
  <c r="Z19" i="6"/>
  <c r="K7" i="1"/>
  <c r="K9" i="1" s="1"/>
  <c r="B17" i="3"/>
  <c r="E18" i="3"/>
  <c r="M10" i="6"/>
  <c r="E10" i="6" s="1"/>
  <c r="L10" i="6"/>
  <c r="M18" i="6"/>
  <c r="E18" i="6" s="1"/>
  <c r="L18" i="6"/>
  <c r="M26" i="6"/>
  <c r="E26" i="6" s="1"/>
  <c r="L26" i="6"/>
  <c r="M34" i="6"/>
  <c r="L34" i="6"/>
  <c r="M42" i="6"/>
  <c r="E42" i="6" s="1"/>
  <c r="L42" i="6"/>
  <c r="N42" i="6" s="1"/>
  <c r="O42" i="6" s="1"/>
  <c r="M50" i="6"/>
  <c r="E50" i="6" s="1"/>
  <c r="F50" i="6" s="1"/>
  <c r="L50" i="6"/>
  <c r="L58" i="6"/>
  <c r="M58" i="6"/>
  <c r="C72" i="5"/>
  <c r="E72" i="5" s="1"/>
  <c r="M37" i="6"/>
  <c r="L37" i="6"/>
  <c r="Z57" i="6"/>
  <c r="Z52" i="6"/>
  <c r="Z37" i="6"/>
  <c r="Z27" i="6"/>
  <c r="Z42" i="6"/>
  <c r="Z47" i="6"/>
  <c r="Z22" i="6"/>
  <c r="Z2" i="6"/>
  <c r="Z17" i="6"/>
  <c r="Z32" i="6"/>
  <c r="Z7" i="6"/>
  <c r="C17" i="3"/>
  <c r="F18" i="3"/>
  <c r="B6" i="4" s="1"/>
  <c r="M19" i="6"/>
  <c r="E19" i="6" s="1"/>
  <c r="L19" i="6"/>
  <c r="L27" i="6"/>
  <c r="M27" i="6"/>
  <c r="E27" i="6" s="1"/>
  <c r="M35" i="6"/>
  <c r="L35" i="6"/>
  <c r="L43" i="6"/>
  <c r="N43" i="6" s="1"/>
  <c r="O43" i="6" s="1"/>
  <c r="M43" i="6"/>
  <c r="E43" i="6" s="1"/>
  <c r="F43" i="6" s="1"/>
  <c r="L51" i="6"/>
  <c r="M51" i="6"/>
  <c r="E51" i="6" s="1"/>
  <c r="F51" i="6" s="1"/>
  <c r="L59" i="6"/>
  <c r="M59" i="6"/>
  <c r="C73" i="5"/>
  <c r="E73" i="5" s="1"/>
  <c r="A2" i="6"/>
  <c r="G8" i="7" s="1"/>
  <c r="L3" i="6"/>
  <c r="L6" i="6"/>
  <c r="L11" i="6"/>
  <c r="F14" i="3"/>
  <c r="F13" i="3" s="1"/>
  <c r="D4" i="6"/>
  <c r="F4" i="6" s="1"/>
  <c r="D12" i="6"/>
  <c r="M20" i="6"/>
  <c r="E20" i="6" s="1"/>
  <c r="L20" i="6"/>
  <c r="M28" i="6"/>
  <c r="E28" i="6" s="1"/>
  <c r="L28" i="6"/>
  <c r="M36" i="6"/>
  <c r="L36" i="6"/>
  <c r="N36" i="6" s="1"/>
  <c r="O36" i="6" s="1"/>
  <c r="L44" i="6"/>
  <c r="M44" i="6"/>
  <c r="E44" i="6" s="1"/>
  <c r="F44" i="6" s="1"/>
  <c r="L52" i="6"/>
  <c r="M52" i="6"/>
  <c r="L60" i="6"/>
  <c r="M60" i="6"/>
  <c r="C74" i="5"/>
  <c r="E74" i="5" s="1"/>
  <c r="D65" i="5"/>
  <c r="E65" i="5" s="1"/>
  <c r="K2" i="7"/>
  <c r="M6" i="7"/>
  <c r="K6" i="7"/>
  <c r="M10" i="7"/>
  <c r="K10" i="7"/>
  <c r="Y11" i="6"/>
  <c r="A11" i="6" s="1"/>
  <c r="S35" i="6"/>
  <c r="M7" i="7"/>
  <c r="K7" i="7"/>
  <c r="M8" i="7"/>
  <c r="K13" i="7"/>
  <c r="M12" i="7"/>
  <c r="K12" i="7"/>
  <c r="Y13" i="6"/>
  <c r="A13" i="6" s="1"/>
  <c r="S60" i="6"/>
  <c r="L5" i="7"/>
  <c r="L9" i="7"/>
  <c r="L12" i="7"/>
  <c r="F42" i="6"/>
  <c r="L4" i="7"/>
  <c r="L8" i="7"/>
  <c r="F46" i="6"/>
  <c r="L11" i="7"/>
  <c r="L3" i="7"/>
  <c r="L7" i="7"/>
  <c r="L13" i="7"/>
  <c r="L2" i="7"/>
  <c r="L6" i="7"/>
  <c r="L10" i="7"/>
  <c r="G9" i="7"/>
  <c r="B25" i="1" s="1"/>
  <c r="K11" i="7"/>
  <c r="D17" i="6" l="1"/>
  <c r="F17" i="6" s="1"/>
  <c r="D60" i="6"/>
  <c r="F60" i="6" s="1"/>
  <c r="D19" i="6"/>
  <c r="F19" i="6" s="1"/>
  <c r="D10" i="6"/>
  <c r="F10" i="6" s="1"/>
  <c r="N10" i="6"/>
  <c r="O10" i="6" s="1"/>
  <c r="F4" i="7"/>
  <c r="N8" i="6"/>
  <c r="O8" i="6" s="1"/>
  <c r="D21" i="6"/>
  <c r="F21" i="6" s="1"/>
  <c r="B10" i="8"/>
  <c r="B10" i="11"/>
  <c r="B10" i="12"/>
  <c r="H59" i="6"/>
  <c r="R59" i="6" s="1"/>
  <c r="H54" i="6"/>
  <c r="R54" i="6" s="1"/>
  <c r="H49" i="6"/>
  <c r="R49" i="6" s="1"/>
  <c r="H39" i="6"/>
  <c r="R39" i="6" s="1"/>
  <c r="H44" i="6"/>
  <c r="R44" i="6" s="1"/>
  <c r="H34" i="6"/>
  <c r="R34" i="6" s="1"/>
  <c r="H29" i="6"/>
  <c r="R29" i="6" s="1"/>
  <c r="U29" i="6" s="1"/>
  <c r="H19" i="6"/>
  <c r="R19" i="6" s="1"/>
  <c r="H14" i="6"/>
  <c r="R14" i="6" s="1"/>
  <c r="H24" i="6"/>
  <c r="R24" i="6" s="1"/>
  <c r="G68" i="5"/>
  <c r="G58" i="5"/>
  <c r="G53" i="5"/>
  <c r="G48" i="5"/>
  <c r="G43" i="5"/>
  <c r="G38" i="5"/>
  <c r="G33" i="5"/>
  <c r="G28" i="5"/>
  <c r="G23" i="5"/>
  <c r="G18" i="5"/>
  <c r="H9" i="6"/>
  <c r="R9" i="6" s="1"/>
  <c r="H4" i="6"/>
  <c r="R4" i="6" s="1"/>
  <c r="G73" i="5"/>
  <c r="G63" i="5"/>
  <c r="N27" i="6"/>
  <c r="O27" i="6" s="1"/>
  <c r="D27" i="6"/>
  <c r="F27" i="6" s="1"/>
  <c r="D20" i="6"/>
  <c r="F20" i="6" s="1"/>
  <c r="N11" i="6"/>
  <c r="O11" i="6" s="1"/>
  <c r="V11" i="6" s="1"/>
  <c r="D11" i="6"/>
  <c r="F11" i="6" s="1"/>
  <c r="G3" i="7" s="1"/>
  <c r="N51" i="6"/>
  <c r="O51" i="6" s="1"/>
  <c r="N37" i="6"/>
  <c r="O37" i="6" s="1"/>
  <c r="N53" i="6"/>
  <c r="O53" i="6" s="1"/>
  <c r="D53" i="6"/>
  <c r="F53" i="6" s="1"/>
  <c r="D9" i="6"/>
  <c r="F9" i="6" s="1"/>
  <c r="N9" i="6"/>
  <c r="O9" i="6" s="1"/>
  <c r="N32" i="6"/>
  <c r="O32" i="6" s="1"/>
  <c r="B3" i="4"/>
  <c r="D15" i="3"/>
  <c r="E45" i="5"/>
  <c r="E29" i="5"/>
  <c r="N23" i="6"/>
  <c r="O23" i="6" s="1"/>
  <c r="D23" i="6"/>
  <c r="F23" i="6" s="1"/>
  <c r="N22" i="6"/>
  <c r="O22" i="6" s="1"/>
  <c r="D22" i="6"/>
  <c r="F22" i="6" s="1"/>
  <c r="D13" i="6"/>
  <c r="F13" i="6" s="1"/>
  <c r="G10" i="7"/>
  <c r="D52" i="6"/>
  <c r="F52" i="6" s="1"/>
  <c r="N52" i="6"/>
  <c r="O52" i="6" s="1"/>
  <c r="D6" i="6"/>
  <c r="F6" i="6" s="1"/>
  <c r="B23" i="8"/>
  <c r="B23" i="11"/>
  <c r="B23" i="12"/>
  <c r="G56" i="6"/>
  <c r="G46" i="6"/>
  <c r="G41" i="6"/>
  <c r="V41" i="6" s="1"/>
  <c r="G36" i="6"/>
  <c r="G31" i="6"/>
  <c r="G61" i="6"/>
  <c r="G51" i="6"/>
  <c r="G26" i="6"/>
  <c r="G21" i="6"/>
  <c r="G16" i="6"/>
  <c r="F60" i="5"/>
  <c r="F55" i="5"/>
  <c r="F50" i="5"/>
  <c r="F45" i="5"/>
  <c r="F40" i="5"/>
  <c r="F35" i="5"/>
  <c r="F30" i="5"/>
  <c r="F25" i="5"/>
  <c r="F20" i="5"/>
  <c r="G11" i="6"/>
  <c r="G6" i="6"/>
  <c r="F70" i="5"/>
  <c r="F65" i="5"/>
  <c r="F75" i="5"/>
  <c r="N34" i="6"/>
  <c r="O34" i="6" s="1"/>
  <c r="F15" i="3"/>
  <c r="B5" i="4"/>
  <c r="D2" i="6"/>
  <c r="F2" i="6" s="1"/>
  <c r="N33" i="6"/>
  <c r="O33" i="6" s="1"/>
  <c r="E44" i="5"/>
  <c r="E28" i="5"/>
  <c r="D55" i="6"/>
  <c r="F55" i="6" s="1"/>
  <c r="D54" i="6"/>
  <c r="F54" i="6" s="1"/>
  <c r="N54" i="6"/>
  <c r="O54" i="6" s="1"/>
  <c r="V54" i="6" s="1"/>
  <c r="D29" i="6"/>
  <c r="F29" i="6" s="1"/>
  <c r="B11" i="11"/>
  <c r="B11" i="12"/>
  <c r="B11" i="8"/>
  <c r="I39" i="6"/>
  <c r="S39" i="6" s="1"/>
  <c r="I44" i="6"/>
  <c r="S44" i="6" s="1"/>
  <c r="I54" i="6"/>
  <c r="S54" i="6" s="1"/>
  <c r="I34" i="6"/>
  <c r="S34" i="6" s="1"/>
  <c r="I59" i="6"/>
  <c r="S59" i="6" s="1"/>
  <c r="I29" i="6"/>
  <c r="S29" i="6" s="1"/>
  <c r="I14" i="6"/>
  <c r="S14" i="6" s="1"/>
  <c r="I9" i="6"/>
  <c r="S9" i="6" s="1"/>
  <c r="I49" i="6"/>
  <c r="S49" i="6" s="1"/>
  <c r="I24" i="6"/>
  <c r="S24" i="6" s="1"/>
  <c r="I19" i="6"/>
  <c r="S19" i="6" s="1"/>
  <c r="H58" i="5"/>
  <c r="H53" i="5"/>
  <c r="H48" i="5"/>
  <c r="H43" i="5"/>
  <c r="H38" i="5"/>
  <c r="H33" i="5"/>
  <c r="H28" i="5"/>
  <c r="H23" i="5"/>
  <c r="H18" i="5"/>
  <c r="I4" i="6"/>
  <c r="S4" i="6" s="1"/>
  <c r="H73" i="5"/>
  <c r="H63" i="5"/>
  <c r="H68" i="5"/>
  <c r="N59" i="6"/>
  <c r="O59" i="6" s="1"/>
  <c r="V59" i="6" s="1"/>
  <c r="D59" i="6"/>
  <c r="F59" i="6" s="1"/>
  <c r="D30" i="6"/>
  <c r="F30" i="6" s="1"/>
  <c r="F12" i="6"/>
  <c r="D3" i="6"/>
  <c r="F3" i="6" s="1"/>
  <c r="C20" i="3"/>
  <c r="D3" i="4" s="1"/>
  <c r="D14" i="3"/>
  <c r="D13" i="3" s="1"/>
  <c r="C19" i="3"/>
  <c r="C3" i="4" s="1"/>
  <c r="B19" i="3"/>
  <c r="C2" i="4" s="1"/>
  <c r="B20" i="3"/>
  <c r="D2" i="4" s="1"/>
  <c r="C14" i="3"/>
  <c r="C13" i="3" s="1"/>
  <c r="N24" i="6"/>
  <c r="O24" i="6" s="1"/>
  <c r="D24" i="6"/>
  <c r="F24" i="6" s="1"/>
  <c r="E43" i="5"/>
  <c r="E27" i="5"/>
  <c r="D15" i="6"/>
  <c r="F15" i="6" s="1"/>
  <c r="V46" i="6"/>
  <c r="D14" i="6"/>
  <c r="F14" i="6" s="1"/>
  <c r="N44" i="6"/>
  <c r="O44" i="6" s="1"/>
  <c r="N12" i="6"/>
  <c r="O12" i="6" s="1"/>
  <c r="N35" i="6"/>
  <c r="O35" i="6" s="1"/>
  <c r="D26" i="6"/>
  <c r="F26" i="6" s="1"/>
  <c r="N26" i="6"/>
  <c r="O26" i="6" s="1"/>
  <c r="V26" i="6" s="1"/>
  <c r="D25" i="6"/>
  <c r="F25" i="6" s="1"/>
  <c r="F6" i="7"/>
  <c r="F12" i="7"/>
  <c r="D56" i="6"/>
  <c r="F56" i="6" s="1"/>
  <c r="E22" i="5"/>
  <c r="N47" i="6"/>
  <c r="O47" i="6" s="1"/>
  <c r="D5" i="6"/>
  <c r="F5" i="6" s="1"/>
  <c r="N28" i="6"/>
  <c r="O28" i="6" s="1"/>
  <c r="D28" i="6"/>
  <c r="F28" i="6" s="1"/>
  <c r="N31" i="6"/>
  <c r="O31" i="6" s="1"/>
  <c r="D31" i="6"/>
  <c r="F31" i="6" s="1"/>
  <c r="V36" i="6"/>
  <c r="D58" i="6"/>
  <c r="F58" i="6" s="1"/>
  <c r="N58" i="6"/>
  <c r="O58" i="6" s="1"/>
  <c r="N57" i="6"/>
  <c r="O57" i="6" s="1"/>
  <c r="D57" i="6"/>
  <c r="F57" i="6" s="1"/>
  <c r="F10" i="7"/>
  <c r="G4" i="7"/>
  <c r="N16" i="6"/>
  <c r="O16" i="6" s="1"/>
  <c r="V16" i="6" s="1"/>
  <c r="D16" i="6"/>
  <c r="F16" i="6" s="1"/>
  <c r="H60" i="6"/>
  <c r="R60" i="6" s="1"/>
  <c r="H50" i="6"/>
  <c r="R50" i="6" s="1"/>
  <c r="H45" i="6"/>
  <c r="R45" i="6" s="1"/>
  <c r="H40" i="6"/>
  <c r="R40" i="6" s="1"/>
  <c r="H55" i="6"/>
  <c r="R55" i="6" s="1"/>
  <c r="H35" i="6"/>
  <c r="R35" i="6" s="1"/>
  <c r="H30" i="6"/>
  <c r="R30" i="6" s="1"/>
  <c r="H15" i="6"/>
  <c r="R15" i="6" s="1"/>
  <c r="H10" i="6"/>
  <c r="R10" i="6" s="1"/>
  <c r="H20" i="6"/>
  <c r="R20" i="6" s="1"/>
  <c r="H25" i="6"/>
  <c r="R25" i="6" s="1"/>
  <c r="H5" i="6"/>
  <c r="R5" i="6" s="1"/>
  <c r="G59" i="5"/>
  <c r="G54" i="5"/>
  <c r="G49" i="5"/>
  <c r="G44" i="5"/>
  <c r="G39" i="5"/>
  <c r="G34" i="5"/>
  <c r="G29" i="5"/>
  <c r="G24" i="5"/>
  <c r="G19" i="5"/>
  <c r="G69" i="5"/>
  <c r="G74" i="5"/>
  <c r="G64" i="5"/>
  <c r="F19" i="3"/>
  <c r="C6" i="4" s="1"/>
  <c r="F20" i="3"/>
  <c r="D6" i="4" s="1"/>
  <c r="N4" i="6"/>
  <c r="O4" i="6" s="1"/>
  <c r="N50" i="6"/>
  <c r="O50" i="6" s="1"/>
  <c r="N18" i="6"/>
  <c r="O18" i="6" s="1"/>
  <c r="D18" i="6"/>
  <c r="F18" i="6" s="1"/>
  <c r="N49" i="6"/>
  <c r="O49" i="6" s="1"/>
  <c r="N48" i="6"/>
  <c r="O48" i="6" s="1"/>
  <c r="D61" i="6"/>
  <c r="F61" i="6" s="1"/>
  <c r="E37" i="5"/>
  <c r="N39" i="6"/>
  <c r="O39" i="6" s="1"/>
  <c r="B2" i="4"/>
  <c r="C15" i="3"/>
  <c r="B9" i="8"/>
  <c r="B9" i="11"/>
  <c r="B9" i="12"/>
  <c r="G49" i="6"/>
  <c r="G29" i="6"/>
  <c r="G39" i="6"/>
  <c r="G44" i="6"/>
  <c r="G54" i="6"/>
  <c r="G59" i="6"/>
  <c r="G34" i="6"/>
  <c r="G19" i="6"/>
  <c r="G14" i="6"/>
  <c r="G9" i="6"/>
  <c r="G24" i="6"/>
  <c r="G4" i="6"/>
  <c r="F68" i="5"/>
  <c r="F58" i="5"/>
  <c r="F53" i="5"/>
  <c r="F48" i="5"/>
  <c r="F43" i="5"/>
  <c r="F38" i="5"/>
  <c r="F33" i="5"/>
  <c r="F28" i="5"/>
  <c r="F23" i="5"/>
  <c r="F18" i="5"/>
  <c r="F73" i="5"/>
  <c r="F63" i="5"/>
  <c r="N7" i="6"/>
  <c r="O7" i="6" s="1"/>
  <c r="G12" i="7" l="1"/>
  <c r="N15" i="6"/>
  <c r="O15" i="6" s="1"/>
  <c r="V15" i="6" s="1"/>
  <c r="N2" i="6"/>
  <c r="F8" i="7"/>
  <c r="U4" i="6"/>
  <c r="U34" i="6"/>
  <c r="V18" i="6"/>
  <c r="V22" i="6"/>
  <c r="V51" i="6"/>
  <c r="G11" i="7"/>
  <c r="N61" i="6"/>
  <c r="O61" i="6" s="1"/>
  <c r="V61" i="6" s="1"/>
  <c r="U15" i="6"/>
  <c r="W15" i="6" s="1"/>
  <c r="AA15" i="6" s="1"/>
  <c r="I37" i="6"/>
  <c r="S37" i="6" s="1"/>
  <c r="I32" i="6"/>
  <c r="S32" i="6" s="1"/>
  <c r="I52" i="6"/>
  <c r="S52" i="6" s="1"/>
  <c r="I42" i="6"/>
  <c r="S42" i="6" s="1"/>
  <c r="I47" i="6"/>
  <c r="S47" i="6" s="1"/>
  <c r="I27" i="6"/>
  <c r="S27" i="6" s="1"/>
  <c r="I57" i="6"/>
  <c r="S57" i="6" s="1"/>
  <c r="I22" i="6"/>
  <c r="S22" i="6" s="1"/>
  <c r="I17" i="6"/>
  <c r="S17" i="6" s="1"/>
  <c r="I12" i="6"/>
  <c r="S12" i="6" s="1"/>
  <c r="I7" i="6"/>
  <c r="S7" i="6" s="1"/>
  <c r="H61" i="5"/>
  <c r="H56" i="5"/>
  <c r="H51" i="5"/>
  <c r="H46" i="5"/>
  <c r="H41" i="5"/>
  <c r="H36" i="5"/>
  <c r="H31" i="5"/>
  <c r="H26" i="5"/>
  <c r="H21" i="5"/>
  <c r="H16" i="5"/>
  <c r="H71" i="5"/>
  <c r="H66" i="5"/>
  <c r="I2" i="6"/>
  <c r="S2" i="6" s="1"/>
  <c r="N55" i="6"/>
  <c r="O55" i="6" s="1"/>
  <c r="G25" i="6"/>
  <c r="G40" i="6"/>
  <c r="V40" i="6" s="1"/>
  <c r="G55" i="6"/>
  <c r="G50" i="6"/>
  <c r="U50" i="6" s="1"/>
  <c r="G35" i="6"/>
  <c r="G60" i="6"/>
  <c r="U60" i="6" s="1"/>
  <c r="W60" i="6" s="1"/>
  <c r="G45" i="6"/>
  <c r="V45" i="6" s="1"/>
  <c r="G30" i="6"/>
  <c r="G15" i="6"/>
  <c r="G10" i="6"/>
  <c r="U10" i="6" s="1"/>
  <c r="G20" i="6"/>
  <c r="U20" i="6" s="1"/>
  <c r="W20" i="6" s="1"/>
  <c r="AA20" i="6" s="1"/>
  <c r="G5" i="6"/>
  <c r="U5" i="6" s="1"/>
  <c r="F59" i="5"/>
  <c r="F54" i="5"/>
  <c r="F49" i="5"/>
  <c r="F44" i="5"/>
  <c r="F39" i="5"/>
  <c r="F34" i="5"/>
  <c r="F29" i="5"/>
  <c r="F24" i="5"/>
  <c r="F19" i="5"/>
  <c r="F69" i="5"/>
  <c r="F74" i="5"/>
  <c r="F64" i="5"/>
  <c r="F7" i="7"/>
  <c r="N20" i="6"/>
  <c r="O20" i="6" s="1"/>
  <c r="V20" i="6" s="1"/>
  <c r="U9" i="6"/>
  <c r="U44" i="6"/>
  <c r="W44" i="6" s="1"/>
  <c r="N21" i="6"/>
  <c r="O21" i="6" s="1"/>
  <c r="V21" i="6" s="1"/>
  <c r="N17" i="6"/>
  <c r="V39" i="6"/>
  <c r="B31" i="1"/>
  <c r="B8" i="2"/>
  <c r="U30" i="6"/>
  <c r="N56" i="6"/>
  <c r="O56" i="6" s="1"/>
  <c r="V56" i="6" s="1"/>
  <c r="V35" i="6"/>
  <c r="V12" i="6"/>
  <c r="H52" i="6"/>
  <c r="R52" i="6" s="1"/>
  <c r="U52" i="6" s="1"/>
  <c r="H57" i="6"/>
  <c r="R57" i="6" s="1"/>
  <c r="H37" i="6"/>
  <c r="R37" i="6" s="1"/>
  <c r="H32" i="6"/>
  <c r="R32" i="6" s="1"/>
  <c r="H42" i="6"/>
  <c r="R42" i="6" s="1"/>
  <c r="H47" i="6"/>
  <c r="R47" i="6" s="1"/>
  <c r="H27" i="6"/>
  <c r="R27" i="6" s="1"/>
  <c r="H7" i="6"/>
  <c r="R7" i="6" s="1"/>
  <c r="U7" i="6" s="1"/>
  <c r="H22" i="6"/>
  <c r="R22" i="6" s="1"/>
  <c r="U22" i="6" s="1"/>
  <c r="W22" i="6" s="1"/>
  <c r="AA22" i="6" s="1"/>
  <c r="H2" i="6"/>
  <c r="R2" i="6" s="1"/>
  <c r="H17" i="6"/>
  <c r="R17" i="6" s="1"/>
  <c r="H12" i="6"/>
  <c r="R12" i="6" s="1"/>
  <c r="G61" i="5"/>
  <c r="G56" i="5"/>
  <c r="G51" i="5"/>
  <c r="G46" i="5"/>
  <c r="G41" i="5"/>
  <c r="G36" i="5"/>
  <c r="G31" i="5"/>
  <c r="G26" i="5"/>
  <c r="G21" i="5"/>
  <c r="G16" i="5"/>
  <c r="G71" i="5"/>
  <c r="G66" i="5"/>
  <c r="V23" i="6"/>
  <c r="V9" i="6"/>
  <c r="U39" i="6"/>
  <c r="W39" i="6" s="1"/>
  <c r="AA39" i="6" s="1"/>
  <c r="V44" i="6"/>
  <c r="H58" i="6"/>
  <c r="R58" i="6" s="1"/>
  <c r="H53" i="6"/>
  <c r="R53" i="6" s="1"/>
  <c r="U53" i="6" s="1"/>
  <c r="H38" i="6"/>
  <c r="R38" i="6" s="1"/>
  <c r="H28" i="6"/>
  <c r="R28" i="6" s="1"/>
  <c r="H43" i="6"/>
  <c r="R43" i="6" s="1"/>
  <c r="H48" i="6"/>
  <c r="R48" i="6" s="1"/>
  <c r="H33" i="6"/>
  <c r="R33" i="6" s="1"/>
  <c r="H23" i="6"/>
  <c r="R23" i="6" s="1"/>
  <c r="H3" i="6"/>
  <c r="R3" i="6" s="1"/>
  <c r="H18" i="6"/>
  <c r="R18" i="6" s="1"/>
  <c r="U18" i="6" s="1"/>
  <c r="W18" i="6" s="1"/>
  <c r="AA18" i="6" s="1"/>
  <c r="H8" i="6"/>
  <c r="R8" i="6" s="1"/>
  <c r="G72" i="5"/>
  <c r="G57" i="5"/>
  <c r="G52" i="5"/>
  <c r="G47" i="5"/>
  <c r="G42" i="5"/>
  <c r="G37" i="5"/>
  <c r="G32" i="5"/>
  <c r="G27" i="5"/>
  <c r="G22" i="5"/>
  <c r="G17" i="5"/>
  <c r="G62" i="5"/>
  <c r="H13" i="6"/>
  <c r="R13" i="6" s="1"/>
  <c r="G67" i="5"/>
  <c r="G6" i="7"/>
  <c r="B32" i="1" s="1"/>
  <c r="V34" i="6"/>
  <c r="U49" i="6"/>
  <c r="N19" i="6"/>
  <c r="O19" i="6" s="1"/>
  <c r="V19" i="6" s="1"/>
  <c r="G13" i="7"/>
  <c r="V24" i="6"/>
  <c r="H56" i="6"/>
  <c r="R56" i="6" s="1"/>
  <c r="B24" i="8"/>
  <c r="B24" i="11"/>
  <c r="B24" i="12"/>
  <c r="H46" i="6"/>
  <c r="R46" i="6" s="1"/>
  <c r="H61" i="6"/>
  <c r="R61" i="6" s="1"/>
  <c r="H41" i="6"/>
  <c r="R41" i="6" s="1"/>
  <c r="U41" i="6" s="1"/>
  <c r="W41" i="6" s="1"/>
  <c r="H36" i="6"/>
  <c r="R36" i="6" s="1"/>
  <c r="H31" i="6"/>
  <c r="R31" i="6" s="1"/>
  <c r="H51" i="6"/>
  <c r="R51" i="6" s="1"/>
  <c r="H26" i="6"/>
  <c r="R26" i="6" s="1"/>
  <c r="H11" i="6"/>
  <c r="R11" i="6" s="1"/>
  <c r="H6" i="6"/>
  <c r="R6" i="6" s="1"/>
  <c r="H21" i="6"/>
  <c r="R21" i="6" s="1"/>
  <c r="U21" i="6" s="1"/>
  <c r="W21" i="6" s="1"/>
  <c r="AA21" i="6" s="1"/>
  <c r="H16" i="6"/>
  <c r="R16" i="6" s="1"/>
  <c r="U16" i="6" s="1"/>
  <c r="W16" i="6" s="1"/>
  <c r="AA16" i="6" s="1"/>
  <c r="G60" i="5"/>
  <c r="G55" i="5"/>
  <c r="G50" i="5"/>
  <c r="G45" i="5"/>
  <c r="G40" i="5"/>
  <c r="G35" i="5"/>
  <c r="G30" i="5"/>
  <c r="G25" i="5"/>
  <c r="G20" i="5"/>
  <c r="G70" i="5"/>
  <c r="G65" i="5"/>
  <c r="G75" i="5"/>
  <c r="V49" i="6"/>
  <c r="U35" i="6"/>
  <c r="W35" i="6" s="1"/>
  <c r="AA35" i="6" s="1"/>
  <c r="V31" i="6"/>
  <c r="G37" i="6"/>
  <c r="G52" i="6"/>
  <c r="V52" i="6" s="1"/>
  <c r="G32" i="6"/>
  <c r="V32" i="6" s="1"/>
  <c r="G42" i="6"/>
  <c r="V42" i="6" s="1"/>
  <c r="G47" i="6"/>
  <c r="V47" i="6" s="1"/>
  <c r="G27" i="6"/>
  <c r="V27" i="6" s="1"/>
  <c r="G57" i="6"/>
  <c r="V57" i="6" s="1"/>
  <c r="G22" i="6"/>
  <c r="G17" i="6"/>
  <c r="G12" i="6"/>
  <c r="F61" i="5"/>
  <c r="F56" i="5"/>
  <c r="F51" i="5"/>
  <c r="F46" i="5"/>
  <c r="F41" i="5"/>
  <c r="F36" i="5"/>
  <c r="F31" i="5"/>
  <c r="F26" i="5"/>
  <c r="F21" i="5"/>
  <c r="F16" i="5"/>
  <c r="G7" i="6"/>
  <c r="V7" i="6" s="1"/>
  <c r="F71" i="5"/>
  <c r="G2" i="6"/>
  <c r="F66" i="5"/>
  <c r="V4" i="6"/>
  <c r="U55" i="6"/>
  <c r="N14" i="6"/>
  <c r="O14" i="6" s="1"/>
  <c r="V14" i="6" s="1"/>
  <c r="X24" i="6"/>
  <c r="B6" i="7" s="1"/>
  <c r="N30" i="6"/>
  <c r="O30" i="6" s="1"/>
  <c r="V30" i="6" s="1"/>
  <c r="N29" i="6"/>
  <c r="O29" i="6" s="1"/>
  <c r="V29" i="6" s="1"/>
  <c r="W29" i="6" s="1"/>
  <c r="F11" i="7"/>
  <c r="N13" i="6"/>
  <c r="O13" i="6" s="1"/>
  <c r="U24" i="6"/>
  <c r="W24" i="6" s="1"/>
  <c r="AA24" i="6" s="1"/>
  <c r="U54" i="6"/>
  <c r="W54" i="6" s="1"/>
  <c r="AA54" i="6" s="1"/>
  <c r="F13" i="7"/>
  <c r="N60" i="6"/>
  <c r="O60" i="6" s="1"/>
  <c r="V60" i="6" s="1"/>
  <c r="G5" i="7"/>
  <c r="I38" i="6"/>
  <c r="S38" i="6" s="1"/>
  <c r="I28" i="6"/>
  <c r="S28" i="6" s="1"/>
  <c r="I43" i="6"/>
  <c r="S43" i="6" s="1"/>
  <c r="I48" i="6"/>
  <c r="S48" i="6" s="1"/>
  <c r="I58" i="6"/>
  <c r="S58" i="6" s="1"/>
  <c r="I53" i="6"/>
  <c r="S53" i="6" s="1"/>
  <c r="I33" i="6"/>
  <c r="S33" i="6" s="1"/>
  <c r="I18" i="6"/>
  <c r="S18" i="6" s="1"/>
  <c r="I13" i="6"/>
  <c r="S13" i="6" s="1"/>
  <c r="I8" i="6"/>
  <c r="S8" i="6" s="1"/>
  <c r="I23" i="6"/>
  <c r="S23" i="6" s="1"/>
  <c r="I3" i="6"/>
  <c r="S3" i="6" s="1"/>
  <c r="H57" i="5"/>
  <c r="H52" i="5"/>
  <c r="H47" i="5"/>
  <c r="H42" i="5"/>
  <c r="H37" i="5"/>
  <c r="H32" i="5"/>
  <c r="H27" i="5"/>
  <c r="H22" i="5"/>
  <c r="H17" i="5"/>
  <c r="H62" i="5"/>
  <c r="H67" i="5"/>
  <c r="H72" i="5"/>
  <c r="F3" i="7"/>
  <c r="U14" i="6"/>
  <c r="W14" i="6" s="1"/>
  <c r="AA14" i="6" s="1"/>
  <c r="U59" i="6"/>
  <c r="W59" i="6" s="1"/>
  <c r="AA59" i="6" s="1"/>
  <c r="B25" i="8"/>
  <c r="B25" i="11"/>
  <c r="B25" i="12"/>
  <c r="I46" i="6"/>
  <c r="S46" i="6" s="1"/>
  <c r="I36" i="6"/>
  <c r="S36" i="6" s="1"/>
  <c r="I41" i="6"/>
  <c r="S41" i="6" s="1"/>
  <c r="I31" i="6"/>
  <c r="S31" i="6" s="1"/>
  <c r="I51" i="6"/>
  <c r="S51" i="6" s="1"/>
  <c r="I26" i="6"/>
  <c r="S26" i="6" s="1"/>
  <c r="I61" i="6"/>
  <c r="S61" i="6" s="1"/>
  <c r="I56" i="6"/>
  <c r="S56" i="6" s="1"/>
  <c r="I21" i="6"/>
  <c r="S21" i="6" s="1"/>
  <c r="I16" i="6"/>
  <c r="S16" i="6" s="1"/>
  <c r="I11" i="6"/>
  <c r="S11" i="6" s="1"/>
  <c r="H60" i="5"/>
  <c r="H55" i="5"/>
  <c r="H50" i="5"/>
  <c r="H45" i="5"/>
  <c r="H40" i="5"/>
  <c r="H35" i="5"/>
  <c r="H30" i="5"/>
  <c r="H25" i="5"/>
  <c r="H20" i="5"/>
  <c r="H70" i="5"/>
  <c r="I6" i="6"/>
  <c r="S6" i="6" s="1"/>
  <c r="H65" i="5"/>
  <c r="H75" i="5"/>
  <c r="U25" i="6"/>
  <c r="U45" i="6"/>
  <c r="W45" i="6" s="1"/>
  <c r="N5" i="6"/>
  <c r="O5" i="6" s="1"/>
  <c r="N25" i="6"/>
  <c r="O25" i="6" s="1"/>
  <c r="V25" i="6" s="1"/>
  <c r="G2" i="7"/>
  <c r="N3" i="6"/>
  <c r="O3" i="6" s="1"/>
  <c r="V3" i="6" s="1"/>
  <c r="X59" i="6"/>
  <c r="B13" i="7" s="1"/>
  <c r="N6" i="6"/>
  <c r="O6" i="6" s="1"/>
  <c r="V6" i="6" s="1"/>
  <c r="G33" i="6"/>
  <c r="V33" i="6" s="1"/>
  <c r="G38" i="6"/>
  <c r="V38" i="6" s="1"/>
  <c r="G28" i="6"/>
  <c r="V28" i="6" s="1"/>
  <c r="G43" i="6"/>
  <c r="V43" i="6" s="1"/>
  <c r="G58" i="6"/>
  <c r="V58" i="6" s="1"/>
  <c r="G48" i="6"/>
  <c r="V48" i="6" s="1"/>
  <c r="G23" i="6"/>
  <c r="G53" i="6"/>
  <c r="V53" i="6" s="1"/>
  <c r="G18" i="6"/>
  <c r="G13" i="6"/>
  <c r="G8" i="6"/>
  <c r="V8" i="6" s="1"/>
  <c r="F67" i="5"/>
  <c r="F72" i="5"/>
  <c r="F57" i="5"/>
  <c r="F52" i="5"/>
  <c r="F47" i="5"/>
  <c r="F42" i="5"/>
  <c r="F37" i="5"/>
  <c r="F32" i="5"/>
  <c r="F27" i="5"/>
  <c r="F22" i="5"/>
  <c r="F17" i="5"/>
  <c r="F62" i="5"/>
  <c r="G3" i="6"/>
  <c r="V37" i="6"/>
  <c r="U19" i="6"/>
  <c r="W19" i="6" s="1"/>
  <c r="AA19" i="6" s="1"/>
  <c r="G7" i="7"/>
  <c r="B39" i="1" s="1"/>
  <c r="F9" i="7"/>
  <c r="AA29" i="6" l="1"/>
  <c r="X29" i="6"/>
  <c r="B7" i="7" s="1"/>
  <c r="AA60" i="6"/>
  <c r="X60" i="6"/>
  <c r="AA41" i="6"/>
  <c r="X41" i="6"/>
  <c r="C9" i="7" s="1"/>
  <c r="B21" i="1" s="1"/>
  <c r="U61" i="6"/>
  <c r="W61" i="6" s="1"/>
  <c r="AA61" i="6" s="1"/>
  <c r="U3" i="6"/>
  <c r="W3" i="6" s="1"/>
  <c r="AA3" i="6" s="1"/>
  <c r="U58" i="6"/>
  <c r="W58" i="6" s="1"/>
  <c r="W7" i="6"/>
  <c r="B38" i="1"/>
  <c r="E8" i="2"/>
  <c r="X6" i="6"/>
  <c r="C2" i="7" s="1"/>
  <c r="B28" i="8" s="1"/>
  <c r="W52" i="6"/>
  <c r="X16" i="6"/>
  <c r="C4" i="7" s="1"/>
  <c r="B27" i="1"/>
  <c r="B14" i="11"/>
  <c r="U6" i="6"/>
  <c r="W6" i="6" s="1"/>
  <c r="AA6" i="6" s="1"/>
  <c r="U46" i="6"/>
  <c r="W46" i="6" s="1"/>
  <c r="U23" i="6"/>
  <c r="W23" i="6" s="1"/>
  <c r="U27" i="6"/>
  <c r="W27" i="6" s="1"/>
  <c r="X35" i="6"/>
  <c r="X39" i="6"/>
  <c r="B9" i="7" s="1"/>
  <c r="B20" i="1" s="1"/>
  <c r="W34" i="6"/>
  <c r="X22" i="6"/>
  <c r="V50" i="6"/>
  <c r="W50" i="6" s="1"/>
  <c r="X3" i="6"/>
  <c r="U11" i="6"/>
  <c r="W11" i="6" s="1"/>
  <c r="U13" i="6"/>
  <c r="U33" i="6"/>
  <c r="W33" i="6" s="1"/>
  <c r="U47" i="6"/>
  <c r="W47" i="6" s="1"/>
  <c r="X15" i="6"/>
  <c r="W4" i="6"/>
  <c r="W53" i="6"/>
  <c r="V5" i="6"/>
  <c r="W5" i="6" s="1"/>
  <c r="U26" i="6"/>
  <c r="W26" i="6" s="1"/>
  <c r="W49" i="6"/>
  <c r="U48" i="6"/>
  <c r="W48" i="6" s="1"/>
  <c r="X19" i="6"/>
  <c r="B5" i="7" s="1"/>
  <c r="U42" i="6"/>
  <c r="W42" i="6" s="1"/>
  <c r="O17" i="6"/>
  <c r="F5" i="7"/>
  <c r="V55" i="6"/>
  <c r="W55" i="6" s="1"/>
  <c r="V10" i="6"/>
  <c r="W10" i="6" s="1"/>
  <c r="X14" i="6"/>
  <c r="B4" i="7" s="1"/>
  <c r="X20" i="6"/>
  <c r="X61" i="6"/>
  <c r="C13" i="7" s="1"/>
  <c r="E7" i="2"/>
  <c r="B7" i="2"/>
  <c r="B24" i="1"/>
  <c r="V13" i="6"/>
  <c r="U51" i="6"/>
  <c r="W51" i="6" s="1"/>
  <c r="U43" i="6"/>
  <c r="W43" i="6" s="1"/>
  <c r="X21" i="6"/>
  <c r="C5" i="7" s="1"/>
  <c r="U12" i="6"/>
  <c r="W12" i="6" s="1"/>
  <c r="U32" i="6"/>
  <c r="W32" i="6" s="1"/>
  <c r="AA45" i="6"/>
  <c r="X45" i="6"/>
  <c r="X18" i="6"/>
  <c r="U31" i="6"/>
  <c r="W31" i="6" s="1"/>
  <c r="U56" i="6"/>
  <c r="W56" i="6" s="1"/>
  <c r="U28" i="6"/>
  <c r="W28" i="6" s="1"/>
  <c r="U17" i="6"/>
  <c r="U37" i="6"/>
  <c r="W37" i="6" s="1"/>
  <c r="W30" i="6"/>
  <c r="AA30" i="6" s="1"/>
  <c r="AA44" i="6"/>
  <c r="X44" i="6"/>
  <c r="B10" i="7" s="1"/>
  <c r="U40" i="6"/>
  <c r="W40" i="6" s="1"/>
  <c r="X54" i="6"/>
  <c r="B12" i="7" s="1"/>
  <c r="W25" i="6"/>
  <c r="AA25" i="6" s="1"/>
  <c r="U36" i="6"/>
  <c r="W36" i="6" s="1"/>
  <c r="U8" i="6"/>
  <c r="W8" i="6" s="1"/>
  <c r="U38" i="6"/>
  <c r="W38" i="6" s="1"/>
  <c r="U2" i="6"/>
  <c r="U57" i="6"/>
  <c r="W57" i="6" s="1"/>
  <c r="X25" i="6"/>
  <c r="W9" i="6"/>
  <c r="O2" i="6"/>
  <c r="F2" i="7"/>
  <c r="AA10" i="6" l="1"/>
  <c r="X10" i="6"/>
  <c r="AA55" i="6"/>
  <c r="X55" i="6"/>
  <c r="AA5" i="6"/>
  <c r="X5" i="6"/>
  <c r="AA50" i="6"/>
  <c r="X50" i="6"/>
  <c r="AA38" i="6"/>
  <c r="X38" i="6"/>
  <c r="AA46" i="6"/>
  <c r="X46" i="6"/>
  <c r="C10" i="7" s="1"/>
  <c r="H32" i="8"/>
  <c r="H31" i="8"/>
  <c r="G32" i="8"/>
  <c r="G31" i="8"/>
  <c r="F32" i="8"/>
  <c r="F31" i="8"/>
  <c r="E32" i="8"/>
  <c r="E31" i="8"/>
  <c r="D32" i="8"/>
  <c r="D31" i="8"/>
  <c r="C32" i="8"/>
  <c r="C31" i="8"/>
  <c r="J32" i="8"/>
  <c r="J31" i="8"/>
  <c r="I32" i="8"/>
  <c r="I31" i="8"/>
  <c r="AA8" i="6"/>
  <c r="X8" i="6"/>
  <c r="V17" i="6"/>
  <c r="W17" i="6" s="1"/>
  <c r="AA53" i="6"/>
  <c r="X53" i="6"/>
  <c r="AA56" i="6"/>
  <c r="X56" i="6"/>
  <c r="C12" i="7" s="1"/>
  <c r="AA23" i="6"/>
  <c r="X23" i="6"/>
  <c r="D6" i="7" s="1"/>
  <c r="B29" i="1" s="1"/>
  <c r="AA36" i="6"/>
  <c r="X36" i="6"/>
  <c r="C8" i="7" s="1"/>
  <c r="AA37" i="6"/>
  <c r="X37" i="6"/>
  <c r="AA32" i="6"/>
  <c r="X32" i="6"/>
  <c r="AA42" i="6"/>
  <c r="X42" i="6"/>
  <c r="AA4" i="6"/>
  <c r="X4" i="6"/>
  <c r="B2" i="7" s="1"/>
  <c r="B14" i="8" s="1"/>
  <c r="E6" i="7"/>
  <c r="X30" i="6"/>
  <c r="AA7" i="6"/>
  <c r="X7" i="6"/>
  <c r="W2" i="6"/>
  <c r="AA2" i="6" s="1"/>
  <c r="AA11" i="6"/>
  <c r="X11" i="6"/>
  <c r="C3" i="7" s="1"/>
  <c r="V2" i="6"/>
  <c r="X2" i="6"/>
  <c r="AA12" i="6"/>
  <c r="X12" i="6"/>
  <c r="AA34" i="6"/>
  <c r="X34" i="6"/>
  <c r="B8" i="7" s="1"/>
  <c r="G18" i="11"/>
  <c r="G17" i="11"/>
  <c r="F18" i="11"/>
  <c r="F17" i="11"/>
  <c r="E18" i="11"/>
  <c r="E17" i="11"/>
  <c r="D18" i="11"/>
  <c r="D17" i="11"/>
  <c r="C18" i="11"/>
  <c r="C17" i="11"/>
  <c r="J18" i="11"/>
  <c r="J17" i="11"/>
  <c r="I18" i="11"/>
  <c r="I17" i="11"/>
  <c r="H18" i="11"/>
  <c r="H17" i="11"/>
  <c r="AA58" i="6"/>
  <c r="X58" i="6"/>
  <c r="AA9" i="6"/>
  <c r="X9" i="6"/>
  <c r="B3" i="7" s="1"/>
  <c r="AA28" i="6"/>
  <c r="X28" i="6"/>
  <c r="AA48" i="6"/>
  <c r="X48" i="6"/>
  <c r="AA47" i="6"/>
  <c r="X47" i="6"/>
  <c r="B34" i="1"/>
  <c r="B14" i="12"/>
  <c r="AA43" i="6"/>
  <c r="X43" i="6"/>
  <c r="AA49" i="6"/>
  <c r="X49" i="6"/>
  <c r="B11" i="7" s="1"/>
  <c r="AA33" i="6"/>
  <c r="X33" i="6"/>
  <c r="AA57" i="6"/>
  <c r="X57" i="6"/>
  <c r="AA40" i="6"/>
  <c r="X40" i="6"/>
  <c r="AA31" i="6"/>
  <c r="X31" i="6"/>
  <c r="C7" i="7" s="1"/>
  <c r="AA51" i="6"/>
  <c r="X51" i="6"/>
  <c r="C11" i="7" s="1"/>
  <c r="AA26" i="6"/>
  <c r="X26" i="6"/>
  <c r="C6" i="7" s="1"/>
  <c r="W13" i="6"/>
  <c r="AA27" i="6"/>
  <c r="X27" i="6"/>
  <c r="AA52" i="6"/>
  <c r="X52" i="6"/>
  <c r="AA17" i="6" l="1"/>
  <c r="X17" i="6"/>
  <c r="E7" i="7"/>
  <c r="D7" i="7"/>
  <c r="B36" i="1" s="1"/>
  <c r="D10" i="7"/>
  <c r="E10" i="7"/>
  <c r="E4" i="7"/>
  <c r="D3" i="7"/>
  <c r="E3" i="7"/>
  <c r="F18" i="8"/>
  <c r="F17" i="8"/>
  <c r="E18" i="8"/>
  <c r="E17" i="8"/>
  <c r="D18" i="8"/>
  <c r="D17" i="8"/>
  <c r="C18" i="8"/>
  <c r="C17" i="8"/>
  <c r="J18" i="8"/>
  <c r="J17" i="8"/>
  <c r="I18" i="8"/>
  <c r="I17" i="8"/>
  <c r="G18" i="8"/>
  <c r="G17" i="8"/>
  <c r="H18" i="8"/>
  <c r="H17" i="8"/>
  <c r="B35" i="1"/>
  <c r="I27" i="1"/>
  <c r="B28" i="12"/>
  <c r="AA13" i="6"/>
  <c r="M2" i="7" s="1"/>
  <c r="X13" i="6"/>
  <c r="D4" i="7" s="1"/>
  <c r="E8" i="7"/>
  <c r="D8" i="7"/>
  <c r="I26" i="1"/>
  <c r="B28" i="1"/>
  <c r="B28" i="11"/>
  <c r="E13" i="7"/>
  <c r="D13" i="7"/>
  <c r="H18" i="12"/>
  <c r="H17" i="12"/>
  <c r="G18" i="12"/>
  <c r="G17" i="12"/>
  <c r="F18" i="12"/>
  <c r="F17" i="12"/>
  <c r="E18" i="12"/>
  <c r="E17" i="12"/>
  <c r="D18" i="12"/>
  <c r="D17" i="12"/>
  <c r="C18" i="12"/>
  <c r="C17" i="12"/>
  <c r="J18" i="12"/>
  <c r="J17" i="12"/>
  <c r="I18" i="12"/>
  <c r="I17" i="12"/>
  <c r="E2" i="7"/>
  <c r="D2" i="7"/>
  <c r="E12" i="7"/>
  <c r="D12" i="7"/>
  <c r="B30" i="1"/>
  <c r="D9" i="7"/>
  <c r="B22" i="1" s="1"/>
  <c r="E9" i="7"/>
  <c r="B23" i="1" s="1"/>
  <c r="D11" i="7"/>
  <c r="E11" i="7"/>
  <c r="J32" i="12" l="1"/>
  <c r="J31" i="12"/>
  <c r="I32" i="12"/>
  <c r="I31" i="12"/>
  <c r="H32" i="12"/>
  <c r="H31" i="12"/>
  <c r="G32" i="12"/>
  <c r="G31" i="12"/>
  <c r="F32" i="12"/>
  <c r="F31" i="12"/>
  <c r="I24" i="1" s="1"/>
  <c r="E4" i="2" s="1"/>
  <c r="E32" i="12"/>
  <c r="E31" i="12"/>
  <c r="D32" i="12"/>
  <c r="D31" i="12"/>
  <c r="C32" i="12"/>
  <c r="C31" i="12"/>
  <c r="I28" i="1"/>
  <c r="I32" i="11"/>
  <c r="I31" i="11"/>
  <c r="H32" i="11"/>
  <c r="H31" i="11"/>
  <c r="G32" i="11"/>
  <c r="G31" i="11"/>
  <c r="F32" i="11"/>
  <c r="F31" i="11"/>
  <c r="I23" i="1" s="1"/>
  <c r="E32" i="11"/>
  <c r="E31" i="11"/>
  <c r="D32" i="11"/>
  <c r="D31" i="11"/>
  <c r="C32" i="11"/>
  <c r="C31" i="11"/>
  <c r="J32" i="11"/>
  <c r="J31" i="11"/>
  <c r="J27" i="1"/>
  <c r="E5" i="2"/>
  <c r="K27" i="1"/>
  <c r="B5" i="2"/>
  <c r="K26" i="1"/>
  <c r="J26" i="1"/>
  <c r="D9" i="1" s="1"/>
  <c r="B37" i="1"/>
  <c r="I29" i="1"/>
  <c r="E5" i="7"/>
  <c r="D5" i="7"/>
  <c r="J29" i="1" l="1"/>
  <c r="E6" i="2"/>
  <c r="K29" i="1"/>
  <c r="D5" i="1"/>
  <c r="B4" i="2"/>
  <c r="B6" i="2"/>
  <c r="K28" i="1"/>
  <c r="K31" i="1"/>
  <c r="J28" i="1"/>
  <c r="D10" i="1" l="1"/>
</calcChain>
</file>

<file path=xl/sharedStrings.xml><?xml version="1.0" encoding="utf-8"?>
<sst xmlns="http://schemas.openxmlformats.org/spreadsheetml/2006/main" count="477" uniqueCount="225">
  <si>
    <t>SUSD Keep-Open vs Repurpose — Interactive Dashboard (v4.0)</t>
  </si>
  <si>
    <t>Pick scenarios &amp; assumptions</t>
  </si>
  <si>
    <t>Implications</t>
  </si>
  <si>
    <t>Baseline A (auto):</t>
  </si>
  <si>
    <t>Net Budget (Totals)</t>
  </si>
  <si>
    <t>Compare to (X)</t>
  </si>
  <si>
    <t>D_Grow_Both_150</t>
  </si>
  <si>
    <t>Compare to (Y)</t>
  </si>
  <si>
    <t>G_DHub_EchoRamp</t>
  </si>
  <si>
    <t>A FY2030 Net ($)</t>
  </si>
  <si>
    <t>X FY2030 Net ($)</t>
  </si>
  <si>
    <t>Retention r (central)</t>
  </si>
  <si>
    <t>Δ FY2030 Net (X − A)</t>
  </si>
  <si>
    <t>Receiving overhead h</t>
  </si>
  <si>
    <t>Carry year</t>
  </si>
  <si>
    <t>FY2030</t>
  </si>
  <si>
    <t>A 5‑yr Net Avg ($)</t>
  </si>
  <si>
    <t>Carry mode</t>
  </si>
  <si>
    <t>ops</t>
  </si>
  <si>
    <t>X 5‑yr Net Avg ($)</t>
  </si>
  <si>
    <t>&lt;&lt;the number of kids displaced would be…&gt;&gt;&gt;</t>
  </si>
  <si>
    <t>Δ 5‑yr Net Avg (X − A)</t>
  </si>
  <si>
    <t>Selected fixed-carry f</t>
  </si>
  <si>
    <t>&lt;&lt;net impact to budget… are we netting out the funding / student vs. cost / student already… or need to incorporate?&gt;&gt;</t>
  </si>
  <si>
    <t>Targets to Save (editable)</t>
  </si>
  <si>
    <t>Served threshold FY2028</t>
  </si>
  <si>
    <t>Meets? (X vs threshold)</t>
  </si>
  <si>
    <t>A baseline (auto):</t>
  </si>
  <si>
    <t>$B$5</t>
  </si>
  <si>
    <t>Distinctiveness / Reversibility:</t>
  </si>
  <si>
    <t>FY2028 $/student</t>
  </si>
  <si>
    <t>FY2030 $/student</t>
  </si>
  <si>
    <t>Results</t>
  </si>
  <si>
    <t>3-yr Avg $/student</t>
  </si>
  <si>
    <t>5-yr Avg $/student</t>
  </si>
  <si>
    <t>r* needed (X)</t>
  </si>
  <si>
    <t># displaced</t>
  </si>
  <si>
    <t>r* needed (Y)</t>
  </si>
  <si>
    <t>FY2030 served (open+retained)</t>
  </si>
  <si>
    <t>Vs. X &amp; Y</t>
  </si>
  <si>
    <t>Absolute</t>
  </si>
  <si>
    <t>Comparator X:</t>
  </si>
  <si>
    <t>$B$6</t>
  </si>
  <si>
    <t>Δ FY2030 $/student (X - A)</t>
  </si>
  <si>
    <t>Δ FY2030 $/student (Y - A)</t>
  </si>
  <si>
    <t>Δ 5-yr Avg $/student (X - A)</t>
  </si>
  <si>
    <t>Δ 5-yr Avg $/student (Y - A)</t>
  </si>
  <si>
    <t>Comparator Y:</t>
  </si>
  <si>
    <t>$B$7</t>
  </si>
  <si>
    <t>Mini-Cards: A (Repurpose-Both) vs X and Y</t>
  </si>
  <si>
    <t>Comparator X</t>
  </si>
  <si>
    <t>Comparator Y</t>
  </si>
  <si>
    <t>r* needed (year/mode/h)</t>
  </si>
  <si>
    <t>Δ FY2030 $/student</t>
  </si>
  <si>
    <t>Δ 5-yr Avg $/student</t>
  </si>
  <si>
    <t># displaced (A)</t>
  </si>
  <si>
    <t># displaced (X)</t>
  </si>
  <si>
    <t># displaced (Y)</t>
  </si>
  <si>
    <t>Distinctiveness / Reversibility</t>
  </si>
  <si>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</si>
  <si>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</si>
  <si>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</si>
  <si>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</si>
  <si>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</si>
  <si>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</si>
  <si>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</si>
  <si>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</si>
  <si>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</si>
  <si>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</si>
  <si>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</si>
  <si>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</si>
  <si>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</si>
  <si>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</si>
  <si>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</si>
  <si>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</si>
  <si>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</si>
  <si>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</si>
  <si>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</si>
  <si>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</si>
  <si>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</si>
  <si>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</si>
  <si>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</si>
  <si>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</si>
  <si>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</si>
  <si>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</si>
  <si>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</si>
  <si>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</si>
  <si>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</si>
  <si>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</si>
  <si>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</si>
  <si>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</si>
  <si>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</si>
  <si>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</si>
  <si>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</si>
  <si>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</si>
  <si>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</si>
  <si>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All formulas are same‑sheet and reference the Parameter cells above.</t>
  </si>
  <si>
    <t>Base State Aid per ADM (FY26)</t>
  </si>
  <si>
    <t>Editable; ADE base aid.</t>
  </si>
  <si>
    <t>Aid inflation (annual)</t>
  </si>
  <si>
    <t>Editable; assumed growth in base aid.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</si>
  <si>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</si>
  <si>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</si>
  <si>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</si>
  <si>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</si>
  <si>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</si>
  <si>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</si>
  <si>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</si>
  <si>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</si>
  <si>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Aid$</t>
  </si>
  <si>
    <t>FY2026</t>
  </si>
  <si>
    <t>FY2027</t>
  </si>
  <si>
    <t>FY2028</t>
  </si>
  <si>
    <t>FY2029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</si>
  <si>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</si>
  <si>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</si>
  <si>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</si>
  <si>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</si>
  <si>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</si>
  <si>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</si>
  <si>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</si>
  <si>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</si>
  <si>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</si>
  <si>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</si>
  <si>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</si>
  <si>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</si>
  <si>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</si>
  <si>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</si>
  <si>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</si>
  <si>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</si>
  <si>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</si>
  <si>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</si>
  <si>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</si>
  <si>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</si>
  <si>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</si>
  <si>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</si>
  <si>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</si>
  <si>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</si>
  <si>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</si>
  <si>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D. Grow Both (Overlay 150)</t>
  </si>
  <si>
    <t>Baseline +150 overlay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</si>
  <si>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</si>
  <si>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</si>
  <si>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</si>
  <si>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</si>
  <si>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</si>
  <si>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</si>
  <si>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</si>
  <si>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</si>
  <si>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</si>
  <si>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</si>
  <si>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</si>
  <si>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</si>
  <si>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</si>
  <si>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</si>
  <si>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</si>
  <si>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</si>
  <si>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</si>
  <si>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</si>
  <si>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</si>
  <si>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</si>
  <si>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</si>
  <si>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</si>
  <si>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</si>
  <si>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</si>
  <si>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</si>
  <si>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</si>
  <si>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</si>
  <si>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</si>
  <si>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</si>
  <si>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</si>
  <si>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</si>
  <si>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</si>
  <si>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</si>
  <si>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</si>
  <si>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</si>
  <si>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</si>
  <si>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</si>
  <si>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</si>
  <si>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Aid_per_ADM</t>
  </si>
  <si>
    <t>Net_MO_after_aid$</t>
  </si>
  <si>
    <t>Net_per_served$</t>
  </si>
  <si>
    <t>FY2028 Comparable $/Student</t>
  </si>
  <si>
    <t>FY2030 Comparable $/Student</t>
  </si>
  <si>
    <t>3‑yr Avg Comparable $/Student (FY26–FY28)</t>
  </si>
  <si>
    <t>5‑yr Avg Comparable $/Student (FY26–FY30)</t>
  </si>
  <si>
    <t># students displaced</t>
  </si>
  <si>
    <t>FY2030 # students served (open &amp; retained)</t>
  </si>
  <si>
    <t>FY2028 Net ($)</t>
  </si>
  <si>
    <t>FY2030 Net ($)</t>
  </si>
  <si>
    <t>5-yr Net Avg ($)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</si>
  <si>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</si>
  <si>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</si>
  <si>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</si>
  <si>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</si>
  <si>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</si>
  <si>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</si>
  <si>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</si>
  <si>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</si>
  <si>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</si>
  <si>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</si>
  <si>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</si>
  <si>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</si>
  <si>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</si>
  <si>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</si>
  <si>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</si>
  <si>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</si>
  <si>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</si>
  <si>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</si>
  <si>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</si>
  <si>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</si>
  <si>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</si>
  <si>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</si>
  <si>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</si>
  <si>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</si>
  <si>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</si>
  <si>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Distinctiveness</t>
  </si>
  <si>
    <t>Reversibility</t>
  </si>
  <si>
    <t>-</t>
  </si>
  <si>
    <t>Low</t>
  </si>
  <si>
    <t>+</t>
  </si>
  <si>
    <t>High</t>
  </si>
  <si>
    <t>Med</t>
  </si>
  <si>
    <t>o</t>
  </si>
  <si>
    <t>Med-High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</si>
</sst>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3" fillId="0" borderId="0"/>
  </cellStyleXfs>
  <cellXfs count="32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9" fontId="0" fillId="0" borderId="0" xfId="1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9" fontId="4" fillId="5" borderId="0" xfId="1" applyFont="1" applyFill="1"/>
    <xf numFmtId="1" fontId="4" fillId="5" borderId="0" xfId="0" applyNumberFormat="1" applyFont="1" applyFill="1"/>
    <xf numFmtId="0" fontId="1" fillId="0" borderId="9" xfId="0" applyFont="1" applyBorder="1"/>
    <xf numFmtId="0" fontId="1" fillId="0" borderId="7" xfId="0" applyFont="1" applyBorder="1"/>
    <xf numFmtId="0" fontId="0" fillId="3" borderId="6" xfId="0" applyFill="1" applyBorder="1"/>
    <xf numFmtId="0" fontId="0" fillId="0" borderId="11" xfId="0" applyBorder="1"/>
    <xf numFmtId="0" fontId="0" fillId="0" borderId="10" xfId="0" applyBorder="1"/>
    <xf numFmtId="0" fontId="1" fillId="0" borderId="6" xfId="0" applyFont="1" applyBorder="1" applyAlignment="1">
      <alignment horizontal="left" vertical="center" wrapText="1"/>
    </xf>
    <xf numFmtId="0" fontId="0" fillId="0" borderId="6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zoomScale="85" zoomScaleNormal="85" workbookViewId="0">
      <selection activeCell="D18" sqref="D18"/>
    </sheetView>
  </sheetViews>
  <sheetFormatPr defaultRowHeight="14.5" x14ac:dyDescent="0.35"/>
  <cols>
    <col min="1" max="1" width="32.54296875" customWidth="1"/>
    <col min="2" max="2" width="25.453125" bestFit="1" customWidth="1"/>
    <col min="3" max="3" width="20.7265625" customWidth="1"/>
    <col min="4" max="4" width="56.1796875" customWidth="1"/>
    <col min="5" max="5" width="10.7265625" bestFit="1" customWidth="1"/>
    <col min="7" max="7" width="24.54296875" customWidth="1"/>
    <col min="8" max="8" width="13.36328125" bestFit="1" customWidth="1"/>
  </cols>
  <sheetData>
    <row r="1" spans="1:13" x14ac:dyDescent="0.35">
      <c r="A1" s="11" t="s">
        <v>0</v>
      </c>
      <c r="B1" s="12"/>
      <c r="C1" s="12"/>
      <c r="D1" s="13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35">
      <c r="A2" s="14"/>
      <c r="D2" s="15"/>
      <c r="E2" s="20"/>
      <c r="F2" s="20"/>
      <c r="G2" s="20"/>
      <c r="H2" s="20"/>
      <c r="I2" s="20"/>
      <c r="J2" s="20"/>
      <c r="K2" s="20"/>
      <c r="L2" s="20"/>
      <c r="M2" s="20"/>
    </row>
    <row r="3" spans="1:13" ht="15" customHeight="1" thickBot="1" x14ac:dyDescent="0.4">
      <c r="A3" s="26" t="s">
        <v>1</v>
      </c>
      <c r="B3" s="18"/>
      <c r="D3" s="25" t="s">
        <v>2</v>
      </c>
      <c r="E3" s="20"/>
      <c r="F3" s="20"/>
      <c r="G3" s="20"/>
      <c r="H3" s="20"/>
      <c r="I3" s="20"/>
      <c r="J3" s="20"/>
      <c r="K3" s="20"/>
      <c r="L3" s="20"/>
      <c r="M3" s="20"/>
    </row>
    <row r="4" spans="1:13" ht="16" customHeight="1" x14ac:dyDescent="0.35">
      <c r="A4" s="14"/>
      <c r="B4" s="13"/>
      <c r="C4" s="28"/>
      <c r="D4" s="15"/>
      <c r="E4" s="20"/>
      <c r="F4" s="20"/>
      <c r="G4" s="20"/>
      <c r="H4" s="20"/>
      <c r="I4" s="20"/>
      <c r="J4" s="20"/>
      <c r="K4" s="20"/>
      <c r="L4" s="20"/>
      <c r="M4" s="20"/>
    </row>
    <row r="5" spans="1:13" ht="16" customHeight="1" x14ac:dyDescent="0.35">
      <c r="A5" s="14" t="s">
        <v>3</v>
      </c>
      <c r="B5" s="15" t="str">
        <f>IF(B12="ops","A_Repurpose_Both_ops","A_Repurpose_Both_lease")</f>
        <v>A_Repurpose_Both_ops</v>
      </c>
      <c r="C5" s="28"/>
      <c r="D5" s="30" t="str">
        <f>"If "&amp;B5&amp;" instead of "&amp;B6&amp;", need to retain "&amp;ROUND(I23*100, 0)&amp;"% of students to achieve the same cost profile by 2030."</f>
        <v>If A_Repurpose_Both_ops instead of D_Grow_Both_150, need to retain 34% of students to achieve the same cost profile by 2030.</v>
      </c>
      <c r="E5" s="20"/>
      <c r="F5" s="20"/>
      <c r="G5" s="20"/>
      <c r="H5" s="20"/>
      <c r="I5" s="20"/>
      <c r="J5" s="20" t="s">
        <v>4</v>
      </c>
      <c r="K5" s="20"/>
      <c r="L5" s="20"/>
      <c r="M5" s="20"/>
    </row>
    <row r="6" spans="1:13" ht="16" customHeight="1" x14ac:dyDescent="0.35">
      <c r="A6" s="14" t="s">
        <v>5</v>
      </c>
      <c r="B6" s="27" t="s">
        <v>6</v>
      </c>
      <c r="C6" s="28"/>
      <c r="D6" s="31"/>
      <c r="E6" s="20"/>
      <c r="F6" s="20"/>
      <c r="G6" s="20"/>
      <c r="H6" s="20"/>
      <c r="I6" s="20"/>
      <c r="J6" s="20"/>
      <c r="K6" s="20"/>
      <c r="L6" s="20"/>
      <c r="M6" s="20"/>
    </row>
    <row r="7" spans="1:13" ht="16" customHeight="1" x14ac:dyDescent="0.35">
      <c r="A7" s="14" t="s">
        <v>7</v>
      </c>
      <c r="B7" s="27" t="s">
        <v>8</v>
      </c>
      <c r="C7" s="28"/>
      <c r="D7" s="31"/>
      <c r="E7" s="20"/>
      <c r="F7" s="20"/>
      <c r="G7" s="20"/>
      <c r="H7" s="20"/>
      <c r="I7" s="20"/>
      <c r="J7" s="20" t="s">
        <v>9</v>
      </c>
      <c r="K7" s="20">
        <f>INDEX(Summary_Costs!$H:$H, MATCH($B$5, Summary_Costs!$A:$A,0))</f>
        <v>0</v>
      </c>
      <c r="L7" s="20"/>
      <c r="M7" s="20"/>
    </row>
    <row r="8" spans="1:13" ht="16" customHeight="1" x14ac:dyDescent="0.35">
      <c r="A8" s="14"/>
      <c r="B8" s="15"/>
      <c r="C8" s="28"/>
      <c r="D8" s="31"/>
      <c r="E8" s="20"/>
      <c r="F8" s="20"/>
      <c r="G8" s="20"/>
      <c r="H8" s="20"/>
      <c r="I8" s="20"/>
      <c r="J8" s="20" t="s">
        <v>10</v>
      </c>
      <c r="K8" s="20">
        <f>INDEX(Summary_Costs!$H:$H, MATCH($B$6, Summary_Costs!$A:$A,0))</f>
        <v>0</v>
      </c>
      <c r="L8" s="20"/>
      <c r="M8" s="20"/>
    </row>
    <row r="9" spans="1:13" ht="16" customHeight="1" x14ac:dyDescent="0.35">
      <c r="A9" s="14" t="s">
        <v>11</v>
      </c>
      <c r="B9" s="15">
        <f>BaselineCalc!$B$22</f>
        <v>0.75</v>
      </c>
      <c r="C9" s="28"/>
      <c r="D9" s="16" t="str">
        <f>"The difference in FY2030 $/student will be "&amp;J26&amp;""&amp;ROUND(K26, 0)&amp;"."</f>
        <v>The difference in FY2030 $/student will be -$1386.</v>
      </c>
      <c r="E9" s="20"/>
      <c r="F9" s="20"/>
      <c r="G9" s="20"/>
      <c r="H9" s="20"/>
      <c r="I9" s="20"/>
      <c r="J9" s="20" t="s">
        <v>12</v>
      </c>
      <c r="K9" s="20">
        <f>K8-K7</f>
        <v>0</v>
      </c>
      <c r="L9" s="20"/>
      <c r="M9" s="20"/>
    </row>
    <row r="10" spans="1:13" ht="16" customHeight="1" x14ac:dyDescent="0.35">
      <c r="A10" s="14" t="s">
        <v>13</v>
      </c>
      <c r="B10" s="27">
        <v>600</v>
      </c>
      <c r="C10" s="28"/>
      <c r="D10" s="16" t="str">
        <f>"The difference in 5-yr Avg $/student will be "&amp;J28&amp;""&amp;ROUND(K28, 0)&amp;"."</f>
        <v>The difference in 5-yr Avg $/student will be +$586.</v>
      </c>
      <c r="E10" s="20"/>
      <c r="F10" s="20"/>
      <c r="G10" s="20"/>
      <c r="H10" s="20"/>
      <c r="I10" s="20"/>
      <c r="J10" s="20"/>
      <c r="K10" s="20"/>
      <c r="L10" s="20"/>
      <c r="M10" s="20"/>
    </row>
    <row r="11" spans="1:13" ht="16" customHeight="1" x14ac:dyDescent="0.35">
      <c r="A11" s="14" t="s">
        <v>14</v>
      </c>
      <c r="B11" s="27" t="s">
        <v>15</v>
      </c>
      <c r="C11" s="28"/>
      <c r="D11" s="16" t="str">
        <f>"Reversing this decision will be "&amp;F20&amp;"."</f>
        <v>Reversing this decision will be very difficult.</v>
      </c>
      <c r="E11" s="20"/>
      <c r="F11" s="20"/>
      <c r="G11" s="20"/>
      <c r="H11" s="20"/>
      <c r="I11" s="20"/>
      <c r="J11" s="20" t="s">
        <v>16</v>
      </c>
      <c r="K11" s="20">
        <f>INDEX(Summary_Costs!$I:$I, MATCH($B$5, Summary_Costs!$A:$A,0))</f>
        <v>0</v>
      </c>
      <c r="L11" s="20"/>
      <c r="M11" s="20"/>
    </row>
    <row r="12" spans="1:13" ht="16" customHeight="1" x14ac:dyDescent="0.35">
      <c r="A12" s="14" t="s">
        <v>17</v>
      </c>
      <c r="B12" s="27" t="s">
        <v>18</v>
      </c>
      <c r="C12" s="28"/>
      <c r="D12" s="16" t="str">
        <f>"The district's image will be impacted "&amp;E20&amp;"."</f>
        <v>The district's image will be impacted negatively.</v>
      </c>
      <c r="E12" s="20"/>
      <c r="F12" s="20"/>
      <c r="G12" s="20"/>
      <c r="H12" s="20"/>
      <c r="I12" s="20"/>
      <c r="J12" s="20" t="s">
        <v>19</v>
      </c>
      <c r="K12" s="20">
        <f>INDEX(Summary_Costs!$I:$I, MATCH($B$6, Summary_Costs!$A:$A,0))</f>
        <v>0</v>
      </c>
      <c r="L12" s="20"/>
      <c r="M12" s="20"/>
    </row>
    <row r="13" spans="1:13" ht="16" customHeight="1" x14ac:dyDescent="0.35">
      <c r="A13" s="14"/>
      <c r="B13" s="15"/>
      <c r="C13" s="28"/>
      <c r="D13" s="15" t="s">
        <v>20</v>
      </c>
      <c r="E13" s="20"/>
      <c r="F13" s="20"/>
      <c r="G13" s="20"/>
      <c r="H13" s="20"/>
      <c r="I13" s="20"/>
      <c r="J13" s="20" t="s">
        <v>21</v>
      </c>
      <c r="K13" s="20">
        <f>K12-K11</f>
        <v>0</v>
      </c>
      <c r="L13" s="20"/>
      <c r="M13" s="20"/>
    </row>
    <row r="14" spans="1:13" ht="16" customHeight="1" thickBot="1" x14ac:dyDescent="0.4">
      <c r="A14" s="17" t="s">
        <v>22</v>
      </c>
      <c r="B14" s="19">
        <f>IF(B12="ops", INDEX(YearMap!$G$2:$G$6, MATCH(B11, YearMap!$A$2:$A$6,0)), INDEX(YearMap!$F$2:$F$6, MATCH(B11, YearMap!$A$2:$A$6,0)))</f>
        <v>0.2</v>
      </c>
      <c r="C14" s="29"/>
      <c r="D14" s="19" t="s">
        <v>23</v>
      </c>
      <c r="E14" s="20"/>
      <c r="F14" s="20"/>
      <c r="G14" s="20"/>
      <c r="H14" s="20"/>
      <c r="I14" s="20"/>
      <c r="J14" s="20"/>
      <c r="K14" s="20"/>
      <c r="L14" s="20"/>
      <c r="M14" s="20"/>
    </row>
    <row r="15" spans="1:13" x14ac:dyDescent="0.3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x14ac:dyDescent="0.35">
      <c r="A16" s="20"/>
      <c r="B16" s="20"/>
      <c r="C16" s="20"/>
      <c r="D16" s="20"/>
      <c r="E16" s="20"/>
      <c r="F16" s="20"/>
      <c r="G16" s="20"/>
      <c r="H16" s="20"/>
      <c r="I16" s="20"/>
      <c r="J16" s="20" t="s">
        <v>24</v>
      </c>
      <c r="K16" s="20"/>
      <c r="L16" s="20"/>
      <c r="M16" s="20"/>
    </row>
    <row r="17" spans="1:13" x14ac:dyDescent="0.35">
      <c r="A17" s="20"/>
      <c r="B17" s="20"/>
      <c r="C17" s="20"/>
      <c r="D17" s="20"/>
      <c r="E17" s="20"/>
      <c r="F17" s="20"/>
      <c r="G17" s="20"/>
      <c r="H17" s="20"/>
      <c r="I17" s="20"/>
      <c r="J17" s="20" t="s">
        <v>25</v>
      </c>
      <c r="K17" s="20">
        <v>300</v>
      </c>
      <c r="L17" s="20"/>
      <c r="M17" s="20"/>
    </row>
    <row r="18" spans="1:13" x14ac:dyDescent="0.35">
      <c r="A18" s="20"/>
      <c r="B18" s="20"/>
      <c r="C18" s="20"/>
      <c r="D18" s="20"/>
      <c r="E18" s="20"/>
      <c r="F18" s="20"/>
      <c r="G18" s="20"/>
      <c r="H18" s="20"/>
      <c r="I18" s="20"/>
      <c r="J18" s="20" t="s">
        <v>26</v>
      </c>
      <c r="K18" s="20" t="e">
        <f>IF(INDEX(MultiYear_ProForma!$O:$O, MATCH($B$6&amp;"|"&amp;"FY2028", MultiYear_ProForma!$B:$B&amp;"|"&amp;MultiYear_ProForma!$C:$C,0))&gt;0, INDEX(MultiYear_ProForma!$O:$O, MATCH($B$6&amp;"|"&amp;"FY2028", MultiYear_ProForma!$B:$B&amp;"|"&amp;MultiYear_ProForma!$C:$C,0)), INDEX(MultiYear_ProForma!$F:$F, MATCH($B$6&amp;"|"&amp;"FY2028", MultiYear_ProForma!$B:$B&amp;"|"&amp;MultiYear_ProForma!$C:$C,0)))&gt;=$K$17</f>
        <v>#VALUE!</v>
      </c>
      <c r="L18" s="20"/>
      <c r="M18" s="20"/>
    </row>
    <row r="19" spans="1:13" x14ac:dyDescent="0.35">
      <c r="A19" s="21" t="s">
        <v>27</v>
      </c>
      <c r="B19" s="21" t="s">
        <v>28</v>
      </c>
      <c r="C19" s="21"/>
      <c r="D19" s="21" t="s">
        <v>29</v>
      </c>
      <c r="E19" s="21" t="str">
        <f>IFERROR(INDEX(Attributes!$B:$B, MATCH($B$5, Attributes!$A:$A,0)),"")</f>
        <v>-</v>
      </c>
      <c r="F19" s="21" t="str">
        <f>IFERROR(INDEX(Attributes!$C:$C, MATCH($B$5, Attributes!$A:$A,0)),"")</f>
        <v>Low</v>
      </c>
      <c r="G19" s="21"/>
      <c r="H19" s="21"/>
      <c r="I19" s="21"/>
      <c r="J19" s="21"/>
      <c r="K19" s="21"/>
      <c r="L19" s="20"/>
      <c r="M19" s="20"/>
    </row>
    <row r="20" spans="1:13" x14ac:dyDescent="0.35">
      <c r="A20" s="21" t="s">
        <v>30</v>
      </c>
      <c r="B20" s="22">
        <f>INDEX(Summary_Costs!$B:$B, MATCH($B$5, Summary_Costs!$A:$A, 0))</f>
        <v>9364.9999173899996</v>
      </c>
      <c r="C20" s="21"/>
      <c r="D20" s="21"/>
      <c r="E20" s="21" t="str">
        <f>IF(E19="-", "negatively", "positively")</f>
        <v>negatively</v>
      </c>
      <c r="F20" s="21" t="str">
        <f>IF(F19="Low", "very difficult", IF(F19="Med", "somewhat difficult", IF(F19="Med-High", "difficult", IF(F19="High", "not difficult", ))))</f>
        <v>very difficult</v>
      </c>
      <c r="G20" s="21"/>
      <c r="H20" s="21"/>
      <c r="I20" s="21"/>
      <c r="J20" s="21"/>
      <c r="K20" s="21"/>
      <c r="L20" s="20"/>
      <c r="M20" s="20"/>
    </row>
    <row r="21" spans="1:13" x14ac:dyDescent="0.35">
      <c r="A21" s="21" t="s">
        <v>31</v>
      </c>
      <c r="B21" s="22">
        <f>INDEX(Summary_Costs!$C:$C, MATCH($B$5, Summary_Costs!$A:$A, 0))</f>
        <v>9062.2088262375346</v>
      </c>
      <c r="C21" s="21"/>
      <c r="D21" s="21"/>
      <c r="E21" s="21"/>
      <c r="F21" s="21"/>
      <c r="G21" s="21"/>
      <c r="H21" s="21"/>
      <c r="I21" s="21" t="s">
        <v>32</v>
      </c>
      <c r="J21" s="21"/>
      <c r="K21" s="21"/>
      <c r="L21" s="20"/>
      <c r="M21" s="20"/>
    </row>
    <row r="22" spans="1:13" x14ac:dyDescent="0.35">
      <c r="A22" s="21" t="s">
        <v>33</v>
      </c>
      <c r="B22" s="22">
        <f>INDEX(Summary_Costs!$D:$D, MATCH($B$5, Summary_Costs!$A:$A, 0))</f>
        <v>11485.778001478764</v>
      </c>
      <c r="C22" s="21"/>
      <c r="D22" s="21"/>
      <c r="E22" s="21"/>
      <c r="F22" s="21"/>
      <c r="G22" s="21"/>
      <c r="H22" s="21"/>
      <c r="I22" s="21"/>
      <c r="J22" s="21"/>
      <c r="K22" s="21"/>
      <c r="L22" s="20"/>
      <c r="M22" s="20"/>
    </row>
    <row r="23" spans="1:13" x14ac:dyDescent="0.35">
      <c r="A23" s="21" t="s">
        <v>34</v>
      </c>
      <c r="B23" s="22">
        <f>INDEX(Summary_Costs!$E:$E, MATCH($B$5, Summary_Costs!$A:$A, 0))</f>
        <v>10537.17069925139</v>
      </c>
      <c r="C23" s="21"/>
      <c r="D23" s="21"/>
      <c r="E23" s="21"/>
      <c r="F23" s="21"/>
      <c r="G23" s="21"/>
      <c r="H23" s="21" t="s">
        <v>35</v>
      </c>
      <c r="I23" s="23">
        <f>IF($B$11="FY2028", IF($B$12="ops", INDEX(BreakEven_X!$C$17:$J$17, MATCH($B$10, BreakEven_X!$C$16:$J$16,0)), INDEX(BreakEven_X!$C$18:$J$18, MATCH($B$10, BreakEven_X!$C$16:$J$16,0))), IF($B$12="ops", INDEX(BreakEven_X!$C$31:$J$31, MATCH($B$10, BreakEven_X!$C$30:$J$30,0)), INDEX(BreakEven_X!$C$32:$J$32, MATCH($B$10, BreakEven_X!$C$30:$J$30,0))))</f>
        <v>0.33839994884356422</v>
      </c>
      <c r="J23" s="21"/>
      <c r="K23" s="21"/>
      <c r="L23" s="20"/>
      <c r="M23" s="20"/>
    </row>
    <row r="24" spans="1:13" x14ac:dyDescent="0.35">
      <c r="A24" s="21" t="s">
        <v>36</v>
      </c>
      <c r="B24" s="24">
        <f>INDEX(Summary_Costs!$F:$F, MATCH($B$5, Summary_Costs!$A:$A, 0))</f>
        <v>553</v>
      </c>
      <c r="C24" s="21"/>
      <c r="D24" s="21"/>
      <c r="E24" s="21"/>
      <c r="F24" s="21"/>
      <c r="G24" s="21"/>
      <c r="H24" s="21" t="s">
        <v>37</v>
      </c>
      <c r="I24" s="23">
        <f>IF($B$11="FY2028", IF($B$12="ops", INDEX(BreakEven_Y!$C$17:$J$17, MATCH($B$10, BreakEven_Y!$C$16:$J$16,0)), INDEX(BreakEven_Y!$C$18:$J$18, MATCH($B$10, BreakEven_Y!$C$16:$J$16,0))), IF($B$12="ops", INDEX(BreakEven_Y!$C$31:$J$31, MATCH($B$10, BreakEven_Y!$C$30:$J$30,0)), INDEX(BreakEven_Y!$C$32:$J$32, MATCH($B$10, BreakEven_Y!$C$30:$J$30,0))))</f>
        <v>0.33839994884356422</v>
      </c>
      <c r="J24" s="21"/>
      <c r="K24" s="21"/>
      <c r="L24" s="20"/>
      <c r="M24" s="20"/>
    </row>
    <row r="25" spans="1:13" x14ac:dyDescent="0.35">
      <c r="A25" s="21" t="s">
        <v>38</v>
      </c>
      <c r="B25" s="24">
        <f>INDEX(Summary_Costs!$G:$G, MATCH($B$5, Summary_Costs!$A:$A, 0))</f>
        <v>414.75</v>
      </c>
      <c r="C25" s="21"/>
      <c r="D25" s="21"/>
      <c r="E25" s="21"/>
      <c r="F25" s="21"/>
      <c r="G25" s="21"/>
      <c r="H25" s="21"/>
      <c r="I25" s="21"/>
      <c r="J25" s="21" t="s">
        <v>39</v>
      </c>
      <c r="K25" s="21" t="s">
        <v>40</v>
      </c>
      <c r="L25" s="20"/>
      <c r="M25" s="20"/>
    </row>
    <row r="26" spans="1:13" x14ac:dyDescent="0.35">
      <c r="A26" s="21" t="s">
        <v>41</v>
      </c>
      <c r="B26" s="21" t="s">
        <v>42</v>
      </c>
      <c r="C26" s="21"/>
      <c r="D26" s="21" t="s">
        <v>29</v>
      </c>
      <c r="E26" s="21" t="str">
        <f>IFERROR(INDEX(Attributes!$B:$B, MATCH($B$6, Attributes!$A:$A,0)),"")</f>
        <v>+</v>
      </c>
      <c r="F26" s="21" t="str">
        <f>IFERROR(INDEX(Attributes!$C:$C, MATCH($B$6, Attributes!$A:$A,0)),"")</f>
        <v>Med</v>
      </c>
      <c r="G26" s="21"/>
      <c r="H26" s="21" t="s">
        <v>43</v>
      </c>
      <c r="I26" s="22">
        <f>INDEX(Summary_Costs!$C:$C, MATCH($B$6, Summary_Costs!$A:$A,0)) - INDEX(Summary_Costs!$C:$C, MATCH($B$5, Summary_Costs!$A:$A,0))</f>
        <v>1386.2137013754764</v>
      </c>
      <c r="J26" s="22" t="str">
        <f>IF((I26*-1)&lt;0,"-$", "+$")</f>
        <v>-$</v>
      </c>
      <c r="K26" s="21">
        <f>ABS(I26*-1)</f>
        <v>1386.2137013754764</v>
      </c>
      <c r="L26" s="20"/>
      <c r="M26" s="20"/>
    </row>
    <row r="27" spans="1:13" x14ac:dyDescent="0.35">
      <c r="A27" s="21" t="s">
        <v>30</v>
      </c>
      <c r="B27" s="22">
        <f>INDEX(Summary_Costs!$B:$B, MATCH($B$6, Summary_Costs!$A:$A, 0))</f>
        <v>9944.9589792866263</v>
      </c>
      <c r="C27" s="21"/>
      <c r="D27" s="21"/>
      <c r="E27" s="21" t="str">
        <f>IF(E26="-", "negatively", "positively")</f>
        <v>positively</v>
      </c>
      <c r="F27" s="21" t="str">
        <f>IF(F26="Low", "very difficult", IF(F26="Med", "somewhat difficult", IF(F26="Med-High", "difficult", IF(F26="High", "not difficult", ))))</f>
        <v>somewhat difficult</v>
      </c>
      <c r="G27" s="21"/>
      <c r="H27" s="21" t="s">
        <v>44</v>
      </c>
      <c r="I27" s="22">
        <f>INDEX(Summary_Costs!$C:$C, MATCH($B$7, Summary_Costs!$A:$A,0)) - INDEX(Summary_Costs!$C:$C, MATCH($B$5, Summary_Costs!$A:$A,0))</f>
        <v>1386.2137013754764</v>
      </c>
      <c r="J27" s="22" t="str">
        <f>IF((I27*-1)&lt;0,"-$", "+$")</f>
        <v>-$</v>
      </c>
      <c r="K27" s="21">
        <f>ABS(I27*-1)</f>
        <v>1386.2137013754764</v>
      </c>
      <c r="L27" s="20"/>
      <c r="M27" s="20"/>
    </row>
    <row r="28" spans="1:13" x14ac:dyDescent="0.35">
      <c r="A28" s="21" t="s">
        <v>31</v>
      </c>
      <c r="B28" s="22">
        <f>INDEX(Summary_Costs!$C:$C, MATCH($B$6, Summary_Costs!$A:$A, 0))</f>
        <v>10448.422527613011</v>
      </c>
      <c r="C28" s="21"/>
      <c r="D28" s="21"/>
      <c r="E28" s="21"/>
      <c r="F28" s="21"/>
      <c r="G28" s="21"/>
      <c r="H28" s="21" t="s">
        <v>45</v>
      </c>
      <c r="I28" s="22">
        <f>INDEX(Summary_Costs!$E:$E, MATCH($B$6, Summary_Costs!$A:$A,0)) - INDEX(Summary_Costs!$E:$E, MATCH($B$5, Summary_Costs!$A:$A,0))</f>
        <v>-586.14698107503136</v>
      </c>
      <c r="J28" s="22" t="str">
        <f>IF((I28*-1)&lt;0,"-$", "+$")</f>
        <v>+$</v>
      </c>
      <c r="K28" s="21">
        <f>ABS(I28*-1)</f>
        <v>586.14698107503136</v>
      </c>
      <c r="L28" s="20"/>
      <c r="M28" s="20"/>
    </row>
    <row r="29" spans="1:13" x14ac:dyDescent="0.35">
      <c r="A29" s="21" t="s">
        <v>33</v>
      </c>
      <c r="B29" s="22">
        <f>INDEX(Summary_Costs!$D:$D, MATCH($B$6, Summary_Costs!$A:$A, 0))</f>
        <v>9704.3710364999988</v>
      </c>
      <c r="C29" s="21"/>
      <c r="D29" s="21"/>
      <c r="E29" s="21"/>
      <c r="F29" s="21"/>
      <c r="G29" s="21"/>
      <c r="H29" s="21" t="s">
        <v>46</v>
      </c>
      <c r="I29" s="22">
        <f>INDEX(Summary_Costs!$E:$E, MATCH($B$7, Summary_Costs!$A:$A,0)) - INDEX(Summary_Costs!$E:$E, MATCH($B$5, Summary_Costs!$A:$A,0))</f>
        <v>-469.52853209162458</v>
      </c>
      <c r="J29" s="22" t="str">
        <f>IF((I29*-1)&lt;0,"-$", "+$")</f>
        <v>+$</v>
      </c>
      <c r="K29" s="21">
        <f>ABS(I29*-1)</f>
        <v>469.52853209162458</v>
      </c>
      <c r="L29" s="20"/>
      <c r="M29" s="20"/>
    </row>
    <row r="30" spans="1:13" x14ac:dyDescent="0.35">
      <c r="A30" s="21" t="s">
        <v>34</v>
      </c>
      <c r="B30" s="22">
        <f>INDEX(Summary_Costs!$E:$E, MATCH($B$6, Summary_Costs!$A:$A, 0))</f>
        <v>9951.0237181763587</v>
      </c>
      <c r="C30" s="21"/>
      <c r="D30" s="21"/>
      <c r="E30" s="21"/>
      <c r="F30" s="21"/>
      <c r="G30" s="21"/>
      <c r="H30" s="21"/>
      <c r="I30" s="21"/>
      <c r="J30" s="21"/>
      <c r="K30" s="21"/>
      <c r="L30" s="20"/>
      <c r="M30" s="20"/>
    </row>
    <row r="31" spans="1:13" x14ac:dyDescent="0.35">
      <c r="A31" s="21" t="s">
        <v>36</v>
      </c>
      <c r="B31" s="24">
        <f>INDEX(Summary_Costs!$F:$F, MATCH($B$6, Summary_Costs!$A:$A, 0))</f>
        <v>0</v>
      </c>
      <c r="C31" s="21"/>
      <c r="D31" s="21"/>
      <c r="E31" s="21"/>
      <c r="F31" s="21"/>
      <c r="G31" s="21"/>
      <c r="H31" s="21"/>
      <c r="I31" s="21"/>
      <c r="J31" s="21"/>
      <c r="K31" s="21" t="str">
        <f>IF((I28*-1)&lt;0,"-$"&amp;I28*-1, "+$"&amp;I28*-1)</f>
        <v>+$586.146981075031</v>
      </c>
      <c r="L31" s="20"/>
      <c r="M31" s="20"/>
    </row>
    <row r="32" spans="1:13" x14ac:dyDescent="0.35">
      <c r="A32" s="21" t="s">
        <v>38</v>
      </c>
      <c r="B32" s="24">
        <f>INDEX(Summary_Costs!$G:$G, MATCH($B$6, Summary_Costs!$A:$A, 0))</f>
        <v>703</v>
      </c>
      <c r="C32" s="21"/>
      <c r="D32" s="21"/>
      <c r="E32" s="21"/>
      <c r="F32" s="21"/>
      <c r="G32" s="21"/>
      <c r="H32" s="21"/>
      <c r="I32" s="21"/>
      <c r="J32" s="21"/>
      <c r="K32" s="21"/>
      <c r="L32" s="20"/>
      <c r="M32" s="20"/>
    </row>
    <row r="33" spans="1:13" x14ac:dyDescent="0.35">
      <c r="A33" s="21" t="s">
        <v>47</v>
      </c>
      <c r="B33" s="21" t="s">
        <v>48</v>
      </c>
      <c r="C33" s="21"/>
      <c r="D33" s="21" t="s">
        <v>29</v>
      </c>
      <c r="E33" s="21" t="str">
        <f>IFERROR(INDEX(Attributes!$B:$B, MATCH($B$7, Attributes!$A:$A,0)),"")</f>
        <v>+</v>
      </c>
      <c r="F33" s="21" t="str">
        <f>IFERROR(INDEX(Attributes!$C:$C, MATCH($B$7, Attributes!$A:$A,0)),"")</f>
        <v>Med-High</v>
      </c>
      <c r="G33" s="21"/>
      <c r="H33" s="21"/>
      <c r="I33" s="21"/>
      <c r="J33" s="21"/>
      <c r="K33" s="21"/>
      <c r="L33" s="20"/>
      <c r="M33" s="20"/>
    </row>
    <row r="34" spans="1:13" x14ac:dyDescent="0.35">
      <c r="A34" s="21" t="s">
        <v>30</v>
      </c>
      <c r="B34" s="22">
        <f>INDEX(Summary_Costs!$B:$B, MATCH($B$7, Summary_Costs!$A:$A, 0))</f>
        <v>9944.9589792866263</v>
      </c>
      <c r="C34" s="21"/>
      <c r="D34" s="21"/>
      <c r="E34" s="21" t="str">
        <f>IF(E33="-", "negatively", "positively")</f>
        <v>positively</v>
      </c>
      <c r="F34" s="21" t="str">
        <f>IF(F33="Low", "very difficult", IF(F33="Med", "somewhat difficult", IF(F33="Med-High", "difficult", IF(F33="High", "not difficult", ))))</f>
        <v>difficult</v>
      </c>
      <c r="G34" s="21"/>
      <c r="H34" s="21"/>
      <c r="I34" s="21"/>
      <c r="J34" s="21"/>
      <c r="K34" s="21"/>
      <c r="L34" s="20"/>
      <c r="M34" s="20"/>
    </row>
    <row r="35" spans="1:13" x14ac:dyDescent="0.35">
      <c r="A35" s="21" t="s">
        <v>31</v>
      </c>
      <c r="B35" s="22">
        <f>INDEX(Summary_Costs!$C:$C, MATCH($B$7, Summary_Costs!$A:$A, 0))</f>
        <v>10448.422527613011</v>
      </c>
      <c r="C35" s="21"/>
      <c r="D35" s="21"/>
      <c r="E35" s="21"/>
      <c r="F35" s="21"/>
      <c r="G35" s="21"/>
      <c r="H35" s="21"/>
      <c r="I35" s="21"/>
      <c r="J35" s="21"/>
      <c r="K35" s="21"/>
      <c r="L35" s="20"/>
      <c r="M35" s="20"/>
    </row>
    <row r="36" spans="1:13" x14ac:dyDescent="0.35">
      <c r="A36" s="21" t="s">
        <v>33</v>
      </c>
      <c r="B36" s="22">
        <f>INDEX(Summary_Costs!$D:$D, MATCH($B$7, Summary_Costs!$A:$A, 0))</f>
        <v>9898.7351181390059</v>
      </c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0"/>
    </row>
    <row r="37" spans="1:13" x14ac:dyDescent="0.35">
      <c r="A37" s="21" t="s">
        <v>34</v>
      </c>
      <c r="B37" s="22">
        <f>INDEX(Summary_Costs!$E:$E, MATCH($B$7, Summary_Costs!$A:$A, 0))</f>
        <v>10067.642167159765</v>
      </c>
      <c r="C37" s="21"/>
      <c r="D37" s="21"/>
      <c r="E37" s="21"/>
      <c r="F37" s="21"/>
      <c r="G37" s="21"/>
      <c r="H37" s="21"/>
      <c r="I37" s="21"/>
      <c r="J37" s="21"/>
      <c r="K37" s="21"/>
      <c r="L37" s="20"/>
      <c r="M37" s="20"/>
    </row>
    <row r="38" spans="1:13" x14ac:dyDescent="0.35">
      <c r="A38" s="21" t="s">
        <v>36</v>
      </c>
      <c r="B38" s="24">
        <f>INDEX(Summary_Costs!$F:$F, MATCH($B$7, Summary_Costs!$A:$A, 0))</f>
        <v>0</v>
      </c>
      <c r="C38" s="21"/>
      <c r="D38" s="21"/>
      <c r="E38" s="21"/>
      <c r="F38" s="21"/>
      <c r="G38" s="21"/>
      <c r="H38" s="21"/>
      <c r="I38" s="21"/>
      <c r="J38" s="21"/>
      <c r="K38" s="21"/>
      <c r="L38" s="20"/>
      <c r="M38" s="20"/>
    </row>
    <row r="39" spans="1:13" x14ac:dyDescent="0.35">
      <c r="A39" s="21" t="s">
        <v>38</v>
      </c>
      <c r="B39" s="24">
        <f>INDEX(Summary_Costs!$G:$G, MATCH($B$7, Summary_Costs!$A:$A, 0))</f>
        <v>703</v>
      </c>
      <c r="C39" s="21"/>
      <c r="D39" s="21"/>
      <c r="E39" s="21"/>
      <c r="F39" s="21"/>
      <c r="G39" s="21"/>
      <c r="H39" s="21"/>
      <c r="I39" s="21"/>
      <c r="J39" s="21"/>
      <c r="K39" s="21"/>
      <c r="L39" s="20"/>
      <c r="M39" s="20"/>
    </row>
    <row r="40" spans="1:13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1:13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1:13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3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</sheetData>
  <mergeCells count="1">
    <mergeCell ref="D5:D8"/>
  </mergeCells>
  <dataValidations count="3">
    <dataValidation type="list" showInputMessage="1" showErrorMessage="1" sqref="B10" xr:uid="{00000000-0002-0000-0000-000000000000}">
      <formula1>"200,300,400,600,800,1000,1200,1500"</formula1>
    </dataValidation>
    <dataValidation type="list" showInputMessage="1" showErrorMessage="1" sqref="B11" xr:uid="{00000000-0002-0000-0000-000001000000}">
      <formula1>"FY2028,FY2030"</formula1>
    </dataValidation>
    <dataValidation type="list" showInputMessage="1" showErrorMessage="1" sqref="B12" xr:uid="{00000000-0002-0000-0000-000002000000}">
      <formula1>"ops,lease"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5" sqref="E5:E6"/>
    </sheetView>
  </sheetViews>
  <sheetFormatPr defaultRowHeight="14.5" x14ac:dyDescent="0.35"/>
  <cols>
    <col min="1" max="1" width="37.36328125" bestFit="1" customWidth="1"/>
    <col min="2" max="2" width="19.1796875" bestFit="1" customWidth="1"/>
    <col min="4" max="4" width="26.54296875" bestFit="1" customWidth="1"/>
    <col min="5" max="5" width="17.81640625" bestFit="1" customWidth="1"/>
  </cols>
  <sheetData>
    <row r="1" spans="1:5" x14ac:dyDescent="0.35">
      <c r="A1" t="s">
        <v>49</v>
      </c>
    </row>
    <row r="3" spans="1:5" x14ac:dyDescent="0.35">
      <c r="A3" t="s">
        <v>50</v>
      </c>
      <c r="B3" t="str">
        <f>Dashboard!$B$6</f>
        <v>D_Grow_Both_150</v>
      </c>
      <c r="D3" t="s">
        <v>51</v>
      </c>
      <c r="E3" t="str">
        <f>Dashboard!$B$7</f>
        <v>G_DHub_EchoRamp</v>
      </c>
    </row>
    <row r="4" spans="1:5" x14ac:dyDescent="0.35">
      <c r="A4" t="s">
        <v>52</v>
      </c>
      <c r="B4" s="10">
        <f>Dashboard!$I$23</f>
        <v>0.33839994884356422</v>
      </c>
      <c r="D4" t="s">
        <v>52</v>
      </c>
      <c r="E4" s="10">
        <f>Dashboard!$I$24</f>
        <v>0.33839994884356422</v>
      </c>
    </row>
    <row r="5" spans="1:5" x14ac:dyDescent="0.35">
      <c r="A5" t="s">
        <v>53</v>
      </c>
      <c r="B5" s="2">
        <f>Dashboard!$I$26</f>
        <v>1386.2137013754764</v>
      </c>
      <c r="D5" t="s">
        <v>53</v>
      </c>
      <c r="E5" s="2">
        <f>Dashboard!$I$27</f>
        <v>1386.2137013754764</v>
      </c>
    </row>
    <row r="6" spans="1:5" x14ac:dyDescent="0.35">
      <c r="A6" t="s">
        <v>54</v>
      </c>
      <c r="B6" s="2">
        <f>Dashboard!$I$28</f>
        <v>-586.14698107503136</v>
      </c>
      <c r="D6" t="s">
        <v>54</v>
      </c>
      <c r="E6" s="2">
        <f>Dashboard!$I$29</f>
        <v>-469.52853209162458</v>
      </c>
    </row>
    <row r="7" spans="1:5" x14ac:dyDescent="0.35">
      <c r="A7" t="s">
        <v>55</v>
      </c>
      <c r="B7" s="7">
        <f>INDEX(Summary_Costs!$F:$F, MATCH(Dashboard!$B$5, Summary_Costs!$A:$A,0))</f>
        <v>553</v>
      </c>
      <c r="D7" t="s">
        <v>55</v>
      </c>
      <c r="E7" s="7">
        <f>INDEX(Summary_Costs!$F:$F, MATCH(Dashboard!$B$5, Summary_Costs!$A:$A,0))</f>
        <v>553</v>
      </c>
    </row>
    <row r="8" spans="1:5" x14ac:dyDescent="0.35">
      <c r="A8" t="s">
        <v>56</v>
      </c>
      <c r="B8" s="7">
        <f>INDEX(Summary_Costs!$F:$F, MATCH(Dashboard!$B$6, Summary_Costs!$A:$A,0))</f>
        <v>0</v>
      </c>
      <c r="D8" t="s">
        <v>57</v>
      </c>
      <c r="E8" s="7">
        <f>INDEX(Summary_Costs!$F:$F, MATCH(Dashboard!$B$7, Summary_Costs!$A:$A,0))</f>
        <v>0</v>
      </c>
    </row>
    <row r="9" spans="1:5" x14ac:dyDescent="0.35">
      <c r="A9" t="s">
        <v>58</v>
      </c>
      <c r="B9" t="str">
        <f>Dashboard!$E$26 &amp; " / " &amp; Dashboard!$F$26</f>
        <v>+ / Med</v>
      </c>
      <c r="D9" t="s">
        <v>58</v>
      </c>
      <c r="E9" t="str">
        <f>Dashboard!$E$33 &amp; " / " &amp; Dashboard!$F$33</f>
        <v>+ / Med-High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zoomScale="85" zoomScaleNormal="85" workbookViewId="0">
      <pane ySplit="1" topLeftCell="A11" activePane="bottomLeft" state="frozen"/>
      <selection pane="bottomLeft" activeCell="B26" sqref="B26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59</v>
      </c>
      <c r="B1" s="1" t="s">
        <v>60</v>
      </c>
      <c r="C1" s="1" t="s">
        <v>61</v>
      </c>
    </row>
    <row r="2" spans="1:11" x14ac:dyDescent="0.35">
      <c r="A2" t="s">
        <v>62</v>
      </c>
      <c r="B2" s="4">
        <v>2.5000000000000001E-2</v>
      </c>
      <c r="C2" s="6" t="s">
        <v>63</v>
      </c>
    </row>
    <row r="3" spans="1:11" x14ac:dyDescent="0.35">
      <c r="A3" t="s">
        <v>64</v>
      </c>
      <c r="B3" s="4">
        <v>9936</v>
      </c>
      <c r="C3" s="6" t="s">
        <v>65</v>
      </c>
    </row>
    <row r="4" spans="1:11" x14ac:dyDescent="0.35">
      <c r="A4" t="s">
        <v>66</v>
      </c>
      <c r="B4" s="4">
        <v>0.3</v>
      </c>
      <c r="C4" s="6" t="s">
        <v>67</v>
      </c>
    </row>
    <row r="5" spans="1:11" x14ac:dyDescent="0.35">
      <c r="A5" t="s">
        <v>68</v>
      </c>
      <c r="B5" s="4">
        <v>7.0000000000000001E-3</v>
      </c>
      <c r="C5" s="6" t="s">
        <v>69</v>
      </c>
    </row>
    <row r="6" spans="1:11" x14ac:dyDescent="0.35">
      <c r="A6" t="s">
        <v>70</v>
      </c>
      <c r="B6" s="4">
        <v>1.4999999999999999E-2</v>
      </c>
      <c r="C6" s="6" t="s">
        <v>71</v>
      </c>
    </row>
    <row r="7" spans="1:11" x14ac:dyDescent="0.35">
      <c r="A7" t="s">
        <v>72</v>
      </c>
      <c r="B7" s="4">
        <v>257</v>
      </c>
    </row>
    <row r="8" spans="1:11" x14ac:dyDescent="0.35">
      <c r="A8" t="s">
        <v>73</v>
      </c>
      <c r="B8" s="4">
        <v>296</v>
      </c>
    </row>
    <row r="9" spans="1:11" x14ac:dyDescent="0.35">
      <c r="A9" t="s">
        <v>74</v>
      </c>
      <c r="B9">
        <f>B7+B8</f>
        <v>553</v>
      </c>
      <c r="C9" t="s">
        <v>75</v>
      </c>
    </row>
    <row r="12" spans="1:11" x14ac:dyDescent="0.35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61</v>
      </c>
    </row>
    <row r="13" spans="1:11" x14ac:dyDescent="0.35">
      <c r="A13" t="s">
        <v>82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83</v>
      </c>
      <c r="K13" t="s">
        <v>84</v>
      </c>
    </row>
    <row r="14" spans="1:11" x14ac:dyDescent="0.35">
      <c r="A14" t="s">
        <v>85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86</v>
      </c>
      <c r="K14" t="s">
        <v>87</v>
      </c>
    </row>
    <row r="15" spans="1:11" x14ac:dyDescent="0.35">
      <c r="A15" t="s">
        <v>88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89</v>
      </c>
      <c r="K15" t="s">
        <v>90</v>
      </c>
    </row>
    <row r="17" spans="1:6" x14ac:dyDescent="0.35">
      <c r="A17" t="s">
        <v>91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92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93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94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95</v>
      </c>
      <c r="B21" s="4">
        <v>1200000</v>
      </c>
    </row>
    <row r="22" spans="1:6" x14ac:dyDescent="0.35">
      <c r="A22" t="s">
        <v>11</v>
      </c>
      <c r="B22" s="4">
        <v>0.75</v>
      </c>
    </row>
    <row r="24" spans="1:6" x14ac:dyDescent="0.35">
      <c r="A24" s="1" t="s">
        <v>61</v>
      </c>
    </row>
    <row r="25" spans="1:6" x14ac:dyDescent="0.35">
      <c r="A25" s="3" t="s">
        <v>96</v>
      </c>
    </row>
    <row r="26" spans="1:6" x14ac:dyDescent="0.35">
      <c r="A26" t="s">
        <v>97</v>
      </c>
      <c r="B26">
        <v>5113</v>
      </c>
      <c r="C26" t="s">
        <v>98</v>
      </c>
    </row>
    <row r="27" spans="1:6" x14ac:dyDescent="0.35">
      <c r="A27" t="s">
        <v>99</v>
      </c>
      <c r="B27">
        <v>0.02</v>
      </c>
      <c r="C27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zoomScale="90" zoomScaleNormal="90" workbookViewId="0">
      <selection activeCell="D2" sqref="D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5.269531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9" x14ac:dyDescent="0.3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t="s">
        <v>108</v>
      </c>
      <c r="I1" t="s">
        <v>109</v>
      </c>
    </row>
    <row r="2" spans="1:9" x14ac:dyDescent="0.35">
      <c r="A2" t="s">
        <v>110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  <c r="I2">
        <f>BaselineCalc!$B$26*(1+BaselineCalc!$B$27)^(H2-1)</f>
        <v>5113</v>
      </c>
    </row>
    <row r="3" spans="1:9" x14ac:dyDescent="0.35">
      <c r="A3" t="s">
        <v>111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  <c r="I3">
        <f>BaselineCalc!$B$26*(1+BaselineCalc!$B$27)^(H3-1)</f>
        <v>5215.26</v>
      </c>
    </row>
    <row r="4" spans="1:9" x14ac:dyDescent="0.35">
      <c r="A4" t="s">
        <v>112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  <c r="I4">
        <f>BaselineCalc!$B$26*(1+BaselineCalc!$B$27)^(H4-1)</f>
        <v>5319.5652</v>
      </c>
    </row>
    <row r="5" spans="1:9" x14ac:dyDescent="0.35">
      <c r="A5" t="s">
        <v>113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  <c r="I5">
        <f>BaselineCalc!$B$26*(1+BaselineCalc!$B$27)^(H5-1)</f>
        <v>5425.9565039999998</v>
      </c>
    </row>
    <row r="6" spans="1:9" x14ac:dyDescent="0.35">
      <c r="A6" t="s">
        <v>15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  <c r="I6">
        <f>BaselineCalc!$B$26*(1+BaselineCalc!$B$27)^(H6-1)</f>
        <v>5534.4756340799995</v>
      </c>
    </row>
  </sheetData>
  <pageMargins left="0.75" right="0.75" top="1" bottom="1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5"/>
  <sheetViews>
    <sheetView zoomScale="70" zoomScaleNormal="70" workbookViewId="0">
      <selection activeCell="C16" sqref="C16"/>
    </sheetView>
  </sheetViews>
  <sheetFormatPr defaultRowHeight="14.5" x14ac:dyDescent="0.35"/>
  <cols>
    <col min="1" max="1" width="26.1796875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61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</row>
    <row r="2" spans="1:14" x14ac:dyDescent="0.35">
      <c r="A2" t="s">
        <v>127</v>
      </c>
      <c r="B2" t="s">
        <v>128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129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130</v>
      </c>
      <c r="B3" t="s">
        <v>131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132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133</v>
      </c>
      <c r="B4" t="s">
        <v>134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135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136</v>
      </c>
      <c r="B5" t="s">
        <v>137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138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6</v>
      </c>
      <c r="B6" t="s">
        <v>139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140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</v>
      </c>
      <c r="B7" t="s">
        <v>141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142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143</v>
      </c>
      <c r="B8" t="s">
        <v>144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145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146</v>
      </c>
    </row>
    <row r="9" spans="1:14" x14ac:dyDescent="0.35">
      <c r="A9" t="s">
        <v>147</v>
      </c>
      <c r="B9" t="s">
        <v>148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149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18</v>
      </c>
    </row>
    <row r="10" spans="1:14" x14ac:dyDescent="0.35">
      <c r="A10" t="s">
        <v>150</v>
      </c>
      <c r="B10" t="s">
        <v>151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152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146</v>
      </c>
    </row>
    <row r="11" spans="1:14" x14ac:dyDescent="0.35">
      <c r="A11" t="s">
        <v>153</v>
      </c>
      <c r="B11" t="s">
        <v>154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155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 t="s">
        <v>18</v>
      </c>
    </row>
    <row r="12" spans="1:14" x14ac:dyDescent="0.35">
      <c r="A12" t="s">
        <v>156</v>
      </c>
      <c r="B12" t="s">
        <v>157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158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146</v>
      </c>
    </row>
    <row r="13" spans="1:14" x14ac:dyDescent="0.35">
      <c r="A13" t="s">
        <v>159</v>
      </c>
      <c r="B13" t="s">
        <v>160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161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 t="s">
        <v>18</v>
      </c>
    </row>
    <row r="15" spans="1:14" x14ac:dyDescent="0.35">
      <c r="A15" s="1" t="s">
        <v>114</v>
      </c>
      <c r="B15" s="1" t="s">
        <v>101</v>
      </c>
      <c r="C15" s="1" t="s">
        <v>162</v>
      </c>
      <c r="D15" s="1" t="s">
        <v>163</v>
      </c>
      <c r="E15" s="1" t="s">
        <v>164</v>
      </c>
      <c r="F15" s="1" t="s">
        <v>102</v>
      </c>
      <c r="G15" s="1" t="s">
        <v>103</v>
      </c>
      <c r="H15" s="1" t="s">
        <v>104</v>
      </c>
      <c r="I15" s="1" t="s">
        <v>165</v>
      </c>
    </row>
    <row r="16" spans="1:14" x14ac:dyDescent="0.35">
      <c r="A16" t="str">
        <f>A2</f>
        <v>D_Grow_Both_0</v>
      </c>
      <c r="B16" t="s">
        <v>110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111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112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113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15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110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111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112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113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15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110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2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111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2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112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2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113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2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15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2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110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111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112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113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15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110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2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111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2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112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2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113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2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15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2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110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111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112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113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15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110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111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112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113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15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110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111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112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113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15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110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111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112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113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15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110</v>
      </c>
      <c r="C61">
        <f>IF(D11=1,0, BaselineCalc!$B$7 + ROUND(I11*F11,0))</f>
        <v>0</v>
      </c>
      <c r="D61">
        <f>IF(E11=1,0, BaselineCalc!$B$8 + I11 - ROUND(I11*F11,0))</f>
        <v>296</v>
      </c>
      <c r="E61">
        <f t="shared" si="4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111</v>
      </c>
      <c r="C62">
        <f>IF(D11=1,0, BaselineCalc!$B$7 + ROUND(J11*F11,0))</f>
        <v>0</v>
      </c>
      <c r="D62">
        <f>IF(E11=1,0, BaselineCalc!$B$8 + J11 - ROUND(J11*F11,0))</f>
        <v>296</v>
      </c>
      <c r="E62">
        <f t="shared" si="4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112</v>
      </c>
      <c r="C63">
        <f>IF(D11=1,0, BaselineCalc!$B$7 + ROUND(K11*F11,0))</f>
        <v>0</v>
      </c>
      <c r="D63">
        <f>IF(E11=1,0, BaselineCalc!$B$8 + K11 - ROUND(K11*F11,0))</f>
        <v>296</v>
      </c>
      <c r="E63">
        <f t="shared" si="4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113</v>
      </c>
      <c r="C64">
        <f>IF(D11=1,0, BaselineCalc!$B$7 + ROUND(L11*F11,0))</f>
        <v>0</v>
      </c>
      <c r="D64">
        <f>IF(E11=1,0, BaselineCalc!$B$8 + L11 - ROUND(L11*F11,0))</f>
        <v>296</v>
      </c>
      <c r="E64">
        <f t="shared" si="4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15</v>
      </c>
      <c r="C65">
        <f>IF(D11=1,0, BaselineCalc!$B$7 + ROUND(M11*F11,0))</f>
        <v>0</v>
      </c>
      <c r="D65">
        <f>IF(E11=1,0, BaselineCalc!$B$8 + M11 - ROUND(M11*F11,0))</f>
        <v>296</v>
      </c>
      <c r="E65">
        <f t="shared" si="4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110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111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112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113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15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110</v>
      </c>
      <c r="C71">
        <f>IF(D13=1,0, BaselineCalc!$B$7 + ROUND(I13*F13,0))</f>
        <v>257</v>
      </c>
      <c r="D71">
        <f>IF(E13=1,0, BaselineCalc!$B$8 + I13 - ROUND(I13*F13,0))</f>
        <v>0</v>
      </c>
      <c r="E71">
        <f t="shared" si="4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111</v>
      </c>
      <c r="C72">
        <f>IF(D13=1,0, BaselineCalc!$B$7 + ROUND(J13*F13,0))</f>
        <v>257</v>
      </c>
      <c r="D72">
        <f>IF(E13=1,0, BaselineCalc!$B$8 + J13 - ROUND(J13*F13,0))</f>
        <v>0</v>
      </c>
      <c r="E72">
        <f t="shared" si="4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112</v>
      </c>
      <c r="C73">
        <f>IF(D13=1,0, BaselineCalc!$B$7 + ROUND(K13*F13,0))</f>
        <v>257</v>
      </c>
      <c r="D73">
        <f>IF(E13=1,0, BaselineCalc!$B$8 + K13 - ROUND(K13*F13,0))</f>
        <v>0</v>
      </c>
      <c r="E73">
        <f t="shared" si="4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113</v>
      </c>
      <c r="C74">
        <f>IF(D13=1,0, BaselineCalc!$B$7 + ROUND(L13*F13,0))</f>
        <v>257</v>
      </c>
      <c r="D74">
        <f>IF(E13=1,0, BaselineCalc!$B$8 + L13 - ROUND(L13*F13,0))</f>
        <v>0</v>
      </c>
      <c r="E74">
        <f t="shared" si="4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15</v>
      </c>
      <c r="C75">
        <f>IF(D13=1,0, BaselineCalc!$B$7 + ROUND(M13*F13,0))</f>
        <v>257</v>
      </c>
      <c r="D75">
        <f>IF(E13=1,0, BaselineCalc!$B$8 + M13 - ROUND(M13*F13,0))</f>
        <v>0</v>
      </c>
      <c r="E75">
        <f t="shared" si="4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1"/>
  <sheetViews>
    <sheetView zoomScale="60" zoomScaleNormal="60" workbookViewId="0">
      <pane xSplit="2" ySplit="1" topLeftCell="L2" activePane="bottomRight" state="frozen"/>
      <selection pane="topRight" activeCell="B1" sqref="B1"/>
      <selection pane="bottomLeft" activeCell="A2" sqref="A2"/>
      <selection pane="bottomRight" activeCell="AB3" sqref="AB3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2" width="13.08984375" bestFit="1" customWidth="1"/>
    <col min="23" max="23" width="16.54296875" bestFit="1" customWidth="1"/>
    <col min="24" max="24" width="24.453125" bestFit="1" customWidth="1"/>
    <col min="26" max="26" width="12.6328125" bestFit="1" customWidth="1"/>
    <col min="27" max="27" width="17.54296875" bestFit="1" customWidth="1"/>
  </cols>
  <sheetData>
    <row r="1" spans="1:28" x14ac:dyDescent="0.35">
      <c r="A1" t="str">
        <f t="shared" ref="A1:A32" si="0">Y1</f>
        <v>Key</v>
      </c>
      <c r="B1" s="1" t="s">
        <v>114</v>
      </c>
      <c r="C1" s="1" t="s">
        <v>101</v>
      </c>
      <c r="D1" s="1" t="s">
        <v>162</v>
      </c>
      <c r="E1" s="1" t="s">
        <v>163</v>
      </c>
      <c r="F1" s="1" t="s">
        <v>164</v>
      </c>
      <c r="G1" s="1" t="s">
        <v>102</v>
      </c>
      <c r="H1" s="1" t="s">
        <v>103</v>
      </c>
      <c r="I1" s="1" t="s">
        <v>104</v>
      </c>
      <c r="J1" s="1" t="s">
        <v>166</v>
      </c>
      <c r="K1" s="1" t="s">
        <v>120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105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165</v>
      </c>
      <c r="Z1" t="s">
        <v>179</v>
      </c>
      <c r="AA1" t="s">
        <v>180</v>
      </c>
      <c r="AB1" t="s">
        <v>181</v>
      </c>
    </row>
    <row r="2" spans="1:28" x14ac:dyDescent="0.35">
      <c r="A2" t="str">
        <f t="shared" si="0"/>
        <v>D_Grow_Both_0|FY2026</v>
      </c>
      <c r="B2" t="str">
        <f>Scenarios!A2</f>
        <v>D_Grow_Both_0</v>
      </c>
      <c r="C2" t="s">
        <v>110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  <c r="Z2">
        <f>INDEX(YearMap!$I$2:$I$6, MATCH(C2, YearMap!$A$2:$A$6, 0))</f>
        <v>5113</v>
      </c>
      <c r="AA2">
        <f t="shared" ref="AA2:AA33" si="8">W2-Z2*O2</f>
        <v>5592549.3875999991</v>
      </c>
    </row>
    <row r="3" spans="1:28" x14ac:dyDescent="0.35">
      <c r="A3" t="str">
        <f t="shared" si="0"/>
        <v>D_Grow_Both_0|FY2027</v>
      </c>
      <c r="B3" t="str">
        <f>Scenarios!A2</f>
        <v>D_Grow_Both_0</v>
      </c>
      <c r="C3" t="s">
        <v>111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  <c r="Z3">
        <f>INDEX(YearMap!$I$2:$I$6, MATCH(C3, YearMap!$A$2:$A$6, 0))</f>
        <v>5215.26</v>
      </c>
      <c r="AA3">
        <f t="shared" si="8"/>
        <v>5732363.1222899994</v>
      </c>
    </row>
    <row r="4" spans="1:28" x14ac:dyDescent="0.35">
      <c r="A4" t="str">
        <f t="shared" si="0"/>
        <v>D_Grow_Both_0|FY2028</v>
      </c>
      <c r="B4" t="str">
        <f>Scenarios!A2</f>
        <v>D_Grow_Both_0</v>
      </c>
      <c r="C4" t="s">
        <v>112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  <c r="Z4">
        <f>INDEX(YearMap!$I$2:$I$6, MATCH(C4, YearMap!$A$2:$A$6, 0))</f>
        <v>5319.5652</v>
      </c>
      <c r="AA4">
        <f t="shared" si="8"/>
        <v>5875672.2003472494</v>
      </c>
    </row>
    <row r="5" spans="1:28" x14ac:dyDescent="0.35">
      <c r="A5" t="str">
        <f t="shared" si="0"/>
        <v>D_Grow_Both_0|FY2029</v>
      </c>
      <c r="B5" t="str">
        <f>Scenarios!A2</f>
        <v>D_Grow_Both_0</v>
      </c>
      <c r="C5" t="s">
        <v>113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  <c r="Z5">
        <f>INDEX(YearMap!$I$2:$I$6, MATCH(C5, YearMap!$A$2:$A$6, 0))</f>
        <v>5425.9565039999998</v>
      </c>
      <c r="AA5">
        <f t="shared" si="8"/>
        <v>6022564.005355929</v>
      </c>
    </row>
    <row r="6" spans="1:28" x14ac:dyDescent="0.35">
      <c r="A6" t="str">
        <f t="shared" si="0"/>
        <v>D_Grow_Both_0|FY2030</v>
      </c>
      <c r="B6" t="str">
        <f>Scenarios!A2</f>
        <v>D_Grow_Both_0</v>
      </c>
      <c r="C6" t="s">
        <v>15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  <c r="Z6">
        <f>INDEX(YearMap!$I$2:$I$6, MATCH(C6, YearMap!$A$2:$A$6, 0))</f>
        <v>5534.4756340799995</v>
      </c>
      <c r="AA6">
        <f t="shared" si="8"/>
        <v>6173128.1054898277</v>
      </c>
    </row>
    <row r="7" spans="1:28" x14ac:dyDescent="0.35">
      <c r="A7" t="str">
        <f t="shared" si="0"/>
        <v>E_StatusQuo_Targets_0|FY2026</v>
      </c>
      <c r="B7" t="str">
        <f>Scenarios!A3</f>
        <v>E_StatusQuo_Targets_0</v>
      </c>
      <c r="C7" t="s">
        <v>110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  <c r="Z7">
        <f>INDEX(YearMap!$I$2:$I$6, MATCH(C7, YearMap!$A$2:$A$6, 0))</f>
        <v>5113</v>
      </c>
      <c r="AA7">
        <f t="shared" si="8"/>
        <v>5592549.3875999991</v>
      </c>
    </row>
    <row r="8" spans="1:28" x14ac:dyDescent="0.35">
      <c r="A8" t="str">
        <f t="shared" si="0"/>
        <v>E_StatusQuo_Targets_0|FY2027</v>
      </c>
      <c r="B8" t="str">
        <f>Scenarios!A3</f>
        <v>E_StatusQuo_Targets_0</v>
      </c>
      <c r="C8" t="s">
        <v>111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  <c r="Z8">
        <f>INDEX(YearMap!$I$2:$I$6, MATCH(C8, YearMap!$A$2:$A$6, 0))</f>
        <v>5215.26</v>
      </c>
      <c r="AA8">
        <f t="shared" si="8"/>
        <v>5732363.1222899994</v>
      </c>
    </row>
    <row r="9" spans="1:28" x14ac:dyDescent="0.35">
      <c r="A9" t="str">
        <f t="shared" si="0"/>
        <v>E_StatusQuo_Targets_0|FY2028</v>
      </c>
      <c r="B9" t="str">
        <f>Scenarios!A3</f>
        <v>E_StatusQuo_Targets_0</v>
      </c>
      <c r="C9" t="s">
        <v>112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  <c r="Z9">
        <f>INDEX(YearMap!$I$2:$I$6, MATCH(C9, YearMap!$A$2:$A$6, 0))</f>
        <v>5319.5652</v>
      </c>
      <c r="AA9">
        <f t="shared" si="8"/>
        <v>5875672.2003472494</v>
      </c>
    </row>
    <row r="10" spans="1:28" x14ac:dyDescent="0.35">
      <c r="A10" t="str">
        <f t="shared" si="0"/>
        <v>E_StatusQuo_Targets_0|FY2029</v>
      </c>
      <c r="B10" t="str">
        <f>Scenarios!A3</f>
        <v>E_StatusQuo_Targets_0</v>
      </c>
      <c r="C10" t="s">
        <v>113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  <c r="Z10">
        <f>INDEX(YearMap!$I$2:$I$6, MATCH(C10, YearMap!$A$2:$A$6, 0))</f>
        <v>5425.9565039999998</v>
      </c>
      <c r="AA10">
        <f t="shared" si="8"/>
        <v>6022564.005355929</v>
      </c>
    </row>
    <row r="11" spans="1:28" x14ac:dyDescent="0.35">
      <c r="A11" t="str">
        <f t="shared" si="0"/>
        <v>E_StatusQuo_Targets_0|FY2030</v>
      </c>
      <c r="B11" t="str">
        <f>Scenarios!A3</f>
        <v>E_StatusQuo_Targets_0</v>
      </c>
      <c r="C11" t="s">
        <v>15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  <c r="Z11">
        <f>INDEX(YearMap!$I$2:$I$6, MATCH(C11, YearMap!$A$2:$A$6, 0))</f>
        <v>5534.4756340799995</v>
      </c>
      <c r="AA11">
        <f t="shared" si="8"/>
        <v>6173128.1054898277</v>
      </c>
    </row>
    <row r="12" spans="1:28" x14ac:dyDescent="0.35">
      <c r="A12" t="str">
        <f t="shared" si="0"/>
        <v>F_CoLocation_Echo_0|FY2026</v>
      </c>
      <c r="B12" t="str">
        <f>Scenarios!A4</f>
        <v>F_CoLocation_Echo_0</v>
      </c>
      <c r="C12" t="s">
        <v>110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>
        <f>BaselineCalc!$B$7 + ROUND(Scenarios!I4*Scenarios!F4,0)</f>
        <v>257</v>
      </c>
      <c r="M12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  <c r="Z12">
        <f>INDEX(YearMap!$I$2:$I$6, MATCH(C12, YearMap!$A$2:$A$6, 0))</f>
        <v>5113</v>
      </c>
      <c r="AA12">
        <f t="shared" si="8"/>
        <v>5508661.1467859987</v>
      </c>
    </row>
    <row r="13" spans="1:28" x14ac:dyDescent="0.35">
      <c r="A13" t="str">
        <f t="shared" si="0"/>
        <v>F_CoLocation_Echo_0|FY2027</v>
      </c>
      <c r="B13" t="str">
        <f>Scenarios!A4</f>
        <v>F_CoLocation_Echo_0</v>
      </c>
      <c r="C13" t="s">
        <v>111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>
        <f>BaselineCalc!$B$7 + ROUND(Scenarios!J4*Scenarios!F4,0)</f>
        <v>257</v>
      </c>
      <c r="M13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  <c r="Z13">
        <f>INDEX(YearMap!$I$2:$I$6, MATCH(C13, YearMap!$A$2:$A$6, 0))</f>
        <v>5215.26</v>
      </c>
      <c r="AA13">
        <f t="shared" si="8"/>
        <v>5646377.6754556494</v>
      </c>
    </row>
    <row r="14" spans="1:28" x14ac:dyDescent="0.35">
      <c r="A14" t="str">
        <f t="shared" si="0"/>
        <v>F_CoLocation_Echo_0|FY2028</v>
      </c>
      <c r="B14" t="str">
        <f>Scenarios!A4</f>
        <v>F_CoLocation_Echo_0</v>
      </c>
      <c r="C14" t="s">
        <v>112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>
        <f>BaselineCalc!$B$7 + ROUND(Scenarios!K4*Scenarios!F4,0)</f>
        <v>257</v>
      </c>
      <c r="M14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  <c r="Z14">
        <f>INDEX(YearMap!$I$2:$I$6, MATCH(C14, YearMap!$A$2:$A$6, 0))</f>
        <v>5319.5652</v>
      </c>
      <c r="AA14">
        <f t="shared" si="8"/>
        <v>5787537.1173420409</v>
      </c>
    </row>
    <row r="15" spans="1:28" x14ac:dyDescent="0.35">
      <c r="A15" t="str">
        <f t="shared" si="0"/>
        <v>F_CoLocation_Echo_0|FY2029</v>
      </c>
      <c r="B15" t="str">
        <f>Scenarios!A4</f>
        <v>F_CoLocation_Echo_0</v>
      </c>
      <c r="C15" t="s">
        <v>113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>
        <f>BaselineCalc!$B$7 + ROUND(Scenarios!L4*Scenarios!F4,0)</f>
        <v>257</v>
      </c>
      <c r="M15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  <c r="Z15">
        <f>INDEX(YearMap!$I$2:$I$6, MATCH(C15, YearMap!$A$2:$A$6, 0))</f>
        <v>5425.9565039999998</v>
      </c>
      <c r="AA15">
        <f t="shared" si="8"/>
        <v>5932225.5452755904</v>
      </c>
    </row>
    <row r="16" spans="1:28" x14ac:dyDescent="0.35">
      <c r="A16" t="str">
        <f t="shared" si="0"/>
        <v>F_CoLocation_Echo_0|FY2030</v>
      </c>
      <c r="B16" t="str">
        <f>Scenarios!A4</f>
        <v>F_CoLocation_Echo_0</v>
      </c>
      <c r="C16" t="s">
        <v>15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>
        <f>BaselineCalc!$B$7 + ROUND(Scenarios!M4*Scenarios!F4,0)</f>
        <v>257</v>
      </c>
      <c r="M16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  <c r="Z16">
        <f>INDEX(YearMap!$I$2:$I$6, MATCH(C16, YearMap!$A$2:$A$6, 0))</f>
        <v>5534.4756340799995</v>
      </c>
      <c r="AA16">
        <f t="shared" si="8"/>
        <v>6080531.18390748</v>
      </c>
    </row>
    <row r="17" spans="1:27" x14ac:dyDescent="0.35">
      <c r="A17" t="str">
        <f t="shared" si="0"/>
        <v>D_Grow_Both_100|FY2026</v>
      </c>
      <c r="B17" t="str">
        <f>Scenarios!A5</f>
        <v>D_Grow_Both_100</v>
      </c>
      <c r="C17" t="s">
        <v>110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  <c r="Z17">
        <f>INDEX(YearMap!$I$2:$I$6, MATCH(C17, YearMap!$A$2:$A$6, 0))</f>
        <v>5113</v>
      </c>
      <c r="AA17">
        <f t="shared" si="8"/>
        <v>6300467.0315999994</v>
      </c>
    </row>
    <row r="18" spans="1:27" x14ac:dyDescent="0.35">
      <c r="A18" t="str">
        <f t="shared" si="0"/>
        <v>D_Grow_Both_100|FY2027</v>
      </c>
      <c r="B18" t="str">
        <f>Scenarios!A5</f>
        <v>D_Grow_Both_100</v>
      </c>
      <c r="C18" t="s">
        <v>111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  <c r="Z18">
        <f>INDEX(YearMap!$I$2:$I$6, MATCH(C18, YearMap!$A$2:$A$6, 0))</f>
        <v>5215.26</v>
      </c>
      <c r="AA18">
        <f t="shared" si="8"/>
        <v>6457978.7073899982</v>
      </c>
    </row>
    <row r="19" spans="1:27" x14ac:dyDescent="0.35">
      <c r="A19" t="str">
        <f t="shared" si="0"/>
        <v>D_Grow_Both_100|FY2028</v>
      </c>
      <c r="B19" t="str">
        <f>Scenarios!A5</f>
        <v>D_Grow_Both_100</v>
      </c>
      <c r="C19" t="s">
        <v>112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  <c r="Z19">
        <f>INDEX(YearMap!$I$2:$I$6, MATCH(C19, YearMap!$A$2:$A$6, 0))</f>
        <v>5319.5652</v>
      </c>
      <c r="AA19">
        <f t="shared" si="8"/>
        <v>6619428.1750747496</v>
      </c>
    </row>
    <row r="20" spans="1:27" x14ac:dyDescent="0.35">
      <c r="A20" t="str">
        <f t="shared" si="0"/>
        <v>D_Grow_Both_100|FY2029</v>
      </c>
      <c r="B20" t="str">
        <f>Scenarios!A5</f>
        <v>D_Grow_Both_100</v>
      </c>
      <c r="C20" t="s">
        <v>113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  <c r="Z20">
        <f>INDEX(YearMap!$I$2:$I$6, MATCH(C20, YearMap!$A$2:$A$6, 0))</f>
        <v>5425.9565039999998</v>
      </c>
      <c r="AA20">
        <f t="shared" si="8"/>
        <v>6784913.8794516167</v>
      </c>
    </row>
    <row r="21" spans="1:27" x14ac:dyDescent="0.35">
      <c r="A21" t="str">
        <f t="shared" si="0"/>
        <v>D_Grow_Both_100|FY2030</v>
      </c>
      <c r="B21" t="str">
        <f>Scenarios!A5</f>
        <v>D_Grow_Both_100</v>
      </c>
      <c r="C21" t="s">
        <v>15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  <c r="Z21">
        <f>INDEX(YearMap!$I$2:$I$6, MATCH(C21, YearMap!$A$2:$A$6, 0))</f>
        <v>5534.4756340799995</v>
      </c>
      <c r="AA21">
        <f t="shared" si="8"/>
        <v>6954536.7264379077</v>
      </c>
    </row>
    <row r="22" spans="1:27" x14ac:dyDescent="0.35">
      <c r="A22" t="str">
        <f t="shared" si="0"/>
        <v>D_Grow_Both_150|FY2026</v>
      </c>
      <c r="B22" t="str">
        <f>Scenarios!A6</f>
        <v>D_Grow_Both_150</v>
      </c>
      <c r="C22" t="s">
        <v>110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332</v>
      </c>
      <c r="M22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  <c r="Z22">
        <f>INDEX(YearMap!$I$2:$I$6, MATCH(C22, YearMap!$A$2:$A$6, 0))</f>
        <v>5113</v>
      </c>
      <c r="AA22">
        <f t="shared" si="8"/>
        <v>6654425.8535999991</v>
      </c>
    </row>
    <row r="23" spans="1:27" x14ac:dyDescent="0.35">
      <c r="A23" t="str">
        <f t="shared" si="0"/>
        <v>D_Grow_Both_150|FY2027</v>
      </c>
      <c r="B23" t="str">
        <f>Scenarios!A6</f>
        <v>D_Grow_Both_150</v>
      </c>
      <c r="C23" t="s">
        <v>111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332</v>
      </c>
      <c r="M23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  <c r="Z23">
        <f>INDEX(YearMap!$I$2:$I$6, MATCH(C23, YearMap!$A$2:$A$6, 0))</f>
        <v>5215.26</v>
      </c>
      <c r="AA23">
        <f t="shared" si="8"/>
        <v>6820786.4999400005</v>
      </c>
    </row>
    <row r="24" spans="1:27" x14ac:dyDescent="0.35">
      <c r="A24" t="str">
        <f t="shared" si="0"/>
        <v>D_Grow_Both_150|FY2028</v>
      </c>
      <c r="B24" t="str">
        <f>Scenarios!A6</f>
        <v>D_Grow_Both_150</v>
      </c>
      <c r="C24" t="s">
        <v>112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332</v>
      </c>
      <c r="M24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  <c r="Z24">
        <f>INDEX(YearMap!$I$2:$I$6, MATCH(C24, YearMap!$A$2:$A$6, 0))</f>
        <v>5319.5652</v>
      </c>
      <c r="AA24">
        <f t="shared" si="8"/>
        <v>6991306.1624384988</v>
      </c>
    </row>
    <row r="25" spans="1:27" x14ac:dyDescent="0.35">
      <c r="A25" t="str">
        <f t="shared" si="0"/>
        <v>D_Grow_Both_150|FY2029</v>
      </c>
      <c r="B25" t="str">
        <f>Scenarios!A6</f>
        <v>D_Grow_Both_150</v>
      </c>
      <c r="C25" t="s">
        <v>113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332</v>
      </c>
      <c r="M25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  <c r="Z25">
        <f>INDEX(YearMap!$I$2:$I$6, MATCH(C25, YearMap!$A$2:$A$6, 0))</f>
        <v>5425.9565039999998</v>
      </c>
      <c r="AA25">
        <f t="shared" si="8"/>
        <v>7166088.8164994614</v>
      </c>
    </row>
    <row r="26" spans="1:27" x14ac:dyDescent="0.35">
      <c r="A26" t="str">
        <f t="shared" si="0"/>
        <v>D_Grow_Both_150|FY2030</v>
      </c>
      <c r="B26" t="str">
        <f>Scenarios!A6</f>
        <v>D_Grow_Both_150</v>
      </c>
      <c r="C26" t="s">
        <v>15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332</v>
      </c>
      <c r="M26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  <c r="Z26">
        <f>INDEX(YearMap!$I$2:$I$6, MATCH(C26, YearMap!$A$2:$A$6, 0))</f>
        <v>5534.4756340799995</v>
      </c>
      <c r="AA26">
        <f t="shared" si="8"/>
        <v>7345241.0369119467</v>
      </c>
    </row>
    <row r="27" spans="1:27" x14ac:dyDescent="0.35">
      <c r="A27" t="str">
        <f t="shared" si="0"/>
        <v>G_DHub_EchoRamp|FY2026</v>
      </c>
      <c r="B27" t="str">
        <f>Scenarios!A7</f>
        <v>G_DHub_EchoRamp</v>
      </c>
      <c r="C27" t="s">
        <v>110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  <c r="Z27">
        <f>INDEX(YearMap!$I$2:$I$6, MATCH(C27, YearMap!$A$2:$A$6, 0))</f>
        <v>5113</v>
      </c>
      <c r="AA27">
        <f t="shared" si="8"/>
        <v>5946508.2095999988</v>
      </c>
    </row>
    <row r="28" spans="1:27" x14ac:dyDescent="0.35">
      <c r="A28" t="str">
        <f t="shared" si="0"/>
        <v>G_DHub_EchoRamp|FY2027</v>
      </c>
      <c r="B28" t="str">
        <f>Scenarios!A7</f>
        <v>G_DHub_EchoRamp</v>
      </c>
      <c r="C28" t="s">
        <v>111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  <c r="Z28">
        <f>INDEX(YearMap!$I$2:$I$6, MATCH(C28, YearMap!$A$2:$A$6, 0))</f>
        <v>5215.26</v>
      </c>
      <c r="AA28">
        <f t="shared" si="8"/>
        <v>6457978.7073899982</v>
      </c>
    </row>
    <row r="29" spans="1:27" x14ac:dyDescent="0.35">
      <c r="A29" t="str">
        <f t="shared" si="0"/>
        <v>G_DHub_EchoRamp|FY2028</v>
      </c>
      <c r="B29" t="str">
        <f>Scenarios!A7</f>
        <v>G_DHub_EchoRamp</v>
      </c>
      <c r="C29" t="s">
        <v>112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  <c r="Z29">
        <f>INDEX(YearMap!$I$2:$I$6, MATCH(C29, YearMap!$A$2:$A$6, 0))</f>
        <v>5319.5652</v>
      </c>
      <c r="AA29">
        <f t="shared" si="8"/>
        <v>6991306.1624384988</v>
      </c>
    </row>
    <row r="30" spans="1:27" x14ac:dyDescent="0.35">
      <c r="A30" t="str">
        <f t="shared" si="0"/>
        <v>G_DHub_EchoRamp|FY2029</v>
      </c>
      <c r="B30" t="str">
        <f>Scenarios!A7</f>
        <v>G_DHub_EchoRamp</v>
      </c>
      <c r="C30" t="s">
        <v>113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  <c r="Z30">
        <f>INDEX(YearMap!$I$2:$I$6, MATCH(C30, YearMap!$A$2:$A$6, 0))</f>
        <v>5425.9565039999998</v>
      </c>
      <c r="AA30">
        <f t="shared" si="8"/>
        <v>7166088.8164994614</v>
      </c>
    </row>
    <row r="31" spans="1:27" x14ac:dyDescent="0.35">
      <c r="A31" t="str">
        <f t="shared" si="0"/>
        <v>G_DHub_EchoRamp|FY2030</v>
      </c>
      <c r="B31" t="str">
        <f>Scenarios!A7</f>
        <v>G_DHub_EchoRamp</v>
      </c>
      <c r="C31" t="s">
        <v>15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  <c r="Z31">
        <f>INDEX(YearMap!$I$2:$I$6, MATCH(C31, YearMap!$A$2:$A$6, 0))</f>
        <v>5534.4756340799995</v>
      </c>
      <c r="AA31">
        <f t="shared" si="8"/>
        <v>7345241.0369119467</v>
      </c>
    </row>
    <row r="32" spans="1:27" x14ac:dyDescent="0.35">
      <c r="A32" t="str">
        <f t="shared" si="0"/>
        <v>A_Repurpose_Both_lease|FY2026</v>
      </c>
      <c r="B32" t="str">
        <f>Scenarios!A8</f>
        <v>A_Repurpose_Both_lease</v>
      </c>
      <c r="C32" t="s">
        <v>110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  <c r="Z32">
        <f>INDEX(YearMap!$I$2:$I$6, MATCH(C32, YearMap!$A$2:$A$6, 0))</f>
        <v>5113</v>
      </c>
      <c r="AA32">
        <f t="shared" si="8"/>
        <v>4322025.1065119999</v>
      </c>
    </row>
    <row r="33" spans="1:27" x14ac:dyDescent="0.35">
      <c r="A33" t="str">
        <f t="shared" ref="A33:A61" si="9">Y33</f>
        <v>A_Repurpose_Both_lease|FY2027</v>
      </c>
      <c r="B33" t="str">
        <f>Scenarios!A8</f>
        <v>A_Repurpose_Both_lease</v>
      </c>
      <c r="C33" t="s">
        <v>111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  <c r="Z33">
        <f>INDEX(YearMap!$I$2:$I$6, MATCH(C33, YearMap!$A$2:$A$6, 0))</f>
        <v>5215.26</v>
      </c>
      <c r="AA33">
        <f t="shared" si="8"/>
        <v>1715389.1742560994</v>
      </c>
    </row>
    <row r="34" spans="1:27" x14ac:dyDescent="0.35">
      <c r="A34" t="str">
        <f t="shared" si="9"/>
        <v>A_Repurpose_Both_lease|FY2028</v>
      </c>
      <c r="B34" t="str">
        <f>Scenarios!A8</f>
        <v>A_Repurpose_Both_lease</v>
      </c>
      <c r="C34" t="s">
        <v>112</v>
      </c>
      <c r="D34">
        <f>IF(Scenarios!D8=1,0, L34)</f>
        <v>0</v>
      </c>
      <c r="E34">
        <f>IF(Scenarios!E8=1,0, M34)</f>
        <v>0</v>
      </c>
      <c r="F34">
        <f t="shared" ref="F34:F65" si="10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5" si="11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2">(R34+S34+G34*F34)*J34*(1-K34)</f>
        <v>352540.33202083502</v>
      </c>
      <c r="V34" s="2">
        <f t="shared" ref="V34:V61" si="13">O34*(G34+P34)</f>
        <v>3355323.2177062496</v>
      </c>
      <c r="W34" s="2">
        <f t="shared" ref="W34:W65" si="14">U34+V34+T34</f>
        <v>3707863.5497270846</v>
      </c>
      <c r="X34" s="2">
        <f t="shared" ref="X34:X65" si="15">IF(F34+O34&gt;0, W34/(F34+O34),"")</f>
        <v>8939.9965032599994</v>
      </c>
      <c r="Y34" t="str">
        <f t="shared" ref="Y34:Y61" si="16">B34&amp;"|"&amp;C34</f>
        <v>A_Repurpose_Both_lease|FY2028</v>
      </c>
      <c r="Z34">
        <f>INDEX(YearMap!$I$2:$I$6, MATCH(C34, YearMap!$A$2:$A$6, 0))</f>
        <v>5319.5652</v>
      </c>
      <c r="AA34">
        <f t="shared" ref="AA34:AA65" si="17">W34-Z34*O34</f>
        <v>1501573.8830270846</v>
      </c>
    </row>
    <row r="35" spans="1:27" x14ac:dyDescent="0.35">
      <c r="A35" t="str">
        <f t="shared" si="9"/>
        <v>A_Repurpose_Both_lease|FY2029</v>
      </c>
      <c r="B35" t="str">
        <f>Scenarios!A8</f>
        <v>A_Repurpose_Both_lease</v>
      </c>
      <c r="C35" t="s">
        <v>113</v>
      </c>
      <c r="D35">
        <f>IF(Scenarios!D8=1,0, L35)</f>
        <v>0</v>
      </c>
      <c r="E35">
        <f>IF(Scenarios!E8=1,0, M35)</f>
        <v>0</v>
      </c>
      <c r="F35">
        <f t="shared" si="10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1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2"/>
        <v>180676.92016067792</v>
      </c>
      <c r="V35" s="2">
        <f t="shared" si="13"/>
        <v>3350035.0481489054</v>
      </c>
      <c r="W35" s="2">
        <f t="shared" si="14"/>
        <v>3530711.9683095831</v>
      </c>
      <c r="X35" s="2">
        <f t="shared" si="15"/>
        <v>8512.8679163582474</v>
      </c>
      <c r="Y35" t="str">
        <f t="shared" si="16"/>
        <v>A_Repurpose_Both_lease|FY2029</v>
      </c>
      <c r="Z35">
        <f>INDEX(YearMap!$I$2:$I$6, MATCH(C35, YearMap!$A$2:$A$6, 0))</f>
        <v>5425.9565039999998</v>
      </c>
      <c r="AA35">
        <f t="shared" si="17"/>
        <v>1280296.5082755834</v>
      </c>
    </row>
    <row r="36" spans="1:27" x14ac:dyDescent="0.35">
      <c r="A36" t="str">
        <f t="shared" si="9"/>
        <v>A_Repurpose_Both_lease|FY2030</v>
      </c>
      <c r="B36" t="str">
        <f>Scenarios!A8</f>
        <v>A_Repurpose_Both_lease</v>
      </c>
      <c r="C36" t="s">
        <v>15</v>
      </c>
      <c r="D36">
        <f>IF(Scenarios!D8=1,0, L36)</f>
        <v>0</v>
      </c>
      <c r="E36">
        <f>IF(Scenarios!E8=1,0, M36)</f>
        <v>0</v>
      </c>
      <c r="F36">
        <f t="shared" si="10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1"/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2"/>
        <v>0</v>
      </c>
      <c r="V36" s="2">
        <f t="shared" si="13"/>
        <v>3388163.4243526277</v>
      </c>
      <c r="W36" s="2">
        <f t="shared" si="14"/>
        <v>3388163.4243526277</v>
      </c>
      <c r="X36" s="2">
        <f t="shared" si="15"/>
        <v>8169.1704022968725</v>
      </c>
      <c r="Y36" t="str">
        <f t="shared" si="16"/>
        <v>A_Repurpose_Both_lease|FY2030</v>
      </c>
      <c r="Z36">
        <f>INDEX(YearMap!$I$2:$I$6, MATCH(C36, YearMap!$A$2:$A$6, 0))</f>
        <v>5534.4756340799995</v>
      </c>
      <c r="AA36">
        <f t="shared" si="17"/>
        <v>1092739.6551179481</v>
      </c>
    </row>
    <row r="37" spans="1:27" x14ac:dyDescent="0.35">
      <c r="A37" t="str">
        <f t="shared" si="9"/>
        <v>A_Repurpose_Both_ops|FY2026</v>
      </c>
      <c r="B37" t="str">
        <f>Scenarios!A9</f>
        <v>A_Repurpose_Both_ops</v>
      </c>
      <c r="C37" t="s">
        <v>110</v>
      </c>
      <c r="D37">
        <f>IF(Scenarios!D9=1,0, L37)</f>
        <v>0</v>
      </c>
      <c r="E37">
        <f>IF(Scenarios!E9=1,0, M37)</f>
        <v>0</v>
      </c>
      <c r="F37">
        <f t="shared" si="10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1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2"/>
        <v>671105.92651200003</v>
      </c>
      <c r="V37" s="2">
        <f t="shared" si="13"/>
        <v>3371535.9299999997</v>
      </c>
      <c r="W37" s="2">
        <f t="shared" si="14"/>
        <v>6442641.8565119999</v>
      </c>
      <c r="X37" s="2">
        <f t="shared" si="15"/>
        <v>15533.795916846293</v>
      </c>
      <c r="Y37" t="str">
        <f t="shared" si="16"/>
        <v>A_Repurpose_Both_ops|FY2026</v>
      </c>
      <c r="Z37">
        <f>INDEX(YearMap!$I$2:$I$6, MATCH(C37, YearMap!$A$2:$A$6, 0))</f>
        <v>5113</v>
      </c>
      <c r="AA37">
        <f t="shared" si="17"/>
        <v>4322025.1065119999</v>
      </c>
    </row>
    <row r="38" spans="1:27" x14ac:dyDescent="0.35">
      <c r="A38" t="str">
        <f t="shared" si="9"/>
        <v>A_Repurpose_Both_ops|FY2027</v>
      </c>
      <c r="B38" t="str">
        <f>Scenarios!A9</f>
        <v>A_Repurpose_Both_ops</v>
      </c>
      <c r="C38" t="s">
        <v>111</v>
      </c>
      <c r="D38">
        <f>IF(Scenarios!D9=1,0, L38)</f>
        <v>0</v>
      </c>
      <c r="E38">
        <f>IF(Scenarios!E9=1,0, M38)</f>
        <v>0</v>
      </c>
      <c r="F38">
        <f t="shared" si="10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1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2"/>
        <v>601898.12784044992</v>
      </c>
      <c r="V38" s="2">
        <f t="shared" si="13"/>
        <v>3362505.5782499993</v>
      </c>
      <c r="W38" s="2">
        <f t="shared" si="14"/>
        <v>3964403.7060904494</v>
      </c>
      <c r="X38" s="2">
        <f t="shared" si="15"/>
        <v>9558.5381701999977</v>
      </c>
      <c r="Y38" t="str">
        <f t="shared" si="16"/>
        <v>A_Repurpose_Both_ops|FY2027</v>
      </c>
      <c r="Z38">
        <f>INDEX(YearMap!$I$2:$I$6, MATCH(C38, YearMap!$A$2:$A$6, 0))</f>
        <v>5215.26</v>
      </c>
      <c r="AA38">
        <f t="shared" si="17"/>
        <v>1801374.6210904494</v>
      </c>
    </row>
    <row r="39" spans="1:27" x14ac:dyDescent="0.35">
      <c r="A39" t="str">
        <f t="shared" si="9"/>
        <v>A_Repurpose_Both_ops|FY2028</v>
      </c>
      <c r="B39" t="str">
        <f>Scenarios!A9</f>
        <v>A_Repurpose_Both_ops</v>
      </c>
      <c r="C39" t="s">
        <v>112</v>
      </c>
      <c r="D39">
        <f>IF(Scenarios!D9=1,0, L39)</f>
        <v>0</v>
      </c>
      <c r="E39">
        <f>IF(Scenarios!E9=1,0, M39)</f>
        <v>0</v>
      </c>
      <c r="F39">
        <f t="shared" si="10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1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2"/>
        <v>528810.49803125241</v>
      </c>
      <c r="V39" s="2">
        <f t="shared" si="13"/>
        <v>3355323.2177062496</v>
      </c>
      <c r="W39" s="2">
        <f t="shared" si="14"/>
        <v>3884133.7157375021</v>
      </c>
      <c r="X39" s="2">
        <f t="shared" si="15"/>
        <v>9364.9999173899996</v>
      </c>
      <c r="Y39" t="str">
        <f t="shared" si="16"/>
        <v>A_Repurpose_Both_ops|FY2028</v>
      </c>
      <c r="Z39">
        <f>INDEX(YearMap!$I$2:$I$6, MATCH(C39, YearMap!$A$2:$A$6, 0))</f>
        <v>5319.5652</v>
      </c>
      <c r="AA39">
        <f t="shared" si="17"/>
        <v>1677844.0490375021</v>
      </c>
    </row>
    <row r="40" spans="1:27" x14ac:dyDescent="0.35">
      <c r="A40" t="str">
        <f t="shared" si="9"/>
        <v>A_Repurpose_Both_ops|FY2029</v>
      </c>
      <c r="B40" t="str">
        <f>Scenarios!A9</f>
        <v>A_Repurpose_Both_ops</v>
      </c>
      <c r="C40" t="s">
        <v>113</v>
      </c>
      <c r="D40">
        <f>IF(Scenarios!D9=1,0, L40)</f>
        <v>0</v>
      </c>
      <c r="E40">
        <f>IF(Scenarios!E9=1,0, M40)</f>
        <v>0</v>
      </c>
      <c r="F40">
        <f t="shared" si="10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1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2"/>
        <v>451692.30040169472</v>
      </c>
      <c r="V40" s="2">
        <f t="shared" si="13"/>
        <v>3350035.0481489054</v>
      </c>
      <c r="W40" s="2">
        <f t="shared" si="14"/>
        <v>3801727.3485506</v>
      </c>
      <c r="X40" s="2">
        <f t="shared" si="15"/>
        <v>9166.3106655831216</v>
      </c>
      <c r="Y40" t="str">
        <f t="shared" si="16"/>
        <v>A_Repurpose_Both_ops|FY2029</v>
      </c>
      <c r="Z40">
        <f>INDEX(YearMap!$I$2:$I$6, MATCH(C40, YearMap!$A$2:$A$6, 0))</f>
        <v>5425.9565039999998</v>
      </c>
      <c r="AA40">
        <f t="shared" si="17"/>
        <v>1551311.8885166002</v>
      </c>
    </row>
    <row r="41" spans="1:27" x14ac:dyDescent="0.35">
      <c r="A41" t="str">
        <f t="shared" si="9"/>
        <v>A_Repurpose_Both_ops|FY2030</v>
      </c>
      <c r="B41" t="str">
        <f>Scenarios!A9</f>
        <v>A_Repurpose_Both_ops</v>
      </c>
      <c r="C41" t="s">
        <v>15</v>
      </c>
      <c r="D41">
        <f>IF(Scenarios!D9=1,0, L41)</f>
        <v>0</v>
      </c>
      <c r="E41">
        <f>IF(Scenarios!E9=1,0, M41)</f>
        <v>0</v>
      </c>
      <c r="F41">
        <f t="shared" si="10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1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2"/>
        <v>370387.68632938969</v>
      </c>
      <c r="V41" s="2">
        <f t="shared" si="13"/>
        <v>3388163.4243526277</v>
      </c>
      <c r="W41" s="2">
        <f t="shared" si="14"/>
        <v>3758551.1106820172</v>
      </c>
      <c r="X41" s="2">
        <f t="shared" si="15"/>
        <v>9062.2088262375346</v>
      </c>
      <c r="Y41" t="str">
        <f t="shared" si="16"/>
        <v>A_Repurpose_Both_ops|FY2030</v>
      </c>
      <c r="Z41">
        <f>INDEX(YearMap!$I$2:$I$6, MATCH(C41, YearMap!$A$2:$A$6, 0))</f>
        <v>5534.4756340799995</v>
      </c>
      <c r="AA41">
        <f t="shared" si="17"/>
        <v>1463127.3414473375</v>
      </c>
    </row>
    <row r="42" spans="1:27" x14ac:dyDescent="0.35">
      <c r="A42" t="str">
        <f t="shared" si="9"/>
        <v>B_Repurpose_Echo_lease|FY2026</v>
      </c>
      <c r="B42" t="str">
        <f>Scenarios!A10</f>
        <v>B_Repurpose_Echo_lease</v>
      </c>
      <c r="C42" t="s">
        <v>110</v>
      </c>
      <c r="D42">
        <f>IF(Scenarios!D10=1,0, L42)</f>
        <v>0</v>
      </c>
      <c r="E42">
        <f>IF(Scenarios!E10=1,0, M42)</f>
        <v>296</v>
      </c>
      <c r="F42">
        <f t="shared" si="10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1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2"/>
        <v>3305368.6109279995</v>
      </c>
      <c r="V42" s="2">
        <f t="shared" si="13"/>
        <v>1566880.17</v>
      </c>
      <c r="W42" s="2">
        <f t="shared" si="14"/>
        <v>6072248.7809279989</v>
      </c>
      <c r="X42" s="2">
        <f t="shared" si="15"/>
        <v>12424.038426451149</v>
      </c>
      <c r="Y42" t="str">
        <f t="shared" si="16"/>
        <v>B_Repurpose_Echo_lease|FY2026</v>
      </c>
      <c r="Z42">
        <f>INDEX(YearMap!$I$2:$I$6, MATCH(C42, YearMap!$A$2:$A$6, 0))</f>
        <v>5113</v>
      </c>
      <c r="AA42">
        <f t="shared" si="17"/>
        <v>5086718.0309279989</v>
      </c>
    </row>
    <row r="43" spans="1:27" x14ac:dyDescent="0.35">
      <c r="A43" t="str">
        <f t="shared" si="9"/>
        <v>B_Repurpose_Echo_lease|FY2027</v>
      </c>
      <c r="B43" t="str">
        <f>Scenarios!A10</f>
        <v>B_Repurpose_Echo_lease</v>
      </c>
      <c r="C43" t="s">
        <v>111</v>
      </c>
      <c r="D43">
        <f>IF(Scenarios!D10=1,0, L43)</f>
        <v>0</v>
      </c>
      <c r="E43">
        <f>IF(Scenarios!E10=1,0, M43)</f>
        <v>296</v>
      </c>
      <c r="F43">
        <f t="shared" si="10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1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2"/>
        <v>3308081.4524708996</v>
      </c>
      <c r="V43" s="2">
        <f t="shared" si="13"/>
        <v>1562683.4242499997</v>
      </c>
      <c r="W43" s="2">
        <f t="shared" si="14"/>
        <v>4870764.8767208997</v>
      </c>
      <c r="X43" s="2">
        <f t="shared" si="15"/>
        <v>9965.7593385593864</v>
      </c>
      <c r="Y43" t="str">
        <f t="shared" si="16"/>
        <v>B_Repurpose_Echo_lease|FY2027</v>
      </c>
      <c r="Z43">
        <f>INDEX(YearMap!$I$2:$I$6, MATCH(C43, YearMap!$A$2:$A$6, 0))</f>
        <v>5215.26</v>
      </c>
      <c r="AA43">
        <f t="shared" si="17"/>
        <v>3865523.5117208995</v>
      </c>
    </row>
    <row r="44" spans="1:27" x14ac:dyDescent="0.35">
      <c r="A44" t="str">
        <f t="shared" si="9"/>
        <v>B_Repurpose_Echo_lease|FY2028</v>
      </c>
      <c r="B44" t="str">
        <f>Scenarios!A10</f>
        <v>B_Repurpose_Echo_lease</v>
      </c>
      <c r="C44" t="s">
        <v>112</v>
      </c>
      <c r="D44">
        <f>IF(Scenarios!D10=1,0, L44)</f>
        <v>0</v>
      </c>
      <c r="E44">
        <f>IF(Scenarios!E10=1,0, M44)</f>
        <v>296</v>
      </c>
      <c r="F44">
        <f t="shared" si="10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1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2"/>
        <v>3308864.0807091142</v>
      </c>
      <c r="V44" s="2">
        <f t="shared" si="13"/>
        <v>1559345.5098562497</v>
      </c>
      <c r="W44" s="2">
        <f t="shared" si="14"/>
        <v>4868209.5905653639</v>
      </c>
      <c r="X44" s="2">
        <f t="shared" si="15"/>
        <v>9960.5311315915369</v>
      </c>
      <c r="Y44" t="str">
        <f t="shared" si="16"/>
        <v>B_Repurpose_Echo_lease|FY2028</v>
      </c>
      <c r="Z44">
        <f>INDEX(YearMap!$I$2:$I$6, MATCH(C44, YearMap!$A$2:$A$6, 0))</f>
        <v>5319.5652</v>
      </c>
      <c r="AA44">
        <f t="shared" si="17"/>
        <v>3842863.3982653636</v>
      </c>
    </row>
    <row r="45" spans="1:27" x14ac:dyDescent="0.35">
      <c r="A45" t="str">
        <f t="shared" si="9"/>
        <v>B_Repurpose_Echo_lease|FY2029</v>
      </c>
      <c r="B45" t="str">
        <f>Scenarios!A10</f>
        <v>B_Repurpose_Echo_lease</v>
      </c>
      <c r="C45" t="s">
        <v>113</v>
      </c>
      <c r="D45">
        <f>IF(Scenarios!D10=1,0, L45)</f>
        <v>0</v>
      </c>
      <c r="E45">
        <f>IF(Scenarios!E10=1,0, M45)</f>
        <v>296</v>
      </c>
      <c r="F45">
        <f t="shared" si="10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1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2"/>
        <v>3307618.2894514455</v>
      </c>
      <c r="V45" s="2">
        <f t="shared" si="13"/>
        <v>1556887.8976026559</v>
      </c>
      <c r="W45" s="2">
        <f t="shared" si="14"/>
        <v>4864506.1870541014</v>
      </c>
      <c r="X45" s="2">
        <f t="shared" si="15"/>
        <v>9952.9538354048109</v>
      </c>
      <c r="Y45" t="str">
        <f t="shared" si="16"/>
        <v>B_Repurpose_Echo_lease|FY2029</v>
      </c>
      <c r="Z45">
        <f>INDEX(YearMap!$I$2:$I$6, MATCH(C45, YearMap!$A$2:$A$6, 0))</f>
        <v>5425.9565039999998</v>
      </c>
      <c r="AA45">
        <f t="shared" si="17"/>
        <v>3818653.0709081013</v>
      </c>
    </row>
    <row r="46" spans="1:27" x14ac:dyDescent="0.35">
      <c r="A46" t="str">
        <f t="shared" si="9"/>
        <v>B_Repurpose_Echo_lease|FY2030</v>
      </c>
      <c r="B46" t="str">
        <f>Scenarios!A10</f>
        <v>B_Repurpose_Echo_lease</v>
      </c>
      <c r="C46" t="s">
        <v>15</v>
      </c>
      <c r="D46">
        <f>IF(Scenarios!D10=1,0, L46)</f>
        <v>0</v>
      </c>
      <c r="E46">
        <f>IF(Scenarios!E10=1,0, M46)</f>
        <v>296</v>
      </c>
      <c r="F46">
        <f t="shared" si="10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1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2"/>
        <v>3304242.1685804501</v>
      </c>
      <c r="V46" s="2">
        <f t="shared" si="13"/>
        <v>1574607.5950427221</v>
      </c>
      <c r="W46" s="2">
        <f t="shared" si="14"/>
        <v>4878849.7636231724</v>
      </c>
      <c r="X46" s="2">
        <f t="shared" si="15"/>
        <v>9982.301306645877</v>
      </c>
      <c r="Y46" t="str">
        <f t="shared" si="16"/>
        <v>B_Repurpose_Echo_lease|FY2030</v>
      </c>
      <c r="Z46">
        <f>INDEX(YearMap!$I$2:$I$6, MATCH(C46, YearMap!$A$2:$A$6, 0))</f>
        <v>5534.4756340799995</v>
      </c>
      <c r="AA46">
        <f t="shared" si="17"/>
        <v>3812079.5851542526</v>
      </c>
    </row>
    <row r="47" spans="1:27" x14ac:dyDescent="0.35">
      <c r="A47" t="str">
        <f t="shared" si="9"/>
        <v>B_Repurpose_Echo_ops|FY2026</v>
      </c>
      <c r="B47" t="str">
        <f>Scenarios!A11</f>
        <v>B_Repurpose_Echo_ops</v>
      </c>
      <c r="C47" t="s">
        <v>110</v>
      </c>
      <c r="D47">
        <f>IF(Scenarios!D11=1,0, L47)</f>
        <v>0</v>
      </c>
      <c r="E47">
        <f>IF(Scenarios!E11=1,0, M47)</f>
        <v>296</v>
      </c>
      <c r="F47">
        <f t="shared" si="10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296</v>
      </c>
      <c r="N47" s="7">
        <f t="shared" si="11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2"/>
        <v>3305368.6109279995</v>
      </c>
      <c r="V47" s="2">
        <f t="shared" si="13"/>
        <v>1566880.17</v>
      </c>
      <c r="W47" s="2">
        <f t="shared" si="14"/>
        <v>6072248.7809279989</v>
      </c>
      <c r="X47" s="2">
        <f t="shared" si="15"/>
        <v>12424.038426451149</v>
      </c>
      <c r="Y47" t="str">
        <f t="shared" si="16"/>
        <v>B_Repurpose_Echo_ops|FY2026</v>
      </c>
      <c r="Z47">
        <f>INDEX(YearMap!$I$2:$I$6, MATCH(C47, YearMap!$A$2:$A$6, 0))</f>
        <v>5113</v>
      </c>
      <c r="AA47">
        <f t="shared" si="17"/>
        <v>5086718.0309279989</v>
      </c>
    </row>
    <row r="48" spans="1:27" x14ac:dyDescent="0.35">
      <c r="A48" t="str">
        <f t="shared" si="9"/>
        <v>B_Repurpose_Echo_ops|FY2027</v>
      </c>
      <c r="B48" t="str">
        <f>Scenarios!A11</f>
        <v>B_Repurpose_Echo_ops</v>
      </c>
      <c r="C48" t="s">
        <v>111</v>
      </c>
      <c r="D48">
        <f>IF(Scenarios!D11=1,0, L48)</f>
        <v>0</v>
      </c>
      <c r="E48">
        <f>IF(Scenarios!E11=1,0, M48)</f>
        <v>296</v>
      </c>
      <c r="F48">
        <f t="shared" si="10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296</v>
      </c>
      <c r="N48" s="7">
        <f t="shared" si="11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2"/>
        <v>3348042.1393360496</v>
      </c>
      <c r="V48" s="2">
        <f t="shared" si="13"/>
        <v>1562683.4242499997</v>
      </c>
      <c r="W48" s="2">
        <f t="shared" si="14"/>
        <v>4910725.5635860488</v>
      </c>
      <c r="X48" s="2">
        <f t="shared" si="15"/>
        <v>10047.520334702913</v>
      </c>
      <c r="Y48" t="str">
        <f t="shared" si="16"/>
        <v>B_Repurpose_Echo_ops|FY2027</v>
      </c>
      <c r="Z48">
        <f>INDEX(YearMap!$I$2:$I$6, MATCH(C48, YearMap!$A$2:$A$6, 0))</f>
        <v>5215.26</v>
      </c>
      <c r="AA48">
        <f t="shared" si="17"/>
        <v>3905484.1985860486</v>
      </c>
    </row>
    <row r="49" spans="1:27" x14ac:dyDescent="0.35">
      <c r="A49" t="str">
        <f t="shared" si="9"/>
        <v>B_Repurpose_Echo_ops|FY2028</v>
      </c>
      <c r="B49" t="str">
        <f>Scenarios!A11</f>
        <v>B_Repurpose_Echo_ops</v>
      </c>
      <c r="C49" t="s">
        <v>112</v>
      </c>
      <c r="D49">
        <f>IF(Scenarios!D11=1,0, L49)</f>
        <v>0</v>
      </c>
      <c r="E49">
        <f>IF(Scenarios!E11=1,0, M49)</f>
        <v>296</v>
      </c>
      <c r="F49">
        <f t="shared" si="10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296</v>
      </c>
      <c r="N49" s="7">
        <f t="shared" si="11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2"/>
        <v>3390783.4887826717</v>
      </c>
      <c r="V49" s="2">
        <f t="shared" si="13"/>
        <v>1559345.5098562497</v>
      </c>
      <c r="W49" s="2">
        <f t="shared" si="14"/>
        <v>4950128.9986389214</v>
      </c>
      <c r="X49" s="2">
        <f t="shared" si="15"/>
        <v>10128.141173685774</v>
      </c>
      <c r="Y49" t="str">
        <f t="shared" si="16"/>
        <v>B_Repurpose_Echo_ops|FY2028</v>
      </c>
      <c r="Z49">
        <f>INDEX(YearMap!$I$2:$I$6, MATCH(C49, YearMap!$A$2:$A$6, 0))</f>
        <v>5319.5652</v>
      </c>
      <c r="AA49">
        <f t="shared" si="17"/>
        <v>3924782.8063389212</v>
      </c>
    </row>
    <row r="50" spans="1:27" x14ac:dyDescent="0.35">
      <c r="A50" t="str">
        <f t="shared" si="9"/>
        <v>B_Repurpose_Echo_ops|FY2029</v>
      </c>
      <c r="B50" t="str">
        <f>Scenarios!A11</f>
        <v>B_Repurpose_Echo_ops</v>
      </c>
      <c r="C50" t="s">
        <v>113</v>
      </c>
      <c r="D50">
        <f>IF(Scenarios!D11=1,0, L50)</f>
        <v>0</v>
      </c>
      <c r="E50">
        <f>IF(Scenarios!E11=1,0, M50)</f>
        <v>296</v>
      </c>
      <c r="F50">
        <f t="shared" si="10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296</v>
      </c>
      <c r="N50" s="7">
        <f t="shared" si="11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2"/>
        <v>3433569.3793645403</v>
      </c>
      <c r="V50" s="2">
        <f t="shared" si="13"/>
        <v>1556887.8976026559</v>
      </c>
      <c r="W50" s="2">
        <f t="shared" si="14"/>
        <v>4990457.2769671958</v>
      </c>
      <c r="X50" s="2">
        <f t="shared" si="15"/>
        <v>10210.654275124698</v>
      </c>
      <c r="Y50" t="str">
        <f t="shared" si="16"/>
        <v>B_Repurpose_Echo_ops|FY2029</v>
      </c>
      <c r="Z50">
        <f>INDEX(YearMap!$I$2:$I$6, MATCH(C50, YearMap!$A$2:$A$6, 0))</f>
        <v>5425.9565039999998</v>
      </c>
      <c r="AA50">
        <f t="shared" si="17"/>
        <v>3944604.1608211957</v>
      </c>
    </row>
    <row r="51" spans="1:27" x14ac:dyDescent="0.35">
      <c r="A51" t="str">
        <f t="shared" si="9"/>
        <v>B_Repurpose_Echo_ops|FY2030</v>
      </c>
      <c r="B51" t="str">
        <f>Scenarios!A11</f>
        <v>B_Repurpose_Echo_ops</v>
      </c>
      <c r="C51" t="s">
        <v>15</v>
      </c>
      <c r="D51">
        <f>IF(Scenarios!D11=1,0, L51)</f>
        <v>0</v>
      </c>
      <c r="E51">
        <f>IF(Scenarios!E11=1,0, M51)</f>
        <v>296</v>
      </c>
      <c r="F51">
        <f t="shared" si="10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296</v>
      </c>
      <c r="N51" s="7">
        <f t="shared" si="11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2"/>
        <v>3476375.3247950128</v>
      </c>
      <c r="V51" s="2">
        <f t="shared" si="13"/>
        <v>1574607.5950427221</v>
      </c>
      <c r="W51" s="2">
        <f t="shared" si="14"/>
        <v>5050982.9198377347</v>
      </c>
      <c r="X51" s="2">
        <f t="shared" si="15"/>
        <v>10334.491907596388</v>
      </c>
      <c r="Y51" t="str">
        <f t="shared" si="16"/>
        <v>B_Repurpose_Echo_ops|FY2030</v>
      </c>
      <c r="Z51">
        <f>INDEX(YearMap!$I$2:$I$6, MATCH(C51, YearMap!$A$2:$A$6, 0))</f>
        <v>5534.4756340799995</v>
      </c>
      <c r="AA51">
        <f t="shared" si="17"/>
        <v>3984212.7413688148</v>
      </c>
    </row>
    <row r="52" spans="1:27" x14ac:dyDescent="0.35">
      <c r="A52" t="str">
        <f t="shared" si="9"/>
        <v>C_Repurpose_Pima_lease|FY2026</v>
      </c>
      <c r="B52" t="str">
        <f>Scenarios!A12</f>
        <v>C_Repurpose_Pima_lease</v>
      </c>
      <c r="C52" t="s">
        <v>110</v>
      </c>
      <c r="D52">
        <f>IF(Scenarios!D12=1,0, L52)</f>
        <v>257</v>
      </c>
      <c r="E52">
        <f>IF(Scenarios!E12=1,0, M52)</f>
        <v>0</v>
      </c>
      <c r="F52">
        <f t="shared" si="10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1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2"/>
        <v>2958286.7031839998</v>
      </c>
      <c r="V52" s="2">
        <f t="shared" si="13"/>
        <v>1804655.7599999998</v>
      </c>
      <c r="W52" s="2">
        <f t="shared" si="14"/>
        <v>5962942.4631839991</v>
      </c>
      <c r="X52" s="2">
        <f t="shared" si="15"/>
        <v>12448.73165591649</v>
      </c>
      <c r="Y52" t="str">
        <f t="shared" si="16"/>
        <v>C_Repurpose_Pima_lease|FY2026</v>
      </c>
      <c r="Z52">
        <f>INDEX(YearMap!$I$2:$I$6, MATCH(C52, YearMap!$A$2:$A$6, 0))</f>
        <v>5113</v>
      </c>
      <c r="AA52">
        <f t="shared" si="17"/>
        <v>4827856.4631839991</v>
      </c>
    </row>
    <row r="53" spans="1:27" x14ac:dyDescent="0.35">
      <c r="A53" t="str">
        <f t="shared" si="9"/>
        <v>C_Repurpose_Pima_lease|FY2027</v>
      </c>
      <c r="B53" t="str">
        <f>Scenarios!A12</f>
        <v>C_Repurpose_Pima_lease</v>
      </c>
      <c r="C53" t="s">
        <v>111</v>
      </c>
      <c r="D53">
        <f>IF(Scenarios!D12=1,0, L53)</f>
        <v>257</v>
      </c>
      <c r="E53">
        <f>IF(Scenarios!E12=1,0, M53)</f>
        <v>0</v>
      </c>
      <c r="F53">
        <f t="shared" si="10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1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2"/>
        <v>2940194.3508251994</v>
      </c>
      <c r="V53" s="2">
        <f t="shared" si="13"/>
        <v>1799822.1539999999</v>
      </c>
      <c r="W53" s="2">
        <f t="shared" si="14"/>
        <v>4740016.504825199</v>
      </c>
      <c r="X53" s="2">
        <f t="shared" si="15"/>
        <v>9895.6503232258856</v>
      </c>
      <c r="Y53" t="str">
        <f t="shared" si="16"/>
        <v>C_Repurpose_Pima_lease|FY2027</v>
      </c>
      <c r="Z53">
        <f>INDEX(YearMap!$I$2:$I$6, MATCH(C53, YearMap!$A$2:$A$6, 0))</f>
        <v>5215.26</v>
      </c>
      <c r="AA53">
        <f t="shared" si="17"/>
        <v>3582228.7848251993</v>
      </c>
    </row>
    <row r="54" spans="1:27" x14ac:dyDescent="0.35">
      <c r="A54" t="str">
        <f t="shared" si="9"/>
        <v>C_Repurpose_Pima_lease|FY2028</v>
      </c>
      <c r="B54" t="str">
        <f>Scenarios!A12</f>
        <v>C_Repurpose_Pima_lease</v>
      </c>
      <c r="C54" t="s">
        <v>112</v>
      </c>
      <c r="D54">
        <f>IF(Scenarios!D12=1,0, L54)</f>
        <v>257</v>
      </c>
      <c r="E54">
        <f>IF(Scenarios!E12=1,0, M54)</f>
        <v>0</v>
      </c>
      <c r="F54">
        <f t="shared" si="10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1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2"/>
        <v>2919348.4516589697</v>
      </c>
      <c r="V54" s="2">
        <f t="shared" si="13"/>
        <v>1795977.7078499997</v>
      </c>
      <c r="W54" s="2">
        <f t="shared" si="14"/>
        <v>4715326.1595089696</v>
      </c>
      <c r="X54" s="2">
        <f t="shared" si="15"/>
        <v>9844.1047171377231</v>
      </c>
      <c r="Y54" t="str">
        <f t="shared" si="16"/>
        <v>C_Repurpose_Pima_lease|FY2028</v>
      </c>
      <c r="Z54">
        <f>INDEX(YearMap!$I$2:$I$6, MATCH(C54, YearMap!$A$2:$A$6, 0))</f>
        <v>5319.5652</v>
      </c>
      <c r="AA54">
        <f t="shared" si="17"/>
        <v>3534382.6851089699</v>
      </c>
    </row>
    <row r="55" spans="1:27" x14ac:dyDescent="0.35">
      <c r="A55" t="str">
        <f t="shared" si="9"/>
        <v>C_Repurpose_Pima_lease|FY2029</v>
      </c>
      <c r="B55" t="str">
        <f>Scenarios!A12</f>
        <v>C_Repurpose_Pima_lease</v>
      </c>
      <c r="C55" t="s">
        <v>113</v>
      </c>
      <c r="D55">
        <f>IF(Scenarios!D12=1,0, L55)</f>
        <v>257</v>
      </c>
      <c r="E55">
        <f>IF(Scenarios!E12=1,0, M55)</f>
        <v>0</v>
      </c>
      <c r="F55">
        <f t="shared" si="10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1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2"/>
        <v>2895622.6360651618</v>
      </c>
      <c r="V55" s="2">
        <f t="shared" si="13"/>
        <v>1793147.1505462495</v>
      </c>
      <c r="W55" s="2">
        <f t="shared" si="14"/>
        <v>4688769.7866114117</v>
      </c>
      <c r="X55" s="2">
        <f t="shared" si="15"/>
        <v>9788.663437602112</v>
      </c>
      <c r="Y55" t="str">
        <f t="shared" si="16"/>
        <v>C_Repurpose_Pima_lease|FY2029</v>
      </c>
      <c r="Z55">
        <f>INDEX(YearMap!$I$2:$I$6, MATCH(C55, YearMap!$A$2:$A$6, 0))</f>
        <v>5425.9565039999998</v>
      </c>
      <c r="AA55">
        <f t="shared" si="17"/>
        <v>3484207.4427234121</v>
      </c>
    </row>
    <row r="56" spans="1:27" x14ac:dyDescent="0.35">
      <c r="A56" t="str">
        <f t="shared" si="9"/>
        <v>C_Repurpose_Pima_lease|FY2030</v>
      </c>
      <c r="B56" t="str">
        <f>Scenarios!A12</f>
        <v>C_Repurpose_Pima_lease</v>
      </c>
      <c r="C56" t="s">
        <v>15</v>
      </c>
      <c r="D56">
        <f>IF(Scenarios!D12=1,0, L56)</f>
        <v>257</v>
      </c>
      <c r="E56">
        <f>IF(Scenarios!E12=1,0, M56)</f>
        <v>0</v>
      </c>
      <c r="F56">
        <f t="shared" si="10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1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2"/>
        <v>2868885.9369093776</v>
      </c>
      <c r="V56" s="2">
        <f t="shared" si="13"/>
        <v>1813555.8293099056</v>
      </c>
      <c r="W56" s="2">
        <f t="shared" si="14"/>
        <v>4682441.7662192835</v>
      </c>
      <c r="X56" s="2">
        <f t="shared" si="15"/>
        <v>9775.4525390799245</v>
      </c>
      <c r="Y56" t="str">
        <f t="shared" si="16"/>
        <v>C_Repurpose_Pima_lease|FY2030</v>
      </c>
      <c r="Z56">
        <f>INDEX(YearMap!$I$2:$I$6, MATCH(C56, YearMap!$A$2:$A$6, 0))</f>
        <v>5534.4756340799995</v>
      </c>
      <c r="AA56">
        <f t="shared" si="17"/>
        <v>3453788.1754535236</v>
      </c>
    </row>
    <row r="57" spans="1:27" x14ac:dyDescent="0.35">
      <c r="A57" t="str">
        <f t="shared" si="9"/>
        <v>C_Repurpose_Pima_ops|FY2026</v>
      </c>
      <c r="B57" t="str">
        <f>Scenarios!A13</f>
        <v>C_Repurpose_Pima_ops</v>
      </c>
      <c r="C57" t="s">
        <v>110</v>
      </c>
      <c r="D57">
        <f>IF(Scenarios!D13=1,0, L57)</f>
        <v>257</v>
      </c>
      <c r="E57">
        <f>IF(Scenarios!E13=1,0, M57)</f>
        <v>0</v>
      </c>
      <c r="F57">
        <f t="shared" si="10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257</v>
      </c>
      <c r="M57">
        <f>BaselineCalc!$B$8 + Scenarios!I13 - ROUND(Scenarios!I13*Scenarios!F13,0)</f>
        <v>296</v>
      </c>
      <c r="N57" s="7">
        <f t="shared" si="11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2"/>
        <v>2958286.7031839998</v>
      </c>
      <c r="V57" s="2">
        <f t="shared" si="13"/>
        <v>1804655.7599999998</v>
      </c>
      <c r="W57" s="2">
        <f t="shared" si="14"/>
        <v>5962942.4631839991</v>
      </c>
      <c r="X57" s="2">
        <f t="shared" si="15"/>
        <v>12448.73165591649</v>
      </c>
      <c r="Y57" t="str">
        <f t="shared" si="16"/>
        <v>C_Repurpose_Pima_ops|FY2026</v>
      </c>
      <c r="Z57">
        <f>INDEX(YearMap!$I$2:$I$6, MATCH(C57, YearMap!$A$2:$A$6, 0))</f>
        <v>5113</v>
      </c>
      <c r="AA57">
        <f t="shared" si="17"/>
        <v>4827856.4631839991</v>
      </c>
    </row>
    <row r="58" spans="1:27" x14ac:dyDescent="0.35">
      <c r="A58" t="str">
        <f t="shared" si="9"/>
        <v>C_Repurpose_Pima_ops|FY2027</v>
      </c>
      <c r="B58" t="str">
        <f>Scenarios!A13</f>
        <v>C_Repurpose_Pima_ops</v>
      </c>
      <c r="C58" t="s">
        <v>111</v>
      </c>
      <c r="D58">
        <f>IF(Scenarios!D13=1,0, L58)</f>
        <v>257</v>
      </c>
      <c r="E58">
        <f>IF(Scenarios!E13=1,0, M58)</f>
        <v>0</v>
      </c>
      <c r="F58">
        <f t="shared" si="10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257</v>
      </c>
      <c r="M58">
        <f>BaselineCalc!$B$8 + Scenarios!J13 - ROUND(Scenarios!J13*Scenarios!F13,0)</f>
        <v>296</v>
      </c>
      <c r="N58" s="7">
        <f t="shared" si="11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2"/>
        <v>2986219.1107943994</v>
      </c>
      <c r="V58" s="2">
        <f t="shared" si="13"/>
        <v>1799822.1539999999</v>
      </c>
      <c r="W58" s="2">
        <f t="shared" si="14"/>
        <v>4786041.264794399</v>
      </c>
      <c r="X58" s="2">
        <f t="shared" si="15"/>
        <v>9991.7354171073057</v>
      </c>
      <c r="Y58" t="str">
        <f t="shared" si="16"/>
        <v>C_Repurpose_Pima_ops|FY2027</v>
      </c>
      <c r="Z58">
        <f>INDEX(YearMap!$I$2:$I$6, MATCH(C58, YearMap!$A$2:$A$6, 0))</f>
        <v>5215.26</v>
      </c>
      <c r="AA58">
        <f t="shared" si="17"/>
        <v>3628253.5447943993</v>
      </c>
    </row>
    <row r="59" spans="1:27" x14ac:dyDescent="0.35">
      <c r="A59" t="str">
        <f t="shared" si="9"/>
        <v>C_Repurpose_Pima_ops|FY2028</v>
      </c>
      <c r="B59" t="str">
        <f>Scenarios!A13</f>
        <v>C_Repurpose_Pima_ops</v>
      </c>
      <c r="C59" t="s">
        <v>112</v>
      </c>
      <c r="D59">
        <f>IF(Scenarios!D13=1,0, L59)</f>
        <v>257</v>
      </c>
      <c r="E59">
        <f>IF(Scenarios!E13=1,0, M59)</f>
        <v>0</v>
      </c>
      <c r="F59">
        <f t="shared" si="10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257</v>
      </c>
      <c r="M59">
        <f>BaselineCalc!$B$8 + Scenarios!K13 - ROUND(Scenarios!K13*Scenarios!F13,0)</f>
        <v>296</v>
      </c>
      <c r="N59" s="7">
        <f t="shared" si="11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2"/>
        <v>3013699.2095958297</v>
      </c>
      <c r="V59" s="2">
        <f t="shared" si="13"/>
        <v>1795977.7078499997</v>
      </c>
      <c r="W59" s="2">
        <f t="shared" si="14"/>
        <v>4809676.9174458291</v>
      </c>
      <c r="X59" s="2">
        <f t="shared" si="15"/>
        <v>10041.079159594632</v>
      </c>
      <c r="Y59" t="str">
        <f t="shared" si="16"/>
        <v>C_Repurpose_Pima_ops|FY2028</v>
      </c>
      <c r="Z59">
        <f>INDEX(YearMap!$I$2:$I$6, MATCH(C59, YearMap!$A$2:$A$6, 0))</f>
        <v>5319.5652</v>
      </c>
      <c r="AA59">
        <f t="shared" si="17"/>
        <v>3628733.4430458294</v>
      </c>
    </row>
    <row r="60" spans="1:27" x14ac:dyDescent="0.35">
      <c r="A60" t="str">
        <f t="shared" si="9"/>
        <v>C_Repurpose_Pima_ops|FY2029</v>
      </c>
      <c r="B60" t="str">
        <f>Scenarios!A13</f>
        <v>C_Repurpose_Pima_ops</v>
      </c>
      <c r="C60" t="s">
        <v>113</v>
      </c>
      <c r="D60">
        <f>IF(Scenarios!D13=1,0, L60)</f>
        <v>257</v>
      </c>
      <c r="E60">
        <f>IF(Scenarios!E13=1,0, M60)</f>
        <v>0</v>
      </c>
      <c r="F60">
        <f t="shared" si="10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257</v>
      </c>
      <c r="M60">
        <f>BaselineCalc!$B$8 + Scenarios!L13 - ROUND(Scenarios!L13*Scenarios!F13,0)</f>
        <v>296</v>
      </c>
      <c r="N60" s="7">
        <f t="shared" si="11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2"/>
        <v>3040686.9263930842</v>
      </c>
      <c r="V60" s="2">
        <f t="shared" si="13"/>
        <v>1793147.1505462495</v>
      </c>
      <c r="W60" s="2">
        <f t="shared" si="14"/>
        <v>4833834.0769393332</v>
      </c>
      <c r="X60" s="2">
        <f t="shared" si="15"/>
        <v>10091.51164287961</v>
      </c>
      <c r="Y60" t="str">
        <f t="shared" si="16"/>
        <v>C_Repurpose_Pima_ops|FY2029</v>
      </c>
      <c r="Z60">
        <f>INDEX(YearMap!$I$2:$I$6, MATCH(C60, YearMap!$A$2:$A$6, 0))</f>
        <v>5425.9565039999998</v>
      </c>
      <c r="AA60">
        <f t="shared" si="17"/>
        <v>3629271.7330513336</v>
      </c>
    </row>
    <row r="61" spans="1:27" x14ac:dyDescent="0.35">
      <c r="A61" t="str">
        <f t="shared" si="9"/>
        <v>C_Repurpose_Pima_ops|FY2030</v>
      </c>
      <c r="B61" t="str">
        <f>Scenarios!A13</f>
        <v>C_Repurpose_Pima_ops</v>
      </c>
      <c r="C61" t="s">
        <v>15</v>
      </c>
      <c r="D61">
        <f>IF(Scenarios!D13=1,0, L61)</f>
        <v>257</v>
      </c>
      <c r="E61">
        <f>IF(Scenarios!E13=1,0, M61)</f>
        <v>0</v>
      </c>
      <c r="F61">
        <f t="shared" si="10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257</v>
      </c>
      <c r="M61">
        <f>BaselineCalc!$B$8 + Scenarios!M13 - ROUND(Scenarios!M13*Scenarios!F13,0)</f>
        <v>296</v>
      </c>
      <c r="N61" s="7">
        <f t="shared" si="11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2"/>
        <v>3067140.4670242043</v>
      </c>
      <c r="V61" s="2">
        <f t="shared" si="13"/>
        <v>1813555.8293099056</v>
      </c>
      <c r="W61" s="2">
        <f t="shared" si="14"/>
        <v>4880696.2963341102</v>
      </c>
      <c r="X61" s="2">
        <f t="shared" si="15"/>
        <v>10189.345086292506</v>
      </c>
      <c r="Y61" t="str">
        <f t="shared" si="16"/>
        <v>C_Repurpose_Pima_ops|FY2030</v>
      </c>
      <c r="Z61">
        <f>INDEX(YearMap!$I$2:$I$6, MATCH(C61, YearMap!$A$2:$A$6, 0))</f>
        <v>5534.4756340799995</v>
      </c>
      <c r="AA61">
        <f t="shared" si="17"/>
        <v>3652042.7055683504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tabSelected="1" zoomScale="80" zoomScaleNormal="8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defaultRowHeight="14.5" x14ac:dyDescent="0.35"/>
  <cols>
    <col min="1" max="1" width="25.7265625" bestFit="1" customWidth="1"/>
    <col min="2" max="7" width="23" customWidth="1"/>
  </cols>
  <sheetData>
    <row r="1" spans="1:13" ht="29" customHeight="1" x14ac:dyDescent="0.35">
      <c r="A1" s="9" t="s">
        <v>114</v>
      </c>
      <c r="B1" s="9" t="s">
        <v>182</v>
      </c>
      <c r="C1" s="9" t="s">
        <v>183</v>
      </c>
      <c r="D1" s="9" t="s">
        <v>184</v>
      </c>
      <c r="E1" s="9" t="s">
        <v>185</v>
      </c>
      <c r="F1" s="9" t="s">
        <v>186</v>
      </c>
      <c r="G1" s="9" t="s">
        <v>187</v>
      </c>
      <c r="H1" t="s">
        <v>188</v>
      </c>
      <c r="J1" t="s">
        <v>189</v>
      </c>
      <c r="M1" t="s">
        <v>190</v>
      </c>
    </row>
    <row r="2" spans="1:13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IFERROR(VLOOKUP($A2&amp;"|FY2026", MultiYear_ProForma!$A:$Y, 14, FALSE), "")</f>
        <v>0</v>
      </c>
      <c r="G2">
        <f>IFERROR(VLOOKUP($A2&amp;"|FY2030", MultiYear_ProForma!$A:$Y, 6, FALSE) + VLOOKUP($A2&amp;"|FY2030", MultiYear_ProForma!$A:$Y, 15, FALSE), "")</f>
        <v>553</v>
      </c>
      <c r="K2" t="e">
        <f>INDEX(MultiYear_ProForma!$AA:$AA,MATCH($A2&amp;"|"&amp;"FY2028",MultiYear_ProForma!$B:$B&amp;"|"&amp;MultiYear_ProForma!$C:$C,0))</f>
        <v>#VALUE!</v>
      </c>
      <c r="L2" t="e">
        <f>INDEX(MultiYear_ProForma!$AA:$AA,MATCH($A2&amp;"|"&amp;"FY2030",MultiYear_ProForma!$B:$B&amp;"|"&amp;MultiYear_ProForma!$C:$C,0))</f>
        <v>#VALUE!</v>
      </c>
      <c r="M2">
        <f>AVERAGE(IF(MultiYear_ProForma!$B$2:$B$9999=$A2,MultiYear_ProForma!$AA$2:$AA$9999))</f>
        <v>4833302.5073811365</v>
      </c>
    </row>
    <row r="3" spans="1:13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IFERROR(VLOOKUP($A3&amp;"|FY2026", MultiYear_ProForma!$A:$Y, 14, FALSE), "")</f>
        <v>0</v>
      </c>
      <c r="G3" s="7">
        <f>IFERROR(VLOOKUP($A3&amp;"|FY2030", MultiYear_ProForma!$A:$Y, 6, FALSE) + VLOOKUP($A3&amp;"|FY2030", MultiYear_ProForma!$A:$Y, 15, FALSE), "")</f>
        <v>553</v>
      </c>
      <c r="K3" t="e">
        <f>INDEX(MultiYear_ProForma!$AA:$AA,MATCH($A3&amp;"|"&amp;"FY2028",MultiYear_ProForma!$B:$B&amp;"|"&amp;MultiYear_ProForma!$C:$C,0))</f>
        <v>#VALUE!</v>
      </c>
      <c r="L3" t="e">
        <f>INDEX(MultiYear_ProForma!$AA:$AA,MATCH($A3&amp;"|"&amp;"FY2030",MultiYear_ProForma!$B:$B&amp;"|"&amp;MultiYear_ProForma!$C:$C,0))</f>
        <v>#VALUE!</v>
      </c>
      <c r="M3">
        <f>AVERAGE(IF(MultiYear_ProForma!$B$2:$B$9999=$A3,MultiYear_ProForma!$AA$2:$AA$9999))</f>
        <v>0</v>
      </c>
    </row>
    <row r="4" spans="1:13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IFERROR(VLOOKUP($A4&amp;"|FY2026", MultiYear_ProForma!$A:$Y, 14, FALSE), "")</f>
        <v>0</v>
      </c>
      <c r="G4" s="7">
        <f>IFERROR(VLOOKUP($A4&amp;"|FY2030", MultiYear_ProForma!$A:$Y, 6, FALSE) + VLOOKUP($A4&amp;"|FY2030", MultiYear_ProForma!$A:$Y, 15, FALSE), "")</f>
        <v>553</v>
      </c>
      <c r="K4" t="e">
        <f>INDEX(MultiYear_ProForma!$AA:$AA,MATCH($A4&amp;"|"&amp;"FY2028",MultiYear_ProForma!$B:$B&amp;"|"&amp;MultiYear_ProForma!$C:$C,0))</f>
        <v>#VALUE!</v>
      </c>
      <c r="L4" t="e">
        <f>INDEX(MultiYear_ProForma!$AA:$AA,MATCH($A4&amp;"|"&amp;"FY2030",MultiYear_ProForma!$B:$B&amp;"|"&amp;MultiYear_ProForma!$C:$C,0))</f>
        <v>#VALUE!</v>
      </c>
      <c r="M4">
        <f>AVERAGE(IF(MultiYear_ProForma!$B$2:$B$9999=$A4,MultiYear_ProForma!$AA$2:$AA$9999))</f>
        <v>0</v>
      </c>
    </row>
    <row r="5" spans="1:13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IFERROR(VLOOKUP($A5&amp;"|FY2026", MultiYear_ProForma!$A:$Y, 14, FALSE), "")</f>
        <v>0</v>
      </c>
      <c r="G5" s="7">
        <f>IFERROR(VLOOKUP($A5&amp;"|FY2030", MultiYear_ProForma!$A:$Y, 6, FALSE) + VLOOKUP($A5&amp;"|FY2030", MultiYear_ProForma!$A:$Y, 15, FALSE), "")</f>
        <v>653</v>
      </c>
      <c r="K5" t="e">
        <f>INDEX(MultiYear_ProForma!$AA:$AA,MATCH($A5&amp;"|"&amp;"FY2028",MultiYear_ProForma!$B:$B&amp;"|"&amp;MultiYear_ProForma!$C:$C,0))</f>
        <v>#VALUE!</v>
      </c>
      <c r="L5" t="e">
        <f>INDEX(MultiYear_ProForma!$AA:$AA,MATCH($A5&amp;"|"&amp;"FY2030",MultiYear_ProForma!$B:$B&amp;"|"&amp;MultiYear_ProForma!$C:$C,0))</f>
        <v>#VALUE!</v>
      </c>
      <c r="M5">
        <f>AVERAGE(IF(MultiYear_ProForma!$B$2:$B$9999=$A5,MultiYear_ProForma!$AA$2:$AA$9999))</f>
        <v>0</v>
      </c>
    </row>
    <row r="6" spans="1:13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IFERROR(VLOOKUP($A6&amp;"|FY2026", MultiYear_ProForma!$A:$Y, 14, FALSE), "")</f>
        <v>0</v>
      </c>
      <c r="G6" s="7">
        <f>IFERROR(VLOOKUP($A6&amp;"|FY2030", MultiYear_ProForma!$A:$Y, 6, FALSE) + VLOOKUP($A6&amp;"|FY2030", MultiYear_ProForma!$A:$Y, 15, FALSE), "")</f>
        <v>703</v>
      </c>
      <c r="K6" t="e">
        <f>INDEX(MultiYear_ProForma!$AA:$AA,MATCH($A6&amp;"|"&amp;"FY2028",MultiYear_ProForma!$B:$B&amp;"|"&amp;MultiYear_ProForma!$C:$C,0))</f>
        <v>#VALUE!</v>
      </c>
      <c r="L6" t="e">
        <f>INDEX(MultiYear_ProForma!$AA:$AA,MATCH($A6&amp;"|"&amp;"FY2030",MultiYear_ProForma!$B:$B&amp;"|"&amp;MultiYear_ProForma!$C:$C,0))</f>
        <v>#VALUE!</v>
      </c>
      <c r="M6">
        <f>AVERAGE(IF(MultiYear_ProForma!$B$2:$B$9999=$A6,MultiYear_ProForma!$AA$2:$AA$9999))</f>
        <v>0</v>
      </c>
    </row>
    <row r="7" spans="1:13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IFERROR(VLOOKUP($A7&amp;"|FY2026", MultiYear_ProForma!$A:$Y, 14, FALSE), "")</f>
        <v>0</v>
      </c>
      <c r="G7" s="7">
        <f>IFERROR(VLOOKUP($A7&amp;"|FY2030", MultiYear_ProForma!$A:$Y, 6, FALSE) + VLOOKUP($A7&amp;"|FY2030", MultiYear_ProForma!$A:$Y, 15, FALSE), "")</f>
        <v>703</v>
      </c>
      <c r="K7" t="e">
        <f>INDEX(MultiYear_ProForma!$AA:$AA,MATCH($A7&amp;"|"&amp;"FY2028",MultiYear_ProForma!$B:$B&amp;"|"&amp;MultiYear_ProForma!$C:$C,0))</f>
        <v>#VALUE!</v>
      </c>
      <c r="L7" t="e">
        <f>INDEX(MultiYear_ProForma!$AA:$AA,MATCH($A7&amp;"|"&amp;"FY2030",MultiYear_ProForma!$B:$B&amp;"|"&amp;MultiYear_ProForma!$C:$C,0))</f>
        <v>#VALUE!</v>
      </c>
      <c r="M7">
        <f>AVERAGE(IF(MultiYear_ProForma!$B$2:$B$9999=$A7,MultiYear_ProForma!$AA$2:$AA$9999))</f>
        <v>0</v>
      </c>
    </row>
    <row r="8" spans="1:13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IFERROR(VLOOKUP($A8&amp;"|FY2026", MultiYear_ProForma!$A:$Y, 14, FALSE), "")</f>
        <v>553</v>
      </c>
      <c r="G8" s="7">
        <f>IFERROR(VLOOKUP($A8&amp;"|FY2030", MultiYear_ProForma!$A:$Y, 6, FALSE) + VLOOKUP($A8&amp;"|FY2030", MultiYear_ProForma!$A:$Y, 15, FALSE), "")</f>
        <v>414.75</v>
      </c>
      <c r="K8" t="e">
        <f>INDEX(MultiYear_ProForma!$AA:$AA,MATCH($A8&amp;"|"&amp;"FY2028",MultiYear_ProForma!$B:$B&amp;"|"&amp;MultiYear_ProForma!$C:$C,0))</f>
        <v>#VALUE!</v>
      </c>
      <c r="L8" t="e">
        <f>INDEX(MultiYear_ProForma!$AA:$AA,MATCH($A8&amp;"|"&amp;"FY2030",MultiYear_ProForma!$B:$B&amp;"|"&amp;MultiYear_ProForma!$C:$C,0))</f>
        <v>#VALUE!</v>
      </c>
      <c r="M8">
        <f>AVERAGE(IF(MultiYear_ProForma!$B$2:$B$9999=$A8,MultiYear_ProForma!$AA$2:$AA$9999))</f>
        <v>0</v>
      </c>
    </row>
    <row r="9" spans="1:13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IFERROR(VLOOKUP($A9&amp;"|FY2026", MultiYear_ProForma!$A:$Y, 14, FALSE), "")</f>
        <v>553</v>
      </c>
      <c r="G9" s="7">
        <f>IFERROR(VLOOKUP($A9&amp;"|FY2030", MultiYear_ProForma!$A:$Y, 6, FALSE) + VLOOKUP($A9&amp;"|FY2030", MultiYear_ProForma!$A:$Y, 15, FALSE), "")</f>
        <v>414.75</v>
      </c>
      <c r="K9" t="e">
        <f>INDEX(MultiYear_ProForma!$AA:$AA,MATCH($A9&amp;"|"&amp;"FY2028",MultiYear_ProForma!$B:$B&amp;"|"&amp;MultiYear_ProForma!$C:$C,0))</f>
        <v>#VALUE!</v>
      </c>
      <c r="L9" t="e">
        <f>INDEX(MultiYear_ProForma!$AA:$AA,MATCH($A9&amp;"|"&amp;"FY2030",MultiYear_ProForma!$B:$B&amp;"|"&amp;MultiYear_ProForma!$C:$C,0))</f>
        <v>#VALUE!</v>
      </c>
      <c r="M9">
        <f>AVERAGE(IF(MultiYear_ProForma!$B$2:$B$9999=$A9,MultiYear_ProForma!$AA$2:$AA$9999))</f>
        <v>0</v>
      </c>
    </row>
    <row r="10" spans="1:13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IFERROR(VLOOKUP($A10&amp;"|FY2026", MultiYear_ProForma!$A:$Y, 14, FALSE), "")</f>
        <v>257</v>
      </c>
      <c r="G10" s="7">
        <f>IFERROR(VLOOKUP($A10&amp;"|FY2030", MultiYear_ProForma!$A:$Y, 6, FALSE) + VLOOKUP($A10&amp;"|FY2030", MultiYear_ProForma!$A:$Y, 15, FALSE), "")</f>
        <v>488.75</v>
      </c>
      <c r="K10" t="e">
        <f>INDEX(MultiYear_ProForma!$AA:$AA,MATCH($A10&amp;"|"&amp;"FY2028",MultiYear_ProForma!$B:$B&amp;"|"&amp;MultiYear_ProForma!$C:$C,0))</f>
        <v>#VALUE!</v>
      </c>
      <c r="L10" t="e">
        <f>INDEX(MultiYear_ProForma!$AA:$AA,MATCH($A10&amp;"|"&amp;"FY2030",MultiYear_ProForma!$B:$B&amp;"|"&amp;MultiYear_ProForma!$C:$C,0))</f>
        <v>#VALUE!</v>
      </c>
      <c r="M10">
        <f>AVERAGE(IF(MultiYear_ProForma!$B$2:$B$9999=$A10,MultiYear_ProForma!$AA$2:$AA$9999))</f>
        <v>0</v>
      </c>
    </row>
    <row r="11" spans="1:13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IFERROR(VLOOKUP($A11&amp;"|FY2026", MultiYear_ProForma!$A:$Y, 14, FALSE), "")</f>
        <v>257</v>
      </c>
      <c r="G11" s="7">
        <f>IFERROR(VLOOKUP($A11&amp;"|FY2030", MultiYear_ProForma!$A:$Y, 6, FALSE) + VLOOKUP($A11&amp;"|FY2030", MultiYear_ProForma!$A:$Y, 15, FALSE), "")</f>
        <v>488.75</v>
      </c>
      <c r="K11" t="e">
        <f>INDEX(MultiYear_ProForma!$AA:$AA,MATCH($A11&amp;"|"&amp;"FY2028",MultiYear_ProForma!$B:$B&amp;"|"&amp;MultiYear_ProForma!$C:$C,0))</f>
        <v>#VALUE!</v>
      </c>
      <c r="L11" t="e">
        <f>INDEX(MultiYear_ProForma!$AA:$AA,MATCH($A11&amp;"|"&amp;"FY2030",MultiYear_ProForma!$B:$B&amp;"|"&amp;MultiYear_ProForma!$C:$C,0))</f>
        <v>#VALUE!</v>
      </c>
      <c r="M11">
        <f>AVERAGE(IF(MultiYear_ProForma!$B$2:$B$9999=$A11,MultiYear_ProForma!$AA$2:$AA$9999))</f>
        <v>0</v>
      </c>
    </row>
    <row r="12" spans="1:13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IFERROR(VLOOKUP($A12&amp;"|FY2026", MultiYear_ProForma!$A:$Y, 14, FALSE), "")</f>
        <v>296</v>
      </c>
      <c r="G12" s="7">
        <f>IFERROR(VLOOKUP($A12&amp;"|FY2030", MultiYear_ProForma!$A:$Y, 6, FALSE) + VLOOKUP($A12&amp;"|FY2030", MultiYear_ProForma!$A:$Y, 15, FALSE), "")</f>
        <v>479</v>
      </c>
      <c r="K12" t="e">
        <f>INDEX(MultiYear_ProForma!$AA:$AA,MATCH($A12&amp;"|"&amp;"FY2028",MultiYear_ProForma!$B:$B&amp;"|"&amp;MultiYear_ProForma!$C:$C,0))</f>
        <v>#VALUE!</v>
      </c>
      <c r="L12" t="e">
        <f>INDEX(MultiYear_ProForma!$AA:$AA,MATCH($A12&amp;"|"&amp;"FY2030",MultiYear_ProForma!$B:$B&amp;"|"&amp;MultiYear_ProForma!$C:$C,0))</f>
        <v>#VALUE!</v>
      </c>
      <c r="M12">
        <f>AVERAGE(IF(MultiYear_ProForma!$B$2:$B$9999=$A12,MultiYear_ProForma!$AA$2:$AA$9999))</f>
        <v>0</v>
      </c>
    </row>
    <row r="13" spans="1:13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IFERROR(VLOOKUP($A13&amp;"|FY2026", MultiYear_ProForma!$A:$Y, 14, FALSE), "")</f>
        <v>296</v>
      </c>
      <c r="G13" s="7">
        <f>IFERROR(VLOOKUP($A13&amp;"|FY2030", MultiYear_ProForma!$A:$Y, 6, FALSE) + VLOOKUP($A13&amp;"|FY2030", MultiYear_ProForma!$A:$Y, 15, FALSE), "")</f>
        <v>479</v>
      </c>
      <c r="K13" t="e">
        <f>INDEX(MultiYear_ProForma!$AA:$AA,MATCH($A13&amp;"|"&amp;"FY2028",MultiYear_ProForma!$B:$B&amp;"|"&amp;MultiYear_ProForma!$C:$C,0))</f>
        <v>#VALUE!</v>
      </c>
      <c r="L13" t="e">
        <f>INDEX(MultiYear_ProForma!$AA:$AA,MATCH($A13&amp;"|"&amp;"FY2030",MultiYear_ProForma!$B:$B&amp;"|"&amp;MultiYear_ProForma!$C:$C,0))</f>
        <v>#VALUE!</v>
      </c>
      <c r="M13">
        <f>AVERAGE(IF(MultiYear_ProForma!$B$2:$B$9999=$A13,MultiYear_ProForma!$AA$2:$AA$9999))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zoomScale="85" zoomScaleNormal="85" workbookViewId="0">
      <pane xSplit="2" ySplit="3" topLeftCell="C4" activePane="bottomRight" state="frozen"/>
      <selection activeCell="T42" sqref="T42"/>
      <selection pane="topRight" activeCell="T42" sqref="T42"/>
      <selection pane="bottomLeft" activeCell="T42" sqref="T42"/>
      <selection pane="bottomRight"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191</v>
      </c>
    </row>
    <row r="3" spans="1:10" x14ac:dyDescent="0.35">
      <c r="A3" s="5" t="s">
        <v>192</v>
      </c>
      <c r="B3" s="4" t="s">
        <v>127</v>
      </c>
    </row>
    <row r="5" spans="1:10" x14ac:dyDescent="0.35">
      <c r="A5" t="s">
        <v>166</v>
      </c>
      <c r="B5">
        <f>1-BaselineCalc!$B$5</f>
        <v>0.99299999999999999</v>
      </c>
    </row>
    <row r="6" spans="1:10" x14ac:dyDescent="0.35">
      <c r="A6" t="s">
        <v>193</v>
      </c>
      <c r="B6">
        <f>BaselineCalc!$B$7 + BaselineCalc!$B$8</f>
        <v>553</v>
      </c>
    </row>
    <row r="8" spans="1:10" x14ac:dyDescent="0.35">
      <c r="A8" t="s">
        <v>194</v>
      </c>
    </row>
    <row r="9" spans="1:10" x14ac:dyDescent="0.35">
      <c r="A9" t="s">
        <v>195</v>
      </c>
      <c r="B9" s="2">
        <f>YearMap!B4</f>
        <v>7489.9896749999989</v>
      </c>
    </row>
    <row r="10" spans="1:10" x14ac:dyDescent="0.35">
      <c r="A10" t="s">
        <v>196</v>
      </c>
      <c r="B10" s="2">
        <f>YearMap!C4</f>
        <v>824968.86277499993</v>
      </c>
    </row>
    <row r="11" spans="1:10" x14ac:dyDescent="0.35">
      <c r="A11" t="s">
        <v>197</v>
      </c>
      <c r="B11" s="2">
        <f>YearMap!D4</f>
        <v>950158.69019999984</v>
      </c>
    </row>
    <row r="12" spans="1:10" x14ac:dyDescent="0.35">
      <c r="A12" t="s">
        <v>107</v>
      </c>
      <c r="B12">
        <f>YearMap!G4</f>
        <v>0.3</v>
      </c>
    </row>
    <row r="13" spans="1:10" x14ac:dyDescent="0.35">
      <c r="A13" t="s">
        <v>106</v>
      </c>
      <c r="B13">
        <f>YearMap!F4</f>
        <v>0.2</v>
      </c>
    </row>
    <row r="14" spans="1:10" x14ac:dyDescent="0.35">
      <c r="A14" t="s">
        <v>198</v>
      </c>
      <c r="B14" s="2">
        <f>INDEX(Summary_Costs!$B:$B, MATCH($B$3, Summary_Costs!$A:$A, 0))</f>
        <v>10625.085353249999</v>
      </c>
    </row>
    <row r="16" spans="1:10" x14ac:dyDescent="0.35">
      <c r="B16" t="s">
        <v>199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200</v>
      </c>
      <c r="C17" s="8">
        <f t="shared" ref="C17:J17" si="0">IF(($B$14-( $B$9+C16))&lt;=0,NA(),($B$5*$B$12*($B$10+$B$11))/($B$6*($B$14-( $B$9+C16))))</f>
        <v>0.32580119581064287</v>
      </c>
      <c r="D17" s="8">
        <f t="shared" si="0"/>
        <v>0.33729291364965946</v>
      </c>
      <c r="E17" s="8">
        <f t="shared" si="0"/>
        <v>0.34962494708936237</v>
      </c>
      <c r="F17" s="8">
        <f t="shared" si="0"/>
        <v>0.37720772829079707</v>
      </c>
      <c r="G17" s="8">
        <f t="shared" si="0"/>
        <v>0.4095154175905768</v>
      </c>
      <c r="H17" s="8">
        <f t="shared" si="0"/>
        <v>0.44787579851048298</v>
      </c>
      <c r="I17" s="8">
        <f t="shared" si="0"/>
        <v>0.49416558185758019</v>
      </c>
      <c r="J17" s="8">
        <f t="shared" si="0"/>
        <v>0.58483285994368084</v>
      </c>
    </row>
    <row r="18" spans="1:10" x14ac:dyDescent="0.35">
      <c r="A18" t="s">
        <v>201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202</v>
      </c>
    </row>
    <row r="23" spans="1:10" x14ac:dyDescent="0.35">
      <c r="A23" t="s">
        <v>195</v>
      </c>
      <c r="B23" s="2">
        <f>YearMap!B6</f>
        <v>7869.1704022968725</v>
      </c>
    </row>
    <row r="24" spans="1:10" x14ac:dyDescent="0.35">
      <c r="A24" t="s">
        <v>196</v>
      </c>
      <c r="B24" s="2">
        <f>YearMap!C6</f>
        <v>866732.91145298409</v>
      </c>
    </row>
    <row r="25" spans="1:10" x14ac:dyDescent="0.35">
      <c r="A25" t="s">
        <v>197</v>
      </c>
      <c r="B25" s="2">
        <f>YearMap!D6</f>
        <v>998260.47389137466</v>
      </c>
    </row>
    <row r="26" spans="1:10" x14ac:dyDescent="0.35">
      <c r="A26" t="s">
        <v>107</v>
      </c>
      <c r="B26">
        <f>YearMap!G6</f>
        <v>0.2</v>
      </c>
    </row>
    <row r="27" spans="1:10" x14ac:dyDescent="0.35">
      <c r="A27" t="s">
        <v>106</v>
      </c>
      <c r="B27">
        <f>YearMap!F6</f>
        <v>0</v>
      </c>
    </row>
    <row r="28" spans="1:10" x14ac:dyDescent="0.35">
      <c r="A28" t="s">
        <v>203</v>
      </c>
      <c r="B28" s="2">
        <f>INDEX(Summary_Costs!$C:$C, MATCH($B$3, Summary_Costs!$A:$A, 0))</f>
        <v>11162.980299258277</v>
      </c>
    </row>
    <row r="30" spans="1:10" x14ac:dyDescent="0.35">
      <c r="B30" t="s">
        <v>199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204</v>
      </c>
      <c r="C31" s="8">
        <f t="shared" ref="C31:J31" si="2">IF(($B$28-( $B$23+C30))&lt;=0,NA(),($B$5*$B$26*($B$24+$B$25))/($B$6*($B$28-( $B$23+C30))))</f>
        <v>0.21648997199644426</v>
      </c>
      <c r="D31" s="8">
        <f t="shared" si="2"/>
        <v>0.22372122513032469</v>
      </c>
      <c r="E31" s="8">
        <f t="shared" si="2"/>
        <v>0.23145225215339352</v>
      </c>
      <c r="F31" s="8">
        <f t="shared" si="2"/>
        <v>0.24863626000891961</v>
      </c>
      <c r="G31" s="8">
        <f t="shared" si="2"/>
        <v>0.26857653374926138</v>
      </c>
      <c r="H31" s="8">
        <f t="shared" si="2"/>
        <v>0.29199403962932957</v>
      </c>
      <c r="I31" s="8">
        <f t="shared" si="2"/>
        <v>0.31988520969716427</v>
      </c>
      <c r="J31" s="8">
        <f t="shared" si="2"/>
        <v>0.37338338866903231</v>
      </c>
    </row>
    <row r="32" spans="1:10" x14ac:dyDescent="0.35">
      <c r="A32" t="s">
        <v>205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206</v>
      </c>
    </row>
    <row r="2" spans="1:2" x14ac:dyDescent="0.35">
      <c r="B2" s="5" t="s">
        <v>207</v>
      </c>
    </row>
    <row r="3" spans="1:2" x14ac:dyDescent="0.35">
      <c r="B3" t="s">
        <v>208</v>
      </c>
    </row>
    <row r="5" spans="1:2" x14ac:dyDescent="0.35">
      <c r="B5" s="5" t="s">
        <v>209</v>
      </c>
    </row>
    <row r="6" spans="1:2" x14ac:dyDescent="0.35">
      <c r="B6" t="s">
        <v>210</v>
      </c>
    </row>
    <row r="8" spans="1:2" x14ac:dyDescent="0.35">
      <c r="B8" s="5" t="s">
        <v>211</v>
      </c>
    </row>
    <row r="9" spans="1:2" x14ac:dyDescent="0.35">
      <c r="B9" t="s">
        <v>212</v>
      </c>
    </row>
    <row r="11" spans="1:2" x14ac:dyDescent="0.35">
      <c r="B11" s="5" t="s">
        <v>213</v>
      </c>
    </row>
    <row r="12" spans="1:2" x14ac:dyDescent="0.35">
      <c r="B12" t="s">
        <v>214</v>
      </c>
    </row>
    <row r="17" spans="1:2" x14ac:dyDescent="0.35">
      <c r="A17" s="5" t="s">
        <v>215</v>
      </c>
    </row>
    <row r="18" spans="1:2" x14ac:dyDescent="0.35">
      <c r="B18" t="s">
        <v>62</v>
      </c>
    </row>
    <row r="19" spans="1:2" x14ac:dyDescent="0.35">
      <c r="B19" t="s">
        <v>64</v>
      </c>
    </row>
    <row r="20" spans="1:2" x14ac:dyDescent="0.35">
      <c r="B20" t="s">
        <v>66</v>
      </c>
    </row>
    <row r="21" spans="1:2" x14ac:dyDescent="0.35">
      <c r="B21" t="s">
        <v>68</v>
      </c>
    </row>
    <row r="22" spans="1:2" x14ac:dyDescent="0.35">
      <c r="B22" t="s">
        <v>70</v>
      </c>
    </row>
    <row r="23" spans="1:2" x14ac:dyDescent="0.35">
      <c r="B23" t="s">
        <v>72</v>
      </c>
    </row>
    <row r="24" spans="1:2" x14ac:dyDescent="0.35">
      <c r="B24" t="s">
        <v>73</v>
      </c>
    </row>
    <row r="25" spans="1:2" x14ac:dyDescent="0.35">
      <c r="B25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5" x14ac:dyDescent="0.35"/>
  <sheetData>
    <row r="1" spans="1:3" x14ac:dyDescent="0.35">
      <c r="A1" t="s">
        <v>114</v>
      </c>
      <c r="B1" t="s">
        <v>216</v>
      </c>
      <c r="C1" t="s">
        <v>217</v>
      </c>
    </row>
    <row r="2" spans="1:3" x14ac:dyDescent="0.35">
      <c r="A2" t="s">
        <v>147</v>
      </c>
      <c r="B2" t="s">
        <v>218</v>
      </c>
      <c r="C2" t="s">
        <v>219</v>
      </c>
    </row>
    <row r="3" spans="1:3" x14ac:dyDescent="0.35">
      <c r="A3" t="s">
        <v>143</v>
      </c>
      <c r="B3" t="s">
        <v>218</v>
      </c>
      <c r="C3" t="s">
        <v>219</v>
      </c>
    </row>
    <row r="4" spans="1:3" x14ac:dyDescent="0.35">
      <c r="A4" t="s">
        <v>133</v>
      </c>
      <c r="B4" t="s">
        <v>220</v>
      </c>
      <c r="C4" t="s">
        <v>221</v>
      </c>
    </row>
    <row r="5" spans="1:3" x14ac:dyDescent="0.35">
      <c r="A5" t="s">
        <v>127</v>
      </c>
      <c r="B5" t="s">
        <v>220</v>
      </c>
      <c r="C5" t="s">
        <v>222</v>
      </c>
    </row>
    <row r="6" spans="1:3" x14ac:dyDescent="0.35">
      <c r="A6" t="s">
        <v>136</v>
      </c>
      <c r="B6" t="s">
        <v>220</v>
      </c>
      <c r="C6" t="s">
        <v>222</v>
      </c>
    </row>
    <row r="7" spans="1:3" x14ac:dyDescent="0.35">
      <c r="A7" t="s">
        <v>6</v>
      </c>
      <c r="B7" t="s">
        <v>220</v>
      </c>
      <c r="C7" t="s">
        <v>222</v>
      </c>
    </row>
    <row r="8" spans="1:3" x14ac:dyDescent="0.35">
      <c r="A8" t="s">
        <v>130</v>
      </c>
      <c r="B8" t="s">
        <v>223</v>
      </c>
      <c r="C8" t="s">
        <v>221</v>
      </c>
    </row>
    <row r="9" spans="1:3" x14ac:dyDescent="0.35">
      <c r="A9" t="s">
        <v>8</v>
      </c>
      <c r="B9" t="s">
        <v>220</v>
      </c>
      <c r="C9" t="s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selection activeCell="F31" sqref="F31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191</v>
      </c>
    </row>
    <row r="3" spans="1:10" x14ac:dyDescent="0.35">
      <c r="A3" s="5" t="s">
        <v>192</v>
      </c>
      <c r="B3" s="4" t="str">
        <f>Dashboard!$B$6</f>
        <v>D_Grow_Both_150</v>
      </c>
    </row>
    <row r="5" spans="1:10" x14ac:dyDescent="0.35">
      <c r="A5" t="s">
        <v>166</v>
      </c>
      <c r="B5">
        <f>1-BaselineCalc!$B$5</f>
        <v>0.99299999999999999</v>
      </c>
    </row>
    <row r="6" spans="1:10" x14ac:dyDescent="0.35">
      <c r="A6" t="s">
        <v>193</v>
      </c>
      <c r="B6">
        <f>BaselineCalc!$B$7 + BaselineCalc!$B$8</f>
        <v>553</v>
      </c>
    </row>
    <row r="8" spans="1:10" x14ac:dyDescent="0.35">
      <c r="A8" t="s">
        <v>194</v>
      </c>
    </row>
    <row r="9" spans="1:10" x14ac:dyDescent="0.35">
      <c r="A9" t="s">
        <v>195</v>
      </c>
      <c r="B9" s="2">
        <f>YearMap!B4</f>
        <v>7489.9896749999989</v>
      </c>
    </row>
    <row r="10" spans="1:10" x14ac:dyDescent="0.35">
      <c r="A10" t="s">
        <v>196</v>
      </c>
      <c r="B10" s="2">
        <f>YearMap!C4</f>
        <v>824968.86277499993</v>
      </c>
    </row>
    <row r="11" spans="1:10" x14ac:dyDescent="0.35">
      <c r="A11" t="s">
        <v>197</v>
      </c>
      <c r="B11" s="2">
        <f>YearMap!D4</f>
        <v>950158.69019999984</v>
      </c>
    </row>
    <row r="12" spans="1:10" x14ac:dyDescent="0.35">
      <c r="A12" t="s">
        <v>107</v>
      </c>
      <c r="B12">
        <f>YearMap!G4</f>
        <v>0.3</v>
      </c>
    </row>
    <row r="13" spans="1:10" x14ac:dyDescent="0.35">
      <c r="A13" t="s">
        <v>106</v>
      </c>
      <c r="B13">
        <f>YearMap!F4</f>
        <v>0.2</v>
      </c>
    </row>
    <row r="14" spans="1:10" x14ac:dyDescent="0.35">
      <c r="A14" t="s">
        <v>198</v>
      </c>
      <c r="B14" s="2">
        <f>INDEX(Summary_Costs!$B:$B, MATCH($B$3, Summary_Costs!$A:$A, 0))</f>
        <v>9944.9589792866263</v>
      </c>
    </row>
    <row r="16" spans="1:10" x14ac:dyDescent="0.35">
      <c r="B16" t="s">
        <v>199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200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201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202</v>
      </c>
    </row>
    <row r="23" spans="1:10" x14ac:dyDescent="0.35">
      <c r="A23" t="s">
        <v>195</v>
      </c>
      <c r="B23" s="2">
        <f>YearMap!B6</f>
        <v>7869.1704022968725</v>
      </c>
    </row>
    <row r="24" spans="1:10" x14ac:dyDescent="0.35">
      <c r="A24" t="s">
        <v>196</v>
      </c>
      <c r="B24" s="2">
        <f>YearMap!C6</f>
        <v>866732.91145298409</v>
      </c>
    </row>
    <row r="25" spans="1:10" x14ac:dyDescent="0.35">
      <c r="A25" t="s">
        <v>197</v>
      </c>
      <c r="B25" s="2">
        <f>YearMap!D6</f>
        <v>998260.47389137466</v>
      </c>
    </row>
    <row r="26" spans="1:10" x14ac:dyDescent="0.35">
      <c r="A26" t="s">
        <v>107</v>
      </c>
      <c r="B26">
        <f>YearMap!G6</f>
        <v>0.2</v>
      </c>
    </row>
    <row r="27" spans="1:10" x14ac:dyDescent="0.35">
      <c r="A27" t="s">
        <v>106</v>
      </c>
      <c r="B27">
        <f>YearMap!F6</f>
        <v>0</v>
      </c>
    </row>
    <row r="28" spans="1:10" x14ac:dyDescent="0.35">
      <c r="A28" t="s">
        <v>203</v>
      </c>
      <c r="B28" s="2">
        <f>INDEX(Summary_Costs!$C:$C, MATCH($B$3, Summary_Costs!$A:$A, 0))</f>
        <v>10448.422527613011</v>
      </c>
    </row>
    <row r="30" spans="1:10" x14ac:dyDescent="0.35">
      <c r="B30" t="s">
        <v>199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204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205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workbookViewId="0">
      <selection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191</v>
      </c>
    </row>
    <row r="3" spans="1:10" x14ac:dyDescent="0.35">
      <c r="A3" s="5" t="s">
        <v>192</v>
      </c>
      <c r="B3" s="4" t="str">
        <f>Dashboard!$B$7</f>
        <v>G_DHub_EchoRamp</v>
      </c>
    </row>
    <row r="5" spans="1:10" x14ac:dyDescent="0.35">
      <c r="A5" t="s">
        <v>166</v>
      </c>
      <c r="B5">
        <f>1-BaselineCalc!$B$5</f>
        <v>0.99299999999999999</v>
      </c>
    </row>
    <row r="6" spans="1:10" x14ac:dyDescent="0.35">
      <c r="A6" t="s">
        <v>193</v>
      </c>
      <c r="B6">
        <f>BaselineCalc!$B$7 + BaselineCalc!$B$8</f>
        <v>553</v>
      </c>
    </row>
    <row r="8" spans="1:10" x14ac:dyDescent="0.35">
      <c r="A8" t="s">
        <v>194</v>
      </c>
    </row>
    <row r="9" spans="1:10" x14ac:dyDescent="0.35">
      <c r="A9" t="s">
        <v>195</v>
      </c>
      <c r="B9" s="2">
        <f>YearMap!B4</f>
        <v>7489.9896749999989</v>
      </c>
    </row>
    <row r="10" spans="1:10" x14ac:dyDescent="0.35">
      <c r="A10" t="s">
        <v>196</v>
      </c>
      <c r="B10" s="2">
        <f>YearMap!C4</f>
        <v>824968.86277499993</v>
      </c>
    </row>
    <row r="11" spans="1:10" x14ac:dyDescent="0.35">
      <c r="A11" t="s">
        <v>197</v>
      </c>
      <c r="B11" s="2">
        <f>YearMap!D4</f>
        <v>950158.69019999984</v>
      </c>
    </row>
    <row r="12" spans="1:10" x14ac:dyDescent="0.35">
      <c r="A12" t="s">
        <v>107</v>
      </c>
      <c r="B12">
        <f>YearMap!G4</f>
        <v>0.3</v>
      </c>
    </row>
    <row r="13" spans="1:10" x14ac:dyDescent="0.35">
      <c r="A13" t="s">
        <v>106</v>
      </c>
      <c r="B13">
        <f>YearMap!F4</f>
        <v>0.2</v>
      </c>
    </row>
    <row r="14" spans="1:10" x14ac:dyDescent="0.35">
      <c r="A14" t="s">
        <v>198</v>
      </c>
      <c r="B14" s="2">
        <f>INDEX(Summary_Costs!$B:$B, MATCH($B$3, Summary_Costs!$A:$A, 0))</f>
        <v>9944.9589792866263</v>
      </c>
    </row>
    <row r="16" spans="1:10" x14ac:dyDescent="0.35">
      <c r="B16" t="s">
        <v>199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200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201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202</v>
      </c>
    </row>
    <row r="23" spans="1:10" x14ac:dyDescent="0.35">
      <c r="A23" t="s">
        <v>195</v>
      </c>
      <c r="B23" s="2">
        <f>YearMap!B6</f>
        <v>7869.1704022968725</v>
      </c>
    </row>
    <row r="24" spans="1:10" x14ac:dyDescent="0.35">
      <c r="A24" t="s">
        <v>196</v>
      </c>
      <c r="B24" s="2">
        <f>YearMap!C6</f>
        <v>866732.91145298409</v>
      </c>
    </row>
    <row r="25" spans="1:10" x14ac:dyDescent="0.35">
      <c r="A25" t="s">
        <v>197</v>
      </c>
      <c r="B25" s="2">
        <f>YearMap!D6</f>
        <v>998260.47389137466</v>
      </c>
    </row>
    <row r="26" spans="1:10" x14ac:dyDescent="0.35">
      <c r="A26" t="s">
        <v>107</v>
      </c>
      <c r="B26">
        <f>YearMap!G6</f>
        <v>0.2</v>
      </c>
    </row>
    <row r="27" spans="1:10" x14ac:dyDescent="0.35">
      <c r="A27" t="s">
        <v>106</v>
      </c>
      <c r="B27">
        <f>YearMap!F6</f>
        <v>0</v>
      </c>
    </row>
    <row r="28" spans="1:10" x14ac:dyDescent="0.35">
      <c r="A28" t="s">
        <v>203</v>
      </c>
      <c r="B28" s="2">
        <f>INDEX(Summary_Costs!$C:$C, MATCH($B$3, Summary_Costs!$A:$A, 0))</f>
        <v>10448.422527613011</v>
      </c>
    </row>
    <row r="30" spans="1:10" x14ac:dyDescent="0.35">
      <c r="B30" t="s">
        <v>199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204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205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Cards</vt:lpstr>
      <vt:lpstr>BaselineCalc</vt:lpstr>
      <vt:lpstr>YearMap</vt:lpstr>
      <vt:lpstr>Scenarios</vt:lpstr>
      <vt:lpstr>MultiYear_ProForma</vt:lpstr>
      <vt:lpstr>Summary_Costs</vt:lpstr>
      <vt:lpstr>BreakEven</vt:lpstr>
      <vt:lpstr>Notes</vt:lpstr>
      <vt:lpstr>Attributes</vt:lpstr>
      <vt:lpstr>BreakEven_X</vt:lpstr>
      <vt:lpstr>BreakEven_Y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2025-10-23T00:50:11Z</dcterms:modified>
</cp:coreProperties>
</file>