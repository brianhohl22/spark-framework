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7b1534c68434be/Desktop/3.Emi^0Irie/8.Echo Canyon/Echo future/"/>
    </mc:Choice>
  </mc:AlternateContent>
  <xr:revisionPtr revIDLastSave="13" documentId="8_{0D9AE639-3A47-4A2C-820D-274749DFF090}" xr6:coauthVersionLast="47" xr6:coauthVersionMax="47" xr10:uidLastSave="{E2CE43D3-0FB0-4218-B106-805D190FF430}"/>
  <bookViews>
    <workbookView xWindow="-110" yWindow="-110" windowWidth="19420" windowHeight="10300" xr2:uid="{00000000-000D-0000-FFFF-FFFF00000000}"/>
  </bookViews>
  <sheets>
    <sheet name="Assumptions" sheetId="1" r:id="rId1"/>
    <sheet name="MultiYear_ProForma" sheetId="2" r:id="rId2"/>
    <sheet name="Summary_Costs" sheetId="3" r:id="rId3"/>
    <sheet name="Cohort_Served" sheetId="4" r:id="rId4"/>
    <sheet name="BreakEven_FY2028" sheetId="5" r:id="rId5"/>
    <sheet name="BreakEven_FY2030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6" l="1"/>
  <c r="J16" i="2"/>
</calcChain>
</file>

<file path=xl/sharedStrings.xml><?xml version="1.0" encoding="utf-8"?>
<sst xmlns="http://schemas.openxmlformats.org/spreadsheetml/2006/main" count="667" uniqueCount="61">
  <si>
    <t>Assumption</t>
  </si>
  <si>
    <t>Value</t>
  </si>
  <si>
    <t>MO inflation</t>
  </si>
  <si>
    <t>BLA FY26</t>
  </si>
  <si>
    <t>Students/teacher</t>
  </si>
  <si>
    <t>Teacher total comp</t>
  </si>
  <si>
    <t>Ops per student</t>
  </si>
  <si>
    <t>Retention low</t>
  </si>
  <si>
    <t>Retention central</t>
  </si>
  <si>
    <t>Retention high</t>
  </si>
  <si>
    <t>Year</t>
  </si>
  <si>
    <t>FixedCarry_Lease</t>
  </si>
  <si>
    <t>FixedCarry_Ops</t>
  </si>
  <si>
    <t>ReceivingOverhead</t>
  </si>
  <si>
    <t>FY2026</t>
  </si>
  <si>
    <t>FY2027</t>
  </si>
  <si>
    <t>FY2028</t>
  </si>
  <si>
    <t>FY2029</t>
  </si>
  <si>
    <t>FY2030</t>
  </si>
  <si>
    <t>Scenario</t>
  </si>
  <si>
    <t>Overlay</t>
  </si>
  <si>
    <t>Echo_ADM</t>
  </si>
  <si>
    <t>Pima_ADM</t>
  </si>
  <si>
    <t>Total_ADM</t>
  </si>
  <si>
    <t>Total_MO_$</t>
  </si>
  <si>
    <t>MO_per_ADM_$</t>
  </si>
  <si>
    <t>Utilization_%</t>
  </si>
  <si>
    <t>D_Grow_Both</t>
  </si>
  <si>
    <t>E_StatusQuo_Targets</t>
  </si>
  <si>
    <t>F_CoLocation_Echo</t>
  </si>
  <si>
    <t>G_DHub_EchoRamp</t>
  </si>
  <si>
    <t>A_Repurpose_Both_lease</t>
  </si>
  <si>
    <t>A_Repurpose_Both_ops</t>
  </si>
  <si>
    <t>B_Repurpose_Echo_Grow_Pima_lease</t>
  </si>
  <si>
    <t>B_Repurpose_Echo_Grow_Pima_ops</t>
  </si>
  <si>
    <t>C_Repurpose_Pima_Grow_Echo_lease</t>
  </si>
  <si>
    <t>C_Repurpose_Pima_Grow_Echo_ops</t>
  </si>
  <si>
    <t>Comparable_$FY2028</t>
  </si>
  <si>
    <t>Comparable_$FY2030</t>
  </si>
  <si>
    <t>Comparable_3yrAvg_$</t>
  </si>
  <si>
    <t>NPV5_MO_$</t>
  </si>
  <si>
    <t>ScenarioLabel</t>
  </si>
  <si>
    <t>A. Repurpose Both (Lease/Sale path)</t>
  </si>
  <si>
    <t>A. Repurpose Both (Ops repurpose)</t>
  </si>
  <si>
    <t>B. Repurpose Echo; Grow Pima (Lease path)</t>
  </si>
  <si>
    <t>B. Repurpose Echo; Grow Pima (Ops path)</t>
  </si>
  <si>
    <t>C. Repurpose Pima; Grow Echo (Lease path)</t>
  </si>
  <si>
    <t>C. Repurpose Pima; Grow Echo (Ops path)</t>
  </si>
  <si>
    <t>D. Grow Both</t>
  </si>
  <si>
    <t>E. Status‑Quo + Targets</t>
  </si>
  <si>
    <t>F. Co‑Location @ Echo</t>
  </si>
  <si>
    <t>G. D‑Hub @ Echo (Ramp +70/30)</t>
  </si>
  <si>
    <t>SUSD_served</t>
  </si>
  <si>
    <t>Δ vs Baseline</t>
  </si>
  <si>
    <t>Target</t>
  </si>
  <si>
    <t>FixedCarry_f</t>
  </si>
  <si>
    <t>Overhead_h</t>
  </si>
  <si>
    <t>r*_retention_needed</t>
  </si>
  <si>
    <t>Umbrella</t>
  </si>
  <si>
    <t>Lease/Sale</t>
  </si>
  <si>
    <t>Ops Repurpose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</si>
</sst>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B5" sqref="B5"/>
    </sheetView>
  </sheetViews>
  <sheetFormatPr defaultRowHeight="14.5" x14ac:dyDescent="0.35"/>
  <cols>
    <col min="1" max="1" width="17" bestFit="1" customWidth="1"/>
    <col min="2" max="2" width="7.81640625" bestFit="1" customWidth="1"/>
    <col min="6" max="6" width="6.7265625" bestFit="1" customWidth="1"/>
    <col min="7" max="7" width="15.36328125" bestFit="1" customWidth="1"/>
    <col min="8" max="8" width="14" bestFit="1" customWidth="1"/>
    <col min="9" max="9" width="16.81640625" bestFit="1" customWidth="1"/>
  </cols>
  <sheetData>
    <row r="1" spans="1:9" x14ac:dyDescent="0.35">
      <c r="A1" s="1" t="s">
        <v>0</v>
      </c>
      <c r="B1" s="1" t="s">
        <v>1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 x14ac:dyDescent="0.35">
      <c r="A2" t="s">
        <v>2</v>
      </c>
      <c r="B2">
        <v>2.5000000000000001E-2</v>
      </c>
      <c r="F2" t="s">
        <v>14</v>
      </c>
      <c r="G2">
        <v>0.4</v>
      </c>
      <c r="H2">
        <v>0.4</v>
      </c>
      <c r="I2">
        <v>1000</v>
      </c>
    </row>
    <row r="3" spans="1:9" x14ac:dyDescent="0.35">
      <c r="A3" t="s">
        <v>3</v>
      </c>
      <c r="B3">
        <v>5113.26</v>
      </c>
      <c r="F3" t="s">
        <v>15</v>
      </c>
      <c r="G3">
        <v>0.3</v>
      </c>
      <c r="H3">
        <v>0.35</v>
      </c>
      <c r="I3">
        <v>800</v>
      </c>
    </row>
    <row r="4" spans="1:9" x14ac:dyDescent="0.35">
      <c r="A4" t="s">
        <v>4</v>
      </c>
      <c r="B4">
        <v>26</v>
      </c>
      <c r="F4" t="s">
        <v>16</v>
      </c>
      <c r="G4">
        <v>0.2</v>
      </c>
      <c r="H4">
        <v>0.3</v>
      </c>
      <c r="I4">
        <v>600</v>
      </c>
    </row>
    <row r="5" spans="1:9" x14ac:dyDescent="0.35">
      <c r="A5" t="s">
        <v>5</v>
      </c>
      <c r="B5">
        <v>89600</v>
      </c>
      <c r="F5" t="s">
        <v>17</v>
      </c>
      <c r="G5">
        <v>0.1</v>
      </c>
      <c r="H5">
        <v>0.25</v>
      </c>
      <c r="I5">
        <v>400</v>
      </c>
    </row>
    <row r="6" spans="1:9" x14ac:dyDescent="0.35">
      <c r="A6" t="s">
        <v>6</v>
      </c>
      <c r="B6">
        <v>300</v>
      </c>
      <c r="F6" t="s">
        <v>18</v>
      </c>
      <c r="G6">
        <v>0</v>
      </c>
      <c r="H6">
        <v>0.2</v>
      </c>
      <c r="I6">
        <v>300</v>
      </c>
    </row>
    <row r="7" spans="1:9" x14ac:dyDescent="0.35">
      <c r="A7" t="s">
        <v>7</v>
      </c>
      <c r="B7">
        <v>0.65</v>
      </c>
    </row>
    <row r="8" spans="1:9" x14ac:dyDescent="0.35">
      <c r="A8" t="s">
        <v>8</v>
      </c>
      <c r="B8">
        <v>0.75</v>
      </c>
    </row>
    <row r="9" spans="1:9" x14ac:dyDescent="0.35">
      <c r="A9" t="s">
        <v>9</v>
      </c>
      <c r="B9">
        <v>0.85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7" sqref="G7"/>
    </sheetView>
  </sheetViews>
  <sheetFormatPr defaultRowHeight="14.5" x14ac:dyDescent="0.35"/>
  <cols>
    <col min="1" max="1" width="33.36328125" bestFit="1" customWidth="1"/>
    <col min="2" max="2" width="7.1796875" bestFit="1" customWidth="1"/>
    <col min="3" max="3" width="6.7265625" bestFit="1" customWidth="1"/>
    <col min="4" max="4" width="10" bestFit="1" customWidth="1"/>
    <col min="5" max="5" width="10.1796875" bestFit="1" customWidth="1"/>
    <col min="6" max="6" width="10.26953125" bestFit="1" customWidth="1"/>
    <col min="7" max="7" width="11.1796875" bestFit="1" customWidth="1"/>
    <col min="8" max="8" width="15" bestFit="1" customWidth="1"/>
    <col min="9" max="9" width="11.81640625" bestFit="1" customWidth="1"/>
  </cols>
  <sheetData>
    <row r="1" spans="1:10" x14ac:dyDescent="0.35">
      <c r="A1" s="1" t="s">
        <v>19</v>
      </c>
      <c r="B1" s="1" t="s">
        <v>20</v>
      </c>
      <c r="C1" s="1" t="s">
        <v>10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10" x14ac:dyDescent="0.35">
      <c r="A2" t="s">
        <v>27</v>
      </c>
      <c r="B2">
        <v>0</v>
      </c>
      <c r="C2" t="s">
        <v>14</v>
      </c>
      <c r="D2">
        <v>257</v>
      </c>
      <c r="E2">
        <v>296</v>
      </c>
      <c r="F2">
        <v>553</v>
      </c>
      <c r="G2">
        <v>5592549</v>
      </c>
      <c r="H2">
        <v>10113</v>
      </c>
      <c r="I2">
        <v>37.700000000000003</v>
      </c>
    </row>
    <row r="3" spans="1:10" x14ac:dyDescent="0.35">
      <c r="A3" t="s">
        <v>27</v>
      </c>
      <c r="B3">
        <v>0</v>
      </c>
      <c r="C3" t="s">
        <v>15</v>
      </c>
      <c r="D3">
        <v>257</v>
      </c>
      <c r="E3">
        <v>296</v>
      </c>
      <c r="F3">
        <v>553</v>
      </c>
      <c r="G3">
        <v>5732363</v>
      </c>
      <c r="H3">
        <v>10366</v>
      </c>
      <c r="I3">
        <v>37.700000000000003</v>
      </c>
    </row>
    <row r="4" spans="1:10" x14ac:dyDescent="0.35">
      <c r="A4" t="s">
        <v>27</v>
      </c>
      <c r="B4">
        <v>0</v>
      </c>
      <c r="C4" t="s">
        <v>16</v>
      </c>
      <c r="D4">
        <v>257</v>
      </c>
      <c r="E4">
        <v>296</v>
      </c>
      <c r="F4">
        <v>553</v>
      </c>
      <c r="G4">
        <v>5875672</v>
      </c>
      <c r="H4">
        <v>10625</v>
      </c>
      <c r="I4">
        <v>37.700000000000003</v>
      </c>
    </row>
    <row r="5" spans="1:10" x14ac:dyDescent="0.35">
      <c r="A5" t="s">
        <v>27</v>
      </c>
      <c r="B5">
        <v>0</v>
      </c>
      <c r="C5" t="s">
        <v>17</v>
      </c>
      <c r="D5">
        <v>257</v>
      </c>
      <c r="E5">
        <v>296</v>
      </c>
      <c r="F5">
        <v>553</v>
      </c>
      <c r="G5">
        <v>6022564</v>
      </c>
      <c r="H5">
        <v>10891</v>
      </c>
      <c r="I5">
        <v>37.700000000000003</v>
      </c>
    </row>
    <row r="6" spans="1:10" x14ac:dyDescent="0.35">
      <c r="A6" t="s">
        <v>27</v>
      </c>
      <c r="B6">
        <v>0</v>
      </c>
      <c r="C6" t="s">
        <v>18</v>
      </c>
      <c r="D6">
        <v>257</v>
      </c>
      <c r="E6">
        <v>296</v>
      </c>
      <c r="F6">
        <v>553</v>
      </c>
      <c r="G6">
        <v>6173128</v>
      </c>
      <c r="H6" s="2">
        <v>11163</v>
      </c>
      <c r="I6">
        <v>37.700000000000003</v>
      </c>
    </row>
    <row r="7" spans="1:10" x14ac:dyDescent="0.35">
      <c r="A7" t="s">
        <v>28</v>
      </c>
      <c r="B7">
        <v>0</v>
      </c>
      <c r="C7" t="s">
        <v>14</v>
      </c>
      <c r="D7">
        <v>257</v>
      </c>
      <c r="E7">
        <v>296</v>
      </c>
      <c r="F7">
        <v>553</v>
      </c>
      <c r="G7">
        <v>5592549</v>
      </c>
      <c r="H7">
        <v>10113</v>
      </c>
      <c r="I7">
        <v>37.700000000000003</v>
      </c>
    </row>
    <row r="8" spans="1:10" x14ac:dyDescent="0.35">
      <c r="A8" t="s">
        <v>28</v>
      </c>
      <c r="B8">
        <v>0</v>
      </c>
      <c r="C8" t="s">
        <v>15</v>
      </c>
      <c r="D8">
        <v>257</v>
      </c>
      <c r="E8">
        <v>296</v>
      </c>
      <c r="F8">
        <v>553</v>
      </c>
      <c r="G8">
        <v>5732363</v>
      </c>
      <c r="H8">
        <v>10366</v>
      </c>
      <c r="I8">
        <v>37.700000000000003</v>
      </c>
    </row>
    <row r="9" spans="1:10" x14ac:dyDescent="0.35">
      <c r="A9" t="s">
        <v>28</v>
      </c>
      <c r="B9">
        <v>0</v>
      </c>
      <c r="C9" t="s">
        <v>16</v>
      </c>
      <c r="D9">
        <v>257</v>
      </c>
      <c r="E9">
        <v>296</v>
      </c>
      <c r="F9">
        <v>553</v>
      </c>
      <c r="G9">
        <v>5875672</v>
      </c>
      <c r="H9">
        <v>10625</v>
      </c>
      <c r="I9">
        <v>37.700000000000003</v>
      </c>
    </row>
    <row r="10" spans="1:10" x14ac:dyDescent="0.35">
      <c r="A10" t="s">
        <v>28</v>
      </c>
      <c r="B10">
        <v>0</v>
      </c>
      <c r="C10" t="s">
        <v>17</v>
      </c>
      <c r="D10">
        <v>257</v>
      </c>
      <c r="E10">
        <v>296</v>
      </c>
      <c r="F10">
        <v>553</v>
      </c>
      <c r="G10">
        <v>6022564</v>
      </c>
      <c r="H10">
        <v>10891</v>
      </c>
      <c r="I10">
        <v>37.700000000000003</v>
      </c>
    </row>
    <row r="11" spans="1:10" x14ac:dyDescent="0.35">
      <c r="A11" t="s">
        <v>28</v>
      </c>
      <c r="B11">
        <v>0</v>
      </c>
      <c r="C11" t="s">
        <v>18</v>
      </c>
      <c r="D11">
        <v>257</v>
      </c>
      <c r="E11">
        <v>296</v>
      </c>
      <c r="F11">
        <v>553</v>
      </c>
      <c r="G11">
        <v>6173128</v>
      </c>
      <c r="H11">
        <v>11163</v>
      </c>
      <c r="I11">
        <v>37.700000000000003</v>
      </c>
    </row>
    <row r="12" spans="1:10" x14ac:dyDescent="0.35">
      <c r="A12" t="s">
        <v>29</v>
      </c>
      <c r="B12">
        <v>0</v>
      </c>
      <c r="C12" t="s">
        <v>14</v>
      </c>
      <c r="D12">
        <v>257</v>
      </c>
      <c r="E12">
        <v>296</v>
      </c>
      <c r="F12">
        <v>553</v>
      </c>
      <c r="G12">
        <v>5508661</v>
      </c>
      <c r="H12">
        <v>9961</v>
      </c>
      <c r="I12">
        <v>37.700000000000003</v>
      </c>
    </row>
    <row r="13" spans="1:10" x14ac:dyDescent="0.35">
      <c r="A13" t="s">
        <v>29</v>
      </c>
      <c r="B13">
        <v>0</v>
      </c>
      <c r="C13" t="s">
        <v>15</v>
      </c>
      <c r="D13">
        <v>257</v>
      </c>
      <c r="E13">
        <v>296</v>
      </c>
      <c r="F13">
        <v>553</v>
      </c>
      <c r="G13">
        <v>5646378</v>
      </c>
      <c r="H13">
        <v>10210</v>
      </c>
      <c r="I13">
        <v>37.700000000000003</v>
      </c>
    </row>
    <row r="14" spans="1:10" x14ac:dyDescent="0.35">
      <c r="A14" t="s">
        <v>29</v>
      </c>
      <c r="B14">
        <v>0</v>
      </c>
      <c r="C14" t="s">
        <v>16</v>
      </c>
      <c r="D14">
        <v>257</v>
      </c>
      <c r="E14">
        <v>296</v>
      </c>
      <c r="F14">
        <v>553</v>
      </c>
      <c r="G14">
        <v>5787537</v>
      </c>
      <c r="H14">
        <v>10466</v>
      </c>
      <c r="I14">
        <v>37.700000000000003</v>
      </c>
    </row>
    <row r="15" spans="1:10" x14ac:dyDescent="0.35">
      <c r="A15" t="s">
        <v>29</v>
      </c>
      <c r="B15">
        <v>0</v>
      </c>
      <c r="C15" t="s">
        <v>17</v>
      </c>
      <c r="D15">
        <v>257</v>
      </c>
      <c r="E15">
        <v>296</v>
      </c>
      <c r="F15">
        <v>553</v>
      </c>
      <c r="G15">
        <v>5932226</v>
      </c>
      <c r="H15">
        <v>10727</v>
      </c>
      <c r="I15">
        <v>37.700000000000003</v>
      </c>
    </row>
    <row r="16" spans="1:10" x14ac:dyDescent="0.35">
      <c r="A16" t="s">
        <v>29</v>
      </c>
      <c r="B16">
        <v>0</v>
      </c>
      <c r="C16" t="s">
        <v>18</v>
      </c>
      <c r="D16">
        <v>257</v>
      </c>
      <c r="E16">
        <v>296</v>
      </c>
      <c r="F16">
        <v>553</v>
      </c>
      <c r="G16">
        <v>6080531</v>
      </c>
      <c r="H16" s="2">
        <v>10996</v>
      </c>
      <c r="I16">
        <v>37.700000000000003</v>
      </c>
      <c r="J16">
        <f>G16/F16</f>
        <v>10995.535262206149</v>
      </c>
    </row>
    <row r="17" spans="1:9" x14ac:dyDescent="0.35">
      <c r="A17" t="s">
        <v>30</v>
      </c>
      <c r="B17">
        <v>0</v>
      </c>
      <c r="C17" t="s">
        <v>14</v>
      </c>
      <c r="D17">
        <v>292</v>
      </c>
      <c r="E17">
        <v>311</v>
      </c>
      <c r="F17">
        <v>603</v>
      </c>
      <c r="G17">
        <v>5946508</v>
      </c>
      <c r="H17">
        <v>9862</v>
      </c>
      <c r="I17">
        <v>41.1</v>
      </c>
    </row>
    <row r="18" spans="1:9" x14ac:dyDescent="0.35">
      <c r="A18" t="s">
        <v>30</v>
      </c>
      <c r="B18">
        <v>0</v>
      </c>
      <c r="C18" t="s">
        <v>15</v>
      </c>
      <c r="D18">
        <v>327</v>
      </c>
      <c r="E18">
        <v>326</v>
      </c>
      <c r="F18">
        <v>653</v>
      </c>
      <c r="G18">
        <v>6457979</v>
      </c>
      <c r="H18">
        <v>9890</v>
      </c>
      <c r="I18">
        <v>44.5</v>
      </c>
    </row>
    <row r="19" spans="1:9" x14ac:dyDescent="0.35">
      <c r="A19" t="s">
        <v>30</v>
      </c>
      <c r="B19">
        <v>0</v>
      </c>
      <c r="C19" t="s">
        <v>16</v>
      </c>
      <c r="D19">
        <v>362</v>
      </c>
      <c r="E19">
        <v>341</v>
      </c>
      <c r="F19">
        <v>703</v>
      </c>
      <c r="G19">
        <v>6991306</v>
      </c>
      <c r="H19">
        <v>9945</v>
      </c>
      <c r="I19">
        <v>48</v>
      </c>
    </row>
    <row r="20" spans="1:9" x14ac:dyDescent="0.35">
      <c r="A20" t="s">
        <v>30</v>
      </c>
      <c r="B20">
        <v>0</v>
      </c>
      <c r="C20" t="s">
        <v>17</v>
      </c>
      <c r="D20">
        <v>362</v>
      </c>
      <c r="E20">
        <v>341</v>
      </c>
      <c r="F20">
        <v>703</v>
      </c>
      <c r="G20">
        <v>7166089</v>
      </c>
      <c r="H20">
        <v>10194</v>
      </c>
      <c r="I20">
        <v>48</v>
      </c>
    </row>
    <row r="21" spans="1:9" x14ac:dyDescent="0.35">
      <c r="A21" t="s">
        <v>30</v>
      </c>
      <c r="B21">
        <v>0</v>
      </c>
      <c r="C21" t="s">
        <v>18</v>
      </c>
      <c r="D21">
        <v>362</v>
      </c>
      <c r="E21">
        <v>341</v>
      </c>
      <c r="F21">
        <v>703</v>
      </c>
      <c r="G21">
        <v>7345241</v>
      </c>
      <c r="H21">
        <v>10448</v>
      </c>
      <c r="I21">
        <v>48</v>
      </c>
    </row>
    <row r="22" spans="1:9" x14ac:dyDescent="0.35">
      <c r="A22" t="s">
        <v>27</v>
      </c>
      <c r="B22">
        <v>100</v>
      </c>
      <c r="C22" t="s">
        <v>14</v>
      </c>
      <c r="D22">
        <v>307</v>
      </c>
      <c r="E22">
        <v>346</v>
      </c>
      <c r="F22">
        <v>653</v>
      </c>
      <c r="G22">
        <v>6300467</v>
      </c>
      <c r="H22">
        <v>9648</v>
      </c>
      <c r="I22">
        <v>44.5</v>
      </c>
    </row>
    <row r="23" spans="1:9" x14ac:dyDescent="0.35">
      <c r="A23" t="s">
        <v>27</v>
      </c>
      <c r="B23">
        <v>100</v>
      </c>
      <c r="C23" t="s">
        <v>15</v>
      </c>
      <c r="D23">
        <v>307</v>
      </c>
      <c r="E23">
        <v>346</v>
      </c>
      <c r="F23">
        <v>653</v>
      </c>
      <c r="G23">
        <v>6457979</v>
      </c>
      <c r="H23">
        <v>9890</v>
      </c>
      <c r="I23">
        <v>44.5</v>
      </c>
    </row>
    <row r="24" spans="1:9" x14ac:dyDescent="0.35">
      <c r="A24" t="s">
        <v>27</v>
      </c>
      <c r="B24">
        <v>100</v>
      </c>
      <c r="C24" t="s">
        <v>16</v>
      </c>
      <c r="D24">
        <v>307</v>
      </c>
      <c r="E24">
        <v>346</v>
      </c>
      <c r="F24">
        <v>653</v>
      </c>
      <c r="G24">
        <v>6619428</v>
      </c>
      <c r="H24">
        <v>10137</v>
      </c>
      <c r="I24">
        <v>44.5</v>
      </c>
    </row>
    <row r="25" spans="1:9" x14ac:dyDescent="0.35">
      <c r="A25" t="s">
        <v>27</v>
      </c>
      <c r="B25">
        <v>100</v>
      </c>
      <c r="C25" t="s">
        <v>17</v>
      </c>
      <c r="D25">
        <v>307</v>
      </c>
      <c r="E25">
        <v>346</v>
      </c>
      <c r="F25">
        <v>653</v>
      </c>
      <c r="G25">
        <v>6784914</v>
      </c>
      <c r="H25">
        <v>10390</v>
      </c>
      <c r="I25">
        <v>44.5</v>
      </c>
    </row>
    <row r="26" spans="1:9" x14ac:dyDescent="0.35">
      <c r="A26" t="s">
        <v>27</v>
      </c>
      <c r="B26">
        <v>100</v>
      </c>
      <c r="C26" t="s">
        <v>18</v>
      </c>
      <c r="D26">
        <v>307</v>
      </c>
      <c r="E26">
        <v>346</v>
      </c>
      <c r="F26">
        <v>653</v>
      </c>
      <c r="G26">
        <v>6954537</v>
      </c>
      <c r="H26" s="2">
        <v>10650</v>
      </c>
      <c r="I26">
        <v>44.5</v>
      </c>
    </row>
    <row r="27" spans="1:9" x14ac:dyDescent="0.35">
      <c r="A27" t="s">
        <v>28</v>
      </c>
      <c r="B27">
        <v>100</v>
      </c>
      <c r="C27" t="s">
        <v>14</v>
      </c>
      <c r="D27">
        <v>307</v>
      </c>
      <c r="E27">
        <v>346</v>
      </c>
      <c r="F27">
        <v>653</v>
      </c>
      <c r="G27">
        <v>6300467</v>
      </c>
      <c r="H27">
        <v>9648</v>
      </c>
      <c r="I27">
        <v>44.5</v>
      </c>
    </row>
    <row r="28" spans="1:9" x14ac:dyDescent="0.35">
      <c r="A28" t="s">
        <v>28</v>
      </c>
      <c r="B28">
        <v>100</v>
      </c>
      <c r="C28" t="s">
        <v>15</v>
      </c>
      <c r="D28">
        <v>307</v>
      </c>
      <c r="E28">
        <v>346</v>
      </c>
      <c r="F28">
        <v>653</v>
      </c>
      <c r="G28">
        <v>6457979</v>
      </c>
      <c r="H28">
        <v>9890</v>
      </c>
      <c r="I28">
        <v>44.5</v>
      </c>
    </row>
    <row r="29" spans="1:9" x14ac:dyDescent="0.35">
      <c r="A29" t="s">
        <v>28</v>
      </c>
      <c r="B29">
        <v>100</v>
      </c>
      <c r="C29" t="s">
        <v>16</v>
      </c>
      <c r="D29">
        <v>307</v>
      </c>
      <c r="E29">
        <v>346</v>
      </c>
      <c r="F29">
        <v>653</v>
      </c>
      <c r="G29">
        <v>6619428</v>
      </c>
      <c r="H29">
        <v>10137</v>
      </c>
      <c r="I29">
        <v>44.5</v>
      </c>
    </row>
    <row r="30" spans="1:9" x14ac:dyDescent="0.35">
      <c r="A30" t="s">
        <v>28</v>
      </c>
      <c r="B30">
        <v>100</v>
      </c>
      <c r="C30" t="s">
        <v>17</v>
      </c>
      <c r="D30">
        <v>307</v>
      </c>
      <c r="E30">
        <v>346</v>
      </c>
      <c r="F30">
        <v>653</v>
      </c>
      <c r="G30">
        <v>6784914</v>
      </c>
      <c r="H30">
        <v>10390</v>
      </c>
      <c r="I30">
        <v>44.5</v>
      </c>
    </row>
    <row r="31" spans="1:9" x14ac:dyDescent="0.35">
      <c r="A31" t="s">
        <v>28</v>
      </c>
      <c r="B31">
        <v>100</v>
      </c>
      <c r="C31" t="s">
        <v>18</v>
      </c>
      <c r="D31">
        <v>307</v>
      </c>
      <c r="E31">
        <v>346</v>
      </c>
      <c r="F31">
        <v>653</v>
      </c>
      <c r="G31">
        <v>6954537</v>
      </c>
      <c r="H31">
        <v>10650</v>
      </c>
      <c r="I31">
        <v>44.5</v>
      </c>
    </row>
    <row r="32" spans="1:9" x14ac:dyDescent="0.35">
      <c r="A32" t="s">
        <v>29</v>
      </c>
      <c r="B32">
        <v>100</v>
      </c>
      <c r="C32" t="s">
        <v>14</v>
      </c>
      <c r="D32">
        <v>327</v>
      </c>
      <c r="E32">
        <v>326</v>
      </c>
      <c r="F32">
        <v>653</v>
      </c>
      <c r="G32">
        <v>6205960</v>
      </c>
      <c r="H32">
        <v>9504</v>
      </c>
      <c r="I32">
        <v>44.5</v>
      </c>
    </row>
    <row r="33" spans="1:9" x14ac:dyDescent="0.35">
      <c r="A33" t="s">
        <v>29</v>
      </c>
      <c r="B33">
        <v>100</v>
      </c>
      <c r="C33" t="s">
        <v>15</v>
      </c>
      <c r="D33">
        <v>327</v>
      </c>
      <c r="E33">
        <v>326</v>
      </c>
      <c r="F33">
        <v>653</v>
      </c>
      <c r="G33">
        <v>6361109</v>
      </c>
      <c r="H33">
        <v>9741</v>
      </c>
      <c r="I33">
        <v>44.5</v>
      </c>
    </row>
    <row r="34" spans="1:9" x14ac:dyDescent="0.35">
      <c r="A34" t="s">
        <v>29</v>
      </c>
      <c r="B34">
        <v>100</v>
      </c>
      <c r="C34" t="s">
        <v>16</v>
      </c>
      <c r="D34">
        <v>327</v>
      </c>
      <c r="E34">
        <v>326</v>
      </c>
      <c r="F34">
        <v>653</v>
      </c>
      <c r="G34">
        <v>6520137</v>
      </c>
      <c r="H34">
        <v>9985</v>
      </c>
      <c r="I34">
        <v>44.5</v>
      </c>
    </row>
    <row r="35" spans="1:9" x14ac:dyDescent="0.35">
      <c r="A35" t="s">
        <v>29</v>
      </c>
      <c r="B35">
        <v>100</v>
      </c>
      <c r="C35" t="s">
        <v>17</v>
      </c>
      <c r="D35">
        <v>327</v>
      </c>
      <c r="E35">
        <v>326</v>
      </c>
      <c r="F35">
        <v>653</v>
      </c>
      <c r="G35">
        <v>6683140</v>
      </c>
      <c r="H35">
        <v>10235</v>
      </c>
      <c r="I35">
        <v>44.5</v>
      </c>
    </row>
    <row r="36" spans="1:9" x14ac:dyDescent="0.35">
      <c r="A36" t="s">
        <v>29</v>
      </c>
      <c r="B36">
        <v>100</v>
      </c>
      <c r="C36" t="s">
        <v>18</v>
      </c>
      <c r="D36">
        <v>327</v>
      </c>
      <c r="E36">
        <v>326</v>
      </c>
      <c r="F36">
        <v>653</v>
      </c>
      <c r="G36">
        <v>6850219</v>
      </c>
      <c r="H36">
        <v>10490</v>
      </c>
      <c r="I36">
        <v>44.5</v>
      </c>
    </row>
    <row r="37" spans="1:9" x14ac:dyDescent="0.35">
      <c r="A37" t="s">
        <v>30</v>
      </c>
      <c r="B37">
        <v>100</v>
      </c>
      <c r="C37" t="s">
        <v>14</v>
      </c>
      <c r="D37">
        <v>292</v>
      </c>
      <c r="E37">
        <v>311</v>
      </c>
      <c r="F37">
        <v>603</v>
      </c>
      <c r="G37">
        <v>5946508</v>
      </c>
      <c r="H37">
        <v>9862</v>
      </c>
      <c r="I37">
        <v>41.1</v>
      </c>
    </row>
    <row r="38" spans="1:9" x14ac:dyDescent="0.35">
      <c r="A38" t="s">
        <v>30</v>
      </c>
      <c r="B38">
        <v>100</v>
      </c>
      <c r="C38" t="s">
        <v>15</v>
      </c>
      <c r="D38">
        <v>327</v>
      </c>
      <c r="E38">
        <v>326</v>
      </c>
      <c r="F38">
        <v>653</v>
      </c>
      <c r="G38">
        <v>6457979</v>
      </c>
      <c r="H38">
        <v>9890</v>
      </c>
      <c r="I38">
        <v>44.5</v>
      </c>
    </row>
    <row r="39" spans="1:9" x14ac:dyDescent="0.35">
      <c r="A39" t="s">
        <v>30</v>
      </c>
      <c r="B39">
        <v>100</v>
      </c>
      <c r="C39" t="s">
        <v>16</v>
      </c>
      <c r="D39">
        <v>362</v>
      </c>
      <c r="E39">
        <v>341</v>
      </c>
      <c r="F39">
        <v>703</v>
      </c>
      <c r="G39">
        <v>6991306</v>
      </c>
      <c r="H39">
        <v>9945</v>
      </c>
      <c r="I39">
        <v>48</v>
      </c>
    </row>
    <row r="40" spans="1:9" x14ac:dyDescent="0.35">
      <c r="A40" t="s">
        <v>30</v>
      </c>
      <c r="B40">
        <v>100</v>
      </c>
      <c r="C40" t="s">
        <v>17</v>
      </c>
      <c r="D40">
        <v>362</v>
      </c>
      <c r="E40">
        <v>341</v>
      </c>
      <c r="F40">
        <v>703</v>
      </c>
      <c r="G40">
        <v>7166089</v>
      </c>
      <c r="H40">
        <v>10194</v>
      </c>
      <c r="I40">
        <v>48</v>
      </c>
    </row>
    <row r="41" spans="1:9" x14ac:dyDescent="0.35">
      <c r="A41" t="s">
        <v>30</v>
      </c>
      <c r="B41">
        <v>100</v>
      </c>
      <c r="C41" t="s">
        <v>18</v>
      </c>
      <c r="D41">
        <v>362</v>
      </c>
      <c r="E41">
        <v>341</v>
      </c>
      <c r="F41">
        <v>703</v>
      </c>
      <c r="G41">
        <v>7345241</v>
      </c>
      <c r="H41">
        <v>10448</v>
      </c>
      <c r="I41">
        <v>48</v>
      </c>
    </row>
    <row r="42" spans="1:9" x14ac:dyDescent="0.35">
      <c r="A42" t="s">
        <v>27</v>
      </c>
      <c r="B42">
        <v>150</v>
      </c>
      <c r="C42" t="s">
        <v>14</v>
      </c>
      <c r="D42">
        <v>332</v>
      </c>
      <c r="E42">
        <v>371</v>
      </c>
      <c r="F42">
        <v>703</v>
      </c>
      <c r="G42">
        <v>6654426</v>
      </c>
      <c r="H42">
        <v>9466</v>
      </c>
      <c r="I42">
        <v>48</v>
      </c>
    </row>
    <row r="43" spans="1:9" x14ac:dyDescent="0.35">
      <c r="A43" t="s">
        <v>27</v>
      </c>
      <c r="B43">
        <v>150</v>
      </c>
      <c r="C43" t="s">
        <v>15</v>
      </c>
      <c r="D43">
        <v>332</v>
      </c>
      <c r="E43">
        <v>371</v>
      </c>
      <c r="F43">
        <v>703</v>
      </c>
      <c r="G43">
        <v>6820786</v>
      </c>
      <c r="H43">
        <v>9702</v>
      </c>
      <c r="I43">
        <v>48</v>
      </c>
    </row>
    <row r="44" spans="1:9" x14ac:dyDescent="0.35">
      <c r="A44" t="s">
        <v>27</v>
      </c>
      <c r="B44">
        <v>150</v>
      </c>
      <c r="C44" t="s">
        <v>16</v>
      </c>
      <c r="D44">
        <v>332</v>
      </c>
      <c r="E44">
        <v>371</v>
      </c>
      <c r="F44">
        <v>703</v>
      </c>
      <c r="G44">
        <v>6991306</v>
      </c>
      <c r="H44">
        <v>9945</v>
      </c>
      <c r="I44">
        <v>48</v>
      </c>
    </row>
    <row r="45" spans="1:9" x14ac:dyDescent="0.35">
      <c r="A45" t="s">
        <v>27</v>
      </c>
      <c r="B45">
        <v>150</v>
      </c>
      <c r="C45" t="s">
        <v>17</v>
      </c>
      <c r="D45">
        <v>332</v>
      </c>
      <c r="E45">
        <v>371</v>
      </c>
      <c r="F45">
        <v>703</v>
      </c>
      <c r="G45">
        <v>7166089</v>
      </c>
      <c r="H45">
        <v>10194</v>
      </c>
      <c r="I45">
        <v>48</v>
      </c>
    </row>
    <row r="46" spans="1:9" x14ac:dyDescent="0.35">
      <c r="A46" t="s">
        <v>27</v>
      </c>
      <c r="B46">
        <v>150</v>
      </c>
      <c r="C46" t="s">
        <v>18</v>
      </c>
      <c r="D46">
        <v>332</v>
      </c>
      <c r="E46">
        <v>371</v>
      </c>
      <c r="F46">
        <v>703</v>
      </c>
      <c r="G46">
        <v>7345241</v>
      </c>
      <c r="H46">
        <v>10448</v>
      </c>
      <c r="I46">
        <v>48</v>
      </c>
    </row>
    <row r="47" spans="1:9" x14ac:dyDescent="0.35">
      <c r="A47" t="s">
        <v>28</v>
      </c>
      <c r="B47">
        <v>150</v>
      </c>
      <c r="C47" t="s">
        <v>14</v>
      </c>
      <c r="D47">
        <v>332</v>
      </c>
      <c r="E47">
        <v>371</v>
      </c>
      <c r="F47">
        <v>703</v>
      </c>
      <c r="G47">
        <v>6654426</v>
      </c>
      <c r="H47">
        <v>9466</v>
      </c>
      <c r="I47">
        <v>48</v>
      </c>
    </row>
    <row r="48" spans="1:9" x14ac:dyDescent="0.35">
      <c r="A48" t="s">
        <v>28</v>
      </c>
      <c r="B48">
        <v>150</v>
      </c>
      <c r="C48" t="s">
        <v>15</v>
      </c>
      <c r="D48">
        <v>332</v>
      </c>
      <c r="E48">
        <v>371</v>
      </c>
      <c r="F48">
        <v>703</v>
      </c>
      <c r="G48">
        <v>6820786</v>
      </c>
      <c r="H48">
        <v>9702</v>
      </c>
      <c r="I48">
        <v>48</v>
      </c>
    </row>
    <row r="49" spans="1:9" x14ac:dyDescent="0.35">
      <c r="A49" t="s">
        <v>28</v>
      </c>
      <c r="B49">
        <v>150</v>
      </c>
      <c r="C49" t="s">
        <v>16</v>
      </c>
      <c r="D49">
        <v>332</v>
      </c>
      <c r="E49">
        <v>371</v>
      </c>
      <c r="F49">
        <v>703</v>
      </c>
      <c r="G49">
        <v>6991306</v>
      </c>
      <c r="H49">
        <v>9945</v>
      </c>
      <c r="I49">
        <v>48</v>
      </c>
    </row>
    <row r="50" spans="1:9" x14ac:dyDescent="0.35">
      <c r="A50" t="s">
        <v>28</v>
      </c>
      <c r="B50">
        <v>150</v>
      </c>
      <c r="C50" t="s">
        <v>17</v>
      </c>
      <c r="D50">
        <v>332</v>
      </c>
      <c r="E50">
        <v>371</v>
      </c>
      <c r="F50">
        <v>703</v>
      </c>
      <c r="G50">
        <v>7166089</v>
      </c>
      <c r="H50">
        <v>10194</v>
      </c>
      <c r="I50">
        <v>48</v>
      </c>
    </row>
    <row r="51" spans="1:9" x14ac:dyDescent="0.35">
      <c r="A51" t="s">
        <v>28</v>
      </c>
      <c r="B51">
        <v>150</v>
      </c>
      <c r="C51" t="s">
        <v>18</v>
      </c>
      <c r="D51">
        <v>332</v>
      </c>
      <c r="E51">
        <v>371</v>
      </c>
      <c r="F51">
        <v>703</v>
      </c>
      <c r="G51">
        <v>7345241</v>
      </c>
      <c r="H51">
        <v>10448</v>
      </c>
      <c r="I51">
        <v>48</v>
      </c>
    </row>
    <row r="52" spans="1:9" x14ac:dyDescent="0.35">
      <c r="A52" t="s">
        <v>29</v>
      </c>
      <c r="B52">
        <v>150</v>
      </c>
      <c r="C52" t="s">
        <v>14</v>
      </c>
      <c r="D52">
        <v>362</v>
      </c>
      <c r="E52">
        <v>341</v>
      </c>
      <c r="F52">
        <v>703</v>
      </c>
      <c r="G52">
        <v>6554609</v>
      </c>
      <c r="H52">
        <v>9324</v>
      </c>
      <c r="I52">
        <v>48</v>
      </c>
    </row>
    <row r="53" spans="1:9" x14ac:dyDescent="0.35">
      <c r="A53" t="s">
        <v>29</v>
      </c>
      <c r="B53">
        <v>150</v>
      </c>
      <c r="C53" t="s">
        <v>15</v>
      </c>
      <c r="D53">
        <v>362</v>
      </c>
      <c r="E53">
        <v>341</v>
      </c>
      <c r="F53">
        <v>703</v>
      </c>
      <c r="G53">
        <v>6718475</v>
      </c>
      <c r="H53">
        <v>9557</v>
      </c>
      <c r="I53">
        <v>48</v>
      </c>
    </row>
    <row r="54" spans="1:9" x14ac:dyDescent="0.35">
      <c r="A54" t="s">
        <v>29</v>
      </c>
      <c r="B54">
        <v>150</v>
      </c>
      <c r="C54" t="s">
        <v>16</v>
      </c>
      <c r="D54">
        <v>362</v>
      </c>
      <c r="E54">
        <v>341</v>
      </c>
      <c r="F54">
        <v>703</v>
      </c>
      <c r="G54">
        <v>6886437</v>
      </c>
      <c r="H54">
        <v>9796</v>
      </c>
      <c r="I54">
        <v>48</v>
      </c>
    </row>
    <row r="55" spans="1:9" x14ac:dyDescent="0.35">
      <c r="A55" t="s">
        <v>29</v>
      </c>
      <c r="B55">
        <v>150</v>
      </c>
      <c r="C55" t="s">
        <v>17</v>
      </c>
      <c r="D55">
        <v>362</v>
      </c>
      <c r="E55">
        <v>341</v>
      </c>
      <c r="F55">
        <v>703</v>
      </c>
      <c r="G55">
        <v>7058597</v>
      </c>
      <c r="H55">
        <v>10041</v>
      </c>
      <c r="I55">
        <v>48</v>
      </c>
    </row>
    <row r="56" spans="1:9" x14ac:dyDescent="0.35">
      <c r="A56" t="s">
        <v>29</v>
      </c>
      <c r="B56">
        <v>150</v>
      </c>
      <c r="C56" t="s">
        <v>18</v>
      </c>
      <c r="D56">
        <v>362</v>
      </c>
      <c r="E56">
        <v>341</v>
      </c>
      <c r="F56">
        <v>703</v>
      </c>
      <c r="G56">
        <v>7235062</v>
      </c>
      <c r="H56">
        <v>10292</v>
      </c>
      <c r="I56">
        <v>48</v>
      </c>
    </row>
    <row r="57" spans="1:9" x14ac:dyDescent="0.35">
      <c r="A57" t="s">
        <v>30</v>
      </c>
      <c r="B57">
        <v>150</v>
      </c>
      <c r="C57" t="s">
        <v>14</v>
      </c>
      <c r="D57">
        <v>292</v>
      </c>
      <c r="E57">
        <v>311</v>
      </c>
      <c r="F57">
        <v>603</v>
      </c>
      <c r="G57">
        <v>5946508</v>
      </c>
      <c r="H57">
        <v>9862</v>
      </c>
      <c r="I57">
        <v>41.1</v>
      </c>
    </row>
    <row r="58" spans="1:9" x14ac:dyDescent="0.35">
      <c r="A58" t="s">
        <v>30</v>
      </c>
      <c r="B58">
        <v>150</v>
      </c>
      <c r="C58" t="s">
        <v>15</v>
      </c>
      <c r="D58">
        <v>327</v>
      </c>
      <c r="E58">
        <v>326</v>
      </c>
      <c r="F58">
        <v>653</v>
      </c>
      <c r="G58">
        <v>6457979</v>
      </c>
      <c r="H58">
        <v>9890</v>
      </c>
      <c r="I58">
        <v>44.5</v>
      </c>
    </row>
    <row r="59" spans="1:9" x14ac:dyDescent="0.35">
      <c r="A59" t="s">
        <v>30</v>
      </c>
      <c r="B59">
        <v>150</v>
      </c>
      <c r="C59" t="s">
        <v>16</v>
      </c>
      <c r="D59">
        <v>362</v>
      </c>
      <c r="E59">
        <v>341</v>
      </c>
      <c r="F59">
        <v>703</v>
      </c>
      <c r="G59">
        <v>6991306</v>
      </c>
      <c r="H59">
        <v>9945</v>
      </c>
      <c r="I59">
        <v>48</v>
      </c>
    </row>
    <row r="60" spans="1:9" x14ac:dyDescent="0.35">
      <c r="A60" t="s">
        <v>30</v>
      </c>
      <c r="B60">
        <v>150</v>
      </c>
      <c r="C60" t="s">
        <v>17</v>
      </c>
      <c r="D60">
        <v>362</v>
      </c>
      <c r="E60">
        <v>341</v>
      </c>
      <c r="F60">
        <v>703</v>
      </c>
      <c r="G60">
        <v>7166089</v>
      </c>
      <c r="H60">
        <v>10194</v>
      </c>
      <c r="I60">
        <v>48</v>
      </c>
    </row>
    <row r="61" spans="1:9" x14ac:dyDescent="0.35">
      <c r="A61" t="s">
        <v>30</v>
      </c>
      <c r="B61">
        <v>150</v>
      </c>
      <c r="C61" t="s">
        <v>18</v>
      </c>
      <c r="D61">
        <v>362</v>
      </c>
      <c r="E61">
        <v>341</v>
      </c>
      <c r="F61">
        <v>703</v>
      </c>
      <c r="G61">
        <v>7345241</v>
      </c>
      <c r="H61">
        <v>10448</v>
      </c>
      <c r="I61">
        <v>48</v>
      </c>
    </row>
    <row r="62" spans="1:9" x14ac:dyDescent="0.35">
      <c r="A62" t="s">
        <v>31</v>
      </c>
      <c r="B62">
        <v>0</v>
      </c>
      <c r="C62" t="s">
        <v>14</v>
      </c>
      <c r="D62">
        <v>0</v>
      </c>
      <c r="E62">
        <v>0</v>
      </c>
      <c r="F62">
        <v>0</v>
      </c>
      <c r="G62">
        <v>3075837</v>
      </c>
      <c r="I62">
        <v>0</v>
      </c>
    </row>
    <row r="63" spans="1:9" x14ac:dyDescent="0.35">
      <c r="A63" t="s">
        <v>31</v>
      </c>
      <c r="B63">
        <v>0</v>
      </c>
      <c r="C63" t="s">
        <v>15</v>
      </c>
      <c r="D63">
        <v>0</v>
      </c>
      <c r="E63">
        <v>0</v>
      </c>
      <c r="F63">
        <v>0</v>
      </c>
      <c r="G63">
        <v>519550</v>
      </c>
      <c r="I63">
        <v>0</v>
      </c>
    </row>
    <row r="64" spans="1:9" x14ac:dyDescent="0.35">
      <c r="A64" t="s">
        <v>31</v>
      </c>
      <c r="B64">
        <v>0</v>
      </c>
      <c r="C64" t="s">
        <v>16</v>
      </c>
      <c r="D64">
        <v>0</v>
      </c>
      <c r="E64">
        <v>0</v>
      </c>
      <c r="F64">
        <v>0</v>
      </c>
      <c r="G64">
        <v>355026</v>
      </c>
      <c r="I64">
        <v>0</v>
      </c>
    </row>
    <row r="65" spans="1:9" x14ac:dyDescent="0.35">
      <c r="A65" t="s">
        <v>31</v>
      </c>
      <c r="B65">
        <v>0</v>
      </c>
      <c r="C65" t="s">
        <v>17</v>
      </c>
      <c r="D65">
        <v>0</v>
      </c>
      <c r="E65">
        <v>0</v>
      </c>
      <c r="F65">
        <v>0</v>
      </c>
      <c r="G65">
        <v>181951</v>
      </c>
      <c r="I65">
        <v>0</v>
      </c>
    </row>
    <row r="66" spans="1:9" x14ac:dyDescent="0.35">
      <c r="A66" t="s">
        <v>31</v>
      </c>
      <c r="B66">
        <v>0</v>
      </c>
      <c r="C66" t="s">
        <v>18</v>
      </c>
      <c r="D66">
        <v>0</v>
      </c>
      <c r="E66">
        <v>0</v>
      </c>
      <c r="F66">
        <v>0</v>
      </c>
      <c r="G66">
        <v>0</v>
      </c>
      <c r="I66">
        <v>0</v>
      </c>
    </row>
    <row r="67" spans="1:9" x14ac:dyDescent="0.35">
      <c r="A67" t="s">
        <v>32</v>
      </c>
      <c r="B67">
        <v>0</v>
      </c>
      <c r="C67" t="s">
        <v>14</v>
      </c>
      <c r="D67">
        <v>0</v>
      </c>
      <c r="E67">
        <v>0</v>
      </c>
      <c r="F67">
        <v>0</v>
      </c>
      <c r="G67">
        <v>3075837</v>
      </c>
      <c r="I67">
        <v>0</v>
      </c>
    </row>
    <row r="68" spans="1:9" x14ac:dyDescent="0.35">
      <c r="A68" t="s">
        <v>32</v>
      </c>
      <c r="B68">
        <v>0</v>
      </c>
      <c r="C68" t="s">
        <v>15</v>
      </c>
      <c r="D68">
        <v>0</v>
      </c>
      <c r="E68">
        <v>0</v>
      </c>
      <c r="F68">
        <v>0</v>
      </c>
      <c r="G68">
        <v>606141</v>
      </c>
      <c r="I68">
        <v>0</v>
      </c>
    </row>
    <row r="69" spans="1:9" x14ac:dyDescent="0.35">
      <c r="A69" t="s">
        <v>32</v>
      </c>
      <c r="B69">
        <v>0</v>
      </c>
      <c r="C69" t="s">
        <v>16</v>
      </c>
      <c r="D69">
        <v>0</v>
      </c>
      <c r="E69">
        <v>0</v>
      </c>
      <c r="F69">
        <v>0</v>
      </c>
      <c r="G69">
        <v>532538</v>
      </c>
      <c r="I69">
        <v>0</v>
      </c>
    </row>
    <row r="70" spans="1:9" x14ac:dyDescent="0.35">
      <c r="A70" t="s">
        <v>32</v>
      </c>
      <c r="B70">
        <v>0</v>
      </c>
      <c r="C70" t="s">
        <v>17</v>
      </c>
      <c r="D70">
        <v>0</v>
      </c>
      <c r="E70">
        <v>0</v>
      </c>
      <c r="F70">
        <v>0</v>
      </c>
      <c r="G70">
        <v>454876</v>
      </c>
      <c r="I70">
        <v>0</v>
      </c>
    </row>
    <row r="71" spans="1:9" x14ac:dyDescent="0.35">
      <c r="A71" t="s">
        <v>32</v>
      </c>
      <c r="B71">
        <v>0</v>
      </c>
      <c r="C71" t="s">
        <v>18</v>
      </c>
      <c r="D71">
        <v>0</v>
      </c>
      <c r="E71">
        <v>0</v>
      </c>
      <c r="F71">
        <v>0</v>
      </c>
      <c r="G71">
        <v>372999</v>
      </c>
      <c r="I71">
        <v>0</v>
      </c>
    </row>
    <row r="72" spans="1:9" x14ac:dyDescent="0.35">
      <c r="A72" t="s">
        <v>33</v>
      </c>
      <c r="B72">
        <v>0</v>
      </c>
      <c r="C72" t="s">
        <v>14</v>
      </c>
      <c r="D72">
        <v>0</v>
      </c>
      <c r="E72">
        <v>296</v>
      </c>
      <c r="F72">
        <v>296</v>
      </c>
      <c r="G72">
        <v>4528669</v>
      </c>
      <c r="H72">
        <v>15300</v>
      </c>
      <c r="I72">
        <v>20.2</v>
      </c>
    </row>
    <row r="73" spans="1:9" x14ac:dyDescent="0.35">
      <c r="A73" t="s">
        <v>33</v>
      </c>
      <c r="B73">
        <v>0</v>
      </c>
      <c r="C73" t="s">
        <v>15</v>
      </c>
      <c r="D73">
        <v>0</v>
      </c>
      <c r="E73">
        <v>296</v>
      </c>
      <c r="F73">
        <v>296</v>
      </c>
      <c r="G73">
        <v>3331401</v>
      </c>
      <c r="H73">
        <v>11255</v>
      </c>
      <c r="I73">
        <v>20.2</v>
      </c>
    </row>
    <row r="74" spans="1:9" x14ac:dyDescent="0.35">
      <c r="A74" t="s">
        <v>33</v>
      </c>
      <c r="B74">
        <v>0</v>
      </c>
      <c r="C74" t="s">
        <v>16</v>
      </c>
      <c r="D74">
        <v>0</v>
      </c>
      <c r="E74">
        <v>296</v>
      </c>
      <c r="F74">
        <v>296</v>
      </c>
      <c r="G74">
        <v>3332189</v>
      </c>
      <c r="H74">
        <v>11257</v>
      </c>
      <c r="I74">
        <v>20.2</v>
      </c>
    </row>
    <row r="75" spans="1:9" x14ac:dyDescent="0.35">
      <c r="A75" t="s">
        <v>33</v>
      </c>
      <c r="B75">
        <v>0</v>
      </c>
      <c r="C75" t="s">
        <v>17</v>
      </c>
      <c r="D75">
        <v>0</v>
      </c>
      <c r="E75">
        <v>296</v>
      </c>
      <c r="F75">
        <v>296</v>
      </c>
      <c r="G75">
        <v>3330935</v>
      </c>
      <c r="H75">
        <v>11253</v>
      </c>
      <c r="I75">
        <v>20.2</v>
      </c>
    </row>
    <row r="76" spans="1:9" x14ac:dyDescent="0.35">
      <c r="A76" t="s">
        <v>33</v>
      </c>
      <c r="B76">
        <v>0</v>
      </c>
      <c r="C76" t="s">
        <v>18</v>
      </c>
      <c r="D76">
        <v>0</v>
      </c>
      <c r="E76">
        <v>296</v>
      </c>
      <c r="F76">
        <v>296</v>
      </c>
      <c r="G76">
        <v>3327535</v>
      </c>
      <c r="H76">
        <v>11242</v>
      </c>
      <c r="I76">
        <v>20.2</v>
      </c>
    </row>
    <row r="77" spans="1:9" x14ac:dyDescent="0.35">
      <c r="A77" t="s">
        <v>34</v>
      </c>
      <c r="B77">
        <v>0</v>
      </c>
      <c r="C77" t="s">
        <v>14</v>
      </c>
      <c r="D77">
        <v>0</v>
      </c>
      <c r="E77">
        <v>296</v>
      </c>
      <c r="F77">
        <v>296</v>
      </c>
      <c r="G77">
        <v>4528669</v>
      </c>
      <c r="H77">
        <v>15300</v>
      </c>
      <c r="I77">
        <v>20.2</v>
      </c>
    </row>
    <row r="78" spans="1:9" x14ac:dyDescent="0.35">
      <c r="A78" t="s">
        <v>34</v>
      </c>
      <c r="B78">
        <v>0</v>
      </c>
      <c r="C78" t="s">
        <v>15</v>
      </c>
      <c r="D78">
        <v>0</v>
      </c>
      <c r="E78">
        <v>296</v>
      </c>
      <c r="F78">
        <v>296</v>
      </c>
      <c r="G78">
        <v>3371644</v>
      </c>
      <c r="H78">
        <v>11391</v>
      </c>
      <c r="I78">
        <v>20.2</v>
      </c>
    </row>
    <row r="79" spans="1:9" x14ac:dyDescent="0.35">
      <c r="A79" t="s">
        <v>34</v>
      </c>
      <c r="B79">
        <v>0</v>
      </c>
      <c r="C79" t="s">
        <v>16</v>
      </c>
      <c r="D79">
        <v>0</v>
      </c>
      <c r="E79">
        <v>296</v>
      </c>
      <c r="F79">
        <v>296</v>
      </c>
      <c r="G79">
        <v>3414686</v>
      </c>
      <c r="H79">
        <v>11536</v>
      </c>
      <c r="I79">
        <v>20.2</v>
      </c>
    </row>
    <row r="80" spans="1:9" x14ac:dyDescent="0.35">
      <c r="A80" t="s">
        <v>34</v>
      </c>
      <c r="B80">
        <v>0</v>
      </c>
      <c r="C80" t="s">
        <v>17</v>
      </c>
      <c r="D80">
        <v>0</v>
      </c>
      <c r="E80">
        <v>296</v>
      </c>
      <c r="F80">
        <v>296</v>
      </c>
      <c r="G80">
        <v>3457774</v>
      </c>
      <c r="H80">
        <v>11682</v>
      </c>
      <c r="I80">
        <v>20.2</v>
      </c>
    </row>
    <row r="81" spans="1:9" x14ac:dyDescent="0.35">
      <c r="A81" t="s">
        <v>34</v>
      </c>
      <c r="B81">
        <v>0</v>
      </c>
      <c r="C81" t="s">
        <v>18</v>
      </c>
      <c r="D81">
        <v>0</v>
      </c>
      <c r="E81">
        <v>296</v>
      </c>
      <c r="F81">
        <v>296</v>
      </c>
      <c r="G81">
        <v>3500881</v>
      </c>
      <c r="H81">
        <v>11827</v>
      </c>
      <c r="I81">
        <v>20.2</v>
      </c>
    </row>
    <row r="82" spans="1:9" x14ac:dyDescent="0.35">
      <c r="A82" t="s">
        <v>35</v>
      </c>
      <c r="B82">
        <v>0</v>
      </c>
      <c r="C82" t="s">
        <v>14</v>
      </c>
      <c r="D82">
        <v>257</v>
      </c>
      <c r="E82">
        <v>0</v>
      </c>
      <c r="F82">
        <v>257</v>
      </c>
      <c r="G82">
        <v>4179141</v>
      </c>
      <c r="H82">
        <v>16261</v>
      </c>
      <c r="I82">
        <v>17.5</v>
      </c>
    </row>
    <row r="83" spans="1:9" x14ac:dyDescent="0.35">
      <c r="A83" t="s">
        <v>35</v>
      </c>
      <c r="B83">
        <v>0</v>
      </c>
      <c r="C83" t="s">
        <v>15</v>
      </c>
      <c r="D83">
        <v>257</v>
      </c>
      <c r="E83">
        <v>0</v>
      </c>
      <c r="F83">
        <v>257</v>
      </c>
      <c r="G83">
        <v>2960921</v>
      </c>
      <c r="H83">
        <v>11521</v>
      </c>
      <c r="I83">
        <v>17.5</v>
      </c>
    </row>
    <row r="84" spans="1:9" x14ac:dyDescent="0.35">
      <c r="A84" t="s">
        <v>35</v>
      </c>
      <c r="B84">
        <v>0</v>
      </c>
      <c r="C84" t="s">
        <v>16</v>
      </c>
      <c r="D84">
        <v>257</v>
      </c>
      <c r="E84">
        <v>0</v>
      </c>
      <c r="F84">
        <v>257</v>
      </c>
      <c r="G84">
        <v>2939928</v>
      </c>
      <c r="H84">
        <v>11439</v>
      </c>
      <c r="I84">
        <v>17.5</v>
      </c>
    </row>
    <row r="85" spans="1:9" x14ac:dyDescent="0.35">
      <c r="A85" t="s">
        <v>35</v>
      </c>
      <c r="B85">
        <v>0</v>
      </c>
      <c r="C85" t="s">
        <v>17</v>
      </c>
      <c r="D85">
        <v>257</v>
      </c>
      <c r="E85">
        <v>0</v>
      </c>
      <c r="F85">
        <v>257</v>
      </c>
      <c r="G85">
        <v>2916035</v>
      </c>
      <c r="H85">
        <v>11346</v>
      </c>
      <c r="I85">
        <v>17.5</v>
      </c>
    </row>
    <row r="86" spans="1:9" x14ac:dyDescent="0.35">
      <c r="A86" t="s">
        <v>35</v>
      </c>
      <c r="B86">
        <v>0</v>
      </c>
      <c r="C86" t="s">
        <v>18</v>
      </c>
      <c r="D86">
        <v>257</v>
      </c>
      <c r="E86">
        <v>0</v>
      </c>
      <c r="F86">
        <v>257</v>
      </c>
      <c r="G86">
        <v>2889110</v>
      </c>
      <c r="H86">
        <v>11242</v>
      </c>
      <c r="I86">
        <v>17.5</v>
      </c>
    </row>
    <row r="87" spans="1:9" x14ac:dyDescent="0.35">
      <c r="A87" t="s">
        <v>36</v>
      </c>
      <c r="B87">
        <v>0</v>
      </c>
      <c r="C87" t="s">
        <v>14</v>
      </c>
      <c r="D87">
        <v>257</v>
      </c>
      <c r="E87">
        <v>0</v>
      </c>
      <c r="F87">
        <v>257</v>
      </c>
      <c r="G87">
        <v>4179141</v>
      </c>
      <c r="H87">
        <v>16261</v>
      </c>
      <c r="I87">
        <v>17.5</v>
      </c>
    </row>
    <row r="88" spans="1:9" x14ac:dyDescent="0.35">
      <c r="A88" t="s">
        <v>36</v>
      </c>
      <c r="B88">
        <v>0</v>
      </c>
      <c r="C88" t="s">
        <v>15</v>
      </c>
      <c r="D88">
        <v>257</v>
      </c>
      <c r="E88">
        <v>0</v>
      </c>
      <c r="F88">
        <v>257</v>
      </c>
      <c r="G88">
        <v>3007270</v>
      </c>
      <c r="H88">
        <v>11701</v>
      </c>
      <c r="I88">
        <v>17.5</v>
      </c>
    </row>
    <row r="89" spans="1:9" x14ac:dyDescent="0.35">
      <c r="A89" t="s">
        <v>36</v>
      </c>
      <c r="B89">
        <v>0</v>
      </c>
      <c r="C89" t="s">
        <v>16</v>
      </c>
      <c r="D89">
        <v>257</v>
      </c>
      <c r="E89">
        <v>0</v>
      </c>
      <c r="F89">
        <v>257</v>
      </c>
      <c r="G89">
        <v>3034944</v>
      </c>
      <c r="H89">
        <v>11809</v>
      </c>
      <c r="I89">
        <v>17.5</v>
      </c>
    </row>
    <row r="90" spans="1:9" x14ac:dyDescent="0.35">
      <c r="A90" t="s">
        <v>36</v>
      </c>
      <c r="B90">
        <v>0</v>
      </c>
      <c r="C90" t="s">
        <v>17</v>
      </c>
      <c r="D90">
        <v>257</v>
      </c>
      <c r="E90">
        <v>0</v>
      </c>
      <c r="F90">
        <v>257</v>
      </c>
      <c r="G90">
        <v>3062122</v>
      </c>
      <c r="H90">
        <v>11915</v>
      </c>
      <c r="I90">
        <v>17.5</v>
      </c>
    </row>
    <row r="91" spans="1:9" x14ac:dyDescent="0.35">
      <c r="A91" t="s">
        <v>36</v>
      </c>
      <c r="B91">
        <v>0</v>
      </c>
      <c r="C91" t="s">
        <v>18</v>
      </c>
      <c r="D91">
        <v>257</v>
      </c>
      <c r="E91">
        <v>0</v>
      </c>
      <c r="F91">
        <v>257</v>
      </c>
      <c r="G91">
        <v>3088762</v>
      </c>
      <c r="H91">
        <v>12019</v>
      </c>
      <c r="I91">
        <v>17.5</v>
      </c>
    </row>
    <row r="92" spans="1:9" x14ac:dyDescent="0.35">
      <c r="A92" t="s">
        <v>31</v>
      </c>
      <c r="B92">
        <v>0</v>
      </c>
      <c r="C92" t="s">
        <v>14</v>
      </c>
      <c r="D92">
        <v>0</v>
      </c>
      <c r="E92">
        <v>0</v>
      </c>
      <c r="F92">
        <v>0</v>
      </c>
      <c r="G92">
        <v>3075837</v>
      </c>
      <c r="I92">
        <v>0</v>
      </c>
    </row>
    <row r="93" spans="1:9" x14ac:dyDescent="0.35">
      <c r="A93" t="s">
        <v>31</v>
      </c>
      <c r="B93">
        <v>0</v>
      </c>
      <c r="C93" t="s">
        <v>15</v>
      </c>
      <c r="D93">
        <v>0</v>
      </c>
      <c r="E93">
        <v>0</v>
      </c>
      <c r="F93">
        <v>0</v>
      </c>
      <c r="G93">
        <v>519550</v>
      </c>
      <c r="I93">
        <v>0</v>
      </c>
    </row>
    <row r="94" spans="1:9" x14ac:dyDescent="0.35">
      <c r="A94" t="s">
        <v>31</v>
      </c>
      <c r="B94">
        <v>0</v>
      </c>
      <c r="C94" t="s">
        <v>16</v>
      </c>
      <c r="D94">
        <v>0</v>
      </c>
      <c r="E94">
        <v>0</v>
      </c>
      <c r="F94">
        <v>0</v>
      </c>
      <c r="G94">
        <v>355026</v>
      </c>
      <c r="I94">
        <v>0</v>
      </c>
    </row>
    <row r="95" spans="1:9" x14ac:dyDescent="0.35">
      <c r="A95" t="s">
        <v>31</v>
      </c>
      <c r="B95">
        <v>0</v>
      </c>
      <c r="C95" t="s">
        <v>17</v>
      </c>
      <c r="D95">
        <v>0</v>
      </c>
      <c r="E95">
        <v>0</v>
      </c>
      <c r="F95">
        <v>0</v>
      </c>
      <c r="G95">
        <v>181951</v>
      </c>
      <c r="I95">
        <v>0</v>
      </c>
    </row>
    <row r="96" spans="1:9" x14ac:dyDescent="0.35">
      <c r="A96" t="s">
        <v>31</v>
      </c>
      <c r="B96">
        <v>0</v>
      </c>
      <c r="C96" t="s">
        <v>18</v>
      </c>
      <c r="D96">
        <v>0</v>
      </c>
      <c r="E96">
        <v>0</v>
      </c>
      <c r="F96">
        <v>0</v>
      </c>
      <c r="G96">
        <v>0</v>
      </c>
      <c r="I96">
        <v>0</v>
      </c>
    </row>
    <row r="97" spans="1:9" x14ac:dyDescent="0.35">
      <c r="A97" t="s">
        <v>32</v>
      </c>
      <c r="B97">
        <v>0</v>
      </c>
      <c r="C97" t="s">
        <v>14</v>
      </c>
      <c r="D97">
        <v>0</v>
      </c>
      <c r="E97">
        <v>0</v>
      </c>
      <c r="F97">
        <v>0</v>
      </c>
      <c r="G97">
        <v>3075837</v>
      </c>
      <c r="I97">
        <v>0</v>
      </c>
    </row>
    <row r="98" spans="1:9" x14ac:dyDescent="0.35">
      <c r="A98" t="s">
        <v>32</v>
      </c>
      <c r="B98">
        <v>0</v>
      </c>
      <c r="C98" t="s">
        <v>15</v>
      </c>
      <c r="D98">
        <v>0</v>
      </c>
      <c r="E98">
        <v>0</v>
      </c>
      <c r="F98">
        <v>0</v>
      </c>
      <c r="G98">
        <v>606141</v>
      </c>
      <c r="I98">
        <v>0</v>
      </c>
    </row>
    <row r="99" spans="1:9" x14ac:dyDescent="0.35">
      <c r="A99" t="s">
        <v>32</v>
      </c>
      <c r="B99">
        <v>0</v>
      </c>
      <c r="C99" t="s">
        <v>16</v>
      </c>
      <c r="D99">
        <v>0</v>
      </c>
      <c r="E99">
        <v>0</v>
      </c>
      <c r="F99">
        <v>0</v>
      </c>
      <c r="G99">
        <v>532538</v>
      </c>
      <c r="I99">
        <v>0</v>
      </c>
    </row>
    <row r="100" spans="1:9" x14ac:dyDescent="0.35">
      <c r="A100" t="s">
        <v>32</v>
      </c>
      <c r="B100">
        <v>0</v>
      </c>
      <c r="C100" t="s">
        <v>17</v>
      </c>
      <c r="D100">
        <v>0</v>
      </c>
      <c r="E100">
        <v>0</v>
      </c>
      <c r="F100">
        <v>0</v>
      </c>
      <c r="G100">
        <v>454876</v>
      </c>
      <c r="I100">
        <v>0</v>
      </c>
    </row>
    <row r="101" spans="1:9" x14ac:dyDescent="0.35">
      <c r="A101" t="s">
        <v>32</v>
      </c>
      <c r="B101">
        <v>0</v>
      </c>
      <c r="C101" t="s">
        <v>18</v>
      </c>
      <c r="D101">
        <v>0</v>
      </c>
      <c r="E101">
        <v>0</v>
      </c>
      <c r="F101">
        <v>0</v>
      </c>
      <c r="G101">
        <v>372999</v>
      </c>
      <c r="I101">
        <v>0</v>
      </c>
    </row>
    <row r="102" spans="1:9" x14ac:dyDescent="0.35">
      <c r="A102" t="s">
        <v>33</v>
      </c>
      <c r="B102">
        <v>100</v>
      </c>
      <c r="C102" t="s">
        <v>14</v>
      </c>
      <c r="D102">
        <v>0</v>
      </c>
      <c r="E102">
        <v>396</v>
      </c>
      <c r="F102">
        <v>396</v>
      </c>
      <c r="G102">
        <v>5241577</v>
      </c>
      <c r="H102">
        <v>13236</v>
      </c>
      <c r="I102">
        <v>27</v>
      </c>
    </row>
    <row r="103" spans="1:9" x14ac:dyDescent="0.35">
      <c r="A103" t="s">
        <v>33</v>
      </c>
      <c r="B103">
        <v>100</v>
      </c>
      <c r="C103" t="s">
        <v>15</v>
      </c>
      <c r="D103">
        <v>0</v>
      </c>
      <c r="E103">
        <v>396</v>
      </c>
      <c r="F103">
        <v>396</v>
      </c>
      <c r="G103">
        <v>4062132</v>
      </c>
      <c r="H103">
        <v>10258</v>
      </c>
      <c r="I103">
        <v>27</v>
      </c>
    </row>
    <row r="104" spans="1:9" x14ac:dyDescent="0.35">
      <c r="A104" t="s">
        <v>33</v>
      </c>
      <c r="B104">
        <v>100</v>
      </c>
      <c r="C104" t="s">
        <v>16</v>
      </c>
      <c r="D104">
        <v>0</v>
      </c>
      <c r="E104">
        <v>396</v>
      </c>
      <c r="F104">
        <v>396</v>
      </c>
      <c r="G104">
        <v>4081188</v>
      </c>
      <c r="H104">
        <v>10306</v>
      </c>
      <c r="I104">
        <v>27</v>
      </c>
    </row>
    <row r="105" spans="1:9" x14ac:dyDescent="0.35">
      <c r="A105" t="s">
        <v>33</v>
      </c>
      <c r="B105">
        <v>100</v>
      </c>
      <c r="C105" t="s">
        <v>17</v>
      </c>
      <c r="D105">
        <v>0</v>
      </c>
      <c r="E105">
        <v>396</v>
      </c>
      <c r="F105">
        <v>396</v>
      </c>
      <c r="G105">
        <v>4098659</v>
      </c>
      <c r="H105">
        <v>10350</v>
      </c>
      <c r="I105">
        <v>27</v>
      </c>
    </row>
    <row r="106" spans="1:9" x14ac:dyDescent="0.35">
      <c r="A106" t="s">
        <v>33</v>
      </c>
      <c r="B106">
        <v>100</v>
      </c>
      <c r="C106" t="s">
        <v>18</v>
      </c>
      <c r="D106">
        <v>0</v>
      </c>
      <c r="E106">
        <v>396</v>
      </c>
      <c r="F106">
        <v>396</v>
      </c>
      <c r="G106">
        <v>4114452</v>
      </c>
      <c r="H106">
        <v>10390</v>
      </c>
      <c r="I106">
        <v>27</v>
      </c>
    </row>
    <row r="107" spans="1:9" x14ac:dyDescent="0.35">
      <c r="A107" t="s">
        <v>34</v>
      </c>
      <c r="B107">
        <v>100</v>
      </c>
      <c r="C107" t="s">
        <v>14</v>
      </c>
      <c r="D107">
        <v>0</v>
      </c>
      <c r="E107">
        <v>396</v>
      </c>
      <c r="F107">
        <v>396</v>
      </c>
      <c r="G107">
        <v>5241577</v>
      </c>
      <c r="H107">
        <v>13236</v>
      </c>
      <c r="I107">
        <v>27</v>
      </c>
    </row>
    <row r="108" spans="1:9" x14ac:dyDescent="0.35">
      <c r="A108" t="s">
        <v>34</v>
      </c>
      <c r="B108">
        <v>100</v>
      </c>
      <c r="C108" t="s">
        <v>15</v>
      </c>
      <c r="D108">
        <v>0</v>
      </c>
      <c r="E108">
        <v>396</v>
      </c>
      <c r="F108">
        <v>396</v>
      </c>
      <c r="G108">
        <v>4102374</v>
      </c>
      <c r="H108">
        <v>10360</v>
      </c>
      <c r="I108">
        <v>27</v>
      </c>
    </row>
    <row r="109" spans="1:9" x14ac:dyDescent="0.35">
      <c r="A109" t="s">
        <v>34</v>
      </c>
      <c r="B109">
        <v>100</v>
      </c>
      <c r="C109" t="s">
        <v>16</v>
      </c>
      <c r="D109">
        <v>0</v>
      </c>
      <c r="E109">
        <v>396</v>
      </c>
      <c r="F109">
        <v>396</v>
      </c>
      <c r="G109">
        <v>4163685</v>
      </c>
      <c r="H109">
        <v>10514</v>
      </c>
      <c r="I109">
        <v>27</v>
      </c>
    </row>
    <row r="110" spans="1:9" x14ac:dyDescent="0.35">
      <c r="A110" t="s">
        <v>34</v>
      </c>
      <c r="B110">
        <v>100</v>
      </c>
      <c r="C110" t="s">
        <v>17</v>
      </c>
      <c r="D110">
        <v>0</v>
      </c>
      <c r="E110">
        <v>396</v>
      </c>
      <c r="F110">
        <v>396</v>
      </c>
      <c r="G110">
        <v>4225498</v>
      </c>
      <c r="H110">
        <v>10670</v>
      </c>
      <c r="I110">
        <v>27</v>
      </c>
    </row>
    <row r="111" spans="1:9" x14ac:dyDescent="0.35">
      <c r="A111" t="s">
        <v>34</v>
      </c>
      <c r="B111">
        <v>100</v>
      </c>
      <c r="C111" t="s">
        <v>18</v>
      </c>
      <c r="D111">
        <v>0</v>
      </c>
      <c r="E111">
        <v>396</v>
      </c>
      <c r="F111">
        <v>396</v>
      </c>
      <c r="G111">
        <v>4287799</v>
      </c>
      <c r="H111">
        <v>10828</v>
      </c>
      <c r="I111">
        <v>27</v>
      </c>
    </row>
    <row r="112" spans="1:9" x14ac:dyDescent="0.35">
      <c r="A112" t="s">
        <v>35</v>
      </c>
      <c r="B112">
        <v>100</v>
      </c>
      <c r="C112" t="s">
        <v>14</v>
      </c>
      <c r="D112">
        <v>357</v>
      </c>
      <c r="E112">
        <v>0</v>
      </c>
      <c r="F112">
        <v>357</v>
      </c>
      <c r="G112">
        <v>4892049</v>
      </c>
      <c r="H112">
        <v>13703</v>
      </c>
      <c r="I112">
        <v>24.4</v>
      </c>
    </row>
    <row r="113" spans="1:9" x14ac:dyDescent="0.35">
      <c r="A113" t="s">
        <v>35</v>
      </c>
      <c r="B113">
        <v>100</v>
      </c>
      <c r="C113" t="s">
        <v>15</v>
      </c>
      <c r="D113">
        <v>357</v>
      </c>
      <c r="E113">
        <v>0</v>
      </c>
      <c r="F113">
        <v>357</v>
      </c>
      <c r="G113">
        <v>3691651</v>
      </c>
      <c r="H113">
        <v>10341</v>
      </c>
      <c r="I113">
        <v>24.4</v>
      </c>
    </row>
    <row r="114" spans="1:9" x14ac:dyDescent="0.35">
      <c r="A114" t="s">
        <v>35</v>
      </c>
      <c r="B114">
        <v>100</v>
      </c>
      <c r="C114" t="s">
        <v>16</v>
      </c>
      <c r="D114">
        <v>357</v>
      </c>
      <c r="E114">
        <v>0</v>
      </c>
      <c r="F114">
        <v>357</v>
      </c>
      <c r="G114">
        <v>3688927</v>
      </c>
      <c r="H114">
        <v>10333</v>
      </c>
      <c r="I114">
        <v>24.4</v>
      </c>
    </row>
    <row r="115" spans="1:9" x14ac:dyDescent="0.35">
      <c r="A115" t="s">
        <v>35</v>
      </c>
      <c r="B115">
        <v>100</v>
      </c>
      <c r="C115" t="s">
        <v>17</v>
      </c>
      <c r="D115">
        <v>357</v>
      </c>
      <c r="E115">
        <v>0</v>
      </c>
      <c r="F115">
        <v>357</v>
      </c>
      <c r="G115">
        <v>3683759</v>
      </c>
      <c r="H115">
        <v>10319</v>
      </c>
      <c r="I115">
        <v>24.4</v>
      </c>
    </row>
    <row r="116" spans="1:9" x14ac:dyDescent="0.35">
      <c r="A116" t="s">
        <v>35</v>
      </c>
      <c r="B116">
        <v>100</v>
      </c>
      <c r="C116" t="s">
        <v>18</v>
      </c>
      <c r="D116">
        <v>357</v>
      </c>
      <c r="E116">
        <v>0</v>
      </c>
      <c r="F116">
        <v>357</v>
      </c>
      <c r="G116">
        <v>3676027</v>
      </c>
      <c r="H116">
        <v>10297</v>
      </c>
      <c r="I116">
        <v>24.4</v>
      </c>
    </row>
    <row r="117" spans="1:9" x14ac:dyDescent="0.35">
      <c r="A117" t="s">
        <v>36</v>
      </c>
      <c r="B117">
        <v>100</v>
      </c>
      <c r="C117" t="s">
        <v>14</v>
      </c>
      <c r="D117">
        <v>357</v>
      </c>
      <c r="E117">
        <v>0</v>
      </c>
      <c r="F117">
        <v>357</v>
      </c>
      <c r="G117">
        <v>4892049</v>
      </c>
      <c r="H117">
        <v>13703</v>
      </c>
      <c r="I117">
        <v>24.4</v>
      </c>
    </row>
    <row r="118" spans="1:9" x14ac:dyDescent="0.35">
      <c r="A118" t="s">
        <v>36</v>
      </c>
      <c r="B118">
        <v>100</v>
      </c>
      <c r="C118" t="s">
        <v>15</v>
      </c>
      <c r="D118">
        <v>357</v>
      </c>
      <c r="E118">
        <v>0</v>
      </c>
      <c r="F118">
        <v>357</v>
      </c>
      <c r="G118">
        <v>3738001</v>
      </c>
      <c r="H118">
        <v>10471</v>
      </c>
      <c r="I118">
        <v>24.4</v>
      </c>
    </row>
    <row r="119" spans="1:9" x14ac:dyDescent="0.35">
      <c r="A119" t="s">
        <v>36</v>
      </c>
      <c r="B119">
        <v>100</v>
      </c>
      <c r="C119" t="s">
        <v>16</v>
      </c>
      <c r="D119">
        <v>357</v>
      </c>
      <c r="E119">
        <v>0</v>
      </c>
      <c r="F119">
        <v>357</v>
      </c>
      <c r="G119">
        <v>3783943</v>
      </c>
      <c r="H119">
        <v>10599</v>
      </c>
      <c r="I119">
        <v>24.4</v>
      </c>
    </row>
    <row r="120" spans="1:9" x14ac:dyDescent="0.35">
      <c r="A120" t="s">
        <v>36</v>
      </c>
      <c r="B120">
        <v>100</v>
      </c>
      <c r="C120" t="s">
        <v>17</v>
      </c>
      <c r="D120">
        <v>357</v>
      </c>
      <c r="E120">
        <v>0</v>
      </c>
      <c r="F120">
        <v>357</v>
      </c>
      <c r="G120">
        <v>3829846</v>
      </c>
      <c r="H120">
        <v>10728</v>
      </c>
      <c r="I120">
        <v>24.4</v>
      </c>
    </row>
    <row r="121" spans="1:9" x14ac:dyDescent="0.35">
      <c r="A121" t="s">
        <v>36</v>
      </c>
      <c r="B121">
        <v>100</v>
      </c>
      <c r="C121" t="s">
        <v>18</v>
      </c>
      <c r="D121">
        <v>357</v>
      </c>
      <c r="E121">
        <v>0</v>
      </c>
      <c r="F121">
        <v>357</v>
      </c>
      <c r="G121">
        <v>3875679</v>
      </c>
      <c r="H121">
        <v>10856</v>
      </c>
      <c r="I121">
        <v>24.4</v>
      </c>
    </row>
    <row r="122" spans="1:9" x14ac:dyDescent="0.35">
      <c r="A122" t="s">
        <v>31</v>
      </c>
      <c r="B122">
        <v>0</v>
      </c>
      <c r="C122" t="s">
        <v>14</v>
      </c>
      <c r="D122">
        <v>0</v>
      </c>
      <c r="E122">
        <v>0</v>
      </c>
      <c r="F122">
        <v>0</v>
      </c>
      <c r="G122">
        <v>3075837</v>
      </c>
      <c r="I122">
        <v>0</v>
      </c>
    </row>
    <row r="123" spans="1:9" x14ac:dyDescent="0.35">
      <c r="A123" t="s">
        <v>31</v>
      </c>
      <c r="B123">
        <v>0</v>
      </c>
      <c r="C123" t="s">
        <v>15</v>
      </c>
      <c r="D123">
        <v>0</v>
      </c>
      <c r="E123">
        <v>0</v>
      </c>
      <c r="F123">
        <v>0</v>
      </c>
      <c r="G123">
        <v>519550</v>
      </c>
      <c r="I123">
        <v>0</v>
      </c>
    </row>
    <row r="124" spans="1:9" x14ac:dyDescent="0.35">
      <c r="A124" t="s">
        <v>31</v>
      </c>
      <c r="B124">
        <v>0</v>
      </c>
      <c r="C124" t="s">
        <v>16</v>
      </c>
      <c r="D124">
        <v>0</v>
      </c>
      <c r="E124">
        <v>0</v>
      </c>
      <c r="F124">
        <v>0</v>
      </c>
      <c r="G124">
        <v>355026</v>
      </c>
      <c r="I124">
        <v>0</v>
      </c>
    </row>
    <row r="125" spans="1:9" x14ac:dyDescent="0.35">
      <c r="A125" t="s">
        <v>31</v>
      </c>
      <c r="B125">
        <v>0</v>
      </c>
      <c r="C125" t="s">
        <v>17</v>
      </c>
      <c r="D125">
        <v>0</v>
      </c>
      <c r="E125">
        <v>0</v>
      </c>
      <c r="F125">
        <v>0</v>
      </c>
      <c r="G125">
        <v>181951</v>
      </c>
      <c r="I125">
        <v>0</v>
      </c>
    </row>
    <row r="126" spans="1:9" x14ac:dyDescent="0.35">
      <c r="A126" t="s">
        <v>31</v>
      </c>
      <c r="B126">
        <v>0</v>
      </c>
      <c r="C126" t="s">
        <v>18</v>
      </c>
      <c r="D126">
        <v>0</v>
      </c>
      <c r="E126">
        <v>0</v>
      </c>
      <c r="F126">
        <v>0</v>
      </c>
      <c r="G126">
        <v>0</v>
      </c>
      <c r="I126">
        <v>0</v>
      </c>
    </row>
    <row r="127" spans="1:9" x14ac:dyDescent="0.35">
      <c r="A127" t="s">
        <v>32</v>
      </c>
      <c r="B127">
        <v>0</v>
      </c>
      <c r="C127" t="s">
        <v>14</v>
      </c>
      <c r="D127">
        <v>0</v>
      </c>
      <c r="E127">
        <v>0</v>
      </c>
      <c r="F127">
        <v>0</v>
      </c>
      <c r="G127">
        <v>3075837</v>
      </c>
      <c r="I127">
        <v>0</v>
      </c>
    </row>
    <row r="128" spans="1:9" x14ac:dyDescent="0.35">
      <c r="A128" t="s">
        <v>32</v>
      </c>
      <c r="B128">
        <v>0</v>
      </c>
      <c r="C128" t="s">
        <v>15</v>
      </c>
      <c r="D128">
        <v>0</v>
      </c>
      <c r="E128">
        <v>0</v>
      </c>
      <c r="F128">
        <v>0</v>
      </c>
      <c r="G128">
        <v>606141</v>
      </c>
      <c r="I128">
        <v>0</v>
      </c>
    </row>
    <row r="129" spans="1:9" x14ac:dyDescent="0.35">
      <c r="A129" t="s">
        <v>32</v>
      </c>
      <c r="B129">
        <v>0</v>
      </c>
      <c r="C129" t="s">
        <v>16</v>
      </c>
      <c r="D129">
        <v>0</v>
      </c>
      <c r="E129">
        <v>0</v>
      </c>
      <c r="F129">
        <v>0</v>
      </c>
      <c r="G129">
        <v>532538</v>
      </c>
      <c r="I129">
        <v>0</v>
      </c>
    </row>
    <row r="130" spans="1:9" x14ac:dyDescent="0.35">
      <c r="A130" t="s">
        <v>32</v>
      </c>
      <c r="B130">
        <v>0</v>
      </c>
      <c r="C130" t="s">
        <v>17</v>
      </c>
      <c r="D130">
        <v>0</v>
      </c>
      <c r="E130">
        <v>0</v>
      </c>
      <c r="F130">
        <v>0</v>
      </c>
      <c r="G130">
        <v>454876</v>
      </c>
      <c r="I130">
        <v>0</v>
      </c>
    </row>
    <row r="131" spans="1:9" x14ac:dyDescent="0.35">
      <c r="A131" t="s">
        <v>32</v>
      </c>
      <c r="B131">
        <v>0</v>
      </c>
      <c r="C131" t="s">
        <v>18</v>
      </c>
      <c r="D131">
        <v>0</v>
      </c>
      <c r="E131">
        <v>0</v>
      </c>
      <c r="F131">
        <v>0</v>
      </c>
      <c r="G131">
        <v>372999</v>
      </c>
      <c r="I131">
        <v>0</v>
      </c>
    </row>
    <row r="132" spans="1:9" x14ac:dyDescent="0.35">
      <c r="A132" t="s">
        <v>33</v>
      </c>
      <c r="B132">
        <v>150</v>
      </c>
      <c r="C132" t="s">
        <v>14</v>
      </c>
      <c r="D132">
        <v>0</v>
      </c>
      <c r="E132">
        <v>446</v>
      </c>
      <c r="F132">
        <v>446</v>
      </c>
      <c r="G132">
        <v>5598031</v>
      </c>
      <c r="H132">
        <v>12552</v>
      </c>
      <c r="I132">
        <v>30.4</v>
      </c>
    </row>
    <row r="133" spans="1:9" x14ac:dyDescent="0.35">
      <c r="A133" t="s">
        <v>33</v>
      </c>
      <c r="B133">
        <v>150</v>
      </c>
      <c r="C133" t="s">
        <v>15</v>
      </c>
      <c r="D133">
        <v>0</v>
      </c>
      <c r="E133">
        <v>446</v>
      </c>
      <c r="F133">
        <v>446</v>
      </c>
      <c r="G133">
        <v>4427497</v>
      </c>
      <c r="H133">
        <v>9927</v>
      </c>
      <c r="I133">
        <v>30.4</v>
      </c>
    </row>
    <row r="134" spans="1:9" x14ac:dyDescent="0.35">
      <c r="A134" t="s">
        <v>33</v>
      </c>
      <c r="B134">
        <v>150</v>
      </c>
      <c r="C134" t="s">
        <v>16</v>
      </c>
      <c r="D134">
        <v>0</v>
      </c>
      <c r="E134">
        <v>446</v>
      </c>
      <c r="F134">
        <v>446</v>
      </c>
      <c r="G134">
        <v>4455688</v>
      </c>
      <c r="H134">
        <v>9990</v>
      </c>
      <c r="I134">
        <v>30.4</v>
      </c>
    </row>
    <row r="135" spans="1:9" x14ac:dyDescent="0.35">
      <c r="A135" t="s">
        <v>33</v>
      </c>
      <c r="B135">
        <v>150</v>
      </c>
      <c r="C135" t="s">
        <v>17</v>
      </c>
      <c r="D135">
        <v>0</v>
      </c>
      <c r="E135">
        <v>446</v>
      </c>
      <c r="F135">
        <v>446</v>
      </c>
      <c r="G135">
        <v>4482521</v>
      </c>
      <c r="H135">
        <v>10050</v>
      </c>
      <c r="I135">
        <v>30.4</v>
      </c>
    </row>
    <row r="136" spans="1:9" x14ac:dyDescent="0.35">
      <c r="A136" t="s">
        <v>33</v>
      </c>
      <c r="B136">
        <v>150</v>
      </c>
      <c r="C136" t="s">
        <v>18</v>
      </c>
      <c r="D136">
        <v>0</v>
      </c>
      <c r="E136">
        <v>446</v>
      </c>
      <c r="F136">
        <v>446</v>
      </c>
      <c r="G136">
        <v>4507910</v>
      </c>
      <c r="H136">
        <v>10107</v>
      </c>
      <c r="I136">
        <v>30.4</v>
      </c>
    </row>
    <row r="137" spans="1:9" x14ac:dyDescent="0.35">
      <c r="A137" t="s">
        <v>34</v>
      </c>
      <c r="B137">
        <v>150</v>
      </c>
      <c r="C137" t="s">
        <v>14</v>
      </c>
      <c r="D137">
        <v>0</v>
      </c>
      <c r="E137">
        <v>446</v>
      </c>
      <c r="F137">
        <v>446</v>
      </c>
      <c r="G137">
        <v>5598031</v>
      </c>
      <c r="H137">
        <v>12552</v>
      </c>
      <c r="I137">
        <v>30.4</v>
      </c>
    </row>
    <row r="138" spans="1:9" x14ac:dyDescent="0.35">
      <c r="A138" t="s">
        <v>34</v>
      </c>
      <c r="B138">
        <v>150</v>
      </c>
      <c r="C138" t="s">
        <v>15</v>
      </c>
      <c r="D138">
        <v>0</v>
      </c>
      <c r="E138">
        <v>446</v>
      </c>
      <c r="F138">
        <v>446</v>
      </c>
      <c r="G138">
        <v>4467740</v>
      </c>
      <c r="H138">
        <v>10017</v>
      </c>
      <c r="I138">
        <v>30.4</v>
      </c>
    </row>
    <row r="139" spans="1:9" x14ac:dyDescent="0.35">
      <c r="A139" t="s">
        <v>34</v>
      </c>
      <c r="B139">
        <v>150</v>
      </c>
      <c r="C139" t="s">
        <v>16</v>
      </c>
      <c r="D139">
        <v>0</v>
      </c>
      <c r="E139">
        <v>446</v>
      </c>
      <c r="F139">
        <v>446</v>
      </c>
      <c r="G139">
        <v>4538185</v>
      </c>
      <c r="H139">
        <v>10175</v>
      </c>
      <c r="I139">
        <v>30.4</v>
      </c>
    </row>
    <row r="140" spans="1:9" x14ac:dyDescent="0.35">
      <c r="A140" t="s">
        <v>34</v>
      </c>
      <c r="B140">
        <v>150</v>
      </c>
      <c r="C140" t="s">
        <v>17</v>
      </c>
      <c r="D140">
        <v>0</v>
      </c>
      <c r="E140">
        <v>446</v>
      </c>
      <c r="F140">
        <v>446</v>
      </c>
      <c r="G140">
        <v>4609360</v>
      </c>
      <c r="H140">
        <v>10335</v>
      </c>
      <c r="I140">
        <v>30.4</v>
      </c>
    </row>
    <row r="141" spans="1:9" x14ac:dyDescent="0.35">
      <c r="A141" t="s">
        <v>34</v>
      </c>
      <c r="B141">
        <v>150</v>
      </c>
      <c r="C141" t="s">
        <v>18</v>
      </c>
      <c r="D141">
        <v>0</v>
      </c>
      <c r="E141">
        <v>446</v>
      </c>
      <c r="F141">
        <v>446</v>
      </c>
      <c r="G141">
        <v>4681257</v>
      </c>
      <c r="H141">
        <v>10496</v>
      </c>
      <c r="I141">
        <v>30.4</v>
      </c>
    </row>
    <row r="142" spans="1:9" x14ac:dyDescent="0.35">
      <c r="A142" t="s">
        <v>35</v>
      </c>
      <c r="B142">
        <v>150</v>
      </c>
      <c r="C142" t="s">
        <v>14</v>
      </c>
      <c r="D142">
        <v>407</v>
      </c>
      <c r="E142">
        <v>0</v>
      </c>
      <c r="F142">
        <v>407</v>
      </c>
      <c r="G142">
        <v>5248503</v>
      </c>
      <c r="H142">
        <v>12896</v>
      </c>
      <c r="I142">
        <v>27.8</v>
      </c>
    </row>
    <row r="143" spans="1:9" x14ac:dyDescent="0.35">
      <c r="A143" t="s">
        <v>35</v>
      </c>
      <c r="B143">
        <v>150</v>
      </c>
      <c r="C143" t="s">
        <v>15</v>
      </c>
      <c r="D143">
        <v>407</v>
      </c>
      <c r="E143">
        <v>0</v>
      </c>
      <c r="F143">
        <v>407</v>
      </c>
      <c r="G143">
        <v>4057017</v>
      </c>
      <c r="H143">
        <v>9968</v>
      </c>
      <c r="I143">
        <v>27.8</v>
      </c>
    </row>
    <row r="144" spans="1:9" x14ac:dyDescent="0.35">
      <c r="A144" t="s">
        <v>35</v>
      </c>
      <c r="B144">
        <v>150</v>
      </c>
      <c r="C144" t="s">
        <v>16</v>
      </c>
      <c r="D144">
        <v>407</v>
      </c>
      <c r="E144">
        <v>0</v>
      </c>
      <c r="F144">
        <v>407</v>
      </c>
      <c r="G144">
        <v>4063426</v>
      </c>
      <c r="H144">
        <v>9984</v>
      </c>
      <c r="I144">
        <v>27.8</v>
      </c>
    </row>
    <row r="145" spans="1:9" x14ac:dyDescent="0.35">
      <c r="A145" t="s">
        <v>35</v>
      </c>
      <c r="B145">
        <v>150</v>
      </c>
      <c r="C145" t="s">
        <v>17</v>
      </c>
      <c r="D145">
        <v>407</v>
      </c>
      <c r="E145">
        <v>0</v>
      </c>
      <c r="F145">
        <v>407</v>
      </c>
      <c r="G145">
        <v>4067621</v>
      </c>
      <c r="H145">
        <v>9994</v>
      </c>
      <c r="I145">
        <v>27.8</v>
      </c>
    </row>
    <row r="146" spans="1:9" x14ac:dyDescent="0.35">
      <c r="A146" t="s">
        <v>35</v>
      </c>
      <c r="B146">
        <v>150</v>
      </c>
      <c r="C146" t="s">
        <v>18</v>
      </c>
      <c r="D146">
        <v>407</v>
      </c>
      <c r="E146">
        <v>0</v>
      </c>
      <c r="F146">
        <v>407</v>
      </c>
      <c r="G146">
        <v>4069485</v>
      </c>
      <c r="H146">
        <v>9999</v>
      </c>
      <c r="I146">
        <v>27.8</v>
      </c>
    </row>
    <row r="147" spans="1:9" x14ac:dyDescent="0.35">
      <c r="A147" t="s">
        <v>36</v>
      </c>
      <c r="B147">
        <v>150</v>
      </c>
      <c r="C147" t="s">
        <v>14</v>
      </c>
      <c r="D147">
        <v>407</v>
      </c>
      <c r="E147">
        <v>0</v>
      </c>
      <c r="F147">
        <v>407</v>
      </c>
      <c r="G147">
        <v>5248503</v>
      </c>
      <c r="H147">
        <v>12896</v>
      </c>
      <c r="I147">
        <v>27.8</v>
      </c>
    </row>
    <row r="148" spans="1:9" x14ac:dyDescent="0.35">
      <c r="A148" t="s">
        <v>36</v>
      </c>
      <c r="B148">
        <v>150</v>
      </c>
      <c r="C148" t="s">
        <v>15</v>
      </c>
      <c r="D148">
        <v>407</v>
      </c>
      <c r="E148">
        <v>0</v>
      </c>
      <c r="F148">
        <v>407</v>
      </c>
      <c r="G148">
        <v>4103366</v>
      </c>
      <c r="H148">
        <v>10082</v>
      </c>
      <c r="I148">
        <v>27.8</v>
      </c>
    </row>
    <row r="149" spans="1:9" x14ac:dyDescent="0.35">
      <c r="A149" t="s">
        <v>36</v>
      </c>
      <c r="B149">
        <v>150</v>
      </c>
      <c r="C149" t="s">
        <v>16</v>
      </c>
      <c r="D149">
        <v>407</v>
      </c>
      <c r="E149">
        <v>0</v>
      </c>
      <c r="F149">
        <v>407</v>
      </c>
      <c r="G149">
        <v>4158442</v>
      </c>
      <c r="H149">
        <v>10217</v>
      </c>
      <c r="I149">
        <v>27.8</v>
      </c>
    </row>
    <row r="150" spans="1:9" x14ac:dyDescent="0.35">
      <c r="A150" t="s">
        <v>36</v>
      </c>
      <c r="B150">
        <v>150</v>
      </c>
      <c r="C150" t="s">
        <v>17</v>
      </c>
      <c r="D150">
        <v>407</v>
      </c>
      <c r="E150">
        <v>0</v>
      </c>
      <c r="F150">
        <v>407</v>
      </c>
      <c r="G150">
        <v>4213708</v>
      </c>
      <c r="H150">
        <v>10353</v>
      </c>
      <c r="I150">
        <v>27.8</v>
      </c>
    </row>
    <row r="151" spans="1:9" x14ac:dyDescent="0.35">
      <c r="A151" t="s">
        <v>36</v>
      </c>
      <c r="B151">
        <v>150</v>
      </c>
      <c r="C151" t="s">
        <v>18</v>
      </c>
      <c r="D151">
        <v>407</v>
      </c>
      <c r="E151">
        <v>0</v>
      </c>
      <c r="F151">
        <v>407</v>
      </c>
      <c r="G151">
        <v>4269137</v>
      </c>
      <c r="H151">
        <v>10489</v>
      </c>
      <c r="I151">
        <v>27.8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"/>
  <sheetViews>
    <sheetView workbookViewId="0">
      <selection sqref="A1:G1048576"/>
    </sheetView>
  </sheetViews>
  <sheetFormatPr defaultRowHeight="14.5" x14ac:dyDescent="0.35"/>
  <cols>
    <col min="1" max="1" width="33.36328125" bestFit="1" customWidth="1"/>
    <col min="2" max="2" width="7.1796875" bestFit="1" customWidth="1"/>
    <col min="3" max="4" width="19.08984375" bestFit="1" customWidth="1"/>
    <col min="5" max="5" width="19.81640625" bestFit="1" customWidth="1"/>
    <col min="6" max="6" width="11.81640625" bestFit="1" customWidth="1"/>
    <col min="7" max="7" width="37.7265625" bestFit="1" customWidth="1"/>
  </cols>
  <sheetData>
    <row r="1" spans="1:7" x14ac:dyDescent="0.35">
      <c r="A1" s="1" t="s">
        <v>19</v>
      </c>
      <c r="B1" s="1" t="s">
        <v>20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 x14ac:dyDescent="0.35">
      <c r="A2" t="s">
        <v>31</v>
      </c>
      <c r="B2">
        <v>0</v>
      </c>
      <c r="C2">
        <v>8945.9896749999971</v>
      </c>
      <c r="D2">
        <v>8169.1704022968697</v>
      </c>
      <c r="E2">
        <v>11283.727326466749</v>
      </c>
      <c r="F2">
        <v>19956325.81404268</v>
      </c>
      <c r="G2" t="s">
        <v>42</v>
      </c>
    </row>
    <row r="3" spans="1:7" x14ac:dyDescent="0.35">
      <c r="A3" t="s">
        <v>32</v>
      </c>
      <c r="B3">
        <v>0</v>
      </c>
      <c r="C3">
        <v>9373.9872639089772</v>
      </c>
      <c r="D3">
        <v>9068.5049411757118</v>
      </c>
      <c r="E3">
        <v>11495.98611690275</v>
      </c>
      <c r="F3">
        <v>20788886.648868129</v>
      </c>
      <c r="G3" t="s">
        <v>43</v>
      </c>
    </row>
    <row r="4" spans="1:7" x14ac:dyDescent="0.35">
      <c r="A4" t="s">
        <v>33</v>
      </c>
      <c r="B4">
        <v>0</v>
      </c>
      <c r="C4">
        <v>10008.254751624039</v>
      </c>
      <c r="D4">
        <v>10029.9592737447</v>
      </c>
      <c r="E4">
        <v>10831.146192058821</v>
      </c>
      <c r="F4">
        <v>24286368.424215682</v>
      </c>
      <c r="G4" t="s">
        <v>44</v>
      </c>
    </row>
    <row r="5" spans="1:7" x14ac:dyDescent="0.35">
      <c r="A5" t="s">
        <v>33</v>
      </c>
      <c r="B5">
        <v>100</v>
      </c>
      <c r="C5">
        <v>9580.524008248407</v>
      </c>
      <c r="D5">
        <v>9662.9462336182096</v>
      </c>
      <c r="E5">
        <v>10232.869698007789</v>
      </c>
      <c r="F5">
        <v>27816469.167946409</v>
      </c>
      <c r="G5" t="s">
        <v>44</v>
      </c>
    </row>
    <row r="6" spans="1:7" x14ac:dyDescent="0.35">
      <c r="A6" t="s">
        <v>33</v>
      </c>
      <c r="B6">
        <v>150</v>
      </c>
      <c r="C6">
        <v>9416.8822072113489</v>
      </c>
      <c r="D6">
        <v>9522.532438423048</v>
      </c>
      <c r="E6">
        <v>10003.979180225049</v>
      </c>
      <c r="F6">
        <v>29581519.081429299</v>
      </c>
      <c r="G6" t="s">
        <v>44</v>
      </c>
    </row>
    <row r="7" spans="1:7" x14ac:dyDescent="0.35">
      <c r="A7" t="s">
        <v>34</v>
      </c>
      <c r="B7">
        <v>0</v>
      </c>
      <c r="C7">
        <v>10177.04656748082</v>
      </c>
      <c r="D7">
        <v>10384.631396506849</v>
      </c>
      <c r="E7">
        <v>10914.85633698636</v>
      </c>
      <c r="F7">
        <v>24673291.961456589</v>
      </c>
      <c r="G7" t="s">
        <v>45</v>
      </c>
    </row>
    <row r="8" spans="1:7" x14ac:dyDescent="0.35">
      <c r="A8" t="s">
        <v>34</v>
      </c>
      <c r="B8">
        <v>100</v>
      </c>
      <c r="C8">
        <v>9720.6463012420372</v>
      </c>
      <c r="D8">
        <v>9957.3785053804186</v>
      </c>
      <c r="E8">
        <v>10302.360993124559</v>
      </c>
      <c r="F8">
        <v>28203392.62280057</v>
      </c>
      <c r="G8" t="s">
        <v>45</v>
      </c>
    </row>
    <row r="9" spans="1:7" x14ac:dyDescent="0.35">
      <c r="A9" t="s">
        <v>34</v>
      </c>
      <c r="B9">
        <v>150</v>
      </c>
      <c r="C9">
        <v>9546.0360232583153</v>
      </c>
      <c r="D9">
        <v>9793.9171742351809</v>
      </c>
      <c r="E9">
        <v>10068.03136548271</v>
      </c>
      <c r="F9">
        <v>29968443.507157251</v>
      </c>
      <c r="G9" t="s">
        <v>45</v>
      </c>
    </row>
    <row r="10" spans="1:7" x14ac:dyDescent="0.35">
      <c r="A10" t="s">
        <v>35</v>
      </c>
      <c r="B10">
        <v>0</v>
      </c>
      <c r="C10">
        <v>9887.0682836116903</v>
      </c>
      <c r="D10">
        <v>9817.6739651563785</v>
      </c>
      <c r="E10">
        <v>10772.75269439805</v>
      </c>
      <c r="F10">
        <v>23557749.285766158</v>
      </c>
      <c r="G10" t="s">
        <v>46</v>
      </c>
    </row>
    <row r="11" spans="1:7" x14ac:dyDescent="0.35">
      <c r="A11" t="s">
        <v>35</v>
      </c>
      <c r="B11">
        <v>100</v>
      </c>
      <c r="C11">
        <v>9473.0651258203798</v>
      </c>
      <c r="D11">
        <v>9481.1447829186618</v>
      </c>
      <c r="E11">
        <v>10174.486253223949</v>
      </c>
      <c r="F11">
        <v>27087849.05862309</v>
      </c>
      <c r="G11" t="s">
        <v>46</v>
      </c>
    </row>
    <row r="12" spans="1:7" x14ac:dyDescent="0.35">
      <c r="A12" t="s">
        <v>35</v>
      </c>
      <c r="B12">
        <v>150</v>
      </c>
      <c r="C12">
        <v>9315.4271984896659</v>
      </c>
      <c r="D12">
        <v>9353.0060879330758</v>
      </c>
      <c r="E12">
        <v>9946.6887238208783</v>
      </c>
      <c r="F12">
        <v>28852899.000383869</v>
      </c>
      <c r="G12" t="s">
        <v>46</v>
      </c>
    </row>
    <row r="13" spans="1:7" x14ac:dyDescent="0.35">
      <c r="A13" t="s">
        <v>36</v>
      </c>
      <c r="B13">
        <v>0</v>
      </c>
      <c r="C13">
        <v>10085.431540396659</v>
      </c>
      <c r="D13">
        <v>10234.483986033199</v>
      </c>
      <c r="E13">
        <v>10871.12778138483</v>
      </c>
      <c r="F13">
        <v>24003388.52347501</v>
      </c>
      <c r="G13" t="s">
        <v>47</v>
      </c>
    </row>
    <row r="14" spans="1:7" x14ac:dyDescent="0.35">
      <c r="A14" t="s">
        <v>36</v>
      </c>
      <c r="B14">
        <v>100</v>
      </c>
      <c r="C14">
        <v>9637.1687527633858</v>
      </c>
      <c r="D14">
        <v>9825.966889999836</v>
      </c>
      <c r="E14">
        <v>10255.871400028789</v>
      </c>
      <c r="F14">
        <v>27533489.26720573</v>
      </c>
      <c r="G14" t="s">
        <v>47</v>
      </c>
    </row>
    <row r="15" spans="1:7" x14ac:dyDescent="0.35">
      <c r="A15" t="s">
        <v>36</v>
      </c>
      <c r="B15">
        <v>150</v>
      </c>
      <c r="C15">
        <v>9466.4860220190785</v>
      </c>
      <c r="D15">
        <v>9670.4178526389587</v>
      </c>
      <c r="E15">
        <v>10021.60393314785</v>
      </c>
      <c r="F15">
        <v>29298538.238092721</v>
      </c>
      <c r="G15" t="s">
        <v>47</v>
      </c>
    </row>
    <row r="16" spans="1:7" x14ac:dyDescent="0.35">
      <c r="A16" t="s">
        <v>27</v>
      </c>
      <c r="B16">
        <v>0</v>
      </c>
      <c r="C16">
        <v>10625</v>
      </c>
      <c r="D16">
        <v>11163</v>
      </c>
      <c r="E16">
        <v>10368</v>
      </c>
      <c r="F16">
        <v>27692577.847131811</v>
      </c>
      <c r="G16" t="s">
        <v>48</v>
      </c>
    </row>
    <row r="17" spans="1:7" x14ac:dyDescent="0.35">
      <c r="A17" t="s">
        <v>27</v>
      </c>
      <c r="B17">
        <v>100</v>
      </c>
      <c r="C17">
        <v>10137</v>
      </c>
      <c r="D17">
        <v>10650</v>
      </c>
      <c r="E17">
        <v>9891.6666666666661</v>
      </c>
      <c r="F17">
        <v>31197968.78315619</v>
      </c>
      <c r="G17" t="s">
        <v>48</v>
      </c>
    </row>
    <row r="18" spans="1:7" x14ac:dyDescent="0.35">
      <c r="A18" t="s">
        <v>27</v>
      </c>
      <c r="B18">
        <v>150</v>
      </c>
      <c r="C18">
        <v>9945</v>
      </c>
      <c r="D18">
        <v>10448</v>
      </c>
      <c r="E18">
        <v>9704.3333333333339</v>
      </c>
      <c r="F18">
        <v>32950662.836051069</v>
      </c>
      <c r="G18" t="s">
        <v>48</v>
      </c>
    </row>
    <row r="19" spans="1:7" x14ac:dyDescent="0.35">
      <c r="A19" t="s">
        <v>28</v>
      </c>
      <c r="B19">
        <v>0</v>
      </c>
      <c r="C19">
        <v>10625</v>
      </c>
      <c r="D19">
        <v>11163</v>
      </c>
      <c r="E19">
        <v>10368</v>
      </c>
      <c r="F19">
        <v>27692577.847131811</v>
      </c>
      <c r="G19" t="s">
        <v>49</v>
      </c>
    </row>
    <row r="20" spans="1:7" x14ac:dyDescent="0.35">
      <c r="A20" t="s">
        <v>28</v>
      </c>
      <c r="B20">
        <v>100</v>
      </c>
      <c r="C20">
        <v>10137</v>
      </c>
      <c r="D20">
        <v>10650</v>
      </c>
      <c r="E20">
        <v>9891.6666666666661</v>
      </c>
      <c r="F20">
        <v>31197968.78315619</v>
      </c>
      <c r="G20" t="s">
        <v>49</v>
      </c>
    </row>
    <row r="21" spans="1:7" x14ac:dyDescent="0.35">
      <c r="A21" t="s">
        <v>28</v>
      </c>
      <c r="B21">
        <v>150</v>
      </c>
      <c r="C21">
        <v>9945</v>
      </c>
      <c r="D21">
        <v>10448</v>
      </c>
      <c r="E21">
        <v>9704.3333333333339</v>
      </c>
      <c r="F21">
        <v>32950662.836051069</v>
      </c>
      <c r="G21" t="s">
        <v>49</v>
      </c>
    </row>
    <row r="22" spans="1:7" x14ac:dyDescent="0.35">
      <c r="A22" t="s">
        <v>29</v>
      </c>
      <c r="B22">
        <v>0</v>
      </c>
      <c r="C22">
        <v>10466</v>
      </c>
      <c r="D22">
        <v>10996</v>
      </c>
      <c r="E22">
        <v>10212.33333333333</v>
      </c>
      <c r="F22">
        <v>27277190.271757539</v>
      </c>
      <c r="G22" t="s">
        <v>50</v>
      </c>
    </row>
    <row r="23" spans="1:7" x14ac:dyDescent="0.35">
      <c r="A23" t="s">
        <v>29</v>
      </c>
      <c r="B23">
        <v>100</v>
      </c>
      <c r="C23">
        <v>9985</v>
      </c>
      <c r="D23">
        <v>10490</v>
      </c>
      <c r="E23">
        <v>9743.3333333333339</v>
      </c>
      <c r="F23">
        <v>30729999.129949588</v>
      </c>
      <c r="G23" t="s">
        <v>50</v>
      </c>
    </row>
    <row r="24" spans="1:7" x14ac:dyDescent="0.35">
      <c r="A24" t="s">
        <v>29</v>
      </c>
      <c r="B24">
        <v>150</v>
      </c>
      <c r="C24">
        <v>9796</v>
      </c>
      <c r="D24">
        <v>10292</v>
      </c>
      <c r="E24">
        <v>9559</v>
      </c>
      <c r="F24">
        <v>32456402.655995458</v>
      </c>
      <c r="G24" t="s">
        <v>50</v>
      </c>
    </row>
    <row r="25" spans="1:7" x14ac:dyDescent="0.35">
      <c r="A25" t="s">
        <v>30</v>
      </c>
      <c r="B25">
        <v>0</v>
      </c>
      <c r="C25">
        <v>9945</v>
      </c>
      <c r="D25">
        <v>10448</v>
      </c>
      <c r="E25">
        <v>9899</v>
      </c>
      <c r="F25">
        <v>31890505.030225821</v>
      </c>
      <c r="G25" t="s">
        <v>51</v>
      </c>
    </row>
    <row r="26" spans="1:7" x14ac:dyDescent="0.35">
      <c r="A26" t="s">
        <v>30</v>
      </c>
      <c r="B26">
        <v>100</v>
      </c>
      <c r="C26">
        <v>9945</v>
      </c>
      <c r="D26">
        <v>10448</v>
      </c>
      <c r="E26">
        <v>9899</v>
      </c>
      <c r="F26">
        <v>31890505.030225821</v>
      </c>
      <c r="G26" t="s">
        <v>51</v>
      </c>
    </row>
    <row r="27" spans="1:7" x14ac:dyDescent="0.35">
      <c r="A27" t="s">
        <v>30</v>
      </c>
      <c r="B27">
        <v>150</v>
      </c>
      <c r="C27">
        <v>9945</v>
      </c>
      <c r="D27">
        <v>10448</v>
      </c>
      <c r="E27">
        <v>9899</v>
      </c>
      <c r="F27">
        <v>31890505.030225821</v>
      </c>
      <c r="G27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1"/>
  <sheetViews>
    <sheetView workbookViewId="0">
      <selection sqref="A1:E1048576"/>
    </sheetView>
  </sheetViews>
  <sheetFormatPr defaultRowHeight="14.5" x14ac:dyDescent="0.35"/>
  <cols>
    <col min="1" max="1" width="7.1796875" bestFit="1" customWidth="1"/>
    <col min="2" max="2" width="6.7265625" bestFit="1" customWidth="1"/>
    <col min="3" max="3" width="37.7265625" bestFit="1" customWidth="1"/>
    <col min="4" max="4" width="11.7265625" bestFit="1" customWidth="1"/>
    <col min="5" max="5" width="11.54296875" bestFit="1" customWidth="1"/>
  </cols>
  <sheetData>
    <row r="1" spans="1:5" x14ac:dyDescent="0.35">
      <c r="A1" s="1" t="s">
        <v>20</v>
      </c>
      <c r="B1" s="1" t="s">
        <v>10</v>
      </c>
      <c r="C1" s="1" t="s">
        <v>41</v>
      </c>
      <c r="D1" s="1" t="s">
        <v>52</v>
      </c>
      <c r="E1" s="1" t="s">
        <v>53</v>
      </c>
    </row>
    <row r="2" spans="1:5" x14ac:dyDescent="0.35">
      <c r="A2">
        <v>0</v>
      </c>
      <c r="B2" t="s">
        <v>16</v>
      </c>
      <c r="C2" t="s">
        <v>42</v>
      </c>
      <c r="D2">
        <v>414.75</v>
      </c>
      <c r="E2">
        <v>-138.25</v>
      </c>
    </row>
    <row r="3" spans="1:5" x14ac:dyDescent="0.35">
      <c r="A3">
        <v>0</v>
      </c>
      <c r="B3" t="s">
        <v>16</v>
      </c>
      <c r="C3" t="s">
        <v>43</v>
      </c>
      <c r="D3">
        <v>414.75</v>
      </c>
      <c r="E3">
        <v>-138.25</v>
      </c>
    </row>
    <row r="4" spans="1:5" x14ac:dyDescent="0.35">
      <c r="A4">
        <v>0</v>
      </c>
      <c r="B4" t="s">
        <v>16</v>
      </c>
      <c r="C4" t="s">
        <v>44</v>
      </c>
      <c r="D4">
        <v>488.75</v>
      </c>
      <c r="E4">
        <v>-64.25</v>
      </c>
    </row>
    <row r="5" spans="1:5" x14ac:dyDescent="0.35">
      <c r="A5">
        <v>0</v>
      </c>
      <c r="B5" t="s">
        <v>16</v>
      </c>
      <c r="C5" t="s">
        <v>45</v>
      </c>
      <c r="D5">
        <v>488.75</v>
      </c>
      <c r="E5">
        <v>-64.25</v>
      </c>
    </row>
    <row r="6" spans="1:5" x14ac:dyDescent="0.35">
      <c r="A6">
        <v>0</v>
      </c>
      <c r="B6" t="s">
        <v>16</v>
      </c>
      <c r="C6" t="s">
        <v>46</v>
      </c>
      <c r="D6">
        <v>479</v>
      </c>
      <c r="E6">
        <v>-74</v>
      </c>
    </row>
    <row r="7" spans="1:5" x14ac:dyDescent="0.35">
      <c r="A7">
        <v>0</v>
      </c>
      <c r="B7" t="s">
        <v>16</v>
      </c>
      <c r="C7" t="s">
        <v>47</v>
      </c>
      <c r="D7">
        <v>479</v>
      </c>
      <c r="E7">
        <v>-74</v>
      </c>
    </row>
    <row r="8" spans="1:5" x14ac:dyDescent="0.35">
      <c r="A8">
        <v>0</v>
      </c>
      <c r="B8" t="s">
        <v>16</v>
      </c>
      <c r="C8" t="s">
        <v>48</v>
      </c>
      <c r="D8">
        <v>553</v>
      </c>
      <c r="E8">
        <v>0</v>
      </c>
    </row>
    <row r="9" spans="1:5" x14ac:dyDescent="0.35">
      <c r="A9">
        <v>0</v>
      </c>
      <c r="B9" t="s">
        <v>16</v>
      </c>
      <c r="C9" t="s">
        <v>49</v>
      </c>
      <c r="D9">
        <v>553</v>
      </c>
      <c r="E9">
        <v>0</v>
      </c>
    </row>
    <row r="10" spans="1:5" x14ac:dyDescent="0.35">
      <c r="A10">
        <v>0</v>
      </c>
      <c r="B10" t="s">
        <v>16</v>
      </c>
      <c r="C10" t="s">
        <v>50</v>
      </c>
      <c r="D10">
        <v>553</v>
      </c>
      <c r="E10">
        <v>0</v>
      </c>
    </row>
    <row r="11" spans="1:5" x14ac:dyDescent="0.35">
      <c r="A11">
        <v>0</v>
      </c>
      <c r="B11" t="s">
        <v>16</v>
      </c>
      <c r="C11" t="s">
        <v>51</v>
      </c>
      <c r="D11">
        <v>553</v>
      </c>
      <c r="E11">
        <v>0</v>
      </c>
    </row>
    <row r="12" spans="1:5" x14ac:dyDescent="0.35">
      <c r="A12">
        <v>0</v>
      </c>
      <c r="B12" t="s">
        <v>18</v>
      </c>
      <c r="C12" t="s">
        <v>42</v>
      </c>
      <c r="D12">
        <v>414.75</v>
      </c>
      <c r="E12">
        <v>-138.25</v>
      </c>
    </row>
    <row r="13" spans="1:5" x14ac:dyDescent="0.35">
      <c r="A13">
        <v>0</v>
      </c>
      <c r="B13" t="s">
        <v>18</v>
      </c>
      <c r="C13" t="s">
        <v>43</v>
      </c>
      <c r="D13">
        <v>414.75</v>
      </c>
      <c r="E13">
        <v>-138.25</v>
      </c>
    </row>
    <row r="14" spans="1:5" x14ac:dyDescent="0.35">
      <c r="A14">
        <v>0</v>
      </c>
      <c r="B14" t="s">
        <v>18</v>
      </c>
      <c r="C14" t="s">
        <v>44</v>
      </c>
      <c r="D14">
        <v>488.75</v>
      </c>
      <c r="E14">
        <v>-64.25</v>
      </c>
    </row>
    <row r="15" spans="1:5" x14ac:dyDescent="0.35">
      <c r="A15">
        <v>0</v>
      </c>
      <c r="B15" t="s">
        <v>18</v>
      </c>
      <c r="C15" t="s">
        <v>45</v>
      </c>
      <c r="D15">
        <v>488.75</v>
      </c>
      <c r="E15">
        <v>-64.25</v>
      </c>
    </row>
    <row r="16" spans="1:5" x14ac:dyDescent="0.35">
      <c r="A16">
        <v>0</v>
      </c>
      <c r="B16" t="s">
        <v>18</v>
      </c>
      <c r="C16" t="s">
        <v>46</v>
      </c>
      <c r="D16">
        <v>479</v>
      </c>
      <c r="E16">
        <v>-74</v>
      </c>
    </row>
    <row r="17" spans="1:5" x14ac:dyDescent="0.35">
      <c r="A17">
        <v>0</v>
      </c>
      <c r="B17" t="s">
        <v>18</v>
      </c>
      <c r="C17" t="s">
        <v>47</v>
      </c>
      <c r="D17">
        <v>479</v>
      </c>
      <c r="E17">
        <v>-74</v>
      </c>
    </row>
    <row r="18" spans="1:5" x14ac:dyDescent="0.35">
      <c r="A18">
        <v>0</v>
      </c>
      <c r="B18" t="s">
        <v>18</v>
      </c>
      <c r="C18" t="s">
        <v>48</v>
      </c>
      <c r="D18">
        <v>553</v>
      </c>
      <c r="E18">
        <v>0</v>
      </c>
    </row>
    <row r="19" spans="1:5" x14ac:dyDescent="0.35">
      <c r="A19">
        <v>0</v>
      </c>
      <c r="B19" t="s">
        <v>18</v>
      </c>
      <c r="C19" t="s">
        <v>49</v>
      </c>
      <c r="D19">
        <v>553</v>
      </c>
      <c r="E19">
        <v>0</v>
      </c>
    </row>
    <row r="20" spans="1:5" x14ac:dyDescent="0.35">
      <c r="A20">
        <v>0</v>
      </c>
      <c r="B20" t="s">
        <v>18</v>
      </c>
      <c r="C20" t="s">
        <v>50</v>
      </c>
      <c r="D20">
        <v>553</v>
      </c>
      <c r="E20">
        <v>0</v>
      </c>
    </row>
    <row r="21" spans="1:5" x14ac:dyDescent="0.35">
      <c r="A21">
        <v>0</v>
      </c>
      <c r="B21" t="s">
        <v>18</v>
      </c>
      <c r="C21" t="s">
        <v>51</v>
      </c>
      <c r="D21">
        <v>553</v>
      </c>
      <c r="E21">
        <v>0</v>
      </c>
    </row>
    <row r="22" spans="1:5" x14ac:dyDescent="0.35">
      <c r="A22">
        <v>100</v>
      </c>
      <c r="B22" t="s">
        <v>16</v>
      </c>
      <c r="C22" t="s">
        <v>42</v>
      </c>
      <c r="D22">
        <v>414.75</v>
      </c>
      <c r="E22">
        <v>-138.25</v>
      </c>
    </row>
    <row r="23" spans="1:5" x14ac:dyDescent="0.35">
      <c r="A23">
        <v>100</v>
      </c>
      <c r="B23" t="s">
        <v>16</v>
      </c>
      <c r="C23" t="s">
        <v>43</v>
      </c>
      <c r="D23">
        <v>414.75</v>
      </c>
      <c r="E23">
        <v>-138.25</v>
      </c>
    </row>
    <row r="24" spans="1:5" x14ac:dyDescent="0.35">
      <c r="A24">
        <v>100</v>
      </c>
      <c r="B24" t="s">
        <v>16</v>
      </c>
      <c r="C24" t="s">
        <v>44</v>
      </c>
      <c r="D24">
        <v>588.75</v>
      </c>
      <c r="E24">
        <v>35.75</v>
      </c>
    </row>
    <row r="25" spans="1:5" x14ac:dyDescent="0.35">
      <c r="A25">
        <v>100</v>
      </c>
      <c r="B25" t="s">
        <v>16</v>
      </c>
      <c r="C25" t="s">
        <v>45</v>
      </c>
      <c r="D25">
        <v>588.75</v>
      </c>
      <c r="E25">
        <v>35.75</v>
      </c>
    </row>
    <row r="26" spans="1:5" x14ac:dyDescent="0.35">
      <c r="A26">
        <v>100</v>
      </c>
      <c r="B26" t="s">
        <v>16</v>
      </c>
      <c r="C26" t="s">
        <v>46</v>
      </c>
      <c r="D26">
        <v>579</v>
      </c>
      <c r="E26">
        <v>26</v>
      </c>
    </row>
    <row r="27" spans="1:5" x14ac:dyDescent="0.35">
      <c r="A27">
        <v>100</v>
      </c>
      <c r="B27" t="s">
        <v>16</v>
      </c>
      <c r="C27" t="s">
        <v>47</v>
      </c>
      <c r="D27">
        <v>579</v>
      </c>
      <c r="E27">
        <v>26</v>
      </c>
    </row>
    <row r="28" spans="1:5" x14ac:dyDescent="0.35">
      <c r="A28">
        <v>100</v>
      </c>
      <c r="B28" t="s">
        <v>16</v>
      </c>
      <c r="C28" t="s">
        <v>48</v>
      </c>
      <c r="D28">
        <v>653</v>
      </c>
      <c r="E28">
        <v>100</v>
      </c>
    </row>
    <row r="29" spans="1:5" x14ac:dyDescent="0.35">
      <c r="A29">
        <v>100</v>
      </c>
      <c r="B29" t="s">
        <v>16</v>
      </c>
      <c r="C29" t="s">
        <v>49</v>
      </c>
      <c r="D29">
        <v>653</v>
      </c>
      <c r="E29">
        <v>100</v>
      </c>
    </row>
    <row r="30" spans="1:5" x14ac:dyDescent="0.35">
      <c r="A30">
        <v>100</v>
      </c>
      <c r="B30" t="s">
        <v>16</v>
      </c>
      <c r="C30" t="s">
        <v>50</v>
      </c>
      <c r="D30">
        <v>653</v>
      </c>
      <c r="E30">
        <v>100</v>
      </c>
    </row>
    <row r="31" spans="1:5" x14ac:dyDescent="0.35">
      <c r="A31">
        <v>100</v>
      </c>
      <c r="B31" t="s">
        <v>16</v>
      </c>
      <c r="C31" t="s">
        <v>51</v>
      </c>
      <c r="D31">
        <v>653</v>
      </c>
      <c r="E31">
        <v>100</v>
      </c>
    </row>
    <row r="32" spans="1:5" x14ac:dyDescent="0.35">
      <c r="A32">
        <v>100</v>
      </c>
      <c r="B32" t="s">
        <v>18</v>
      </c>
      <c r="C32" t="s">
        <v>42</v>
      </c>
      <c r="D32">
        <v>414.75</v>
      </c>
      <c r="E32">
        <v>-138.25</v>
      </c>
    </row>
    <row r="33" spans="1:5" x14ac:dyDescent="0.35">
      <c r="A33">
        <v>100</v>
      </c>
      <c r="B33" t="s">
        <v>18</v>
      </c>
      <c r="C33" t="s">
        <v>43</v>
      </c>
      <c r="D33">
        <v>414.75</v>
      </c>
      <c r="E33">
        <v>-138.25</v>
      </c>
    </row>
    <row r="34" spans="1:5" x14ac:dyDescent="0.35">
      <c r="A34">
        <v>100</v>
      </c>
      <c r="B34" t="s">
        <v>18</v>
      </c>
      <c r="C34" t="s">
        <v>44</v>
      </c>
      <c r="D34">
        <v>588.75</v>
      </c>
      <c r="E34">
        <v>35.75</v>
      </c>
    </row>
    <row r="35" spans="1:5" x14ac:dyDescent="0.35">
      <c r="A35">
        <v>100</v>
      </c>
      <c r="B35" t="s">
        <v>18</v>
      </c>
      <c r="C35" t="s">
        <v>45</v>
      </c>
      <c r="D35">
        <v>588.75</v>
      </c>
      <c r="E35">
        <v>35.75</v>
      </c>
    </row>
    <row r="36" spans="1:5" x14ac:dyDescent="0.35">
      <c r="A36">
        <v>100</v>
      </c>
      <c r="B36" t="s">
        <v>18</v>
      </c>
      <c r="C36" t="s">
        <v>46</v>
      </c>
      <c r="D36">
        <v>579</v>
      </c>
      <c r="E36">
        <v>26</v>
      </c>
    </row>
    <row r="37" spans="1:5" x14ac:dyDescent="0.35">
      <c r="A37">
        <v>100</v>
      </c>
      <c r="B37" t="s">
        <v>18</v>
      </c>
      <c r="C37" t="s">
        <v>47</v>
      </c>
      <c r="D37">
        <v>579</v>
      </c>
      <c r="E37">
        <v>26</v>
      </c>
    </row>
    <row r="38" spans="1:5" x14ac:dyDescent="0.35">
      <c r="A38">
        <v>100</v>
      </c>
      <c r="B38" t="s">
        <v>18</v>
      </c>
      <c r="C38" t="s">
        <v>48</v>
      </c>
      <c r="D38">
        <v>653</v>
      </c>
      <c r="E38">
        <v>100</v>
      </c>
    </row>
    <row r="39" spans="1:5" x14ac:dyDescent="0.35">
      <c r="A39">
        <v>100</v>
      </c>
      <c r="B39" t="s">
        <v>18</v>
      </c>
      <c r="C39" t="s">
        <v>49</v>
      </c>
      <c r="D39">
        <v>653</v>
      </c>
      <c r="E39">
        <v>100</v>
      </c>
    </row>
    <row r="40" spans="1:5" x14ac:dyDescent="0.35">
      <c r="A40">
        <v>100</v>
      </c>
      <c r="B40" t="s">
        <v>18</v>
      </c>
      <c r="C40" t="s">
        <v>50</v>
      </c>
      <c r="D40">
        <v>653</v>
      </c>
      <c r="E40">
        <v>100</v>
      </c>
    </row>
    <row r="41" spans="1:5" x14ac:dyDescent="0.35">
      <c r="A41">
        <v>100</v>
      </c>
      <c r="B41" t="s">
        <v>18</v>
      </c>
      <c r="C41" t="s">
        <v>51</v>
      </c>
      <c r="D41">
        <v>653</v>
      </c>
      <c r="E41">
        <v>100</v>
      </c>
    </row>
    <row r="42" spans="1:5" x14ac:dyDescent="0.35">
      <c r="A42">
        <v>150</v>
      </c>
      <c r="B42" t="s">
        <v>16</v>
      </c>
      <c r="C42" t="s">
        <v>42</v>
      </c>
      <c r="D42">
        <v>414.75</v>
      </c>
      <c r="E42">
        <v>-138.25</v>
      </c>
    </row>
    <row r="43" spans="1:5" x14ac:dyDescent="0.35">
      <c r="A43">
        <v>150</v>
      </c>
      <c r="B43" t="s">
        <v>16</v>
      </c>
      <c r="C43" t="s">
        <v>43</v>
      </c>
      <c r="D43">
        <v>414.75</v>
      </c>
      <c r="E43">
        <v>-138.25</v>
      </c>
    </row>
    <row r="44" spans="1:5" x14ac:dyDescent="0.35">
      <c r="A44">
        <v>150</v>
      </c>
      <c r="B44" t="s">
        <v>16</v>
      </c>
      <c r="C44" t="s">
        <v>44</v>
      </c>
      <c r="D44">
        <v>638.75</v>
      </c>
      <c r="E44">
        <v>85.75</v>
      </c>
    </row>
    <row r="45" spans="1:5" x14ac:dyDescent="0.35">
      <c r="A45">
        <v>150</v>
      </c>
      <c r="B45" t="s">
        <v>16</v>
      </c>
      <c r="C45" t="s">
        <v>45</v>
      </c>
      <c r="D45">
        <v>638.75</v>
      </c>
      <c r="E45">
        <v>85.75</v>
      </c>
    </row>
    <row r="46" spans="1:5" x14ac:dyDescent="0.35">
      <c r="A46">
        <v>150</v>
      </c>
      <c r="B46" t="s">
        <v>16</v>
      </c>
      <c r="C46" t="s">
        <v>46</v>
      </c>
      <c r="D46">
        <v>629</v>
      </c>
      <c r="E46">
        <v>76</v>
      </c>
    </row>
    <row r="47" spans="1:5" x14ac:dyDescent="0.35">
      <c r="A47">
        <v>150</v>
      </c>
      <c r="B47" t="s">
        <v>16</v>
      </c>
      <c r="C47" t="s">
        <v>47</v>
      </c>
      <c r="D47">
        <v>629</v>
      </c>
      <c r="E47">
        <v>76</v>
      </c>
    </row>
    <row r="48" spans="1:5" x14ac:dyDescent="0.35">
      <c r="A48">
        <v>150</v>
      </c>
      <c r="B48" t="s">
        <v>16</v>
      </c>
      <c r="C48" t="s">
        <v>48</v>
      </c>
      <c r="D48">
        <v>703</v>
      </c>
      <c r="E48">
        <v>150</v>
      </c>
    </row>
    <row r="49" spans="1:5" x14ac:dyDescent="0.35">
      <c r="A49">
        <v>150</v>
      </c>
      <c r="B49" t="s">
        <v>16</v>
      </c>
      <c r="C49" t="s">
        <v>49</v>
      </c>
      <c r="D49">
        <v>703</v>
      </c>
      <c r="E49">
        <v>150</v>
      </c>
    </row>
    <row r="50" spans="1:5" x14ac:dyDescent="0.35">
      <c r="A50">
        <v>150</v>
      </c>
      <c r="B50" t="s">
        <v>16</v>
      </c>
      <c r="C50" t="s">
        <v>50</v>
      </c>
      <c r="D50">
        <v>703</v>
      </c>
      <c r="E50">
        <v>150</v>
      </c>
    </row>
    <row r="51" spans="1:5" x14ac:dyDescent="0.35">
      <c r="A51">
        <v>150</v>
      </c>
      <c r="B51" t="s">
        <v>16</v>
      </c>
      <c r="C51" t="s">
        <v>51</v>
      </c>
      <c r="D51">
        <v>703</v>
      </c>
      <c r="E51">
        <v>150</v>
      </c>
    </row>
    <row r="52" spans="1:5" x14ac:dyDescent="0.35">
      <c r="A52">
        <v>150</v>
      </c>
      <c r="B52" t="s">
        <v>18</v>
      </c>
      <c r="C52" t="s">
        <v>42</v>
      </c>
      <c r="D52">
        <v>414.75</v>
      </c>
      <c r="E52">
        <v>-138.25</v>
      </c>
    </row>
    <row r="53" spans="1:5" x14ac:dyDescent="0.35">
      <c r="A53">
        <v>150</v>
      </c>
      <c r="B53" t="s">
        <v>18</v>
      </c>
      <c r="C53" t="s">
        <v>43</v>
      </c>
      <c r="D53">
        <v>414.75</v>
      </c>
      <c r="E53">
        <v>-138.25</v>
      </c>
    </row>
    <row r="54" spans="1:5" x14ac:dyDescent="0.35">
      <c r="A54">
        <v>150</v>
      </c>
      <c r="B54" t="s">
        <v>18</v>
      </c>
      <c r="C54" t="s">
        <v>44</v>
      </c>
      <c r="D54">
        <v>638.75</v>
      </c>
      <c r="E54">
        <v>85.75</v>
      </c>
    </row>
    <row r="55" spans="1:5" x14ac:dyDescent="0.35">
      <c r="A55">
        <v>150</v>
      </c>
      <c r="B55" t="s">
        <v>18</v>
      </c>
      <c r="C55" t="s">
        <v>45</v>
      </c>
      <c r="D55">
        <v>638.75</v>
      </c>
      <c r="E55">
        <v>85.75</v>
      </c>
    </row>
    <row r="56" spans="1:5" x14ac:dyDescent="0.35">
      <c r="A56">
        <v>150</v>
      </c>
      <c r="B56" t="s">
        <v>18</v>
      </c>
      <c r="C56" t="s">
        <v>46</v>
      </c>
      <c r="D56">
        <v>629</v>
      </c>
      <c r="E56">
        <v>76</v>
      </c>
    </row>
    <row r="57" spans="1:5" x14ac:dyDescent="0.35">
      <c r="A57">
        <v>150</v>
      </c>
      <c r="B57" t="s">
        <v>18</v>
      </c>
      <c r="C57" t="s">
        <v>47</v>
      </c>
      <c r="D57">
        <v>629</v>
      </c>
      <c r="E57">
        <v>76</v>
      </c>
    </row>
    <row r="58" spans="1:5" x14ac:dyDescent="0.35">
      <c r="A58">
        <v>150</v>
      </c>
      <c r="B58" t="s">
        <v>18</v>
      </c>
      <c r="C58" t="s">
        <v>48</v>
      </c>
      <c r="D58">
        <v>703</v>
      </c>
      <c r="E58">
        <v>150</v>
      </c>
    </row>
    <row r="59" spans="1:5" x14ac:dyDescent="0.35">
      <c r="A59">
        <v>150</v>
      </c>
      <c r="B59" t="s">
        <v>18</v>
      </c>
      <c r="C59" t="s">
        <v>49</v>
      </c>
      <c r="D59">
        <v>703</v>
      </c>
      <c r="E59">
        <v>150</v>
      </c>
    </row>
    <row r="60" spans="1:5" x14ac:dyDescent="0.35">
      <c r="A60">
        <v>150</v>
      </c>
      <c r="B60" t="s">
        <v>18</v>
      </c>
      <c r="C60" t="s">
        <v>50</v>
      </c>
      <c r="D60">
        <v>703</v>
      </c>
      <c r="E60">
        <v>150</v>
      </c>
    </row>
    <row r="61" spans="1:5" x14ac:dyDescent="0.35">
      <c r="A61">
        <v>150</v>
      </c>
      <c r="B61" t="s">
        <v>18</v>
      </c>
      <c r="C61" t="s">
        <v>51</v>
      </c>
      <c r="D61">
        <v>703</v>
      </c>
      <c r="E61">
        <v>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1"/>
  <sheetViews>
    <sheetView workbookViewId="0">
      <selection sqref="A1:E1048576"/>
    </sheetView>
  </sheetViews>
  <sheetFormatPr defaultRowHeight="14.5" x14ac:dyDescent="0.35"/>
  <cols>
    <col min="1" max="1" width="6.7265625" bestFit="1" customWidth="1"/>
    <col min="2" max="2" width="28.36328125" bestFit="1" customWidth="1"/>
    <col min="3" max="3" width="11.26953125" bestFit="1" customWidth="1"/>
    <col min="4" max="4" width="11.08984375" bestFit="1" customWidth="1"/>
    <col min="5" max="5" width="18.90625" bestFit="1" customWidth="1"/>
  </cols>
  <sheetData>
    <row r="1" spans="1:5" x14ac:dyDescent="0.35">
      <c r="A1" s="1" t="s">
        <v>10</v>
      </c>
      <c r="B1" s="1" t="s">
        <v>54</v>
      </c>
      <c r="C1" s="1" t="s">
        <v>55</v>
      </c>
      <c r="D1" s="1" t="s">
        <v>56</v>
      </c>
      <c r="E1" s="1" t="s">
        <v>57</v>
      </c>
    </row>
    <row r="2" spans="1:5" x14ac:dyDescent="0.35">
      <c r="A2" t="s">
        <v>16</v>
      </c>
      <c r="B2" t="s">
        <v>48</v>
      </c>
      <c r="C2">
        <v>0</v>
      </c>
      <c r="D2">
        <v>500</v>
      </c>
      <c r="E2">
        <v>0</v>
      </c>
    </row>
    <row r="3" spans="1:5" x14ac:dyDescent="0.35">
      <c r="A3" t="s">
        <v>16</v>
      </c>
      <c r="B3" t="s">
        <v>48</v>
      </c>
      <c r="C3">
        <v>0</v>
      </c>
      <c r="D3">
        <v>1000</v>
      </c>
      <c r="E3">
        <v>0</v>
      </c>
    </row>
    <row r="4" spans="1:5" x14ac:dyDescent="0.35">
      <c r="A4" t="s">
        <v>16</v>
      </c>
      <c r="B4" t="s">
        <v>48</v>
      </c>
      <c r="C4">
        <v>0</v>
      </c>
      <c r="D4">
        <v>1500</v>
      </c>
      <c r="E4">
        <v>0</v>
      </c>
    </row>
    <row r="5" spans="1:5" x14ac:dyDescent="0.35">
      <c r="A5" t="s">
        <v>16</v>
      </c>
      <c r="B5" t="s">
        <v>48</v>
      </c>
      <c r="C5">
        <v>0.1</v>
      </c>
      <c r="D5">
        <v>500</v>
      </c>
      <c r="E5">
        <v>0.1641932798999409</v>
      </c>
    </row>
    <row r="6" spans="1:5" x14ac:dyDescent="0.35">
      <c r="A6" t="s">
        <v>16</v>
      </c>
      <c r="B6" t="s">
        <v>48</v>
      </c>
      <c r="C6">
        <v>0.1</v>
      </c>
      <c r="D6">
        <v>1000</v>
      </c>
      <c r="E6">
        <v>0.22061668703278739</v>
      </c>
    </row>
    <row r="7" spans="1:5" x14ac:dyDescent="0.35">
      <c r="A7" t="s">
        <v>16</v>
      </c>
      <c r="B7" t="s">
        <v>48</v>
      </c>
      <c r="C7">
        <v>0.1</v>
      </c>
      <c r="D7">
        <v>1500</v>
      </c>
      <c r="E7">
        <v>0.33612155711510128</v>
      </c>
    </row>
    <row r="8" spans="1:5" x14ac:dyDescent="0.35">
      <c r="A8" t="s">
        <v>16</v>
      </c>
      <c r="B8" t="s">
        <v>48</v>
      </c>
      <c r="C8">
        <v>0.2</v>
      </c>
      <c r="D8">
        <v>500</v>
      </c>
      <c r="E8">
        <v>0.32838655979988179</v>
      </c>
    </row>
    <row r="9" spans="1:5" x14ac:dyDescent="0.35">
      <c r="A9" t="s">
        <v>16</v>
      </c>
      <c r="B9" t="s">
        <v>48</v>
      </c>
      <c r="C9">
        <v>0.2</v>
      </c>
      <c r="D9">
        <v>1000</v>
      </c>
      <c r="E9">
        <v>0.44123337406557478</v>
      </c>
    </row>
    <row r="10" spans="1:5" x14ac:dyDescent="0.35">
      <c r="A10" t="s">
        <v>16</v>
      </c>
      <c r="B10" t="s">
        <v>48</v>
      </c>
      <c r="C10">
        <v>0.2</v>
      </c>
      <c r="D10">
        <v>1500</v>
      </c>
      <c r="E10">
        <v>0.67224311423020255</v>
      </c>
    </row>
    <row r="11" spans="1:5" x14ac:dyDescent="0.35">
      <c r="A11" t="s">
        <v>16</v>
      </c>
      <c r="B11" t="s">
        <v>48</v>
      </c>
      <c r="C11">
        <v>0.3</v>
      </c>
      <c r="D11">
        <v>500</v>
      </c>
      <c r="E11">
        <v>0.49257983969982272</v>
      </c>
    </row>
    <row r="12" spans="1:5" x14ac:dyDescent="0.35">
      <c r="A12" t="s">
        <v>16</v>
      </c>
      <c r="B12" t="s">
        <v>48</v>
      </c>
      <c r="C12">
        <v>0.3</v>
      </c>
      <c r="D12">
        <v>1000</v>
      </c>
      <c r="E12">
        <v>0.6618500610983622</v>
      </c>
    </row>
    <row r="13" spans="1:5" x14ac:dyDescent="0.35">
      <c r="A13" t="s">
        <v>16</v>
      </c>
      <c r="B13" t="s">
        <v>48</v>
      </c>
      <c r="C13">
        <v>0.3</v>
      </c>
      <c r="D13">
        <v>1500</v>
      </c>
      <c r="E13">
        <v>1.0083646713453041</v>
      </c>
    </row>
    <row r="14" spans="1:5" x14ac:dyDescent="0.35">
      <c r="A14" t="s">
        <v>16</v>
      </c>
      <c r="B14" t="s">
        <v>48</v>
      </c>
      <c r="C14">
        <v>0.4</v>
      </c>
      <c r="D14">
        <v>500</v>
      </c>
      <c r="E14">
        <v>0.65677311959976359</v>
      </c>
    </row>
    <row r="15" spans="1:5" x14ac:dyDescent="0.35">
      <c r="A15" t="s">
        <v>16</v>
      </c>
      <c r="B15" t="s">
        <v>48</v>
      </c>
      <c r="C15">
        <v>0.4</v>
      </c>
      <c r="D15">
        <v>1000</v>
      </c>
      <c r="E15">
        <v>0.88246674813114956</v>
      </c>
    </row>
    <row r="16" spans="1:5" x14ac:dyDescent="0.35">
      <c r="A16" t="s">
        <v>16</v>
      </c>
      <c r="B16" t="s">
        <v>48</v>
      </c>
      <c r="C16">
        <v>0.4</v>
      </c>
      <c r="D16">
        <v>1500</v>
      </c>
      <c r="E16">
        <v>1.3444862284604051</v>
      </c>
    </row>
    <row r="17" spans="1:5" x14ac:dyDescent="0.35">
      <c r="A17" t="s">
        <v>16</v>
      </c>
      <c r="B17" t="s">
        <v>49</v>
      </c>
      <c r="C17">
        <v>0</v>
      </c>
      <c r="D17">
        <v>500</v>
      </c>
      <c r="E17">
        <v>0</v>
      </c>
    </row>
    <row r="18" spans="1:5" x14ac:dyDescent="0.35">
      <c r="A18" t="s">
        <v>16</v>
      </c>
      <c r="B18" t="s">
        <v>49</v>
      </c>
      <c r="C18">
        <v>0</v>
      </c>
      <c r="D18">
        <v>1000</v>
      </c>
      <c r="E18">
        <v>0</v>
      </c>
    </row>
    <row r="19" spans="1:5" x14ac:dyDescent="0.35">
      <c r="A19" t="s">
        <v>16</v>
      </c>
      <c r="B19" t="s">
        <v>49</v>
      </c>
      <c r="C19">
        <v>0</v>
      </c>
      <c r="D19">
        <v>1500</v>
      </c>
      <c r="E19">
        <v>0</v>
      </c>
    </row>
    <row r="20" spans="1:5" x14ac:dyDescent="0.35">
      <c r="A20" t="s">
        <v>16</v>
      </c>
      <c r="B20" t="s">
        <v>49</v>
      </c>
      <c r="C20">
        <v>0.1</v>
      </c>
      <c r="D20">
        <v>500</v>
      </c>
      <c r="E20">
        <v>0.1641932798999409</v>
      </c>
    </row>
    <row r="21" spans="1:5" x14ac:dyDescent="0.35">
      <c r="A21" t="s">
        <v>16</v>
      </c>
      <c r="B21" t="s">
        <v>49</v>
      </c>
      <c r="C21">
        <v>0.1</v>
      </c>
      <c r="D21">
        <v>1000</v>
      </c>
      <c r="E21">
        <v>0.22061668703278739</v>
      </c>
    </row>
    <row r="22" spans="1:5" x14ac:dyDescent="0.35">
      <c r="A22" t="s">
        <v>16</v>
      </c>
      <c r="B22" t="s">
        <v>49</v>
      </c>
      <c r="C22">
        <v>0.1</v>
      </c>
      <c r="D22">
        <v>1500</v>
      </c>
      <c r="E22">
        <v>0.33612155711510128</v>
      </c>
    </row>
    <row r="23" spans="1:5" x14ac:dyDescent="0.35">
      <c r="A23" t="s">
        <v>16</v>
      </c>
      <c r="B23" t="s">
        <v>49</v>
      </c>
      <c r="C23">
        <v>0.2</v>
      </c>
      <c r="D23">
        <v>500</v>
      </c>
      <c r="E23">
        <v>0.32838655979988179</v>
      </c>
    </row>
    <row r="24" spans="1:5" x14ac:dyDescent="0.35">
      <c r="A24" t="s">
        <v>16</v>
      </c>
      <c r="B24" t="s">
        <v>49</v>
      </c>
      <c r="C24">
        <v>0.2</v>
      </c>
      <c r="D24">
        <v>1000</v>
      </c>
      <c r="E24">
        <v>0.44123337406557478</v>
      </c>
    </row>
    <row r="25" spans="1:5" x14ac:dyDescent="0.35">
      <c r="A25" t="s">
        <v>16</v>
      </c>
      <c r="B25" t="s">
        <v>49</v>
      </c>
      <c r="C25">
        <v>0.2</v>
      </c>
      <c r="D25">
        <v>1500</v>
      </c>
      <c r="E25">
        <v>0.67224311423020255</v>
      </c>
    </row>
    <row r="26" spans="1:5" x14ac:dyDescent="0.35">
      <c r="A26" t="s">
        <v>16</v>
      </c>
      <c r="B26" t="s">
        <v>49</v>
      </c>
      <c r="C26">
        <v>0.3</v>
      </c>
      <c r="D26">
        <v>500</v>
      </c>
      <c r="E26">
        <v>0.49257983969982272</v>
      </c>
    </row>
    <row r="27" spans="1:5" x14ac:dyDescent="0.35">
      <c r="A27" t="s">
        <v>16</v>
      </c>
      <c r="B27" t="s">
        <v>49</v>
      </c>
      <c r="C27">
        <v>0.3</v>
      </c>
      <c r="D27">
        <v>1000</v>
      </c>
      <c r="E27">
        <v>0.6618500610983622</v>
      </c>
    </row>
    <row r="28" spans="1:5" x14ac:dyDescent="0.35">
      <c r="A28" t="s">
        <v>16</v>
      </c>
      <c r="B28" t="s">
        <v>49</v>
      </c>
      <c r="C28">
        <v>0.3</v>
      </c>
      <c r="D28">
        <v>1500</v>
      </c>
      <c r="E28">
        <v>1.0083646713453041</v>
      </c>
    </row>
    <row r="29" spans="1:5" x14ac:dyDescent="0.35">
      <c r="A29" t="s">
        <v>16</v>
      </c>
      <c r="B29" t="s">
        <v>49</v>
      </c>
      <c r="C29">
        <v>0.4</v>
      </c>
      <c r="D29">
        <v>500</v>
      </c>
      <c r="E29">
        <v>0.65677311959976359</v>
      </c>
    </row>
    <row r="30" spans="1:5" x14ac:dyDescent="0.35">
      <c r="A30" t="s">
        <v>16</v>
      </c>
      <c r="B30" t="s">
        <v>49</v>
      </c>
      <c r="C30">
        <v>0.4</v>
      </c>
      <c r="D30">
        <v>1000</v>
      </c>
      <c r="E30">
        <v>0.88246674813114956</v>
      </c>
    </row>
    <row r="31" spans="1:5" x14ac:dyDescent="0.35">
      <c r="A31" t="s">
        <v>16</v>
      </c>
      <c r="B31" t="s">
        <v>49</v>
      </c>
      <c r="C31">
        <v>0.4</v>
      </c>
      <c r="D31">
        <v>1500</v>
      </c>
      <c r="E31">
        <v>1.3444862284604051</v>
      </c>
    </row>
    <row r="32" spans="1:5" x14ac:dyDescent="0.35">
      <c r="A32" t="s">
        <v>16</v>
      </c>
      <c r="B32" t="s">
        <v>50</v>
      </c>
      <c r="C32">
        <v>0</v>
      </c>
      <c r="D32">
        <v>500</v>
      </c>
      <c r="E32">
        <v>0</v>
      </c>
    </row>
    <row r="33" spans="1:5" x14ac:dyDescent="0.35">
      <c r="A33" t="s">
        <v>16</v>
      </c>
      <c r="B33" t="s">
        <v>50</v>
      </c>
      <c r="C33">
        <v>0</v>
      </c>
      <c r="D33">
        <v>1000</v>
      </c>
      <c r="E33">
        <v>0</v>
      </c>
    </row>
    <row r="34" spans="1:5" x14ac:dyDescent="0.35">
      <c r="A34" t="s">
        <v>16</v>
      </c>
      <c r="B34" t="s">
        <v>50</v>
      </c>
      <c r="C34">
        <v>0</v>
      </c>
      <c r="D34">
        <v>1500</v>
      </c>
      <c r="E34">
        <v>0</v>
      </c>
    </row>
    <row r="35" spans="1:5" x14ac:dyDescent="0.35">
      <c r="A35" t="s">
        <v>16</v>
      </c>
      <c r="B35" t="s">
        <v>50</v>
      </c>
      <c r="C35">
        <v>0.1</v>
      </c>
      <c r="D35">
        <v>500</v>
      </c>
      <c r="E35">
        <v>0.17773960262381081</v>
      </c>
    </row>
    <row r="36" spans="1:5" x14ac:dyDescent="0.35">
      <c r="A36" t="s">
        <v>16</v>
      </c>
      <c r="B36" t="s">
        <v>50</v>
      </c>
      <c r="C36">
        <v>0.1</v>
      </c>
      <c r="D36">
        <v>1000</v>
      </c>
      <c r="E36">
        <v>0.24578638572401729</v>
      </c>
    </row>
    <row r="37" spans="1:5" x14ac:dyDescent="0.35">
      <c r="A37" t="s">
        <v>16</v>
      </c>
      <c r="B37" t="s">
        <v>50</v>
      </c>
      <c r="C37">
        <v>0.1</v>
      </c>
      <c r="D37">
        <v>1500</v>
      </c>
      <c r="E37">
        <v>0.39825737654166993</v>
      </c>
    </row>
    <row r="38" spans="1:5" x14ac:dyDescent="0.35">
      <c r="A38" t="s">
        <v>16</v>
      </c>
      <c r="B38" t="s">
        <v>50</v>
      </c>
      <c r="C38">
        <v>0.2</v>
      </c>
      <c r="D38">
        <v>500</v>
      </c>
      <c r="E38">
        <v>0.35547920524762161</v>
      </c>
    </row>
    <row r="39" spans="1:5" x14ac:dyDescent="0.35">
      <c r="A39" t="s">
        <v>16</v>
      </c>
      <c r="B39" t="s">
        <v>50</v>
      </c>
      <c r="C39">
        <v>0.2</v>
      </c>
      <c r="D39">
        <v>1000</v>
      </c>
      <c r="E39">
        <v>0.49157277144803457</v>
      </c>
    </row>
    <row r="40" spans="1:5" x14ac:dyDescent="0.35">
      <c r="A40" t="s">
        <v>16</v>
      </c>
      <c r="B40" t="s">
        <v>50</v>
      </c>
      <c r="C40">
        <v>0.2</v>
      </c>
      <c r="D40">
        <v>1500</v>
      </c>
      <c r="E40">
        <v>0.79651475308333985</v>
      </c>
    </row>
    <row r="41" spans="1:5" x14ac:dyDescent="0.35">
      <c r="A41" t="s">
        <v>16</v>
      </c>
      <c r="B41" t="s">
        <v>50</v>
      </c>
      <c r="C41">
        <v>0.3</v>
      </c>
      <c r="D41">
        <v>500</v>
      </c>
      <c r="E41">
        <v>0.53321880787143239</v>
      </c>
    </row>
    <row r="42" spans="1:5" x14ac:dyDescent="0.35">
      <c r="A42" t="s">
        <v>16</v>
      </c>
      <c r="B42" t="s">
        <v>50</v>
      </c>
      <c r="C42">
        <v>0.3</v>
      </c>
      <c r="D42">
        <v>1000</v>
      </c>
      <c r="E42">
        <v>0.73735915717205192</v>
      </c>
    </row>
    <row r="43" spans="1:5" x14ac:dyDescent="0.35">
      <c r="A43" t="s">
        <v>16</v>
      </c>
      <c r="B43" t="s">
        <v>50</v>
      </c>
      <c r="C43">
        <v>0.3</v>
      </c>
      <c r="D43">
        <v>1500</v>
      </c>
      <c r="E43">
        <v>1.19477212962501</v>
      </c>
    </row>
    <row r="44" spans="1:5" x14ac:dyDescent="0.35">
      <c r="A44" t="s">
        <v>16</v>
      </c>
      <c r="B44" t="s">
        <v>50</v>
      </c>
      <c r="C44">
        <v>0.4</v>
      </c>
      <c r="D44">
        <v>500</v>
      </c>
      <c r="E44">
        <v>0.71095841049524322</v>
      </c>
    </row>
    <row r="45" spans="1:5" x14ac:dyDescent="0.35">
      <c r="A45" t="s">
        <v>16</v>
      </c>
      <c r="B45" t="s">
        <v>50</v>
      </c>
      <c r="C45">
        <v>0.4</v>
      </c>
      <c r="D45">
        <v>1000</v>
      </c>
      <c r="E45">
        <v>0.98314554289606915</v>
      </c>
    </row>
    <row r="46" spans="1:5" x14ac:dyDescent="0.35">
      <c r="A46" t="s">
        <v>16</v>
      </c>
      <c r="B46" t="s">
        <v>50</v>
      </c>
      <c r="C46">
        <v>0.4</v>
      </c>
      <c r="D46">
        <v>1500</v>
      </c>
      <c r="E46">
        <v>1.5930295061666799</v>
      </c>
    </row>
    <row r="47" spans="1:5" x14ac:dyDescent="0.35">
      <c r="A47" t="s">
        <v>16</v>
      </c>
      <c r="B47" t="s">
        <v>51</v>
      </c>
      <c r="C47">
        <v>0</v>
      </c>
      <c r="D47">
        <v>500</v>
      </c>
      <c r="E47">
        <v>0</v>
      </c>
    </row>
    <row r="48" spans="1:5" x14ac:dyDescent="0.35">
      <c r="A48" t="s">
        <v>16</v>
      </c>
      <c r="B48" t="s">
        <v>51</v>
      </c>
      <c r="C48">
        <v>0</v>
      </c>
      <c r="D48">
        <v>1000</v>
      </c>
      <c r="E48">
        <v>0</v>
      </c>
    </row>
    <row r="49" spans="1:5" x14ac:dyDescent="0.35">
      <c r="A49" t="s">
        <v>16</v>
      </c>
      <c r="B49" t="s">
        <v>51</v>
      </c>
      <c r="C49">
        <v>0</v>
      </c>
      <c r="D49">
        <v>1500</v>
      </c>
      <c r="E49">
        <v>0</v>
      </c>
    </row>
    <row r="50" spans="1:5" x14ac:dyDescent="0.35">
      <c r="A50" t="s">
        <v>16</v>
      </c>
      <c r="B50" t="s">
        <v>51</v>
      </c>
      <c r="C50">
        <v>0.1</v>
      </c>
      <c r="D50">
        <v>500</v>
      </c>
      <c r="E50">
        <v>0.1641932798999409</v>
      </c>
    </row>
    <row r="51" spans="1:5" x14ac:dyDescent="0.35">
      <c r="A51" t="s">
        <v>16</v>
      </c>
      <c r="B51" t="s">
        <v>51</v>
      </c>
      <c r="C51">
        <v>0.1</v>
      </c>
      <c r="D51">
        <v>1000</v>
      </c>
      <c r="E51">
        <v>0.22061668703278739</v>
      </c>
    </row>
    <row r="52" spans="1:5" x14ac:dyDescent="0.35">
      <c r="A52" t="s">
        <v>16</v>
      </c>
      <c r="B52" t="s">
        <v>51</v>
      </c>
      <c r="C52">
        <v>0.1</v>
      </c>
      <c r="D52">
        <v>1500</v>
      </c>
      <c r="E52">
        <v>0.33612155711510128</v>
      </c>
    </row>
    <row r="53" spans="1:5" x14ac:dyDescent="0.35">
      <c r="A53" t="s">
        <v>16</v>
      </c>
      <c r="B53" t="s">
        <v>51</v>
      </c>
      <c r="C53">
        <v>0.2</v>
      </c>
      <c r="D53">
        <v>500</v>
      </c>
      <c r="E53">
        <v>0.32838655979988179</v>
      </c>
    </row>
    <row r="54" spans="1:5" x14ac:dyDescent="0.35">
      <c r="A54" t="s">
        <v>16</v>
      </c>
      <c r="B54" t="s">
        <v>51</v>
      </c>
      <c r="C54">
        <v>0.2</v>
      </c>
      <c r="D54">
        <v>1000</v>
      </c>
      <c r="E54">
        <v>0.44123337406557478</v>
      </c>
    </row>
    <row r="55" spans="1:5" x14ac:dyDescent="0.35">
      <c r="A55" t="s">
        <v>16</v>
      </c>
      <c r="B55" t="s">
        <v>51</v>
      </c>
      <c r="C55">
        <v>0.2</v>
      </c>
      <c r="D55">
        <v>1500</v>
      </c>
      <c r="E55">
        <v>0.67224311423020255</v>
      </c>
    </row>
    <row r="56" spans="1:5" x14ac:dyDescent="0.35">
      <c r="A56" t="s">
        <v>16</v>
      </c>
      <c r="B56" t="s">
        <v>51</v>
      </c>
      <c r="C56">
        <v>0.3</v>
      </c>
      <c r="D56">
        <v>500</v>
      </c>
      <c r="E56">
        <v>0.49257983969982272</v>
      </c>
    </row>
    <row r="57" spans="1:5" x14ac:dyDescent="0.35">
      <c r="A57" t="s">
        <v>16</v>
      </c>
      <c r="B57" t="s">
        <v>51</v>
      </c>
      <c r="C57">
        <v>0.3</v>
      </c>
      <c r="D57">
        <v>1000</v>
      </c>
      <c r="E57">
        <v>0.6618500610983622</v>
      </c>
    </row>
    <row r="58" spans="1:5" x14ac:dyDescent="0.35">
      <c r="A58" t="s">
        <v>16</v>
      </c>
      <c r="B58" t="s">
        <v>51</v>
      </c>
      <c r="C58">
        <v>0.3</v>
      </c>
      <c r="D58">
        <v>1500</v>
      </c>
      <c r="E58">
        <v>1.0083646713453041</v>
      </c>
    </row>
    <row r="59" spans="1:5" x14ac:dyDescent="0.35">
      <c r="A59" t="s">
        <v>16</v>
      </c>
      <c r="B59" t="s">
        <v>51</v>
      </c>
      <c r="C59">
        <v>0.4</v>
      </c>
      <c r="D59">
        <v>500</v>
      </c>
      <c r="E59">
        <v>0.65677311959976359</v>
      </c>
    </row>
    <row r="60" spans="1:5" x14ac:dyDescent="0.35">
      <c r="A60" t="s">
        <v>16</v>
      </c>
      <c r="B60" t="s">
        <v>51</v>
      </c>
      <c r="C60">
        <v>0.4</v>
      </c>
      <c r="D60">
        <v>1000</v>
      </c>
      <c r="E60">
        <v>0.88246674813114956</v>
      </c>
    </row>
    <row r="61" spans="1:5" x14ac:dyDescent="0.35">
      <c r="A61" t="s">
        <v>16</v>
      </c>
      <c r="B61" t="s">
        <v>51</v>
      </c>
      <c r="C61">
        <v>0.4</v>
      </c>
      <c r="D61">
        <v>1500</v>
      </c>
      <c r="E61">
        <v>1.3444862284604051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"/>
  <sheetViews>
    <sheetView workbookViewId="0">
      <selection activeCell="G8" sqref="G8"/>
    </sheetView>
  </sheetViews>
  <sheetFormatPr defaultRowHeight="14.5" x14ac:dyDescent="0.35"/>
  <cols>
    <col min="1" max="1" width="13.6328125" bestFit="1" customWidth="1"/>
    <col min="2" max="2" width="6.7265625" bestFit="1" customWidth="1"/>
    <col min="3" max="3" width="28.36328125" bestFit="1" customWidth="1"/>
    <col min="4" max="4" width="11.26953125" bestFit="1" customWidth="1"/>
    <col min="5" max="5" width="11.08984375" bestFit="1" customWidth="1"/>
    <col min="6" max="6" width="18.90625" bestFit="1" customWidth="1"/>
  </cols>
  <sheetData>
    <row r="1" spans="1:7" x14ac:dyDescent="0.35">
      <c r="A1" s="1" t="s">
        <v>58</v>
      </c>
      <c r="B1" s="1" t="s">
        <v>10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7" x14ac:dyDescent="0.35">
      <c r="A2" t="s">
        <v>59</v>
      </c>
      <c r="B2" t="s">
        <v>18</v>
      </c>
      <c r="C2" t="s">
        <v>48</v>
      </c>
      <c r="D2">
        <v>0</v>
      </c>
      <c r="E2">
        <v>300</v>
      </c>
      <c r="F2">
        <v>0</v>
      </c>
    </row>
    <row r="3" spans="1:7" x14ac:dyDescent="0.35">
      <c r="A3" t="s">
        <v>59</v>
      </c>
      <c r="B3" t="s">
        <v>18</v>
      </c>
      <c r="C3" t="s">
        <v>49</v>
      </c>
      <c r="D3">
        <v>0</v>
      </c>
      <c r="E3">
        <v>300</v>
      </c>
      <c r="F3">
        <v>0</v>
      </c>
    </row>
    <row r="4" spans="1:7" x14ac:dyDescent="0.35">
      <c r="A4" t="s">
        <v>59</v>
      </c>
      <c r="B4" t="s">
        <v>18</v>
      </c>
      <c r="C4" t="s">
        <v>50</v>
      </c>
      <c r="D4">
        <v>0</v>
      </c>
      <c r="E4">
        <v>300</v>
      </c>
      <c r="F4">
        <v>0</v>
      </c>
    </row>
    <row r="5" spans="1:7" x14ac:dyDescent="0.35">
      <c r="A5" t="s">
        <v>59</v>
      </c>
      <c r="B5" t="s">
        <v>18</v>
      </c>
      <c r="C5" t="s">
        <v>51</v>
      </c>
      <c r="D5">
        <v>0</v>
      </c>
      <c r="E5">
        <v>300</v>
      </c>
      <c r="F5">
        <v>0</v>
      </c>
    </row>
    <row r="6" spans="1:7" x14ac:dyDescent="0.35">
      <c r="A6" t="s">
        <v>60</v>
      </c>
      <c r="B6" t="s">
        <v>18</v>
      </c>
      <c r="C6" t="s">
        <v>48</v>
      </c>
      <c r="D6">
        <v>0.2</v>
      </c>
      <c r="E6">
        <v>300</v>
      </c>
      <c r="F6">
        <v>0.29598541324753491</v>
      </c>
    </row>
    <row r="7" spans="1:7" x14ac:dyDescent="0.35">
      <c r="A7" t="s">
        <v>60</v>
      </c>
      <c r="B7" t="s">
        <v>18</v>
      </c>
      <c r="C7" t="s">
        <v>49</v>
      </c>
      <c r="D7">
        <v>0.2</v>
      </c>
      <c r="E7">
        <v>300</v>
      </c>
      <c r="F7">
        <v>0.29598541324753491</v>
      </c>
    </row>
    <row r="8" spans="1:7" x14ac:dyDescent="0.35">
      <c r="A8" t="s">
        <v>60</v>
      </c>
      <c r="B8" t="s">
        <v>18</v>
      </c>
      <c r="C8" t="s">
        <v>50</v>
      </c>
      <c r="D8">
        <v>0.2</v>
      </c>
      <c r="E8">
        <v>300</v>
      </c>
      <c r="F8">
        <v>0.3177364405163155</v>
      </c>
      <c r="G8">
        <f>F8*553*E8</f>
        <v>52712.475481656737</v>
      </c>
    </row>
    <row r="9" spans="1:7" x14ac:dyDescent="0.35">
      <c r="A9" t="s">
        <v>60</v>
      </c>
      <c r="B9" t="s">
        <v>18</v>
      </c>
      <c r="C9" t="s">
        <v>51</v>
      </c>
      <c r="D9">
        <v>0.2</v>
      </c>
      <c r="E9">
        <v>300</v>
      </c>
      <c r="F9">
        <v>0.29598541324753491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MultiYear_ProForma</vt:lpstr>
      <vt:lpstr>Summary_Costs</vt:lpstr>
      <vt:lpstr>Cohort_Served</vt:lpstr>
      <vt:lpstr>BreakEven_FY2028</vt:lpstr>
      <vt:lpstr>BreakEven_FY2030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Hohl</dc:creator>
  <cp:lastModifiedBy>Brian Hohl</cp:lastModifiedBy>
  <dcterms:created xsi:type="dcterms:W3CDTF">2025-10-20T23:51:07Z</dcterms:created>
  <dcterms:modified xsi:type="dcterms:W3CDTF">2025-10-21T02:10:59Z</dcterms:modified>
</cp:coreProperties>
</file>