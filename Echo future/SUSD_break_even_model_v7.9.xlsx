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67" documentId="11_E01213E44D10FA38452DA84AA52679CE4F20AD3C" xr6:coauthVersionLast="47" xr6:coauthVersionMax="47" xr10:uidLastSave="{94C460D6-4962-4E67-BAFB-946092360215}"/>
  <bookViews>
    <workbookView xWindow="40575" yWindow="1080" windowWidth="16860" windowHeight="14400" firstSheet="5" activeTab="8" xr2:uid="{00000000-000D-0000-FFFF-FFFF00000000}"/>
  </bookViews>
  <sheets>
    <sheet name="Parameters_Public" sheetId="1" r:id="rId1"/>
    <sheet name="Summary" sheetId="2" r:id="rId2"/>
    <sheet name="Capital_Summary" sheetId="3" r:id="rId3"/>
    <sheet name="Receiving_Capacity" sheetId="4" r:id="rId4"/>
    <sheet name="Control_Center" sheetId="5" r:id="rId5"/>
    <sheet name="Dashboard" sheetId="6" r:id="rId6"/>
    <sheet name="Definitions_Sources" sheetId="7" r:id="rId7"/>
    <sheet name="Q&amp;A" sheetId="8" r:id="rId8"/>
    <sheet name="MultiYear_ProForma" sheetId="9" r:id="rId9"/>
    <sheet name="BaselineCalc" sheetId="10" r:id="rId10"/>
    <sheet name="Site_Fixed" sheetId="11" r:id="rId11"/>
    <sheet name="YearMap" sheetId="12" r:id="rId12"/>
    <sheet name="Scenarios" sheetId="13" r:id="rId13"/>
    <sheet name="Other_Parameters" sheetId="14" r:id="rId14"/>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62" i="9" l="1"/>
  <c r="L62" i="9"/>
  <c r="D62" i="9" s="1"/>
  <c r="K62" i="9"/>
  <c r="J62" i="9"/>
  <c r="I62" i="9"/>
  <c r="H62" i="9"/>
  <c r="H57" i="9"/>
  <c r="G62" i="9"/>
  <c r="E62" i="9"/>
  <c r="D61" i="9"/>
  <c r="B62" i="9"/>
  <c r="A62" i="9"/>
  <c r="M14" i="13"/>
  <c r="L14" i="13"/>
  <c r="K14" i="13"/>
  <c r="J14" i="13"/>
  <c r="I14" i="13"/>
  <c r="G5" i="3"/>
  <c r="B2" i="14"/>
  <c r="A76" i="13"/>
  <c r="I76" i="13" s="1"/>
  <c r="I75" i="13"/>
  <c r="A75" i="13"/>
  <c r="A74" i="13"/>
  <c r="I74" i="13" s="1"/>
  <c r="A73" i="13"/>
  <c r="I73" i="13" s="1"/>
  <c r="I72" i="13"/>
  <c r="A72" i="13"/>
  <c r="I71" i="13"/>
  <c r="A71" i="13"/>
  <c r="A70" i="13"/>
  <c r="I70" i="13" s="1"/>
  <c r="A69" i="13"/>
  <c r="I69" i="13" s="1"/>
  <c r="I68" i="13"/>
  <c r="A68" i="13"/>
  <c r="I67" i="13"/>
  <c r="A67" i="13"/>
  <c r="A66" i="13"/>
  <c r="I66" i="13" s="1"/>
  <c r="A65" i="13"/>
  <c r="I65" i="13" s="1"/>
  <c r="I64" i="13"/>
  <c r="C64" i="13"/>
  <c r="A64" i="13"/>
  <c r="A63" i="13"/>
  <c r="I63" i="13" s="1"/>
  <c r="I62" i="13"/>
  <c r="A62" i="13"/>
  <c r="C61" i="13"/>
  <c r="A61" i="13"/>
  <c r="I61" i="13" s="1"/>
  <c r="A60" i="13"/>
  <c r="I60" i="13" s="1"/>
  <c r="I59" i="13"/>
  <c r="A59" i="13"/>
  <c r="I58" i="13"/>
  <c r="C58" i="13"/>
  <c r="A58" i="13"/>
  <c r="A57" i="13"/>
  <c r="I57" i="13" s="1"/>
  <c r="C56" i="13"/>
  <c r="A56" i="13"/>
  <c r="I56" i="13" s="1"/>
  <c r="A55" i="13"/>
  <c r="I55" i="13" s="1"/>
  <c r="C54" i="13"/>
  <c r="A54" i="13"/>
  <c r="I54" i="13" s="1"/>
  <c r="A53" i="13"/>
  <c r="I53" i="13" s="1"/>
  <c r="C52" i="13"/>
  <c r="A52" i="13"/>
  <c r="I52" i="13" s="1"/>
  <c r="A51" i="13"/>
  <c r="I51" i="13" s="1"/>
  <c r="I50" i="13"/>
  <c r="A50" i="13"/>
  <c r="I49" i="13"/>
  <c r="C49" i="13"/>
  <c r="A49" i="13"/>
  <c r="C48" i="13"/>
  <c r="A48" i="13"/>
  <c r="I48" i="13" s="1"/>
  <c r="C47" i="13"/>
  <c r="A47" i="13"/>
  <c r="I47" i="13" s="1"/>
  <c r="I46" i="13"/>
  <c r="A46" i="13"/>
  <c r="A45" i="13"/>
  <c r="I45" i="13" s="1"/>
  <c r="I44" i="13"/>
  <c r="A44" i="13"/>
  <c r="A43" i="13"/>
  <c r="I43" i="13" s="1"/>
  <c r="I42" i="13"/>
  <c r="A42" i="13"/>
  <c r="A41" i="13"/>
  <c r="I41" i="13" s="1"/>
  <c r="I40" i="13"/>
  <c r="A40" i="13"/>
  <c r="A39" i="13"/>
  <c r="I39" i="13" s="1"/>
  <c r="I38" i="13"/>
  <c r="A38" i="13"/>
  <c r="A37" i="13"/>
  <c r="I37" i="13" s="1"/>
  <c r="I36" i="13"/>
  <c r="A36" i="13"/>
  <c r="A35" i="13"/>
  <c r="I35" i="13" s="1"/>
  <c r="I34" i="13"/>
  <c r="A34" i="13"/>
  <c r="A33" i="13"/>
  <c r="I33" i="13" s="1"/>
  <c r="I32" i="13"/>
  <c r="A32" i="13"/>
  <c r="A31" i="13"/>
  <c r="I31" i="13" s="1"/>
  <c r="I30" i="13"/>
  <c r="A30" i="13"/>
  <c r="A29" i="13"/>
  <c r="I29" i="13" s="1"/>
  <c r="I28" i="13"/>
  <c r="A28" i="13"/>
  <c r="A27" i="13"/>
  <c r="I27" i="13" s="1"/>
  <c r="I26" i="13"/>
  <c r="A26" i="13"/>
  <c r="A25" i="13"/>
  <c r="I25" i="13" s="1"/>
  <c r="I24" i="13"/>
  <c r="A24" i="13"/>
  <c r="A23" i="13"/>
  <c r="I23" i="13" s="1"/>
  <c r="I22" i="13"/>
  <c r="A22" i="13"/>
  <c r="A21" i="13"/>
  <c r="I21" i="13" s="1"/>
  <c r="I20" i="13"/>
  <c r="A20" i="13"/>
  <c r="A19" i="13"/>
  <c r="I19" i="13" s="1"/>
  <c r="I18" i="13"/>
  <c r="A18" i="13"/>
  <c r="A17" i="13"/>
  <c r="I17" i="13" s="1"/>
  <c r="M13" i="13"/>
  <c r="G13" i="13"/>
  <c r="F13" i="13"/>
  <c r="E13" i="13"/>
  <c r="D76" i="13" s="1"/>
  <c r="D13" i="13"/>
  <c r="T57" i="9" s="1"/>
  <c r="C13" i="13"/>
  <c r="L13" i="13" s="1"/>
  <c r="B13" i="13"/>
  <c r="M12" i="13"/>
  <c r="K12" i="13"/>
  <c r="G12" i="13"/>
  <c r="F12" i="13"/>
  <c r="E12" i="13"/>
  <c r="D69" i="13" s="1"/>
  <c r="D12" i="13"/>
  <c r="C12" i="13"/>
  <c r="I12" i="13" s="1"/>
  <c r="B12" i="13"/>
  <c r="I11" i="13"/>
  <c r="G11" i="13"/>
  <c r="K47" i="9" s="1"/>
  <c r="F11" i="13"/>
  <c r="E11" i="13"/>
  <c r="D11" i="13"/>
  <c r="C63" i="13" s="1"/>
  <c r="C11" i="13"/>
  <c r="L11" i="13" s="1"/>
  <c r="B11" i="13"/>
  <c r="M10" i="13"/>
  <c r="K10" i="13"/>
  <c r="I10" i="13"/>
  <c r="G10" i="13"/>
  <c r="F10" i="13"/>
  <c r="E10" i="13"/>
  <c r="D10" i="13"/>
  <c r="C60" i="13" s="1"/>
  <c r="C10" i="13"/>
  <c r="L10" i="13" s="1"/>
  <c r="B10" i="13"/>
  <c r="K9" i="13"/>
  <c r="I9" i="13"/>
  <c r="G9" i="13"/>
  <c r="F9" i="13"/>
  <c r="E9" i="13"/>
  <c r="D55" i="13" s="1"/>
  <c r="D9" i="13"/>
  <c r="C55" i="13" s="1"/>
  <c r="E55" i="13" s="1"/>
  <c r="C9" i="13"/>
  <c r="J9" i="13" s="1"/>
  <c r="B9" i="13"/>
  <c r="G8" i="13"/>
  <c r="K33" i="9" s="1"/>
  <c r="F8" i="13"/>
  <c r="E8" i="13"/>
  <c r="D8" i="13"/>
  <c r="C51" i="13" s="1"/>
  <c r="C8" i="13"/>
  <c r="M8" i="13" s="1"/>
  <c r="B8" i="13"/>
  <c r="G7" i="13"/>
  <c r="F7" i="13"/>
  <c r="E7" i="13"/>
  <c r="D7" i="13"/>
  <c r="C7" i="13"/>
  <c r="M7" i="13" s="1"/>
  <c r="B7" i="13"/>
  <c r="G6" i="13"/>
  <c r="F6" i="13"/>
  <c r="E6" i="13"/>
  <c r="D6" i="13"/>
  <c r="T22" i="9" s="1"/>
  <c r="C6" i="13"/>
  <c r="B6" i="13"/>
  <c r="G5" i="13"/>
  <c r="F5" i="13"/>
  <c r="E5" i="13"/>
  <c r="D5" i="13"/>
  <c r="C5" i="13"/>
  <c r="L5" i="13" s="1"/>
  <c r="B5" i="13"/>
  <c r="G4" i="13"/>
  <c r="F4" i="13"/>
  <c r="E4" i="13"/>
  <c r="D4" i="13"/>
  <c r="C4" i="13"/>
  <c r="I4" i="13" s="1"/>
  <c r="B4" i="13"/>
  <c r="K3" i="13"/>
  <c r="J3" i="13"/>
  <c r="G3" i="13"/>
  <c r="F3" i="13"/>
  <c r="E3" i="13"/>
  <c r="D3" i="13"/>
  <c r="C3" i="13"/>
  <c r="L3" i="13" s="1"/>
  <c r="B3" i="13"/>
  <c r="G2" i="13"/>
  <c r="F2" i="13"/>
  <c r="E2" i="13"/>
  <c r="D2" i="13"/>
  <c r="C2" i="13"/>
  <c r="L2" i="13" s="1"/>
  <c r="B2" i="13"/>
  <c r="G6" i="12"/>
  <c r="F6" i="12"/>
  <c r="E6" i="12"/>
  <c r="G5" i="12"/>
  <c r="F5" i="12"/>
  <c r="E5" i="12"/>
  <c r="G4" i="12"/>
  <c r="F4" i="12"/>
  <c r="E4" i="12"/>
  <c r="G3" i="12"/>
  <c r="F3" i="12"/>
  <c r="E3" i="12"/>
  <c r="I2" i="12"/>
  <c r="G2" i="12"/>
  <c r="F2" i="12"/>
  <c r="E2" i="12"/>
  <c r="C15" i="11"/>
  <c r="C8" i="11"/>
  <c r="B27" i="10"/>
  <c r="I3" i="12" s="1"/>
  <c r="B23" i="10"/>
  <c r="B22" i="10"/>
  <c r="B6" i="10"/>
  <c r="B5" i="10"/>
  <c r="B4" i="10"/>
  <c r="B3" i="10"/>
  <c r="B2" i="10"/>
  <c r="AG61" i="9"/>
  <c r="T61" i="9"/>
  <c r="Q61" i="9"/>
  <c r="P61" i="9"/>
  <c r="K61" i="9"/>
  <c r="J61" i="9"/>
  <c r="B61" i="9"/>
  <c r="A61" i="9"/>
  <c r="T60" i="9"/>
  <c r="Q60" i="9"/>
  <c r="P60" i="9"/>
  <c r="K60" i="9"/>
  <c r="J60" i="9"/>
  <c r="B60" i="9"/>
  <c r="AG60" i="9" s="1"/>
  <c r="A60" i="9" s="1"/>
  <c r="T59" i="9"/>
  <c r="Q59" i="9"/>
  <c r="P59" i="9"/>
  <c r="K59" i="9"/>
  <c r="J59" i="9"/>
  <c r="E59" i="9"/>
  <c r="B59" i="9"/>
  <c r="AG59" i="9" s="1"/>
  <c r="A59" i="9" s="1"/>
  <c r="Y58" i="9"/>
  <c r="T58" i="9"/>
  <c r="Q58" i="9"/>
  <c r="P58" i="9"/>
  <c r="K58" i="9"/>
  <c r="J58" i="9"/>
  <c r="B58" i="9"/>
  <c r="AG58" i="9" s="1"/>
  <c r="A58" i="9" s="1"/>
  <c r="Y57" i="9"/>
  <c r="Q57" i="9"/>
  <c r="P57" i="9"/>
  <c r="K57" i="9"/>
  <c r="J57" i="9"/>
  <c r="B57" i="9"/>
  <c r="AG57" i="9" s="1"/>
  <c r="A57" i="9" s="1"/>
  <c r="AG56" i="9"/>
  <c r="T56" i="9"/>
  <c r="Q56" i="9"/>
  <c r="P56" i="9"/>
  <c r="K56" i="9"/>
  <c r="J56" i="9"/>
  <c r="B56" i="9"/>
  <c r="A56" i="9"/>
  <c r="AG55" i="9"/>
  <c r="A55" i="9" s="1"/>
  <c r="T55" i="9"/>
  <c r="Q55" i="9"/>
  <c r="P55" i="9"/>
  <c r="K55" i="9"/>
  <c r="J55" i="9"/>
  <c r="B55" i="9"/>
  <c r="AG54" i="9"/>
  <c r="A54" i="9" s="1"/>
  <c r="T54" i="9"/>
  <c r="Q54" i="9"/>
  <c r="P54" i="9"/>
  <c r="K54" i="9"/>
  <c r="J54" i="9"/>
  <c r="B54" i="9"/>
  <c r="Y53" i="9"/>
  <c r="T53" i="9"/>
  <c r="Q53" i="9"/>
  <c r="P53" i="9"/>
  <c r="K53" i="9"/>
  <c r="J53" i="9"/>
  <c r="B53" i="9"/>
  <c r="AG53" i="9" s="1"/>
  <c r="A53" i="9" s="1"/>
  <c r="Y52" i="9"/>
  <c r="Q52" i="9"/>
  <c r="P52" i="9"/>
  <c r="K52" i="9"/>
  <c r="J52" i="9"/>
  <c r="E52" i="9"/>
  <c r="B52" i="9"/>
  <c r="AG52" i="9" s="1"/>
  <c r="A52" i="9" s="1"/>
  <c r="T51" i="9"/>
  <c r="Q51" i="9"/>
  <c r="P51" i="9"/>
  <c r="J51" i="9"/>
  <c r="D51" i="9"/>
  <c r="B51" i="9"/>
  <c r="T50" i="9"/>
  <c r="Q50" i="9"/>
  <c r="P50" i="9"/>
  <c r="L50" i="9"/>
  <c r="K50" i="9"/>
  <c r="J50" i="9"/>
  <c r="D50" i="9"/>
  <c r="B50" i="9"/>
  <c r="AG50" i="9" s="1"/>
  <c r="A50" i="9" s="1"/>
  <c r="AG49" i="9"/>
  <c r="A49" i="9" s="1"/>
  <c r="T49" i="9"/>
  <c r="Q49" i="9"/>
  <c r="P49" i="9"/>
  <c r="K49" i="9"/>
  <c r="J49" i="9"/>
  <c r="D49" i="9"/>
  <c r="B49" i="9"/>
  <c r="Y48" i="9"/>
  <c r="T48" i="9"/>
  <c r="Q48" i="9"/>
  <c r="P48" i="9"/>
  <c r="K48" i="9"/>
  <c r="J48" i="9"/>
  <c r="B48" i="9"/>
  <c r="AG48" i="9" s="1"/>
  <c r="A48" i="9" s="1"/>
  <c r="Y47" i="9"/>
  <c r="T47" i="9"/>
  <c r="Q47" i="9"/>
  <c r="P47" i="9"/>
  <c r="J47" i="9"/>
  <c r="D47" i="9"/>
  <c r="B47" i="9"/>
  <c r="AG47" i="9" s="1"/>
  <c r="A47" i="9" s="1"/>
  <c r="T46" i="9"/>
  <c r="Q46" i="9"/>
  <c r="P46" i="9"/>
  <c r="K46" i="9"/>
  <c r="J46" i="9"/>
  <c r="D46" i="9"/>
  <c r="B46" i="9"/>
  <c r="AG46" i="9" s="1"/>
  <c r="A46" i="9" s="1"/>
  <c r="T45" i="9"/>
  <c r="Q45" i="9"/>
  <c r="P45" i="9"/>
  <c r="K45" i="9"/>
  <c r="J45" i="9"/>
  <c r="D45" i="9"/>
  <c r="B45" i="9"/>
  <c r="AG45" i="9" s="1"/>
  <c r="A45" i="9" s="1"/>
  <c r="T44" i="9"/>
  <c r="Q44" i="9"/>
  <c r="P44" i="9"/>
  <c r="K44" i="9"/>
  <c r="J44" i="9"/>
  <c r="D44" i="9"/>
  <c r="B44" i="9"/>
  <c r="AG44" i="9" s="1"/>
  <c r="A44" i="9" s="1"/>
  <c r="Y43" i="9"/>
  <c r="T43" i="9"/>
  <c r="Q43" i="9"/>
  <c r="P43" i="9"/>
  <c r="K43" i="9"/>
  <c r="J43" i="9"/>
  <c r="D43" i="9"/>
  <c r="B43" i="9"/>
  <c r="AG43" i="9" s="1"/>
  <c r="A43" i="9" s="1"/>
  <c r="Y42" i="9"/>
  <c r="T42" i="9"/>
  <c r="Q42" i="9"/>
  <c r="P42" i="9"/>
  <c r="K42" i="9"/>
  <c r="J42" i="9"/>
  <c r="D42" i="9"/>
  <c r="B42" i="9"/>
  <c r="AG42" i="9" s="1"/>
  <c r="A42" i="9" s="1"/>
  <c r="T41" i="9"/>
  <c r="Q41" i="9"/>
  <c r="P41" i="9"/>
  <c r="K41" i="9"/>
  <c r="J41" i="9"/>
  <c r="E41" i="9"/>
  <c r="D41" i="9"/>
  <c r="F41" i="9" s="1"/>
  <c r="B41" i="9"/>
  <c r="AG41" i="9" s="1"/>
  <c r="A41" i="9" s="1"/>
  <c r="T40" i="9"/>
  <c r="Q40" i="9"/>
  <c r="P40" i="9"/>
  <c r="K40" i="9"/>
  <c r="J40" i="9"/>
  <c r="E40" i="9"/>
  <c r="D40" i="9"/>
  <c r="B40" i="9"/>
  <c r="AG40" i="9" s="1"/>
  <c r="A40" i="9" s="1"/>
  <c r="T39" i="9"/>
  <c r="Q39" i="9"/>
  <c r="P39" i="9"/>
  <c r="K39" i="9"/>
  <c r="J39" i="9"/>
  <c r="E39" i="9"/>
  <c r="D39" i="9"/>
  <c r="B39" i="9"/>
  <c r="AG39" i="9" s="1"/>
  <c r="A39" i="9" s="1"/>
  <c r="AG38" i="9"/>
  <c r="A38" i="9" s="1"/>
  <c r="Y38" i="9"/>
  <c r="T38" i="9"/>
  <c r="Q38" i="9"/>
  <c r="P38" i="9"/>
  <c r="K38" i="9"/>
  <c r="J38" i="9"/>
  <c r="E38" i="9"/>
  <c r="D38" i="9"/>
  <c r="B38" i="9"/>
  <c r="AG37" i="9"/>
  <c r="Y37" i="9"/>
  <c r="T37" i="9"/>
  <c r="Q37" i="9"/>
  <c r="P37" i="9"/>
  <c r="K37" i="9"/>
  <c r="J37" i="9"/>
  <c r="E37" i="9"/>
  <c r="D37" i="9"/>
  <c r="B37" i="9"/>
  <c r="A37" i="9"/>
  <c r="T36" i="9"/>
  <c r="Q36" i="9"/>
  <c r="P36" i="9"/>
  <c r="K36" i="9"/>
  <c r="J36" i="9"/>
  <c r="E36" i="9"/>
  <c r="D36" i="9"/>
  <c r="B36" i="9"/>
  <c r="AG36" i="9" s="1"/>
  <c r="A36" i="9" s="1"/>
  <c r="T35" i="9"/>
  <c r="Q35" i="9"/>
  <c r="P35" i="9"/>
  <c r="K35" i="9"/>
  <c r="J35" i="9"/>
  <c r="E35" i="9"/>
  <c r="D35" i="9"/>
  <c r="B35" i="9"/>
  <c r="T34" i="9"/>
  <c r="Q34" i="9"/>
  <c r="P34" i="9"/>
  <c r="K34" i="9"/>
  <c r="J34" i="9"/>
  <c r="E34" i="9"/>
  <c r="D34" i="9"/>
  <c r="B34" i="9"/>
  <c r="AG34" i="9" s="1"/>
  <c r="A34" i="9" s="1"/>
  <c r="Y33" i="9"/>
  <c r="T33" i="9"/>
  <c r="Q33" i="9"/>
  <c r="P33" i="9"/>
  <c r="J33" i="9"/>
  <c r="E33" i="9"/>
  <c r="D33" i="9"/>
  <c r="B33" i="9"/>
  <c r="Y32" i="9"/>
  <c r="T32" i="9"/>
  <c r="Q32" i="9"/>
  <c r="P32" i="9"/>
  <c r="K32" i="9"/>
  <c r="J32" i="9"/>
  <c r="E32" i="9"/>
  <c r="D32" i="9"/>
  <c r="B32" i="9"/>
  <c r="AG32" i="9" s="1"/>
  <c r="A32" i="9" s="1"/>
  <c r="AG31" i="9"/>
  <c r="T31" i="9"/>
  <c r="Q31" i="9"/>
  <c r="P31" i="9"/>
  <c r="K31" i="9"/>
  <c r="J31" i="9"/>
  <c r="B31" i="9"/>
  <c r="A31" i="9"/>
  <c r="T30" i="9"/>
  <c r="Q30" i="9"/>
  <c r="P30" i="9"/>
  <c r="K30" i="9"/>
  <c r="J30" i="9"/>
  <c r="B30" i="9"/>
  <c r="AG30" i="9" s="1"/>
  <c r="A30" i="9" s="1"/>
  <c r="T29" i="9"/>
  <c r="Q29" i="9"/>
  <c r="P29" i="9"/>
  <c r="K29" i="9"/>
  <c r="J29" i="9"/>
  <c r="B29" i="9"/>
  <c r="AG29" i="9" s="1"/>
  <c r="A29" i="9" s="1"/>
  <c r="Y28" i="9"/>
  <c r="T28" i="9"/>
  <c r="Q28" i="9"/>
  <c r="P28" i="9"/>
  <c r="K28" i="9"/>
  <c r="J28" i="9"/>
  <c r="B28" i="9"/>
  <c r="AG28" i="9" s="1"/>
  <c r="A28" i="9" s="1"/>
  <c r="Y27" i="9"/>
  <c r="T27" i="9"/>
  <c r="Q27" i="9"/>
  <c r="P27" i="9"/>
  <c r="K27" i="9"/>
  <c r="J27" i="9"/>
  <c r="B27" i="9"/>
  <c r="AG27" i="9" s="1"/>
  <c r="A27" i="9" s="1"/>
  <c r="AG26" i="9"/>
  <c r="A26" i="9" s="1"/>
  <c r="T26" i="9"/>
  <c r="Q26" i="9"/>
  <c r="P26" i="9"/>
  <c r="K26" i="9"/>
  <c r="J26" i="9"/>
  <c r="B26" i="9"/>
  <c r="AG25" i="9"/>
  <c r="A25" i="9" s="1"/>
  <c r="T25" i="9"/>
  <c r="Q25" i="9"/>
  <c r="P25" i="9"/>
  <c r="K25" i="9"/>
  <c r="J25" i="9"/>
  <c r="B25" i="9"/>
  <c r="AG24" i="9"/>
  <c r="A24" i="9" s="1"/>
  <c r="T24" i="9"/>
  <c r="Q24" i="9"/>
  <c r="P24" i="9"/>
  <c r="K24" i="9"/>
  <c r="J24" i="9"/>
  <c r="B24" i="9"/>
  <c r="Y23" i="9"/>
  <c r="T23" i="9"/>
  <c r="Q23" i="9"/>
  <c r="P23" i="9"/>
  <c r="K23" i="9"/>
  <c r="J23" i="9"/>
  <c r="B23" i="9"/>
  <c r="AG23" i="9" s="1"/>
  <c r="A23" i="9" s="1"/>
  <c r="Y22" i="9"/>
  <c r="Q22" i="9"/>
  <c r="P22" i="9"/>
  <c r="K22" i="9"/>
  <c r="J22" i="9"/>
  <c r="B22" i="9"/>
  <c r="AG22" i="9" s="1"/>
  <c r="A22" i="9" s="1"/>
  <c r="T21" i="9"/>
  <c r="Q21" i="9"/>
  <c r="P21" i="9"/>
  <c r="K21" i="9"/>
  <c r="J21" i="9"/>
  <c r="B21" i="9"/>
  <c r="AG21" i="9" s="1"/>
  <c r="A21" i="9" s="1"/>
  <c r="T20" i="9"/>
  <c r="Q20" i="9"/>
  <c r="P20" i="9"/>
  <c r="K20" i="9"/>
  <c r="J20" i="9"/>
  <c r="B20" i="9"/>
  <c r="T19" i="9"/>
  <c r="Q19" i="9"/>
  <c r="P19" i="9"/>
  <c r="K19" i="9"/>
  <c r="J19" i="9"/>
  <c r="B19" i="9"/>
  <c r="AG18" i="9"/>
  <c r="A18" i="9" s="1"/>
  <c r="Y18" i="9"/>
  <c r="T18" i="9"/>
  <c r="Q18" i="9"/>
  <c r="P18" i="9"/>
  <c r="K18" i="9"/>
  <c r="J18" i="9"/>
  <c r="B18" i="9"/>
  <c r="AG17" i="9"/>
  <c r="A17" i="9" s="1"/>
  <c r="Y17" i="9"/>
  <c r="T17" i="9"/>
  <c r="Q17" i="9"/>
  <c r="P17" i="9"/>
  <c r="K17" i="9"/>
  <c r="J17" i="9"/>
  <c r="B17" i="9"/>
  <c r="T16" i="9"/>
  <c r="Q16" i="9"/>
  <c r="P16" i="9"/>
  <c r="K16" i="9"/>
  <c r="J16" i="9"/>
  <c r="B16" i="9"/>
  <c r="AG16" i="9" s="1"/>
  <c r="A16" i="9" s="1"/>
  <c r="T15" i="9"/>
  <c r="Q15" i="9"/>
  <c r="P15" i="9"/>
  <c r="K15" i="9"/>
  <c r="J15" i="9"/>
  <c r="B15" i="9"/>
  <c r="T14" i="9"/>
  <c r="Q14" i="9"/>
  <c r="P14" i="9"/>
  <c r="K14" i="9"/>
  <c r="J14" i="9"/>
  <c r="B14" i="9"/>
  <c r="Y13" i="9"/>
  <c r="T13" i="9"/>
  <c r="Q13" i="9"/>
  <c r="P13" i="9"/>
  <c r="K13" i="9"/>
  <c r="J13" i="9"/>
  <c r="B13" i="9"/>
  <c r="AG12" i="9"/>
  <c r="A12" i="9" s="1"/>
  <c r="Y12" i="9"/>
  <c r="T12" i="9"/>
  <c r="Q12" i="9"/>
  <c r="P12" i="9"/>
  <c r="K12" i="9"/>
  <c r="J12" i="9"/>
  <c r="B12" i="9"/>
  <c r="T11" i="9"/>
  <c r="Q11" i="9"/>
  <c r="P11" i="9"/>
  <c r="K11" i="9"/>
  <c r="J11" i="9"/>
  <c r="B11" i="9"/>
  <c r="T10" i="9"/>
  <c r="Q10" i="9"/>
  <c r="P10" i="9"/>
  <c r="K10" i="9"/>
  <c r="J10" i="9"/>
  <c r="B10" i="9"/>
  <c r="AG10" i="9" s="1"/>
  <c r="A10" i="9" s="1"/>
  <c r="AG9" i="9"/>
  <c r="A9" i="9" s="1"/>
  <c r="T9" i="9"/>
  <c r="Q9" i="9"/>
  <c r="P9" i="9"/>
  <c r="K9" i="9"/>
  <c r="J9" i="9"/>
  <c r="B9" i="9"/>
  <c r="Y8" i="9"/>
  <c r="T8" i="9"/>
  <c r="Q8" i="9"/>
  <c r="P8" i="9"/>
  <c r="K8" i="9"/>
  <c r="J8" i="9"/>
  <c r="B8" i="9"/>
  <c r="AG8" i="9" s="1"/>
  <c r="A8" i="9" s="1"/>
  <c r="AG7" i="9"/>
  <c r="A7" i="9" s="1"/>
  <c r="Y7" i="9"/>
  <c r="T7" i="9"/>
  <c r="Q7" i="9"/>
  <c r="P7" i="9"/>
  <c r="K7" i="9"/>
  <c r="J7" i="9"/>
  <c r="B7" i="9"/>
  <c r="AG6" i="9"/>
  <c r="A6" i="9" s="1"/>
  <c r="T6" i="9"/>
  <c r="Q6" i="9"/>
  <c r="P6" i="9"/>
  <c r="K6" i="9"/>
  <c r="J6" i="9"/>
  <c r="B6" i="9"/>
  <c r="AG5" i="9"/>
  <c r="A5" i="9" s="1"/>
  <c r="T5" i="9"/>
  <c r="Q5" i="9"/>
  <c r="P5" i="9"/>
  <c r="K5" i="9"/>
  <c r="J5" i="9"/>
  <c r="B5" i="9"/>
  <c r="AG4" i="9"/>
  <c r="A4" i="9" s="1"/>
  <c r="T4" i="9"/>
  <c r="Q4" i="9"/>
  <c r="P4" i="9"/>
  <c r="K4" i="9"/>
  <c r="J4" i="9"/>
  <c r="B4" i="9"/>
  <c r="Y3" i="9"/>
  <c r="T3" i="9"/>
  <c r="Q3" i="9"/>
  <c r="P3" i="9"/>
  <c r="K3" i="9"/>
  <c r="J3" i="9"/>
  <c r="B3" i="9"/>
  <c r="AG3" i="9" s="1"/>
  <c r="A3" i="9" s="1"/>
  <c r="Y2" i="9"/>
  <c r="T2" i="9"/>
  <c r="Q2" i="9"/>
  <c r="P2" i="9"/>
  <c r="K2" i="9"/>
  <c r="J2" i="9"/>
  <c r="B2" i="9"/>
  <c r="AG2" i="9" s="1"/>
  <c r="A1" i="9"/>
  <c r="N14" i="6"/>
  <c r="J14" i="6"/>
  <c r="I14" i="6"/>
  <c r="B14" i="6"/>
  <c r="N13" i="6"/>
  <c r="J13" i="6"/>
  <c r="I13" i="6"/>
  <c r="B13" i="6"/>
  <c r="N12" i="6"/>
  <c r="J12" i="6"/>
  <c r="I12" i="6"/>
  <c r="B12" i="6"/>
  <c r="N11" i="6"/>
  <c r="J11" i="6"/>
  <c r="I11" i="6"/>
  <c r="B11" i="6"/>
  <c r="N10" i="6"/>
  <c r="J10" i="6"/>
  <c r="I10" i="6"/>
  <c r="B10" i="6"/>
  <c r="N9" i="6"/>
  <c r="J9" i="6"/>
  <c r="I9" i="6"/>
  <c r="B9" i="6"/>
  <c r="N8" i="6"/>
  <c r="J8" i="6"/>
  <c r="I8" i="6"/>
  <c r="B8" i="6"/>
  <c r="N7" i="6"/>
  <c r="J7" i="6"/>
  <c r="I7" i="6"/>
  <c r="B7" i="6"/>
  <c r="N6" i="6"/>
  <c r="J6" i="6"/>
  <c r="I6" i="6"/>
  <c r="B6" i="6"/>
  <c r="N5" i="6"/>
  <c r="J5" i="6"/>
  <c r="I5" i="6"/>
  <c r="B5" i="6"/>
  <c r="N4" i="6"/>
  <c r="J4" i="6"/>
  <c r="I4" i="6"/>
  <c r="B4" i="6"/>
  <c r="N3" i="6"/>
  <c r="J3" i="6"/>
  <c r="I3" i="6"/>
  <c r="B3" i="6"/>
  <c r="J2" i="6"/>
  <c r="I2" i="6"/>
  <c r="C14" i="5"/>
  <c r="H15" i="4"/>
  <c r="G15" i="4"/>
  <c r="A15" i="4"/>
  <c r="H14" i="4"/>
  <c r="G14" i="4"/>
  <c r="A14" i="4"/>
  <c r="D14" i="4" s="1"/>
  <c r="H13" i="4"/>
  <c r="G13" i="4"/>
  <c r="A13" i="4"/>
  <c r="H12" i="4"/>
  <c r="G12" i="4"/>
  <c r="C12" i="4"/>
  <c r="A12" i="4"/>
  <c r="B12" i="4" s="1"/>
  <c r="H11" i="4"/>
  <c r="G11" i="4"/>
  <c r="A11" i="4"/>
  <c r="D11" i="4" s="1"/>
  <c r="J11" i="4" s="1"/>
  <c r="H10" i="4"/>
  <c r="G10" i="4"/>
  <c r="A10" i="4"/>
  <c r="D10" i="4" s="1"/>
  <c r="H9" i="4"/>
  <c r="G9" i="4"/>
  <c r="C9" i="4"/>
  <c r="A9" i="4"/>
  <c r="H8" i="4"/>
  <c r="G8" i="4"/>
  <c r="C8" i="4"/>
  <c r="A8" i="4"/>
  <c r="B8" i="4" s="1"/>
  <c r="H7" i="4"/>
  <c r="G7" i="4"/>
  <c r="A7" i="4"/>
  <c r="H6" i="4"/>
  <c r="G6" i="4"/>
  <c r="B6" i="4"/>
  <c r="A6" i="4"/>
  <c r="D6" i="4" s="1"/>
  <c r="H5" i="4"/>
  <c r="G5" i="4"/>
  <c r="C5" i="4"/>
  <c r="B5" i="4"/>
  <c r="A5" i="4"/>
  <c r="E5" i="4" s="1"/>
  <c r="H4" i="4"/>
  <c r="G4" i="4"/>
  <c r="C4" i="4"/>
  <c r="A4" i="4"/>
  <c r="B4" i="4" s="1"/>
  <c r="G63" i="3"/>
  <c r="F63" i="3"/>
  <c r="E63" i="3"/>
  <c r="D63" i="3"/>
  <c r="C63" i="3"/>
  <c r="A63" i="3"/>
  <c r="G62" i="3"/>
  <c r="F62" i="3"/>
  <c r="E62" i="3"/>
  <c r="D62" i="3"/>
  <c r="A62" i="3"/>
  <c r="C62" i="3" s="1"/>
  <c r="G61" i="3"/>
  <c r="F61" i="3"/>
  <c r="E61" i="3"/>
  <c r="D61" i="3"/>
  <c r="C61" i="3"/>
  <c r="A61" i="3"/>
  <c r="G60" i="3"/>
  <c r="F60" i="3"/>
  <c r="E60" i="3"/>
  <c r="D60" i="3"/>
  <c r="A60" i="3"/>
  <c r="C60" i="3" s="1"/>
  <c r="A59" i="3"/>
  <c r="G58" i="3"/>
  <c r="F58" i="3"/>
  <c r="E58" i="3"/>
  <c r="D58" i="3"/>
  <c r="A58" i="3"/>
  <c r="C58" i="3" s="1"/>
  <c r="G57" i="3"/>
  <c r="F57" i="3"/>
  <c r="E57" i="3"/>
  <c r="D57" i="3"/>
  <c r="A57" i="3"/>
  <c r="C57" i="3" s="1"/>
  <c r="G56" i="3"/>
  <c r="F56" i="3"/>
  <c r="E56" i="3"/>
  <c r="D56" i="3"/>
  <c r="A56" i="3"/>
  <c r="C56" i="3" s="1"/>
  <c r="G55" i="3"/>
  <c r="F55" i="3"/>
  <c r="E55" i="3"/>
  <c r="D55" i="3"/>
  <c r="A55" i="3"/>
  <c r="C55" i="3" s="1"/>
  <c r="A54" i="3"/>
  <c r="E54" i="3" s="1"/>
  <c r="G53" i="3"/>
  <c r="F53" i="3"/>
  <c r="E53" i="3"/>
  <c r="D53" i="3"/>
  <c r="A53" i="3"/>
  <c r="C53" i="3" s="1"/>
  <c r="G52" i="3"/>
  <c r="F52" i="3"/>
  <c r="E52" i="3"/>
  <c r="D52" i="3"/>
  <c r="A52" i="3"/>
  <c r="C52" i="3" s="1"/>
  <c r="G51" i="3"/>
  <c r="F51" i="3"/>
  <c r="E51" i="3"/>
  <c r="D51" i="3"/>
  <c r="A51" i="3"/>
  <c r="C51" i="3" s="1"/>
  <c r="G50" i="3"/>
  <c r="F50" i="3"/>
  <c r="E50" i="3"/>
  <c r="D50" i="3"/>
  <c r="A50" i="3"/>
  <c r="C50" i="3" s="1"/>
  <c r="A49" i="3"/>
  <c r="C49" i="3" s="1"/>
  <c r="G48" i="3"/>
  <c r="F48" i="3"/>
  <c r="E48" i="3"/>
  <c r="D48" i="3"/>
  <c r="A48" i="3"/>
  <c r="C48" i="3" s="1"/>
  <c r="G47" i="3"/>
  <c r="F47" i="3"/>
  <c r="E47" i="3"/>
  <c r="D47" i="3"/>
  <c r="A47" i="3"/>
  <c r="C47" i="3" s="1"/>
  <c r="G46" i="3"/>
  <c r="F46" i="3"/>
  <c r="E46" i="3"/>
  <c r="D46" i="3"/>
  <c r="A46" i="3"/>
  <c r="C46" i="3" s="1"/>
  <c r="G45" i="3"/>
  <c r="F45" i="3"/>
  <c r="E45" i="3"/>
  <c r="D45" i="3"/>
  <c r="C45" i="3"/>
  <c r="A45" i="3"/>
  <c r="A44" i="3"/>
  <c r="C44" i="3" s="1"/>
  <c r="D44" i="3" s="1"/>
  <c r="G43" i="3"/>
  <c r="F43" i="3"/>
  <c r="E43" i="3"/>
  <c r="D43" i="3"/>
  <c r="A43" i="3"/>
  <c r="C43" i="3" s="1"/>
  <c r="G42" i="3"/>
  <c r="F42" i="3"/>
  <c r="E42" i="3"/>
  <c r="D42" i="3"/>
  <c r="A42" i="3"/>
  <c r="C42" i="3" s="1"/>
  <c r="G41" i="3"/>
  <c r="F41" i="3"/>
  <c r="E41" i="3"/>
  <c r="D41" i="3"/>
  <c r="A41" i="3"/>
  <c r="C41" i="3" s="1"/>
  <c r="G40" i="3"/>
  <c r="F40" i="3"/>
  <c r="E40" i="3"/>
  <c r="D40" i="3"/>
  <c r="A40" i="3"/>
  <c r="C40" i="3" s="1"/>
  <c r="A39" i="3"/>
  <c r="F39" i="3" s="1"/>
  <c r="G38" i="3"/>
  <c r="F38" i="3"/>
  <c r="E38" i="3"/>
  <c r="D38" i="3"/>
  <c r="C38" i="3"/>
  <c r="A38" i="3"/>
  <c r="G37" i="3"/>
  <c r="F37" i="3"/>
  <c r="E37" i="3"/>
  <c r="D37" i="3"/>
  <c r="A37" i="3"/>
  <c r="C37" i="3" s="1"/>
  <c r="G36" i="3"/>
  <c r="F36" i="3"/>
  <c r="E36" i="3"/>
  <c r="D36" i="3"/>
  <c r="C36" i="3"/>
  <c r="A36" i="3"/>
  <c r="G35" i="3"/>
  <c r="F35" i="3"/>
  <c r="E35" i="3"/>
  <c r="D35" i="3"/>
  <c r="A35" i="3"/>
  <c r="C35" i="3" s="1"/>
  <c r="A34" i="3"/>
  <c r="F34" i="3" s="1"/>
  <c r="G33" i="3"/>
  <c r="F33" i="3"/>
  <c r="E33" i="3"/>
  <c r="D33" i="3"/>
  <c r="A33" i="3"/>
  <c r="C33" i="3" s="1"/>
  <c r="G32" i="3"/>
  <c r="F32" i="3"/>
  <c r="E32" i="3"/>
  <c r="D32" i="3"/>
  <c r="A32" i="3"/>
  <c r="C32" i="3" s="1"/>
  <c r="G31" i="3"/>
  <c r="F31" i="3"/>
  <c r="E31" i="3"/>
  <c r="D31" i="3"/>
  <c r="A31" i="3"/>
  <c r="C31" i="3" s="1"/>
  <c r="G30" i="3"/>
  <c r="F30" i="3"/>
  <c r="E30" i="3"/>
  <c r="D30" i="3"/>
  <c r="C30" i="3"/>
  <c r="A30" i="3"/>
  <c r="A29" i="3"/>
  <c r="G28" i="3"/>
  <c r="F28" i="3"/>
  <c r="E28" i="3"/>
  <c r="D28" i="3"/>
  <c r="A28" i="3"/>
  <c r="C28" i="3" s="1"/>
  <c r="G27" i="3"/>
  <c r="F27" i="3"/>
  <c r="E27" i="3"/>
  <c r="D27" i="3"/>
  <c r="A27" i="3"/>
  <c r="C27" i="3" s="1"/>
  <c r="G26" i="3"/>
  <c r="F26" i="3"/>
  <c r="E26" i="3"/>
  <c r="D26" i="3"/>
  <c r="A26" i="3"/>
  <c r="C26" i="3" s="1"/>
  <c r="G25" i="3"/>
  <c r="F25" i="3"/>
  <c r="E25" i="3"/>
  <c r="D25" i="3"/>
  <c r="A25" i="3"/>
  <c r="C25" i="3" s="1"/>
  <c r="A24" i="3"/>
  <c r="F24" i="3" s="1"/>
  <c r="G23" i="3"/>
  <c r="F23" i="3"/>
  <c r="E23" i="3"/>
  <c r="D23" i="3"/>
  <c r="C23" i="3"/>
  <c r="A23" i="3"/>
  <c r="G22" i="3"/>
  <c r="F22" i="3"/>
  <c r="E22" i="3"/>
  <c r="D22" i="3"/>
  <c r="A22" i="3"/>
  <c r="C22" i="3" s="1"/>
  <c r="G21" i="3"/>
  <c r="F21" i="3"/>
  <c r="E21" i="3"/>
  <c r="D21" i="3"/>
  <c r="C21" i="3"/>
  <c r="A21" i="3"/>
  <c r="G20" i="3"/>
  <c r="F20" i="3"/>
  <c r="E20" i="3"/>
  <c r="D20" i="3"/>
  <c r="A20" i="3"/>
  <c r="C20" i="3" s="1"/>
  <c r="A19" i="3"/>
  <c r="G18" i="3"/>
  <c r="F18" i="3"/>
  <c r="E18" i="3"/>
  <c r="D18" i="3"/>
  <c r="A18" i="3"/>
  <c r="C18" i="3" s="1"/>
  <c r="G17" i="3"/>
  <c r="F17" i="3"/>
  <c r="E17" i="3"/>
  <c r="D17" i="3"/>
  <c r="A17" i="3"/>
  <c r="C17" i="3" s="1"/>
  <c r="G16" i="3"/>
  <c r="F16" i="3"/>
  <c r="E16" i="3"/>
  <c r="D16" i="3"/>
  <c r="C16" i="3"/>
  <c r="A16" i="3"/>
  <c r="G15" i="3"/>
  <c r="F15" i="3"/>
  <c r="E15" i="3"/>
  <c r="D15" i="3"/>
  <c r="A15" i="3"/>
  <c r="C15" i="3" s="1"/>
  <c r="F14" i="3"/>
  <c r="E14" i="3"/>
  <c r="C14" i="3"/>
  <c r="D14" i="3" s="1"/>
  <c r="A14" i="3"/>
  <c r="G13" i="3"/>
  <c r="F13" i="3"/>
  <c r="E13" i="3"/>
  <c r="D13" i="3"/>
  <c r="A13" i="3"/>
  <c r="C13" i="3" s="1"/>
  <c r="G12" i="3"/>
  <c r="F12" i="3"/>
  <c r="E12" i="3"/>
  <c r="D12" i="3"/>
  <c r="A12" i="3"/>
  <c r="C12" i="3" s="1"/>
  <c r="G11" i="3"/>
  <c r="F11" i="3"/>
  <c r="E11" i="3"/>
  <c r="D11" i="3"/>
  <c r="A11" i="3"/>
  <c r="C11" i="3" s="1"/>
  <c r="G10" i="3"/>
  <c r="F10" i="3"/>
  <c r="E10" i="3"/>
  <c r="D10" i="3"/>
  <c r="A10" i="3"/>
  <c r="C10" i="3" s="1"/>
  <c r="F9" i="3"/>
  <c r="E9" i="3"/>
  <c r="A9" i="3"/>
  <c r="C9" i="3" s="1"/>
  <c r="G8" i="3"/>
  <c r="F8" i="3"/>
  <c r="E8" i="3"/>
  <c r="D8" i="3"/>
  <c r="A8" i="3"/>
  <c r="C8" i="3" s="1"/>
  <c r="G7" i="3"/>
  <c r="F7" i="3"/>
  <c r="E7" i="3"/>
  <c r="D7" i="3"/>
  <c r="A7" i="3"/>
  <c r="C7" i="3" s="1"/>
  <c r="G6" i="3"/>
  <c r="F6" i="3"/>
  <c r="E6" i="3"/>
  <c r="D6" i="3"/>
  <c r="A6" i="3"/>
  <c r="C6" i="3" s="1"/>
  <c r="F5" i="3"/>
  <c r="E5" i="3"/>
  <c r="D5" i="3"/>
  <c r="A5" i="3"/>
  <c r="C5" i="3" s="1"/>
  <c r="A4" i="3"/>
  <c r="C27" i="1"/>
  <c r="C19" i="1"/>
  <c r="C11" i="1"/>
  <c r="B8" i="10" s="1"/>
  <c r="C10" i="1"/>
  <c r="B7" i="10" s="1"/>
  <c r="AB40" i="9" s="1"/>
  <c r="F62" i="9" l="1"/>
  <c r="H28" i="3"/>
  <c r="H58" i="3"/>
  <c r="H7" i="3"/>
  <c r="H51" i="3"/>
  <c r="H12" i="3"/>
  <c r="H48" i="3"/>
  <c r="H43" i="3"/>
  <c r="F37" i="9"/>
  <c r="D67" i="13"/>
  <c r="D75" i="13"/>
  <c r="D4" i="4"/>
  <c r="J4" i="4" s="1"/>
  <c r="E12" i="4"/>
  <c r="K12" i="4" s="1"/>
  <c r="E8" i="4"/>
  <c r="K8" i="4" s="1"/>
  <c r="D70" i="13"/>
  <c r="E4" i="4"/>
  <c r="K4" i="4" s="1"/>
  <c r="L4" i="4" s="1"/>
  <c r="G4" i="3" s="1"/>
  <c r="D12" i="4"/>
  <c r="J12" i="4" s="1"/>
  <c r="D8" i="4"/>
  <c r="J8" i="4" s="1"/>
  <c r="L8" i="4" s="1"/>
  <c r="C24" i="3"/>
  <c r="D24" i="3" s="1"/>
  <c r="C39" i="3"/>
  <c r="D39" i="3" s="1"/>
  <c r="E49" i="3"/>
  <c r="C54" i="3"/>
  <c r="D54" i="3" s="1"/>
  <c r="K13" i="4"/>
  <c r="K51" i="9"/>
  <c r="E53" i="9"/>
  <c r="E60" i="9"/>
  <c r="I2" i="13"/>
  <c r="J11" i="13"/>
  <c r="D52" i="13"/>
  <c r="E52" i="13" s="1"/>
  <c r="D54" i="13"/>
  <c r="E54" i="13" s="1"/>
  <c r="D56" i="13"/>
  <c r="E56" i="13" s="1"/>
  <c r="D73" i="13"/>
  <c r="E15" i="4"/>
  <c r="K15" i="4" s="1"/>
  <c r="E11" i="4"/>
  <c r="K11" i="4" s="1"/>
  <c r="E7" i="4"/>
  <c r="E24" i="3"/>
  <c r="H27" i="3"/>
  <c r="E39" i="3"/>
  <c r="F49" i="3"/>
  <c r="E54" i="9"/>
  <c r="E55" i="9"/>
  <c r="E61" i="9"/>
  <c r="K2" i="13"/>
  <c r="I3" i="13"/>
  <c r="I7" i="13"/>
  <c r="J7" i="13" s="1"/>
  <c r="K11" i="13"/>
  <c r="J12" i="13"/>
  <c r="C50" i="13"/>
  <c r="C59" i="13"/>
  <c r="D68" i="13"/>
  <c r="D15" i="4"/>
  <c r="J15" i="4" s="1"/>
  <c r="D7" i="4"/>
  <c r="J7" i="4" s="1"/>
  <c r="E56" i="9"/>
  <c r="M2" i="13"/>
  <c r="M11" i="13"/>
  <c r="D71" i="13"/>
  <c r="E14" i="4"/>
  <c r="K14" i="4" s="1"/>
  <c r="E10" i="4"/>
  <c r="K10" i="4" s="1"/>
  <c r="E6" i="4"/>
  <c r="H36" i="3"/>
  <c r="F35" i="9"/>
  <c r="F39" i="9"/>
  <c r="T52" i="9"/>
  <c r="E57" i="9"/>
  <c r="J4" i="13"/>
  <c r="L13" i="9" s="1"/>
  <c r="C53" i="13"/>
  <c r="C57" i="13"/>
  <c r="C66" i="13"/>
  <c r="D74" i="13"/>
  <c r="H11" i="3"/>
  <c r="D48" i="9"/>
  <c r="M3" i="13"/>
  <c r="L11" i="9" s="1"/>
  <c r="K4" i="13"/>
  <c r="D29" i="13" s="1"/>
  <c r="M5" i="13"/>
  <c r="D53" i="13"/>
  <c r="E13" i="4"/>
  <c r="E9" i="4"/>
  <c r="K9" i="4" s="1"/>
  <c r="H35" i="3"/>
  <c r="H40" i="3"/>
  <c r="H60" i="3"/>
  <c r="K5" i="4"/>
  <c r="E58" i="9"/>
  <c r="M4" i="13"/>
  <c r="D72" i="13"/>
  <c r="D18" i="4"/>
  <c r="D13" i="4"/>
  <c r="D9" i="4"/>
  <c r="J9" i="4" s="1"/>
  <c r="D5" i="4"/>
  <c r="J5" i="4" s="1"/>
  <c r="H61" i="3"/>
  <c r="H38" i="3"/>
  <c r="H33" i="3"/>
  <c r="H37" i="3"/>
  <c r="H50" i="3"/>
  <c r="H10" i="3"/>
  <c r="H18" i="3"/>
  <c r="H32" i="3"/>
  <c r="H42" i="3"/>
  <c r="H17" i="3"/>
  <c r="H57" i="3"/>
  <c r="H8" i="3"/>
  <c r="H13" i="3"/>
  <c r="H41" i="3"/>
  <c r="H20" i="3"/>
  <c r="H16" i="3"/>
  <c r="H26" i="3"/>
  <c r="H55" i="3"/>
  <c r="H52" i="3"/>
  <c r="H25" i="3"/>
  <c r="H30" i="3"/>
  <c r="H5" i="3"/>
  <c r="L11" i="4"/>
  <c r="G39" i="3" s="1"/>
  <c r="C14" i="4"/>
  <c r="J14" i="4"/>
  <c r="C4" i="3"/>
  <c r="D4" i="3" s="1"/>
  <c r="H21" i="3"/>
  <c r="H45" i="3"/>
  <c r="H56" i="3"/>
  <c r="F59" i="3"/>
  <c r="E59" i="3"/>
  <c r="C59" i="3"/>
  <c r="D59" i="3" s="1"/>
  <c r="H63" i="3"/>
  <c r="B13" i="4"/>
  <c r="B14" i="4"/>
  <c r="F29" i="3"/>
  <c r="H53" i="3"/>
  <c r="C13" i="4"/>
  <c r="C29" i="3"/>
  <c r="D29" i="3" s="1"/>
  <c r="F44" i="3"/>
  <c r="E44" i="3"/>
  <c r="H62" i="3"/>
  <c r="K6" i="4"/>
  <c r="C6" i="4"/>
  <c r="J6" i="4"/>
  <c r="K7" i="4"/>
  <c r="J13" i="4"/>
  <c r="F4" i="3"/>
  <c r="E4" i="3"/>
  <c r="F19" i="3"/>
  <c r="E19" i="3"/>
  <c r="M61" i="9"/>
  <c r="M60" i="9"/>
  <c r="D46" i="13"/>
  <c r="D43" i="13"/>
  <c r="D42" i="13"/>
  <c r="D36" i="13"/>
  <c r="D35" i="13"/>
  <c r="D31" i="13"/>
  <c r="D27" i="13"/>
  <c r="M56" i="9"/>
  <c r="M52" i="9"/>
  <c r="M54" i="9"/>
  <c r="M49" i="9"/>
  <c r="M45" i="9"/>
  <c r="M39" i="9"/>
  <c r="M53" i="9"/>
  <c r="M48" i="9"/>
  <c r="M44" i="9"/>
  <c r="M23" i="9"/>
  <c r="E23" i="9" s="1"/>
  <c r="M21" i="9"/>
  <c r="E21" i="9" s="1"/>
  <c r="M20" i="9"/>
  <c r="E20" i="9" s="1"/>
  <c r="M16" i="9"/>
  <c r="E16" i="9" s="1"/>
  <c r="M12" i="9"/>
  <c r="E12" i="9" s="1"/>
  <c r="M11" i="9"/>
  <c r="E11" i="9" s="1"/>
  <c r="M10" i="9"/>
  <c r="E10" i="9" s="1"/>
  <c r="M46" i="9"/>
  <c r="M31" i="9"/>
  <c r="E31" i="9" s="1"/>
  <c r="M27" i="9"/>
  <c r="E27" i="9" s="1"/>
  <c r="M51" i="9"/>
  <c r="E51" i="9" s="1"/>
  <c r="AB51" i="9" s="1"/>
  <c r="M38" i="9"/>
  <c r="M37" i="9"/>
  <c r="M50" i="9"/>
  <c r="M36" i="9"/>
  <c r="M42" i="9"/>
  <c r="M47" i="9"/>
  <c r="M28" i="9"/>
  <c r="E28" i="9" s="1"/>
  <c r="M9" i="9"/>
  <c r="E9" i="9" s="1"/>
  <c r="M8" i="9"/>
  <c r="E8" i="9" s="1"/>
  <c r="M7" i="9"/>
  <c r="E7" i="9" s="1"/>
  <c r="M6" i="9"/>
  <c r="E6" i="9" s="1"/>
  <c r="M5" i="9"/>
  <c r="E5" i="9" s="1"/>
  <c r="M4" i="9"/>
  <c r="E4" i="9" s="1"/>
  <c r="M2" i="9"/>
  <c r="E2" i="9" s="1"/>
  <c r="H15" i="3"/>
  <c r="C19" i="3"/>
  <c r="D19" i="3" s="1"/>
  <c r="H23" i="3"/>
  <c r="E29" i="3"/>
  <c r="H47" i="3"/>
  <c r="C10" i="4"/>
  <c r="J10" i="4"/>
  <c r="H6" i="3"/>
  <c r="G24" i="3"/>
  <c r="H31" i="3"/>
  <c r="E34" i="3"/>
  <c r="C34" i="3"/>
  <c r="D34" i="3" s="1"/>
  <c r="F54" i="3"/>
  <c r="B9" i="4"/>
  <c r="B10" i="4"/>
  <c r="D9" i="3"/>
  <c r="H22" i="3"/>
  <c r="H46" i="3"/>
  <c r="D49" i="3"/>
  <c r="F32" i="9"/>
  <c r="AB32" i="9"/>
  <c r="D11" i="9"/>
  <c r="N11" i="9" s="1"/>
  <c r="D13" i="9"/>
  <c r="F51" i="9"/>
  <c r="B9" i="10"/>
  <c r="B13" i="10" s="1"/>
  <c r="AG11" i="9"/>
  <c r="AG13" i="9"/>
  <c r="A13" i="9" s="1"/>
  <c r="AG20" i="9"/>
  <c r="A20" i="9" s="1"/>
  <c r="F34" i="9"/>
  <c r="AB34" i="9"/>
  <c r="B7" i="4"/>
  <c r="B11" i="4"/>
  <c r="B15" i="4"/>
  <c r="AG33" i="9"/>
  <c r="A33" i="9" s="1"/>
  <c r="AB37" i="9"/>
  <c r="AB39" i="9"/>
  <c r="L61" i="9"/>
  <c r="L60" i="9"/>
  <c r="C68" i="13"/>
  <c r="E68" i="13" s="1"/>
  <c r="C46" i="13"/>
  <c r="E46" i="13" s="1"/>
  <c r="C38" i="13"/>
  <c r="C43" i="13"/>
  <c r="E43" i="13" s="1"/>
  <c r="C35" i="13"/>
  <c r="C27" i="13"/>
  <c r="C19" i="13"/>
  <c r="C21" i="13"/>
  <c r="C75" i="13"/>
  <c r="E75" i="13" s="1"/>
  <c r="C71" i="13"/>
  <c r="E71" i="13" s="1"/>
  <c r="C69" i="13"/>
  <c r="E69" i="13" s="1"/>
  <c r="C67" i="13"/>
  <c r="E67" i="13" s="1"/>
  <c r="C42" i="13"/>
  <c r="L56" i="9"/>
  <c r="C31" i="13"/>
  <c r="C23" i="13"/>
  <c r="E23" i="13" s="1"/>
  <c r="C36" i="13"/>
  <c r="E36" i="13" s="1"/>
  <c r="C20" i="13"/>
  <c r="C17" i="13"/>
  <c r="L54" i="9"/>
  <c r="L49" i="9"/>
  <c r="L45" i="9"/>
  <c r="L51" i="9"/>
  <c r="L47" i="9"/>
  <c r="L44" i="9"/>
  <c r="AB41" i="9"/>
  <c r="L22" i="9"/>
  <c r="L21" i="9"/>
  <c r="L20" i="9"/>
  <c r="L16" i="9"/>
  <c r="L52" i="9"/>
  <c r="L46" i="9"/>
  <c r="L31" i="9"/>
  <c r="L39" i="9"/>
  <c r="L27" i="9"/>
  <c r="L48" i="9"/>
  <c r="L38" i="9"/>
  <c r="L37" i="9"/>
  <c r="C7" i="4"/>
  <c r="C11" i="4"/>
  <c r="C15" i="4"/>
  <c r="A2" i="9"/>
  <c r="L10" i="9"/>
  <c r="L12" i="9"/>
  <c r="AG14" i="9"/>
  <c r="A14" i="9" s="1"/>
  <c r="F33" i="9"/>
  <c r="AB33" i="9"/>
  <c r="L42" i="9"/>
  <c r="L53" i="9"/>
  <c r="AG15" i="9"/>
  <c r="A15" i="9" s="1"/>
  <c r="L36" i="9"/>
  <c r="L2" i="9"/>
  <c r="L4" i="9"/>
  <c r="L5" i="9"/>
  <c r="L6" i="9"/>
  <c r="L7" i="9"/>
  <c r="L8" i="9"/>
  <c r="L9" i="9"/>
  <c r="AG19" i="9"/>
  <c r="A19" i="9" s="1"/>
  <c r="L34" i="9"/>
  <c r="AG35" i="9"/>
  <c r="A35" i="9" s="1"/>
  <c r="C22" i="13"/>
  <c r="F36" i="9"/>
  <c r="F40" i="9"/>
  <c r="AB35" i="9"/>
  <c r="F38" i="9"/>
  <c r="AB36" i="9"/>
  <c r="AB38" i="9"/>
  <c r="AG51" i="9"/>
  <c r="A51" i="9" s="1"/>
  <c r="B14" i="10"/>
  <c r="D21" i="13"/>
  <c r="D66" i="13"/>
  <c r="E66" i="13" s="1"/>
  <c r="C25" i="13"/>
  <c r="D26" i="13"/>
  <c r="K6" i="13"/>
  <c r="D39" i="13" s="1"/>
  <c r="J6" i="13"/>
  <c r="L23" i="9" s="1"/>
  <c r="I6" i="13"/>
  <c r="M22" i="9" s="1"/>
  <c r="E22" i="9" s="1"/>
  <c r="M6" i="13"/>
  <c r="D41" i="13" s="1"/>
  <c r="D51" i="13"/>
  <c r="E51" i="13" s="1"/>
  <c r="D50" i="13"/>
  <c r="E50" i="13" s="1"/>
  <c r="D49" i="13"/>
  <c r="E49" i="13" s="1"/>
  <c r="D48" i="13"/>
  <c r="E48" i="13" s="1"/>
  <c r="D47" i="13"/>
  <c r="E47" i="13" s="1"/>
  <c r="C26" i="13"/>
  <c r="C62" i="13"/>
  <c r="C24" i="13"/>
  <c r="C65" i="13"/>
  <c r="L6" i="13"/>
  <c r="D40" i="13" s="1"/>
  <c r="E60" i="13"/>
  <c r="D61" i="13"/>
  <c r="E61" i="13" s="1"/>
  <c r="C76" i="13"/>
  <c r="E76" i="13" s="1"/>
  <c r="L9" i="13"/>
  <c r="M40" i="9" s="1"/>
  <c r="D17" i="13"/>
  <c r="D19" i="13"/>
  <c r="D20" i="13"/>
  <c r="D22" i="13"/>
  <c r="D23" i="13"/>
  <c r="D24" i="13"/>
  <c r="D25" i="13"/>
  <c r="D57" i="13"/>
  <c r="E57" i="13" s="1"/>
  <c r="D59" i="13"/>
  <c r="D60" i="13"/>
  <c r="D62" i="13"/>
  <c r="D63" i="13"/>
  <c r="E63" i="13" s="1"/>
  <c r="D64" i="13"/>
  <c r="E64" i="13" s="1"/>
  <c r="D65" i="13"/>
  <c r="D60" i="9"/>
  <c r="I6" i="12"/>
  <c r="J2" i="13"/>
  <c r="C18" i="13" s="1"/>
  <c r="L4" i="13"/>
  <c r="D30" i="13" s="1"/>
  <c r="I5" i="13"/>
  <c r="D32" i="13" s="1"/>
  <c r="M9" i="13"/>
  <c r="L41" i="9" s="1"/>
  <c r="J10" i="13"/>
  <c r="M43" i="9" s="1"/>
  <c r="L12" i="13"/>
  <c r="C70" i="13" s="1"/>
  <c r="E70" i="13" s="1"/>
  <c r="I13" i="13"/>
  <c r="C72" i="13" s="1"/>
  <c r="E72" i="13" s="1"/>
  <c r="I5" i="12"/>
  <c r="J5" i="13"/>
  <c r="D33" i="13" s="1"/>
  <c r="L7" i="13"/>
  <c r="L30" i="9" s="1"/>
  <c r="I8" i="13"/>
  <c r="L32" i="9" s="1"/>
  <c r="J13" i="13"/>
  <c r="L58" i="9" s="1"/>
  <c r="I4" i="12"/>
  <c r="K5" i="13"/>
  <c r="D34" i="13" s="1"/>
  <c r="J8" i="13"/>
  <c r="L33" i="9" s="1"/>
  <c r="K13" i="13"/>
  <c r="C74" i="13" s="1"/>
  <c r="E74" i="13" s="1"/>
  <c r="K8" i="13"/>
  <c r="M34" i="9" s="1"/>
  <c r="L8" i="13"/>
  <c r="M35" i="9" s="1"/>
  <c r="H39" i="3" l="1"/>
  <c r="L12" i="4"/>
  <c r="G44" i="3" s="1"/>
  <c r="H44" i="3" s="1"/>
  <c r="L9" i="4"/>
  <c r="G29" i="3" s="1"/>
  <c r="H29" i="3" s="1"/>
  <c r="L15" i="4"/>
  <c r="G59" i="3" s="1"/>
  <c r="H59" i="3" s="1"/>
  <c r="L40" i="9"/>
  <c r="E22" i="13"/>
  <c r="E38" i="13"/>
  <c r="M26" i="9"/>
  <c r="E26" i="9" s="1"/>
  <c r="L24" i="9"/>
  <c r="L25" i="9"/>
  <c r="D25" i="9" s="1"/>
  <c r="N25" i="9" s="1"/>
  <c r="E31" i="13"/>
  <c r="H24" i="3"/>
  <c r="D38" i="13"/>
  <c r="K7" i="13"/>
  <c r="L28" i="9"/>
  <c r="M33" i="9"/>
  <c r="C34" i="13"/>
  <c r="L5" i="4"/>
  <c r="G9" i="3" s="1"/>
  <c r="H9" i="3" s="1"/>
  <c r="M14" i="9"/>
  <c r="E14" i="9" s="1"/>
  <c r="L14" i="9"/>
  <c r="E17" i="13"/>
  <c r="C32" i="13"/>
  <c r="L59" i="9"/>
  <c r="L17" i="9"/>
  <c r="E42" i="13"/>
  <c r="M55" i="9"/>
  <c r="D28" i="13"/>
  <c r="L13" i="4"/>
  <c r="G49" i="3" s="1"/>
  <c r="H49" i="3" s="1"/>
  <c r="L14" i="4"/>
  <c r="G54" i="3" s="1"/>
  <c r="H54" i="3" s="1"/>
  <c r="L57" i="9"/>
  <c r="C29" i="13"/>
  <c r="E29" i="13" s="1"/>
  <c r="M13" i="9"/>
  <c r="E13" i="9" s="1"/>
  <c r="E59" i="13"/>
  <c r="E24" i="13"/>
  <c r="C28" i="13"/>
  <c r="E28" i="13" s="1"/>
  <c r="L7" i="4"/>
  <c r="G19" i="3" s="1"/>
  <c r="H19" i="3" s="1"/>
  <c r="E53" i="13"/>
  <c r="L6" i="4"/>
  <c r="G14" i="3" s="1"/>
  <c r="H14" i="3" s="1"/>
  <c r="D30" i="9"/>
  <c r="F61" i="9"/>
  <c r="AB61" i="9"/>
  <c r="E43" i="9"/>
  <c r="D23" i="9"/>
  <c r="O23" i="9" s="1"/>
  <c r="D58" i="9"/>
  <c r="F17" i="10"/>
  <c r="E17" i="10"/>
  <c r="D17" i="10"/>
  <c r="C17" i="10"/>
  <c r="B17" i="10"/>
  <c r="D2" i="9"/>
  <c r="O2" i="9" s="1"/>
  <c r="O38" i="9"/>
  <c r="N38" i="9"/>
  <c r="D22" i="9"/>
  <c r="N22" i="9" s="1"/>
  <c r="G13" i="6" s="1"/>
  <c r="N33" i="9"/>
  <c r="O33" i="9"/>
  <c r="E34" i="13"/>
  <c r="O40" i="9"/>
  <c r="N40" i="9"/>
  <c r="M30" i="9"/>
  <c r="E30" i="9" s="1"/>
  <c r="M15" i="9"/>
  <c r="E15" i="9" s="1"/>
  <c r="E62" i="13"/>
  <c r="L35" i="9"/>
  <c r="D9" i="9"/>
  <c r="O9" i="9" s="1"/>
  <c r="D14" i="9"/>
  <c r="L43" i="9"/>
  <c r="D52" i="9"/>
  <c r="N54" i="9"/>
  <c r="D54" i="9"/>
  <c r="O54" i="9"/>
  <c r="C37" i="13"/>
  <c r="C30" i="13"/>
  <c r="E30" i="13" s="1"/>
  <c r="O60" i="9"/>
  <c r="N60" i="9"/>
  <c r="E50" i="9"/>
  <c r="M24" i="9"/>
  <c r="E24" i="9" s="1"/>
  <c r="M3" i="9"/>
  <c r="E3" i="9" s="1"/>
  <c r="E46" i="9"/>
  <c r="M17" i="9"/>
  <c r="E17" i="9" s="1"/>
  <c r="M25" i="9"/>
  <c r="E25" i="9" s="1"/>
  <c r="M41" i="9"/>
  <c r="O41" i="9" s="1"/>
  <c r="D37" i="13"/>
  <c r="D45" i="13"/>
  <c r="D17" i="9"/>
  <c r="O17" i="9" s="1"/>
  <c r="N34" i="9"/>
  <c r="O34" i="9"/>
  <c r="D8" i="9"/>
  <c r="N8" i="9" s="1"/>
  <c r="O8" i="9"/>
  <c r="D53" i="9"/>
  <c r="N53" i="9" s="1"/>
  <c r="C45" i="13"/>
  <c r="E45" i="13" s="1"/>
  <c r="D7" i="9"/>
  <c r="O7" i="9"/>
  <c r="N7" i="9"/>
  <c r="G11" i="6" s="1"/>
  <c r="N36" i="9"/>
  <c r="O36" i="9"/>
  <c r="E32" i="13"/>
  <c r="M18" i="9"/>
  <c r="E18" i="9" s="1"/>
  <c r="Y60" i="9"/>
  <c r="Y55" i="9"/>
  <c r="Y40" i="9"/>
  <c r="Y30" i="9"/>
  <c r="Y35" i="9"/>
  <c r="Y50" i="9"/>
  <c r="Y45" i="9"/>
  <c r="Y20" i="9"/>
  <c r="Y5" i="9"/>
  <c r="Y25" i="9"/>
  <c r="Y15" i="9"/>
  <c r="Y10" i="9"/>
  <c r="Y61" i="9"/>
  <c r="Y56" i="9"/>
  <c r="Y31" i="9"/>
  <c r="Y46" i="9"/>
  <c r="Y41" i="9"/>
  <c r="Y36" i="9"/>
  <c r="Y51" i="9"/>
  <c r="Y26" i="9"/>
  <c r="Y11" i="9"/>
  <c r="Y6" i="9"/>
  <c r="Y21" i="9"/>
  <c r="Y16" i="9"/>
  <c r="E25" i="13"/>
  <c r="D6" i="9"/>
  <c r="N6" i="9" s="1"/>
  <c r="N27" i="9"/>
  <c r="D27" i="9"/>
  <c r="L18" i="9"/>
  <c r="L26" i="9"/>
  <c r="O51" i="9"/>
  <c r="N51" i="9"/>
  <c r="C33" i="13"/>
  <c r="E33" i="13" s="1"/>
  <c r="C39" i="13"/>
  <c r="E39" i="13" s="1"/>
  <c r="C40" i="13"/>
  <c r="E40" i="13" s="1"/>
  <c r="AB13" i="9"/>
  <c r="F13" i="9"/>
  <c r="M19" i="9"/>
  <c r="E19" i="9" s="1"/>
  <c r="M32" i="9"/>
  <c r="N32" i="9" s="1"/>
  <c r="E49" i="9"/>
  <c r="O49" i="9" s="1"/>
  <c r="M57" i="9"/>
  <c r="O13" i="9"/>
  <c r="H4" i="3"/>
  <c r="F60" i="9"/>
  <c r="AB60" i="9"/>
  <c r="D58" i="13"/>
  <c r="E58" i="13" s="1"/>
  <c r="D18" i="13"/>
  <c r="E18" i="13" s="1"/>
  <c r="E65" i="13"/>
  <c r="D5" i="9"/>
  <c r="O5" i="9" s="1"/>
  <c r="O10" i="9"/>
  <c r="N10" i="9"/>
  <c r="D10" i="9"/>
  <c r="L19" i="9"/>
  <c r="L55" i="9"/>
  <c r="C41" i="13"/>
  <c r="E41" i="13" s="1"/>
  <c r="D56" i="9"/>
  <c r="O56" i="9" s="1"/>
  <c r="N56" i="9"/>
  <c r="C73" i="13"/>
  <c r="E73" i="13" s="1"/>
  <c r="E19" i="13"/>
  <c r="A11" i="9"/>
  <c r="E47" i="9"/>
  <c r="E44" i="9"/>
  <c r="N44" i="9" s="1"/>
  <c r="M58" i="9"/>
  <c r="O58" i="9" s="1"/>
  <c r="D24" i="9"/>
  <c r="O61" i="9"/>
  <c r="N61" i="9"/>
  <c r="N12" i="9"/>
  <c r="G5" i="6" s="1"/>
  <c r="D12" i="9"/>
  <c r="D59" i="9"/>
  <c r="E26" i="13"/>
  <c r="D4" i="9"/>
  <c r="O4" i="9" s="1"/>
  <c r="L15" i="9"/>
  <c r="O39" i="9"/>
  <c r="N39" i="9"/>
  <c r="D20" i="9"/>
  <c r="N20" i="9" s="1"/>
  <c r="E20" i="13"/>
  <c r="E27" i="13"/>
  <c r="B15" i="10"/>
  <c r="AB11" i="9"/>
  <c r="F11" i="9"/>
  <c r="L10" i="4"/>
  <c r="G34" i="3" s="1"/>
  <c r="H34" i="3" s="1"/>
  <c r="E48" i="9"/>
  <c r="O48" i="9" s="1"/>
  <c r="M59" i="9"/>
  <c r="O11" i="9"/>
  <c r="D16" i="9"/>
  <c r="N16" i="9" s="1"/>
  <c r="D57" i="9"/>
  <c r="N57" i="9" s="1"/>
  <c r="E45" i="9"/>
  <c r="Y54" i="9"/>
  <c r="Y44" i="9"/>
  <c r="Y59" i="9"/>
  <c r="Y49" i="9"/>
  <c r="Y39" i="9"/>
  <c r="Y29" i="9"/>
  <c r="Y34" i="9"/>
  <c r="Y24" i="9"/>
  <c r="Y14" i="9"/>
  <c r="Y9" i="9"/>
  <c r="Y4" i="9"/>
  <c r="Y19" i="9"/>
  <c r="L3" i="9"/>
  <c r="H7" i="6"/>
  <c r="N37" i="9"/>
  <c r="G6" i="6" s="1"/>
  <c r="O37" i="9"/>
  <c r="D31" i="9"/>
  <c r="N31" i="9" s="1"/>
  <c r="D21" i="9"/>
  <c r="O45" i="9"/>
  <c r="AC45" i="9" s="1"/>
  <c r="N45" i="9"/>
  <c r="E21" i="13"/>
  <c r="E35" i="13"/>
  <c r="E42" i="9"/>
  <c r="O16" i="9" l="1"/>
  <c r="N24" i="9"/>
  <c r="O31" i="9"/>
  <c r="O25" i="9"/>
  <c r="N23" i="9"/>
  <c r="O20" i="9"/>
  <c r="N4" i="9"/>
  <c r="O28" i="9"/>
  <c r="D28" i="9"/>
  <c r="O6" i="9"/>
  <c r="N9" i="9"/>
  <c r="D44" i="13"/>
  <c r="L29" i="9"/>
  <c r="M29" i="9"/>
  <c r="E29" i="9" s="1"/>
  <c r="C44" i="13"/>
  <c r="E44" i="13" s="1"/>
  <c r="O24" i="9"/>
  <c r="N13" i="9"/>
  <c r="AC48" i="9"/>
  <c r="AC41" i="9"/>
  <c r="H6" i="6"/>
  <c r="AC56" i="9"/>
  <c r="AD56" i="9" s="1"/>
  <c r="AC49" i="9"/>
  <c r="AC58" i="9"/>
  <c r="AC39" i="9"/>
  <c r="F47" i="9"/>
  <c r="AB47" i="9"/>
  <c r="N5" i="9"/>
  <c r="AC13" i="9"/>
  <c r="D18" i="9"/>
  <c r="N18" i="9" s="1"/>
  <c r="O18" i="9"/>
  <c r="AC34" i="9"/>
  <c r="G4" i="6"/>
  <c r="AB52" i="9"/>
  <c r="F52" i="9"/>
  <c r="D19" i="10"/>
  <c r="C4" i="12" s="1"/>
  <c r="D20" i="10"/>
  <c r="D4" i="12" s="1"/>
  <c r="E14" i="10"/>
  <c r="E13" i="10" s="1"/>
  <c r="AB21" i="9"/>
  <c r="F21" i="9"/>
  <c r="F42" i="9"/>
  <c r="AB42" i="9"/>
  <c r="AC37" i="9"/>
  <c r="F45" i="9"/>
  <c r="AB45" i="9"/>
  <c r="C18" i="10"/>
  <c r="B18" i="10"/>
  <c r="F18" i="10"/>
  <c r="B6" i="12" s="1"/>
  <c r="E18" i="10"/>
  <c r="D18" i="10"/>
  <c r="AC61" i="9"/>
  <c r="D55" i="9"/>
  <c r="O55" i="9" s="1"/>
  <c r="AC55" i="9" s="1"/>
  <c r="F27" i="9"/>
  <c r="AB27" i="9"/>
  <c r="AD41" i="9"/>
  <c r="F53" i="9"/>
  <c r="AB53" i="9"/>
  <c r="E37" i="13"/>
  <c r="N52" i="9"/>
  <c r="G9" i="6" s="1"/>
  <c r="AC33" i="9"/>
  <c r="AC38" i="9"/>
  <c r="E19" i="10"/>
  <c r="C5" i="12" s="1"/>
  <c r="E20" i="10"/>
  <c r="D5" i="12" s="1"/>
  <c r="F14" i="10"/>
  <c r="F13" i="10" s="1"/>
  <c r="F50" i="9"/>
  <c r="AB50" i="9"/>
  <c r="O50" i="9"/>
  <c r="N50" i="9"/>
  <c r="O52" i="9"/>
  <c r="F19" i="10"/>
  <c r="C6" i="12" s="1"/>
  <c r="F20" i="10"/>
  <c r="D6" i="12" s="1"/>
  <c r="AB58" i="9"/>
  <c r="F58" i="9"/>
  <c r="AB5" i="9"/>
  <c r="F5" i="9"/>
  <c r="N21" i="9"/>
  <c r="D3" i="9"/>
  <c r="N3" i="9" s="1"/>
  <c r="O3" i="9"/>
  <c r="O57" i="9"/>
  <c r="F59" i="9"/>
  <c r="AB59" i="9"/>
  <c r="H11" i="6"/>
  <c r="G3" i="6"/>
  <c r="F10" i="9"/>
  <c r="AB10" i="9"/>
  <c r="O27" i="9"/>
  <c r="AD45" i="9"/>
  <c r="AB7" i="9"/>
  <c r="F7" i="9"/>
  <c r="N17" i="9"/>
  <c r="G8" i="6" s="1"/>
  <c r="AC54" i="9"/>
  <c r="AD54" i="9" s="1"/>
  <c r="AB9" i="9"/>
  <c r="F9" i="9"/>
  <c r="AC40" i="9"/>
  <c r="AD40" i="9" s="1"/>
  <c r="O22" i="9"/>
  <c r="N2" i="9"/>
  <c r="G14" i="6" s="1"/>
  <c r="O32" i="9"/>
  <c r="N58" i="9"/>
  <c r="D19" i="9"/>
  <c r="N19" i="9" s="1"/>
  <c r="O19" i="9"/>
  <c r="O21" i="9"/>
  <c r="AD49" i="9"/>
  <c r="D15" i="9"/>
  <c r="O15" i="9" s="1"/>
  <c r="F12" i="9"/>
  <c r="AB12" i="9"/>
  <c r="AB24" i="9"/>
  <c r="F24" i="9"/>
  <c r="F49" i="9"/>
  <c r="AB49" i="9"/>
  <c r="O53" i="9"/>
  <c r="F46" i="9"/>
  <c r="AB46" i="9"/>
  <c r="H3" i="6"/>
  <c r="AB54" i="9"/>
  <c r="F54" i="9"/>
  <c r="O43" i="9"/>
  <c r="N43" i="9"/>
  <c r="N35" i="9"/>
  <c r="O35" i="9"/>
  <c r="N59" i="9"/>
  <c r="F30" i="9"/>
  <c r="AB30" i="9"/>
  <c r="O30" i="9"/>
  <c r="N47" i="9"/>
  <c r="G7" i="6" s="1"/>
  <c r="AB17" i="9"/>
  <c r="F17" i="9"/>
  <c r="F14" i="9"/>
  <c r="AB14" i="9"/>
  <c r="O59" i="9"/>
  <c r="AB22" i="9"/>
  <c r="F22" i="9"/>
  <c r="AB2" i="9"/>
  <c r="F2" i="9"/>
  <c r="F31" i="9"/>
  <c r="AB31" i="9"/>
  <c r="AB16" i="9"/>
  <c r="F16" i="9"/>
  <c r="AB20" i="9"/>
  <c r="F20" i="9"/>
  <c r="O12" i="9"/>
  <c r="N42" i="9"/>
  <c r="G10" i="6" s="1"/>
  <c r="AC51" i="9"/>
  <c r="AD51" i="9" s="1"/>
  <c r="AB6" i="9"/>
  <c r="F6" i="9"/>
  <c r="AB25" i="9"/>
  <c r="F25" i="9"/>
  <c r="O47" i="9"/>
  <c r="H4" i="6"/>
  <c r="N14" i="9"/>
  <c r="N46" i="9"/>
  <c r="B20" i="10"/>
  <c r="D2" i="12" s="1"/>
  <c r="C14" i="10"/>
  <c r="C13" i="10" s="1"/>
  <c r="B19" i="10"/>
  <c r="C2" i="12" s="1"/>
  <c r="N41" i="9"/>
  <c r="AB23" i="9"/>
  <c r="F23" i="9"/>
  <c r="N30" i="9"/>
  <c r="AB57" i="9"/>
  <c r="F57" i="9"/>
  <c r="AB48" i="9"/>
  <c r="F48" i="9"/>
  <c r="AC11" i="9"/>
  <c r="AB4" i="9"/>
  <c r="F4" i="9"/>
  <c r="AB44" i="9"/>
  <c r="F44" i="9"/>
  <c r="F56" i="9"/>
  <c r="AB56" i="9"/>
  <c r="O42" i="9"/>
  <c r="G12" i="6"/>
  <c r="D26" i="9"/>
  <c r="N26" i="9" s="1"/>
  <c r="AC36" i="9"/>
  <c r="N48" i="9"/>
  <c r="AB8" i="9"/>
  <c r="F8" i="9"/>
  <c r="AC60" i="9"/>
  <c r="O44" i="9"/>
  <c r="O14" i="9"/>
  <c r="N49" i="9"/>
  <c r="O46" i="9"/>
  <c r="C19" i="10"/>
  <c r="C3" i="12" s="1"/>
  <c r="C20" i="10"/>
  <c r="D3" i="12" s="1"/>
  <c r="D14" i="10"/>
  <c r="D13" i="10" s="1"/>
  <c r="F43" i="9"/>
  <c r="AB43" i="9"/>
  <c r="O26" i="9" l="1"/>
  <c r="D29" i="9"/>
  <c r="F28" i="9"/>
  <c r="AC28" i="9" s="1"/>
  <c r="N28" i="9"/>
  <c r="AB28" i="9"/>
  <c r="AD55" i="9"/>
  <c r="AC8" i="9"/>
  <c r="AC30" i="9"/>
  <c r="H73" i="13"/>
  <c r="H68" i="13"/>
  <c r="H63" i="13"/>
  <c r="H58" i="13"/>
  <c r="H53" i="13"/>
  <c r="H48" i="13"/>
  <c r="H43" i="13"/>
  <c r="H38" i="13"/>
  <c r="H33" i="13"/>
  <c r="H28" i="13"/>
  <c r="H23" i="13"/>
  <c r="H18" i="13"/>
  <c r="I58" i="9"/>
  <c r="S58" i="9" s="1"/>
  <c r="I43" i="9"/>
  <c r="S43" i="9" s="1"/>
  <c r="I38" i="9"/>
  <c r="S38" i="9" s="1"/>
  <c r="I28" i="9"/>
  <c r="S28" i="9" s="1"/>
  <c r="I53" i="9"/>
  <c r="S53" i="9" s="1"/>
  <c r="I33" i="9"/>
  <c r="S33" i="9" s="1"/>
  <c r="I48" i="9"/>
  <c r="S48" i="9" s="1"/>
  <c r="I13" i="9"/>
  <c r="S13" i="9" s="1"/>
  <c r="I8" i="9"/>
  <c r="S8" i="9" s="1"/>
  <c r="I3" i="9"/>
  <c r="S3" i="9" s="1"/>
  <c r="I23" i="9"/>
  <c r="S23" i="9" s="1"/>
  <c r="I18" i="9"/>
  <c r="S18" i="9" s="1"/>
  <c r="H9" i="6"/>
  <c r="H72" i="13"/>
  <c r="H67" i="13"/>
  <c r="H62" i="13"/>
  <c r="H57" i="13"/>
  <c r="H52" i="13"/>
  <c r="H47" i="13"/>
  <c r="H42" i="13"/>
  <c r="H37" i="13"/>
  <c r="H32" i="13"/>
  <c r="H27" i="13"/>
  <c r="H22" i="13"/>
  <c r="H17" i="13"/>
  <c r="I52" i="9"/>
  <c r="S52" i="9" s="1"/>
  <c r="I47" i="9"/>
  <c r="S47" i="9" s="1"/>
  <c r="I42" i="9"/>
  <c r="S42" i="9" s="1"/>
  <c r="I57" i="9"/>
  <c r="S57" i="9" s="1"/>
  <c r="I32" i="9"/>
  <c r="S32" i="9" s="1"/>
  <c r="I22" i="9"/>
  <c r="S22" i="9" s="1"/>
  <c r="I7" i="9"/>
  <c r="S7" i="9" s="1"/>
  <c r="I2" i="9"/>
  <c r="S2" i="9" s="1"/>
  <c r="I37" i="9"/>
  <c r="S37" i="9" s="1"/>
  <c r="I27" i="9"/>
  <c r="S27" i="9" s="1"/>
  <c r="I17" i="9"/>
  <c r="S17" i="9" s="1"/>
  <c r="I12" i="9"/>
  <c r="S12" i="9" s="1"/>
  <c r="AC31" i="9"/>
  <c r="AC17" i="9"/>
  <c r="AC24" i="9"/>
  <c r="C15" i="10"/>
  <c r="B2" i="12"/>
  <c r="AD28" i="9"/>
  <c r="AC22" i="9"/>
  <c r="AC12" i="9"/>
  <c r="H76" i="13"/>
  <c r="H71" i="13"/>
  <c r="H66" i="13"/>
  <c r="H61" i="13"/>
  <c r="H56" i="13"/>
  <c r="H51" i="13"/>
  <c r="H46" i="13"/>
  <c r="H41" i="13"/>
  <c r="H36" i="13"/>
  <c r="H31" i="13"/>
  <c r="H26" i="13"/>
  <c r="H21" i="13"/>
  <c r="I56" i="9"/>
  <c r="S56" i="9" s="1"/>
  <c r="I51" i="9"/>
  <c r="S51" i="9" s="1"/>
  <c r="I46" i="9"/>
  <c r="S46" i="9" s="1"/>
  <c r="I61" i="9"/>
  <c r="S61" i="9" s="1"/>
  <c r="I36" i="9"/>
  <c r="S36" i="9" s="1"/>
  <c r="I41" i="9"/>
  <c r="S41" i="9" s="1"/>
  <c r="I26" i="9"/>
  <c r="S26" i="9" s="1"/>
  <c r="I11" i="9"/>
  <c r="S11" i="9" s="1"/>
  <c r="I31" i="9"/>
  <c r="S31" i="9" s="1"/>
  <c r="I16" i="9"/>
  <c r="S16" i="9" s="1"/>
  <c r="I6" i="9"/>
  <c r="S6" i="9" s="1"/>
  <c r="I21" i="9"/>
  <c r="S21" i="9" s="1"/>
  <c r="AC27" i="9"/>
  <c r="AC21" i="9"/>
  <c r="H8" i="6"/>
  <c r="AD13" i="9"/>
  <c r="G73" i="13"/>
  <c r="G68" i="13"/>
  <c r="G63" i="13"/>
  <c r="G58" i="13"/>
  <c r="G53" i="13"/>
  <c r="G48" i="13"/>
  <c r="G43" i="13"/>
  <c r="G38" i="13"/>
  <c r="G33" i="13"/>
  <c r="G28" i="13"/>
  <c r="G23" i="13"/>
  <c r="G18" i="13"/>
  <c r="H58" i="9"/>
  <c r="R58" i="9" s="1"/>
  <c r="H33" i="9"/>
  <c r="R33" i="9" s="1"/>
  <c r="H28" i="9"/>
  <c r="R28" i="9" s="1"/>
  <c r="H43" i="9"/>
  <c r="R43" i="9" s="1"/>
  <c r="H48" i="9"/>
  <c r="R48" i="9" s="1"/>
  <c r="H53" i="9"/>
  <c r="R53" i="9" s="1"/>
  <c r="H23" i="9"/>
  <c r="R23" i="9" s="1"/>
  <c r="H18" i="9"/>
  <c r="R18" i="9" s="1"/>
  <c r="H13" i="9"/>
  <c r="R13" i="9" s="1"/>
  <c r="H38" i="9"/>
  <c r="R38" i="9" s="1"/>
  <c r="H8" i="9"/>
  <c r="R8" i="9" s="1"/>
  <c r="H3" i="9"/>
  <c r="R3" i="9" s="1"/>
  <c r="AC20" i="9"/>
  <c r="AC2" i="9"/>
  <c r="AC32" i="9"/>
  <c r="AC10" i="9"/>
  <c r="AC50" i="9"/>
  <c r="B3" i="12"/>
  <c r="D15" i="10"/>
  <c r="AC43" i="9"/>
  <c r="G76" i="13"/>
  <c r="G71" i="13"/>
  <c r="G66" i="13"/>
  <c r="G61" i="13"/>
  <c r="G56" i="13"/>
  <c r="G51" i="13"/>
  <c r="G46" i="13"/>
  <c r="G41" i="13"/>
  <c r="G36" i="13"/>
  <c r="G31" i="13"/>
  <c r="G26" i="13"/>
  <c r="G21" i="13"/>
  <c r="H61" i="9"/>
  <c r="R61" i="9" s="1"/>
  <c r="H36" i="9"/>
  <c r="R36" i="9" s="1"/>
  <c r="U36" i="9" s="1"/>
  <c r="H31" i="9"/>
  <c r="R31" i="9" s="1"/>
  <c r="H51" i="9"/>
  <c r="R51" i="9" s="1"/>
  <c r="H56" i="9"/>
  <c r="R56" i="9" s="1"/>
  <c r="H41" i="9"/>
  <c r="R41" i="9" s="1"/>
  <c r="H46" i="9"/>
  <c r="R46" i="9" s="1"/>
  <c r="H21" i="9"/>
  <c r="R21" i="9" s="1"/>
  <c r="H11" i="9"/>
  <c r="R11" i="9" s="1"/>
  <c r="H26" i="9"/>
  <c r="R26" i="9" s="1"/>
  <c r="H16" i="9"/>
  <c r="R16" i="9" s="1"/>
  <c r="H6" i="9"/>
  <c r="R6" i="9" s="1"/>
  <c r="AD34" i="9"/>
  <c r="V26" i="9"/>
  <c r="AC53" i="9"/>
  <c r="AC7" i="9"/>
  <c r="AB3" i="9"/>
  <c r="F3" i="9"/>
  <c r="AC4" i="9"/>
  <c r="AC47" i="9"/>
  <c r="AC59" i="9"/>
  <c r="AD61" i="9"/>
  <c r="AB15" i="9"/>
  <c r="F15" i="9"/>
  <c r="H75" i="13"/>
  <c r="H70" i="13"/>
  <c r="H65" i="13"/>
  <c r="H60" i="13"/>
  <c r="H55" i="13"/>
  <c r="H50" i="13"/>
  <c r="H45" i="13"/>
  <c r="H40" i="13"/>
  <c r="H35" i="13"/>
  <c r="H30" i="13"/>
  <c r="H25" i="13"/>
  <c r="H20" i="13"/>
  <c r="I40" i="9"/>
  <c r="S40" i="9" s="1"/>
  <c r="I50" i="9"/>
  <c r="S50" i="9" s="1"/>
  <c r="I55" i="9"/>
  <c r="S55" i="9" s="1"/>
  <c r="I35" i="9"/>
  <c r="S35" i="9" s="1"/>
  <c r="I60" i="9"/>
  <c r="S60" i="9" s="1"/>
  <c r="I30" i="9"/>
  <c r="S30" i="9" s="1"/>
  <c r="I20" i="9"/>
  <c r="S20" i="9" s="1"/>
  <c r="I5" i="9"/>
  <c r="S5" i="9" s="1"/>
  <c r="I15" i="9"/>
  <c r="S15" i="9" s="1"/>
  <c r="I10" i="9"/>
  <c r="S10" i="9" s="1"/>
  <c r="I45" i="9"/>
  <c r="S45" i="9" s="1"/>
  <c r="I25" i="9"/>
  <c r="S25" i="9" s="1"/>
  <c r="AB55" i="9"/>
  <c r="F55" i="9"/>
  <c r="B4" i="12"/>
  <c r="E15" i="10"/>
  <c r="AD58" i="9"/>
  <c r="AD48" i="9"/>
  <c r="AC35" i="9"/>
  <c r="H10" i="6"/>
  <c r="AD33" i="9"/>
  <c r="AB18" i="9"/>
  <c r="F18" i="9"/>
  <c r="AB26" i="9"/>
  <c r="F26" i="9"/>
  <c r="AC23" i="9"/>
  <c r="AC6" i="9"/>
  <c r="H14" i="6"/>
  <c r="AC16" i="9"/>
  <c r="H5" i="6"/>
  <c r="AC44" i="9"/>
  <c r="AC42" i="9"/>
  <c r="G72" i="13"/>
  <c r="G67" i="13"/>
  <c r="G62" i="13"/>
  <c r="G57" i="13"/>
  <c r="G52" i="13"/>
  <c r="G47" i="13"/>
  <c r="G42" i="13"/>
  <c r="G37" i="13"/>
  <c r="G32" i="13"/>
  <c r="G27" i="13"/>
  <c r="G22" i="13"/>
  <c r="G17" i="13"/>
  <c r="R57" i="9"/>
  <c r="H37" i="9"/>
  <c r="R37" i="9" s="1"/>
  <c r="H32" i="9"/>
  <c r="R32" i="9" s="1"/>
  <c r="H27" i="9"/>
  <c r="R27" i="9" s="1"/>
  <c r="H47" i="9"/>
  <c r="R47" i="9" s="1"/>
  <c r="H42" i="9"/>
  <c r="R42" i="9" s="1"/>
  <c r="H52" i="9"/>
  <c r="R52" i="9" s="1"/>
  <c r="H22" i="9"/>
  <c r="R22" i="9" s="1"/>
  <c r="H7" i="9"/>
  <c r="R7" i="9" s="1"/>
  <c r="H2" i="9"/>
  <c r="R2" i="9" s="1"/>
  <c r="H17" i="9"/>
  <c r="R17" i="9" s="1"/>
  <c r="H12" i="9"/>
  <c r="R12" i="9" s="1"/>
  <c r="AC25" i="9"/>
  <c r="AD11" i="9"/>
  <c r="N15" i="9"/>
  <c r="AB19" i="9"/>
  <c r="F19" i="9"/>
  <c r="AC9" i="9"/>
  <c r="AC57" i="9"/>
  <c r="AC52" i="9"/>
  <c r="G75" i="13"/>
  <c r="G70" i="13"/>
  <c r="G65" i="13"/>
  <c r="G60" i="13"/>
  <c r="G55" i="13"/>
  <c r="G50" i="13"/>
  <c r="G45" i="13"/>
  <c r="G40" i="13"/>
  <c r="G35" i="13"/>
  <c r="G30" i="13"/>
  <c r="G25" i="13"/>
  <c r="G20" i="13"/>
  <c r="H60" i="9"/>
  <c r="R60" i="9" s="1"/>
  <c r="H35" i="9"/>
  <c r="R35" i="9" s="1"/>
  <c r="H30" i="9"/>
  <c r="R30" i="9" s="1"/>
  <c r="H40" i="9"/>
  <c r="R40" i="9" s="1"/>
  <c r="H50" i="9"/>
  <c r="R50" i="9" s="1"/>
  <c r="H45" i="9"/>
  <c r="R45" i="9" s="1"/>
  <c r="H55" i="9"/>
  <c r="R55" i="9" s="1"/>
  <c r="H25" i="9"/>
  <c r="R25" i="9" s="1"/>
  <c r="H20" i="9"/>
  <c r="R20" i="9" s="1"/>
  <c r="H5" i="9"/>
  <c r="R5" i="9" s="1"/>
  <c r="H15" i="9"/>
  <c r="R15" i="9" s="1"/>
  <c r="H10" i="9"/>
  <c r="R10" i="9" s="1"/>
  <c r="N55" i="9"/>
  <c r="B5" i="12"/>
  <c r="F15" i="10"/>
  <c r="AD37" i="9"/>
  <c r="H74" i="13"/>
  <c r="H69" i="13"/>
  <c r="H64" i="13"/>
  <c r="H59" i="13"/>
  <c r="H54" i="13"/>
  <c r="H49" i="13"/>
  <c r="H44" i="13"/>
  <c r="H39" i="13"/>
  <c r="H34" i="13"/>
  <c r="H29" i="13"/>
  <c r="H24" i="13"/>
  <c r="H19" i="13"/>
  <c r="I54" i="9"/>
  <c r="S54" i="9" s="1"/>
  <c r="I59" i="9"/>
  <c r="S59" i="9" s="1"/>
  <c r="I49" i="9"/>
  <c r="S49" i="9" s="1"/>
  <c r="I34" i="9"/>
  <c r="S34" i="9" s="1"/>
  <c r="I44" i="9"/>
  <c r="S44" i="9" s="1"/>
  <c r="I29" i="9"/>
  <c r="S29" i="9" s="1"/>
  <c r="I19" i="9"/>
  <c r="S19" i="9" s="1"/>
  <c r="I39" i="9"/>
  <c r="S39" i="9" s="1"/>
  <c r="I24" i="9"/>
  <c r="S24" i="9" s="1"/>
  <c r="I9" i="9"/>
  <c r="S9" i="9" s="1"/>
  <c r="I4" i="9"/>
  <c r="S4" i="9" s="1"/>
  <c r="I14" i="9"/>
  <c r="S14" i="9" s="1"/>
  <c r="V46" i="9"/>
  <c r="AC46" i="9"/>
  <c r="AC14" i="9"/>
  <c r="AD39" i="9"/>
  <c r="AC5" i="9"/>
  <c r="AD38" i="9"/>
  <c r="AD60" i="9"/>
  <c r="G61" i="9"/>
  <c r="V61" i="9" s="1"/>
  <c r="F76" i="13"/>
  <c r="F71" i="13"/>
  <c r="F66" i="13"/>
  <c r="F61" i="13"/>
  <c r="F56" i="13"/>
  <c r="F51" i="13"/>
  <c r="F46" i="13"/>
  <c r="F41" i="13"/>
  <c r="F36" i="13"/>
  <c r="F31" i="13"/>
  <c r="F26" i="13"/>
  <c r="F21" i="13"/>
  <c r="G51" i="9"/>
  <c r="V51" i="9" s="1"/>
  <c r="G46" i="9"/>
  <c r="G41" i="9"/>
  <c r="V41" i="9" s="1"/>
  <c r="G36" i="9"/>
  <c r="V36" i="9" s="1"/>
  <c r="G56" i="9"/>
  <c r="V56" i="9" s="1"/>
  <c r="G21" i="9"/>
  <c r="V21" i="9" s="1"/>
  <c r="G11" i="9"/>
  <c r="V11" i="9" s="1"/>
  <c r="G31" i="9"/>
  <c r="V31" i="9" s="1"/>
  <c r="G26" i="9"/>
  <c r="G16" i="9"/>
  <c r="V16" i="9" s="1"/>
  <c r="G6" i="9"/>
  <c r="V6" i="9" s="1"/>
  <c r="G74" i="13"/>
  <c r="G69" i="13"/>
  <c r="G64" i="13"/>
  <c r="G59" i="13"/>
  <c r="G54" i="13"/>
  <c r="G49" i="13"/>
  <c r="G44" i="13"/>
  <c r="G39" i="13"/>
  <c r="G34" i="13"/>
  <c r="G29" i="13"/>
  <c r="G24" i="13"/>
  <c r="G19" i="13"/>
  <c r="H59" i="9"/>
  <c r="R59" i="9" s="1"/>
  <c r="H34" i="9"/>
  <c r="R34" i="9" s="1"/>
  <c r="H29" i="9"/>
  <c r="R29" i="9" s="1"/>
  <c r="H54" i="9"/>
  <c r="R54" i="9" s="1"/>
  <c r="H49" i="9"/>
  <c r="R49" i="9" s="1"/>
  <c r="H44" i="9"/>
  <c r="R44" i="9" s="1"/>
  <c r="H19" i="9"/>
  <c r="R19" i="9" s="1"/>
  <c r="H39" i="9"/>
  <c r="R39" i="9" s="1"/>
  <c r="H24" i="9"/>
  <c r="R24" i="9" s="1"/>
  <c r="H9" i="9"/>
  <c r="R9" i="9" s="1"/>
  <c r="H4" i="9"/>
  <c r="R4" i="9" s="1"/>
  <c r="H14" i="9"/>
  <c r="R14" i="9" s="1"/>
  <c r="AD36" i="9"/>
  <c r="U26" i="9" l="1"/>
  <c r="W26" i="9" s="1"/>
  <c r="W36" i="9"/>
  <c r="AB29" i="9"/>
  <c r="F29" i="9"/>
  <c r="AC29" i="9" s="1"/>
  <c r="N29" i="9"/>
  <c r="O29" i="9"/>
  <c r="AD57" i="9"/>
  <c r="AD25" i="9"/>
  <c r="AC3" i="9"/>
  <c r="U11" i="9"/>
  <c r="W11" i="9" s="1"/>
  <c r="U61" i="9"/>
  <c r="W61" i="9" s="1"/>
  <c r="AD50" i="9"/>
  <c r="U18" i="9"/>
  <c r="AD12" i="9"/>
  <c r="F72" i="13"/>
  <c r="F67" i="13"/>
  <c r="F62" i="13"/>
  <c r="F57" i="13"/>
  <c r="F52" i="13"/>
  <c r="F47" i="13"/>
  <c r="F42" i="13"/>
  <c r="F37" i="13"/>
  <c r="F32" i="13"/>
  <c r="F27" i="13"/>
  <c r="F22" i="13"/>
  <c r="F17" i="13"/>
  <c r="G57" i="9"/>
  <c r="V57" i="9" s="1"/>
  <c r="G47" i="9"/>
  <c r="V47" i="9" s="1"/>
  <c r="G42" i="9"/>
  <c r="V42" i="9" s="1"/>
  <c r="G52" i="9"/>
  <c r="V52" i="9" s="1"/>
  <c r="G37" i="9"/>
  <c r="V37" i="9" s="1"/>
  <c r="G32" i="9"/>
  <c r="V32" i="9" s="1"/>
  <c r="G27" i="9"/>
  <c r="V27" i="9" s="1"/>
  <c r="G22" i="9"/>
  <c r="V22" i="9" s="1"/>
  <c r="G7" i="9"/>
  <c r="V7" i="9" s="1"/>
  <c r="G2" i="9"/>
  <c r="V2" i="9" s="1"/>
  <c r="G17" i="9"/>
  <c r="V17" i="9" s="1"/>
  <c r="G12" i="9"/>
  <c r="V12" i="9" s="1"/>
  <c r="AD31" i="9"/>
  <c r="AD5" i="9"/>
  <c r="U52" i="9"/>
  <c r="Z36" i="9"/>
  <c r="AA36" i="9" s="1"/>
  <c r="AE36" i="9"/>
  <c r="AF36" i="9" s="1"/>
  <c r="L3" i="6" s="1"/>
  <c r="X36" i="9"/>
  <c r="D3" i="6" s="1"/>
  <c r="AD30" i="9"/>
  <c r="U44" i="9"/>
  <c r="AC15" i="9"/>
  <c r="AD47" i="9"/>
  <c r="U21" i="9"/>
  <c r="W21" i="9" s="1"/>
  <c r="AD20" i="9"/>
  <c r="AD21" i="9"/>
  <c r="AD8" i="9"/>
  <c r="U30" i="9"/>
  <c r="AD2" i="9"/>
  <c r="U49" i="9"/>
  <c r="U12" i="9"/>
  <c r="W12" i="9" s="1"/>
  <c r="AD16" i="9"/>
  <c r="AD7" i="9"/>
  <c r="U46" i="9"/>
  <c r="W46" i="9" s="1"/>
  <c r="AD10" i="9"/>
  <c r="U53" i="9"/>
  <c r="AD22" i="9"/>
  <c r="AD23" i="9"/>
  <c r="U13" i="9"/>
  <c r="AD9" i="9"/>
  <c r="AD42" i="9"/>
  <c r="X26" i="9"/>
  <c r="D13" i="6" s="1"/>
  <c r="AC26" i="9"/>
  <c r="Z26" i="9" s="1"/>
  <c r="H13" i="6"/>
  <c r="G60" i="9"/>
  <c r="V60" i="9" s="1"/>
  <c r="F75" i="13"/>
  <c r="F70" i="13"/>
  <c r="F65" i="13"/>
  <c r="F60" i="13"/>
  <c r="F55" i="13"/>
  <c r="F50" i="13"/>
  <c r="F45" i="13"/>
  <c r="F40" i="13"/>
  <c r="F35" i="13"/>
  <c r="F30" i="13"/>
  <c r="F25" i="13"/>
  <c r="F20" i="13"/>
  <c r="G55" i="9"/>
  <c r="V55" i="9" s="1"/>
  <c r="G50" i="9"/>
  <c r="V50" i="9" s="1"/>
  <c r="G45" i="9"/>
  <c r="V45" i="9" s="1"/>
  <c r="G40" i="9"/>
  <c r="V40" i="9" s="1"/>
  <c r="G35" i="9"/>
  <c r="V35" i="9" s="1"/>
  <c r="G25" i="9"/>
  <c r="V25" i="9" s="1"/>
  <c r="G30" i="9"/>
  <c r="V30" i="9" s="1"/>
  <c r="G20" i="9"/>
  <c r="V20" i="9" s="1"/>
  <c r="G5" i="9"/>
  <c r="V5" i="9" s="1"/>
  <c r="G15" i="9"/>
  <c r="V15" i="9" s="1"/>
  <c r="G10" i="9"/>
  <c r="V10" i="9" s="1"/>
  <c r="U17" i="9"/>
  <c r="W17" i="9" s="1"/>
  <c r="U32" i="9"/>
  <c r="W32" i="9" s="1"/>
  <c r="AD29" i="9"/>
  <c r="U41" i="9"/>
  <c r="W41" i="9" s="1"/>
  <c r="U15" i="9"/>
  <c r="AD43" i="9"/>
  <c r="U3" i="9"/>
  <c r="W3" i="9" s="1"/>
  <c r="AD27" i="9"/>
  <c r="AD24" i="9"/>
  <c r="AD44" i="9"/>
  <c r="U58" i="9"/>
  <c r="U45" i="9"/>
  <c r="AC18" i="9"/>
  <c r="AD35" i="9"/>
  <c r="U56" i="9"/>
  <c r="W56" i="9" s="1"/>
  <c r="U34" i="9"/>
  <c r="U50" i="9"/>
  <c r="U7" i="9"/>
  <c r="W7" i="9" s="1"/>
  <c r="U57" i="9"/>
  <c r="W57" i="9" s="1"/>
  <c r="AD6" i="9"/>
  <c r="AD4" i="9"/>
  <c r="AD53" i="9"/>
  <c r="U6" i="9"/>
  <c r="W6" i="9" s="1"/>
  <c r="U51" i="9"/>
  <c r="W51" i="9" s="1"/>
  <c r="AD32" i="9"/>
  <c r="AE26" i="9"/>
  <c r="AD14" i="9"/>
  <c r="AC19" i="9"/>
  <c r="U37" i="9"/>
  <c r="G59" i="9"/>
  <c r="V59" i="9" s="1"/>
  <c r="F74" i="13"/>
  <c r="F69" i="13"/>
  <c r="F64" i="13"/>
  <c r="F59" i="13"/>
  <c r="F54" i="13"/>
  <c r="F49" i="13"/>
  <c r="F44" i="13"/>
  <c r="F39" i="13"/>
  <c r="F34" i="13"/>
  <c r="F29" i="13"/>
  <c r="F24" i="13"/>
  <c r="F19" i="13"/>
  <c r="G49" i="9"/>
  <c r="V49" i="9" s="1"/>
  <c r="G44" i="9"/>
  <c r="V44" i="9" s="1"/>
  <c r="G39" i="9"/>
  <c r="V39" i="9" s="1"/>
  <c r="G54" i="9"/>
  <c r="V54" i="9" s="1"/>
  <c r="G29" i="9"/>
  <c r="V29" i="9" s="1"/>
  <c r="G34" i="9"/>
  <c r="V34" i="9" s="1"/>
  <c r="G19" i="9"/>
  <c r="V19" i="9" s="1"/>
  <c r="G24" i="9"/>
  <c r="V24" i="9" s="1"/>
  <c r="G9" i="9"/>
  <c r="V9" i="9" s="1"/>
  <c r="G4" i="9"/>
  <c r="V4" i="9" s="1"/>
  <c r="G14" i="9"/>
  <c r="V14" i="9" s="1"/>
  <c r="U24" i="9"/>
  <c r="AD46" i="9"/>
  <c r="U40" i="9"/>
  <c r="W40" i="9" s="1"/>
  <c r="AD52" i="9"/>
  <c r="U22" i="9"/>
  <c r="W22" i="9" s="1"/>
  <c r="AD59" i="9"/>
  <c r="U16" i="9"/>
  <c r="W16" i="9" s="1"/>
  <c r="U31" i="9"/>
  <c r="W31" i="9" s="1"/>
  <c r="F73" i="13"/>
  <c r="F68" i="13"/>
  <c r="F63" i="13"/>
  <c r="F58" i="13"/>
  <c r="F53" i="13"/>
  <c r="F48" i="13"/>
  <c r="F43" i="13"/>
  <c r="F38" i="13"/>
  <c r="F33" i="13"/>
  <c r="F28" i="13"/>
  <c r="F23" i="13"/>
  <c r="F18" i="13"/>
  <c r="G58" i="9"/>
  <c r="V58" i="9" s="1"/>
  <c r="G53" i="9"/>
  <c r="V53" i="9" s="1"/>
  <c r="G48" i="9"/>
  <c r="V48" i="9" s="1"/>
  <c r="G43" i="9"/>
  <c r="V43" i="9" s="1"/>
  <c r="G38" i="9"/>
  <c r="V38" i="9" s="1"/>
  <c r="G28" i="9"/>
  <c r="V28" i="9" s="1"/>
  <c r="G33" i="9"/>
  <c r="V33" i="9" s="1"/>
  <c r="G23" i="9"/>
  <c r="V23" i="9" s="1"/>
  <c r="G18" i="9"/>
  <c r="V18" i="9" s="1"/>
  <c r="G13" i="9"/>
  <c r="V13" i="9" s="1"/>
  <c r="G8" i="9"/>
  <c r="V8" i="9" s="1"/>
  <c r="G3" i="9"/>
  <c r="V3" i="9" s="1"/>
  <c r="U38" i="9"/>
  <c r="W38" i="9" s="1"/>
  <c r="AD17" i="9"/>
  <c r="W58" i="9" l="1"/>
  <c r="W13" i="9"/>
  <c r="W49" i="9"/>
  <c r="W50" i="9"/>
  <c r="W44" i="9"/>
  <c r="W34" i="9"/>
  <c r="X34" i="9" s="1"/>
  <c r="C3" i="6" s="1"/>
  <c r="W53" i="9"/>
  <c r="W30" i="9"/>
  <c r="AE30" i="9" s="1"/>
  <c r="AF30" i="9" s="1"/>
  <c r="W18" i="9"/>
  <c r="W24" i="9"/>
  <c r="W37" i="9"/>
  <c r="W15" i="9"/>
  <c r="Z15" i="9" s="1"/>
  <c r="AA15" i="9" s="1"/>
  <c r="W45" i="9"/>
  <c r="W52" i="9"/>
  <c r="Z34" i="9"/>
  <c r="AA34" i="9" s="1"/>
  <c r="U9" i="9"/>
  <c r="W9" i="9" s="1"/>
  <c r="U48" i="9"/>
  <c r="W48" i="9" s="1"/>
  <c r="U14" i="9"/>
  <c r="W14" i="9" s="1"/>
  <c r="AE12" i="9"/>
  <c r="AF12" i="9" s="1"/>
  <c r="Z12" i="9"/>
  <c r="AA12" i="9" s="1"/>
  <c r="X12" i="9"/>
  <c r="U47" i="9"/>
  <c r="W47" i="9" s="1"/>
  <c r="AE52" i="9"/>
  <c r="Z52" i="9"/>
  <c r="AA52" i="9" s="1"/>
  <c r="X52" i="9"/>
  <c r="Z16" i="9"/>
  <c r="AA16" i="9" s="1"/>
  <c r="AE16" i="9"/>
  <c r="AF16" i="9" s="1"/>
  <c r="L5" i="6" s="1"/>
  <c r="X16" i="9"/>
  <c r="D5" i="6" s="1"/>
  <c r="AE45" i="9"/>
  <c r="AF45" i="9" s="1"/>
  <c r="Z45" i="9"/>
  <c r="AA45" i="9" s="1"/>
  <c r="X45" i="9"/>
  <c r="U54" i="9"/>
  <c r="W54" i="9" s="1"/>
  <c r="Z53" i="9"/>
  <c r="AA53" i="9" s="1"/>
  <c r="AE53" i="9"/>
  <c r="X53" i="9"/>
  <c r="U23" i="9"/>
  <c r="W23" i="9" s="1"/>
  <c r="Z18" i="9"/>
  <c r="AE18" i="9"/>
  <c r="U59" i="9"/>
  <c r="W59" i="9" s="1"/>
  <c r="Z51" i="9"/>
  <c r="AA51" i="9" s="1"/>
  <c r="AE51" i="9"/>
  <c r="AF51" i="9" s="1"/>
  <c r="L7" i="6" s="1"/>
  <c r="X51" i="9"/>
  <c r="D7" i="6" s="1"/>
  <c r="AE56" i="9"/>
  <c r="AF56" i="9" s="1"/>
  <c r="L9" i="6" s="1"/>
  <c r="Z56" i="9"/>
  <c r="AA56" i="9" s="1"/>
  <c r="X56" i="9"/>
  <c r="D9" i="6" s="1"/>
  <c r="U29" i="9"/>
  <c r="W29" i="9" s="1"/>
  <c r="U43" i="9"/>
  <c r="W43" i="9" s="1"/>
  <c r="AE41" i="9"/>
  <c r="AF41" i="9" s="1"/>
  <c r="L6" i="6" s="1"/>
  <c r="O6" i="6" s="1"/>
  <c r="Z41" i="9"/>
  <c r="AA41" i="9" s="1"/>
  <c r="X41" i="9"/>
  <c r="D6" i="6" s="1"/>
  <c r="U25" i="9"/>
  <c r="W25" i="9" s="1"/>
  <c r="U60" i="9"/>
  <c r="W60" i="9" s="1"/>
  <c r="Z6" i="9"/>
  <c r="AA6" i="9" s="1"/>
  <c r="AE6" i="9"/>
  <c r="AF6" i="9" s="1"/>
  <c r="L14" i="6" s="1"/>
  <c r="O14" i="6" s="1"/>
  <c r="X6" i="9"/>
  <c r="D14" i="6" s="1"/>
  <c r="Z37" i="9"/>
  <c r="AA37" i="9" s="1"/>
  <c r="AE37" i="9"/>
  <c r="AF37" i="9" s="1"/>
  <c r="X37" i="9"/>
  <c r="AF53" i="9"/>
  <c r="AE57" i="9"/>
  <c r="AF57" i="9" s="1"/>
  <c r="Z57" i="9"/>
  <c r="AA57" i="9" s="1"/>
  <c r="X57" i="9"/>
  <c r="U4" i="9"/>
  <c r="W4" i="9" s="1"/>
  <c r="U20" i="9"/>
  <c r="W20" i="9" s="1"/>
  <c r="Z11" i="9"/>
  <c r="AA11" i="9" s="1"/>
  <c r="AE11" i="9"/>
  <c r="AF11" i="9" s="1"/>
  <c r="L11" i="6" s="1"/>
  <c r="X11" i="9"/>
  <c r="D11" i="6" s="1"/>
  <c r="U35" i="9"/>
  <c r="W35" i="9" s="1"/>
  <c r="Z24" i="9"/>
  <c r="AA24" i="9" s="1"/>
  <c r="AE24" i="9"/>
  <c r="X24" i="9"/>
  <c r="C13" i="6" s="1"/>
  <c r="Z3" i="9"/>
  <c r="AA3" i="9" s="1"/>
  <c r="AE3" i="9"/>
  <c r="AE46" i="9"/>
  <c r="AF46" i="9" s="1"/>
  <c r="L10" i="6" s="1"/>
  <c r="O10" i="6" s="1"/>
  <c r="Z46" i="9"/>
  <c r="AA46" i="9" s="1"/>
  <c r="X46" i="9"/>
  <c r="D10" i="6" s="1"/>
  <c r="Z21" i="9"/>
  <c r="AA21" i="9" s="1"/>
  <c r="AE21" i="9"/>
  <c r="AF21" i="9" s="1"/>
  <c r="L8" i="6" s="1"/>
  <c r="X21" i="9"/>
  <c r="D8" i="6" s="1"/>
  <c r="AF52" i="9"/>
  <c r="U33" i="9"/>
  <c r="W33" i="9" s="1"/>
  <c r="AD19" i="9"/>
  <c r="Z7" i="9"/>
  <c r="AA7" i="9" s="1"/>
  <c r="AE7" i="9"/>
  <c r="AF7" i="9" s="1"/>
  <c r="X7" i="9"/>
  <c r="AA18" i="9"/>
  <c r="AD18" i="9"/>
  <c r="AF18" i="9" s="1"/>
  <c r="AE32" i="9"/>
  <c r="AF32" i="9" s="1"/>
  <c r="Z32" i="9"/>
  <c r="AA32" i="9" s="1"/>
  <c r="X32" i="9"/>
  <c r="AD3" i="9"/>
  <c r="AA26" i="9"/>
  <c r="AD26" i="9"/>
  <c r="AF26" i="9" s="1"/>
  <c r="L13" i="6" s="1"/>
  <c r="AE49" i="9"/>
  <c r="AF49" i="9" s="1"/>
  <c r="K7" i="6" s="1"/>
  <c r="Z49" i="9"/>
  <c r="AA49" i="9" s="1"/>
  <c r="X49" i="9"/>
  <c r="C7" i="6" s="1"/>
  <c r="AE44" i="9"/>
  <c r="AF44" i="9" s="1"/>
  <c r="K10" i="6" s="1"/>
  <c r="Z44" i="9"/>
  <c r="AA44" i="9" s="1"/>
  <c r="X44" i="9"/>
  <c r="C10" i="6" s="1"/>
  <c r="AE38" i="9"/>
  <c r="AF38" i="9" s="1"/>
  <c r="Z38" i="9"/>
  <c r="AA38" i="9" s="1"/>
  <c r="X38" i="9"/>
  <c r="AE40" i="9"/>
  <c r="AF40" i="9" s="1"/>
  <c r="Z40" i="9"/>
  <c r="AA40" i="9" s="1"/>
  <c r="X40" i="9"/>
  <c r="U28" i="9"/>
  <c r="W28" i="9" s="1"/>
  <c r="AE50" i="9"/>
  <c r="AF50" i="9" s="1"/>
  <c r="Z50" i="9"/>
  <c r="AA50" i="9" s="1"/>
  <c r="X50" i="9"/>
  <c r="X18" i="9"/>
  <c r="AF24" i="9"/>
  <c r="K13" i="6" s="1"/>
  <c r="Z17" i="9"/>
  <c r="AA17" i="9" s="1"/>
  <c r="AE17" i="9"/>
  <c r="AF17" i="9" s="1"/>
  <c r="X17" i="9"/>
  <c r="U5" i="9"/>
  <c r="W5" i="9" s="1"/>
  <c r="AD15" i="9"/>
  <c r="X3" i="9"/>
  <c r="Z22" i="9"/>
  <c r="AA22" i="9" s="1"/>
  <c r="AE22" i="9"/>
  <c r="AF22" i="9" s="1"/>
  <c r="X22" i="9"/>
  <c r="AE58" i="9"/>
  <c r="AF58" i="9" s="1"/>
  <c r="Z58" i="9"/>
  <c r="AA58" i="9" s="1"/>
  <c r="X58" i="9"/>
  <c r="Z13" i="9"/>
  <c r="AA13" i="9" s="1"/>
  <c r="AE13" i="9"/>
  <c r="AF13" i="9" s="1"/>
  <c r="X13" i="9"/>
  <c r="Z30" i="9"/>
  <c r="AA30" i="9" s="1"/>
  <c r="AE61" i="9"/>
  <c r="AF61" i="9" s="1"/>
  <c r="Z61" i="9"/>
  <c r="AA61" i="9" s="1"/>
  <c r="X61" i="9"/>
  <c r="D4" i="6" s="1"/>
  <c r="AE31" i="9"/>
  <c r="AF31" i="9" s="1"/>
  <c r="L12" i="6" s="1"/>
  <c r="Z31" i="9"/>
  <c r="AA31" i="9" s="1"/>
  <c r="X31" i="9"/>
  <c r="D12" i="6" s="1"/>
  <c r="U10" i="9"/>
  <c r="W10" i="9" s="1"/>
  <c r="U8" i="9"/>
  <c r="W8" i="9" s="1"/>
  <c r="U2" i="9"/>
  <c r="W2" i="9" s="1"/>
  <c r="U55" i="9"/>
  <c r="W55" i="9" s="1"/>
  <c r="U27" i="9"/>
  <c r="W27" i="9" s="1"/>
  <c r="U19" i="9"/>
  <c r="W19" i="9" s="1"/>
  <c r="X15" i="9"/>
  <c r="U42" i="9"/>
  <c r="W42" i="9" s="1"/>
  <c r="U39" i="9"/>
  <c r="W39" i="9" s="1"/>
  <c r="O8" i="6" l="1"/>
  <c r="O13" i="6"/>
  <c r="O5" i="6"/>
  <c r="O12" i="6"/>
  <c r="O11" i="6"/>
  <c r="AE34" i="9"/>
  <c r="AF34" i="9" s="1"/>
  <c r="K3" i="6" s="1"/>
  <c r="AF3" i="9"/>
  <c r="AE15" i="9"/>
  <c r="AF15" i="9" s="1"/>
  <c r="X30" i="9"/>
  <c r="AE10" i="9"/>
  <c r="AF10" i="9" s="1"/>
  <c r="Z10" i="9"/>
  <c r="AA10" i="9" s="1"/>
  <c r="X10" i="9"/>
  <c r="Z35" i="9"/>
  <c r="AA35" i="9" s="1"/>
  <c r="AE35" i="9"/>
  <c r="AF35" i="9" s="1"/>
  <c r="X35" i="9"/>
  <c r="Z20" i="9"/>
  <c r="AA20" i="9" s="1"/>
  <c r="AE20" i="9"/>
  <c r="AF20" i="9" s="1"/>
  <c r="X20" i="9"/>
  <c r="E6" i="6"/>
  <c r="AE60" i="9"/>
  <c r="AF60" i="9" s="1"/>
  <c r="Z60" i="9"/>
  <c r="AA60" i="9" s="1"/>
  <c r="X60" i="9"/>
  <c r="Z14" i="9"/>
  <c r="AA14" i="9" s="1"/>
  <c r="AE14" i="9"/>
  <c r="AF14" i="9" s="1"/>
  <c r="K5" i="6" s="1"/>
  <c r="X14" i="9"/>
  <c r="C5" i="6" s="1"/>
  <c r="Z29" i="9"/>
  <c r="AA29" i="9" s="1"/>
  <c r="AE29" i="9"/>
  <c r="AF29" i="9" s="1"/>
  <c r="K12" i="6" s="1"/>
  <c r="X29" i="9"/>
  <c r="C12" i="6" s="1"/>
  <c r="Z19" i="9"/>
  <c r="AA19" i="9" s="1"/>
  <c r="AE19" i="9"/>
  <c r="X19" i="9"/>
  <c r="C8" i="6" s="1"/>
  <c r="AF19" i="9"/>
  <c r="K8" i="6" s="1"/>
  <c r="Z4" i="9"/>
  <c r="AA4" i="9" s="1"/>
  <c r="AE4" i="9"/>
  <c r="AF4" i="9" s="1"/>
  <c r="K14" i="6" s="1"/>
  <c r="X4" i="9"/>
  <c r="C14" i="6" s="1"/>
  <c r="Z25" i="9"/>
  <c r="AA25" i="9" s="1"/>
  <c r="AE25" i="9"/>
  <c r="AF25" i="9" s="1"/>
  <c r="X25" i="9"/>
  <c r="O9" i="6"/>
  <c r="Z23" i="9"/>
  <c r="AA23" i="9" s="1"/>
  <c r="AE23" i="9"/>
  <c r="AF23" i="9" s="1"/>
  <c r="M13" i="6" s="1"/>
  <c r="X23" i="9"/>
  <c r="F13" i="6" s="1"/>
  <c r="AE48" i="9"/>
  <c r="AF48" i="9" s="1"/>
  <c r="Z48" i="9"/>
  <c r="AA48" i="9" s="1"/>
  <c r="X48" i="9"/>
  <c r="Z5" i="9"/>
  <c r="AA5" i="9" s="1"/>
  <c r="AE5" i="9"/>
  <c r="AF5" i="9" s="1"/>
  <c r="X5" i="9"/>
  <c r="AE27" i="9"/>
  <c r="AF27" i="9" s="1"/>
  <c r="Z27" i="9"/>
  <c r="AA27" i="9" s="1"/>
  <c r="X27" i="9"/>
  <c r="F8" i="6"/>
  <c r="E8" i="6"/>
  <c r="AE33" i="9"/>
  <c r="AF33" i="9" s="1"/>
  <c r="M3" i="6" s="1"/>
  <c r="Z33" i="9"/>
  <c r="AA33" i="9" s="1"/>
  <c r="X33" i="9"/>
  <c r="E3" i="6" s="1"/>
  <c r="AE47" i="9"/>
  <c r="AF47" i="9" s="1"/>
  <c r="Z47" i="9"/>
  <c r="AA47" i="9" s="1"/>
  <c r="X47" i="9"/>
  <c r="Z9" i="9"/>
  <c r="AA9" i="9" s="1"/>
  <c r="AE9" i="9"/>
  <c r="AF9" i="9" s="1"/>
  <c r="K11" i="6" s="1"/>
  <c r="X9" i="9"/>
  <c r="C11" i="6" s="1"/>
  <c r="Z28" i="9"/>
  <c r="AA28" i="9" s="1"/>
  <c r="AE28" i="9"/>
  <c r="AF28" i="9" s="1"/>
  <c r="X28" i="9"/>
  <c r="F4" i="6"/>
  <c r="AE42" i="9"/>
  <c r="AF42" i="9" s="1"/>
  <c r="M10" i="6" s="1"/>
  <c r="Z42" i="9"/>
  <c r="AA42" i="9" s="1"/>
  <c r="X42" i="9"/>
  <c r="AE59" i="9"/>
  <c r="AF59" i="9" s="1"/>
  <c r="K4" i="6" s="1"/>
  <c r="Z59" i="9"/>
  <c r="AA59" i="9" s="1"/>
  <c r="X59" i="9"/>
  <c r="C4" i="6" s="1"/>
  <c r="Z55" i="9"/>
  <c r="AA55" i="9" s="1"/>
  <c r="AE55" i="9"/>
  <c r="AF55" i="9" s="1"/>
  <c r="X55" i="9"/>
  <c r="F9" i="6" s="1"/>
  <c r="Z2" i="9"/>
  <c r="AA2" i="9" s="1"/>
  <c r="AE2" i="9"/>
  <c r="AF2" i="9" s="1"/>
  <c r="X2" i="9"/>
  <c r="O7" i="6"/>
  <c r="F5" i="6"/>
  <c r="E5" i="6"/>
  <c r="AE39" i="9"/>
  <c r="AF39" i="9" s="1"/>
  <c r="K6" i="6" s="1"/>
  <c r="Z39" i="9"/>
  <c r="AA39" i="9" s="1"/>
  <c r="X39" i="9"/>
  <c r="C6" i="6" s="1"/>
  <c r="Z8" i="9"/>
  <c r="AA8" i="9" s="1"/>
  <c r="AE8" i="9"/>
  <c r="AF8" i="9" s="1"/>
  <c r="M11" i="6" s="1"/>
  <c r="X8" i="9"/>
  <c r="L4" i="6"/>
  <c r="O4" i="6" s="1"/>
  <c r="H12" i="6"/>
  <c r="E11" i="6"/>
  <c r="F11" i="6"/>
  <c r="AE43" i="9"/>
  <c r="AF43" i="9" s="1"/>
  <c r="Z43" i="9"/>
  <c r="AA43" i="9" s="1"/>
  <c r="X43" i="9"/>
  <c r="Z54" i="9"/>
  <c r="AA54" i="9" s="1"/>
  <c r="AE54" i="9"/>
  <c r="AF54" i="9" s="1"/>
  <c r="K9" i="6" s="1"/>
  <c r="X54" i="9"/>
  <c r="C9" i="6" s="1"/>
  <c r="O3" i="6"/>
  <c r="F6" i="6" l="1"/>
  <c r="M7" i="6"/>
  <c r="E4" i="6"/>
  <c r="F7" i="6"/>
  <c r="E7" i="6"/>
  <c r="F12" i="6"/>
  <c r="E12" i="6"/>
  <c r="M6" i="6"/>
  <c r="P6" i="6" s="1"/>
  <c r="M12" i="6"/>
  <c r="E9" i="6"/>
  <c r="M4" i="6"/>
  <c r="M9" i="6"/>
  <c r="F3" i="6"/>
  <c r="M5" i="6"/>
  <c r="M8" i="6"/>
  <c r="F14" i="6"/>
  <c r="E14" i="6"/>
  <c r="M14" i="6"/>
  <c r="P14" i="6" s="1"/>
  <c r="E10" i="6"/>
  <c r="F10" i="6"/>
  <c r="E13" i="6"/>
  <c r="P9" i="6" l="1"/>
  <c r="P8" i="6"/>
  <c r="P10" i="6"/>
  <c r="P5" i="6"/>
  <c r="P4" i="6"/>
  <c r="P12" i="6"/>
  <c r="P11" i="6"/>
  <c r="P7" i="6"/>
  <c r="P13" i="6"/>
  <c r="P3" i="6"/>
</calcChain>
</file>

<file path=xl/sharedStrings.xml><?xml version="1.0" encoding="utf-8"?>
<sst xmlns="http://schemas.openxmlformats.org/spreadsheetml/2006/main" count="872" uniqueCount="435">
  <si>
    <t>Public Inputs — Audited Baselines and Overrides (Phase A)</t>
  </si>
  <si>
    <t>ADM (official)</t>
  </si>
  <si>
    <t>Values</t>
  </si>
  <si>
    <t>Notes</t>
  </si>
  <si>
    <t>Echo 40th</t>
  </si>
  <si>
    <t>Use Day (40 or 100)</t>
  </si>
  <si>
    <t>Estimate used at this point; need to replace.  Official 40th day ADM for Echo (enter audited)</t>
  </si>
  <si>
    <t>Echo 100th</t>
  </si>
  <si>
    <t>Echo_ADM0 (selected)</t>
  </si>
  <si>
    <t>Estimate used at this point; need to replace.  Official 100th day ADM for Echo (enter audited)</t>
  </si>
  <si>
    <t>Pima 40th</t>
  </si>
  <si>
    <t>Pima_ADM0 (selected)</t>
  </si>
  <si>
    <t>Estimate used at this point; need to replace.  Official 40th day ADM for Pima (enter audited)</t>
  </si>
  <si>
    <t>Pima 100th</t>
  </si>
  <si>
    <t>Estimate used at this point; need to replace.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</si>
  <si>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</si>
  <si>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</si>
  <si>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</si>
  <si>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</si>
  <si>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</si>
  <si>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</si>
  <si>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</si>
  <si>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</si>
  <si>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</si>
  <si>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</si>
  <si>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</si>
  <si>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</si>
  <si>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</si>
  <si>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</si>
  <si>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 (future phase).</t>
  </si>
  <si>
    <t>Retention r — Echo (central)</t>
  </si>
  <si>
    <t>Share of displaced Echo students re-enrolling in SUSD (0–1).</t>
  </si>
  <si>
    <t>Retention r — Pima (central)</t>
  </si>
  <si>
    <t>Share of displaced Pima students re-enrolling in SUSD (0–1).</t>
  </si>
  <si>
    <t>Capital Treatment &amp; Growth Capex (DRAFT placeholders)</t>
  </si>
  <si>
    <t>Include TI in Operating M&amp;O? (0/1)</t>
  </si>
  <si>
    <t>0 = treat TI as capital (exclude from operating nets); 1 = include TI in Comparable_MO$</t>
  </si>
  <si>
    <t>TI per closed site (one-time)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</si>
  <si>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</si>
  <si>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</si>
  <si>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</si>
  <si>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</si>
  <si>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</si>
  <si>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</si>
  <si>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</si>
  <si>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</si>
  <si>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</si>
  <si>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</si>
  <si>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</si>
  <si>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</si>
  <si>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</si>
  <si>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</si>
  <si>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</si>
  <si>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</si>
  <si>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</si>
  <si>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</si>
  <si>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</si>
  <si>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Capital Summary (TI &amp; Growth Capex &amp; Portables) — Cash, not Operating</t>
  </si>
  <si>
    <t>ScenarioKey</t>
  </si>
  <si>
    <t>Year</t>
  </si>
  <si>
    <t>ClosedSites</t>
  </si>
  <si>
    <t>TI_Cash$</t>
  </si>
  <si>
    <t>GrowthCapex_Echo$</t>
  </si>
  <si>
    <t>GrowthCapex_Pima$</t>
  </si>
  <si>
    <t>Portables$</t>
  </si>
  <si>
    <t>Total_Capital$</t>
  </si>
  <si>
    <t>FY2026</t>
  </si>
  <si>
    <t>FY2027</t>
  </si>
  <si>
    <t>FY2028</t>
  </si>
  <si>
    <t>FY2029</t>
  </si>
  <si>
    <t>FY2030</t>
  </si>
  <si>
    <t>Receiving Capacity &amp; Feasibility — FY2026 absorption of retained students (by grade band)</t>
  </si>
  <si>
    <t>CloseEcho</t>
  </si>
  <si>
    <t>ClosePima</t>
  </si>
  <si>
    <t>Req_K5</t>
  </si>
  <si>
    <t>Req_6_8</t>
  </si>
  <si>
    <t>Spare_K5</t>
  </si>
  <si>
    <t>Spare_6_8</t>
  </si>
  <si>
    <t>Short_K5</t>
  </si>
  <si>
    <t>Short_6_8</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</si>
  <si>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</si>
  <si>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</si>
  <si>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</si>
  <si>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</si>
  <si>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</si>
  <si>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</si>
  <si>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</si>
  <si>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</si>
  <si>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</si>
  <si>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</si>
  <si>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</si>
  <si>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</si>
  <si>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</si>
  <si>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</si>
  <si>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</si>
  <si>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</si>
  <si>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</si>
  <si>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</si>
  <si>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</si>
  <si>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</si>
  <si>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</si>
  <si>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</si>
  <si>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</si>
  <si>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</si>
  <si>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</si>
  <si>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</si>
  <si>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MarginalFactor_for_Overlay</t>
  </si>
  <si>
    <t>Assuming there is a reduced marginal cost of adding new (growth) students, especially when the schools (Echo and Pima) have capacity.  In reality this is probably a complicated step function, but we can approximate.</t>
  </si>
  <si>
    <t>Repurpose trajectory assumptions</t>
  </si>
  <si>
    <t>h</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</si>
  <si>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</si>
  <si>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</si>
  <si>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</si>
  <si>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</si>
  <si>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</si>
  <si>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</si>
  <si>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</si>
  <si>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</si>
  <si>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</si>
  <si>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</si>
  <si>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</si>
  <si>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</si>
  <si>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</si>
  <si>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</si>
  <si>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</si>
  <si>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</si>
  <si>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</si>
  <si>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Echo and Pima remain open; uplift warm handoff effort (intra-SUSD) and implement cross-district marketing initiative (e.g. capture ~10% of Kyrene's displaced families?)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</si>
  <si>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</si>
  <si>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</si>
  <si>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</si>
  <si>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</si>
  <si>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</si>
  <si>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</si>
  <si>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</si>
  <si>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</si>
  <si>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</si>
  <si>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</si>
  <si>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</si>
  <si>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</si>
  <si>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</si>
  <si>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</si>
  <si>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</si>
  <si>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</si>
  <si>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</si>
  <si>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</si>
  <si>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</si>
  <si>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</si>
  <si>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</si>
  <si>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</si>
  <si>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</si>
  <si>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</si>
  <si>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</si>
  <si>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</si>
  <si>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</si>
  <si>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</si>
  <si>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</si>
  <si>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</si>
  <si>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</si>
  <si>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</si>
  <si>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</si>
  <si>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</si>
  <si>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</si>
  <si>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Operational</t>
  </si>
  <si>
    <t>Qualitative</t>
  </si>
  <si>
    <t>Net figures ('revenue' - 'cost')</t>
  </si>
  <si>
    <t>Scenario net figures vs. Repurpose both (ops)</t>
  </si>
  <si>
    <t>FY2028 Comparable $/Student</t>
  </si>
  <si>
    <t>FY2030 Comparable $/Student</t>
  </si>
  <si>
    <t>3‑yr Avg Comparable $/Student (FY26–FY28)</t>
  </si>
  <si>
    <t>5‑yr Avg Comparable $/Student (FY26–FY30)</t>
  </si>
  <si>
    <t># Students displaced</t>
  </si>
  <si>
    <t>FY2030 # students served (open &amp; retained)</t>
  </si>
  <si>
    <t>FY2028 Net ($)</t>
  </si>
  <si>
    <t>FY2030 Net ($)</t>
  </si>
  <si>
    <t>5-yr Net Avg ($)</t>
  </si>
  <si>
    <t>(Ref) Control center labels</t>
  </si>
  <si>
    <t>Δ FY2030 Net ($) vs Repurpose BOTH (ops)</t>
  </si>
  <si>
    <t>Δ 5-yr Avg Net ($) vs Repurpose BOTH (ops)</t>
  </si>
  <si>
    <t>Parameter / input</t>
  </si>
  <si>
    <t>Description / how we used it</t>
  </si>
  <si>
    <t>Public source &amp; how derived</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</si>
  <si>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</si>
  <si>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</si>
  <si>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</si>
  <si>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</si>
  <si>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</si>
  <si>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</si>
  <si>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</si>
  <si>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</si>
  <si>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</si>
  <si>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</si>
  <si>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</si>
  <si>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</si>
  <si>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</si>
  <si>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</si>
  <si>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</si>
  <si>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</si>
  <si>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</si>
  <si>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</si>
  <si>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</si>
  <si>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</si>
  <si>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</si>
  <si>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</si>
  <si>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</si>
  <si>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</si>
  <si>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</si>
  <si>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</si>
  <si>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</si>
  <si>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</si>
  <si>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Overlay</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</si>
  <si>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</si>
  <si>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</si>
  <si>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</si>
  <si>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</si>
  <si>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</si>
  <si>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</si>
  <si>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</si>
  <si>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</si>
  <si>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</si>
  <si>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</si>
  <si>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</si>
  <si>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</si>
  <si>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</si>
  <si>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</si>
  <si>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</si>
  <si>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</si>
  <si>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</si>
  <si>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</si>
  <si>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</si>
  <si>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</si>
  <si>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</si>
  <si>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</si>
  <si>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</si>
  <si>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</si>
  <si>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</si>
  <si>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</si>
  <si>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</si>
  <si>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</si>
  <si>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</si>
  <si>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</si>
  <si>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</si>
  <si>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</si>
  <si>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</si>
  <si>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</si>
  <si>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</si>
  <si>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</si>
  <si>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</si>
  <si>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</si>
  <si>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</si>
  <si>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</si>
  <si>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</si>
  <si>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</si>
  <si>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</si>
  <si>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</si>
  <si>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</si>
  <si>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</si>
  <si>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</si>
  <si>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</si>
  <si>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</si>
  <si>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</si>
  <si>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</si>
  <si>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</si>
  <si>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</si>
  <si>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</si>
  <si>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</si>
  <si>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</si>
  <si>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</si>
  <si>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</si>
  <si>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</si>
  <si>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</si>
  <si>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</si>
  <si>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</si>
  <si>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</si>
  <si>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</si>
  <si>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</si>
  <si>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</si>
  <si>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</si>
  <si>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</si>
  <si>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Var per student (FY25)</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</si>
  <si>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</si>
  <si>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</si>
  <si>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</si>
  <si>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</si>
  <si>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</si>
  <si>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</si>
  <si>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</si>
  <si>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</si>
  <si>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</si>
  <si>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</si>
  <si>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</si>
  <si>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</si>
  <si>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</si>
  <si>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</si>
  <si>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</si>
  <si>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</si>
  <si>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</si>
  <si>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</si>
  <si>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</si>
  <si>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</si>
  <si>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</si>
  <si>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</si>
  <si>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</si>
  <si>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</si>
  <si>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</si>
  <si>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</si>
  <si>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</si>
  <si>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</si>
  <si>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</si>
  <si>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</si>
  <si>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</si>
  <si>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</si>
  <si>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</si>
  <si>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</si>
  <si>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</si>
  <si>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</si>
  <si>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</si>
  <si>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</si>
  <si>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</si>
  <si>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Echo_ADM</t>
  </si>
  <si>
    <t>Pima_ADM</t>
  </si>
  <si>
    <t>Total_ADM</t>
  </si>
  <si>
    <t>VarUnit$</t>
  </si>
  <si>
    <t>EchoFixed$</t>
  </si>
  <si>
    <t>PimaFixed$</t>
  </si>
  <si>
    <t>OpsFactor</t>
  </si>
  <si>
    <t>ExtraSave</t>
  </si>
  <si>
    <t>EchoPotential_ADM</t>
  </si>
  <si>
    <t>PimaPotential_ADM</t>
  </si>
  <si>
    <t>Displaced_ADM</t>
  </si>
  <si>
    <t>Retained_ADM</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</si>
  <si>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</si>
  <si>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</si>
  <si>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</si>
  <si>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</si>
  <si>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</si>
  <si>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</si>
  <si>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</si>
  <si>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</si>
  <si>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</si>
  <si>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</si>
  <si>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</si>
  <si>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</si>
  <si>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</si>
  <si>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</si>
  <si>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</si>
  <si>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</si>
  <si>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Key</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</si>
  <si>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</si>
  <si>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</si>
  <si>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</si>
  <si>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</si>
  <si>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</si>
  <si>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</si>
  <si>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</si>
  <si>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</si>
  <si>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</si>
  <si>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</si>
  <si>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</si>
  <si>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</si>
  <si>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</si>
  <si>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</si>
  <si>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</si>
  <si>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</si>
  <si>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</si>
  <si>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</si>
  <si>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</si>
  <si>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</si>
  <si>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</si>
  <si>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</si>
  <si>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</si>
  <si>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</si>
  <si>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</si>
  <si>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</si>
  <si>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</si>
  <si>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</si>
  <si>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</si>
  <si>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</si>
  <si>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</si>
  <si>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</si>
  <si>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</si>
  <si>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</si>
  <si>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</si>
  <si>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</si>
  <si>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</si>
  <si>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YearIdx</t>
  </si>
  <si>
    <t>Aid$</t>
  </si>
  <si>
    <t>Orig h</t>
  </si>
  <si>
    <t>Orig f_lease</t>
  </si>
  <si>
    <t>Orig f_ops</t>
  </si>
  <si>
    <t>Label</t>
  </si>
  <si>
    <t>EchoShareDist</t>
  </si>
  <si>
    <t>Overlay_FY26</t>
  </si>
  <si>
    <t>Overlay_FY27</t>
  </si>
  <si>
    <t>Overlay_FY28</t>
  </si>
  <si>
    <t>Overlay_FY29</t>
  </si>
  <si>
    <t>Overlay_FY30</t>
  </si>
  <si>
    <t>Carry</t>
  </si>
  <si>
    <t>Growth_Echo</t>
  </si>
  <si>
    <t>Growth_Pima</t>
  </si>
  <si>
    <t>D_CUSTOM1</t>
  </si>
  <si>
    <t>Baseline + outreach; no closures</t>
  </si>
  <si>
    <t>None</t>
  </si>
  <si>
    <t>E_StatusQuo_Targets</t>
  </si>
  <si>
    <t>Baseline + targets; no closures</t>
  </si>
  <si>
    <t>F_CoLocation_Echo_Targets</t>
  </si>
  <si>
    <t>Shared‑use efficiencies later (no closure)</t>
  </si>
  <si>
    <t>D_Grow_Both_Targets</t>
  </si>
  <si>
    <t>Baseline +100 overlay</t>
  </si>
  <si>
    <t>Innov</t>
  </si>
  <si>
    <t>Arts</t>
  </si>
  <si>
    <t>D_CUSTOM2</t>
  </si>
  <si>
    <t>Baseline +150 overlay</t>
  </si>
  <si>
    <t>G_EchoGHubRamp_PimaTargets</t>
  </si>
  <si>
    <t>Time‑phased ramp (+50,+100,+150 years 1–3)</t>
  </si>
  <si>
    <t>A_Repurpose_Both_lease</t>
  </si>
  <si>
    <t>Repurpose both; lease/sale glide</t>
  </si>
  <si>
    <t>lease</t>
  </si>
  <si>
    <t>A_Repurpose_Both_ops</t>
  </si>
  <si>
    <t>Repurpose both; operations carry</t>
  </si>
  <si>
    <t>ops</t>
  </si>
  <si>
    <t>B_Repurpose_Echo_lease_PimaTargets</t>
  </si>
  <si>
    <t>Repurpose Echo only; lease glide</t>
  </si>
  <si>
    <t>B_Repurpose_Echo_ops_PimaTargets</t>
  </si>
  <si>
    <t>Repurpose Echo only; ops carry</t>
  </si>
  <si>
    <t>C_Repurpose_Pima_lease_EchoGHub_EchoTargets</t>
  </si>
  <si>
    <t>Repurpose Pima only; lease glide</t>
  </si>
  <si>
    <t>C_Repurpose_Pima_ops_EchoGHub_EchoTargets</t>
  </si>
  <si>
    <t>Repurpose Pima only; ops carry</t>
  </si>
  <si>
    <t>Orig</t>
  </si>
  <si>
    <t>DRAFT Ops TI: Mirrors BaselineCalc TI unit; replace with capital plan when available</t>
  </si>
  <si>
    <t>ADM_Trend</t>
  </si>
  <si>
    <t>H_StatusQuote_Decline</t>
  </si>
  <si>
    <t>Status-Quo + DeclineTrend</t>
  </si>
  <si>
    <t>Keep open but decline per district forecast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</si>
</sst>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
    <numFmt numFmtId="165" formatCode="_(&quot;$&quot;* #,##0_);_(&quot;$&quot;* \(#,##0\);_(&quot;$&quot;* &quot;-&quot;??_);_(@_)"/>
  </numFmts>
  <fonts count="14"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499984740745262"/>
        <bgColor indexed="64"/>
      </patternFill>
    </fill>
    <fill>
      <patternFill patternType="solid">
        <fgColor rgb="FFFF00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4">
    <xf numFmtId="0" fontId="0" fillId="0" borderId="0"/>
    <xf numFmtId="44" fontId="3" fillId="0" borderId="0"/>
    <xf numFmtId="0" fontId="11" fillId="0" borderId="0"/>
    <xf numFmtId="0" fontId="13" fillId="0" borderId="0"/>
  </cellStyleXfs>
  <cellXfs count="59">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7"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0" fillId="8" borderId="0" xfId="0" applyFill="1"/>
    <xf numFmtId="0" fontId="4" fillId="7" borderId="2" xfId="0" applyFont="1" applyFill="1" applyBorder="1"/>
    <xf numFmtId="0" fontId="5" fillId="7" borderId="4" xfId="0" applyFont="1" applyFill="1" applyBorder="1"/>
    <xf numFmtId="0" fontId="5" fillId="0" borderId="3" xfId="0" applyFont="1" applyBorder="1"/>
    <xf numFmtId="0" fontId="4" fillId="2" borderId="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6" borderId="0" xfId="0" applyFont="1" applyFill="1" applyAlignment="1">
      <alignment horizontal="center" vertical="center"/>
    </xf>
    <xf numFmtId="0" fontId="5" fillId="0" borderId="6" xfId="0" applyFont="1" applyBorder="1"/>
    <xf numFmtId="164" fontId="5" fillId="0" borderId="0" xfId="0" applyNumberFormat="1" applyFont="1"/>
    <xf numFmtId="0" fontId="5" fillId="0" borderId="0" xfId="0" applyFont="1" applyAlignment="1">
      <alignment horizontal="center" vertical="center"/>
    </xf>
    <xf numFmtId="1" fontId="5" fillId="0" borderId="0" xfId="0" applyNumberFormat="1" applyFont="1" applyAlignment="1">
      <alignment horizontal="center" vertical="center"/>
    </xf>
    <xf numFmtId="164" fontId="5" fillId="0" borderId="0" xfId="0" applyNumberFormat="1" applyFont="1" applyAlignment="1">
      <alignment horizontal="center" vertical="center"/>
    </xf>
    <xf numFmtId="0" fontId="5" fillId="6" borderId="0" xfId="0" applyFont="1" applyFill="1"/>
    <xf numFmtId="164" fontId="5" fillId="0" borderId="7" xfId="0" applyNumberFormat="1" applyFont="1" applyBorder="1" applyAlignment="1">
      <alignment horizontal="center" vertical="center"/>
    </xf>
    <xf numFmtId="0" fontId="5" fillId="0" borderId="8" xfId="0" applyFont="1" applyBorder="1"/>
    <xf numFmtId="164" fontId="5" fillId="0" borderId="9" xfId="0" applyNumberFormat="1" applyFont="1" applyBorder="1"/>
    <xf numFmtId="0" fontId="5" fillId="0" borderId="9" xfId="0" applyFont="1" applyBorder="1" applyAlignment="1">
      <alignment horizontal="center" vertical="center"/>
    </xf>
    <xf numFmtId="164" fontId="5" fillId="0" borderId="9" xfId="0" applyNumberFormat="1" applyFont="1" applyBorder="1" applyAlignment="1">
      <alignment horizontal="center" vertical="center"/>
    </xf>
    <xf numFmtId="0" fontId="5" fillId="6" borderId="9" xfId="0" applyFont="1" applyFill="1" applyBorder="1"/>
    <xf numFmtId="164" fontId="5" fillId="0" borderId="10" xfId="0" applyNumberFormat="1"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9" borderId="0" xfId="0" applyFont="1" applyFill="1" applyAlignment="1">
      <alignment vertical="center" wrapText="1"/>
    </xf>
    <xf numFmtId="0" fontId="6" fillId="9" borderId="0" xfId="0" applyFont="1" applyFill="1"/>
    <xf numFmtId="0" fontId="13" fillId="0" borderId="0" xfId="3"/>
    <xf numFmtId="0" fontId="0" fillId="0" borderId="0" xfId="0"/>
    <xf numFmtId="0" fontId="3" fillId="0" borderId="0" xfId="0" applyFont="1"/>
    <xf numFmtId="0" fontId="4" fillId="2" borderId="1" xfId="0" applyFont="1" applyFill="1" applyBorder="1" applyAlignment="1">
      <alignment horizontal="center"/>
    </xf>
    <xf numFmtId="0" fontId="0" fillId="0" borderId="4" xfId="0" applyBorder="1"/>
    <xf numFmtId="0" fontId="0" fillId="0" borderId="3" xfId="0" applyBorder="1"/>
    <xf numFmtId="0" fontId="0" fillId="3" borderId="0" xfId="0" applyFill="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a:t>Echo Canyon and Pima - Go-forward scenarios vs. Operational repurpose of both</a:t>
            </a:r>
          </a:p>
        </c:rich>
      </c:tx>
      <c:overlay val="0"/>
      <c:spPr>
        <a:noFill/>
        <a:ln>
          <a:noFill/>
          <a:prstDash val="solid"/>
        </a:ln>
      </c:spPr>
    </c:title>
    <c:autoTitleDeleted val="0"/>
    <c:plotArea>
      <c:layout/>
      <c:barChart>
        <c:barDir val="bar"/>
        <c:grouping val="clustered"/>
        <c:varyColors val="0"/>
        <c:ser>
          <c:idx val="0"/>
          <c:order val="0"/>
          <c:tx>
            <c:strRef>
              <c:f>Dashboard!$O$2</c:f>
              <c:strCache>
                <c:ptCount val="1"/>
                <c:pt idx="0">
                  <c:v>Δ FY2030 Net ($) vs Repurpose BOTH (ops)</c:v>
                </c:pt>
              </c:strCache>
            </c:strRef>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Dashboard!$O$3:$O$14</c:f>
              <c:numCache>
                <c:formatCode>\$#,##0</c:formatCode>
                <c:ptCount val="12"/>
                <c:pt idx="0">
                  <c:v>662410.94087520009</c:v>
                </c:pt>
                <c:pt idx="1">
                  <c:v>-438050.41327414103</c:v>
                </c:pt>
                <c:pt idx="2">
                  <c:v>-1416124.9990008064</c:v>
                </c:pt>
                <c:pt idx="3">
                  <c:v>0</c:v>
                </c:pt>
                <c:pt idx="4">
                  <c:v>-686005.22384243784</c:v>
                </c:pt>
                <c:pt idx="5">
                  <c:v>-1460639.5774287023</c:v>
                </c:pt>
                <c:pt idx="6">
                  <c:v>-756654.75230876496</c:v>
                </c:pt>
                <c:pt idx="7">
                  <c:v>-883033.73502503987</c:v>
                </c:pt>
                <c:pt idx="8">
                  <c:v>-1797223.5177408233</c:v>
                </c:pt>
                <c:pt idx="9">
                  <c:v>-1797223.5177408233</c:v>
                </c:pt>
                <c:pt idx="10">
                  <c:v>-2302099.4282090049</c:v>
                </c:pt>
                <c:pt idx="11">
                  <c:v>-2302099.4282090049</c:v>
                </c:pt>
              </c:numCache>
            </c:numRef>
          </c:val>
          <c:extLst>
            <c:ext xmlns:c16="http://schemas.microsoft.com/office/drawing/2014/chart" uri="{C3380CC4-5D6E-409C-BE32-E72D297353CC}">
              <c16:uniqueId val="{00000000-724E-494D-A9BC-DEC040A28193}"/>
            </c:ext>
          </c:extLst>
        </c:ser>
        <c:ser>
          <c:idx val="1"/>
          <c:order val="1"/>
          <c:tx>
            <c:strRef>
              <c:f>Dashboard!$P$2</c:f>
              <c:strCache>
                <c:ptCount val="1"/>
                <c:pt idx="0">
                  <c:v>Δ 5-yr Avg Net ($) vs Repurpose BOTH (ops)</c:v>
                </c:pt>
              </c:strCache>
            </c:strRef>
          </c:tx>
          <c:spPr>
            <a:solidFill>
              <a:schemeClr val="accent3">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Dashboard!$P$3:$P$14</c:f>
              <c:numCache>
                <c:formatCode>\$#,##0</c:formatCode>
                <c:ptCount val="12"/>
                <c:pt idx="0">
                  <c:v>477829.54677503207</c:v>
                </c:pt>
                <c:pt idx="1">
                  <c:v>-237675.71450807131</c:v>
                </c:pt>
                <c:pt idx="2">
                  <c:v>-966488.09868141962</c:v>
                </c:pt>
                <c:pt idx="3">
                  <c:v>0</c:v>
                </c:pt>
                <c:pt idx="4">
                  <c:v>-433556.71073269984</c:v>
                </c:pt>
                <c:pt idx="5">
                  <c:v>-1000338.3936561663</c:v>
                </c:pt>
                <c:pt idx="6">
                  <c:v>-640123.55396922259</c:v>
                </c:pt>
                <c:pt idx="7">
                  <c:v>-705150.21395039745</c:v>
                </c:pt>
                <c:pt idx="8">
                  <c:v>-1329444.3620715602</c:v>
                </c:pt>
                <c:pt idx="9">
                  <c:v>-1426323.1820456106</c:v>
                </c:pt>
                <c:pt idx="10">
                  <c:v>-1823103.3146946523</c:v>
                </c:pt>
                <c:pt idx="11">
                  <c:v>-1823103.3146946523</c:v>
                </c:pt>
              </c:numCache>
            </c:numRef>
          </c:val>
          <c:extLst>
            <c:ext xmlns:c16="http://schemas.microsoft.com/office/drawing/2014/chart" uri="{C3380CC4-5D6E-409C-BE32-E72D297353CC}">
              <c16:uniqueId val="{00000001-724E-494D-A9BC-DEC040A28193}"/>
            </c:ext>
          </c:extLst>
        </c:ser>
        <c:dLbls>
          <c:dLblPos val="inEnd"/>
          <c:showLegendKey val="0"/>
          <c:showVal val="1"/>
          <c:showCatName val="0"/>
          <c:showSerName val="0"/>
          <c:showPercent val="0"/>
          <c:showBubbleSize val="0"/>
        </c:dLbls>
        <c:gapWidth val="65"/>
        <c:axId val="1126607071"/>
        <c:axId val="1126606591"/>
      </c:barChart>
      <c:catAx>
        <c:axId val="1126607071"/>
        <c:scaling>
          <c:orientation val="minMax"/>
        </c:scaling>
        <c:delete val="0"/>
        <c:axPos val="l"/>
        <c:numFmt formatCode="General" sourceLinked="1"/>
        <c:majorTickMark val="none"/>
        <c:minorTickMark val="none"/>
        <c:tickLblPos val="low"/>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en-US"/>
          </a:p>
        </c:txPr>
        <c:crossAx val="1126606591"/>
        <c:crosses val="autoZero"/>
        <c:auto val="1"/>
        <c:lblAlgn val="ctr"/>
        <c:lblOffset val="100"/>
        <c:noMultiLvlLbl val="0"/>
      </c:catAx>
      <c:valAx>
        <c:axId val="1126606591"/>
        <c:scaling>
          <c:orientation val="minMax"/>
          <c:max val="750000"/>
          <c:min val="-1500000"/>
        </c:scaling>
        <c:delete val="0"/>
        <c:axPos val="b"/>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crossAx val="1126607071"/>
        <c:crosses val="autoZero"/>
        <c:crossBetween val="between"/>
      </c:valAx>
    </c:plotArea>
    <c:legend>
      <c:legendPos val="b"/>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2494756</xdr:colOff>
      <xdr:row>15</xdr:row>
      <xdr:rowOff>148430</xdr:rowOff>
    </xdr:from>
    <xdr:to>
      <xdr:col>14</xdr:col>
      <xdr:colOff>514350</xdr:colOff>
      <xdr:row>43</xdr:row>
      <xdr:rowOff>112703</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5" Type="http://schemas.openxmlformats.org/officeDocument/2006/relationships/hyperlink" Target="https://ade.az.gov/schoolfinance/STaR/SAISInfoSeries/SIS16.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
  <sheetViews>
    <sheetView zoomScale="70" zoomScaleNormal="70" workbookViewId="0">
      <selection activeCell="C10" sqref="C10"/>
    </sheetView>
  </sheetViews>
  <sheetFormatPr defaultRowHeight="14.5" x14ac:dyDescent="0.35"/>
  <cols>
    <col min="2" max="2" width="36.90625" bestFit="1" customWidth="1"/>
    <col min="4" max="4" width="19.81640625" bestFit="1" customWidth="1"/>
  </cols>
  <sheetData>
    <row r="1" spans="1:6" ht="22.5" customHeight="1" x14ac:dyDescent="0.45">
      <c r="A1" s="52" t="s">
        <v>0</v>
      </c>
      <c r="B1" s="53"/>
      <c r="C1" s="53"/>
      <c r="D1" s="53"/>
      <c r="E1" s="53"/>
      <c r="F1" s="53"/>
    </row>
    <row r="3" spans="1:6" x14ac:dyDescent="0.35">
      <c r="A3" t="s">
        <v>1</v>
      </c>
      <c r="C3" t="s">
        <v>2</v>
      </c>
      <c r="E3" t="s">
        <v>3</v>
      </c>
    </row>
    <row r="4" spans="1:6" x14ac:dyDescent="0.35">
      <c r="B4" t="s">
        <v>4</v>
      </c>
      <c r="C4">
        <v>257</v>
      </c>
      <c r="D4" t="s">
        <v>5</v>
      </c>
      <c r="E4" t="s">
        <v>6</v>
      </c>
    </row>
    <row r="5" spans="1:6" x14ac:dyDescent="0.35">
      <c r="B5" t="s">
        <v>7</v>
      </c>
      <c r="C5">
        <v>257</v>
      </c>
      <c r="D5" t="s">
        <v>8</v>
      </c>
      <c r="E5" t="s">
        <v>9</v>
      </c>
    </row>
    <row r="6" spans="1:6" x14ac:dyDescent="0.35">
      <c r="B6" t="s">
        <v>10</v>
      </c>
      <c r="C6">
        <v>296</v>
      </c>
      <c r="D6" t="s">
        <v>11</v>
      </c>
      <c r="E6" t="s">
        <v>12</v>
      </c>
    </row>
    <row r="7" spans="1:6" x14ac:dyDescent="0.35">
      <c r="B7" t="s">
        <v>13</v>
      </c>
      <c r="C7">
        <v>296</v>
      </c>
      <c r="E7" t="s">
        <v>14</v>
      </c>
    </row>
    <row r="8" spans="1:6" x14ac:dyDescent="0.35">
      <c r="B8" t="s">
        <v>5</v>
      </c>
      <c r="C8">
        <v>40</v>
      </c>
      <c r="E8" t="s">
        <v>15</v>
      </c>
    </row>
    <row r="10" spans="1:6" x14ac:dyDescent="0.35">
      <c r="B10" t="s">
        <v>8</v>
      </c>
      <c r="C10">
        <f>IF(C8=40,C4,C5)</f>
        <v>257</v>
      </c>
      <c r="E10" t="s">
        <v>16</v>
      </c>
    </row>
    <row r="11" spans="1:6" x14ac:dyDescent="0.35">
      <c r="B11" t="s">
        <v>11</v>
      </c>
      <c r="C11">
        <f>IF(C8=40,C6,C7)</f>
        <v>296</v>
      </c>
      <c r="E11" t="s">
        <v>17</v>
      </c>
    </row>
    <row r="13" spans="1:6" x14ac:dyDescent="0.35">
      <c r="A13" t="s">
        <v>18</v>
      </c>
    </row>
    <row r="14" spans="1:6" x14ac:dyDescent="0.35">
      <c r="B14" t="s">
        <v>19</v>
      </c>
      <c r="C14">
        <v>11589</v>
      </c>
      <c r="E14" t="s">
        <v>20</v>
      </c>
    </row>
    <row r="16" spans="1:6" x14ac:dyDescent="0.35">
      <c r="A16" t="s">
        <v>21</v>
      </c>
    </row>
    <row r="17" spans="1:6" x14ac:dyDescent="0.35">
      <c r="B17" t="s">
        <v>22</v>
      </c>
      <c r="C17">
        <v>0.15</v>
      </c>
      <c r="E17" t="s">
        <v>23</v>
      </c>
    </row>
    <row r="18" spans="1:6" x14ac:dyDescent="0.35">
      <c r="B18" t="s">
        <v>24</v>
      </c>
      <c r="C18">
        <v>5013</v>
      </c>
      <c r="E18" t="s">
        <v>25</v>
      </c>
    </row>
    <row r="19" spans="1:6" x14ac:dyDescent="0.35">
      <c r="B19" t="s">
        <v>26</v>
      </c>
      <c r="C19">
        <f>C17*C18</f>
        <v>751.94999999999993</v>
      </c>
      <c r="E19" t="s">
        <v>27</v>
      </c>
    </row>
    <row r="20" spans="1:6" x14ac:dyDescent="0.35">
      <c r="B20" t="s">
        <v>28</v>
      </c>
      <c r="C20">
        <v>1</v>
      </c>
      <c r="E20" t="s">
        <v>29</v>
      </c>
    </row>
    <row r="22" spans="1:6" x14ac:dyDescent="0.35">
      <c r="B22" t="s">
        <v>30</v>
      </c>
      <c r="C22">
        <v>0.6</v>
      </c>
      <c r="E22" t="s">
        <v>31</v>
      </c>
    </row>
    <row r="23" spans="1:6" x14ac:dyDescent="0.35">
      <c r="B23" t="s">
        <v>32</v>
      </c>
      <c r="C23">
        <v>0.85</v>
      </c>
      <c r="E23" t="s">
        <v>33</v>
      </c>
    </row>
    <row r="24" spans="1:6" x14ac:dyDescent="0.35">
      <c r="A24" s="54" t="s">
        <v>34</v>
      </c>
      <c r="B24" s="53"/>
      <c r="C24" s="53"/>
      <c r="D24" s="53"/>
      <c r="E24" s="53"/>
      <c r="F24" s="53"/>
    </row>
    <row r="26" spans="1:6" x14ac:dyDescent="0.35">
      <c r="B26" t="s">
        <v>35</v>
      </c>
      <c r="C26">
        <v>0</v>
      </c>
      <c r="E26" t="s">
        <v>36</v>
      </c>
    </row>
    <row r="27" spans="1:6" x14ac:dyDescent="0.35">
      <c r="B27" t="s">
        <v>37</v>
      </c>
      <c r="C27">
        <f>BaselineCalc!$B$22</f>
        <v>1200000</v>
      </c>
      <c r="E27" t="s">
        <v>430</v>
      </c>
    </row>
    <row r="28" spans="1:6" x14ac:dyDescent="0.35">
      <c r="B28" t="s">
        <v>38</v>
      </c>
      <c r="C28">
        <v>800000</v>
      </c>
      <c r="E28" t="s">
        <v>39</v>
      </c>
    </row>
    <row r="29" spans="1:6" x14ac:dyDescent="0.35">
      <c r="B29" t="s">
        <v>40</v>
      </c>
      <c r="C29">
        <v>1200000</v>
      </c>
      <c r="E29" t="s">
        <v>41</v>
      </c>
    </row>
    <row r="30" spans="1:6" x14ac:dyDescent="0.35">
      <c r="B30" t="s">
        <v>42</v>
      </c>
      <c r="C30">
        <v>0</v>
      </c>
      <c r="E30" t="s">
        <v>43</v>
      </c>
    </row>
    <row r="31" spans="1:6" x14ac:dyDescent="0.35">
      <c r="B31" t="s">
        <v>44</v>
      </c>
      <c r="C31">
        <v>800000</v>
      </c>
      <c r="E31" t="s">
        <v>45</v>
      </c>
    </row>
    <row r="32" spans="1:6" x14ac:dyDescent="0.35">
      <c r="B32" t="s">
        <v>46</v>
      </c>
      <c r="C32">
        <v>12000</v>
      </c>
      <c r="E32" t="s">
        <v>47</v>
      </c>
    </row>
    <row r="33" spans="2:5" x14ac:dyDescent="0.35">
      <c r="B33" t="s">
        <v>48</v>
      </c>
      <c r="C33">
        <v>300</v>
      </c>
      <c r="E33" t="s">
        <v>49</v>
      </c>
    </row>
    <row r="34" spans="2:5" x14ac:dyDescent="0.35">
      <c r="B34" t="s">
        <v>50</v>
      </c>
      <c r="C34">
        <v>150</v>
      </c>
      <c r="E34" t="s">
        <v>51</v>
      </c>
    </row>
    <row r="36" spans="2:5" x14ac:dyDescent="0.35">
      <c r="B36" t="s">
        <v>52</v>
      </c>
      <c r="C36">
        <v>0.7</v>
      </c>
      <c r="E36" t="s">
        <v>53</v>
      </c>
    </row>
    <row r="37" spans="2:5" x14ac:dyDescent="0.35">
      <c r="B37" t="s">
        <v>54</v>
      </c>
      <c r="C37">
        <v>0.3</v>
      </c>
    </row>
    <row r="38" spans="2:5" x14ac:dyDescent="0.35">
      <c r="B38" t="s">
        <v>55</v>
      </c>
      <c r="C38">
        <v>1</v>
      </c>
    </row>
    <row r="39" spans="2:5" x14ac:dyDescent="0.35">
      <c r="B39" t="s">
        <v>56</v>
      </c>
      <c r="C39">
        <v>0</v>
      </c>
    </row>
  </sheetData>
  <mergeCells count="2">
    <mergeCell ref="A1:F1"/>
    <mergeCell ref="A24:F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79"/>
  <sheetViews>
    <sheetView workbookViewId="0"/>
  </sheetViews>
  <sheetFormatPr defaultRowHeight="14.5" x14ac:dyDescent="0.35"/>
  <sheetData>
    <row r="1" spans="1:34"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x14ac:dyDescent="0.3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x14ac:dyDescent="0.3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x14ac:dyDescent="0.3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x14ac:dyDescent="0.3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x14ac:dyDescent="0.3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x14ac:dyDescent="0.3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x14ac:dyDescent="0.3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x14ac:dyDescent="0.3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x14ac:dyDescent="0.3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x14ac:dyDescent="0.3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x14ac:dyDescent="0.3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x14ac:dyDescent="0.3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x14ac:dyDescent="0.3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x14ac:dyDescent="0.3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x14ac:dyDescent="0.3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3"/>
  <sheetViews>
    <sheetView zoomScale="80" zoomScaleNormal="80" workbookViewId="0">
      <pane xSplit="1" ySplit="3" topLeftCell="B58" activePane="bottomRight" state="frozen"/>
      <selection pane="topRight" activeCell="B1" sqref="B1"/>
      <selection pane="bottomLeft" activeCell="A4" sqref="A4"/>
      <selection pane="bottomRight" activeCell="A63" sqref="A63"/>
    </sheetView>
  </sheetViews>
  <sheetFormatPr defaultRowHeight="14.5" x14ac:dyDescent="0.35"/>
  <cols>
    <col min="1" max="1" width="43.81640625" bestFit="1" customWidth="1"/>
    <col min="2" max="2" width="6.72656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x14ac:dyDescent="0.35">
      <c r="A1" s="53" t="s">
        <v>57</v>
      </c>
      <c r="B1" s="53"/>
      <c r="C1" s="53"/>
      <c r="D1" s="53"/>
      <c r="E1" s="53"/>
      <c r="F1" s="53"/>
      <c r="G1" s="53"/>
      <c r="H1" s="53"/>
    </row>
    <row r="3" spans="1:8" x14ac:dyDescent="0.35">
      <c r="A3" t="s">
        <v>58</v>
      </c>
      <c r="B3" t="s">
        <v>59</v>
      </c>
      <c r="C3" t="s">
        <v>60</v>
      </c>
      <c r="D3" t="s">
        <v>61</v>
      </c>
      <c r="E3" t="s">
        <v>62</v>
      </c>
      <c r="F3" t="s">
        <v>63</v>
      </c>
      <c r="G3" t="s">
        <v>64</v>
      </c>
      <c r="H3" t="s">
        <v>65</v>
      </c>
    </row>
    <row r="4" spans="1:8" x14ac:dyDescent="0.35">
      <c r="A4" t="str">
        <f>Scenarios!$A$2</f>
        <v>D_CUSTOM1</v>
      </c>
      <c r="B4" t="s">
        <v>66</v>
      </c>
      <c r="C4">
        <f>INDEX(Scenarios!$D:$D, MATCH($A4, Scenarios!$A:$A, 0)) + INDEX(Scenarios!$E:$E, MATCH($A4, Scenarios!$A:$A, 0))</f>
        <v>0</v>
      </c>
      <c r="D4">
        <f>IF($B4="FY2026",$C4*IF(INDEX(Scenarios!$N:$N, MATCH($A4, Scenarios!$A:$A, 0))="lease", Parameters_Public!$C$31, Parameters_Public!$C$27),0)</f>
        <v>0</v>
      </c>
      <c r="E4">
        <f>IF($B4="FY2026", IF(INDEX(Scenarios!$D:$D, MATCH($A4, Scenarios!$A:$A, 0))=0, IF(LEFT(INDEX(Scenarios!$O:$O, MATCH($A4, Scenarios!$A:$A, 0)),4)="Arts", Parameters_Public!$C$28, IF(LEFT(INDEX(Scenarios!$O:$O, MATCH($A4, Scenarios!$A:$A, 0)),5)="Innov", Parameters_Public!$C$29, 0)), 0), 0)</f>
        <v>0</v>
      </c>
      <c r="F4">
        <f>IF($B4="FY2026", IF(INDEX(Scenarios!$E:$E, MATCH($A4, Scenarios!$A:$A, 0))=0, IF(LEFT(INDEX(Scenarios!$P:$P, MATCH($A4, Scenarios!$A:$A, 0)),4)="Arts", Parameters_Public!$C$28, IF(LEFT(INDEX(Scenarios!$P:$P, MATCH($A4, Scenarios!$A:$A, 0)),5)="Innov", Parameters_Public!$C$29, 0)), 0), 0)</f>
        <v>0</v>
      </c>
      <c r="G4">
        <f>IF($B4="FY2026", INDEX(Receiving_Capacity!$L:$L, MATCH($A4, Receiving_Capacity!$A:$A, 0)), 0)</f>
        <v>0</v>
      </c>
      <c r="H4">
        <f t="shared" ref="H4:H35" si="0">SUM(D4:G4)</f>
        <v>0</v>
      </c>
    </row>
    <row r="5" spans="1:8" x14ac:dyDescent="0.35">
      <c r="A5" t="str">
        <f>Scenarios!$A$2</f>
        <v>D_CUSTOM1</v>
      </c>
      <c r="B5" t="s">
        <v>67</v>
      </c>
      <c r="C5">
        <f>INDEX(Scenarios!$D:$D, MATCH($A5, Scenarios!$A:$A, 0)) + INDEX(Scenarios!$E:$E, MATCH($A5, Scenarios!$A:$A, 0))</f>
        <v>0</v>
      </c>
      <c r="D5">
        <f>IF($B5="FY2026",$C5*IF(INDEX(Scenarios!$N:$N, MATCH($A5, Scenarios!$A:$A, 0))="lease", Parameters_Public!$C$31, Parameters_Public!$C$27),0)</f>
        <v>0</v>
      </c>
      <c r="E5">
        <f>IF($B5="FY2026", IF(INDEX(Scenarios!$D:$D, MATCH($A5, Scenarios!$A:$A, 0))=0, IF(LEFT(INDEX(Scenarios!$O:$O, MATCH($A5, Scenarios!$A:$A, 0)),4)="Arts", Parameters_Public!$C$28, IF(LEFT(INDEX(Scenarios!$O:$O, MATCH($A5, Scenarios!$A:$A, 0)),5)="Innov", Parameters_Public!$C$29, 0)), 0), 0)</f>
        <v>0</v>
      </c>
      <c r="F5">
        <f>IF($B5="FY2026", IF(INDEX(Scenarios!$E:$E, MATCH($A5, Scenarios!$A:$A, 0))=0, IF(LEFT(INDEX(Scenarios!$P:$P, MATCH($A5, Scenarios!$A:$A, 0)),4)="Arts", Parameters_Public!$C$28, IF(LEFT(INDEX(Scenarios!$P:$P, MATCH($A5, Scenarios!$A:$A, 0)),5)="Innov", Parameters_Public!$C$29, 0)), 0), 0)</f>
        <v>0</v>
      </c>
      <c r="G5">
        <f>IF($B5="FY2026", INDEX(Receiving_Capacity!$L:$L, MATCH($A5, Receiving_Capacity!$A:$A, 0)), 0)</f>
        <v>0</v>
      </c>
      <c r="H5">
        <f t="shared" si="0"/>
        <v>0</v>
      </c>
    </row>
    <row r="6" spans="1:8" x14ac:dyDescent="0.35">
      <c r="A6" t="str">
        <f>Scenarios!$A$2</f>
        <v>D_CUSTOM1</v>
      </c>
      <c r="B6" t="s">
        <v>68</v>
      </c>
      <c r="C6">
        <f>INDEX(Scenarios!$D:$D, MATCH($A6, Scenarios!$A:$A, 0)) + INDEX(Scenarios!$E:$E, MATCH($A6, Scenarios!$A:$A, 0))</f>
        <v>0</v>
      </c>
      <c r="D6">
        <f>IF($B6="FY2026",$C6*IF(INDEX(Scenarios!$N:$N, MATCH($A6, Scenarios!$A:$A, 0))="lease", Parameters_Public!$C$31, Parameters_Public!$C$27),0)</f>
        <v>0</v>
      </c>
      <c r="E6">
        <f>IF($B6="FY2026", IF(INDEX(Scenarios!$D:$D, MATCH($A6, Scenarios!$A:$A, 0))=0, IF(LEFT(INDEX(Scenarios!$O:$O, MATCH($A6, Scenarios!$A:$A, 0)),4)="Arts", Parameters_Public!$C$28, IF(LEFT(INDEX(Scenarios!$O:$O, MATCH($A6, Scenarios!$A:$A, 0)),5)="Innov", Parameters_Public!$C$29, 0)), 0), 0)</f>
        <v>0</v>
      </c>
      <c r="F6">
        <f>IF($B6="FY2026", IF(INDEX(Scenarios!$E:$E, MATCH($A6, Scenarios!$A:$A, 0))=0, IF(LEFT(INDEX(Scenarios!$P:$P, MATCH($A6, Scenarios!$A:$A, 0)),4)="Arts", Parameters_Public!$C$28, IF(LEFT(INDEX(Scenarios!$P:$P, MATCH($A6, Scenarios!$A:$A, 0)),5)="Innov", Parameters_Public!$C$29, 0)), 0), 0)</f>
        <v>0</v>
      </c>
      <c r="G6">
        <f>IF($B6="FY2026", INDEX(Receiving_Capacity!$L:$L, MATCH($A6, Receiving_Capacity!$A:$A, 0)), 0)</f>
        <v>0</v>
      </c>
      <c r="H6">
        <f t="shared" si="0"/>
        <v>0</v>
      </c>
    </row>
    <row r="7" spans="1:8" x14ac:dyDescent="0.35">
      <c r="A7" t="str">
        <f>Scenarios!$A$2</f>
        <v>D_CUSTOM1</v>
      </c>
      <c r="B7" t="s">
        <v>69</v>
      </c>
      <c r="C7">
        <f>INDEX(Scenarios!$D:$D, MATCH($A7, Scenarios!$A:$A, 0)) + INDEX(Scenarios!$E:$E, MATCH($A7, Scenarios!$A:$A, 0))</f>
        <v>0</v>
      </c>
      <c r="D7">
        <f>IF($B7="FY2026",$C7*IF(INDEX(Scenarios!$N:$N, MATCH($A7, Scenarios!$A:$A, 0))="lease", Parameters_Public!$C$31, Parameters_Public!$C$27),0)</f>
        <v>0</v>
      </c>
      <c r="E7">
        <f>IF($B7="FY2026", IF(INDEX(Scenarios!$D:$D, MATCH($A7, Scenarios!$A:$A, 0))=0, IF(LEFT(INDEX(Scenarios!$O:$O, MATCH($A7, Scenarios!$A:$A, 0)),4)="Arts", Parameters_Public!$C$28, IF(LEFT(INDEX(Scenarios!$O:$O, MATCH($A7, Scenarios!$A:$A, 0)),5)="Innov", Parameters_Public!$C$29, 0)), 0), 0)</f>
        <v>0</v>
      </c>
      <c r="F7">
        <f>IF($B7="FY2026", IF(INDEX(Scenarios!$E:$E, MATCH($A7, Scenarios!$A:$A, 0))=0, IF(LEFT(INDEX(Scenarios!$P:$P, MATCH($A7, Scenarios!$A:$A, 0)),4)="Arts", Parameters_Public!$C$28, IF(LEFT(INDEX(Scenarios!$P:$P, MATCH($A7, Scenarios!$A:$A, 0)),5)="Innov", Parameters_Public!$C$29, 0)), 0), 0)</f>
        <v>0</v>
      </c>
      <c r="G7">
        <f>IF($B7="FY2026", INDEX(Receiving_Capacity!$L:$L, MATCH($A7, Receiving_Capacity!$A:$A, 0)), 0)</f>
        <v>0</v>
      </c>
      <c r="H7">
        <f t="shared" si="0"/>
        <v>0</v>
      </c>
    </row>
    <row r="8" spans="1:8" x14ac:dyDescent="0.35">
      <c r="A8" t="str">
        <f>Scenarios!$A$2</f>
        <v>D_CUSTOM1</v>
      </c>
      <c r="B8" t="s">
        <v>70</v>
      </c>
      <c r="C8">
        <f>INDEX(Scenarios!$D:$D, MATCH($A8, Scenarios!$A:$A, 0)) + INDEX(Scenarios!$E:$E, MATCH($A8, Scenarios!$A:$A, 0))</f>
        <v>0</v>
      </c>
      <c r="D8">
        <f>IF($B8="FY2026",$C8*IF(INDEX(Scenarios!$N:$N, MATCH($A8, Scenarios!$A:$A, 0))="lease", Parameters_Public!$C$31, Parameters_Public!$C$27),0)</f>
        <v>0</v>
      </c>
      <c r="E8">
        <f>IF($B8="FY2026", IF(INDEX(Scenarios!$D:$D, MATCH($A8, Scenarios!$A:$A, 0))=0, IF(LEFT(INDEX(Scenarios!$O:$O, MATCH($A8, Scenarios!$A:$A, 0)),4)="Arts", Parameters_Public!$C$28, IF(LEFT(INDEX(Scenarios!$O:$O, MATCH($A8, Scenarios!$A:$A, 0)),5)="Innov", Parameters_Public!$C$29, 0)), 0), 0)</f>
        <v>0</v>
      </c>
      <c r="F8">
        <f>IF($B8="FY2026", IF(INDEX(Scenarios!$E:$E, MATCH($A8, Scenarios!$A:$A, 0))=0, IF(LEFT(INDEX(Scenarios!$P:$P, MATCH($A8, Scenarios!$A:$A, 0)),4)="Arts", Parameters_Public!$C$28, IF(LEFT(INDEX(Scenarios!$P:$P, MATCH($A8, Scenarios!$A:$A, 0)),5)="Innov", Parameters_Public!$C$29, 0)), 0), 0)</f>
        <v>0</v>
      </c>
      <c r="G8">
        <f>IF($B8="FY2026", INDEX(Receiving_Capacity!$L:$L, MATCH($A8, Receiving_Capacity!$A:$A, 0)), 0)</f>
        <v>0</v>
      </c>
      <c r="H8">
        <f t="shared" si="0"/>
        <v>0</v>
      </c>
    </row>
    <row r="9" spans="1:8" x14ac:dyDescent="0.35">
      <c r="A9" t="str">
        <f>Scenarios!$A$3</f>
        <v>E_StatusQuo_Targets</v>
      </c>
      <c r="B9" t="s">
        <v>66</v>
      </c>
      <c r="C9">
        <f>INDEX(Scenarios!$D:$D, MATCH($A9, Scenarios!$A:$A, 0)) + INDEX(Scenarios!$E:$E, MATCH($A9, Scenarios!$A:$A, 0))</f>
        <v>0</v>
      </c>
      <c r="D9">
        <f>IF($B9="FY2026",$C9*IF(INDEX(Scenarios!$N:$N, MATCH($A9, Scenarios!$A:$A, 0))="lease", Parameters_Public!$C$31, Parameters_Public!$C$27),0)</f>
        <v>0</v>
      </c>
      <c r="E9">
        <f>IF($B9="FY2026", IF(INDEX(Scenarios!$D:$D, MATCH($A9, Scenarios!$A:$A, 0))=0, IF(LEFT(INDEX(Scenarios!$O:$O, MATCH($A9, Scenarios!$A:$A, 0)),4)="Arts", Parameters_Public!$C$28, IF(LEFT(INDEX(Scenarios!$O:$O, MATCH($A9, Scenarios!$A:$A, 0)),5)="Innov", Parameters_Public!$C$29, 0)), 0), 0)</f>
        <v>0</v>
      </c>
      <c r="F9">
        <f>IF($B9="FY2026", IF(INDEX(Scenarios!$E:$E, MATCH($A9, Scenarios!$A:$A, 0))=0, IF(LEFT(INDEX(Scenarios!$P:$P, MATCH($A9, Scenarios!$A:$A, 0)),4)="Arts", Parameters_Public!$C$28, IF(LEFT(INDEX(Scenarios!$P:$P, MATCH($A9, Scenarios!$A:$A, 0)),5)="Innov", Parameters_Public!$C$29, 0)), 0), 0)</f>
        <v>0</v>
      </c>
      <c r="G9">
        <f>IF($B9="FY2026", INDEX(Receiving_Capacity!$L:$L, MATCH($A9, Receiving_Capacity!$A:$A, 0)), 0)</f>
        <v>0</v>
      </c>
      <c r="H9">
        <f t="shared" si="0"/>
        <v>0</v>
      </c>
    </row>
    <row r="10" spans="1:8" x14ac:dyDescent="0.35">
      <c r="A10" t="str">
        <f>Scenarios!$A$3</f>
        <v>E_StatusQuo_Targets</v>
      </c>
      <c r="B10" t="s">
        <v>67</v>
      </c>
      <c r="C10">
        <f>INDEX(Scenarios!$D:$D, MATCH($A10, Scenarios!$A:$A, 0)) + INDEX(Scenarios!$E:$E, MATCH($A10, Scenarios!$A:$A, 0))</f>
        <v>0</v>
      </c>
      <c r="D10">
        <f>IF($B10="FY2026",$C10*IF(INDEX(Scenarios!$N:$N, MATCH($A10, Scenarios!$A:$A, 0))="lease", Parameters_Public!$C$31, Parameters_Public!$C$27),0)</f>
        <v>0</v>
      </c>
      <c r="E10">
        <f>IF($B10="FY2026", IF(INDEX(Scenarios!$D:$D, MATCH($A10, Scenarios!$A:$A, 0))=0, IF(LEFT(INDEX(Scenarios!$O:$O, MATCH($A10, Scenarios!$A:$A, 0)),4)="Arts", Parameters_Public!$C$28, IF(LEFT(INDEX(Scenarios!$O:$O, MATCH($A10, Scenarios!$A:$A, 0)),5)="Innov", Parameters_Public!$C$29, 0)), 0), 0)</f>
        <v>0</v>
      </c>
      <c r="F10">
        <f>IF($B10="FY2026", IF(INDEX(Scenarios!$E:$E, MATCH($A10, Scenarios!$A:$A, 0))=0, IF(LEFT(INDEX(Scenarios!$P:$P, MATCH($A10, Scenarios!$A:$A, 0)),4)="Arts", Parameters_Public!$C$28, IF(LEFT(INDEX(Scenarios!$P:$P, MATCH($A10, Scenarios!$A:$A, 0)),5)="Innov", Parameters_Public!$C$29, 0)), 0), 0)</f>
        <v>0</v>
      </c>
      <c r="G10">
        <f>IF($B10="FY2026", INDEX(Receiving_Capacity!$L:$L, MATCH($A10, Receiving_Capacity!$A:$A, 0)), 0)</f>
        <v>0</v>
      </c>
      <c r="H10">
        <f t="shared" si="0"/>
        <v>0</v>
      </c>
    </row>
    <row r="11" spans="1:8" x14ac:dyDescent="0.35">
      <c r="A11" t="str">
        <f>Scenarios!$A$3</f>
        <v>E_StatusQuo_Targets</v>
      </c>
      <c r="B11" t="s">
        <v>68</v>
      </c>
      <c r="C11">
        <f>INDEX(Scenarios!$D:$D, MATCH($A11, Scenarios!$A:$A, 0)) + INDEX(Scenarios!$E:$E, MATCH($A11, Scenarios!$A:$A, 0))</f>
        <v>0</v>
      </c>
      <c r="D11">
        <f>IF($B11="FY2026",$C11*IF(INDEX(Scenarios!$N:$N, MATCH($A11, Scenarios!$A:$A, 0))="lease", Parameters_Public!$C$31, Parameters_Public!$C$27),0)</f>
        <v>0</v>
      </c>
      <c r="E11">
        <f>IF($B11="FY2026", IF(INDEX(Scenarios!$D:$D, MATCH($A11, Scenarios!$A:$A, 0))=0, IF(LEFT(INDEX(Scenarios!$O:$O, MATCH($A11, Scenarios!$A:$A, 0)),4)="Arts", Parameters_Public!$C$28, IF(LEFT(INDEX(Scenarios!$O:$O, MATCH($A11, Scenarios!$A:$A, 0)),5)="Innov", Parameters_Public!$C$29, 0)), 0), 0)</f>
        <v>0</v>
      </c>
      <c r="F11">
        <f>IF($B11="FY2026", IF(INDEX(Scenarios!$E:$E, MATCH($A11, Scenarios!$A:$A, 0))=0, IF(LEFT(INDEX(Scenarios!$P:$P, MATCH($A11, Scenarios!$A:$A, 0)),4)="Arts", Parameters_Public!$C$28, IF(LEFT(INDEX(Scenarios!$P:$P, MATCH($A11, Scenarios!$A:$A, 0)),5)="Innov", Parameters_Public!$C$29, 0)), 0), 0)</f>
        <v>0</v>
      </c>
      <c r="G11">
        <f>IF($B11="FY2026", INDEX(Receiving_Capacity!$L:$L, MATCH($A11, Receiving_Capacity!$A:$A, 0)), 0)</f>
        <v>0</v>
      </c>
      <c r="H11">
        <f t="shared" si="0"/>
        <v>0</v>
      </c>
    </row>
    <row r="12" spans="1:8" x14ac:dyDescent="0.35">
      <c r="A12" t="str">
        <f>Scenarios!$A$3</f>
        <v>E_StatusQuo_Targets</v>
      </c>
      <c r="B12" t="s">
        <v>69</v>
      </c>
      <c r="C12">
        <f>INDEX(Scenarios!$D:$D, MATCH($A12, Scenarios!$A:$A, 0)) + INDEX(Scenarios!$E:$E, MATCH($A12, Scenarios!$A:$A, 0))</f>
        <v>0</v>
      </c>
      <c r="D12">
        <f>IF($B12="FY2026",$C12*IF(INDEX(Scenarios!$N:$N, MATCH($A12, Scenarios!$A:$A, 0))="lease", Parameters_Public!$C$31, Parameters_Public!$C$27),0)</f>
        <v>0</v>
      </c>
      <c r="E12">
        <f>IF($B12="FY2026", IF(INDEX(Scenarios!$D:$D, MATCH($A12, Scenarios!$A:$A, 0))=0, IF(LEFT(INDEX(Scenarios!$O:$O, MATCH($A12, Scenarios!$A:$A, 0)),4)="Arts", Parameters_Public!$C$28, IF(LEFT(INDEX(Scenarios!$O:$O, MATCH($A12, Scenarios!$A:$A, 0)),5)="Innov", Parameters_Public!$C$29, 0)), 0), 0)</f>
        <v>0</v>
      </c>
      <c r="F12">
        <f>IF($B12="FY2026", IF(INDEX(Scenarios!$E:$E, MATCH($A12, Scenarios!$A:$A, 0))=0, IF(LEFT(INDEX(Scenarios!$P:$P, MATCH($A12, Scenarios!$A:$A, 0)),4)="Arts", Parameters_Public!$C$28, IF(LEFT(INDEX(Scenarios!$P:$P, MATCH($A12, Scenarios!$A:$A, 0)),5)="Innov", Parameters_Public!$C$29, 0)), 0), 0)</f>
        <v>0</v>
      </c>
      <c r="G12">
        <f>IF($B12="FY2026", INDEX(Receiving_Capacity!$L:$L, MATCH($A12, Receiving_Capacity!$A:$A, 0)), 0)</f>
        <v>0</v>
      </c>
      <c r="H12">
        <f t="shared" si="0"/>
        <v>0</v>
      </c>
    </row>
    <row r="13" spans="1:8" x14ac:dyDescent="0.35">
      <c r="A13" t="str">
        <f>Scenarios!$A$3</f>
        <v>E_StatusQuo_Targets</v>
      </c>
      <c r="B13" t="s">
        <v>70</v>
      </c>
      <c r="C13">
        <f>INDEX(Scenarios!$D:$D, MATCH($A13, Scenarios!$A:$A, 0)) + INDEX(Scenarios!$E:$E, MATCH($A13, Scenarios!$A:$A, 0))</f>
        <v>0</v>
      </c>
      <c r="D13">
        <f>IF($B13="FY2026",$C13*IF(INDEX(Scenarios!$N:$N, MATCH($A13, Scenarios!$A:$A, 0))="lease", Parameters_Public!$C$31, Parameters_Public!$C$27),0)</f>
        <v>0</v>
      </c>
      <c r="E13">
        <f>IF($B13="FY2026", IF(INDEX(Scenarios!$D:$D, MATCH($A13, Scenarios!$A:$A, 0))=0, IF(LEFT(INDEX(Scenarios!$O:$O, MATCH($A13, Scenarios!$A:$A, 0)),4)="Arts", Parameters_Public!$C$28, IF(LEFT(INDEX(Scenarios!$O:$O, MATCH($A13, Scenarios!$A:$A, 0)),5)="Innov", Parameters_Public!$C$29, 0)), 0), 0)</f>
        <v>0</v>
      </c>
      <c r="F13">
        <f>IF($B13="FY2026", IF(INDEX(Scenarios!$E:$E, MATCH($A13, Scenarios!$A:$A, 0))=0, IF(LEFT(INDEX(Scenarios!$P:$P, MATCH($A13, Scenarios!$A:$A, 0)),4)="Arts", Parameters_Public!$C$28, IF(LEFT(INDEX(Scenarios!$P:$P, MATCH($A13, Scenarios!$A:$A, 0)),5)="Innov", Parameters_Public!$C$29, 0)), 0), 0)</f>
        <v>0</v>
      </c>
      <c r="G13">
        <f>IF($B13="FY2026", INDEX(Receiving_Capacity!$L:$L, MATCH($A13, Receiving_Capacity!$A:$A, 0)), 0)</f>
        <v>0</v>
      </c>
      <c r="H13">
        <f t="shared" si="0"/>
        <v>0</v>
      </c>
    </row>
    <row r="14" spans="1:8" x14ac:dyDescent="0.35">
      <c r="A14" t="str">
        <f>Scenarios!$A$4</f>
        <v>F_CoLocation_Echo_Targets</v>
      </c>
      <c r="B14" t="s">
        <v>66</v>
      </c>
      <c r="C14">
        <f>INDEX(Scenarios!$D:$D, MATCH($A14, Scenarios!$A:$A, 0)) + INDEX(Scenarios!$E:$E, MATCH($A14, Scenarios!$A:$A, 0))</f>
        <v>0</v>
      </c>
      <c r="D14">
        <f>IF($B14="FY2026",$C14*IF(INDEX(Scenarios!$N:$N, MATCH($A14, Scenarios!$A:$A, 0))="lease", Parameters_Public!$C$31, Parameters_Public!$C$27),0)</f>
        <v>0</v>
      </c>
      <c r="E14">
        <f>IF($B14="FY2026", IF(INDEX(Scenarios!$D:$D, MATCH($A14, Scenarios!$A:$A, 0))=0, IF(LEFT(INDEX(Scenarios!$O:$O, MATCH($A14, Scenarios!$A:$A, 0)),4)="Arts", Parameters_Public!$C$28, IF(LEFT(INDEX(Scenarios!$O:$O, MATCH($A14, Scenarios!$A:$A, 0)),5)="Innov", Parameters_Public!$C$29, 0)), 0), 0)</f>
        <v>0</v>
      </c>
      <c r="F14">
        <f>IF($B14="FY2026", IF(INDEX(Scenarios!$E:$E, MATCH($A14, Scenarios!$A:$A, 0))=0, IF(LEFT(INDEX(Scenarios!$P:$P, MATCH($A14, Scenarios!$A:$A, 0)),4)="Arts", Parameters_Public!$C$28, IF(LEFT(INDEX(Scenarios!$P:$P, MATCH($A14, Scenarios!$A:$A, 0)),5)="Innov", Parameters_Public!$C$29, 0)), 0), 0)</f>
        <v>0</v>
      </c>
      <c r="G14">
        <f>IF($B14="FY2026", INDEX(Receiving_Capacity!$L:$L, MATCH($A14, Receiving_Capacity!$A:$A, 0)), 0)</f>
        <v>0</v>
      </c>
      <c r="H14">
        <f t="shared" si="0"/>
        <v>0</v>
      </c>
    </row>
    <row r="15" spans="1:8" x14ac:dyDescent="0.35">
      <c r="A15" t="str">
        <f>Scenarios!$A$4</f>
        <v>F_CoLocation_Echo_Targets</v>
      </c>
      <c r="B15" t="s">
        <v>67</v>
      </c>
      <c r="C15">
        <f>INDEX(Scenarios!$D:$D, MATCH($A15, Scenarios!$A:$A, 0)) + INDEX(Scenarios!$E:$E, MATCH($A15, Scenarios!$A:$A, 0))</f>
        <v>0</v>
      </c>
      <c r="D15">
        <f>IF($B15="FY2026",$C15*IF(INDEX(Scenarios!$N:$N, MATCH($A15, Scenarios!$A:$A, 0))="lease", Parameters_Public!$C$31, Parameters_Public!$C$27),0)</f>
        <v>0</v>
      </c>
      <c r="E15">
        <f>IF($B15="FY2026", IF(INDEX(Scenarios!$D:$D, MATCH($A15, Scenarios!$A:$A, 0))=0, IF(LEFT(INDEX(Scenarios!$O:$O, MATCH($A15, Scenarios!$A:$A, 0)),4)="Arts", Parameters_Public!$C$28, IF(LEFT(INDEX(Scenarios!$O:$O, MATCH($A15, Scenarios!$A:$A, 0)),5)="Innov", Parameters_Public!$C$29, 0)), 0), 0)</f>
        <v>0</v>
      </c>
      <c r="F15">
        <f>IF($B15="FY2026", IF(INDEX(Scenarios!$E:$E, MATCH($A15, Scenarios!$A:$A, 0))=0, IF(LEFT(INDEX(Scenarios!$P:$P, MATCH($A15, Scenarios!$A:$A, 0)),4)="Arts", Parameters_Public!$C$28, IF(LEFT(INDEX(Scenarios!$P:$P, MATCH($A15, Scenarios!$A:$A, 0)),5)="Innov", Parameters_Public!$C$29, 0)), 0), 0)</f>
        <v>0</v>
      </c>
      <c r="G15">
        <f>IF($B15="FY2026", INDEX(Receiving_Capacity!$L:$L, MATCH($A15, Receiving_Capacity!$A:$A, 0)), 0)</f>
        <v>0</v>
      </c>
      <c r="H15">
        <f t="shared" si="0"/>
        <v>0</v>
      </c>
    </row>
    <row r="16" spans="1:8" x14ac:dyDescent="0.35">
      <c r="A16" t="str">
        <f>Scenarios!$A$4</f>
        <v>F_CoLocation_Echo_Targets</v>
      </c>
      <c r="B16" t="s">
        <v>68</v>
      </c>
      <c r="C16">
        <f>INDEX(Scenarios!$D:$D, MATCH($A16, Scenarios!$A:$A, 0)) + INDEX(Scenarios!$E:$E, MATCH($A16, Scenarios!$A:$A, 0))</f>
        <v>0</v>
      </c>
      <c r="D16">
        <f>IF($B16="FY2026",$C16*IF(INDEX(Scenarios!$N:$N, MATCH($A16, Scenarios!$A:$A, 0))="lease", Parameters_Public!$C$31, Parameters_Public!$C$27),0)</f>
        <v>0</v>
      </c>
      <c r="E16">
        <f>IF($B16="FY2026", IF(INDEX(Scenarios!$D:$D, MATCH($A16, Scenarios!$A:$A, 0))=0, IF(LEFT(INDEX(Scenarios!$O:$O, MATCH($A16, Scenarios!$A:$A, 0)),4)="Arts", Parameters_Public!$C$28, IF(LEFT(INDEX(Scenarios!$O:$O, MATCH($A16, Scenarios!$A:$A, 0)),5)="Innov", Parameters_Public!$C$29, 0)), 0), 0)</f>
        <v>0</v>
      </c>
      <c r="F16">
        <f>IF($B16="FY2026", IF(INDEX(Scenarios!$E:$E, MATCH($A16, Scenarios!$A:$A, 0))=0, IF(LEFT(INDEX(Scenarios!$P:$P, MATCH($A16, Scenarios!$A:$A, 0)),4)="Arts", Parameters_Public!$C$28, IF(LEFT(INDEX(Scenarios!$P:$P, MATCH($A16, Scenarios!$A:$A, 0)),5)="Innov", Parameters_Public!$C$29, 0)), 0), 0)</f>
        <v>0</v>
      </c>
      <c r="G16">
        <f>IF($B16="FY2026", INDEX(Receiving_Capacity!$L:$L, MATCH($A16, Receiving_Capacity!$A:$A, 0)), 0)</f>
        <v>0</v>
      </c>
      <c r="H16">
        <f t="shared" si="0"/>
        <v>0</v>
      </c>
    </row>
    <row r="17" spans="1:8" x14ac:dyDescent="0.35">
      <c r="A17" t="str">
        <f>Scenarios!$A$4</f>
        <v>F_CoLocation_Echo_Targets</v>
      </c>
      <c r="B17" t="s">
        <v>69</v>
      </c>
      <c r="C17">
        <f>INDEX(Scenarios!$D:$D, MATCH($A17, Scenarios!$A:$A, 0)) + INDEX(Scenarios!$E:$E, MATCH($A17, Scenarios!$A:$A, 0))</f>
        <v>0</v>
      </c>
      <c r="D17">
        <f>IF($B17="FY2026",$C17*IF(INDEX(Scenarios!$N:$N, MATCH($A17, Scenarios!$A:$A, 0))="lease", Parameters_Public!$C$31, Parameters_Public!$C$27),0)</f>
        <v>0</v>
      </c>
      <c r="E17">
        <f>IF($B17="FY2026", IF(INDEX(Scenarios!$D:$D, MATCH($A17, Scenarios!$A:$A, 0))=0, IF(LEFT(INDEX(Scenarios!$O:$O, MATCH($A17, Scenarios!$A:$A, 0)),4)="Arts", Parameters_Public!$C$28, IF(LEFT(INDEX(Scenarios!$O:$O, MATCH($A17, Scenarios!$A:$A, 0)),5)="Innov", Parameters_Public!$C$29, 0)), 0), 0)</f>
        <v>0</v>
      </c>
      <c r="F17">
        <f>IF($B17="FY2026", IF(INDEX(Scenarios!$E:$E, MATCH($A17, Scenarios!$A:$A, 0))=0, IF(LEFT(INDEX(Scenarios!$P:$P, MATCH($A17, Scenarios!$A:$A, 0)),4)="Arts", Parameters_Public!$C$28, IF(LEFT(INDEX(Scenarios!$P:$P, MATCH($A17, Scenarios!$A:$A, 0)),5)="Innov", Parameters_Public!$C$29, 0)), 0), 0)</f>
        <v>0</v>
      </c>
      <c r="G17">
        <f>IF($B17="FY2026", INDEX(Receiving_Capacity!$L:$L, MATCH($A17, Receiving_Capacity!$A:$A, 0)), 0)</f>
        <v>0</v>
      </c>
      <c r="H17">
        <f t="shared" si="0"/>
        <v>0</v>
      </c>
    </row>
    <row r="18" spans="1:8" x14ac:dyDescent="0.35">
      <c r="A18" t="str">
        <f>Scenarios!$A$4</f>
        <v>F_CoLocation_Echo_Targets</v>
      </c>
      <c r="B18" t="s">
        <v>70</v>
      </c>
      <c r="C18">
        <f>INDEX(Scenarios!$D:$D, MATCH($A18, Scenarios!$A:$A, 0)) + INDEX(Scenarios!$E:$E, MATCH($A18, Scenarios!$A:$A, 0))</f>
        <v>0</v>
      </c>
      <c r="D18">
        <f>IF($B18="FY2026",$C18*IF(INDEX(Scenarios!$N:$N, MATCH($A18, Scenarios!$A:$A, 0))="lease", Parameters_Public!$C$31, Parameters_Public!$C$27),0)</f>
        <v>0</v>
      </c>
      <c r="E18">
        <f>IF($B18="FY2026", IF(INDEX(Scenarios!$D:$D, MATCH($A18, Scenarios!$A:$A, 0))=0, IF(LEFT(INDEX(Scenarios!$O:$O, MATCH($A18, Scenarios!$A:$A, 0)),4)="Arts", Parameters_Public!$C$28, IF(LEFT(INDEX(Scenarios!$O:$O, MATCH($A18, Scenarios!$A:$A, 0)),5)="Innov", Parameters_Public!$C$29, 0)), 0), 0)</f>
        <v>0</v>
      </c>
      <c r="F18">
        <f>IF($B18="FY2026", IF(INDEX(Scenarios!$E:$E, MATCH($A18, Scenarios!$A:$A, 0))=0, IF(LEFT(INDEX(Scenarios!$P:$P, MATCH($A18, Scenarios!$A:$A, 0)),4)="Arts", Parameters_Public!$C$28, IF(LEFT(INDEX(Scenarios!$P:$P, MATCH($A18, Scenarios!$A:$A, 0)),5)="Innov", Parameters_Public!$C$29, 0)), 0), 0)</f>
        <v>0</v>
      </c>
      <c r="G18">
        <f>IF($B18="FY2026", INDEX(Receiving_Capacity!$L:$L, MATCH($A18, Receiving_Capacity!$A:$A, 0)), 0)</f>
        <v>0</v>
      </c>
      <c r="H18">
        <f t="shared" si="0"/>
        <v>0</v>
      </c>
    </row>
    <row r="19" spans="1:8" x14ac:dyDescent="0.35">
      <c r="A19" t="str">
        <f>Scenarios!$A$5</f>
        <v>D_Grow_Both_Targets</v>
      </c>
      <c r="B19" t="s">
        <v>66</v>
      </c>
      <c r="C19">
        <f>INDEX(Scenarios!$D:$D, MATCH($A19, Scenarios!$A:$A, 0)) + INDEX(Scenarios!$E:$E, MATCH($A19, Scenarios!$A:$A, 0))</f>
        <v>0</v>
      </c>
      <c r="D19">
        <f>IF($B19="FY2026",$C19*IF(INDEX(Scenarios!$N:$N, MATCH($A19, Scenarios!$A:$A, 0))="lease", Parameters_Public!$C$31, Parameters_Public!$C$27),0)</f>
        <v>0</v>
      </c>
      <c r="E19">
        <f>IF($B19="FY2026", IF(INDEX(Scenarios!$D:$D, MATCH($A19, Scenarios!$A:$A, 0))=0, IF(LEFT(INDEX(Scenarios!$O:$O, MATCH($A19, Scenarios!$A:$A, 0)),4)="Arts", Parameters_Public!$C$28, IF(LEFT(INDEX(Scenarios!$O:$O, MATCH($A19, Scenarios!$A:$A, 0)),5)="Innov", Parameters_Public!$C$29, 0)), 0), 0)</f>
        <v>1200000</v>
      </c>
      <c r="F19">
        <f>IF($B19="FY2026", IF(INDEX(Scenarios!$E:$E, MATCH($A19, Scenarios!$A:$A, 0))=0, IF(LEFT(INDEX(Scenarios!$P:$P, MATCH($A19, Scenarios!$A:$A, 0)),4)="Arts", Parameters_Public!$C$28, IF(LEFT(INDEX(Scenarios!$P:$P, MATCH($A19, Scenarios!$A:$A, 0)),5)="Innov", Parameters_Public!$C$29, 0)), 0), 0)</f>
        <v>800000</v>
      </c>
      <c r="G19">
        <f>IF($B19="FY2026", INDEX(Receiving_Capacity!$L:$L, MATCH($A19, Receiving_Capacity!$A:$A, 0)), 0)</f>
        <v>0</v>
      </c>
      <c r="H19">
        <f t="shared" si="0"/>
        <v>2000000</v>
      </c>
    </row>
    <row r="20" spans="1:8" x14ac:dyDescent="0.35">
      <c r="A20" t="str">
        <f>Scenarios!$A$5</f>
        <v>D_Grow_Both_Targets</v>
      </c>
      <c r="B20" t="s">
        <v>67</v>
      </c>
      <c r="C20">
        <f>INDEX(Scenarios!$D:$D, MATCH($A20, Scenarios!$A:$A, 0)) + INDEX(Scenarios!$E:$E, MATCH($A20, Scenarios!$A:$A, 0))</f>
        <v>0</v>
      </c>
      <c r="D20">
        <f>IF($B20="FY2026",$C20*IF(INDEX(Scenarios!$N:$N, MATCH($A20, Scenarios!$A:$A, 0))="lease", Parameters_Public!$C$31, Parameters_Public!$C$27),0)</f>
        <v>0</v>
      </c>
      <c r="E20">
        <f>IF($B20="FY2026", IF(INDEX(Scenarios!$D:$D, MATCH($A20, Scenarios!$A:$A, 0))=0, IF(LEFT(INDEX(Scenarios!$O:$O, MATCH($A20, Scenarios!$A:$A, 0)),4)="Arts", Parameters_Public!$C$28, IF(LEFT(INDEX(Scenarios!$O:$O, MATCH($A20, Scenarios!$A:$A, 0)),5)="Innov", Parameters_Public!$C$29, 0)), 0), 0)</f>
        <v>0</v>
      </c>
      <c r="F20">
        <f>IF($B20="FY2026", IF(INDEX(Scenarios!$E:$E, MATCH($A20, Scenarios!$A:$A, 0))=0, IF(LEFT(INDEX(Scenarios!$P:$P, MATCH($A20, Scenarios!$A:$A, 0)),4)="Arts", Parameters_Public!$C$28, IF(LEFT(INDEX(Scenarios!$P:$P, MATCH($A20, Scenarios!$A:$A, 0)),5)="Innov", Parameters_Public!$C$29, 0)), 0), 0)</f>
        <v>0</v>
      </c>
      <c r="G20">
        <f>IF($B20="FY2026", INDEX(Receiving_Capacity!$L:$L, MATCH($A20, Receiving_Capacity!$A:$A, 0)), 0)</f>
        <v>0</v>
      </c>
      <c r="H20">
        <f t="shared" si="0"/>
        <v>0</v>
      </c>
    </row>
    <row r="21" spans="1:8" x14ac:dyDescent="0.35">
      <c r="A21" t="str">
        <f>Scenarios!$A$5</f>
        <v>D_Grow_Both_Targets</v>
      </c>
      <c r="B21" t="s">
        <v>68</v>
      </c>
      <c r="C21">
        <f>INDEX(Scenarios!$D:$D, MATCH($A21, Scenarios!$A:$A, 0)) + INDEX(Scenarios!$E:$E, MATCH($A21, Scenarios!$A:$A, 0))</f>
        <v>0</v>
      </c>
      <c r="D21">
        <f>IF($B21="FY2026",$C21*IF(INDEX(Scenarios!$N:$N, MATCH($A21, Scenarios!$A:$A, 0))="lease", Parameters_Public!$C$31, Parameters_Public!$C$27),0)</f>
        <v>0</v>
      </c>
      <c r="E21">
        <f>IF($B21="FY2026", IF(INDEX(Scenarios!$D:$D, MATCH($A21, Scenarios!$A:$A, 0))=0, IF(LEFT(INDEX(Scenarios!$O:$O, MATCH($A21, Scenarios!$A:$A, 0)),4)="Arts", Parameters_Public!$C$28, IF(LEFT(INDEX(Scenarios!$O:$O, MATCH($A21, Scenarios!$A:$A, 0)),5)="Innov", Parameters_Public!$C$29, 0)), 0), 0)</f>
        <v>0</v>
      </c>
      <c r="F21">
        <f>IF($B21="FY2026", IF(INDEX(Scenarios!$E:$E, MATCH($A21, Scenarios!$A:$A, 0))=0, IF(LEFT(INDEX(Scenarios!$P:$P, MATCH($A21, Scenarios!$A:$A, 0)),4)="Arts", Parameters_Public!$C$28, IF(LEFT(INDEX(Scenarios!$P:$P, MATCH($A21, Scenarios!$A:$A, 0)),5)="Innov", Parameters_Public!$C$29, 0)), 0), 0)</f>
        <v>0</v>
      </c>
      <c r="G21">
        <f>IF($B21="FY2026", INDEX(Receiving_Capacity!$L:$L, MATCH($A21, Receiving_Capacity!$A:$A, 0)), 0)</f>
        <v>0</v>
      </c>
      <c r="H21">
        <f t="shared" si="0"/>
        <v>0</v>
      </c>
    </row>
    <row r="22" spans="1:8" x14ac:dyDescent="0.35">
      <c r="A22" t="str">
        <f>Scenarios!$A$5</f>
        <v>D_Grow_Both_Targets</v>
      </c>
      <c r="B22" t="s">
        <v>69</v>
      </c>
      <c r="C22">
        <f>INDEX(Scenarios!$D:$D, MATCH($A22, Scenarios!$A:$A, 0)) + INDEX(Scenarios!$E:$E, MATCH($A22, Scenarios!$A:$A, 0))</f>
        <v>0</v>
      </c>
      <c r="D22">
        <f>IF($B22="FY2026",$C22*IF(INDEX(Scenarios!$N:$N, MATCH($A22, Scenarios!$A:$A, 0))="lease", Parameters_Public!$C$31, Parameters_Public!$C$27),0)</f>
        <v>0</v>
      </c>
      <c r="E22">
        <f>IF($B22="FY2026", IF(INDEX(Scenarios!$D:$D, MATCH($A22, Scenarios!$A:$A, 0))=0, IF(LEFT(INDEX(Scenarios!$O:$O, MATCH($A22, Scenarios!$A:$A, 0)),4)="Arts", Parameters_Public!$C$28, IF(LEFT(INDEX(Scenarios!$O:$O, MATCH($A22, Scenarios!$A:$A, 0)),5)="Innov", Parameters_Public!$C$29, 0)), 0), 0)</f>
        <v>0</v>
      </c>
      <c r="F22">
        <f>IF($B22="FY2026", IF(INDEX(Scenarios!$E:$E, MATCH($A22, Scenarios!$A:$A, 0))=0, IF(LEFT(INDEX(Scenarios!$P:$P, MATCH($A22, Scenarios!$A:$A, 0)),4)="Arts", Parameters_Public!$C$28, IF(LEFT(INDEX(Scenarios!$P:$P, MATCH($A22, Scenarios!$A:$A, 0)),5)="Innov", Parameters_Public!$C$29, 0)), 0), 0)</f>
        <v>0</v>
      </c>
      <c r="G22">
        <f>IF($B22="FY2026", INDEX(Receiving_Capacity!$L:$L, MATCH($A22, Receiving_Capacity!$A:$A, 0)), 0)</f>
        <v>0</v>
      </c>
      <c r="H22">
        <f t="shared" si="0"/>
        <v>0</v>
      </c>
    </row>
    <row r="23" spans="1:8" x14ac:dyDescent="0.35">
      <c r="A23" t="str">
        <f>Scenarios!$A$5</f>
        <v>D_Grow_Both_Targets</v>
      </c>
      <c r="B23" t="s">
        <v>70</v>
      </c>
      <c r="C23">
        <f>INDEX(Scenarios!$D:$D, MATCH($A23, Scenarios!$A:$A, 0)) + INDEX(Scenarios!$E:$E, MATCH($A23, Scenarios!$A:$A, 0))</f>
        <v>0</v>
      </c>
      <c r="D23">
        <f>IF($B23="FY2026",$C23*IF(INDEX(Scenarios!$N:$N, MATCH($A23, Scenarios!$A:$A, 0))="lease", Parameters_Public!$C$31, Parameters_Public!$C$27),0)</f>
        <v>0</v>
      </c>
      <c r="E23">
        <f>IF($B23="FY2026", IF(INDEX(Scenarios!$D:$D, MATCH($A23, Scenarios!$A:$A, 0))=0, IF(LEFT(INDEX(Scenarios!$O:$O, MATCH($A23, Scenarios!$A:$A, 0)),4)="Arts", Parameters_Public!$C$28, IF(LEFT(INDEX(Scenarios!$O:$O, MATCH($A23, Scenarios!$A:$A, 0)),5)="Innov", Parameters_Public!$C$29, 0)), 0), 0)</f>
        <v>0</v>
      </c>
      <c r="F23">
        <f>IF($B23="FY2026", IF(INDEX(Scenarios!$E:$E, MATCH($A23, Scenarios!$A:$A, 0))=0, IF(LEFT(INDEX(Scenarios!$P:$P, MATCH($A23, Scenarios!$A:$A, 0)),4)="Arts", Parameters_Public!$C$28, IF(LEFT(INDEX(Scenarios!$P:$P, MATCH($A23, Scenarios!$A:$A, 0)),5)="Innov", Parameters_Public!$C$29, 0)), 0), 0)</f>
        <v>0</v>
      </c>
      <c r="G23">
        <f>IF($B23="FY2026", INDEX(Receiving_Capacity!$L:$L, MATCH($A23, Receiving_Capacity!$A:$A, 0)), 0)</f>
        <v>0</v>
      </c>
      <c r="H23">
        <f t="shared" si="0"/>
        <v>0</v>
      </c>
    </row>
    <row r="24" spans="1:8" x14ac:dyDescent="0.35">
      <c r="A24" t="str">
        <f>Scenarios!$A$6</f>
        <v>D_CUSTOM2</v>
      </c>
      <c r="B24" t="s">
        <v>66</v>
      </c>
      <c r="C24">
        <f>INDEX(Scenarios!$D:$D, MATCH($A24, Scenarios!$A:$A, 0)) + INDEX(Scenarios!$E:$E, MATCH($A24, Scenarios!$A:$A, 0))</f>
        <v>0</v>
      </c>
      <c r="D24">
        <f>IF($B24="FY2026",$C24*IF(INDEX(Scenarios!$N:$N, MATCH($A24, Scenarios!$A:$A, 0))="lease", Parameters_Public!$C$31, Parameters_Public!$C$27),0)</f>
        <v>0</v>
      </c>
      <c r="E24">
        <f>IF($B24="FY2026", IF(INDEX(Scenarios!$D:$D, MATCH($A24, Scenarios!$A:$A, 0))=0, IF(LEFT(INDEX(Scenarios!$O:$O, MATCH($A24, Scenarios!$A:$A, 0)),4)="Arts", Parameters_Public!$C$28, IF(LEFT(INDEX(Scenarios!$O:$O, MATCH($A24, Scenarios!$A:$A, 0)),5)="Innov", Parameters_Public!$C$29, 0)), 0), 0)</f>
        <v>0</v>
      </c>
      <c r="F24">
        <f>IF($B24="FY2026", IF(INDEX(Scenarios!$E:$E, MATCH($A24, Scenarios!$A:$A, 0))=0, IF(LEFT(INDEX(Scenarios!$P:$P, MATCH($A24, Scenarios!$A:$A, 0)),4)="Arts", Parameters_Public!$C$28, IF(LEFT(INDEX(Scenarios!$P:$P, MATCH($A24, Scenarios!$A:$A, 0)),5)="Innov", Parameters_Public!$C$29, 0)), 0), 0)</f>
        <v>0</v>
      </c>
      <c r="G24">
        <f>IF($B24="FY2026", INDEX(Receiving_Capacity!$L:$L, MATCH($A24, Receiving_Capacity!$A:$A, 0)), 0)</f>
        <v>0</v>
      </c>
      <c r="H24">
        <f t="shared" si="0"/>
        <v>0</v>
      </c>
    </row>
    <row r="25" spans="1:8" x14ac:dyDescent="0.35">
      <c r="A25" t="str">
        <f>Scenarios!$A$6</f>
        <v>D_CUSTOM2</v>
      </c>
      <c r="B25" t="s">
        <v>67</v>
      </c>
      <c r="C25">
        <f>INDEX(Scenarios!$D:$D, MATCH($A25, Scenarios!$A:$A, 0)) + INDEX(Scenarios!$E:$E, MATCH($A25, Scenarios!$A:$A, 0))</f>
        <v>0</v>
      </c>
      <c r="D25">
        <f>IF($B25="FY2026",$C25*IF(INDEX(Scenarios!$N:$N, MATCH($A25, Scenarios!$A:$A, 0))="lease", Parameters_Public!$C$31, Parameters_Public!$C$27),0)</f>
        <v>0</v>
      </c>
      <c r="E25">
        <f>IF($B25="FY2026", IF(INDEX(Scenarios!$D:$D, MATCH($A25, Scenarios!$A:$A, 0))=0, IF(LEFT(INDEX(Scenarios!$O:$O, MATCH($A25, Scenarios!$A:$A, 0)),4)="Arts", Parameters_Public!$C$28, IF(LEFT(INDEX(Scenarios!$O:$O, MATCH($A25, Scenarios!$A:$A, 0)),5)="Innov", Parameters_Public!$C$29, 0)), 0), 0)</f>
        <v>0</v>
      </c>
      <c r="F25">
        <f>IF($B25="FY2026", IF(INDEX(Scenarios!$E:$E, MATCH($A25, Scenarios!$A:$A, 0))=0, IF(LEFT(INDEX(Scenarios!$P:$P, MATCH($A25, Scenarios!$A:$A, 0)),4)="Arts", Parameters_Public!$C$28, IF(LEFT(INDEX(Scenarios!$P:$P, MATCH($A25, Scenarios!$A:$A, 0)),5)="Innov", Parameters_Public!$C$29, 0)), 0), 0)</f>
        <v>0</v>
      </c>
      <c r="G25">
        <f>IF($B25="FY2026", INDEX(Receiving_Capacity!$L:$L, MATCH($A25, Receiving_Capacity!$A:$A, 0)), 0)</f>
        <v>0</v>
      </c>
      <c r="H25">
        <f t="shared" si="0"/>
        <v>0</v>
      </c>
    </row>
    <row r="26" spans="1:8" x14ac:dyDescent="0.35">
      <c r="A26" t="str">
        <f>Scenarios!$A$6</f>
        <v>D_CUSTOM2</v>
      </c>
      <c r="B26" t="s">
        <v>68</v>
      </c>
      <c r="C26">
        <f>INDEX(Scenarios!$D:$D, MATCH($A26, Scenarios!$A:$A, 0)) + INDEX(Scenarios!$E:$E, MATCH($A26, Scenarios!$A:$A, 0))</f>
        <v>0</v>
      </c>
      <c r="D26">
        <f>IF($B26="FY2026",$C26*IF(INDEX(Scenarios!$N:$N, MATCH($A26, Scenarios!$A:$A, 0))="lease", Parameters_Public!$C$31, Parameters_Public!$C$27),0)</f>
        <v>0</v>
      </c>
      <c r="E26">
        <f>IF($B26="FY2026", IF(INDEX(Scenarios!$D:$D, MATCH($A26, Scenarios!$A:$A, 0))=0, IF(LEFT(INDEX(Scenarios!$O:$O, MATCH($A26, Scenarios!$A:$A, 0)),4)="Arts", Parameters_Public!$C$28, IF(LEFT(INDEX(Scenarios!$O:$O, MATCH($A26, Scenarios!$A:$A, 0)),5)="Innov", Parameters_Public!$C$29, 0)), 0), 0)</f>
        <v>0</v>
      </c>
      <c r="F26">
        <f>IF($B26="FY2026", IF(INDEX(Scenarios!$E:$E, MATCH($A26, Scenarios!$A:$A, 0))=0, IF(LEFT(INDEX(Scenarios!$P:$P, MATCH($A26, Scenarios!$A:$A, 0)),4)="Arts", Parameters_Public!$C$28, IF(LEFT(INDEX(Scenarios!$P:$P, MATCH($A26, Scenarios!$A:$A, 0)),5)="Innov", Parameters_Public!$C$29, 0)), 0), 0)</f>
        <v>0</v>
      </c>
      <c r="G26">
        <f>IF($B26="FY2026", INDEX(Receiving_Capacity!$L:$L, MATCH($A26, Receiving_Capacity!$A:$A, 0)), 0)</f>
        <v>0</v>
      </c>
      <c r="H26">
        <f t="shared" si="0"/>
        <v>0</v>
      </c>
    </row>
    <row r="27" spans="1:8" x14ac:dyDescent="0.35">
      <c r="A27" t="str">
        <f>Scenarios!$A$6</f>
        <v>D_CUSTOM2</v>
      </c>
      <c r="B27" t="s">
        <v>69</v>
      </c>
      <c r="C27">
        <f>INDEX(Scenarios!$D:$D, MATCH($A27, Scenarios!$A:$A, 0)) + INDEX(Scenarios!$E:$E, MATCH($A27, Scenarios!$A:$A, 0))</f>
        <v>0</v>
      </c>
      <c r="D27">
        <f>IF($B27="FY2026",$C27*IF(INDEX(Scenarios!$N:$N, MATCH($A27, Scenarios!$A:$A, 0))="lease", Parameters_Public!$C$31, Parameters_Public!$C$27),0)</f>
        <v>0</v>
      </c>
      <c r="E27">
        <f>IF($B27="FY2026", IF(INDEX(Scenarios!$D:$D, MATCH($A27, Scenarios!$A:$A, 0))=0, IF(LEFT(INDEX(Scenarios!$O:$O, MATCH($A27, Scenarios!$A:$A, 0)),4)="Arts", Parameters_Public!$C$28, IF(LEFT(INDEX(Scenarios!$O:$O, MATCH($A27, Scenarios!$A:$A, 0)),5)="Innov", Parameters_Public!$C$29, 0)), 0), 0)</f>
        <v>0</v>
      </c>
      <c r="F27">
        <f>IF($B27="FY2026", IF(INDEX(Scenarios!$E:$E, MATCH($A27, Scenarios!$A:$A, 0))=0, IF(LEFT(INDEX(Scenarios!$P:$P, MATCH($A27, Scenarios!$A:$A, 0)),4)="Arts", Parameters_Public!$C$28, IF(LEFT(INDEX(Scenarios!$P:$P, MATCH($A27, Scenarios!$A:$A, 0)),5)="Innov", Parameters_Public!$C$29, 0)), 0), 0)</f>
        <v>0</v>
      </c>
      <c r="G27">
        <f>IF($B27="FY2026", INDEX(Receiving_Capacity!$L:$L, MATCH($A27, Receiving_Capacity!$A:$A, 0)), 0)</f>
        <v>0</v>
      </c>
      <c r="H27">
        <f t="shared" si="0"/>
        <v>0</v>
      </c>
    </row>
    <row r="28" spans="1:8" x14ac:dyDescent="0.35">
      <c r="A28" t="str">
        <f>Scenarios!$A$6</f>
        <v>D_CUSTOM2</v>
      </c>
      <c r="B28" t="s">
        <v>70</v>
      </c>
      <c r="C28">
        <f>INDEX(Scenarios!$D:$D, MATCH($A28, Scenarios!$A:$A, 0)) + INDEX(Scenarios!$E:$E, MATCH($A28, Scenarios!$A:$A, 0))</f>
        <v>0</v>
      </c>
      <c r="D28">
        <f>IF($B28="FY2026",$C28*IF(INDEX(Scenarios!$N:$N, MATCH($A28, Scenarios!$A:$A, 0))="lease", Parameters_Public!$C$31, Parameters_Public!$C$27),0)</f>
        <v>0</v>
      </c>
      <c r="E28">
        <f>IF($B28="FY2026", IF(INDEX(Scenarios!$D:$D, MATCH($A28, Scenarios!$A:$A, 0))=0, IF(LEFT(INDEX(Scenarios!$O:$O, MATCH($A28, Scenarios!$A:$A, 0)),4)="Arts", Parameters_Public!$C$28, IF(LEFT(INDEX(Scenarios!$O:$O, MATCH($A28, Scenarios!$A:$A, 0)),5)="Innov", Parameters_Public!$C$29, 0)), 0), 0)</f>
        <v>0</v>
      </c>
      <c r="F28">
        <f>IF($B28="FY2026", IF(INDEX(Scenarios!$E:$E, MATCH($A28, Scenarios!$A:$A, 0))=0, IF(LEFT(INDEX(Scenarios!$P:$P, MATCH($A28, Scenarios!$A:$A, 0)),4)="Arts", Parameters_Public!$C$28, IF(LEFT(INDEX(Scenarios!$P:$P, MATCH($A28, Scenarios!$A:$A, 0)),5)="Innov", Parameters_Public!$C$29, 0)), 0), 0)</f>
        <v>0</v>
      </c>
      <c r="G28">
        <f>IF($B28="FY2026", INDEX(Receiving_Capacity!$L:$L, MATCH($A28, Receiving_Capacity!$A:$A, 0)), 0)</f>
        <v>0</v>
      </c>
      <c r="H28">
        <f t="shared" si="0"/>
        <v>0</v>
      </c>
    </row>
    <row r="29" spans="1:8" x14ac:dyDescent="0.35">
      <c r="A29" t="str">
        <f>Scenarios!$A$7</f>
        <v>G_EchoGHubRamp_PimaTargets</v>
      </c>
      <c r="B29" t="s">
        <v>66</v>
      </c>
      <c r="C29">
        <f>INDEX(Scenarios!$D:$D, MATCH($A29, Scenarios!$A:$A, 0)) + INDEX(Scenarios!$E:$E, MATCH($A29, Scenarios!$A:$A, 0))</f>
        <v>0</v>
      </c>
      <c r="D29">
        <f>IF($B29="FY2026",$C29*IF(INDEX(Scenarios!$N:$N, MATCH($A29, Scenarios!$A:$A, 0))="lease", Parameters_Public!$C$31, Parameters_Public!$C$27),0)</f>
        <v>0</v>
      </c>
      <c r="E29">
        <f>IF($B29="FY2026", IF(INDEX(Scenarios!$D:$D, MATCH($A29, Scenarios!$A:$A, 0))=0, IF(LEFT(INDEX(Scenarios!$O:$O, MATCH($A29, Scenarios!$A:$A, 0)),4)="Arts", Parameters_Public!$C$28, IF(LEFT(INDEX(Scenarios!$O:$O, MATCH($A29, Scenarios!$A:$A, 0)),5)="Innov", Parameters_Public!$C$29, 0)), 0), 0)</f>
        <v>800000</v>
      </c>
      <c r="F29">
        <f>IF($B29="FY2026", IF(INDEX(Scenarios!$E:$E, MATCH($A29, Scenarios!$A:$A, 0))=0, IF(LEFT(INDEX(Scenarios!$P:$P, MATCH($A29, Scenarios!$A:$A, 0)),4)="Arts", Parameters_Public!$C$28, IF(LEFT(INDEX(Scenarios!$P:$P, MATCH($A29, Scenarios!$A:$A, 0)),5)="Innov", Parameters_Public!$C$29, 0)), 0), 0)</f>
        <v>0</v>
      </c>
      <c r="G29">
        <f>IF($B29="FY2026", INDEX(Receiving_Capacity!$L:$L, MATCH($A29, Receiving_Capacity!$A:$A, 0)), 0)</f>
        <v>0</v>
      </c>
      <c r="H29">
        <f t="shared" si="0"/>
        <v>800000</v>
      </c>
    </row>
    <row r="30" spans="1:8" x14ac:dyDescent="0.35">
      <c r="A30" t="str">
        <f>Scenarios!$A$7</f>
        <v>G_EchoGHubRamp_PimaTargets</v>
      </c>
      <c r="B30" t="s">
        <v>67</v>
      </c>
      <c r="C30">
        <f>INDEX(Scenarios!$D:$D, MATCH($A30, Scenarios!$A:$A, 0)) + INDEX(Scenarios!$E:$E, MATCH($A30, Scenarios!$A:$A, 0))</f>
        <v>0</v>
      </c>
      <c r="D30">
        <f>IF($B30="FY2026",$C30*IF(INDEX(Scenarios!$N:$N, MATCH($A30, Scenarios!$A:$A, 0))="lease", Parameters_Public!$C$31, Parameters_Public!$C$27),0)</f>
        <v>0</v>
      </c>
      <c r="E30">
        <f>IF($B30="FY2026", IF(INDEX(Scenarios!$D:$D, MATCH($A30, Scenarios!$A:$A, 0))=0, IF(LEFT(INDEX(Scenarios!$O:$O, MATCH($A30, Scenarios!$A:$A, 0)),4)="Arts", Parameters_Public!$C$28, IF(LEFT(INDEX(Scenarios!$O:$O, MATCH($A30, Scenarios!$A:$A, 0)),5)="Innov", Parameters_Public!$C$29, 0)), 0), 0)</f>
        <v>0</v>
      </c>
      <c r="F30">
        <f>IF($B30="FY2026", IF(INDEX(Scenarios!$E:$E, MATCH($A30, Scenarios!$A:$A, 0))=0, IF(LEFT(INDEX(Scenarios!$P:$P, MATCH($A30, Scenarios!$A:$A, 0)),4)="Arts", Parameters_Public!$C$28, IF(LEFT(INDEX(Scenarios!$P:$P, MATCH($A30, Scenarios!$A:$A, 0)),5)="Innov", Parameters_Public!$C$29, 0)), 0), 0)</f>
        <v>0</v>
      </c>
      <c r="G30">
        <f>IF($B30="FY2026", INDEX(Receiving_Capacity!$L:$L, MATCH($A30, Receiving_Capacity!$A:$A, 0)), 0)</f>
        <v>0</v>
      </c>
      <c r="H30">
        <f t="shared" si="0"/>
        <v>0</v>
      </c>
    </row>
    <row r="31" spans="1:8" x14ac:dyDescent="0.35">
      <c r="A31" t="str">
        <f>Scenarios!$A$7</f>
        <v>G_EchoGHubRamp_PimaTargets</v>
      </c>
      <c r="B31" t="s">
        <v>68</v>
      </c>
      <c r="C31">
        <f>INDEX(Scenarios!$D:$D, MATCH($A31, Scenarios!$A:$A, 0)) + INDEX(Scenarios!$E:$E, MATCH($A31, Scenarios!$A:$A, 0))</f>
        <v>0</v>
      </c>
      <c r="D31">
        <f>IF($B31="FY2026",$C31*IF(INDEX(Scenarios!$N:$N, MATCH($A31, Scenarios!$A:$A, 0))="lease", Parameters_Public!$C$31, Parameters_Public!$C$27),0)</f>
        <v>0</v>
      </c>
      <c r="E31">
        <f>IF($B31="FY2026", IF(INDEX(Scenarios!$D:$D, MATCH($A31, Scenarios!$A:$A, 0))=0, IF(LEFT(INDEX(Scenarios!$O:$O, MATCH($A31, Scenarios!$A:$A, 0)),4)="Arts", Parameters_Public!$C$28, IF(LEFT(INDEX(Scenarios!$O:$O, MATCH($A31, Scenarios!$A:$A, 0)),5)="Innov", Parameters_Public!$C$29, 0)), 0), 0)</f>
        <v>0</v>
      </c>
      <c r="F31">
        <f>IF($B31="FY2026", IF(INDEX(Scenarios!$E:$E, MATCH($A31, Scenarios!$A:$A, 0))=0, IF(LEFT(INDEX(Scenarios!$P:$P, MATCH($A31, Scenarios!$A:$A, 0)),4)="Arts", Parameters_Public!$C$28, IF(LEFT(INDEX(Scenarios!$P:$P, MATCH($A31, Scenarios!$A:$A, 0)),5)="Innov", Parameters_Public!$C$29, 0)), 0), 0)</f>
        <v>0</v>
      </c>
      <c r="G31">
        <f>IF($B31="FY2026", INDEX(Receiving_Capacity!$L:$L, MATCH($A31, Receiving_Capacity!$A:$A, 0)), 0)</f>
        <v>0</v>
      </c>
      <c r="H31">
        <f t="shared" si="0"/>
        <v>0</v>
      </c>
    </row>
    <row r="32" spans="1:8" x14ac:dyDescent="0.35">
      <c r="A32" t="str">
        <f>Scenarios!$A$7</f>
        <v>G_EchoGHubRamp_PimaTargets</v>
      </c>
      <c r="B32" t="s">
        <v>69</v>
      </c>
      <c r="C32">
        <f>INDEX(Scenarios!$D:$D, MATCH($A32, Scenarios!$A:$A, 0)) + INDEX(Scenarios!$E:$E, MATCH($A32, Scenarios!$A:$A, 0))</f>
        <v>0</v>
      </c>
      <c r="D32">
        <f>IF($B32="FY2026",$C32*IF(INDEX(Scenarios!$N:$N, MATCH($A32, Scenarios!$A:$A, 0))="lease", Parameters_Public!$C$31, Parameters_Public!$C$27),0)</f>
        <v>0</v>
      </c>
      <c r="E32">
        <f>IF($B32="FY2026", IF(INDEX(Scenarios!$D:$D, MATCH($A32, Scenarios!$A:$A, 0))=0, IF(LEFT(INDEX(Scenarios!$O:$O, MATCH($A32, Scenarios!$A:$A, 0)),4)="Arts", Parameters_Public!$C$28, IF(LEFT(INDEX(Scenarios!$O:$O, MATCH($A32, Scenarios!$A:$A, 0)),5)="Innov", Parameters_Public!$C$29, 0)), 0), 0)</f>
        <v>0</v>
      </c>
      <c r="F32">
        <f>IF($B32="FY2026", IF(INDEX(Scenarios!$E:$E, MATCH($A32, Scenarios!$A:$A, 0))=0, IF(LEFT(INDEX(Scenarios!$P:$P, MATCH($A32, Scenarios!$A:$A, 0)),4)="Arts", Parameters_Public!$C$28, IF(LEFT(INDEX(Scenarios!$P:$P, MATCH($A32, Scenarios!$A:$A, 0)),5)="Innov", Parameters_Public!$C$29, 0)), 0), 0)</f>
        <v>0</v>
      </c>
      <c r="G32">
        <f>IF($B32="FY2026", INDEX(Receiving_Capacity!$L:$L, MATCH($A32, Receiving_Capacity!$A:$A, 0)), 0)</f>
        <v>0</v>
      </c>
      <c r="H32">
        <f t="shared" si="0"/>
        <v>0</v>
      </c>
    </row>
    <row r="33" spans="1:8" x14ac:dyDescent="0.35">
      <c r="A33" t="str">
        <f>Scenarios!$A$7</f>
        <v>G_EchoGHubRamp_PimaTargets</v>
      </c>
      <c r="B33" t="s">
        <v>70</v>
      </c>
      <c r="C33">
        <f>INDEX(Scenarios!$D:$D, MATCH($A33, Scenarios!$A:$A, 0)) + INDEX(Scenarios!$E:$E, MATCH($A33, Scenarios!$A:$A, 0))</f>
        <v>0</v>
      </c>
      <c r="D33">
        <f>IF($B33="FY2026",$C33*IF(INDEX(Scenarios!$N:$N, MATCH($A33, Scenarios!$A:$A, 0))="lease", Parameters_Public!$C$31, Parameters_Public!$C$27),0)</f>
        <v>0</v>
      </c>
      <c r="E33">
        <f>IF($B33="FY2026", IF(INDEX(Scenarios!$D:$D, MATCH($A33, Scenarios!$A:$A, 0))=0, IF(LEFT(INDEX(Scenarios!$O:$O, MATCH($A33, Scenarios!$A:$A, 0)),4)="Arts", Parameters_Public!$C$28, IF(LEFT(INDEX(Scenarios!$O:$O, MATCH($A33, Scenarios!$A:$A, 0)),5)="Innov", Parameters_Public!$C$29, 0)), 0), 0)</f>
        <v>0</v>
      </c>
      <c r="F33">
        <f>IF($B33="FY2026", IF(INDEX(Scenarios!$E:$E, MATCH($A33, Scenarios!$A:$A, 0))=0, IF(LEFT(INDEX(Scenarios!$P:$P, MATCH($A33, Scenarios!$A:$A, 0)),4)="Arts", Parameters_Public!$C$28, IF(LEFT(INDEX(Scenarios!$P:$P, MATCH($A33, Scenarios!$A:$A, 0)),5)="Innov", Parameters_Public!$C$29, 0)), 0), 0)</f>
        <v>0</v>
      </c>
      <c r="G33">
        <f>IF($B33="FY2026", INDEX(Receiving_Capacity!$L:$L, MATCH($A33, Receiving_Capacity!$A:$A, 0)), 0)</f>
        <v>0</v>
      </c>
      <c r="H33">
        <f t="shared" si="0"/>
        <v>0</v>
      </c>
    </row>
    <row r="34" spans="1:8" x14ac:dyDescent="0.35">
      <c r="A34" t="str">
        <f>Scenarios!$A$8</f>
        <v>A_Repurpose_Both_lease</v>
      </c>
      <c r="B34" t="s">
        <v>66</v>
      </c>
      <c r="C34">
        <f>INDEX(Scenarios!$D:$D, MATCH($A34, Scenarios!$A:$A, 0)) + INDEX(Scenarios!$E:$E, MATCH($A34, Scenarios!$A:$A, 0))</f>
        <v>2</v>
      </c>
      <c r="D34">
        <f>IF($B34="FY2026",$C34*IF(INDEX(Scenarios!$N:$N, MATCH($A34, Scenarios!$A:$A, 0))="lease", Parameters_Public!$C$31, Parameters_Public!$C$27),0)</f>
        <v>1600000</v>
      </c>
      <c r="E34">
        <f>IF($B34="FY2026", IF(INDEX(Scenarios!$D:$D, MATCH($A34, Scenarios!$A:$A, 0))=0, IF(LEFT(INDEX(Scenarios!$O:$O, MATCH($A34, Scenarios!$A:$A, 0)),4)="Arts", Parameters_Public!$C$28, IF(LEFT(INDEX(Scenarios!$O:$O, MATCH($A34, Scenarios!$A:$A, 0)),5)="Innov", Parameters_Public!$C$29, 0)), 0), 0)</f>
        <v>0</v>
      </c>
      <c r="F34">
        <f>IF($B34="FY2026", IF(INDEX(Scenarios!$E:$E, MATCH($A34, Scenarios!$A:$A, 0))=0, IF(LEFT(INDEX(Scenarios!$P:$P, MATCH($A34, Scenarios!$A:$A, 0)),4)="Arts", Parameters_Public!$C$28, IF(LEFT(INDEX(Scenarios!$P:$P, MATCH($A34, Scenarios!$A:$A, 0)),5)="Innov", Parameters_Public!$C$29, 0)), 0), 0)</f>
        <v>0</v>
      </c>
      <c r="G34">
        <f>IF($B34="FY2026", INDEX(Receiving_Capacity!$L:$L, MATCH($A34, Receiving_Capacity!$A:$A, 0)), 0)</f>
        <v>714479.99999999953</v>
      </c>
      <c r="H34">
        <f t="shared" si="0"/>
        <v>2314479.9999999995</v>
      </c>
    </row>
    <row r="35" spans="1:8" x14ac:dyDescent="0.35">
      <c r="A35" t="str">
        <f>Scenarios!$A$8</f>
        <v>A_Repurpose_Both_lease</v>
      </c>
      <c r="B35" t="s">
        <v>67</v>
      </c>
      <c r="C35">
        <f>INDEX(Scenarios!$D:$D, MATCH($A35, Scenarios!$A:$A, 0)) + INDEX(Scenarios!$E:$E, MATCH($A35, Scenarios!$A:$A, 0))</f>
        <v>2</v>
      </c>
      <c r="D35">
        <f>IF($B35="FY2026",$C35*IF(INDEX(Scenarios!$N:$N, MATCH($A35, Scenarios!$A:$A, 0))="lease", Parameters_Public!$C$31, Parameters_Public!$C$27),0)</f>
        <v>0</v>
      </c>
      <c r="E35">
        <f>IF($B35="FY2026", IF(INDEX(Scenarios!$D:$D, MATCH($A35, Scenarios!$A:$A, 0))=0, IF(LEFT(INDEX(Scenarios!$O:$O, MATCH($A35, Scenarios!$A:$A, 0)),4)="Arts", Parameters_Public!$C$28, IF(LEFT(INDEX(Scenarios!$O:$O, MATCH($A35, Scenarios!$A:$A, 0)),5)="Innov", Parameters_Public!$C$29, 0)), 0), 0)</f>
        <v>0</v>
      </c>
      <c r="F35">
        <f>IF($B35="FY2026", IF(INDEX(Scenarios!$E:$E, MATCH($A35, Scenarios!$A:$A, 0))=0, IF(LEFT(INDEX(Scenarios!$P:$P, MATCH($A35, Scenarios!$A:$A, 0)),4)="Arts", Parameters_Public!$C$28, IF(LEFT(INDEX(Scenarios!$P:$P, MATCH($A35, Scenarios!$A:$A, 0)),5)="Innov", Parameters_Public!$C$29, 0)), 0), 0)</f>
        <v>0</v>
      </c>
      <c r="G35">
        <f>IF($B35="FY2026", INDEX(Receiving_Capacity!$L:$L, MATCH($A35, Receiving_Capacity!$A:$A, 0)), 0)</f>
        <v>0</v>
      </c>
      <c r="H35">
        <f t="shared" si="0"/>
        <v>0</v>
      </c>
    </row>
    <row r="36" spans="1:8" x14ac:dyDescent="0.35">
      <c r="A36" t="str">
        <f>Scenarios!$A$8</f>
        <v>A_Repurpose_Both_lease</v>
      </c>
      <c r="B36" t="s">
        <v>68</v>
      </c>
      <c r="C36">
        <f>INDEX(Scenarios!$D:$D, MATCH($A36, Scenarios!$A:$A, 0)) + INDEX(Scenarios!$E:$E, MATCH($A36, Scenarios!$A:$A, 0))</f>
        <v>2</v>
      </c>
      <c r="D36">
        <f>IF($B36="FY2026",$C36*IF(INDEX(Scenarios!$N:$N, MATCH($A36, Scenarios!$A:$A, 0))="lease", Parameters_Public!$C$31, Parameters_Public!$C$27),0)</f>
        <v>0</v>
      </c>
      <c r="E36">
        <f>IF($B36="FY2026", IF(INDEX(Scenarios!$D:$D, MATCH($A36, Scenarios!$A:$A, 0))=0, IF(LEFT(INDEX(Scenarios!$O:$O, MATCH($A36, Scenarios!$A:$A, 0)),4)="Arts", Parameters_Public!$C$28, IF(LEFT(INDEX(Scenarios!$O:$O, MATCH($A36, Scenarios!$A:$A, 0)),5)="Innov", Parameters_Public!$C$29, 0)), 0), 0)</f>
        <v>0</v>
      </c>
      <c r="F36">
        <f>IF($B36="FY2026", IF(INDEX(Scenarios!$E:$E, MATCH($A36, Scenarios!$A:$A, 0))=0, IF(LEFT(INDEX(Scenarios!$P:$P, MATCH($A36, Scenarios!$A:$A, 0)),4)="Arts", Parameters_Public!$C$28, IF(LEFT(INDEX(Scenarios!$P:$P, MATCH($A36, Scenarios!$A:$A, 0)),5)="Innov", Parameters_Public!$C$29, 0)), 0), 0)</f>
        <v>0</v>
      </c>
      <c r="G36">
        <f>IF($B36="FY2026", INDEX(Receiving_Capacity!$L:$L, MATCH($A36, Receiving_Capacity!$A:$A, 0)), 0)</f>
        <v>0</v>
      </c>
      <c r="H36">
        <f t="shared" ref="H36:H63" si="1">SUM(D36:G36)</f>
        <v>0</v>
      </c>
    </row>
    <row r="37" spans="1:8" x14ac:dyDescent="0.35">
      <c r="A37" t="str">
        <f>Scenarios!$A$8</f>
        <v>A_Repurpose_Both_lease</v>
      </c>
      <c r="B37" t="s">
        <v>69</v>
      </c>
      <c r="C37">
        <f>INDEX(Scenarios!$D:$D, MATCH($A37, Scenarios!$A:$A, 0)) + INDEX(Scenarios!$E:$E, MATCH($A37, Scenarios!$A:$A, 0))</f>
        <v>2</v>
      </c>
      <c r="D37">
        <f>IF($B37="FY2026",$C37*IF(INDEX(Scenarios!$N:$N, MATCH($A37, Scenarios!$A:$A, 0))="lease", Parameters_Public!$C$31, Parameters_Public!$C$27),0)</f>
        <v>0</v>
      </c>
      <c r="E37">
        <f>IF($B37="FY2026", IF(INDEX(Scenarios!$D:$D, MATCH($A37, Scenarios!$A:$A, 0))=0, IF(LEFT(INDEX(Scenarios!$O:$O, MATCH($A37, Scenarios!$A:$A, 0)),4)="Arts", Parameters_Public!$C$28, IF(LEFT(INDEX(Scenarios!$O:$O, MATCH($A37, Scenarios!$A:$A, 0)),5)="Innov", Parameters_Public!$C$29, 0)), 0), 0)</f>
        <v>0</v>
      </c>
      <c r="F37">
        <f>IF($B37="FY2026", IF(INDEX(Scenarios!$E:$E, MATCH($A37, Scenarios!$A:$A, 0))=0, IF(LEFT(INDEX(Scenarios!$P:$P, MATCH($A37, Scenarios!$A:$A, 0)),4)="Arts", Parameters_Public!$C$28, IF(LEFT(INDEX(Scenarios!$P:$P, MATCH($A37, Scenarios!$A:$A, 0)),5)="Innov", Parameters_Public!$C$29, 0)), 0), 0)</f>
        <v>0</v>
      </c>
      <c r="G37">
        <f>IF($B37="FY2026", INDEX(Receiving_Capacity!$L:$L, MATCH($A37, Receiving_Capacity!$A:$A, 0)), 0)</f>
        <v>0</v>
      </c>
      <c r="H37">
        <f t="shared" si="1"/>
        <v>0</v>
      </c>
    </row>
    <row r="38" spans="1:8" x14ac:dyDescent="0.35">
      <c r="A38" t="str">
        <f>Scenarios!$A$8</f>
        <v>A_Repurpose_Both_lease</v>
      </c>
      <c r="B38" t="s">
        <v>70</v>
      </c>
      <c r="C38">
        <f>INDEX(Scenarios!$D:$D, MATCH($A38, Scenarios!$A:$A, 0)) + INDEX(Scenarios!$E:$E, MATCH($A38, Scenarios!$A:$A, 0))</f>
        <v>2</v>
      </c>
      <c r="D38">
        <f>IF($B38="FY2026",$C38*IF(INDEX(Scenarios!$N:$N, MATCH($A38, Scenarios!$A:$A, 0))="lease", Parameters_Public!$C$31, Parameters_Public!$C$27),0)</f>
        <v>0</v>
      </c>
      <c r="E38">
        <f>IF($B38="FY2026", IF(INDEX(Scenarios!$D:$D, MATCH($A38, Scenarios!$A:$A, 0))=0, IF(LEFT(INDEX(Scenarios!$O:$O, MATCH($A38, Scenarios!$A:$A, 0)),4)="Arts", Parameters_Public!$C$28, IF(LEFT(INDEX(Scenarios!$O:$O, MATCH($A38, Scenarios!$A:$A, 0)),5)="Innov", Parameters_Public!$C$29, 0)), 0), 0)</f>
        <v>0</v>
      </c>
      <c r="F38">
        <f>IF($B38="FY2026", IF(INDEX(Scenarios!$E:$E, MATCH($A38, Scenarios!$A:$A, 0))=0, IF(LEFT(INDEX(Scenarios!$P:$P, MATCH($A38, Scenarios!$A:$A, 0)),4)="Arts", Parameters_Public!$C$28, IF(LEFT(INDEX(Scenarios!$P:$P, MATCH($A38, Scenarios!$A:$A, 0)),5)="Innov", Parameters_Public!$C$29, 0)), 0), 0)</f>
        <v>0</v>
      </c>
      <c r="G38">
        <f>IF($B38="FY2026", INDEX(Receiving_Capacity!$L:$L, MATCH($A38, Receiving_Capacity!$A:$A, 0)), 0)</f>
        <v>0</v>
      </c>
      <c r="H38">
        <f t="shared" si="1"/>
        <v>0</v>
      </c>
    </row>
    <row r="39" spans="1:8" x14ac:dyDescent="0.35">
      <c r="A39" t="str">
        <f>Scenarios!$A$9</f>
        <v>A_Repurpose_Both_ops</v>
      </c>
      <c r="B39" t="s">
        <v>66</v>
      </c>
      <c r="C39">
        <f>INDEX(Scenarios!$D:$D, MATCH($A39, Scenarios!$A:$A, 0)) + INDEX(Scenarios!$E:$E, MATCH($A39, Scenarios!$A:$A, 0))</f>
        <v>2</v>
      </c>
      <c r="D39">
        <f>IF($B39="FY2026",$C39*IF(INDEX(Scenarios!$N:$N, MATCH($A39, Scenarios!$A:$A, 0))="lease", Parameters_Public!$C$31, Parameters_Public!$C$27),0)</f>
        <v>2400000</v>
      </c>
      <c r="E39">
        <f>IF($B39="FY2026", IF(INDEX(Scenarios!$D:$D, MATCH($A39, Scenarios!$A:$A, 0))=0, IF(LEFT(INDEX(Scenarios!$O:$O, MATCH($A39, Scenarios!$A:$A, 0)),4)="Arts", Parameters_Public!$C$28, IF(LEFT(INDEX(Scenarios!$O:$O, MATCH($A39, Scenarios!$A:$A, 0)),5)="Innov", Parameters_Public!$C$29, 0)), 0), 0)</f>
        <v>0</v>
      </c>
      <c r="F39">
        <f>IF($B39="FY2026", IF(INDEX(Scenarios!$E:$E, MATCH($A39, Scenarios!$A:$A, 0))=0, IF(LEFT(INDEX(Scenarios!$P:$P, MATCH($A39, Scenarios!$A:$A, 0)),4)="Arts", Parameters_Public!$C$28, IF(LEFT(INDEX(Scenarios!$P:$P, MATCH($A39, Scenarios!$A:$A, 0)),5)="Innov", Parameters_Public!$C$29, 0)), 0), 0)</f>
        <v>0</v>
      </c>
      <c r="G39">
        <f>IF($B39="FY2026", INDEX(Receiving_Capacity!$L:$L, MATCH($A39, Receiving_Capacity!$A:$A, 0)), 0)</f>
        <v>714479.99999999953</v>
      </c>
      <c r="H39">
        <f t="shared" si="1"/>
        <v>3114479.9999999995</v>
      </c>
    </row>
    <row r="40" spans="1:8" x14ac:dyDescent="0.35">
      <c r="A40" t="str">
        <f>Scenarios!$A$9</f>
        <v>A_Repurpose_Both_ops</v>
      </c>
      <c r="B40" t="s">
        <v>67</v>
      </c>
      <c r="C40">
        <f>INDEX(Scenarios!$D:$D, MATCH($A40, Scenarios!$A:$A, 0)) + INDEX(Scenarios!$E:$E, MATCH($A40, Scenarios!$A:$A, 0))</f>
        <v>2</v>
      </c>
      <c r="D40">
        <f>IF($B40="FY2026",$C40*IF(INDEX(Scenarios!$N:$N, MATCH($A40, Scenarios!$A:$A, 0))="lease", Parameters_Public!$C$31, Parameters_Public!$C$27),0)</f>
        <v>0</v>
      </c>
      <c r="E40">
        <f>IF($B40="FY2026", IF(INDEX(Scenarios!$D:$D, MATCH($A40, Scenarios!$A:$A, 0))=0, IF(LEFT(INDEX(Scenarios!$O:$O, MATCH($A40, Scenarios!$A:$A, 0)),4)="Arts", Parameters_Public!$C$28, IF(LEFT(INDEX(Scenarios!$O:$O, MATCH($A40, Scenarios!$A:$A, 0)),5)="Innov", Parameters_Public!$C$29, 0)), 0), 0)</f>
        <v>0</v>
      </c>
      <c r="F40">
        <f>IF($B40="FY2026", IF(INDEX(Scenarios!$E:$E, MATCH($A40, Scenarios!$A:$A, 0))=0, IF(LEFT(INDEX(Scenarios!$P:$P, MATCH($A40, Scenarios!$A:$A, 0)),4)="Arts", Parameters_Public!$C$28, IF(LEFT(INDEX(Scenarios!$P:$P, MATCH($A40, Scenarios!$A:$A, 0)),5)="Innov", Parameters_Public!$C$29, 0)), 0), 0)</f>
        <v>0</v>
      </c>
      <c r="G40">
        <f>IF($B40="FY2026", INDEX(Receiving_Capacity!$L:$L, MATCH($A40, Receiving_Capacity!$A:$A, 0)), 0)</f>
        <v>0</v>
      </c>
      <c r="H40">
        <f t="shared" si="1"/>
        <v>0</v>
      </c>
    </row>
    <row r="41" spans="1:8" x14ac:dyDescent="0.35">
      <c r="A41" t="str">
        <f>Scenarios!$A$9</f>
        <v>A_Repurpose_Both_ops</v>
      </c>
      <c r="B41" t="s">
        <v>68</v>
      </c>
      <c r="C41">
        <f>INDEX(Scenarios!$D:$D, MATCH($A41, Scenarios!$A:$A, 0)) + INDEX(Scenarios!$E:$E, MATCH($A41, Scenarios!$A:$A, 0))</f>
        <v>2</v>
      </c>
      <c r="D41">
        <f>IF($B41="FY2026",$C41*IF(INDEX(Scenarios!$N:$N, MATCH($A41, Scenarios!$A:$A, 0))="lease", Parameters_Public!$C$31, Parameters_Public!$C$27),0)</f>
        <v>0</v>
      </c>
      <c r="E41">
        <f>IF($B41="FY2026", IF(INDEX(Scenarios!$D:$D, MATCH($A41, Scenarios!$A:$A, 0))=0, IF(LEFT(INDEX(Scenarios!$O:$O, MATCH($A41, Scenarios!$A:$A, 0)),4)="Arts", Parameters_Public!$C$28, IF(LEFT(INDEX(Scenarios!$O:$O, MATCH($A41, Scenarios!$A:$A, 0)),5)="Innov", Parameters_Public!$C$29, 0)), 0), 0)</f>
        <v>0</v>
      </c>
      <c r="F41">
        <f>IF($B41="FY2026", IF(INDEX(Scenarios!$E:$E, MATCH($A41, Scenarios!$A:$A, 0))=0, IF(LEFT(INDEX(Scenarios!$P:$P, MATCH($A41, Scenarios!$A:$A, 0)),4)="Arts", Parameters_Public!$C$28, IF(LEFT(INDEX(Scenarios!$P:$P, MATCH($A41, Scenarios!$A:$A, 0)),5)="Innov", Parameters_Public!$C$29, 0)), 0), 0)</f>
        <v>0</v>
      </c>
      <c r="G41">
        <f>IF($B41="FY2026", INDEX(Receiving_Capacity!$L:$L, MATCH($A41, Receiving_Capacity!$A:$A, 0)), 0)</f>
        <v>0</v>
      </c>
      <c r="H41">
        <f t="shared" si="1"/>
        <v>0</v>
      </c>
    </row>
    <row r="42" spans="1:8" x14ac:dyDescent="0.35">
      <c r="A42" t="str">
        <f>Scenarios!$A$9</f>
        <v>A_Repurpose_Both_ops</v>
      </c>
      <c r="B42" t="s">
        <v>69</v>
      </c>
      <c r="C42">
        <f>INDEX(Scenarios!$D:$D, MATCH($A42, Scenarios!$A:$A, 0)) + INDEX(Scenarios!$E:$E, MATCH($A42, Scenarios!$A:$A, 0))</f>
        <v>2</v>
      </c>
      <c r="D42">
        <f>IF($B42="FY2026",$C42*IF(INDEX(Scenarios!$N:$N, MATCH($A42, Scenarios!$A:$A, 0))="lease", Parameters_Public!$C$31, Parameters_Public!$C$27),0)</f>
        <v>0</v>
      </c>
      <c r="E42">
        <f>IF($B42="FY2026", IF(INDEX(Scenarios!$D:$D, MATCH($A42, Scenarios!$A:$A, 0))=0, IF(LEFT(INDEX(Scenarios!$O:$O, MATCH($A42, Scenarios!$A:$A, 0)),4)="Arts", Parameters_Public!$C$28, IF(LEFT(INDEX(Scenarios!$O:$O, MATCH($A42, Scenarios!$A:$A, 0)),5)="Innov", Parameters_Public!$C$29, 0)), 0), 0)</f>
        <v>0</v>
      </c>
      <c r="F42">
        <f>IF($B42="FY2026", IF(INDEX(Scenarios!$E:$E, MATCH($A42, Scenarios!$A:$A, 0))=0, IF(LEFT(INDEX(Scenarios!$P:$P, MATCH($A42, Scenarios!$A:$A, 0)),4)="Arts", Parameters_Public!$C$28, IF(LEFT(INDEX(Scenarios!$P:$P, MATCH($A42, Scenarios!$A:$A, 0)),5)="Innov", Parameters_Public!$C$29, 0)), 0), 0)</f>
        <v>0</v>
      </c>
      <c r="G42">
        <f>IF($B42="FY2026", INDEX(Receiving_Capacity!$L:$L, MATCH($A42, Receiving_Capacity!$A:$A, 0)), 0)</f>
        <v>0</v>
      </c>
      <c r="H42">
        <f t="shared" si="1"/>
        <v>0</v>
      </c>
    </row>
    <row r="43" spans="1:8" x14ac:dyDescent="0.35">
      <c r="A43" t="str">
        <f>Scenarios!$A$9</f>
        <v>A_Repurpose_Both_ops</v>
      </c>
      <c r="B43" t="s">
        <v>70</v>
      </c>
      <c r="C43">
        <f>INDEX(Scenarios!$D:$D, MATCH($A43, Scenarios!$A:$A, 0)) + INDEX(Scenarios!$E:$E, MATCH($A43, Scenarios!$A:$A, 0))</f>
        <v>2</v>
      </c>
      <c r="D43">
        <f>IF($B43="FY2026",$C43*IF(INDEX(Scenarios!$N:$N, MATCH($A43, Scenarios!$A:$A, 0))="lease", Parameters_Public!$C$31, Parameters_Public!$C$27),0)</f>
        <v>0</v>
      </c>
      <c r="E43">
        <f>IF($B43="FY2026", IF(INDEX(Scenarios!$D:$D, MATCH($A43, Scenarios!$A:$A, 0))=0, IF(LEFT(INDEX(Scenarios!$O:$O, MATCH($A43, Scenarios!$A:$A, 0)),4)="Arts", Parameters_Public!$C$28, IF(LEFT(INDEX(Scenarios!$O:$O, MATCH($A43, Scenarios!$A:$A, 0)),5)="Innov", Parameters_Public!$C$29, 0)), 0), 0)</f>
        <v>0</v>
      </c>
      <c r="F43">
        <f>IF($B43="FY2026", IF(INDEX(Scenarios!$E:$E, MATCH($A43, Scenarios!$A:$A, 0))=0, IF(LEFT(INDEX(Scenarios!$P:$P, MATCH($A43, Scenarios!$A:$A, 0)),4)="Arts", Parameters_Public!$C$28, IF(LEFT(INDEX(Scenarios!$P:$P, MATCH($A43, Scenarios!$A:$A, 0)),5)="Innov", Parameters_Public!$C$29, 0)), 0), 0)</f>
        <v>0</v>
      </c>
      <c r="G43">
        <f>IF($B43="FY2026", INDEX(Receiving_Capacity!$L:$L, MATCH($A43, Receiving_Capacity!$A:$A, 0)), 0)</f>
        <v>0</v>
      </c>
      <c r="H43">
        <f t="shared" si="1"/>
        <v>0</v>
      </c>
    </row>
    <row r="44" spans="1:8" x14ac:dyDescent="0.35">
      <c r="A44" t="str">
        <f>Scenarios!$A$10</f>
        <v>B_Repurpose_Echo_lease_PimaTargets</v>
      </c>
      <c r="B44" t="s">
        <v>66</v>
      </c>
      <c r="C44">
        <f>INDEX(Scenarios!$D:$D, MATCH($A44, Scenarios!$A:$A, 0)) + INDEX(Scenarios!$E:$E, MATCH($A44, Scenarios!$A:$A, 0))</f>
        <v>1</v>
      </c>
      <c r="D44">
        <f>IF($B44="FY2026",$C44*IF(INDEX(Scenarios!$N:$N, MATCH($A44, Scenarios!$A:$A, 0))="lease", Parameters_Public!$C$31, Parameters_Public!$C$27),0)</f>
        <v>800000</v>
      </c>
      <c r="E44">
        <f>IF($B44="FY2026", IF(INDEX(Scenarios!$D:$D, MATCH($A44, Scenarios!$A:$A, 0))=0, IF(LEFT(INDEX(Scenarios!$O:$O, MATCH($A44, Scenarios!$A:$A, 0)),4)="Arts", Parameters_Public!$C$28, IF(LEFT(INDEX(Scenarios!$O:$O, MATCH($A44, Scenarios!$A:$A, 0)),5)="Innov", Parameters_Public!$C$29, 0)), 0), 0)</f>
        <v>0</v>
      </c>
      <c r="F44">
        <f>IF($B44="FY2026", IF(INDEX(Scenarios!$E:$E, MATCH($A44, Scenarios!$A:$A, 0))=0, IF(LEFT(INDEX(Scenarios!$P:$P, MATCH($A44, Scenarios!$A:$A, 0)),4)="Arts", Parameters_Public!$C$28, IF(LEFT(INDEX(Scenarios!$P:$P, MATCH($A44, Scenarios!$A:$A, 0)),5)="Innov", Parameters_Public!$C$29, 0)), 0), 0)</f>
        <v>0</v>
      </c>
      <c r="G44">
        <f>IF($B44="FY2026", INDEX(Receiving_Capacity!$L:$L, MATCH($A44, Receiving_Capacity!$A:$A, 0)), 0)</f>
        <v>0</v>
      </c>
      <c r="H44">
        <f t="shared" si="1"/>
        <v>800000</v>
      </c>
    </row>
    <row r="45" spans="1:8" x14ac:dyDescent="0.35">
      <c r="A45" t="str">
        <f>Scenarios!$A$10</f>
        <v>B_Repurpose_Echo_lease_PimaTargets</v>
      </c>
      <c r="B45" t="s">
        <v>67</v>
      </c>
      <c r="C45">
        <f>INDEX(Scenarios!$D:$D, MATCH($A45, Scenarios!$A:$A, 0)) + INDEX(Scenarios!$E:$E, MATCH($A45, Scenarios!$A:$A, 0))</f>
        <v>1</v>
      </c>
      <c r="D45">
        <f>IF($B45="FY2026",$C45*IF(INDEX(Scenarios!$N:$N, MATCH($A45, Scenarios!$A:$A, 0))="lease", Parameters_Public!$C$31, Parameters_Public!$C$27),0)</f>
        <v>0</v>
      </c>
      <c r="E45">
        <f>IF($B45="FY2026", IF(INDEX(Scenarios!$D:$D, MATCH($A45, Scenarios!$A:$A, 0))=0, IF(LEFT(INDEX(Scenarios!$O:$O, MATCH($A45, Scenarios!$A:$A, 0)),4)="Arts", Parameters_Public!$C$28, IF(LEFT(INDEX(Scenarios!$O:$O, MATCH($A45, Scenarios!$A:$A, 0)),5)="Innov", Parameters_Public!$C$29, 0)), 0), 0)</f>
        <v>0</v>
      </c>
      <c r="F45">
        <f>IF($B45="FY2026", IF(INDEX(Scenarios!$E:$E, MATCH($A45, Scenarios!$A:$A, 0))=0, IF(LEFT(INDEX(Scenarios!$P:$P, MATCH($A45, Scenarios!$A:$A, 0)),4)="Arts", Parameters_Public!$C$28, IF(LEFT(INDEX(Scenarios!$P:$P, MATCH($A45, Scenarios!$A:$A, 0)),5)="Innov", Parameters_Public!$C$29, 0)), 0), 0)</f>
        <v>0</v>
      </c>
      <c r="G45">
        <f>IF($B45="FY2026", INDEX(Receiving_Capacity!$L:$L, MATCH($A45, Receiving_Capacity!$A:$A, 0)), 0)</f>
        <v>0</v>
      </c>
      <c r="H45">
        <f t="shared" si="1"/>
        <v>0</v>
      </c>
    </row>
    <row r="46" spans="1:8" x14ac:dyDescent="0.35">
      <c r="A46" t="str">
        <f>Scenarios!$A$10</f>
        <v>B_Repurpose_Echo_lease_PimaTargets</v>
      </c>
      <c r="B46" t="s">
        <v>68</v>
      </c>
      <c r="C46">
        <f>INDEX(Scenarios!$D:$D, MATCH($A46, Scenarios!$A:$A, 0)) + INDEX(Scenarios!$E:$E, MATCH($A46, Scenarios!$A:$A, 0))</f>
        <v>1</v>
      </c>
      <c r="D46">
        <f>IF($B46="FY2026",$C46*IF(INDEX(Scenarios!$N:$N, MATCH($A46, Scenarios!$A:$A, 0))="lease", Parameters_Public!$C$31, Parameters_Public!$C$27),0)</f>
        <v>0</v>
      </c>
      <c r="E46">
        <f>IF($B46="FY2026", IF(INDEX(Scenarios!$D:$D, MATCH($A46, Scenarios!$A:$A, 0))=0, IF(LEFT(INDEX(Scenarios!$O:$O, MATCH($A46, Scenarios!$A:$A, 0)),4)="Arts", Parameters_Public!$C$28, IF(LEFT(INDEX(Scenarios!$O:$O, MATCH($A46, Scenarios!$A:$A, 0)),5)="Innov", Parameters_Public!$C$29, 0)), 0), 0)</f>
        <v>0</v>
      </c>
      <c r="F46">
        <f>IF($B46="FY2026", IF(INDEX(Scenarios!$E:$E, MATCH($A46, Scenarios!$A:$A, 0))=0, IF(LEFT(INDEX(Scenarios!$P:$P, MATCH($A46, Scenarios!$A:$A, 0)),4)="Arts", Parameters_Public!$C$28, IF(LEFT(INDEX(Scenarios!$P:$P, MATCH($A46, Scenarios!$A:$A, 0)),5)="Innov", Parameters_Public!$C$29, 0)), 0), 0)</f>
        <v>0</v>
      </c>
      <c r="G46">
        <f>IF($B46="FY2026", INDEX(Receiving_Capacity!$L:$L, MATCH($A46, Receiving_Capacity!$A:$A, 0)), 0)</f>
        <v>0</v>
      </c>
      <c r="H46">
        <f t="shared" si="1"/>
        <v>0</v>
      </c>
    </row>
    <row r="47" spans="1:8" x14ac:dyDescent="0.35">
      <c r="A47" t="str">
        <f>Scenarios!$A$10</f>
        <v>B_Repurpose_Echo_lease_PimaTargets</v>
      </c>
      <c r="B47" t="s">
        <v>69</v>
      </c>
      <c r="C47">
        <f>INDEX(Scenarios!$D:$D, MATCH($A47, Scenarios!$A:$A, 0)) + INDEX(Scenarios!$E:$E, MATCH($A47, Scenarios!$A:$A, 0))</f>
        <v>1</v>
      </c>
      <c r="D47">
        <f>IF($B47="FY2026",$C47*IF(INDEX(Scenarios!$N:$N, MATCH($A47, Scenarios!$A:$A, 0))="lease", Parameters_Public!$C$31, Parameters_Public!$C$27),0)</f>
        <v>0</v>
      </c>
      <c r="E47">
        <f>IF($B47="FY2026", IF(INDEX(Scenarios!$D:$D, MATCH($A47, Scenarios!$A:$A, 0))=0, IF(LEFT(INDEX(Scenarios!$O:$O, MATCH($A47, Scenarios!$A:$A, 0)),4)="Arts", Parameters_Public!$C$28, IF(LEFT(INDEX(Scenarios!$O:$O, MATCH($A47, Scenarios!$A:$A, 0)),5)="Innov", Parameters_Public!$C$29, 0)), 0), 0)</f>
        <v>0</v>
      </c>
      <c r="F47">
        <f>IF($B47="FY2026", IF(INDEX(Scenarios!$E:$E, MATCH($A47, Scenarios!$A:$A, 0))=0, IF(LEFT(INDEX(Scenarios!$P:$P, MATCH($A47, Scenarios!$A:$A, 0)),4)="Arts", Parameters_Public!$C$28, IF(LEFT(INDEX(Scenarios!$P:$P, MATCH($A47, Scenarios!$A:$A, 0)),5)="Innov", Parameters_Public!$C$29, 0)), 0), 0)</f>
        <v>0</v>
      </c>
      <c r="G47">
        <f>IF($B47="FY2026", INDEX(Receiving_Capacity!$L:$L, MATCH($A47, Receiving_Capacity!$A:$A, 0)), 0)</f>
        <v>0</v>
      </c>
      <c r="H47">
        <f t="shared" si="1"/>
        <v>0</v>
      </c>
    </row>
    <row r="48" spans="1:8" x14ac:dyDescent="0.35">
      <c r="A48" t="str">
        <f>Scenarios!$A$10</f>
        <v>B_Repurpose_Echo_lease_PimaTargets</v>
      </c>
      <c r="B48" t="s">
        <v>70</v>
      </c>
      <c r="C48">
        <f>INDEX(Scenarios!$D:$D, MATCH($A48, Scenarios!$A:$A, 0)) + INDEX(Scenarios!$E:$E, MATCH($A48, Scenarios!$A:$A, 0))</f>
        <v>1</v>
      </c>
      <c r="D48">
        <f>IF($B48="FY2026",$C48*IF(INDEX(Scenarios!$N:$N, MATCH($A48, Scenarios!$A:$A, 0))="lease", Parameters_Public!$C$31, Parameters_Public!$C$27),0)</f>
        <v>0</v>
      </c>
      <c r="E48">
        <f>IF($B48="FY2026", IF(INDEX(Scenarios!$D:$D, MATCH($A48, Scenarios!$A:$A, 0))=0, IF(LEFT(INDEX(Scenarios!$O:$O, MATCH($A48, Scenarios!$A:$A, 0)),4)="Arts", Parameters_Public!$C$28, IF(LEFT(INDEX(Scenarios!$O:$O, MATCH($A48, Scenarios!$A:$A, 0)),5)="Innov", Parameters_Public!$C$29, 0)), 0), 0)</f>
        <v>0</v>
      </c>
      <c r="F48">
        <f>IF($B48="FY2026", IF(INDEX(Scenarios!$E:$E, MATCH($A48, Scenarios!$A:$A, 0))=0, IF(LEFT(INDEX(Scenarios!$P:$P, MATCH($A48, Scenarios!$A:$A, 0)),4)="Arts", Parameters_Public!$C$28, IF(LEFT(INDEX(Scenarios!$P:$P, MATCH($A48, Scenarios!$A:$A, 0)),5)="Innov", Parameters_Public!$C$29, 0)), 0), 0)</f>
        <v>0</v>
      </c>
      <c r="G48">
        <f>IF($B48="FY2026", INDEX(Receiving_Capacity!$L:$L, MATCH($A48, Receiving_Capacity!$A:$A, 0)), 0)</f>
        <v>0</v>
      </c>
      <c r="H48">
        <f t="shared" si="1"/>
        <v>0</v>
      </c>
    </row>
    <row r="49" spans="1:8" x14ac:dyDescent="0.35">
      <c r="A49" t="str">
        <f>Scenarios!$A$11</f>
        <v>B_Repurpose_Echo_ops_PimaTargets</v>
      </c>
      <c r="B49" t="s">
        <v>66</v>
      </c>
      <c r="C49">
        <f>INDEX(Scenarios!$D:$D, MATCH($A49, Scenarios!$A:$A, 0)) + INDEX(Scenarios!$E:$E, MATCH($A49, Scenarios!$A:$A, 0))</f>
        <v>1</v>
      </c>
      <c r="D49">
        <f>IF($B49="FY2026",$C49*IF(INDEX(Scenarios!$N:$N, MATCH($A49, Scenarios!$A:$A, 0))="lease", Parameters_Public!$C$31, Parameters_Public!$C$27),0)</f>
        <v>1200000</v>
      </c>
      <c r="E49">
        <f>IF($B49="FY2026", IF(INDEX(Scenarios!$D:$D, MATCH($A49, Scenarios!$A:$A, 0))=0, IF(LEFT(INDEX(Scenarios!$O:$O, MATCH($A49, Scenarios!$A:$A, 0)),4)="Arts", Parameters_Public!$C$28, IF(LEFT(INDEX(Scenarios!$O:$O, MATCH($A49, Scenarios!$A:$A, 0)),5)="Innov", Parameters_Public!$C$29, 0)), 0), 0)</f>
        <v>0</v>
      </c>
      <c r="F49">
        <f>IF($B49="FY2026", IF(INDEX(Scenarios!$E:$E, MATCH($A49, Scenarios!$A:$A, 0))=0, IF(LEFT(INDEX(Scenarios!$P:$P, MATCH($A49, Scenarios!$A:$A, 0)),4)="Arts", Parameters_Public!$C$28, IF(LEFT(INDEX(Scenarios!$P:$P, MATCH($A49, Scenarios!$A:$A, 0)),5)="Innov", Parameters_Public!$C$29, 0)), 0), 0)</f>
        <v>0</v>
      </c>
      <c r="G49">
        <f>IF($B49="FY2026", INDEX(Receiving_Capacity!$L:$L, MATCH($A49, Receiving_Capacity!$A:$A, 0)), 0)</f>
        <v>0</v>
      </c>
      <c r="H49">
        <f t="shared" si="1"/>
        <v>1200000</v>
      </c>
    </row>
    <row r="50" spans="1:8" x14ac:dyDescent="0.35">
      <c r="A50" t="str">
        <f>Scenarios!$A$11</f>
        <v>B_Repurpose_Echo_ops_PimaTargets</v>
      </c>
      <c r="B50" t="s">
        <v>67</v>
      </c>
      <c r="C50">
        <f>INDEX(Scenarios!$D:$D, MATCH($A50, Scenarios!$A:$A, 0)) + INDEX(Scenarios!$E:$E, MATCH($A50, Scenarios!$A:$A, 0))</f>
        <v>1</v>
      </c>
      <c r="D50">
        <f>IF($B50="FY2026",$C50*IF(INDEX(Scenarios!$N:$N, MATCH($A50, Scenarios!$A:$A, 0))="lease", Parameters_Public!$C$31, Parameters_Public!$C$27),0)</f>
        <v>0</v>
      </c>
      <c r="E50">
        <f>IF($B50="FY2026", IF(INDEX(Scenarios!$D:$D, MATCH($A50, Scenarios!$A:$A, 0))=0, IF(LEFT(INDEX(Scenarios!$O:$O, MATCH($A50, Scenarios!$A:$A, 0)),4)="Arts", Parameters_Public!$C$28, IF(LEFT(INDEX(Scenarios!$O:$O, MATCH($A50, Scenarios!$A:$A, 0)),5)="Innov", Parameters_Public!$C$29, 0)), 0), 0)</f>
        <v>0</v>
      </c>
      <c r="F50">
        <f>IF($B50="FY2026", IF(INDEX(Scenarios!$E:$E, MATCH($A50, Scenarios!$A:$A, 0))=0, IF(LEFT(INDEX(Scenarios!$P:$P, MATCH($A50, Scenarios!$A:$A, 0)),4)="Arts", Parameters_Public!$C$28, IF(LEFT(INDEX(Scenarios!$P:$P, MATCH($A50, Scenarios!$A:$A, 0)),5)="Innov", Parameters_Public!$C$29, 0)), 0), 0)</f>
        <v>0</v>
      </c>
      <c r="G50">
        <f>IF($B50="FY2026", INDEX(Receiving_Capacity!$L:$L, MATCH($A50, Receiving_Capacity!$A:$A, 0)), 0)</f>
        <v>0</v>
      </c>
      <c r="H50">
        <f t="shared" si="1"/>
        <v>0</v>
      </c>
    </row>
    <row r="51" spans="1:8" x14ac:dyDescent="0.35">
      <c r="A51" t="str">
        <f>Scenarios!$A$11</f>
        <v>B_Repurpose_Echo_ops_PimaTargets</v>
      </c>
      <c r="B51" t="s">
        <v>68</v>
      </c>
      <c r="C51">
        <f>INDEX(Scenarios!$D:$D, MATCH($A51, Scenarios!$A:$A, 0)) + INDEX(Scenarios!$E:$E, MATCH($A51, Scenarios!$A:$A, 0))</f>
        <v>1</v>
      </c>
      <c r="D51">
        <f>IF($B51="FY2026",$C51*IF(INDEX(Scenarios!$N:$N, MATCH($A51, Scenarios!$A:$A, 0))="lease", Parameters_Public!$C$31, Parameters_Public!$C$27),0)</f>
        <v>0</v>
      </c>
      <c r="E51">
        <f>IF($B51="FY2026", IF(INDEX(Scenarios!$D:$D, MATCH($A51, Scenarios!$A:$A, 0))=0, IF(LEFT(INDEX(Scenarios!$O:$O, MATCH($A51, Scenarios!$A:$A, 0)),4)="Arts", Parameters_Public!$C$28, IF(LEFT(INDEX(Scenarios!$O:$O, MATCH($A51, Scenarios!$A:$A, 0)),5)="Innov", Parameters_Public!$C$29, 0)), 0), 0)</f>
        <v>0</v>
      </c>
      <c r="F51">
        <f>IF($B51="FY2026", IF(INDEX(Scenarios!$E:$E, MATCH($A51, Scenarios!$A:$A, 0))=0, IF(LEFT(INDEX(Scenarios!$P:$P, MATCH($A51, Scenarios!$A:$A, 0)),4)="Arts", Parameters_Public!$C$28, IF(LEFT(INDEX(Scenarios!$P:$P, MATCH($A51, Scenarios!$A:$A, 0)),5)="Innov", Parameters_Public!$C$29, 0)), 0), 0)</f>
        <v>0</v>
      </c>
      <c r="G51">
        <f>IF($B51="FY2026", INDEX(Receiving_Capacity!$L:$L, MATCH($A51, Receiving_Capacity!$A:$A, 0)), 0)</f>
        <v>0</v>
      </c>
      <c r="H51">
        <f t="shared" si="1"/>
        <v>0</v>
      </c>
    </row>
    <row r="52" spans="1:8" x14ac:dyDescent="0.35">
      <c r="A52" t="str">
        <f>Scenarios!$A$11</f>
        <v>B_Repurpose_Echo_ops_PimaTargets</v>
      </c>
      <c r="B52" t="s">
        <v>69</v>
      </c>
      <c r="C52">
        <f>INDEX(Scenarios!$D:$D, MATCH($A52, Scenarios!$A:$A, 0)) + INDEX(Scenarios!$E:$E, MATCH($A52, Scenarios!$A:$A, 0))</f>
        <v>1</v>
      </c>
      <c r="D52">
        <f>IF($B52="FY2026",$C52*IF(INDEX(Scenarios!$N:$N, MATCH($A52, Scenarios!$A:$A, 0))="lease", Parameters_Public!$C$31, Parameters_Public!$C$27),0)</f>
        <v>0</v>
      </c>
      <c r="E52">
        <f>IF($B52="FY2026", IF(INDEX(Scenarios!$D:$D, MATCH($A52, Scenarios!$A:$A, 0))=0, IF(LEFT(INDEX(Scenarios!$O:$O, MATCH($A52, Scenarios!$A:$A, 0)),4)="Arts", Parameters_Public!$C$28, IF(LEFT(INDEX(Scenarios!$O:$O, MATCH($A52, Scenarios!$A:$A, 0)),5)="Innov", Parameters_Public!$C$29, 0)), 0), 0)</f>
        <v>0</v>
      </c>
      <c r="F52">
        <f>IF($B52="FY2026", IF(INDEX(Scenarios!$E:$E, MATCH($A52, Scenarios!$A:$A, 0))=0, IF(LEFT(INDEX(Scenarios!$P:$P, MATCH($A52, Scenarios!$A:$A, 0)),4)="Arts", Parameters_Public!$C$28, IF(LEFT(INDEX(Scenarios!$P:$P, MATCH($A52, Scenarios!$A:$A, 0)),5)="Innov", Parameters_Public!$C$29, 0)), 0), 0)</f>
        <v>0</v>
      </c>
      <c r="G52">
        <f>IF($B52="FY2026", INDEX(Receiving_Capacity!$L:$L, MATCH($A52, Receiving_Capacity!$A:$A, 0)), 0)</f>
        <v>0</v>
      </c>
      <c r="H52">
        <f t="shared" si="1"/>
        <v>0</v>
      </c>
    </row>
    <row r="53" spans="1:8" x14ac:dyDescent="0.35">
      <c r="A53" t="str">
        <f>Scenarios!$A$11</f>
        <v>B_Repurpose_Echo_ops_PimaTargets</v>
      </c>
      <c r="B53" t="s">
        <v>70</v>
      </c>
      <c r="C53">
        <f>INDEX(Scenarios!$D:$D, MATCH($A53, Scenarios!$A:$A, 0)) + INDEX(Scenarios!$E:$E, MATCH($A53, Scenarios!$A:$A, 0))</f>
        <v>1</v>
      </c>
      <c r="D53">
        <f>IF($B53="FY2026",$C53*IF(INDEX(Scenarios!$N:$N, MATCH($A53, Scenarios!$A:$A, 0))="lease", Parameters_Public!$C$31, Parameters_Public!$C$27),0)</f>
        <v>0</v>
      </c>
      <c r="E53">
        <f>IF($B53="FY2026", IF(INDEX(Scenarios!$D:$D, MATCH($A53, Scenarios!$A:$A, 0))=0, IF(LEFT(INDEX(Scenarios!$O:$O, MATCH($A53, Scenarios!$A:$A, 0)),4)="Arts", Parameters_Public!$C$28, IF(LEFT(INDEX(Scenarios!$O:$O, MATCH($A53, Scenarios!$A:$A, 0)),5)="Innov", Parameters_Public!$C$29, 0)), 0), 0)</f>
        <v>0</v>
      </c>
      <c r="F53">
        <f>IF($B53="FY2026", IF(INDEX(Scenarios!$E:$E, MATCH($A53, Scenarios!$A:$A, 0))=0, IF(LEFT(INDEX(Scenarios!$P:$P, MATCH($A53, Scenarios!$A:$A, 0)),4)="Arts", Parameters_Public!$C$28, IF(LEFT(INDEX(Scenarios!$P:$P, MATCH($A53, Scenarios!$A:$A, 0)),5)="Innov", Parameters_Public!$C$29, 0)), 0), 0)</f>
        <v>0</v>
      </c>
      <c r="G53">
        <f>IF($B53="FY2026", INDEX(Receiving_Capacity!$L:$L, MATCH($A53, Receiving_Capacity!$A:$A, 0)), 0)</f>
        <v>0</v>
      </c>
      <c r="H53">
        <f t="shared" si="1"/>
        <v>0</v>
      </c>
    </row>
    <row r="54" spans="1:8" x14ac:dyDescent="0.35">
      <c r="A54" t="str">
        <f>Scenarios!$A$12</f>
        <v>C_Repurpose_Pima_lease_EchoGHub_EchoTargets</v>
      </c>
      <c r="B54" t="s">
        <v>66</v>
      </c>
      <c r="C54">
        <f>INDEX(Scenarios!$D:$D, MATCH($A54, Scenarios!$A:$A, 0)) + INDEX(Scenarios!$E:$E, MATCH($A54, Scenarios!$A:$A, 0))</f>
        <v>1</v>
      </c>
      <c r="D54">
        <f>IF($B54="FY2026",$C54*IF(INDEX(Scenarios!$N:$N, MATCH($A54, Scenarios!$A:$A, 0))="lease", Parameters_Public!$C$31, Parameters_Public!$C$27),0)</f>
        <v>800000</v>
      </c>
      <c r="E54">
        <f>IF($B54="FY2026", IF(INDEX(Scenarios!$D:$D, MATCH($A54, Scenarios!$A:$A, 0))=0, IF(LEFT(INDEX(Scenarios!$O:$O, MATCH($A54, Scenarios!$A:$A, 0)),4)="Arts", Parameters_Public!$C$28, IF(LEFT(INDEX(Scenarios!$O:$O, MATCH($A54, Scenarios!$A:$A, 0)),5)="Innov", Parameters_Public!$C$29, 0)), 0), 0)</f>
        <v>800000</v>
      </c>
      <c r="F54">
        <f>IF($B54="FY2026", IF(INDEX(Scenarios!$E:$E, MATCH($A54, Scenarios!$A:$A, 0))=0, IF(LEFT(INDEX(Scenarios!$P:$P, MATCH($A54, Scenarios!$A:$A, 0)),4)="Arts", Parameters_Public!$C$28, IF(LEFT(INDEX(Scenarios!$P:$P, MATCH($A54, Scenarios!$A:$A, 0)),5)="Innov", Parameters_Public!$C$29, 0)), 0), 0)</f>
        <v>0</v>
      </c>
      <c r="G54">
        <f>IF($B54="FY2026", INDEX(Receiving_Capacity!$L:$L, MATCH($A54, Receiving_Capacity!$A:$A, 0)), 0)</f>
        <v>0</v>
      </c>
      <c r="H54">
        <f t="shared" si="1"/>
        <v>1600000</v>
      </c>
    </row>
    <row r="55" spans="1:8" x14ac:dyDescent="0.35">
      <c r="A55" t="str">
        <f>Scenarios!$A$12</f>
        <v>C_Repurpose_Pima_lease_EchoGHub_EchoTargets</v>
      </c>
      <c r="B55" t="s">
        <v>67</v>
      </c>
      <c r="C55">
        <f>INDEX(Scenarios!$D:$D, MATCH($A55, Scenarios!$A:$A, 0)) + INDEX(Scenarios!$E:$E, MATCH($A55, Scenarios!$A:$A, 0))</f>
        <v>1</v>
      </c>
      <c r="D55">
        <f>IF($B55="FY2026",$C55*IF(INDEX(Scenarios!$N:$N, MATCH($A55, Scenarios!$A:$A, 0))="lease", Parameters_Public!$C$31, Parameters_Public!$C$27),0)</f>
        <v>0</v>
      </c>
      <c r="E55">
        <f>IF($B55="FY2026", IF(INDEX(Scenarios!$D:$D, MATCH($A55, Scenarios!$A:$A, 0))=0, IF(LEFT(INDEX(Scenarios!$O:$O, MATCH($A55, Scenarios!$A:$A, 0)),4)="Arts", Parameters_Public!$C$28, IF(LEFT(INDEX(Scenarios!$O:$O, MATCH($A55, Scenarios!$A:$A, 0)),5)="Innov", Parameters_Public!$C$29, 0)), 0), 0)</f>
        <v>0</v>
      </c>
      <c r="F55">
        <f>IF($B55="FY2026", IF(INDEX(Scenarios!$E:$E, MATCH($A55, Scenarios!$A:$A, 0))=0, IF(LEFT(INDEX(Scenarios!$P:$P, MATCH($A55, Scenarios!$A:$A, 0)),4)="Arts", Parameters_Public!$C$28, IF(LEFT(INDEX(Scenarios!$P:$P, MATCH($A55, Scenarios!$A:$A, 0)),5)="Innov", Parameters_Public!$C$29, 0)), 0), 0)</f>
        <v>0</v>
      </c>
      <c r="G55">
        <f>IF($B55="FY2026", INDEX(Receiving_Capacity!$L:$L, MATCH($A55, Receiving_Capacity!$A:$A, 0)), 0)</f>
        <v>0</v>
      </c>
      <c r="H55">
        <f t="shared" si="1"/>
        <v>0</v>
      </c>
    </row>
    <row r="56" spans="1:8" x14ac:dyDescent="0.35">
      <c r="A56" t="str">
        <f>Scenarios!$A$12</f>
        <v>C_Repurpose_Pima_lease_EchoGHub_EchoTargets</v>
      </c>
      <c r="B56" t="s">
        <v>68</v>
      </c>
      <c r="C56">
        <f>INDEX(Scenarios!$D:$D, MATCH($A56, Scenarios!$A:$A, 0)) + INDEX(Scenarios!$E:$E, MATCH($A56, Scenarios!$A:$A, 0))</f>
        <v>1</v>
      </c>
      <c r="D56">
        <f>IF($B56="FY2026",$C56*IF(INDEX(Scenarios!$N:$N, MATCH($A56, Scenarios!$A:$A, 0))="lease", Parameters_Public!$C$31, Parameters_Public!$C$27),0)</f>
        <v>0</v>
      </c>
      <c r="E56">
        <f>IF($B56="FY2026", IF(INDEX(Scenarios!$D:$D, MATCH($A56, Scenarios!$A:$A, 0))=0, IF(LEFT(INDEX(Scenarios!$O:$O, MATCH($A56, Scenarios!$A:$A, 0)),4)="Arts", Parameters_Public!$C$28, IF(LEFT(INDEX(Scenarios!$O:$O, MATCH($A56, Scenarios!$A:$A, 0)),5)="Innov", Parameters_Public!$C$29, 0)), 0), 0)</f>
        <v>0</v>
      </c>
      <c r="F56">
        <f>IF($B56="FY2026", IF(INDEX(Scenarios!$E:$E, MATCH($A56, Scenarios!$A:$A, 0))=0, IF(LEFT(INDEX(Scenarios!$P:$P, MATCH($A56, Scenarios!$A:$A, 0)),4)="Arts", Parameters_Public!$C$28, IF(LEFT(INDEX(Scenarios!$P:$P, MATCH($A56, Scenarios!$A:$A, 0)),5)="Innov", Parameters_Public!$C$29, 0)), 0), 0)</f>
        <v>0</v>
      </c>
      <c r="G56">
        <f>IF($B56="FY2026", INDEX(Receiving_Capacity!$L:$L, MATCH($A56, Receiving_Capacity!$A:$A, 0)), 0)</f>
        <v>0</v>
      </c>
      <c r="H56">
        <f t="shared" si="1"/>
        <v>0</v>
      </c>
    </row>
    <row r="57" spans="1:8" x14ac:dyDescent="0.35">
      <c r="A57" t="str">
        <f>Scenarios!$A$12</f>
        <v>C_Repurpose_Pima_lease_EchoGHub_EchoTargets</v>
      </c>
      <c r="B57" t="s">
        <v>69</v>
      </c>
      <c r="C57">
        <f>INDEX(Scenarios!$D:$D, MATCH($A57, Scenarios!$A:$A, 0)) + INDEX(Scenarios!$E:$E, MATCH($A57, Scenarios!$A:$A, 0))</f>
        <v>1</v>
      </c>
      <c r="D57">
        <f>IF($B57="FY2026",$C57*IF(INDEX(Scenarios!$N:$N, MATCH($A57, Scenarios!$A:$A, 0))="lease", Parameters_Public!$C$31, Parameters_Public!$C$27),0)</f>
        <v>0</v>
      </c>
      <c r="E57">
        <f>IF($B57="FY2026", IF(INDEX(Scenarios!$D:$D, MATCH($A57, Scenarios!$A:$A, 0))=0, IF(LEFT(INDEX(Scenarios!$O:$O, MATCH($A57, Scenarios!$A:$A, 0)),4)="Arts", Parameters_Public!$C$28, IF(LEFT(INDEX(Scenarios!$O:$O, MATCH($A57, Scenarios!$A:$A, 0)),5)="Innov", Parameters_Public!$C$29, 0)), 0), 0)</f>
        <v>0</v>
      </c>
      <c r="F57">
        <f>IF($B57="FY2026", IF(INDEX(Scenarios!$E:$E, MATCH($A57, Scenarios!$A:$A, 0))=0, IF(LEFT(INDEX(Scenarios!$P:$P, MATCH($A57, Scenarios!$A:$A, 0)),4)="Arts", Parameters_Public!$C$28, IF(LEFT(INDEX(Scenarios!$P:$P, MATCH($A57, Scenarios!$A:$A, 0)),5)="Innov", Parameters_Public!$C$29, 0)), 0), 0)</f>
        <v>0</v>
      </c>
      <c r="G57">
        <f>IF($B57="FY2026", INDEX(Receiving_Capacity!$L:$L, MATCH($A57, Receiving_Capacity!$A:$A, 0)), 0)</f>
        <v>0</v>
      </c>
      <c r="H57">
        <f t="shared" si="1"/>
        <v>0</v>
      </c>
    </row>
    <row r="58" spans="1:8" x14ac:dyDescent="0.35">
      <c r="A58" t="str">
        <f>Scenarios!$A$12</f>
        <v>C_Repurpose_Pima_lease_EchoGHub_EchoTargets</v>
      </c>
      <c r="B58" t="s">
        <v>70</v>
      </c>
      <c r="C58">
        <f>INDEX(Scenarios!$D:$D, MATCH($A58, Scenarios!$A:$A, 0)) + INDEX(Scenarios!$E:$E, MATCH($A58, Scenarios!$A:$A, 0))</f>
        <v>1</v>
      </c>
      <c r="D58">
        <f>IF($B58="FY2026",$C58*IF(INDEX(Scenarios!$N:$N, MATCH($A58, Scenarios!$A:$A, 0))="lease", Parameters_Public!$C$31, Parameters_Public!$C$27),0)</f>
        <v>0</v>
      </c>
      <c r="E58">
        <f>IF($B58="FY2026", IF(INDEX(Scenarios!$D:$D, MATCH($A58, Scenarios!$A:$A, 0))=0, IF(LEFT(INDEX(Scenarios!$O:$O, MATCH($A58, Scenarios!$A:$A, 0)),4)="Arts", Parameters_Public!$C$28, IF(LEFT(INDEX(Scenarios!$O:$O, MATCH($A58, Scenarios!$A:$A, 0)),5)="Innov", Parameters_Public!$C$29, 0)), 0), 0)</f>
        <v>0</v>
      </c>
      <c r="F58">
        <f>IF($B58="FY2026", IF(INDEX(Scenarios!$E:$E, MATCH($A58, Scenarios!$A:$A, 0))=0, IF(LEFT(INDEX(Scenarios!$P:$P, MATCH($A58, Scenarios!$A:$A, 0)),4)="Arts", Parameters_Public!$C$28, IF(LEFT(INDEX(Scenarios!$P:$P, MATCH($A58, Scenarios!$A:$A, 0)),5)="Innov", Parameters_Public!$C$29, 0)), 0), 0)</f>
        <v>0</v>
      </c>
      <c r="G58">
        <f>IF($B58="FY2026", INDEX(Receiving_Capacity!$L:$L, MATCH($A58, Receiving_Capacity!$A:$A, 0)), 0)</f>
        <v>0</v>
      </c>
      <c r="H58">
        <f t="shared" si="1"/>
        <v>0</v>
      </c>
    </row>
    <row r="59" spans="1:8" x14ac:dyDescent="0.35">
      <c r="A59" t="str">
        <f>Scenarios!$A$13</f>
        <v>C_Repurpose_Pima_ops_EchoGHub_EchoTargets</v>
      </c>
      <c r="B59" t="s">
        <v>66</v>
      </c>
      <c r="C59">
        <f>INDEX(Scenarios!$D:$D, MATCH($A59, Scenarios!$A:$A, 0)) + INDEX(Scenarios!$E:$E, MATCH($A59, Scenarios!$A:$A, 0))</f>
        <v>1</v>
      </c>
      <c r="D59">
        <f>IF($B59="FY2026",$C59*IF(INDEX(Scenarios!$N:$N, MATCH($A59, Scenarios!$A:$A, 0))="lease", Parameters_Public!$C$31, Parameters_Public!$C$27),0)</f>
        <v>1200000</v>
      </c>
      <c r="E59">
        <f>IF($B59="FY2026", IF(INDEX(Scenarios!$D:$D, MATCH($A59, Scenarios!$A:$A, 0))=0, IF(LEFT(INDEX(Scenarios!$O:$O, MATCH($A59, Scenarios!$A:$A, 0)),4)="Arts", Parameters_Public!$C$28, IF(LEFT(INDEX(Scenarios!$O:$O, MATCH($A59, Scenarios!$A:$A, 0)),5)="Innov", Parameters_Public!$C$29, 0)), 0), 0)</f>
        <v>800000</v>
      </c>
      <c r="F59">
        <f>IF($B59="FY2026", IF(INDEX(Scenarios!$E:$E, MATCH($A59, Scenarios!$A:$A, 0))=0, IF(LEFT(INDEX(Scenarios!$P:$P, MATCH($A59, Scenarios!$A:$A, 0)),4)="Arts", Parameters_Public!$C$28, IF(LEFT(INDEX(Scenarios!$P:$P, MATCH($A59, Scenarios!$A:$A, 0)),5)="Innov", Parameters_Public!$C$29, 0)), 0), 0)</f>
        <v>0</v>
      </c>
      <c r="G59">
        <f>IF($B59="FY2026", INDEX(Receiving_Capacity!$L:$L, MATCH($A59, Receiving_Capacity!$A:$A, 0)), 0)</f>
        <v>0</v>
      </c>
      <c r="H59">
        <f t="shared" si="1"/>
        <v>2000000</v>
      </c>
    </row>
    <row r="60" spans="1:8" x14ac:dyDescent="0.35">
      <c r="A60" t="str">
        <f>Scenarios!$A$13</f>
        <v>C_Repurpose_Pima_ops_EchoGHub_EchoTargets</v>
      </c>
      <c r="B60" t="s">
        <v>67</v>
      </c>
      <c r="C60">
        <f>INDEX(Scenarios!$D:$D, MATCH($A60, Scenarios!$A:$A, 0)) + INDEX(Scenarios!$E:$E, MATCH($A60, Scenarios!$A:$A, 0))</f>
        <v>1</v>
      </c>
      <c r="D60">
        <f>IF($B60="FY2026",$C60*IF(INDEX(Scenarios!$N:$N, MATCH($A60, Scenarios!$A:$A, 0))="lease", Parameters_Public!$C$31, Parameters_Public!$C$27),0)</f>
        <v>0</v>
      </c>
      <c r="E60">
        <f>IF($B60="FY2026", IF(INDEX(Scenarios!$D:$D, MATCH($A60, Scenarios!$A:$A, 0))=0, IF(LEFT(INDEX(Scenarios!$O:$O, MATCH($A60, Scenarios!$A:$A, 0)),4)="Arts", Parameters_Public!$C$28, IF(LEFT(INDEX(Scenarios!$O:$O, MATCH($A60, Scenarios!$A:$A, 0)),5)="Innov", Parameters_Public!$C$29, 0)), 0), 0)</f>
        <v>0</v>
      </c>
      <c r="F60">
        <f>IF($B60="FY2026", IF(INDEX(Scenarios!$E:$E, MATCH($A60, Scenarios!$A:$A, 0))=0, IF(LEFT(INDEX(Scenarios!$P:$P, MATCH($A60, Scenarios!$A:$A, 0)),4)="Arts", Parameters_Public!$C$28, IF(LEFT(INDEX(Scenarios!$P:$P, MATCH($A60, Scenarios!$A:$A, 0)),5)="Innov", Parameters_Public!$C$29, 0)), 0), 0)</f>
        <v>0</v>
      </c>
      <c r="G60">
        <f>IF($B60="FY2026", INDEX(Receiving_Capacity!$L:$L, MATCH($A60, Receiving_Capacity!$A:$A, 0)), 0)</f>
        <v>0</v>
      </c>
      <c r="H60">
        <f t="shared" si="1"/>
        <v>0</v>
      </c>
    </row>
    <row r="61" spans="1:8" x14ac:dyDescent="0.35">
      <c r="A61" t="str">
        <f>Scenarios!$A$13</f>
        <v>C_Repurpose_Pima_ops_EchoGHub_EchoTargets</v>
      </c>
      <c r="B61" t="s">
        <v>68</v>
      </c>
      <c r="C61">
        <f>INDEX(Scenarios!$D:$D, MATCH($A61, Scenarios!$A:$A, 0)) + INDEX(Scenarios!$E:$E, MATCH($A61, Scenarios!$A:$A, 0))</f>
        <v>1</v>
      </c>
      <c r="D61">
        <f>IF($B61="FY2026",$C61*IF(INDEX(Scenarios!$N:$N, MATCH($A61, Scenarios!$A:$A, 0))="lease", Parameters_Public!$C$31, Parameters_Public!$C$27),0)</f>
        <v>0</v>
      </c>
      <c r="E61">
        <f>IF($B61="FY2026", IF(INDEX(Scenarios!$D:$D, MATCH($A61, Scenarios!$A:$A, 0))=0, IF(LEFT(INDEX(Scenarios!$O:$O, MATCH($A61, Scenarios!$A:$A, 0)),4)="Arts", Parameters_Public!$C$28, IF(LEFT(INDEX(Scenarios!$O:$O, MATCH($A61, Scenarios!$A:$A, 0)),5)="Innov", Parameters_Public!$C$29, 0)), 0), 0)</f>
        <v>0</v>
      </c>
      <c r="F61">
        <f>IF($B61="FY2026", IF(INDEX(Scenarios!$E:$E, MATCH($A61, Scenarios!$A:$A, 0))=0, IF(LEFT(INDEX(Scenarios!$P:$P, MATCH($A61, Scenarios!$A:$A, 0)),4)="Arts", Parameters_Public!$C$28, IF(LEFT(INDEX(Scenarios!$P:$P, MATCH($A61, Scenarios!$A:$A, 0)),5)="Innov", Parameters_Public!$C$29, 0)), 0), 0)</f>
        <v>0</v>
      </c>
      <c r="G61">
        <f>IF($B61="FY2026", INDEX(Receiving_Capacity!$L:$L, MATCH($A61, Receiving_Capacity!$A:$A, 0)), 0)</f>
        <v>0</v>
      </c>
      <c r="H61">
        <f t="shared" si="1"/>
        <v>0</v>
      </c>
    </row>
    <row r="62" spans="1:8" x14ac:dyDescent="0.35">
      <c r="A62" t="str">
        <f>Scenarios!$A$13</f>
        <v>C_Repurpose_Pima_ops_EchoGHub_EchoTargets</v>
      </c>
      <c r="B62" t="s">
        <v>69</v>
      </c>
      <c r="C62">
        <f>INDEX(Scenarios!$D:$D, MATCH($A62, Scenarios!$A:$A, 0)) + INDEX(Scenarios!$E:$E, MATCH($A62, Scenarios!$A:$A, 0))</f>
        <v>1</v>
      </c>
      <c r="D62">
        <f>IF($B62="FY2026",$C62*IF(INDEX(Scenarios!$N:$N, MATCH($A62, Scenarios!$A:$A, 0))="lease", Parameters_Public!$C$31, Parameters_Public!$C$27),0)</f>
        <v>0</v>
      </c>
      <c r="E62">
        <f>IF($B62="FY2026", IF(INDEX(Scenarios!$D:$D, MATCH($A62, Scenarios!$A:$A, 0))=0, IF(LEFT(INDEX(Scenarios!$O:$O, MATCH($A62, Scenarios!$A:$A, 0)),4)="Arts", Parameters_Public!$C$28, IF(LEFT(INDEX(Scenarios!$O:$O, MATCH($A62, Scenarios!$A:$A, 0)),5)="Innov", Parameters_Public!$C$29, 0)), 0), 0)</f>
        <v>0</v>
      </c>
      <c r="F62">
        <f>IF($B62="FY2026", IF(INDEX(Scenarios!$E:$E, MATCH($A62, Scenarios!$A:$A, 0))=0, IF(LEFT(INDEX(Scenarios!$P:$P, MATCH($A62, Scenarios!$A:$A, 0)),4)="Arts", Parameters_Public!$C$28, IF(LEFT(INDEX(Scenarios!$P:$P, MATCH($A62, Scenarios!$A:$A, 0)),5)="Innov", Parameters_Public!$C$29, 0)), 0), 0)</f>
        <v>0</v>
      </c>
      <c r="G62">
        <f>IF($B62="FY2026", INDEX(Receiving_Capacity!$L:$L, MATCH($A62, Receiving_Capacity!$A:$A, 0)), 0)</f>
        <v>0</v>
      </c>
      <c r="H62">
        <f t="shared" si="1"/>
        <v>0</v>
      </c>
    </row>
    <row r="63" spans="1:8" x14ac:dyDescent="0.35">
      <c r="A63" t="str">
        <f>Scenarios!$A$13</f>
        <v>C_Repurpose_Pima_ops_EchoGHub_EchoTargets</v>
      </c>
      <c r="B63" t="s">
        <v>70</v>
      </c>
      <c r="C63">
        <f>INDEX(Scenarios!$D:$D, MATCH($A63, Scenarios!$A:$A, 0)) + INDEX(Scenarios!$E:$E, MATCH($A63, Scenarios!$A:$A, 0))</f>
        <v>1</v>
      </c>
      <c r="D63">
        <f>IF($B63="FY2026",$C63*IF(INDEX(Scenarios!$N:$N, MATCH($A63, Scenarios!$A:$A, 0))="lease", Parameters_Public!$C$31, Parameters_Public!$C$27),0)</f>
        <v>0</v>
      </c>
      <c r="E63">
        <f>IF($B63="FY2026", IF(INDEX(Scenarios!$D:$D, MATCH($A63, Scenarios!$A:$A, 0))=0, IF(LEFT(INDEX(Scenarios!$O:$O, MATCH($A63, Scenarios!$A:$A, 0)),4)="Arts", Parameters_Public!$C$28, IF(LEFT(INDEX(Scenarios!$O:$O, MATCH($A63, Scenarios!$A:$A, 0)),5)="Innov", Parameters_Public!$C$29, 0)), 0), 0)</f>
        <v>0</v>
      </c>
      <c r="F63">
        <f>IF($B63="FY2026", IF(INDEX(Scenarios!$E:$E, MATCH($A63, Scenarios!$A:$A, 0))=0, IF(LEFT(INDEX(Scenarios!$P:$P, MATCH($A63, Scenarios!$A:$A, 0)),4)="Arts", Parameters_Public!$C$28, IF(LEFT(INDEX(Scenarios!$P:$P, MATCH($A63, Scenarios!$A:$A, 0)),5)="Innov", Parameters_Public!$C$29, 0)), 0), 0)</f>
        <v>0</v>
      </c>
      <c r="G63">
        <f>IF($B63="FY2026", INDEX(Receiving_Capacity!$L:$L, MATCH($A63, Receiving_Capacity!$A:$A, 0)), 0)</f>
        <v>0</v>
      </c>
      <c r="H63">
        <f t="shared" si="1"/>
        <v>0</v>
      </c>
    </row>
  </sheetData>
  <mergeCells count="1">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zoomScale="80" zoomScaleNormal="80" workbookViewId="0">
      <selection activeCell="E3" sqref="E3"/>
    </sheetView>
  </sheetViews>
  <sheetFormatPr defaultRowHeight="14.5" x14ac:dyDescent="0.3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x14ac:dyDescent="0.35">
      <c r="A1" s="53" t="s">
        <v>71</v>
      </c>
      <c r="B1" s="53"/>
      <c r="C1" s="53"/>
      <c r="D1" s="53"/>
      <c r="E1" s="53"/>
      <c r="F1" s="53"/>
      <c r="G1" s="53"/>
      <c r="H1" s="53"/>
      <c r="I1" s="53"/>
      <c r="J1" s="53"/>
      <c r="K1" s="53"/>
      <c r="L1" s="53"/>
    </row>
    <row r="3" spans="1:12" x14ac:dyDescent="0.35">
      <c r="A3" t="s">
        <v>58</v>
      </c>
      <c r="B3" t="s">
        <v>72</v>
      </c>
      <c r="C3" t="s">
        <v>73</v>
      </c>
      <c r="D3" t="s">
        <v>74</v>
      </c>
      <c r="E3" t="s">
        <v>75</v>
      </c>
      <c r="G3" t="s">
        <v>76</v>
      </c>
      <c r="H3" t="s">
        <v>77</v>
      </c>
      <c r="J3" t="s">
        <v>78</v>
      </c>
      <c r="K3" t="s">
        <v>79</v>
      </c>
      <c r="L3" t="s">
        <v>64</v>
      </c>
    </row>
    <row r="4" spans="1:12" x14ac:dyDescent="0.35">
      <c r="A4" t="str">
        <f>Scenarios!$A$2</f>
        <v>D_CUSTOM1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300</v>
      </c>
      <c r="H4">
        <f>Parameters_Public!$C$34</f>
        <v>150</v>
      </c>
      <c r="J4" s="11">
        <f t="shared" ref="J4:J15" si="0">MAX(0, D4-G4)</f>
        <v>0</v>
      </c>
      <c r="K4" s="11">
        <f t="shared" ref="K4:K15" si="1">MAX(0, E4-H4)</f>
        <v>0</v>
      </c>
      <c r="L4">
        <f>(J4+K4)*Parameters_Public!$C$32</f>
        <v>0</v>
      </c>
    </row>
    <row r="5" spans="1:12" x14ac:dyDescent="0.35">
      <c r="A5" t="str">
        <f>Scenarios!$A$3</f>
        <v>E_StatusQuo_Targets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300</v>
      </c>
      <c r="H5">
        <f>Parameters_Public!$C$34</f>
        <v>150</v>
      </c>
      <c r="J5" s="11">
        <f t="shared" si="0"/>
        <v>0</v>
      </c>
      <c r="K5" s="11">
        <f t="shared" si="1"/>
        <v>0</v>
      </c>
      <c r="L5">
        <f>(J5+K5)*Parameters_Public!$C$32</f>
        <v>0</v>
      </c>
    </row>
    <row r="6" spans="1:12" x14ac:dyDescent="0.35">
      <c r="A6" t="str">
        <f>Scenarios!$A$4</f>
        <v>F_CoLocation_Echo_Targets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300</v>
      </c>
      <c r="H6">
        <f>Parameters_Public!$C$34</f>
        <v>150</v>
      </c>
      <c r="J6" s="11">
        <f t="shared" si="0"/>
        <v>0</v>
      </c>
      <c r="K6" s="11">
        <f t="shared" si="1"/>
        <v>0</v>
      </c>
      <c r="L6">
        <f>(J6+K6)*Parameters_Public!$C$32</f>
        <v>0</v>
      </c>
    </row>
    <row r="7" spans="1:12" x14ac:dyDescent="0.35">
      <c r="A7" t="str">
        <f>Scenarios!$A$5</f>
        <v>D_Grow_Both_Targets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300</v>
      </c>
      <c r="H7">
        <f>Parameters_Public!$C$34</f>
        <v>150</v>
      </c>
      <c r="J7" s="11">
        <f t="shared" si="0"/>
        <v>0</v>
      </c>
      <c r="K7" s="11">
        <f t="shared" si="1"/>
        <v>0</v>
      </c>
      <c r="L7">
        <f>(J7+K7)*Parameters_Public!$C$32</f>
        <v>0</v>
      </c>
    </row>
    <row r="8" spans="1:12" x14ac:dyDescent="0.35">
      <c r="A8" t="str">
        <f>Scenarios!$A$6</f>
        <v>D_CUSTOM2</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300</v>
      </c>
      <c r="H8">
        <f>Parameters_Public!$C$34</f>
        <v>150</v>
      </c>
      <c r="J8" s="11">
        <f t="shared" si="0"/>
        <v>0</v>
      </c>
      <c r="K8" s="11">
        <f t="shared" si="1"/>
        <v>0</v>
      </c>
      <c r="L8">
        <f>(J8+K8)*Parameters_Public!$C$32</f>
        <v>0</v>
      </c>
    </row>
    <row r="9" spans="1:12" x14ac:dyDescent="0.35">
      <c r="A9" t="str">
        <f>Scenarios!$A$7</f>
        <v>G_EchoGHubRamp_PimaTargets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300</v>
      </c>
      <c r="H9">
        <f>Parameters_Public!$C$34</f>
        <v>150</v>
      </c>
      <c r="J9" s="11">
        <f t="shared" si="0"/>
        <v>0</v>
      </c>
      <c r="K9" s="11">
        <f t="shared" si="1"/>
        <v>0</v>
      </c>
      <c r="L9">
        <f>(J9+K9)*Parameters_Public!$C$32</f>
        <v>0</v>
      </c>
    </row>
    <row r="10" spans="1:12" x14ac:dyDescent="0.35">
      <c r="A10" t="str">
        <f>Scenarios!$A$8</f>
        <v>A_Repurpose_Both_lease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359.53999999999996</v>
      </c>
      <c r="E10" s="11">
        <f>INDEX(Scenarios!$D:$D, MATCH($A10, Scenarios!$A:$A, 0))*Parameters_Public!$C$22*Parameters_Public!$C$10*Parameters_Public!$C$37 + INDEX(Scenarios!$E:$E, MATCH($A10, Scenarios!$A:$A, 0))*Parameters_Public!$C$23*Parameters_Public!$C$11*Parameters_Public!$C$39</f>
        <v>46.26</v>
      </c>
      <c r="G10">
        <f>Parameters_Public!$C$33</f>
        <v>300</v>
      </c>
      <c r="H10">
        <f>Parameters_Public!$C$34</f>
        <v>150</v>
      </c>
      <c r="J10" s="11">
        <f t="shared" si="0"/>
        <v>59.539999999999964</v>
      </c>
      <c r="K10" s="11">
        <f t="shared" si="1"/>
        <v>0</v>
      </c>
      <c r="L10">
        <f>(J10+K10)*Parameters_Public!$C$32</f>
        <v>714479.99999999953</v>
      </c>
    </row>
    <row r="11" spans="1:12" x14ac:dyDescent="0.35">
      <c r="A11" t="str">
        <f>Scenarios!$A$9</f>
        <v>A_Repurpose_Both_ops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359.53999999999996</v>
      </c>
      <c r="E11" s="11">
        <f>INDEX(Scenarios!$D:$D, MATCH($A11, Scenarios!$A:$A, 0))*Parameters_Public!$C$22*Parameters_Public!$C$10*Parameters_Public!$C$37 + INDEX(Scenarios!$E:$E, MATCH($A11, Scenarios!$A:$A, 0))*Parameters_Public!$C$23*Parameters_Public!$C$11*Parameters_Public!$C$39</f>
        <v>46.26</v>
      </c>
      <c r="G11">
        <f>Parameters_Public!$C$33</f>
        <v>300</v>
      </c>
      <c r="H11">
        <f>Parameters_Public!$C$34</f>
        <v>150</v>
      </c>
      <c r="J11" s="11">
        <f t="shared" si="0"/>
        <v>59.539999999999964</v>
      </c>
      <c r="K11" s="11">
        <f t="shared" si="1"/>
        <v>0</v>
      </c>
      <c r="L11">
        <f>(J11+K11)*Parameters_Public!$C$32</f>
        <v>714479.99999999953</v>
      </c>
    </row>
    <row r="12" spans="1:12" x14ac:dyDescent="0.35">
      <c r="A12" t="str">
        <f>Scenarios!$A$10</f>
        <v>B_Repurpose_Echo_lease_PimaTargets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107.93999999999998</v>
      </c>
      <c r="E12" s="11">
        <f>INDEX(Scenarios!$D:$D, MATCH($A12, Scenarios!$A:$A, 0))*Parameters_Public!$C$22*Parameters_Public!$C$10*Parameters_Public!$C$37 + INDEX(Scenarios!$E:$E, MATCH($A12, Scenarios!$A:$A, 0))*Parameters_Public!$C$23*Parameters_Public!$C$11*Parameters_Public!$C$39</f>
        <v>46.26</v>
      </c>
      <c r="G12">
        <f>Parameters_Public!$C$33</f>
        <v>300</v>
      </c>
      <c r="H12">
        <f>Parameters_Public!$C$34</f>
        <v>150</v>
      </c>
      <c r="J12" s="11">
        <f t="shared" si="0"/>
        <v>0</v>
      </c>
      <c r="K12" s="11">
        <f t="shared" si="1"/>
        <v>0</v>
      </c>
      <c r="L12">
        <f>(J12+K12)*Parameters_Public!$C$32</f>
        <v>0</v>
      </c>
    </row>
    <row r="13" spans="1:12" x14ac:dyDescent="0.35">
      <c r="A13" t="str">
        <f>Scenarios!$A$11</f>
        <v>B_Repurpose_Echo_ops_PimaTargets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107.93999999999998</v>
      </c>
      <c r="E13" s="11">
        <f>INDEX(Scenarios!$D:$D, MATCH($A13, Scenarios!$A:$A, 0))*Parameters_Public!$C$22*Parameters_Public!$C$10*Parameters_Public!$C$37 + INDEX(Scenarios!$E:$E, MATCH($A13, Scenarios!$A:$A, 0))*Parameters_Public!$C$23*Parameters_Public!$C$11*Parameters_Public!$C$39</f>
        <v>46.26</v>
      </c>
      <c r="G13">
        <f>Parameters_Public!$C$33</f>
        <v>300</v>
      </c>
      <c r="H13">
        <f>Parameters_Public!$C$34</f>
        <v>150</v>
      </c>
      <c r="J13" s="11">
        <f t="shared" si="0"/>
        <v>0</v>
      </c>
      <c r="K13" s="11">
        <f t="shared" si="1"/>
        <v>0</v>
      </c>
      <c r="L13">
        <f>(J13+K13)*Parameters_Public!$C$32</f>
        <v>0</v>
      </c>
    </row>
    <row r="14" spans="1:12" x14ac:dyDescent="0.35">
      <c r="A14" t="str">
        <f>Scenarios!$A$12</f>
        <v>C_Repurpose_Pima_lease_EchoGHub_EchoTargets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251.6</v>
      </c>
      <c r="E14" s="11">
        <f>INDEX(Scenarios!$D:$D, MATCH($A14, Scenarios!$A:$A, 0))*Parameters_Public!$C$22*Parameters_Public!$C$10*Parameters_Public!$C$37 + INDEX(Scenarios!$E:$E, MATCH($A14, Scenarios!$A:$A, 0))*Parameters_Public!$C$23*Parameters_Public!$C$11*Parameters_Public!$C$39</f>
        <v>0</v>
      </c>
      <c r="G14">
        <f>Parameters_Public!$C$33</f>
        <v>300</v>
      </c>
      <c r="H14">
        <f>Parameters_Public!$C$34</f>
        <v>150</v>
      </c>
      <c r="J14" s="11">
        <f t="shared" si="0"/>
        <v>0</v>
      </c>
      <c r="K14" s="11">
        <f t="shared" si="1"/>
        <v>0</v>
      </c>
      <c r="L14">
        <f>(J14+K14)*Parameters_Public!$C$32</f>
        <v>0</v>
      </c>
    </row>
    <row r="15" spans="1:12" x14ac:dyDescent="0.35">
      <c r="A15" t="str">
        <f>Scenarios!$A$13</f>
        <v>C_Repurpose_Pima_ops_EchoGHub_EchoTargets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251.6</v>
      </c>
      <c r="E15" s="11">
        <f>INDEX(Scenarios!$D:$D, MATCH($A15, Scenarios!$A:$A, 0))*Parameters_Public!$C$22*Parameters_Public!$C$10*Parameters_Public!$C$37 + INDEX(Scenarios!$E:$E, MATCH($A15, Scenarios!$A:$A, 0))*Parameters_Public!$C$23*Parameters_Public!$C$11*Parameters_Public!$C$39</f>
        <v>0</v>
      </c>
      <c r="G15">
        <f>Parameters_Public!$C$33</f>
        <v>300</v>
      </c>
      <c r="H15">
        <f>Parameters_Public!$C$34</f>
        <v>150</v>
      </c>
      <c r="J15" s="11">
        <f t="shared" si="0"/>
        <v>0</v>
      </c>
      <c r="K15" s="11">
        <f t="shared" si="1"/>
        <v>0</v>
      </c>
      <c r="L15">
        <f>(J15+K15)*Parameters_Public!$C$32</f>
        <v>0</v>
      </c>
    </row>
    <row r="18" spans="4:4" x14ac:dyDescent="0.35">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59"/>
  <sheetViews>
    <sheetView zoomScale="80" zoomScaleNormal="80" workbookViewId="0">
      <pane xSplit="2" ySplit="1" topLeftCell="C21" activePane="bottomRight" state="frozen"/>
      <selection pane="topRight"/>
      <selection pane="bottomLeft"/>
      <selection pane="bottomRight" activeCell="C42" sqref="C42"/>
    </sheetView>
  </sheetViews>
  <sheetFormatPr defaultRowHeight="14.5" x14ac:dyDescent="0.35"/>
  <cols>
    <col min="1" max="1" width="3.90625" customWidth="1"/>
    <col min="2" max="2" width="54.54296875" bestFit="1"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x14ac:dyDescent="0.35">
      <c r="A1" s="17" t="s">
        <v>80</v>
      </c>
    </row>
    <row r="3" spans="1:16" x14ac:dyDescent="0.35">
      <c r="A3" s="4" t="s">
        <v>81</v>
      </c>
      <c r="B3" s="7"/>
    </row>
    <row r="4" spans="1:16" x14ac:dyDescent="0.35">
      <c r="A4" s="4"/>
    </row>
    <row r="5" spans="1:16" x14ac:dyDescent="0.35">
      <c r="B5" s="6" t="s">
        <v>82</v>
      </c>
      <c r="C5" s="55" t="s">
        <v>83</v>
      </c>
      <c r="D5" s="56"/>
      <c r="E5" s="56"/>
      <c r="F5" s="56"/>
      <c r="G5" s="57"/>
      <c r="H5" s="6" t="s">
        <v>3</v>
      </c>
      <c r="J5" s="4"/>
      <c r="K5" s="4"/>
      <c r="L5" s="4"/>
      <c r="M5" s="4"/>
      <c r="N5" s="4"/>
      <c r="O5" s="4"/>
      <c r="P5" s="4"/>
    </row>
    <row r="6" spans="1:16" x14ac:dyDescent="0.35">
      <c r="B6" s="7" t="s">
        <v>84</v>
      </c>
      <c r="C6" s="14">
        <v>2.5000000000000001E-2</v>
      </c>
      <c r="D6" s="7"/>
      <c r="E6" s="7"/>
      <c r="F6" s="7"/>
      <c r="G6" s="7"/>
      <c r="H6" s="8" t="s">
        <v>85</v>
      </c>
    </row>
    <row r="7" spans="1:16" x14ac:dyDescent="0.35">
      <c r="B7" s="7" t="s">
        <v>86</v>
      </c>
      <c r="C7" s="14">
        <v>9936</v>
      </c>
      <c r="D7" s="7"/>
      <c r="E7" s="7"/>
      <c r="F7" s="7"/>
      <c r="G7" s="7"/>
      <c r="H7" s="8" t="s">
        <v>87</v>
      </c>
    </row>
    <row r="8" spans="1:16" x14ac:dyDescent="0.35">
      <c r="B8" s="7" t="s">
        <v>88</v>
      </c>
      <c r="C8" s="14">
        <v>0.46</v>
      </c>
      <c r="D8" s="7"/>
      <c r="E8" s="7"/>
      <c r="F8" s="7"/>
      <c r="G8" s="7"/>
      <c r="H8" s="8" t="s">
        <v>89</v>
      </c>
    </row>
    <row r="9" spans="1:16" x14ac:dyDescent="0.35">
      <c r="B9" s="7" t="s">
        <v>90</v>
      </c>
      <c r="C9" s="14">
        <v>5013</v>
      </c>
      <c r="D9" s="7"/>
      <c r="E9" s="7"/>
      <c r="F9" s="7"/>
      <c r="G9" s="7"/>
      <c r="H9" s="8" t="s">
        <v>91</v>
      </c>
    </row>
    <row r="10" spans="1:16" x14ac:dyDescent="0.35">
      <c r="B10" s="7" t="s">
        <v>92</v>
      </c>
      <c r="C10" s="14">
        <v>7.0000000000000001E-3</v>
      </c>
      <c r="D10" s="7"/>
      <c r="E10" s="7"/>
      <c r="F10" s="7"/>
      <c r="G10" s="7"/>
      <c r="H10" s="8" t="s">
        <v>93</v>
      </c>
    </row>
    <row r="11" spans="1:16" x14ac:dyDescent="0.35">
      <c r="B11" s="7" t="s">
        <v>94</v>
      </c>
      <c r="C11" s="14">
        <v>1.4999999999999999E-2</v>
      </c>
      <c r="D11" s="7"/>
      <c r="E11" s="7"/>
      <c r="F11" s="7"/>
      <c r="G11" s="7"/>
      <c r="H11" s="8" t="s">
        <v>95</v>
      </c>
    </row>
    <row r="12" spans="1:16" x14ac:dyDescent="0.35">
      <c r="B12" s="7" t="s">
        <v>96</v>
      </c>
      <c r="C12" s="14">
        <v>257</v>
      </c>
      <c r="D12" s="7"/>
      <c r="E12" s="7"/>
      <c r="F12" s="7"/>
      <c r="G12" s="7"/>
      <c r="H12" s="8" t="s">
        <v>97</v>
      </c>
    </row>
    <row r="13" spans="1:16" x14ac:dyDescent="0.35">
      <c r="B13" s="7" t="s">
        <v>98</v>
      </c>
      <c r="C13" s="14">
        <v>296</v>
      </c>
      <c r="D13" s="7"/>
      <c r="E13" s="7"/>
      <c r="F13" s="7"/>
      <c r="G13" s="7"/>
      <c r="H13" s="8" t="s">
        <v>99</v>
      </c>
    </row>
    <row r="14" spans="1:16" x14ac:dyDescent="0.35">
      <c r="B14" s="7" t="s">
        <v>100</v>
      </c>
      <c r="C14" s="7">
        <f>C12+C13</f>
        <v>553</v>
      </c>
      <c r="D14" s="7"/>
      <c r="E14" s="7"/>
      <c r="F14" s="7"/>
      <c r="G14" s="7"/>
      <c r="H14" s="8" t="s">
        <v>101</v>
      </c>
    </row>
    <row r="15" spans="1:16" x14ac:dyDescent="0.35">
      <c r="B15" s="7" t="s">
        <v>102</v>
      </c>
      <c r="C15" s="13">
        <v>1200000</v>
      </c>
      <c r="D15" s="7"/>
      <c r="E15" s="7"/>
      <c r="F15" s="7"/>
      <c r="G15" s="7"/>
      <c r="H15" s="8" t="s">
        <v>103</v>
      </c>
    </row>
    <row r="16" spans="1:16" x14ac:dyDescent="0.35">
      <c r="B16" s="7" t="s">
        <v>104</v>
      </c>
      <c r="C16" s="14">
        <v>0.75</v>
      </c>
      <c r="D16" s="7"/>
      <c r="E16" s="7"/>
      <c r="F16" s="7"/>
      <c r="G16" s="7"/>
      <c r="H16" s="8" t="s">
        <v>105</v>
      </c>
    </row>
    <row r="17" spans="1:8" x14ac:dyDescent="0.35">
      <c r="B17" s="7" t="s">
        <v>106</v>
      </c>
      <c r="C17" s="14">
        <v>0.4</v>
      </c>
      <c r="D17" s="7"/>
      <c r="E17" s="7"/>
      <c r="F17" s="7"/>
      <c r="G17" s="7"/>
      <c r="H17" s="8" t="s">
        <v>107</v>
      </c>
    </row>
    <row r="18" spans="1:8" x14ac:dyDescent="0.35">
      <c r="B18" s="7"/>
      <c r="C18" s="7"/>
      <c r="D18" s="7"/>
      <c r="E18" s="7"/>
      <c r="F18" s="7"/>
      <c r="G18" s="7"/>
      <c r="H18" s="9"/>
    </row>
    <row r="19" spans="1:8" x14ac:dyDescent="0.35">
      <c r="A19" s="4" t="s">
        <v>108</v>
      </c>
      <c r="B19" s="7"/>
      <c r="C19" s="7"/>
      <c r="D19" s="7"/>
      <c r="E19" s="7"/>
      <c r="F19" s="7"/>
      <c r="G19" s="7"/>
      <c r="H19" s="9"/>
    </row>
    <row r="20" spans="1:8" x14ac:dyDescent="0.35">
      <c r="A20" s="4"/>
      <c r="B20" s="7"/>
      <c r="C20" s="7"/>
      <c r="D20" s="7"/>
      <c r="E20" s="7"/>
      <c r="F20" s="7"/>
      <c r="G20" s="7"/>
      <c r="H20" s="9"/>
    </row>
    <row r="21" spans="1:8" x14ac:dyDescent="0.35">
      <c r="B21" s="6" t="s">
        <v>59</v>
      </c>
      <c r="C21" s="6" t="s">
        <v>109</v>
      </c>
      <c r="D21" s="6" t="s">
        <v>110</v>
      </c>
      <c r="E21" s="6" t="s">
        <v>111</v>
      </c>
      <c r="F21" s="15"/>
      <c r="G21" s="15"/>
      <c r="H21" s="9"/>
    </row>
    <row r="22" spans="1:8" x14ac:dyDescent="0.35">
      <c r="B22" s="7" t="s">
        <v>66</v>
      </c>
      <c r="C22" s="14">
        <v>1000</v>
      </c>
      <c r="D22" s="14">
        <v>0.4</v>
      </c>
      <c r="E22" s="14">
        <v>0.5</v>
      </c>
      <c r="F22" s="7"/>
      <c r="G22" s="7"/>
      <c r="H22" s="8" t="s">
        <v>112</v>
      </c>
    </row>
    <row r="23" spans="1:8" x14ac:dyDescent="0.35">
      <c r="B23" s="7" t="s">
        <v>67</v>
      </c>
      <c r="C23" s="14">
        <v>800</v>
      </c>
      <c r="D23" s="14">
        <v>0.3</v>
      </c>
      <c r="E23" s="14">
        <v>0.4</v>
      </c>
      <c r="F23" s="7"/>
      <c r="G23" s="7"/>
      <c r="H23" s="8" t="s">
        <v>113</v>
      </c>
    </row>
    <row r="24" spans="1:8" x14ac:dyDescent="0.35">
      <c r="B24" s="7" t="s">
        <v>68</v>
      </c>
      <c r="C24" s="14">
        <v>600</v>
      </c>
      <c r="D24" s="14">
        <v>0.2</v>
      </c>
      <c r="E24" s="14">
        <v>0.35</v>
      </c>
      <c r="F24" s="7"/>
      <c r="G24" s="7"/>
      <c r="H24" s="8" t="s">
        <v>114</v>
      </c>
    </row>
    <row r="25" spans="1:8" x14ac:dyDescent="0.35">
      <c r="B25" s="7" t="s">
        <v>69</v>
      </c>
      <c r="C25" s="14">
        <v>500</v>
      </c>
      <c r="D25" s="14">
        <v>0.1</v>
      </c>
      <c r="E25" s="14">
        <v>0.3</v>
      </c>
      <c r="F25" s="7"/>
      <c r="G25" s="7"/>
      <c r="H25" s="9"/>
    </row>
    <row r="26" spans="1:8" x14ac:dyDescent="0.35">
      <c r="B26" s="7" t="s">
        <v>70</v>
      </c>
      <c r="C26" s="14">
        <v>300</v>
      </c>
      <c r="D26" s="14">
        <v>0.1</v>
      </c>
      <c r="E26" s="14">
        <v>0.3</v>
      </c>
      <c r="F26" s="7"/>
      <c r="G26" s="7"/>
      <c r="H26" s="9"/>
    </row>
    <row r="27" spans="1:8" x14ac:dyDescent="0.35">
      <c r="B27" s="7"/>
      <c r="C27" s="7"/>
      <c r="D27" s="7"/>
      <c r="E27" s="7"/>
      <c r="F27" s="7"/>
      <c r="G27" s="7"/>
      <c r="H27" s="9"/>
    </row>
    <row r="28" spans="1:8" x14ac:dyDescent="0.35">
      <c r="A28" s="4" t="s">
        <v>115</v>
      </c>
      <c r="B28" s="7"/>
      <c r="C28" s="7"/>
      <c r="D28" s="7"/>
      <c r="E28" s="7"/>
      <c r="F28" s="7"/>
      <c r="G28" s="7"/>
      <c r="H28" s="9"/>
    </row>
    <row r="29" spans="1:8" x14ac:dyDescent="0.35">
      <c r="A29" s="4"/>
      <c r="B29" s="7"/>
      <c r="C29" s="7"/>
      <c r="D29" s="7"/>
      <c r="E29" s="7"/>
      <c r="F29" s="7"/>
      <c r="G29" s="7"/>
      <c r="H29" s="9"/>
    </row>
    <row r="30" spans="1:8" x14ac:dyDescent="0.35">
      <c r="A30" s="10" t="s">
        <v>116</v>
      </c>
      <c r="B30" s="6" t="s">
        <v>117</v>
      </c>
      <c r="C30" s="6" t="s">
        <v>118</v>
      </c>
      <c r="D30" s="6" t="s">
        <v>119</v>
      </c>
      <c r="E30" s="6" t="s">
        <v>120</v>
      </c>
      <c r="F30" s="6" t="s">
        <v>121</v>
      </c>
      <c r="G30" s="6" t="s">
        <v>122</v>
      </c>
      <c r="H30" s="9"/>
    </row>
    <row r="31" spans="1:8" x14ac:dyDescent="0.35">
      <c r="A31" s="10" t="s">
        <v>123</v>
      </c>
      <c r="B31" s="7" t="s">
        <v>124</v>
      </c>
      <c r="C31" s="14">
        <v>0</v>
      </c>
      <c r="D31" s="14">
        <v>0</v>
      </c>
      <c r="E31" s="14">
        <v>0</v>
      </c>
      <c r="F31" s="14">
        <v>0.5</v>
      </c>
      <c r="G31" s="14">
        <v>0</v>
      </c>
      <c r="H31" s="9"/>
    </row>
    <row r="32" spans="1:8" x14ac:dyDescent="0.35">
      <c r="A32" s="10" t="s">
        <v>125</v>
      </c>
      <c r="B32" s="7" t="s">
        <v>126</v>
      </c>
      <c r="C32" s="14">
        <v>150</v>
      </c>
      <c r="D32" s="14">
        <v>0</v>
      </c>
      <c r="E32" s="14">
        <v>0</v>
      </c>
      <c r="F32" s="14">
        <v>0.5</v>
      </c>
      <c r="G32" s="14">
        <v>0</v>
      </c>
      <c r="H32" s="9" t="s">
        <v>127</v>
      </c>
    </row>
    <row r="33" spans="1:8" x14ac:dyDescent="0.35">
      <c r="A33" s="10" t="s">
        <v>128</v>
      </c>
      <c r="B33" s="7" t="s">
        <v>129</v>
      </c>
      <c r="C33" s="14">
        <v>150</v>
      </c>
      <c r="D33" s="14">
        <v>0</v>
      </c>
      <c r="E33" s="14">
        <v>0</v>
      </c>
      <c r="F33" s="14">
        <v>0.5</v>
      </c>
      <c r="G33" s="14">
        <v>0.05</v>
      </c>
      <c r="H33" s="51"/>
    </row>
    <row r="34" spans="1:8" x14ac:dyDescent="0.35">
      <c r="A34" s="10" t="s">
        <v>130</v>
      </c>
      <c r="B34" s="7" t="s">
        <v>131</v>
      </c>
      <c r="C34" s="14">
        <v>250</v>
      </c>
      <c r="D34" s="14">
        <v>0</v>
      </c>
      <c r="E34" s="14">
        <v>0</v>
      </c>
      <c r="F34" s="14">
        <v>0.5</v>
      </c>
      <c r="G34" s="14">
        <v>0</v>
      </c>
      <c r="H34" s="9"/>
    </row>
    <row r="35" spans="1:8" x14ac:dyDescent="0.35">
      <c r="A35" s="10" t="s">
        <v>132</v>
      </c>
      <c r="B35" s="7" t="s">
        <v>133</v>
      </c>
      <c r="C35" s="14">
        <v>0</v>
      </c>
      <c r="D35" s="14">
        <v>0</v>
      </c>
      <c r="E35" s="14">
        <v>0</v>
      </c>
      <c r="F35" s="14">
        <v>0.5</v>
      </c>
      <c r="G35" s="14">
        <v>0</v>
      </c>
      <c r="H35" s="9"/>
    </row>
    <row r="36" spans="1:8" x14ac:dyDescent="0.35">
      <c r="A36" s="10" t="s">
        <v>134</v>
      </c>
      <c r="B36" s="7" t="s">
        <v>135</v>
      </c>
      <c r="C36" s="14">
        <v>150</v>
      </c>
      <c r="D36" s="14">
        <v>0</v>
      </c>
      <c r="E36" s="14">
        <v>0</v>
      </c>
      <c r="F36" s="14">
        <v>0.7</v>
      </c>
      <c r="G36" s="14">
        <v>0</v>
      </c>
      <c r="H36" s="9"/>
    </row>
    <row r="37" spans="1:8" x14ac:dyDescent="0.35">
      <c r="A37" s="10" t="s">
        <v>136</v>
      </c>
      <c r="B37" s="7" t="s">
        <v>137</v>
      </c>
      <c r="C37" s="14">
        <v>0</v>
      </c>
      <c r="D37" s="14">
        <v>1</v>
      </c>
      <c r="E37" s="14">
        <v>1</v>
      </c>
      <c r="F37" s="14">
        <v>0.5</v>
      </c>
      <c r="G37" s="14">
        <v>0</v>
      </c>
      <c r="H37" s="9"/>
    </row>
    <row r="38" spans="1:8" x14ac:dyDescent="0.35">
      <c r="A38" s="10" t="s">
        <v>138</v>
      </c>
      <c r="B38" s="7" t="s">
        <v>139</v>
      </c>
      <c r="C38" s="14">
        <v>0</v>
      </c>
      <c r="D38" s="14">
        <v>1</v>
      </c>
      <c r="E38" s="14">
        <v>1</v>
      </c>
      <c r="F38" s="14">
        <v>0.5</v>
      </c>
      <c r="G38" s="14">
        <v>0</v>
      </c>
      <c r="H38" s="9"/>
    </row>
    <row r="39" spans="1:8" x14ac:dyDescent="0.35">
      <c r="A39" s="10" t="s">
        <v>140</v>
      </c>
      <c r="B39" s="7" t="s">
        <v>141</v>
      </c>
      <c r="C39" s="14">
        <v>0</v>
      </c>
      <c r="D39" s="14">
        <v>1</v>
      </c>
      <c r="E39" s="14">
        <v>0</v>
      </c>
      <c r="F39" s="14">
        <v>0</v>
      </c>
      <c r="G39" s="14">
        <v>0</v>
      </c>
      <c r="H39" s="9"/>
    </row>
    <row r="40" spans="1:8" x14ac:dyDescent="0.35">
      <c r="A40" s="10" t="s">
        <v>142</v>
      </c>
      <c r="B40" s="7" t="s">
        <v>143</v>
      </c>
      <c r="C40" s="14">
        <v>150</v>
      </c>
      <c r="D40" s="14">
        <v>1</v>
      </c>
      <c r="E40" s="14">
        <v>0</v>
      </c>
      <c r="F40" s="14">
        <v>0</v>
      </c>
      <c r="G40" s="14">
        <v>0</v>
      </c>
      <c r="H40" s="9"/>
    </row>
    <row r="41" spans="1:8" x14ac:dyDescent="0.35">
      <c r="A41" s="10" t="s">
        <v>144</v>
      </c>
      <c r="B41" s="7" t="s">
        <v>145</v>
      </c>
      <c r="C41" s="14">
        <v>0</v>
      </c>
      <c r="D41" s="14">
        <v>0</v>
      </c>
      <c r="E41" s="14">
        <v>1</v>
      </c>
      <c r="F41" s="14">
        <v>1</v>
      </c>
      <c r="G41" s="14">
        <v>0</v>
      </c>
      <c r="H41" s="9"/>
    </row>
    <row r="42" spans="1:8" x14ac:dyDescent="0.35">
      <c r="A42" s="10" t="s">
        <v>146</v>
      </c>
      <c r="B42" s="7" t="s">
        <v>147</v>
      </c>
      <c r="C42" s="14">
        <v>200</v>
      </c>
      <c r="D42" s="14">
        <v>0</v>
      </c>
      <c r="E42" s="14">
        <v>1</v>
      </c>
      <c r="F42" s="14">
        <v>1</v>
      </c>
      <c r="G42" s="14">
        <v>0</v>
      </c>
      <c r="H42" s="9"/>
    </row>
    <row r="43" spans="1:8" x14ac:dyDescent="0.35">
      <c r="B43" s="7"/>
      <c r="C43" s="7"/>
      <c r="D43" s="7"/>
      <c r="E43" s="7"/>
      <c r="F43" s="7"/>
      <c r="G43" s="7"/>
    </row>
    <row r="44" spans="1:8" x14ac:dyDescent="0.35">
      <c r="A44" s="4" t="s">
        <v>148</v>
      </c>
      <c r="B44" s="7"/>
      <c r="C44" s="7"/>
      <c r="D44" s="7"/>
      <c r="E44" s="7"/>
      <c r="F44" s="7"/>
      <c r="G44" s="7"/>
    </row>
    <row r="45" spans="1:8" x14ac:dyDescent="0.35">
      <c r="B45" s="7"/>
      <c r="C45" s="7"/>
      <c r="D45" s="7"/>
      <c r="E45" s="7"/>
      <c r="F45" s="7"/>
      <c r="G45" s="7"/>
    </row>
    <row r="46" spans="1:8" x14ac:dyDescent="0.35">
      <c r="B46" s="6" t="s">
        <v>117</v>
      </c>
      <c r="C46" s="6" t="s">
        <v>149</v>
      </c>
      <c r="D46" s="6" t="s">
        <v>150</v>
      </c>
      <c r="E46" s="7"/>
      <c r="F46" s="7"/>
      <c r="G46" s="7"/>
      <c r="H46" s="9" t="s">
        <v>151</v>
      </c>
    </row>
    <row r="47" spans="1:8" x14ac:dyDescent="0.35">
      <c r="B47" s="7" t="s">
        <v>152</v>
      </c>
      <c r="C47" s="14" t="s">
        <v>153</v>
      </c>
      <c r="D47" s="14" t="s">
        <v>154</v>
      </c>
      <c r="E47" s="7"/>
      <c r="F47" s="7"/>
      <c r="G47" s="7"/>
      <c r="H47" s="9"/>
    </row>
    <row r="48" spans="1:8" x14ac:dyDescent="0.35">
      <c r="B48" s="7" t="s">
        <v>126</v>
      </c>
      <c r="C48" s="14" t="s">
        <v>155</v>
      </c>
      <c r="D48" s="14" t="s">
        <v>156</v>
      </c>
      <c r="E48" s="7"/>
      <c r="F48" s="7"/>
      <c r="G48" s="7"/>
      <c r="H48" s="9"/>
    </row>
    <row r="49" spans="2:8" x14ac:dyDescent="0.35">
      <c r="B49" s="7" t="s">
        <v>129</v>
      </c>
      <c r="C49" s="16" t="s">
        <v>157</v>
      </c>
      <c r="D49" s="14" t="s">
        <v>154</v>
      </c>
      <c r="E49" s="7"/>
      <c r="F49" s="7"/>
      <c r="G49" s="7"/>
      <c r="H49" s="9"/>
    </row>
    <row r="50" spans="2:8" x14ac:dyDescent="0.35">
      <c r="B50" s="7" t="s">
        <v>131</v>
      </c>
      <c r="C50" s="16" t="s">
        <v>157</v>
      </c>
      <c r="D50" s="14" t="s">
        <v>154</v>
      </c>
      <c r="E50" s="7"/>
      <c r="F50" s="7"/>
      <c r="G50" s="7"/>
      <c r="H50" s="9"/>
    </row>
    <row r="51" spans="2:8" x14ac:dyDescent="0.35">
      <c r="B51" s="7" t="s">
        <v>158</v>
      </c>
      <c r="C51" s="14" t="s">
        <v>153</v>
      </c>
      <c r="D51" s="14" t="s">
        <v>154</v>
      </c>
      <c r="E51" s="7"/>
      <c r="F51" s="7"/>
      <c r="G51" s="7"/>
      <c r="H51" s="9"/>
    </row>
    <row r="52" spans="2:8" x14ac:dyDescent="0.35">
      <c r="B52" s="7" t="s">
        <v>135</v>
      </c>
      <c r="C52" s="16" t="s">
        <v>157</v>
      </c>
      <c r="D52" s="14" t="s">
        <v>154</v>
      </c>
      <c r="E52" s="7"/>
      <c r="F52" s="7"/>
      <c r="G52" s="7"/>
      <c r="H52" s="9"/>
    </row>
    <row r="53" spans="2:8" x14ac:dyDescent="0.35">
      <c r="B53" s="7" t="s">
        <v>137</v>
      </c>
      <c r="C53" s="16" t="s">
        <v>159</v>
      </c>
      <c r="D53" s="14" t="s">
        <v>160</v>
      </c>
      <c r="E53" s="7"/>
      <c r="F53" s="7"/>
      <c r="G53" s="7"/>
      <c r="H53" s="9"/>
    </row>
    <row r="54" spans="2:8" x14ac:dyDescent="0.35">
      <c r="B54" s="7" t="s">
        <v>139</v>
      </c>
      <c r="C54" s="16" t="s">
        <v>161</v>
      </c>
      <c r="D54" s="14" t="s">
        <v>162</v>
      </c>
      <c r="E54" s="7"/>
      <c r="F54" s="7"/>
      <c r="G54" s="7"/>
      <c r="H54" s="9"/>
    </row>
    <row r="55" spans="2:8" x14ac:dyDescent="0.35">
      <c r="B55" s="7" t="s">
        <v>141</v>
      </c>
      <c r="C55" s="16" t="s">
        <v>161</v>
      </c>
      <c r="D55" s="14" t="s">
        <v>162</v>
      </c>
      <c r="E55" s="7"/>
      <c r="F55" s="7"/>
      <c r="G55" s="7"/>
      <c r="H55" s="9"/>
    </row>
    <row r="56" spans="2:8" x14ac:dyDescent="0.35">
      <c r="B56" s="7" t="s">
        <v>143</v>
      </c>
      <c r="C56" s="14" t="s">
        <v>155</v>
      </c>
      <c r="D56" s="14" t="s">
        <v>162</v>
      </c>
      <c r="E56" s="7"/>
      <c r="F56" s="7"/>
      <c r="G56" s="7"/>
      <c r="H56" s="9"/>
    </row>
    <row r="57" spans="2:8" x14ac:dyDescent="0.35">
      <c r="B57" s="7" t="s">
        <v>145</v>
      </c>
      <c r="C57" s="16" t="s">
        <v>161</v>
      </c>
      <c r="D57" s="14" t="s">
        <v>162</v>
      </c>
      <c r="E57" s="7"/>
      <c r="F57" s="7"/>
      <c r="G57" s="7"/>
      <c r="H57" s="9"/>
    </row>
    <row r="58" spans="2:8" x14ac:dyDescent="0.35">
      <c r="B58" s="7" t="s">
        <v>147</v>
      </c>
      <c r="C58" s="14" t="s">
        <v>155</v>
      </c>
      <c r="D58" s="14" t="s">
        <v>162</v>
      </c>
      <c r="E58" s="7"/>
      <c r="F58" s="7"/>
      <c r="G58" s="7"/>
      <c r="H58" s="9"/>
    </row>
    <row r="59" spans="2:8" x14ac:dyDescent="0.35">
      <c r="H59" s="9"/>
    </row>
  </sheetData>
  <mergeCells count="1">
    <mergeCell ref="C5:G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N121"/>
  <sheetViews>
    <sheetView zoomScale="80" zoomScaleNormal="80" workbookViewId="0">
      <selection activeCell="B16" sqref="B16"/>
    </sheetView>
  </sheetViews>
  <sheetFormatPr defaultRowHeight="14.5" x14ac:dyDescent="0.35"/>
  <cols>
    <col min="1" max="1" width="3.08984375" customWidth="1"/>
    <col min="2" max="2" width="49.1796875" bestFit="1" customWidth="1"/>
    <col min="3" max="6" width="23" hidden="1" customWidth="1"/>
    <col min="7" max="13" width="19.36328125" customWidth="1"/>
    <col min="14" max="14" width="2.453125" customWidth="1"/>
    <col min="15" max="16" width="19.36328125" customWidth="1"/>
  </cols>
  <sheetData>
    <row r="1" spans="2:40" s="12" customFormat="1" ht="25" customHeight="1" x14ac:dyDescent="0.35">
      <c r="B1" s="7"/>
      <c r="C1" s="15"/>
      <c r="D1" s="7"/>
      <c r="E1" s="7"/>
      <c r="F1" s="7"/>
      <c r="G1" s="19" t="s">
        <v>163</v>
      </c>
      <c r="H1" s="20"/>
      <c r="I1" s="19" t="s">
        <v>164</v>
      </c>
      <c r="J1" s="20"/>
      <c r="K1" s="19" t="s">
        <v>165</v>
      </c>
      <c r="L1" s="20"/>
      <c r="M1" s="21"/>
      <c r="N1" s="15"/>
      <c r="O1" s="15" t="s">
        <v>166</v>
      </c>
      <c r="P1" s="7"/>
      <c r="R1" s="18"/>
      <c r="S1" s="18"/>
      <c r="T1" s="18"/>
      <c r="U1" s="18"/>
      <c r="V1" s="18"/>
      <c r="W1" s="18"/>
      <c r="X1" s="18"/>
      <c r="Y1" s="18"/>
      <c r="Z1" s="18"/>
      <c r="AA1" s="18"/>
      <c r="AB1" s="18"/>
      <c r="AC1" s="18"/>
      <c r="AD1" s="18"/>
      <c r="AE1" s="18"/>
      <c r="AF1" s="18"/>
      <c r="AG1" s="18"/>
      <c r="AH1" s="18"/>
      <c r="AI1" s="18"/>
      <c r="AJ1" s="18"/>
      <c r="AK1" s="18"/>
      <c r="AL1" s="18"/>
      <c r="AM1" s="18"/>
      <c r="AN1" s="18"/>
    </row>
    <row r="2" spans="2:40" s="12" customFormat="1" ht="43.5" customHeight="1" x14ac:dyDescent="0.35">
      <c r="B2" s="22" t="s">
        <v>58</v>
      </c>
      <c r="C2" s="22" t="s">
        <v>167</v>
      </c>
      <c r="D2" s="22" t="s">
        <v>168</v>
      </c>
      <c r="E2" s="22" t="s">
        <v>169</v>
      </c>
      <c r="F2" s="22" t="s">
        <v>170</v>
      </c>
      <c r="G2" s="22" t="s">
        <v>171</v>
      </c>
      <c r="H2" s="22" t="s">
        <v>172</v>
      </c>
      <c r="I2" s="23" t="str">
        <f>Control_Center!C46</f>
        <v>Distinctiveness</v>
      </c>
      <c r="J2" s="23" t="str">
        <f>Control_Center!D46</f>
        <v>Reversibility</v>
      </c>
      <c r="K2" s="23" t="s">
        <v>173</v>
      </c>
      <c r="L2" s="23" t="s">
        <v>174</v>
      </c>
      <c r="M2" s="23" t="s">
        <v>175</v>
      </c>
      <c r="N2" s="24" t="s">
        <v>176</v>
      </c>
      <c r="O2" s="22" t="s">
        <v>177</v>
      </c>
      <c r="P2" s="22" t="s">
        <v>178</v>
      </c>
      <c r="R2" s="18"/>
      <c r="S2" s="18"/>
      <c r="T2" s="18"/>
      <c r="U2" s="18"/>
      <c r="V2" s="18"/>
      <c r="W2" s="18"/>
      <c r="X2" s="18"/>
      <c r="Y2" s="18"/>
      <c r="Z2" s="18"/>
      <c r="AA2" s="18"/>
      <c r="AB2" s="18"/>
      <c r="AC2" s="18"/>
      <c r="AD2" s="18"/>
      <c r="AE2" s="18"/>
      <c r="AF2" s="18"/>
      <c r="AG2" s="18"/>
      <c r="AH2" s="18"/>
      <c r="AI2" s="18"/>
      <c r="AJ2" s="18"/>
      <c r="AK2" s="18"/>
      <c r="AL2" s="18"/>
      <c r="AM2" s="18"/>
      <c r="AN2" s="18"/>
    </row>
    <row r="3" spans="2:40" s="12" customFormat="1" x14ac:dyDescent="0.35">
      <c r="B3" s="25" t="str">
        <f>Scenarios!A8</f>
        <v>A_Repurpose_Both_lease</v>
      </c>
      <c r="C3" s="26">
        <f>INDEX(MultiYear_ProForma!$X$2:$X$61, MATCH(Scenarios!A8&amp;"|FY2028", MultiYear_ProForma!$AG$2:$AG$61, 0))</f>
        <v>8892.9481400561417</v>
      </c>
      <c r="D3" s="26">
        <f>INDEX(MultiYear_ProForma!$X$2:$X$61, MATCH(Scenarios!A8&amp;"|FY2030", MultiYear_ProForma!$AG$2:$AG$61, 0))</f>
        <v>8196.5995602043931</v>
      </c>
      <c r="E3" s="26">
        <f>AVERAGE(INDEX(MultiYear_ProForma!$X$2:$X$61, MATCH(Scenarios!A8&amp;"|FY2026", MultiYear_ProForma!$AG$2:$AG$61, 0)),INDEX(MultiYear_ProForma!$X$2:$X$61, MATCH(Scenarios!A8&amp;"|FY2027", MultiYear_ProForma!$AG$2:$AG$61, 0)),INDEX(MultiYear_ProForma!$X$2:$X$61, MATCH(Scenarios!A8&amp;"|FY2028", MultiYear_ProForma!$AG$2:$AG$61, 0)))</f>
        <v>9637.9053392838377</v>
      </c>
      <c r="F3" s="26">
        <f>AVERAGE(INDEX(MultiYear_ProForma!$X$2:$X$61, MATCH(Scenarios!A8&amp;"|FY2026", MultiYear_ProForma!$AG$2:$AG$61, 0)),INDEX(MultiYear_ProForma!$X$2:$X$61, MATCH(Scenarios!A8&amp;"|FY2027", MultiYear_ProForma!$AG$2:$AG$61, 0)),INDEX(MultiYear_ProForma!$X$2:$X$61, MATCH(Scenarios!A8&amp;"|FY2028", MultiYear_ProForma!$AG$2:$AG$61, 0)),INDEX(MultiYear_ProForma!$X$2:$X$61, MATCH(Scenarios!A8&amp;"|FY2029", MultiYear_ProForma!$AG$2:$AG$61, 0)),INDEX(MultiYear_ProForma!$X$2:$X$61, MATCH(Scenarios!A8&amp;"|FY2030", MultiYear_ProForma!$AG$2:$AG$61, 0)))</f>
        <v>9062.8630297974032</v>
      </c>
      <c r="G3" s="27">
        <f>IFERROR(VLOOKUP($B3&amp;"|FY2026", MultiYear_ProForma!$A:$AG, 14, FALSE), "")</f>
        <v>553</v>
      </c>
      <c r="H3" s="28">
        <f>IFERROR(VLOOKUP($B3&amp;"|FY2030", MultiYear_ProForma!$A:$AG, 6, FALSE) + VLOOKUP($B3&amp;"|FY2030", MultiYear_ProForma!$A:$AG, 15, FALSE), "")</f>
        <v>405.79999999999995</v>
      </c>
      <c r="I3" s="28" t="str">
        <f>Control_Center!C48</f>
        <v>o</v>
      </c>
      <c r="J3" s="28" t="str">
        <f>Control_Center!D48</f>
        <v>High</v>
      </c>
      <c r="K3" s="29">
        <f>SUMIFS(MultiYear_ProForma!$AF:$AF, MultiYear_ProForma!$B:$B, $B3, MultiYear_ProForma!$C:$C, "FY2028")</f>
        <v>-1187156.9190747822</v>
      </c>
      <c r="L3" s="29">
        <f>SUMIFS(MultiYear_ProForma!$AF:$AF, MultiYear_ProForma!$B:$B, $B3, MultiYear_ProForma!$C:$C, "FY2030")</f>
        <v>-819073.67627407843</v>
      </c>
      <c r="M3" s="29">
        <f>(SUMIFS(MultiYear_ProForma!$AF:$AF, MultiYear_ProForma!$B:$B, $B3, MultiYear_ProForma!$C:$C, "FY2026")+SUMIFS(MultiYear_ProForma!$AF:$AF, MultiYear_ProForma!$B:$B, $B3, MultiYear_ProForma!$C:$C, "FY2027")+SUMIFS(MultiYear_ProForma!$AF:$AF, MultiYear_ProForma!$B:$B, $B3, MultiYear_ProForma!$C:$C, "FY2028")+SUMIFS(MultiYear_ProForma!$AF:$AF, MultiYear_ProForma!$B:$B, $B3, MultiYear_ProForma!$C:$C, "FY2029")+SUMIFS(MultiYear_ProForma!$AF:$AF, MultiYear_ProForma!$B:$B, $B3, MultiYear_ProForma!$C:$C, "FY2030"))/5</f>
        <v>-1255278.3318717733</v>
      </c>
      <c r="N3" s="30" t="str">
        <f>Control_Center!B37</f>
        <v>Repurpose BOTH (lease)</v>
      </c>
      <c r="O3" s="29">
        <f t="shared" ref="O3:O14" si="0">L3 - INDEX(L:L, MATCH("A_Repurpose_Both_ops", $B:$B, 0))</f>
        <v>662410.94087520009</v>
      </c>
      <c r="P3" s="31">
        <f t="shared" ref="P3:P14" si="1">M3 - INDEX(M:M, MATCH("A_Repurpose_Both_ops", $B:$B, 0))</f>
        <v>477829.54677503207</v>
      </c>
      <c r="R3" s="18"/>
      <c r="S3" s="18"/>
      <c r="T3" s="18"/>
      <c r="U3" s="18"/>
      <c r="V3" s="18"/>
      <c r="W3" s="18"/>
      <c r="X3" s="18"/>
      <c r="Y3" s="18"/>
      <c r="Z3" s="18"/>
      <c r="AA3" s="18"/>
      <c r="AB3" s="18"/>
      <c r="AC3" s="18"/>
      <c r="AD3" s="18"/>
      <c r="AE3" s="18"/>
      <c r="AF3" s="18"/>
      <c r="AG3" s="18"/>
      <c r="AH3" s="18"/>
      <c r="AI3" s="18"/>
      <c r="AJ3" s="18"/>
      <c r="AK3" s="18"/>
      <c r="AL3" s="18"/>
      <c r="AM3" s="18"/>
      <c r="AN3" s="18"/>
    </row>
    <row r="4" spans="2:40" s="12" customFormat="1" x14ac:dyDescent="0.35">
      <c r="B4" s="25" t="str">
        <f>Scenarios!A13</f>
        <v>C_Repurpose_Pima_ops_EchoGHub_EchoTargets</v>
      </c>
      <c r="C4" s="26">
        <f>INDEX(MultiYear_ProForma!$X$2:$X$61, MATCH(Scenarios!A13&amp;"|FY2028", MultiYear_ProForma!$AG$2:$AG$61, 0))</f>
        <v>9822.8712923354651</v>
      </c>
      <c r="D4" s="26">
        <f>INDEX(MultiYear_ProForma!$X$2:$X$61, MATCH(Scenarios!A13&amp;"|FY2030", MultiYear_ProForma!$AG$2:$AG$61, 0))</f>
        <v>10077.756133732068</v>
      </c>
      <c r="E4" s="26">
        <f>AVERAGE(INDEX(MultiYear_ProForma!$X$2:$X$61, MATCH(Scenarios!A13&amp;"|FY2026", MultiYear_ProForma!$AG$2:$AG$61, 0)),INDEX(MultiYear_ProForma!$X$2:$X$61, MATCH(Scenarios!A13&amp;"|FY2027", MultiYear_ProForma!$AG$2:$AG$61, 0)),INDEX(MultiYear_ProForma!$X$2:$X$61, MATCH(Scenarios!A13&amp;"|FY2028", MultiYear_ProForma!$AG$2:$AG$61, 0)))</f>
        <v>9813.4524902253343</v>
      </c>
      <c r="F4" s="26">
        <f>AVERAGE(INDEX(MultiYear_ProForma!$X$2:$X$61, MATCH(Scenarios!A13&amp;"|FY2026", MultiYear_ProForma!$AG$2:$AG$61, 0)),INDEX(MultiYear_ProForma!$X$2:$X$61, MATCH(Scenarios!A13&amp;"|FY2027", MultiYear_ProForma!$AG$2:$AG$61, 0)),INDEX(MultiYear_ProForma!$X$2:$X$61, MATCH(Scenarios!A13&amp;"|FY2028", MultiYear_ProForma!$AG$2:$AG$61, 0)),INDEX(MultiYear_ProForma!$X$2:$X$61, MATCH(Scenarios!A13&amp;"|FY2029", MultiYear_ProForma!$AG$2:$AG$61, 0)),INDEX(MultiYear_ProForma!$X$2:$X$61, MATCH(Scenarios!A13&amp;"|FY2030", MultiYear_ProForma!$AG$2:$AG$61, 0)))</f>
        <v>9884.7364239890921</v>
      </c>
      <c r="G4" s="27">
        <f>IFERROR(VLOOKUP($B4&amp;"|FY2026", MultiYear_ProForma!$A:$AG, 14, FALSE), "")</f>
        <v>296</v>
      </c>
      <c r="H4" s="28">
        <f>IFERROR(VLOOKUP($B4&amp;"|FY2030", MultiYear_ProForma!$A:$AG, 6, FALSE) + VLOOKUP($B4&amp;"|FY2030", MultiYear_ProForma!$A:$AG, 15, FALSE), "")</f>
        <v>708.6</v>
      </c>
      <c r="I4" s="28" t="str">
        <f>Control_Center!C47</f>
        <v>+</v>
      </c>
      <c r="J4" s="28" t="str">
        <f>Control_Center!D47</f>
        <v>Med</v>
      </c>
      <c r="K4" s="29">
        <f>SUMIFS(MultiYear_ProForma!$AF:$AF, MultiYear_ProForma!$B:$B, $B4, MultiYear_ProForma!$C:$C, "FY2028")</f>
        <v>-1928885.1004279489</v>
      </c>
      <c r="L4" s="29">
        <f>SUMIFS(MultiYear_ProForma!$AF:$AF, MultiYear_ProForma!$B:$B, $B4, MultiYear_ProForma!$C:$C, "FY2030")</f>
        <v>-1919535.0304234196</v>
      </c>
      <c r="M4" s="29">
        <f>(SUMIFS(MultiYear_ProForma!$AF:$AF, MultiYear_ProForma!$B:$B, $B4, MultiYear_ProForma!$C:$C, "FY2026")+SUMIFS(MultiYear_ProForma!$AF:$AF, MultiYear_ProForma!$B:$B, $B4, MultiYear_ProForma!$C:$C, "FY2027")+SUMIFS(MultiYear_ProForma!$AF:$AF, MultiYear_ProForma!$B:$B, $B4, MultiYear_ProForma!$C:$C, "FY2028")+SUMIFS(MultiYear_ProForma!$AF:$AF, MultiYear_ProForma!$B:$B, $B4, MultiYear_ProForma!$C:$C, "FY2029")+SUMIFS(MultiYear_ProForma!$AF:$AF, MultiYear_ProForma!$B:$B, $B4, MultiYear_ProForma!$C:$C, "FY2030"))/5</f>
        <v>-1970783.5931548767</v>
      </c>
      <c r="N4" s="30" t="str">
        <f>Control_Center!B42</f>
        <v>Repurpose PIMA (ops) + Growth Hub @ Echo + Echo Op Growth Targets</v>
      </c>
      <c r="O4" s="29">
        <f t="shared" si="0"/>
        <v>-438050.41327414103</v>
      </c>
      <c r="P4" s="31">
        <f t="shared" si="1"/>
        <v>-237675.71450807131</v>
      </c>
      <c r="R4" s="18"/>
      <c r="S4" s="18"/>
      <c r="T4" s="18"/>
      <c r="U4" s="18"/>
      <c r="V4" s="18"/>
      <c r="W4" s="18"/>
      <c r="X4" s="18"/>
      <c r="Y4" s="18"/>
      <c r="Z4" s="18"/>
      <c r="AA4" s="18"/>
      <c r="AB4" s="18"/>
      <c r="AC4" s="18"/>
      <c r="AD4" s="18"/>
      <c r="AE4" s="18"/>
      <c r="AF4" s="18"/>
      <c r="AG4" s="18"/>
      <c r="AH4" s="18"/>
      <c r="AI4" s="18"/>
      <c r="AJ4" s="18"/>
      <c r="AK4" s="18"/>
      <c r="AL4" s="18"/>
      <c r="AM4" s="18"/>
      <c r="AN4" s="18"/>
    </row>
    <row r="5" spans="2:40" s="12" customFormat="1" x14ac:dyDescent="0.35">
      <c r="B5" s="25" t="str">
        <f>Scenarios!A4</f>
        <v>F_CoLocation_Echo_Targets</v>
      </c>
      <c r="C5" s="26">
        <f>INDEX(MultiYear_ProForma!$X$2:$X$61, MATCH(Scenarios!A4&amp;"|FY2028", MultiYear_ProForma!$AG$2:$AG$61, 0))</f>
        <v>10617.550754108488</v>
      </c>
      <c r="D5" s="26">
        <f>INDEX(MultiYear_ProForma!$X$2:$X$61, MATCH(Scenarios!A4&amp;"|FY2030", MultiYear_ProForma!$AG$2:$AG$61, 0))</f>
        <v>11155.064261035226</v>
      </c>
      <c r="E5" s="26">
        <f>AVERAGE(INDEX(MultiYear_ProForma!$X$2:$X$61, MATCH(Scenarios!A4&amp;"|FY2026", MultiYear_ProForma!$AG$2:$AG$61, 0)),INDEX(MultiYear_ProForma!$X$2:$X$61, MATCH(Scenarios!A4&amp;"|FY2027", MultiYear_ProForma!$AG$2:$AG$61, 0)),INDEX(MultiYear_ProForma!$X$2:$X$61, MATCH(Scenarios!A4&amp;"|FY2028", MultiYear_ProForma!$AG$2:$AG$61, 0)))</f>
        <v>10360.691505248435</v>
      </c>
      <c r="F5" s="26">
        <f>AVERAGE(INDEX(MultiYear_ProForma!$X$2:$X$61, MATCH(Scenarios!A4&amp;"|FY2026", MultiYear_ProForma!$AG$2:$AG$61, 0)),INDEX(MultiYear_ProForma!$X$2:$X$61, MATCH(Scenarios!A4&amp;"|FY2027", MultiYear_ProForma!$AG$2:$AG$61, 0)),INDEX(MultiYear_ProForma!$X$2:$X$61, MATCH(Scenarios!A4&amp;"|FY2028", MultiYear_ProForma!$AG$2:$AG$61, 0)),INDEX(MultiYear_ProForma!$X$2:$X$61, MATCH(Scenarios!A4&amp;"|FY2029", MultiYear_ProForma!$AG$2:$AG$61, 0)),INDEX(MultiYear_ProForma!$X$2:$X$61, MATCH(Scenarios!A4&amp;"|FY2030", MultiYear_ProForma!$AG$2:$AG$61, 0)))</f>
        <v>10624.025659948345</v>
      </c>
      <c r="G5" s="27">
        <f>IFERROR(VLOOKUP($B5&amp;"|FY2026", MultiYear_ProForma!$A:$AG, 14, FALSE), "")</f>
        <v>0</v>
      </c>
      <c r="H5" s="28">
        <f>IFERROR(VLOOKUP($B5&amp;"|FY2030", MultiYear_ProForma!$A:$AG, 6, FALSE) + VLOOKUP($B5&amp;"|FY2030", MultiYear_ProForma!$A:$AG, 15, FALSE), "")</f>
        <v>703</v>
      </c>
      <c r="I5" s="28" t="str">
        <f>Control_Center!C50</f>
        <v>++</v>
      </c>
      <c r="J5" s="28" t="str">
        <f>Control_Center!D50</f>
        <v>Med</v>
      </c>
      <c r="K5" s="29">
        <f>SUMIFS(MultiYear_ProForma!$AF:$AF, MultiYear_ProForma!$B:$B, $B5, MultiYear_ProForma!$C:$C, "FY2028")</f>
        <v>-2696831.0079850806</v>
      </c>
      <c r="L5" s="29">
        <f>SUMIFS(MultiYear_ProForma!$AF:$AF, MultiYear_ProForma!$B:$B, $B5, MultiYear_ProForma!$C:$C, "FY2030")</f>
        <v>-2897609.6161500849</v>
      </c>
      <c r="M5" s="29">
        <f>(SUMIFS(MultiYear_ProForma!$AF:$AF, MultiYear_ProForma!$B:$B, $B5, MultiYear_ProForma!$C:$C, "FY2026")+SUMIFS(MultiYear_ProForma!$AF:$AF, MultiYear_ProForma!$B:$B, $B5, MultiYear_ProForma!$C:$C, "FY2027")+SUMIFS(MultiYear_ProForma!$AF:$AF, MultiYear_ProForma!$B:$B, $B5, MultiYear_ProForma!$C:$C, "FY2028")+SUMIFS(MultiYear_ProForma!$AF:$AF, MultiYear_ProForma!$B:$B, $B5, MultiYear_ProForma!$C:$C, "FY2029")+SUMIFS(MultiYear_ProForma!$AF:$AF, MultiYear_ProForma!$B:$B, $B5, MultiYear_ProForma!$C:$C, "FY2030"))/5</f>
        <v>-2699595.977328225</v>
      </c>
      <c r="N5" s="30" t="str">
        <f>Control_Center!B33</f>
        <v>Co‑Location @ Echo + Op Growth Targets</v>
      </c>
      <c r="O5" s="29">
        <f t="shared" si="0"/>
        <v>-1416124.9990008064</v>
      </c>
      <c r="P5" s="31">
        <f t="shared" si="1"/>
        <v>-966488.09868141962</v>
      </c>
      <c r="R5" s="18"/>
      <c r="S5" s="18"/>
      <c r="T5" s="18"/>
      <c r="U5" s="18"/>
      <c r="V5" s="18"/>
      <c r="W5" s="18"/>
      <c r="X5" s="18"/>
      <c r="Y5" s="18"/>
      <c r="Z5" s="18"/>
      <c r="AA5" s="18"/>
      <c r="AB5" s="18"/>
      <c r="AC5" s="18"/>
      <c r="AD5" s="18"/>
      <c r="AE5" s="18"/>
      <c r="AF5" s="18"/>
      <c r="AG5" s="18"/>
      <c r="AH5" s="18"/>
      <c r="AI5" s="18"/>
      <c r="AJ5" s="18"/>
      <c r="AK5" s="18"/>
      <c r="AL5" s="18"/>
      <c r="AM5" s="18"/>
      <c r="AN5" s="18"/>
    </row>
    <row r="6" spans="2:40" s="12" customFormat="1" x14ac:dyDescent="0.35">
      <c r="B6" s="25" t="str">
        <f>Scenarios!A9</f>
        <v>A_Repurpose_Both_ops</v>
      </c>
      <c r="C6" s="26">
        <f>INDEX(MultiYear_ProForma!$X$2:$X$61, MATCH(Scenarios!A9&amp;"|FY2028", MultiYear_ProForma!$AG$2:$AG$61, 0))</f>
        <v>10058.224636582623</v>
      </c>
      <c r="D6" s="26">
        <f>INDEX(MultiYear_ProForma!$X$2:$X$61, MATCH(Scenarios!A9&amp;"|FY2030", MultiYear_ProForma!$AG$2:$AG$61, 0))</f>
        <v>9828.957719088572</v>
      </c>
      <c r="E6" s="26">
        <f>AVERAGE(INDEX(MultiYear_ProForma!$X$2:$X$61, MATCH(Scenarios!A9&amp;"|FY2026", MultiYear_ProForma!$AG$2:$AG$61, 0)),INDEX(MultiYear_ProForma!$X$2:$X$61, MATCH(Scenarios!A9&amp;"|FY2027", MultiYear_ProForma!$AG$2:$AG$61, 0)),INDEX(MultiYear_ProForma!$X$2:$X$61, MATCH(Scenarios!A9&amp;"|FY2028", MultiYear_ProForma!$AG$2:$AG$61, 0)))</f>
        <v>10525.437963348522</v>
      </c>
      <c r="F6" s="26">
        <f>AVERAGE(INDEX(MultiYear_ProForma!$X$2:$X$61, MATCH(Scenarios!A9&amp;"|FY2026", MultiYear_ProForma!$AG$2:$AG$61, 0)),INDEX(MultiYear_ProForma!$X$2:$X$61, MATCH(Scenarios!A9&amp;"|FY2027", MultiYear_ProForma!$AG$2:$AG$61, 0)),INDEX(MultiYear_ProForma!$X$2:$X$61, MATCH(Scenarios!A9&amp;"|FY2028", MultiYear_ProForma!$AG$2:$AG$61, 0)),INDEX(MultiYear_ProForma!$X$2:$X$61, MATCH(Scenarios!A9&amp;"|FY2029", MultiYear_ProForma!$AG$2:$AG$61, 0)),INDEX(MultiYear_ProForma!$X$2:$X$61, MATCH(Scenarios!A9&amp;"|FY2030", MultiYear_ProForma!$AG$2:$AG$61, 0)))</f>
        <v>10240.363145063622</v>
      </c>
      <c r="G6" s="27">
        <f>IFERROR(VLOOKUP($B6&amp;"|FY2026", MultiYear_ProForma!$A:$AG, 14, FALSE), "")</f>
        <v>553</v>
      </c>
      <c r="H6" s="28">
        <f>IFERROR(VLOOKUP($B6&amp;"|FY2030", MultiYear_ProForma!$A:$AG, 6, FALSE) + VLOOKUP($B6&amp;"|FY2030", MultiYear_ProForma!$A:$AG, 15, FALSE), "")</f>
        <v>405.79999999999995</v>
      </c>
      <c r="I6" s="28" t="str">
        <f>Control_Center!C52</f>
        <v>++</v>
      </c>
      <c r="J6" s="28" t="str">
        <f>Control_Center!D52</f>
        <v>Med</v>
      </c>
      <c r="K6" s="29">
        <f>SUMIFS(MultiYear_ProForma!$AF:$AF, MultiYear_ProForma!$B:$B, $B6, MultiYear_ProForma!$C:$C, "FY2028")</f>
        <v>-1660026.1213652282</v>
      </c>
      <c r="L6" s="29">
        <f>SUMIFS(MultiYear_ProForma!$AF:$AF, MultiYear_ProForma!$B:$B, $B6, MultiYear_ProForma!$C:$C, "FY2030")</f>
        <v>-1481484.6171492785</v>
      </c>
      <c r="M6" s="29">
        <f>(SUMIFS(MultiYear_ProForma!$AF:$AF, MultiYear_ProForma!$B:$B, $B6, MultiYear_ProForma!$C:$C, "FY2026")+SUMIFS(MultiYear_ProForma!$AF:$AF, MultiYear_ProForma!$B:$B, $B6, MultiYear_ProForma!$C:$C, "FY2027")+SUMIFS(MultiYear_ProForma!$AF:$AF, MultiYear_ProForma!$B:$B, $B6, MultiYear_ProForma!$C:$C, "FY2028")+SUMIFS(MultiYear_ProForma!$AF:$AF, MultiYear_ProForma!$B:$B, $B6, MultiYear_ProForma!$C:$C, "FY2029")+SUMIFS(MultiYear_ProForma!$AF:$AF, MultiYear_ProForma!$B:$B, $B6, MultiYear_ProForma!$C:$C, "FY2030"))/5</f>
        <v>-1733107.8786468054</v>
      </c>
      <c r="N6" s="30" t="str">
        <f>Control_Center!B38</f>
        <v>Repurpose BOTH (ops)</v>
      </c>
      <c r="O6" s="29">
        <f t="shared" si="0"/>
        <v>0</v>
      </c>
      <c r="P6" s="31">
        <f t="shared" si="1"/>
        <v>0</v>
      </c>
      <c r="R6" s="18"/>
      <c r="S6" s="18"/>
      <c r="T6" s="18"/>
      <c r="U6" s="18"/>
      <c r="V6" s="18"/>
      <c r="W6" s="18"/>
      <c r="X6" s="18"/>
      <c r="Y6" s="18"/>
      <c r="Z6" s="18"/>
      <c r="AA6" s="18"/>
      <c r="AB6" s="18"/>
      <c r="AC6" s="18"/>
      <c r="AD6" s="18"/>
      <c r="AE6" s="18"/>
      <c r="AF6" s="18"/>
      <c r="AG6" s="18"/>
      <c r="AH6" s="18"/>
      <c r="AI6" s="18"/>
      <c r="AJ6" s="18"/>
      <c r="AK6" s="18"/>
      <c r="AL6" s="18"/>
      <c r="AM6" s="18"/>
      <c r="AN6" s="18"/>
    </row>
    <row r="7" spans="2:40" s="12" customFormat="1" x14ac:dyDescent="0.35">
      <c r="B7" s="25" t="str">
        <f>Scenarios!A11</f>
        <v>B_Repurpose_Echo_ops_PimaTargets</v>
      </c>
      <c r="C7" s="26">
        <f>INDEX(MultiYear_ProForma!$X$2:$X$61, MATCH(Scenarios!A11&amp;"|FY2028", MultiYear_ProForma!$AG$2:$AG$61, 0))</f>
        <v>10524.063315813952</v>
      </c>
      <c r="D7" s="26">
        <f>INDEX(MultiYear_ProForma!$X$2:$X$61, MATCH(Scenarios!A11&amp;"|FY2030", MultiYear_ProForma!$AG$2:$AG$61, 0))</f>
        <v>10843.738931504597</v>
      </c>
      <c r="E7" s="26">
        <f>AVERAGE(INDEX(MultiYear_ProForma!$X$2:$X$61, MATCH(Scenarios!A11&amp;"|FY2026", MultiYear_ProForma!$AG$2:$AG$61, 0)),INDEX(MultiYear_ProForma!$X$2:$X$61, MATCH(Scenarios!A11&amp;"|FY2027", MultiYear_ProForma!$AG$2:$AG$61, 0)),INDEX(MultiYear_ProForma!$X$2:$X$61, MATCH(Scenarios!A11&amp;"|FY2028", MultiYear_ProForma!$AG$2:$AG$61, 0)))</f>
        <v>10480.435586051006</v>
      </c>
      <c r="F7" s="26">
        <f>AVERAGE(INDEX(MultiYear_ProForma!$X$2:$X$61, MATCH(Scenarios!A11&amp;"|FY2026", MultiYear_ProForma!$AG$2:$AG$61, 0)),INDEX(MultiYear_ProForma!$X$2:$X$61, MATCH(Scenarios!A11&amp;"|FY2027", MultiYear_ProForma!$AG$2:$AG$61, 0)),INDEX(MultiYear_ProForma!$X$2:$X$61, MATCH(Scenarios!A11&amp;"|FY2028", MultiYear_ProForma!$AG$2:$AG$61, 0)),INDEX(MultiYear_ProForma!$X$2:$X$61, MATCH(Scenarios!A11&amp;"|FY2029", MultiYear_ProForma!$AG$2:$AG$61, 0)),INDEX(MultiYear_ProForma!$X$2:$X$61, MATCH(Scenarios!A11&amp;"|FY2030", MultiYear_ProForma!$AG$2:$AG$61, 0)))</f>
        <v>10583.513183473759</v>
      </c>
      <c r="G7" s="27">
        <f>IFERROR(VLOOKUP($B7&amp;"|FY2026", MultiYear_ProForma!$A:$AG, 14, FALSE), "")</f>
        <v>257</v>
      </c>
      <c r="H7" s="28">
        <f>IFERROR(VLOOKUP($B7&amp;"|FY2030", MultiYear_ProForma!$A:$AG, 6, FALSE) + VLOOKUP($B7&amp;"|FY2030", MultiYear_ProForma!$A:$AG, 15, FALSE), "")</f>
        <v>600.20000000000005</v>
      </c>
      <c r="I7" s="28" t="str">
        <f>Control_Center!C49</f>
        <v>++</v>
      </c>
      <c r="J7" s="28" t="str">
        <f>Control_Center!D49</f>
        <v>Med</v>
      </c>
      <c r="K7" s="29">
        <f>SUMIFS(MultiYear_ProForma!$AF:$AF, MultiYear_ProForma!$B:$B, $B7, MultiYear_ProForma!$C:$C, "FY2028")</f>
        <v>-2132577.7591608134</v>
      </c>
      <c r="L7" s="29">
        <f>SUMIFS(MultiYear_ProForma!$AF:$AF, MultiYear_ProForma!$B:$B, $B7, MultiYear_ProForma!$C:$C, "FY2030")</f>
        <v>-2167489.8409917164</v>
      </c>
      <c r="M7" s="29">
        <f>(SUMIFS(MultiYear_ProForma!$AF:$AF, MultiYear_ProForma!$B:$B, $B7, MultiYear_ProForma!$C:$C, "FY2026")+SUMIFS(MultiYear_ProForma!$AF:$AF, MultiYear_ProForma!$B:$B, $B7, MultiYear_ProForma!$C:$C, "FY2027")+SUMIFS(MultiYear_ProForma!$AF:$AF, MultiYear_ProForma!$B:$B, $B7, MultiYear_ProForma!$C:$C, "FY2028")+SUMIFS(MultiYear_ProForma!$AF:$AF, MultiYear_ProForma!$B:$B, $B7, MultiYear_ProForma!$C:$C, "FY2029")+SUMIFS(MultiYear_ProForma!$AF:$AF, MultiYear_ProForma!$B:$B, $B7, MultiYear_ProForma!$C:$C, "FY2030"))/5</f>
        <v>-2166664.5893795053</v>
      </c>
      <c r="N7" s="30" t="str">
        <f>Control_Center!B40</f>
        <v>Repurpose ECHO (ops) + Status-Quo Pima + Pima Op Growth Targets</v>
      </c>
      <c r="O7" s="29">
        <f t="shared" si="0"/>
        <v>-686005.22384243784</v>
      </c>
      <c r="P7" s="31">
        <f t="shared" si="1"/>
        <v>-433556.71073269984</v>
      </c>
      <c r="R7" s="18"/>
      <c r="S7" s="18"/>
      <c r="T7" s="18"/>
      <c r="U7" s="18"/>
      <c r="V7" s="18"/>
      <c r="W7" s="18"/>
      <c r="X7" s="18"/>
      <c r="Y7" s="18"/>
      <c r="Z7" s="18"/>
      <c r="AA7" s="18"/>
      <c r="AB7" s="18"/>
      <c r="AC7" s="18"/>
      <c r="AD7" s="18"/>
      <c r="AE7" s="18"/>
      <c r="AF7" s="18"/>
      <c r="AG7" s="18"/>
      <c r="AH7" s="18"/>
      <c r="AI7" s="18"/>
      <c r="AJ7" s="18"/>
      <c r="AK7" s="18"/>
      <c r="AL7" s="18"/>
      <c r="AM7" s="18"/>
      <c r="AN7" s="18"/>
    </row>
    <row r="8" spans="2:40" s="12" customFormat="1" x14ac:dyDescent="0.35">
      <c r="B8" s="25" t="str">
        <f>Scenarios!A5</f>
        <v>D_Grow_Both_Targets</v>
      </c>
      <c r="C8" s="26">
        <f>INDEX(MultiYear_ProForma!$X$2:$X$61, MATCH(Scenarios!A5&amp;"|FY2028", MultiYear_ProForma!$AG$2:$AG$61, 0))</f>
        <v>10617.926152188978</v>
      </c>
      <c r="D8" s="26">
        <f>INDEX(MultiYear_ProForma!$X$2:$X$61, MATCH(Scenarios!A5&amp;"|FY2030", MultiYear_ProForma!$AG$2:$AG$61, 0))</f>
        <v>11155.458663643543</v>
      </c>
      <c r="E8" s="26">
        <f>AVERAGE(INDEX(MultiYear_ProForma!$X$2:$X$61, MATCH(Scenarios!A5&amp;"|FY2026", MultiYear_ProForma!$AG$2:$AG$61, 0)),INDEX(MultiYear_ProForma!$X$2:$X$61, MATCH(Scenarios!A5&amp;"|FY2027", MultiYear_ProForma!$AG$2:$AG$61, 0)),INDEX(MultiYear_ProForma!$X$2:$X$61, MATCH(Scenarios!A5&amp;"|FY2028", MultiYear_ProForma!$AG$2:$AG$61, 0)))</f>
        <v>10361.057821717621</v>
      </c>
      <c r="F8" s="26">
        <f>AVERAGE(INDEX(MultiYear_ProForma!$X$2:$X$61, MATCH(Scenarios!A5&amp;"|FY2026", MultiYear_ProForma!$AG$2:$AG$61, 0)),INDEX(MultiYear_ProForma!$X$2:$X$61, MATCH(Scenarios!A5&amp;"|FY2027", MultiYear_ProForma!$AG$2:$AG$61, 0)),INDEX(MultiYear_ProForma!$X$2:$X$61, MATCH(Scenarios!A5&amp;"|FY2028", MultiYear_ProForma!$AG$2:$AG$61, 0)),INDEX(MultiYear_ProForma!$X$2:$X$61, MATCH(Scenarios!A5&amp;"|FY2029", MultiYear_ProForma!$AG$2:$AG$61, 0)),INDEX(MultiYear_ProForma!$X$2:$X$61, MATCH(Scenarios!A5&amp;"|FY2030", MultiYear_ProForma!$AG$2:$AG$61, 0)))</f>
        <v>10624.40128695802</v>
      </c>
      <c r="G8" s="27">
        <f>IFERROR(VLOOKUP($B8&amp;"|FY2026", MultiYear_ProForma!$A:$AG, 14, FALSE), "")</f>
        <v>0</v>
      </c>
      <c r="H8" s="28">
        <f>IFERROR(VLOOKUP($B8&amp;"|FY2030", MultiYear_ProForma!$A:$AG, 6, FALSE) + VLOOKUP($B8&amp;"|FY2030", MultiYear_ProForma!$A:$AG, 15, FALSE), "")</f>
        <v>803</v>
      </c>
      <c r="I8" s="28" t="str">
        <f>Control_Center!C56</f>
        <v>o</v>
      </c>
      <c r="J8" s="28" t="str">
        <f>Control_Center!D56</f>
        <v>Low-Med</v>
      </c>
      <c r="K8" s="29">
        <f>SUMIFS(MultiYear_ProForma!$AF:$AF, MultiYear_ProForma!$B:$B, $B8, MultiYear_ProForma!$C:$C, "FY2028")</f>
        <v>-2730501.4013565471</v>
      </c>
      <c r="L8" s="29">
        <f>SUMIFS(MultiYear_ProForma!$AF:$AF, MultiYear_ProForma!$B:$B, $B8, MultiYear_ProForma!$C:$C, "FY2030")</f>
        <v>-2942124.1945779808</v>
      </c>
      <c r="M8" s="29">
        <f>(SUMIFS(MultiYear_ProForma!$AF:$AF, MultiYear_ProForma!$B:$B, $B8, MultiYear_ProForma!$C:$C, "FY2026")+SUMIFS(MultiYear_ProForma!$AF:$AF, MultiYear_ProForma!$B:$B, $B8, MultiYear_ProForma!$C:$C, "FY2027")+SUMIFS(MultiYear_ProForma!$AF:$AF, MultiYear_ProForma!$B:$B, $B8, MultiYear_ProForma!$C:$C, "FY2028")+SUMIFS(MultiYear_ProForma!$AF:$AF, MultiYear_ProForma!$B:$B, $B8, MultiYear_ProForma!$C:$C, "FY2029")+SUMIFS(MultiYear_ProForma!$AF:$AF, MultiYear_ProForma!$B:$B, $B8, MultiYear_ProForma!$C:$C, "FY2030"))/5</f>
        <v>-2733446.2723029717</v>
      </c>
      <c r="N8" s="30" t="str">
        <f>Control_Center!B34</f>
        <v>Grow Both + Op Growth Targets</v>
      </c>
      <c r="O8" s="29">
        <f t="shared" si="0"/>
        <v>-1460639.5774287023</v>
      </c>
      <c r="P8" s="31">
        <f t="shared" si="1"/>
        <v>-1000338.3936561663</v>
      </c>
      <c r="R8" s="18"/>
      <c r="S8" s="18"/>
      <c r="T8" s="18"/>
      <c r="U8" s="18"/>
      <c r="V8" s="18"/>
      <c r="W8" s="18"/>
      <c r="X8" s="18"/>
      <c r="Y8" s="18"/>
      <c r="Z8" s="18"/>
      <c r="AA8" s="18"/>
      <c r="AB8" s="18"/>
      <c r="AC8" s="18"/>
      <c r="AD8" s="18"/>
      <c r="AE8" s="18"/>
      <c r="AF8" s="18"/>
      <c r="AG8" s="18"/>
      <c r="AH8" s="18"/>
      <c r="AI8" s="18"/>
      <c r="AJ8" s="18"/>
      <c r="AK8" s="18"/>
      <c r="AL8" s="18"/>
      <c r="AM8" s="18"/>
      <c r="AN8" s="18"/>
    </row>
    <row r="9" spans="2:40" s="12" customFormat="1" x14ac:dyDescent="0.35">
      <c r="B9" s="25" t="str">
        <f>Scenarios!A12</f>
        <v>C_Repurpose_Pima_lease_EchoGHub_EchoTargets</v>
      </c>
      <c r="C9" s="26">
        <f>INDEX(MultiYear_ProForma!$X$2:$X$61, MATCH(Scenarios!A12&amp;"|FY2028", MultiYear_ProForma!$AG$2:$AG$61, 0))</f>
        <v>10556.357257130181</v>
      </c>
      <c r="D9" s="26">
        <f>INDEX(MultiYear_ProForma!$X$2:$X$61, MATCH(Scenarios!A12&amp;"|FY2030", MultiYear_ProForma!$AG$2:$AG$61, 0))</f>
        <v>10578.771032822515</v>
      </c>
      <c r="E9" s="26">
        <f>AVERAGE(INDEX(MultiYear_ProForma!$X$2:$X$61, MATCH(Scenarios!A12&amp;"|FY2026", MultiYear_ProForma!$AG$2:$AG$61, 0)),INDEX(MultiYear_ProForma!$X$2:$X$61, MATCH(Scenarios!A12&amp;"|FY2027", MultiYear_ProForma!$AG$2:$AG$61, 0)),INDEX(MultiYear_ProForma!$X$2:$X$61, MATCH(Scenarios!A12&amp;"|FY2028", MultiYear_ProForma!$AG$2:$AG$61, 0)))</f>
        <v>10725.514292214802</v>
      </c>
      <c r="F9" s="26">
        <f>AVERAGE(INDEX(MultiYear_ProForma!$X$2:$X$61, MATCH(Scenarios!A12&amp;"|FY2026", MultiYear_ProForma!$AG$2:$AG$61, 0)),INDEX(MultiYear_ProForma!$X$2:$X$61, MATCH(Scenarios!A12&amp;"|FY2027", MultiYear_ProForma!$AG$2:$AG$61, 0)),INDEX(MultiYear_ProForma!$X$2:$X$61, MATCH(Scenarios!A12&amp;"|FY2028", MultiYear_ProForma!$AG$2:$AG$61, 0)),INDEX(MultiYear_ProForma!$X$2:$X$61, MATCH(Scenarios!A12&amp;"|FY2029", MultiYear_ProForma!$AG$2:$AG$61, 0)),INDEX(MultiYear_ProForma!$X$2:$X$61, MATCH(Scenarios!A12&amp;"|FY2030", MultiYear_ProForma!$AG$2:$AG$61, 0)))</f>
        <v>10635.724818202922</v>
      </c>
      <c r="G9" s="27">
        <f>IFERROR(VLOOKUP($B9&amp;"|FY2026", MultiYear_ProForma!$A:$AG, 14, FALSE), "")</f>
        <v>296</v>
      </c>
      <c r="H9" s="28">
        <f>IFERROR(VLOOKUP($B9&amp;"|FY2030", MultiYear_ProForma!$A:$AG, 6, FALSE) + VLOOKUP($B9&amp;"|FY2030", MultiYear_ProForma!$A:$AG, 15, FALSE), "")</f>
        <v>508.6</v>
      </c>
      <c r="I9" s="28" t="str">
        <f>Control_Center!C53</f>
        <v>--</v>
      </c>
      <c r="J9" s="28" t="str">
        <f>Control_Center!D53</f>
        <v>Low</v>
      </c>
      <c r="K9" s="29">
        <f>SUMIFS(MultiYear_ProForma!$AF:$AF, MultiYear_ProForma!$B:$B, $B9, MultiYear_ProForma!$C:$C, "FY2028")</f>
        <v>-2333905.4142564107</v>
      </c>
      <c r="L9" s="29">
        <f>SUMIFS(MultiYear_ProForma!$AF:$AF, MultiYear_ProForma!$B:$B, $B9, MultiYear_ProForma!$C:$C, "FY2030")</f>
        <v>-2238139.3694580435</v>
      </c>
      <c r="M9" s="29">
        <f>(SUMIFS(MultiYear_ProForma!$AF:$AF, MultiYear_ProForma!$B:$B, $B9, MultiYear_ProForma!$C:$C, "FY2026")+SUMIFS(MultiYear_ProForma!$AF:$AF, MultiYear_ProForma!$B:$B, $B9, MultiYear_ProForma!$C:$C, "FY2027")+SUMIFS(MultiYear_ProForma!$AF:$AF, MultiYear_ProForma!$B:$B, $B9, MultiYear_ProForma!$C:$C, "FY2028")+SUMIFS(MultiYear_ProForma!$AF:$AF, MultiYear_ProForma!$B:$B, $B9, MultiYear_ProForma!$C:$C, "FY2029")+SUMIFS(MultiYear_ProForma!$AF:$AF, MultiYear_ProForma!$B:$B, $B9, MultiYear_ProForma!$C:$C, "FY2030"))/5</f>
        <v>-2373231.432616028</v>
      </c>
      <c r="N9" s="30" t="str">
        <f>Control_Center!B41</f>
        <v>Repurpose PIMA (lease) + Growth Hub @ Echo + Echo Op Growth Targets</v>
      </c>
      <c r="O9" s="29">
        <f t="shared" si="0"/>
        <v>-756654.75230876496</v>
      </c>
      <c r="P9" s="31">
        <f t="shared" si="1"/>
        <v>-640123.55396922259</v>
      </c>
      <c r="R9" s="18"/>
      <c r="S9" s="18"/>
      <c r="T9" s="18"/>
      <c r="U9" s="18"/>
      <c r="V9" s="18"/>
      <c r="W9" s="18"/>
      <c r="X9" s="18"/>
      <c r="Y9" s="18"/>
      <c r="Z9" s="18"/>
      <c r="AA9" s="18"/>
      <c r="AB9" s="18"/>
      <c r="AC9" s="18"/>
      <c r="AD9" s="18"/>
      <c r="AE9" s="18"/>
      <c r="AF9" s="18"/>
      <c r="AG9" s="18"/>
      <c r="AH9" s="18"/>
      <c r="AI9" s="18"/>
      <c r="AJ9" s="18"/>
      <c r="AK9" s="18"/>
      <c r="AL9" s="18"/>
      <c r="AM9" s="18"/>
      <c r="AN9" s="18"/>
    </row>
    <row r="10" spans="2:40" s="12" customFormat="1" x14ac:dyDescent="0.35">
      <c r="B10" s="25" t="str">
        <f>Scenarios!A10</f>
        <v>B_Repurpose_Echo_lease_PimaTargets</v>
      </c>
      <c r="C10" s="26">
        <f>INDEX(MultiYear_ProForma!$X$2:$X$61, MATCH(Scenarios!A10&amp;"|FY2028", MultiYear_ProForma!$AG$2:$AG$61, 0))</f>
        <v>11312.687470118724</v>
      </c>
      <c r="D10" s="26">
        <f>INDEX(MultiYear_ProForma!$X$2:$X$61, MATCH(Scenarios!A10&amp;"|FY2030", MultiYear_ProForma!$AG$2:$AG$61, 0))</f>
        <v>11430.333355828376</v>
      </c>
      <c r="E10" s="26">
        <f>AVERAGE(INDEX(MultiYear_ProForma!$X$2:$X$61, MATCH(Scenarios!A10&amp;"|FY2026", MultiYear_ProForma!$AG$2:$AG$61, 0)),INDEX(MultiYear_ProForma!$X$2:$X$61, MATCH(Scenarios!A10&amp;"|FY2027", MultiYear_ProForma!$AG$2:$AG$61, 0)),INDEX(MultiYear_ProForma!$X$2:$X$61, MATCH(Scenarios!A10&amp;"|FY2028", MultiYear_ProForma!$AG$2:$AG$61, 0)))</f>
        <v>11424.812430279135</v>
      </c>
      <c r="F10" s="26">
        <f>AVERAGE(INDEX(MultiYear_ProForma!$X$2:$X$61, MATCH(Scenarios!A10&amp;"|FY2026", MultiYear_ProForma!$AG$2:$AG$61, 0)),INDEX(MultiYear_ProForma!$X$2:$X$61, MATCH(Scenarios!A10&amp;"|FY2027", MultiYear_ProForma!$AG$2:$AG$61, 0)),INDEX(MultiYear_ProForma!$X$2:$X$61, MATCH(Scenarios!A10&amp;"|FY2028", MultiYear_ProForma!$AG$2:$AG$61, 0)),INDEX(MultiYear_ProForma!$X$2:$X$61, MATCH(Scenarios!A10&amp;"|FY2029", MultiYear_ProForma!$AG$2:$AG$61, 0)),INDEX(MultiYear_ProForma!$X$2:$X$61, MATCH(Scenarios!A10&amp;"|FY2030", MultiYear_ProForma!$AG$2:$AG$61, 0)))</f>
        <v>11385.464894973982</v>
      </c>
      <c r="G10" s="27">
        <f>IFERROR(VLOOKUP($B10&amp;"|FY2026", MultiYear_ProForma!$A:$AG, 14, FALSE), "")</f>
        <v>257</v>
      </c>
      <c r="H10" s="28">
        <f>IFERROR(VLOOKUP($B10&amp;"|FY2030", MultiYear_ProForma!$A:$AG, 6, FALSE) + VLOOKUP($B10&amp;"|FY2030", MultiYear_ProForma!$A:$AG, 15, FALSE), "")</f>
        <v>450.2</v>
      </c>
      <c r="I10" s="28" t="str">
        <f>Control_Center!C54</f>
        <v>-</v>
      </c>
      <c r="J10" s="28" t="str">
        <f>Control_Center!D54</f>
        <v>Low-Med</v>
      </c>
      <c r="K10" s="29">
        <f>SUMIFS(MultiYear_ProForma!$AF:$AF, MultiYear_ProForma!$B:$B, $B10, MultiYear_ProForma!$C:$C, "FY2028")</f>
        <v>-2406414.5640074494</v>
      </c>
      <c r="L10" s="29">
        <f>SUMIFS(MultiYear_ProForma!$AF:$AF, MultiYear_ProForma!$B:$B, $B10, MultiYear_ProForma!$C:$C, "FY2030")</f>
        <v>-2364518.3521743184</v>
      </c>
      <c r="M10" s="29">
        <f>(SUMIFS(MultiYear_ProForma!$AF:$AF, MultiYear_ProForma!$B:$B, $B10, MultiYear_ProForma!$C:$C, "FY2026")+SUMIFS(MultiYear_ProForma!$AF:$AF, MultiYear_ProForma!$B:$B, $B10, MultiYear_ProForma!$C:$C, "FY2027")+SUMIFS(MultiYear_ProForma!$AF:$AF, MultiYear_ProForma!$B:$B, $B10, MultiYear_ProForma!$C:$C, "FY2028")+SUMIFS(MultiYear_ProForma!$AF:$AF, MultiYear_ProForma!$B:$B, $B10, MultiYear_ProForma!$C:$C, "FY2029")+SUMIFS(MultiYear_ProForma!$AF:$AF, MultiYear_ProForma!$B:$B, $B10, MultiYear_ProForma!$C:$C, "FY2030"))/5</f>
        <v>-2438258.0925972029</v>
      </c>
      <c r="N10" s="30" t="str">
        <f>Control_Center!B39</f>
        <v>Repurpose ECHO (lease) + Status-Quo Pima + Pima Op Growth Targets</v>
      </c>
      <c r="O10" s="29">
        <f t="shared" si="0"/>
        <v>-883033.73502503987</v>
      </c>
      <c r="P10" s="31">
        <f t="shared" si="1"/>
        <v>-705150.21395039745</v>
      </c>
      <c r="R10" s="18"/>
      <c r="S10" s="18"/>
      <c r="T10" s="18"/>
      <c r="U10" s="18"/>
      <c r="V10" s="18"/>
      <c r="W10" s="18"/>
      <c r="X10" s="18"/>
      <c r="Y10" s="18"/>
      <c r="Z10" s="18"/>
      <c r="AA10" s="18"/>
      <c r="AB10" s="18"/>
      <c r="AC10" s="18"/>
      <c r="AD10" s="18"/>
      <c r="AE10" s="18"/>
      <c r="AF10" s="18"/>
      <c r="AG10" s="18"/>
      <c r="AH10" s="18"/>
      <c r="AI10" s="18"/>
      <c r="AJ10" s="18"/>
      <c r="AK10" s="18"/>
      <c r="AL10" s="18"/>
      <c r="AM10" s="18"/>
      <c r="AN10" s="18"/>
    </row>
    <row r="11" spans="2:40" s="12" customFormat="1" x14ac:dyDescent="0.35">
      <c r="B11" s="25" t="str">
        <f>Scenarios!A3</f>
        <v>E_StatusQuo_Targets</v>
      </c>
      <c r="C11" s="26">
        <f>INDEX(MultiYear_ProForma!$X$2:$X$61, MATCH(Scenarios!A3&amp;"|FY2028", MultiYear_ProForma!$AG$2:$AG$61, 0))</f>
        <v>11176.36921485104</v>
      </c>
      <c r="D11" s="26">
        <f>INDEX(MultiYear_ProForma!$X$2:$X$61, MATCH(Scenarios!A3&amp;"|FY2030", MultiYear_ProForma!$AG$2:$AG$61, 0))</f>
        <v>11742.172906352871</v>
      </c>
      <c r="E11" s="26">
        <f>AVERAGE(INDEX(MultiYear_ProForma!$X$2:$X$61, MATCH(Scenarios!A3&amp;"|FY2026", MultiYear_ProForma!$AG$2:$AG$61, 0)),INDEX(MultiYear_ProForma!$X$2:$X$61, MATCH(Scenarios!A3&amp;"|FY2027", MultiYear_ProForma!$AG$2:$AG$61, 0)),INDEX(MultiYear_ProForma!$X$2:$X$61, MATCH(Scenarios!A3&amp;"|FY2028", MultiYear_ProForma!$AG$2:$AG$61, 0)))</f>
        <v>10905.991058156249</v>
      </c>
      <c r="F11" s="26">
        <f>AVERAGE(INDEX(MultiYear_ProForma!$X$2:$X$61, MATCH(Scenarios!A3&amp;"|FY2026", MultiYear_ProForma!$AG$2:$AG$61, 0)),INDEX(MultiYear_ProForma!$X$2:$X$61, MATCH(Scenarios!A3&amp;"|FY2027", MultiYear_ProForma!$AG$2:$AG$61, 0)),INDEX(MultiYear_ProForma!$X$2:$X$61, MATCH(Scenarios!A3&amp;"|FY2028", MultiYear_ProForma!$AG$2:$AG$61, 0)),INDEX(MultiYear_ProForma!$X$2:$X$61, MATCH(Scenarios!A3&amp;"|FY2029", MultiYear_ProForma!$AG$2:$AG$61, 0)),INDEX(MultiYear_ProForma!$X$2:$X$61, MATCH(Scenarios!A3&amp;"|FY2030", MultiYear_ProForma!$AG$2:$AG$61, 0)))</f>
        <v>11183.184905208785</v>
      </c>
      <c r="G11" s="27">
        <f>IFERROR(VLOOKUP($B11&amp;"|FY2026", MultiYear_ProForma!$A:$AG, 14, FALSE), "")</f>
        <v>0</v>
      </c>
      <c r="H11" s="28">
        <f>IFERROR(VLOOKUP($B11&amp;"|FY2030", MultiYear_ProForma!$A:$AG, 6, FALSE) + VLOOKUP($B11&amp;"|FY2030", MultiYear_ProForma!$A:$AG, 15, FALSE), "")</f>
        <v>703</v>
      </c>
      <c r="I11" s="28" t="str">
        <f>Control_Center!C58</f>
        <v>o</v>
      </c>
      <c r="J11" s="28" t="str">
        <f>Control_Center!D58</f>
        <v>Low-Med</v>
      </c>
      <c r="K11" s="29">
        <f>SUMIFS(MultiYear_ProForma!$AF:$AF, MultiYear_ProForma!$B:$B, $B11, MultiYear_ProForma!$C:$C, "FY2028")</f>
        <v>-3059566.0644895583</v>
      </c>
      <c r="L11" s="29">
        <f>SUMIFS(MultiYear_ProForma!$AF:$AF, MultiYear_ProForma!$B:$B, $B11, MultiYear_ProForma!$C:$C, "FY2030")</f>
        <v>-3278708.1348901019</v>
      </c>
      <c r="M11" s="29">
        <f>(SUMIFS(MultiYear_ProForma!$AF:$AF, MultiYear_ProForma!$B:$B, $B11, MultiYear_ProForma!$C:$C, "FY2026")+SUMIFS(MultiYear_ProForma!$AF:$AF, MultiYear_ProForma!$B:$B, $B11, MultiYear_ProForma!$C:$C, "FY2027")+SUMIFS(MultiYear_ProForma!$AF:$AF, MultiYear_ProForma!$B:$B, $B11, MultiYear_ProForma!$C:$C, "FY2028")+SUMIFS(MultiYear_ProForma!$AF:$AF, MultiYear_ProForma!$B:$B, $B11, MultiYear_ProForma!$C:$C, "FY2029")+SUMIFS(MultiYear_ProForma!$AF:$AF, MultiYear_ProForma!$B:$B, $B11, MultiYear_ProForma!$C:$C, "FY2030"))/5</f>
        <v>-3062552.2407183656</v>
      </c>
      <c r="N11" s="30" t="str">
        <f>Control_Center!B32</f>
        <v>Status‑Quo + Op Growth Targets</v>
      </c>
      <c r="O11" s="29">
        <f t="shared" si="0"/>
        <v>-1797223.5177408233</v>
      </c>
      <c r="P11" s="31">
        <f t="shared" si="1"/>
        <v>-1329444.3620715602</v>
      </c>
      <c r="R11" s="18"/>
      <c r="S11" s="18"/>
      <c r="T11" s="18"/>
      <c r="U11" s="18"/>
      <c r="V11" s="18"/>
      <c r="W11" s="18"/>
      <c r="X11" s="18"/>
      <c r="Y11" s="18"/>
      <c r="Z11" s="18"/>
      <c r="AA11" s="18"/>
      <c r="AB11" s="18"/>
      <c r="AC11" s="18"/>
      <c r="AD11" s="18"/>
      <c r="AE11" s="18"/>
      <c r="AF11" s="18"/>
      <c r="AG11" s="18"/>
      <c r="AH11" s="18"/>
      <c r="AI11" s="18"/>
      <c r="AJ11" s="18"/>
      <c r="AK11" s="18"/>
      <c r="AL11" s="18"/>
      <c r="AM11" s="18"/>
      <c r="AN11" s="18"/>
    </row>
    <row r="12" spans="2:40" s="12" customFormat="1" x14ac:dyDescent="0.35">
      <c r="B12" s="25" t="str">
        <f>Scenarios!A7</f>
        <v>G_EchoGHubRamp_PimaTargets</v>
      </c>
      <c r="C12" s="26">
        <f>INDEX(MultiYear_ProForma!$X$2:$X$61, MATCH(Scenarios!A7&amp;"|FY2028", MultiYear_ProForma!$AG$2:$AG$61, 0))</f>
        <v>11176.36921485104</v>
      </c>
      <c r="D12" s="26">
        <f>INDEX(MultiYear_ProForma!$X$2:$X$61, MATCH(Scenarios!A7&amp;"|FY2030", MultiYear_ProForma!$AG$2:$AG$61, 0))</f>
        <v>11742.172906352871</v>
      </c>
      <c r="E12" s="26">
        <f>AVERAGE(INDEX(MultiYear_ProForma!$X$2:$X$61, MATCH(Scenarios!A7&amp;"|FY2026", MultiYear_ProForma!$AG$2:$AG$61, 0)),INDEX(MultiYear_ProForma!$X$2:$X$61, MATCH(Scenarios!A7&amp;"|FY2027", MultiYear_ProForma!$AG$2:$AG$61, 0)),INDEX(MultiYear_ProForma!$X$2:$X$61, MATCH(Scenarios!A7&amp;"|FY2028", MultiYear_ProForma!$AG$2:$AG$61, 0)))</f>
        <v>11253.596820828236</v>
      </c>
      <c r="F12" s="26">
        <f>AVERAGE(INDEX(MultiYear_ProForma!$X$2:$X$61, MATCH(Scenarios!A7&amp;"|FY2026", MultiYear_ProForma!$AG$2:$AG$61, 0)),INDEX(MultiYear_ProForma!$X$2:$X$61, MATCH(Scenarios!A7&amp;"|FY2027", MultiYear_ProForma!$AG$2:$AG$61, 0)),INDEX(MultiYear_ProForma!$X$2:$X$61, MATCH(Scenarios!A7&amp;"|FY2028", MultiYear_ProForma!$AG$2:$AG$61, 0)),INDEX(MultiYear_ProForma!$X$2:$X$61, MATCH(Scenarios!A7&amp;"|FY2029", MultiYear_ProForma!$AG$2:$AG$61, 0)),INDEX(MultiYear_ProForma!$X$2:$X$61, MATCH(Scenarios!A7&amp;"|FY2030", MultiYear_ProForma!$AG$2:$AG$61, 0)))</f>
        <v>11391.748362811977</v>
      </c>
      <c r="G12" s="27">
        <f>IFERROR(VLOOKUP($B12&amp;"|FY2026", MultiYear_ProForma!$A:$AG, 14, FALSE), "")</f>
        <v>0</v>
      </c>
      <c r="H12" s="28">
        <f>IFERROR(VLOOKUP($B12&amp;"|FY2030", MultiYear_ProForma!$A:$AG, 6, FALSE) + VLOOKUP($B12&amp;"|FY2030", MultiYear_ProForma!$A:$AG, 15, FALSE), "")</f>
        <v>703</v>
      </c>
      <c r="I12" s="28" t="str">
        <f>Control_Center!C55</f>
        <v>-</v>
      </c>
      <c r="J12" s="28" t="str">
        <f>Control_Center!D55</f>
        <v>Low-Med</v>
      </c>
      <c r="K12" s="29">
        <f>SUMIFS(MultiYear_ProForma!$AF:$AF, MultiYear_ProForma!$B:$B, $B12, MultiYear_ProForma!$C:$C, "FY2028")</f>
        <v>-3059566.0644895583</v>
      </c>
      <c r="L12" s="29">
        <f>SUMIFS(MultiYear_ProForma!$AF:$AF, MultiYear_ProForma!$B:$B, $B12, MultiYear_ProForma!$C:$C, "FY2030")</f>
        <v>-3278708.1348901019</v>
      </c>
      <c r="M12" s="29">
        <f>(SUMIFS(MultiYear_ProForma!$AF:$AF, MultiYear_ProForma!$B:$B, $B12, MultiYear_ProForma!$C:$C, "FY2026")+SUMIFS(MultiYear_ProForma!$AF:$AF, MultiYear_ProForma!$B:$B, $B12, MultiYear_ProForma!$C:$C, "FY2027")+SUMIFS(MultiYear_ProForma!$AF:$AF, MultiYear_ProForma!$B:$B, $B12, MultiYear_ProForma!$C:$C, "FY2028")+SUMIFS(MultiYear_ProForma!$AF:$AF, MultiYear_ProForma!$B:$B, $B12, MultiYear_ProForma!$C:$C, "FY2029")+SUMIFS(MultiYear_ProForma!$AF:$AF, MultiYear_ProForma!$B:$B, $B12, MultiYear_ProForma!$C:$C, "FY2030"))/5</f>
        <v>-3159431.060692416</v>
      </c>
      <c r="N12" s="30" t="str">
        <f>Control_Center!B36</f>
        <v>Growth Hub @ Echo + Status-Quo Pima + Op Growth Targets</v>
      </c>
      <c r="O12" s="29">
        <f t="shared" si="0"/>
        <v>-1797223.5177408233</v>
      </c>
      <c r="P12" s="31">
        <f t="shared" si="1"/>
        <v>-1426323.1820456106</v>
      </c>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spans="2:40" s="12" customFormat="1" x14ac:dyDescent="0.35">
      <c r="B13" s="25" t="str">
        <f>Scenarios!A6</f>
        <v>D_CUSTOM2</v>
      </c>
      <c r="C13" s="26">
        <f>INDEX(MultiYear_ProForma!$X$2:$X$61, MATCH(Scenarios!A6&amp;"|FY2028", MultiYear_ProForma!$AG$2:$AG$61, 0))</f>
        <v>12392.724854953123</v>
      </c>
      <c r="D13" s="26">
        <f>INDEX(MultiYear_ProForma!$X$2:$X$61, MATCH(Scenarios!A6&amp;"|FY2030", MultiYear_ProForma!$AG$2:$AG$61, 0))</f>
        <v>13020.106550735123</v>
      </c>
      <c r="E13" s="26">
        <f>AVERAGE(INDEX(MultiYear_ProForma!$X$2:$X$61, MATCH(Scenarios!A6&amp;"|FY2026", MultiYear_ProForma!$AG$2:$AG$61, 0)),INDEX(MultiYear_ProForma!$X$2:$X$61, MATCH(Scenarios!A6&amp;"|FY2027", MultiYear_ProForma!$AG$2:$AG$61, 0)),INDEX(MultiYear_ProForma!$X$2:$X$61, MATCH(Scenarios!A6&amp;"|FY2028", MultiYear_ProForma!$AG$2:$AG$61, 0)))</f>
        <v>12092.920684359373</v>
      </c>
      <c r="F13" s="26">
        <f>AVERAGE(INDEX(MultiYear_ProForma!$X$2:$X$61, MATCH(Scenarios!A6&amp;"|FY2026", MultiYear_ProForma!$AG$2:$AG$61, 0)),INDEX(MultiYear_ProForma!$X$2:$X$61, MATCH(Scenarios!A6&amp;"|FY2027", MultiYear_ProForma!$AG$2:$AG$61, 0)),INDEX(MultiYear_ProForma!$X$2:$X$61, MATCH(Scenarios!A6&amp;"|FY2028", MultiYear_ProForma!$AG$2:$AG$61, 0)),INDEX(MultiYear_ProForma!$X$2:$X$61, MATCH(Scenarios!A6&amp;"|FY2029", MultiYear_ProForma!$AG$2:$AG$61, 0)),INDEX(MultiYear_ProForma!$X$2:$X$61, MATCH(Scenarios!A6&amp;"|FY2030", MultiYear_ProForma!$AG$2:$AG$61, 0)))</f>
        <v>12400.282316028039</v>
      </c>
      <c r="G13" s="27">
        <f>IFERROR(VLOOKUP($B13&amp;"|FY2026", MultiYear_ProForma!$A:$AG, 14, FALSE), "")</f>
        <v>0</v>
      </c>
      <c r="H13" s="28">
        <f>IFERROR(VLOOKUP($B13&amp;"|FY2030", MultiYear_ProForma!$A:$AG, 6, FALSE) + VLOOKUP($B13&amp;"|FY2030", MultiYear_ProForma!$A:$AG, 15, FALSE), "")</f>
        <v>553</v>
      </c>
      <c r="I13" s="28" t="str">
        <f>Control_Center!C51</f>
        <v>+</v>
      </c>
      <c r="J13" s="28" t="str">
        <f>Control_Center!D51</f>
        <v>Med</v>
      </c>
      <c r="K13" s="29">
        <f>SUMIFS(MultiYear_ProForma!$AF:$AF, MultiYear_ProForma!$B:$B, $B13, MultiYear_ProForma!$C:$C, "FY2028")</f>
        <v>-3553163.0591890775</v>
      </c>
      <c r="L13" s="29">
        <f>SUMIFS(MultiYear_ProForma!$AF:$AF, MultiYear_ProForma!$B:$B, $B13, MultiYear_ProForma!$C:$C, "FY2030")</f>
        <v>-3783584.0453582834</v>
      </c>
      <c r="M13" s="29">
        <f>(SUMIFS(MultiYear_ProForma!$AF:$AF, MultiYear_ProForma!$B:$B, $B13, MultiYear_ProForma!$C:$C, "FY2026")+SUMIFS(MultiYear_ProForma!$AF:$AF, MultiYear_ProForma!$B:$B, $B13, MultiYear_ProForma!$C:$C, "FY2027")+SUMIFS(MultiYear_ProForma!$AF:$AF, MultiYear_ProForma!$B:$B, $B13, MultiYear_ProForma!$C:$C, "FY2028")+SUMIFS(MultiYear_ProForma!$AF:$AF, MultiYear_ProForma!$B:$B, $B13, MultiYear_ProForma!$C:$C, "FY2029")+SUMIFS(MultiYear_ProForma!$AF:$AF, MultiYear_ProForma!$B:$B, $B13, MultiYear_ProForma!$C:$C, "FY2030"))/5</f>
        <v>-3556211.1933414578</v>
      </c>
      <c r="N13" s="30" t="str">
        <f>Control_Center!B35</f>
        <v>CUSTOM_KeepOpen_v2</v>
      </c>
      <c r="O13" s="29">
        <f t="shared" si="0"/>
        <v>-2302099.4282090049</v>
      </c>
      <c r="P13" s="31">
        <f t="shared" si="1"/>
        <v>-1823103.3146946523</v>
      </c>
      <c r="R13" s="18"/>
      <c r="S13" s="18"/>
      <c r="T13" s="18"/>
      <c r="U13" s="18"/>
      <c r="V13" s="18"/>
      <c r="W13" s="18"/>
      <c r="X13" s="18"/>
      <c r="Y13" s="18"/>
      <c r="Z13" s="18"/>
      <c r="AA13" s="18"/>
      <c r="AB13" s="18"/>
      <c r="AC13" s="18"/>
      <c r="AD13" s="18"/>
      <c r="AE13" s="18"/>
      <c r="AF13" s="18"/>
      <c r="AG13" s="18"/>
      <c r="AH13" s="18"/>
      <c r="AI13" s="18"/>
      <c r="AJ13" s="18"/>
      <c r="AK13" s="18"/>
      <c r="AL13" s="18"/>
      <c r="AM13" s="18"/>
      <c r="AN13" s="18"/>
    </row>
    <row r="14" spans="2:40" s="12" customFormat="1" x14ac:dyDescent="0.35">
      <c r="B14" s="32" t="str">
        <f>Scenarios!A2</f>
        <v>D_CUSTOM1</v>
      </c>
      <c r="C14" s="33">
        <f>INDEX(MultiYear_ProForma!$X$2:$X$61, MATCH(Scenarios!A2&amp;"|FY2028", MultiYear_ProForma!$AG$2:$AG$61, 0))</f>
        <v>12392.724854953123</v>
      </c>
      <c r="D14" s="33">
        <f>INDEX(MultiYear_ProForma!$X$2:$X$61, MATCH(Scenarios!A2&amp;"|FY2030", MultiYear_ProForma!$AG$2:$AG$61, 0))</f>
        <v>13020.106550735123</v>
      </c>
      <c r="E14" s="33">
        <f>AVERAGE(INDEX(MultiYear_ProForma!$X$2:$X$61, MATCH(Scenarios!A2&amp;"|FY2026", MultiYear_ProForma!$AG$2:$AG$61, 0)),INDEX(MultiYear_ProForma!$X$2:$X$61, MATCH(Scenarios!A2&amp;"|FY2027", MultiYear_ProForma!$AG$2:$AG$61, 0)),INDEX(MultiYear_ProForma!$X$2:$X$61, MATCH(Scenarios!A2&amp;"|FY2028", MultiYear_ProForma!$AG$2:$AG$61, 0)))</f>
        <v>12092.920684359373</v>
      </c>
      <c r="F14" s="33">
        <f>AVERAGE(INDEX(MultiYear_ProForma!$X$2:$X$61, MATCH(Scenarios!A2&amp;"|FY2026", MultiYear_ProForma!$AG$2:$AG$61, 0)),INDEX(MultiYear_ProForma!$X$2:$X$61, MATCH(Scenarios!A2&amp;"|FY2027", MultiYear_ProForma!$AG$2:$AG$61, 0)),INDEX(MultiYear_ProForma!$X$2:$X$61, MATCH(Scenarios!A2&amp;"|FY2028", MultiYear_ProForma!$AG$2:$AG$61, 0)),INDEX(MultiYear_ProForma!$X$2:$X$61, MATCH(Scenarios!A2&amp;"|FY2029", MultiYear_ProForma!$AG$2:$AG$61, 0)),INDEX(MultiYear_ProForma!$X$2:$X$61, MATCH(Scenarios!A2&amp;"|FY2030", MultiYear_ProForma!$AG$2:$AG$61, 0)))</f>
        <v>12400.282316028039</v>
      </c>
      <c r="G14" s="34">
        <f>IFERROR(VLOOKUP($B14&amp;"|FY2026", MultiYear_ProForma!$A:$AG, 14, FALSE), "")</f>
        <v>0</v>
      </c>
      <c r="H14" s="34">
        <f>IFERROR(VLOOKUP($B14&amp;"|FY2030", MultiYear_ProForma!$A:$AG, 6, FALSE) + VLOOKUP($B14&amp;"|FY2030", MultiYear_ProForma!$A:$AG, 15, FALSE), "")</f>
        <v>553</v>
      </c>
      <c r="I14" s="34" t="str">
        <f>Control_Center!C57</f>
        <v>-</v>
      </c>
      <c r="J14" s="34" t="str">
        <f>Control_Center!D57</f>
        <v>Low-Med</v>
      </c>
      <c r="K14" s="35">
        <f>SUMIFS(MultiYear_ProForma!$AF:$AF, MultiYear_ProForma!$B:$B, $B14, MultiYear_ProForma!$C:$C, "FY2028")</f>
        <v>-3553163.0591890775</v>
      </c>
      <c r="L14" s="35">
        <f>SUMIFS(MultiYear_ProForma!$AF:$AF, MultiYear_ProForma!$B:$B, $B14, MultiYear_ProForma!$C:$C, "FY2030")</f>
        <v>-3783584.0453582834</v>
      </c>
      <c r="M14" s="35">
        <f>(SUMIFS(MultiYear_ProForma!$AF:$AF, MultiYear_ProForma!$B:$B, $B14, MultiYear_ProForma!$C:$C, "FY2026")+SUMIFS(MultiYear_ProForma!$AF:$AF, MultiYear_ProForma!$B:$B, $B14, MultiYear_ProForma!$C:$C, "FY2027")+SUMIFS(MultiYear_ProForma!$AF:$AF, MultiYear_ProForma!$B:$B, $B14, MultiYear_ProForma!$C:$C, "FY2028")+SUMIFS(MultiYear_ProForma!$AF:$AF, MultiYear_ProForma!$B:$B, $B14, MultiYear_ProForma!$C:$C, "FY2029")+SUMIFS(MultiYear_ProForma!$AF:$AF, MultiYear_ProForma!$B:$B, $B14, MultiYear_ProForma!$C:$C, "FY2030"))/5</f>
        <v>-3556211.1933414578</v>
      </c>
      <c r="N14" s="36" t="str">
        <f>Control_Center!B31</f>
        <v>CUSTOM_KeepOpen_v1</v>
      </c>
      <c r="O14" s="35">
        <f t="shared" si="0"/>
        <v>-2302099.4282090049</v>
      </c>
      <c r="P14" s="37">
        <f t="shared" si="1"/>
        <v>-1823103.3146946523</v>
      </c>
      <c r="R14" s="18"/>
      <c r="S14" s="18"/>
      <c r="T14" s="18"/>
      <c r="U14" s="18"/>
      <c r="V14" s="18"/>
      <c r="W14" s="18"/>
      <c r="X14" s="18"/>
      <c r="Y14" s="18"/>
      <c r="Z14" s="18"/>
      <c r="AA14" s="18"/>
      <c r="AB14" s="18"/>
      <c r="AC14" s="18"/>
      <c r="AD14" s="18"/>
      <c r="AE14" s="18"/>
      <c r="AF14" s="18"/>
      <c r="AG14" s="18"/>
      <c r="AH14" s="18"/>
      <c r="AI14" s="18"/>
      <c r="AJ14" s="18"/>
      <c r="AK14" s="18"/>
      <c r="AL14" s="18"/>
      <c r="AM14" s="18"/>
      <c r="AN14" s="18"/>
    </row>
    <row r="15" spans="2:40" s="12" customFormat="1" x14ac:dyDescent="0.35">
      <c r="R15" s="18"/>
      <c r="S15" s="18"/>
      <c r="T15" s="18"/>
      <c r="U15" s="18"/>
      <c r="V15" s="18"/>
      <c r="W15" s="18"/>
      <c r="X15" s="18"/>
      <c r="Y15" s="18"/>
      <c r="Z15" s="18"/>
      <c r="AA15" s="18"/>
      <c r="AB15" s="18"/>
      <c r="AC15" s="18"/>
      <c r="AD15" s="18"/>
      <c r="AE15" s="18"/>
      <c r="AF15" s="18"/>
      <c r="AG15" s="18"/>
      <c r="AH15" s="18"/>
      <c r="AI15" s="18"/>
      <c r="AJ15" s="18"/>
      <c r="AK15" s="18"/>
      <c r="AL15" s="18"/>
      <c r="AM15" s="18"/>
      <c r="AN15" s="18"/>
    </row>
    <row r="16" spans="2:40" s="12" customFormat="1" x14ac:dyDescent="0.35">
      <c r="R16" s="18"/>
      <c r="S16" s="18"/>
      <c r="T16" s="18"/>
      <c r="U16" s="18"/>
      <c r="V16" s="18"/>
      <c r="W16" s="18"/>
      <c r="X16" s="18"/>
      <c r="Y16" s="18"/>
      <c r="Z16" s="18"/>
      <c r="AA16" s="18"/>
      <c r="AB16" s="18"/>
      <c r="AC16" s="18"/>
      <c r="AD16" s="18"/>
      <c r="AE16" s="18"/>
      <c r="AF16" s="18"/>
      <c r="AG16" s="18"/>
      <c r="AH16" s="18"/>
      <c r="AI16" s="18"/>
      <c r="AJ16" s="18"/>
      <c r="AK16" s="18"/>
      <c r="AL16" s="18"/>
      <c r="AM16" s="18"/>
      <c r="AN16" s="18"/>
    </row>
    <row r="17" spans="18:40" s="12" customFormat="1" x14ac:dyDescent="0.35">
      <c r="R17" s="18"/>
      <c r="S17" s="18"/>
      <c r="T17" s="18"/>
      <c r="U17" s="18"/>
      <c r="V17" s="18"/>
      <c r="W17" s="18"/>
      <c r="X17" s="18"/>
      <c r="Y17" s="18"/>
      <c r="Z17" s="18"/>
      <c r="AA17" s="18"/>
      <c r="AB17" s="18"/>
      <c r="AC17" s="18"/>
      <c r="AD17" s="18"/>
      <c r="AE17" s="18"/>
      <c r="AF17" s="18"/>
      <c r="AG17" s="18"/>
      <c r="AH17" s="18"/>
      <c r="AI17" s="18"/>
      <c r="AJ17" s="18"/>
      <c r="AK17" s="18"/>
      <c r="AL17" s="18"/>
      <c r="AM17" s="18"/>
      <c r="AN17" s="18"/>
    </row>
    <row r="18" spans="18:40" s="12" customFormat="1" x14ac:dyDescent="0.35">
      <c r="R18" s="18"/>
      <c r="S18" s="18"/>
      <c r="T18" s="18"/>
      <c r="U18" s="18"/>
      <c r="V18" s="18"/>
      <c r="W18" s="18"/>
      <c r="X18" s="18"/>
      <c r="Y18" s="18"/>
      <c r="Z18" s="18"/>
      <c r="AA18" s="18"/>
      <c r="AB18" s="18"/>
      <c r="AC18" s="18"/>
      <c r="AD18" s="18"/>
      <c r="AE18" s="18"/>
      <c r="AF18" s="18"/>
      <c r="AG18" s="18"/>
      <c r="AH18" s="18"/>
      <c r="AI18" s="18"/>
      <c r="AJ18" s="18"/>
      <c r="AK18" s="18"/>
      <c r="AL18" s="18"/>
      <c r="AM18" s="18"/>
      <c r="AN18" s="18"/>
    </row>
    <row r="19" spans="18:40" s="12" customFormat="1" x14ac:dyDescent="0.35">
      <c r="R19" s="18"/>
      <c r="S19" s="18"/>
      <c r="T19" s="18"/>
      <c r="U19" s="18"/>
      <c r="V19" s="18"/>
      <c r="W19" s="18"/>
      <c r="X19" s="18"/>
      <c r="Y19" s="18"/>
      <c r="Z19" s="18"/>
      <c r="AA19" s="18"/>
      <c r="AB19" s="18"/>
      <c r="AC19" s="18"/>
      <c r="AD19" s="18"/>
      <c r="AE19" s="18"/>
      <c r="AF19" s="18"/>
      <c r="AG19" s="18"/>
      <c r="AH19" s="18"/>
      <c r="AI19" s="18"/>
      <c r="AJ19" s="18"/>
      <c r="AK19" s="18"/>
      <c r="AL19" s="18"/>
      <c r="AM19" s="18"/>
      <c r="AN19" s="18"/>
    </row>
    <row r="20" spans="18:40" s="12" customFormat="1" x14ac:dyDescent="0.35">
      <c r="R20" s="18"/>
      <c r="S20" s="18"/>
      <c r="T20" s="18"/>
      <c r="U20" s="18"/>
      <c r="V20" s="18"/>
      <c r="W20" s="18"/>
      <c r="X20" s="18"/>
      <c r="Y20" s="18"/>
      <c r="Z20" s="18"/>
      <c r="AA20" s="18"/>
      <c r="AB20" s="18"/>
      <c r="AC20" s="18"/>
      <c r="AD20" s="18"/>
      <c r="AE20" s="18"/>
      <c r="AF20" s="18"/>
      <c r="AG20" s="18"/>
      <c r="AH20" s="18"/>
      <c r="AI20" s="18"/>
      <c r="AJ20" s="18"/>
      <c r="AK20" s="18"/>
      <c r="AL20" s="18"/>
      <c r="AM20" s="18"/>
      <c r="AN20" s="18"/>
    </row>
    <row r="21" spans="18:40" s="12" customFormat="1" x14ac:dyDescent="0.35">
      <c r="R21" s="18"/>
      <c r="S21" s="18"/>
      <c r="T21" s="18"/>
      <c r="U21" s="18"/>
      <c r="V21" s="18"/>
      <c r="W21" s="18"/>
      <c r="X21" s="18"/>
      <c r="Y21" s="18"/>
      <c r="Z21" s="18"/>
      <c r="AA21" s="18"/>
      <c r="AB21" s="18"/>
      <c r="AC21" s="18"/>
      <c r="AD21" s="18"/>
      <c r="AE21" s="18"/>
      <c r="AF21" s="18"/>
      <c r="AG21" s="18"/>
      <c r="AH21" s="18"/>
      <c r="AI21" s="18"/>
      <c r="AJ21" s="18"/>
      <c r="AK21" s="18"/>
      <c r="AL21" s="18"/>
      <c r="AM21" s="18"/>
      <c r="AN21" s="18"/>
    </row>
    <row r="22" spans="18:40" s="12" customFormat="1" x14ac:dyDescent="0.35">
      <c r="R22" s="18"/>
      <c r="S22" s="18"/>
      <c r="T22" s="18"/>
      <c r="U22" s="18"/>
      <c r="V22" s="18"/>
      <c r="W22" s="18"/>
      <c r="X22" s="18"/>
      <c r="Y22" s="18"/>
      <c r="Z22" s="18"/>
      <c r="AA22" s="18"/>
      <c r="AB22" s="18"/>
      <c r="AC22" s="18"/>
      <c r="AD22" s="18"/>
      <c r="AE22" s="18"/>
      <c r="AF22" s="18"/>
      <c r="AG22" s="18"/>
      <c r="AH22" s="18"/>
      <c r="AI22" s="18"/>
      <c r="AJ22" s="18"/>
      <c r="AK22" s="18"/>
      <c r="AL22" s="18"/>
      <c r="AM22" s="18"/>
      <c r="AN22" s="18"/>
    </row>
    <row r="23" spans="18:40" s="12" customFormat="1" x14ac:dyDescent="0.35">
      <c r="R23" s="18"/>
      <c r="S23" s="18"/>
      <c r="T23" s="18"/>
      <c r="U23" s="18"/>
      <c r="V23" s="18"/>
      <c r="W23" s="18"/>
      <c r="X23" s="18"/>
      <c r="Y23" s="18"/>
      <c r="Z23" s="18"/>
      <c r="AA23" s="18"/>
      <c r="AB23" s="18"/>
      <c r="AC23" s="18"/>
      <c r="AD23" s="18"/>
      <c r="AE23" s="18"/>
      <c r="AF23" s="18"/>
      <c r="AG23" s="18"/>
      <c r="AH23" s="18"/>
      <c r="AI23" s="18"/>
      <c r="AJ23" s="18"/>
      <c r="AK23" s="18"/>
      <c r="AL23" s="18"/>
      <c r="AM23" s="18"/>
      <c r="AN23" s="18"/>
    </row>
    <row r="24" spans="18:40" s="12" customFormat="1" x14ac:dyDescent="0.35">
      <c r="R24" s="18"/>
      <c r="S24" s="18"/>
      <c r="T24" s="18"/>
      <c r="U24" s="18"/>
      <c r="V24" s="18"/>
      <c r="W24" s="18"/>
      <c r="X24" s="18"/>
      <c r="Y24" s="18"/>
      <c r="Z24" s="18"/>
      <c r="AA24" s="18"/>
      <c r="AB24" s="18"/>
      <c r="AC24" s="18"/>
      <c r="AD24" s="18"/>
      <c r="AE24" s="18"/>
      <c r="AF24" s="18"/>
      <c r="AG24" s="18"/>
      <c r="AH24" s="18"/>
      <c r="AI24" s="18"/>
      <c r="AJ24" s="18"/>
      <c r="AK24" s="18"/>
      <c r="AL24" s="18"/>
      <c r="AM24" s="18"/>
      <c r="AN24" s="18"/>
    </row>
    <row r="25" spans="18:40" s="12" customFormat="1" x14ac:dyDescent="0.35">
      <c r="R25" s="18"/>
      <c r="S25" s="18"/>
      <c r="T25" s="18"/>
      <c r="U25" s="18"/>
      <c r="V25" s="18"/>
      <c r="W25" s="18"/>
      <c r="X25" s="18"/>
      <c r="Y25" s="18"/>
      <c r="Z25" s="18"/>
      <c r="AA25" s="18"/>
      <c r="AB25" s="18"/>
      <c r="AC25" s="18"/>
      <c r="AD25" s="18"/>
      <c r="AE25" s="18"/>
      <c r="AF25" s="18"/>
      <c r="AG25" s="18"/>
      <c r="AH25" s="18"/>
      <c r="AI25" s="18"/>
      <c r="AJ25" s="18"/>
      <c r="AK25" s="18"/>
      <c r="AL25" s="18"/>
      <c r="AM25" s="18"/>
      <c r="AN25" s="18"/>
    </row>
    <row r="26" spans="18:40" s="12" customFormat="1" x14ac:dyDescent="0.35">
      <c r="R26" s="18"/>
      <c r="S26" s="18"/>
      <c r="T26" s="18"/>
      <c r="U26" s="18"/>
      <c r="V26" s="18"/>
      <c r="W26" s="18"/>
      <c r="X26" s="18"/>
      <c r="Y26" s="18"/>
      <c r="Z26" s="18"/>
      <c r="AA26" s="18"/>
      <c r="AB26" s="18"/>
      <c r="AC26" s="18"/>
      <c r="AD26" s="18"/>
      <c r="AE26" s="18"/>
      <c r="AF26" s="18"/>
      <c r="AG26" s="18"/>
      <c r="AH26" s="18"/>
      <c r="AI26" s="18"/>
      <c r="AJ26" s="18"/>
      <c r="AK26" s="18"/>
      <c r="AL26" s="18"/>
      <c r="AM26" s="18"/>
      <c r="AN26" s="18"/>
    </row>
    <row r="27" spans="18:40" s="12" customFormat="1" x14ac:dyDescent="0.35">
      <c r="R27" s="18"/>
      <c r="S27" s="18"/>
      <c r="T27" s="18"/>
      <c r="U27" s="18"/>
      <c r="V27" s="18"/>
      <c r="W27" s="18"/>
      <c r="X27" s="18"/>
      <c r="Y27" s="18"/>
      <c r="Z27" s="18"/>
      <c r="AA27" s="18"/>
      <c r="AB27" s="18"/>
      <c r="AC27" s="18"/>
      <c r="AD27" s="18"/>
      <c r="AE27" s="18"/>
      <c r="AF27" s="18"/>
      <c r="AG27" s="18"/>
      <c r="AH27" s="18"/>
      <c r="AI27" s="18"/>
      <c r="AJ27" s="18"/>
      <c r="AK27" s="18"/>
      <c r="AL27" s="18"/>
      <c r="AM27" s="18"/>
      <c r="AN27" s="18"/>
    </row>
    <row r="28" spans="18:40" s="12" customFormat="1" x14ac:dyDescent="0.35">
      <c r="R28" s="18"/>
      <c r="S28" s="18"/>
      <c r="T28" s="18"/>
      <c r="U28" s="18"/>
      <c r="V28" s="18"/>
      <c r="W28" s="18"/>
      <c r="X28" s="18"/>
      <c r="Y28" s="18"/>
      <c r="Z28" s="18"/>
      <c r="AA28" s="18"/>
      <c r="AB28" s="18"/>
      <c r="AC28" s="18"/>
      <c r="AD28" s="18"/>
      <c r="AE28" s="18"/>
      <c r="AF28" s="18"/>
      <c r="AG28" s="18"/>
      <c r="AH28" s="18"/>
      <c r="AI28" s="18"/>
      <c r="AJ28" s="18"/>
      <c r="AK28" s="18"/>
      <c r="AL28" s="18"/>
      <c r="AM28" s="18"/>
      <c r="AN28" s="18"/>
    </row>
    <row r="29" spans="18:40" s="12" customFormat="1" x14ac:dyDescent="0.35">
      <c r="R29" s="18"/>
      <c r="S29" s="18"/>
      <c r="T29" s="18"/>
      <c r="U29" s="18"/>
      <c r="V29" s="18"/>
      <c r="W29" s="18"/>
      <c r="X29" s="18"/>
      <c r="Y29" s="18"/>
      <c r="Z29" s="18"/>
      <c r="AA29" s="18"/>
      <c r="AB29" s="18"/>
      <c r="AC29" s="18"/>
      <c r="AD29" s="18"/>
      <c r="AE29" s="18"/>
      <c r="AF29" s="18"/>
      <c r="AG29" s="18"/>
      <c r="AH29" s="18"/>
      <c r="AI29" s="18"/>
      <c r="AJ29" s="18"/>
      <c r="AK29" s="18"/>
      <c r="AL29" s="18"/>
      <c r="AM29" s="18"/>
      <c r="AN29" s="18"/>
    </row>
    <row r="30" spans="18:40" s="12" customFormat="1" x14ac:dyDescent="0.35">
      <c r="R30" s="18"/>
      <c r="S30" s="18"/>
      <c r="T30" s="18"/>
      <c r="U30" s="18"/>
      <c r="V30" s="18"/>
      <c r="W30" s="18"/>
      <c r="X30" s="18"/>
      <c r="Y30" s="18"/>
      <c r="Z30" s="18"/>
      <c r="AA30" s="18"/>
      <c r="AB30" s="18"/>
      <c r="AC30" s="18"/>
      <c r="AD30" s="18"/>
      <c r="AE30" s="18"/>
      <c r="AF30" s="18"/>
      <c r="AG30" s="18"/>
      <c r="AH30" s="18"/>
      <c r="AI30" s="18"/>
      <c r="AJ30" s="18"/>
      <c r="AK30" s="18"/>
      <c r="AL30" s="18"/>
      <c r="AM30" s="18"/>
      <c r="AN30" s="18"/>
    </row>
    <row r="31" spans="18:40" s="12" customFormat="1" x14ac:dyDescent="0.35">
      <c r="R31" s="18"/>
      <c r="S31" s="18"/>
      <c r="T31" s="18"/>
      <c r="U31" s="18"/>
      <c r="V31" s="18"/>
      <c r="W31" s="18"/>
      <c r="X31" s="18"/>
      <c r="Y31" s="18"/>
      <c r="Z31" s="18"/>
      <c r="AA31" s="18"/>
      <c r="AB31" s="18"/>
      <c r="AC31" s="18"/>
      <c r="AD31" s="18"/>
      <c r="AE31" s="18"/>
      <c r="AF31" s="18"/>
      <c r="AG31" s="18"/>
      <c r="AH31" s="18"/>
      <c r="AI31" s="18"/>
      <c r="AJ31" s="18"/>
      <c r="AK31" s="18"/>
      <c r="AL31" s="18"/>
      <c r="AM31" s="18"/>
      <c r="AN31" s="18"/>
    </row>
    <row r="32" spans="18:40" s="12" customFormat="1" x14ac:dyDescent="0.35">
      <c r="R32" s="18"/>
      <c r="S32" s="18"/>
      <c r="T32" s="18"/>
      <c r="U32" s="18"/>
      <c r="V32" s="18"/>
      <c r="W32" s="18"/>
      <c r="X32" s="18"/>
      <c r="Y32" s="18"/>
      <c r="Z32" s="18"/>
      <c r="AA32" s="18"/>
      <c r="AB32" s="18"/>
      <c r="AC32" s="18"/>
      <c r="AD32" s="18"/>
      <c r="AE32" s="18"/>
      <c r="AF32" s="18"/>
      <c r="AG32" s="18"/>
      <c r="AH32" s="18"/>
      <c r="AI32" s="18"/>
      <c r="AJ32" s="18"/>
      <c r="AK32" s="18"/>
      <c r="AL32" s="18"/>
      <c r="AM32" s="18"/>
      <c r="AN32" s="18"/>
    </row>
    <row r="33" spans="1:40" s="12" customFormat="1" x14ac:dyDescent="0.35">
      <c r="R33" s="18"/>
      <c r="S33" s="18"/>
      <c r="T33" s="18"/>
      <c r="U33" s="18"/>
      <c r="V33" s="18"/>
      <c r="W33" s="18"/>
      <c r="X33" s="18"/>
      <c r="Y33" s="18"/>
      <c r="Z33" s="18"/>
      <c r="AA33" s="18"/>
      <c r="AB33" s="18"/>
      <c r="AC33" s="18"/>
      <c r="AD33" s="18"/>
      <c r="AE33" s="18"/>
      <c r="AF33" s="18"/>
      <c r="AG33" s="18"/>
      <c r="AH33" s="18"/>
      <c r="AI33" s="18"/>
      <c r="AJ33" s="18"/>
      <c r="AK33" s="18"/>
      <c r="AL33" s="18"/>
      <c r="AM33" s="18"/>
      <c r="AN33" s="18"/>
    </row>
    <row r="34" spans="1:40" s="12" customFormat="1" x14ac:dyDescent="0.35">
      <c r="R34" s="18"/>
      <c r="S34" s="18"/>
      <c r="T34" s="18"/>
      <c r="U34" s="18"/>
      <c r="V34" s="18"/>
      <c r="W34" s="18"/>
      <c r="X34" s="18"/>
      <c r="Y34" s="18"/>
      <c r="Z34" s="18"/>
      <c r="AA34" s="18"/>
      <c r="AB34" s="18"/>
      <c r="AC34" s="18"/>
      <c r="AD34" s="18"/>
      <c r="AE34" s="18"/>
      <c r="AF34" s="18"/>
      <c r="AG34" s="18"/>
      <c r="AH34" s="18"/>
      <c r="AI34" s="18"/>
      <c r="AJ34" s="18"/>
      <c r="AK34" s="18"/>
      <c r="AL34" s="18"/>
      <c r="AM34" s="18"/>
      <c r="AN34" s="18"/>
    </row>
    <row r="35" spans="1:40" s="12" customFormat="1" x14ac:dyDescent="0.35">
      <c r="R35" s="18"/>
      <c r="S35" s="18"/>
      <c r="T35" s="18"/>
      <c r="U35" s="18"/>
      <c r="V35" s="18"/>
      <c r="W35" s="18"/>
      <c r="X35" s="18"/>
      <c r="Y35" s="18"/>
      <c r="Z35" s="18"/>
      <c r="AA35" s="18"/>
      <c r="AB35" s="18"/>
      <c r="AC35" s="18"/>
      <c r="AD35" s="18"/>
      <c r="AE35" s="18"/>
      <c r="AF35" s="18"/>
      <c r="AG35" s="18"/>
      <c r="AH35" s="18"/>
      <c r="AI35" s="18"/>
      <c r="AJ35" s="18"/>
      <c r="AK35" s="18"/>
      <c r="AL35" s="18"/>
      <c r="AM35" s="18"/>
      <c r="AN35" s="18"/>
    </row>
    <row r="36" spans="1:40" s="12" customFormat="1" x14ac:dyDescent="0.35">
      <c r="R36" s="18"/>
      <c r="S36" s="18"/>
      <c r="T36" s="18"/>
      <c r="U36" s="18"/>
      <c r="V36" s="18"/>
      <c r="W36" s="18"/>
      <c r="X36" s="18"/>
      <c r="Y36" s="18"/>
      <c r="Z36" s="18"/>
      <c r="AA36" s="18"/>
      <c r="AB36" s="18"/>
      <c r="AC36" s="18"/>
      <c r="AD36" s="18"/>
      <c r="AE36" s="18"/>
      <c r="AF36" s="18"/>
      <c r="AG36" s="18"/>
      <c r="AH36" s="18"/>
      <c r="AI36" s="18"/>
      <c r="AJ36" s="18"/>
      <c r="AK36" s="18"/>
      <c r="AL36" s="18"/>
      <c r="AM36" s="18"/>
      <c r="AN36" s="18"/>
    </row>
    <row r="37" spans="1:40" s="12" customFormat="1" x14ac:dyDescent="0.35">
      <c r="R37" s="18"/>
      <c r="S37" s="18"/>
      <c r="T37" s="18"/>
      <c r="U37" s="18"/>
      <c r="V37" s="18"/>
      <c r="W37" s="18"/>
      <c r="X37" s="18"/>
      <c r="Y37" s="18"/>
      <c r="Z37" s="18"/>
      <c r="AA37" s="18"/>
      <c r="AB37" s="18"/>
      <c r="AC37" s="18"/>
      <c r="AD37" s="18"/>
      <c r="AE37" s="18"/>
      <c r="AF37" s="18"/>
      <c r="AG37" s="18"/>
      <c r="AH37" s="18"/>
      <c r="AI37" s="18"/>
      <c r="AJ37" s="18"/>
      <c r="AK37" s="18"/>
      <c r="AL37" s="18"/>
      <c r="AM37" s="18"/>
      <c r="AN37" s="18"/>
    </row>
    <row r="38" spans="1:40" s="12" customFormat="1" x14ac:dyDescent="0.35">
      <c r="R38" s="18"/>
      <c r="S38" s="18"/>
      <c r="T38" s="18"/>
      <c r="U38" s="18"/>
      <c r="V38" s="18"/>
      <c r="W38" s="18"/>
      <c r="X38" s="18"/>
      <c r="Y38" s="18"/>
      <c r="Z38" s="18"/>
      <c r="AA38" s="18"/>
      <c r="AB38" s="18"/>
      <c r="AC38" s="18"/>
      <c r="AD38" s="18"/>
      <c r="AE38" s="18"/>
      <c r="AF38" s="18"/>
      <c r="AG38" s="18"/>
      <c r="AH38" s="18"/>
      <c r="AI38" s="18"/>
      <c r="AJ38" s="18"/>
      <c r="AK38" s="18"/>
      <c r="AL38" s="18"/>
      <c r="AM38" s="18"/>
      <c r="AN38" s="18"/>
    </row>
    <row r="39" spans="1:40" s="12" customFormat="1" x14ac:dyDescent="0.35">
      <c r="R39" s="18"/>
      <c r="S39" s="18"/>
      <c r="T39" s="18"/>
      <c r="U39" s="18"/>
      <c r="V39" s="18"/>
      <c r="W39" s="18"/>
      <c r="X39" s="18"/>
      <c r="Y39" s="18"/>
      <c r="Z39" s="18"/>
      <c r="AA39" s="18"/>
      <c r="AB39" s="18"/>
      <c r="AC39" s="18"/>
      <c r="AD39" s="18"/>
      <c r="AE39" s="18"/>
      <c r="AF39" s="18"/>
      <c r="AG39" s="18"/>
      <c r="AH39" s="18"/>
      <c r="AI39" s="18"/>
      <c r="AJ39" s="18"/>
      <c r="AK39" s="18"/>
      <c r="AL39" s="18"/>
      <c r="AM39" s="18"/>
      <c r="AN39" s="18"/>
    </row>
    <row r="40" spans="1:40" s="12" customFormat="1" x14ac:dyDescent="0.35">
      <c r="R40" s="18"/>
      <c r="S40" s="18"/>
      <c r="T40" s="18"/>
      <c r="U40" s="18"/>
      <c r="V40" s="18"/>
      <c r="W40" s="18"/>
      <c r="X40" s="18"/>
      <c r="Y40" s="18"/>
      <c r="Z40" s="18"/>
      <c r="AA40" s="18"/>
      <c r="AB40" s="18"/>
      <c r="AC40" s="18"/>
      <c r="AD40" s="18"/>
      <c r="AE40" s="18"/>
      <c r="AF40" s="18"/>
      <c r="AG40" s="18"/>
      <c r="AH40" s="18"/>
      <c r="AI40" s="18"/>
      <c r="AJ40" s="18"/>
      <c r="AK40" s="18"/>
      <c r="AL40" s="18"/>
      <c r="AM40" s="18"/>
      <c r="AN40" s="18"/>
    </row>
    <row r="41" spans="1:40" s="12" customFormat="1" x14ac:dyDescent="0.35">
      <c r="R41" s="18"/>
      <c r="S41" s="18"/>
      <c r="T41" s="18"/>
      <c r="U41" s="18"/>
      <c r="V41" s="18"/>
      <c r="W41" s="18"/>
      <c r="X41" s="18"/>
      <c r="Y41" s="18"/>
      <c r="Z41" s="18"/>
      <c r="AA41" s="18"/>
      <c r="AB41" s="18"/>
      <c r="AC41" s="18"/>
      <c r="AD41" s="18"/>
      <c r="AE41" s="18"/>
      <c r="AF41" s="18"/>
      <c r="AG41" s="18"/>
      <c r="AH41" s="18"/>
      <c r="AI41" s="18"/>
      <c r="AJ41" s="18"/>
      <c r="AK41" s="18"/>
      <c r="AL41" s="18"/>
      <c r="AM41" s="18"/>
      <c r="AN41" s="18"/>
    </row>
    <row r="42" spans="1:40" s="12" customFormat="1" x14ac:dyDescent="0.35">
      <c r="R42" s="18"/>
      <c r="S42" s="18"/>
      <c r="T42" s="18"/>
      <c r="U42" s="18"/>
      <c r="V42" s="18"/>
      <c r="W42" s="18"/>
      <c r="X42" s="18"/>
      <c r="Y42" s="18"/>
      <c r="Z42" s="18"/>
      <c r="AA42" s="18"/>
      <c r="AB42" s="18"/>
      <c r="AC42" s="18"/>
      <c r="AD42" s="18"/>
      <c r="AE42" s="18"/>
      <c r="AF42" s="18"/>
      <c r="AG42" s="18"/>
      <c r="AH42" s="18"/>
      <c r="AI42" s="18"/>
      <c r="AJ42" s="18"/>
      <c r="AK42" s="18"/>
      <c r="AL42" s="18"/>
      <c r="AM42" s="18"/>
      <c r="AN42" s="18"/>
    </row>
    <row r="43" spans="1:40" s="12" customFormat="1" x14ac:dyDescent="0.35">
      <c r="R43" s="18"/>
      <c r="S43" s="18"/>
      <c r="T43" s="18"/>
      <c r="U43" s="18"/>
      <c r="V43" s="18"/>
      <c r="W43" s="18"/>
      <c r="X43" s="18"/>
      <c r="Y43" s="18"/>
      <c r="Z43" s="18"/>
      <c r="AA43" s="18"/>
      <c r="AB43" s="18"/>
      <c r="AC43" s="18"/>
      <c r="AD43" s="18"/>
      <c r="AE43" s="18"/>
      <c r="AF43" s="18"/>
      <c r="AG43" s="18"/>
      <c r="AH43" s="18"/>
      <c r="AI43" s="18"/>
      <c r="AJ43" s="18"/>
      <c r="AK43" s="18"/>
      <c r="AL43" s="18"/>
      <c r="AM43" s="18"/>
      <c r="AN43" s="18"/>
    </row>
    <row r="44" spans="1:40" s="12" customFormat="1" x14ac:dyDescent="0.35">
      <c r="R44" s="18"/>
      <c r="S44" s="18"/>
      <c r="T44" s="18"/>
      <c r="U44" s="18"/>
      <c r="V44" s="18"/>
      <c r="W44" s="18"/>
      <c r="X44" s="18"/>
      <c r="Y44" s="18"/>
      <c r="Z44" s="18"/>
      <c r="AA44" s="18"/>
      <c r="AB44" s="18"/>
      <c r="AC44" s="18"/>
      <c r="AD44" s="18"/>
      <c r="AE44" s="18"/>
      <c r="AF44" s="18"/>
      <c r="AG44" s="18"/>
      <c r="AH44" s="18"/>
      <c r="AI44" s="18"/>
      <c r="AJ44" s="18"/>
      <c r="AK44" s="18"/>
      <c r="AL44" s="18"/>
      <c r="AM44" s="18"/>
      <c r="AN44" s="18"/>
    </row>
    <row r="45" spans="1:40" s="12" customFormat="1" x14ac:dyDescent="0.35">
      <c r="R45" s="18"/>
      <c r="S45" s="18"/>
      <c r="T45" s="18"/>
      <c r="U45" s="18"/>
      <c r="V45" s="18"/>
      <c r="W45" s="18"/>
      <c r="X45" s="18"/>
      <c r="Y45" s="18"/>
      <c r="Z45" s="18"/>
      <c r="AA45" s="18"/>
      <c r="AB45" s="18"/>
      <c r="AC45" s="18"/>
      <c r="AD45" s="18"/>
      <c r="AE45" s="18"/>
      <c r="AF45" s="18"/>
      <c r="AG45" s="18"/>
      <c r="AH45" s="18"/>
      <c r="AI45" s="18"/>
      <c r="AJ45" s="18"/>
      <c r="AK45" s="18"/>
      <c r="AL45" s="18"/>
      <c r="AM45" s="18"/>
      <c r="AN45" s="18"/>
    </row>
    <row r="46" spans="1:40" s="12" customFormat="1" x14ac:dyDescent="0.35">
      <c r="R46" s="18"/>
      <c r="S46" s="18"/>
      <c r="T46" s="18"/>
      <c r="U46" s="18"/>
      <c r="V46" s="18"/>
      <c r="W46" s="18"/>
      <c r="X46" s="18"/>
      <c r="Y46" s="18"/>
      <c r="Z46" s="18"/>
      <c r="AA46" s="18"/>
      <c r="AB46" s="18"/>
      <c r="AC46" s="18"/>
      <c r="AD46" s="18"/>
      <c r="AE46" s="18"/>
      <c r="AF46" s="18"/>
      <c r="AG46" s="18"/>
      <c r="AH46" s="18"/>
      <c r="AI46" s="18"/>
      <c r="AJ46" s="18"/>
      <c r="AK46" s="18"/>
      <c r="AL46" s="18"/>
      <c r="AM46" s="18"/>
      <c r="AN46" s="18"/>
    </row>
    <row r="47" spans="1:40" s="12" customFormat="1" x14ac:dyDescent="0.3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row>
    <row r="48" spans="1:40" s="12" customFormat="1" x14ac:dyDescent="0.3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row>
    <row r="49" spans="1:40" s="12" customFormat="1" x14ac:dyDescent="0.3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row>
    <row r="50" spans="1:40" s="12" customFormat="1" x14ac:dyDescent="0.3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row>
    <row r="51" spans="1:40" s="12" customFormat="1" x14ac:dyDescent="0.35">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row>
    <row r="52" spans="1:40" s="12" customFormat="1" x14ac:dyDescent="0.3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row>
    <row r="53" spans="1:40" s="12" customFormat="1" x14ac:dyDescent="0.3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row>
    <row r="54" spans="1:40" s="12" customFormat="1" x14ac:dyDescent="0.3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row>
    <row r="55" spans="1:40" s="12" customFormat="1" x14ac:dyDescent="0.3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row>
    <row r="56" spans="1:40" s="12" customFormat="1" x14ac:dyDescent="0.3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row>
    <row r="57" spans="1:40" s="12" customFormat="1" x14ac:dyDescent="0.3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row>
    <row r="58" spans="1:40" s="12" customFormat="1" x14ac:dyDescent="0.35">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row>
    <row r="59" spans="1:40" s="12" customFormat="1" x14ac:dyDescent="0.35">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row>
    <row r="60" spans="1:40" s="12" customFormat="1" x14ac:dyDescent="0.35">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row>
    <row r="61" spans="1:40" s="12" customFormat="1" x14ac:dyDescent="0.35">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row>
    <row r="62" spans="1:40" s="12" customFormat="1" x14ac:dyDescent="0.3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row>
    <row r="63" spans="1:40" s="12" customFormat="1" x14ac:dyDescent="0.3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row>
    <row r="64" spans="1:40" s="12" customFormat="1" x14ac:dyDescent="0.3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row>
    <row r="65" spans="1:40" s="12" customFormat="1" x14ac:dyDescent="0.3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row>
    <row r="66" spans="1:40" s="12" customFormat="1" x14ac:dyDescent="0.3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row>
    <row r="67" spans="1:40" s="12" customFormat="1" x14ac:dyDescent="0.35">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row>
    <row r="68" spans="1:40" s="12" customFormat="1" x14ac:dyDescent="0.3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row>
    <row r="69" spans="1:40" s="12" customFormat="1" x14ac:dyDescent="0.35">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row>
    <row r="70" spans="1:40" s="12" customFormat="1" x14ac:dyDescent="0.3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row>
    <row r="71" spans="1:40" s="12" customFormat="1" x14ac:dyDescent="0.3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row>
    <row r="72" spans="1:40" s="12" customFormat="1" x14ac:dyDescent="0.3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row>
    <row r="73" spans="1:40" s="12" customFormat="1" x14ac:dyDescent="0.3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row>
    <row r="74" spans="1:40" s="12" customFormat="1" x14ac:dyDescent="0.3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row>
    <row r="75" spans="1:40" s="12" customFormat="1" x14ac:dyDescent="0.3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row>
    <row r="76" spans="1:40" s="12" customFormat="1" x14ac:dyDescent="0.3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row>
    <row r="77" spans="1:40" s="12" customFormat="1" x14ac:dyDescent="0.3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row>
    <row r="78" spans="1:40" s="12" customFormat="1" x14ac:dyDescent="0.3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row>
    <row r="79" spans="1:40" s="12" customFormat="1" x14ac:dyDescent="0.35">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row>
    <row r="80" spans="1:40" s="12" customFormat="1" x14ac:dyDescent="0.35">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row>
    <row r="81" spans="1:40" s="12" customFormat="1" x14ac:dyDescent="0.35">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row>
    <row r="82" spans="1:40" s="12" customFormat="1" x14ac:dyDescent="0.35">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row>
    <row r="83" spans="1:40" s="12" customFormat="1" x14ac:dyDescent="0.35">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row>
    <row r="84" spans="1:40" s="12" customFormat="1" x14ac:dyDescent="0.35">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row>
    <row r="85" spans="1:40" s="12" customFormat="1" x14ac:dyDescent="0.3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row>
    <row r="86" spans="1:40" s="12" customFormat="1" x14ac:dyDescent="0.35">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row>
    <row r="87" spans="1:40" s="12" customFormat="1" x14ac:dyDescent="0.3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row>
    <row r="88" spans="1:40" s="12" customFormat="1" x14ac:dyDescent="0.35">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row>
    <row r="89" spans="1:40" s="12" customFormat="1" x14ac:dyDescent="0.35">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row>
    <row r="90" spans="1:40" s="12" customFormat="1" x14ac:dyDescent="0.35">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row>
    <row r="91" spans="1:40" s="12" customFormat="1" x14ac:dyDescent="0.35">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row>
    <row r="92" spans="1:40" s="12" customFormat="1" x14ac:dyDescent="0.35">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row>
    <row r="93" spans="1:40" s="12" customFormat="1" x14ac:dyDescent="0.35">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row>
    <row r="94" spans="1:40" s="12" customFormat="1" x14ac:dyDescent="0.35">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row>
    <row r="95" spans="1:40" s="12" customFormat="1" x14ac:dyDescent="0.3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row>
    <row r="96" spans="1:40" s="12" customFormat="1" x14ac:dyDescent="0.35">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row>
    <row r="97" spans="1:40" s="12" customFormat="1" x14ac:dyDescent="0.35">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row>
    <row r="98" spans="1:40" s="12" customFormat="1" x14ac:dyDescent="0.35">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row>
    <row r="99" spans="1:40" s="12" customFormat="1" x14ac:dyDescent="0.35">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row>
    <row r="100" spans="1:40" s="12" customFormat="1" x14ac:dyDescent="0.35">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row>
    <row r="101" spans="1:40" s="12" customFormat="1" x14ac:dyDescent="0.35">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row>
    <row r="102" spans="1:40" s="12" customFormat="1" x14ac:dyDescent="0.35">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row>
    <row r="103" spans="1:40" s="12" customFormat="1" x14ac:dyDescent="0.35">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row>
    <row r="104" spans="1:40" s="12" customFormat="1" x14ac:dyDescent="0.35">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row>
    <row r="105" spans="1:40" s="12" customFormat="1" x14ac:dyDescent="0.3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row>
    <row r="106" spans="1:40" s="12" customFormat="1" x14ac:dyDescent="0.35">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row>
    <row r="107" spans="1:40" s="12" customFormat="1" x14ac:dyDescent="0.35">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row>
    <row r="108" spans="1:40" s="12" customFormat="1" x14ac:dyDescent="0.35">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row>
    <row r="109" spans="1:40" s="12" customFormat="1" x14ac:dyDescent="0.35">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row>
    <row r="110" spans="1:40" s="12" customFormat="1" x14ac:dyDescent="0.35">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row>
    <row r="111" spans="1:40" s="12" customFormat="1" x14ac:dyDescent="0.35">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row>
    <row r="112" spans="1:40" s="12" customFormat="1" x14ac:dyDescent="0.35">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row>
    <row r="113" spans="1:40" s="12" customFormat="1" x14ac:dyDescent="0.3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row>
    <row r="114" spans="1:40" s="12" customFormat="1" x14ac:dyDescent="0.3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row>
    <row r="115" spans="1:40" s="12" customFormat="1" x14ac:dyDescent="0.3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row>
    <row r="116" spans="1:40" s="12" customFormat="1" x14ac:dyDescent="0.3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row>
    <row r="117" spans="1:40" s="12" customFormat="1" x14ac:dyDescent="0.3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row>
    <row r="118" spans="1:40" s="12" customFormat="1" x14ac:dyDescent="0.3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row>
    <row r="119" spans="1:40" s="12" customFormat="1" x14ac:dyDescent="0.3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row>
    <row r="120" spans="1:40" s="12" customFormat="1" x14ac:dyDescent="0.3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row>
    <row r="121" spans="1:40" x14ac:dyDescent="0.3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row>
  </sheetData>
  <pageMargins left="0.75" right="0.75" top="1" bottom="1" header="0.5" footer="0.5"/>
  <pageSetup paperSize="0" orientation="portrait" horizontalDpi="0" verticalDpi="0" copie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6"/>
  <sheetViews>
    <sheetView zoomScale="70" zoomScaleNormal="70" workbookViewId="0">
      <pane xSplit="2" ySplit="2" topLeftCell="C3" activePane="bottomRight" state="frozen"/>
      <selection pane="topRight" activeCell="C1" sqref="C1"/>
      <selection pane="bottomLeft" activeCell="A3" sqref="A3"/>
      <selection pane="bottomRight" activeCell="D6" sqref="D6"/>
    </sheetView>
  </sheetViews>
  <sheetFormatPr defaultRowHeight="14.5" x14ac:dyDescent="0.35"/>
  <cols>
    <col min="2" max="2" width="16.36328125" customWidth="1"/>
    <col min="3" max="5" width="35.54296875" customWidth="1"/>
    <col min="6" max="6" width="17.7265625" customWidth="1"/>
    <col min="7" max="7" width="17.26953125" customWidth="1"/>
    <col min="8" max="8" width="13.7265625" customWidth="1"/>
    <col min="9" max="9" width="12.36328125" customWidth="1"/>
  </cols>
  <sheetData>
    <row r="1" spans="1:9" x14ac:dyDescent="0.35">
      <c r="A1" s="7"/>
      <c r="B1" s="7"/>
      <c r="C1" s="7"/>
      <c r="D1" s="7"/>
      <c r="E1" s="7"/>
      <c r="F1" s="7"/>
      <c r="G1" s="7"/>
    </row>
    <row r="2" spans="1:9" x14ac:dyDescent="0.35">
      <c r="A2" s="7"/>
      <c r="B2" s="6" t="s">
        <v>179</v>
      </c>
      <c r="C2" s="6" t="s">
        <v>180</v>
      </c>
      <c r="D2" s="6" t="s">
        <v>181</v>
      </c>
      <c r="E2" s="6" t="s">
        <v>182</v>
      </c>
      <c r="F2" s="7"/>
      <c r="G2" s="7"/>
    </row>
    <row r="3" spans="1:9" ht="221" customHeight="1" x14ac:dyDescent="0.35">
      <c r="A3" s="7"/>
      <c r="B3" s="44" t="s">
        <v>183</v>
      </c>
      <c r="C3" s="45" t="s">
        <v>184</v>
      </c>
      <c r="D3" s="45" t="s">
        <v>185</v>
      </c>
      <c r="E3" s="45"/>
      <c r="F3" s="7"/>
      <c r="G3" s="7"/>
    </row>
    <row r="4" spans="1:9" ht="182" customHeight="1" x14ac:dyDescent="0.35">
      <c r="A4" s="7"/>
      <c r="B4" s="44" t="s">
        <v>186</v>
      </c>
      <c r="C4" s="45" t="s">
        <v>187</v>
      </c>
      <c r="D4" s="45" t="s">
        <v>188</v>
      </c>
      <c r="E4" s="45"/>
      <c r="F4" s="7"/>
      <c r="G4" s="7"/>
    </row>
    <row r="5" spans="1:9" ht="130" customHeight="1" x14ac:dyDescent="0.35">
      <c r="A5" s="7"/>
      <c r="B5" s="44" t="s">
        <v>189</v>
      </c>
      <c r="C5" s="45" t="s">
        <v>190</v>
      </c>
      <c r="D5" s="44" t="s">
        <v>191</v>
      </c>
      <c r="E5" s="45" t="s">
        <v>192</v>
      </c>
      <c r="F5" s="7"/>
      <c r="G5" s="7"/>
    </row>
    <row r="6" spans="1:9" ht="65" customHeight="1" x14ac:dyDescent="0.35">
      <c r="A6" s="7"/>
      <c r="B6" s="44" t="s">
        <v>193</v>
      </c>
      <c r="C6" s="45" t="s">
        <v>194</v>
      </c>
      <c r="D6" s="45" t="s">
        <v>195</v>
      </c>
      <c r="E6" s="45" t="s">
        <v>196</v>
      </c>
      <c r="F6" s="7"/>
      <c r="G6" s="7"/>
    </row>
    <row r="7" spans="1:9" ht="52" customHeight="1" x14ac:dyDescent="0.35">
      <c r="A7" s="7"/>
      <c r="B7" s="44" t="s">
        <v>197</v>
      </c>
      <c r="C7" s="45" t="s">
        <v>194</v>
      </c>
      <c r="D7" s="44" t="s">
        <v>198</v>
      </c>
      <c r="E7" s="45" t="s">
        <v>199</v>
      </c>
      <c r="F7" s="7"/>
      <c r="G7" s="7"/>
    </row>
    <row r="8" spans="1:9" ht="104" customHeight="1" x14ac:dyDescent="0.35">
      <c r="A8" s="7"/>
      <c r="B8" s="44" t="s">
        <v>200</v>
      </c>
      <c r="C8" s="45" t="s">
        <v>201</v>
      </c>
      <c r="D8" s="46" t="s">
        <v>202</v>
      </c>
      <c r="E8" s="45" t="s">
        <v>203</v>
      </c>
      <c r="F8" s="7"/>
      <c r="G8" s="7"/>
    </row>
    <row r="9" spans="1:9" ht="145" customHeight="1" x14ac:dyDescent="0.35">
      <c r="A9" s="7"/>
      <c r="B9" s="40" t="s">
        <v>204</v>
      </c>
      <c r="C9" s="39" t="s">
        <v>205</v>
      </c>
      <c r="D9" s="43" t="s">
        <v>206</v>
      </c>
      <c r="E9" s="45" t="s">
        <v>207</v>
      </c>
      <c r="F9" s="7"/>
      <c r="G9" s="7"/>
    </row>
    <row r="10" spans="1:9" x14ac:dyDescent="0.35">
      <c r="A10" s="7"/>
      <c r="B10" s="44" t="s">
        <v>208</v>
      </c>
      <c r="C10" s="48"/>
      <c r="D10" s="47"/>
      <c r="E10" s="48"/>
      <c r="F10" s="7"/>
      <c r="G10" s="7"/>
    </row>
    <row r="11" spans="1:9" x14ac:dyDescent="0.35">
      <c r="A11" s="7"/>
      <c r="B11" s="44" t="s">
        <v>209</v>
      </c>
      <c r="C11" s="48"/>
      <c r="D11" s="47"/>
      <c r="E11" s="48"/>
      <c r="F11" s="7"/>
      <c r="G11" s="7"/>
    </row>
    <row r="12" spans="1:9" ht="26" customHeight="1" x14ac:dyDescent="0.35">
      <c r="A12" s="7"/>
      <c r="B12" s="44" t="s">
        <v>210</v>
      </c>
      <c r="C12" s="45" t="s">
        <v>211</v>
      </c>
      <c r="D12" s="45" t="s">
        <v>212</v>
      </c>
      <c r="E12" s="45"/>
      <c r="F12" s="7"/>
      <c r="G12" s="7"/>
    </row>
    <row r="13" spans="1:9" ht="52" customHeight="1" x14ac:dyDescent="0.35">
      <c r="A13" s="7"/>
      <c r="B13" s="44" t="s">
        <v>213</v>
      </c>
      <c r="C13" s="45" t="s">
        <v>214</v>
      </c>
      <c r="D13" s="44" t="s">
        <v>215</v>
      </c>
      <c r="E13" s="45" t="s">
        <v>216</v>
      </c>
      <c r="F13" s="7"/>
      <c r="G13" s="7"/>
    </row>
    <row r="14" spans="1:9" ht="104" customHeight="1" x14ac:dyDescent="0.35">
      <c r="A14" s="7"/>
      <c r="B14" s="44" t="s">
        <v>217</v>
      </c>
      <c r="C14" s="45" t="s">
        <v>218</v>
      </c>
      <c r="D14" s="47" t="s">
        <v>219</v>
      </c>
      <c r="E14" s="45" t="s">
        <v>220</v>
      </c>
      <c r="F14" s="7"/>
      <c r="G14" s="7"/>
    </row>
    <row r="15" spans="1:9" ht="391.5" customHeight="1" x14ac:dyDescent="0.35">
      <c r="A15" s="7"/>
      <c r="B15" s="44" t="s">
        <v>221</v>
      </c>
      <c r="C15" s="45" t="s">
        <v>222</v>
      </c>
      <c r="D15" s="44" t="s">
        <v>223</v>
      </c>
      <c r="E15" s="45" t="s">
        <v>224</v>
      </c>
      <c r="F15" s="40" t="s">
        <v>225</v>
      </c>
      <c r="G15" s="39" t="s">
        <v>226</v>
      </c>
      <c r="H15" s="39" t="s">
        <v>227</v>
      </c>
      <c r="I15" s="39" t="s">
        <v>228</v>
      </c>
    </row>
    <row r="16" spans="1:9" ht="409.5" customHeight="1" x14ac:dyDescent="0.35">
      <c r="A16" s="7"/>
      <c r="B16" s="44" t="s">
        <v>229</v>
      </c>
      <c r="C16" s="45" t="s">
        <v>230</v>
      </c>
      <c r="D16" s="47" t="s">
        <v>231</v>
      </c>
      <c r="E16" s="45" t="s">
        <v>232</v>
      </c>
      <c r="F16" s="7"/>
      <c r="G16" s="7"/>
    </row>
    <row r="17" spans="1:7" ht="65" customHeight="1" x14ac:dyDescent="0.35">
      <c r="A17" s="7"/>
      <c r="B17" s="44" t="s">
        <v>233</v>
      </c>
      <c r="C17" s="45" t="s">
        <v>234</v>
      </c>
      <c r="D17" s="44" t="s">
        <v>235</v>
      </c>
      <c r="E17" s="45" t="s">
        <v>236</v>
      </c>
      <c r="F17" s="7"/>
      <c r="G17" s="7"/>
    </row>
    <row r="18" spans="1:7" ht="195" customHeight="1" x14ac:dyDescent="0.35">
      <c r="A18" s="7"/>
      <c r="B18" s="44" t="s">
        <v>237</v>
      </c>
      <c r="C18" s="50" t="s">
        <v>238</v>
      </c>
      <c r="D18" s="44" t="s">
        <v>239</v>
      </c>
      <c r="E18" s="45" t="s">
        <v>240</v>
      </c>
      <c r="F18" s="7"/>
      <c r="G18" s="7"/>
    </row>
    <row r="19" spans="1:7" ht="91" customHeight="1" x14ac:dyDescent="0.35">
      <c r="A19" s="7"/>
      <c r="B19" s="44" t="s">
        <v>241</v>
      </c>
      <c r="C19" s="48" t="s">
        <v>242</v>
      </c>
      <c r="D19" s="49"/>
      <c r="E19" s="48"/>
      <c r="F19" s="7"/>
      <c r="G19" s="7"/>
    </row>
    <row r="20" spans="1:7" ht="104" customHeight="1" x14ac:dyDescent="0.35">
      <c r="A20" s="7"/>
      <c r="B20" s="44" t="s">
        <v>243</v>
      </c>
      <c r="C20" s="48" t="s">
        <v>244</v>
      </c>
      <c r="D20" s="49"/>
      <c r="E20" s="48"/>
      <c r="F20" s="7"/>
      <c r="G20" s="7"/>
    </row>
    <row r="21" spans="1:7" x14ac:dyDescent="0.35">
      <c r="A21" s="7"/>
      <c r="B21" s="44"/>
      <c r="C21" s="48"/>
      <c r="D21" s="49"/>
      <c r="E21" s="48"/>
      <c r="F21" s="7"/>
      <c r="G21" s="7"/>
    </row>
    <row r="22" spans="1:7" ht="39" customHeight="1" x14ac:dyDescent="0.35">
      <c r="A22" s="7"/>
      <c r="B22" s="44" t="s">
        <v>245</v>
      </c>
      <c r="C22" s="45" t="s">
        <v>246</v>
      </c>
      <c r="D22" s="44" t="s">
        <v>247</v>
      </c>
      <c r="E22" s="45" t="s">
        <v>248</v>
      </c>
      <c r="F22" s="7" t="s">
        <v>249</v>
      </c>
      <c r="G22" s="7"/>
    </row>
    <row r="23" spans="1:7" ht="39" customHeight="1" x14ac:dyDescent="0.35">
      <c r="A23" s="7"/>
      <c r="B23" s="44" t="s">
        <v>250</v>
      </c>
      <c r="C23" s="45" t="s">
        <v>251</v>
      </c>
      <c r="D23" s="45" t="s">
        <v>252</v>
      </c>
      <c r="E23" s="45" t="s">
        <v>253</v>
      </c>
      <c r="F23" s="7"/>
      <c r="G23" s="7"/>
    </row>
    <row r="24" spans="1:7" ht="52" customHeight="1" x14ac:dyDescent="0.35">
      <c r="A24" s="7"/>
      <c r="B24" s="44" t="s">
        <v>254</v>
      </c>
      <c r="C24" s="45" t="s">
        <v>255</v>
      </c>
      <c r="D24" s="46" t="s">
        <v>256</v>
      </c>
      <c r="E24" s="45" t="s">
        <v>257</v>
      </c>
      <c r="F24" s="7"/>
      <c r="G24" s="7"/>
    </row>
    <row r="25" spans="1:7" ht="65" customHeight="1" x14ac:dyDescent="0.35">
      <c r="A25" s="7"/>
      <c r="B25" s="44" t="s">
        <v>258</v>
      </c>
      <c r="C25" s="45" t="s">
        <v>259</v>
      </c>
      <c r="D25" s="46" t="s">
        <v>260</v>
      </c>
      <c r="E25" s="45" t="s">
        <v>261</v>
      </c>
      <c r="F25" s="7"/>
      <c r="G25" s="7"/>
    </row>
    <row r="26" spans="1:7" x14ac:dyDescent="0.35">
      <c r="A26" s="7"/>
      <c r="B26" s="44"/>
      <c r="C26" s="45"/>
      <c r="D26" s="46"/>
      <c r="E26" s="45"/>
      <c r="F26" s="7"/>
      <c r="G26" s="7"/>
    </row>
    <row r="27" spans="1:7" x14ac:dyDescent="0.35">
      <c r="A27" s="7"/>
      <c r="B27" s="44"/>
      <c r="C27" s="45"/>
      <c r="D27" s="46"/>
      <c r="E27" s="45"/>
      <c r="F27" s="7"/>
      <c r="G27" s="7"/>
    </row>
    <row r="28" spans="1:7" ht="29" customHeight="1" x14ac:dyDescent="0.35">
      <c r="A28" s="7"/>
      <c r="B28" s="38" t="s">
        <v>262</v>
      </c>
      <c r="C28" s="38" t="s">
        <v>263</v>
      </c>
      <c r="D28" s="38" t="s">
        <v>264</v>
      </c>
      <c r="E28" s="38" t="s">
        <v>265</v>
      </c>
      <c r="F28" s="7"/>
      <c r="G28" s="7"/>
    </row>
    <row r="29" spans="1:7" x14ac:dyDescent="0.35">
      <c r="A29" s="7"/>
      <c r="F29" s="7"/>
      <c r="G29" s="7"/>
    </row>
    <row r="30" spans="1:7" x14ac:dyDescent="0.35">
      <c r="A30" s="7"/>
      <c r="B30" s="7"/>
      <c r="C30" s="7"/>
      <c r="D30" s="7"/>
      <c r="E30" s="7"/>
      <c r="F30" s="7"/>
      <c r="G30" s="7"/>
    </row>
    <row r="31" spans="1:7" x14ac:dyDescent="0.35">
      <c r="A31" s="7"/>
      <c r="B31" s="7"/>
      <c r="C31" s="7"/>
      <c r="D31" s="7"/>
      <c r="E31" s="7"/>
      <c r="F31" s="7"/>
      <c r="G31" s="7"/>
    </row>
    <row r="32" spans="1:7" ht="26" customHeight="1" x14ac:dyDescent="0.35">
      <c r="A32" s="7"/>
      <c r="B32" s="41" t="s">
        <v>266</v>
      </c>
      <c r="C32" s="41" t="s">
        <v>267</v>
      </c>
      <c r="D32" s="41" t="s">
        <v>268</v>
      </c>
      <c r="E32" s="41" t="s">
        <v>269</v>
      </c>
      <c r="F32" s="41" t="s">
        <v>270</v>
      </c>
      <c r="G32" s="7"/>
    </row>
    <row r="33" spans="1:9" ht="52" customHeight="1" x14ac:dyDescent="0.35">
      <c r="A33" s="7"/>
      <c r="B33" s="41" t="s">
        <v>86</v>
      </c>
      <c r="C33" s="42" t="s">
        <v>271</v>
      </c>
      <c r="D33" s="42" t="s">
        <v>272</v>
      </c>
      <c r="E33" s="42" t="s">
        <v>273</v>
      </c>
      <c r="F33" s="42" t="s">
        <v>274</v>
      </c>
      <c r="G33" s="7"/>
      <c r="I33" s="42" t="s">
        <v>249</v>
      </c>
    </row>
    <row r="34" spans="1:9" ht="52" customHeight="1" x14ac:dyDescent="0.35">
      <c r="A34" s="7"/>
      <c r="B34" s="41" t="s">
        <v>88</v>
      </c>
      <c r="C34" s="42" t="s">
        <v>275</v>
      </c>
      <c r="D34" s="42" t="s">
        <v>272</v>
      </c>
      <c r="E34" s="42" t="s">
        <v>276</v>
      </c>
      <c r="F34" s="42" t="s">
        <v>277</v>
      </c>
      <c r="G34" s="15" t="s">
        <v>278</v>
      </c>
    </row>
    <row r="35" spans="1:9" ht="26" customHeight="1" x14ac:dyDescent="0.35">
      <c r="A35" s="7"/>
      <c r="B35" s="41" t="s">
        <v>279</v>
      </c>
      <c r="C35" s="42" t="s">
        <v>280</v>
      </c>
      <c r="D35" s="42" t="s">
        <v>272</v>
      </c>
      <c r="E35" s="42" t="s">
        <v>281</v>
      </c>
      <c r="F35" s="42" t="s">
        <v>282</v>
      </c>
      <c r="G35" s="7"/>
    </row>
    <row r="36" spans="1:9" ht="26" customHeight="1" x14ac:dyDescent="0.35">
      <c r="A36" s="7"/>
      <c r="B36" s="41" t="s">
        <v>84</v>
      </c>
      <c r="C36" s="42" t="s">
        <v>283</v>
      </c>
      <c r="D36" s="42" t="s">
        <v>272</v>
      </c>
      <c r="E36" s="42" t="s">
        <v>284</v>
      </c>
      <c r="F36" s="42" t="s">
        <v>285</v>
      </c>
      <c r="G36" s="7"/>
    </row>
    <row r="37" spans="1:9" ht="26" customHeight="1" x14ac:dyDescent="0.35">
      <c r="A37" s="7"/>
      <c r="B37" s="41" t="s">
        <v>286</v>
      </c>
      <c r="C37" s="42" t="s">
        <v>287</v>
      </c>
      <c r="D37" s="42" t="s">
        <v>272</v>
      </c>
      <c r="E37" s="42" t="s">
        <v>288</v>
      </c>
      <c r="F37" s="42" t="s">
        <v>289</v>
      </c>
      <c r="G37" s="7"/>
    </row>
    <row r="38" spans="1:9" ht="26" customHeight="1" x14ac:dyDescent="0.35">
      <c r="A38" s="7"/>
      <c r="B38" s="41" t="s">
        <v>290</v>
      </c>
      <c r="C38" s="42" t="s">
        <v>291</v>
      </c>
      <c r="D38" s="42" t="s">
        <v>292</v>
      </c>
      <c r="E38" s="42" t="s">
        <v>293</v>
      </c>
      <c r="F38" s="42" t="s">
        <v>282</v>
      </c>
      <c r="G38" s="7"/>
    </row>
    <row r="39" spans="1:9" ht="52" customHeight="1" x14ac:dyDescent="0.35">
      <c r="A39" s="7"/>
      <c r="B39" s="41" t="s">
        <v>294</v>
      </c>
      <c r="C39" s="42" t="s">
        <v>295</v>
      </c>
      <c r="D39" s="42" t="s">
        <v>292</v>
      </c>
      <c r="E39" s="42" t="s">
        <v>296</v>
      </c>
      <c r="F39" s="42" t="s">
        <v>297</v>
      </c>
      <c r="G39" s="7"/>
    </row>
    <row r="40" spans="1:9" ht="26" customHeight="1" x14ac:dyDescent="0.35">
      <c r="A40" s="7"/>
      <c r="B40" s="41" t="s">
        <v>298</v>
      </c>
      <c r="C40" s="42" t="s">
        <v>299</v>
      </c>
      <c r="D40" s="42" t="s">
        <v>292</v>
      </c>
      <c r="E40" s="42" t="s">
        <v>300</v>
      </c>
      <c r="F40" s="42" t="s">
        <v>301</v>
      </c>
      <c r="G40" s="7"/>
    </row>
    <row r="41" spans="1:9" ht="26" customHeight="1" x14ac:dyDescent="0.35">
      <c r="A41" s="7"/>
      <c r="B41" s="41" t="s">
        <v>302</v>
      </c>
      <c r="C41" s="42" t="s">
        <v>303</v>
      </c>
      <c r="D41" s="42" t="s">
        <v>292</v>
      </c>
      <c r="E41" s="42" t="s">
        <v>304</v>
      </c>
      <c r="F41" s="42" t="s">
        <v>305</v>
      </c>
      <c r="G41" s="7"/>
    </row>
    <row r="42" spans="1:9" ht="26" customHeight="1" x14ac:dyDescent="0.35">
      <c r="A42" s="7"/>
      <c r="B42" s="41" t="s">
        <v>306</v>
      </c>
      <c r="C42" s="42" t="s">
        <v>307</v>
      </c>
      <c r="D42" s="42" t="s">
        <v>292</v>
      </c>
      <c r="E42" s="42" t="s">
        <v>308</v>
      </c>
      <c r="F42" s="42" t="s">
        <v>309</v>
      </c>
      <c r="G42" s="7"/>
    </row>
    <row r="43" spans="1:9" ht="26" customHeight="1" x14ac:dyDescent="0.35">
      <c r="A43" s="7"/>
      <c r="B43" s="41" t="s">
        <v>106</v>
      </c>
      <c r="C43" s="42" t="s">
        <v>310</v>
      </c>
      <c r="D43" s="42" t="s">
        <v>311</v>
      </c>
      <c r="E43" s="42" t="s">
        <v>312</v>
      </c>
      <c r="F43" s="42" t="s">
        <v>313</v>
      </c>
      <c r="G43" s="7"/>
    </row>
    <row r="44" spans="1:9" ht="39" customHeight="1" x14ac:dyDescent="0.35">
      <c r="A44" s="7"/>
      <c r="B44" s="41" t="s">
        <v>314</v>
      </c>
      <c r="C44" s="42" t="s">
        <v>315</v>
      </c>
      <c r="D44" s="42" t="s">
        <v>316</v>
      </c>
      <c r="E44" s="42" t="s">
        <v>317</v>
      </c>
      <c r="F44" s="42" t="s">
        <v>318</v>
      </c>
      <c r="G44" s="7"/>
    </row>
    <row r="47" spans="1:9" x14ac:dyDescent="0.35">
      <c r="A47" s="7"/>
      <c r="B47" s="7"/>
      <c r="C47" s="7"/>
    </row>
    <row r="48" spans="1:9" x14ac:dyDescent="0.35">
      <c r="A48" s="15"/>
      <c r="B48" s="7"/>
      <c r="C48" s="7"/>
    </row>
    <row r="49" spans="1:3" x14ac:dyDescent="0.35">
      <c r="A49" s="7"/>
      <c r="B49" s="7"/>
      <c r="C49" s="7"/>
    </row>
    <row r="50" spans="1:3" x14ac:dyDescent="0.35">
      <c r="A50" s="7"/>
      <c r="B50" s="7"/>
      <c r="C50" s="7"/>
    </row>
    <row r="51" spans="1:3" x14ac:dyDescent="0.35">
      <c r="A51" s="7"/>
      <c r="B51" s="7"/>
      <c r="C51" s="7"/>
    </row>
    <row r="52" spans="1:3" x14ac:dyDescent="0.35">
      <c r="A52" s="7"/>
      <c r="B52" s="7"/>
      <c r="C52" s="7"/>
    </row>
    <row r="53" spans="1:3" x14ac:dyDescent="0.35">
      <c r="A53" s="7"/>
      <c r="B53" s="7"/>
      <c r="C53" s="7"/>
    </row>
    <row r="54" spans="1:3" x14ac:dyDescent="0.35">
      <c r="A54" s="7"/>
      <c r="B54" s="7"/>
      <c r="C54" s="7"/>
    </row>
    <row r="55" spans="1:3" x14ac:dyDescent="0.35">
      <c r="A55" s="7"/>
      <c r="B55" s="7"/>
      <c r="C55" s="7"/>
    </row>
    <row r="56" spans="1:3" x14ac:dyDescent="0.35">
      <c r="A56" s="7"/>
      <c r="B56" s="7"/>
      <c r="C56" s="7"/>
    </row>
  </sheetData>
  <hyperlinks>
    <hyperlink ref="D8" r:id="rId1" tooltip="Microsoft Word - FS ACFR FY24 Scottsdale USD" display="https://www.susd.org/fs/resource-manager/view/01a0856f-3a75-4ceb-9e90-02f85099b68d" xr:uid="{00000000-0004-0000-0600-000000000000}"/>
    <hyperlink ref="D9" r:id="rId2" tooltip="sdspending.azauditor.gov" display="https://sdspending.azauditor.gov/" xr:uid="{00000000-0004-0000-0600-000001000000}"/>
    <hyperlink ref="D14" r:id="rId3" tooltip="List Of Groups - Sun Devil Central - Arizona State University" display="https://sundevilcentral.eoss.asu.edu/club_signup?category_tags=6551555&amp;group_type=&amp;view=all&amp;utm_source=chatgpt.com" xr:uid="{00000000-0004-0000-0600-000002000000}"/>
    <hyperlink ref="D16" r:id="rId4" tooltip="School Closings in Chicago" display="https://consortium.uchicago.edu/publications/school-closings-chicago-staff-and-student-experiences-and-academic-outcomes?utm_source=chatgpt.com" xr:uid="{00000000-0004-0000-0600-000003000000}"/>
    <hyperlink ref="D24" r:id="rId5" tooltip="School Finance Data Processing for Kindergarten Students" display="https://ade.az.gov/schoolfinance/STaR/SAISInfoSeries/SIS16.pdf?utm_source=chatgpt.com" xr:uid="{00000000-0004-0000-0600-000004000000}"/>
    <hyperlink ref="D25" r:id="rId6" tooltip="Bill Text: AZ HB2969 | 2025 | Fifty-seventh Legislature 1st ..." display="https://legiscan.com/AZ/text/HB2969/2025?utm_source=chatgpt.com" xr:uid="{00000000-0004-0000-0600-000005000000}"/>
  </hyperlinks>
  <pageMargins left="0.7" right="0.7" top="0.75" bottom="0.75" header="0.3" footer="0.3"/>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topLeftCell="A52" workbookViewId="0">
      <selection activeCell="L13" sqref="L13"/>
    </sheetView>
  </sheetViews>
  <sheetFormatPr defaultRowHeight="14.5"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66"/>
  <sheetViews>
    <sheetView tabSelected="1" zoomScale="60" zoomScaleNormal="60" workbookViewId="0">
      <pane xSplit="2" ySplit="1" topLeftCell="C21" activePane="bottomRight" state="frozen"/>
      <selection activeCell="B2" sqref="B2"/>
      <selection pane="topRight" activeCell="B2" sqref="B2"/>
      <selection pane="bottomLeft" activeCell="B2" sqref="B2"/>
      <selection pane="bottomRight" activeCell="L62" sqref="L62"/>
    </sheetView>
  </sheetViews>
  <sheetFormatPr defaultRowHeight="14.5" x14ac:dyDescent="0.3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x14ac:dyDescent="0.35">
      <c r="A1" t="str">
        <f t="shared" ref="A1:A32" si="0">AG1</f>
        <v>Key</v>
      </c>
      <c r="B1" s="1" t="s">
        <v>58</v>
      </c>
      <c r="C1" s="1" t="s">
        <v>59</v>
      </c>
      <c r="D1" s="1" t="s">
        <v>319</v>
      </c>
      <c r="E1" s="1" t="s">
        <v>320</v>
      </c>
      <c r="F1" s="1" t="s">
        <v>321</v>
      </c>
      <c r="G1" s="1" t="s">
        <v>322</v>
      </c>
      <c r="H1" s="1" t="s">
        <v>323</v>
      </c>
      <c r="I1" s="1" t="s">
        <v>324</v>
      </c>
      <c r="J1" s="1" t="s">
        <v>325</v>
      </c>
      <c r="K1" s="1" t="s">
        <v>326</v>
      </c>
      <c r="L1" s="1" t="s">
        <v>327</v>
      </c>
      <c r="M1" s="1" t="s">
        <v>328</v>
      </c>
      <c r="N1" s="1" t="s">
        <v>329</v>
      </c>
      <c r="O1" s="1" t="s">
        <v>330</v>
      </c>
      <c r="P1" s="1" t="s">
        <v>109</v>
      </c>
      <c r="Q1" s="1" t="s">
        <v>331</v>
      </c>
      <c r="R1" s="1" t="s">
        <v>332</v>
      </c>
      <c r="S1" s="1" t="s">
        <v>333</v>
      </c>
      <c r="T1" s="1" t="s">
        <v>334</v>
      </c>
      <c r="U1" s="1" t="s">
        <v>335</v>
      </c>
      <c r="V1" s="1" t="s">
        <v>336</v>
      </c>
      <c r="W1" s="1" t="s">
        <v>337</v>
      </c>
      <c r="X1" s="1" t="s">
        <v>338</v>
      </c>
      <c r="Y1" t="s">
        <v>339</v>
      </c>
      <c r="Z1" t="s">
        <v>340</v>
      </c>
      <c r="AA1" t="s">
        <v>341</v>
      </c>
      <c r="AB1" t="s">
        <v>342</v>
      </c>
      <c r="AC1" t="s">
        <v>343</v>
      </c>
      <c r="AD1" t="s">
        <v>344</v>
      </c>
      <c r="AE1" t="s">
        <v>345</v>
      </c>
      <c r="AF1" t="s">
        <v>346</v>
      </c>
      <c r="AG1" s="1" t="s">
        <v>347</v>
      </c>
    </row>
    <row r="2" spans="1:33" x14ac:dyDescent="0.35">
      <c r="A2" t="str">
        <f t="shared" si="0"/>
        <v>D_CUSTOM1|FY2026</v>
      </c>
      <c r="B2" t="str">
        <f>Scenarios!A2</f>
        <v>D_CUSTOM1</v>
      </c>
      <c r="C2" t="s">
        <v>66</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BaselineCalc!$B$7 + ROUND(Scenarios!I2*Scenarios!F2,0)</f>
        <v>257</v>
      </c>
      <c r="M2">
        <f>BaselineCalc!$B$8 + Scenarios!I2 - ROUND(Scenarios!I2*Scenarios!F2,0)</f>
        <v>296</v>
      </c>
      <c r="N2" s="11">
        <f t="shared" ref="N2:N33" si="2">(L2-D2) + (M2-E2)</f>
        <v>0</v>
      </c>
      <c r="O2" s="11">
        <f>(Parameters_Public!$C$22*(L2-D2)+Parameters_Public!$C$23*(M2-E2))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f t="shared" ref="AC2:AC33" si="7">IF(LEFT($B2,2)="A_", $O2, IF(LEFT($B2,2)="B_", $M2+$O2, IF(LEFT($B2,2)="C_", $L2+$O2, $F2)))</f>
        <v>553</v>
      </c>
      <c r="AD2" s="2">
        <f>(Y2 + IF(Parameters_Public!$C$20=1, Parameters_Public!$C$19, 0))*AC2</f>
        <v>3188017.35</v>
      </c>
      <c r="AE2" s="2">
        <f>W2 - (1-Other_Parameters!$B$2)*$G2*$AB2*$J2*(1-$K2)</f>
        <v>6522952.3805249985</v>
      </c>
      <c r="AF2" s="2">
        <f t="shared" ref="AF2:AF33" si="8">AD2-AE2</f>
        <v>-3334935.0305249984</v>
      </c>
      <c r="AG2" t="str">
        <f t="shared" ref="AG2:AG33" si="9">B2&amp;"|"&amp;C2</f>
        <v>D_CUSTOM1|FY2026</v>
      </c>
    </row>
    <row r="3" spans="1:33" x14ac:dyDescent="0.35">
      <c r="A3" t="str">
        <f t="shared" si="0"/>
        <v>D_CUSTOM1|FY2027</v>
      </c>
      <c r="B3" t="str">
        <f>Scenarios!A2</f>
        <v>D_CUSTOM1</v>
      </c>
      <c r="C3" t="s">
        <v>67</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BaselineCalc!$B$7 + ROUND(Scenarios!J2*Scenarios!F2,0)</f>
        <v>257</v>
      </c>
      <c r="M3">
        <f>BaselineCalc!$B$8 + Scenarios!J2 - ROUND(Scenarios!J2*Scenarios!F2,0)</f>
        <v>296</v>
      </c>
      <c r="N3" s="11">
        <f t="shared" si="2"/>
        <v>0</v>
      </c>
      <c r="O3" s="11">
        <f>(Parameters_Public!$C$22*(L3-D3)+Parameters_Public!$C$23*(M3-E3))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5113.26</v>
      </c>
      <c r="Z3" s="2">
        <f>W3 - ((Y3 + IF(Parameters_Public!$C$20=1, Parameters_Public!$C$19, 0))*AC3)</f>
        <v>3442565.0600381251</v>
      </c>
      <c r="AA3" s="2">
        <f t="shared" si="6"/>
        <v>6225.2532731250003</v>
      </c>
      <c r="AB3">
        <f>MAX(0, (MAX(0, $D3-BaselineCalc!$B$7) + MAX(0, $E3-BaselineCalc!$B$8)))</f>
        <v>0</v>
      </c>
      <c r="AC3">
        <f t="shared" si="7"/>
        <v>553</v>
      </c>
      <c r="AD3" s="2">
        <f>(Y3 + IF(Parameters_Public!$C$20=1, Parameters_Public!$C$19, 0))*AC3</f>
        <v>3243461.13</v>
      </c>
      <c r="AE3" s="2">
        <f>W3 - (1-Other_Parameters!$B$2)*$G3*$AB3*$J3*(1-$K3)</f>
        <v>6686026.190038125</v>
      </c>
      <c r="AF3" s="2">
        <f t="shared" si="8"/>
        <v>-3442565.0600381251</v>
      </c>
      <c r="AG3" t="str">
        <f t="shared" si="9"/>
        <v>D_CUSTOM1|FY2027</v>
      </c>
    </row>
    <row r="4" spans="1:33" x14ac:dyDescent="0.35">
      <c r="A4" t="str">
        <f t="shared" si="0"/>
        <v>D_CUSTOM1|FY2028</v>
      </c>
      <c r="B4" t="str">
        <f>Scenarios!A2</f>
        <v>D_CUSTOM1</v>
      </c>
      <c r="C4" t="s">
        <v>68</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BaselineCalc!$B$7 + ROUND(Scenarios!K2*Scenarios!F2,0)</f>
        <v>257</v>
      </c>
      <c r="M4">
        <f>BaselineCalc!$B$8 + Scenarios!K2 - ROUND(Scenarios!K2*Scenarios!F2,0)</f>
        <v>296</v>
      </c>
      <c r="N4" s="11">
        <f t="shared" si="2"/>
        <v>0</v>
      </c>
      <c r="O4" s="11">
        <f>(Parameters_Public!$C$22*(L4-D4)+Parameters_Public!$C$23*(M4-E4))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5215.5252</v>
      </c>
      <c r="Z4" s="2">
        <f>W4 - ((Y4 + IF(Parameters_Public!$C$20=1, Parameters_Public!$C$19, 0))*AC4)</f>
        <v>3553163.0591890775</v>
      </c>
      <c r="AA4" s="2">
        <f t="shared" si="6"/>
        <v>6425.2496549531243</v>
      </c>
      <c r="AB4">
        <f>MAX(0, (MAX(0, $D4-BaselineCalc!$B$7) + MAX(0, $E4-BaselineCalc!$B$8)))</f>
        <v>0</v>
      </c>
      <c r="AC4">
        <f t="shared" si="7"/>
        <v>553</v>
      </c>
      <c r="AD4" s="2">
        <f>(Y4 + IF(Parameters_Public!$C$20=1, Parameters_Public!$C$19, 0))*AC4</f>
        <v>3300013.7856000001</v>
      </c>
      <c r="AE4" s="2">
        <f>W4 - (1-Other_Parameters!$B$2)*$G4*$AB4*$J4*(1-$K4)</f>
        <v>6853176.8447890775</v>
      </c>
      <c r="AF4" s="2">
        <f t="shared" si="8"/>
        <v>-3553163.0591890775</v>
      </c>
      <c r="AG4" t="str">
        <f t="shared" si="9"/>
        <v>D_CUSTOM1|FY2028</v>
      </c>
    </row>
    <row r="5" spans="1:33" x14ac:dyDescent="0.35">
      <c r="A5" t="str">
        <f t="shared" si="0"/>
        <v>D_CUSTOM1|FY2029</v>
      </c>
      <c r="B5" t="str">
        <f>Scenarios!A2</f>
        <v>D_CUSTOM1</v>
      </c>
      <c r="C5" t="s">
        <v>69</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BaselineCalc!$B$7 + ROUND(Scenarios!L2*Scenarios!F2,0)</f>
        <v>257</v>
      </c>
      <c r="M5">
        <f>BaselineCalc!$B$8 + Scenarios!L2 - ROUND(Scenarios!L2*Scenarios!F2,0)</f>
        <v>296</v>
      </c>
      <c r="N5" s="11">
        <f t="shared" si="2"/>
        <v>0</v>
      </c>
      <c r="O5" s="11">
        <f>(Parameters_Public!$C$22*(L5-D5)+Parameters_Public!$C$23*(M5-E5))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5319.8357040000001</v>
      </c>
      <c r="Z5" s="2">
        <f>W5 - ((Y5 + IF(Parameters_Public!$C$20=1, Parameters_Public!$C$19, 0))*AC5)</f>
        <v>3666808.7715968029</v>
      </c>
      <c r="AA5" s="2">
        <f t="shared" si="6"/>
        <v>6630.7572723269495</v>
      </c>
      <c r="AB5">
        <f>MAX(0, (MAX(0, $D5-BaselineCalc!$B$7) + MAX(0, $E5-BaselineCalc!$B$8)))</f>
        <v>0</v>
      </c>
      <c r="AC5">
        <f t="shared" si="7"/>
        <v>553</v>
      </c>
      <c r="AD5" s="2">
        <f>(Y5 + IF(Parameters_Public!$C$20=1, Parameters_Public!$C$19, 0))*AC5</f>
        <v>3357697.494312</v>
      </c>
      <c r="AE5" s="2">
        <f>W5 - (1-Other_Parameters!$B$2)*$G5*$AB5*$J5*(1-$K5)</f>
        <v>7024506.2659088029</v>
      </c>
      <c r="AF5" s="2">
        <f t="shared" si="8"/>
        <v>-3666808.7715968029</v>
      </c>
      <c r="AG5" t="str">
        <f t="shared" si="9"/>
        <v>D_CUSTOM1|FY2029</v>
      </c>
    </row>
    <row r="6" spans="1:33" x14ac:dyDescent="0.35">
      <c r="A6" t="str">
        <f t="shared" si="0"/>
        <v>D_CUSTOM1|FY2030</v>
      </c>
      <c r="B6" t="str">
        <f>Scenarios!A2</f>
        <v>D_CUSTOM1</v>
      </c>
      <c r="C6" t="s">
        <v>70</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BaselineCalc!$B$7 + ROUND(Scenarios!M2*Scenarios!F2,0)</f>
        <v>257</v>
      </c>
      <c r="M6">
        <f>BaselineCalc!$B$8 + Scenarios!M2 - ROUND(Scenarios!M2*Scenarios!F2,0)</f>
        <v>296</v>
      </c>
      <c r="N6" s="11">
        <f t="shared" si="2"/>
        <v>0</v>
      </c>
      <c r="O6" s="11">
        <f>(Parameters_Public!$C$22*(L6-D6)+Parameters_Public!$C$23*(M6-E6))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5426.2324180799997</v>
      </c>
      <c r="Z6" s="2">
        <f>W6 - ((Y6 + IF(Parameters_Public!$C$20=1, Parameters_Public!$C$19, 0))*AC6)</f>
        <v>3783584.0453582834</v>
      </c>
      <c r="AA6" s="2">
        <f t="shared" si="6"/>
        <v>6841.9241326551237</v>
      </c>
      <c r="AB6">
        <f>MAX(0, (MAX(0, $D6-BaselineCalc!$B$7) + MAX(0, $E6-BaselineCalc!$B$8)))</f>
        <v>0</v>
      </c>
      <c r="AC6">
        <f t="shared" si="7"/>
        <v>553</v>
      </c>
      <c r="AD6" s="2">
        <f>(Y6 + IF(Parameters_Public!$C$20=1, Parameters_Public!$C$19, 0))*AC6</f>
        <v>3416534.8771982398</v>
      </c>
      <c r="AE6" s="2">
        <f>W6 - (1-Other_Parameters!$B$2)*$G6*$AB6*$J6*(1-$K6)</f>
        <v>7200118.9225565232</v>
      </c>
      <c r="AF6" s="2">
        <f t="shared" si="8"/>
        <v>-3783584.0453582834</v>
      </c>
      <c r="AG6" t="str">
        <f t="shared" si="9"/>
        <v>D_CUSTOM1|FY2030</v>
      </c>
    </row>
    <row r="7" spans="1:33" x14ac:dyDescent="0.35">
      <c r="A7" t="str">
        <f t="shared" si="0"/>
        <v>E_StatusQuo_Targets|FY2026</v>
      </c>
      <c r="B7" t="str">
        <f>Scenarios!A3</f>
        <v>E_StatusQuo_Targets</v>
      </c>
      <c r="C7" t="s">
        <v>66</v>
      </c>
      <c r="D7">
        <f>IF(Scenarios!D3=1,0, L7)</f>
        <v>332</v>
      </c>
      <c r="E7">
        <f>IF(Scenarios!E3=1,0, M7)</f>
        <v>371</v>
      </c>
      <c r="F7">
        <f t="shared" si="1"/>
        <v>703</v>
      </c>
      <c r="G7" s="2">
        <f>YearMap!B2</f>
        <v>6414.5114999999987</v>
      </c>
      <c r="H7" s="2">
        <f>YearMap!C2</f>
        <v>1404302.8695</v>
      </c>
      <c r="I7" s="2">
        <f>YearMap!D2</f>
        <v>1617407.196</v>
      </c>
      <c r="J7">
        <f>1-BaselineCalc!$B$5</f>
        <v>0.99299999999999999</v>
      </c>
      <c r="K7">
        <f>Scenarios!G3</f>
        <v>0</v>
      </c>
      <c r="L7">
        <f>BaselineCalc!$B$7 + ROUND(Scenarios!I3*Scenarios!F3,0)</f>
        <v>332</v>
      </c>
      <c r="M7">
        <f>BaselineCalc!$B$8 + Scenarios!I3 - ROUND(Scenarios!J3*Scenarios!F3,0)</f>
        <v>371</v>
      </c>
      <c r="N7" s="11">
        <f t="shared" si="2"/>
        <v>0</v>
      </c>
      <c r="O7" s="11">
        <f>(Parameters_Public!$C$22*(L7-D7)+Parameters_Public!$C$23*(M7-E7))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7478393.8684499981</v>
      </c>
      <c r="V7" s="2">
        <f t="shared" si="4"/>
        <v>0</v>
      </c>
      <c r="W7" s="2">
        <f>U7+V7+IF(Parameters_Public!$C$26=1, T7, 0)</f>
        <v>7478393.8684499981</v>
      </c>
      <c r="X7" s="2">
        <f t="shared" si="5"/>
        <v>10637.829115860595</v>
      </c>
      <c r="Y7" s="2">
        <f>INDEX(YearMap!$I$2:$I$6, MATCH(C7, YearMap!$A$2:$A$6, 0))</f>
        <v>5013</v>
      </c>
      <c r="Z7" s="2">
        <f>W7 - ((Y7 + IF(Parameters_Public!$C$20=1, Parameters_Public!$C$19, 0))*AC7)</f>
        <v>3425634.018449998</v>
      </c>
      <c r="AA7" s="2">
        <f t="shared" si="6"/>
        <v>4872.8791158605945</v>
      </c>
      <c r="AB7">
        <f>MAX(0, (MAX(0, $D7-BaselineCalc!$B$7) + MAX(0, $E7-BaselineCalc!$B$8)))</f>
        <v>150</v>
      </c>
      <c r="AC7">
        <f t="shared" si="7"/>
        <v>703</v>
      </c>
      <c r="AD7" s="2">
        <f>(Y7 + IF(Parameters_Public!$C$20=1, Parameters_Public!$C$19, 0))*AC7</f>
        <v>4052759.85</v>
      </c>
      <c r="AE7" s="2">
        <f>W7 - (1-Other_Parameters!$B$2)*$G7*$AB7*$J7*(1-$K7)</f>
        <v>6905128.9756949982</v>
      </c>
      <c r="AF7" s="2">
        <f t="shared" si="8"/>
        <v>-2852369.1256949981</v>
      </c>
      <c r="AG7" t="str">
        <f t="shared" si="9"/>
        <v>E_StatusQuo_Targets|FY2026</v>
      </c>
    </row>
    <row r="8" spans="1:33" x14ac:dyDescent="0.35">
      <c r="A8" t="str">
        <f t="shared" si="0"/>
        <v>E_StatusQuo_Targets|FY2027</v>
      </c>
      <c r="B8" t="str">
        <f>Scenarios!A3</f>
        <v>E_StatusQuo_Targets</v>
      </c>
      <c r="C8" t="s">
        <v>67</v>
      </c>
      <c r="D8">
        <f>IF(Scenarios!D3=1,0, L8)</f>
        <v>332</v>
      </c>
      <c r="E8">
        <f>IF(Scenarios!E3=1,0, M8)</f>
        <v>371</v>
      </c>
      <c r="F8">
        <f t="shared" si="1"/>
        <v>703</v>
      </c>
      <c r="G8" s="2">
        <f>YearMap!B3</f>
        <v>6574.8742874999989</v>
      </c>
      <c r="H8" s="2">
        <f>YearMap!C3</f>
        <v>1439410.4412375002</v>
      </c>
      <c r="I8" s="2">
        <f>YearMap!D3</f>
        <v>1657842.3759000003</v>
      </c>
      <c r="J8">
        <f>1-BaselineCalc!$B$5</f>
        <v>0.99299999999999999</v>
      </c>
      <c r="K8">
        <f>Scenarios!G3</f>
        <v>0</v>
      </c>
      <c r="L8">
        <f>BaselineCalc!$B$7 + ROUND(Scenarios!J3*Scenarios!F3,0)</f>
        <v>332</v>
      </c>
      <c r="M8">
        <f>BaselineCalc!$B$8 + Scenarios!J3 - ROUND(Scenarios!J3*Scenarios!F3,0)</f>
        <v>371</v>
      </c>
      <c r="N8" s="11">
        <f t="shared" si="2"/>
        <v>0</v>
      </c>
      <c r="O8" s="11">
        <f>(Parameters_Public!$C$22*(L8-D8)+Parameters_Public!$C$23*(M8-E8))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7665353.715161249</v>
      </c>
      <c r="V8" s="2">
        <f t="shared" si="4"/>
        <v>0</v>
      </c>
      <c r="W8" s="2">
        <f>U8+V8+IF(Parameters_Public!$C$26=1, T8, 0)</f>
        <v>7665353.715161249</v>
      </c>
      <c r="X8" s="2">
        <f t="shared" si="5"/>
        <v>10903.774843757112</v>
      </c>
      <c r="Y8" s="2">
        <f>INDEX(YearMap!$I$2:$I$6, MATCH(C8, YearMap!$A$2:$A$6, 0))</f>
        <v>5113.26</v>
      </c>
      <c r="Z8" s="2">
        <f>W8 - ((Y8 + IF(Parameters_Public!$C$20=1, Parameters_Public!$C$19, 0))*AC8)</f>
        <v>3542111.0851612492</v>
      </c>
      <c r="AA8" s="2">
        <f t="shared" si="6"/>
        <v>5038.5648437571108</v>
      </c>
      <c r="AB8">
        <f>MAX(0, (MAX(0, $D8-BaselineCalc!$B$7) + MAX(0, $E8-BaselineCalc!$B$8)))</f>
        <v>150</v>
      </c>
      <c r="AC8">
        <f t="shared" si="7"/>
        <v>703</v>
      </c>
      <c r="AD8" s="2">
        <f>(Y8 + IF(Parameters_Public!$C$20=1, Parameters_Public!$C$19, 0))*AC8</f>
        <v>4123242.63</v>
      </c>
      <c r="AE8" s="2">
        <f>W8 - (1-Other_Parameters!$B$2)*$G8*$AB8*$J8*(1-$K8)</f>
        <v>7077757.2000873741</v>
      </c>
      <c r="AF8" s="2">
        <f t="shared" si="8"/>
        <v>-2954514.5700873742</v>
      </c>
      <c r="AG8" t="str">
        <f t="shared" si="9"/>
        <v>E_StatusQuo_Targets|FY2027</v>
      </c>
    </row>
    <row r="9" spans="1:33" x14ac:dyDescent="0.35">
      <c r="A9" t="str">
        <f t="shared" si="0"/>
        <v>E_StatusQuo_Targets|FY2028</v>
      </c>
      <c r="B9" t="str">
        <f>Scenarios!A3</f>
        <v>E_StatusQuo_Targets</v>
      </c>
      <c r="C9" t="s">
        <v>68</v>
      </c>
      <c r="D9">
        <f>IF(Scenarios!D3=1,0, L9)</f>
        <v>332</v>
      </c>
      <c r="E9">
        <f>IF(Scenarios!E3=1,0, M9)</f>
        <v>371</v>
      </c>
      <c r="F9">
        <f t="shared" si="1"/>
        <v>703</v>
      </c>
      <c r="G9" s="2">
        <f>YearMap!B4</f>
        <v>6739.2461446874986</v>
      </c>
      <c r="H9" s="2">
        <f>YearMap!C4</f>
        <v>1475395.7022684375</v>
      </c>
      <c r="I9" s="2">
        <f>YearMap!D4</f>
        <v>1699288.4352975001</v>
      </c>
      <c r="J9">
        <f>1-BaselineCalc!$B$5</f>
        <v>0.99299999999999999</v>
      </c>
      <c r="K9">
        <f>Scenarios!G3</f>
        <v>0</v>
      </c>
      <c r="L9">
        <f>BaselineCalc!$B$7 + ROUND(Scenarios!K3*Scenarios!F3,0)</f>
        <v>332</v>
      </c>
      <c r="M9">
        <f>BaselineCalc!$B$8 + Scenarios!K3 - ROUND(Scenarios!K3*Scenarios!F3,0)</f>
        <v>371</v>
      </c>
      <c r="N9" s="11">
        <f t="shared" si="2"/>
        <v>0</v>
      </c>
      <c r="O9" s="11">
        <f>(Parameters_Public!$C$22*(L9-D9)+Parameters_Public!$C$23*(M9-E9))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7856987.5580402808</v>
      </c>
      <c r="V9" s="2">
        <f t="shared" si="4"/>
        <v>0</v>
      </c>
      <c r="W9" s="2">
        <f>U9+V9+IF(Parameters_Public!$C$26=1, T9, 0)</f>
        <v>7856987.5580402808</v>
      </c>
      <c r="X9" s="2">
        <f t="shared" si="5"/>
        <v>11176.36921485104</v>
      </c>
      <c r="Y9" s="2">
        <f>INDEX(YearMap!$I$2:$I$6, MATCH(C9, YearMap!$A$2:$A$6, 0))</f>
        <v>5215.5252</v>
      </c>
      <c r="Z9" s="2">
        <f>W9 - ((Y9 + IF(Parameters_Public!$C$20=1, Parameters_Public!$C$19, 0))*AC9)</f>
        <v>3661852.4924402805</v>
      </c>
      <c r="AA9" s="2">
        <f t="shared" si="6"/>
        <v>5208.8940148510392</v>
      </c>
      <c r="AB9">
        <f>MAX(0, (MAX(0, $D9-BaselineCalc!$B$7) + MAX(0, $E9-BaselineCalc!$B$8)))</f>
        <v>150</v>
      </c>
      <c r="AC9">
        <f t="shared" si="7"/>
        <v>703</v>
      </c>
      <c r="AD9" s="2">
        <f>(Y9 + IF(Parameters_Public!$C$20=1, Parameters_Public!$C$19, 0))*AC9</f>
        <v>4195135.0656000003</v>
      </c>
      <c r="AE9" s="2">
        <f>W9 - (1-Other_Parameters!$B$2)*$G9*$AB9*$J9*(1-$K9)</f>
        <v>7254701.1300895587</v>
      </c>
      <c r="AF9" s="2">
        <f t="shared" si="8"/>
        <v>-3059566.0644895583</v>
      </c>
      <c r="AG9" t="str">
        <f t="shared" si="9"/>
        <v>E_StatusQuo_Targets|FY2028</v>
      </c>
    </row>
    <row r="10" spans="1:33" x14ac:dyDescent="0.35">
      <c r="A10" t="str">
        <f t="shared" si="0"/>
        <v>E_StatusQuo_Targets|FY2029</v>
      </c>
      <c r="B10" t="str">
        <f>Scenarios!A3</f>
        <v>E_StatusQuo_Targets</v>
      </c>
      <c r="C10" t="s">
        <v>69</v>
      </c>
      <c r="D10">
        <f>IF(Scenarios!D3=1,0, L10)</f>
        <v>332</v>
      </c>
      <c r="E10">
        <f>IF(Scenarios!E3=1,0, M10)</f>
        <v>371</v>
      </c>
      <c r="F10">
        <f t="shared" si="1"/>
        <v>703</v>
      </c>
      <c r="G10" s="2">
        <f>YearMap!B5</f>
        <v>6907.7272983046851</v>
      </c>
      <c r="H10" s="2">
        <f>YearMap!C5</f>
        <v>1512280.5948251483</v>
      </c>
      <c r="I10" s="2">
        <f>YearMap!D5</f>
        <v>1741770.6461799373</v>
      </c>
      <c r="J10">
        <f>1-BaselineCalc!$B$5</f>
        <v>0.99299999999999999</v>
      </c>
      <c r="K10">
        <f>Scenarios!G3</f>
        <v>0</v>
      </c>
      <c r="L10">
        <f>BaselineCalc!$B$7 + ROUND(Scenarios!L3*Scenarios!F3,0)</f>
        <v>332</v>
      </c>
      <c r="M10">
        <f>BaselineCalc!$B$8 + Scenarios!L3 - ROUND(Scenarios!L3*Scenarios!F3,0)</f>
        <v>371</v>
      </c>
      <c r="N10" s="11">
        <f t="shared" si="2"/>
        <v>0</v>
      </c>
      <c r="O10" s="11">
        <f>(Parameters_Public!$C$22*(L10-D10)+Parameters_Public!$C$23*(M10-E10))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8053412.2469912861</v>
      </c>
      <c r="V10" s="2">
        <f t="shared" si="4"/>
        <v>0</v>
      </c>
      <c r="W10" s="2">
        <f>U10+V10+IF(Parameters_Public!$C$26=1, T10, 0)</f>
        <v>8053412.2469912861</v>
      </c>
      <c r="X10" s="2">
        <f t="shared" si="5"/>
        <v>11455.778445222313</v>
      </c>
      <c r="Y10" s="2">
        <f>INDEX(YearMap!$I$2:$I$6, MATCH(C10, YearMap!$A$2:$A$6, 0))</f>
        <v>5319.8357040000001</v>
      </c>
      <c r="Z10" s="2">
        <f>W10 - ((Y10 + IF(Parameters_Public!$C$20=1, Parameters_Public!$C$19, 0))*AC10)</f>
        <v>3784946.8970792862</v>
      </c>
      <c r="AA10" s="2">
        <f t="shared" si="6"/>
        <v>5383.9927412223133</v>
      </c>
      <c r="AB10">
        <f>MAX(0, (MAX(0, $D10-BaselineCalc!$B$7) + MAX(0, $E10-BaselineCalc!$B$8)))</f>
        <v>150</v>
      </c>
      <c r="AC10">
        <f t="shared" si="7"/>
        <v>703</v>
      </c>
      <c r="AD10" s="2">
        <f>(Y10 + IF(Parameters_Public!$C$20=1, Parameters_Public!$C$19, 0))*AC10</f>
        <v>4268465.3499119999</v>
      </c>
      <c r="AE10" s="2">
        <f>W10 - (1-Other_Parameters!$B$2)*$G10*$AB10*$J10*(1-$K10)</f>
        <v>7436068.6583417961</v>
      </c>
      <c r="AF10" s="2">
        <f t="shared" si="8"/>
        <v>-3167603.3084297962</v>
      </c>
      <c r="AG10" t="str">
        <f t="shared" si="9"/>
        <v>E_StatusQuo_Targets|FY2029</v>
      </c>
    </row>
    <row r="11" spans="1:33" x14ac:dyDescent="0.35">
      <c r="A11" t="str">
        <f t="shared" si="0"/>
        <v>E_StatusQuo_Targets|FY2030</v>
      </c>
      <c r="B11" t="str">
        <f>Scenarios!A3</f>
        <v>E_StatusQuo_Targets</v>
      </c>
      <c r="C11" t="s">
        <v>70</v>
      </c>
      <c r="D11">
        <f>IF(Scenarios!D3=1,0, L11)</f>
        <v>332</v>
      </c>
      <c r="E11">
        <f>IF(Scenarios!E3=1,0, M11)</f>
        <v>371</v>
      </c>
      <c r="F11">
        <f t="shared" si="1"/>
        <v>703</v>
      </c>
      <c r="G11" s="2">
        <f>YearMap!B6</f>
        <v>7080.4204807623018</v>
      </c>
      <c r="H11" s="2">
        <f>YearMap!C6</f>
        <v>1550087.6096957768</v>
      </c>
      <c r="I11" s="2">
        <f>YearMap!D6</f>
        <v>1785314.9123344356</v>
      </c>
      <c r="J11">
        <f>1-BaselineCalc!$B$5</f>
        <v>0.99299999999999999</v>
      </c>
      <c r="K11">
        <f>Scenarios!G3</f>
        <v>0</v>
      </c>
      <c r="L11">
        <f>BaselineCalc!$B$7 + ROUND(Scenarios!M3*Scenarios!F3,0)</f>
        <v>332</v>
      </c>
      <c r="M11">
        <f>BaselineCalc!$B$8 + Scenarios!M3 - ROUND(Scenarios!M3*Scenarios!F3,0)</f>
        <v>371</v>
      </c>
      <c r="N11" s="11">
        <f t="shared" si="2"/>
        <v>0</v>
      </c>
      <c r="O11" s="11">
        <f>(Parameters_Public!$C$22*(L11-D11)+Parameters_Public!$C$23*(M11-E11))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8254747.5531660682</v>
      </c>
      <c r="V11" s="2">
        <f t="shared" si="4"/>
        <v>0</v>
      </c>
      <c r="W11" s="2">
        <f>U11+V11+IF(Parameters_Public!$C$26=1, T11, 0)</f>
        <v>8254747.5531660682</v>
      </c>
      <c r="X11" s="2">
        <f t="shared" si="5"/>
        <v>11742.172906352871</v>
      </c>
      <c r="Y11" s="2">
        <f>INDEX(YearMap!$I$2:$I$6, MATCH(C11, YearMap!$A$2:$A$6, 0))</f>
        <v>5426.2324180799997</v>
      </c>
      <c r="Z11" s="2">
        <f>W11 - ((Y11 + IF(Parameters_Public!$C$20=1, Parameters_Public!$C$19, 0))*AC11)</f>
        <v>3911485.3132558288</v>
      </c>
      <c r="AA11" s="2">
        <f t="shared" si="6"/>
        <v>5563.9904882728715</v>
      </c>
      <c r="AB11">
        <f>MAX(0, (MAX(0, $D11-BaselineCalc!$B$7) + MAX(0, $E11-BaselineCalc!$B$8)))</f>
        <v>150</v>
      </c>
      <c r="AC11">
        <f t="shared" si="7"/>
        <v>703</v>
      </c>
      <c r="AD11" s="2">
        <f>(Y11 + IF(Parameters_Public!$C$20=1, Parameters_Public!$C$19, 0))*AC11</f>
        <v>4343262.2399102394</v>
      </c>
      <c r="AE11" s="2">
        <f>W11 - (1-Other_Parameters!$B$2)*$G11*$AB11*$J11*(1-$K11)</f>
        <v>7621970.3748003412</v>
      </c>
      <c r="AF11" s="2">
        <f t="shared" si="8"/>
        <v>-3278708.1348901019</v>
      </c>
      <c r="AG11" t="str">
        <f t="shared" si="9"/>
        <v>E_StatusQuo_Targets|FY2030</v>
      </c>
    </row>
    <row r="12" spans="1:33" x14ac:dyDescent="0.35">
      <c r="A12" t="str">
        <f t="shared" si="0"/>
        <v>F_CoLocation_Echo_Targets|FY2026</v>
      </c>
      <c r="B12" t="str">
        <f>Scenarios!A4</f>
        <v>F_CoLocation_Echo_Targets</v>
      </c>
      <c r="C12" t="s">
        <v>66</v>
      </c>
      <c r="D12">
        <f>IF(Scenarios!D4=1,0, L12)</f>
        <v>332</v>
      </c>
      <c r="E12">
        <f>IF(Scenarios!E4=1,0, M12)</f>
        <v>371</v>
      </c>
      <c r="F12">
        <f t="shared" si="1"/>
        <v>703</v>
      </c>
      <c r="G12" s="2">
        <f>YearMap!B2</f>
        <v>6414.5114999999987</v>
      </c>
      <c r="H12" s="2">
        <f>YearMap!C2</f>
        <v>1404302.8695</v>
      </c>
      <c r="I12" s="2">
        <f>YearMap!D2</f>
        <v>1617407.196</v>
      </c>
      <c r="J12">
        <f>1-BaselineCalc!$B$5</f>
        <v>0.99299999999999999</v>
      </c>
      <c r="K12">
        <f>Scenarios!G4</f>
        <v>0.05</v>
      </c>
      <c r="L12">
        <f>BaselineCalc!$B$7 + ROUND(Scenarios!I4*Scenarios!F4,0)</f>
        <v>332</v>
      </c>
      <c r="M12">
        <f>BaselineCalc!$B$8 + Scenarios!I4 - ROUND(Scenarios!I4*Scenarios!F4,0)</f>
        <v>371</v>
      </c>
      <c r="N12" s="11">
        <f t="shared" si="2"/>
        <v>0</v>
      </c>
      <c r="O12" s="11">
        <f>(Parameters_Public!$C$22*(L12-D12)+Parameters_Public!$C$23*(M12-E12))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7104474.175027498</v>
      </c>
      <c r="V12" s="2">
        <f t="shared" si="4"/>
        <v>0</v>
      </c>
      <c r="W12" s="2">
        <f>U12+V12+IF(Parameters_Public!$C$26=1, T12, 0)</f>
        <v>7104474.175027498</v>
      </c>
      <c r="X12" s="2">
        <f t="shared" si="5"/>
        <v>10105.937660067564</v>
      </c>
      <c r="Y12" s="2">
        <f>INDEX(YearMap!$I$2:$I$6, MATCH(C12, YearMap!$A$2:$A$6, 0))</f>
        <v>5013</v>
      </c>
      <c r="Z12" s="2">
        <f>W12 - ((Y12 + IF(Parameters_Public!$C$20=1, Parameters_Public!$C$19, 0))*AC12)</f>
        <v>3051714.325027498</v>
      </c>
      <c r="AA12" s="2">
        <f t="shared" si="6"/>
        <v>4340.9876600675643</v>
      </c>
      <c r="AB12">
        <f>MAX(0, (MAX(0, $D12-BaselineCalc!$B$7) + MAX(0, $E12-BaselineCalc!$B$8)))</f>
        <v>150</v>
      </c>
      <c r="AC12">
        <f t="shared" si="7"/>
        <v>703</v>
      </c>
      <c r="AD12" s="2">
        <f>(Y12 + IF(Parameters_Public!$C$20=1, Parameters_Public!$C$19, 0))*AC12</f>
        <v>4052759.85</v>
      </c>
      <c r="AE12" s="2">
        <f>W12 - (1-Other_Parameters!$B$2)*$G12*$AB12*$J12*(1-$K12)</f>
        <v>6559872.5269102482</v>
      </c>
      <c r="AF12" s="2">
        <f t="shared" si="8"/>
        <v>-2507112.6769102481</v>
      </c>
      <c r="AG12" t="str">
        <f t="shared" si="9"/>
        <v>F_CoLocation_Echo_Targets|FY2026</v>
      </c>
    </row>
    <row r="13" spans="1:33" x14ac:dyDescent="0.35">
      <c r="A13" t="str">
        <f t="shared" si="0"/>
        <v>F_CoLocation_Echo_Targets|FY2027</v>
      </c>
      <c r="B13" t="str">
        <f>Scenarios!A4</f>
        <v>F_CoLocation_Echo_Targets</v>
      </c>
      <c r="C13" t="s">
        <v>67</v>
      </c>
      <c r="D13">
        <f>IF(Scenarios!D4=1,0, L13)</f>
        <v>332</v>
      </c>
      <c r="E13">
        <f>IF(Scenarios!E4=1,0, M13)</f>
        <v>371</v>
      </c>
      <c r="F13">
        <f t="shared" si="1"/>
        <v>703</v>
      </c>
      <c r="G13" s="2">
        <f>YearMap!B3</f>
        <v>6574.8742874999989</v>
      </c>
      <c r="H13" s="2">
        <f>YearMap!C3</f>
        <v>1439410.4412375002</v>
      </c>
      <c r="I13" s="2">
        <f>YearMap!D3</f>
        <v>1657842.3759000003</v>
      </c>
      <c r="J13">
        <f>1-BaselineCalc!$B$5</f>
        <v>0.99299999999999999</v>
      </c>
      <c r="K13">
        <f>Scenarios!G4</f>
        <v>0.05</v>
      </c>
      <c r="L13">
        <f>BaselineCalc!$B$7 + ROUND(Scenarios!J4*Scenarios!F4,0)</f>
        <v>332</v>
      </c>
      <c r="M13">
        <f>BaselineCalc!$B$8 + Scenarios!J4 - ROUND(Scenarios!J4*Scenarios!F4,0)</f>
        <v>371</v>
      </c>
      <c r="N13" s="11">
        <f t="shared" si="2"/>
        <v>0</v>
      </c>
      <c r="O13" s="11">
        <f>(Parameters_Public!$C$22*(L13-D13)+Parameters_Public!$C$23*(M13-E13))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7282086.0294031864</v>
      </c>
      <c r="V13" s="2">
        <f t="shared" si="4"/>
        <v>0</v>
      </c>
      <c r="W13" s="2">
        <f>U13+V13+IF(Parameters_Public!$C$26=1, T13, 0)</f>
        <v>7282086.0294031864</v>
      </c>
      <c r="X13" s="2">
        <f t="shared" si="5"/>
        <v>10358.586101569255</v>
      </c>
      <c r="Y13" s="2">
        <f>INDEX(YearMap!$I$2:$I$6, MATCH(C13, YearMap!$A$2:$A$6, 0))</f>
        <v>5113.26</v>
      </c>
      <c r="Z13" s="2">
        <f>W13 - ((Y13 + IF(Parameters_Public!$C$20=1, Parameters_Public!$C$19, 0))*AC13)</f>
        <v>3158843.3994031865</v>
      </c>
      <c r="AA13" s="2">
        <f t="shared" si="6"/>
        <v>4493.3761015692553</v>
      </c>
      <c r="AB13">
        <f>MAX(0, (MAX(0, $D13-BaselineCalc!$B$7) + MAX(0, $E13-BaselineCalc!$B$8)))</f>
        <v>150</v>
      </c>
      <c r="AC13">
        <f t="shared" si="7"/>
        <v>703</v>
      </c>
      <c r="AD13" s="2">
        <f>(Y13 + IF(Parameters_Public!$C$20=1, Parameters_Public!$C$19, 0))*AC13</f>
        <v>4123242.63</v>
      </c>
      <c r="AE13" s="2">
        <f>W13 - (1-Other_Parameters!$B$2)*$G13*$AB13*$J13*(1-$K13)</f>
        <v>6723869.3400830049</v>
      </c>
      <c r="AF13" s="2">
        <f t="shared" si="8"/>
        <v>-2600626.710083005</v>
      </c>
      <c r="AG13" t="str">
        <f t="shared" si="9"/>
        <v>F_CoLocation_Echo_Targets|FY2027</v>
      </c>
    </row>
    <row r="14" spans="1:33" x14ac:dyDescent="0.35">
      <c r="A14" t="str">
        <f t="shared" si="0"/>
        <v>F_CoLocation_Echo_Targets|FY2028</v>
      </c>
      <c r="B14" t="str">
        <f>Scenarios!A4</f>
        <v>F_CoLocation_Echo_Targets</v>
      </c>
      <c r="C14" t="s">
        <v>68</v>
      </c>
      <c r="D14">
        <f>IF(Scenarios!D4=1,0, L14)</f>
        <v>332</v>
      </c>
      <c r="E14">
        <f>IF(Scenarios!E4=1,0, M14)</f>
        <v>371</v>
      </c>
      <c r="F14">
        <f t="shared" si="1"/>
        <v>703</v>
      </c>
      <c r="G14" s="2">
        <f>YearMap!B4</f>
        <v>6739.2461446874986</v>
      </c>
      <c r="H14" s="2">
        <f>YearMap!C4</f>
        <v>1475395.7022684375</v>
      </c>
      <c r="I14" s="2">
        <f>YearMap!D4</f>
        <v>1699288.4352975001</v>
      </c>
      <c r="J14">
        <f>1-BaselineCalc!$B$5</f>
        <v>0.99299999999999999</v>
      </c>
      <c r="K14">
        <f>Scenarios!G4</f>
        <v>0.05</v>
      </c>
      <c r="L14">
        <f>BaselineCalc!$B$7 + ROUND(Scenarios!K4*Scenarios!F4,0)</f>
        <v>332</v>
      </c>
      <c r="M14">
        <f>BaselineCalc!$B$8 + Scenarios!K4 - ROUND(Scenarios!K4*Scenarios!F4,0)</f>
        <v>371</v>
      </c>
      <c r="N14" s="11">
        <f t="shared" si="2"/>
        <v>0</v>
      </c>
      <c r="O14" s="11">
        <f>(Parameters_Public!$C$22*(L14-D14)+Parameters_Public!$C$23*(M14-E14))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7464138.1801382666</v>
      </c>
      <c r="V14" s="2">
        <f t="shared" si="4"/>
        <v>0</v>
      </c>
      <c r="W14" s="2">
        <f>U14+V14+IF(Parameters_Public!$C$26=1, T14, 0)</f>
        <v>7464138.1801382666</v>
      </c>
      <c r="X14" s="2">
        <f t="shared" si="5"/>
        <v>10617.550754108488</v>
      </c>
      <c r="Y14" s="2">
        <f>INDEX(YearMap!$I$2:$I$6, MATCH(C14, YearMap!$A$2:$A$6, 0))</f>
        <v>5215.5252</v>
      </c>
      <c r="Z14" s="2">
        <f>W14 - ((Y14 + IF(Parameters_Public!$C$20=1, Parameters_Public!$C$19, 0))*AC14)</f>
        <v>3269003.1145382663</v>
      </c>
      <c r="AA14" s="2">
        <f t="shared" si="6"/>
        <v>4650.0755541084873</v>
      </c>
      <c r="AB14">
        <f>MAX(0, (MAX(0, $D14-BaselineCalc!$B$7) + MAX(0, $E14-BaselineCalc!$B$8)))</f>
        <v>150</v>
      </c>
      <c r="AC14">
        <f t="shared" si="7"/>
        <v>703</v>
      </c>
      <c r="AD14" s="2">
        <f>(Y14 + IF(Parameters_Public!$C$20=1, Parameters_Public!$C$19, 0))*AC14</f>
        <v>4195135.0656000003</v>
      </c>
      <c r="AE14" s="2">
        <f>W14 - (1-Other_Parameters!$B$2)*$G14*$AB14*$J14*(1-$K14)</f>
        <v>6891966.0735850809</v>
      </c>
      <c r="AF14" s="2">
        <f t="shared" si="8"/>
        <v>-2696831.0079850806</v>
      </c>
      <c r="AG14" t="str">
        <f t="shared" si="9"/>
        <v>F_CoLocation_Echo_Targets|FY2028</v>
      </c>
    </row>
    <row r="15" spans="1:33" x14ac:dyDescent="0.35">
      <c r="A15" t="str">
        <f t="shared" si="0"/>
        <v>F_CoLocation_Echo_Targets|FY2029</v>
      </c>
      <c r="B15" t="str">
        <f>Scenarios!A4</f>
        <v>F_CoLocation_Echo_Targets</v>
      </c>
      <c r="C15" t="s">
        <v>69</v>
      </c>
      <c r="D15">
        <f>IF(Scenarios!D4=1,0, L15)</f>
        <v>332</v>
      </c>
      <c r="E15">
        <f>IF(Scenarios!E4=1,0, M15)</f>
        <v>371</v>
      </c>
      <c r="F15">
        <f t="shared" si="1"/>
        <v>703</v>
      </c>
      <c r="G15" s="2">
        <f>YearMap!B5</f>
        <v>6907.7272983046851</v>
      </c>
      <c r="H15" s="2">
        <f>YearMap!C5</f>
        <v>1512280.5948251483</v>
      </c>
      <c r="I15" s="2">
        <f>YearMap!D5</f>
        <v>1741770.6461799373</v>
      </c>
      <c r="J15">
        <f>1-BaselineCalc!$B$5</f>
        <v>0.99299999999999999</v>
      </c>
      <c r="K15">
        <f>Scenarios!G4</f>
        <v>0.05</v>
      </c>
      <c r="L15">
        <f>BaselineCalc!$B$7 + ROUND(Scenarios!L4*Scenarios!F4,0)</f>
        <v>332</v>
      </c>
      <c r="M15">
        <f>BaselineCalc!$B$8 + Scenarios!L4 - ROUND(Scenarios!L4*Scenarios!F4,0)</f>
        <v>371</v>
      </c>
      <c r="N15" s="11">
        <f t="shared" si="2"/>
        <v>0</v>
      </c>
      <c r="O15" s="11">
        <f>(Parameters_Public!$C$22*(L15-D15)+Parameters_Public!$C$23*(M15-E15))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7650741.6346417218</v>
      </c>
      <c r="V15" s="2">
        <f t="shared" si="4"/>
        <v>0</v>
      </c>
      <c r="W15" s="2">
        <f>U15+V15+IF(Parameters_Public!$C$26=1, T15, 0)</f>
        <v>7650741.6346417218</v>
      </c>
      <c r="X15" s="2">
        <f t="shared" si="5"/>
        <v>10882.989522961198</v>
      </c>
      <c r="Y15" s="2">
        <f>INDEX(YearMap!$I$2:$I$6, MATCH(C15, YearMap!$A$2:$A$6, 0))</f>
        <v>5319.8357040000001</v>
      </c>
      <c r="Z15" s="2">
        <f>W15 - ((Y15 + IF(Parameters_Public!$C$20=1, Parameters_Public!$C$19, 0))*AC15)</f>
        <v>3382276.284729722</v>
      </c>
      <c r="AA15" s="2">
        <f t="shared" si="6"/>
        <v>4811.2038189611976</v>
      </c>
      <c r="AB15">
        <f>MAX(0, (MAX(0, $D15-BaselineCalc!$B$7) + MAX(0, $E15-BaselineCalc!$B$8)))</f>
        <v>150</v>
      </c>
      <c r="AC15">
        <f t="shared" si="7"/>
        <v>703</v>
      </c>
      <c r="AD15" s="2">
        <f>(Y15 + IF(Parameters_Public!$C$20=1, Parameters_Public!$C$19, 0))*AC15</f>
        <v>4268465.3499119999</v>
      </c>
      <c r="AE15" s="2">
        <f>W15 - (1-Other_Parameters!$B$2)*$G15*$AB15*$J15*(1-$K15)</f>
        <v>7064265.2254247069</v>
      </c>
      <c r="AF15" s="2">
        <f t="shared" si="8"/>
        <v>-2795799.875512707</v>
      </c>
      <c r="AG15" t="str">
        <f t="shared" si="9"/>
        <v>F_CoLocation_Echo_Targets|FY2029</v>
      </c>
    </row>
    <row r="16" spans="1:33" x14ac:dyDescent="0.35">
      <c r="A16" t="str">
        <f t="shared" si="0"/>
        <v>F_CoLocation_Echo_Targets|FY2030</v>
      </c>
      <c r="B16" t="str">
        <f>Scenarios!A4</f>
        <v>F_CoLocation_Echo_Targets</v>
      </c>
      <c r="C16" t="s">
        <v>70</v>
      </c>
      <c r="D16">
        <f>IF(Scenarios!D4=1,0, L16)</f>
        <v>332</v>
      </c>
      <c r="E16">
        <f>IF(Scenarios!E4=1,0, M16)</f>
        <v>371</v>
      </c>
      <c r="F16">
        <f t="shared" si="1"/>
        <v>703</v>
      </c>
      <c r="G16" s="2">
        <f>YearMap!B6</f>
        <v>7080.4204807623018</v>
      </c>
      <c r="H16" s="2">
        <f>YearMap!C6</f>
        <v>1550087.6096957768</v>
      </c>
      <c r="I16" s="2">
        <f>YearMap!D6</f>
        <v>1785314.9123344356</v>
      </c>
      <c r="J16">
        <f>1-BaselineCalc!$B$5</f>
        <v>0.99299999999999999</v>
      </c>
      <c r="K16">
        <f>Scenarios!G4</f>
        <v>0.05</v>
      </c>
      <c r="L16">
        <f>BaselineCalc!$B$7 + ROUND(Scenarios!M4*Scenarios!F4,0)</f>
        <v>332</v>
      </c>
      <c r="M16">
        <f>BaselineCalc!$B$8 + Scenarios!M4 - ROUND(Scenarios!M4*Scenarios!F4,0)</f>
        <v>371</v>
      </c>
      <c r="N16" s="11">
        <f t="shared" si="2"/>
        <v>0</v>
      </c>
      <c r="O16" s="11">
        <f>(Parameters_Public!$C$22*(L16-D16)+Parameters_Public!$C$23*(M16-E16))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7842010.1755077643</v>
      </c>
      <c r="V16" s="2">
        <f t="shared" si="4"/>
        <v>0</v>
      </c>
      <c r="W16" s="2">
        <f>U16+V16+IF(Parameters_Public!$C$26=1, T16, 0)</f>
        <v>7842010.1755077643</v>
      </c>
      <c r="X16" s="2">
        <f t="shared" si="5"/>
        <v>11155.064261035226</v>
      </c>
      <c r="Y16" s="2">
        <f>INDEX(YearMap!$I$2:$I$6, MATCH(C16, YearMap!$A$2:$A$6, 0))</f>
        <v>5426.2324180799997</v>
      </c>
      <c r="Z16" s="2">
        <f>W16 - ((Y16 + IF(Parameters_Public!$C$20=1, Parameters_Public!$C$19, 0))*AC16)</f>
        <v>3498747.935597525</v>
      </c>
      <c r="AA16" s="2">
        <f t="shared" si="6"/>
        <v>4976.8818429552275</v>
      </c>
      <c r="AB16">
        <f>MAX(0, (MAX(0, $D16-BaselineCalc!$B$7) + MAX(0, $E16-BaselineCalc!$B$8)))</f>
        <v>150</v>
      </c>
      <c r="AC16">
        <f t="shared" si="7"/>
        <v>703</v>
      </c>
      <c r="AD16" s="2">
        <f>(Y16 + IF(Parameters_Public!$C$20=1, Parameters_Public!$C$19, 0))*AC16</f>
        <v>4343262.2399102394</v>
      </c>
      <c r="AE16" s="2">
        <f>W16 - (1-Other_Parameters!$B$2)*$G16*$AB16*$J16*(1-$K16)</f>
        <v>7240871.8560603242</v>
      </c>
      <c r="AF16" s="2">
        <f t="shared" si="8"/>
        <v>-2897609.6161500849</v>
      </c>
      <c r="AG16" t="str">
        <f t="shared" si="9"/>
        <v>F_CoLocation_Echo_Targets|FY2030</v>
      </c>
    </row>
    <row r="17" spans="1:33" x14ac:dyDescent="0.35">
      <c r="A17" t="str">
        <f t="shared" si="0"/>
        <v>D_Grow_Both_Targets|FY2026</v>
      </c>
      <c r="B17" t="str">
        <f>Scenarios!A5</f>
        <v>D_Grow_Both_Targets</v>
      </c>
      <c r="C17" t="s">
        <v>66</v>
      </c>
      <c r="D17">
        <f>IF(Scenarios!D5=1,0, L17)</f>
        <v>382</v>
      </c>
      <c r="E17">
        <f>IF(Scenarios!E5=1,0, M17)</f>
        <v>421</v>
      </c>
      <c r="F17">
        <f t="shared" si="1"/>
        <v>803</v>
      </c>
      <c r="G17" s="2">
        <f>YearMap!B2</f>
        <v>6414.5114999999987</v>
      </c>
      <c r="H17" s="2">
        <f>YearMap!C2</f>
        <v>1404302.8695</v>
      </c>
      <c r="I17" s="2">
        <f>YearMap!D2</f>
        <v>1617407.196</v>
      </c>
      <c r="J17">
        <f>1-BaselineCalc!$B$5</f>
        <v>0.99299999999999999</v>
      </c>
      <c r="K17">
        <f>Scenarios!G5</f>
        <v>0</v>
      </c>
      <c r="L17">
        <f>BaselineCalc!$B$7 + ROUND(Scenarios!I5*Scenarios!F5,0)</f>
        <v>382</v>
      </c>
      <c r="M17">
        <f>BaselineCalc!$B$8 + Scenarios!I5 - ROUND(Scenarios!I5*Scenarios!F5,0)</f>
        <v>421</v>
      </c>
      <c r="N17" s="11">
        <f t="shared" si="2"/>
        <v>0</v>
      </c>
      <c r="O17" s="11">
        <f>(Parameters_Public!$C$22*(L17-D17)+Parameters_Public!$C$23*(M17-E17))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8115354.8603999987</v>
      </c>
      <c r="V17" s="2">
        <f t="shared" si="4"/>
        <v>0</v>
      </c>
      <c r="W17" s="2">
        <f>U17+V17+IF(Parameters_Public!$C$26=1, T17, 0)</f>
        <v>8115354.8603999987</v>
      </c>
      <c r="X17" s="2">
        <f t="shared" si="5"/>
        <v>10106.294969364881</v>
      </c>
      <c r="Y17" s="2">
        <f>INDEX(YearMap!$I$2:$I$6, MATCH(C17, YearMap!$A$2:$A$6, 0))</f>
        <v>5013</v>
      </c>
      <c r="Z17" s="2">
        <f>W17 - ((Y17 + IF(Parameters_Public!$C$20=1, Parameters_Public!$C$19, 0))*AC17)</f>
        <v>3486100.0103999991</v>
      </c>
      <c r="AA17" s="2">
        <f t="shared" si="6"/>
        <v>4341.3449693648809</v>
      </c>
      <c r="AB17">
        <f>MAX(0, (MAX(0, $D17-BaselineCalc!$B$7) + MAX(0, $E17-BaselineCalc!$B$8)))</f>
        <v>250</v>
      </c>
      <c r="AC17">
        <f t="shared" si="7"/>
        <v>803</v>
      </c>
      <c r="AD17" s="2">
        <f>(Y17 + IF(Parameters_Public!$C$20=1, Parameters_Public!$C$19, 0))*AC17</f>
        <v>4629254.8499999996</v>
      </c>
      <c r="AE17" s="2">
        <f>W17 - (1-Other_Parameters!$B$2)*$G17*$AB17*$J17*(1-$K17)</f>
        <v>7159913.3724749992</v>
      </c>
      <c r="AF17" s="2">
        <f t="shared" si="8"/>
        <v>-2530658.5224749995</v>
      </c>
      <c r="AG17" t="str">
        <f t="shared" si="9"/>
        <v>D_Grow_Both_Targets|FY2026</v>
      </c>
    </row>
    <row r="18" spans="1:33" x14ac:dyDescent="0.35">
      <c r="A18" t="str">
        <f t="shared" si="0"/>
        <v>D_Grow_Both_Targets|FY2027</v>
      </c>
      <c r="B18" t="str">
        <f>Scenarios!A5</f>
        <v>D_Grow_Both_Targets</v>
      </c>
      <c r="C18" t="s">
        <v>67</v>
      </c>
      <c r="D18">
        <f>IF(Scenarios!D5=1,0, L18)</f>
        <v>382</v>
      </c>
      <c r="E18">
        <f>IF(Scenarios!E5=1,0, M18)</f>
        <v>421</v>
      </c>
      <c r="F18">
        <f t="shared" si="1"/>
        <v>803</v>
      </c>
      <c r="G18" s="2">
        <f>YearMap!B3</f>
        <v>6574.8742874999989</v>
      </c>
      <c r="H18" s="2">
        <f>YearMap!C3</f>
        <v>1439410.4412375002</v>
      </c>
      <c r="I18" s="2">
        <f>YearMap!D3</f>
        <v>1657842.3759000003</v>
      </c>
      <c r="J18">
        <f>1-BaselineCalc!$B$5</f>
        <v>0.99299999999999999</v>
      </c>
      <c r="K18">
        <f>Scenarios!G5</f>
        <v>0</v>
      </c>
      <c r="L18">
        <f>BaselineCalc!$B$7 + ROUND(Scenarios!J5*Scenarios!F5,0)</f>
        <v>382</v>
      </c>
      <c r="M18">
        <f>BaselineCalc!$B$8 + Scenarios!J5 - ROUND(Scenarios!J5*Scenarios!F5,0)</f>
        <v>421</v>
      </c>
      <c r="N18" s="11">
        <f t="shared" si="2"/>
        <v>0</v>
      </c>
      <c r="O18" s="11">
        <f>(Parameters_Public!$C$22*(L18-D18)+Parameters_Public!$C$23*(M18-E18))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8318238.7319099987</v>
      </c>
      <c r="V18" s="2">
        <f t="shared" si="4"/>
        <v>0</v>
      </c>
      <c r="W18" s="2">
        <f>U18+V18+IF(Parameters_Public!$C$26=1, T18, 0)</f>
        <v>8318238.7319099987</v>
      </c>
      <c r="X18" s="2">
        <f t="shared" si="5"/>
        <v>10358.952343599001</v>
      </c>
      <c r="Y18" s="2">
        <f>INDEX(YearMap!$I$2:$I$6, MATCH(C18, YearMap!$A$2:$A$6, 0))</f>
        <v>5113.26</v>
      </c>
      <c r="Z18" s="2">
        <f>W18 - ((Y18 + IF(Parameters_Public!$C$20=1, Parameters_Public!$C$19, 0))*AC18)</f>
        <v>3608475.1019099988</v>
      </c>
      <c r="AA18" s="2">
        <f t="shared" si="6"/>
        <v>4493.7423435990022</v>
      </c>
      <c r="AB18">
        <f>MAX(0, (MAX(0, $D18-BaselineCalc!$B$7) + MAX(0, $E18-BaselineCalc!$B$8)))</f>
        <v>250</v>
      </c>
      <c r="AC18">
        <f t="shared" si="7"/>
        <v>803</v>
      </c>
      <c r="AD18" s="2">
        <f>(Y18 + IF(Parameters_Public!$C$20=1, Parameters_Public!$C$19, 0))*AC18</f>
        <v>4709763.63</v>
      </c>
      <c r="AE18" s="2">
        <f>W18 - (1-Other_Parameters!$B$2)*$G18*$AB18*$J18*(1-$K18)</f>
        <v>7338911.2067868738</v>
      </c>
      <c r="AF18" s="2">
        <f t="shared" si="8"/>
        <v>-2629147.5767868739</v>
      </c>
      <c r="AG18" t="str">
        <f t="shared" si="9"/>
        <v>D_Grow_Both_Targets|FY2027</v>
      </c>
    </row>
    <row r="19" spans="1:33" x14ac:dyDescent="0.35">
      <c r="A19" t="str">
        <f t="shared" si="0"/>
        <v>D_Grow_Both_Targets|FY2028</v>
      </c>
      <c r="B19" t="str">
        <f>Scenarios!A5</f>
        <v>D_Grow_Both_Targets</v>
      </c>
      <c r="C19" t="s">
        <v>68</v>
      </c>
      <c r="D19">
        <f>IF(Scenarios!D5=1,0, L19)</f>
        <v>382</v>
      </c>
      <c r="E19">
        <f>IF(Scenarios!E5=1,0, M19)</f>
        <v>421</v>
      </c>
      <c r="F19">
        <f t="shared" si="1"/>
        <v>803</v>
      </c>
      <c r="G19" s="2">
        <f>YearMap!B4</f>
        <v>6739.2461446874986</v>
      </c>
      <c r="H19" s="2">
        <f>YearMap!C4</f>
        <v>1475395.7022684375</v>
      </c>
      <c r="I19" s="2">
        <f>YearMap!D4</f>
        <v>1699288.4352975001</v>
      </c>
      <c r="J19">
        <f>1-BaselineCalc!$B$5</f>
        <v>0.99299999999999999</v>
      </c>
      <c r="K19">
        <f>Scenarios!G5</f>
        <v>0</v>
      </c>
      <c r="L19">
        <f>BaselineCalc!$B$7 + ROUND(Scenarios!K5*Scenarios!F5,0)</f>
        <v>382</v>
      </c>
      <c r="M19">
        <f>BaselineCalc!$B$8 + Scenarios!K5 - ROUND(Scenarios!K5*Scenarios!F5,0)</f>
        <v>421</v>
      </c>
      <c r="N19" s="11">
        <f t="shared" si="2"/>
        <v>0</v>
      </c>
      <c r="O19" s="11">
        <f>(Parameters_Public!$C$22*(L19-D19)+Parameters_Public!$C$23*(M19-E19))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8526194.7002077494</v>
      </c>
      <c r="V19" s="2">
        <f t="shared" si="4"/>
        <v>0</v>
      </c>
      <c r="W19" s="2">
        <f>U19+V19+IF(Parameters_Public!$C$26=1, T19, 0)</f>
        <v>8526194.7002077494</v>
      </c>
      <c r="X19" s="2">
        <f t="shared" si="5"/>
        <v>10617.926152188978</v>
      </c>
      <c r="Y19" s="2">
        <f>INDEX(YearMap!$I$2:$I$6, MATCH(C19, YearMap!$A$2:$A$6, 0))</f>
        <v>5215.5252</v>
      </c>
      <c r="Z19" s="2">
        <f>W19 - ((Y19 + IF(Parameters_Public!$C$20=1, Parameters_Public!$C$19, 0))*AC19)</f>
        <v>3734312.1146077495</v>
      </c>
      <c r="AA19" s="2">
        <f t="shared" si="6"/>
        <v>4650.4509521889786</v>
      </c>
      <c r="AB19">
        <f>MAX(0, (MAX(0, $D19-BaselineCalc!$B$7) + MAX(0, $E19-BaselineCalc!$B$8)))</f>
        <v>250</v>
      </c>
      <c r="AC19">
        <f t="shared" si="7"/>
        <v>803</v>
      </c>
      <c r="AD19" s="2">
        <f>(Y19 + IF(Parameters_Public!$C$20=1, Parameters_Public!$C$19, 0))*AC19</f>
        <v>4791882.5855999999</v>
      </c>
      <c r="AE19" s="2">
        <f>W19 - (1-Other_Parameters!$B$2)*$G19*$AB19*$J19*(1-$K19)</f>
        <v>7522383.986956547</v>
      </c>
      <c r="AF19" s="2">
        <f t="shared" si="8"/>
        <v>-2730501.4013565471</v>
      </c>
      <c r="AG19" t="str">
        <f t="shared" si="9"/>
        <v>D_Grow_Both_Targets|FY2028</v>
      </c>
    </row>
    <row r="20" spans="1:33" x14ac:dyDescent="0.35">
      <c r="A20" t="str">
        <f t="shared" si="0"/>
        <v>D_Grow_Both_Targets|FY2029</v>
      </c>
      <c r="B20" t="str">
        <f>Scenarios!A5</f>
        <v>D_Grow_Both_Targets</v>
      </c>
      <c r="C20" t="s">
        <v>69</v>
      </c>
      <c r="D20">
        <f>IF(Scenarios!D5=1,0, L20)</f>
        <v>382</v>
      </c>
      <c r="E20">
        <f>IF(Scenarios!E5=1,0, M20)</f>
        <v>421</v>
      </c>
      <c r="F20">
        <f t="shared" si="1"/>
        <v>803</v>
      </c>
      <c r="G20" s="2">
        <f>YearMap!B5</f>
        <v>6907.7272983046851</v>
      </c>
      <c r="H20" s="2">
        <f>YearMap!C5</f>
        <v>1512280.5948251483</v>
      </c>
      <c r="I20" s="2">
        <f>YearMap!D5</f>
        <v>1741770.6461799373</v>
      </c>
      <c r="J20">
        <f>1-BaselineCalc!$B$5</f>
        <v>0.99299999999999999</v>
      </c>
      <c r="K20">
        <f>Scenarios!G5</f>
        <v>0</v>
      </c>
      <c r="L20">
        <f>BaselineCalc!$B$7 + ROUND(Scenarios!L5*Scenarios!F5,0)</f>
        <v>382</v>
      </c>
      <c r="M20">
        <f>BaselineCalc!$B$8 + Scenarios!L5 - ROUND(Scenarios!L5*Scenarios!F5,0)</f>
        <v>421</v>
      </c>
      <c r="N20" s="11">
        <f t="shared" si="2"/>
        <v>0</v>
      </c>
      <c r="O20" s="11">
        <f>(Parameters_Public!$C$22*(L20-D20)+Parameters_Public!$C$23*(M20-E20))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8739349.5677129403</v>
      </c>
      <c r="V20" s="2">
        <f t="shared" si="4"/>
        <v>0</v>
      </c>
      <c r="W20" s="2">
        <f>U20+V20+IF(Parameters_Public!$C$26=1, T20, 0)</f>
        <v>8739349.5677129403</v>
      </c>
      <c r="X20" s="2">
        <f t="shared" si="5"/>
        <v>10883.374305993699</v>
      </c>
      <c r="Y20" s="2">
        <f>INDEX(YearMap!$I$2:$I$6, MATCH(C20, YearMap!$A$2:$A$6, 0))</f>
        <v>5319.8357040000001</v>
      </c>
      <c r="Z20" s="2">
        <f>W20 - ((Y20 + IF(Parameters_Public!$C$20=1, Parameters_Public!$C$19, 0))*AC20)</f>
        <v>3863705.6474009408</v>
      </c>
      <c r="AA20" s="2">
        <f t="shared" si="6"/>
        <v>4811.5886019936997</v>
      </c>
      <c r="AB20">
        <f>MAX(0, (MAX(0, $D20-BaselineCalc!$B$7) + MAX(0, $E20-BaselineCalc!$B$8)))</f>
        <v>250</v>
      </c>
      <c r="AC20">
        <f t="shared" si="7"/>
        <v>803</v>
      </c>
      <c r="AD20" s="2">
        <f>(Y20 + IF(Parameters_Public!$C$20=1, Parameters_Public!$C$19, 0))*AC20</f>
        <v>4875643.9203119995</v>
      </c>
      <c r="AE20" s="2">
        <f>W20 - (1-Other_Parameters!$B$2)*$G20*$AB20*$J20*(1-$K20)</f>
        <v>7710443.5866304571</v>
      </c>
      <c r="AF20" s="2">
        <f t="shared" si="8"/>
        <v>-2834799.6663184576</v>
      </c>
      <c r="AG20" t="str">
        <f t="shared" si="9"/>
        <v>D_Grow_Both_Targets|FY2029</v>
      </c>
    </row>
    <row r="21" spans="1:33" x14ac:dyDescent="0.35">
      <c r="A21" t="str">
        <f t="shared" si="0"/>
        <v>D_Grow_Both_Targets|FY2030</v>
      </c>
      <c r="B21" t="str">
        <f>Scenarios!A5</f>
        <v>D_Grow_Both_Targets</v>
      </c>
      <c r="C21" t="s">
        <v>70</v>
      </c>
      <c r="D21">
        <f>IF(Scenarios!D5=1,0, L21)</f>
        <v>382</v>
      </c>
      <c r="E21">
        <f>IF(Scenarios!E5=1,0, M21)</f>
        <v>421</v>
      </c>
      <c r="F21">
        <f t="shared" si="1"/>
        <v>803</v>
      </c>
      <c r="G21" s="2">
        <f>YearMap!B6</f>
        <v>7080.4204807623018</v>
      </c>
      <c r="H21" s="2">
        <f>YearMap!C6</f>
        <v>1550087.6096957768</v>
      </c>
      <c r="I21" s="2">
        <f>YearMap!D6</f>
        <v>1785314.9123344356</v>
      </c>
      <c r="J21">
        <f>1-BaselineCalc!$B$5</f>
        <v>0.99299999999999999</v>
      </c>
      <c r="K21">
        <f>Scenarios!G5</f>
        <v>0</v>
      </c>
      <c r="L21">
        <f>BaselineCalc!$B$7 + ROUND(Scenarios!M5*Scenarios!F5,0)</f>
        <v>382</v>
      </c>
      <c r="M21">
        <f>BaselineCalc!$B$8 + Scenarios!M5 - ROUND(Scenarios!M5*Scenarios!F5,0)</f>
        <v>421</v>
      </c>
      <c r="N21" s="11">
        <f t="shared" si="2"/>
        <v>0</v>
      </c>
      <c r="O21" s="11">
        <f>(Parameters_Public!$C$22*(L21-D21)+Parameters_Public!$C$23*(M21-E21))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8957833.3069057651</v>
      </c>
      <c r="V21" s="2">
        <f t="shared" si="4"/>
        <v>0</v>
      </c>
      <c r="W21" s="2">
        <f>U21+V21+IF(Parameters_Public!$C$26=1, T21, 0)</f>
        <v>8957833.3069057651</v>
      </c>
      <c r="X21" s="2">
        <f t="shared" si="5"/>
        <v>11155.458663643543</v>
      </c>
      <c r="Y21" s="2">
        <f>INDEX(YearMap!$I$2:$I$6, MATCH(C21, YearMap!$A$2:$A$6, 0))</f>
        <v>5426.2324180799997</v>
      </c>
      <c r="Z21" s="2">
        <f>W21 - ((Y21 + IF(Parameters_Public!$C$20=1, Parameters_Public!$C$19, 0))*AC21)</f>
        <v>3996752.8251875257</v>
      </c>
      <c r="AA21" s="2">
        <f t="shared" si="6"/>
        <v>4977.2762455635439</v>
      </c>
      <c r="AB21">
        <f>MAX(0, (MAX(0, $D21-BaselineCalc!$B$7) + MAX(0, $E21-BaselineCalc!$B$8)))</f>
        <v>250</v>
      </c>
      <c r="AC21">
        <f t="shared" si="7"/>
        <v>803</v>
      </c>
      <c r="AD21" s="2">
        <f>(Y21 + IF(Parameters_Public!$C$20=1, Parameters_Public!$C$19, 0))*AC21</f>
        <v>4961080.4817182394</v>
      </c>
      <c r="AE21" s="2">
        <f>W21 - (1-Other_Parameters!$B$2)*$G21*$AB21*$J21*(1-$K21)</f>
        <v>7903204.6762962202</v>
      </c>
      <c r="AF21" s="2">
        <f t="shared" si="8"/>
        <v>-2942124.1945779808</v>
      </c>
      <c r="AG21" t="str">
        <f t="shared" si="9"/>
        <v>D_Grow_Both_Targets|FY2030</v>
      </c>
    </row>
    <row r="22" spans="1:33" x14ac:dyDescent="0.35">
      <c r="A22" t="str">
        <f t="shared" si="0"/>
        <v>D_CUSTOM2|FY2026</v>
      </c>
      <c r="B22" t="str">
        <f>Scenarios!A6</f>
        <v>D_CUSTOM2</v>
      </c>
      <c r="C22" t="s">
        <v>66</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BaselineCalc!$B$7 + ROUND(Scenarios!I6*Scenarios!F6,0)</f>
        <v>257</v>
      </c>
      <c r="M22">
        <f>BaselineCalc!$B$8 + Scenarios!I6 - ROUND(Scenarios!I6*Scenarios!F6,0)</f>
        <v>296</v>
      </c>
      <c r="N22" s="11">
        <f t="shared" si="2"/>
        <v>0</v>
      </c>
      <c r="O22" s="11">
        <f>(Parameters_Public!$C$22*(L22-D22)+Parameters_Public!$C$23*(M22-E22))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f t="shared" si="7"/>
        <v>553</v>
      </c>
      <c r="AD22" s="2">
        <f>(Y22 + IF(Parameters_Public!$C$20=1, Parameters_Public!$C$19, 0))*AC22</f>
        <v>3188017.35</v>
      </c>
      <c r="AE22" s="2">
        <f>W22 - (1-Other_Parameters!$B$2)*$G22*$AB22*$J22*(1-$K22)</f>
        <v>6522952.3805249985</v>
      </c>
      <c r="AF22" s="2">
        <f t="shared" si="8"/>
        <v>-3334935.0305249984</v>
      </c>
      <c r="AG22" t="str">
        <f t="shared" si="9"/>
        <v>D_CUSTOM2|FY2026</v>
      </c>
    </row>
    <row r="23" spans="1:33" x14ac:dyDescent="0.35">
      <c r="A23" t="str">
        <f t="shared" si="0"/>
        <v>D_CUSTOM2|FY2027</v>
      </c>
      <c r="B23" t="str">
        <f>Scenarios!A6</f>
        <v>D_CUSTOM2</v>
      </c>
      <c r="C23" t="s">
        <v>67</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BaselineCalc!$B$7 + ROUND(Scenarios!J6*Scenarios!F6,0)</f>
        <v>257</v>
      </c>
      <c r="M23">
        <f>BaselineCalc!$B$8 + Scenarios!J6 - ROUND(Scenarios!J6*Scenarios!F6,0)</f>
        <v>296</v>
      </c>
      <c r="N23" s="11">
        <f t="shared" si="2"/>
        <v>0</v>
      </c>
      <c r="O23" s="11">
        <f>(Parameters_Public!$C$22*(L23-D23)+Parameters_Public!$C$23*(M23-E23))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5113.26</v>
      </c>
      <c r="Z23" s="2">
        <f>W23 - ((Y23 + IF(Parameters_Public!$C$20=1, Parameters_Public!$C$19, 0))*AC23)</f>
        <v>3442565.0600381251</v>
      </c>
      <c r="AA23" s="2">
        <f t="shared" si="6"/>
        <v>6225.2532731250003</v>
      </c>
      <c r="AB23">
        <f>MAX(0, (MAX(0, $D23-BaselineCalc!$B$7) + MAX(0, $E23-BaselineCalc!$B$8)))</f>
        <v>0</v>
      </c>
      <c r="AC23">
        <f t="shared" si="7"/>
        <v>553</v>
      </c>
      <c r="AD23" s="2">
        <f>(Y23 + IF(Parameters_Public!$C$20=1, Parameters_Public!$C$19, 0))*AC23</f>
        <v>3243461.13</v>
      </c>
      <c r="AE23" s="2">
        <f>W23 - (1-Other_Parameters!$B$2)*$G23*$AB23*$J23*(1-$K23)</f>
        <v>6686026.190038125</v>
      </c>
      <c r="AF23" s="2">
        <f t="shared" si="8"/>
        <v>-3442565.0600381251</v>
      </c>
      <c r="AG23" t="str">
        <f t="shared" si="9"/>
        <v>D_CUSTOM2|FY2027</v>
      </c>
    </row>
    <row r="24" spans="1:33" x14ac:dyDescent="0.35">
      <c r="A24" t="str">
        <f t="shared" si="0"/>
        <v>D_CUSTOM2|FY2028</v>
      </c>
      <c r="B24" t="str">
        <f>Scenarios!A6</f>
        <v>D_CUSTOM2</v>
      </c>
      <c r="C24" t="s">
        <v>68</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BaselineCalc!$B$7 + ROUND(Scenarios!K6*Scenarios!F6,0)</f>
        <v>257</v>
      </c>
      <c r="M24">
        <f>BaselineCalc!$B$8 + Scenarios!K6 - ROUND(Scenarios!K6*Scenarios!F6,0)</f>
        <v>296</v>
      </c>
      <c r="N24" s="11">
        <f t="shared" si="2"/>
        <v>0</v>
      </c>
      <c r="O24" s="11">
        <f>(Parameters_Public!$C$22*(L24-D24)+Parameters_Public!$C$23*(M24-E24))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5215.5252</v>
      </c>
      <c r="Z24" s="2">
        <f>W24 - ((Y24 + IF(Parameters_Public!$C$20=1, Parameters_Public!$C$19, 0))*AC24)</f>
        <v>3553163.0591890775</v>
      </c>
      <c r="AA24" s="2">
        <f t="shared" si="6"/>
        <v>6425.2496549531243</v>
      </c>
      <c r="AB24">
        <f>MAX(0, (MAX(0, $D24-BaselineCalc!$B$7) + MAX(0, $E24-BaselineCalc!$B$8)))</f>
        <v>0</v>
      </c>
      <c r="AC24">
        <f t="shared" si="7"/>
        <v>553</v>
      </c>
      <c r="AD24" s="2">
        <f>(Y24 + IF(Parameters_Public!$C$20=1, Parameters_Public!$C$19, 0))*AC24</f>
        <v>3300013.7856000001</v>
      </c>
      <c r="AE24" s="2">
        <f>W24 - (1-Other_Parameters!$B$2)*$G24*$AB24*$J24*(1-$K24)</f>
        <v>6853176.8447890775</v>
      </c>
      <c r="AF24" s="2">
        <f t="shared" si="8"/>
        <v>-3553163.0591890775</v>
      </c>
      <c r="AG24" t="str">
        <f t="shared" si="9"/>
        <v>D_CUSTOM2|FY2028</v>
      </c>
    </row>
    <row r="25" spans="1:33" x14ac:dyDescent="0.35">
      <c r="A25" t="str">
        <f t="shared" si="0"/>
        <v>D_CUSTOM2|FY2029</v>
      </c>
      <c r="B25" t="str">
        <f>Scenarios!A6</f>
        <v>D_CUSTOM2</v>
      </c>
      <c r="C25" t="s">
        <v>69</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BaselineCalc!$B$7 + ROUND(Scenarios!L6*Scenarios!F6,0)</f>
        <v>257</v>
      </c>
      <c r="M25">
        <f>BaselineCalc!$B$8 + Scenarios!L6 - ROUND(Scenarios!L6*Scenarios!F6,0)</f>
        <v>296</v>
      </c>
      <c r="N25" s="11">
        <f t="shared" si="2"/>
        <v>0</v>
      </c>
      <c r="O25" s="11">
        <f>(Parameters_Public!$C$22*(L25-D25)+Parameters_Public!$C$23*(M25-E25))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5319.8357040000001</v>
      </c>
      <c r="Z25" s="2">
        <f>W25 - ((Y25 + IF(Parameters_Public!$C$20=1, Parameters_Public!$C$19, 0))*AC25)</f>
        <v>3666808.7715968029</v>
      </c>
      <c r="AA25" s="2">
        <f t="shared" si="6"/>
        <v>6630.7572723269495</v>
      </c>
      <c r="AB25">
        <f>MAX(0, (MAX(0, $D25-BaselineCalc!$B$7) + MAX(0, $E25-BaselineCalc!$B$8)))</f>
        <v>0</v>
      </c>
      <c r="AC25">
        <f t="shared" si="7"/>
        <v>553</v>
      </c>
      <c r="AD25" s="2">
        <f>(Y25 + IF(Parameters_Public!$C$20=1, Parameters_Public!$C$19, 0))*AC25</f>
        <v>3357697.494312</v>
      </c>
      <c r="AE25" s="2">
        <f>W25 - (1-Other_Parameters!$B$2)*$G25*$AB25*$J25*(1-$K25)</f>
        <v>7024506.2659088029</v>
      </c>
      <c r="AF25" s="2">
        <f t="shared" si="8"/>
        <v>-3666808.7715968029</v>
      </c>
      <c r="AG25" t="str">
        <f t="shared" si="9"/>
        <v>D_CUSTOM2|FY2029</v>
      </c>
    </row>
    <row r="26" spans="1:33" x14ac:dyDescent="0.35">
      <c r="A26" t="str">
        <f t="shared" si="0"/>
        <v>D_CUSTOM2|FY2030</v>
      </c>
      <c r="B26" t="str">
        <f>Scenarios!A6</f>
        <v>D_CUSTOM2</v>
      </c>
      <c r="C26" t="s">
        <v>70</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BaselineCalc!$B$7 + ROUND(Scenarios!M6*Scenarios!F6,0)</f>
        <v>257</v>
      </c>
      <c r="M26">
        <f>BaselineCalc!$B$8 + Scenarios!M6 - ROUND(Scenarios!M6*Scenarios!F6,0)</f>
        <v>296</v>
      </c>
      <c r="N26" s="11">
        <f t="shared" si="2"/>
        <v>0</v>
      </c>
      <c r="O26" s="11">
        <f>(Parameters_Public!$C$22*(L26-D26)+Parameters_Public!$C$23*(M26-E26))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5426.2324180799997</v>
      </c>
      <c r="Z26" s="2">
        <f>W26 - ((Y26 + IF(Parameters_Public!$C$20=1, Parameters_Public!$C$19, 0))*AC26)</f>
        <v>3783584.0453582834</v>
      </c>
      <c r="AA26" s="2">
        <f t="shared" si="6"/>
        <v>6841.9241326551237</v>
      </c>
      <c r="AB26">
        <f>MAX(0, (MAX(0, $D26-BaselineCalc!$B$7) + MAX(0, $E26-BaselineCalc!$B$8)))</f>
        <v>0</v>
      </c>
      <c r="AC26">
        <f t="shared" si="7"/>
        <v>553</v>
      </c>
      <c r="AD26" s="2">
        <f>(Y26 + IF(Parameters_Public!$C$20=1, Parameters_Public!$C$19, 0))*AC26</f>
        <v>3416534.8771982398</v>
      </c>
      <c r="AE26" s="2">
        <f>W26 - (1-Other_Parameters!$B$2)*$G26*$AB26*$J26*(1-$K26)</f>
        <v>7200118.9225565232</v>
      </c>
      <c r="AF26" s="2">
        <f t="shared" si="8"/>
        <v>-3783584.0453582834</v>
      </c>
      <c r="AG26" t="str">
        <f t="shared" si="9"/>
        <v>D_CUSTOM2|FY2030</v>
      </c>
    </row>
    <row r="27" spans="1:33" x14ac:dyDescent="0.35">
      <c r="A27" t="str">
        <f t="shared" si="0"/>
        <v>G_EchoGHubRamp_PimaTargets|FY2026</v>
      </c>
      <c r="B27" t="str">
        <f>Scenarios!A7</f>
        <v>G_EchoGHubRamp_PimaTargets</v>
      </c>
      <c r="C27" t="s">
        <v>66</v>
      </c>
      <c r="D27">
        <f>IF(Scenarios!D7=1,0, L27)</f>
        <v>292</v>
      </c>
      <c r="E27">
        <f>IF(Scenarios!E7=1,0, M27)</f>
        <v>311</v>
      </c>
      <c r="F27">
        <f t="shared" si="1"/>
        <v>603</v>
      </c>
      <c r="G27" s="2">
        <f>YearMap!B2</f>
        <v>6414.5114999999987</v>
      </c>
      <c r="H27" s="2">
        <f>YearMap!C2</f>
        <v>1404302.8695</v>
      </c>
      <c r="I27" s="2">
        <f>YearMap!D2</f>
        <v>1617407.196</v>
      </c>
      <c r="J27">
        <f>1-BaselineCalc!$B$5</f>
        <v>0.99299999999999999</v>
      </c>
      <c r="K27">
        <f>Scenarios!G7</f>
        <v>0</v>
      </c>
      <c r="L27">
        <f>BaselineCalc!$B$7 + ROUND(Scenarios!I7*Scenarios!F7,0)</f>
        <v>292</v>
      </c>
      <c r="M27">
        <f>BaselineCalc!$B$8 + Scenarios!I7 - ROUND(Scenarios!I7*Scenarios!F7,0)</f>
        <v>311</v>
      </c>
      <c r="N27" s="11">
        <f t="shared" si="2"/>
        <v>0</v>
      </c>
      <c r="O27" s="11">
        <f>(Parameters_Public!$C$22*(L27-D27)+Parameters_Public!$C$23*(M27-E27))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6841432.8764999993</v>
      </c>
      <c r="V27" s="2">
        <f t="shared" si="4"/>
        <v>0</v>
      </c>
      <c r="W27" s="2">
        <f>U27+V27+IF(Parameters_Public!$C$26=1, T27, 0)</f>
        <v>6841432.8764999993</v>
      </c>
      <c r="X27" s="2">
        <f t="shared" si="5"/>
        <v>11345.659828358208</v>
      </c>
      <c r="Y27" s="2">
        <f>INDEX(YearMap!$I$2:$I$6, MATCH(C27, YearMap!$A$2:$A$6, 0))</f>
        <v>5013</v>
      </c>
      <c r="Z27" s="2">
        <f>W27 - ((Y27 + IF(Parameters_Public!$C$20=1, Parameters_Public!$C$19, 0))*AC27)</f>
        <v>3365168.0264999992</v>
      </c>
      <c r="AA27" s="2">
        <f t="shared" si="6"/>
        <v>5580.7098283582072</v>
      </c>
      <c r="AB27">
        <f>MAX(0, (MAX(0, $D27-BaselineCalc!$B$7) + MAX(0, $E27-BaselineCalc!$B$8)))</f>
        <v>50</v>
      </c>
      <c r="AC27">
        <f t="shared" si="7"/>
        <v>603</v>
      </c>
      <c r="AD27" s="2">
        <f>(Y27 + IF(Parameters_Public!$C$20=1, Parameters_Public!$C$19, 0))*AC27</f>
        <v>3476264.85</v>
      </c>
      <c r="AE27" s="2">
        <f>W27 - (1-Other_Parameters!$B$2)*$G27*$AB27*$J27*(1-$K27)</f>
        <v>6650344.578914999</v>
      </c>
      <c r="AF27" s="2">
        <f t="shared" si="8"/>
        <v>-3174079.7289149989</v>
      </c>
      <c r="AG27" t="str">
        <f t="shared" si="9"/>
        <v>G_EchoGHubRamp_PimaTargets|FY2026</v>
      </c>
    </row>
    <row r="28" spans="1:33" x14ac:dyDescent="0.35">
      <c r="A28" t="str">
        <f t="shared" si="0"/>
        <v>G_EchoGHubRamp_PimaTargets|FY2027</v>
      </c>
      <c r="B28" t="str">
        <f>Scenarios!A7</f>
        <v>G_EchoGHubRamp_PimaTargets</v>
      </c>
      <c r="C28" t="s">
        <v>67</v>
      </c>
      <c r="D28">
        <f>IF(Scenarios!D7=1,0, L28)</f>
        <v>327</v>
      </c>
      <c r="E28">
        <f>IF(Scenarios!E7=1,0, M28)</f>
        <v>326</v>
      </c>
      <c r="F28">
        <f t="shared" si="1"/>
        <v>653</v>
      </c>
      <c r="G28" s="2">
        <f>YearMap!B3</f>
        <v>6574.8742874999989</v>
      </c>
      <c r="H28" s="2">
        <f>YearMap!C3</f>
        <v>1439410.4412375002</v>
      </c>
      <c r="I28" s="2">
        <f>YearMap!D3</f>
        <v>1657842.3759000003</v>
      </c>
      <c r="J28">
        <f>1-BaselineCalc!$B$5</f>
        <v>0.99299999999999999</v>
      </c>
      <c r="K28">
        <f>Scenarios!G7</f>
        <v>0</v>
      </c>
      <c r="L28">
        <f>BaselineCalc!$B$7 + ROUND(Scenarios!J7*Scenarios!F7,0)</f>
        <v>327</v>
      </c>
      <c r="M28">
        <f>BaselineCalc!$B$8 + Scenarios!J7 - ROUND(Scenarios!J7*Scenarios!F7,0)</f>
        <v>326</v>
      </c>
      <c r="N28" s="11">
        <f t="shared" si="2"/>
        <v>0</v>
      </c>
      <c r="O28" s="11">
        <f>(Parameters_Public!$C$22*(L28-D28)+Parameters_Public!$C$23*(M28-E28))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7338911.2067868747</v>
      </c>
      <c r="V28" s="2">
        <f t="shared" si="4"/>
        <v>0</v>
      </c>
      <c r="W28" s="2">
        <f>U28+V28+IF(Parameters_Public!$C$26=1, T28, 0)</f>
        <v>7338911.2067868747</v>
      </c>
      <c r="X28" s="2">
        <f t="shared" si="5"/>
        <v>11238.761419275459</v>
      </c>
      <c r="Y28" s="2">
        <f>INDEX(YearMap!$I$2:$I$6, MATCH(C28, YearMap!$A$2:$A$6, 0))</f>
        <v>5113.26</v>
      </c>
      <c r="Z28" s="2">
        <f>W28 - ((Y28 + IF(Parameters_Public!$C$20=1, Parameters_Public!$C$19, 0))*AC28)</f>
        <v>3508929.0767868748</v>
      </c>
      <c r="AA28" s="2">
        <f t="shared" si="6"/>
        <v>5373.551419275459</v>
      </c>
      <c r="AB28">
        <f>MAX(0, (MAX(0, $D28-BaselineCalc!$B$7) + MAX(0, $E28-BaselineCalc!$B$8)))</f>
        <v>100</v>
      </c>
      <c r="AC28">
        <f t="shared" si="7"/>
        <v>653</v>
      </c>
      <c r="AD28" s="2">
        <f>(Y28 + IF(Parameters_Public!$C$20=1, Parameters_Public!$C$19, 0))*AC28</f>
        <v>3829982.13</v>
      </c>
      <c r="AE28" s="2">
        <f>W28 - (1-Other_Parameters!$B$2)*$G28*$AB28*$J28*(1-$K28)</f>
        <v>6947180.1967376247</v>
      </c>
      <c r="AF28" s="2">
        <f t="shared" si="8"/>
        <v>-3117198.0667376248</v>
      </c>
      <c r="AG28" t="str">
        <f t="shared" si="9"/>
        <v>G_EchoGHubRamp_PimaTargets|FY2027</v>
      </c>
    </row>
    <row r="29" spans="1:33" x14ac:dyDescent="0.35">
      <c r="A29" t="str">
        <f t="shared" si="0"/>
        <v>G_EchoGHubRamp_PimaTargets|FY2028</v>
      </c>
      <c r="B29" t="str">
        <f>Scenarios!A7</f>
        <v>G_EchoGHubRamp_PimaTargets</v>
      </c>
      <c r="C29" t="s">
        <v>68</v>
      </c>
      <c r="D29">
        <f>IF(Scenarios!D7=1,0, L29)</f>
        <v>362</v>
      </c>
      <c r="E29">
        <f>IF(Scenarios!E7=1,0, M29)</f>
        <v>341</v>
      </c>
      <c r="F29">
        <f t="shared" si="1"/>
        <v>703</v>
      </c>
      <c r="G29" s="2">
        <f>YearMap!B4</f>
        <v>6739.2461446874986</v>
      </c>
      <c r="H29" s="2">
        <f>YearMap!C4</f>
        <v>1475395.7022684375</v>
      </c>
      <c r="I29" s="2">
        <f>YearMap!D4</f>
        <v>1699288.4352975001</v>
      </c>
      <c r="J29">
        <f>1-BaselineCalc!$B$5</f>
        <v>0.99299999999999999</v>
      </c>
      <c r="K29">
        <f>Scenarios!G7</f>
        <v>0</v>
      </c>
      <c r="L29">
        <f>BaselineCalc!$B$7 + ROUND(Scenarios!K7*Scenarios!F7,0)</f>
        <v>362</v>
      </c>
      <c r="M29">
        <f>BaselineCalc!$B$8 + Scenarios!K7 - ROUND(Scenarios!K7*Scenarios!F7,0)</f>
        <v>341</v>
      </c>
      <c r="N29" s="11">
        <f t="shared" si="2"/>
        <v>0</v>
      </c>
      <c r="O29" s="11">
        <f>(Parameters_Public!$C$22*(L29-D29)+Parameters_Public!$C$23*(M29-E29))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7856987.5580402808</v>
      </c>
      <c r="V29" s="2">
        <f t="shared" si="4"/>
        <v>0</v>
      </c>
      <c r="W29" s="2">
        <f>U29+V29+IF(Parameters_Public!$C$26=1, T29, 0)</f>
        <v>7856987.5580402808</v>
      </c>
      <c r="X29" s="2">
        <f t="shared" si="5"/>
        <v>11176.36921485104</v>
      </c>
      <c r="Y29" s="2">
        <f>INDEX(YearMap!$I$2:$I$6, MATCH(C29, YearMap!$A$2:$A$6, 0))</f>
        <v>5215.5252</v>
      </c>
      <c r="Z29" s="2">
        <f>W29 - ((Y29 + IF(Parameters_Public!$C$20=1, Parameters_Public!$C$19, 0))*AC29)</f>
        <v>3661852.4924402805</v>
      </c>
      <c r="AA29" s="2">
        <f t="shared" si="6"/>
        <v>5208.8940148510392</v>
      </c>
      <c r="AB29">
        <f>MAX(0, (MAX(0, $D29-BaselineCalc!$B$7) + MAX(0, $E29-BaselineCalc!$B$8)))</f>
        <v>150</v>
      </c>
      <c r="AC29">
        <f t="shared" si="7"/>
        <v>703</v>
      </c>
      <c r="AD29" s="2">
        <f>(Y29 + IF(Parameters_Public!$C$20=1, Parameters_Public!$C$19, 0))*AC29</f>
        <v>4195135.0656000003</v>
      </c>
      <c r="AE29" s="2">
        <f>W29 - (1-Other_Parameters!$B$2)*$G29*$AB29*$J29*(1-$K29)</f>
        <v>7254701.1300895587</v>
      </c>
      <c r="AF29" s="2">
        <f t="shared" si="8"/>
        <v>-3059566.0644895583</v>
      </c>
      <c r="AG29" t="str">
        <f t="shared" si="9"/>
        <v>G_EchoGHubRamp_PimaTargets|FY2028</v>
      </c>
    </row>
    <row r="30" spans="1:33" x14ac:dyDescent="0.35">
      <c r="A30" t="str">
        <f t="shared" si="0"/>
        <v>G_EchoGHubRamp_PimaTargets|FY2029</v>
      </c>
      <c r="B30" t="str">
        <f>Scenarios!A7</f>
        <v>G_EchoGHubRamp_PimaTargets</v>
      </c>
      <c r="C30" t="s">
        <v>69</v>
      </c>
      <c r="D30">
        <f>IF(Scenarios!D7=1,0, L30)</f>
        <v>362</v>
      </c>
      <c r="E30">
        <f>IF(Scenarios!E7=1,0, M30)</f>
        <v>341</v>
      </c>
      <c r="F30">
        <f t="shared" si="1"/>
        <v>703</v>
      </c>
      <c r="G30" s="2">
        <f>YearMap!B5</f>
        <v>6907.7272983046851</v>
      </c>
      <c r="H30" s="2">
        <f>YearMap!C5</f>
        <v>1512280.5948251483</v>
      </c>
      <c r="I30" s="2">
        <f>YearMap!D5</f>
        <v>1741770.6461799373</v>
      </c>
      <c r="J30">
        <f>1-BaselineCalc!$B$5</f>
        <v>0.99299999999999999</v>
      </c>
      <c r="K30">
        <f>Scenarios!G7</f>
        <v>0</v>
      </c>
      <c r="L30">
        <f>BaselineCalc!$B$7 + ROUND(Scenarios!L7*Scenarios!F7,0)</f>
        <v>362</v>
      </c>
      <c r="M30">
        <f>BaselineCalc!$B$8 + Scenarios!L7 - ROUND(Scenarios!L7*Scenarios!F7,0)</f>
        <v>341</v>
      </c>
      <c r="N30" s="11">
        <f t="shared" si="2"/>
        <v>0</v>
      </c>
      <c r="O30" s="11">
        <f>(Parameters_Public!$C$22*(L30-D30)+Parameters_Public!$C$23*(M30-E30))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8053412.2469912861</v>
      </c>
      <c r="V30" s="2">
        <f t="shared" si="4"/>
        <v>0</v>
      </c>
      <c r="W30" s="2">
        <f>U30+V30+IF(Parameters_Public!$C$26=1, T30, 0)</f>
        <v>8053412.2469912861</v>
      </c>
      <c r="X30" s="2">
        <f t="shared" si="5"/>
        <v>11455.778445222313</v>
      </c>
      <c r="Y30" s="2">
        <f>INDEX(YearMap!$I$2:$I$6, MATCH(C30, YearMap!$A$2:$A$6, 0))</f>
        <v>5319.8357040000001</v>
      </c>
      <c r="Z30" s="2">
        <f>W30 - ((Y30 + IF(Parameters_Public!$C$20=1, Parameters_Public!$C$19, 0))*AC30)</f>
        <v>3784946.8970792862</v>
      </c>
      <c r="AA30" s="2">
        <f t="shared" si="6"/>
        <v>5383.9927412223133</v>
      </c>
      <c r="AB30">
        <f>MAX(0, (MAX(0, $D30-BaselineCalc!$B$7) + MAX(0, $E30-BaselineCalc!$B$8)))</f>
        <v>150</v>
      </c>
      <c r="AC30">
        <f t="shared" si="7"/>
        <v>703</v>
      </c>
      <c r="AD30" s="2">
        <f>(Y30 + IF(Parameters_Public!$C$20=1, Parameters_Public!$C$19, 0))*AC30</f>
        <v>4268465.3499119999</v>
      </c>
      <c r="AE30" s="2">
        <f>W30 - (1-Other_Parameters!$B$2)*$G30*$AB30*$J30*(1-$K30)</f>
        <v>7436068.6583417961</v>
      </c>
      <c r="AF30" s="2">
        <f t="shared" si="8"/>
        <v>-3167603.3084297962</v>
      </c>
      <c r="AG30" t="str">
        <f t="shared" si="9"/>
        <v>G_EchoGHubRamp_PimaTargets|FY2029</v>
      </c>
    </row>
    <row r="31" spans="1:33" x14ac:dyDescent="0.35">
      <c r="A31" t="str">
        <f t="shared" si="0"/>
        <v>G_EchoGHubRamp_PimaTargets|FY2030</v>
      </c>
      <c r="B31" t="str">
        <f>Scenarios!A7</f>
        <v>G_EchoGHubRamp_PimaTargets</v>
      </c>
      <c r="C31" t="s">
        <v>70</v>
      </c>
      <c r="D31">
        <f>IF(Scenarios!D7=1,0, L31)</f>
        <v>362</v>
      </c>
      <c r="E31">
        <f>IF(Scenarios!E7=1,0, M31)</f>
        <v>341</v>
      </c>
      <c r="F31">
        <f t="shared" si="1"/>
        <v>703</v>
      </c>
      <c r="G31" s="2">
        <f>YearMap!B6</f>
        <v>7080.4204807623018</v>
      </c>
      <c r="H31" s="2">
        <f>YearMap!C6</f>
        <v>1550087.6096957768</v>
      </c>
      <c r="I31" s="2">
        <f>YearMap!D6</f>
        <v>1785314.9123344356</v>
      </c>
      <c r="J31">
        <f>1-BaselineCalc!$B$5</f>
        <v>0.99299999999999999</v>
      </c>
      <c r="K31">
        <f>Scenarios!G7</f>
        <v>0</v>
      </c>
      <c r="L31">
        <f>BaselineCalc!$B$7 + ROUND(Scenarios!M7*Scenarios!F7,0)</f>
        <v>362</v>
      </c>
      <c r="M31">
        <f>BaselineCalc!$B$8 + Scenarios!M7 - ROUND(Scenarios!M7*Scenarios!F7,0)</f>
        <v>341</v>
      </c>
      <c r="N31" s="11">
        <f t="shared" si="2"/>
        <v>0</v>
      </c>
      <c r="O31" s="11">
        <f>(Parameters_Public!$C$22*(L31-D31)+Parameters_Public!$C$23*(M31-E31))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8254747.5531660682</v>
      </c>
      <c r="V31" s="2">
        <f t="shared" si="4"/>
        <v>0</v>
      </c>
      <c r="W31" s="2">
        <f>U31+V31+IF(Parameters_Public!$C$26=1, T31, 0)</f>
        <v>8254747.5531660682</v>
      </c>
      <c r="X31" s="2">
        <f t="shared" si="5"/>
        <v>11742.172906352871</v>
      </c>
      <c r="Y31" s="2">
        <f>INDEX(YearMap!$I$2:$I$6, MATCH(C31, YearMap!$A$2:$A$6, 0))</f>
        <v>5426.2324180799997</v>
      </c>
      <c r="Z31" s="2">
        <f>W31 - ((Y31 + IF(Parameters_Public!$C$20=1, Parameters_Public!$C$19, 0))*AC31)</f>
        <v>3911485.3132558288</v>
      </c>
      <c r="AA31" s="2">
        <f t="shared" si="6"/>
        <v>5563.9904882728715</v>
      </c>
      <c r="AB31">
        <f>MAX(0, (MAX(0, $D31-BaselineCalc!$B$7) + MAX(0, $E31-BaselineCalc!$B$8)))</f>
        <v>150</v>
      </c>
      <c r="AC31">
        <f t="shared" si="7"/>
        <v>703</v>
      </c>
      <c r="AD31" s="2">
        <f>(Y31 + IF(Parameters_Public!$C$20=1, Parameters_Public!$C$19, 0))*AC31</f>
        <v>4343262.2399102394</v>
      </c>
      <c r="AE31" s="2">
        <f>W31 - (1-Other_Parameters!$B$2)*$G31*$AB31*$J31*(1-$K31)</f>
        <v>7621970.3748003412</v>
      </c>
      <c r="AF31" s="2">
        <f t="shared" si="8"/>
        <v>-3278708.1348901019</v>
      </c>
      <c r="AG31" t="str">
        <f t="shared" si="9"/>
        <v>G_EchoGHubRamp_PimaTargets|FY2030</v>
      </c>
    </row>
    <row r="32" spans="1:33" x14ac:dyDescent="0.35">
      <c r="A32" t="str">
        <f t="shared" si="0"/>
        <v>A_Repurpose_Both_lease|FY2026</v>
      </c>
      <c r="B32" t="str">
        <f>Scenarios!A8</f>
        <v>A_Repurpose_Both_lease</v>
      </c>
      <c r="C32" t="s">
        <v>66</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BaselineCalc!$B$7 + ROUND(Scenarios!I8*Scenarios!F8,0)</f>
        <v>257</v>
      </c>
      <c r="M32">
        <f>BaselineCalc!$B$8 + Scenarios!I8 - ROUND(Scenarios!I8*Scenarios!F8,0)</f>
        <v>296</v>
      </c>
      <c r="N32" s="11">
        <f t="shared" si="2"/>
        <v>553</v>
      </c>
      <c r="O32" s="11">
        <f>(Parameters_Public!$C$22*(L32-D32)+Parameters_Public!$C$23*(M32-E32))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U32+V32+IF(Parameters_Public!$C$26=1, T32, 0)</f>
        <v>4209032.0047165994</v>
      </c>
      <c r="X32" s="2">
        <f t="shared" si="5"/>
        <v>10372.183353170527</v>
      </c>
      <c r="Y32" s="2">
        <f>INDEX(YearMap!$I$2:$I$6, MATCH(C32, YearMap!$A$2:$A$6, 0))</f>
        <v>5013</v>
      </c>
      <c r="Z32" s="2">
        <f>W32 - ((Y32 + IF(Parameters_Public!$C$20=1, Parameters_Public!$C$19, 0))*AC32)</f>
        <v>1869615.2947165999</v>
      </c>
      <c r="AA32" s="2">
        <f t="shared" si="6"/>
        <v>4607.2333531705272</v>
      </c>
      <c r="AB32">
        <f>MAX(0, (MAX(0, $D32-BaselineCalc!$B$7) + MAX(0, $E32-BaselineCalc!$B$8)))</f>
        <v>0</v>
      </c>
      <c r="AC32">
        <f t="shared" si="7"/>
        <v>405.79999999999995</v>
      </c>
      <c r="AD32" s="2">
        <f>(Y32 + IF(Parameters_Public!$C$20=1, Parameters_Public!$C$19, 0))*AC32</f>
        <v>2339416.7099999995</v>
      </c>
      <c r="AE32" s="2">
        <f>W32 - (1-Other_Parameters!$B$2)*$G32*$AB32*$J32*(1-$K32)</f>
        <v>4209032.0047165994</v>
      </c>
      <c r="AF32" s="2">
        <f t="shared" si="8"/>
        <v>-1869615.2947165999</v>
      </c>
      <c r="AG32" t="str">
        <f t="shared" si="9"/>
        <v>A_Repurpose_Both_lease|FY2026</v>
      </c>
    </row>
    <row r="33" spans="1:33" x14ac:dyDescent="0.35">
      <c r="A33" t="str">
        <f t="shared" ref="A33:A62" si="10">AG33</f>
        <v>A_Repurpose_Both_lease|FY2027</v>
      </c>
      <c r="B33" t="str">
        <f>Scenarios!A8</f>
        <v>A_Repurpose_Both_lease</v>
      </c>
      <c r="C33" t="s">
        <v>67</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BaselineCalc!$B$7 + ROUND(Scenarios!J8*Scenarios!F8,0)</f>
        <v>257</v>
      </c>
      <c r="M33">
        <f>BaselineCalc!$B$8 + Scenarios!J8 - ROUND(Scenarios!J8*Scenarios!F8,0)</f>
        <v>296</v>
      </c>
      <c r="N33" s="11">
        <f t="shared" si="2"/>
        <v>553</v>
      </c>
      <c r="O33" s="11">
        <f>(Parameters_Public!$C$22*(L33-D33)+Parameters_Public!$C$23*(M33-E33))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U33+V33+IF(Parameters_Public!$C$26=1, T33, 0)</f>
        <v>3915395.6000927608</v>
      </c>
      <c r="X33" s="2">
        <f t="shared" si="5"/>
        <v>9648.5845246248427</v>
      </c>
      <c r="Y33" s="2">
        <f>INDEX(YearMap!$I$2:$I$6, MATCH(C33, YearMap!$A$2:$A$6, 0))</f>
        <v>5113.26</v>
      </c>
      <c r="Z33" s="2">
        <f>W33 - ((Y33 + IF(Parameters_Public!$C$20=1, Parameters_Public!$C$19, 0))*AC33)</f>
        <v>1535293.3820927609</v>
      </c>
      <c r="AA33" s="2">
        <f t="shared" si="6"/>
        <v>3783.3745246248423</v>
      </c>
      <c r="AB33">
        <f>MAX(0, (MAX(0, $D33-BaselineCalc!$B$7) + MAX(0, $E33-BaselineCalc!$B$8)))</f>
        <v>0</v>
      </c>
      <c r="AC33">
        <f t="shared" si="7"/>
        <v>405.79999999999995</v>
      </c>
      <c r="AD33" s="2">
        <f>(Y33 + IF(Parameters_Public!$C$20=1, Parameters_Public!$C$19, 0))*AC33</f>
        <v>2380102.2179999999</v>
      </c>
      <c r="AE33" s="2">
        <f>W33 - (1-Other_Parameters!$B$2)*$G33*$AB33*$J33*(1-$K33)</f>
        <v>3915395.6000927608</v>
      </c>
      <c r="AF33" s="2">
        <f t="shared" si="8"/>
        <v>-1535293.3820927609</v>
      </c>
      <c r="AG33" t="str">
        <f t="shared" si="9"/>
        <v>A_Repurpose_Both_lease|FY2027</v>
      </c>
    </row>
    <row r="34" spans="1:33" x14ac:dyDescent="0.35">
      <c r="A34" t="str">
        <f t="shared" si="10"/>
        <v>A_Repurpose_Both_lease|FY2028</v>
      </c>
      <c r="B34" t="str">
        <f>Scenarios!A8</f>
        <v>A_Repurpose_Both_lease</v>
      </c>
      <c r="C34" t="s">
        <v>68</v>
      </c>
      <c r="D34">
        <f>IF(Scenarios!D8=1,0, L34)</f>
        <v>0</v>
      </c>
      <c r="E34">
        <f>IF(Scenarios!E8=1,0, M34)</f>
        <v>0</v>
      </c>
      <c r="F34">
        <f t="shared" ref="F34:F62" si="11">D34+E34</f>
        <v>0</v>
      </c>
      <c r="G34" s="2">
        <f>YearMap!B4</f>
        <v>6739.2461446874986</v>
      </c>
      <c r="H34" s="2">
        <f>YearMap!C4</f>
        <v>1475395.7022684375</v>
      </c>
      <c r="I34" s="2">
        <f>YearMap!D4</f>
        <v>1699288.4352975001</v>
      </c>
      <c r="J34">
        <f>1-BaselineCalc!$B$5</f>
        <v>0.99299999999999999</v>
      </c>
      <c r="K34">
        <f>Scenarios!G8</f>
        <v>0</v>
      </c>
      <c r="L34">
        <f>BaselineCalc!$B$7 + ROUND(Scenarios!K8*Scenarios!F8,0)</f>
        <v>257</v>
      </c>
      <c r="M34">
        <f>BaselineCalc!$B$8 + Scenarios!K8 - ROUND(Scenarios!K8*Scenarios!F8,0)</f>
        <v>296</v>
      </c>
      <c r="N34" s="11">
        <f t="shared" ref="N34:N61" si="12">(L34-D34) + (M34-E34)</f>
        <v>553</v>
      </c>
      <c r="O34" s="11">
        <f>(Parameters_Public!$C$22*(L34-D34)+Parameters_Public!$C$23*(M34-E34))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1" si="13">(R34+S34+G34*F34)*J34*(1-K34)</f>
        <v>630492.26972059521</v>
      </c>
      <c r="V34" s="2">
        <f t="shared" ref="V34:V61" si="14">O34*(G34+P34)</f>
        <v>2978266.0855141864</v>
      </c>
      <c r="W34" s="2">
        <f>U34+V34+IF(Parameters_Public!$C$26=1, T34, 0)</f>
        <v>3608758.3552347817</v>
      </c>
      <c r="X34" s="2">
        <f t="shared" ref="X34:X61" si="15">IF(F34+O34&gt;0, W34/(F34+O34),"")</f>
        <v>8892.9481400561417</v>
      </c>
      <c r="Y34" s="2">
        <f>INDEX(YearMap!$I$2:$I$6, MATCH(C34, YearMap!$A$2:$A$6, 0))</f>
        <v>5215.5252</v>
      </c>
      <c r="Z34" s="2">
        <f>W34 - ((Y34 + IF(Parameters_Public!$C$20=1, Parameters_Public!$C$19, 0))*AC34)</f>
        <v>1187156.9190747822</v>
      </c>
      <c r="AA34" s="2">
        <f t="shared" ref="AA34:AA61" si="16">IF($AC34&gt;0, $Z34/$AC34, 0)</f>
        <v>2925.4729400561419</v>
      </c>
      <c r="AB34">
        <f>MAX(0, (MAX(0, $D34-BaselineCalc!$B$7) + MAX(0, $E34-BaselineCalc!$B$8)))</f>
        <v>0</v>
      </c>
      <c r="AC34">
        <f t="shared" ref="AC34:AC61" si="17">IF(LEFT($B34,2)="A_", $O34, IF(LEFT($B34,2)="B_", $M34+$O34, IF(LEFT($B34,2)="C_", $L34+$O34, $F34)))</f>
        <v>405.79999999999995</v>
      </c>
      <c r="AD34" s="2">
        <f>(Y34 + IF(Parameters_Public!$C$20=1, Parameters_Public!$C$19, 0))*AC34</f>
        <v>2421601.4361599996</v>
      </c>
      <c r="AE34" s="2">
        <f>W34 - (1-Other_Parameters!$B$2)*$G34*$AB34*$J34*(1-$K34)</f>
        <v>3608758.3552347817</v>
      </c>
      <c r="AF34" s="2">
        <f t="shared" ref="AF34:AF61" si="18">AD34-AE34</f>
        <v>-1187156.9190747822</v>
      </c>
      <c r="AG34" t="str">
        <f t="shared" ref="AG34:AG62" si="19">B34&amp;"|"&amp;C34</f>
        <v>A_Repurpose_Both_lease|FY2028</v>
      </c>
    </row>
    <row r="35" spans="1:33" x14ac:dyDescent="0.35">
      <c r="A35" t="str">
        <f t="shared" si="10"/>
        <v>A_Repurpose_Both_lease|FY2029</v>
      </c>
      <c r="B35" t="str">
        <f>Scenarios!A8</f>
        <v>A_Repurpose_Both_lease</v>
      </c>
      <c r="C35" t="s">
        <v>69</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BaselineCalc!$B$7 + ROUND(Scenarios!L8*Scenarios!F8,0)</f>
        <v>257</v>
      </c>
      <c r="M35">
        <f>BaselineCalc!$B$8 + Scenarios!L8 - ROUND(Scenarios!L8*Scenarios!F8,0)</f>
        <v>296</v>
      </c>
      <c r="N35" s="11">
        <f t="shared" si="12"/>
        <v>553</v>
      </c>
      <c r="O35" s="11">
        <f>(Parameters_Public!$C$22*(L35-D35)+Parameters_Public!$C$23*(M35-E35))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5319.8357040000001</v>
      </c>
      <c r="Z35" s="2">
        <f>W35 - ((Y35 + IF(Parameters_Public!$C$20=1, Parameters_Public!$C$19, 0))*AC35)</f>
        <v>865252.3872006461</v>
      </c>
      <c r="AA35" s="2">
        <f t="shared" si="16"/>
        <v>2132.2138669311144</v>
      </c>
      <c r="AB35">
        <f>MAX(0, (MAX(0, $D35-BaselineCalc!$B$7) + MAX(0, $E35-BaselineCalc!$B$8)))</f>
        <v>0</v>
      </c>
      <c r="AC35">
        <f t="shared" si="17"/>
        <v>405.79999999999995</v>
      </c>
      <c r="AD35" s="2">
        <f>(Y35 + IF(Parameters_Public!$C$20=1, Parameters_Public!$C$19, 0))*AC35</f>
        <v>2463930.6386831999</v>
      </c>
      <c r="AE35" s="2">
        <f>W35 - (1-Other_Parameters!$B$2)*$G35*$AB35*$J35*(1-$K35)</f>
        <v>3329183.025883846</v>
      </c>
      <c r="AF35" s="2">
        <f t="shared" si="18"/>
        <v>-865252.3872006461</v>
      </c>
      <c r="AG35" t="str">
        <f t="shared" si="19"/>
        <v>A_Repurpose_Both_lease|FY2029</v>
      </c>
    </row>
    <row r="36" spans="1:33" x14ac:dyDescent="0.35">
      <c r="A36" t="str">
        <f t="shared" si="10"/>
        <v>A_Repurpose_Both_lease|FY2030</v>
      </c>
      <c r="B36" t="str">
        <f>Scenarios!A8</f>
        <v>A_Repurpose_Both_lease</v>
      </c>
      <c r="C36" t="s">
        <v>70</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BaselineCalc!$B$7 + ROUND(Scenarios!M8*Scenarios!F8,0)</f>
        <v>257</v>
      </c>
      <c r="M36">
        <f>BaselineCalc!$B$8 + Scenarios!M8 - ROUND(Scenarios!M8*Scenarios!F8,0)</f>
        <v>296</v>
      </c>
      <c r="N36" s="11">
        <f t="shared" si="12"/>
        <v>553</v>
      </c>
      <c r="O36" s="11">
        <f>(Parameters_Public!$C$22*(L36-D36)+Parameters_Public!$C$23*(M36-E36))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5426.2324180799997</v>
      </c>
      <c r="Z36" s="2">
        <f>W36 - ((Y36 + IF(Parameters_Public!$C$20=1, Parameters_Public!$C$19, 0))*AC36)</f>
        <v>819073.67627407843</v>
      </c>
      <c r="AA36" s="2">
        <f t="shared" si="16"/>
        <v>2018.4171421243925</v>
      </c>
      <c r="AB36">
        <f>MAX(0, (MAX(0, $D36-BaselineCalc!$B$7) + MAX(0, $E36-BaselineCalc!$B$8)))</f>
        <v>0</v>
      </c>
      <c r="AC36">
        <f t="shared" si="17"/>
        <v>405.79999999999995</v>
      </c>
      <c r="AD36" s="2">
        <f>(Y36 + IF(Parameters_Public!$C$20=1, Parameters_Public!$C$19, 0))*AC36</f>
        <v>2507106.4252568637</v>
      </c>
      <c r="AE36" s="2">
        <f>W36 - (1-Other_Parameters!$B$2)*$G36*$AB36*$J36*(1-$K36)</f>
        <v>3326180.1015309421</v>
      </c>
      <c r="AF36" s="2">
        <f t="shared" si="18"/>
        <v>-819073.67627407843</v>
      </c>
      <c r="AG36" t="str">
        <f t="shared" si="19"/>
        <v>A_Repurpose_Both_lease|FY2030</v>
      </c>
    </row>
    <row r="37" spans="1:33" x14ac:dyDescent="0.35">
      <c r="A37" t="str">
        <f t="shared" si="10"/>
        <v>A_Repurpose_Both_ops|FY2026</v>
      </c>
      <c r="B37" t="str">
        <f>Scenarios!A9</f>
        <v>A_Repurpose_Both_ops</v>
      </c>
      <c r="C37" t="s">
        <v>66</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BaselineCalc!$B$7 + ROUND(Scenarios!I9*Scenarios!F9,0)</f>
        <v>257</v>
      </c>
      <c r="M37">
        <f>BaselineCalc!$B$8 + Scenarios!I9 - ROUND(Scenarios!I9*Scenarios!F9,0)</f>
        <v>296</v>
      </c>
      <c r="N37" s="11">
        <f t="shared" si="12"/>
        <v>553</v>
      </c>
      <c r="O37" s="11">
        <f>(Parameters_Public!$C$22*(L37-D37)+Parameters_Public!$C$23*(M37-E37))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3"/>
        <v>1500279.04752075</v>
      </c>
      <c r="V37" s="2">
        <f t="shared" si="14"/>
        <v>3008808.7666999991</v>
      </c>
      <c r="W37" s="2">
        <f>U37+V37+IF(Parameters_Public!$C$26=1, T37, 0)</f>
        <v>4509087.8142207488</v>
      </c>
      <c r="X37" s="2">
        <f t="shared" si="15"/>
        <v>11111.601316463157</v>
      </c>
      <c r="Y37" s="2">
        <f>INDEX(YearMap!$I$2:$I$6, MATCH(C37, YearMap!$A$2:$A$6, 0))</f>
        <v>5013</v>
      </c>
      <c r="Z37" s="2">
        <f>W37 - ((Y37 + IF(Parameters_Public!$C$20=1, Parameters_Public!$C$19, 0))*AC37)</f>
        <v>2169671.1042207493</v>
      </c>
      <c r="AA37" s="2">
        <f t="shared" si="16"/>
        <v>5346.6513164631579</v>
      </c>
      <c r="AB37">
        <f>MAX(0, (MAX(0, $D37-BaselineCalc!$B$7) + MAX(0, $E37-BaselineCalc!$B$8)))</f>
        <v>0</v>
      </c>
      <c r="AC37">
        <f t="shared" si="17"/>
        <v>405.79999999999995</v>
      </c>
      <c r="AD37" s="2">
        <f>(Y37 + IF(Parameters_Public!$C$20=1, Parameters_Public!$C$19, 0))*AC37</f>
        <v>2339416.7099999995</v>
      </c>
      <c r="AE37" s="2">
        <f>W37 - (1-Other_Parameters!$B$2)*$G37*$AB37*$J37*(1-$K37)</f>
        <v>4509087.8142207488</v>
      </c>
      <c r="AF37" s="2">
        <f t="shared" si="18"/>
        <v>-2169671.1042207493</v>
      </c>
      <c r="AG37" t="str">
        <f t="shared" si="19"/>
        <v>A_Repurpose_Both_ops|FY2026</v>
      </c>
    </row>
    <row r="38" spans="1:33" x14ac:dyDescent="0.35">
      <c r="A38" t="str">
        <f t="shared" si="10"/>
        <v>A_Repurpose_Both_ops|FY2027</v>
      </c>
      <c r="B38" t="str">
        <f>Scenarios!A9</f>
        <v>A_Repurpose_Both_ops</v>
      </c>
      <c r="C38" t="s">
        <v>67</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BaselineCalc!$B$7 + ROUND(Scenarios!J9*Scenarios!F9,0)</f>
        <v>257</v>
      </c>
      <c r="M38">
        <f>BaselineCalc!$B$8 + Scenarios!J9 - ROUND(Scenarios!J9*Scenarios!F9,0)</f>
        <v>296</v>
      </c>
      <c r="N38" s="11">
        <f t="shared" si="12"/>
        <v>553</v>
      </c>
      <c r="O38" s="11">
        <f>(Parameters_Public!$C$22*(L38-D38)+Parameters_Public!$C$23*(M38-E38))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5113.26</v>
      </c>
      <c r="Z38" s="2">
        <f>W38 - ((Y38 + IF(Parameters_Public!$C$20=1, Parameters_Public!$C$19, 0))*AC38)</f>
        <v>1842850.586834515</v>
      </c>
      <c r="AA38" s="2">
        <f t="shared" si="16"/>
        <v>4541.2779369997907</v>
      </c>
      <c r="AB38">
        <f>MAX(0, (MAX(0, $D38-BaselineCalc!$B$7) + MAX(0, $E38-BaselineCalc!$B$8)))</f>
        <v>0</v>
      </c>
      <c r="AC38">
        <f t="shared" si="17"/>
        <v>405.79999999999995</v>
      </c>
      <c r="AD38" s="2">
        <f>(Y38 + IF(Parameters_Public!$C$20=1, Parameters_Public!$C$19, 0))*AC38</f>
        <v>2380102.2179999999</v>
      </c>
      <c r="AE38" s="2">
        <f>W38 - (1-Other_Parameters!$B$2)*$G38*$AB38*$J38*(1-$K38)</f>
        <v>4222952.8048345149</v>
      </c>
      <c r="AF38" s="2">
        <f t="shared" si="18"/>
        <v>-1842850.586834515</v>
      </c>
      <c r="AG38" t="str">
        <f t="shared" si="19"/>
        <v>A_Repurpose_Both_ops|FY2027</v>
      </c>
    </row>
    <row r="39" spans="1:33" x14ac:dyDescent="0.35">
      <c r="A39" t="str">
        <f t="shared" si="10"/>
        <v>A_Repurpose_Both_ops|FY2028</v>
      </c>
      <c r="B39" t="str">
        <f>Scenarios!A9</f>
        <v>A_Repurpose_Both_ops</v>
      </c>
      <c r="C39" t="s">
        <v>68</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BaselineCalc!$B$7 + ROUND(Scenarios!K9*Scenarios!F9,0)</f>
        <v>257</v>
      </c>
      <c r="M39">
        <f>BaselineCalc!$B$8 + Scenarios!K9 - ROUND(Scenarios!K9*Scenarios!F9,0)</f>
        <v>296</v>
      </c>
      <c r="N39" s="11">
        <f t="shared" si="12"/>
        <v>553</v>
      </c>
      <c r="O39" s="11">
        <f>(Parameters_Public!$C$22*(L39-D39)+Parameters_Public!$C$23*(M39-E39))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5215.5252</v>
      </c>
      <c r="Z39" s="2">
        <f>W39 - ((Y39 + IF(Parameters_Public!$C$20=1, Parameters_Public!$C$19, 0))*AC39)</f>
        <v>1660026.1213652282</v>
      </c>
      <c r="AA39" s="2">
        <f t="shared" si="16"/>
        <v>4090.7494365826228</v>
      </c>
      <c r="AB39">
        <f>MAX(0, (MAX(0, $D39-BaselineCalc!$B$7) + MAX(0, $E39-BaselineCalc!$B$8)))</f>
        <v>0</v>
      </c>
      <c r="AC39">
        <f t="shared" si="17"/>
        <v>405.79999999999995</v>
      </c>
      <c r="AD39" s="2">
        <f>(Y39 + IF(Parameters_Public!$C$20=1, Parameters_Public!$C$19, 0))*AC39</f>
        <v>2421601.4361599996</v>
      </c>
      <c r="AE39" s="2">
        <f>W39 - (1-Other_Parameters!$B$2)*$G39*$AB39*$J39*(1-$K39)</f>
        <v>4081627.5575252278</v>
      </c>
      <c r="AF39" s="2">
        <f t="shared" si="18"/>
        <v>-1660026.1213652282</v>
      </c>
      <c r="AG39" t="str">
        <f t="shared" si="19"/>
        <v>A_Repurpose_Both_ops|FY2028</v>
      </c>
    </row>
    <row r="40" spans="1:33" x14ac:dyDescent="0.35">
      <c r="A40" t="str">
        <f t="shared" si="10"/>
        <v>A_Repurpose_Both_ops|FY2029</v>
      </c>
      <c r="B40" t="str">
        <f>Scenarios!A9</f>
        <v>A_Repurpose_Both_ops</v>
      </c>
      <c r="C40" t="s">
        <v>69</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BaselineCalc!$B$7 + ROUND(Scenarios!L9*Scenarios!F9,0)</f>
        <v>257</v>
      </c>
      <c r="M40">
        <f>BaselineCalc!$B$8 + Scenarios!L9 - ROUND(Scenarios!L9*Scenarios!F9,0)</f>
        <v>296</v>
      </c>
      <c r="N40" s="11">
        <f t="shared" si="12"/>
        <v>553</v>
      </c>
      <c r="O40" s="11">
        <f>(Parameters_Public!$C$22*(L40-D40)+Parameters_Public!$C$23*(M40-E40))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5319.8357040000001</v>
      </c>
      <c r="Z40" s="2">
        <f>W40 - ((Y40 + IF(Parameters_Public!$C$20=1, Parameters_Public!$C$19, 0))*AC40)</f>
        <v>1511506.963664256</v>
      </c>
      <c r="AA40" s="2">
        <f t="shared" si="16"/>
        <v>3724.7584121839727</v>
      </c>
      <c r="AB40">
        <f>MAX(0, (MAX(0, $D40-BaselineCalc!$B$7) + MAX(0, $E40-BaselineCalc!$B$8)))</f>
        <v>0</v>
      </c>
      <c r="AC40">
        <f t="shared" si="17"/>
        <v>405.79999999999995</v>
      </c>
      <c r="AD40" s="2">
        <f>(Y40 + IF(Parameters_Public!$C$20=1, Parameters_Public!$C$19, 0))*AC40</f>
        <v>2463930.6386831999</v>
      </c>
      <c r="AE40" s="2">
        <f>W40 - (1-Other_Parameters!$B$2)*$G40*$AB40*$J40*(1-$K40)</f>
        <v>3975437.6023474559</v>
      </c>
      <c r="AF40" s="2">
        <f t="shared" si="18"/>
        <v>-1511506.963664256</v>
      </c>
      <c r="AG40" t="str">
        <f t="shared" si="19"/>
        <v>A_Repurpose_Both_ops|FY2029</v>
      </c>
    </row>
    <row r="41" spans="1:33" x14ac:dyDescent="0.35">
      <c r="A41" t="str">
        <f t="shared" si="10"/>
        <v>A_Repurpose_Both_ops|FY2030</v>
      </c>
      <c r="B41" t="str">
        <f>Scenarios!A9</f>
        <v>A_Repurpose_Both_ops</v>
      </c>
      <c r="C41" t="s">
        <v>70</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BaselineCalc!$B$7 + ROUND(Scenarios!M9*Scenarios!F9,0)</f>
        <v>257</v>
      </c>
      <c r="M41">
        <f>BaselineCalc!$B$8 + Scenarios!M9 - ROUND(Scenarios!M9*Scenarios!F9,0)</f>
        <v>296</v>
      </c>
      <c r="N41" s="11">
        <f t="shared" si="12"/>
        <v>553</v>
      </c>
      <c r="O41" s="11">
        <f>(Parameters_Public!$C$22*(L41-D41)+Parameters_Public!$C$23*(M41-E41))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5426.2324180799997</v>
      </c>
      <c r="Z41" s="2">
        <f>W41 - ((Y41 + IF(Parameters_Public!$C$20=1, Parameters_Public!$C$19, 0))*AC41)</f>
        <v>1481484.6171492785</v>
      </c>
      <c r="AA41" s="2">
        <f t="shared" si="16"/>
        <v>3650.7753010085726</v>
      </c>
      <c r="AB41">
        <f>MAX(0, (MAX(0, $D41-BaselineCalc!$B$7) + MAX(0, $E41-BaselineCalc!$B$8)))</f>
        <v>0</v>
      </c>
      <c r="AC41">
        <f t="shared" si="17"/>
        <v>405.79999999999995</v>
      </c>
      <c r="AD41" s="2">
        <f>(Y41 + IF(Parameters_Public!$C$20=1, Parameters_Public!$C$19, 0))*AC41</f>
        <v>2507106.4252568637</v>
      </c>
      <c r="AE41" s="2">
        <f>W41 - (1-Other_Parameters!$B$2)*$G41*$AB41*$J41*(1-$K41)</f>
        <v>3988591.0424061422</v>
      </c>
      <c r="AF41" s="2">
        <f t="shared" si="18"/>
        <v>-1481484.6171492785</v>
      </c>
      <c r="AG41" t="str">
        <f t="shared" si="19"/>
        <v>A_Repurpose_Both_ops|FY2030</v>
      </c>
    </row>
    <row r="42" spans="1:33" x14ac:dyDescent="0.35">
      <c r="A42" t="str">
        <f t="shared" si="10"/>
        <v>B_Repurpose_Echo_lease_PimaTargets|FY2026</v>
      </c>
      <c r="B42" t="str">
        <f>Scenarios!A10</f>
        <v>B_Repurpose_Echo_lease_PimaTargets</v>
      </c>
      <c r="C42" t="s">
        <v>66</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BaselineCalc!$B$7 + ROUND(Scenarios!I10*Scenarios!F10,0)</f>
        <v>257</v>
      </c>
      <c r="M42">
        <f>BaselineCalc!$B$8 + Scenarios!I10 - ROUND(Scenarios!I10*Scenarios!F10,0)</f>
        <v>296</v>
      </c>
      <c r="N42" s="11">
        <f t="shared" si="12"/>
        <v>257</v>
      </c>
      <c r="O42" s="11">
        <f>(Parameters_Public!$C$22*(L42-D42)+Parameters_Public!$C$23*(M42-E42))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3"/>
        <v>4049278.9815653996</v>
      </c>
      <c r="V42" s="2">
        <f t="shared" si="14"/>
        <v>1143317.6732999997</v>
      </c>
      <c r="W42" s="2">
        <f>U42+V42+IF(Parameters_Public!$C$26=1, T42, 0)</f>
        <v>5192596.654865399</v>
      </c>
      <c r="X42" s="2">
        <f t="shared" si="15"/>
        <v>11533.977465271877</v>
      </c>
      <c r="Y42" s="2">
        <f>INDEX(YearMap!$I$2:$I$6, MATCH(C42, YearMap!$A$2:$A$6, 0))</f>
        <v>5013</v>
      </c>
      <c r="Z42" s="2">
        <f>W42 - ((Y42 + IF(Parameters_Public!$C$20=1, Parameters_Public!$C$19, 0))*AC42)</f>
        <v>2597216.1648653992</v>
      </c>
      <c r="AA42" s="2">
        <f t="shared" si="16"/>
        <v>5769.0274652718772</v>
      </c>
      <c r="AB42">
        <f>MAX(0, (MAX(0, $D42-BaselineCalc!$B$7) + MAX(0, $E42-BaselineCalc!$B$8)))</f>
        <v>0</v>
      </c>
      <c r="AC42">
        <f t="shared" si="17"/>
        <v>450.2</v>
      </c>
      <c r="AD42" s="2">
        <f>(Y42 + IF(Parameters_Public!$C$20=1, Parameters_Public!$C$19, 0))*AC42</f>
        <v>2595380.4899999998</v>
      </c>
      <c r="AE42" s="2">
        <f>W42 - (1-Other_Parameters!$B$2)*$G42*$AB42*$J42*(1-$K42)</f>
        <v>5192596.654865399</v>
      </c>
      <c r="AF42" s="2">
        <f t="shared" si="18"/>
        <v>-2597216.1648653992</v>
      </c>
      <c r="AG42" t="str">
        <f t="shared" si="19"/>
        <v>B_Repurpose_Echo_lease_PimaTargets|FY2026</v>
      </c>
    </row>
    <row r="43" spans="1:33" x14ac:dyDescent="0.35">
      <c r="A43" t="str">
        <f t="shared" si="10"/>
        <v>B_Repurpose_Echo_lease_PimaTargets|FY2027</v>
      </c>
      <c r="B43" t="str">
        <f>Scenarios!A10</f>
        <v>B_Repurpose_Echo_lease_PimaTargets</v>
      </c>
      <c r="C43" t="s">
        <v>67</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BaselineCalc!$B$7 + ROUND(Scenarios!J10*Scenarios!F10,0)</f>
        <v>257</v>
      </c>
      <c r="M43">
        <f>BaselineCalc!$B$8 + Scenarios!J10 - ROUND(Scenarios!J10*Scenarios!F10,0)</f>
        <v>296</v>
      </c>
      <c r="N43" s="11">
        <f t="shared" si="12"/>
        <v>257</v>
      </c>
      <c r="O43" s="11">
        <f>(Parameters_Public!$C$22*(L43-D43)+Parameters_Public!$C$23*(M43-E43))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3"/>
        <v>4007577.4992896514</v>
      </c>
      <c r="V43" s="2">
        <f t="shared" si="14"/>
        <v>1137205.6151324997</v>
      </c>
      <c r="W43" s="2">
        <f>U43+V43+IF(Parameters_Public!$C$26=1, T43, 0)</f>
        <v>5144783.1144221509</v>
      </c>
      <c r="X43" s="2">
        <f t="shared" si="15"/>
        <v>11427.772355446803</v>
      </c>
      <c r="Y43" s="2">
        <f>INDEX(YearMap!$I$2:$I$6, MATCH(C43, YearMap!$A$2:$A$6, 0))</f>
        <v>5113.26</v>
      </c>
      <c r="Z43" s="2">
        <f>W43 - ((Y43 + IF(Parameters_Public!$C$20=1, Parameters_Public!$C$19, 0))*AC43)</f>
        <v>2504265.572422151</v>
      </c>
      <c r="AA43" s="2">
        <f t="shared" si="16"/>
        <v>5562.5623554468038</v>
      </c>
      <c r="AB43">
        <f>MAX(0, (MAX(0, $D43-BaselineCalc!$B$7) + MAX(0, $E43-BaselineCalc!$B$8)))</f>
        <v>0</v>
      </c>
      <c r="AC43">
        <f t="shared" si="17"/>
        <v>450.2</v>
      </c>
      <c r="AD43" s="2">
        <f>(Y43 + IF(Parameters_Public!$C$20=1, Parameters_Public!$C$19, 0))*AC43</f>
        <v>2640517.5419999999</v>
      </c>
      <c r="AE43" s="2">
        <f>W43 - (1-Other_Parameters!$B$2)*$G43*$AB43*$J43*(1-$K43)</f>
        <v>5144783.1144221509</v>
      </c>
      <c r="AF43" s="2">
        <f t="shared" si="18"/>
        <v>-2504265.572422151</v>
      </c>
      <c r="AG43" t="str">
        <f t="shared" si="19"/>
        <v>B_Repurpose_Echo_lease_PimaTargets|FY2027</v>
      </c>
    </row>
    <row r="44" spans="1:33" x14ac:dyDescent="0.35">
      <c r="A44" t="str">
        <f t="shared" si="10"/>
        <v>B_Repurpose_Echo_lease_PimaTargets|FY2028</v>
      </c>
      <c r="B44" t="str">
        <f>Scenarios!A10</f>
        <v>B_Repurpose_Echo_lease_PimaTargets</v>
      </c>
      <c r="C44" t="s">
        <v>68</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BaselineCalc!$B$7 + ROUND(Scenarios!K10*Scenarios!F10,0)</f>
        <v>257</v>
      </c>
      <c r="M44">
        <f>BaselineCalc!$B$8 + Scenarios!K10 - ROUND(Scenarios!K10*Scenarios!F10,0)</f>
        <v>296</v>
      </c>
      <c r="N44" s="11">
        <f t="shared" si="12"/>
        <v>257</v>
      </c>
      <c r="O44" s="11">
        <f>(Parameters_Public!$C$22*(L44-D44)+Parameters_Public!$C$23*(M44-E44))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3"/>
        <v>3961260.1435366366</v>
      </c>
      <c r="V44" s="2">
        <f t="shared" si="14"/>
        <v>1131711.7555108122</v>
      </c>
      <c r="W44" s="2">
        <f>U44+V44+IF(Parameters_Public!$C$26=1, T44, 0)</f>
        <v>5092971.8990474492</v>
      </c>
      <c r="X44" s="2">
        <f t="shared" si="15"/>
        <v>11312.687470118724</v>
      </c>
      <c r="Y44" s="2">
        <f>INDEX(YearMap!$I$2:$I$6, MATCH(C44, YearMap!$A$2:$A$6, 0))</f>
        <v>5215.5252</v>
      </c>
      <c r="Z44" s="2">
        <f>W44 - ((Y44 + IF(Parameters_Public!$C$20=1, Parameters_Public!$C$19, 0))*AC44)</f>
        <v>2406414.5640074494</v>
      </c>
      <c r="AA44" s="2">
        <f t="shared" si="16"/>
        <v>5345.2122701187236</v>
      </c>
      <c r="AB44">
        <f>MAX(0, (MAX(0, $D44-BaselineCalc!$B$7) + MAX(0, $E44-BaselineCalc!$B$8)))</f>
        <v>0</v>
      </c>
      <c r="AC44">
        <f t="shared" si="17"/>
        <v>450.2</v>
      </c>
      <c r="AD44" s="2">
        <f>(Y44 + IF(Parameters_Public!$C$20=1, Parameters_Public!$C$19, 0))*AC44</f>
        <v>2686557.3350399998</v>
      </c>
      <c r="AE44" s="2">
        <f>W44 - (1-Other_Parameters!$B$2)*$G44*$AB44*$J44*(1-$K44)</f>
        <v>5092971.8990474492</v>
      </c>
      <c r="AF44" s="2">
        <f t="shared" si="18"/>
        <v>-2406414.5640074494</v>
      </c>
      <c r="AG44" t="str">
        <f t="shared" si="19"/>
        <v>B_Repurpose_Echo_lease_PimaTargets|FY2028</v>
      </c>
    </row>
    <row r="45" spans="1:33" x14ac:dyDescent="0.35">
      <c r="A45" t="str">
        <f t="shared" si="10"/>
        <v>B_Repurpose_Echo_lease_PimaTargets|FY2029</v>
      </c>
      <c r="B45" t="str">
        <f>Scenarios!A10</f>
        <v>B_Repurpose_Echo_lease_PimaTargets</v>
      </c>
      <c r="C45" t="s">
        <v>69</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BaselineCalc!$B$7 + ROUND(Scenarios!L10*Scenarios!F10,0)</f>
        <v>257</v>
      </c>
      <c r="M45">
        <f>BaselineCalc!$B$8 + Scenarios!L10 - ROUND(Scenarios!L10*Scenarios!F10,0)</f>
        <v>296</v>
      </c>
      <c r="N45" s="11">
        <f t="shared" si="12"/>
        <v>257</v>
      </c>
      <c r="O45" s="11">
        <f>(Parameters_Public!$C$22*(L45-D45)+Parameters_Public!$C$23*(M45-E45))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5319.8357040000001</v>
      </c>
      <c r="Z45" s="2">
        <f>W45 - ((Y45 + IF(Parameters_Public!$C$20=1, Parameters_Public!$C$19, 0))*AC45)</f>
        <v>2318875.8095166967</v>
      </c>
      <c r="AA45" s="2">
        <f t="shared" si="16"/>
        <v>5150.7681242041244</v>
      </c>
      <c r="AB45">
        <f>MAX(0, (MAX(0, $D45-BaselineCalc!$B$7) + MAX(0, $E45-BaselineCalc!$B$8)))</f>
        <v>0</v>
      </c>
      <c r="AC45">
        <f t="shared" si="17"/>
        <v>450.2</v>
      </c>
      <c r="AD45" s="2">
        <f>(Y45 + IF(Parameters_Public!$C$20=1, Parameters_Public!$C$19, 0))*AC45</f>
        <v>2733517.9239407997</v>
      </c>
      <c r="AE45" s="2">
        <f>W45 - (1-Other_Parameters!$B$2)*$G45*$AB45*$J45*(1-$K45)</f>
        <v>5052393.7334574964</v>
      </c>
      <c r="AF45" s="2">
        <f t="shared" si="18"/>
        <v>-2318875.8095166967</v>
      </c>
      <c r="AG45" t="str">
        <f t="shared" si="19"/>
        <v>B_Repurpose_Echo_lease_PimaTargets|FY2029</v>
      </c>
    </row>
    <row r="46" spans="1:33" x14ac:dyDescent="0.35">
      <c r="A46" t="str">
        <f t="shared" si="10"/>
        <v>B_Repurpose_Echo_lease_PimaTargets|FY2030</v>
      </c>
      <c r="B46" t="str">
        <f>Scenarios!A10</f>
        <v>B_Repurpose_Echo_lease_PimaTargets</v>
      </c>
      <c r="C46" t="s">
        <v>70</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BaselineCalc!$B$7 + ROUND(Scenarios!M10*Scenarios!F10,0)</f>
        <v>257</v>
      </c>
      <c r="M46">
        <f>BaselineCalc!$B$8 + Scenarios!M10 - ROUND(Scenarios!M10*Scenarios!F10,0)</f>
        <v>296</v>
      </c>
      <c r="N46" s="11">
        <f t="shared" si="12"/>
        <v>257</v>
      </c>
      <c r="O46" s="11">
        <f>(Parameters_Public!$C$22*(L46-D46)+Parameters_Public!$C$23*(M46-E46))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5426.2324180799997</v>
      </c>
      <c r="Z46" s="2">
        <f>W46 - ((Y46 + IF(Parameters_Public!$C$20=1, Parameters_Public!$C$19, 0))*AC46)</f>
        <v>2364518.3521743184</v>
      </c>
      <c r="AA46" s="2">
        <f t="shared" si="16"/>
        <v>5252.1509377483753</v>
      </c>
      <c r="AB46">
        <f>MAX(0, (MAX(0, $D46-BaselineCalc!$B$7) + MAX(0, $E46-BaselineCalc!$B$8)))</f>
        <v>0</v>
      </c>
      <c r="AC46">
        <f t="shared" si="17"/>
        <v>450.2</v>
      </c>
      <c r="AD46" s="2">
        <f>(Y46 + IF(Parameters_Public!$C$20=1, Parameters_Public!$C$19, 0))*AC46</f>
        <v>2781417.7246196158</v>
      </c>
      <c r="AE46" s="2">
        <f>W46 - (1-Other_Parameters!$B$2)*$G46*$AB46*$J46*(1-$K46)</f>
        <v>5145936.0767939342</v>
      </c>
      <c r="AF46" s="2">
        <f t="shared" si="18"/>
        <v>-2364518.3521743184</v>
      </c>
      <c r="AG46" t="str">
        <f t="shared" si="19"/>
        <v>B_Repurpose_Echo_lease_PimaTargets|FY2030</v>
      </c>
    </row>
    <row r="47" spans="1:33" x14ac:dyDescent="0.35">
      <c r="A47" t="str">
        <f t="shared" si="10"/>
        <v>B_Repurpose_Echo_ops_PimaTargets|FY2026</v>
      </c>
      <c r="B47" t="str">
        <f>Scenarios!A11</f>
        <v>B_Repurpose_Echo_ops_PimaTargets</v>
      </c>
      <c r="C47" t="s">
        <v>66</v>
      </c>
      <c r="D47">
        <f>IF(Scenarios!D11=1,0, L47)</f>
        <v>0</v>
      </c>
      <c r="E47">
        <f>IF(Scenarios!E11=1,0, M47)</f>
        <v>446</v>
      </c>
      <c r="F47">
        <f t="shared" si="11"/>
        <v>446</v>
      </c>
      <c r="G47" s="2">
        <f>YearMap!B2</f>
        <v>6414.5114999999987</v>
      </c>
      <c r="H47" s="2">
        <f>YearMap!C2</f>
        <v>1404302.8695</v>
      </c>
      <c r="I47" s="2">
        <f>YearMap!D2</f>
        <v>1617407.196</v>
      </c>
      <c r="J47">
        <f>1-BaselineCalc!$B$5</f>
        <v>0.99299999999999999</v>
      </c>
      <c r="K47">
        <f>Scenarios!G11</f>
        <v>0</v>
      </c>
      <c r="L47">
        <f>BaselineCalc!$B$7 + ROUND(Scenarios!I11*Scenarios!F11,0)</f>
        <v>257</v>
      </c>
      <c r="M47">
        <f>BaselineCalc!$B$8 + Scenarios!I11 - ROUND(Scenarios!I11*Scenarios!F11,0)</f>
        <v>446</v>
      </c>
      <c r="N47" s="11">
        <f t="shared" si="12"/>
        <v>257</v>
      </c>
      <c r="O47" s="11">
        <f>(Parameters_Public!$C$22*(L47-D47)+Parameters_Public!$C$23*(M47-E47))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3"/>
        <v>5144167.744431749</v>
      </c>
      <c r="V47" s="2">
        <f t="shared" si="14"/>
        <v>1143317.6732999997</v>
      </c>
      <c r="W47" s="2">
        <f>U47+V47+IF(Parameters_Public!$C$26=1, T47, 0)</f>
        <v>6287485.4177317489</v>
      </c>
      <c r="X47" s="2">
        <f t="shared" si="15"/>
        <v>10475.650479393116</v>
      </c>
      <c r="Y47" s="2">
        <f>INDEX(YearMap!$I$2:$I$6, MATCH(C47, YearMap!$A$2:$A$6, 0))</f>
        <v>5013</v>
      </c>
      <c r="Z47" s="2">
        <f>W47 - ((Y47 + IF(Parameters_Public!$C$20=1, Parameters_Public!$C$19, 0))*AC47)</f>
        <v>2827362.4277317487</v>
      </c>
      <c r="AA47" s="2">
        <f t="shared" si="16"/>
        <v>4710.7004793931164</v>
      </c>
      <c r="AB47">
        <f>MAX(0, (MAX(0, $D47-BaselineCalc!$B$7) + MAX(0, $E47-BaselineCalc!$B$8)))</f>
        <v>150</v>
      </c>
      <c r="AC47">
        <f t="shared" si="17"/>
        <v>600.20000000000005</v>
      </c>
      <c r="AD47" s="2">
        <f>(Y47 + IF(Parameters_Public!$C$20=1, Parameters_Public!$C$19, 0))*AC47</f>
        <v>3460122.99</v>
      </c>
      <c r="AE47" s="2">
        <f>W47 - (1-Other_Parameters!$B$2)*$G47*$AB47*$J47*(1-$K47)</f>
        <v>5714220.524976749</v>
      </c>
      <c r="AF47" s="2">
        <f t="shared" si="18"/>
        <v>-2254097.5349767487</v>
      </c>
      <c r="AG47" t="str">
        <f t="shared" si="19"/>
        <v>B_Repurpose_Echo_ops_PimaTargets|FY2026</v>
      </c>
    </row>
    <row r="48" spans="1:33" x14ac:dyDescent="0.35">
      <c r="A48" t="str">
        <f t="shared" si="10"/>
        <v>B_Repurpose_Echo_ops_PimaTargets|FY2027</v>
      </c>
      <c r="B48" t="str">
        <f>Scenarios!A11</f>
        <v>B_Repurpose_Echo_ops_PimaTargets</v>
      </c>
      <c r="C48" t="s">
        <v>67</v>
      </c>
      <c r="D48">
        <f>IF(Scenarios!D11=1,0, L48)</f>
        <v>0</v>
      </c>
      <c r="E48">
        <f>IF(Scenarios!E11=1,0, M48)</f>
        <v>446</v>
      </c>
      <c r="F48">
        <f t="shared" si="11"/>
        <v>446</v>
      </c>
      <c r="G48" s="2">
        <f>YearMap!B3</f>
        <v>6574.8742874999989</v>
      </c>
      <c r="H48" s="2">
        <f>YearMap!C3</f>
        <v>1439410.4412375002</v>
      </c>
      <c r="I48" s="2">
        <f>YearMap!D3</f>
        <v>1657842.3759000003</v>
      </c>
      <c r="J48">
        <f>1-BaselineCalc!$B$5</f>
        <v>0.99299999999999999</v>
      </c>
      <c r="K48">
        <f>Scenarios!G11</f>
        <v>0</v>
      </c>
      <c r="L48">
        <f>BaselineCalc!$B$7 + ROUND(Scenarios!J11*Scenarios!F11,0)</f>
        <v>257</v>
      </c>
      <c r="M48">
        <f>BaselineCalc!$B$8 + Scenarios!J11 - ROUND(Scenarios!J11*Scenarios!F11,0)</f>
        <v>446</v>
      </c>
      <c r="N48" s="11">
        <f t="shared" si="12"/>
        <v>257</v>
      </c>
      <c r="O48" s="11">
        <f>(Parameters_Public!$C$22*(L48-D48)+Parameters_Public!$C$23*(M48-E48))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5129838.4812276606</v>
      </c>
      <c r="V48" s="2">
        <f t="shared" si="14"/>
        <v>1137205.6151324997</v>
      </c>
      <c r="W48" s="2">
        <f>U48+V48+IF(Parameters_Public!$C$26=1, T48, 0)</f>
        <v>6267044.09636016</v>
      </c>
      <c r="X48" s="2">
        <f t="shared" si="15"/>
        <v>10441.592962945952</v>
      </c>
      <c r="Y48" s="2">
        <f>INDEX(YearMap!$I$2:$I$6, MATCH(C48, YearMap!$A$2:$A$6, 0))</f>
        <v>5113.26</v>
      </c>
      <c r="Z48" s="2">
        <f>W48 - ((Y48 + IF(Parameters_Public!$C$20=1, Parameters_Public!$C$19, 0))*AC48)</f>
        <v>2746745.0543601597</v>
      </c>
      <c r="AA48" s="2">
        <f t="shared" si="16"/>
        <v>4576.3829629459506</v>
      </c>
      <c r="AB48">
        <f>MAX(0, (MAX(0, $D48-BaselineCalc!$B$7) + MAX(0, $E48-BaselineCalc!$B$8)))</f>
        <v>150</v>
      </c>
      <c r="AC48">
        <f t="shared" si="17"/>
        <v>600.20000000000005</v>
      </c>
      <c r="AD48" s="2">
        <f>(Y48 + IF(Parameters_Public!$C$20=1, Parameters_Public!$C$19, 0))*AC48</f>
        <v>3520299.0420000004</v>
      </c>
      <c r="AE48" s="2">
        <f>W48 - (1-Other_Parameters!$B$2)*$G48*$AB48*$J48*(1-$K48)</f>
        <v>5679447.5812862851</v>
      </c>
      <c r="AF48" s="2">
        <f t="shared" si="18"/>
        <v>-2159148.5392862847</v>
      </c>
      <c r="AG48" t="str">
        <f t="shared" si="19"/>
        <v>B_Repurpose_Echo_ops_PimaTargets|FY2027</v>
      </c>
    </row>
    <row r="49" spans="1:33" x14ac:dyDescent="0.35">
      <c r="A49" t="str">
        <f t="shared" si="10"/>
        <v>B_Repurpose_Echo_ops_PimaTargets|FY2028</v>
      </c>
      <c r="B49" t="str">
        <f>Scenarios!A11</f>
        <v>B_Repurpose_Echo_ops_PimaTargets</v>
      </c>
      <c r="C49" t="s">
        <v>68</v>
      </c>
      <c r="D49">
        <f>IF(Scenarios!D11=1,0, L49)</f>
        <v>0</v>
      </c>
      <c r="E49">
        <f>IF(Scenarios!E11=1,0, M49)</f>
        <v>446</v>
      </c>
      <c r="F49">
        <f t="shared" si="11"/>
        <v>446</v>
      </c>
      <c r="G49" s="2">
        <f>YearMap!B4</f>
        <v>6739.2461446874986</v>
      </c>
      <c r="H49" s="2">
        <f>YearMap!C4</f>
        <v>1475395.7022684375</v>
      </c>
      <c r="I49" s="2">
        <f>YearMap!D4</f>
        <v>1699288.4352975001</v>
      </c>
      <c r="J49">
        <f>1-BaselineCalc!$B$5</f>
        <v>0.99299999999999999</v>
      </c>
      <c r="K49">
        <f>Scenarios!G11</f>
        <v>0</v>
      </c>
      <c r="L49">
        <f>BaselineCalc!$B$7 + ROUND(Scenarios!K11*Scenarios!F11,0)</f>
        <v>257</v>
      </c>
      <c r="M49">
        <f>BaselineCalc!$B$8 + Scenarios!K11 - ROUND(Scenarios!K11*Scenarios!F11,0)</f>
        <v>446</v>
      </c>
      <c r="N49" s="11">
        <f t="shared" si="12"/>
        <v>257</v>
      </c>
      <c r="O49" s="11">
        <f>(Parameters_Public!$C$22*(L49-D49)+Parameters_Public!$C$23*(M49-E49))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5184831.046640723</v>
      </c>
      <c r="V49" s="2">
        <f t="shared" si="14"/>
        <v>1131711.7555108122</v>
      </c>
      <c r="W49" s="2">
        <f>U49+V49+IF(Parameters_Public!$C$26=1, T49, 0)</f>
        <v>6316542.8021515347</v>
      </c>
      <c r="X49" s="2">
        <f t="shared" si="15"/>
        <v>10524.063315813952</v>
      </c>
      <c r="Y49" s="2">
        <f>INDEX(YearMap!$I$2:$I$6, MATCH(C49, YearMap!$A$2:$A$6, 0))</f>
        <v>5215.5252</v>
      </c>
      <c r="Z49" s="2">
        <f>W49 - ((Y49 + IF(Parameters_Public!$C$20=1, Parameters_Public!$C$19, 0))*AC49)</f>
        <v>2734864.1871115346</v>
      </c>
      <c r="AA49" s="2">
        <f t="shared" si="16"/>
        <v>4556.5881158139528</v>
      </c>
      <c r="AB49">
        <f>MAX(0, (MAX(0, $D49-BaselineCalc!$B$7) + MAX(0, $E49-BaselineCalc!$B$8)))</f>
        <v>150</v>
      </c>
      <c r="AC49">
        <f t="shared" si="17"/>
        <v>600.20000000000005</v>
      </c>
      <c r="AD49" s="2">
        <f>(Y49 + IF(Parameters_Public!$C$20=1, Parameters_Public!$C$19, 0))*AC49</f>
        <v>3581678.6150400001</v>
      </c>
      <c r="AE49" s="2">
        <f>W49 - (1-Other_Parameters!$B$2)*$G49*$AB49*$J49*(1-$K49)</f>
        <v>5714256.3742008135</v>
      </c>
      <c r="AF49" s="2">
        <f t="shared" si="18"/>
        <v>-2132577.7591608134</v>
      </c>
      <c r="AG49" t="str">
        <f t="shared" si="19"/>
        <v>B_Repurpose_Echo_ops_PimaTargets|FY2028</v>
      </c>
    </row>
    <row r="50" spans="1:33" x14ac:dyDescent="0.35">
      <c r="A50" t="str">
        <f t="shared" si="10"/>
        <v>B_Repurpose_Echo_ops_PimaTargets|FY2029</v>
      </c>
      <c r="B50" t="str">
        <f>Scenarios!A11</f>
        <v>B_Repurpose_Echo_ops_PimaTargets</v>
      </c>
      <c r="C50" t="s">
        <v>69</v>
      </c>
      <c r="D50">
        <f>IF(Scenarios!D11=1,0, L50)</f>
        <v>0</v>
      </c>
      <c r="E50">
        <f>IF(Scenarios!E11=1,0, M50)</f>
        <v>446</v>
      </c>
      <c r="F50">
        <f t="shared" si="11"/>
        <v>446</v>
      </c>
      <c r="G50" s="2">
        <f>YearMap!B5</f>
        <v>6907.7272983046851</v>
      </c>
      <c r="H50" s="2">
        <f>YearMap!C5</f>
        <v>1512280.5948251483</v>
      </c>
      <c r="I50" s="2">
        <f>YearMap!D5</f>
        <v>1741770.6461799373</v>
      </c>
      <c r="J50">
        <f>1-BaselineCalc!$B$5</f>
        <v>0.99299999999999999</v>
      </c>
      <c r="K50">
        <f>Scenarios!G11</f>
        <v>0</v>
      </c>
      <c r="L50">
        <f>BaselineCalc!$B$7 + ROUND(Scenarios!L11*Scenarios!F11,0)</f>
        <v>257</v>
      </c>
      <c r="M50">
        <f>BaselineCalc!$B$8 + Scenarios!L11 - ROUND(Scenarios!L11*Scenarios!F11,0)</f>
        <v>446</v>
      </c>
      <c r="N50" s="11">
        <f t="shared" si="12"/>
        <v>257</v>
      </c>
      <c r="O50" s="11">
        <f>(Parameters_Public!$C$22*(L50-D50)+Parameters_Public!$C$23*(M50-E50))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5239367.091273671</v>
      </c>
      <c r="V50" s="2">
        <f t="shared" si="14"/>
        <v>1142271.5493985824</v>
      </c>
      <c r="W50" s="2">
        <f>U50+V50+IF(Parameters_Public!$C$26=1, T50, 0)</f>
        <v>6381638.6406722534</v>
      </c>
      <c r="X50" s="2">
        <f t="shared" si="15"/>
        <v>10632.520227711184</v>
      </c>
      <c r="Y50" s="2">
        <f>INDEX(YearMap!$I$2:$I$6, MATCH(C50, YearMap!$A$2:$A$6, 0))</f>
        <v>5319.8357040000001</v>
      </c>
      <c r="Z50" s="2">
        <f>W50 - ((Y50 + IF(Parameters_Public!$C$20=1, Parameters_Public!$C$19, 0))*AC50)</f>
        <v>2737352.8611314534</v>
      </c>
      <c r="AA50" s="2">
        <f t="shared" si="16"/>
        <v>4560.7345237111849</v>
      </c>
      <c r="AB50">
        <f>MAX(0, (MAX(0, $D50-BaselineCalc!$B$7) + MAX(0, $E50-BaselineCalc!$B$8)))</f>
        <v>150</v>
      </c>
      <c r="AC50">
        <f t="shared" si="17"/>
        <v>600.20000000000005</v>
      </c>
      <c r="AD50" s="2">
        <f>(Y50 + IF(Parameters_Public!$C$20=1, Parameters_Public!$C$19, 0))*AC50</f>
        <v>3644285.7795408</v>
      </c>
      <c r="AE50" s="2">
        <f>W50 - (1-Other_Parameters!$B$2)*$G50*$AB50*$J50*(1-$K50)</f>
        <v>5764295.0520227635</v>
      </c>
      <c r="AF50" s="2">
        <f t="shared" si="18"/>
        <v>-2120009.2724819635</v>
      </c>
      <c r="AG50" t="str">
        <f t="shared" si="19"/>
        <v>B_Repurpose_Echo_ops_PimaTargets|FY2029</v>
      </c>
    </row>
    <row r="51" spans="1:33" x14ac:dyDescent="0.35">
      <c r="A51" t="str">
        <f t="shared" si="10"/>
        <v>B_Repurpose_Echo_ops_PimaTargets|FY2030</v>
      </c>
      <c r="B51" t="str">
        <f>Scenarios!A11</f>
        <v>B_Repurpose_Echo_ops_PimaTargets</v>
      </c>
      <c r="C51" t="s">
        <v>70</v>
      </c>
      <c r="D51">
        <f>IF(Scenarios!D11=1,0, L51)</f>
        <v>0</v>
      </c>
      <c r="E51">
        <f>IF(Scenarios!E11=1,0, M51)</f>
        <v>446</v>
      </c>
      <c r="F51">
        <f t="shared" si="11"/>
        <v>446</v>
      </c>
      <c r="G51" s="2">
        <f>YearMap!B6</f>
        <v>7080.4204807623018</v>
      </c>
      <c r="H51" s="2">
        <f>YearMap!C6</f>
        <v>1550087.6096957768</v>
      </c>
      <c r="I51" s="2">
        <f>YearMap!D6</f>
        <v>1785314.9123344356</v>
      </c>
      <c r="J51">
        <f>1-BaselineCalc!$B$5</f>
        <v>0.99299999999999999</v>
      </c>
      <c r="K51">
        <f>Scenarios!G11</f>
        <v>0</v>
      </c>
      <c r="L51">
        <f>BaselineCalc!$B$7 + ROUND(Scenarios!M11*Scenarios!F11,0)</f>
        <v>257</v>
      </c>
      <c r="M51">
        <f>BaselineCalc!$B$8 + Scenarios!M11 - ROUND(Scenarios!M11*Scenarios!F11,0)</f>
        <v>446</v>
      </c>
      <c r="N51" s="11">
        <f t="shared" si="12"/>
        <v>257</v>
      </c>
      <c r="O51" s="11">
        <f>(Parameters_Public!$C$22*(L51-D51)+Parameters_Public!$C$23*(M51-E51))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5370351.2685555127</v>
      </c>
      <c r="V51" s="2">
        <f t="shared" si="14"/>
        <v>1138060.8381335468</v>
      </c>
      <c r="W51" s="2">
        <f>U51+V51+IF(Parameters_Public!$C$26=1, T51, 0)</f>
        <v>6508412.1066890592</v>
      </c>
      <c r="X51" s="2">
        <f t="shared" si="15"/>
        <v>10843.738931504597</v>
      </c>
      <c r="Y51" s="2">
        <f>INDEX(YearMap!$I$2:$I$6, MATCH(C51, YearMap!$A$2:$A$6, 0))</f>
        <v>5426.2324180799997</v>
      </c>
      <c r="Z51" s="2">
        <f>W51 - ((Y51 + IF(Parameters_Public!$C$20=1, Parameters_Public!$C$19, 0))*AC51)</f>
        <v>2800267.0193574433</v>
      </c>
      <c r="AA51" s="2">
        <f t="shared" si="16"/>
        <v>4665.5565134245971</v>
      </c>
      <c r="AB51">
        <f>MAX(0, (MAX(0, $D51-BaselineCalc!$B$7) + MAX(0, $E51-BaselineCalc!$B$8)))</f>
        <v>150</v>
      </c>
      <c r="AC51">
        <f t="shared" si="17"/>
        <v>600.20000000000005</v>
      </c>
      <c r="AD51" s="2">
        <f>(Y51 + IF(Parameters_Public!$C$20=1, Parameters_Public!$C$19, 0))*AC51</f>
        <v>3708145.0873316159</v>
      </c>
      <c r="AE51" s="2">
        <f>W51 - (1-Other_Parameters!$B$2)*$G51*$AB51*$J51*(1-$K51)</f>
        <v>5875634.9283233322</v>
      </c>
      <c r="AF51" s="2">
        <f t="shared" si="18"/>
        <v>-2167489.8409917164</v>
      </c>
      <c r="AG51" t="str">
        <f t="shared" si="19"/>
        <v>B_Repurpose_Echo_ops_PimaTargets|FY2030</v>
      </c>
    </row>
    <row r="52" spans="1:33" x14ac:dyDescent="0.35">
      <c r="A52" t="str">
        <f t="shared" si="10"/>
        <v>C_Repurpose_Pima_lease_EchoGHub_EchoTargets|FY2026</v>
      </c>
      <c r="B52" t="str">
        <f>Scenarios!A12</f>
        <v>C_Repurpose_Pima_lease_EchoGHub_EchoTargets</v>
      </c>
      <c r="C52" t="s">
        <v>66</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BaselineCalc!$B$7 + ROUND(Scenarios!I12*Scenarios!F12,0)</f>
        <v>257</v>
      </c>
      <c r="M52">
        <f>BaselineCalc!$B$8 + Scenarios!I12 - ROUND(Scenarios!I12*Scenarios!F12,0)</f>
        <v>296</v>
      </c>
      <c r="N52" s="11">
        <f t="shared" si="12"/>
        <v>296</v>
      </c>
      <c r="O52" s="11">
        <f>(Parameters_Public!$C$22*(L52-D52)+Parameters_Public!$C$23*(M52-E52))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3"/>
        <v>3673896.6369762002</v>
      </c>
      <c r="V52" s="2">
        <f t="shared" si="14"/>
        <v>1865491.0933999997</v>
      </c>
      <c r="W52" s="2">
        <f>U52+V52+IF(Parameters_Public!$C$26=1, T52, 0)</f>
        <v>5539387.7303761998</v>
      </c>
      <c r="X52" s="2">
        <f t="shared" si="15"/>
        <v>10891.442647220212</v>
      </c>
      <c r="Y52" s="2">
        <f>INDEX(YearMap!$I$2:$I$6, MATCH(C52, YearMap!$A$2:$A$6, 0))</f>
        <v>5013</v>
      </c>
      <c r="Z52" s="2">
        <f>W52 - ((Y52 + IF(Parameters_Public!$C$20=1, Parameters_Public!$C$19, 0))*AC52)</f>
        <v>2607334.1603762</v>
      </c>
      <c r="AA52" s="2">
        <f t="shared" si="16"/>
        <v>5126.4926472202123</v>
      </c>
      <c r="AB52">
        <f>MAX(0, (MAX(0, $D52-BaselineCalc!$B$7) + MAX(0, $E52-BaselineCalc!$B$8)))</f>
        <v>0</v>
      </c>
      <c r="AC52">
        <f t="shared" si="17"/>
        <v>508.6</v>
      </c>
      <c r="AD52" s="2">
        <f>(Y52 + IF(Parameters_Public!$C$20=1, Parameters_Public!$C$19, 0))*AC52</f>
        <v>2932053.57</v>
      </c>
      <c r="AE52" s="2">
        <f>W52 - (1-Other_Parameters!$B$2)*$G52*$AB52*$J52*(1-$K52)</f>
        <v>5539387.7303761998</v>
      </c>
      <c r="AF52" s="2">
        <f t="shared" si="18"/>
        <v>-2607334.1603762</v>
      </c>
      <c r="AG52" t="str">
        <f t="shared" si="19"/>
        <v>C_Repurpose_Pima_lease_EchoGHub_EchoTargets|FY2026</v>
      </c>
    </row>
    <row r="53" spans="1:33" x14ac:dyDescent="0.35">
      <c r="A53" t="str">
        <f t="shared" si="10"/>
        <v>C_Repurpose_Pima_lease_EchoGHub_EchoTargets|FY2027</v>
      </c>
      <c r="B53" t="str">
        <f>Scenarios!A12</f>
        <v>C_Repurpose_Pima_lease_EchoGHub_EchoTargets</v>
      </c>
      <c r="C53" t="s">
        <v>67</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BaselineCalc!$B$7 + ROUND(Scenarios!J12*Scenarios!F12,0)</f>
        <v>257</v>
      </c>
      <c r="M53">
        <f>BaselineCalc!$B$8 + Scenarios!J12 - ROUND(Scenarios!J12*Scenarios!F12,0)</f>
        <v>296</v>
      </c>
      <c r="N53" s="11">
        <f t="shared" si="12"/>
        <v>296</v>
      </c>
      <c r="O53" s="11">
        <f>(Parameters_Public!$C$22*(L53-D53)+Parameters_Public!$C$23*(M53-E53))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3"/>
        <v>3601120.304973735</v>
      </c>
      <c r="V53" s="2">
        <f t="shared" si="14"/>
        <v>1855518.3707349997</v>
      </c>
      <c r="W53" s="2">
        <f>U53+V53+IF(Parameters_Public!$C$26=1, T53, 0)</f>
        <v>5456638.6757087344</v>
      </c>
      <c r="X53" s="2">
        <f t="shared" si="15"/>
        <v>10728.742972294011</v>
      </c>
      <c r="Y53" s="2">
        <f>INDEX(YearMap!$I$2:$I$6, MATCH(C53, YearMap!$A$2:$A$6, 0))</f>
        <v>5113.26</v>
      </c>
      <c r="Z53" s="2">
        <f>W53 - ((Y53 + IF(Parameters_Public!$C$20=1, Parameters_Public!$C$19, 0))*AC53)</f>
        <v>2473592.8697087341</v>
      </c>
      <c r="AA53" s="2">
        <f t="shared" si="16"/>
        <v>4863.5329722940114</v>
      </c>
      <c r="AB53">
        <f>MAX(0, (MAX(0, $D53-BaselineCalc!$B$7) + MAX(0, $E53-BaselineCalc!$B$8)))</f>
        <v>0</v>
      </c>
      <c r="AC53">
        <f t="shared" si="17"/>
        <v>508.6</v>
      </c>
      <c r="AD53" s="2">
        <f>(Y53 + IF(Parameters_Public!$C$20=1, Parameters_Public!$C$19, 0))*AC53</f>
        <v>2983045.8060000003</v>
      </c>
      <c r="AE53" s="2">
        <f>W53 - (1-Other_Parameters!$B$2)*$G53*$AB53*$J53*(1-$K53)</f>
        <v>5456638.6757087344</v>
      </c>
      <c r="AF53" s="2">
        <f t="shared" si="18"/>
        <v>-2473592.8697087341</v>
      </c>
      <c r="AG53" t="str">
        <f t="shared" si="19"/>
        <v>C_Repurpose_Pima_lease_EchoGHub_EchoTargets|FY2027</v>
      </c>
    </row>
    <row r="54" spans="1:33" x14ac:dyDescent="0.35">
      <c r="A54" t="str">
        <f t="shared" si="10"/>
        <v>C_Repurpose_Pima_lease_EchoGHub_EchoTargets|FY2028</v>
      </c>
      <c r="B54" t="str">
        <f>Scenarios!A12</f>
        <v>C_Repurpose_Pima_lease_EchoGHub_EchoTargets</v>
      </c>
      <c r="C54" t="s">
        <v>68</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BaselineCalc!$B$7 + ROUND(Scenarios!K12*Scenarios!F12,0)</f>
        <v>257</v>
      </c>
      <c r="M54">
        <f>BaselineCalc!$B$8 + Scenarios!K12 - ROUND(Scenarios!K12*Scenarios!F12,0)</f>
        <v>296</v>
      </c>
      <c r="N54" s="11">
        <f t="shared" si="12"/>
        <v>296</v>
      </c>
      <c r="O54" s="11">
        <f>(Parameters_Public!$C$22*(L54-D54)+Parameters_Public!$C$23*(M54-E54))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3"/>
        <v>3522408.9709730363</v>
      </c>
      <c r="V54" s="2">
        <f t="shared" si="14"/>
        <v>1846554.3300033747</v>
      </c>
      <c r="W54" s="2">
        <f>U54+V54+IF(Parameters_Public!$C$26=1, T54, 0)</f>
        <v>5368963.3009764105</v>
      </c>
      <c r="X54" s="2">
        <f t="shared" si="15"/>
        <v>10556.357257130181</v>
      </c>
      <c r="Y54" s="2">
        <f>INDEX(YearMap!$I$2:$I$6, MATCH(C54, YearMap!$A$2:$A$6, 0))</f>
        <v>5215.5252</v>
      </c>
      <c r="Z54" s="2">
        <f>W54 - ((Y54 + IF(Parameters_Public!$C$20=1, Parameters_Public!$C$19, 0))*AC54)</f>
        <v>2333905.4142564107</v>
      </c>
      <c r="AA54" s="2">
        <f t="shared" si="16"/>
        <v>4588.8820571301821</v>
      </c>
      <c r="AB54">
        <f>MAX(0, (MAX(0, $D54-BaselineCalc!$B$7) + MAX(0, $E54-BaselineCalc!$B$8)))</f>
        <v>0</v>
      </c>
      <c r="AC54">
        <f t="shared" si="17"/>
        <v>508.6</v>
      </c>
      <c r="AD54" s="2">
        <f>(Y54 + IF(Parameters_Public!$C$20=1, Parameters_Public!$C$19, 0))*AC54</f>
        <v>3035057.8867199998</v>
      </c>
      <c r="AE54" s="2">
        <f>W54 - (1-Other_Parameters!$B$2)*$G54*$AB54*$J54*(1-$K54)</f>
        <v>5368963.3009764105</v>
      </c>
      <c r="AF54" s="2">
        <f t="shared" si="18"/>
        <v>-2333905.4142564107</v>
      </c>
      <c r="AG54" t="str">
        <f t="shared" si="19"/>
        <v>C_Repurpose_Pima_lease_EchoGHub_EchoTargets|FY2028</v>
      </c>
    </row>
    <row r="55" spans="1:33" x14ac:dyDescent="0.35">
      <c r="A55" t="str">
        <f t="shared" si="10"/>
        <v>C_Repurpose_Pima_lease_EchoGHub_EchoTargets|FY2029</v>
      </c>
      <c r="B55" t="str">
        <f>Scenarios!A12</f>
        <v>C_Repurpose_Pima_lease_EchoGHub_EchoTargets</v>
      </c>
      <c r="C55" t="s">
        <v>69</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BaselineCalc!$B$7 + ROUND(Scenarios!L12*Scenarios!F12,0)</f>
        <v>257</v>
      </c>
      <c r="M55">
        <f>BaselineCalc!$B$8 + Scenarios!L12 - ROUND(Scenarios!L12*Scenarios!F12,0)</f>
        <v>296</v>
      </c>
      <c r="N55" s="11">
        <f t="shared" si="12"/>
        <v>296</v>
      </c>
      <c r="O55" s="11">
        <f>(Parameters_Public!$C$22*(L55-D55)+Parameters_Public!$C$23*(M55-E55))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5319.8357040000001</v>
      </c>
      <c r="Z55" s="2">
        <f>W55 - ((Y55 + IF(Parameters_Public!$C$20=1, Parameters_Public!$C$19, 0))*AC55)</f>
        <v>2213185.3492807522</v>
      </c>
      <c r="AA55" s="2">
        <f t="shared" si="16"/>
        <v>4351.524477547684</v>
      </c>
      <c r="AB55">
        <f>MAX(0, (MAX(0, $D55-BaselineCalc!$B$7) + MAX(0, $E55-BaselineCalc!$B$8)))</f>
        <v>0</v>
      </c>
      <c r="AC55">
        <f t="shared" si="17"/>
        <v>508.6</v>
      </c>
      <c r="AD55" s="2">
        <f>(Y55 + IF(Parameters_Public!$C$20=1, Parameters_Public!$C$19, 0))*AC55</f>
        <v>3088110.2090544002</v>
      </c>
      <c r="AE55" s="2">
        <f>W55 - (1-Other_Parameters!$B$2)*$G55*$AB55*$J55*(1-$K55)</f>
        <v>5301295.5583351525</v>
      </c>
      <c r="AF55" s="2">
        <f t="shared" si="18"/>
        <v>-2213185.3492807522</v>
      </c>
      <c r="AG55" t="str">
        <f t="shared" si="19"/>
        <v>C_Repurpose_Pima_lease_EchoGHub_EchoTargets|FY2029</v>
      </c>
    </row>
    <row r="56" spans="1:33" x14ac:dyDescent="0.35">
      <c r="A56" t="str">
        <f t="shared" si="10"/>
        <v>C_Repurpose_Pima_lease_EchoGHub_EchoTargets|FY2030</v>
      </c>
      <c r="B56" t="str">
        <f>Scenarios!A12</f>
        <v>C_Repurpose_Pima_lease_EchoGHub_EchoTargets</v>
      </c>
      <c r="C56" t="s">
        <v>70</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BaselineCalc!$B$7 + ROUND(Scenarios!M12*Scenarios!F12,0)</f>
        <v>257</v>
      </c>
      <c r="M56">
        <f>BaselineCalc!$B$8 + Scenarios!M12 - ROUND(Scenarios!M12*Scenarios!F12,0)</f>
        <v>296</v>
      </c>
      <c r="N56" s="11">
        <f t="shared" si="12"/>
        <v>296</v>
      </c>
      <c r="O56" s="11">
        <f>(Parameters_Public!$C$22*(L56-D56)+Parameters_Public!$C$23*(M56-E56))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5426.2324180799997</v>
      </c>
      <c r="Z56" s="2">
        <f>W56 - ((Y56 + IF(Parameters_Public!$C$20=1, Parameters_Public!$C$19, 0))*AC56)</f>
        <v>2238139.3694580435</v>
      </c>
      <c r="AA56" s="2">
        <f t="shared" si="16"/>
        <v>4400.5886147425153</v>
      </c>
      <c r="AB56">
        <f>MAX(0, (MAX(0, $D56-BaselineCalc!$B$7) + MAX(0, $E56-BaselineCalc!$B$8)))</f>
        <v>0</v>
      </c>
      <c r="AC56">
        <f t="shared" si="17"/>
        <v>508.6</v>
      </c>
      <c r="AD56" s="2">
        <f>(Y56 + IF(Parameters_Public!$C$20=1, Parameters_Public!$C$19, 0))*AC56</f>
        <v>3142223.5778354877</v>
      </c>
      <c r="AE56" s="2">
        <f>W56 - (1-Other_Parameters!$B$2)*$G56*$AB56*$J56*(1-$K56)</f>
        <v>5380362.9472935311</v>
      </c>
      <c r="AF56" s="2">
        <f t="shared" si="18"/>
        <v>-2238139.3694580435</v>
      </c>
      <c r="AG56" t="str">
        <f t="shared" si="19"/>
        <v>C_Repurpose_Pima_lease_EchoGHub_EchoTargets|FY2030</v>
      </c>
    </row>
    <row r="57" spans="1:33" x14ac:dyDescent="0.35">
      <c r="A57" t="str">
        <f t="shared" si="10"/>
        <v>C_Repurpose_Pima_ops_EchoGHub_EchoTargets|FY2026</v>
      </c>
      <c r="B57" t="str">
        <f>Scenarios!A13</f>
        <v>C_Repurpose_Pima_ops_EchoGHub_EchoTargets</v>
      </c>
      <c r="C57" t="s">
        <v>66</v>
      </c>
      <c r="D57">
        <f>IF(Scenarios!D13=1,0, L57)</f>
        <v>457</v>
      </c>
      <c r="E57">
        <f>IF(Scenarios!E13=1,0, M57)</f>
        <v>0</v>
      </c>
      <c r="F57">
        <f t="shared" si="11"/>
        <v>457</v>
      </c>
      <c r="G57" s="2">
        <f>YearMap!B2</f>
        <v>6414.5114999999987</v>
      </c>
      <c r="H57" s="2">
        <f>YearMap!C2</f>
        <v>1404302.8695</v>
      </c>
      <c r="I57" s="2">
        <f>YearMap!D2</f>
        <v>1617407.196</v>
      </c>
      <c r="J57">
        <f>1-BaselineCalc!$B$5</f>
        <v>0.99299999999999999</v>
      </c>
      <c r="K57">
        <f>Scenarios!G13</f>
        <v>0</v>
      </c>
      <c r="L57">
        <f>BaselineCalc!$B$7 + ROUND(Scenarios!I13*Scenarios!F13,0)</f>
        <v>457</v>
      </c>
      <c r="M57">
        <f>BaselineCalc!$B$8 + Scenarios!I13 - ROUND(Scenarios!I13*Scenarios!F13,0)</f>
        <v>296</v>
      </c>
      <c r="N57" s="11">
        <f t="shared" si="12"/>
        <v>296</v>
      </c>
      <c r="O57" s="11">
        <f>(Parameters_Public!$C$22*(L57-D57)+Parameters_Public!$C$23*(M57-E57))</f>
        <v>251.6</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3"/>
        <v>5108427.1554389996</v>
      </c>
      <c r="V57" s="2">
        <f t="shared" si="14"/>
        <v>1865491.0933999997</v>
      </c>
      <c r="W57" s="2">
        <f>U57+V57+IF(Parameters_Public!$C$26=1, T57, 0)</f>
        <v>6973918.2488389993</v>
      </c>
      <c r="X57" s="2">
        <f t="shared" si="15"/>
        <v>9841.8264872128129</v>
      </c>
      <c r="Y57" s="2">
        <f>INDEX(YearMap!$I$2:$I$6, MATCH(C57, YearMap!$A$2:$A$6, 0))</f>
        <v>5013</v>
      </c>
      <c r="Z57" s="2">
        <f>W57 - ((Y57 + IF(Parameters_Public!$C$20=1, Parameters_Public!$C$19, 0))*AC57)</f>
        <v>2888874.6788389995</v>
      </c>
      <c r="AA57" s="2">
        <f t="shared" si="16"/>
        <v>4076.8764872128131</v>
      </c>
      <c r="AB57">
        <f>MAX(0, (MAX(0, $D57-BaselineCalc!$B$7) + MAX(0, $E57-BaselineCalc!$B$8)))</f>
        <v>200</v>
      </c>
      <c r="AC57">
        <f t="shared" si="17"/>
        <v>708.6</v>
      </c>
      <c r="AD57" s="2">
        <f>(Y57 + IF(Parameters_Public!$C$20=1, Parameters_Public!$C$19, 0))*AC57</f>
        <v>4085043.57</v>
      </c>
      <c r="AE57" s="2">
        <f>W57 - (1-Other_Parameters!$B$2)*$G57*$AB57*$J57*(1-$K57)</f>
        <v>6209565.0584989991</v>
      </c>
      <c r="AF57" s="2">
        <f t="shared" si="18"/>
        <v>-2124521.4884989993</v>
      </c>
      <c r="AG57" t="str">
        <f t="shared" si="19"/>
        <v>C_Repurpose_Pima_ops_EchoGHub_EchoTargets|FY2026</v>
      </c>
    </row>
    <row r="58" spans="1:33" x14ac:dyDescent="0.35">
      <c r="A58" t="str">
        <f t="shared" si="10"/>
        <v>C_Repurpose_Pima_ops_EchoGHub_EchoTargets|FY2027</v>
      </c>
      <c r="B58" t="str">
        <f>Scenarios!A13</f>
        <v>C_Repurpose_Pima_ops_EchoGHub_EchoTargets</v>
      </c>
      <c r="C58" t="s">
        <v>67</v>
      </c>
      <c r="D58">
        <f>IF(Scenarios!D13=1,0, L58)</f>
        <v>457</v>
      </c>
      <c r="E58">
        <f>IF(Scenarios!E13=1,0, M58)</f>
        <v>0</v>
      </c>
      <c r="F58">
        <f t="shared" si="11"/>
        <v>457</v>
      </c>
      <c r="G58" s="2">
        <f>YearMap!B3</f>
        <v>6574.8742874999989</v>
      </c>
      <c r="H58" s="2">
        <f>YearMap!C3</f>
        <v>1439410.4412375002</v>
      </c>
      <c r="I58" s="2">
        <f>YearMap!D3</f>
        <v>1657842.3759000003</v>
      </c>
      <c r="J58">
        <f>1-BaselineCalc!$B$5</f>
        <v>0.99299999999999999</v>
      </c>
      <c r="K58">
        <f>Scenarios!G13</f>
        <v>0</v>
      </c>
      <c r="L58">
        <f>BaselineCalc!$B$7 + ROUND(Scenarios!J13*Scenarios!F13,0)</f>
        <v>457</v>
      </c>
      <c r="M58">
        <f>BaselineCalc!$B$8 + Scenarios!J13 - ROUND(Scenarios!J13*Scenarios!F13,0)</f>
        <v>296</v>
      </c>
      <c r="N58" s="11">
        <f t="shared" si="12"/>
        <v>296</v>
      </c>
      <c r="O58" s="11">
        <f>(Parameters_Public!$C$22*(L58-D58)+Parameters_Public!$C$23*(M58-E58))</f>
        <v>251.6</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5071514.0863981051</v>
      </c>
      <c r="V58" s="2">
        <f t="shared" si="14"/>
        <v>1855518.3707349997</v>
      </c>
      <c r="W58" s="2">
        <f>U58+V58+IF(Parameters_Public!$C$26=1, T58, 0)</f>
        <v>6927032.457133105</v>
      </c>
      <c r="X58" s="2">
        <f t="shared" si="15"/>
        <v>9775.6596911277229</v>
      </c>
      <c r="Y58" s="2">
        <f>INDEX(YearMap!$I$2:$I$6, MATCH(C58, YearMap!$A$2:$A$6, 0))</f>
        <v>5113.26</v>
      </c>
      <c r="Z58" s="2">
        <f>W58 - ((Y58 + IF(Parameters_Public!$C$20=1, Parameters_Public!$C$19, 0))*AC58)</f>
        <v>2770944.6511331047</v>
      </c>
      <c r="AA58" s="2">
        <f t="shared" si="16"/>
        <v>3910.4496911277233</v>
      </c>
      <c r="AB58">
        <f>MAX(0, (MAX(0, $D58-BaselineCalc!$B$7) + MAX(0, $E58-BaselineCalc!$B$8)))</f>
        <v>200</v>
      </c>
      <c r="AC58">
        <f t="shared" si="17"/>
        <v>708.6</v>
      </c>
      <c r="AD58" s="2">
        <f>(Y58 + IF(Parameters_Public!$C$20=1, Parameters_Public!$C$19, 0))*AC58</f>
        <v>4156087.8060000003</v>
      </c>
      <c r="AE58" s="2">
        <f>W58 - (1-Other_Parameters!$B$2)*$G58*$AB58*$J58*(1-$K58)</f>
        <v>6143570.4370346051</v>
      </c>
      <c r="AF58" s="2">
        <f t="shared" si="18"/>
        <v>-1987482.6310346047</v>
      </c>
      <c r="AG58" t="str">
        <f t="shared" si="19"/>
        <v>C_Repurpose_Pima_ops_EchoGHub_EchoTargets|FY2027</v>
      </c>
    </row>
    <row r="59" spans="1:33" x14ac:dyDescent="0.35">
      <c r="A59" t="str">
        <f t="shared" si="10"/>
        <v>C_Repurpose_Pima_ops_EchoGHub_EchoTargets|FY2028</v>
      </c>
      <c r="B59" t="str">
        <f>Scenarios!A13</f>
        <v>C_Repurpose_Pima_ops_EchoGHub_EchoTargets</v>
      </c>
      <c r="C59" t="s">
        <v>68</v>
      </c>
      <c r="D59">
        <f>IF(Scenarios!D13=1,0, L59)</f>
        <v>457</v>
      </c>
      <c r="E59">
        <f>IF(Scenarios!E13=1,0, M59)</f>
        <v>0</v>
      </c>
      <c r="F59">
        <f t="shared" si="11"/>
        <v>457</v>
      </c>
      <c r="G59" s="2">
        <f>YearMap!B4</f>
        <v>6739.2461446874986</v>
      </c>
      <c r="H59" s="2">
        <f>YearMap!C4</f>
        <v>1475395.7022684375</v>
      </c>
      <c r="I59" s="2">
        <f>YearMap!D4</f>
        <v>1699288.4352975001</v>
      </c>
      <c r="J59">
        <f>1-BaselineCalc!$B$5</f>
        <v>0.99299999999999999</v>
      </c>
      <c r="K59">
        <f>Scenarios!G13</f>
        <v>0</v>
      </c>
      <c r="L59">
        <f>BaselineCalc!$B$7 + ROUND(Scenarios!K13*Scenarios!F13,0)</f>
        <v>457</v>
      </c>
      <c r="M59">
        <f>BaselineCalc!$B$8 + Scenarios!K13 - ROUND(Scenarios!K13*Scenarios!F13,0)</f>
        <v>296</v>
      </c>
      <c r="N59" s="11">
        <f t="shared" si="12"/>
        <v>296</v>
      </c>
      <c r="O59" s="11">
        <f>(Parameters_Public!$C$22*(L59-D59)+Parameters_Public!$C$23*(M59-E59))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5113932.2677455368</v>
      </c>
      <c r="V59" s="2">
        <f t="shared" si="14"/>
        <v>1846554.3300033747</v>
      </c>
      <c r="W59" s="2">
        <f>U59+V59+IF(Parameters_Public!$C$26=1, T59, 0)</f>
        <v>6960486.597748911</v>
      </c>
      <c r="X59" s="2">
        <f t="shared" si="15"/>
        <v>9822.8712923354651</v>
      </c>
      <c r="Y59" s="2">
        <f>INDEX(YearMap!$I$2:$I$6, MATCH(C59, YearMap!$A$2:$A$6, 0))</f>
        <v>5215.5252</v>
      </c>
      <c r="Z59" s="2">
        <f>W59 - ((Y59 + IF(Parameters_Public!$C$20=1, Parameters_Public!$C$19, 0))*AC59)</f>
        <v>2731933.6710289111</v>
      </c>
      <c r="AA59" s="2">
        <f t="shared" si="16"/>
        <v>3855.3960923354657</v>
      </c>
      <c r="AB59">
        <f>MAX(0, (MAX(0, $D59-BaselineCalc!$B$7) + MAX(0, $E59-BaselineCalc!$B$8)))</f>
        <v>200</v>
      </c>
      <c r="AC59">
        <f t="shared" si="17"/>
        <v>708.6</v>
      </c>
      <c r="AD59" s="2">
        <f>(Y59 + IF(Parameters_Public!$C$20=1, Parameters_Public!$C$19, 0))*AC59</f>
        <v>4228552.9267199999</v>
      </c>
      <c r="AE59" s="2">
        <f>W59 - (1-Other_Parameters!$B$2)*$G59*$AB59*$J59*(1-$K59)</f>
        <v>6157438.0271479487</v>
      </c>
      <c r="AF59" s="2">
        <f t="shared" si="18"/>
        <v>-1928885.1004279489</v>
      </c>
      <c r="AG59" t="str">
        <f t="shared" si="19"/>
        <v>C_Repurpose_Pima_ops_EchoGHub_EchoTargets|FY2028</v>
      </c>
    </row>
    <row r="60" spans="1:33" x14ac:dyDescent="0.35">
      <c r="A60" t="str">
        <f t="shared" si="10"/>
        <v>C_Repurpose_Pima_ops_EchoGHub_EchoTargets|FY2029</v>
      </c>
      <c r="B60" t="str">
        <f>Scenarios!A13</f>
        <v>C_Repurpose_Pima_ops_EchoGHub_EchoTargets</v>
      </c>
      <c r="C60" t="s">
        <v>69</v>
      </c>
      <c r="D60">
        <f>IF(Scenarios!D13=1,0, L60)</f>
        <v>457</v>
      </c>
      <c r="E60">
        <f>IF(Scenarios!E13=1,0, M60)</f>
        <v>0</v>
      </c>
      <c r="F60">
        <f t="shared" si="11"/>
        <v>457</v>
      </c>
      <c r="G60" s="2">
        <f>YearMap!B5</f>
        <v>6907.7272983046851</v>
      </c>
      <c r="H60" s="2">
        <f>YearMap!C5</f>
        <v>1512280.5948251483</v>
      </c>
      <c r="I60" s="2">
        <f>YearMap!D5</f>
        <v>1741770.6461799373</v>
      </c>
      <c r="J60">
        <f>1-BaselineCalc!$B$5</f>
        <v>0.99299999999999999</v>
      </c>
      <c r="K60">
        <f>Scenarios!G13</f>
        <v>0</v>
      </c>
      <c r="L60">
        <f>BaselineCalc!$B$7 + ROUND(Scenarios!L13*Scenarios!F13,0)</f>
        <v>457</v>
      </c>
      <c r="M60">
        <f>BaselineCalc!$B$8 + Scenarios!L13 - ROUND(Scenarios!L13*Scenarios!F13,0)</f>
        <v>296</v>
      </c>
      <c r="N60" s="11">
        <f t="shared" si="12"/>
        <v>296</v>
      </c>
      <c r="O60" s="11">
        <f>(Parameters_Public!$C$22*(L60-D60)+Parameters_Public!$C$23*(M60-E60))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5155301.6618563402</v>
      </c>
      <c r="V60" s="2">
        <f t="shared" si="14"/>
        <v>1863784.1882534588</v>
      </c>
      <c r="W60" s="2">
        <f>U60+V60+IF(Parameters_Public!$C$26=1, T60, 0)</f>
        <v>7019085.8501097988</v>
      </c>
      <c r="X60" s="2">
        <f t="shared" si="15"/>
        <v>9905.5685155373958</v>
      </c>
      <c r="Y60" s="2">
        <f>INDEX(YearMap!$I$2:$I$6, MATCH(C60, YearMap!$A$2:$A$6, 0))</f>
        <v>5319.8357040000001</v>
      </c>
      <c r="Z60" s="2">
        <f>W60 - ((Y60 + IF(Parameters_Public!$C$20=1, Parameters_Public!$C$19, 0))*AC60)</f>
        <v>2716618.5002553985</v>
      </c>
      <c r="AA60" s="2">
        <f t="shared" si="16"/>
        <v>3833.7828115373954</v>
      </c>
      <c r="AB60">
        <f>MAX(0, (MAX(0, $D60-BaselineCalc!$B$7) + MAX(0, $E60-BaselineCalc!$B$8)))</f>
        <v>200</v>
      </c>
      <c r="AC60">
        <f t="shared" si="17"/>
        <v>708.6</v>
      </c>
      <c r="AD60" s="2">
        <f>(Y60 + IF(Parameters_Public!$C$20=1, Parameters_Public!$C$19, 0))*AC60</f>
        <v>4302467.3498544004</v>
      </c>
      <c r="AE60" s="2">
        <f>W60 - (1-Other_Parameters!$B$2)*$G60*$AB60*$J60*(1-$K60)</f>
        <v>6195961.0652438123</v>
      </c>
      <c r="AF60" s="2">
        <f t="shared" si="18"/>
        <v>-1893493.7153894119</v>
      </c>
      <c r="AG60" t="str">
        <f t="shared" si="19"/>
        <v>C_Repurpose_Pima_ops_EchoGHub_EchoTargets|FY2029</v>
      </c>
    </row>
    <row r="61" spans="1:33" x14ac:dyDescent="0.35">
      <c r="A61" t="str">
        <f t="shared" si="10"/>
        <v>C_Repurpose_Pima_ops_EchoGHub_EchoTargets|FY2030</v>
      </c>
      <c r="B61" t="str">
        <f>Scenarios!A13</f>
        <v>C_Repurpose_Pima_ops_EchoGHub_EchoTargets</v>
      </c>
      <c r="C61" t="s">
        <v>70</v>
      </c>
      <c r="D61">
        <f>IF(Scenarios!D13=1,0, L61)</f>
        <v>457</v>
      </c>
      <c r="E61">
        <f>IF(Scenarios!E13=1,0, M61)</f>
        <v>0</v>
      </c>
      <c r="F61">
        <f t="shared" si="11"/>
        <v>457</v>
      </c>
      <c r="G61" s="2">
        <f>YearMap!B6</f>
        <v>7080.4204807623018</v>
      </c>
      <c r="H61" s="2">
        <f>YearMap!C6</f>
        <v>1550087.6096957768</v>
      </c>
      <c r="I61" s="2">
        <f>YearMap!D6</f>
        <v>1785314.9123344356</v>
      </c>
      <c r="J61">
        <f>1-BaselineCalc!$B$5</f>
        <v>0.99299999999999999</v>
      </c>
      <c r="K61">
        <f>Scenarios!G13</f>
        <v>0</v>
      </c>
      <c r="L61">
        <f>BaselineCalc!$B$7 + ROUND(Scenarios!M13*Scenarios!F13,0)</f>
        <v>457</v>
      </c>
      <c r="M61">
        <f>BaselineCalc!$B$8 + Scenarios!M13 - ROUND(Scenarios!M13*Scenarios!F13,0)</f>
        <v>296</v>
      </c>
      <c r="N61" s="11">
        <f t="shared" si="12"/>
        <v>296</v>
      </c>
      <c r="O61" s="11">
        <f>(Parameters_Public!$C$22*(L61-D61)+Parameters_Public!$C$23*(M61-E61))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5284184.2034027483</v>
      </c>
      <c r="V61" s="2">
        <f t="shared" si="14"/>
        <v>1856913.7929597951</v>
      </c>
      <c r="W61" s="2">
        <f>U61+V61+IF(Parameters_Public!$C$26=1, T61, 0)</f>
        <v>7141097.9963625437</v>
      </c>
      <c r="X61" s="2">
        <f t="shared" si="15"/>
        <v>10077.756133732068</v>
      </c>
      <c r="Y61" s="2">
        <f>INDEX(YearMap!$I$2:$I$6, MATCH(C61, YearMap!$A$2:$A$6, 0))</f>
        <v>5426.2324180799997</v>
      </c>
      <c r="Z61" s="2">
        <f>W61 - ((Y61 + IF(Parameters_Public!$C$20=1, Parameters_Public!$C$19, 0))*AC61)</f>
        <v>2763237.9349110555</v>
      </c>
      <c r="AA61" s="2">
        <f t="shared" si="16"/>
        <v>3899.5737156520681</v>
      </c>
      <c r="AB61">
        <f>MAX(0, (MAX(0, $D61-BaselineCalc!$B$7) + MAX(0, $E61-BaselineCalc!$B$8)))</f>
        <v>200</v>
      </c>
      <c r="AC61">
        <f t="shared" si="17"/>
        <v>708.6</v>
      </c>
      <c r="AD61" s="2">
        <f>(Y61 + IF(Parameters_Public!$C$20=1, Parameters_Public!$C$19, 0))*AC61</f>
        <v>4377860.0614514882</v>
      </c>
      <c r="AE61" s="2">
        <f>W61 - (1-Other_Parameters!$B$2)*$G61*$AB61*$J61*(1-$K61)</f>
        <v>6297395.0918749077</v>
      </c>
      <c r="AF61" s="2">
        <f t="shared" si="18"/>
        <v>-1919535.0304234196</v>
      </c>
      <c r="AG61" t="str">
        <f t="shared" si="19"/>
        <v>C_Repurpose_Pima_ops_EchoGHub_EchoTargets|FY2030</v>
      </c>
    </row>
    <row r="62" spans="1:33" x14ac:dyDescent="0.35">
      <c r="A62" t="str">
        <f t="shared" si="10"/>
        <v>H_StatusQuote_Decline|FY2026</v>
      </c>
      <c r="B62" t="str">
        <f>Scenarios!A14</f>
        <v>H_StatusQuote_Decline</v>
      </c>
      <c r="C62" t="s">
        <v>66</v>
      </c>
      <c r="D62">
        <f>IF(Scenarios!D14=1,0, L62)</f>
        <v>257</v>
      </c>
      <c r="E62">
        <f>IF(Scenarios!E14=1,0, M62)</f>
        <v>0</v>
      </c>
      <c r="F62">
        <f t="shared" si="11"/>
        <v>257</v>
      </c>
      <c r="G62" s="2">
        <f>YearMap!B2</f>
        <v>6414.5114999999987</v>
      </c>
      <c r="H62" s="2">
        <f>YearMap!C2</f>
        <v>1404302.8695</v>
      </c>
      <c r="I62" s="2">
        <f>YearMap!D2</f>
        <v>1617407.196</v>
      </c>
      <c r="J62">
        <f>1-BaselineCalc!$B$5</f>
        <v>0.99299999999999999</v>
      </c>
      <c r="K62">
        <f>Scenarios!G14</f>
        <v>0</v>
      </c>
      <c r="L62">
        <f>Parameters_Public!$C$10 * (1 + INDEX(Scenarios!$Q:$Q, MATCH($B62, Scenarios!$A:$A, 0))) ^
   (IF($C62="FY2026",0,IF($C62="FY2027",1,IF($C62="FY2028",2,IF($C62="FY2029",3,IF($C62="FY2030",4,0))))))</f>
        <v>257</v>
      </c>
      <c r="AG62" t="str">
        <f t="shared" si="19"/>
        <v>H_StatusQuote_Decline|FY2026</v>
      </c>
    </row>
    <row r="63" spans="1:33" x14ac:dyDescent="0.35">
      <c r="C63" t="s">
        <v>67</v>
      </c>
    </row>
    <row r="64" spans="1:33" x14ac:dyDescent="0.35">
      <c r="C64" t="s">
        <v>68</v>
      </c>
    </row>
    <row r="65" spans="3:3" x14ac:dyDescent="0.35">
      <c r="C65" t="s">
        <v>69</v>
      </c>
    </row>
    <row r="66" spans="3:3" x14ac:dyDescent="0.35">
      <c r="C66" t="s">
        <v>70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8"/>
  <sheetViews>
    <sheetView zoomScale="85" zoomScaleNormal="85" workbookViewId="0">
      <pane ySplit="1" topLeftCell="A2" activePane="bottomLeft" state="frozen"/>
      <selection activeCell="B2" sqref="B2"/>
      <selection pane="bottomLeft" activeCell="B14" sqref="B14"/>
    </sheetView>
  </sheetViews>
  <sheetFormatPr defaultRowHeight="14.5" x14ac:dyDescent="0.3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x14ac:dyDescent="0.35">
      <c r="A1" s="1" t="s">
        <v>82</v>
      </c>
      <c r="B1" s="1" t="s">
        <v>83</v>
      </c>
      <c r="C1" s="1" t="s">
        <v>3</v>
      </c>
    </row>
    <row r="2" spans="1:11" x14ac:dyDescent="0.35">
      <c r="A2" t="s">
        <v>84</v>
      </c>
      <c r="B2">
        <f>Control_Center!C6</f>
        <v>2.5000000000000001E-2</v>
      </c>
      <c r="C2" t="s">
        <v>85</v>
      </c>
    </row>
    <row r="3" spans="1:11" x14ac:dyDescent="0.35">
      <c r="A3" t="s">
        <v>86</v>
      </c>
      <c r="B3">
        <f>Parameters_Public!$C$14</f>
        <v>11589</v>
      </c>
      <c r="C3" t="s">
        <v>348</v>
      </c>
    </row>
    <row r="4" spans="1:11" x14ac:dyDescent="0.35">
      <c r="A4" t="s">
        <v>88</v>
      </c>
      <c r="B4">
        <f>Control_Center!C8</f>
        <v>0.46</v>
      </c>
      <c r="C4" t="s">
        <v>349</v>
      </c>
    </row>
    <row r="5" spans="1:11" x14ac:dyDescent="0.35">
      <c r="A5" t="s">
        <v>92</v>
      </c>
      <c r="B5">
        <f>Control_Center!C10</f>
        <v>7.0000000000000001E-3</v>
      </c>
      <c r="C5" t="s">
        <v>93</v>
      </c>
    </row>
    <row r="6" spans="1:11" x14ac:dyDescent="0.35">
      <c r="A6" t="s">
        <v>94</v>
      </c>
      <c r="B6">
        <f>Control_Center!C11</f>
        <v>1.4999999999999999E-2</v>
      </c>
      <c r="C6" t="s">
        <v>95</v>
      </c>
    </row>
    <row r="7" spans="1:11" x14ac:dyDescent="0.35">
      <c r="A7" t="s">
        <v>96</v>
      </c>
      <c r="B7">
        <f>Parameters_Public!$C$10</f>
        <v>257</v>
      </c>
    </row>
    <row r="8" spans="1:11" x14ac:dyDescent="0.35">
      <c r="A8" t="s">
        <v>98</v>
      </c>
      <c r="B8">
        <f>Parameters_Public!$C$11</f>
        <v>296</v>
      </c>
    </row>
    <row r="9" spans="1:11" x14ac:dyDescent="0.35">
      <c r="A9" t="s">
        <v>100</v>
      </c>
      <c r="B9">
        <f>B7+B8</f>
        <v>553</v>
      </c>
      <c r="C9" t="s">
        <v>101</v>
      </c>
    </row>
    <row r="12" spans="1:11" x14ac:dyDescent="0.35">
      <c r="A12" s="1" t="s">
        <v>350</v>
      </c>
      <c r="B12" s="1" t="s">
        <v>351</v>
      </c>
      <c r="C12" s="1" t="s">
        <v>352</v>
      </c>
      <c r="D12" s="1" t="s">
        <v>353</v>
      </c>
      <c r="E12" s="1" t="s">
        <v>354</v>
      </c>
      <c r="F12" s="1" t="s">
        <v>355</v>
      </c>
      <c r="G12" s="1" t="s">
        <v>3</v>
      </c>
    </row>
    <row r="13" spans="1:11" x14ac:dyDescent="0.35">
      <c r="A13" t="s">
        <v>356</v>
      </c>
      <c r="B13" s="2">
        <f>B9*B3</f>
        <v>6408717</v>
      </c>
      <c r="C13" s="2">
        <f>C14/$B$4</f>
        <v>6568934.9249999998</v>
      </c>
      <c r="D13" s="2">
        <f>D14/$B$4</f>
        <v>6733158.2981250007</v>
      </c>
      <c r="E13" s="2">
        <f>E14/$B$4</f>
        <v>6901487.255578124</v>
      </c>
      <c r="F13" s="2">
        <f>F14/$B$4</f>
        <v>7074024.4369675769</v>
      </c>
      <c r="G13" t="s">
        <v>357</v>
      </c>
      <c r="K13" t="s">
        <v>358</v>
      </c>
    </row>
    <row r="14" spans="1:11" x14ac:dyDescent="0.35">
      <c r="A14" t="s">
        <v>359</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360</v>
      </c>
      <c r="K14" t="s">
        <v>361</v>
      </c>
    </row>
    <row r="15" spans="1:11" x14ac:dyDescent="0.35">
      <c r="A15" t="s">
        <v>279</v>
      </c>
      <c r="B15" s="2">
        <f>(B13-B14)/B9</f>
        <v>6258.0599999999995</v>
      </c>
      <c r="C15" s="2">
        <f t="shared" si="0"/>
        <v>6414.5114999999987</v>
      </c>
      <c r="D15" s="2">
        <f t="shared" si="0"/>
        <v>6574.8742874999989</v>
      </c>
      <c r="E15" s="2">
        <f t="shared" si="0"/>
        <v>6739.2461446874986</v>
      </c>
      <c r="F15" s="2">
        <f t="shared" si="0"/>
        <v>6907.7272983046851</v>
      </c>
      <c r="G15" t="s">
        <v>362</v>
      </c>
      <c r="K15" t="s">
        <v>363</v>
      </c>
    </row>
    <row r="17" spans="1:6" x14ac:dyDescent="0.35">
      <c r="A17" t="s">
        <v>364</v>
      </c>
      <c r="B17" s="2">
        <f>$B$14*(1+$B$2)^1</f>
        <v>3021710.0655</v>
      </c>
      <c r="C17" s="2">
        <f>$B$14*(1+$B$2)^2</f>
        <v>3097252.8171375003</v>
      </c>
      <c r="D17" s="2">
        <f>$B$14*(1+$B$2)^3</f>
        <v>3174684.1375659374</v>
      </c>
      <c r="E17" s="2">
        <f>$B$14*(1+$B$2)^4</f>
        <v>3254051.2410050854</v>
      </c>
      <c r="F17" s="2">
        <f>$B$14*(1+$B$2)^5</f>
        <v>3335402.5220302125</v>
      </c>
    </row>
    <row r="18" spans="1:6" x14ac:dyDescent="0.35">
      <c r="A18" t="s">
        <v>365</v>
      </c>
      <c r="B18" s="2">
        <f>$B$15*(1+$B$2)^1</f>
        <v>6414.5114999999987</v>
      </c>
      <c r="C18" s="2">
        <f>$B$15*(1+$B$2)^2</f>
        <v>6574.8742874999989</v>
      </c>
      <c r="D18" s="2">
        <f>$B$15*(1+$B$2)^3</f>
        <v>6739.2461446874986</v>
      </c>
      <c r="E18" s="2">
        <f>$B$15*(1+$B$2)^4</f>
        <v>6907.7272983046851</v>
      </c>
      <c r="F18" s="2">
        <f>$B$15*(1+$B$2)^5</f>
        <v>7080.4204807623018</v>
      </c>
    </row>
    <row r="19" spans="1:6" x14ac:dyDescent="0.35">
      <c r="A19" t="s">
        <v>366</v>
      </c>
      <c r="B19" s="2">
        <f>IF(Site_Fixed!$C$8&gt;0, Site_Fixed!$C$8*(1+$B$2)^1, B17*($B$7/$B$9))</f>
        <v>1404302.8695</v>
      </c>
      <c r="C19" s="2">
        <f>C17*($B$7/$B$9)</f>
        <v>1439410.4412375002</v>
      </c>
      <c r="D19" s="2">
        <f>D17*($B$7/$B$9)</f>
        <v>1475395.7022684375</v>
      </c>
      <c r="E19" s="2">
        <f>E17*($B$7/$B$9)</f>
        <v>1512280.5948251483</v>
      </c>
      <c r="F19" s="2">
        <f>F17*($B$7/$B$9)</f>
        <v>1550087.6096957768</v>
      </c>
    </row>
    <row r="20" spans="1:6" x14ac:dyDescent="0.35">
      <c r="A20" t="s">
        <v>367</v>
      </c>
      <c r="B20" s="2">
        <f>IF(Site_Fixed!$C$15&gt;0, Site_Fixed!$C$15*(1+$B$2)^1, B17*($B$8/$B$9))</f>
        <v>1617407.196</v>
      </c>
      <c r="C20" s="2">
        <f>C17*($B$8/$B$9)</f>
        <v>1657842.3759000003</v>
      </c>
      <c r="D20" s="2">
        <f>D17*($B$8/$B$9)</f>
        <v>1699288.4352975001</v>
      </c>
      <c r="E20" s="2">
        <f>E17*($B$8/$B$9)</f>
        <v>1741770.6461799373</v>
      </c>
      <c r="F20" s="2">
        <f>F17*($B$8/$B$9)</f>
        <v>1785314.9123344356</v>
      </c>
    </row>
    <row r="21" spans="1:6" x14ac:dyDescent="0.35">
      <c r="B21" s="2"/>
      <c r="C21" s="2"/>
      <c r="D21" s="2"/>
      <c r="E21" s="2"/>
      <c r="F21" s="2"/>
    </row>
    <row r="22" spans="1:6" x14ac:dyDescent="0.35">
      <c r="A22" t="s">
        <v>102</v>
      </c>
      <c r="B22">
        <f>Control_Center!C15</f>
        <v>1200000</v>
      </c>
    </row>
    <row r="23" spans="1:6" x14ac:dyDescent="0.35">
      <c r="A23" t="s">
        <v>368</v>
      </c>
      <c r="B23">
        <f>Control_Center!C16</f>
        <v>0.75</v>
      </c>
    </row>
    <row r="25" spans="1:6" x14ac:dyDescent="0.35">
      <c r="A25" s="1" t="s">
        <v>3</v>
      </c>
    </row>
    <row r="26" spans="1:6" x14ac:dyDescent="0.35">
      <c r="A26" s="3" t="s">
        <v>369</v>
      </c>
    </row>
    <row r="27" spans="1:6" x14ac:dyDescent="0.35">
      <c r="A27" t="s">
        <v>90</v>
      </c>
      <c r="B27">
        <f>Control_Center!C9</f>
        <v>5013</v>
      </c>
      <c r="C27" t="s">
        <v>91</v>
      </c>
    </row>
    <row r="28" spans="1:6" x14ac:dyDescent="0.35">
      <c r="A28" t="s">
        <v>370</v>
      </c>
      <c r="B28">
        <v>0.02</v>
      </c>
      <c r="C28" t="s">
        <v>371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5"/>
  <sheetViews>
    <sheetView workbookViewId="0">
      <selection activeCell="B14" sqref="B14"/>
    </sheetView>
  </sheetViews>
  <sheetFormatPr defaultRowHeight="14.5" x14ac:dyDescent="0.35"/>
  <cols>
    <col min="1" max="1" width="59.1796875" bestFit="1" customWidth="1"/>
    <col min="2" max="2" width="5.6328125" customWidth="1"/>
    <col min="3" max="3" width="5.26953125" customWidth="1"/>
  </cols>
  <sheetData>
    <row r="1" spans="1:3" x14ac:dyDescent="0.35">
      <c r="A1" t="s">
        <v>372</v>
      </c>
    </row>
    <row r="3" spans="1:3" x14ac:dyDescent="0.35">
      <c r="A3" t="s">
        <v>373</v>
      </c>
      <c r="B3">
        <v>0</v>
      </c>
    </row>
    <row r="4" spans="1:3" x14ac:dyDescent="0.35">
      <c r="A4" t="s">
        <v>374</v>
      </c>
      <c r="B4">
        <v>0</v>
      </c>
    </row>
    <row r="5" spans="1:3" x14ac:dyDescent="0.35">
      <c r="A5" t="s">
        <v>375</v>
      </c>
      <c r="B5">
        <v>0</v>
      </c>
    </row>
    <row r="6" spans="1:3" x14ac:dyDescent="0.35">
      <c r="A6" t="s">
        <v>376</v>
      </c>
      <c r="B6">
        <v>0</v>
      </c>
    </row>
    <row r="7" spans="1:3" x14ac:dyDescent="0.35">
      <c r="A7" t="s">
        <v>377</v>
      </c>
      <c r="B7">
        <v>0</v>
      </c>
    </row>
    <row r="8" spans="1:3" x14ac:dyDescent="0.35">
      <c r="A8" t="s">
        <v>378</v>
      </c>
      <c r="C8">
        <f>SUM(B3:B7)</f>
        <v>0</v>
      </c>
    </row>
    <row r="10" spans="1:3" x14ac:dyDescent="0.35">
      <c r="A10" t="s">
        <v>379</v>
      </c>
      <c r="B10">
        <v>0</v>
      </c>
    </row>
    <row r="11" spans="1:3" x14ac:dyDescent="0.35">
      <c r="A11" t="s">
        <v>380</v>
      </c>
      <c r="B11">
        <v>0</v>
      </c>
    </row>
    <row r="12" spans="1:3" x14ac:dyDescent="0.35">
      <c r="A12" t="s">
        <v>381</v>
      </c>
      <c r="B12">
        <v>0</v>
      </c>
    </row>
    <row r="13" spans="1:3" x14ac:dyDescent="0.35">
      <c r="A13" t="s">
        <v>382</v>
      </c>
      <c r="B13">
        <v>0</v>
      </c>
    </row>
    <row r="14" spans="1:3" x14ac:dyDescent="0.35">
      <c r="A14" t="s">
        <v>383</v>
      </c>
      <c r="B14">
        <v>0</v>
      </c>
    </row>
    <row r="15" spans="1:3" x14ac:dyDescent="0.35">
      <c r="A15" t="s">
        <v>384</v>
      </c>
      <c r="C15">
        <f>SUM(B10:B14)</f>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6"/>
  <sheetViews>
    <sheetView zoomScale="90" zoomScaleNormal="90" workbookViewId="0">
      <selection activeCell="B2" sqref="B2"/>
    </sheetView>
  </sheetViews>
  <sheetFormatPr defaultRowHeight="14.5" x14ac:dyDescent="0.3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4" x14ac:dyDescent="0.35">
      <c r="A1" s="1" t="s">
        <v>59</v>
      </c>
      <c r="B1" s="1" t="s">
        <v>322</v>
      </c>
      <c r="C1" s="1" t="s">
        <v>323</v>
      </c>
      <c r="D1" s="1" t="s">
        <v>324</v>
      </c>
      <c r="E1" s="1" t="s">
        <v>109</v>
      </c>
      <c r="F1" s="1" t="s">
        <v>110</v>
      </c>
      <c r="G1" s="1" t="s">
        <v>111</v>
      </c>
      <c r="H1" s="1" t="s">
        <v>385</v>
      </c>
      <c r="I1" s="1" t="s">
        <v>386</v>
      </c>
      <c r="L1" s="1" t="s">
        <v>387</v>
      </c>
      <c r="M1" s="1" t="s">
        <v>388</v>
      </c>
      <c r="N1" s="1" t="s">
        <v>389</v>
      </c>
    </row>
    <row r="2" spans="1:14" x14ac:dyDescent="0.35">
      <c r="A2" t="s">
        <v>66</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row>
    <row r="3" spans="1:14" x14ac:dyDescent="0.35">
      <c r="A3" t="s">
        <v>67</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5113.26</v>
      </c>
      <c r="L3" s="5">
        <v>800</v>
      </c>
      <c r="M3" s="5">
        <v>0.3</v>
      </c>
      <c r="N3" s="5">
        <v>0.35</v>
      </c>
    </row>
    <row r="4" spans="1:14" x14ac:dyDescent="0.35">
      <c r="A4" t="s">
        <v>68</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5215.5252</v>
      </c>
      <c r="L4" s="5">
        <v>600</v>
      </c>
      <c r="M4" s="5">
        <v>0.2</v>
      </c>
      <c r="N4" s="5">
        <v>0.3</v>
      </c>
    </row>
    <row r="5" spans="1:14" x14ac:dyDescent="0.35">
      <c r="A5" t="s">
        <v>69</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5319.8357040000001</v>
      </c>
      <c r="L5" s="5">
        <v>400</v>
      </c>
      <c r="M5" s="5">
        <v>0.1</v>
      </c>
      <c r="N5" s="5">
        <v>0.25</v>
      </c>
    </row>
    <row r="6" spans="1:14" x14ac:dyDescent="0.35">
      <c r="A6" t="s">
        <v>70</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5426.2324180799997</v>
      </c>
      <c r="L6" s="5">
        <v>300</v>
      </c>
      <c r="M6" s="5">
        <v>0</v>
      </c>
      <c r="N6" s="5">
        <v>0.2</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76"/>
  <sheetViews>
    <sheetView zoomScale="70" zoomScaleNormal="70" workbookViewId="0">
      <pane xSplit="2" ySplit="1" topLeftCell="J2" activePane="bottomRight" state="frozen"/>
      <selection pane="topRight" activeCell="C1" sqref="C1"/>
      <selection pane="bottomLeft" activeCell="A2" sqref="A2"/>
      <selection pane="bottomRight" activeCell="L15" sqref="L15"/>
    </sheetView>
  </sheetViews>
  <sheetFormatPr defaultRowHeight="14.5" x14ac:dyDescent="0.3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7" x14ac:dyDescent="0.35">
      <c r="A1" s="1" t="s">
        <v>58</v>
      </c>
      <c r="B1" s="1" t="s">
        <v>390</v>
      </c>
      <c r="C1" s="1" t="s">
        <v>210</v>
      </c>
      <c r="D1" s="1" t="s">
        <v>72</v>
      </c>
      <c r="E1" s="1" t="s">
        <v>73</v>
      </c>
      <c r="F1" s="1" t="s">
        <v>391</v>
      </c>
      <c r="G1" s="1" t="s">
        <v>326</v>
      </c>
      <c r="H1" s="1" t="s">
        <v>3</v>
      </c>
      <c r="I1" t="s">
        <v>392</v>
      </c>
      <c r="J1" t="s">
        <v>393</v>
      </c>
      <c r="K1" t="s">
        <v>394</v>
      </c>
      <c r="L1" t="s">
        <v>395</v>
      </c>
      <c r="M1" t="s">
        <v>396</v>
      </c>
      <c r="N1" t="s">
        <v>397</v>
      </c>
      <c r="O1" t="s">
        <v>398</v>
      </c>
      <c r="P1" t="s">
        <v>399</v>
      </c>
      <c r="Q1" t="s">
        <v>431</v>
      </c>
    </row>
    <row r="2" spans="1:17" x14ac:dyDescent="0.35">
      <c r="A2" t="s">
        <v>400</v>
      </c>
      <c r="B2" t="str">
        <f>Control_Center!B31</f>
        <v>CUSTOM_KeepOpen_v1</v>
      </c>
      <c r="C2">
        <f>Control_Center!C31</f>
        <v>0</v>
      </c>
      <c r="D2">
        <f>Control_Center!D31</f>
        <v>0</v>
      </c>
      <c r="E2">
        <f>Control_Center!E31</f>
        <v>0</v>
      </c>
      <c r="F2">
        <f>Control_Center!F31</f>
        <v>0.5</v>
      </c>
      <c r="G2">
        <f>Control_Center!G31</f>
        <v>0</v>
      </c>
      <c r="H2" t="s">
        <v>401</v>
      </c>
      <c r="I2">
        <f t="shared" ref="I2:M6" si="0">$C2</f>
        <v>0</v>
      </c>
      <c r="J2">
        <f t="shared" si="0"/>
        <v>0</v>
      </c>
      <c r="K2">
        <f t="shared" si="0"/>
        <v>0</v>
      </c>
      <c r="L2">
        <f t="shared" si="0"/>
        <v>0</v>
      </c>
      <c r="M2">
        <f t="shared" si="0"/>
        <v>0</v>
      </c>
      <c r="O2" t="s">
        <v>402</v>
      </c>
      <c r="P2" t="s">
        <v>402</v>
      </c>
    </row>
    <row r="3" spans="1:17" x14ac:dyDescent="0.35">
      <c r="A3" t="s">
        <v>403</v>
      </c>
      <c r="B3" t="str">
        <f>Control_Center!B32</f>
        <v>Status‑Quo + Op Growth Targets</v>
      </c>
      <c r="C3">
        <f>Control_Center!C32</f>
        <v>150</v>
      </c>
      <c r="D3">
        <f>Control_Center!D32</f>
        <v>0</v>
      </c>
      <c r="E3">
        <f>Control_Center!E32</f>
        <v>0</v>
      </c>
      <c r="F3">
        <f>Control_Center!F32</f>
        <v>0.5</v>
      </c>
      <c r="G3">
        <f>Control_Center!G32</f>
        <v>0</v>
      </c>
      <c r="H3" t="s">
        <v>404</v>
      </c>
      <c r="I3">
        <f t="shared" si="0"/>
        <v>150</v>
      </c>
      <c r="J3">
        <f t="shared" si="0"/>
        <v>150</v>
      </c>
      <c r="K3">
        <f t="shared" si="0"/>
        <v>150</v>
      </c>
      <c r="L3">
        <f t="shared" si="0"/>
        <v>150</v>
      </c>
      <c r="M3">
        <f t="shared" si="0"/>
        <v>150</v>
      </c>
      <c r="O3" t="s">
        <v>402</v>
      </c>
      <c r="P3" t="s">
        <v>402</v>
      </c>
    </row>
    <row r="4" spans="1:17" x14ac:dyDescent="0.35">
      <c r="A4" t="s">
        <v>405</v>
      </c>
      <c r="B4" t="str">
        <f>Control_Center!B33</f>
        <v>Co‑Location @ Echo + Op Growth Targets</v>
      </c>
      <c r="C4">
        <f>Control_Center!C33</f>
        <v>150</v>
      </c>
      <c r="D4">
        <f>Control_Center!D33</f>
        <v>0</v>
      </c>
      <c r="E4">
        <f>Control_Center!E33</f>
        <v>0</v>
      </c>
      <c r="F4">
        <f>Control_Center!F33</f>
        <v>0.5</v>
      </c>
      <c r="G4">
        <f>Control_Center!G33</f>
        <v>0.05</v>
      </c>
      <c r="H4" t="s">
        <v>406</v>
      </c>
      <c r="I4">
        <f t="shared" si="0"/>
        <v>150</v>
      </c>
      <c r="J4">
        <f t="shared" si="0"/>
        <v>150</v>
      </c>
      <c r="K4">
        <f t="shared" si="0"/>
        <v>150</v>
      </c>
      <c r="L4">
        <f t="shared" si="0"/>
        <v>150</v>
      </c>
      <c r="M4">
        <f t="shared" si="0"/>
        <v>150</v>
      </c>
      <c r="O4" t="s">
        <v>402</v>
      </c>
      <c r="P4" t="s">
        <v>402</v>
      </c>
    </row>
    <row r="5" spans="1:17" x14ac:dyDescent="0.35">
      <c r="A5" t="s">
        <v>407</v>
      </c>
      <c r="B5" t="str">
        <f>Control_Center!B34</f>
        <v>Grow Both + Op Growth Targets</v>
      </c>
      <c r="C5">
        <f>Control_Center!C34</f>
        <v>250</v>
      </c>
      <c r="D5">
        <f>Control_Center!D34</f>
        <v>0</v>
      </c>
      <c r="E5">
        <f>Control_Center!E34</f>
        <v>0</v>
      </c>
      <c r="F5">
        <f>Control_Center!F34</f>
        <v>0.5</v>
      </c>
      <c r="G5">
        <f>Control_Center!G34</f>
        <v>0</v>
      </c>
      <c r="H5" t="s">
        <v>408</v>
      </c>
      <c r="I5">
        <f t="shared" si="0"/>
        <v>250</v>
      </c>
      <c r="J5">
        <f t="shared" si="0"/>
        <v>250</v>
      </c>
      <c r="K5">
        <f t="shared" si="0"/>
        <v>250</v>
      </c>
      <c r="L5">
        <f t="shared" si="0"/>
        <v>250</v>
      </c>
      <c r="M5">
        <f t="shared" si="0"/>
        <v>250</v>
      </c>
      <c r="O5" t="s">
        <v>409</v>
      </c>
      <c r="P5" t="s">
        <v>410</v>
      </c>
    </row>
    <row r="6" spans="1:17" x14ac:dyDescent="0.35">
      <c r="A6" t="s">
        <v>411</v>
      </c>
      <c r="B6" t="str">
        <f>Control_Center!B35</f>
        <v>CUSTOM_KeepOpen_v2</v>
      </c>
      <c r="C6">
        <f>Control_Center!C35</f>
        <v>0</v>
      </c>
      <c r="D6">
        <f>Control_Center!D35</f>
        <v>0</v>
      </c>
      <c r="E6">
        <f>Control_Center!E35</f>
        <v>0</v>
      </c>
      <c r="F6">
        <f>Control_Center!F35</f>
        <v>0.5</v>
      </c>
      <c r="G6">
        <f>Control_Center!G35</f>
        <v>0</v>
      </c>
      <c r="H6" t="s">
        <v>412</v>
      </c>
      <c r="I6">
        <f t="shared" si="0"/>
        <v>0</v>
      </c>
      <c r="J6">
        <f t="shared" si="0"/>
        <v>0</v>
      </c>
      <c r="K6">
        <f t="shared" si="0"/>
        <v>0</v>
      </c>
      <c r="L6">
        <f t="shared" si="0"/>
        <v>0</v>
      </c>
      <c r="M6">
        <f t="shared" si="0"/>
        <v>0</v>
      </c>
      <c r="O6" t="s">
        <v>402</v>
      </c>
      <c r="P6" t="s">
        <v>402</v>
      </c>
    </row>
    <row r="7" spans="1:17" x14ac:dyDescent="0.35">
      <c r="A7" t="s">
        <v>413</v>
      </c>
      <c r="B7" t="str">
        <f>Control_Center!B36</f>
        <v>Growth Hub @ Echo + Status-Quo Pima + Op Growth Targets</v>
      </c>
      <c r="C7">
        <f>Control_Center!C36</f>
        <v>150</v>
      </c>
      <c r="D7">
        <f>Control_Center!D36</f>
        <v>0</v>
      </c>
      <c r="E7">
        <f>Control_Center!E36</f>
        <v>0</v>
      </c>
      <c r="F7">
        <f>Control_Center!F36</f>
        <v>0.7</v>
      </c>
      <c r="G7">
        <f>Control_Center!G36</f>
        <v>0</v>
      </c>
      <c r="H7" t="s">
        <v>414</v>
      </c>
      <c r="I7">
        <f>C7/3</f>
        <v>50</v>
      </c>
      <c r="J7">
        <f>I7+C7/3</f>
        <v>100</v>
      </c>
      <c r="K7">
        <f>J7+C7/3</f>
        <v>150</v>
      </c>
      <c r="L7">
        <f>C7</f>
        <v>150</v>
      </c>
      <c r="M7">
        <f>C7</f>
        <v>150</v>
      </c>
      <c r="O7" t="s">
        <v>410</v>
      </c>
      <c r="P7" t="s">
        <v>402</v>
      </c>
    </row>
    <row r="8" spans="1:17" x14ac:dyDescent="0.35">
      <c r="A8" t="s">
        <v>415</v>
      </c>
      <c r="B8" t="str">
        <f>Control_Center!B37</f>
        <v>Repurpose BOTH (lease)</v>
      </c>
      <c r="C8">
        <f>Control_Center!C37</f>
        <v>0</v>
      </c>
      <c r="D8">
        <f>Control_Center!D37</f>
        <v>1</v>
      </c>
      <c r="E8">
        <f>Control_Center!E37</f>
        <v>1</v>
      </c>
      <c r="F8">
        <f>Control_Center!F37</f>
        <v>0.5</v>
      </c>
      <c r="G8">
        <f>Control_Center!G37</f>
        <v>0</v>
      </c>
      <c r="H8" t="s">
        <v>416</v>
      </c>
      <c r="I8">
        <f t="shared" ref="I8:M14" si="1">$C8</f>
        <v>0</v>
      </c>
      <c r="J8">
        <f t="shared" si="1"/>
        <v>0</v>
      </c>
      <c r="K8">
        <f t="shared" si="1"/>
        <v>0</v>
      </c>
      <c r="L8">
        <f t="shared" si="1"/>
        <v>0</v>
      </c>
      <c r="M8">
        <f t="shared" si="1"/>
        <v>0</v>
      </c>
      <c r="N8" t="s">
        <v>417</v>
      </c>
      <c r="O8" t="s">
        <v>402</v>
      </c>
      <c r="P8" t="s">
        <v>402</v>
      </c>
    </row>
    <row r="9" spans="1:17" x14ac:dyDescent="0.35">
      <c r="A9" t="s">
        <v>418</v>
      </c>
      <c r="B9" t="str">
        <f>Control_Center!B38</f>
        <v>Repurpose BOTH (ops)</v>
      </c>
      <c r="C9">
        <f>Control_Center!C38</f>
        <v>0</v>
      </c>
      <c r="D9">
        <f>Control_Center!D38</f>
        <v>1</v>
      </c>
      <c r="E9">
        <f>Control_Center!E38</f>
        <v>1</v>
      </c>
      <c r="F9">
        <f>Control_Center!F38</f>
        <v>0.5</v>
      </c>
      <c r="G9">
        <f>Control_Center!G38</f>
        <v>0</v>
      </c>
      <c r="H9" t="s">
        <v>419</v>
      </c>
      <c r="I9">
        <f t="shared" si="1"/>
        <v>0</v>
      </c>
      <c r="J9">
        <f t="shared" si="1"/>
        <v>0</v>
      </c>
      <c r="K9">
        <f t="shared" si="1"/>
        <v>0</v>
      </c>
      <c r="L9">
        <f t="shared" si="1"/>
        <v>0</v>
      </c>
      <c r="M9">
        <f t="shared" si="1"/>
        <v>0</v>
      </c>
      <c r="N9" t="s">
        <v>420</v>
      </c>
      <c r="O9" t="s">
        <v>402</v>
      </c>
      <c r="P9" t="s">
        <v>402</v>
      </c>
    </row>
    <row r="10" spans="1:17" x14ac:dyDescent="0.35">
      <c r="A10" t="s">
        <v>421</v>
      </c>
      <c r="B10" t="str">
        <f>Control_Center!B39</f>
        <v>Repurpose ECHO (lease) + Status-Quo Pima + Pima Op Growth Targets</v>
      </c>
      <c r="C10">
        <f>Control_Center!C39</f>
        <v>0</v>
      </c>
      <c r="D10">
        <f>Control_Center!D39</f>
        <v>1</v>
      </c>
      <c r="E10">
        <f>Control_Center!E39</f>
        <v>0</v>
      </c>
      <c r="F10">
        <f>Control_Center!F39</f>
        <v>0</v>
      </c>
      <c r="G10">
        <f>Control_Center!G39</f>
        <v>0</v>
      </c>
      <c r="H10" t="s">
        <v>422</v>
      </c>
      <c r="I10">
        <f t="shared" si="1"/>
        <v>0</v>
      </c>
      <c r="J10">
        <f t="shared" si="1"/>
        <v>0</v>
      </c>
      <c r="K10">
        <f t="shared" si="1"/>
        <v>0</v>
      </c>
      <c r="L10">
        <f t="shared" si="1"/>
        <v>0</v>
      </c>
      <c r="M10">
        <f t="shared" si="1"/>
        <v>0</v>
      </c>
      <c r="N10" t="s">
        <v>417</v>
      </c>
      <c r="O10" t="s">
        <v>402</v>
      </c>
      <c r="P10" t="s">
        <v>402</v>
      </c>
    </row>
    <row r="11" spans="1:17" x14ac:dyDescent="0.35">
      <c r="A11" t="s">
        <v>423</v>
      </c>
      <c r="B11" t="str">
        <f>Control_Center!B40</f>
        <v>Repurpose ECHO (ops) + Status-Quo Pima + Pima Op Growth Targets</v>
      </c>
      <c r="C11">
        <f>Control_Center!C40</f>
        <v>150</v>
      </c>
      <c r="D11">
        <f>Control_Center!D40</f>
        <v>1</v>
      </c>
      <c r="E11">
        <f>Control_Center!E40</f>
        <v>0</v>
      </c>
      <c r="F11">
        <f>Control_Center!F40</f>
        <v>0</v>
      </c>
      <c r="G11">
        <f>Control_Center!G40</f>
        <v>0</v>
      </c>
      <c r="H11" t="s">
        <v>424</v>
      </c>
      <c r="I11">
        <f t="shared" si="1"/>
        <v>150</v>
      </c>
      <c r="J11">
        <f t="shared" si="1"/>
        <v>150</v>
      </c>
      <c r="K11">
        <f t="shared" si="1"/>
        <v>150</v>
      </c>
      <c r="L11">
        <f t="shared" si="1"/>
        <v>150</v>
      </c>
      <c r="M11">
        <f t="shared" si="1"/>
        <v>150</v>
      </c>
      <c r="N11" t="s">
        <v>420</v>
      </c>
      <c r="O11" t="s">
        <v>402</v>
      </c>
      <c r="P11" t="s">
        <v>402</v>
      </c>
    </row>
    <row r="12" spans="1:17" x14ac:dyDescent="0.35">
      <c r="A12" t="s">
        <v>425</v>
      </c>
      <c r="B12" t="str">
        <f>Control_Center!B41</f>
        <v>Repurpose PIMA (lease) + Growth Hub @ Echo + Echo Op Growth Targets</v>
      </c>
      <c r="C12">
        <f>Control_Center!C41</f>
        <v>0</v>
      </c>
      <c r="D12">
        <f>Control_Center!D41</f>
        <v>0</v>
      </c>
      <c r="E12">
        <f>Control_Center!E41</f>
        <v>1</v>
      </c>
      <c r="F12">
        <f>Control_Center!F41</f>
        <v>1</v>
      </c>
      <c r="G12">
        <f>Control_Center!G41</f>
        <v>0</v>
      </c>
      <c r="H12" t="s">
        <v>426</v>
      </c>
      <c r="I12">
        <f t="shared" si="1"/>
        <v>0</v>
      </c>
      <c r="J12">
        <f t="shared" si="1"/>
        <v>0</v>
      </c>
      <c r="K12">
        <f t="shared" si="1"/>
        <v>0</v>
      </c>
      <c r="L12">
        <f t="shared" si="1"/>
        <v>0</v>
      </c>
      <c r="M12">
        <f t="shared" si="1"/>
        <v>0</v>
      </c>
      <c r="N12" t="s">
        <v>417</v>
      </c>
      <c r="O12" t="s">
        <v>410</v>
      </c>
      <c r="P12" t="s">
        <v>402</v>
      </c>
    </row>
    <row r="13" spans="1:17" x14ac:dyDescent="0.35">
      <c r="A13" t="s">
        <v>427</v>
      </c>
      <c r="B13" t="str">
        <f>Control_Center!B42</f>
        <v>Repurpose PIMA (ops) + Growth Hub @ Echo + Echo Op Growth Targets</v>
      </c>
      <c r="C13">
        <f>Control_Center!C42</f>
        <v>200</v>
      </c>
      <c r="D13">
        <f>Control_Center!D42</f>
        <v>0</v>
      </c>
      <c r="E13">
        <f>Control_Center!E42</f>
        <v>1</v>
      </c>
      <c r="F13">
        <f>Control_Center!F42</f>
        <v>1</v>
      </c>
      <c r="G13">
        <f>Control_Center!G42</f>
        <v>0</v>
      </c>
      <c r="H13" t="s">
        <v>428</v>
      </c>
      <c r="I13">
        <f t="shared" si="1"/>
        <v>200</v>
      </c>
      <c r="J13">
        <f t="shared" si="1"/>
        <v>200</v>
      </c>
      <c r="K13">
        <f t="shared" si="1"/>
        <v>200</v>
      </c>
      <c r="L13">
        <f t="shared" si="1"/>
        <v>200</v>
      </c>
      <c r="M13">
        <f t="shared" si="1"/>
        <v>200</v>
      </c>
      <c r="N13" t="s">
        <v>420</v>
      </c>
      <c r="O13" t="s">
        <v>410</v>
      </c>
      <c r="P13" t="s">
        <v>402</v>
      </c>
    </row>
    <row r="14" spans="1:17" x14ac:dyDescent="0.35">
      <c r="A14" t="s">
        <v>432</v>
      </c>
      <c r="B14" t="s">
        <v>433</v>
      </c>
      <c r="C14">
        <v>0</v>
      </c>
      <c r="D14">
        <v>0</v>
      </c>
      <c r="E14">
        <v>0</v>
      </c>
      <c r="F14">
        <v>0</v>
      </c>
      <c r="G14">
        <v>0</v>
      </c>
      <c r="H14" t="s">
        <v>434</v>
      </c>
      <c r="I14">
        <f t="shared" si="1"/>
        <v>0</v>
      </c>
      <c r="J14">
        <f t="shared" si="1"/>
        <v>0</v>
      </c>
      <c r="K14">
        <f t="shared" si="1"/>
        <v>0</v>
      </c>
      <c r="L14">
        <f t="shared" si="1"/>
        <v>0</v>
      </c>
      <c r="M14">
        <f t="shared" si="1"/>
        <v>0</v>
      </c>
      <c r="O14" t="s">
        <v>402</v>
      </c>
      <c r="P14" t="s">
        <v>402</v>
      </c>
      <c r="Q14" s="58">
        <v>-0.02</v>
      </c>
    </row>
    <row r="16" spans="1:17" x14ac:dyDescent="0.35">
      <c r="A16" s="1" t="s">
        <v>58</v>
      </c>
      <c r="B16" s="1" t="s">
        <v>59</v>
      </c>
      <c r="C16" s="1" t="s">
        <v>319</v>
      </c>
      <c r="D16" s="1" t="s">
        <v>320</v>
      </c>
      <c r="E16" s="1" t="s">
        <v>321</v>
      </c>
      <c r="F16" s="1" t="s">
        <v>322</v>
      </c>
      <c r="G16" s="1" t="s">
        <v>323</v>
      </c>
      <c r="H16" s="1" t="s">
        <v>324</v>
      </c>
      <c r="I16" s="1" t="s">
        <v>347</v>
      </c>
      <c r="O16" t="s">
        <v>402</v>
      </c>
      <c r="P16" t="s">
        <v>402</v>
      </c>
    </row>
    <row r="17" spans="1:16" x14ac:dyDescent="0.35">
      <c r="A17" t="str">
        <f>A2</f>
        <v>D_CUSTOM1</v>
      </c>
      <c r="B17" t="s">
        <v>66</v>
      </c>
      <c r="C17">
        <f>IF(D2=1,0, BaselineCalc!$B$7 + ROUND(I2*F2,0))</f>
        <v>257</v>
      </c>
      <c r="D17">
        <f>IF(E2=1,0, BaselineCalc!$B$8 + I2 - ROUND(I2*F2,0))</f>
        <v>296</v>
      </c>
      <c r="E17">
        <f t="shared" ref="E17:E48" si="2">C17+D17</f>
        <v>553</v>
      </c>
      <c r="F17" s="2">
        <f>YearMap!B2</f>
        <v>6414.5114999999987</v>
      </c>
      <c r="G17" s="2">
        <f>YearMap!C2</f>
        <v>1404302.8695</v>
      </c>
      <c r="H17" s="2">
        <f>YearMap!D2</f>
        <v>1617407.196</v>
      </c>
      <c r="I17" t="str">
        <f t="shared" ref="I17:I48" si="3">A17&amp;"|"&amp;B17</f>
        <v>D_CUSTOM1|FY2026</v>
      </c>
      <c r="O17" t="s">
        <v>402</v>
      </c>
      <c r="P17" t="s">
        <v>402</v>
      </c>
    </row>
    <row r="18" spans="1:16" x14ac:dyDescent="0.35">
      <c r="A18" t="str">
        <f>A2</f>
        <v>D_CUSTOM1</v>
      </c>
      <c r="B18" t="s">
        <v>67</v>
      </c>
      <c r="C18">
        <f>IF(D2=1,0, BaselineCalc!$B$7 + ROUND(J2*F2,0))</f>
        <v>257</v>
      </c>
      <c r="D18">
        <f>IF(E2=1,0, BaselineCalc!$B$8 + J2 - ROUND(J2*F2,0))</f>
        <v>296</v>
      </c>
      <c r="E18">
        <f t="shared" si="2"/>
        <v>553</v>
      </c>
      <c r="F18" s="2">
        <f>YearMap!B3</f>
        <v>6574.8742874999989</v>
      </c>
      <c r="G18" s="2">
        <f>YearMap!C3</f>
        <v>1439410.4412375002</v>
      </c>
      <c r="H18" s="2">
        <f>YearMap!D3</f>
        <v>1657842.3759000003</v>
      </c>
      <c r="I18" t="str">
        <f t="shared" si="3"/>
        <v>D_CUSTOM1|FY2027</v>
      </c>
      <c r="O18" t="s">
        <v>402</v>
      </c>
      <c r="P18" t="s">
        <v>402</v>
      </c>
    </row>
    <row r="19" spans="1:16" x14ac:dyDescent="0.35">
      <c r="A19" t="str">
        <f>A2</f>
        <v>D_CUSTOM1</v>
      </c>
      <c r="B19" t="s">
        <v>68</v>
      </c>
      <c r="C19">
        <f>IF(D2=1,0, BaselineCalc!$B$7 + ROUND(K2*F2,0))</f>
        <v>257</v>
      </c>
      <c r="D19">
        <f>IF(E2=1,0, BaselineCalc!$B$8 + K2 - ROUND(K2*F2,0))</f>
        <v>296</v>
      </c>
      <c r="E19">
        <f t="shared" si="2"/>
        <v>553</v>
      </c>
      <c r="F19" s="2">
        <f>YearMap!B4</f>
        <v>6739.2461446874986</v>
      </c>
      <c r="G19" s="2">
        <f>YearMap!C4</f>
        <v>1475395.7022684375</v>
      </c>
      <c r="H19" s="2">
        <f>YearMap!D4</f>
        <v>1699288.4352975001</v>
      </c>
      <c r="I19" t="str">
        <f t="shared" si="3"/>
        <v>D_CUSTOM1|FY2028</v>
      </c>
      <c r="O19" t="s">
        <v>402</v>
      </c>
      <c r="P19" t="s">
        <v>402</v>
      </c>
    </row>
    <row r="20" spans="1:16" x14ac:dyDescent="0.35">
      <c r="A20" t="str">
        <f>A2</f>
        <v>D_CUSTOM1</v>
      </c>
      <c r="B20" t="s">
        <v>69</v>
      </c>
      <c r="C20">
        <f>IF(D2=1,0, BaselineCalc!$B$7 + ROUND(L2*F2,0))</f>
        <v>257</v>
      </c>
      <c r="D20">
        <f>IF(E2=1,0, BaselineCalc!$B$8 + L2 - ROUND(L2*F2,0))</f>
        <v>296</v>
      </c>
      <c r="E20">
        <f t="shared" si="2"/>
        <v>553</v>
      </c>
      <c r="F20" s="2">
        <f>YearMap!B5</f>
        <v>6907.7272983046851</v>
      </c>
      <c r="G20" s="2">
        <f>YearMap!C5</f>
        <v>1512280.5948251483</v>
      </c>
      <c r="H20" s="2">
        <f>YearMap!D5</f>
        <v>1741770.6461799373</v>
      </c>
      <c r="I20" t="str">
        <f t="shared" si="3"/>
        <v>D_CUSTOM1|FY2029</v>
      </c>
      <c r="O20" t="s">
        <v>402</v>
      </c>
      <c r="P20" t="s">
        <v>402</v>
      </c>
    </row>
    <row r="21" spans="1:16" x14ac:dyDescent="0.35">
      <c r="A21" t="str">
        <f>A2</f>
        <v>D_CUSTOM1</v>
      </c>
      <c r="B21" t="s">
        <v>70</v>
      </c>
      <c r="C21">
        <f>IF(D2=1,0, BaselineCalc!$B$7 + ROUND(M2*F2,0))</f>
        <v>257</v>
      </c>
      <c r="D21">
        <f>IF(E2=1,0, BaselineCalc!$B$8 + M2 - ROUND(M2*F2,0))</f>
        <v>296</v>
      </c>
      <c r="E21">
        <f t="shared" si="2"/>
        <v>553</v>
      </c>
      <c r="F21" s="2">
        <f>YearMap!B6</f>
        <v>7080.4204807623018</v>
      </c>
      <c r="G21" s="2">
        <f>YearMap!C6</f>
        <v>1550087.6096957768</v>
      </c>
      <c r="H21" s="2">
        <f>YearMap!D6</f>
        <v>1785314.9123344356</v>
      </c>
      <c r="I21" t="str">
        <f t="shared" si="3"/>
        <v>D_CUSTOM1|FY2030</v>
      </c>
      <c r="O21" t="s">
        <v>402</v>
      </c>
      <c r="P21" t="s">
        <v>402</v>
      </c>
    </row>
    <row r="22" spans="1:16" x14ac:dyDescent="0.35">
      <c r="A22" t="str">
        <f>A3</f>
        <v>E_StatusQuo_Targets</v>
      </c>
      <c r="B22" t="s">
        <v>66</v>
      </c>
      <c r="C22">
        <f>IF(D3=1,0, BaselineCalc!$B$7 + ROUND(I3*F3,0))</f>
        <v>332</v>
      </c>
      <c r="D22">
        <f>IF(E3=1,0, BaselineCalc!$B$8 + I3 - ROUND(I3*F3,0))</f>
        <v>371</v>
      </c>
      <c r="E22">
        <f t="shared" si="2"/>
        <v>703</v>
      </c>
      <c r="F22" s="2">
        <f>YearMap!B2</f>
        <v>6414.5114999999987</v>
      </c>
      <c r="G22" s="2">
        <f>YearMap!C2</f>
        <v>1404302.8695</v>
      </c>
      <c r="H22" s="2">
        <f>YearMap!D2</f>
        <v>1617407.196</v>
      </c>
      <c r="I22" t="str">
        <f t="shared" si="3"/>
        <v>E_StatusQuo_Targets|FY2026</v>
      </c>
      <c r="O22" t="s">
        <v>402</v>
      </c>
      <c r="P22" t="s">
        <v>402</v>
      </c>
    </row>
    <row r="23" spans="1:16" x14ac:dyDescent="0.35">
      <c r="A23" t="str">
        <f>A3</f>
        <v>E_StatusQuo_Targets</v>
      </c>
      <c r="B23" t="s">
        <v>67</v>
      </c>
      <c r="C23">
        <f>IF(D3=1,0, BaselineCalc!$B$7 + ROUND(J3*F3,0))</f>
        <v>332</v>
      </c>
      <c r="D23">
        <f>IF(E3=1,0, BaselineCalc!$B$8 + J3 - ROUND(J3*F3,0))</f>
        <v>371</v>
      </c>
      <c r="E23">
        <f t="shared" si="2"/>
        <v>703</v>
      </c>
      <c r="F23" s="2">
        <f>YearMap!B3</f>
        <v>6574.8742874999989</v>
      </c>
      <c r="G23" s="2">
        <f>YearMap!C3</f>
        <v>1439410.4412375002</v>
      </c>
      <c r="H23" s="2">
        <f>YearMap!D3</f>
        <v>1657842.3759000003</v>
      </c>
      <c r="I23" t="str">
        <f t="shared" si="3"/>
        <v>E_StatusQuo_Targets|FY2027</v>
      </c>
      <c r="O23" t="s">
        <v>402</v>
      </c>
      <c r="P23" t="s">
        <v>402</v>
      </c>
    </row>
    <row r="24" spans="1:16" x14ac:dyDescent="0.35">
      <c r="A24" t="str">
        <f>A3</f>
        <v>E_StatusQuo_Targets</v>
      </c>
      <c r="B24" t="s">
        <v>68</v>
      </c>
      <c r="C24">
        <f>IF(D3=1,0, BaselineCalc!$B$7 + ROUND(K3*F3,0))</f>
        <v>332</v>
      </c>
      <c r="D24">
        <f>IF(E3=1,0, BaselineCalc!$B$8 + K3 - ROUND(K3*F3,0))</f>
        <v>371</v>
      </c>
      <c r="E24">
        <f t="shared" si="2"/>
        <v>703</v>
      </c>
      <c r="F24" s="2">
        <f>YearMap!B4</f>
        <v>6739.2461446874986</v>
      </c>
      <c r="G24" s="2">
        <f>YearMap!C4</f>
        <v>1475395.7022684375</v>
      </c>
      <c r="H24" s="2">
        <f>YearMap!D4</f>
        <v>1699288.4352975001</v>
      </c>
      <c r="I24" t="str">
        <f t="shared" si="3"/>
        <v>E_StatusQuo_Targets|FY2028</v>
      </c>
      <c r="O24" t="s">
        <v>402</v>
      </c>
      <c r="P24" t="s">
        <v>402</v>
      </c>
    </row>
    <row r="25" spans="1:16" x14ac:dyDescent="0.35">
      <c r="A25" t="str">
        <f>A3</f>
        <v>E_StatusQuo_Targets</v>
      </c>
      <c r="B25" t="s">
        <v>69</v>
      </c>
      <c r="C25">
        <f>IF(D3=1,0, BaselineCalc!$B$7 + ROUND(L3*F3,0))</f>
        <v>332</v>
      </c>
      <c r="D25">
        <f>IF(E3=1,0, BaselineCalc!$B$8 + L3 - ROUND(L3*F3,0))</f>
        <v>371</v>
      </c>
      <c r="E25">
        <f t="shared" si="2"/>
        <v>703</v>
      </c>
      <c r="F25" s="2">
        <f>YearMap!B5</f>
        <v>6907.7272983046851</v>
      </c>
      <c r="G25" s="2">
        <f>YearMap!C5</f>
        <v>1512280.5948251483</v>
      </c>
      <c r="H25" s="2">
        <f>YearMap!D5</f>
        <v>1741770.6461799373</v>
      </c>
      <c r="I25" t="str">
        <f t="shared" si="3"/>
        <v>E_StatusQuo_Targets|FY2029</v>
      </c>
      <c r="O25" t="s">
        <v>402</v>
      </c>
      <c r="P25" t="s">
        <v>402</v>
      </c>
    </row>
    <row r="26" spans="1:16" x14ac:dyDescent="0.35">
      <c r="A26" t="str">
        <f>A3</f>
        <v>E_StatusQuo_Targets</v>
      </c>
      <c r="B26" t="s">
        <v>70</v>
      </c>
      <c r="C26">
        <f>IF(D3=1,0, BaselineCalc!$B$7 + ROUND(M3*F3,0))</f>
        <v>332</v>
      </c>
      <c r="D26">
        <f>IF(E3=1,0, BaselineCalc!$B$8 + M3 - ROUND(M3*F3,0))</f>
        <v>371</v>
      </c>
      <c r="E26">
        <f t="shared" si="2"/>
        <v>703</v>
      </c>
      <c r="F26" s="2">
        <f>YearMap!B6</f>
        <v>7080.4204807623018</v>
      </c>
      <c r="G26" s="2">
        <f>YearMap!C6</f>
        <v>1550087.6096957768</v>
      </c>
      <c r="H26" s="2">
        <f>YearMap!D6</f>
        <v>1785314.9123344356</v>
      </c>
      <c r="I26" t="str">
        <f t="shared" si="3"/>
        <v>E_StatusQuo_Targets|FY2030</v>
      </c>
      <c r="O26" t="s">
        <v>402</v>
      </c>
      <c r="P26" t="s">
        <v>402</v>
      </c>
    </row>
    <row r="27" spans="1:16" x14ac:dyDescent="0.35">
      <c r="A27" t="str">
        <f>A4</f>
        <v>F_CoLocation_Echo_Targets</v>
      </c>
      <c r="B27" t="s">
        <v>66</v>
      </c>
      <c r="C27">
        <f>IF(D4=1,0, BaselineCalc!$B$7 + ROUND(I4*F4,0))</f>
        <v>332</v>
      </c>
      <c r="D27">
        <f>IF(E4=1,0, BaselineCalc!$B$8 + I4 - ROUND(I4*F4,0))</f>
        <v>371</v>
      </c>
      <c r="E27">
        <f t="shared" si="2"/>
        <v>703</v>
      </c>
      <c r="F27" s="2">
        <f>YearMap!B2</f>
        <v>6414.5114999999987</v>
      </c>
      <c r="G27" s="2">
        <f>YearMap!C2</f>
        <v>1404302.8695</v>
      </c>
      <c r="H27" s="2">
        <f>YearMap!D2</f>
        <v>1617407.196</v>
      </c>
      <c r="I27" t="str">
        <f t="shared" si="3"/>
        <v>F_CoLocation_Echo_Targets|FY2026</v>
      </c>
      <c r="O27" t="s">
        <v>402</v>
      </c>
      <c r="P27" t="s">
        <v>402</v>
      </c>
    </row>
    <row r="28" spans="1:16" x14ac:dyDescent="0.35">
      <c r="A28" t="str">
        <f>A4</f>
        <v>F_CoLocation_Echo_Targets</v>
      </c>
      <c r="B28" t="s">
        <v>67</v>
      </c>
      <c r="C28">
        <f>IF(D4=1,0, BaselineCalc!$B$7 + ROUND(J4*F4,0))</f>
        <v>332</v>
      </c>
      <c r="D28">
        <f>IF(E4=1,0, BaselineCalc!$B$8 + J4 - ROUND(J4*F4,0))</f>
        <v>371</v>
      </c>
      <c r="E28">
        <f t="shared" si="2"/>
        <v>703</v>
      </c>
      <c r="F28" s="2">
        <f>YearMap!B3</f>
        <v>6574.8742874999989</v>
      </c>
      <c r="G28" s="2">
        <f>YearMap!C3</f>
        <v>1439410.4412375002</v>
      </c>
      <c r="H28" s="2">
        <f>YearMap!D3</f>
        <v>1657842.3759000003</v>
      </c>
      <c r="I28" t="str">
        <f t="shared" si="3"/>
        <v>F_CoLocation_Echo_Targets|FY2027</v>
      </c>
      <c r="O28" t="s">
        <v>402</v>
      </c>
      <c r="P28" t="s">
        <v>402</v>
      </c>
    </row>
    <row r="29" spans="1:16" x14ac:dyDescent="0.35">
      <c r="A29" t="str">
        <f>A4</f>
        <v>F_CoLocation_Echo_Targets</v>
      </c>
      <c r="B29" t="s">
        <v>68</v>
      </c>
      <c r="C29">
        <f>IF(D4=1,0, BaselineCalc!$B$7 + ROUND(K4*F4,0))</f>
        <v>332</v>
      </c>
      <c r="D29">
        <f>IF(E4=1,0, BaselineCalc!$B$8 + K4 - ROUND(K4*F4,0))</f>
        <v>371</v>
      </c>
      <c r="E29">
        <f t="shared" si="2"/>
        <v>703</v>
      </c>
      <c r="F29" s="2">
        <f>YearMap!B4</f>
        <v>6739.2461446874986</v>
      </c>
      <c r="G29" s="2">
        <f>YearMap!C4</f>
        <v>1475395.7022684375</v>
      </c>
      <c r="H29" s="2">
        <f>YearMap!D4</f>
        <v>1699288.4352975001</v>
      </c>
      <c r="I29" t="str">
        <f t="shared" si="3"/>
        <v>F_CoLocation_Echo_Targets|FY2028</v>
      </c>
      <c r="O29" t="s">
        <v>402</v>
      </c>
      <c r="P29" t="s">
        <v>402</v>
      </c>
    </row>
    <row r="30" spans="1:16" x14ac:dyDescent="0.35">
      <c r="A30" t="str">
        <f>A4</f>
        <v>F_CoLocation_Echo_Targets</v>
      </c>
      <c r="B30" t="s">
        <v>69</v>
      </c>
      <c r="C30">
        <f>IF(D4=1,0, BaselineCalc!$B$7 + ROUND(L4*F4,0))</f>
        <v>332</v>
      </c>
      <c r="D30">
        <f>IF(E4=1,0, BaselineCalc!$B$8 + L4 - ROUND(L4*F4,0))</f>
        <v>371</v>
      </c>
      <c r="E30">
        <f t="shared" si="2"/>
        <v>703</v>
      </c>
      <c r="F30" s="2">
        <f>YearMap!B5</f>
        <v>6907.7272983046851</v>
      </c>
      <c r="G30" s="2">
        <f>YearMap!C5</f>
        <v>1512280.5948251483</v>
      </c>
      <c r="H30" s="2">
        <f>YearMap!D5</f>
        <v>1741770.6461799373</v>
      </c>
      <c r="I30" t="str">
        <f t="shared" si="3"/>
        <v>F_CoLocation_Echo_Targets|FY2029</v>
      </c>
      <c r="O30" t="s">
        <v>402</v>
      </c>
      <c r="P30" t="s">
        <v>402</v>
      </c>
    </row>
    <row r="31" spans="1:16" x14ac:dyDescent="0.35">
      <c r="A31" t="str">
        <f>A4</f>
        <v>F_CoLocation_Echo_Targets</v>
      </c>
      <c r="B31" t="s">
        <v>70</v>
      </c>
      <c r="C31">
        <f>IF(D4=1,0, BaselineCalc!$B$7 + ROUND(M4*F4,0))</f>
        <v>332</v>
      </c>
      <c r="D31">
        <f>IF(E4=1,0, BaselineCalc!$B$8 + M4 - ROUND(M4*F4,0))</f>
        <v>371</v>
      </c>
      <c r="E31">
        <f t="shared" si="2"/>
        <v>703</v>
      </c>
      <c r="F31" s="2">
        <f>YearMap!B6</f>
        <v>7080.4204807623018</v>
      </c>
      <c r="G31" s="2">
        <f>YearMap!C6</f>
        <v>1550087.6096957768</v>
      </c>
      <c r="H31" s="2">
        <f>YearMap!D6</f>
        <v>1785314.9123344356</v>
      </c>
      <c r="I31" t="str">
        <f t="shared" si="3"/>
        <v>F_CoLocation_Echo_Targets|FY2030</v>
      </c>
      <c r="O31" t="s">
        <v>402</v>
      </c>
      <c r="P31" t="s">
        <v>402</v>
      </c>
    </row>
    <row r="32" spans="1:16" x14ac:dyDescent="0.35">
      <c r="A32" t="str">
        <f>A5</f>
        <v>D_Grow_Both_Targets</v>
      </c>
      <c r="B32" t="s">
        <v>66</v>
      </c>
      <c r="C32">
        <f>IF(D5=1,0, BaselineCalc!$B$7 + ROUND(I5*F5,0))</f>
        <v>382</v>
      </c>
      <c r="D32">
        <f>IF(E5=1,0, BaselineCalc!$B$8 + I5 - ROUND(I5*F5,0))</f>
        <v>421</v>
      </c>
      <c r="E32">
        <f t="shared" si="2"/>
        <v>803</v>
      </c>
      <c r="F32" s="2">
        <f>YearMap!B2</f>
        <v>6414.5114999999987</v>
      </c>
      <c r="G32" s="2">
        <f>YearMap!C2</f>
        <v>1404302.8695</v>
      </c>
      <c r="H32" s="2">
        <f>YearMap!D2</f>
        <v>1617407.196</v>
      </c>
      <c r="I32" t="str">
        <f t="shared" si="3"/>
        <v>D_Grow_Both_Targets|FY2026</v>
      </c>
      <c r="O32" t="s">
        <v>402</v>
      </c>
      <c r="P32" t="s">
        <v>402</v>
      </c>
    </row>
    <row r="33" spans="1:16" x14ac:dyDescent="0.35">
      <c r="A33" t="str">
        <f>A5</f>
        <v>D_Grow_Both_Targets</v>
      </c>
      <c r="B33" t="s">
        <v>67</v>
      </c>
      <c r="C33">
        <f>IF(D5=1,0, BaselineCalc!$B$7 + ROUND(J5*F5,0))</f>
        <v>382</v>
      </c>
      <c r="D33">
        <f>IF(E5=1,0, BaselineCalc!$B$8 + J5 - ROUND(J5*F5,0))</f>
        <v>421</v>
      </c>
      <c r="E33">
        <f t="shared" si="2"/>
        <v>803</v>
      </c>
      <c r="F33" s="2">
        <f>YearMap!B3</f>
        <v>6574.8742874999989</v>
      </c>
      <c r="G33" s="2">
        <f>YearMap!C3</f>
        <v>1439410.4412375002</v>
      </c>
      <c r="H33" s="2">
        <f>YearMap!D3</f>
        <v>1657842.3759000003</v>
      </c>
      <c r="I33" t="str">
        <f t="shared" si="3"/>
        <v>D_Grow_Both_Targets|FY2027</v>
      </c>
      <c r="O33" t="s">
        <v>402</v>
      </c>
      <c r="P33" t="s">
        <v>402</v>
      </c>
    </row>
    <row r="34" spans="1:16" x14ac:dyDescent="0.35">
      <c r="A34" t="str">
        <f>A5</f>
        <v>D_Grow_Both_Targets</v>
      </c>
      <c r="B34" t="s">
        <v>68</v>
      </c>
      <c r="C34">
        <f>IF(D5=1,0, BaselineCalc!$B$7 + ROUND(K5*F5,0))</f>
        <v>382</v>
      </c>
      <c r="D34">
        <f>IF(E5=1,0, BaselineCalc!$B$8 + K5 - ROUND(K5*F5,0))</f>
        <v>421</v>
      </c>
      <c r="E34">
        <f t="shared" si="2"/>
        <v>803</v>
      </c>
      <c r="F34" s="2">
        <f>YearMap!B4</f>
        <v>6739.2461446874986</v>
      </c>
      <c r="G34" s="2">
        <f>YearMap!C4</f>
        <v>1475395.7022684375</v>
      </c>
      <c r="H34" s="2">
        <f>YearMap!D4</f>
        <v>1699288.4352975001</v>
      </c>
      <c r="I34" t="str">
        <f t="shared" si="3"/>
        <v>D_Grow_Both_Targets|FY2028</v>
      </c>
      <c r="O34" t="s">
        <v>402</v>
      </c>
      <c r="P34" t="s">
        <v>402</v>
      </c>
    </row>
    <row r="35" spans="1:16" x14ac:dyDescent="0.35">
      <c r="A35" t="str">
        <f>A5</f>
        <v>D_Grow_Both_Targets</v>
      </c>
      <c r="B35" t="s">
        <v>69</v>
      </c>
      <c r="C35">
        <f>IF(D5=1,0, BaselineCalc!$B$7 + ROUND(L5*F5,0))</f>
        <v>382</v>
      </c>
      <c r="D35">
        <f>IF(E5=1,0, BaselineCalc!$B$8 + L5 - ROUND(L5*F5,0))</f>
        <v>421</v>
      </c>
      <c r="E35">
        <f t="shared" si="2"/>
        <v>803</v>
      </c>
      <c r="F35" s="2">
        <f>YearMap!B5</f>
        <v>6907.7272983046851</v>
      </c>
      <c r="G35" s="2">
        <f>YearMap!C5</f>
        <v>1512280.5948251483</v>
      </c>
      <c r="H35" s="2">
        <f>YearMap!D5</f>
        <v>1741770.6461799373</v>
      </c>
      <c r="I35" t="str">
        <f t="shared" si="3"/>
        <v>D_Grow_Both_Targets|FY2029</v>
      </c>
      <c r="O35" t="s">
        <v>402</v>
      </c>
      <c r="P35" t="s">
        <v>402</v>
      </c>
    </row>
    <row r="36" spans="1:16" x14ac:dyDescent="0.35">
      <c r="A36" t="str">
        <f>A5</f>
        <v>D_Grow_Both_Targets</v>
      </c>
      <c r="B36" t="s">
        <v>70</v>
      </c>
      <c r="C36">
        <f>IF(D5=1,0, BaselineCalc!$B$7 + ROUND(M5*F5,0))</f>
        <v>382</v>
      </c>
      <c r="D36">
        <f>IF(E5=1,0, BaselineCalc!$B$8 + M5 - ROUND(M5*F5,0))</f>
        <v>421</v>
      </c>
      <c r="E36">
        <f t="shared" si="2"/>
        <v>803</v>
      </c>
      <c r="F36" s="2">
        <f>YearMap!B6</f>
        <v>7080.4204807623018</v>
      </c>
      <c r="G36" s="2">
        <f>YearMap!C6</f>
        <v>1550087.6096957768</v>
      </c>
      <c r="H36" s="2">
        <f>YearMap!D6</f>
        <v>1785314.9123344356</v>
      </c>
      <c r="I36" t="str">
        <f t="shared" si="3"/>
        <v>D_Grow_Both_Targets|FY2030</v>
      </c>
      <c r="O36" t="s">
        <v>402</v>
      </c>
      <c r="P36" t="s">
        <v>402</v>
      </c>
    </row>
    <row r="37" spans="1:16" x14ac:dyDescent="0.35">
      <c r="A37" t="str">
        <f>A6</f>
        <v>D_CUSTOM2</v>
      </c>
      <c r="B37" t="s">
        <v>66</v>
      </c>
      <c r="C37">
        <f>IF(D6=1,0, BaselineCalc!$B$7 + ROUND(I6*F6,0))</f>
        <v>257</v>
      </c>
      <c r="D37">
        <f>IF(E6=1,0, BaselineCalc!$B$8 + I6 - ROUND(I6*F6,0))</f>
        <v>296</v>
      </c>
      <c r="E37">
        <f t="shared" si="2"/>
        <v>553</v>
      </c>
      <c r="F37" s="2">
        <f>YearMap!B2</f>
        <v>6414.5114999999987</v>
      </c>
      <c r="G37" s="2">
        <f>YearMap!C2</f>
        <v>1404302.8695</v>
      </c>
      <c r="H37" s="2">
        <f>YearMap!D2</f>
        <v>1617407.196</v>
      </c>
      <c r="I37" t="str">
        <f t="shared" si="3"/>
        <v>D_CUSTOM2|FY2026</v>
      </c>
      <c r="O37" t="s">
        <v>402</v>
      </c>
      <c r="P37" t="s">
        <v>402</v>
      </c>
    </row>
    <row r="38" spans="1:16" x14ac:dyDescent="0.35">
      <c r="A38" t="str">
        <f>A6</f>
        <v>D_CUSTOM2</v>
      </c>
      <c r="B38" t="s">
        <v>67</v>
      </c>
      <c r="C38">
        <f>IF(D6=1,0, BaselineCalc!$B$7 + ROUND(J6*F6,0))</f>
        <v>257</v>
      </c>
      <c r="D38">
        <f>IF(E6=1,0, BaselineCalc!$B$8 + J6 - ROUND(J6*F6,0))</f>
        <v>296</v>
      </c>
      <c r="E38">
        <f t="shared" si="2"/>
        <v>553</v>
      </c>
      <c r="F38" s="2">
        <f>YearMap!B3</f>
        <v>6574.8742874999989</v>
      </c>
      <c r="G38" s="2">
        <f>YearMap!C3</f>
        <v>1439410.4412375002</v>
      </c>
      <c r="H38" s="2">
        <f>YearMap!D3</f>
        <v>1657842.3759000003</v>
      </c>
      <c r="I38" t="str">
        <f t="shared" si="3"/>
        <v>D_CUSTOM2|FY2027</v>
      </c>
      <c r="O38" t="s">
        <v>402</v>
      </c>
      <c r="P38" t="s">
        <v>402</v>
      </c>
    </row>
    <row r="39" spans="1:16" x14ac:dyDescent="0.35">
      <c r="A39" t="str">
        <f>A6</f>
        <v>D_CUSTOM2</v>
      </c>
      <c r="B39" t="s">
        <v>68</v>
      </c>
      <c r="C39">
        <f>IF(D6=1,0, BaselineCalc!$B$7 + ROUND(K6*F6,0))</f>
        <v>257</v>
      </c>
      <c r="D39">
        <f>IF(E6=1,0, BaselineCalc!$B$8 + K6 - ROUND(K6*F6,0))</f>
        <v>296</v>
      </c>
      <c r="E39">
        <f t="shared" si="2"/>
        <v>553</v>
      </c>
      <c r="F39" s="2">
        <f>YearMap!B4</f>
        <v>6739.2461446874986</v>
      </c>
      <c r="G39" s="2">
        <f>YearMap!C4</f>
        <v>1475395.7022684375</v>
      </c>
      <c r="H39" s="2">
        <f>YearMap!D4</f>
        <v>1699288.4352975001</v>
      </c>
      <c r="I39" t="str">
        <f t="shared" si="3"/>
        <v>D_CUSTOM2|FY2028</v>
      </c>
      <c r="O39" t="s">
        <v>402</v>
      </c>
      <c r="P39" t="s">
        <v>402</v>
      </c>
    </row>
    <row r="40" spans="1:16" x14ac:dyDescent="0.35">
      <c r="A40" t="str">
        <f>A6</f>
        <v>D_CUSTOM2</v>
      </c>
      <c r="B40" t="s">
        <v>69</v>
      </c>
      <c r="C40">
        <f>IF(D6=1,0, BaselineCalc!$B$7 + ROUND(L6*F6,0))</f>
        <v>257</v>
      </c>
      <c r="D40">
        <f>IF(E6=1,0, BaselineCalc!$B$8 + L6 - ROUND(L6*F6,0))</f>
        <v>296</v>
      </c>
      <c r="E40">
        <f t="shared" si="2"/>
        <v>553</v>
      </c>
      <c r="F40" s="2">
        <f>YearMap!B5</f>
        <v>6907.7272983046851</v>
      </c>
      <c r="G40" s="2">
        <f>YearMap!C5</f>
        <v>1512280.5948251483</v>
      </c>
      <c r="H40" s="2">
        <f>YearMap!D5</f>
        <v>1741770.6461799373</v>
      </c>
      <c r="I40" t="str">
        <f t="shared" si="3"/>
        <v>D_CUSTOM2|FY2029</v>
      </c>
      <c r="O40" t="s">
        <v>402</v>
      </c>
      <c r="P40" t="s">
        <v>402</v>
      </c>
    </row>
    <row r="41" spans="1:16" x14ac:dyDescent="0.35">
      <c r="A41" t="str">
        <f>A6</f>
        <v>D_CUSTOM2</v>
      </c>
      <c r="B41" t="s">
        <v>70</v>
      </c>
      <c r="C41">
        <f>IF(D6=1,0, BaselineCalc!$B$7 + ROUND(M6*F6,0))</f>
        <v>257</v>
      </c>
      <c r="D41">
        <f>IF(E6=1,0, BaselineCalc!$B$8 + M6 - ROUND(M6*F6,0))</f>
        <v>296</v>
      </c>
      <c r="E41">
        <f t="shared" si="2"/>
        <v>553</v>
      </c>
      <c r="F41" s="2">
        <f>YearMap!B6</f>
        <v>7080.4204807623018</v>
      </c>
      <c r="G41" s="2">
        <f>YearMap!C6</f>
        <v>1550087.6096957768</v>
      </c>
      <c r="H41" s="2">
        <f>YearMap!D6</f>
        <v>1785314.9123344356</v>
      </c>
      <c r="I41" t="str">
        <f t="shared" si="3"/>
        <v>D_CUSTOM2|FY2030</v>
      </c>
      <c r="O41" t="s">
        <v>402</v>
      </c>
      <c r="P41" t="s">
        <v>402</v>
      </c>
    </row>
    <row r="42" spans="1:16" x14ac:dyDescent="0.35">
      <c r="A42" t="str">
        <f>A7</f>
        <v>G_EchoGHubRamp_PimaTargets</v>
      </c>
      <c r="B42" t="s">
        <v>66</v>
      </c>
      <c r="C42">
        <f>IF(D7=1,0, BaselineCalc!$B$7 + ROUND(I7*F7,0))</f>
        <v>292</v>
      </c>
      <c r="D42">
        <f>IF(E7=1,0, BaselineCalc!$B$8 + I7 - ROUND(I7*F7,0))</f>
        <v>311</v>
      </c>
      <c r="E42">
        <f t="shared" si="2"/>
        <v>603</v>
      </c>
      <c r="F42" s="2">
        <f>YearMap!B2</f>
        <v>6414.5114999999987</v>
      </c>
      <c r="G42" s="2">
        <f>YearMap!C2</f>
        <v>1404302.8695</v>
      </c>
      <c r="H42" s="2">
        <f>YearMap!D2</f>
        <v>1617407.196</v>
      </c>
      <c r="I42" t="str">
        <f t="shared" si="3"/>
        <v>G_EchoGHubRamp_PimaTargets|FY2026</v>
      </c>
      <c r="O42" t="s">
        <v>402</v>
      </c>
      <c r="P42" t="s">
        <v>402</v>
      </c>
    </row>
    <row r="43" spans="1:16" x14ac:dyDescent="0.35">
      <c r="A43" t="str">
        <f>A7</f>
        <v>G_EchoGHubRamp_PimaTargets</v>
      </c>
      <c r="B43" t="s">
        <v>67</v>
      </c>
      <c r="C43">
        <f>IF(D7=1,0, BaselineCalc!$B$7 + ROUND(J7*F7,0))</f>
        <v>327</v>
      </c>
      <c r="D43">
        <f>IF(E7=1,0, BaselineCalc!$B$8 + J7 - ROUND(J7*F7,0))</f>
        <v>326</v>
      </c>
      <c r="E43">
        <f t="shared" si="2"/>
        <v>653</v>
      </c>
      <c r="F43" s="2">
        <f>YearMap!B3</f>
        <v>6574.8742874999989</v>
      </c>
      <c r="G43" s="2">
        <f>YearMap!C3</f>
        <v>1439410.4412375002</v>
      </c>
      <c r="H43" s="2">
        <f>YearMap!D3</f>
        <v>1657842.3759000003</v>
      </c>
      <c r="I43" t="str">
        <f t="shared" si="3"/>
        <v>G_EchoGHubRamp_PimaTargets|FY2027</v>
      </c>
      <c r="O43" t="s">
        <v>402</v>
      </c>
      <c r="P43" t="s">
        <v>402</v>
      </c>
    </row>
    <row r="44" spans="1:16" x14ac:dyDescent="0.35">
      <c r="A44" t="str">
        <f>A7</f>
        <v>G_EchoGHubRamp_PimaTargets</v>
      </c>
      <c r="B44" t="s">
        <v>68</v>
      </c>
      <c r="C44">
        <f>IF(D7=1,0, BaselineCalc!$B$7 + ROUND(K7*F7,0))</f>
        <v>362</v>
      </c>
      <c r="D44">
        <f>IF(E7=1,0, BaselineCalc!$B$8 + K7 - ROUND(K7*F7,0))</f>
        <v>341</v>
      </c>
      <c r="E44">
        <f t="shared" si="2"/>
        <v>703</v>
      </c>
      <c r="F44" s="2">
        <f>YearMap!B4</f>
        <v>6739.2461446874986</v>
      </c>
      <c r="G44" s="2">
        <f>YearMap!C4</f>
        <v>1475395.7022684375</v>
      </c>
      <c r="H44" s="2">
        <f>YearMap!D4</f>
        <v>1699288.4352975001</v>
      </c>
      <c r="I44" t="str">
        <f t="shared" si="3"/>
        <v>G_EchoGHubRamp_PimaTargets|FY2028</v>
      </c>
      <c r="O44" t="s">
        <v>402</v>
      </c>
      <c r="P44" t="s">
        <v>402</v>
      </c>
    </row>
    <row r="45" spans="1:16" x14ac:dyDescent="0.35">
      <c r="A45" t="str">
        <f>A7</f>
        <v>G_EchoGHubRamp_PimaTargets</v>
      </c>
      <c r="B45" t="s">
        <v>69</v>
      </c>
      <c r="C45">
        <f>IF(D7=1,0, BaselineCalc!$B$7 + ROUND(L7*F7,0))</f>
        <v>362</v>
      </c>
      <c r="D45">
        <f>IF(E7=1,0, BaselineCalc!$B$8 + L7 - ROUND(L7*F7,0))</f>
        <v>341</v>
      </c>
      <c r="E45">
        <f t="shared" si="2"/>
        <v>703</v>
      </c>
      <c r="F45" s="2">
        <f>YearMap!B5</f>
        <v>6907.7272983046851</v>
      </c>
      <c r="G45" s="2">
        <f>YearMap!C5</f>
        <v>1512280.5948251483</v>
      </c>
      <c r="H45" s="2">
        <f>YearMap!D5</f>
        <v>1741770.6461799373</v>
      </c>
      <c r="I45" t="str">
        <f t="shared" si="3"/>
        <v>G_EchoGHubRamp_PimaTargets|FY2029</v>
      </c>
      <c r="O45" t="s">
        <v>402</v>
      </c>
      <c r="P45" t="s">
        <v>402</v>
      </c>
    </row>
    <row r="46" spans="1:16" x14ac:dyDescent="0.35">
      <c r="A46" t="str">
        <f>A7</f>
        <v>G_EchoGHubRamp_PimaTargets</v>
      </c>
      <c r="B46" t="s">
        <v>70</v>
      </c>
      <c r="C46">
        <f>IF(D7=1,0, BaselineCalc!$B$7 + ROUND(M7*F7,0))</f>
        <v>362</v>
      </c>
      <c r="D46">
        <f>IF(E7=1,0, BaselineCalc!$B$8 + M7 - ROUND(M7*F7,0))</f>
        <v>341</v>
      </c>
      <c r="E46">
        <f t="shared" si="2"/>
        <v>703</v>
      </c>
      <c r="F46" s="2">
        <f>YearMap!B6</f>
        <v>7080.4204807623018</v>
      </c>
      <c r="G46" s="2">
        <f>YearMap!C6</f>
        <v>1550087.6096957768</v>
      </c>
      <c r="H46" s="2">
        <f>YearMap!D6</f>
        <v>1785314.9123344356</v>
      </c>
      <c r="I46" t="str">
        <f t="shared" si="3"/>
        <v>G_EchoGHubRamp_PimaTargets|FY2030</v>
      </c>
      <c r="O46" t="s">
        <v>402</v>
      </c>
      <c r="P46" t="s">
        <v>402</v>
      </c>
    </row>
    <row r="47" spans="1:16" x14ac:dyDescent="0.35">
      <c r="A47" t="str">
        <f>A8</f>
        <v>A_Repurpose_Both_lease</v>
      </c>
      <c r="B47" t="s">
        <v>66</v>
      </c>
      <c r="C47">
        <f>IF(D8=1,0, BaselineCalc!$B$7 + ROUND(I8*F8,0))</f>
        <v>0</v>
      </c>
      <c r="D47">
        <f>IF(E8=1,0, BaselineCalc!$B$8 + I8 - ROUND(I8*F8,0))</f>
        <v>0</v>
      </c>
      <c r="E47">
        <f t="shared" si="2"/>
        <v>0</v>
      </c>
      <c r="F47" s="2">
        <f>YearMap!B2</f>
        <v>6414.5114999999987</v>
      </c>
      <c r="G47" s="2">
        <f>YearMap!C2</f>
        <v>1404302.8695</v>
      </c>
      <c r="H47" s="2">
        <f>YearMap!D2</f>
        <v>1617407.196</v>
      </c>
      <c r="I47" t="str">
        <f t="shared" si="3"/>
        <v>A_Repurpose_Both_lease|FY2026</v>
      </c>
      <c r="O47" t="s">
        <v>402</v>
      </c>
      <c r="P47" t="s">
        <v>402</v>
      </c>
    </row>
    <row r="48" spans="1:16" x14ac:dyDescent="0.35">
      <c r="A48" t="str">
        <f>A8</f>
        <v>A_Repurpose_Both_lease</v>
      </c>
      <c r="B48" t="s">
        <v>67</v>
      </c>
      <c r="C48">
        <f>IF(D8=1,0, BaselineCalc!$B$7 + ROUND(J8*F8,0))</f>
        <v>0</v>
      </c>
      <c r="D48">
        <f>IF(E8=1,0, BaselineCalc!$B$8 + J8 - ROUND(J8*F8,0))</f>
        <v>0</v>
      </c>
      <c r="E48">
        <f t="shared" si="2"/>
        <v>0</v>
      </c>
      <c r="F48" s="2">
        <f>YearMap!B3</f>
        <v>6574.8742874999989</v>
      </c>
      <c r="G48" s="2">
        <f>YearMap!C3</f>
        <v>1439410.4412375002</v>
      </c>
      <c r="H48" s="2">
        <f>YearMap!D3</f>
        <v>1657842.3759000003</v>
      </c>
      <c r="I48" t="str">
        <f t="shared" si="3"/>
        <v>A_Repurpose_Both_lease|FY2027</v>
      </c>
      <c r="O48" t="s">
        <v>402</v>
      </c>
      <c r="P48" t="s">
        <v>402</v>
      </c>
    </row>
    <row r="49" spans="1:16" x14ac:dyDescent="0.35">
      <c r="A49" t="str">
        <f>A8</f>
        <v>A_Repurpose_Both_lease</v>
      </c>
      <c r="B49" t="s">
        <v>68</v>
      </c>
      <c r="C49">
        <f>IF(D8=1,0, BaselineCalc!$B$7 + ROUND(K8*F8,0))</f>
        <v>0</v>
      </c>
      <c r="D49">
        <f>IF(E8=1,0, BaselineCalc!$B$8 + K8 - ROUND(K8*F8,0))</f>
        <v>0</v>
      </c>
      <c r="E49">
        <f t="shared" ref="E49:E76" si="4">C49+D49</f>
        <v>0</v>
      </c>
      <c r="F49" s="2">
        <f>YearMap!B4</f>
        <v>6739.2461446874986</v>
      </c>
      <c r="G49" s="2">
        <f>YearMap!C4</f>
        <v>1475395.7022684375</v>
      </c>
      <c r="H49" s="2">
        <f>YearMap!D4</f>
        <v>1699288.4352975001</v>
      </c>
      <c r="I49" t="str">
        <f t="shared" ref="I49:I76" si="5">A49&amp;"|"&amp;B49</f>
        <v>A_Repurpose_Both_lease|FY2028</v>
      </c>
      <c r="O49" t="s">
        <v>402</v>
      </c>
      <c r="P49" t="s">
        <v>402</v>
      </c>
    </row>
    <row r="50" spans="1:16" x14ac:dyDescent="0.35">
      <c r="A50" t="str">
        <f>A8</f>
        <v>A_Repurpose_Both_lease</v>
      </c>
      <c r="B50" t="s">
        <v>69</v>
      </c>
      <c r="C50">
        <f>IF(D8=1,0, BaselineCalc!$B$7 + ROUND(L8*F8,0))</f>
        <v>0</v>
      </c>
      <c r="D50">
        <f>IF(E8=1,0, BaselineCalc!$B$8 + L8 - ROUND(L8*F8,0))</f>
        <v>0</v>
      </c>
      <c r="E50">
        <f t="shared" si="4"/>
        <v>0</v>
      </c>
      <c r="F50" s="2">
        <f>YearMap!B5</f>
        <v>6907.7272983046851</v>
      </c>
      <c r="G50" s="2">
        <f>YearMap!C5</f>
        <v>1512280.5948251483</v>
      </c>
      <c r="H50" s="2">
        <f>YearMap!D5</f>
        <v>1741770.6461799373</v>
      </c>
      <c r="I50" t="str">
        <f t="shared" si="5"/>
        <v>A_Repurpose_Both_lease|FY2029</v>
      </c>
      <c r="O50" t="s">
        <v>402</v>
      </c>
      <c r="P50" t="s">
        <v>402</v>
      </c>
    </row>
    <row r="51" spans="1:16" x14ac:dyDescent="0.35">
      <c r="A51" t="str">
        <f>A8</f>
        <v>A_Repurpose_Both_lease</v>
      </c>
      <c r="B51" t="s">
        <v>70</v>
      </c>
      <c r="C51">
        <f>IF(D8=1,0, BaselineCalc!$B$7 + ROUND(M8*F8,0))</f>
        <v>0</v>
      </c>
      <c r="D51">
        <f>IF(E8=1,0, BaselineCalc!$B$8 + M8 - ROUND(M8*F8,0))</f>
        <v>0</v>
      </c>
      <c r="E51">
        <f t="shared" si="4"/>
        <v>0</v>
      </c>
      <c r="F51" s="2">
        <f>YearMap!B6</f>
        <v>7080.4204807623018</v>
      </c>
      <c r="G51" s="2">
        <f>YearMap!C6</f>
        <v>1550087.6096957768</v>
      </c>
      <c r="H51" s="2">
        <f>YearMap!D6</f>
        <v>1785314.9123344356</v>
      </c>
      <c r="I51" t="str">
        <f t="shared" si="5"/>
        <v>A_Repurpose_Both_lease|FY2030</v>
      </c>
      <c r="O51" t="s">
        <v>402</v>
      </c>
      <c r="P51" t="s">
        <v>402</v>
      </c>
    </row>
    <row r="52" spans="1:16" x14ac:dyDescent="0.35">
      <c r="A52" t="str">
        <f>A9</f>
        <v>A_Repurpose_Both_ops</v>
      </c>
      <c r="B52" t="s">
        <v>66</v>
      </c>
      <c r="C52">
        <f>IF(D9=1,0, BaselineCalc!$B$7 + ROUND(I9*F9,0))</f>
        <v>0</v>
      </c>
      <c r="D52">
        <f>IF(E9=1,0, BaselineCalc!$B$8 + I9 - ROUND(I9*F9,0))</f>
        <v>0</v>
      </c>
      <c r="E52">
        <f t="shared" si="4"/>
        <v>0</v>
      </c>
      <c r="F52" s="2">
        <f>YearMap!B2</f>
        <v>6414.5114999999987</v>
      </c>
      <c r="G52" s="2">
        <f>YearMap!C2</f>
        <v>1404302.8695</v>
      </c>
      <c r="H52" s="2">
        <f>YearMap!D2</f>
        <v>1617407.196</v>
      </c>
      <c r="I52" t="str">
        <f t="shared" si="5"/>
        <v>A_Repurpose_Both_ops|FY2026</v>
      </c>
      <c r="O52" t="s">
        <v>402</v>
      </c>
      <c r="P52" t="s">
        <v>402</v>
      </c>
    </row>
    <row r="53" spans="1:16" x14ac:dyDescent="0.35">
      <c r="A53" t="str">
        <f>A9</f>
        <v>A_Repurpose_Both_ops</v>
      </c>
      <c r="B53" t="s">
        <v>67</v>
      </c>
      <c r="C53">
        <f>IF(D9=1,0, BaselineCalc!$B$7 + ROUND(J9*F9,0))</f>
        <v>0</v>
      </c>
      <c r="D53">
        <f>IF(E9=1,0, BaselineCalc!$B$8 + J9 - ROUND(J9*F9,0))</f>
        <v>0</v>
      </c>
      <c r="E53">
        <f t="shared" si="4"/>
        <v>0</v>
      </c>
      <c r="F53" s="2">
        <f>YearMap!B3</f>
        <v>6574.8742874999989</v>
      </c>
      <c r="G53" s="2">
        <f>YearMap!C3</f>
        <v>1439410.4412375002</v>
      </c>
      <c r="H53" s="2">
        <f>YearMap!D3</f>
        <v>1657842.3759000003</v>
      </c>
      <c r="I53" t="str">
        <f t="shared" si="5"/>
        <v>A_Repurpose_Both_ops|FY2027</v>
      </c>
      <c r="O53" t="s">
        <v>402</v>
      </c>
      <c r="P53" t="s">
        <v>402</v>
      </c>
    </row>
    <row r="54" spans="1:16" x14ac:dyDescent="0.35">
      <c r="A54" t="str">
        <f>A9</f>
        <v>A_Repurpose_Both_ops</v>
      </c>
      <c r="B54" t="s">
        <v>68</v>
      </c>
      <c r="C54">
        <f>IF(D9=1,0, BaselineCalc!$B$7 + ROUND(K9*F9,0))</f>
        <v>0</v>
      </c>
      <c r="D54">
        <f>IF(E9=1,0, BaselineCalc!$B$8 + K9 - ROUND(K9*F9,0))</f>
        <v>0</v>
      </c>
      <c r="E54">
        <f t="shared" si="4"/>
        <v>0</v>
      </c>
      <c r="F54" s="2">
        <f>YearMap!B4</f>
        <v>6739.2461446874986</v>
      </c>
      <c r="G54" s="2">
        <f>YearMap!C4</f>
        <v>1475395.7022684375</v>
      </c>
      <c r="H54" s="2">
        <f>YearMap!D4</f>
        <v>1699288.4352975001</v>
      </c>
      <c r="I54" t="str">
        <f t="shared" si="5"/>
        <v>A_Repurpose_Both_ops|FY2028</v>
      </c>
      <c r="O54" t="s">
        <v>402</v>
      </c>
      <c r="P54" t="s">
        <v>402</v>
      </c>
    </row>
    <row r="55" spans="1:16" x14ac:dyDescent="0.35">
      <c r="A55" t="str">
        <f>A9</f>
        <v>A_Repurpose_Both_ops</v>
      </c>
      <c r="B55" t="s">
        <v>69</v>
      </c>
      <c r="C55">
        <f>IF(D9=1,0, BaselineCalc!$B$7 + ROUND(L9*F9,0))</f>
        <v>0</v>
      </c>
      <c r="D55">
        <f>IF(E9=1,0, BaselineCalc!$B$8 + L9 - ROUND(L9*F9,0))</f>
        <v>0</v>
      </c>
      <c r="E55">
        <f t="shared" si="4"/>
        <v>0</v>
      </c>
      <c r="F55" s="2">
        <f>YearMap!B5</f>
        <v>6907.7272983046851</v>
      </c>
      <c r="G55" s="2">
        <f>YearMap!C5</f>
        <v>1512280.5948251483</v>
      </c>
      <c r="H55" s="2">
        <f>YearMap!D5</f>
        <v>1741770.6461799373</v>
      </c>
      <c r="I55" t="str">
        <f t="shared" si="5"/>
        <v>A_Repurpose_Both_ops|FY2029</v>
      </c>
      <c r="O55" t="s">
        <v>402</v>
      </c>
      <c r="P55" t="s">
        <v>402</v>
      </c>
    </row>
    <row r="56" spans="1:16" x14ac:dyDescent="0.35">
      <c r="A56" t="str">
        <f>A9</f>
        <v>A_Repurpose_Both_ops</v>
      </c>
      <c r="B56" t="s">
        <v>70</v>
      </c>
      <c r="C56">
        <f>IF(D9=1,0, BaselineCalc!$B$7 + ROUND(M9*F9,0))</f>
        <v>0</v>
      </c>
      <c r="D56">
        <f>IF(E9=1,0, BaselineCalc!$B$8 + M9 - ROUND(M9*F9,0))</f>
        <v>0</v>
      </c>
      <c r="E56">
        <f t="shared" si="4"/>
        <v>0</v>
      </c>
      <c r="F56" s="2">
        <f>YearMap!B6</f>
        <v>7080.4204807623018</v>
      </c>
      <c r="G56" s="2">
        <f>YearMap!C6</f>
        <v>1550087.6096957768</v>
      </c>
      <c r="H56" s="2">
        <f>YearMap!D6</f>
        <v>1785314.9123344356</v>
      </c>
      <c r="I56" t="str">
        <f t="shared" si="5"/>
        <v>A_Repurpose_Both_ops|FY2030</v>
      </c>
      <c r="O56" t="s">
        <v>402</v>
      </c>
      <c r="P56" t="s">
        <v>402</v>
      </c>
    </row>
    <row r="57" spans="1:16" x14ac:dyDescent="0.35">
      <c r="A57" t="str">
        <f>A10</f>
        <v>B_Repurpose_Echo_lease_PimaTargets</v>
      </c>
      <c r="B57" t="s">
        <v>66</v>
      </c>
      <c r="C57">
        <f>IF(D10=1,0, BaselineCalc!$B$7 + ROUND(I10*F10,0))</f>
        <v>0</v>
      </c>
      <c r="D57">
        <f>IF(E10=1,0, BaselineCalc!$B$8 + I10 - ROUND(I10*F10,0))</f>
        <v>296</v>
      </c>
      <c r="E57">
        <f t="shared" si="4"/>
        <v>296</v>
      </c>
      <c r="F57" s="2">
        <f>YearMap!B2</f>
        <v>6414.5114999999987</v>
      </c>
      <c r="G57" s="2">
        <f>YearMap!C2</f>
        <v>1404302.8695</v>
      </c>
      <c r="H57" s="2">
        <f>YearMap!D2</f>
        <v>1617407.196</v>
      </c>
      <c r="I57" t="str">
        <f t="shared" si="5"/>
        <v>B_Repurpose_Echo_lease_PimaTargets|FY2026</v>
      </c>
      <c r="O57" t="s">
        <v>402</v>
      </c>
      <c r="P57" t="s">
        <v>402</v>
      </c>
    </row>
    <row r="58" spans="1:16" x14ac:dyDescent="0.35">
      <c r="A58" t="str">
        <f>A10</f>
        <v>B_Repurpose_Echo_lease_PimaTargets</v>
      </c>
      <c r="B58" t="s">
        <v>67</v>
      </c>
      <c r="C58">
        <f>IF(D10=1,0, BaselineCalc!$B$7 + ROUND(J10*F10,0))</f>
        <v>0</v>
      </c>
      <c r="D58">
        <f>IF(E10=1,0, BaselineCalc!$B$8 + J10 - ROUND(J10*F10,0))</f>
        <v>296</v>
      </c>
      <c r="E58">
        <f t="shared" si="4"/>
        <v>296</v>
      </c>
      <c r="F58" s="2">
        <f>YearMap!B3</f>
        <v>6574.8742874999989</v>
      </c>
      <c r="G58" s="2">
        <f>YearMap!C3</f>
        <v>1439410.4412375002</v>
      </c>
      <c r="H58" s="2">
        <f>YearMap!D3</f>
        <v>1657842.3759000003</v>
      </c>
      <c r="I58" t="str">
        <f t="shared" si="5"/>
        <v>B_Repurpose_Echo_lease_PimaTargets|FY2027</v>
      </c>
      <c r="O58" t="s">
        <v>402</v>
      </c>
      <c r="P58" t="s">
        <v>402</v>
      </c>
    </row>
    <row r="59" spans="1:16" x14ac:dyDescent="0.35">
      <c r="A59" t="str">
        <f>A10</f>
        <v>B_Repurpose_Echo_lease_PimaTargets</v>
      </c>
      <c r="B59" t="s">
        <v>68</v>
      </c>
      <c r="C59">
        <f>IF(D10=1,0, BaselineCalc!$B$7 + ROUND(K10*F10,0))</f>
        <v>0</v>
      </c>
      <c r="D59">
        <f>IF(E10=1,0, BaselineCalc!$B$8 + K10 - ROUND(K10*F10,0))</f>
        <v>296</v>
      </c>
      <c r="E59">
        <f t="shared" si="4"/>
        <v>296</v>
      </c>
      <c r="F59" s="2">
        <f>YearMap!B4</f>
        <v>6739.2461446874986</v>
      </c>
      <c r="G59" s="2">
        <f>YearMap!C4</f>
        <v>1475395.7022684375</v>
      </c>
      <c r="H59" s="2">
        <f>YearMap!D4</f>
        <v>1699288.4352975001</v>
      </c>
      <c r="I59" t="str">
        <f t="shared" si="5"/>
        <v>B_Repurpose_Echo_lease_PimaTargets|FY2028</v>
      </c>
      <c r="O59" t="s">
        <v>402</v>
      </c>
      <c r="P59" t="s">
        <v>402</v>
      </c>
    </row>
    <row r="60" spans="1:16" x14ac:dyDescent="0.35">
      <c r="A60" t="str">
        <f>A10</f>
        <v>B_Repurpose_Echo_lease_PimaTargets</v>
      </c>
      <c r="B60" t="s">
        <v>69</v>
      </c>
      <c r="C60">
        <f>IF(D10=1,0, BaselineCalc!$B$7 + ROUND(L10*F10,0))</f>
        <v>0</v>
      </c>
      <c r="D60">
        <f>IF(E10=1,0, BaselineCalc!$B$8 + L10 - ROUND(L10*F10,0))</f>
        <v>296</v>
      </c>
      <c r="E60">
        <f t="shared" si="4"/>
        <v>296</v>
      </c>
      <c r="F60" s="2">
        <f>YearMap!B5</f>
        <v>6907.7272983046851</v>
      </c>
      <c r="G60" s="2">
        <f>YearMap!C5</f>
        <v>1512280.5948251483</v>
      </c>
      <c r="H60" s="2">
        <f>YearMap!D5</f>
        <v>1741770.6461799373</v>
      </c>
      <c r="I60" t="str">
        <f t="shared" si="5"/>
        <v>B_Repurpose_Echo_lease_PimaTargets|FY2029</v>
      </c>
      <c r="O60" t="s">
        <v>402</v>
      </c>
      <c r="P60" t="s">
        <v>402</v>
      </c>
    </row>
    <row r="61" spans="1:16" x14ac:dyDescent="0.35">
      <c r="A61" t="str">
        <f>A10</f>
        <v>B_Repurpose_Echo_lease_PimaTargets</v>
      </c>
      <c r="B61" t="s">
        <v>70</v>
      </c>
      <c r="C61">
        <f>IF(D10=1,0, BaselineCalc!$B$7 + ROUND(M10*F10,0))</f>
        <v>0</v>
      </c>
      <c r="D61">
        <f>IF(E10=1,0, BaselineCalc!$B$8 + M10 - ROUND(M10*F10,0))</f>
        <v>296</v>
      </c>
      <c r="E61">
        <f t="shared" si="4"/>
        <v>296</v>
      </c>
      <c r="F61" s="2">
        <f>YearMap!B6</f>
        <v>7080.4204807623018</v>
      </c>
      <c r="G61" s="2">
        <f>YearMap!C6</f>
        <v>1550087.6096957768</v>
      </c>
      <c r="H61" s="2">
        <f>YearMap!D6</f>
        <v>1785314.9123344356</v>
      </c>
      <c r="I61" t="str">
        <f t="shared" si="5"/>
        <v>B_Repurpose_Echo_lease_PimaTargets|FY2030</v>
      </c>
      <c r="O61" t="s">
        <v>402</v>
      </c>
      <c r="P61" t="s">
        <v>402</v>
      </c>
    </row>
    <row r="62" spans="1:16" x14ac:dyDescent="0.35">
      <c r="A62" t="str">
        <f>A11</f>
        <v>B_Repurpose_Echo_ops_PimaTargets</v>
      </c>
      <c r="B62" t="s">
        <v>66</v>
      </c>
      <c r="C62">
        <f>IF(D11=1,0, BaselineCalc!$B$7 + ROUND(I11*F11,0))</f>
        <v>0</v>
      </c>
      <c r="D62">
        <f>IF(E11=1,0, BaselineCalc!$B$8 + I11 - ROUND(I11*F11,0))</f>
        <v>446</v>
      </c>
      <c r="E62">
        <f t="shared" si="4"/>
        <v>446</v>
      </c>
      <c r="F62" s="2">
        <f>YearMap!B2</f>
        <v>6414.5114999999987</v>
      </c>
      <c r="G62" s="2">
        <f>YearMap!C2</f>
        <v>1404302.8695</v>
      </c>
      <c r="H62" s="2">
        <f>YearMap!D2</f>
        <v>1617407.196</v>
      </c>
      <c r="I62" t="str">
        <f t="shared" si="5"/>
        <v>B_Repurpose_Echo_ops_PimaTargets|FY2026</v>
      </c>
      <c r="O62" t="s">
        <v>402</v>
      </c>
      <c r="P62" t="s">
        <v>402</v>
      </c>
    </row>
    <row r="63" spans="1:16" x14ac:dyDescent="0.35">
      <c r="A63" t="str">
        <f>A11</f>
        <v>B_Repurpose_Echo_ops_PimaTargets</v>
      </c>
      <c r="B63" t="s">
        <v>67</v>
      </c>
      <c r="C63">
        <f>IF(D11=1,0, BaselineCalc!$B$7 + ROUND(J11*F11,0))</f>
        <v>0</v>
      </c>
      <c r="D63">
        <f>IF(E11=1,0, BaselineCalc!$B$8 + J11 - ROUND(J11*F11,0))</f>
        <v>446</v>
      </c>
      <c r="E63">
        <f t="shared" si="4"/>
        <v>446</v>
      </c>
      <c r="F63" s="2">
        <f>YearMap!B3</f>
        <v>6574.8742874999989</v>
      </c>
      <c r="G63" s="2">
        <f>YearMap!C3</f>
        <v>1439410.4412375002</v>
      </c>
      <c r="H63" s="2">
        <f>YearMap!D3</f>
        <v>1657842.3759000003</v>
      </c>
      <c r="I63" t="str">
        <f t="shared" si="5"/>
        <v>B_Repurpose_Echo_ops_PimaTargets|FY2027</v>
      </c>
      <c r="O63" t="s">
        <v>402</v>
      </c>
      <c r="P63" t="s">
        <v>402</v>
      </c>
    </row>
    <row r="64" spans="1:16" x14ac:dyDescent="0.35">
      <c r="A64" t="str">
        <f>A11</f>
        <v>B_Repurpose_Echo_ops_PimaTargets</v>
      </c>
      <c r="B64" t="s">
        <v>68</v>
      </c>
      <c r="C64">
        <f>IF(D11=1,0, BaselineCalc!$B$7 + ROUND(K11*F11,0))</f>
        <v>0</v>
      </c>
      <c r="D64">
        <f>IF(E11=1,0, BaselineCalc!$B$8 + K11 - ROUND(K11*F11,0))</f>
        <v>446</v>
      </c>
      <c r="E64">
        <f t="shared" si="4"/>
        <v>446</v>
      </c>
      <c r="F64" s="2">
        <f>YearMap!B4</f>
        <v>6739.2461446874986</v>
      </c>
      <c r="G64" s="2">
        <f>YearMap!C4</f>
        <v>1475395.7022684375</v>
      </c>
      <c r="H64" s="2">
        <f>YearMap!D4</f>
        <v>1699288.4352975001</v>
      </c>
      <c r="I64" t="str">
        <f t="shared" si="5"/>
        <v>B_Repurpose_Echo_ops_PimaTargets|FY2028</v>
      </c>
      <c r="O64" t="s">
        <v>402</v>
      </c>
      <c r="P64" t="s">
        <v>402</v>
      </c>
    </row>
    <row r="65" spans="1:16" x14ac:dyDescent="0.35">
      <c r="A65" t="str">
        <f>A11</f>
        <v>B_Repurpose_Echo_ops_PimaTargets</v>
      </c>
      <c r="B65" t="s">
        <v>69</v>
      </c>
      <c r="C65">
        <f>IF(D11=1,0, BaselineCalc!$B$7 + ROUND(L11*F11,0))</f>
        <v>0</v>
      </c>
      <c r="D65">
        <f>IF(E11=1,0, BaselineCalc!$B$8 + L11 - ROUND(L11*F11,0))</f>
        <v>446</v>
      </c>
      <c r="E65">
        <f t="shared" si="4"/>
        <v>446</v>
      </c>
      <c r="F65" s="2">
        <f>YearMap!B5</f>
        <v>6907.7272983046851</v>
      </c>
      <c r="G65" s="2">
        <f>YearMap!C5</f>
        <v>1512280.5948251483</v>
      </c>
      <c r="H65" s="2">
        <f>YearMap!D5</f>
        <v>1741770.6461799373</v>
      </c>
      <c r="I65" t="str">
        <f t="shared" si="5"/>
        <v>B_Repurpose_Echo_ops_PimaTargets|FY2029</v>
      </c>
      <c r="O65" t="s">
        <v>402</v>
      </c>
      <c r="P65" t="s">
        <v>402</v>
      </c>
    </row>
    <row r="66" spans="1:16" x14ac:dyDescent="0.35">
      <c r="A66" t="str">
        <f>A11</f>
        <v>B_Repurpose_Echo_ops_PimaTargets</v>
      </c>
      <c r="B66" t="s">
        <v>70</v>
      </c>
      <c r="C66">
        <f>IF(D11=1,0, BaselineCalc!$B$7 + ROUND(M11*F11,0))</f>
        <v>0</v>
      </c>
      <c r="D66">
        <f>IF(E11=1,0, BaselineCalc!$B$8 + M11 - ROUND(M11*F11,0))</f>
        <v>446</v>
      </c>
      <c r="E66">
        <f t="shared" si="4"/>
        <v>446</v>
      </c>
      <c r="F66" s="2">
        <f>YearMap!B6</f>
        <v>7080.4204807623018</v>
      </c>
      <c r="G66" s="2">
        <f>YearMap!C6</f>
        <v>1550087.6096957768</v>
      </c>
      <c r="H66" s="2">
        <f>YearMap!D6</f>
        <v>1785314.9123344356</v>
      </c>
      <c r="I66" t="str">
        <f t="shared" si="5"/>
        <v>B_Repurpose_Echo_ops_PimaTargets|FY2030</v>
      </c>
      <c r="O66" t="s">
        <v>402</v>
      </c>
      <c r="P66" t="s">
        <v>402</v>
      </c>
    </row>
    <row r="67" spans="1:16" x14ac:dyDescent="0.35">
      <c r="A67" t="str">
        <f>A12</f>
        <v>C_Repurpose_Pima_lease_EchoGHub_EchoTargets</v>
      </c>
      <c r="B67" t="s">
        <v>66</v>
      </c>
      <c r="C67">
        <f>IF(D12=1,0, BaselineCalc!$B$7 + ROUND(I12*F12,0))</f>
        <v>257</v>
      </c>
      <c r="D67">
        <f>IF(E12=1,0, BaselineCalc!$B$8 + I12 - ROUND(I12*F12,0))</f>
        <v>0</v>
      </c>
      <c r="E67">
        <f t="shared" si="4"/>
        <v>257</v>
      </c>
      <c r="F67" s="2">
        <f>YearMap!B2</f>
        <v>6414.5114999999987</v>
      </c>
      <c r="G67" s="2">
        <f>YearMap!C2</f>
        <v>1404302.8695</v>
      </c>
      <c r="H67" s="2">
        <f>YearMap!D2</f>
        <v>1617407.196</v>
      </c>
      <c r="I67" t="str">
        <f t="shared" si="5"/>
        <v>C_Repurpose_Pima_lease_EchoGHub_EchoTargets|FY2026</v>
      </c>
      <c r="O67" t="s">
        <v>402</v>
      </c>
      <c r="P67" t="s">
        <v>402</v>
      </c>
    </row>
    <row r="68" spans="1:16" x14ac:dyDescent="0.35">
      <c r="A68" t="str">
        <f>A12</f>
        <v>C_Repurpose_Pima_lease_EchoGHub_EchoTargets</v>
      </c>
      <c r="B68" t="s">
        <v>67</v>
      </c>
      <c r="C68">
        <f>IF(D12=1,0, BaselineCalc!$B$7 + ROUND(J12*F12,0))</f>
        <v>257</v>
      </c>
      <c r="D68">
        <f>IF(E12=1,0, BaselineCalc!$B$8 + J12 - ROUND(J12*F12,0))</f>
        <v>0</v>
      </c>
      <c r="E68">
        <f t="shared" si="4"/>
        <v>257</v>
      </c>
      <c r="F68" s="2">
        <f>YearMap!B3</f>
        <v>6574.8742874999989</v>
      </c>
      <c r="G68" s="2">
        <f>YearMap!C3</f>
        <v>1439410.4412375002</v>
      </c>
      <c r="H68" s="2">
        <f>YearMap!D3</f>
        <v>1657842.3759000003</v>
      </c>
      <c r="I68" t="str">
        <f t="shared" si="5"/>
        <v>C_Repurpose_Pima_lease_EchoGHub_EchoTargets|FY2027</v>
      </c>
      <c r="O68" t="s">
        <v>402</v>
      </c>
      <c r="P68" t="s">
        <v>402</v>
      </c>
    </row>
    <row r="69" spans="1:16" x14ac:dyDescent="0.35">
      <c r="A69" t="str">
        <f>A12</f>
        <v>C_Repurpose_Pima_lease_EchoGHub_EchoTargets</v>
      </c>
      <c r="B69" t="s">
        <v>68</v>
      </c>
      <c r="C69">
        <f>IF(D12=1,0, BaselineCalc!$B$7 + ROUND(K12*F12,0))</f>
        <v>257</v>
      </c>
      <c r="D69">
        <f>IF(E12=1,0, BaselineCalc!$B$8 + K12 - ROUND(K12*F12,0))</f>
        <v>0</v>
      </c>
      <c r="E69">
        <f t="shared" si="4"/>
        <v>257</v>
      </c>
      <c r="F69" s="2">
        <f>YearMap!B4</f>
        <v>6739.2461446874986</v>
      </c>
      <c r="G69" s="2">
        <f>YearMap!C4</f>
        <v>1475395.7022684375</v>
      </c>
      <c r="H69" s="2">
        <f>YearMap!D4</f>
        <v>1699288.4352975001</v>
      </c>
      <c r="I69" t="str">
        <f t="shared" si="5"/>
        <v>C_Repurpose_Pima_lease_EchoGHub_EchoTargets|FY2028</v>
      </c>
      <c r="O69" t="s">
        <v>402</v>
      </c>
      <c r="P69" t="s">
        <v>402</v>
      </c>
    </row>
    <row r="70" spans="1:16" x14ac:dyDescent="0.35">
      <c r="A70" t="str">
        <f>A12</f>
        <v>C_Repurpose_Pima_lease_EchoGHub_EchoTargets</v>
      </c>
      <c r="B70" t="s">
        <v>69</v>
      </c>
      <c r="C70">
        <f>IF(D12=1,0, BaselineCalc!$B$7 + ROUND(L12*F12,0))</f>
        <v>257</v>
      </c>
      <c r="D70">
        <f>IF(E12=1,0, BaselineCalc!$B$8 + L12 - ROUND(L12*F12,0))</f>
        <v>0</v>
      </c>
      <c r="E70">
        <f t="shared" si="4"/>
        <v>257</v>
      </c>
      <c r="F70" s="2">
        <f>YearMap!B5</f>
        <v>6907.7272983046851</v>
      </c>
      <c r="G70" s="2">
        <f>YearMap!C5</f>
        <v>1512280.5948251483</v>
      </c>
      <c r="H70" s="2">
        <f>YearMap!D5</f>
        <v>1741770.6461799373</v>
      </c>
      <c r="I70" t="str">
        <f t="shared" si="5"/>
        <v>C_Repurpose_Pima_lease_EchoGHub_EchoTargets|FY2029</v>
      </c>
      <c r="O70" t="s">
        <v>402</v>
      </c>
      <c r="P70" t="s">
        <v>402</v>
      </c>
    </row>
    <row r="71" spans="1:16" x14ac:dyDescent="0.35">
      <c r="A71" t="str">
        <f>A12</f>
        <v>C_Repurpose_Pima_lease_EchoGHub_EchoTargets</v>
      </c>
      <c r="B71" t="s">
        <v>70</v>
      </c>
      <c r="C71">
        <f>IF(D12=1,0, BaselineCalc!$B$7 + ROUND(M12*F12,0))</f>
        <v>257</v>
      </c>
      <c r="D71">
        <f>IF(E12=1,0, BaselineCalc!$B$8 + M12 - ROUND(M12*F12,0))</f>
        <v>0</v>
      </c>
      <c r="E71">
        <f t="shared" si="4"/>
        <v>257</v>
      </c>
      <c r="F71" s="2">
        <f>YearMap!B6</f>
        <v>7080.4204807623018</v>
      </c>
      <c r="G71" s="2">
        <f>YearMap!C6</f>
        <v>1550087.6096957768</v>
      </c>
      <c r="H71" s="2">
        <f>YearMap!D6</f>
        <v>1785314.9123344356</v>
      </c>
      <c r="I71" t="str">
        <f t="shared" si="5"/>
        <v>C_Repurpose_Pima_lease_EchoGHub_EchoTargets|FY2030</v>
      </c>
      <c r="O71" t="s">
        <v>402</v>
      </c>
      <c r="P71" t="s">
        <v>402</v>
      </c>
    </row>
    <row r="72" spans="1:16" x14ac:dyDescent="0.35">
      <c r="A72" t="str">
        <f>A13</f>
        <v>C_Repurpose_Pima_ops_EchoGHub_EchoTargets</v>
      </c>
      <c r="B72" t="s">
        <v>66</v>
      </c>
      <c r="C72">
        <f>IF(D13=1,0, BaselineCalc!$B$7 + ROUND(I13*F13,0))</f>
        <v>457</v>
      </c>
      <c r="D72">
        <f>IF(E13=1,0, BaselineCalc!$B$8 + I13 - ROUND(I13*F13,0))</f>
        <v>0</v>
      </c>
      <c r="E72">
        <f t="shared" si="4"/>
        <v>457</v>
      </c>
      <c r="F72" s="2">
        <f>YearMap!B2</f>
        <v>6414.5114999999987</v>
      </c>
      <c r="G72" s="2">
        <f>YearMap!C2</f>
        <v>1404302.8695</v>
      </c>
      <c r="H72" s="2">
        <f>YearMap!D2</f>
        <v>1617407.196</v>
      </c>
      <c r="I72" t="str">
        <f t="shared" si="5"/>
        <v>C_Repurpose_Pima_ops_EchoGHub_EchoTargets|FY2026</v>
      </c>
      <c r="O72" t="s">
        <v>402</v>
      </c>
      <c r="P72" t="s">
        <v>402</v>
      </c>
    </row>
    <row r="73" spans="1:16" x14ac:dyDescent="0.35">
      <c r="A73" t="str">
        <f>A13</f>
        <v>C_Repurpose_Pima_ops_EchoGHub_EchoTargets</v>
      </c>
      <c r="B73" t="s">
        <v>67</v>
      </c>
      <c r="C73">
        <f>IF(D13=1,0, BaselineCalc!$B$7 + ROUND(J13*F13,0))</f>
        <v>457</v>
      </c>
      <c r="D73">
        <f>IF(E13=1,0, BaselineCalc!$B$8 + J13 - ROUND(J13*F13,0))</f>
        <v>0</v>
      </c>
      <c r="E73">
        <f t="shared" si="4"/>
        <v>457</v>
      </c>
      <c r="F73" s="2">
        <f>YearMap!B3</f>
        <v>6574.8742874999989</v>
      </c>
      <c r="G73" s="2">
        <f>YearMap!C3</f>
        <v>1439410.4412375002</v>
      </c>
      <c r="H73" s="2">
        <f>YearMap!D3</f>
        <v>1657842.3759000003</v>
      </c>
      <c r="I73" t="str">
        <f t="shared" si="5"/>
        <v>C_Repurpose_Pima_ops_EchoGHub_EchoTargets|FY2027</v>
      </c>
      <c r="O73" t="s">
        <v>402</v>
      </c>
      <c r="P73" t="s">
        <v>402</v>
      </c>
    </row>
    <row r="74" spans="1:16" x14ac:dyDescent="0.35">
      <c r="A74" t="str">
        <f>A13</f>
        <v>C_Repurpose_Pima_ops_EchoGHub_EchoTargets</v>
      </c>
      <c r="B74" t="s">
        <v>68</v>
      </c>
      <c r="C74">
        <f>IF(D13=1,0, BaselineCalc!$B$7 + ROUND(K13*F13,0))</f>
        <v>457</v>
      </c>
      <c r="D74">
        <f>IF(E13=1,0, BaselineCalc!$B$8 + K13 - ROUND(K13*F13,0))</f>
        <v>0</v>
      </c>
      <c r="E74">
        <f t="shared" si="4"/>
        <v>457</v>
      </c>
      <c r="F74" s="2">
        <f>YearMap!B4</f>
        <v>6739.2461446874986</v>
      </c>
      <c r="G74" s="2">
        <f>YearMap!C4</f>
        <v>1475395.7022684375</v>
      </c>
      <c r="H74" s="2">
        <f>YearMap!D4</f>
        <v>1699288.4352975001</v>
      </c>
      <c r="I74" t="str">
        <f t="shared" si="5"/>
        <v>C_Repurpose_Pima_ops_EchoGHub_EchoTargets|FY2028</v>
      </c>
      <c r="O74" t="s">
        <v>402</v>
      </c>
      <c r="P74" t="s">
        <v>402</v>
      </c>
    </row>
    <row r="75" spans="1:16" x14ac:dyDescent="0.35">
      <c r="A75" t="str">
        <f>A13</f>
        <v>C_Repurpose_Pima_ops_EchoGHub_EchoTargets</v>
      </c>
      <c r="B75" t="s">
        <v>69</v>
      </c>
      <c r="C75">
        <f>IF(D13=1,0, BaselineCalc!$B$7 + ROUND(L13*F13,0))</f>
        <v>457</v>
      </c>
      <c r="D75">
        <f>IF(E13=1,0, BaselineCalc!$B$8 + L13 - ROUND(L13*F13,0))</f>
        <v>0</v>
      </c>
      <c r="E75">
        <f t="shared" si="4"/>
        <v>457</v>
      </c>
      <c r="F75" s="2">
        <f>YearMap!B5</f>
        <v>6907.7272983046851</v>
      </c>
      <c r="G75" s="2">
        <f>YearMap!C5</f>
        <v>1512280.5948251483</v>
      </c>
      <c r="H75" s="2">
        <f>YearMap!D5</f>
        <v>1741770.6461799373</v>
      </c>
      <c r="I75" t="str">
        <f t="shared" si="5"/>
        <v>C_Repurpose_Pima_ops_EchoGHub_EchoTargets|FY2029</v>
      </c>
      <c r="O75" t="s">
        <v>402</v>
      </c>
      <c r="P75" t="s">
        <v>402</v>
      </c>
    </row>
    <row r="76" spans="1:16" x14ac:dyDescent="0.35">
      <c r="A76" t="str">
        <f>A13</f>
        <v>C_Repurpose_Pima_ops_EchoGHub_EchoTargets</v>
      </c>
      <c r="B76" t="s">
        <v>70</v>
      </c>
      <c r="C76">
        <f>IF(D13=1,0, BaselineCalc!$B$7 + ROUND(M13*F13,0))</f>
        <v>457</v>
      </c>
      <c r="D76">
        <f>IF(E13=1,0, BaselineCalc!$B$8 + M13 - ROUND(M13*F13,0))</f>
        <v>0</v>
      </c>
      <c r="E76">
        <f t="shared" si="4"/>
        <v>457</v>
      </c>
      <c r="F76" s="2">
        <f>YearMap!B6</f>
        <v>7080.4204807623018</v>
      </c>
      <c r="G76" s="2">
        <f>YearMap!C6</f>
        <v>1550087.6096957768</v>
      </c>
      <c r="H76" s="2">
        <f>YearMap!D6</f>
        <v>1785314.9123344356</v>
      </c>
      <c r="I76" t="str">
        <f t="shared" si="5"/>
        <v>C_Repurpose_Pima_ops_EchoGHub_EchoTargets|FY2030</v>
      </c>
      <c r="O76" t="s">
        <v>402</v>
      </c>
      <c r="P76" t="s">
        <v>402</v>
      </c>
    </row>
  </sheetData>
  <dataValidations count="1">
    <dataValidation type="list" allowBlank="1" showInputMessage="1" showErrorMessage="1" sqref="O2:P14" xr:uid="{00000000-0002-0000-0C00-000000000000}">
      <formula1>"None, Arts, Innov"</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2"/>
  <sheetViews>
    <sheetView workbookViewId="0">
      <selection activeCell="B2" sqref="B2"/>
    </sheetView>
  </sheetViews>
  <sheetFormatPr defaultRowHeight="14.5" x14ac:dyDescent="0.35"/>
  <cols>
    <col min="1" max="1" width="24.90625" bestFit="1" customWidth="1"/>
  </cols>
  <sheetData>
    <row r="1" spans="1:4" x14ac:dyDescent="0.35">
      <c r="A1" t="s">
        <v>82</v>
      </c>
      <c r="B1" t="s">
        <v>83</v>
      </c>
      <c r="D1" t="s">
        <v>429</v>
      </c>
    </row>
    <row r="2" spans="1:4" x14ac:dyDescent="0.35">
      <c r="A2" t="s">
        <v>106</v>
      </c>
      <c r="B2">
        <f>Control_Center!C17</f>
        <v>0.4</v>
      </c>
      <c r="D2">
        <v>0.4</v>
      </c>
    </row>
  </sheetData>
  <sheetProtection algorithmName="SHA-512" hashValue="t6dUbyQFaW1YaJfRL4D1vTNSnkSDVNrqGMXajg5aaKJO9CaWnDpO9Yixs4KrovfJE2Mj/DUbMxyLV7hBmO/24Q==" saltValue="Dy2ZEtVBpY6E+TvFonmPDQ==" spinCount="100000" sheet="1" objects="1" scenarios="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15</vt:i4>
      </vt:variant>
    </vt:vector>
  </HeadingPairs>
  <TitlesOfParts>
    <vt:vector size="29" baseType="lpstr">
      <vt:lpstr>Parameters_Public</vt:lpstr>
      <vt:lpstr>Summary</vt:lpstr>
      <vt:lpstr>Capital_Summary</vt:lpstr>
      <vt:lpstr>Receiving_Capacity</vt:lpstr>
      <vt:lpstr>Control_Center</vt:lpstr>
      <vt:lpstr>Dashboard</vt:lpstr>
      <vt:lpstr>Definitions_Sources</vt:lpstr>
      <vt:lpstr>Q&amp;A</vt:lpstr>
      <vt:lpstr>MultiYear_ProForma</vt:lpstr>
      <vt:lpstr>BaselineCalc</vt:lpstr>
      <vt:lpstr>Site_Fixed</vt:lpstr>
      <vt:lpstr>YearMap</vt:lpstr>
      <vt:lpstr>Scenarios</vt:lpstr>
      <vt:lpstr>Other_Parameters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2025-10-27T19:37:40Z</dcterms:modified>
</cp:coreProperties>
</file>