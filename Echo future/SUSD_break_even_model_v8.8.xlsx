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0" documentId="8_{3F320BCE-4685-42DE-AFD5-B0AF2A7DC771}" xr6:coauthVersionLast="47" xr6:coauthVersionMax="47" xr10:uidLastSave="{546C57E3-2AEE-4D03-A9BE-0B3F8F6106A7}"/>
  <bookViews>
    <workbookView xWindow="-110" yWindow="-110" windowWidth="19420" windowHeight="10300" activeTab="1" xr2:uid="{00000000-000D-0000-FFFF-FFFF00000000}"/>
  </bookViews>
  <sheets>
    <sheet name="Workbook_Purpose_Overview" sheetId="1" r:id="rId1"/>
    <sheet name="Summary_Figures" sheetId="2" r:id="rId2"/>
    <sheet name="Board_OnePager" sheetId="3"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6" i="6" l="1"/>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E4" i="12"/>
  <c r="P3" i="12"/>
  <c r="G3" i="12"/>
  <c r="F3" i="12"/>
  <c r="E3" i="12"/>
  <c r="P2" i="12"/>
  <c r="G2" i="12"/>
  <c r="F2" i="12"/>
  <c r="E2" i="12"/>
  <c r="B28" i="11"/>
  <c r="B27" i="11"/>
  <c r="I5" i="12" s="1"/>
  <c r="O5" i="12" s="1"/>
  <c r="B23" i="11"/>
  <c r="B22" i="11"/>
  <c r="B6" i="11"/>
  <c r="B5" i="11"/>
  <c r="B4" i="11"/>
  <c r="B3" i="11"/>
  <c r="B2" i="11"/>
  <c r="C17" i="10"/>
  <c r="C14" i="10"/>
  <c r="C29" i="9"/>
  <c r="C19" i="9"/>
  <c r="C11" i="9"/>
  <c r="B8" i="11" s="1"/>
  <c r="C10" i="9"/>
  <c r="E16" i="8" s="1"/>
  <c r="K16" i="8" s="1"/>
  <c r="H16" i="8"/>
  <c r="G16" i="8"/>
  <c r="D16" i="8"/>
  <c r="J16" i="8" s="1"/>
  <c r="C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H68" i="7"/>
  <c r="G68" i="7"/>
  <c r="F68" i="7"/>
  <c r="E68" i="7"/>
  <c r="D68" i="7"/>
  <c r="A68" i="7"/>
  <c r="C68" i="7" s="1"/>
  <c r="G67" i="7"/>
  <c r="F67" i="7"/>
  <c r="H67" i="7" s="1"/>
  <c r="E67" i="7"/>
  <c r="D67" i="7"/>
  <c r="C67" i="7"/>
  <c r="A67" i="7"/>
  <c r="G66" i="7"/>
  <c r="F66" i="7"/>
  <c r="E66" i="7"/>
  <c r="D66" i="7"/>
  <c r="A66" i="7"/>
  <c r="C66" i="7" s="1"/>
  <c r="G65" i="7"/>
  <c r="F65" i="7"/>
  <c r="E65" i="7"/>
  <c r="D65" i="7"/>
  <c r="H65" i="7" s="1"/>
  <c r="C65" i="7"/>
  <c r="A65" i="7"/>
  <c r="A64" i="7"/>
  <c r="G63" i="7"/>
  <c r="F63" i="7"/>
  <c r="E63" i="7"/>
  <c r="D63" i="7"/>
  <c r="A63" i="7"/>
  <c r="G62" i="7"/>
  <c r="F62" i="7"/>
  <c r="H62" i="7" s="1"/>
  <c r="E62" i="7"/>
  <c r="D62" i="7"/>
  <c r="A62" i="7"/>
  <c r="G61" i="7"/>
  <c r="F61" i="7"/>
  <c r="E61" i="7"/>
  <c r="H61" i="7" s="1"/>
  <c r="D61" i="7"/>
  <c r="A61" i="7"/>
  <c r="G60" i="7"/>
  <c r="F60" i="7"/>
  <c r="E60" i="7"/>
  <c r="D60" i="7"/>
  <c r="H60" i="7" s="1"/>
  <c r="A60" i="7"/>
  <c r="A59" i="7"/>
  <c r="H58" i="7"/>
  <c r="G58" i="7"/>
  <c r="F58" i="7"/>
  <c r="E58" i="7"/>
  <c r="D58" i="7"/>
  <c r="A58" i="7"/>
  <c r="G57" i="7"/>
  <c r="F57" i="7"/>
  <c r="E57" i="7"/>
  <c r="D57" i="7"/>
  <c r="A57" i="7"/>
  <c r="G56" i="7"/>
  <c r="F56" i="7"/>
  <c r="E56" i="7"/>
  <c r="D56" i="7"/>
  <c r="H56" i="7" s="1"/>
  <c r="A56" i="7"/>
  <c r="G55" i="7"/>
  <c r="F55" i="7"/>
  <c r="E55" i="7"/>
  <c r="D55" i="7"/>
  <c r="H55" i="7" s="1"/>
  <c r="A55" i="7"/>
  <c r="A54" i="7"/>
  <c r="G53" i="7"/>
  <c r="F53" i="7"/>
  <c r="E53" i="7"/>
  <c r="H53" i="7" s="1"/>
  <c r="D53" i="7"/>
  <c r="A53" i="7"/>
  <c r="G52" i="7"/>
  <c r="F52" i="7"/>
  <c r="E52" i="7"/>
  <c r="D52" i="7"/>
  <c r="H52" i="7" s="1"/>
  <c r="A52" i="7"/>
  <c r="G51" i="7"/>
  <c r="F51" i="7"/>
  <c r="E51" i="7"/>
  <c r="H51" i="7" s="1"/>
  <c r="D51" i="7"/>
  <c r="A51" i="7"/>
  <c r="G50" i="7"/>
  <c r="F50" i="7"/>
  <c r="E50" i="7"/>
  <c r="D50" i="7"/>
  <c r="H50" i="7" s="1"/>
  <c r="A50" i="7"/>
  <c r="A49" i="7"/>
  <c r="G48" i="7"/>
  <c r="F48" i="7"/>
  <c r="E48" i="7"/>
  <c r="H48" i="7" s="1"/>
  <c r="D48" i="7"/>
  <c r="A48" i="7"/>
  <c r="G47" i="7"/>
  <c r="F47" i="7"/>
  <c r="E47" i="7"/>
  <c r="D47" i="7"/>
  <c r="H47" i="7" s="1"/>
  <c r="A47" i="7"/>
  <c r="G46" i="7"/>
  <c r="F46" i="7"/>
  <c r="E46" i="7"/>
  <c r="D46" i="7"/>
  <c r="H46" i="7" s="1"/>
  <c r="A46" i="7"/>
  <c r="G45" i="7"/>
  <c r="H45" i="7" s="1"/>
  <c r="F45" i="7"/>
  <c r="E45" i="7"/>
  <c r="D45" i="7"/>
  <c r="A45" i="7"/>
  <c r="A44" i="7"/>
  <c r="G43" i="7"/>
  <c r="F43" i="7"/>
  <c r="E43" i="7"/>
  <c r="H43" i="7" s="1"/>
  <c r="D43" i="7"/>
  <c r="A43" i="7"/>
  <c r="G42" i="7"/>
  <c r="F42" i="7"/>
  <c r="E42" i="7"/>
  <c r="D42" i="7"/>
  <c r="H42" i="7" s="1"/>
  <c r="A42" i="7"/>
  <c r="G41" i="7"/>
  <c r="F41" i="7"/>
  <c r="E41" i="7"/>
  <c r="D41" i="7"/>
  <c r="A41" i="7"/>
  <c r="H40" i="7"/>
  <c r="G40" i="7"/>
  <c r="F40" i="7"/>
  <c r="E40" i="7"/>
  <c r="D40" i="7"/>
  <c r="A40" i="7"/>
  <c r="A39" i="7"/>
  <c r="G38" i="7"/>
  <c r="F38" i="7"/>
  <c r="E38" i="7"/>
  <c r="D38" i="7"/>
  <c r="H38" i="7" s="1"/>
  <c r="A38" i="7"/>
  <c r="G37" i="7"/>
  <c r="F37" i="7"/>
  <c r="E37" i="7"/>
  <c r="H37" i="7" s="1"/>
  <c r="D37" i="7"/>
  <c r="A37" i="7"/>
  <c r="G36" i="7"/>
  <c r="F36" i="7"/>
  <c r="E36" i="7"/>
  <c r="D36" i="7"/>
  <c r="H36" i="7" s="1"/>
  <c r="A36" i="7"/>
  <c r="H35" i="7"/>
  <c r="G35" i="7"/>
  <c r="F35" i="7"/>
  <c r="E35" i="7"/>
  <c r="D35" i="7"/>
  <c r="A35" i="7"/>
  <c r="A34" i="7"/>
  <c r="G33" i="7"/>
  <c r="F33" i="7"/>
  <c r="E33" i="7"/>
  <c r="D33" i="7"/>
  <c r="A33" i="7"/>
  <c r="G32" i="7"/>
  <c r="F32" i="7"/>
  <c r="E32" i="7"/>
  <c r="D32" i="7"/>
  <c r="H32" i="7" s="1"/>
  <c r="A32" i="7"/>
  <c r="G31" i="7"/>
  <c r="F31" i="7"/>
  <c r="E31" i="7"/>
  <c r="D31" i="7"/>
  <c r="A31" i="7"/>
  <c r="H30" i="7"/>
  <c r="G30" i="7"/>
  <c r="F30" i="7"/>
  <c r="E30" i="7"/>
  <c r="D30" i="7"/>
  <c r="A30" i="7"/>
  <c r="A29" i="7"/>
  <c r="G28" i="7"/>
  <c r="F28" i="7"/>
  <c r="E28" i="7"/>
  <c r="D28" i="7"/>
  <c r="H28" i="7" s="1"/>
  <c r="A28" i="7"/>
  <c r="H27" i="7"/>
  <c r="G27" i="7"/>
  <c r="F27" i="7"/>
  <c r="E27" i="7"/>
  <c r="D27" i="7"/>
  <c r="A27" i="7"/>
  <c r="G26" i="7"/>
  <c r="H26" i="7" s="1"/>
  <c r="F26" i="7"/>
  <c r="E26" i="7"/>
  <c r="D26" i="7"/>
  <c r="A26" i="7"/>
  <c r="G25" i="7"/>
  <c r="F25" i="7"/>
  <c r="E25" i="7"/>
  <c r="D25" i="7"/>
  <c r="A25" i="7"/>
  <c r="A24" i="7"/>
  <c r="G23" i="7"/>
  <c r="F23" i="7"/>
  <c r="E23" i="7"/>
  <c r="D23" i="7"/>
  <c r="H23" i="7" s="1"/>
  <c r="A23" i="7"/>
  <c r="H22" i="7"/>
  <c r="G22" i="7"/>
  <c r="F22" i="7"/>
  <c r="E22" i="7"/>
  <c r="D22" i="7"/>
  <c r="A22" i="7"/>
  <c r="H21" i="7"/>
  <c r="G21" i="7"/>
  <c r="F21" i="7"/>
  <c r="E21" i="7"/>
  <c r="D21" i="7"/>
  <c r="A21" i="7"/>
  <c r="G20" i="7"/>
  <c r="H20" i="7" s="1"/>
  <c r="F20" i="7"/>
  <c r="E20" i="7"/>
  <c r="D20" i="7"/>
  <c r="A20" i="7"/>
  <c r="A19" i="7"/>
  <c r="G18" i="7"/>
  <c r="F18" i="7"/>
  <c r="E18" i="7"/>
  <c r="D18" i="7"/>
  <c r="H18" i="7" s="1"/>
  <c r="A18" i="7"/>
  <c r="G17" i="7"/>
  <c r="F17" i="7"/>
  <c r="E17" i="7"/>
  <c r="D17" i="7"/>
  <c r="A17" i="7"/>
  <c r="H16" i="7"/>
  <c r="G16" i="7"/>
  <c r="F16" i="7"/>
  <c r="E16" i="7"/>
  <c r="D16" i="7"/>
  <c r="A16" i="7"/>
  <c r="G15" i="7"/>
  <c r="F15" i="7"/>
  <c r="E15" i="7"/>
  <c r="D15" i="7"/>
  <c r="A15" i="7"/>
  <c r="A14" i="7"/>
  <c r="G13" i="7"/>
  <c r="H13" i="7" s="1"/>
  <c r="F13" i="7"/>
  <c r="E13" i="7"/>
  <c r="D13" i="7"/>
  <c r="A13" i="7"/>
  <c r="H12" i="7"/>
  <c r="G12" i="7"/>
  <c r="F12" i="7"/>
  <c r="E12" i="7"/>
  <c r="D12" i="7"/>
  <c r="A12" i="7"/>
  <c r="G11" i="7"/>
  <c r="F11" i="7"/>
  <c r="E11" i="7"/>
  <c r="D11" i="7"/>
  <c r="A11" i="7"/>
  <c r="G10" i="7"/>
  <c r="F10" i="7"/>
  <c r="E10" i="7"/>
  <c r="D10" i="7"/>
  <c r="H10" i="7" s="1"/>
  <c r="A10" i="7"/>
  <c r="C9" i="7"/>
  <c r="D9" i="7" s="1"/>
  <c r="A9" i="7"/>
  <c r="H8" i="7"/>
  <c r="G8" i="7"/>
  <c r="F8" i="7"/>
  <c r="E8" i="7"/>
  <c r="D8" i="7"/>
  <c r="A8" i="7"/>
  <c r="G7" i="7"/>
  <c r="F7" i="7"/>
  <c r="E7" i="7"/>
  <c r="D7" i="7"/>
  <c r="A7" i="7"/>
  <c r="G6" i="7"/>
  <c r="F6" i="7"/>
  <c r="H6" i="7" s="1"/>
  <c r="E6" i="7"/>
  <c r="D6" i="7"/>
  <c r="A6" i="7"/>
  <c r="G5" i="7"/>
  <c r="F5" i="7"/>
  <c r="E5" i="7"/>
  <c r="H5" i="7" s="1"/>
  <c r="D5" i="7"/>
  <c r="A5" i="7"/>
  <c r="A4" i="7"/>
  <c r="AG66" i="6"/>
  <c r="Y66" i="6"/>
  <c r="T66" i="6"/>
  <c r="Q66" i="6"/>
  <c r="P66" i="6"/>
  <c r="K66" i="6"/>
  <c r="J66" i="6"/>
  <c r="B66" i="6"/>
  <c r="A66" i="6"/>
  <c r="AG65" i="6"/>
  <c r="A65" i="6" s="1"/>
  <c r="Y65" i="6"/>
  <c r="T65" i="6"/>
  <c r="Q65" i="6"/>
  <c r="P65" i="6"/>
  <c r="K65" i="6"/>
  <c r="J65" i="6"/>
  <c r="B65" i="6"/>
  <c r="AG64" i="6"/>
  <c r="T64" i="6"/>
  <c r="Q64" i="6"/>
  <c r="P64" i="6"/>
  <c r="K64" i="6"/>
  <c r="J64" i="6"/>
  <c r="B64" i="6"/>
  <c r="A64" i="6"/>
  <c r="AG63" i="6"/>
  <c r="A63" i="6" s="1"/>
  <c r="T63" i="6"/>
  <c r="Q63" i="6"/>
  <c r="P63" i="6"/>
  <c r="K63" i="6"/>
  <c r="J63" i="6"/>
  <c r="B63" i="6"/>
  <c r="AG62" i="6"/>
  <c r="T62" i="6"/>
  <c r="Q62" i="6"/>
  <c r="P62" i="6"/>
  <c r="K62" i="6"/>
  <c r="J62" i="6"/>
  <c r="B62" i="6"/>
  <c r="A62" i="6"/>
  <c r="AG61" i="6"/>
  <c r="Y61" i="6"/>
  <c r="T61" i="6"/>
  <c r="Q61" i="6"/>
  <c r="P61" i="6"/>
  <c r="J61" i="6"/>
  <c r="B61" i="6"/>
  <c r="A61" i="6"/>
  <c r="AG60" i="6"/>
  <c r="Y60" i="6"/>
  <c r="T60" i="6"/>
  <c r="Q60" i="6"/>
  <c r="P60" i="6"/>
  <c r="J60" i="6"/>
  <c r="B60" i="6"/>
  <c r="A60" i="6"/>
  <c r="AG59" i="6"/>
  <c r="T59" i="6"/>
  <c r="Q59" i="6"/>
  <c r="P59" i="6"/>
  <c r="J59" i="6"/>
  <c r="B59" i="6"/>
  <c r="A59" i="6"/>
  <c r="AG58" i="6"/>
  <c r="T58" i="6"/>
  <c r="Q58" i="6"/>
  <c r="P58" i="6"/>
  <c r="J58" i="6"/>
  <c r="B58" i="6"/>
  <c r="A58" i="6"/>
  <c r="AG57" i="6"/>
  <c r="A57" i="6" s="1"/>
  <c r="Q57" i="6"/>
  <c r="P57" i="6"/>
  <c r="J57" i="6"/>
  <c r="B57" i="6"/>
  <c r="AG56" i="6"/>
  <c r="Y56" i="6"/>
  <c r="T56" i="6"/>
  <c r="Q56" i="6"/>
  <c r="P56" i="6"/>
  <c r="J56" i="6"/>
  <c r="B56" i="6"/>
  <c r="A56" i="6"/>
  <c r="AG55" i="6"/>
  <c r="Y55" i="6"/>
  <c r="T55" i="6"/>
  <c r="Q55" i="6"/>
  <c r="P55" i="6"/>
  <c r="J55" i="6"/>
  <c r="B55" i="6"/>
  <c r="A55" i="6"/>
  <c r="AG54" i="6"/>
  <c r="A54" i="6" s="1"/>
  <c r="T54" i="6"/>
  <c r="Q54" i="6"/>
  <c r="P54" i="6"/>
  <c r="J54" i="6"/>
  <c r="B54" i="6"/>
  <c r="AG53" i="6"/>
  <c r="A53" i="6" s="1"/>
  <c r="T53" i="6"/>
  <c r="Q53" i="6"/>
  <c r="P53" i="6"/>
  <c r="J53" i="6"/>
  <c r="B53" i="6"/>
  <c r="AG52" i="6"/>
  <c r="A52" i="6" s="1"/>
  <c r="Q52" i="6"/>
  <c r="P52" i="6"/>
  <c r="J52" i="6"/>
  <c r="B52" i="6"/>
  <c r="AG51" i="6"/>
  <c r="A51" i="6" s="1"/>
  <c r="Y51" i="6"/>
  <c r="T51" i="6"/>
  <c r="Q51" i="6"/>
  <c r="P51" i="6"/>
  <c r="J51" i="6"/>
  <c r="B51" i="6"/>
  <c r="AG50" i="6"/>
  <c r="A50" i="6" s="1"/>
  <c r="Y50" i="6"/>
  <c r="T50" i="6"/>
  <c r="Q50" i="6"/>
  <c r="P50" i="6"/>
  <c r="J50" i="6"/>
  <c r="B50" i="6"/>
  <c r="AG49" i="6"/>
  <c r="A49" i="6" s="1"/>
  <c r="T49" i="6"/>
  <c r="Q49" i="6"/>
  <c r="P49" i="6"/>
  <c r="J49" i="6"/>
  <c r="B49" i="6"/>
  <c r="AG48" i="6"/>
  <c r="T48" i="6"/>
  <c r="Q48" i="6"/>
  <c r="P48" i="6"/>
  <c r="J48" i="6"/>
  <c r="B48" i="6"/>
  <c r="A48" i="6"/>
  <c r="AG47" i="6"/>
  <c r="Q47" i="6"/>
  <c r="P47" i="6"/>
  <c r="J47" i="6"/>
  <c r="B47" i="6"/>
  <c r="A47" i="6"/>
  <c r="AG46" i="6"/>
  <c r="Y46" i="6"/>
  <c r="T46" i="6"/>
  <c r="Q46" i="6"/>
  <c r="P46" i="6"/>
  <c r="J46" i="6"/>
  <c r="B46" i="6"/>
  <c r="A46" i="6"/>
  <c r="AG45" i="6"/>
  <c r="Y45" i="6"/>
  <c r="T45" i="6"/>
  <c r="Q45" i="6"/>
  <c r="P45" i="6"/>
  <c r="J45" i="6"/>
  <c r="B45" i="6"/>
  <c r="A45" i="6"/>
  <c r="AG44" i="6"/>
  <c r="A44" i="6" s="1"/>
  <c r="T44" i="6"/>
  <c r="Q44" i="6"/>
  <c r="P44" i="6"/>
  <c r="J44" i="6"/>
  <c r="B44" i="6"/>
  <c r="AG43" i="6"/>
  <c r="T43" i="6"/>
  <c r="Q43" i="6"/>
  <c r="P43" i="6"/>
  <c r="J43" i="6"/>
  <c r="B43" i="6"/>
  <c r="A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E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AG21" i="6"/>
  <c r="A21" i="6" s="1"/>
  <c r="Y21" i="6"/>
  <c r="T21" i="6"/>
  <c r="Q21" i="6"/>
  <c r="P21" i="6"/>
  <c r="K21" i="6"/>
  <c r="J21" i="6"/>
  <c r="B21" i="6"/>
  <c r="AG20" i="6"/>
  <c r="A20" i="6" s="1"/>
  <c r="Y20" i="6"/>
  <c r="T20" i="6"/>
  <c r="Q20" i="6"/>
  <c r="P20" i="6"/>
  <c r="J20" i="6"/>
  <c r="B20" i="6"/>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K14" i="6"/>
  <c r="J14" i="6"/>
  <c r="B14" i="6"/>
  <c r="AG14" i="6" s="1"/>
  <c r="A14" i="6" s="1"/>
  <c r="AG13" i="6"/>
  <c r="A13" i="6" s="1"/>
  <c r="T13" i="6"/>
  <c r="Q13" i="6"/>
  <c r="P13" i="6"/>
  <c r="J13" i="6"/>
  <c r="B13" i="6"/>
  <c r="Q12" i="6"/>
  <c r="P12" i="6"/>
  <c r="J12" i="6"/>
  <c r="B12" i="6"/>
  <c r="AG12" i="6" s="1"/>
  <c r="A12" i="6" s="1"/>
  <c r="AG11" i="6"/>
  <c r="A11" i="6" s="1"/>
  <c r="Y11" i="6"/>
  <c r="T11" i="6"/>
  <c r="Q11" i="6"/>
  <c r="P11" i="6"/>
  <c r="J11" i="6"/>
  <c r="B11" i="6"/>
  <c r="AG10" i="6"/>
  <c r="A10" i="6" s="1"/>
  <c r="Y10" i="6"/>
  <c r="T10" i="6"/>
  <c r="Q10" i="6"/>
  <c r="P10" i="6"/>
  <c r="J10" i="6"/>
  <c r="B10" i="6"/>
  <c r="AG9" i="6"/>
  <c r="A9" i="6" s="1"/>
  <c r="T9" i="6"/>
  <c r="Q9" i="6"/>
  <c r="P9" i="6"/>
  <c r="J9" i="6"/>
  <c r="B9" i="6"/>
  <c r="T8" i="6"/>
  <c r="Q8" i="6"/>
  <c r="P8" i="6"/>
  <c r="J8" i="6"/>
  <c r="B8" i="6"/>
  <c r="AG7" i="6"/>
  <c r="A7" i="6" s="1"/>
  <c r="Q7" i="6"/>
  <c r="P7" i="6"/>
  <c r="J7" i="6"/>
  <c r="B7" i="6"/>
  <c r="AG6" i="6"/>
  <c r="Y6" i="6"/>
  <c r="T6" i="6"/>
  <c r="Q6" i="6"/>
  <c r="P6" i="6"/>
  <c r="J6" i="6"/>
  <c r="B6" i="6"/>
  <c r="A6" i="6"/>
  <c r="AG5" i="6"/>
  <c r="Y5" i="6"/>
  <c r="T5" i="6"/>
  <c r="Q5" i="6"/>
  <c r="P5" i="6"/>
  <c r="J5" i="6"/>
  <c r="B5" i="6"/>
  <c r="A5" i="6"/>
  <c r="AG4" i="6"/>
  <c r="A4" i="6" s="1"/>
  <c r="T4" i="6"/>
  <c r="Q4" i="6"/>
  <c r="P4" i="6"/>
  <c r="J4" i="6"/>
  <c r="B4" i="6"/>
  <c r="AG3" i="6"/>
  <c r="T3" i="6"/>
  <c r="Q3" i="6"/>
  <c r="P3" i="6"/>
  <c r="J3" i="6"/>
  <c r="B3" i="6"/>
  <c r="A3" i="6"/>
  <c r="AG2" i="6"/>
  <c r="Q2" i="6"/>
  <c r="P2" i="6"/>
  <c r="J2" i="6"/>
  <c r="B2" i="6"/>
  <c r="A2" i="6"/>
  <c r="A1" i="6"/>
  <c r="I76" i="5"/>
  <c r="A76" i="5"/>
  <c r="I75" i="5"/>
  <c r="A75" i="5"/>
  <c r="I74" i="5"/>
  <c r="A74" i="5"/>
  <c r="I73" i="5"/>
  <c r="A73" i="5"/>
  <c r="I72" i="5"/>
  <c r="A72" i="5"/>
  <c r="I71" i="5"/>
  <c r="A71" i="5"/>
  <c r="I70" i="5"/>
  <c r="A70" i="5"/>
  <c r="I69" i="5"/>
  <c r="A69" i="5"/>
  <c r="I68" i="5"/>
  <c r="A68" i="5"/>
  <c r="I67" i="5"/>
  <c r="A67" i="5"/>
  <c r="C66" i="5"/>
  <c r="A66" i="5"/>
  <c r="I66" i="5" s="1"/>
  <c r="I65" i="5"/>
  <c r="C65" i="5"/>
  <c r="A65" i="5"/>
  <c r="C64" i="5"/>
  <c r="A64" i="5"/>
  <c r="I64" i="5" s="1"/>
  <c r="C63" i="5"/>
  <c r="A63" i="5"/>
  <c r="I63" i="5" s="1"/>
  <c r="I62" i="5"/>
  <c r="C62" i="5"/>
  <c r="A62" i="5"/>
  <c r="C61" i="5"/>
  <c r="A61" i="5"/>
  <c r="I61" i="5" s="1"/>
  <c r="I60" i="5"/>
  <c r="A60" i="5"/>
  <c r="I59" i="5"/>
  <c r="A59" i="5"/>
  <c r="C58" i="5"/>
  <c r="A58" i="5"/>
  <c r="I58" i="5" s="1"/>
  <c r="I57" i="5"/>
  <c r="A57" i="5"/>
  <c r="A56" i="5"/>
  <c r="I56" i="5" s="1"/>
  <c r="A55" i="5"/>
  <c r="I55" i="5" s="1"/>
  <c r="I54" i="5"/>
  <c r="A54" i="5"/>
  <c r="C53" i="5"/>
  <c r="A53" i="5"/>
  <c r="I53" i="5" s="1"/>
  <c r="I52" i="5"/>
  <c r="A52" i="5"/>
  <c r="I51" i="5"/>
  <c r="A51" i="5"/>
  <c r="A50" i="5"/>
  <c r="I50" i="5" s="1"/>
  <c r="I49" i="5"/>
  <c r="A49" i="5"/>
  <c r="A48" i="5"/>
  <c r="I48" i="5" s="1"/>
  <c r="A47" i="5"/>
  <c r="I47" i="5" s="1"/>
  <c r="I46" i="5"/>
  <c r="A46" i="5"/>
  <c r="A45" i="5"/>
  <c r="I45" i="5" s="1"/>
  <c r="I44" i="5"/>
  <c r="A44" i="5"/>
  <c r="I43" i="5"/>
  <c r="A43" i="5"/>
  <c r="A42" i="5"/>
  <c r="I42" i="5" s="1"/>
  <c r="I41" i="5"/>
  <c r="A41" i="5"/>
  <c r="A40" i="5"/>
  <c r="I40" i="5" s="1"/>
  <c r="A39" i="5"/>
  <c r="I39" i="5" s="1"/>
  <c r="I38" i="5"/>
  <c r="A38" i="5"/>
  <c r="A37" i="5"/>
  <c r="I37" i="5" s="1"/>
  <c r="I36" i="5"/>
  <c r="A36" i="5"/>
  <c r="I35" i="5"/>
  <c r="A35" i="5"/>
  <c r="A34" i="5"/>
  <c r="I34" i="5" s="1"/>
  <c r="I33" i="5"/>
  <c r="A33" i="5"/>
  <c r="A32" i="5"/>
  <c r="I32" i="5" s="1"/>
  <c r="A31" i="5"/>
  <c r="I31" i="5" s="1"/>
  <c r="I30" i="5"/>
  <c r="A30" i="5"/>
  <c r="A29" i="5"/>
  <c r="I29" i="5" s="1"/>
  <c r="I28" i="5"/>
  <c r="A28" i="5"/>
  <c r="I27" i="5"/>
  <c r="A27" i="5"/>
  <c r="A26" i="5"/>
  <c r="I26" i="5" s="1"/>
  <c r="I25" i="5"/>
  <c r="A25" i="5"/>
  <c r="A24" i="5"/>
  <c r="I24" i="5" s="1"/>
  <c r="A23" i="5"/>
  <c r="I23" i="5" s="1"/>
  <c r="I22" i="5"/>
  <c r="A22" i="5"/>
  <c r="A21" i="5"/>
  <c r="I21" i="5" s="1"/>
  <c r="I20" i="5"/>
  <c r="A20" i="5"/>
  <c r="I19" i="5"/>
  <c r="A19" i="5"/>
  <c r="A18" i="5"/>
  <c r="I18" i="5" s="1"/>
  <c r="I17" i="5"/>
  <c r="A17" i="5"/>
  <c r="M14" i="5"/>
  <c r="L14" i="5"/>
  <c r="I14" i="5"/>
  <c r="J14" i="5" s="1"/>
  <c r="K14" i="5" s="1"/>
  <c r="I13" i="5"/>
  <c r="J13" i="5" s="1"/>
  <c r="K13" i="5" s="1"/>
  <c r="G13" i="5"/>
  <c r="F13" i="5"/>
  <c r="E13" i="5"/>
  <c r="E15" i="8" s="1"/>
  <c r="K15" i="8" s="1"/>
  <c r="D13" i="5"/>
  <c r="C13" i="5"/>
  <c r="M13" i="5" s="1"/>
  <c r="B13" i="5"/>
  <c r="M12" i="5"/>
  <c r="L12" i="5"/>
  <c r="I12" i="5"/>
  <c r="J12" i="5" s="1"/>
  <c r="K12" i="5" s="1"/>
  <c r="G12" i="5"/>
  <c r="F12" i="5"/>
  <c r="E12" i="5"/>
  <c r="D12" i="5"/>
  <c r="C12" i="5"/>
  <c r="B12" i="5"/>
  <c r="L11" i="5"/>
  <c r="G11" i="5"/>
  <c r="F11" i="5"/>
  <c r="E11" i="5"/>
  <c r="D11" i="5"/>
  <c r="D48" i="6" s="1"/>
  <c r="C11" i="5"/>
  <c r="M11" i="5" s="1"/>
  <c r="B11" i="5"/>
  <c r="J10" i="5"/>
  <c r="K10" i="5" s="1"/>
  <c r="G10" i="5"/>
  <c r="F10" i="5"/>
  <c r="E10" i="5"/>
  <c r="D10" i="5"/>
  <c r="C60" i="5" s="1"/>
  <c r="C10" i="5"/>
  <c r="I10" i="5" s="1"/>
  <c r="B10" i="5"/>
  <c r="M9" i="5"/>
  <c r="J9" i="5"/>
  <c r="K9" i="5" s="1"/>
  <c r="I9" i="5"/>
  <c r="G9" i="5"/>
  <c r="F9" i="5"/>
  <c r="E9" i="5"/>
  <c r="E38" i="6" s="1"/>
  <c r="D9" i="5"/>
  <c r="C55" i="5" s="1"/>
  <c r="C9" i="5"/>
  <c r="L9" i="5" s="1"/>
  <c r="B9" i="5"/>
  <c r="M8" i="5"/>
  <c r="G8" i="5"/>
  <c r="F8" i="5"/>
  <c r="E8" i="5"/>
  <c r="D51" i="5" s="1"/>
  <c r="D8" i="5"/>
  <c r="C48" i="5" s="1"/>
  <c r="C8" i="5"/>
  <c r="I8" i="5" s="1"/>
  <c r="J8" i="5" s="1"/>
  <c r="K8" i="5" s="1"/>
  <c r="B8" i="5"/>
  <c r="M7" i="5"/>
  <c r="L7" i="5"/>
  <c r="K7" i="5"/>
  <c r="G7" i="5"/>
  <c r="F7" i="5"/>
  <c r="E7" i="5"/>
  <c r="D7" i="5"/>
  <c r="C7" i="5"/>
  <c r="I7" i="5" s="1"/>
  <c r="J7" i="5" s="1"/>
  <c r="B7" i="5"/>
  <c r="J6" i="5"/>
  <c r="K6" i="5" s="1"/>
  <c r="I6" i="5"/>
  <c r="G6" i="5"/>
  <c r="F6" i="5"/>
  <c r="E6" i="5"/>
  <c r="D6" i="5"/>
  <c r="C6" i="5"/>
  <c r="M6" i="5" s="1"/>
  <c r="B6" i="5"/>
  <c r="M5" i="5"/>
  <c r="J5" i="5"/>
  <c r="K5" i="5" s="1"/>
  <c r="I5" i="5"/>
  <c r="G5" i="5"/>
  <c r="K20" i="6" s="1"/>
  <c r="F5" i="5"/>
  <c r="E5" i="5"/>
  <c r="D5" i="5"/>
  <c r="C5" i="5"/>
  <c r="L5" i="5" s="1"/>
  <c r="B5" i="5"/>
  <c r="M4" i="5"/>
  <c r="G4" i="5"/>
  <c r="F4" i="5"/>
  <c r="E4" i="5"/>
  <c r="D4" i="5"/>
  <c r="T12" i="6" s="1"/>
  <c r="C4" i="5"/>
  <c r="I4" i="5" s="1"/>
  <c r="J4" i="5" s="1"/>
  <c r="K4" i="5" s="1"/>
  <c r="B4" i="5"/>
  <c r="G3" i="5"/>
  <c r="K9" i="6" s="1"/>
  <c r="F3" i="5"/>
  <c r="E3" i="5"/>
  <c r="D3" i="5"/>
  <c r="C3" i="5"/>
  <c r="M3" i="5" s="1"/>
  <c r="B3" i="5"/>
  <c r="L2" i="5"/>
  <c r="G2" i="5"/>
  <c r="K6" i="6" s="1"/>
  <c r="F2" i="5"/>
  <c r="E2" i="5"/>
  <c r="D2" i="5"/>
  <c r="C2" i="5"/>
  <c r="I2" i="5" s="1"/>
  <c r="J2" i="5" s="1"/>
  <c r="K2" i="5" s="1"/>
  <c r="B2" i="5"/>
  <c r="B17" i="4"/>
  <c r="B16" i="4"/>
  <c r="B12" i="4"/>
  <c r="B11" i="4"/>
  <c r="B10" i="4"/>
  <c r="B9" i="4"/>
  <c r="B8" i="4"/>
  <c r="K4" i="4"/>
  <c r="M2" i="2"/>
  <c r="C4" i="8" l="1"/>
  <c r="E5" i="6"/>
  <c r="D20" i="5"/>
  <c r="D19" i="5"/>
  <c r="D18" i="5"/>
  <c r="D17" i="5"/>
  <c r="L3" i="5"/>
  <c r="L4" i="5"/>
  <c r="F24" i="7"/>
  <c r="C8" i="8"/>
  <c r="D41" i="5"/>
  <c r="D39" i="5"/>
  <c r="D38" i="5"/>
  <c r="D37" i="5"/>
  <c r="T22" i="6"/>
  <c r="C33" i="7"/>
  <c r="E29" i="7"/>
  <c r="C29" i="7"/>
  <c r="D29" i="7" s="1"/>
  <c r="C32" i="7"/>
  <c r="T27" i="6"/>
  <c r="L8" i="5"/>
  <c r="B14" i="8"/>
  <c r="C57" i="7"/>
  <c r="T52" i="6"/>
  <c r="C56" i="7"/>
  <c r="L13" i="5"/>
  <c r="C56" i="5"/>
  <c r="E28" i="6"/>
  <c r="E31" i="6"/>
  <c r="D46" i="5"/>
  <c r="D45" i="5"/>
  <c r="D44" i="5"/>
  <c r="D43" i="5"/>
  <c r="D42" i="5"/>
  <c r="E34" i="7"/>
  <c r="B10" i="8"/>
  <c r="C35" i="7"/>
  <c r="C37" i="7"/>
  <c r="D32" i="6"/>
  <c r="T32" i="6"/>
  <c r="D34" i="6"/>
  <c r="D36" i="6"/>
  <c r="D35" i="6"/>
  <c r="D33" i="6"/>
  <c r="E54" i="6"/>
  <c r="E52" i="6"/>
  <c r="E53" i="6"/>
  <c r="E55" i="6"/>
  <c r="E56" i="6"/>
  <c r="D71" i="5"/>
  <c r="D70" i="5"/>
  <c r="D69" i="5"/>
  <c r="D68" i="5"/>
  <c r="D67" i="5"/>
  <c r="E66" i="6"/>
  <c r="E65" i="6"/>
  <c r="E64" i="6"/>
  <c r="E63" i="6"/>
  <c r="E62" i="6"/>
  <c r="E22" i="6"/>
  <c r="E26" i="6"/>
  <c r="E30" i="6"/>
  <c r="E12" i="6"/>
  <c r="E4" i="6"/>
  <c r="E3" i="6"/>
  <c r="E2" i="6"/>
  <c r="E16" i="6"/>
  <c r="D66" i="5"/>
  <c r="E66" i="5" s="1"/>
  <c r="D65" i="5"/>
  <c r="E65" i="5" s="1"/>
  <c r="D26" i="5"/>
  <c r="D25" i="5"/>
  <c r="D24" i="5"/>
  <c r="K24" i="6"/>
  <c r="K23" i="6"/>
  <c r="K22" i="6"/>
  <c r="K26" i="6"/>
  <c r="K25" i="6"/>
  <c r="K51" i="6"/>
  <c r="K50" i="6"/>
  <c r="K49" i="6"/>
  <c r="K48" i="6"/>
  <c r="K47" i="6"/>
  <c r="E61" i="6"/>
  <c r="E60" i="6"/>
  <c r="E59" i="6"/>
  <c r="E57" i="6"/>
  <c r="F59" i="7"/>
  <c r="E58" i="6"/>
  <c r="D76" i="5"/>
  <c r="D75" i="5"/>
  <c r="D74" i="5"/>
  <c r="D73" i="5"/>
  <c r="D72" i="5"/>
  <c r="C50" i="5"/>
  <c r="K7" i="6"/>
  <c r="D43" i="6"/>
  <c r="C15" i="7"/>
  <c r="C17" i="7"/>
  <c r="C14" i="7"/>
  <c r="D14" i="7" s="1"/>
  <c r="K30" i="6"/>
  <c r="K31" i="6"/>
  <c r="K29" i="6"/>
  <c r="K28" i="6"/>
  <c r="K27" i="6"/>
  <c r="L10" i="5"/>
  <c r="I11" i="5"/>
  <c r="J11" i="5" s="1"/>
  <c r="K11" i="5" s="1"/>
  <c r="D64" i="5" s="1"/>
  <c r="E64" i="5" s="1"/>
  <c r="C47" i="5"/>
  <c r="AG8" i="6"/>
  <c r="A8" i="6" s="1"/>
  <c r="E29" i="6"/>
  <c r="AG40" i="6"/>
  <c r="A40" i="6" s="1"/>
  <c r="E13" i="6"/>
  <c r="E15" i="6"/>
  <c r="E14" i="6"/>
  <c r="D31" i="5"/>
  <c r="D30" i="5"/>
  <c r="D29" i="5"/>
  <c r="D28" i="5"/>
  <c r="D27" i="5"/>
  <c r="C19" i="7"/>
  <c r="D19" i="7" s="1"/>
  <c r="E7" i="8"/>
  <c r="K7" i="8" s="1"/>
  <c r="E19" i="7"/>
  <c r="T17" i="6"/>
  <c r="K34" i="6"/>
  <c r="K32" i="6"/>
  <c r="K33" i="6"/>
  <c r="K35" i="6"/>
  <c r="C43" i="7"/>
  <c r="C39" i="7"/>
  <c r="D39" i="7" s="1"/>
  <c r="E11" i="8"/>
  <c r="K11" i="8" s="1"/>
  <c r="C41" i="7"/>
  <c r="E39" i="7"/>
  <c r="D41" i="6"/>
  <c r="D40" i="6"/>
  <c r="D39" i="6"/>
  <c r="D38" i="6"/>
  <c r="D37" i="6"/>
  <c r="T37" i="6"/>
  <c r="M10" i="5"/>
  <c r="D61" i="5" s="1"/>
  <c r="E61" i="5" s="1"/>
  <c r="C52" i="5"/>
  <c r="K11" i="6"/>
  <c r="E24" i="6"/>
  <c r="AG39" i="6"/>
  <c r="A39" i="6" s="1"/>
  <c r="C23" i="7"/>
  <c r="I3" i="5"/>
  <c r="J3" i="5" s="1"/>
  <c r="K3" i="5" s="1"/>
  <c r="E9" i="6" s="1"/>
  <c r="E21" i="6"/>
  <c r="E20" i="6"/>
  <c r="F19" i="7"/>
  <c r="E17" i="6"/>
  <c r="E19" i="6"/>
  <c r="D36" i="5"/>
  <c r="D35" i="5"/>
  <c r="D34" i="5"/>
  <c r="D33" i="5"/>
  <c r="D32" i="5"/>
  <c r="E18" i="6"/>
  <c r="E41" i="6"/>
  <c r="E40" i="6"/>
  <c r="E37" i="6"/>
  <c r="E39" i="6"/>
  <c r="D56" i="5"/>
  <c r="D55" i="5"/>
  <c r="E55" i="5" s="1"/>
  <c r="D54" i="5"/>
  <c r="D53" i="5"/>
  <c r="E53" i="5" s="1"/>
  <c r="D52" i="5"/>
  <c r="C48" i="7"/>
  <c r="D42" i="6"/>
  <c r="D12" i="8"/>
  <c r="J12" i="8" s="1"/>
  <c r="D45" i="6"/>
  <c r="T42" i="6"/>
  <c r="C47" i="7"/>
  <c r="D46" i="6"/>
  <c r="D44" i="6"/>
  <c r="C49" i="5"/>
  <c r="E49" i="5" s="1"/>
  <c r="C57" i="5"/>
  <c r="K8" i="6"/>
  <c r="E11" i="6"/>
  <c r="AG26" i="6"/>
  <c r="A26" i="6" s="1"/>
  <c r="M2" i="5"/>
  <c r="D21" i="5" s="1"/>
  <c r="K16" i="6"/>
  <c r="K15" i="6"/>
  <c r="K12" i="6"/>
  <c r="K13" i="6"/>
  <c r="F44" i="7"/>
  <c r="E42" i="6"/>
  <c r="C12" i="8"/>
  <c r="E43" i="6"/>
  <c r="E44" i="6"/>
  <c r="D60" i="5"/>
  <c r="E60" i="5" s="1"/>
  <c r="D59" i="5"/>
  <c r="D58" i="5"/>
  <c r="E58" i="5" s="1"/>
  <c r="D57" i="5"/>
  <c r="C54" i="5"/>
  <c r="E54" i="5" s="1"/>
  <c r="AG18" i="6"/>
  <c r="A18" i="6" s="1"/>
  <c r="K36" i="6"/>
  <c r="D18" i="8"/>
  <c r="C5" i="7"/>
  <c r="C6" i="7"/>
  <c r="E4" i="8"/>
  <c r="K4" i="8" s="1"/>
  <c r="D4" i="8"/>
  <c r="J4" i="8" s="1"/>
  <c r="L4" i="8" s="1"/>
  <c r="T2" i="6"/>
  <c r="K41" i="6"/>
  <c r="K39" i="6"/>
  <c r="K38" i="6"/>
  <c r="K37" i="6"/>
  <c r="K40" i="6"/>
  <c r="C51" i="5"/>
  <c r="E51" i="5" s="1"/>
  <c r="C59" i="5"/>
  <c r="E59" i="5" s="1"/>
  <c r="K10" i="6"/>
  <c r="E23" i="6"/>
  <c r="E27" i="6"/>
  <c r="AG28" i="6"/>
  <c r="A28" i="6" s="1"/>
  <c r="C18" i="7"/>
  <c r="K56" i="6"/>
  <c r="K55" i="6"/>
  <c r="K54" i="6"/>
  <c r="K53" i="6"/>
  <c r="K52" i="6"/>
  <c r="C62" i="7"/>
  <c r="E59" i="7"/>
  <c r="T57" i="6"/>
  <c r="C59" i="7"/>
  <c r="D59" i="7" s="1"/>
  <c r="D47" i="5"/>
  <c r="D48" i="5"/>
  <c r="E48" i="5" s="1"/>
  <c r="D49" i="5"/>
  <c r="D50" i="5"/>
  <c r="K2" i="6"/>
  <c r="K3" i="6"/>
  <c r="K4" i="6"/>
  <c r="K5" i="6"/>
  <c r="AG41" i="6"/>
  <c r="A41" i="6" s="1"/>
  <c r="C31" i="7"/>
  <c r="K17" i="6"/>
  <c r="K18" i="6"/>
  <c r="C11" i="7"/>
  <c r="E9" i="7"/>
  <c r="H9" i="7" s="1"/>
  <c r="T7" i="6"/>
  <c r="L6" i="5"/>
  <c r="E25" i="6" s="1"/>
  <c r="F34" i="7"/>
  <c r="E35" i="6"/>
  <c r="E33" i="6"/>
  <c r="E34" i="6"/>
  <c r="K46" i="6"/>
  <c r="K45" i="6"/>
  <c r="K44" i="6"/>
  <c r="K43" i="6"/>
  <c r="K42" i="6"/>
  <c r="E49" i="7"/>
  <c r="C53" i="7"/>
  <c r="C49" i="7"/>
  <c r="D49" i="7" s="1"/>
  <c r="D50" i="6"/>
  <c r="D47" i="6"/>
  <c r="C51" i="7"/>
  <c r="D51" i="6"/>
  <c r="T47" i="6"/>
  <c r="D49" i="6"/>
  <c r="F9" i="7"/>
  <c r="E10" i="6"/>
  <c r="E8" i="8"/>
  <c r="K8" i="8" s="1"/>
  <c r="C25" i="7"/>
  <c r="D8" i="8"/>
  <c r="J8" i="8" s="1"/>
  <c r="C27" i="7"/>
  <c r="E24" i="7"/>
  <c r="E51" i="6"/>
  <c r="F49" i="7"/>
  <c r="E48" i="6"/>
  <c r="F48" i="6" s="1"/>
  <c r="K61" i="6"/>
  <c r="K60" i="6"/>
  <c r="K59" i="6"/>
  <c r="K58" i="6"/>
  <c r="K57" i="6"/>
  <c r="K19" i="6"/>
  <c r="AG25" i="6"/>
  <c r="A25" i="6" s="1"/>
  <c r="E36" i="6"/>
  <c r="C46" i="7"/>
  <c r="E4" i="7"/>
  <c r="C4" i="7"/>
  <c r="D4" i="7" s="1"/>
  <c r="A71" i="7" a="1"/>
  <c r="G4" i="7"/>
  <c r="F4" i="7"/>
  <c r="C8" i="7"/>
  <c r="H11" i="7"/>
  <c r="C13" i="7"/>
  <c r="H57" i="7"/>
  <c r="C61" i="7"/>
  <c r="H66" i="7"/>
  <c r="C36" i="7"/>
  <c r="C63" i="7"/>
  <c r="B8" i="8"/>
  <c r="C7" i="7"/>
  <c r="C22" i="7"/>
  <c r="C30" i="7"/>
  <c r="C60" i="7"/>
  <c r="C16" i="7"/>
  <c r="C45" i="7"/>
  <c r="C55" i="7"/>
  <c r="E14" i="7"/>
  <c r="F14" i="7"/>
  <c r="C21" i="7"/>
  <c r="H33" i="7"/>
  <c r="C38" i="7"/>
  <c r="C40" i="7"/>
  <c r="C26" i="7"/>
  <c r="C50" i="7"/>
  <c r="D11" i="8"/>
  <c r="J11" i="8" s="1"/>
  <c r="L11" i="8" s="1"/>
  <c r="G39" i="7" s="1"/>
  <c r="C12" i="7"/>
  <c r="H31" i="7"/>
  <c r="H41" i="7"/>
  <c r="C64" i="7"/>
  <c r="D64" i="7" s="1"/>
  <c r="D7" i="8"/>
  <c r="J7" i="8" s="1"/>
  <c r="L7" i="8" s="1"/>
  <c r="G19" i="7" s="1"/>
  <c r="E14" i="8"/>
  <c r="K14" i="8" s="1"/>
  <c r="H17" i="7"/>
  <c r="C20" i="7"/>
  <c r="C34" i="7"/>
  <c r="D34" i="7" s="1"/>
  <c r="E44" i="7"/>
  <c r="C44" i="7"/>
  <c r="D44" i="7" s="1"/>
  <c r="E54" i="7"/>
  <c r="C58" i="7"/>
  <c r="E5" i="8"/>
  <c r="K5" i="8" s="1"/>
  <c r="E6" i="8"/>
  <c r="K6" i="8" s="1"/>
  <c r="D6" i="8"/>
  <c r="J6" i="8" s="1"/>
  <c r="C6" i="8"/>
  <c r="E10" i="8"/>
  <c r="K10" i="8" s="1"/>
  <c r="C13" i="8"/>
  <c r="E13" i="8"/>
  <c r="K13" i="8" s="1"/>
  <c r="H7" i="7"/>
  <c r="F29" i="7"/>
  <c r="F39" i="7"/>
  <c r="C54" i="7"/>
  <c r="D54" i="7" s="1"/>
  <c r="E64" i="7"/>
  <c r="B5" i="8"/>
  <c r="B6" i="8"/>
  <c r="C9" i="8"/>
  <c r="E9" i="8"/>
  <c r="K9" i="8" s="1"/>
  <c r="B13" i="8"/>
  <c r="L16" i="8"/>
  <c r="G64" i="7" s="1"/>
  <c r="C10" i="7"/>
  <c r="H25" i="7"/>
  <c r="H63" i="7"/>
  <c r="F64" i="7"/>
  <c r="B4" i="8"/>
  <c r="C5" i="8"/>
  <c r="B9" i="8"/>
  <c r="D13" i="8"/>
  <c r="J13" i="8" s="1"/>
  <c r="L13" i="8" s="1"/>
  <c r="G49" i="7" s="1"/>
  <c r="H15" i="7"/>
  <c r="C24" i="7"/>
  <c r="D24" i="7" s="1"/>
  <c r="C28" i="7"/>
  <c r="C42" i="7"/>
  <c r="C52" i="7"/>
  <c r="F54" i="7"/>
  <c r="D5" i="8"/>
  <c r="J5" i="8" s="1"/>
  <c r="L5" i="8" s="1"/>
  <c r="G9" i="7" s="1"/>
  <c r="D9" i="8"/>
  <c r="J9" i="8" s="1"/>
  <c r="B12" i="8"/>
  <c r="D15" i="8"/>
  <c r="J15" i="8" s="1"/>
  <c r="L15" i="8" s="1"/>
  <c r="G59" i="7" s="1"/>
  <c r="C10" i="8"/>
  <c r="C14" i="8"/>
  <c r="B7" i="11"/>
  <c r="C69" i="5" s="1"/>
  <c r="E69" i="5" s="1"/>
  <c r="I2" i="12"/>
  <c r="B7" i="8"/>
  <c r="D10" i="8"/>
  <c r="J10" i="8" s="1"/>
  <c r="L10" i="8" s="1"/>
  <c r="G34" i="7" s="1"/>
  <c r="B11" i="8"/>
  <c r="D14" i="8"/>
  <c r="J14" i="8" s="1"/>
  <c r="B15" i="8"/>
  <c r="I3" i="12"/>
  <c r="C7" i="8"/>
  <c r="C11" i="8"/>
  <c r="C15" i="8"/>
  <c r="I4" i="12"/>
  <c r="E12" i="8"/>
  <c r="K12" i="8" s="1"/>
  <c r="E45" i="6" l="1"/>
  <c r="F45" i="6" s="1"/>
  <c r="O2" i="12"/>
  <c r="Y47" i="6"/>
  <c r="Y37" i="6"/>
  <c r="Y32" i="6"/>
  <c r="Y62" i="6"/>
  <c r="Y52" i="6"/>
  <c r="Y12" i="6"/>
  <c r="Y57" i="6"/>
  <c r="Y17" i="6"/>
  <c r="Y27" i="6"/>
  <c r="Y22" i="6"/>
  <c r="Y42" i="6"/>
  <c r="Y2" i="6"/>
  <c r="Y7" i="6"/>
  <c r="C46" i="5"/>
  <c r="E46" i="5" s="1"/>
  <c r="C33" i="5"/>
  <c r="E33" i="5" s="1"/>
  <c r="H19" i="7"/>
  <c r="E50" i="5"/>
  <c r="D23" i="5"/>
  <c r="E6" i="6"/>
  <c r="D40" i="5"/>
  <c r="A82" i="7"/>
  <c r="A74" i="7"/>
  <c r="B74" i="7" s="1"/>
  <c r="A81" i="7"/>
  <c r="A73" i="7"/>
  <c r="A80" i="7"/>
  <c r="A72" i="7"/>
  <c r="B72" i="7" s="1"/>
  <c r="A79" i="7"/>
  <c r="A83" i="7"/>
  <c r="A78" i="7"/>
  <c r="A77" i="7"/>
  <c r="B77" i="7" s="1"/>
  <c r="A76" i="7"/>
  <c r="A75" i="7"/>
  <c r="A71" i="7"/>
  <c r="B6" i="2" s="1"/>
  <c r="C43" i="5"/>
  <c r="E43" i="5" s="1"/>
  <c r="C30" i="5"/>
  <c r="E30" i="5" s="1"/>
  <c r="AB45" i="6"/>
  <c r="C70" i="5"/>
  <c r="E70" i="5" s="1"/>
  <c r="O3" i="12"/>
  <c r="Y58" i="6"/>
  <c r="Y63" i="6"/>
  <c r="Y43" i="6"/>
  <c r="Y38" i="6"/>
  <c r="Y33" i="6"/>
  <c r="Y28" i="6"/>
  <c r="Y13" i="6"/>
  <c r="Y48" i="6"/>
  <c r="Y23" i="6"/>
  <c r="Y18" i="6"/>
  <c r="Y53" i="6"/>
  <c r="Y8" i="6"/>
  <c r="Y3" i="6"/>
  <c r="H4" i="7"/>
  <c r="C35" i="5"/>
  <c r="E35" i="5" s="1"/>
  <c r="AB44" i="6"/>
  <c r="F44" i="6"/>
  <c r="L12" i="8"/>
  <c r="G44" i="7" s="1"/>
  <c r="H44" i="7" s="1"/>
  <c r="C68" i="5"/>
  <c r="E68" i="5" s="1"/>
  <c r="F37" i="6"/>
  <c r="AB37" i="6"/>
  <c r="F43" i="6"/>
  <c r="AB43" i="6"/>
  <c r="E7" i="6"/>
  <c r="F33" i="6"/>
  <c r="AB33" i="6"/>
  <c r="C71" i="5"/>
  <c r="E71" i="5" s="1"/>
  <c r="H64" i="7"/>
  <c r="E49" i="6"/>
  <c r="F49" i="6" s="1"/>
  <c r="C27" i="5"/>
  <c r="E27" i="5" s="1"/>
  <c r="F42" i="6"/>
  <c r="AB42" i="6"/>
  <c r="E52" i="5"/>
  <c r="AB38" i="6"/>
  <c r="F38" i="6"/>
  <c r="E8" i="6"/>
  <c r="F35" i="6"/>
  <c r="AB35" i="6"/>
  <c r="B9" i="11"/>
  <c r="B13" i="11" s="1"/>
  <c r="C38" i="5"/>
  <c r="E38" i="5" s="1"/>
  <c r="C22" i="5"/>
  <c r="C41" i="5"/>
  <c r="E41" i="5" s="1"/>
  <c r="C25" i="5"/>
  <c r="E25" i="5" s="1"/>
  <c r="C17" i="5"/>
  <c r="E17" i="5" s="1"/>
  <c r="C76" i="5"/>
  <c r="E76" i="5" s="1"/>
  <c r="C74" i="5"/>
  <c r="E74" i="5" s="1"/>
  <c r="C72" i="5"/>
  <c r="E72" i="5" s="1"/>
  <c r="C39" i="5"/>
  <c r="E39" i="5" s="1"/>
  <c r="C23" i="5"/>
  <c r="E23" i="5" s="1"/>
  <c r="C42" i="5"/>
  <c r="E42" i="5" s="1"/>
  <c r="C34" i="5"/>
  <c r="E34" i="5" s="1"/>
  <c r="C26" i="5"/>
  <c r="E26" i="5" s="1"/>
  <c r="C18" i="5"/>
  <c r="E18" i="5" s="1"/>
  <c r="C45" i="5"/>
  <c r="E45" i="5" s="1"/>
  <c r="C37" i="5"/>
  <c r="E37" i="5" s="1"/>
  <c r="C29" i="5"/>
  <c r="E29" i="5" s="1"/>
  <c r="C21" i="5"/>
  <c r="E21" i="5" s="1"/>
  <c r="C75" i="5"/>
  <c r="E75" i="5" s="1"/>
  <c r="C73" i="5"/>
  <c r="E73" i="5" s="1"/>
  <c r="C40" i="5"/>
  <c r="E40" i="5" s="1"/>
  <c r="C24" i="5"/>
  <c r="E24" i="5" s="1"/>
  <c r="L14" i="8"/>
  <c r="G54" i="7" s="1"/>
  <c r="H54" i="7" s="1"/>
  <c r="L8" i="8"/>
  <c r="G24" i="7" s="1"/>
  <c r="H24" i="7" s="1"/>
  <c r="H49" i="7"/>
  <c r="E47" i="6"/>
  <c r="AB47" i="6" s="1"/>
  <c r="C19" i="5"/>
  <c r="E19" i="5" s="1"/>
  <c r="C44" i="5"/>
  <c r="E44" i="5" s="1"/>
  <c r="AB39" i="6"/>
  <c r="F39" i="6"/>
  <c r="E47" i="5"/>
  <c r="D62" i="5"/>
  <c r="E62" i="5" s="1"/>
  <c r="F36" i="6"/>
  <c r="AB36" i="6"/>
  <c r="E56" i="5"/>
  <c r="E50" i="6"/>
  <c r="F50" i="6" s="1"/>
  <c r="F51" i="6"/>
  <c r="AB51" i="6"/>
  <c r="AB48"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H39" i="7"/>
  <c r="D22" i="5"/>
  <c r="AB32" i="6"/>
  <c r="F32" i="6"/>
  <c r="AB49" i="6" l="1"/>
  <c r="B13" i="2"/>
  <c r="O13" i="6"/>
  <c r="D13" i="6"/>
  <c r="N13" i="6" s="1"/>
  <c r="O40" i="6"/>
  <c r="N40" i="6"/>
  <c r="N27" i="6"/>
  <c r="G10" i="2" s="1"/>
  <c r="D27" i="6"/>
  <c r="O27" i="6" s="1"/>
  <c r="O44" i="6"/>
  <c r="N44" i="6"/>
  <c r="D2" i="6"/>
  <c r="N2" i="6" s="1"/>
  <c r="G5" i="2" s="1"/>
  <c r="O33" i="6"/>
  <c r="N33" i="6"/>
  <c r="O45" i="6"/>
  <c r="N45" i="6"/>
  <c r="D66" i="6"/>
  <c r="O66" i="6" s="1"/>
  <c r="D29" i="6"/>
  <c r="O29" i="6" s="1"/>
  <c r="D3" i="6"/>
  <c r="N3" i="6" s="1"/>
  <c r="D55" i="6"/>
  <c r="O55" i="6" s="1"/>
  <c r="AC55" i="6" s="1"/>
  <c r="B78" i="7"/>
  <c r="B32" i="3" s="1"/>
  <c r="B82" i="7"/>
  <c r="B16" i="2" s="1"/>
  <c r="B8" i="2"/>
  <c r="D21" i="6"/>
  <c r="O21" i="6" s="1"/>
  <c r="D14" i="6"/>
  <c r="O14" i="6" s="1"/>
  <c r="O43" i="6"/>
  <c r="N43" i="6"/>
  <c r="D17" i="6"/>
  <c r="N17" i="6" s="1"/>
  <c r="G8" i="2" s="1"/>
  <c r="D31" i="6"/>
  <c r="O31" i="6" s="1"/>
  <c r="D53" i="6"/>
  <c r="O53" i="6" s="1"/>
  <c r="AC53" i="6" s="1"/>
  <c r="D25" i="6"/>
  <c r="D18" i="6"/>
  <c r="N18" i="6" s="1"/>
  <c r="N52" i="6"/>
  <c r="G15" i="2" s="1"/>
  <c r="D52" i="6"/>
  <c r="O36" i="6"/>
  <c r="N36" i="6"/>
  <c r="N42" i="6"/>
  <c r="G13" i="2" s="1"/>
  <c r="O42" i="6"/>
  <c r="B15" i="11"/>
  <c r="B14" i="11"/>
  <c r="K5" i="4"/>
  <c r="L5" i="4" s="1"/>
  <c r="B11" i="2"/>
  <c r="N51" i="6"/>
  <c r="O51" i="6"/>
  <c r="D20" i="6"/>
  <c r="O38" i="6"/>
  <c r="N38" i="6"/>
  <c r="D4" i="6"/>
  <c r="N4" i="6" s="1"/>
  <c r="O39" i="6"/>
  <c r="N39" i="6"/>
  <c r="D7" i="6"/>
  <c r="N7" i="6" s="1"/>
  <c r="G6" i="2" s="1"/>
  <c r="D15" i="6"/>
  <c r="O15" i="6" s="1"/>
  <c r="N47" i="6"/>
  <c r="G14" i="2" s="1"/>
  <c r="O47" i="6"/>
  <c r="D59" i="6"/>
  <c r="N59" i="6" s="1"/>
  <c r="B83" i="7"/>
  <c r="B79" i="7"/>
  <c r="O32" i="6"/>
  <c r="N32" i="6"/>
  <c r="G11" i="2" s="1"/>
  <c r="H5" i="4" s="1"/>
  <c r="N16" i="6"/>
  <c r="D16" i="6"/>
  <c r="D5" i="6"/>
  <c r="N5" i="6" s="1"/>
  <c r="D58" i="6"/>
  <c r="O8" i="6"/>
  <c r="D8" i="6"/>
  <c r="D23" i="6"/>
  <c r="N23" i="6" s="1"/>
  <c r="N50" i="6"/>
  <c r="O50" i="6"/>
  <c r="D64" i="6"/>
  <c r="N64" i="6" s="1"/>
  <c r="N54" i="6"/>
  <c r="O54" i="6"/>
  <c r="AC54" i="6" s="1"/>
  <c r="D54" i="6"/>
  <c r="D63" i="6"/>
  <c r="O63" i="6" s="1"/>
  <c r="D6" i="6"/>
  <c r="N6" i="6" s="1"/>
  <c r="O37" i="6"/>
  <c r="N37" i="6"/>
  <c r="O9" i="6"/>
  <c r="D9" i="6"/>
  <c r="N9" i="6" s="1"/>
  <c r="D30" i="6"/>
  <c r="N30" i="6" s="1"/>
  <c r="N48" i="6"/>
  <c r="O48" i="6"/>
  <c r="D60" i="6"/>
  <c r="AB50" i="6"/>
  <c r="E46" i="6"/>
  <c r="B14" i="2"/>
  <c r="D24" i="6"/>
  <c r="N24" i="6" s="1"/>
  <c r="N11" i="6"/>
  <c r="D11" i="6"/>
  <c r="D26" i="6"/>
  <c r="N26" i="6" s="1"/>
  <c r="O19" i="6"/>
  <c r="D19" i="6"/>
  <c r="N19" i="6" s="1"/>
  <c r="O10" i="6"/>
  <c r="N10" i="6"/>
  <c r="D10" i="6"/>
  <c r="O34" i="6"/>
  <c r="N34" i="6"/>
  <c r="D56" i="6"/>
  <c r="O56" i="6" s="1"/>
  <c r="AC56" i="6" s="1"/>
  <c r="D61" i="6"/>
  <c r="N61" i="6" s="1"/>
  <c r="B17" i="2"/>
  <c r="B71" i="7"/>
  <c r="B5" i="2" s="1"/>
  <c r="B80" i="7"/>
  <c r="B73" i="7"/>
  <c r="B7" i="2" s="1"/>
  <c r="O35" i="6"/>
  <c r="N35" i="6"/>
  <c r="D65" i="6"/>
  <c r="O65" i="6" s="1"/>
  <c r="B75" i="7"/>
  <c r="B9" i="2" s="1"/>
  <c r="E22" i="5"/>
  <c r="N41" i="6"/>
  <c r="O41" i="6"/>
  <c r="N12" i="6"/>
  <c r="D12" i="6"/>
  <c r="D28" i="6"/>
  <c r="O28" i="6" s="1"/>
  <c r="D22" i="6"/>
  <c r="O22" i="6" s="1"/>
  <c r="D57" i="6"/>
  <c r="O57" i="6" s="1"/>
  <c r="N49" i="6"/>
  <c r="O49" i="6"/>
  <c r="D62" i="6"/>
  <c r="N62" i="6" s="1"/>
  <c r="G17" i="2" s="1"/>
  <c r="H4" i="4" s="1"/>
  <c r="B76" i="7"/>
  <c r="B10" i="2" s="1"/>
  <c r="B81" i="7"/>
  <c r="B15" i="2" s="1"/>
  <c r="N22" i="6" l="1"/>
  <c r="G9" i="2" s="1"/>
  <c r="O17" i="6"/>
  <c r="O18" i="6"/>
  <c r="O62" i="6"/>
  <c r="N29" i="6"/>
  <c r="N28" i="6"/>
  <c r="N63" i="6"/>
  <c r="O5" i="6"/>
  <c r="O3" i="6"/>
  <c r="AC57" i="6"/>
  <c r="AD55" i="6"/>
  <c r="AD54" i="6"/>
  <c r="AD53" i="6"/>
  <c r="AC41" i="6"/>
  <c r="F24" i="6"/>
  <c r="AB24" i="6"/>
  <c r="AC37" i="6"/>
  <c r="AB64" i="6"/>
  <c r="F64" i="6"/>
  <c r="AB8" i="6"/>
  <c r="F8" i="6"/>
  <c r="AB59" i="6"/>
  <c r="F59" i="6"/>
  <c r="F53" i="6"/>
  <c r="AB53" i="6"/>
  <c r="F28" i="6"/>
  <c r="AB28" i="6"/>
  <c r="N65" i="6"/>
  <c r="AB61" i="6"/>
  <c r="F61" i="6"/>
  <c r="AB26" i="6"/>
  <c r="F26" i="6"/>
  <c r="O24" i="6"/>
  <c r="O6" i="6"/>
  <c r="O64" i="6"/>
  <c r="N8" i="6"/>
  <c r="F16" i="6"/>
  <c r="AB16" i="6"/>
  <c r="O59" i="6"/>
  <c r="O7" i="6"/>
  <c r="AC38" i="6"/>
  <c r="AC36" i="6"/>
  <c r="F25" i="6"/>
  <c r="AB25" i="6"/>
  <c r="N21" i="6"/>
  <c r="F3" i="6"/>
  <c r="AB3" i="6"/>
  <c r="F13" i="6"/>
  <c r="AB13" i="6"/>
  <c r="B33" i="3"/>
  <c r="AB30" i="6"/>
  <c r="F30" i="6"/>
  <c r="AC34" i="6"/>
  <c r="F20" i="6"/>
  <c r="AB20" i="6"/>
  <c r="F52" i="6"/>
  <c r="AB52" i="6"/>
  <c r="N25" i="6"/>
  <c r="N53" i="6"/>
  <c r="AC45" i="6"/>
  <c r="AC49" i="6"/>
  <c r="F60" i="6"/>
  <c r="AB60" i="6"/>
  <c r="O30" i="6"/>
  <c r="AC50" i="6"/>
  <c r="AB58" i="6"/>
  <c r="F58" i="6"/>
  <c r="O61" i="6"/>
  <c r="F10" i="6"/>
  <c r="AB10" i="6"/>
  <c r="O26" i="6"/>
  <c r="AB46" i="6"/>
  <c r="F46" i="6"/>
  <c r="N60" i="6"/>
  <c r="AB9" i="6"/>
  <c r="F9" i="6"/>
  <c r="AB63" i="6"/>
  <c r="F63" i="6"/>
  <c r="N58" i="6"/>
  <c r="O16" i="6"/>
  <c r="AC47" i="6"/>
  <c r="N20" i="6"/>
  <c r="O52" i="6"/>
  <c r="O25" i="6"/>
  <c r="AB31" i="6"/>
  <c r="F31" i="6"/>
  <c r="N46" i="6"/>
  <c r="AC44" i="6"/>
  <c r="AD56" i="6"/>
  <c r="H15" i="2"/>
  <c r="AC40" i="6"/>
  <c r="F12" i="6"/>
  <c r="AB12" i="6"/>
  <c r="AC35" i="6"/>
  <c r="AB11" i="6"/>
  <c r="F11" i="6"/>
  <c r="O60" i="6"/>
  <c r="O58" i="6"/>
  <c r="AC39" i="6"/>
  <c r="O20" i="6"/>
  <c r="F17" i="11"/>
  <c r="E17" i="11"/>
  <c r="D17" i="11"/>
  <c r="C17" i="11"/>
  <c r="B17" i="11"/>
  <c r="N31" i="6"/>
  <c r="AC43" i="6"/>
  <c r="O46" i="6"/>
  <c r="F29" i="6"/>
  <c r="AB29" i="6"/>
  <c r="AC33" i="6"/>
  <c r="AB27" i="6"/>
  <c r="F27" i="6"/>
  <c r="AB57" i="6"/>
  <c r="F57" i="6"/>
  <c r="B27" i="3"/>
  <c r="G7" i="2"/>
  <c r="AC32" i="6"/>
  <c r="AB15" i="6"/>
  <c r="F15" i="6"/>
  <c r="F4" i="6"/>
  <c r="AB4" i="6"/>
  <c r="AC51" i="6"/>
  <c r="F18" i="11"/>
  <c r="B6" i="12" s="1"/>
  <c r="E18" i="11"/>
  <c r="D18" i="11"/>
  <c r="C18" i="11"/>
  <c r="B18" i="11"/>
  <c r="F14" i="6"/>
  <c r="AB14" i="6"/>
  <c r="F55" i="6"/>
  <c r="AB55" i="6"/>
  <c r="F2" i="6"/>
  <c r="AB2" i="6"/>
  <c r="B12" i="2"/>
  <c r="F65" i="6"/>
  <c r="AB65" i="6"/>
  <c r="AB6" i="6"/>
  <c r="F6" i="6"/>
  <c r="AB7" i="6"/>
  <c r="F7" i="6"/>
  <c r="F21" i="6"/>
  <c r="AB21" i="6"/>
  <c r="AB66" i="6"/>
  <c r="F66" i="6"/>
  <c r="AC66" i="6" s="1"/>
  <c r="AD66" i="6" s="1"/>
  <c r="N57" i="6"/>
  <c r="G16" i="2" s="1"/>
  <c r="AB56" i="6"/>
  <c r="F56" i="6"/>
  <c r="AB23" i="6"/>
  <c r="F23" i="6"/>
  <c r="AB62" i="6"/>
  <c r="F62" i="6"/>
  <c r="AB22" i="6"/>
  <c r="F22" i="6"/>
  <c r="O12" i="6"/>
  <c r="N56" i="6"/>
  <c r="AB19" i="6"/>
  <c r="F19" i="6"/>
  <c r="O11" i="6"/>
  <c r="AC48" i="6"/>
  <c r="G12" i="2"/>
  <c r="B26" i="3"/>
  <c r="F54" i="6"/>
  <c r="AB54" i="6"/>
  <c r="O23" i="6"/>
  <c r="F5" i="6"/>
  <c r="AB5" i="6"/>
  <c r="N15" i="6"/>
  <c r="O4" i="6"/>
  <c r="AC42" i="6"/>
  <c r="AB18" i="6"/>
  <c r="F18" i="6"/>
  <c r="AB17" i="6"/>
  <c r="F17" i="6"/>
  <c r="N14" i="6"/>
  <c r="N55" i="6"/>
  <c r="N66" i="6"/>
  <c r="O2" i="6"/>
  <c r="AC7" i="6" l="1"/>
  <c r="AC19" i="6"/>
  <c r="AC23" i="6"/>
  <c r="B3" i="12"/>
  <c r="D15" i="11"/>
  <c r="AC15" i="6"/>
  <c r="AC46" i="6"/>
  <c r="F20" i="11"/>
  <c r="D6" i="12" s="1"/>
  <c r="F19" i="11"/>
  <c r="C6" i="12" s="1"/>
  <c r="AC31" i="6"/>
  <c r="AD41" i="6"/>
  <c r="B29" i="3"/>
  <c r="H12" i="2"/>
  <c r="AD42" i="6"/>
  <c r="B5" i="12"/>
  <c r="F15" i="11"/>
  <c r="AC27" i="6"/>
  <c r="AD39" i="6"/>
  <c r="AC10" i="6"/>
  <c r="AD38" i="6"/>
  <c r="V6" i="6"/>
  <c r="AC64" i="6"/>
  <c r="AC17" i="6"/>
  <c r="AD48" i="6"/>
  <c r="G56" i="6"/>
  <c r="V56" i="6" s="1"/>
  <c r="G66" i="6"/>
  <c r="V66" i="6" s="1"/>
  <c r="G51" i="6"/>
  <c r="V51" i="6" s="1"/>
  <c r="G46" i="6"/>
  <c r="V46" i="6" s="1"/>
  <c r="G41" i="6"/>
  <c r="V41" i="6" s="1"/>
  <c r="G36" i="6"/>
  <c r="V36" i="6" s="1"/>
  <c r="G31" i="6"/>
  <c r="V31" i="6" s="1"/>
  <c r="G26" i="6"/>
  <c r="V26" i="6" s="1"/>
  <c r="G21" i="6"/>
  <c r="V21" i="6" s="1"/>
  <c r="G16" i="6"/>
  <c r="G11" i="6"/>
  <c r="F76" i="5"/>
  <c r="F71" i="5"/>
  <c r="F66" i="5"/>
  <c r="F61" i="5"/>
  <c r="F56" i="5"/>
  <c r="F51" i="5"/>
  <c r="F46" i="5"/>
  <c r="F41" i="5"/>
  <c r="F36" i="5"/>
  <c r="F31" i="5"/>
  <c r="F26" i="5"/>
  <c r="F21" i="5"/>
  <c r="G61" i="6"/>
  <c r="V61" i="6" s="1"/>
  <c r="G6" i="6"/>
  <c r="B5" i="17"/>
  <c r="AD32" i="6"/>
  <c r="AC52" i="6"/>
  <c r="AC9" i="6"/>
  <c r="AC61" i="6"/>
  <c r="AC3" i="6"/>
  <c r="AC26" i="6"/>
  <c r="AC6" i="6"/>
  <c r="AC2" i="6"/>
  <c r="B4" i="12"/>
  <c r="E15" i="11"/>
  <c r="AD43" i="6"/>
  <c r="AD35" i="6"/>
  <c r="AC63" i="6"/>
  <c r="AC13" i="6"/>
  <c r="AC28" i="6"/>
  <c r="AC5" i="6"/>
  <c r="AC22" i="6"/>
  <c r="AC65" i="6"/>
  <c r="H14" i="2"/>
  <c r="AD51" i="6"/>
  <c r="AD33" i="6"/>
  <c r="B19" i="11"/>
  <c r="C2" i="12" s="1"/>
  <c r="B20" i="11"/>
  <c r="D2" i="12" s="1"/>
  <c r="C14" i="11"/>
  <c r="C13" i="11" s="1"/>
  <c r="AC58" i="6"/>
  <c r="AC12" i="6"/>
  <c r="AD49" i="6"/>
  <c r="AC30" i="6"/>
  <c r="AC59" i="6"/>
  <c r="AD37" i="6"/>
  <c r="C19" i="11"/>
  <c r="C3" i="12" s="1"/>
  <c r="C20" i="11"/>
  <c r="D3" i="12" s="1"/>
  <c r="D14" i="11"/>
  <c r="D13" i="11" s="1"/>
  <c r="AD40" i="6"/>
  <c r="AD44" i="6"/>
  <c r="AD47" i="6"/>
  <c r="AD57" i="6"/>
  <c r="AC18" i="6"/>
  <c r="AC21" i="6"/>
  <c r="AC14" i="6"/>
  <c r="AC62" i="6"/>
  <c r="D19" i="11"/>
  <c r="C4" i="12" s="1"/>
  <c r="D20" i="11"/>
  <c r="D4" i="12" s="1"/>
  <c r="E14" i="11"/>
  <c r="E13" i="11" s="1"/>
  <c r="AC60" i="6"/>
  <c r="AD45" i="6"/>
  <c r="AC20" i="6"/>
  <c r="AC25" i="6"/>
  <c r="AC16" i="6"/>
  <c r="AC24" i="6"/>
  <c r="V11" i="6"/>
  <c r="C15" i="11"/>
  <c r="B2" i="12"/>
  <c r="AC4" i="6"/>
  <c r="AC29" i="6"/>
  <c r="E20" i="11"/>
  <c r="D5" i="12" s="1"/>
  <c r="F14" i="11"/>
  <c r="F13" i="11" s="1"/>
  <c r="E19" i="11"/>
  <c r="C5" i="12" s="1"/>
  <c r="AC11" i="6"/>
  <c r="V16" i="6"/>
  <c r="AD50" i="6"/>
  <c r="AD34" i="6"/>
  <c r="AD36" i="6"/>
  <c r="H11" i="2"/>
  <c r="I5" i="4" s="1"/>
  <c r="B4" i="17"/>
  <c r="AC8" i="6"/>
  <c r="H6" i="2" l="1"/>
  <c r="AD11" i="6"/>
  <c r="AD25" i="6"/>
  <c r="AD21" i="6"/>
  <c r="H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H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H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H16" i="2"/>
  <c r="H40" i="6"/>
  <c r="R40" i="6" s="1"/>
  <c r="U40" i="6" s="1"/>
  <c r="H35" i="6"/>
  <c r="R35" i="6" s="1"/>
  <c r="U35" i="6" s="1"/>
  <c r="H50" i="6"/>
  <c r="R50" i="6" s="1"/>
  <c r="U50" i="6" s="1"/>
  <c r="W50" i="6" s="1"/>
  <c r="H60" i="6"/>
  <c r="R60" i="6" s="1"/>
  <c r="U60" i="6" s="1"/>
  <c r="W60" i="6" s="1"/>
  <c r="H15" i="6"/>
  <c r="R15" i="6" s="1"/>
  <c r="U15" i="6" s="1"/>
  <c r="W15" i="6" s="1"/>
  <c r="G75" i="5"/>
  <c r="G70" i="5"/>
  <c r="G65" i="5"/>
  <c r="G60" i="5"/>
  <c r="G55" i="5"/>
  <c r="G50" i="5"/>
  <c r="G45" i="5"/>
  <c r="G40" i="5"/>
  <c r="G35" i="5"/>
  <c r="G30" i="5"/>
  <c r="G25" i="5"/>
  <c r="G20" i="5"/>
  <c r="H20" i="6"/>
  <c r="R20" i="6" s="1"/>
  <c r="H45" i="6"/>
  <c r="R45" i="6" s="1"/>
  <c r="H30" i="6"/>
  <c r="R30" i="6" s="1"/>
  <c r="U30" i="6" s="1"/>
  <c r="W30" i="6" s="1"/>
  <c r="H55" i="6"/>
  <c r="R55" i="6" s="1"/>
  <c r="U55" i="6" s="1"/>
  <c r="W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U52" i="6" s="1"/>
  <c r="H37" i="6"/>
  <c r="R37" i="6" s="1"/>
  <c r="U37" i="6" s="1"/>
  <c r="W37" i="6" s="1"/>
  <c r="H47" i="6"/>
  <c r="R47" i="6" s="1"/>
  <c r="U47" i="6" s="1"/>
  <c r="W47" i="6" s="1"/>
  <c r="H42" i="6"/>
  <c r="R42" i="6" s="1"/>
  <c r="U42" i="6" s="1"/>
  <c r="W42" i="6" s="1"/>
  <c r="H57" i="6"/>
  <c r="R57" i="6" s="1"/>
  <c r="U57" i="6" s="1"/>
  <c r="H27" i="6"/>
  <c r="R27" i="6" s="1"/>
  <c r="G72" i="5"/>
  <c r="G67" i="5"/>
  <c r="G62" i="5"/>
  <c r="G57" i="5"/>
  <c r="G52" i="5"/>
  <c r="G47" i="5"/>
  <c r="G42" i="5"/>
  <c r="G37" i="5"/>
  <c r="G32" i="5"/>
  <c r="G27" i="5"/>
  <c r="G22" i="5"/>
  <c r="G17" i="5"/>
  <c r="H7" i="6"/>
  <c r="R7" i="6" s="1"/>
  <c r="U7" i="6" s="1"/>
  <c r="W7" i="6" s="1"/>
  <c r="H32" i="6"/>
  <c r="R32" i="6" s="1"/>
  <c r="H22" i="6"/>
  <c r="R22" i="6" s="1"/>
  <c r="U22" i="6" s="1"/>
  <c r="W22" i="6" s="1"/>
  <c r="H12" i="6"/>
  <c r="R12" i="6" s="1"/>
  <c r="H2" i="6"/>
  <c r="R2" i="6" s="1"/>
  <c r="U2" i="6" s="1"/>
  <c r="W2" i="6" s="1"/>
  <c r="H17" i="6"/>
  <c r="R17" i="6" s="1"/>
  <c r="AD64" i="6"/>
  <c r="H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U64" i="6" s="1"/>
  <c r="H59" i="6"/>
  <c r="R59" i="6" s="1"/>
  <c r="H39" i="6"/>
  <c r="R39" i="6" s="1"/>
  <c r="H34" i="6"/>
  <c r="R34" i="6" s="1"/>
  <c r="H49" i="6"/>
  <c r="R49" i="6" s="1"/>
  <c r="U49" i="6" s="1"/>
  <c r="H44" i="6"/>
  <c r="R44" i="6" s="1"/>
  <c r="H19" i="6"/>
  <c r="R19" i="6" s="1"/>
  <c r="H29" i="6"/>
  <c r="R29" i="6" s="1"/>
  <c r="H54" i="6"/>
  <c r="R54" i="6" s="1"/>
  <c r="U54" i="6" s="1"/>
  <c r="W54" i="6" s="1"/>
  <c r="H14" i="6"/>
  <c r="R14" i="6" s="1"/>
  <c r="H9" i="6"/>
  <c r="R9" i="6" s="1"/>
  <c r="G74" i="5"/>
  <c r="G69" i="5"/>
  <c r="G64" i="5"/>
  <c r="G59" i="5"/>
  <c r="G54" i="5"/>
  <c r="G49" i="5"/>
  <c r="G44" i="5"/>
  <c r="G39" i="5"/>
  <c r="G34" i="5"/>
  <c r="G29" i="5"/>
  <c r="G24" i="5"/>
  <c r="G19" i="5"/>
  <c r="H24" i="6"/>
  <c r="R24" i="6" s="1"/>
  <c r="U24" i="6" s="1"/>
  <c r="H4" i="6"/>
  <c r="R4" i="6" s="1"/>
  <c r="U4" i="6" s="1"/>
  <c r="W4" i="6" s="1"/>
  <c r="H58" i="6"/>
  <c r="R58" i="6" s="1"/>
  <c r="U58" i="6" s="1"/>
  <c r="W58" i="6" s="1"/>
  <c r="H63" i="6"/>
  <c r="R63" i="6" s="1"/>
  <c r="U63" i="6" s="1"/>
  <c r="W63" i="6" s="1"/>
  <c r="H43" i="6"/>
  <c r="R43" i="6" s="1"/>
  <c r="H38" i="6"/>
  <c r="R38" i="6" s="1"/>
  <c r="U38" i="6" s="1"/>
  <c r="H53" i="6"/>
  <c r="R53" i="6" s="1"/>
  <c r="U53" i="6" s="1"/>
  <c r="W53" i="6" s="1"/>
  <c r="H48" i="6"/>
  <c r="R48" i="6" s="1"/>
  <c r="U48" i="6" s="1"/>
  <c r="W48" i="6" s="1"/>
  <c r="H18" i="6"/>
  <c r="R18" i="6" s="1"/>
  <c r="U18" i="6" s="1"/>
  <c r="W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W13" i="6" s="1"/>
  <c r="H33" i="6"/>
  <c r="R33" i="6" s="1"/>
  <c r="U33" i="6" s="1"/>
  <c r="W33" i="6" s="1"/>
  <c r="H3" i="6"/>
  <c r="R3" i="6" s="1"/>
  <c r="U3" i="6" s="1"/>
  <c r="W3" i="6" s="1"/>
  <c r="H7" i="2"/>
  <c r="B30" i="3"/>
  <c r="AD16" i="6"/>
  <c r="AD14" i="6"/>
  <c r="AD9" i="6"/>
  <c r="AD15" i="6"/>
  <c r="AD7" i="6"/>
  <c r="AD22" i="6"/>
  <c r="H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H10" i="2"/>
  <c r="AD31" i="6"/>
  <c r="W24" i="6" l="1"/>
  <c r="Z24" i="6" s="1"/>
  <c r="AA24" i="6" s="1"/>
  <c r="W57" i="6"/>
  <c r="W38" i="6"/>
  <c r="W52" i="6"/>
  <c r="Z52" i="6" s="1"/>
  <c r="AA52" i="6" s="1"/>
  <c r="W62" i="6"/>
  <c r="W35" i="6"/>
  <c r="W40" i="6"/>
  <c r="Z40" i="6" s="1"/>
  <c r="AA40" i="6" s="1"/>
  <c r="W25" i="6"/>
  <c r="Z25" i="6" s="1"/>
  <c r="AA25" i="6" s="1"/>
  <c r="W64" i="6"/>
  <c r="Z64" i="6" s="1"/>
  <c r="AA64" i="6" s="1"/>
  <c r="W49" i="6"/>
  <c r="AE61" i="6"/>
  <c r="AF61" i="6" s="1"/>
  <c r="Z61" i="6"/>
  <c r="AA61" i="6" s="1"/>
  <c r="X61" i="6"/>
  <c r="AE55" i="6"/>
  <c r="AF55" i="6" s="1"/>
  <c r="Z55" i="6"/>
  <c r="AA55" i="6" s="1"/>
  <c r="X55" i="6"/>
  <c r="Z15" i="6"/>
  <c r="AA15" i="6" s="1"/>
  <c r="AE15" i="6"/>
  <c r="AF15" i="6" s="1"/>
  <c r="X15" i="6"/>
  <c r="Z23" i="6"/>
  <c r="AA23" i="6" s="1"/>
  <c r="AE23" i="6"/>
  <c r="AF23" i="6" s="1"/>
  <c r="X23" i="6"/>
  <c r="Z37" i="6"/>
  <c r="AA37" i="6" s="1"/>
  <c r="AE37" i="6"/>
  <c r="AF37" i="6" s="1"/>
  <c r="X37" i="6"/>
  <c r="AE24" i="6"/>
  <c r="AF24" i="6" s="1"/>
  <c r="D9" i="2" s="1"/>
  <c r="AE52" i="6"/>
  <c r="AF52" i="6" s="1"/>
  <c r="F15" i="2" s="1"/>
  <c r="X52" i="6"/>
  <c r="Z30" i="6"/>
  <c r="AA30" i="6" s="1"/>
  <c r="AE30" i="6"/>
  <c r="X30" i="6"/>
  <c r="Z28" i="6"/>
  <c r="AA28" i="6" s="1"/>
  <c r="AE28" i="6"/>
  <c r="AF28" i="6" s="1"/>
  <c r="X28" i="6"/>
  <c r="AE48" i="6"/>
  <c r="AF48" i="6" s="1"/>
  <c r="Z48" i="6"/>
  <c r="AA48" i="6" s="1"/>
  <c r="X48" i="6"/>
  <c r="U19" i="6"/>
  <c r="W19" i="6" s="1"/>
  <c r="U17" i="6"/>
  <c r="W17" i="6" s="1"/>
  <c r="AE62" i="6"/>
  <c r="AF62" i="6" s="1"/>
  <c r="Z62" i="6"/>
  <c r="AA62" i="6" s="1"/>
  <c r="X62" i="6"/>
  <c r="AE6" i="6"/>
  <c r="AF6" i="6" s="1"/>
  <c r="E5" i="2" s="1"/>
  <c r="Z6" i="6"/>
  <c r="AA6" i="6" s="1"/>
  <c r="X6" i="6"/>
  <c r="U26" i="6"/>
  <c r="W26" i="6" s="1"/>
  <c r="U45" i="6"/>
  <c r="W45" i="6" s="1"/>
  <c r="Z50" i="6"/>
  <c r="AA50" i="6" s="1"/>
  <c r="AE50" i="6"/>
  <c r="AF50" i="6" s="1"/>
  <c r="X50" i="6"/>
  <c r="Z33" i="6"/>
  <c r="AA33" i="6" s="1"/>
  <c r="AE33" i="6"/>
  <c r="AF33" i="6" s="1"/>
  <c r="X33" i="6"/>
  <c r="Z18" i="6"/>
  <c r="AA18" i="6" s="1"/>
  <c r="AE18" i="6"/>
  <c r="X18" i="6"/>
  <c r="Z31" i="6"/>
  <c r="AA31" i="6" s="1"/>
  <c r="AE31" i="6"/>
  <c r="AF31" i="6" s="1"/>
  <c r="X31" i="6"/>
  <c r="AF16" i="6"/>
  <c r="U8" i="6"/>
  <c r="W8" i="6" s="1"/>
  <c r="Z53" i="6"/>
  <c r="AA53" i="6" s="1"/>
  <c r="AE53" i="6"/>
  <c r="AF53" i="6" s="1"/>
  <c r="X53" i="6"/>
  <c r="U44" i="6"/>
  <c r="W44" i="6" s="1"/>
  <c r="AE2" i="6"/>
  <c r="AF2" i="6" s="1"/>
  <c r="Z2" i="6"/>
  <c r="AA2" i="6" s="1"/>
  <c r="X2" i="6"/>
  <c r="Z16" i="6"/>
  <c r="AA16" i="6" s="1"/>
  <c r="AE16" i="6"/>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Z13" i="6"/>
  <c r="AA13" i="6" s="1"/>
  <c r="AE13" i="6"/>
  <c r="AF13" i="6" s="1"/>
  <c r="C8" i="3" s="1"/>
  <c r="X13" i="6"/>
  <c r="AE66" i="6"/>
  <c r="AF66" i="6" s="1"/>
  <c r="Z66" i="6"/>
  <c r="AA66" i="6" s="1"/>
  <c r="X66" i="6"/>
  <c r="Z38" i="6"/>
  <c r="AA38" i="6" s="1"/>
  <c r="AE38" i="6"/>
  <c r="AF38" i="6" s="1"/>
  <c r="B8" i="3" s="1"/>
  <c r="X38" i="6"/>
  <c r="Z49" i="6"/>
  <c r="AA49" i="6" s="1"/>
  <c r="AE49" i="6"/>
  <c r="AF49" i="6" s="1"/>
  <c r="D14" i="2" s="1"/>
  <c r="X49" i="6"/>
  <c r="U43" i="6"/>
  <c r="W43" i="6" s="1"/>
  <c r="U34" i="6"/>
  <c r="W34" i="6" s="1"/>
  <c r="Z22" i="6"/>
  <c r="AA22" i="6" s="1"/>
  <c r="AE22" i="6"/>
  <c r="AF22" i="6" s="1"/>
  <c r="X22" i="6"/>
  <c r="AE57" i="6"/>
  <c r="AF57" i="6" s="1"/>
  <c r="Z57" i="6"/>
  <c r="AA57" i="6" s="1"/>
  <c r="X57" i="6"/>
  <c r="AF18" i="6"/>
  <c r="Z36" i="6"/>
  <c r="AA36" i="6" s="1"/>
  <c r="AE36" i="6"/>
  <c r="AF36" i="6" s="1"/>
  <c r="X36" i="6"/>
  <c r="U10" i="6"/>
  <c r="W10" i="6" s="1"/>
  <c r="AE54" i="6"/>
  <c r="AF54" i="6" s="1"/>
  <c r="D15" i="2" s="1"/>
  <c r="Z54" i="6"/>
  <c r="AA54" i="6" s="1"/>
  <c r="X54" i="6"/>
  <c r="U29" i="6"/>
  <c r="W29" i="6" s="1"/>
  <c r="Z51" i="6"/>
  <c r="AA51" i="6" s="1"/>
  <c r="AE51" i="6"/>
  <c r="AF51" i="6" s="1"/>
  <c r="X51" i="6"/>
  <c r="Z60" i="6"/>
  <c r="AA60" i="6" s="1"/>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D5" i="2" s="1"/>
  <c r="Z4" i="6"/>
  <c r="AA4" i="6" s="1"/>
  <c r="X4" i="6"/>
  <c r="U9" i="6"/>
  <c r="W9" i="6" s="1"/>
  <c r="Z3" i="6"/>
  <c r="AA3" i="6" s="1"/>
  <c r="AE3" i="6"/>
  <c r="AF3" i="6" s="1"/>
  <c r="X3" i="6"/>
  <c r="Z58" i="6"/>
  <c r="AA58" i="6" s="1"/>
  <c r="AE58" i="6"/>
  <c r="AF58" i="6" s="1"/>
  <c r="X58" i="6"/>
  <c r="U14" i="6"/>
  <c r="W14" i="6" s="1"/>
  <c r="U59" i="6"/>
  <c r="W59" i="6" s="1"/>
  <c r="AE7" i="6"/>
  <c r="AF7" i="6" s="1"/>
  <c r="Z7" i="6"/>
  <c r="AA7" i="6" s="1"/>
  <c r="X7" i="6"/>
  <c r="Z47" i="6"/>
  <c r="AA47" i="6" s="1"/>
  <c r="AE47" i="6"/>
  <c r="AF47" i="6" s="1"/>
  <c r="F14" i="2" s="1"/>
  <c r="X47" i="6"/>
  <c r="AF30" i="6"/>
  <c r="Z46" i="6"/>
  <c r="AA46" i="6" s="1"/>
  <c r="AE46" i="6"/>
  <c r="AF46" i="6" s="1"/>
  <c r="X46" i="6"/>
  <c r="U65" i="6"/>
  <c r="W65" i="6" s="1"/>
  <c r="AE40" i="6" l="1"/>
  <c r="AF40" i="6" s="1"/>
  <c r="B10" i="3" s="1"/>
  <c r="X24" i="6"/>
  <c r="X64" i="6"/>
  <c r="AE64" i="6"/>
  <c r="AF64" i="6" s="1"/>
  <c r="D17" i="2" s="1"/>
  <c r="C16" i="2"/>
  <c r="E16" i="2"/>
  <c r="F9" i="2"/>
  <c r="E6" i="2"/>
  <c r="C6" i="2"/>
  <c r="E10" i="2"/>
  <c r="C10" i="2"/>
  <c r="Z12" i="6"/>
  <c r="AA12" i="6" s="1"/>
  <c r="AE12" i="6"/>
  <c r="AF12" i="6" s="1"/>
  <c r="X12" i="6"/>
  <c r="Z32" i="6"/>
  <c r="AA32" i="6" s="1"/>
  <c r="AE32" i="6"/>
  <c r="AF32" i="6" s="1"/>
  <c r="F11" i="2" s="1"/>
  <c r="X32" i="6"/>
  <c r="Z34" i="6"/>
  <c r="AA34" i="6" s="1"/>
  <c r="AE34" i="6"/>
  <c r="AF34" i="6" s="1"/>
  <c r="D11" i="2" s="1"/>
  <c r="X34" i="6"/>
  <c r="C8" i="2"/>
  <c r="E8" i="2"/>
  <c r="Z17" i="6"/>
  <c r="AA17" i="6" s="1"/>
  <c r="AE17" i="6"/>
  <c r="AF17" i="6" s="1"/>
  <c r="F8" i="2" s="1"/>
  <c r="X17" i="6"/>
  <c r="Z59" i="6"/>
  <c r="AA59" i="6" s="1"/>
  <c r="AE59" i="6"/>
  <c r="AF59" i="6" s="1"/>
  <c r="D16" i="2" s="1"/>
  <c r="X59" i="6"/>
  <c r="E11" i="2"/>
  <c r="C11" i="2"/>
  <c r="Z20" i="6"/>
  <c r="AA20" i="6" s="1"/>
  <c r="AE20" i="6"/>
  <c r="AF20" i="6" s="1"/>
  <c r="X20" i="6"/>
  <c r="C15" i="2"/>
  <c r="E15" i="2"/>
  <c r="E13" i="2"/>
  <c r="C13" i="2"/>
  <c r="Z44" i="6"/>
  <c r="AA44" i="6" s="1"/>
  <c r="AE44" i="6"/>
  <c r="AF44" i="6" s="1"/>
  <c r="D13" i="2" s="1"/>
  <c r="X44" i="6"/>
  <c r="Z26" i="6"/>
  <c r="AA26" i="6" s="1"/>
  <c r="AE26" i="6"/>
  <c r="AF26" i="6" s="1"/>
  <c r="X26" i="6"/>
  <c r="Z19" i="6"/>
  <c r="AA19" i="6" s="1"/>
  <c r="AE19" i="6"/>
  <c r="AF19" i="6" s="1"/>
  <c r="D8" i="2" s="1"/>
  <c r="X19" i="6"/>
  <c r="E12" i="2"/>
  <c r="C12" i="2"/>
  <c r="B18" i="3"/>
  <c r="B11" i="3"/>
  <c r="Z9" i="6"/>
  <c r="AA9" i="6" s="1"/>
  <c r="AE9" i="6"/>
  <c r="AF9" i="6" s="1"/>
  <c r="D6" i="2" s="1"/>
  <c r="X9" i="6"/>
  <c r="AE5" i="6"/>
  <c r="AF5" i="6" s="1"/>
  <c r="Z5" i="6"/>
  <c r="AA5" i="6" s="1"/>
  <c r="X5" i="6"/>
  <c r="C7" i="2"/>
  <c r="E7" i="2"/>
  <c r="B19" i="3"/>
  <c r="C11" i="3"/>
  <c r="Z14" i="6"/>
  <c r="AA14" i="6" s="1"/>
  <c r="AE14" i="6"/>
  <c r="AF14" i="6" s="1"/>
  <c r="X14" i="6"/>
  <c r="AE45" i="6"/>
  <c r="AF45" i="6" s="1"/>
  <c r="Z45" i="6"/>
  <c r="AA45" i="6" s="1"/>
  <c r="X45" i="6"/>
  <c r="Z43" i="6"/>
  <c r="AA43" i="6" s="1"/>
  <c r="AE43" i="6"/>
  <c r="AF43" i="6" s="1"/>
  <c r="X43" i="6"/>
  <c r="AE65" i="6"/>
  <c r="AF65" i="6" s="1"/>
  <c r="F17" i="2" s="1"/>
  <c r="Z65" i="6"/>
  <c r="AA65" i="6" s="1"/>
  <c r="X65" i="6"/>
  <c r="F5" i="2"/>
  <c r="C5" i="2"/>
  <c r="E14" i="2"/>
  <c r="C14" i="2"/>
  <c r="F16" i="2"/>
  <c r="C17" i="2"/>
  <c r="E17" i="2"/>
  <c r="F12" i="2"/>
  <c r="B7" i="3"/>
  <c r="Z39" i="6"/>
  <c r="AA39" i="6" s="1"/>
  <c r="AE39" i="6"/>
  <c r="AF39" i="6" s="1"/>
  <c r="X39" i="6"/>
  <c r="Z10" i="6"/>
  <c r="AA10" i="6" s="1"/>
  <c r="AE10" i="6"/>
  <c r="AF10" i="6" s="1"/>
  <c r="X10" i="6"/>
  <c r="Z29" i="6"/>
  <c r="AA29" i="6" s="1"/>
  <c r="AE29" i="6"/>
  <c r="AF29" i="6" s="1"/>
  <c r="D10" i="2" s="1"/>
  <c r="X29" i="6"/>
  <c r="Z27" i="6"/>
  <c r="AA27" i="6" s="1"/>
  <c r="AE27" i="6"/>
  <c r="AF27" i="6" s="1"/>
  <c r="X27" i="6"/>
  <c r="Z8" i="6"/>
  <c r="AA8" i="6" s="1"/>
  <c r="AE8" i="6"/>
  <c r="AF8" i="6" s="1"/>
  <c r="F6" i="2" s="1"/>
  <c r="X8" i="6"/>
  <c r="F10" i="2" l="1"/>
  <c r="J10" i="2" s="1"/>
  <c r="C10" i="3"/>
  <c r="J6" i="2"/>
  <c r="B20" i="3"/>
  <c r="J17" i="2"/>
  <c r="E4" i="4"/>
  <c r="J15" i="2"/>
  <c r="J14" i="2"/>
  <c r="I17" i="2"/>
  <c r="D4" i="4"/>
  <c r="I6" i="2"/>
  <c r="B9" i="3"/>
  <c r="D12" i="2"/>
  <c r="F13" i="2"/>
  <c r="J13" i="2" s="1"/>
  <c r="D7" i="2"/>
  <c r="C9" i="3"/>
  <c r="I8" i="2"/>
  <c r="J9" i="2"/>
  <c r="I12" i="2"/>
  <c r="J16" i="2"/>
  <c r="I11" i="2"/>
  <c r="D5" i="4"/>
  <c r="B23" i="3"/>
  <c r="F7" i="2"/>
  <c r="J7" i="2" s="1"/>
  <c r="C7" i="3"/>
  <c r="I16" i="2"/>
  <c r="I13" i="2"/>
  <c r="J8" i="2"/>
  <c r="I14" i="2"/>
  <c r="I15" i="2"/>
  <c r="I5" i="2"/>
  <c r="E5" i="4"/>
  <c r="G5" i="4" s="1"/>
  <c r="J11" i="2"/>
  <c r="B22" i="3"/>
  <c r="I7" i="2"/>
  <c r="C9" i="2"/>
  <c r="E9" i="2"/>
  <c r="I9" i="2" s="1"/>
  <c r="J12" i="2"/>
  <c r="J5" i="2"/>
  <c r="I10" i="2"/>
  <c r="B24" i="3" l="1"/>
  <c r="F5" i="4"/>
</calcChain>
</file>

<file path=xl/sharedStrings.xml><?xml version="1.0" encoding="utf-8"?>
<sst xmlns="http://schemas.openxmlformats.org/spreadsheetml/2006/main" count="1210" uniqueCount="729">
  <si>
    <t>Base (for comparison)</t>
  </si>
  <si>
    <t>H_StatusQuo_Decline</t>
  </si>
  <si>
    <t>Chart title</t>
  </si>
  <si>
    <t>Scenario</t>
  </si>
  <si>
    <t>One-time Capital (FY26)</t>
  </si>
  <si>
    <t>NET2026</t>
  </si>
  <si>
    <t>NET2028</t>
  </si>
  <si>
    <t>NET2030</t>
  </si>
  <si>
    <t>AVG5</t>
  </si>
  <si>
    <t>DISP</t>
  </si>
  <si>
    <t>SRV2030</t>
  </si>
  <si>
    <t>Δ vs Base (FY2030 Net)</t>
  </si>
  <si>
    <t>Δ vs Base (5-yr Avg Net)</t>
  </si>
  <si>
    <t>D_CUSTOM1</t>
  </si>
  <si>
    <t>E_StatusQuo_Targets</t>
  </si>
  <si>
    <t>F_CoLocation_Echo_Targets</t>
  </si>
  <si>
    <t>D_Grow_Both_Targets</t>
  </si>
  <si>
    <t>D_CUSTOM2</t>
  </si>
  <si>
    <t>G_EchoGHubRamp_PimaTargets</t>
  </si>
  <si>
    <t>A_Repurpose_Both_lease</t>
  </si>
  <si>
    <t>A_Repurpose_Both_ops</t>
  </si>
  <si>
    <t>B_Repurpose_Echo_lease_PimaTargets</t>
  </si>
  <si>
    <t>B_Repurpose_Echo_ops_PimaTargets</t>
  </si>
  <si>
    <t>C_Repurpose_Pima_lease_EchoGHub_EchoTargets</t>
  </si>
  <si>
    <t>C_Repurpose_Pima_ops_EchoGHub_EchoTargets</t>
  </si>
  <si>
    <t>Echo &amp; Pima — Baseline vs Comparator (Operating Net, FY26–FY30)</t>
  </si>
  <si>
    <t>Baseline (Base)</t>
  </si>
  <si>
    <t>Comparator</t>
  </si>
  <si>
    <t>Year</t>
  </si>
  <si>
    <t>Operating Net$ (Base)</t>
  </si>
  <si>
    <t>Operating Net$ (Comparator)</t>
  </si>
  <si>
    <t>FY2026</t>
  </si>
  <si>
    <t>FY2027</t>
  </si>
  <si>
    <t>FY2028</t>
  </si>
  <si>
    <t>FY2029</t>
  </si>
  <si>
    <t>FY2030</t>
  </si>
  <si>
    <t>FY2030 Net (Base)</t>
  </si>
  <si>
    <t>FY2030 Net (Comparator)</t>
  </si>
  <si>
    <t>Δ vs Base (FY2030)</t>
  </si>
  <si>
    <t>Avg Net (FY26–30) (Base)</t>
  </si>
  <si>
    <t>Avg Net (FY26–30) (Comparator)</t>
  </si>
  <si>
    <t>Δ vs Base (Avg FY26–30)</t>
  </si>
  <si>
    <t>Displaced (FY26) (Base)</t>
  </si>
  <si>
    <t>Displaced (FY26) (Comparator)</t>
  </si>
  <si>
    <t>Served (FY2030) (Base)</t>
  </si>
  <si>
    <t>Served (FY2030) (Comparator)</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</si>
  <si>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</si>
  <si>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</si>
  <si>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</si>
  <si>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</si>
  <si>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</si>
  <si>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</si>
  <si>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</si>
  <si>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</si>
  <si>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</si>
  <si>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</si>
  <si>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</si>
  <si>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</si>
  <si>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</si>
  <si>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</si>
  <si>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</si>
  <si>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</si>
  <si>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</si>
  <si>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</si>
  <si>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</si>
  <si>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</si>
  <si>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</si>
  <si>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</si>
  <si>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</si>
  <si>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</si>
  <si>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</si>
  <si>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</si>
  <si>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</si>
  <si>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</si>
  <si>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</si>
  <si>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</si>
  <si>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</si>
  <si>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</si>
  <si>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</si>
  <si>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</si>
  <si>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</si>
  <si>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</si>
  <si>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</si>
  <si>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</si>
  <si>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</si>
  <si>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</si>
  <si>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</si>
  <si>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</si>
  <si>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</si>
  <si>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</si>
  <si>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</si>
  <si>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</si>
  <si>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</si>
  <si>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</si>
  <si>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</si>
  <si>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</si>
  <si>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</si>
  <si>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</si>
  <si>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</si>
  <si>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</si>
  <si>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</si>
  <si>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</si>
  <si>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</si>
  <si>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</si>
  <si>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</si>
  <si>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</si>
  <si>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</si>
  <si>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</si>
  <si>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</si>
  <si>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</si>
  <si>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</si>
  <si>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</si>
  <si>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</si>
  <si>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</si>
  <si>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</si>
  <si>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</si>
  <si>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</si>
  <si>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</si>
  <si>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</si>
  <si>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</si>
  <si>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</si>
  <si>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</si>
  <si>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</si>
  <si>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</si>
  <si>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</si>
  <si>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</si>
  <si>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</si>
  <si>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</si>
  <si>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</si>
  <si>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</si>
  <si>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</si>
  <si>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</si>
  <si>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</si>
  <si>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</si>
  <si>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</si>
  <si>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</si>
  <si>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</si>
  <si>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</si>
  <si>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</si>
  <si>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</si>
  <si>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</si>
  <si>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</si>
  <si>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</si>
  <si>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</si>
  <si>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</si>
  <si>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</si>
  <si>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</si>
  <si>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</si>
  <si>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</si>
  <si>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</si>
  <si>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</si>
  <si>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</si>
  <si>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</si>
  <si>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</si>
  <si>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</si>
  <si>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</si>
  <si>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</si>
  <si>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</si>
  <si>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</si>
  <si>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</si>
  <si>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</si>
  <si>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</si>
  <si>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</si>
  <si>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</si>
  <si>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</si>
  <si>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</si>
  <si>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</si>
  <si>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</si>
  <si>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</si>
  <si>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</si>
  <si>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</si>
  <si>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</si>
  <si>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</si>
  <si>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</si>
  <si>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</si>
  <si>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</si>
  <si>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</si>
  <si>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</si>
  <si>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</si>
  <si>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</si>
  <si>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</si>
  <si>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</si>
  <si>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</si>
  <si>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</si>
  <si>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</si>
  <si>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</si>
  <si>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</si>
  <si>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</si>
  <si>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</si>
  <si>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</si>
  <si>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</si>
  <si>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</si>
  <si>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</si>
  <si>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</si>
  <si>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</si>
  <si>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</si>
  <si>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</si>
  <si>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</si>
  <si>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</si>
  <si>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</si>
  <si>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</si>
  <si>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</si>
  <si>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</si>
  <si>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</si>
  <si>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</si>
  <si>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</si>
  <si>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</si>
  <si>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</si>
  <si>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</si>
  <si>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</si>
  <si>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</si>
  <si>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</si>
  <si>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</si>
  <si>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</si>
  <si>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</si>
  <si>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</si>
  <si>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</si>
  <si>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</si>
  <si>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</si>
  <si>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</si>
  <si>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</si>
  <si>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</si>
  <si>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</si>
  <si>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</si>
  <si>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</si>
  <si>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</si>
  <si>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</si>
  <si>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</si>
  <si>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</si>
  <si>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</si>
  <si>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</si>
  <si>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</si>
  <si>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</si>
  <si>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</si>
  <si>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</si>
  <si>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</si>
  <si>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</si>
  <si>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</si>
  <si>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</si>
  <si>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</si>
  <si>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</si>
  <si>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</si>
  <si>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</si>
  <si>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</si>
  <si>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</si>
  <si>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</si>
  <si>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</si>
  <si>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</si>
  <si>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</si>
  <si>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</si>
  <si>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</si>
  <si>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</si>
  <si>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</si>
  <si>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</si>
  <si>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</si>
  <si>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</si>
  <si>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</si>
  <si>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</si>
  <si>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</si>
  <si>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</si>
  <si>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</si>
  <si>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</si>
  <si>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</si>
  <si>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</si>
  <si>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</si>
  <si>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</si>
  <si>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</si>
  <si>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</si>
  <si>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</si>
  <si>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</si>
  <si>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</si>
  <si>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</si>
  <si>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</si>
  <si>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</si>
  <si>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</si>
  <si>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</si>
  <si>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</si>
  <si>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</si>
  <si>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</si>
  <si>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</si>
  <si>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</si>
  <si>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</si>
  <si>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</si>
  <si>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</si>
  <si>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</si>
  <si>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</si>
  <si>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</si>
  <si>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</si>
  <si>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</si>
  <si>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</si>
  <si>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</si>
  <si>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</si>
  <si>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</si>
  <si>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</si>
  <si>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</si>
  <si>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</si>
  <si>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</si>
  <si>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</si>
  <si>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</si>
  <si>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</si>
  <si>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</si>
  <si>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</si>
  <si>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</si>
  <si>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</si>
  <si>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</si>
  <si>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</si>
  <si>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</si>
  <si>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</si>
  <si>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</si>
  <si>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</si>
  <si>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</si>
  <si>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</si>
  <si>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</si>
  <si>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</si>
  <si>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</si>
  <si>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</si>
  <si>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</si>
  <si>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</si>
  <si>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</si>
  <si>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</si>
  <si>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</si>
  <si>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</si>
  <si>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</si>
  <si>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</si>
  <si>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</si>
  <si>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</si>
  <si>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</si>
  <si>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</si>
  <si>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</si>
  <si>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</si>
  <si>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</si>
  <si>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</si>
  <si>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</si>
  <si>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</si>
  <si>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</si>
  <si>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</si>
  <si>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</si>
  <si>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</si>
  <si>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</si>
  <si>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</si>
  <si>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</si>
  <si>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</si>
  <si>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</si>
  <si>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</si>
  <si>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</si>
  <si>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</si>
  <si>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</si>
  <si>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</si>
  <si>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</si>
  <si>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</si>
  <si>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</si>
  <si>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</si>
  <si>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</si>
  <si>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</si>
  <si>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</si>
  <si>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</si>
  <si>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</si>
  <si>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</si>
  <si>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</si>
  <si>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</si>
  <si>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</si>
  <si>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</si>
  <si>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</si>
  <si>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</si>
  <si>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</si>
  <si>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</si>
  <si>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</si>
  <si>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</si>
  <si>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</si>
  <si>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</si>
  <si>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</si>
  <si>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</si>
  <si>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</si>
  <si>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</si>
  <si>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</si>
  <si>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</si>
  <si>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</si>
  <si>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</si>
  <si>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</si>
  <si>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</si>
  <si>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</si>
  <si>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</si>
  <si>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</si>
  <si>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</si>
  <si>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</si>
  <si>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</si>
  <si>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</si>
  <si>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</si>
  <si>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</si>
  <si>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</si>
  <si>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</si>
  <si>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</si>
  <si>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</si>
  <si>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</si>
  <si>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</si>
  <si>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</si>
  <si>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</si>
  <si>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</si>
  <si>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</si>
  <si>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</si>
  <si>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</si>
  <si>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</si>
  <si>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</si>
  <si>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</si>
  <si>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</si>
  <si>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</si>
  <si>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</si>
  <si>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</si>
  <si>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</si>
  <si>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</si>
  <si>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</si>
  <si>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</si>
  <si>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</si>
  <si>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</si>
  <si>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</si>
  <si>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</si>
  <si>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</si>
  <si>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</si>
  <si>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</si>
  <si>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</si>
  <si>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</si>
  <si>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</si>
  <si>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</si>
  <si>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</si>
  <si>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</si>
  <si>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</si>
  <si>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</si>
  <si>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</si>
  <si>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</si>
  <si>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</si>
  <si>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</si>
  <si>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</si>
  <si>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</si>
  <si>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</si>
  <si>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</si>
  <si>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</si>
  <si>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</si>
  <si>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</si>
  <si>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</si>
  <si>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</si>
  <si>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</si>
  <si>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</si>
  <si>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</si>
  <si>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</si>
  <si>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</si>
  <si>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</si>
  <si>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</si>
  <si>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</si>
  <si>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</si>
  <si>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</si>
  <si>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</si>
  <si>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</si>
  <si>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</si>
  <si>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</si>
  <si>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</si>
  <si>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</si>
  <si>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</si>
  <si>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</si>
  <si>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</si>
  <si>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</si>
  <si>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</si>
  <si>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</si>
  <si>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</si>
  <si>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</si>
  <si>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</si>
  <si>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</si>
  <si>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</si>
  <si>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</si>
  <si>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</si>
  <si>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</si>
  <si>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</si>
  <si>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</si>
  <si>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</si>
  <si>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</si>
  <si>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</si>
  <si>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</si>
  <si>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</si>
  <si>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</si>
  <si>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</si>
  <si>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</si>
  <si>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</si>
  <si>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</si>
  <si>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</si>
  <si>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</si>
  <si>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</si>
  <si>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</si>
  <si>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</si>
  <si>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</si>
  <si>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</si>
  <si>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</si>
  <si>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</si>
  <si>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</si>
  <si>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</si>
  <si>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</si>
  <si>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</si>
  <si>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</si>
  <si>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</si>
  <si>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</si>
  <si>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</si>
  <si>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</si>
  <si>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</si>
  <si>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</si>
  <si>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</si>
  <si>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</si>
  <si>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</si>
  <si>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</si>
  <si>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</si>
  <si>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</si>
  <si>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</si>
  <si>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</si>
  <si>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</si>
  <si>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</si>
  <si>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</si>
  <si>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</si>
  <si>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</si>
  <si>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</si>
  <si>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</si>
  <si>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</si>
  <si>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</si>
  <si>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</si>
  <si>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</si>
  <si>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</si>
  <si>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</si>
  <si>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</si>
  <si>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</si>
  <si>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</si>
  <si>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</si>
  <si>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</si>
  <si>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</si>
  <si>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</si>
  <si>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</si>
  <si>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</si>
  <si>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</si>
  <si>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</si>
  <si>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</si>
  <si>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</si>
  <si>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</si>
  <si>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</si>
  <si>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</si>
  <si>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</si>
  <si>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</si>
  <si>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</si>
  <si>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</si>
  <si>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</si>
  <si>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</si>
  <si>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</si>
  <si>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</si>
  <si>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</si>
  <si>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</si>
  <si>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</si>
  <si>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</si>
  <si>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</si>
  <si>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</si>
  <si>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</si>
  <si>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</si>
  <si>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</si>
  <si>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</si>
  <si>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</si>
  <si>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</si>
  <si>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</si>
  <si>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</si>
  <si>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</si>
  <si>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</si>
  <si>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</si>
  <si>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</si>
  <si>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</si>
  <si>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</si>
  <si>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</si>
  <si>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</si>
  <si>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</si>
  <si>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</si>
  <si>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</si>
  <si>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</si>
  <si>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</si>
  <si>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</si>
  <si>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</si>
  <si>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</si>
  <si>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</si>
  <si>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</si>
  <si>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</si>
  <si>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</si>
  <si>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</si>
  <si>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</si>
  <si>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</si>
  <si>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</si>
  <si>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</si>
  <si>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</si>
  <si>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</si>
  <si>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</si>
  <si>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</si>
  <si>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</si>
  <si>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</si>
  <si>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</si>
  <si>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</si>
  <si>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</si>
  <si>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</si>
  <si>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</si>
  <si>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</si>
  <si>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</si>
  <si>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</si>
  <si>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</si>
  <si>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</si>
  <si>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</si>
  <si>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</si>
  <si>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</si>
  <si>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</si>
  <si>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</si>
  <si>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</si>
  <si>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</si>
  <si>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</si>
  <si>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</si>
  <si>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</si>
  <si>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</si>
  <si>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</si>
  <si>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</si>
  <si>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</si>
  <si>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</si>
  <si>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</si>
  <si>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</si>
  <si>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</si>
  <si>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</si>
  <si>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</si>
  <si>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</si>
  <si>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</si>
  <si>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</si>
  <si>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</si>
  <si>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</si>
  <si>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</si>
  <si>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</si>
  <si>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</si>
  <si>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</si>
  <si>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</si>
  <si>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</si>
  <si>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</si>
  <si>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</si>
  <si>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</si>
  <si>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</si>
  <si>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</si>
  <si>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</si>
  <si>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</si>
  <si>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</si>
  <si>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</si>
  <si>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</si>
  <si>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</si>
  <si>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</si>
  <si>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</si>
  <si>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</si>
  <si>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</si>
  <si>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</si>
  <si>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</si>
  <si>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</si>
  <si>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</si>
  <si>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</si>
  <si>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</si>
  <si>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</si>
  <si>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</si>
  <si>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</si>
  <si>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</si>
  <si>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</si>
  <si>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</si>
  <si>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</si>
  <si>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</si>
  <si>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</si>
  <si>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</si>
  <si>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</si>
  <si>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</si>
  <si>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</si>
  <si>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</si>
  <si>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</si>
  <si>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</si>
  <si>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</si>
  <si>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</si>
  <si>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</si>
  <si>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</si>
  <si>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</si>
  <si>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</si>
  <si>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</si>
  <si>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</si>
  <si>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</si>
  <si>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</si>
  <si>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</si>
  <si>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</si>
  <si>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</si>
  <si>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</si>
  <si>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</si>
  <si>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</si>
  <si>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</si>
  <si>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</si>
  <si>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</si>
  <si>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</si>
  <si>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</si>
  <si>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</si>
  <si>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</si>
  <si>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</si>
  <si>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</si>
  <si>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</si>
  <si>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</si>
  <si>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</si>
  <si>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</si>
  <si>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</si>
  <si>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</si>
  <si>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</si>
  <si>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</si>
  <si>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</si>
  <si>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</si>
  <si>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</si>
  <si>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</si>
  <si>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</si>
  <si>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</si>
  <si>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</si>
  <si>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</si>
  <si>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</si>
  <si>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</si>
  <si>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</si>
  <si>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</si>
  <si>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</si>
  <si>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</si>
  <si>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</si>
  <si>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</si>
  <si>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</si>
  <si>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</si>
  <si>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</si>
  <si>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</si>
  <si>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</si>
  <si>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</si>
  <si>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</si>
  <si>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</si>
  <si>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Note:  Displaced = FY26; Served = FY30. Net = M&amp;O − (Aid + Override + Uplift)</t>
  </si>
  <si>
    <t>Notes:  No receiving site exceeds spare seats + portables; assumptions reflect: r, override, marginal factor, trend flags; h tapers yearly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</si>
</sst>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-546853.79305410013</c:v>
                </c:pt>
                <c:pt idx="1">
                  <c:v>-211562.30813869881</c:v>
                </c:pt>
                <c:pt idx="2">
                  <c:v>138880.26901813177</c:v>
                </c:pt>
                <c:pt idx="3">
                  <c:v>486642.43897538981</c:v>
                </c:pt>
                <c:pt idx="4">
                  <c:v>537913.81244977494</c:v>
                </c:pt>
              </c:numCache>
            </c:numRef>
          </c:val>
          <c:smooth val="0"/>
          <c:extLst>
            <c:ext xmlns:c16="http://schemas.microsoft.com/office/drawing/2014/chart" uri="{C3380CC4-5D6E-409C-BE32-E72D297353CC}">
              <c16:uniqueId val="{00000000-83E4-4697-A3BE-17976D1D28BB}"/>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
  <sheetViews>
    <sheetView tabSelected="1" zoomScale="70" zoomScaleNormal="70" workbookViewId="0">
      <pane xSplit="1" ySplit="4" topLeftCell="B5" activePane="bottomRight" state="frozen"/>
      <selection pane="topRight"/>
      <selection pane="bottomLeft"/>
      <selection pane="bottomRight" activeCell="A19" sqref="A19"/>
    </sheetView>
  </sheetViews>
  <sheetFormatPr defaultRowHeight="14.5"/>
  <cols>
    <col min="1" max="1" width="50.7265625" bestFit="1" customWidth="1"/>
    <col min="2" max="2" width="20.81640625" bestFit="1" customWidth="1"/>
    <col min="3" max="6" width="13.7265625" bestFit="1" customWidth="1"/>
    <col min="7" max="7" width="6.90625" bestFit="1" customWidth="1"/>
    <col min="8" max="8" width="11.81640625" bestFit="1" customWidth="1"/>
    <col min="9" max="9" width="19.81640625" bestFit="1" customWidth="1"/>
    <col min="10" max="10" width="20.6328125" bestFit="1" customWidth="1"/>
  </cols>
  <sheetData>
    <row r="1" spans="1:13">
      <c r="A1" t="s">
        <v>0</v>
      </c>
      <c r="B1" s="32" t="s">
        <v>1</v>
      </c>
      <c r="M1" s="4" t="s">
        <v>2</v>
      </c>
    </row>
    <row r="2" spans="1:13">
      <c r="M2" s="32" t="str">
        <f>"Change in ops net $ by scenario compared to "&amp;B1&amp;" (Positive = savings)"</f>
        <v>Change in ops net $ by scenario compared to H_StatusQuo_Decline (Positive = savings)</v>
      </c>
    </row>
    <row r="4" spans="1:13">
      <c r="A4" s="43" t="s">
        <v>3</v>
      </c>
      <c r="B4" s="48" t="s">
        <v>4</v>
      </c>
      <c r="C4" s="43" t="s">
        <v>5</v>
      </c>
      <c r="D4" s="43" t="s">
        <v>6</v>
      </c>
      <c r="E4" s="43" t="s">
        <v>7</v>
      </c>
      <c r="F4" s="43" t="s">
        <v>8</v>
      </c>
      <c r="G4" s="43" t="s">
        <v>9</v>
      </c>
      <c r="H4" s="43" t="s">
        <v>10</v>
      </c>
      <c r="I4" s="43" t="s">
        <v>11</v>
      </c>
      <c r="J4" s="43" t="s">
        <v>12</v>
      </c>
      <c r="K4" s="44"/>
      <c r="L4" s="44"/>
      <c r="M4" s="44"/>
    </row>
    <row r="5" spans="1:13">
      <c r="A5" t="s">
        <v>13</v>
      </c>
      <c r="B5" s="45">
        <f>SUMIFS(Capital_Summary!$H$4:$H$83, Capital_Summary!$A$4:$A$83, A5, Capital_Summary!$B$4:$B$83, "FY2026")</f>
        <v>0</v>
      </c>
      <c r="C5" s="45">
        <f>SUMIFS(MultiYear_ProForma!$AF$2:$AF$66, MultiYear_ProForma!$B$2:$B$66, A5, MultiYear_ProForma!$C$2:$C$66, "FY2026")</f>
        <v>-459335.0305249989</v>
      </c>
      <c r="D5" s="45">
        <f>SUMIFS(MultiYear_ProForma!$AF$2:$AF$66, MultiYear_ProForma!$B$2:$B$66, A5, MultiYear_ProForma!$C$2:$C$66, "FY2028")</f>
        <v>-482588.86644532811</v>
      </c>
      <c r="E5" s="45">
        <f>SUMIFS(MultiYear_ProForma!$AF$2:$AF$66, MultiYear_ProForma!$B$2:$B$66, A5, MultiYear_ProForma!$C$2:$C$66, "FY2030")</f>
        <v>-507019.92780912202</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-482883.16383480688</v>
      </c>
      <c r="G5" s="11">
        <f>SUMIFS(MultiYear_ProForma!$N$2:$N$66, MultiYear_ProForma!$B$2:$B$66, A5, MultiYear_ProForma!$C$2:$C$66, "FY2026")</f>
        <v>0</v>
      </c>
      <c r="H5" s="11">
        <f>SUMIFS(MultiYear_ProForma!$AC$2:$AC$66, MultiYear_ProForma!$B$2:$B$66, A5, MultiYear_ProForma!$C$2:$C$66, "FY2030")</f>
        <v>553</v>
      </c>
      <c r="I5" s="45">
        <f t="shared" ref="I5:I17" si="0">E5-(VLOOKUP($B$1,$A$5:$F$17,5, 0))</f>
        <v>217760.01096887514</v>
      </c>
      <c r="J5" s="45">
        <f t="shared" ref="J5:J17" si="1">F5-(VLOOKUP($B$1,$A$5:$H$17,6, 0))</f>
        <v>107303.42830778088</v>
      </c>
    </row>
    <row r="6" spans="1:13">
      <c r="A6" t="s">
        <v>14</v>
      </c>
      <c r="B6" s="45">
        <f>SUMIFS(Capital_Summary!$H$4:$H$83, Capital_Summary!$A$4:$A$83, A6, Capital_Summary!$B$4:$B$83, "FY2026")</f>
        <v>0</v>
      </c>
      <c r="C6" s="45">
        <f>SUMIFS(MultiYear_ProForma!$AF$2:$AF$66, MultiYear_ProForma!$B$2:$B$66, A6, MultiYear_ProForma!$C$2:$C$66, "FY2030")</f>
        <v>703305.38769673835</v>
      </c>
      <c r="D6" s="45">
        <f>SUMIFS(MultiYear_ProForma!$AF$2:$AF$66, MultiYear_ProForma!$B$2:$B$66, A6, MultiYear_ProForma!$C$2:$C$66, "FY2028")</f>
        <v>669416.19292967301</v>
      </c>
      <c r="E6" s="45">
        <f>SUMIFS(MultiYear_ProForma!$AF$2:$AF$66, MultiYear_ProForma!$B$2:$B$66, A6, MultiYear_ProForma!$C$2:$C$66, "FY2030")</f>
        <v>703305.38769673835</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448697.93164657371</v>
      </c>
      <c r="G6" s="11">
        <f>SUMIFS(MultiYear_ProForma!$N$2:$N$66, MultiYear_ProForma!$B$2:$B$66, A6, MultiYear_ProForma!$C$2:$C$66, "FY2026")</f>
        <v>0</v>
      </c>
      <c r="H6" s="11">
        <f>SUMIFS(MultiYear_ProForma!$AC$2:$AC$66, MultiYear_ProForma!$B$2:$B$66, A6, MultiYear_ProForma!$C$2:$C$66, "FY2030")</f>
        <v>653</v>
      </c>
      <c r="I6" s="45">
        <f t="shared" si="0"/>
        <v>1428085.3264747355</v>
      </c>
      <c r="J6" s="45">
        <f t="shared" si="1"/>
        <v>1038884.5237891615</v>
      </c>
    </row>
    <row r="7" spans="1:13">
      <c r="A7" t="s">
        <v>15</v>
      </c>
      <c r="B7" s="45">
        <f>SUMIFS(Capital_Summary!$H$4:$H$83, Capital_Summary!$A$4:$A$83, A7, Capital_Summary!$B$4:$B$83, "FY2026")</f>
        <v>0</v>
      </c>
      <c r="C7" s="45">
        <f>SUMIFS(MultiYear_ProForma!$AF$2:$AF$66, MultiYear_ProForma!$B$2:$B$66, A7, MultiYear_ProForma!$C$2:$C$66, "FY2030")</f>
        <v>1063311.3338245647</v>
      </c>
      <c r="D7" s="45">
        <f>SUMIFS(MultiYear_ProForma!$AF$2:$AF$66, MultiYear_ProForma!$B$2:$B$66, A7, MultiYear_ProForma!$C$2:$C$66, "FY2028")</f>
        <v>1012075.0351691274</v>
      </c>
      <c r="E7" s="45">
        <f>SUMIFS(MultiYear_ProForma!$AF$2:$AF$66, MultiYear_ProForma!$B$2:$B$66, A7, MultiYear_ProForma!$C$2:$C$66, "FY2030")</f>
        <v>1063311.3338245647</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791565.73768474942</v>
      </c>
      <c r="G7" s="11">
        <f>SUMIFS(MultiYear_ProForma!$N$2:$N$66, MultiYear_ProForma!$B$2:$B$66, A7, MultiYear_ProForma!$C$2:$C$66, "FY2026")</f>
        <v>0</v>
      </c>
      <c r="H7" s="11">
        <f>SUMIFS(MultiYear_ProForma!$AC$2:$AC$66, MultiYear_ProForma!$B$2:$B$66, A7, MultiYear_ProForma!$C$2:$C$66, "FY2030")</f>
        <v>653</v>
      </c>
      <c r="I7" s="45">
        <f t="shared" si="0"/>
        <v>1788091.2726025619</v>
      </c>
      <c r="J7" s="45">
        <f t="shared" si="1"/>
        <v>1381752.3298273371</v>
      </c>
    </row>
    <row r="8" spans="1:13">
      <c r="A8" t="s">
        <v>16</v>
      </c>
      <c r="B8" s="45">
        <f>SUMIFS(Capital_Summary!$H$4:$H$83, Capital_Summary!$A$4:$A$83, A8, Capital_Summary!$B$4:$B$83, "FY2026")</f>
        <v>1200000</v>
      </c>
      <c r="C8" s="45">
        <f>SUMIFS(MultiYear_ProForma!$AF$2:$AF$66, MultiYear_ProForma!$B$2:$B$66, A8, MultiYear_ProForma!$C$2:$C$66, "FY2030")</f>
        <v>1913630.7032025969</v>
      </c>
      <c r="D8" s="45">
        <f>SUMIFS(MultiYear_ProForma!$AF$2:$AF$66, MultiYear_ProForma!$B$2:$B$66, A8, MultiYear_ProForma!$C$2:$C$66, "FY2028")</f>
        <v>1821421.2523046723</v>
      </c>
      <c r="E8" s="45">
        <f>SUMIFS(MultiYear_ProForma!$AF$2:$AF$66, MultiYear_ProForma!$B$2:$B$66, A8, MultiYear_ProForma!$C$2:$C$66, "FY2030")</f>
        <v>1913630.7032025969</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1380279.027127953</v>
      </c>
      <c r="G8" s="11">
        <f>SUMIFS(MultiYear_ProForma!$N$2:$N$66, MultiYear_ProForma!$B$2:$B$66, A8, MultiYear_ProForma!$C$2:$C$66, "FY2026")</f>
        <v>0</v>
      </c>
      <c r="H8" s="11">
        <f>SUMIFS(MultiYear_ProForma!$AC$2:$AC$66, MultiYear_ProForma!$B$2:$B$66, A8, MultiYear_ProForma!$C$2:$C$66, "FY2030")</f>
        <v>753</v>
      </c>
      <c r="I8" s="45">
        <f t="shared" si="0"/>
        <v>2638410.641980594</v>
      </c>
      <c r="J8" s="45">
        <f t="shared" si="1"/>
        <v>1970465.6192705408</v>
      </c>
    </row>
    <row r="9" spans="1:13">
      <c r="A9" t="s">
        <v>17</v>
      </c>
      <c r="B9" s="45">
        <f>SUMIFS(Capital_Summary!$H$4:$H$83, Capital_Summary!$A$4:$A$83, A9, Capital_Summary!$B$4:$B$83, "FY2026")</f>
        <v>0</v>
      </c>
      <c r="C9" s="45">
        <f>SUMIFS(MultiYear_ProForma!$AF$2:$AF$66, MultiYear_ProForma!$B$2:$B$66, A9, MultiYear_ProForma!$C$2:$C$66, "FY2030")</f>
        <v>-507019.92780912202</v>
      </c>
      <c r="D9" s="45">
        <f>SUMIFS(MultiYear_ProForma!$AF$2:$AF$66, MultiYear_ProForma!$B$2:$B$66, A9, MultiYear_ProForma!$C$2:$C$66, "FY2028")</f>
        <v>-482588.86644532811</v>
      </c>
      <c r="E9" s="45">
        <f>SUMIFS(MultiYear_ProForma!$AF$2:$AF$66, MultiYear_ProForma!$B$2:$B$66, A9, MultiYear_ProForma!$C$2:$C$66, "FY2030")</f>
        <v>-507019.92780912202</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-482883.16383480688</v>
      </c>
      <c r="G9" s="11">
        <f>SUMIFS(MultiYear_ProForma!$N$2:$N$66, MultiYear_ProForma!$B$2:$B$66, A9, MultiYear_ProForma!$C$2:$C$66, "FY2026")</f>
        <v>0</v>
      </c>
      <c r="H9" s="11">
        <f>SUMIFS(MultiYear_ProForma!$AC$2:$AC$66, MultiYear_ProForma!$B$2:$B$66, A9, MultiYear_ProForma!$C$2:$C$66, "FY2030")</f>
        <v>553</v>
      </c>
      <c r="I9" s="45">
        <f t="shared" si="0"/>
        <v>217760.01096887514</v>
      </c>
      <c r="J9" s="45">
        <f t="shared" si="1"/>
        <v>107303.42830778088</v>
      </c>
    </row>
    <row r="10" spans="1:13">
      <c r="A10" t="s">
        <v>18</v>
      </c>
      <c r="B10" s="45">
        <f>SUMIFS(Capital_Summary!$H$4:$H$83, Capital_Summary!$A$4:$A$83, A10, Capital_Summary!$B$4:$B$83, "FY2026")</f>
        <v>0</v>
      </c>
      <c r="C10" s="45">
        <f>SUMIFS(MultiYear_ProForma!$AF$2:$AF$66, MultiYear_ProForma!$B$2:$B$66, A10, MultiYear_ProForma!$C$2:$C$66, "FY2030")</f>
        <v>1308468.0454496667</v>
      </c>
      <c r="D10" s="45">
        <f>SUMIFS(MultiYear_ProForma!$AF$2:$AF$66, MultiYear_ProForma!$B$2:$B$66, A10, MultiYear_ProForma!$C$2:$C$66, "FY2028")</f>
        <v>1245418.7226171717</v>
      </c>
      <c r="E10" s="45">
        <f>SUMIFS(MultiYear_ProForma!$AF$2:$AF$66, MultiYear_ProForma!$B$2:$B$66, A10, MultiYear_ProForma!$C$2:$C$66, "FY2030")</f>
        <v>1308468.0454496667</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914488.47938726307</v>
      </c>
      <c r="G10" s="11">
        <f>SUMIFS(MultiYear_ProForma!$N$2:$N$66, MultiYear_ProForma!$B$2:$B$66, A10, MultiYear_ProForma!$C$2:$C$66, "FY2026")</f>
        <v>0</v>
      </c>
      <c r="H10" s="11">
        <f>SUMIFS(MultiYear_ProForma!$AC$2:$AC$66, MultiYear_ProForma!$B$2:$B$66, A10, MultiYear_ProForma!$C$2:$C$66, "FY2030")</f>
        <v>703</v>
      </c>
      <c r="I10" s="45">
        <f t="shared" si="0"/>
        <v>2033247.9842276638</v>
      </c>
      <c r="J10" s="45">
        <f t="shared" si="1"/>
        <v>1504675.0715298508</v>
      </c>
    </row>
    <row r="11" spans="1:13">
      <c r="A11" t="s">
        <v>19</v>
      </c>
      <c r="B11" s="45">
        <f>SUMIFS(Capital_Summary!$H$4:$H$83, Capital_Summary!$A$4:$A$83, A11, Capital_Summary!$B$4:$B$83, "FY2026")</f>
        <v>2400000</v>
      </c>
      <c r="C11" s="45">
        <f>SUMIFS(MultiYear_ProForma!$AF$2:$AF$66, MultiYear_ProForma!$B$2:$B$66, A11, MultiYear_ProForma!$C$2:$C$66, "FY2030")</f>
        <v>537913.81244977494</v>
      </c>
      <c r="D11" s="45">
        <f>SUMIFS(MultiYear_ProForma!$AF$2:$AF$66, MultiYear_ProForma!$B$2:$B$66, A11, MultiYear_ProForma!$C$2:$C$66, "FY2028")</f>
        <v>138880.26901813177</v>
      </c>
      <c r="E11" s="45">
        <f>SUMIFS(MultiYear_ProForma!$AF$2:$AF$66, MultiYear_ProForma!$B$2:$B$66, A11, MultiYear_ProForma!$C$2:$C$66, "FY2030")</f>
        <v>537913.81244977494</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81004.083850099516</v>
      </c>
      <c r="G11" s="11">
        <f>SUMIFS(MultiYear_ProForma!$N$2:$N$66, MultiYear_ProForma!$B$2:$B$66, A11, MultiYear_ProForma!$C$2:$C$66, "FY2026")</f>
        <v>553</v>
      </c>
      <c r="H11" s="11">
        <f>SUMIFS(MultiYear_ProForma!$AC$2:$AC$66, MultiYear_ProForma!$B$2:$B$66, A11, MultiYear_ProForma!$C$2:$C$66, "FY2030")</f>
        <v>184.02500000000001</v>
      </c>
      <c r="I11" s="45">
        <f t="shared" si="0"/>
        <v>1262693.7512277721</v>
      </c>
      <c r="J11" s="45">
        <f t="shared" si="1"/>
        <v>671190.67599268723</v>
      </c>
    </row>
    <row r="12" spans="1:13">
      <c r="A12" t="s">
        <v>20</v>
      </c>
      <c r="B12" s="45">
        <f>SUMIFS(Capital_Summary!$H$4:$H$83, Capital_Summary!$A$4:$A$83, A12, Capital_Summary!$B$4:$B$83, "FY2026")</f>
        <v>0</v>
      </c>
      <c r="C12" s="45">
        <f>SUMIFS(MultiYear_ProForma!$AF$2:$AF$66, MultiYear_ProForma!$B$2:$B$66, A12, MultiYear_ProForma!$C$2:$C$66, "FY2030")</f>
        <v>-124497.12842542538</v>
      </c>
      <c r="D12" s="45">
        <f>SUMIFS(MultiYear_ProForma!$AF$2:$AF$66, MultiYear_ProForma!$B$2:$B$66, A12, MultiYear_ProForma!$C$2:$C$66, "FY2028")</f>
        <v>-333988.93327231426</v>
      </c>
      <c r="E12" s="45">
        <f>SUMIFS(MultiYear_ProForma!$AF$2:$AF$66, MultiYear_ProForma!$B$2:$B$66, A12, MultiYear_ProForma!$C$2:$C$66, "FY2030")</f>
        <v>-124497.12842542538</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-396825.46292493248</v>
      </c>
      <c r="G12" s="11">
        <f>SUMIFS(MultiYear_ProForma!$N$2:$N$66, MultiYear_ProForma!$B$2:$B$66, A12, MultiYear_ProForma!$C$2:$C$66, "FY2026")</f>
        <v>553</v>
      </c>
      <c r="H12" s="11">
        <f>SUMIFS(MultiYear_ProForma!$AC$2:$AC$66, MultiYear_ProForma!$B$2:$B$66, A12, MultiYear_ProForma!$C$2:$C$66, "FY2030")</f>
        <v>184.02500000000001</v>
      </c>
      <c r="I12" s="45">
        <f t="shared" si="0"/>
        <v>600282.81035257177</v>
      </c>
      <c r="J12" s="45">
        <f t="shared" si="1"/>
        <v>193361.12921765528</v>
      </c>
    </row>
    <row r="13" spans="1:13">
      <c r="A13" t="s">
        <v>21</v>
      </c>
      <c r="B13" s="45">
        <f>SUMIFS(Capital_Summary!$H$4:$H$83, Capital_Summary!$A$4:$A$83, A13, Capital_Summary!$B$4:$B$83, "FY2026")</f>
        <v>1200000</v>
      </c>
      <c r="C13" s="45">
        <f>SUMIFS(MultiYear_ProForma!$AF$2:$AF$66, MultiYear_ProForma!$B$2:$B$66, A13, MultiYear_ProForma!$C$2:$C$66, "FY2030")</f>
        <v>-394968.10483069019</v>
      </c>
      <c r="D13" s="45">
        <f>SUMIFS(MultiYear_ProForma!$AF$2:$AF$66, MultiYear_ProForma!$B$2:$B$66, A13, MultiYear_ProForma!$C$2:$C$66, "FY2028")</f>
        <v>-524463.49920140998</v>
      </c>
      <c r="E13" s="45">
        <f>SUMIFS(MultiYear_ProForma!$AF$2:$AF$66, MultiYear_ProForma!$B$2:$B$66, A13, MultiYear_ProForma!$C$2:$C$66, "FY2030")</f>
        <v>-394968.10483069019</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-548584.95091867936</v>
      </c>
      <c r="G13" s="11">
        <f>SUMIFS(MultiYear_ProForma!$N$2:$N$66, MultiYear_ProForma!$B$2:$B$66, A13, MultiYear_ProForma!$C$2:$C$66, "FY2026")</f>
        <v>257</v>
      </c>
      <c r="H13" s="11">
        <f>SUMIFS(MultiYear_ProForma!$AC$2:$AC$66, MultiYear_ProForma!$B$2:$B$66, A13, MultiYear_ProForma!$C$2:$C$66, "FY2030")</f>
        <v>302.42500000000001</v>
      </c>
      <c r="I13" s="45">
        <f t="shared" si="0"/>
        <v>329811.83394730696</v>
      </c>
      <c r="J13" s="45">
        <f t="shared" si="1"/>
        <v>41601.641223908402</v>
      </c>
    </row>
    <row r="14" spans="1:13">
      <c r="A14" t="s">
        <v>22</v>
      </c>
      <c r="B14" s="45">
        <f>SUMIFS(Capital_Summary!$H$4:$H$83, Capital_Summary!$A$4:$A$83, A14, Capital_Summary!$B$4:$B$83, "FY2026")</f>
        <v>0</v>
      </c>
      <c r="C14" s="45">
        <f>SUMIFS(MultiYear_ProForma!$AF$2:$AF$66, MultiYear_ProForma!$B$2:$B$66, A14, MultiYear_ProForma!$C$2:$C$66, "FY2030")</f>
        <v>-97652.846363342367</v>
      </c>
      <c r="D14" s="45">
        <f>SUMIFS(MultiYear_ProForma!$AF$2:$AF$66, MultiYear_ProForma!$B$2:$B$66, A14, MultiYear_ProForma!$C$2:$C$66, "FY2028")</f>
        <v>-168221.1593667944</v>
      </c>
      <c r="E14" s="45">
        <f>SUMIFS(MultiYear_ProForma!$AF$2:$AF$66, MultiYear_ProForma!$B$2:$B$66, A14, MultiYear_ProForma!$C$2:$C$66, "FY2030")</f>
        <v>-97652.846363342367</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-304859.85258338443</v>
      </c>
      <c r="G14" s="11">
        <f>SUMIFS(MultiYear_ProForma!$N$2:$N$66, MultiYear_ProForma!$B$2:$B$66, A14, MultiYear_ProForma!$C$2:$C$66, "FY2026")</f>
        <v>257</v>
      </c>
      <c r="H14" s="11">
        <f>SUMIFS(MultiYear_ProForma!$AC$2:$AC$66, MultiYear_ProForma!$B$2:$B$66, A14, MultiYear_ProForma!$C$2:$C$66, "FY2030")</f>
        <v>352.42500000000001</v>
      </c>
      <c r="I14" s="45">
        <f t="shared" si="0"/>
        <v>627127.09241465479</v>
      </c>
      <c r="J14" s="45">
        <f t="shared" si="1"/>
        <v>285326.73955920333</v>
      </c>
    </row>
    <row r="15" spans="1:13">
      <c r="A15" t="s">
        <v>23</v>
      </c>
      <c r="B15" s="45">
        <f>SUMIFS(Capital_Summary!$H$4:$H$83, Capital_Summary!$A$4:$A$83, A15, Capital_Summary!$B$4:$B$83, "FY2026")</f>
        <v>1200000</v>
      </c>
      <c r="C15" s="45">
        <f>SUMIFS(MultiYear_ProForma!$AF$2:$AF$66, MultiYear_ProForma!$B$2:$B$66, A15, MultiYear_ProForma!$C$2:$C$66, "FY2030")</f>
        <v>425861.98947134428</v>
      </c>
      <c r="D15" s="45">
        <f>SUMIFS(MultiYear_ProForma!$AF$2:$AF$66, MultiYear_ProForma!$B$2:$B$66, A15, MultiYear_ProForma!$C$2:$C$66, "FY2028")</f>
        <v>180754.90177421458</v>
      </c>
      <c r="E15" s="45">
        <f>SUMIFS(MultiYear_ProForma!$AF$2:$AF$66, MultiYear_ProForma!$B$2:$B$66, A15, MultiYear_ProForma!$C$2:$C$66, "FY2030")</f>
        <v>425861.98947134428</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146705.87093397192</v>
      </c>
      <c r="G15" s="11">
        <f>SUMIFS(MultiYear_ProForma!$N$2:$N$66, MultiYear_ProForma!$B$2:$B$66, A15, MultiYear_ProForma!$C$2:$C$66, "FY2026")</f>
        <v>296</v>
      </c>
      <c r="H15" s="11">
        <f>SUMIFS(MultiYear_ProForma!$AC$2:$AC$66, MultiYear_ProForma!$B$2:$B$66, A15, MultiYear_ProForma!$C$2:$C$66, "FY2030")</f>
        <v>434.6</v>
      </c>
      <c r="I15" s="45">
        <f t="shared" si="0"/>
        <v>1150641.9282493414</v>
      </c>
      <c r="J15" s="45">
        <f t="shared" si="1"/>
        <v>736892.46307655971</v>
      </c>
    </row>
    <row r="16" spans="1:13">
      <c r="A16" t="s">
        <v>24</v>
      </c>
      <c r="B16" s="45">
        <f>SUMIFS(Capital_Summary!$H$4:$H$83, Capital_Summary!$A$4:$A$83, A16, Capital_Summary!$B$4:$B$83, "FY2026")</f>
        <v>0</v>
      </c>
      <c r="C16" s="45">
        <f>SUMIFS(MultiYear_ProForma!$AF$2:$AF$66, MultiYear_ProForma!$B$2:$B$66, A16, MultiYear_ProForma!$C$2:$C$66, "FY2030")</f>
        <v>1281623.7633875841</v>
      </c>
      <c r="D16" s="45">
        <f>SUMIFS(MultiYear_ProForma!$AF$2:$AF$66, MultiYear_ProForma!$B$2:$B$66, A16, MultiYear_ProForma!$C$2:$C$66, "FY2028")</f>
        <v>1079650.9487116523</v>
      </c>
      <c r="E16" s="45">
        <f>SUMIFS(MultiYear_ProForma!$AF$2:$AF$66, MultiYear_ProForma!$B$2:$B$66, A16, MultiYear_ProForma!$C$2:$C$66, "FY2030")</f>
        <v>1281623.7633875841</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822528.59352388117</v>
      </c>
      <c r="G16" s="11">
        <f>SUMIFS(MultiYear_ProForma!$N$2:$N$66, MultiYear_ProForma!$B$2:$B$66, A16, MultiYear_ProForma!$C$2:$C$66, "FY2026")</f>
        <v>296.33333333333331</v>
      </c>
      <c r="H16" s="11">
        <f>SUMIFS(MultiYear_ProForma!$AC$2:$AC$66, MultiYear_ProForma!$B$2:$B$66, A16, MultiYear_ProForma!$C$2:$C$66, "FY2030")</f>
        <v>534.6</v>
      </c>
      <c r="I16" s="45">
        <f t="shared" si="0"/>
        <v>2006403.7021655813</v>
      </c>
      <c r="J16" s="45">
        <f t="shared" si="1"/>
        <v>1412715.1856664689</v>
      </c>
    </row>
    <row r="17" spans="1:10">
      <c r="A17" t="s">
        <v>1</v>
      </c>
      <c r="B17" s="45">
        <f>SUMIFS(Capital_Summary!$H$4:$H$83, Capital_Summary!$A$4:$A$83, A17, Capital_Summary!$B$4:$B$83, "FY2026")</f>
        <v>0</v>
      </c>
      <c r="C17" s="45">
        <f>SUMIFS(MultiYear_ProForma!$AF$2:$AF$66, MultiYear_ProForma!$B$2:$B$66, A17, MultiYear_ProForma!$C$2:$C$66, "FY2030")</f>
        <v>-724779.93877799716</v>
      </c>
      <c r="D17" s="45">
        <f>SUMIFS(MultiYear_ProForma!$AF$2:$AF$66, MultiYear_ProForma!$B$2:$B$66, A17, MultiYear_ProForma!$C$2:$C$66, "FY2028")</f>
        <v>-588315.81673877127</v>
      </c>
      <c r="E17" s="45">
        <f>SUMIFS(MultiYear_ProForma!$AF$2:$AF$66, MultiYear_ProForma!$B$2:$B$66, A17, MultiYear_ProForma!$C$2:$C$66, "FY2030")</f>
        <v>-724779.93877799716</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-590186.59214258776</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row r="19" spans="1:10">
      <c r="A19" s="4" t="s">
        <v>727</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
  <sheetViews>
    <sheetView zoomScale="90" zoomScaleNormal="90" workbookViewId="0">
      <selection activeCell="C18" sqref="C18"/>
    </sheetView>
  </sheetViews>
  <sheetFormatPr defaultRowHeight="14.5"/>
  <cols>
    <col min="1" max="1" width="35.26953125" customWidth="1"/>
    <col min="2" max="2" width="23" bestFit="1" customWidth="1"/>
    <col min="3" max="3" width="26.1796875" bestFit="1" customWidth="1"/>
  </cols>
  <sheetData>
    <row r="1" spans="1:3" ht="18.5" customHeight="1">
      <c r="A1" s="46" t="s">
        <v>25</v>
      </c>
    </row>
    <row r="3" spans="1:3">
      <c r="A3" s="4" t="s">
        <v>26</v>
      </c>
      <c r="B3" s="32" t="s">
        <v>19</v>
      </c>
    </row>
    <row r="4" spans="1:3">
      <c r="A4" s="4" t="s">
        <v>27</v>
      </c>
      <c r="B4" s="32" t="s">
        <v>1</v>
      </c>
    </row>
    <row r="6" spans="1:3">
      <c r="A6" s="44" t="s">
        <v>28</v>
      </c>
      <c r="B6" s="41" t="s">
        <v>29</v>
      </c>
      <c r="C6" s="41" t="s">
        <v>30</v>
      </c>
    </row>
    <row r="7" spans="1:3">
      <c r="A7" t="s">
        <v>31</v>
      </c>
      <c r="B7" s="45">
        <f>SUMIFS(MultiYear_ProForma!$AF$2:$AF$66, MultiYear_ProForma!$B$2:$B$66, $B$3, MultiYear_ProForma!$C$2:$C$66, "FY2026")</f>
        <v>-546853.79305410013</v>
      </c>
      <c r="C7" s="45">
        <f>SUMIFS(MultiYear_ProForma!$AF$2:$AF$66, MultiYear_ProForma!$B$2:$B$66, $B$4, MultiYear_ProForma!$C$2:$C$66, "FY2026")</f>
        <v>-459335.0305249989</v>
      </c>
    </row>
    <row r="8" spans="1:3">
      <c r="A8" t="s">
        <v>32</v>
      </c>
      <c r="B8" s="45">
        <f>SUMIFS(MultiYear_ProForma!$AF$2:$AF$66, MultiYear_ProForma!$B$2:$B$66, $B$3, MultiYear_ProForma!$C$2:$C$66, "FY2027")</f>
        <v>-211562.30813869881</v>
      </c>
      <c r="C8" s="45">
        <f>SUMIFS(MultiYear_ProForma!$AF$2:$AF$66, MultiYear_ProForma!$B$2:$B$66, $B$4, MultiYear_ProForma!$C$2:$C$66, "FY2027")</f>
        <v>-522913.47911071405</v>
      </c>
    </row>
    <row r="9" spans="1:3">
      <c r="A9" t="s">
        <v>33</v>
      </c>
      <c r="B9" s="45">
        <f>SUMIFS(MultiYear_ProForma!$AF$2:$AF$66, MultiYear_ProForma!$B$2:$B$66, $B$3, MultiYear_ProForma!$C$2:$C$66, "FY2028")</f>
        <v>138880.26901813177</v>
      </c>
      <c r="C9" s="45">
        <f>SUMIFS(MultiYear_ProForma!$AF$2:$AF$66, MultiYear_ProForma!$B$2:$B$66, $B$4, MultiYear_ProForma!$C$2:$C$66, "FY2028")</f>
        <v>-588315.81673877127</v>
      </c>
    </row>
    <row r="10" spans="1:3">
      <c r="A10" t="s">
        <v>34</v>
      </c>
      <c r="B10" s="45">
        <f>SUMIFS(MultiYear_ProForma!$AF$2:$AF$66, MultiYear_ProForma!$B$2:$B$66, $B$3, MultiYear_ProForma!$C$2:$C$66, "FY2029")</f>
        <v>486642.43897538981</v>
      </c>
      <c r="C10" s="45">
        <f>SUMIFS(MultiYear_ProForma!$AF$2:$AF$66, MultiYear_ProForma!$B$2:$B$66, $B$4, MultiYear_ProForma!$C$2:$C$66, "FY2029")</f>
        <v>-655588.69556045718</v>
      </c>
    </row>
    <row r="11" spans="1:3">
      <c r="A11" t="s">
        <v>35</v>
      </c>
      <c r="B11" s="45">
        <f>SUMIFS(MultiYear_ProForma!$AF$2:$AF$66, MultiYear_ProForma!$B$2:$B$66, $B$3, MultiYear_ProForma!$C$2:$C$66, "FY2030")</f>
        <v>537913.81244977494</v>
      </c>
      <c r="C11" s="45">
        <f>SUMIFS(MultiYear_ProForma!$AF$2:$AF$66, MultiYear_ProForma!$B$2:$B$66, $B$4, MultiYear_ProForma!$C$2:$C$66, "FY2030")</f>
        <v>-724779.93877799716</v>
      </c>
    </row>
    <row r="16" spans="1:3">
      <c r="A16" s="4" t="s">
        <v>728</v>
      </c>
    </row>
    <row r="17" spans="1:2">
      <c r="A17" s="4"/>
    </row>
    <row r="18" spans="1:2">
      <c r="A18" s="41" t="s">
        <v>36</v>
      </c>
      <c r="B18" s="45">
        <f>SUMIFS(MultiYear_ProForma!$AF$2:$AF$66, MultiYear_ProForma!$B$2:$B$66, $B$3, MultiYear_ProForma!$C$2:$C$66, "FY2030")</f>
        <v>537913.81244977494</v>
      </c>
    </row>
    <row r="19" spans="1:2">
      <c r="A19" s="41" t="s">
        <v>37</v>
      </c>
      <c r="B19" s="45">
        <f>SUMIFS(MultiYear_ProForma!$AF$2:$AF$66, MultiYear_ProForma!$B$2:$B$66, $B$4, MultiYear_ProForma!$C$2:$C$66, "FY2030")</f>
        <v>-724779.93877799716</v>
      </c>
    </row>
    <row r="20" spans="1:2">
      <c r="A20" s="41" t="s">
        <v>38</v>
      </c>
      <c r="B20" s="45">
        <f>B19-B18</f>
        <v>-1262693.7512277721</v>
      </c>
    </row>
    <row r="21" spans="1:2">
      <c r="A21" s="41"/>
      <c r="B21" s="45"/>
    </row>
    <row r="22" spans="1:2">
      <c r="A22" s="41" t="s">
        <v>39</v>
      </c>
      <c r="B22"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81004.083850099516</v>
      </c>
    </row>
    <row r="23" spans="1:2">
      <c r="A23" s="41" t="s">
        <v>40</v>
      </c>
      <c r="B23"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-590186.59214258776</v>
      </c>
    </row>
    <row r="24" spans="1:2">
      <c r="A24" s="41" t="s">
        <v>41</v>
      </c>
      <c r="B24" s="45">
        <f>B23-B22</f>
        <v>-671190.67599268723</v>
      </c>
    </row>
    <row r="26" spans="1:2">
      <c r="A26" s="41" t="s">
        <v>42</v>
      </c>
      <c r="B26" s="11">
        <f>SUMIFS(MultiYear_ProForma!$N$2:$N$66, MultiYear_ProForma!$B$2:$B$66, $B$3, MultiYear_ProForma!$C$2:$C$66, "FY2026")</f>
        <v>553</v>
      </c>
    </row>
    <row r="27" spans="1:2">
      <c r="A27" s="41" t="s">
        <v>43</v>
      </c>
      <c r="B27" s="11">
        <f>SUMIFS(MultiYear_ProForma!$N$2:$N$66, MultiYear_ProForma!$B$2:$B$66, $B$4, MultiYear_ProForma!$C$2:$C$66, "FY2026")</f>
        <v>0</v>
      </c>
    </row>
    <row r="28" spans="1:2">
      <c r="A28" s="41"/>
      <c r="B28" s="11"/>
    </row>
    <row r="29" spans="1:2">
      <c r="A29" s="41" t="s">
        <v>44</v>
      </c>
      <c r="B29" s="11">
        <f>SUMIFS(MultiYear_ProForma!$AC$2:$AC$66, MultiYear_ProForma!$B$2:$B$66, $B$3, MultiYear_ProForma!$C$2:$C$66, "FY2030")</f>
        <v>184.02500000000001</v>
      </c>
    </row>
    <row r="30" spans="1:2">
      <c r="A30" s="41" t="s">
        <v>45</v>
      </c>
      <c r="B30" s="11">
        <f>SUMIFS(MultiYear_ProForma!$AC$2:$AC$66, MultiYear_ProForma!$B$2:$B$66, $B$4, MultiYear_ProForma!$C$2:$C$66, "FY2030")</f>
        <v>510.06959247999993</v>
      </c>
    </row>
    <row r="32" spans="1:2">
      <c r="A32" s="41" t="s">
        <v>46</v>
      </c>
      <c r="B32" s="45">
        <f>SUMIFS(Capital_Summary!$H$4:$H$83, Capital_Summary!$A$4:$A$83, B3, Capital_Summary!$B$4:$B$83, "FY2026")</f>
        <v>2400000</v>
      </c>
    </row>
    <row r="33" spans="1:2">
      <c r="A33" s="41" t="s">
        <v>47</v>
      </c>
      <c r="B33" s="45">
        <f>SUMIFS(Capital_Summary!$H$4:$H$83, Capital_Summary!$A$4:$A$83, B4, Capital_Summary!$B$4:$B$83, "FY2026")</f>
        <v>0</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A9" sqref="A9"/>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48</v>
      </c>
    </row>
    <row r="2" spans="1:12">
      <c r="D2" s="42" t="s">
        <v>49</v>
      </c>
      <c r="K2" s="42" t="s">
        <v>50</v>
      </c>
    </row>
    <row r="3" spans="1:12">
      <c r="D3" s="42" t="s">
        <v>51</v>
      </c>
      <c r="E3" s="42" t="s">
        <v>52</v>
      </c>
      <c r="F3" s="42" t="s">
        <v>11</v>
      </c>
      <c r="G3" s="42" t="s">
        <v>12</v>
      </c>
      <c r="H3" s="42" t="s">
        <v>53</v>
      </c>
      <c r="I3" s="42" t="s">
        <v>54</v>
      </c>
      <c r="K3" s="42" t="s">
        <v>55</v>
      </c>
      <c r="L3" s="42" t="s">
        <v>56</v>
      </c>
    </row>
    <row r="4" spans="1:12">
      <c r="A4" s="41" t="s">
        <v>26</v>
      </c>
      <c r="B4" s="32" t="s">
        <v>1</v>
      </c>
      <c r="D4" s="45">
        <f>INDEX(Summary_Figures!$E$5:$E$17, MATCH($B$4, Summary_Figures!$A$5:$A$17, 0))</f>
        <v>-724779.93877799716</v>
      </c>
      <c r="E4" s="45">
        <f>INDEX(Summary_Figures!$F$5:$F$17, MATCH($B$4, Summary_Figures!$A$5:$A$17, 0))</f>
        <v>-590186.59214258776</v>
      </c>
      <c r="H4" s="11">
        <f>INDEX(Summary_Figures!$G$5:$G$17, MATCH($B$4, Summary_Figures!$A$5:$A$17, 0))</f>
        <v>0</v>
      </c>
      <c r="I4" s="11">
        <f>INDEX(Summary_Figures!$H$5:$H$17, MATCH($B$4, Summary_Figures!$A$5:$A$17, 0))</f>
        <v>510.06959247999993</v>
      </c>
      <c r="K4" s="45">
        <f>SUMIFS(Capital_Summary!$H$4:$H$63, Capital_Summary!$A$4:$A$63, $B$4, Capital_Summary!$B$4:$B$63, "FY2026")</f>
        <v>0</v>
      </c>
    </row>
    <row r="5" spans="1:12">
      <c r="A5" s="41" t="s">
        <v>57</v>
      </c>
      <c r="B5" s="32" t="s">
        <v>19</v>
      </c>
      <c r="D5" s="45">
        <f>INDEX(Summary_Figures!$E$5:$E$17, MATCH($B$5, Summary_Figures!$A$5:$A$17, 0))</f>
        <v>537913.81244977494</v>
      </c>
      <c r="E5" s="45">
        <f>INDEX(Summary_Figures!$F$5:$F$17, MATCH($B$5, Summary_Figures!$A$5:$A$17, 0))</f>
        <v>81004.083850099516</v>
      </c>
      <c r="F5" s="45">
        <f>D5-D4</f>
        <v>1262693.7512277721</v>
      </c>
      <c r="G5" s="45">
        <f>E5-E4</f>
        <v>671190.67599268723</v>
      </c>
      <c r="H5" s="11">
        <f>INDEX(Summary_Figures!$G$5:$G$17, MATCH($B$5, Summary_Figures!$A$5:$A$17, 0))</f>
        <v>553</v>
      </c>
      <c r="I5" s="11">
        <f>INDEX(Summary_Figures!$H$5:$H$17, MATCH($B$5, Summary_Figures!$A$5:$A$17, 0))</f>
        <v>184.02500000000001</v>
      </c>
      <c r="K5" s="45">
        <f>SUMIFS(Capital_Summary!$H$4:$H$63, Capital_Summary!$A$4:$A$63, $B$5, Capital_Summary!$B$4:$B$63, "FY2026")</f>
        <v>2400000</v>
      </c>
      <c r="L5" s="45">
        <f>K5-K4</f>
        <v>2400000</v>
      </c>
    </row>
    <row r="7" spans="1:12">
      <c r="A7" s="41" t="s">
        <v>58</v>
      </c>
    </row>
    <row r="8" spans="1:12">
      <c r="A8" t="s">
        <v>59</v>
      </c>
      <c r="B8">
        <f>Parameters_Public!C22</f>
        <v>2.5000000000000001E-2</v>
      </c>
    </row>
    <row r="9" spans="1:12">
      <c r="A9" t="s">
        <v>60</v>
      </c>
      <c r="B9">
        <f>Parameters_Public!C23</f>
        <v>0.6</v>
      </c>
    </row>
    <row r="10" spans="1:12">
      <c r="A10" t="s">
        <v>61</v>
      </c>
      <c r="B10">
        <f>Parameters_Public!$C42</f>
        <v>0</v>
      </c>
    </row>
    <row r="11" spans="1:12">
      <c r="A11" t="s">
        <v>62</v>
      </c>
      <c r="B11">
        <f>Parameters_Public!C17</f>
        <v>0.15</v>
      </c>
    </row>
    <row r="12" spans="1:12">
      <c r="A12" t="s">
        <v>63</v>
      </c>
      <c r="B12">
        <f>Parameters_Public!C20</f>
        <v>1</v>
      </c>
    </row>
    <row r="14" spans="1:12">
      <c r="A14" s="50" t="s">
        <v>64</v>
      </c>
    </row>
    <row r="15" spans="1:12">
      <c r="A15" t="s">
        <v>65</v>
      </c>
    </row>
    <row r="16" spans="1:12">
      <c r="A16" t="s">
        <v>66</v>
      </c>
      <c r="B16">
        <f>Control_Center!C10</f>
        <v>7.0000000000000001E-3</v>
      </c>
    </row>
    <row r="17" spans="1:2">
      <c r="A17" t="s">
        <v>67</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B7" sqref="B7"/>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68</v>
      </c>
      <c r="B1" s="1" t="s">
        <v>69</v>
      </c>
      <c r="C1" s="1" t="s">
        <v>70</v>
      </c>
      <c r="D1" s="1" t="s">
        <v>71</v>
      </c>
      <c r="E1" s="1" t="s">
        <v>72</v>
      </c>
      <c r="F1" s="1" t="s">
        <v>73</v>
      </c>
      <c r="G1" s="1" t="s">
        <v>74</v>
      </c>
      <c r="H1" s="1" t="s">
        <v>75</v>
      </c>
      <c r="I1" t="s">
        <v>76</v>
      </c>
      <c r="J1" t="s">
        <v>77</v>
      </c>
      <c r="K1" t="s">
        <v>78</v>
      </c>
      <c r="L1" t="s">
        <v>79</v>
      </c>
      <c r="M1" t="s">
        <v>80</v>
      </c>
      <c r="N1" t="s">
        <v>81</v>
      </c>
      <c r="O1" t="s">
        <v>82</v>
      </c>
      <c r="P1" t="s">
        <v>83</v>
      </c>
      <c r="Q1" t="s">
        <v>84</v>
      </c>
      <c r="R1" t="s">
        <v>85</v>
      </c>
    </row>
    <row r="2" spans="1:18">
      <c r="A2" t="s">
        <v>13</v>
      </c>
      <c r="B2" t="str">
        <f>Control_Center!B31</f>
        <v>CUSTOM_KeepOpen_v1</v>
      </c>
      <c r="C2">
        <f>Control_Center!C31</f>
        <v>0</v>
      </c>
      <c r="D2">
        <f>Control_Center!D31</f>
        <v>0</v>
      </c>
      <c r="E2">
        <f>Control_Center!E31</f>
        <v>0</v>
      </c>
      <c r="F2">
        <f>Control_Center!F31</f>
        <v>0.5</v>
      </c>
      <c r="G2">
        <f>Control_Center!G31</f>
        <v>0</v>
      </c>
      <c r="H2" t="s">
        <v>86</v>
      </c>
      <c r="I2" s="11">
        <f t="shared" ref="I2:I14" si="0">C2/3</f>
        <v>0</v>
      </c>
      <c r="J2" s="11">
        <f t="shared" ref="J2:J14" si="1">I2+C2/3</f>
        <v>0</v>
      </c>
      <c r="K2" s="11">
        <f t="shared" ref="K2:K14" si="2">J2+C2/3</f>
        <v>0</v>
      </c>
      <c r="L2" s="11">
        <f t="shared" ref="L2:L14" si="3">C2</f>
        <v>0</v>
      </c>
      <c r="M2" s="11">
        <f t="shared" ref="M2:M14" si="4">C2</f>
        <v>0</v>
      </c>
      <c r="O2" t="s">
        <v>87</v>
      </c>
      <c r="P2" t="s">
        <v>87</v>
      </c>
      <c r="Q2">
        <v>0</v>
      </c>
      <c r="R2">
        <v>0</v>
      </c>
    </row>
    <row r="3" spans="1:18">
      <c r="A3" t="s">
        <v>14</v>
      </c>
      <c r="B3" t="str">
        <f>Control_Center!B32</f>
        <v>Status‑Quo + Op Growth Targets</v>
      </c>
      <c r="C3">
        <f>Control_Center!C32</f>
        <v>100</v>
      </c>
      <c r="D3">
        <f>Control_Center!D32</f>
        <v>0</v>
      </c>
      <c r="E3">
        <f>Control_Center!E32</f>
        <v>0</v>
      </c>
      <c r="F3">
        <f>Control_Center!F32</f>
        <v>0.5</v>
      </c>
      <c r="G3">
        <f>Control_Center!G32</f>
        <v>0</v>
      </c>
      <c r="H3" t="s">
        <v>88</v>
      </c>
      <c r="I3" s="11">
        <f t="shared" si="0"/>
        <v>33.333333333333336</v>
      </c>
      <c r="J3" s="11">
        <f t="shared" si="1"/>
        <v>66.666666666666671</v>
      </c>
      <c r="K3" s="11">
        <f t="shared" si="2"/>
        <v>100</v>
      </c>
      <c r="L3" s="11">
        <f t="shared" si="3"/>
        <v>100</v>
      </c>
      <c r="M3" s="11">
        <f t="shared" si="4"/>
        <v>100</v>
      </c>
      <c r="O3" t="s">
        <v>87</v>
      </c>
      <c r="P3" t="s">
        <v>87</v>
      </c>
      <c r="Q3">
        <v>0</v>
      </c>
      <c r="R3">
        <v>0</v>
      </c>
    </row>
    <row r="4" spans="1:18">
      <c r="A4" t="s">
        <v>15</v>
      </c>
      <c r="B4" t="str">
        <f>Control_Center!B33</f>
        <v>Co‑Location @ Echo + Op Growth Targets</v>
      </c>
      <c r="C4">
        <f>Control_Center!C33</f>
        <v>100</v>
      </c>
      <c r="D4">
        <f>Control_Center!D33</f>
        <v>0</v>
      </c>
      <c r="E4">
        <f>Control_Center!E33</f>
        <v>0</v>
      </c>
      <c r="F4">
        <f>Control_Center!F33</f>
        <v>0.5</v>
      </c>
      <c r="G4">
        <f>Control_Center!G33</f>
        <v>0.05</v>
      </c>
      <c r="H4" t="s">
        <v>89</v>
      </c>
      <c r="I4" s="11">
        <f t="shared" si="0"/>
        <v>33.333333333333336</v>
      </c>
      <c r="J4" s="11">
        <f t="shared" si="1"/>
        <v>66.666666666666671</v>
      </c>
      <c r="K4" s="11">
        <f t="shared" si="2"/>
        <v>100</v>
      </c>
      <c r="L4" s="11">
        <f t="shared" si="3"/>
        <v>100</v>
      </c>
      <c r="M4" s="11">
        <f t="shared" si="4"/>
        <v>100</v>
      </c>
      <c r="O4" t="s">
        <v>87</v>
      </c>
      <c r="P4" t="s">
        <v>87</v>
      </c>
      <c r="Q4">
        <v>0</v>
      </c>
      <c r="R4">
        <v>0</v>
      </c>
    </row>
    <row r="5" spans="1:18">
      <c r="A5" t="s">
        <v>16</v>
      </c>
      <c r="B5" t="str">
        <f>Control_Center!B34</f>
        <v>Grow Both + Op Growth Targets</v>
      </c>
      <c r="C5">
        <f>Control_Center!C34</f>
        <v>200</v>
      </c>
      <c r="D5">
        <f>Control_Center!D34</f>
        <v>0</v>
      </c>
      <c r="E5">
        <f>Control_Center!E34</f>
        <v>0</v>
      </c>
      <c r="F5">
        <f>Control_Center!F34</f>
        <v>0.5</v>
      </c>
      <c r="G5">
        <f>Control_Center!G34</f>
        <v>0</v>
      </c>
      <c r="H5" t="s">
        <v>90</v>
      </c>
      <c r="I5" s="11">
        <f t="shared" si="0"/>
        <v>66.666666666666671</v>
      </c>
      <c r="J5" s="11">
        <f t="shared" si="1"/>
        <v>133.33333333333334</v>
      </c>
      <c r="K5" s="11">
        <f t="shared" si="2"/>
        <v>200</v>
      </c>
      <c r="L5" s="11">
        <f t="shared" si="3"/>
        <v>200</v>
      </c>
      <c r="M5" s="11">
        <f t="shared" si="4"/>
        <v>200</v>
      </c>
      <c r="O5" t="s">
        <v>91</v>
      </c>
      <c r="P5" t="s">
        <v>92</v>
      </c>
      <c r="Q5">
        <v>0</v>
      </c>
      <c r="R5">
        <v>0</v>
      </c>
    </row>
    <row r="6" spans="1:18">
      <c r="A6" t="s">
        <v>17</v>
      </c>
      <c r="B6" t="str">
        <f>Control_Center!B35</f>
        <v>CUSTOM_KeepOpen_v2</v>
      </c>
      <c r="C6">
        <f>Control_Center!C35</f>
        <v>0</v>
      </c>
      <c r="D6">
        <f>Control_Center!D35</f>
        <v>0</v>
      </c>
      <c r="E6">
        <f>Control_Center!E35</f>
        <v>0</v>
      </c>
      <c r="F6">
        <f>Control_Center!F35</f>
        <v>0.5</v>
      </c>
      <c r="G6">
        <f>Control_Center!G35</f>
        <v>0</v>
      </c>
      <c r="H6" t="s">
        <v>93</v>
      </c>
      <c r="I6" s="11">
        <f t="shared" si="0"/>
        <v>0</v>
      </c>
      <c r="J6" s="11">
        <f t="shared" si="1"/>
        <v>0</v>
      </c>
      <c r="K6" s="11">
        <f t="shared" si="2"/>
        <v>0</v>
      </c>
      <c r="L6" s="11">
        <f t="shared" si="3"/>
        <v>0</v>
      </c>
      <c r="M6" s="11">
        <f t="shared" si="4"/>
        <v>0</v>
      </c>
      <c r="O6" t="s">
        <v>87</v>
      </c>
      <c r="P6" t="s">
        <v>87</v>
      </c>
      <c r="Q6">
        <v>0</v>
      </c>
      <c r="R6">
        <v>0</v>
      </c>
    </row>
    <row r="7" spans="1:18">
      <c r="A7" t="s">
        <v>18</v>
      </c>
      <c r="B7" t="str">
        <f>Control_Center!B36</f>
        <v>Growth Hub @ Echo + Status-Quo Pima + Op Growth Targets</v>
      </c>
      <c r="C7">
        <f>Control_Center!C36</f>
        <v>150</v>
      </c>
      <c r="D7">
        <f>Control_Center!D36</f>
        <v>0</v>
      </c>
      <c r="E7">
        <f>Control_Center!E36</f>
        <v>0</v>
      </c>
      <c r="F7">
        <f>Control_Center!F36</f>
        <v>0.7</v>
      </c>
      <c r="G7">
        <f>Control_Center!G36</f>
        <v>0</v>
      </c>
      <c r="H7" t="s">
        <v>94</v>
      </c>
      <c r="I7" s="11">
        <f t="shared" si="0"/>
        <v>50</v>
      </c>
      <c r="J7" s="11">
        <f t="shared" si="1"/>
        <v>100</v>
      </c>
      <c r="K7" s="11">
        <f t="shared" si="2"/>
        <v>150</v>
      </c>
      <c r="L7" s="11">
        <f t="shared" si="3"/>
        <v>150</v>
      </c>
      <c r="M7" s="11">
        <f t="shared" si="4"/>
        <v>150</v>
      </c>
      <c r="O7" t="s">
        <v>92</v>
      </c>
      <c r="P7" t="s">
        <v>87</v>
      </c>
      <c r="Q7">
        <v>0</v>
      </c>
      <c r="R7">
        <v>0</v>
      </c>
    </row>
    <row r="8" spans="1:18">
      <c r="A8" t="s">
        <v>19</v>
      </c>
      <c r="B8" t="str">
        <f>Control_Center!B37</f>
        <v>Repurpose BOTH (lease)</v>
      </c>
      <c r="C8">
        <f>Control_Center!C37</f>
        <v>0</v>
      </c>
      <c r="D8">
        <f>Control_Center!D37</f>
        <v>1</v>
      </c>
      <c r="E8">
        <f>Control_Center!E37</f>
        <v>1</v>
      </c>
      <c r="F8">
        <f>Control_Center!F37</f>
        <v>0.5</v>
      </c>
      <c r="G8">
        <f>Control_Center!G37</f>
        <v>0</v>
      </c>
      <c r="H8" t="s">
        <v>95</v>
      </c>
      <c r="I8" s="11">
        <f t="shared" si="0"/>
        <v>0</v>
      </c>
      <c r="J8" s="11">
        <f t="shared" si="1"/>
        <v>0</v>
      </c>
      <c r="K8" s="11">
        <f t="shared" si="2"/>
        <v>0</v>
      </c>
      <c r="L8" s="11">
        <f t="shared" si="3"/>
        <v>0</v>
      </c>
      <c r="M8" s="11">
        <f t="shared" si="4"/>
        <v>0</v>
      </c>
      <c r="N8" t="s">
        <v>96</v>
      </c>
      <c r="O8" t="s">
        <v>87</v>
      </c>
      <c r="P8" t="s">
        <v>87</v>
      </c>
      <c r="Q8">
        <v>0</v>
      </c>
      <c r="R8">
        <v>0</v>
      </c>
    </row>
    <row r="9" spans="1:18">
      <c r="A9" t="s">
        <v>20</v>
      </c>
      <c r="B9" t="str">
        <f>Control_Center!B38</f>
        <v>Repurpose BOTH (ops)</v>
      </c>
      <c r="C9">
        <f>Control_Center!C38</f>
        <v>0</v>
      </c>
      <c r="D9">
        <f>Control_Center!D38</f>
        <v>1</v>
      </c>
      <c r="E9">
        <f>Control_Center!E38</f>
        <v>1</v>
      </c>
      <c r="F9">
        <f>Control_Center!F38</f>
        <v>0.5</v>
      </c>
      <c r="G9">
        <f>Control_Center!G38</f>
        <v>0</v>
      </c>
      <c r="H9" t="s">
        <v>97</v>
      </c>
      <c r="I9" s="11">
        <f t="shared" si="0"/>
        <v>0</v>
      </c>
      <c r="J9" s="11">
        <f t="shared" si="1"/>
        <v>0</v>
      </c>
      <c r="K9" s="11">
        <f t="shared" si="2"/>
        <v>0</v>
      </c>
      <c r="L9" s="11">
        <f t="shared" si="3"/>
        <v>0</v>
      </c>
      <c r="M9" s="11">
        <f t="shared" si="4"/>
        <v>0</v>
      </c>
      <c r="N9" t="s">
        <v>98</v>
      </c>
      <c r="O9" t="s">
        <v>87</v>
      </c>
      <c r="P9" t="s">
        <v>87</v>
      </c>
      <c r="Q9">
        <v>0</v>
      </c>
      <c r="R9">
        <v>0</v>
      </c>
    </row>
    <row r="10" spans="1:18">
      <c r="A10" t="s">
        <v>21</v>
      </c>
      <c r="B10" t="str">
        <f>Control_Center!B39</f>
        <v>Repurpose ECHO (lease) + Status-Quo Pima + Pima Op Growth Targets</v>
      </c>
      <c r="C10">
        <f>Control_Center!C39</f>
        <v>0</v>
      </c>
      <c r="D10">
        <f>Control_Center!D39</f>
        <v>1</v>
      </c>
      <c r="E10">
        <f>Control_Center!E39</f>
        <v>0</v>
      </c>
      <c r="F10">
        <f>Control_Center!F39</f>
        <v>0</v>
      </c>
      <c r="G10">
        <f>Control_Center!G39</f>
        <v>0</v>
      </c>
      <c r="H10" t="s">
        <v>99</v>
      </c>
      <c r="I10" s="11">
        <f t="shared" si="0"/>
        <v>0</v>
      </c>
      <c r="J10" s="11">
        <f t="shared" si="1"/>
        <v>0</v>
      </c>
      <c r="K10" s="11">
        <f t="shared" si="2"/>
        <v>0</v>
      </c>
      <c r="L10" s="11">
        <f t="shared" si="3"/>
        <v>0</v>
      </c>
      <c r="M10" s="11">
        <f t="shared" si="4"/>
        <v>0</v>
      </c>
      <c r="N10" t="s">
        <v>96</v>
      </c>
      <c r="O10" t="s">
        <v>87</v>
      </c>
      <c r="P10" t="s">
        <v>87</v>
      </c>
      <c r="Q10">
        <v>0</v>
      </c>
      <c r="R10">
        <v>0</v>
      </c>
    </row>
    <row r="11" spans="1:18">
      <c r="A11" t="s">
        <v>22</v>
      </c>
      <c r="B11" t="str">
        <f>Control_Center!B40</f>
        <v>Repurpose ECHO (ops) + Status-Quo Pima + Pima Op Growth Targets</v>
      </c>
      <c r="C11">
        <f>Control_Center!C40</f>
        <v>50</v>
      </c>
      <c r="D11">
        <f>Control_Center!D40</f>
        <v>1</v>
      </c>
      <c r="E11">
        <f>Control_Center!E40</f>
        <v>0</v>
      </c>
      <c r="F11">
        <f>Control_Center!F40</f>
        <v>0</v>
      </c>
      <c r="G11">
        <f>Control_Center!G40</f>
        <v>0</v>
      </c>
      <c r="H11" t="s">
        <v>100</v>
      </c>
      <c r="I11" s="11">
        <f t="shared" si="0"/>
        <v>16.666666666666668</v>
      </c>
      <c r="J11" s="11">
        <f t="shared" si="1"/>
        <v>33.333333333333336</v>
      </c>
      <c r="K11" s="11">
        <f t="shared" si="2"/>
        <v>50</v>
      </c>
      <c r="L11" s="11">
        <f t="shared" si="3"/>
        <v>50</v>
      </c>
      <c r="M11" s="11">
        <f t="shared" si="4"/>
        <v>50</v>
      </c>
      <c r="N11" t="s">
        <v>98</v>
      </c>
      <c r="O11" t="s">
        <v>87</v>
      </c>
      <c r="P11" t="s">
        <v>87</v>
      </c>
      <c r="Q11">
        <v>0</v>
      </c>
      <c r="R11">
        <v>0</v>
      </c>
    </row>
    <row r="12" spans="1:18">
      <c r="A12" t="s">
        <v>23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101</v>
      </c>
      <c r="I12" s="11">
        <f t="shared" si="0"/>
        <v>0</v>
      </c>
      <c r="J12" s="11">
        <f t="shared" si="1"/>
        <v>0</v>
      </c>
      <c r="K12" s="11">
        <f t="shared" si="2"/>
        <v>0</v>
      </c>
      <c r="L12" s="11">
        <f t="shared" si="3"/>
        <v>0</v>
      </c>
      <c r="M12" s="11">
        <f t="shared" si="4"/>
        <v>0</v>
      </c>
      <c r="N12" t="s">
        <v>96</v>
      </c>
      <c r="O12" t="s">
        <v>92</v>
      </c>
      <c r="P12" t="s">
        <v>87</v>
      </c>
      <c r="Q12">
        <v>0</v>
      </c>
      <c r="R12">
        <v>0</v>
      </c>
    </row>
    <row r="13" spans="1:18">
      <c r="A13" t="s">
        <v>24</v>
      </c>
      <c r="B13" t="str">
        <f>Control_Center!B42</f>
        <v>Repurpose PIMA (ops) + Growth Hub @ Echo + Echo Op Growth Targets</v>
      </c>
      <c r="C13">
        <f>Control_Center!C42</f>
        <v>100</v>
      </c>
      <c r="D13">
        <f>Control_Center!D42</f>
        <v>0</v>
      </c>
      <c r="E13">
        <f>Control_Center!E42</f>
        <v>1</v>
      </c>
      <c r="F13">
        <f>Control_Center!F42</f>
        <v>1</v>
      </c>
      <c r="G13">
        <f>Control_Center!G42</f>
        <v>0</v>
      </c>
      <c r="H13" t="s">
        <v>102</v>
      </c>
      <c r="I13" s="11">
        <f t="shared" si="0"/>
        <v>33.333333333333336</v>
      </c>
      <c r="J13" s="11">
        <f t="shared" si="1"/>
        <v>66.666666666666671</v>
      </c>
      <c r="K13" s="11">
        <f t="shared" si="2"/>
        <v>100</v>
      </c>
      <c r="L13" s="11">
        <f t="shared" si="3"/>
        <v>100</v>
      </c>
      <c r="M13" s="11">
        <f t="shared" si="4"/>
        <v>100</v>
      </c>
      <c r="N13" t="s">
        <v>98</v>
      </c>
      <c r="O13" t="s">
        <v>92</v>
      </c>
      <c r="P13" t="s">
        <v>87</v>
      </c>
      <c r="Q13">
        <v>0</v>
      </c>
      <c r="R13">
        <v>0</v>
      </c>
    </row>
    <row r="14" spans="1:18">
      <c r="A14" t="s">
        <v>1</v>
      </c>
      <c r="B14" t="s">
        <v>103</v>
      </c>
      <c r="C14">
        <v>0</v>
      </c>
      <c r="D14">
        <v>0</v>
      </c>
      <c r="E14">
        <v>0</v>
      </c>
      <c r="F14">
        <v>0</v>
      </c>
      <c r="G14">
        <v>0</v>
      </c>
      <c r="H14" t="s">
        <v>104</v>
      </c>
      <c r="I14" s="11">
        <f t="shared" si="0"/>
        <v>0</v>
      </c>
      <c r="J14" s="11">
        <f t="shared" si="1"/>
        <v>0</v>
      </c>
      <c r="K14" s="11">
        <f t="shared" si="2"/>
        <v>0</v>
      </c>
      <c r="L14" s="11">
        <f t="shared" si="3"/>
        <v>0</v>
      </c>
      <c r="M14" s="11">
        <f t="shared" si="4"/>
        <v>0</v>
      </c>
      <c r="O14" t="s">
        <v>87</v>
      </c>
      <c r="P14" t="s">
        <v>87</v>
      </c>
      <c r="Q14">
        <v>1</v>
      </c>
      <c r="R14">
        <v>1</v>
      </c>
    </row>
    <row r="16" spans="1:18">
      <c r="A16" s="1" t="s">
        <v>68</v>
      </c>
      <c r="B16" s="1" t="s">
        <v>28</v>
      </c>
      <c r="C16" s="1" t="s">
        <v>105</v>
      </c>
      <c r="D16" s="1" t="s">
        <v>106</v>
      </c>
      <c r="E16" s="1" t="s">
        <v>107</v>
      </c>
      <c r="F16" s="1" t="s">
        <v>108</v>
      </c>
      <c r="G16" s="1" t="s">
        <v>109</v>
      </c>
      <c r="H16" s="1" t="s">
        <v>110</v>
      </c>
      <c r="I16" s="1" t="s">
        <v>111</v>
      </c>
      <c r="O16" t="s">
        <v>87</v>
      </c>
      <c r="P16" t="s">
        <v>87</v>
      </c>
    </row>
    <row r="17" spans="1:16">
      <c r="A17" t="str">
        <f>A2</f>
        <v>D_CUSTOM1</v>
      </c>
      <c r="B17" t="s">
        <v>31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D_CUSTOM1|FY2026</v>
      </c>
      <c r="O17" t="s">
        <v>87</v>
      </c>
      <c r="P17" t="s">
        <v>87</v>
      </c>
    </row>
    <row r="18" spans="1:16">
      <c r="A18" t="str">
        <f>A2</f>
        <v>D_CUSTOM1</v>
      </c>
      <c r="B18" t="s">
        <v>32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D_CUSTOM1|FY2027</v>
      </c>
      <c r="O18" t="s">
        <v>87</v>
      </c>
      <c r="P18" t="s">
        <v>87</v>
      </c>
    </row>
    <row r="19" spans="1:16">
      <c r="A19" t="str">
        <f>A2</f>
        <v>D_CUSTOM1</v>
      </c>
      <c r="B19" t="s">
        <v>33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D_CUSTOM1|FY2028</v>
      </c>
      <c r="O19" t="s">
        <v>87</v>
      </c>
      <c r="P19" t="s">
        <v>87</v>
      </c>
    </row>
    <row r="20" spans="1:16">
      <c r="A20" t="str">
        <f>A2</f>
        <v>D_CUSTOM1</v>
      </c>
      <c r="B20" t="s">
        <v>34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D_CUSTOM1|FY2029</v>
      </c>
      <c r="O20" t="s">
        <v>87</v>
      </c>
      <c r="P20" t="s">
        <v>87</v>
      </c>
    </row>
    <row r="21" spans="1:16">
      <c r="A21" t="str">
        <f>A2</f>
        <v>D_CUSTOM1</v>
      </c>
      <c r="B21" t="s">
        <v>35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D_CUSTOM1|FY2030</v>
      </c>
      <c r="O21" t="s">
        <v>87</v>
      </c>
      <c r="P21" t="s">
        <v>87</v>
      </c>
    </row>
    <row r="22" spans="1:16">
      <c r="A22" t="str">
        <f>A3</f>
        <v>E_StatusQuo_Targets</v>
      </c>
      <c r="B22" t="s">
        <v>31</v>
      </c>
      <c r="C22">
        <f>IF(D3=1,0, BaselineCalc!$B$7 + ROUND(I3*F3,0))</f>
        <v>274</v>
      </c>
      <c r="D22">
        <f>IF(E3=1,0, BaselineCalc!$B$8 + I3 - ROUND(I3*F3,0))</f>
        <v>312.33333333333331</v>
      </c>
      <c r="E22">
        <f t="shared" si="5"/>
        <v>586.33333333333326</v>
      </c>
      <c r="F22" s="2">
        <f>YearMap!B2</f>
        <v>6414.5114999999987</v>
      </c>
      <c r="G22" s="2">
        <f>YearMap!C2</f>
        <v>1404302.8695</v>
      </c>
      <c r="H22" s="2">
        <f>YearMap!D2</f>
        <v>1617407.196</v>
      </c>
      <c r="I22" t="str">
        <f t="shared" si="6"/>
        <v>E_StatusQuo_Targets|FY2026</v>
      </c>
      <c r="O22" t="s">
        <v>87</v>
      </c>
      <c r="P22" t="s">
        <v>87</v>
      </c>
    </row>
    <row r="23" spans="1:16">
      <c r="A23" t="str">
        <f>A3</f>
        <v>E_StatusQuo_Targets</v>
      </c>
      <c r="B23" t="s">
        <v>32</v>
      </c>
      <c r="C23">
        <f>IF(D3=1,0, BaselineCalc!$B$7 + ROUND(J3*F3,0))</f>
        <v>290</v>
      </c>
      <c r="D23">
        <f>IF(E3=1,0, BaselineCalc!$B$8 + J3 - ROUND(J3*F3,0))</f>
        <v>329.66666666666669</v>
      </c>
      <c r="E23">
        <f t="shared" si="5"/>
        <v>619.66666666666674</v>
      </c>
      <c r="F23" s="2">
        <f>YearMap!B3</f>
        <v>6574.8742874999989</v>
      </c>
      <c r="G23" s="2">
        <f>YearMap!C3</f>
        <v>1439410.4412375002</v>
      </c>
      <c r="H23" s="2">
        <f>YearMap!D3</f>
        <v>1657842.3759000003</v>
      </c>
      <c r="I23" t="str">
        <f t="shared" si="6"/>
        <v>E_StatusQuo_Targets|FY2027</v>
      </c>
      <c r="O23" t="s">
        <v>87</v>
      </c>
      <c r="P23" t="s">
        <v>87</v>
      </c>
    </row>
    <row r="24" spans="1:16">
      <c r="A24" t="str">
        <f>A3</f>
        <v>E_StatusQuo_Targets</v>
      </c>
      <c r="B24" t="s">
        <v>33</v>
      </c>
      <c r="C24">
        <f>IF(D3=1,0, BaselineCalc!$B$7 + ROUND(K3*F3,0))</f>
        <v>307</v>
      </c>
      <c r="D24">
        <f>IF(E3=1,0, BaselineCalc!$B$8 + K3 - ROUND(K3*F3,0))</f>
        <v>346</v>
      </c>
      <c r="E24">
        <f t="shared" si="5"/>
        <v>653</v>
      </c>
      <c r="F24" s="2">
        <f>YearMap!B4</f>
        <v>6739.2461446874986</v>
      </c>
      <c r="G24" s="2">
        <f>YearMap!C4</f>
        <v>1475395.7022684375</v>
      </c>
      <c r="H24" s="2">
        <f>YearMap!D4</f>
        <v>1699288.4352975001</v>
      </c>
      <c r="I24" t="str">
        <f t="shared" si="6"/>
        <v>E_StatusQuo_Targets|FY2028</v>
      </c>
      <c r="O24" t="s">
        <v>87</v>
      </c>
      <c r="P24" t="s">
        <v>87</v>
      </c>
    </row>
    <row r="25" spans="1:16">
      <c r="A25" t="str">
        <f>A3</f>
        <v>E_StatusQuo_Targets</v>
      </c>
      <c r="B25" t="s">
        <v>34</v>
      </c>
      <c r="C25">
        <f>IF(D3=1,0, BaselineCalc!$B$7 + ROUND(L3*F3,0))</f>
        <v>307</v>
      </c>
      <c r="D25">
        <f>IF(E3=1,0, BaselineCalc!$B$8 + L3 - ROUND(L3*F3,0))</f>
        <v>346</v>
      </c>
      <c r="E25">
        <f t="shared" si="5"/>
        <v>653</v>
      </c>
      <c r="F25" s="2">
        <f>YearMap!B5</f>
        <v>6907.7272983046851</v>
      </c>
      <c r="G25" s="2">
        <f>YearMap!C5</f>
        <v>1512280.5948251483</v>
      </c>
      <c r="H25" s="2">
        <f>YearMap!D5</f>
        <v>1741770.6461799373</v>
      </c>
      <c r="I25" t="str">
        <f t="shared" si="6"/>
        <v>E_StatusQuo_Targets|FY2029</v>
      </c>
      <c r="O25" t="s">
        <v>87</v>
      </c>
      <c r="P25" t="s">
        <v>87</v>
      </c>
    </row>
    <row r="26" spans="1:16">
      <c r="A26" t="str">
        <f>A3</f>
        <v>E_StatusQuo_Targets</v>
      </c>
      <c r="B26" t="s">
        <v>35</v>
      </c>
      <c r="C26">
        <f>IF(D3=1,0, BaselineCalc!$B$7 + ROUND(M3*F3,0))</f>
        <v>307</v>
      </c>
      <c r="D26">
        <f>IF(E3=1,0, BaselineCalc!$B$8 + M3 - ROUND(M3*F3,0))</f>
        <v>346</v>
      </c>
      <c r="E26">
        <f t="shared" si="5"/>
        <v>653</v>
      </c>
      <c r="F26" s="2">
        <f>YearMap!B6</f>
        <v>7080.4204807623018</v>
      </c>
      <c r="G26" s="2">
        <f>YearMap!C6</f>
        <v>1550087.6096957768</v>
      </c>
      <c r="H26" s="2">
        <f>YearMap!D6</f>
        <v>1785314.9123344356</v>
      </c>
      <c r="I26" t="str">
        <f t="shared" si="6"/>
        <v>E_StatusQuo_Targets|FY2030</v>
      </c>
      <c r="O26" t="s">
        <v>87</v>
      </c>
      <c r="P26" t="s">
        <v>87</v>
      </c>
    </row>
    <row r="27" spans="1:16">
      <c r="A27" t="str">
        <f>A4</f>
        <v>F_CoLocation_Echo_Targets</v>
      </c>
      <c r="B27" t="s">
        <v>31</v>
      </c>
      <c r="C27">
        <f>IF(D4=1,0, BaselineCalc!$B$7 + ROUND(I4*F4,0))</f>
        <v>274</v>
      </c>
      <c r="D27">
        <f>IF(E4=1,0, BaselineCalc!$B$8 + I4 - ROUND(I4*F4,0))</f>
        <v>312.33333333333331</v>
      </c>
      <c r="E27">
        <f t="shared" si="5"/>
        <v>586.33333333333326</v>
      </c>
      <c r="F27" s="2">
        <f>YearMap!B2</f>
        <v>6414.5114999999987</v>
      </c>
      <c r="G27" s="2">
        <f>YearMap!C2</f>
        <v>1404302.8695</v>
      </c>
      <c r="H27" s="2">
        <f>YearMap!D2</f>
        <v>1617407.196</v>
      </c>
      <c r="I27" t="str">
        <f t="shared" si="6"/>
        <v>F_CoLocation_Echo_Targets|FY2026</v>
      </c>
      <c r="O27" t="s">
        <v>87</v>
      </c>
      <c r="P27" t="s">
        <v>87</v>
      </c>
    </row>
    <row r="28" spans="1:16">
      <c r="A28" t="str">
        <f>A4</f>
        <v>F_CoLocation_Echo_Targets</v>
      </c>
      <c r="B28" t="s">
        <v>32</v>
      </c>
      <c r="C28">
        <f>IF(D4=1,0, BaselineCalc!$B$7 + ROUND(J4*F4,0))</f>
        <v>290</v>
      </c>
      <c r="D28">
        <f>IF(E4=1,0, BaselineCalc!$B$8 + J4 - ROUND(J4*F4,0))</f>
        <v>329.66666666666669</v>
      </c>
      <c r="E28">
        <f t="shared" si="5"/>
        <v>619.66666666666674</v>
      </c>
      <c r="F28" s="2">
        <f>YearMap!B3</f>
        <v>6574.8742874999989</v>
      </c>
      <c r="G28" s="2">
        <f>YearMap!C3</f>
        <v>1439410.4412375002</v>
      </c>
      <c r="H28" s="2">
        <f>YearMap!D3</f>
        <v>1657842.3759000003</v>
      </c>
      <c r="I28" t="str">
        <f t="shared" si="6"/>
        <v>F_CoLocation_Echo_Targets|FY2027</v>
      </c>
      <c r="O28" t="s">
        <v>87</v>
      </c>
      <c r="P28" t="s">
        <v>87</v>
      </c>
    </row>
    <row r="29" spans="1:16">
      <c r="A29" t="str">
        <f>A4</f>
        <v>F_CoLocation_Echo_Targets</v>
      </c>
      <c r="B29" t="s">
        <v>33</v>
      </c>
      <c r="C29">
        <f>IF(D4=1,0, BaselineCalc!$B$7 + ROUND(K4*F4,0))</f>
        <v>307</v>
      </c>
      <c r="D29">
        <f>IF(E4=1,0, BaselineCalc!$B$8 + K4 - ROUND(K4*F4,0))</f>
        <v>346</v>
      </c>
      <c r="E29">
        <f t="shared" si="5"/>
        <v>653</v>
      </c>
      <c r="F29" s="2">
        <f>YearMap!B4</f>
        <v>6739.2461446874986</v>
      </c>
      <c r="G29" s="2">
        <f>YearMap!C4</f>
        <v>1475395.7022684375</v>
      </c>
      <c r="H29" s="2">
        <f>YearMap!D4</f>
        <v>1699288.4352975001</v>
      </c>
      <c r="I29" t="str">
        <f t="shared" si="6"/>
        <v>F_CoLocation_Echo_Targets|FY2028</v>
      </c>
      <c r="O29" t="s">
        <v>87</v>
      </c>
      <c r="P29" t="s">
        <v>87</v>
      </c>
    </row>
    <row r="30" spans="1:16">
      <c r="A30" t="str">
        <f>A4</f>
        <v>F_CoLocation_Echo_Targets</v>
      </c>
      <c r="B30" t="s">
        <v>34</v>
      </c>
      <c r="C30">
        <f>IF(D4=1,0, BaselineCalc!$B$7 + ROUND(L4*F4,0))</f>
        <v>307</v>
      </c>
      <c r="D30">
        <f>IF(E4=1,0, BaselineCalc!$B$8 + L4 - ROUND(L4*F4,0))</f>
        <v>346</v>
      </c>
      <c r="E30">
        <f t="shared" si="5"/>
        <v>653</v>
      </c>
      <c r="F30" s="2">
        <f>YearMap!B5</f>
        <v>6907.7272983046851</v>
      </c>
      <c r="G30" s="2">
        <f>YearMap!C5</f>
        <v>1512280.5948251483</v>
      </c>
      <c r="H30" s="2">
        <f>YearMap!D5</f>
        <v>1741770.6461799373</v>
      </c>
      <c r="I30" t="str">
        <f t="shared" si="6"/>
        <v>F_CoLocation_Echo_Targets|FY2029</v>
      </c>
      <c r="O30" t="s">
        <v>87</v>
      </c>
      <c r="P30" t="s">
        <v>87</v>
      </c>
    </row>
    <row r="31" spans="1:16">
      <c r="A31" t="str">
        <f>A4</f>
        <v>F_CoLocation_Echo_Targets</v>
      </c>
      <c r="B31" t="s">
        <v>35</v>
      </c>
      <c r="C31">
        <f>IF(D4=1,0, BaselineCalc!$B$7 + ROUND(M4*F4,0))</f>
        <v>307</v>
      </c>
      <c r="D31">
        <f>IF(E4=1,0, BaselineCalc!$B$8 + M4 - ROUND(M4*F4,0))</f>
        <v>346</v>
      </c>
      <c r="E31">
        <f t="shared" si="5"/>
        <v>653</v>
      </c>
      <c r="F31" s="2">
        <f>YearMap!B6</f>
        <v>7080.4204807623018</v>
      </c>
      <c r="G31" s="2">
        <f>YearMap!C6</f>
        <v>1550087.6096957768</v>
      </c>
      <c r="H31" s="2">
        <f>YearMap!D6</f>
        <v>1785314.9123344356</v>
      </c>
      <c r="I31" t="str">
        <f t="shared" si="6"/>
        <v>F_CoLocation_Echo_Targets|FY2030</v>
      </c>
      <c r="O31" t="s">
        <v>87</v>
      </c>
      <c r="P31" t="s">
        <v>87</v>
      </c>
    </row>
    <row r="32" spans="1:16">
      <c r="A32" t="str">
        <f>A5</f>
        <v>D_Grow_Both_Targets</v>
      </c>
      <c r="B32" t="s">
        <v>31</v>
      </c>
      <c r="C32">
        <f>IF(D5=1,0, BaselineCalc!$B$7 + ROUND(I5*F5,0))</f>
        <v>290</v>
      </c>
      <c r="D32">
        <f>IF(E5=1,0, BaselineCalc!$B$8 + I5 - ROUND(I5*F5,0))</f>
        <v>329.66666666666669</v>
      </c>
      <c r="E32">
        <f t="shared" si="5"/>
        <v>619.66666666666674</v>
      </c>
      <c r="F32" s="2">
        <f>YearMap!B2</f>
        <v>6414.5114999999987</v>
      </c>
      <c r="G32" s="2">
        <f>YearMap!C2</f>
        <v>1404302.8695</v>
      </c>
      <c r="H32" s="2">
        <f>YearMap!D2</f>
        <v>1617407.196</v>
      </c>
      <c r="I32" t="str">
        <f t="shared" si="6"/>
        <v>D_Grow_Both_Targets|FY2026</v>
      </c>
      <c r="O32" t="s">
        <v>87</v>
      </c>
      <c r="P32" t="s">
        <v>87</v>
      </c>
    </row>
    <row r="33" spans="1:16">
      <c r="A33" t="str">
        <f>A5</f>
        <v>D_Grow_Both_Targets</v>
      </c>
      <c r="B33" t="s">
        <v>32</v>
      </c>
      <c r="C33">
        <f>IF(D5=1,0, BaselineCalc!$B$7 + ROUND(J5*F5,0))</f>
        <v>324</v>
      </c>
      <c r="D33">
        <f>IF(E5=1,0, BaselineCalc!$B$8 + J5 - ROUND(J5*F5,0))</f>
        <v>362.33333333333337</v>
      </c>
      <c r="E33">
        <f t="shared" si="5"/>
        <v>686.33333333333337</v>
      </c>
      <c r="F33" s="2">
        <f>YearMap!B3</f>
        <v>6574.8742874999989</v>
      </c>
      <c r="G33" s="2">
        <f>YearMap!C3</f>
        <v>1439410.4412375002</v>
      </c>
      <c r="H33" s="2">
        <f>YearMap!D3</f>
        <v>1657842.3759000003</v>
      </c>
      <c r="I33" t="str">
        <f t="shared" si="6"/>
        <v>D_Grow_Both_Targets|FY2027</v>
      </c>
      <c r="O33" t="s">
        <v>87</v>
      </c>
      <c r="P33" t="s">
        <v>87</v>
      </c>
    </row>
    <row r="34" spans="1:16">
      <c r="A34" t="str">
        <f>A5</f>
        <v>D_Grow_Both_Targets</v>
      </c>
      <c r="B34" t="s">
        <v>33</v>
      </c>
      <c r="C34">
        <f>IF(D5=1,0, BaselineCalc!$B$7 + ROUND(K5*F5,0))</f>
        <v>357</v>
      </c>
      <c r="D34">
        <f>IF(E5=1,0, BaselineCalc!$B$8 + K5 - ROUND(K5*F5,0))</f>
        <v>396</v>
      </c>
      <c r="E34">
        <f t="shared" si="5"/>
        <v>753</v>
      </c>
      <c r="F34" s="2">
        <f>YearMap!B4</f>
        <v>6739.2461446874986</v>
      </c>
      <c r="G34" s="2">
        <f>YearMap!C4</f>
        <v>1475395.7022684375</v>
      </c>
      <c r="H34" s="2">
        <f>YearMap!D4</f>
        <v>1699288.4352975001</v>
      </c>
      <c r="I34" t="str">
        <f t="shared" si="6"/>
        <v>D_Grow_Both_Targets|FY2028</v>
      </c>
      <c r="O34" t="s">
        <v>87</v>
      </c>
      <c r="P34" t="s">
        <v>87</v>
      </c>
    </row>
    <row r="35" spans="1:16">
      <c r="A35" t="str">
        <f>A5</f>
        <v>D_Grow_Both_Targets</v>
      </c>
      <c r="B35" t="s">
        <v>34</v>
      </c>
      <c r="C35">
        <f>IF(D5=1,0, BaselineCalc!$B$7 + ROUND(L5*F5,0))</f>
        <v>357</v>
      </c>
      <c r="D35">
        <f>IF(E5=1,0, BaselineCalc!$B$8 + L5 - ROUND(L5*F5,0))</f>
        <v>396</v>
      </c>
      <c r="E35">
        <f t="shared" si="5"/>
        <v>753</v>
      </c>
      <c r="F35" s="2">
        <f>YearMap!B5</f>
        <v>6907.7272983046851</v>
      </c>
      <c r="G35" s="2">
        <f>YearMap!C5</f>
        <v>1512280.5948251483</v>
      </c>
      <c r="H35" s="2">
        <f>YearMap!D5</f>
        <v>1741770.6461799373</v>
      </c>
      <c r="I35" t="str">
        <f t="shared" si="6"/>
        <v>D_Grow_Both_Targets|FY2029</v>
      </c>
      <c r="O35" t="s">
        <v>87</v>
      </c>
      <c r="P35" t="s">
        <v>87</v>
      </c>
    </row>
    <row r="36" spans="1:16">
      <c r="A36" t="str">
        <f>A5</f>
        <v>D_Grow_Both_Targets</v>
      </c>
      <c r="B36" t="s">
        <v>35</v>
      </c>
      <c r="C36">
        <f>IF(D5=1,0, BaselineCalc!$B$7 + ROUND(M5*F5,0))</f>
        <v>357</v>
      </c>
      <c r="D36">
        <f>IF(E5=1,0, BaselineCalc!$B$8 + M5 - ROUND(M5*F5,0))</f>
        <v>396</v>
      </c>
      <c r="E36">
        <f t="shared" si="5"/>
        <v>753</v>
      </c>
      <c r="F36" s="2">
        <f>YearMap!B6</f>
        <v>7080.4204807623018</v>
      </c>
      <c r="G36" s="2">
        <f>YearMap!C6</f>
        <v>1550087.6096957768</v>
      </c>
      <c r="H36" s="2">
        <f>YearMap!D6</f>
        <v>1785314.9123344356</v>
      </c>
      <c r="I36" t="str">
        <f t="shared" si="6"/>
        <v>D_Grow_Both_Targets|FY2030</v>
      </c>
      <c r="O36" t="s">
        <v>87</v>
      </c>
      <c r="P36" t="s">
        <v>87</v>
      </c>
    </row>
    <row r="37" spans="1:16">
      <c r="A37" t="str">
        <f>A6</f>
        <v>D_CUSTOM2</v>
      </c>
      <c r="B37" t="s">
        <v>31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D_CUSTOM2|FY2026</v>
      </c>
      <c r="O37" t="s">
        <v>87</v>
      </c>
      <c r="P37" t="s">
        <v>87</v>
      </c>
    </row>
    <row r="38" spans="1:16">
      <c r="A38" t="str">
        <f>A6</f>
        <v>D_CUSTOM2</v>
      </c>
      <c r="B38" t="s">
        <v>32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D_CUSTOM2|FY2027</v>
      </c>
      <c r="O38" t="s">
        <v>87</v>
      </c>
      <c r="P38" t="s">
        <v>87</v>
      </c>
    </row>
    <row r="39" spans="1:16">
      <c r="A39" t="str">
        <f>A6</f>
        <v>D_CUSTOM2</v>
      </c>
      <c r="B39" t="s">
        <v>33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D_CUSTOM2|FY2028</v>
      </c>
      <c r="O39" t="s">
        <v>87</v>
      </c>
      <c r="P39" t="s">
        <v>87</v>
      </c>
    </row>
    <row r="40" spans="1:16">
      <c r="A40" t="str">
        <f>A6</f>
        <v>D_CUSTOM2</v>
      </c>
      <c r="B40" t="s">
        <v>34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D_CUSTOM2|FY2029</v>
      </c>
      <c r="O40" t="s">
        <v>87</v>
      </c>
      <c r="P40" t="s">
        <v>87</v>
      </c>
    </row>
    <row r="41" spans="1:16">
      <c r="A41" t="str">
        <f>A6</f>
        <v>D_CUSTOM2</v>
      </c>
      <c r="B41" t="s">
        <v>35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D_CUSTOM2|FY2030</v>
      </c>
      <c r="O41" t="s">
        <v>87</v>
      </c>
      <c r="P41" t="s">
        <v>87</v>
      </c>
    </row>
    <row r="42" spans="1:16">
      <c r="A42" t="str">
        <f>A7</f>
        <v>G_EchoGHubRamp_PimaTargets</v>
      </c>
      <c r="B42" t="s">
        <v>31</v>
      </c>
      <c r="C42">
        <f>IF(D7=1,0, BaselineCalc!$B$7 + ROUND(I7*F7,0))</f>
        <v>292</v>
      </c>
      <c r="D42">
        <f>IF(E7=1,0, BaselineCalc!$B$8 + I7 - ROUND(I7*F7,0))</f>
        <v>311</v>
      </c>
      <c r="E42">
        <f t="shared" si="5"/>
        <v>603</v>
      </c>
      <c r="F42" s="2">
        <f>YearMap!B2</f>
        <v>6414.5114999999987</v>
      </c>
      <c r="G42" s="2">
        <f>YearMap!C2</f>
        <v>1404302.8695</v>
      </c>
      <c r="H42" s="2">
        <f>YearMap!D2</f>
        <v>1617407.196</v>
      </c>
      <c r="I42" t="str">
        <f t="shared" si="6"/>
        <v>G_EchoGHubRamp_PimaTargets|FY2026</v>
      </c>
      <c r="O42" t="s">
        <v>87</v>
      </c>
      <c r="P42" t="s">
        <v>87</v>
      </c>
    </row>
    <row r="43" spans="1:16">
      <c r="A43" t="str">
        <f>A7</f>
        <v>G_EchoGHubRamp_PimaTargets</v>
      </c>
      <c r="B43" t="s">
        <v>32</v>
      </c>
      <c r="C43">
        <f>IF(D7=1,0, BaselineCalc!$B$7 + ROUND(J7*F7,0))</f>
        <v>327</v>
      </c>
      <c r="D43">
        <f>IF(E7=1,0, BaselineCalc!$B$8 + J7 - ROUND(J7*F7,0))</f>
        <v>326</v>
      </c>
      <c r="E43">
        <f t="shared" si="5"/>
        <v>653</v>
      </c>
      <c r="F43" s="2">
        <f>YearMap!B3</f>
        <v>6574.8742874999989</v>
      </c>
      <c r="G43" s="2">
        <f>YearMap!C3</f>
        <v>1439410.4412375002</v>
      </c>
      <c r="H43" s="2">
        <f>YearMap!D3</f>
        <v>1657842.3759000003</v>
      </c>
      <c r="I43" t="str">
        <f t="shared" si="6"/>
        <v>G_EchoGHubRamp_PimaTargets|FY2027</v>
      </c>
      <c r="O43" t="s">
        <v>87</v>
      </c>
      <c r="P43" t="s">
        <v>87</v>
      </c>
    </row>
    <row r="44" spans="1:16">
      <c r="A44" t="str">
        <f>A7</f>
        <v>G_EchoGHubRamp_PimaTargets</v>
      </c>
      <c r="B44" t="s">
        <v>33</v>
      </c>
      <c r="C44">
        <f>IF(D7=1,0, BaselineCalc!$B$7 + ROUND(K7*F7,0))</f>
        <v>362</v>
      </c>
      <c r="D44">
        <f>IF(E7=1,0, BaselineCalc!$B$8 + K7 - ROUND(K7*F7,0))</f>
        <v>341</v>
      </c>
      <c r="E44">
        <f t="shared" si="5"/>
        <v>703</v>
      </c>
      <c r="F44" s="2">
        <f>YearMap!B4</f>
        <v>6739.2461446874986</v>
      </c>
      <c r="G44" s="2">
        <f>YearMap!C4</f>
        <v>1475395.7022684375</v>
      </c>
      <c r="H44" s="2">
        <f>YearMap!D4</f>
        <v>1699288.4352975001</v>
      </c>
      <c r="I44" t="str">
        <f t="shared" si="6"/>
        <v>G_EchoGHubRamp_PimaTargets|FY2028</v>
      </c>
      <c r="O44" t="s">
        <v>87</v>
      </c>
      <c r="P44" t="s">
        <v>87</v>
      </c>
    </row>
    <row r="45" spans="1:16">
      <c r="A45" t="str">
        <f>A7</f>
        <v>G_EchoGHubRamp_PimaTargets</v>
      </c>
      <c r="B45" t="s">
        <v>34</v>
      </c>
      <c r="C45">
        <f>IF(D7=1,0, BaselineCalc!$B$7 + ROUND(L7*F7,0))</f>
        <v>362</v>
      </c>
      <c r="D45">
        <f>IF(E7=1,0, BaselineCalc!$B$8 + L7 - ROUND(L7*F7,0))</f>
        <v>341</v>
      </c>
      <c r="E45">
        <f t="shared" si="5"/>
        <v>703</v>
      </c>
      <c r="F45" s="2">
        <f>YearMap!B5</f>
        <v>6907.7272983046851</v>
      </c>
      <c r="G45" s="2">
        <f>YearMap!C5</f>
        <v>1512280.5948251483</v>
      </c>
      <c r="H45" s="2">
        <f>YearMap!D5</f>
        <v>1741770.6461799373</v>
      </c>
      <c r="I45" t="str">
        <f t="shared" si="6"/>
        <v>G_EchoGHubRamp_PimaTargets|FY2029</v>
      </c>
      <c r="O45" t="s">
        <v>87</v>
      </c>
      <c r="P45" t="s">
        <v>87</v>
      </c>
    </row>
    <row r="46" spans="1:16">
      <c r="A46" t="str">
        <f>A7</f>
        <v>G_EchoGHubRamp_PimaTargets</v>
      </c>
      <c r="B46" t="s">
        <v>35</v>
      </c>
      <c r="C46">
        <f>IF(D7=1,0, BaselineCalc!$B$7 + ROUND(M7*F7,0))</f>
        <v>362</v>
      </c>
      <c r="D46">
        <f>IF(E7=1,0, BaselineCalc!$B$8 + M7 - ROUND(M7*F7,0))</f>
        <v>341</v>
      </c>
      <c r="E46">
        <f t="shared" si="5"/>
        <v>703</v>
      </c>
      <c r="F46" s="2">
        <f>YearMap!B6</f>
        <v>7080.4204807623018</v>
      </c>
      <c r="G46" s="2">
        <f>YearMap!C6</f>
        <v>1550087.6096957768</v>
      </c>
      <c r="H46" s="2">
        <f>YearMap!D6</f>
        <v>1785314.9123344356</v>
      </c>
      <c r="I46" t="str">
        <f t="shared" si="6"/>
        <v>G_EchoGHubRamp_PimaTargets|FY2030</v>
      </c>
      <c r="O46" t="s">
        <v>87</v>
      </c>
      <c r="P46" t="s">
        <v>87</v>
      </c>
    </row>
    <row r="47" spans="1:16">
      <c r="A47" t="str">
        <f>A8</f>
        <v>A_Repurpose_Both_lease</v>
      </c>
      <c r="B47" t="s">
        <v>31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A_Repurpose_Both_lease|FY2026</v>
      </c>
      <c r="O47" t="s">
        <v>87</v>
      </c>
      <c r="P47" t="s">
        <v>87</v>
      </c>
    </row>
    <row r="48" spans="1:16">
      <c r="A48" t="str">
        <f>A8</f>
        <v>A_Repurpose_Both_lease</v>
      </c>
      <c r="B48" t="s">
        <v>32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A_Repurpose_Both_lease|FY2027</v>
      </c>
      <c r="O48" t="s">
        <v>87</v>
      </c>
      <c r="P48" t="s">
        <v>87</v>
      </c>
    </row>
    <row r="49" spans="1:16">
      <c r="A49" t="str">
        <f>A8</f>
        <v>A_Repurpose_Both_lease</v>
      </c>
      <c r="B49" t="s">
        <v>33</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A_Repurpose_Both_lease|FY2028</v>
      </c>
      <c r="O49" t="s">
        <v>87</v>
      </c>
      <c r="P49" t="s">
        <v>87</v>
      </c>
    </row>
    <row r="50" spans="1:16">
      <c r="A50" t="str">
        <f>A8</f>
        <v>A_Repurpose_Both_lease</v>
      </c>
      <c r="B50" t="s">
        <v>34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A_Repurpose_Both_lease|FY2029</v>
      </c>
      <c r="O50" t="s">
        <v>87</v>
      </c>
      <c r="P50" t="s">
        <v>87</v>
      </c>
    </row>
    <row r="51" spans="1:16">
      <c r="A51" t="str">
        <f>A8</f>
        <v>A_Repurpose_Both_lease</v>
      </c>
      <c r="B51" t="s">
        <v>35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A_Repurpose_Both_lease|FY2030</v>
      </c>
      <c r="O51" t="s">
        <v>87</v>
      </c>
      <c r="P51" t="s">
        <v>87</v>
      </c>
    </row>
    <row r="52" spans="1:16">
      <c r="A52" t="str">
        <f>A9</f>
        <v>A_Repurpose_Both_ops</v>
      </c>
      <c r="B52" t="s">
        <v>31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A_Repurpose_Both_ops|FY2026</v>
      </c>
      <c r="O52" t="s">
        <v>87</v>
      </c>
      <c r="P52" t="s">
        <v>87</v>
      </c>
    </row>
    <row r="53" spans="1:16">
      <c r="A53" t="str">
        <f>A9</f>
        <v>A_Repurpose_Both_ops</v>
      </c>
      <c r="B53" t="s">
        <v>32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A_Repurpose_Both_ops|FY2027</v>
      </c>
      <c r="O53" t="s">
        <v>87</v>
      </c>
      <c r="P53" t="s">
        <v>87</v>
      </c>
    </row>
    <row r="54" spans="1:16">
      <c r="A54" t="str">
        <f>A9</f>
        <v>A_Repurpose_Both_ops</v>
      </c>
      <c r="B54" t="s">
        <v>33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A_Repurpose_Both_ops|FY2028</v>
      </c>
      <c r="O54" t="s">
        <v>87</v>
      </c>
      <c r="P54" t="s">
        <v>87</v>
      </c>
    </row>
    <row r="55" spans="1:16">
      <c r="A55" t="str">
        <f>A9</f>
        <v>A_Repurpose_Both_ops</v>
      </c>
      <c r="B55" t="s">
        <v>34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A_Repurpose_Both_ops|FY2029</v>
      </c>
      <c r="O55" t="s">
        <v>87</v>
      </c>
      <c r="P55" t="s">
        <v>87</v>
      </c>
    </row>
    <row r="56" spans="1:16">
      <c r="A56" t="str">
        <f>A9</f>
        <v>A_Repurpose_Both_ops</v>
      </c>
      <c r="B56" t="s">
        <v>35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A_Repurpose_Both_ops|FY2030</v>
      </c>
      <c r="O56" t="s">
        <v>87</v>
      </c>
      <c r="P56" t="s">
        <v>87</v>
      </c>
    </row>
    <row r="57" spans="1:16">
      <c r="A57" t="str">
        <f>A10</f>
        <v>B_Repurpose_Echo_lease_PimaTargets</v>
      </c>
      <c r="B57" t="s">
        <v>31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B_Repurpose_Echo_lease_PimaTargets|FY2026</v>
      </c>
      <c r="O57" t="s">
        <v>87</v>
      </c>
      <c r="P57" t="s">
        <v>87</v>
      </c>
    </row>
    <row r="58" spans="1:16">
      <c r="A58" t="str">
        <f>A10</f>
        <v>B_Repurpose_Echo_lease_PimaTargets</v>
      </c>
      <c r="B58" t="s">
        <v>32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B_Repurpose_Echo_lease_PimaTargets|FY2027</v>
      </c>
      <c r="O58" t="s">
        <v>87</v>
      </c>
      <c r="P58" t="s">
        <v>87</v>
      </c>
    </row>
    <row r="59" spans="1:16">
      <c r="A59" t="str">
        <f>A10</f>
        <v>B_Repurpose_Echo_lease_PimaTargets</v>
      </c>
      <c r="B59" t="s">
        <v>33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B_Repurpose_Echo_lease_PimaTargets|FY2028</v>
      </c>
      <c r="O59" t="s">
        <v>87</v>
      </c>
      <c r="P59" t="s">
        <v>87</v>
      </c>
    </row>
    <row r="60" spans="1:16">
      <c r="A60" t="str">
        <f>A10</f>
        <v>B_Repurpose_Echo_lease_PimaTargets</v>
      </c>
      <c r="B60" t="s">
        <v>34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B_Repurpose_Echo_lease_PimaTargets|FY2029</v>
      </c>
      <c r="O60" t="s">
        <v>87</v>
      </c>
      <c r="P60" t="s">
        <v>87</v>
      </c>
    </row>
    <row r="61" spans="1:16">
      <c r="A61" t="str">
        <f>A10</f>
        <v>B_Repurpose_Echo_lease_PimaTargets</v>
      </c>
      <c r="B61" t="s">
        <v>35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B_Repurpose_Echo_lease_PimaTargets|FY2030</v>
      </c>
      <c r="O61" t="s">
        <v>87</v>
      </c>
      <c r="P61" t="s">
        <v>87</v>
      </c>
    </row>
    <row r="62" spans="1:16">
      <c r="A62" t="str">
        <f>A11</f>
        <v>B_Repurpose_Echo_ops_PimaTargets</v>
      </c>
      <c r="B62" t="s">
        <v>31</v>
      </c>
      <c r="C62">
        <f>IF(D11=1,0, BaselineCalc!$B$7 + ROUND(I11*F11,0))</f>
        <v>0</v>
      </c>
      <c r="D62">
        <f>IF(E11=1,0, BaselineCalc!$B$8 + I11 - ROUND(I11*F11,0))</f>
        <v>312.66666666666669</v>
      </c>
      <c r="E62">
        <f t="shared" si="7"/>
        <v>312.66666666666669</v>
      </c>
      <c r="F62" s="2">
        <f>YearMap!B2</f>
        <v>6414.5114999999987</v>
      </c>
      <c r="G62" s="2">
        <f>YearMap!C2</f>
        <v>1404302.8695</v>
      </c>
      <c r="H62" s="2">
        <f>YearMap!D2</f>
        <v>1617407.196</v>
      </c>
      <c r="I62" t="str">
        <f t="shared" si="8"/>
        <v>B_Repurpose_Echo_ops_PimaTargets|FY2026</v>
      </c>
      <c r="O62" t="s">
        <v>87</v>
      </c>
      <c r="P62" t="s">
        <v>87</v>
      </c>
    </row>
    <row r="63" spans="1:16">
      <c r="A63" t="str">
        <f>A11</f>
        <v>B_Repurpose_Echo_ops_PimaTargets</v>
      </c>
      <c r="B63" t="s">
        <v>32</v>
      </c>
      <c r="C63">
        <f>IF(D11=1,0, BaselineCalc!$B$7 + ROUND(J11*F11,0))</f>
        <v>0</v>
      </c>
      <c r="D63">
        <f>IF(E11=1,0, BaselineCalc!$B$8 + J11 - ROUND(J11*F11,0))</f>
        <v>329.33333333333331</v>
      </c>
      <c r="E63">
        <f t="shared" si="7"/>
        <v>329.33333333333331</v>
      </c>
      <c r="F63" s="2">
        <f>YearMap!B3</f>
        <v>6574.8742874999989</v>
      </c>
      <c r="G63" s="2">
        <f>YearMap!C3</f>
        <v>1439410.4412375002</v>
      </c>
      <c r="H63" s="2">
        <f>YearMap!D3</f>
        <v>1657842.3759000003</v>
      </c>
      <c r="I63" t="str">
        <f t="shared" si="8"/>
        <v>B_Repurpose_Echo_ops_PimaTargets|FY2027</v>
      </c>
      <c r="O63" t="s">
        <v>87</v>
      </c>
      <c r="P63" t="s">
        <v>87</v>
      </c>
    </row>
    <row r="64" spans="1:16">
      <c r="A64" t="str">
        <f>A11</f>
        <v>B_Repurpose_Echo_ops_PimaTargets</v>
      </c>
      <c r="B64" t="s">
        <v>33</v>
      </c>
      <c r="C64">
        <f>IF(D11=1,0, BaselineCalc!$B$7 + ROUND(K11*F11,0))</f>
        <v>0</v>
      </c>
      <c r="D64">
        <f>IF(E11=1,0, BaselineCalc!$B$8 + K11 - ROUND(K11*F11,0))</f>
        <v>346</v>
      </c>
      <c r="E64">
        <f t="shared" si="7"/>
        <v>346</v>
      </c>
      <c r="F64" s="2">
        <f>YearMap!B4</f>
        <v>6739.2461446874986</v>
      </c>
      <c r="G64" s="2">
        <f>YearMap!C4</f>
        <v>1475395.7022684375</v>
      </c>
      <c r="H64" s="2">
        <f>YearMap!D4</f>
        <v>1699288.4352975001</v>
      </c>
      <c r="I64" t="str">
        <f t="shared" si="8"/>
        <v>B_Repurpose_Echo_ops_PimaTargets|FY2028</v>
      </c>
      <c r="O64" t="s">
        <v>87</v>
      </c>
      <c r="P64" t="s">
        <v>87</v>
      </c>
    </row>
    <row r="65" spans="1:16">
      <c r="A65" t="str">
        <f>A11</f>
        <v>B_Repurpose_Echo_ops_PimaTargets</v>
      </c>
      <c r="B65" t="s">
        <v>34</v>
      </c>
      <c r="C65">
        <f>IF(D11=1,0, BaselineCalc!$B$7 + ROUND(L11*F11,0))</f>
        <v>0</v>
      </c>
      <c r="D65">
        <f>IF(E11=1,0, BaselineCalc!$B$8 + L11 - ROUND(L11*F11,0))</f>
        <v>346</v>
      </c>
      <c r="E65">
        <f t="shared" si="7"/>
        <v>346</v>
      </c>
      <c r="F65" s="2">
        <f>YearMap!B5</f>
        <v>6907.7272983046851</v>
      </c>
      <c r="G65" s="2">
        <f>YearMap!C5</f>
        <v>1512280.5948251483</v>
      </c>
      <c r="H65" s="2">
        <f>YearMap!D5</f>
        <v>1741770.6461799373</v>
      </c>
      <c r="I65" t="str">
        <f t="shared" si="8"/>
        <v>B_Repurpose_Echo_ops_PimaTargets|FY2029</v>
      </c>
      <c r="O65" t="s">
        <v>87</v>
      </c>
      <c r="P65" t="s">
        <v>87</v>
      </c>
    </row>
    <row r="66" spans="1:16">
      <c r="A66" t="str">
        <f>A11</f>
        <v>B_Repurpose_Echo_ops_PimaTargets</v>
      </c>
      <c r="B66" t="s">
        <v>35</v>
      </c>
      <c r="C66">
        <f>IF(D11=1,0, BaselineCalc!$B$7 + ROUND(M11*F11,0))</f>
        <v>0</v>
      </c>
      <c r="D66">
        <f>IF(E11=1,0, BaselineCalc!$B$8 + M11 - ROUND(M11*F11,0))</f>
        <v>346</v>
      </c>
      <c r="E66">
        <f t="shared" si="7"/>
        <v>346</v>
      </c>
      <c r="F66" s="2">
        <f>YearMap!B6</f>
        <v>7080.4204807623018</v>
      </c>
      <c r="G66" s="2">
        <f>YearMap!C6</f>
        <v>1550087.6096957768</v>
      </c>
      <c r="H66" s="2">
        <f>YearMap!D6</f>
        <v>1785314.9123344356</v>
      </c>
      <c r="I66" t="str">
        <f t="shared" si="8"/>
        <v>B_Repurpose_Echo_ops_PimaTargets|FY2030</v>
      </c>
      <c r="O66" t="s">
        <v>87</v>
      </c>
      <c r="P66" t="s">
        <v>87</v>
      </c>
    </row>
    <row r="67" spans="1:16">
      <c r="A67" t="str">
        <f>A12</f>
        <v>C_Repurpose_Pima_lease_EchoGHub_EchoTargets</v>
      </c>
      <c r="B67" t="s">
        <v>31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C_Repurpose_Pima_lease_EchoGHub_EchoTargets|FY2026</v>
      </c>
      <c r="O67" t="s">
        <v>87</v>
      </c>
      <c r="P67" t="s">
        <v>87</v>
      </c>
    </row>
    <row r="68" spans="1:16">
      <c r="A68" t="str">
        <f>A12</f>
        <v>C_Repurpose_Pima_lease_EchoGHub_EchoTargets</v>
      </c>
      <c r="B68" t="s">
        <v>32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C_Repurpose_Pima_lease_EchoGHub_EchoTargets|FY2027</v>
      </c>
      <c r="O68" t="s">
        <v>87</v>
      </c>
      <c r="P68" t="s">
        <v>87</v>
      </c>
    </row>
    <row r="69" spans="1:16">
      <c r="A69" t="str">
        <f>A12</f>
        <v>C_Repurpose_Pima_lease_EchoGHub_EchoTargets</v>
      </c>
      <c r="B69" t="s">
        <v>33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C_Repurpose_Pima_lease_EchoGHub_EchoTargets|FY2028</v>
      </c>
      <c r="O69" t="s">
        <v>87</v>
      </c>
      <c r="P69" t="s">
        <v>87</v>
      </c>
    </row>
    <row r="70" spans="1:16">
      <c r="A70" t="str">
        <f>A12</f>
        <v>C_Repurpose_Pima_lease_EchoGHub_EchoTargets</v>
      </c>
      <c r="B70" t="s">
        <v>34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C_Repurpose_Pima_lease_EchoGHub_EchoTargets|FY2029</v>
      </c>
      <c r="O70" t="s">
        <v>87</v>
      </c>
      <c r="P70" t="s">
        <v>87</v>
      </c>
    </row>
    <row r="71" spans="1:16">
      <c r="A71" t="str">
        <f>A12</f>
        <v>C_Repurpose_Pima_lease_EchoGHub_EchoTargets</v>
      </c>
      <c r="B71" t="s">
        <v>35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C_Repurpose_Pima_lease_EchoGHub_EchoTargets|FY2030</v>
      </c>
      <c r="O71" t="s">
        <v>87</v>
      </c>
      <c r="P71" t="s">
        <v>87</v>
      </c>
    </row>
    <row r="72" spans="1:16">
      <c r="A72" t="str">
        <f>A13</f>
        <v>C_Repurpose_Pima_ops_EchoGHub_EchoTargets</v>
      </c>
      <c r="B72" t="s">
        <v>31</v>
      </c>
      <c r="C72">
        <f>IF(D13=1,0, BaselineCalc!$B$7 + ROUND(I13*F13,0))</f>
        <v>290</v>
      </c>
      <c r="D72">
        <f>IF(E13=1,0, BaselineCalc!$B$8 + I13 - ROUND(I13*F13,0))</f>
        <v>0</v>
      </c>
      <c r="E72">
        <f t="shared" si="7"/>
        <v>290</v>
      </c>
      <c r="F72" s="2">
        <f>YearMap!B2</f>
        <v>6414.5114999999987</v>
      </c>
      <c r="G72" s="2">
        <f>YearMap!C2</f>
        <v>1404302.8695</v>
      </c>
      <c r="H72" s="2">
        <f>YearMap!D2</f>
        <v>1617407.196</v>
      </c>
      <c r="I72" t="str">
        <f t="shared" si="8"/>
        <v>C_Repurpose_Pima_ops_EchoGHub_EchoTargets|FY2026</v>
      </c>
      <c r="O72" t="s">
        <v>87</v>
      </c>
      <c r="P72" t="s">
        <v>87</v>
      </c>
    </row>
    <row r="73" spans="1:16">
      <c r="A73" t="str">
        <f>A13</f>
        <v>C_Repurpose_Pima_ops_EchoGHub_EchoTargets</v>
      </c>
      <c r="B73" t="s">
        <v>32</v>
      </c>
      <c r="C73">
        <f>IF(D13=1,0, BaselineCalc!$B$7 + ROUND(J13*F13,0))</f>
        <v>324</v>
      </c>
      <c r="D73">
        <f>IF(E13=1,0, BaselineCalc!$B$8 + J13 - ROUND(J13*F13,0))</f>
        <v>0</v>
      </c>
      <c r="E73">
        <f t="shared" si="7"/>
        <v>324</v>
      </c>
      <c r="F73" s="2">
        <f>YearMap!B3</f>
        <v>6574.8742874999989</v>
      </c>
      <c r="G73" s="2">
        <f>YearMap!C3</f>
        <v>1439410.4412375002</v>
      </c>
      <c r="H73" s="2">
        <f>YearMap!D3</f>
        <v>1657842.3759000003</v>
      </c>
      <c r="I73" t="str">
        <f t="shared" si="8"/>
        <v>C_Repurpose_Pima_ops_EchoGHub_EchoTargets|FY2027</v>
      </c>
      <c r="O73" t="s">
        <v>87</v>
      </c>
      <c r="P73" t="s">
        <v>87</v>
      </c>
    </row>
    <row r="74" spans="1:16">
      <c r="A74" t="str">
        <f>A13</f>
        <v>C_Repurpose_Pima_ops_EchoGHub_EchoTargets</v>
      </c>
      <c r="B74" t="s">
        <v>33</v>
      </c>
      <c r="C74">
        <f>IF(D13=1,0, BaselineCalc!$B$7 + ROUND(K13*F13,0))</f>
        <v>357</v>
      </c>
      <c r="D74">
        <f>IF(E13=1,0, BaselineCalc!$B$8 + K13 - ROUND(K13*F13,0))</f>
        <v>0</v>
      </c>
      <c r="E74">
        <f t="shared" si="7"/>
        <v>357</v>
      </c>
      <c r="F74" s="2">
        <f>YearMap!B4</f>
        <v>6739.2461446874986</v>
      </c>
      <c r="G74" s="2">
        <f>YearMap!C4</f>
        <v>1475395.7022684375</v>
      </c>
      <c r="H74" s="2">
        <f>YearMap!D4</f>
        <v>1699288.4352975001</v>
      </c>
      <c r="I74" t="str">
        <f t="shared" si="8"/>
        <v>C_Repurpose_Pima_ops_EchoGHub_EchoTargets|FY2028</v>
      </c>
      <c r="O74" t="s">
        <v>87</v>
      </c>
      <c r="P74" t="s">
        <v>87</v>
      </c>
    </row>
    <row r="75" spans="1:16">
      <c r="A75" t="str">
        <f>A13</f>
        <v>C_Repurpose_Pima_ops_EchoGHub_EchoTargets</v>
      </c>
      <c r="B75" t="s">
        <v>34</v>
      </c>
      <c r="C75">
        <f>IF(D13=1,0, BaselineCalc!$B$7 + ROUND(L13*F13,0))</f>
        <v>357</v>
      </c>
      <c r="D75">
        <f>IF(E13=1,0, BaselineCalc!$B$8 + L13 - ROUND(L13*F13,0))</f>
        <v>0</v>
      </c>
      <c r="E75">
        <f t="shared" si="7"/>
        <v>357</v>
      </c>
      <c r="F75" s="2">
        <f>YearMap!B5</f>
        <v>6907.7272983046851</v>
      </c>
      <c r="G75" s="2">
        <f>YearMap!C5</f>
        <v>1512280.5948251483</v>
      </c>
      <c r="H75" s="2">
        <f>YearMap!D5</f>
        <v>1741770.6461799373</v>
      </c>
      <c r="I75" t="str">
        <f t="shared" si="8"/>
        <v>C_Repurpose_Pima_ops_EchoGHub_EchoTargets|FY2029</v>
      </c>
      <c r="O75" t="s">
        <v>87</v>
      </c>
      <c r="P75" t="s">
        <v>87</v>
      </c>
    </row>
    <row r="76" spans="1:16">
      <c r="A76" t="str">
        <f>A13</f>
        <v>C_Repurpose_Pima_ops_EchoGHub_EchoTargets</v>
      </c>
      <c r="B76" t="s">
        <v>35</v>
      </c>
      <c r="C76">
        <f>IF(D13=1,0, BaselineCalc!$B$7 + ROUND(M13*F13,0))</f>
        <v>357</v>
      </c>
      <c r="D76">
        <f>IF(E13=1,0, BaselineCalc!$B$8 + M13 - ROUND(M13*F13,0))</f>
        <v>0</v>
      </c>
      <c r="E76">
        <f t="shared" si="7"/>
        <v>357</v>
      </c>
      <c r="F76" s="2">
        <f>YearMap!B6</f>
        <v>7080.4204807623018</v>
      </c>
      <c r="G76" s="2">
        <f>YearMap!C6</f>
        <v>1550087.6096957768</v>
      </c>
      <c r="H76" s="2">
        <f>YearMap!D6</f>
        <v>1785314.9123344356</v>
      </c>
      <c r="I76" t="str">
        <f t="shared" si="8"/>
        <v>C_Repurpose_Pima_ops_EchoGHub_EchoTargets|FY2030</v>
      </c>
      <c r="O76" t="s">
        <v>87</v>
      </c>
      <c r="P76" t="s">
        <v>87</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K21" sqref="K21"/>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68</v>
      </c>
      <c r="C1" s="1" t="s">
        <v>28</v>
      </c>
      <c r="D1" s="1" t="s">
        <v>105</v>
      </c>
      <c r="E1" s="1" t="s">
        <v>106</v>
      </c>
      <c r="F1" s="1" t="s">
        <v>107</v>
      </c>
      <c r="G1" s="1" t="s">
        <v>108</v>
      </c>
      <c r="H1" s="1" t="s">
        <v>109</v>
      </c>
      <c r="I1" s="1" t="s">
        <v>110</v>
      </c>
      <c r="J1" s="1" t="s">
        <v>112</v>
      </c>
      <c r="K1" s="1" t="s">
        <v>74</v>
      </c>
      <c r="L1" s="1" t="s">
        <v>113</v>
      </c>
      <c r="M1" s="1" t="s">
        <v>114</v>
      </c>
      <c r="N1" s="1" t="s">
        <v>115</v>
      </c>
      <c r="O1" s="1" t="s">
        <v>116</v>
      </c>
      <c r="P1" s="1" t="s">
        <v>117</v>
      </c>
      <c r="Q1" s="1" t="s">
        <v>118</v>
      </c>
      <c r="R1" s="1" t="s">
        <v>119</v>
      </c>
      <c r="S1" s="1" t="s">
        <v>120</v>
      </c>
      <c r="T1" s="1" t="s">
        <v>121</v>
      </c>
      <c r="U1" s="1" t="s">
        <v>122</v>
      </c>
      <c r="V1" s="1" t="s">
        <v>123</v>
      </c>
      <c r="W1" s="1" t="s">
        <v>124</v>
      </c>
      <c r="X1" s="1" t="s">
        <v>125</v>
      </c>
      <c r="Y1" t="s">
        <v>126</v>
      </c>
      <c r="Z1" t="s">
        <v>127</v>
      </c>
      <c r="AA1" t="s">
        <v>128</v>
      </c>
      <c r="AB1" t="s">
        <v>129</v>
      </c>
      <c r="AC1" t="s">
        <v>130</v>
      </c>
      <c r="AD1" t="s">
        <v>131</v>
      </c>
      <c r="AE1" t="s">
        <v>132</v>
      </c>
      <c r="AF1" t="s">
        <v>133</v>
      </c>
      <c r="AG1" s="1" t="s">
        <v>111</v>
      </c>
    </row>
    <row r="2" spans="1:33">
      <c r="A2" t="str">
        <f t="shared" si="0"/>
        <v>D_CUSTOM1|FY2026</v>
      </c>
      <c r="B2" t="str">
        <f>Scenarios!A2</f>
        <v>D_CUSTOM1</v>
      </c>
      <c r="C2" t="s">
        <v>31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D_CUSTOM1|FY2026</v>
      </c>
    </row>
    <row r="3" spans="1:33">
      <c r="A3" t="str">
        <f t="shared" si="0"/>
        <v>D_CUSTOM1|FY2027</v>
      </c>
      <c r="B3" t="str">
        <f>Scenarios!A2</f>
        <v>D_CUSTOM1</v>
      </c>
      <c r="C3" t="s">
        <v>32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D_CUSTOM1|FY2027</v>
      </c>
    </row>
    <row r="4" spans="1:33">
      <c r="A4" t="str">
        <f t="shared" si="0"/>
        <v>D_CUSTOM1|FY2028</v>
      </c>
      <c r="B4" t="str">
        <f>Scenarios!A2</f>
        <v>D_CUSTOM1</v>
      </c>
      <c r="C4" t="s">
        <v>33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D_CUSTOM1|FY2028</v>
      </c>
    </row>
    <row r="5" spans="1:33">
      <c r="A5" t="str">
        <f t="shared" si="0"/>
        <v>D_CUSTOM1|FY2029</v>
      </c>
      <c r="B5" t="str">
        <f>Scenarios!A2</f>
        <v>D_CUSTOM1</v>
      </c>
      <c r="C5" t="s">
        <v>34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D_CUSTOM1|FY2029</v>
      </c>
    </row>
    <row r="6" spans="1:33">
      <c r="A6" t="str">
        <f t="shared" si="0"/>
        <v>D_CUSTOM1|FY2030</v>
      </c>
      <c r="B6" t="str">
        <f>Scenarios!A2</f>
        <v>D_CUSTOM1</v>
      </c>
      <c r="C6" t="s">
        <v>35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D_CUSTOM1|FY2030</v>
      </c>
    </row>
    <row r="7" spans="1:33">
      <c r="A7" t="str">
        <f t="shared" si="0"/>
        <v>E_StatusQuo_Targets|FY2026</v>
      </c>
      <c r="B7" t="str">
        <f>Scenarios!A3</f>
        <v>E_StatusQuo_Targets</v>
      </c>
      <c r="C7" t="s">
        <v>31</v>
      </c>
      <c r="D7">
        <f>IF(Scenarios!D3=1,0, L7)</f>
        <v>274</v>
      </c>
      <c r="E7">
        <f>IF(Scenarios!E3=1,0, M7)</f>
        <v>312.33333333333331</v>
      </c>
      <c r="F7">
        <f t="shared" si="1"/>
        <v>586.33333333333326</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274</v>
      </c>
      <c r="M7">
        <f>IF(Scenarios!$R3=1,BaselineCalc!$B$8*(1+Parameters_Public!$C45)^(IF($C7="FY2026",0,IF($C7="FY2027",1,IF($C7="FY2028",2,IF($C7="FY2029",3,IF($C7="FY2030",4,0))))))+Scenarios!I3-ROUND(Scenarios!I3*Scenarios!$F3,0),BaselineCalc!$B$8+Scenarios!I3-ROUND(Scenarios!I3*Scenarios!$F3,0))</f>
        <v>312.33333333333331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6735272.7111749984</v>
      </c>
      <c r="V7" s="2">
        <f t="shared" si="4"/>
        <v>0</v>
      </c>
      <c r="W7" s="2">
        <f>U7+V7+IF(Parameters_Public!$C$26=1, T7, 0)</f>
        <v>6735272.7111749984</v>
      </c>
      <c r="X7" s="2">
        <f t="shared" si="5"/>
        <v>11487.10524930358</v>
      </c>
      <c r="Y7" s="2">
        <f>INDEX(YearMap!$I$2:$I$6, MATCH(C7, YearMap!$A$2:$A$6, 0))</f>
        <v>5013</v>
      </c>
      <c r="Z7" s="2">
        <f>W7 - ((Y7 + IF(Parameters_Public!$C$20=1, Parameters_Public!$C$19, 0))*AC7)</f>
        <v>3355090.3611749988</v>
      </c>
      <c r="AA7" s="2">
        <f t="shared" si="6"/>
        <v>5722.1552493035806</v>
      </c>
      <c r="AB7">
        <f>MAX(0, (MAX(0, $D7-BaselineCalc!$B$7) + MAX(0, $E7-BaselineCalc!$B$8)))</f>
        <v>33.333333333333314</v>
      </c>
      <c r="AC7">
        <f t="shared" si="7"/>
        <v>586.33333333333326</v>
      </c>
      <c r="AD7" s="2">
        <f>((Y7 + IF(Parameters_Public!$C$20=1, INDEX(YearMap!$O$2:$O$6, MATCH(C7, YearMap!$A$2:$A$6, 0)), 0))*AC7) + AC7*INDEX(YearMap!$P$2:$P$6, MATCH(C7, YearMap!$A$2:$A$6, 0))</f>
        <v>6429115.6833333327</v>
      </c>
      <c r="AE7" s="2">
        <f>W7 - (1-Parameters_Public!$C42)*$G7*$AB7*$J7*(1-$K7)</f>
        <v>6522952.3805249985</v>
      </c>
      <c r="AF7" s="2">
        <f t="shared" si="8"/>
        <v>-93836.69719166588</v>
      </c>
      <c r="AG7" t="str">
        <f t="shared" si="9"/>
        <v>E_StatusQuo_Targets|FY2026</v>
      </c>
    </row>
    <row r="8" spans="1:33">
      <c r="A8" t="str">
        <f t="shared" si="0"/>
        <v>E_StatusQuo_Targets|FY2027</v>
      </c>
      <c r="B8" t="str">
        <f>Scenarios!A3</f>
        <v>E_StatusQuo_Targets</v>
      </c>
      <c r="C8" t="s">
        <v>32</v>
      </c>
      <c r="D8">
        <f>IF(Scenarios!D3=1,0, L8)</f>
        <v>290</v>
      </c>
      <c r="E8">
        <f>IF(Scenarios!E3=1,0, M8)</f>
        <v>329.66666666666669</v>
      </c>
      <c r="F8">
        <f t="shared" si="1"/>
        <v>619.66666666666674</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290</v>
      </c>
      <c r="M8">
        <f>IF(Scenarios!$R3=1,BaselineCalc!$B$8*(1+Parameters_Public!$C45)^(IF($C8="FY2026",0,IF($C8="FY2027",1,IF($C8="FY2028",2,IF($C8="FY2029",3,IF($C8="FY2030",4,0))))))+Scenarios!J3-ROUND(Scenarios!J3*Scenarios!$F3,0),BaselineCalc!$B$8+Scenarios!J3-ROUND(Scenarios!J3*Scenarios!$F3,0))</f>
        <v>329.66666666666669</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7121282.8678706242</v>
      </c>
      <c r="V8" s="2">
        <f t="shared" si="4"/>
        <v>0</v>
      </c>
      <c r="W8" s="2">
        <f>U8+V8+IF(Parameters_Public!$C$26=1, T8, 0)</f>
        <v>7121282.8678706242</v>
      </c>
      <c r="X8" s="2">
        <f t="shared" si="5"/>
        <v>11492.118667892346</v>
      </c>
      <c r="Y8" s="2">
        <f>INDEX(YearMap!$I$2:$I$6, MATCH(C8, YearMap!$A$2:$A$6, 0))</f>
        <v>5138.3249999999998</v>
      </c>
      <c r="Z8" s="2">
        <f>W8 - ((Y8 + IF(Parameters_Public!$C$20=1, Parameters_Public!$C$19, 0))*AC8)</f>
        <v>3471275.792870624</v>
      </c>
      <c r="AA8" s="2">
        <f t="shared" si="6"/>
        <v>5601.8436678923454</v>
      </c>
      <c r="AB8">
        <f>MAX(0, (MAX(0, $D8-BaselineCalc!$B$7) + MAX(0, $E8-BaselineCalc!$B$8)))</f>
        <v>66.666666666666686</v>
      </c>
      <c r="AC8">
        <f t="shared" si="7"/>
        <v>619.66666666666674</v>
      </c>
      <c r="AD8" s="2">
        <f>((Y8 + IF(Parameters_Public!$C$20=1, INDEX(YearMap!$O$2:$O$6, MATCH(C8, YearMap!$A$2:$A$6, 0)), 0))*AC8) + AC8*INDEX(YearMap!$P$2:$P$6, MATCH(C8, YearMap!$A$2:$A$6, 0))</f>
        <v>6964479.3670833334</v>
      </c>
      <c r="AE8" s="2">
        <f>W8 - (1-Parameters_Public!$C42)*$G8*$AB8*$J8*(1-$K8)</f>
        <v>6686026.1900381241</v>
      </c>
      <c r="AF8" s="2">
        <f t="shared" si="8"/>
        <v>278453.17704520933</v>
      </c>
      <c r="AG8" t="str">
        <f t="shared" si="9"/>
        <v>E_StatusQuo_Targets|FY2027</v>
      </c>
    </row>
    <row r="9" spans="1:33">
      <c r="A9" t="str">
        <f t="shared" si="0"/>
        <v>E_StatusQuo_Targets|FY2028</v>
      </c>
      <c r="B9" t="str">
        <f>Scenarios!A3</f>
        <v>E_StatusQuo_Targets</v>
      </c>
      <c r="C9" t="s">
        <v>33</v>
      </c>
      <c r="D9">
        <f>IF(Scenarios!D3=1,0, L9)</f>
        <v>307</v>
      </c>
      <c r="E9">
        <f>IF(Scenarios!E3=1,0, M9)</f>
        <v>346</v>
      </c>
      <c r="F9">
        <f t="shared" si="1"/>
        <v>653</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307</v>
      </c>
      <c r="M9">
        <f>IF(Scenarios!$R3=1,BaselineCalc!$B$8*(1+Parameters_Public!$C45)^(IF($C9="FY2026",0,IF($C9="FY2027",1,IF($C9="FY2028",2,IF($C9="FY2029",3,IF($C9="FY2030",4,0))))))+Scenarios!K3-ROUND(Scenarios!K3*Scenarios!$F3,0),BaselineCalc!$B$8+Scenarios!K3-ROUND(Scenarios!K3*Scenarios!$F3,0))</f>
        <v>346</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7522383.9869565461</v>
      </c>
      <c r="V9" s="2">
        <f t="shared" si="4"/>
        <v>0</v>
      </c>
      <c r="W9" s="2">
        <f>U9+V9+IF(Parameters_Public!$C$26=1, T9, 0)</f>
        <v>7522383.9869565461</v>
      </c>
      <c r="X9" s="2">
        <f t="shared" si="5"/>
        <v>11519.730454757344</v>
      </c>
      <c r="Y9" s="2">
        <f>INDEX(YearMap!$I$2:$I$6, MATCH(C9, YearMap!$A$2:$A$6, 0))</f>
        <v>5266.7831249999999</v>
      </c>
      <c r="Z9" s="2">
        <f>W9 - ((Y9 + IF(Parameters_Public!$C$20=1, Parameters_Public!$C$19, 0))*AC9)</f>
        <v>3592151.2563315462</v>
      </c>
      <c r="AA9" s="2">
        <f t="shared" si="6"/>
        <v>5500.9973297573451</v>
      </c>
      <c r="AB9">
        <f>MAX(0, (MAX(0, $D9-BaselineCalc!$B$7) + MAX(0, $E9-BaselineCalc!$B$8)))</f>
        <v>100</v>
      </c>
      <c r="AC9">
        <f t="shared" si="7"/>
        <v>653</v>
      </c>
      <c r="AD9" s="2">
        <f>((Y9 + IF(Parameters_Public!$C$20=1, INDEX(YearMap!$O$2:$O$6, MATCH(C9, YearMap!$A$2:$A$6, 0)), 0))*AC9) + AC9*INDEX(YearMap!$P$2:$P$6, MATCH(C9, YearMap!$A$2:$A$6, 0))</f>
        <v>7522593.0377187505</v>
      </c>
      <c r="AE9" s="2">
        <f>W9 - (1-Parameters_Public!$C42)*$G9*$AB9*$J9*(1-$K9)</f>
        <v>6853176.8447890775</v>
      </c>
      <c r="AF9" s="2">
        <f t="shared" si="8"/>
        <v>669416.19292967301</v>
      </c>
      <c r="AG9" t="str">
        <f t="shared" si="9"/>
        <v>E_StatusQuo_Targets|FY2028</v>
      </c>
    </row>
    <row r="10" spans="1:33">
      <c r="A10" t="str">
        <f t="shared" si="0"/>
        <v>E_StatusQuo_Targets|FY2029</v>
      </c>
      <c r="B10" t="str">
        <f>Scenarios!A3</f>
        <v>E_StatusQuo_Targets</v>
      </c>
      <c r="C10" t="s">
        <v>34</v>
      </c>
      <c r="D10">
        <f>IF(Scenarios!D3=1,0, L10)</f>
        <v>307</v>
      </c>
      <c r="E10">
        <f>IF(Scenarios!E3=1,0, M10)</f>
        <v>346</v>
      </c>
      <c r="F10">
        <f t="shared" si="1"/>
        <v>653</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307</v>
      </c>
      <c r="M10">
        <f>IF(Scenarios!$R3=1,BaselineCalc!$B$8*(1+Parameters_Public!$C45)^(IF($C10="FY2026",0,IF($C10="FY2027",1,IF($C10="FY2028",2,IF($C10="FY2029",3,IF($C10="FY2030",4,0))))))+Scenarios!L3-ROUND(Scenarios!L3*Scenarios!$F3,0),BaselineCalc!$B$8+Scenarios!L3-ROUND(Scenarios!L3*Scenarios!$F3,0))</f>
        <v>346</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7710443.5866304589</v>
      </c>
      <c r="V10" s="2">
        <f t="shared" si="4"/>
        <v>0</v>
      </c>
      <c r="W10" s="2">
        <f>U10+V10+IF(Parameters_Public!$C$26=1, T10, 0)</f>
        <v>7710443.5866304589</v>
      </c>
      <c r="X10" s="2">
        <f t="shared" si="5"/>
        <v>11807.723716126276</v>
      </c>
      <c r="Y10" s="2">
        <f>INDEX(YearMap!$I$2:$I$6, MATCH(C10, YearMap!$A$2:$A$6, 0))</f>
        <v>5398.4527031249991</v>
      </c>
      <c r="Z10" s="2">
        <f>W10 - ((Y10 + IF(Parameters_Public!$C$20=1, Parameters_Public!$C$19, 0))*AC10)</f>
        <v>3694230.6214898345</v>
      </c>
      <c r="AA10" s="2">
        <f t="shared" si="6"/>
        <v>5657.3210130012776</v>
      </c>
      <c r="AB10">
        <f>MAX(0, (MAX(0, $D10-BaselineCalc!$B$7) + MAX(0, $E10-BaselineCalc!$B$8)))</f>
        <v>100</v>
      </c>
      <c r="AC10">
        <f t="shared" si="7"/>
        <v>653</v>
      </c>
      <c r="AD10" s="2">
        <f>((Y10 + IF(Parameters_Public!$C$20=1, INDEX(YearMap!$O$2:$O$6, MATCH(C10, YearMap!$A$2:$A$6, 0)), 0))*AC10) + AC10*INDEX(YearMap!$P$2:$P$6, MATCH(C10, YearMap!$A$2:$A$6, 0))</f>
        <v>7710657.8636617176</v>
      </c>
      <c r="AE10" s="2">
        <f>W10 - (1-Parameters_Public!$C42)*$G10*$AB10*$J10*(1-$K10)</f>
        <v>7024506.2659088038</v>
      </c>
      <c r="AF10" s="2">
        <f t="shared" si="8"/>
        <v>686151.59775291383</v>
      </c>
      <c r="AG10" t="str">
        <f t="shared" si="9"/>
        <v>E_StatusQuo_Targets|FY2029</v>
      </c>
    </row>
    <row r="11" spans="1:33">
      <c r="A11" t="str">
        <f t="shared" si="0"/>
        <v>E_StatusQuo_Targets|FY2030</v>
      </c>
      <c r="B11" t="str">
        <f>Scenarios!A3</f>
        <v>E_StatusQuo_Targets</v>
      </c>
      <c r="C11" t="s">
        <v>35</v>
      </c>
      <c r="D11">
        <f>IF(Scenarios!D3=1,0, L11)</f>
        <v>307</v>
      </c>
      <c r="E11">
        <f>IF(Scenarios!E3=1,0, M11)</f>
        <v>346</v>
      </c>
      <c r="F11">
        <f t="shared" si="1"/>
        <v>653</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307</v>
      </c>
      <c r="M11">
        <f>IF(Scenarios!$R3=1,BaselineCalc!$B$8*(1+Parameters_Public!$C45)^(IF($C11="FY2026",0,IF($C11="FY2027",1,IF($C11="FY2028",2,IF($C11="FY2029",3,IF($C11="FY2030",4,0))))))+Scenarios!M3-ROUND(Scenarios!M3*Scenarios!$F3,0),BaselineCalc!$B$8+Scenarios!M3-ROUND(Scenarios!M3*Scenarios!$F3,0))</f>
        <v>346</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7903204.6762962192</v>
      </c>
      <c r="V11" s="2">
        <f t="shared" si="4"/>
        <v>0</v>
      </c>
      <c r="W11" s="2">
        <f>U11+V11+IF(Parameters_Public!$C$26=1, T11, 0)</f>
        <v>7903204.6762962192</v>
      </c>
      <c r="X11" s="2">
        <f t="shared" si="5"/>
        <v>12102.916809029432</v>
      </c>
      <c r="Y11" s="2">
        <f>INDEX(YearMap!$I$2:$I$6, MATCH(C11, YearMap!$A$2:$A$6, 0))</f>
        <v>5533.4140207031242</v>
      </c>
      <c r="Z11" s="2">
        <f>W11 - ((Y11 + IF(Parameters_Public!$C$20=1, Parameters_Public!$C$19, 0))*AC11)</f>
        <v>3798861.9707770795</v>
      </c>
      <c r="AA11" s="2">
        <f t="shared" si="6"/>
        <v>5817.5527883263085</v>
      </c>
      <c r="AB11">
        <f>MAX(0, (MAX(0, $D11-BaselineCalc!$B$7) + MAX(0, $E11-BaselineCalc!$B$8)))</f>
        <v>100</v>
      </c>
      <c r="AC11">
        <f t="shared" si="7"/>
        <v>653</v>
      </c>
      <c r="AD11" s="2">
        <f>((Y11 + IF(Parameters_Public!$C$20=1, INDEX(YearMap!$O$2:$O$6, MATCH(C11, YearMap!$A$2:$A$6, 0)), 0))*AC11) + AC11*INDEX(YearMap!$P$2:$P$6, MATCH(C11, YearMap!$A$2:$A$6, 0))</f>
        <v>7903424.3102532607</v>
      </c>
      <c r="AE11" s="2">
        <f>W11 - (1-Parameters_Public!$C42)*$G11*$AB11*$J11*(1-$K11)</f>
        <v>7200118.9225565223</v>
      </c>
      <c r="AF11" s="2">
        <f t="shared" si="8"/>
        <v>703305.38769673835</v>
      </c>
      <c r="AG11" t="str">
        <f t="shared" si="9"/>
        <v>E_StatusQuo_Targets|FY2030</v>
      </c>
    </row>
    <row r="12" spans="1:33">
      <c r="A12" t="str">
        <f t="shared" si="0"/>
        <v>F_CoLocation_Echo_Targets|FY2026</v>
      </c>
      <c r="B12" t="str">
        <f>Scenarios!A4</f>
        <v>F_CoLocation_Echo_Targets</v>
      </c>
      <c r="C12" t="s">
        <v>31</v>
      </c>
      <c r="D12">
        <f>IF(Scenarios!D4=1,0, L12)</f>
        <v>274</v>
      </c>
      <c r="E12">
        <f>IF(Scenarios!E4=1,0, M12)</f>
        <v>312.33333333333331</v>
      </c>
      <c r="F12">
        <f t="shared" si="1"/>
        <v>586.33333333333326</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274</v>
      </c>
      <c r="M12">
        <f>IF(Scenarios!$R4=1,BaselineCalc!$B$8*(1+Parameters_Public!$C45)^(IF($C12="FY2026",0,IF($C12="FY2027",1,IF($C12="FY2028",2,IF($C12="FY2029",3,IF($C12="FY2030",4,0))))))+Scenarios!I4-ROUND(Scenarios!I4*Scenarios!$F4,0),BaselineCalc!$B$8+Scenarios!I4-ROUND(Scenarios!I4*Scenarios!$F4,0))</f>
        <v>312.33333333333331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6398509.075616248</v>
      </c>
      <c r="V12" s="2">
        <f t="shared" si="4"/>
        <v>0</v>
      </c>
      <c r="W12" s="2">
        <f>U12+V12+IF(Parameters_Public!$C$26=1, T12, 0)</f>
        <v>6398509.075616248</v>
      </c>
      <c r="X12" s="2">
        <f t="shared" si="5"/>
        <v>10912.7499868384</v>
      </c>
      <c r="Y12" s="2">
        <f>INDEX(YearMap!$I$2:$I$6, MATCH(C12, YearMap!$A$2:$A$6, 0))</f>
        <v>5013</v>
      </c>
      <c r="Z12" s="2">
        <f>W12 - ((Y12 + IF(Parameters_Public!$C$20=1, Parameters_Public!$C$19, 0))*AC12)</f>
        <v>3018326.7256162483</v>
      </c>
      <c r="AA12" s="2">
        <f t="shared" si="6"/>
        <v>5147.7999868384004</v>
      </c>
      <c r="AB12">
        <f>MAX(0, (MAX(0, $D12-BaselineCalc!$B$7) + MAX(0, $E12-BaselineCalc!$B$8)))</f>
        <v>33.333333333333314</v>
      </c>
      <c r="AC12">
        <f t="shared" si="7"/>
        <v>586.33333333333326</v>
      </c>
      <c r="AD12" s="2">
        <f>((Y12 + IF(Parameters_Public!$C$20=1, INDEX(YearMap!$O$2:$O$6, MATCH(C12, YearMap!$A$2:$A$6, 0)), 0))*AC12) + AC12*INDEX(YearMap!$P$2:$P$6, MATCH(C12, YearMap!$A$2:$A$6, 0))</f>
        <v>6429115.6833333327</v>
      </c>
      <c r="AE12" s="2">
        <f>W12 - (1-Parameters_Public!$C42)*$G12*$AB12*$J12*(1-$K12)</f>
        <v>6196804.7614987483</v>
      </c>
      <c r="AF12" s="2">
        <f t="shared" si="8"/>
        <v>232310.92183458433</v>
      </c>
      <c r="AG12" t="str">
        <f t="shared" si="9"/>
        <v>F_CoLocation_Echo_Targets|FY2026</v>
      </c>
    </row>
    <row r="13" spans="1:33">
      <c r="A13" t="str">
        <f t="shared" si="0"/>
        <v>F_CoLocation_Echo_Targets|FY2027</v>
      </c>
      <c r="B13" t="str">
        <f>Scenarios!A4</f>
        <v>F_CoLocation_Echo_Targets</v>
      </c>
      <c r="C13" t="s">
        <v>32</v>
      </c>
      <c r="D13">
        <f>IF(Scenarios!D4=1,0, L13)</f>
        <v>290</v>
      </c>
      <c r="E13">
        <f>IF(Scenarios!E4=1,0, M13)</f>
        <v>329.66666666666669</v>
      </c>
      <c r="F13">
        <f t="shared" si="1"/>
        <v>619.66666666666674</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290</v>
      </c>
      <c r="M13">
        <f>IF(Scenarios!$R4=1,BaselineCalc!$B$8*(1+Parameters_Public!$C45)^(IF($C13="FY2026",0,IF($C13="FY2027",1,IF($C13="FY2028",2,IF($C13="FY2029",3,IF($C13="FY2030",4,0))))))+Scenarios!J4-ROUND(Scenarios!J4*Scenarios!$F4,0),BaselineCalc!$B$8+Scenarios!J4-ROUND(Scenarios!J4*Scenarios!$F4,0))</f>
        <v>329.66666666666669</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6765218.7244770927</v>
      </c>
      <c r="V13" s="2">
        <f t="shared" si="4"/>
        <v>0</v>
      </c>
      <c r="W13" s="2">
        <f>U13+V13+IF(Parameters_Public!$C$26=1, T13, 0)</f>
        <v>6765218.7244770927</v>
      </c>
      <c r="X13" s="2">
        <f t="shared" si="5"/>
        <v>10917.512734497728</v>
      </c>
      <c r="Y13" s="2">
        <f>INDEX(YearMap!$I$2:$I$6, MATCH(C13, YearMap!$A$2:$A$6, 0))</f>
        <v>5138.3249999999998</v>
      </c>
      <c r="Z13" s="2">
        <f>W13 - ((Y13 + IF(Parameters_Public!$C$20=1, Parameters_Public!$C$19, 0))*AC13)</f>
        <v>3115211.6494770925</v>
      </c>
      <c r="AA13" s="2">
        <f t="shared" si="6"/>
        <v>5027.2377344977285</v>
      </c>
      <c r="AB13">
        <f>MAX(0, (MAX(0, $D13-BaselineCalc!$B$7) + MAX(0, $E13-BaselineCalc!$B$8)))</f>
        <v>66.666666666666686</v>
      </c>
      <c r="AC13">
        <f t="shared" si="7"/>
        <v>619.66666666666674</v>
      </c>
      <c r="AD13" s="2">
        <f>((Y13 + IF(Parameters_Public!$C$20=1, INDEX(YearMap!$O$2:$O$6, MATCH(C13, YearMap!$A$2:$A$6, 0)), 0))*AC13) + AC13*INDEX(YearMap!$P$2:$P$6, MATCH(C13, YearMap!$A$2:$A$6, 0))</f>
        <v>6964479.3670833334</v>
      </c>
      <c r="AE13" s="2">
        <f>W13 - (1-Parameters_Public!$C42)*$G13*$AB13*$J13*(1-$K13)</f>
        <v>6351724.8805362172</v>
      </c>
      <c r="AF13" s="2">
        <f t="shared" si="8"/>
        <v>612754.48654711619</v>
      </c>
      <c r="AG13" t="str">
        <f t="shared" si="9"/>
        <v>F_CoLocation_Echo_Targets|FY2027</v>
      </c>
    </row>
    <row r="14" spans="1:33">
      <c r="A14" t="str">
        <f t="shared" si="0"/>
        <v>F_CoLocation_Echo_Targets|FY2028</v>
      </c>
      <c r="B14" t="str">
        <f>Scenarios!A4</f>
        <v>F_CoLocation_Echo_Targets</v>
      </c>
      <c r="C14" t="s">
        <v>33</v>
      </c>
      <c r="D14">
        <f>IF(Scenarios!D4=1,0, L14)</f>
        <v>307</v>
      </c>
      <c r="E14">
        <f>IF(Scenarios!E4=1,0, M14)</f>
        <v>346</v>
      </c>
      <c r="F14">
        <f t="shared" si="1"/>
        <v>653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307</v>
      </c>
      <c r="M14">
        <f>IF(Scenarios!$R4=1,BaselineCalc!$B$8*(1+Parameters_Public!$C45)^(IF($C14="FY2026",0,IF($C14="FY2027",1,IF($C14="FY2028",2,IF($C14="FY2029",3,IF($C14="FY2030",4,0))))))+Scenarios!K4-ROUND(Scenarios!K4*Scenarios!$F4,0),BaselineCalc!$B$8+Scenarios!K4-ROUND(Scenarios!K4*Scenarios!$F4,0))</f>
        <v>346</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7146264.7876087185</v>
      </c>
      <c r="V14" s="2">
        <f t="shared" si="4"/>
        <v>0</v>
      </c>
      <c r="W14" s="2">
        <f>U14+V14+IF(Parameters_Public!$C$26=1, T14, 0)</f>
        <v>7146264.7876087185</v>
      </c>
      <c r="X14" s="2">
        <f t="shared" si="5"/>
        <v>10943.743932019477</v>
      </c>
      <c r="Y14" s="2">
        <f>INDEX(YearMap!$I$2:$I$6, MATCH(C14, YearMap!$A$2:$A$6, 0))</f>
        <v>5266.7831249999999</v>
      </c>
      <c r="Z14" s="2">
        <f>W14 - ((Y14 + IF(Parameters_Public!$C$20=1, Parameters_Public!$C$19, 0))*AC14)</f>
        <v>3216032.0569837186</v>
      </c>
      <c r="AA14" s="2">
        <f t="shared" si="6"/>
        <v>4925.0108070194774</v>
      </c>
      <c r="AB14">
        <f>MAX(0, (MAX(0, $D14-BaselineCalc!$B$7) + MAX(0, $E14-BaselineCalc!$B$8)))</f>
        <v>100</v>
      </c>
      <c r="AC14">
        <f t="shared" si="7"/>
        <v>653</v>
      </c>
      <c r="AD14" s="2">
        <f>((Y14 + IF(Parameters_Public!$C$20=1, INDEX(YearMap!$O$2:$O$6, MATCH(C14, YearMap!$A$2:$A$6, 0)), 0))*AC14) + AC14*INDEX(YearMap!$P$2:$P$6, MATCH(C14, YearMap!$A$2:$A$6, 0))</f>
        <v>7522593.0377187505</v>
      </c>
      <c r="AE14" s="2">
        <f>W14 - (1-Parameters_Public!$C42)*$G14*$AB14*$J14*(1-$K14)</f>
        <v>6510518.0025496231</v>
      </c>
      <c r="AF14" s="2">
        <f t="shared" si="8"/>
        <v>1012075.0351691274</v>
      </c>
      <c r="AG14" t="str">
        <f t="shared" si="9"/>
        <v>F_CoLocation_Echo_Targets|FY2028</v>
      </c>
    </row>
    <row r="15" spans="1:33">
      <c r="A15" t="str">
        <f t="shared" si="0"/>
        <v>F_CoLocation_Echo_Targets|FY2029</v>
      </c>
      <c r="B15" t="str">
        <f>Scenarios!A4</f>
        <v>F_CoLocation_Echo_Targets</v>
      </c>
      <c r="C15" t="s">
        <v>34</v>
      </c>
      <c r="D15">
        <f>IF(Scenarios!D4=1,0, L15)</f>
        <v>307</v>
      </c>
      <c r="E15">
        <f>IF(Scenarios!E4=1,0, M15)</f>
        <v>346</v>
      </c>
      <c r="F15">
        <f t="shared" si="1"/>
        <v>653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307</v>
      </c>
      <c r="M15">
        <f>IF(Scenarios!$R4=1,BaselineCalc!$B$8*(1+Parameters_Public!$C45)^(IF($C15="FY2026",0,IF($C15="FY2027",1,IF($C15="FY2028",2,IF($C15="FY2029",3,IF($C15="FY2030",4,0))))))+Scenarios!L4-ROUND(Scenarios!L4*Scenarios!$F4,0),BaselineCalc!$B$8+Scenarios!L4-ROUND(Scenarios!L4*Scenarios!$F4,0))</f>
        <v>346</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7324921.4072989356</v>
      </c>
      <c r="V15" s="2">
        <f t="shared" si="4"/>
        <v>0</v>
      </c>
      <c r="W15" s="2">
        <f>U15+V15+IF(Parameters_Public!$C$26=1, T15, 0)</f>
        <v>7324921.4072989356</v>
      </c>
      <c r="X15" s="2">
        <f t="shared" si="5"/>
        <v>11217.337530319963</v>
      </c>
      <c r="Y15" s="2">
        <f>INDEX(YearMap!$I$2:$I$6, MATCH(C15, YearMap!$A$2:$A$6, 0))</f>
        <v>5398.4527031249991</v>
      </c>
      <c r="Z15" s="2">
        <f>W15 - ((Y15 + IF(Parameters_Public!$C$20=1, Parameters_Public!$C$19, 0))*AC15)</f>
        <v>3308708.4421583111</v>
      </c>
      <c r="AA15" s="2">
        <f t="shared" si="6"/>
        <v>5066.9348271949639</v>
      </c>
      <c r="AB15">
        <f>MAX(0, (MAX(0, $D15-BaselineCalc!$B$7) + MAX(0, $E15-BaselineCalc!$B$8)))</f>
        <v>100</v>
      </c>
      <c r="AC15">
        <f t="shared" si="7"/>
        <v>653</v>
      </c>
      <c r="AD15" s="2">
        <f>((Y15 + IF(Parameters_Public!$C$20=1, INDEX(YearMap!$O$2:$O$6, MATCH(C15, YearMap!$A$2:$A$6, 0)), 0))*AC15) + AC15*INDEX(YearMap!$P$2:$P$6, MATCH(C15, YearMap!$A$2:$A$6, 0))</f>
        <v>7710657.8636617176</v>
      </c>
      <c r="AE15" s="2">
        <f>W15 - (1-Parameters_Public!$C42)*$G15*$AB15*$J15*(1-$K15)</f>
        <v>6673280.952613363</v>
      </c>
      <c r="AF15" s="2">
        <f t="shared" si="8"/>
        <v>1037376.9110483546</v>
      </c>
      <c r="AG15" t="str">
        <f t="shared" si="9"/>
        <v>F_CoLocation_Echo_Targets|FY2029</v>
      </c>
    </row>
    <row r="16" spans="1:33">
      <c r="A16" t="str">
        <f t="shared" si="0"/>
        <v>F_CoLocation_Echo_Targets|FY2030</v>
      </c>
      <c r="B16" t="str">
        <f>Scenarios!A4</f>
        <v>F_CoLocation_Echo_Targets</v>
      </c>
      <c r="C16" t="s">
        <v>35</v>
      </c>
      <c r="D16">
        <f>IF(Scenarios!D4=1,0, L16)</f>
        <v>307</v>
      </c>
      <c r="E16">
        <f>IF(Scenarios!E4=1,0, M16)</f>
        <v>346</v>
      </c>
      <c r="F16">
        <f t="shared" si="1"/>
        <v>653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307</v>
      </c>
      <c r="M16">
        <f>IF(Scenarios!$R4=1,BaselineCalc!$B$8*(1+Parameters_Public!$C45)^(IF($C16="FY2026",0,IF($C16="FY2027",1,IF($C16="FY2028",2,IF($C16="FY2029",3,IF($C16="FY2030",4,0))))))+Scenarios!M4-ROUND(Scenarios!M4*Scenarios!$F4,0),BaselineCalc!$B$8+Scenarios!M4-ROUND(Scenarios!M4*Scenarios!$F4,0))</f>
        <v>346</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7508044.4424814079</v>
      </c>
      <c r="V16" s="2">
        <f t="shared" si="4"/>
        <v>0</v>
      </c>
      <c r="W16" s="2">
        <f>U16+V16+IF(Parameters_Public!$C$26=1, T16, 0)</f>
        <v>7508044.4424814079</v>
      </c>
      <c r="X16" s="2">
        <f t="shared" si="5"/>
        <v>11497.770968577959</v>
      </c>
      <c r="Y16" s="2">
        <f>INDEX(YearMap!$I$2:$I$6, MATCH(C16, YearMap!$A$2:$A$6, 0))</f>
        <v>5533.4140207031242</v>
      </c>
      <c r="Z16" s="2">
        <f>W16 - ((Y16 + IF(Parameters_Public!$C$20=1, Parameters_Public!$C$19, 0))*AC16)</f>
        <v>3403701.7369622681</v>
      </c>
      <c r="AA16" s="2">
        <f t="shared" si="6"/>
        <v>5212.4069478748361</v>
      </c>
      <c r="AB16">
        <f>MAX(0, (MAX(0, $D16-BaselineCalc!$B$7) + MAX(0, $E16-BaselineCalc!$B$8)))</f>
        <v>100</v>
      </c>
      <c r="AC16">
        <f t="shared" si="7"/>
        <v>653</v>
      </c>
      <c r="AD16" s="2">
        <f>((Y16 + IF(Parameters_Public!$C$20=1, INDEX(YearMap!$O$2:$O$6, MATCH(C16, YearMap!$A$2:$A$6, 0)), 0))*AC16) + AC16*INDEX(YearMap!$P$2:$P$6, MATCH(C16, YearMap!$A$2:$A$6, 0))</f>
        <v>7903424.3102532607</v>
      </c>
      <c r="AE16" s="2">
        <f>W16 - (1-Parameters_Public!$C42)*$G16*$AB16*$J16*(1-$K16)</f>
        <v>6840112.976428696</v>
      </c>
      <c r="AF16" s="2">
        <f t="shared" si="8"/>
        <v>1063311.3338245647</v>
      </c>
      <c r="AG16" t="str">
        <f t="shared" si="9"/>
        <v>F_CoLocation_Echo_Targets|FY2030</v>
      </c>
    </row>
    <row r="17" spans="1:33">
      <c r="A17" t="str">
        <f t="shared" si="0"/>
        <v>D_Grow_Both_Targets|FY2026</v>
      </c>
      <c r="B17" t="str">
        <f>Scenarios!A5</f>
        <v>D_Grow_Both_Targets</v>
      </c>
      <c r="C17" t="s">
        <v>31</v>
      </c>
      <c r="D17">
        <f>IF(Scenarios!D5=1,0, L17)</f>
        <v>290</v>
      </c>
      <c r="E17">
        <f>IF(Scenarios!E5=1,0, M17)</f>
        <v>329.66666666666669</v>
      </c>
      <c r="F17">
        <f t="shared" si="1"/>
        <v>619.66666666666674</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290</v>
      </c>
      <c r="M17">
        <f>IF(Scenarios!$R5=1,BaselineCalc!$B$8*(1+Parameters_Public!$C45)^(IF($C17="FY2026",0,IF($C17="FY2027",1,IF($C17="FY2028",2,IF($C17="FY2029",3,IF($C17="FY2030",4,0))))))+Scenarios!I5-ROUND(Scenarios!I5*Scenarios!$F5,0),BaselineCalc!$B$8+Scenarios!I5-ROUND(Scenarios!I5*Scenarios!$F5,0))</f>
        <v>329.66666666666669</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6947593.0418250002</v>
      </c>
      <c r="V17" s="2">
        <f t="shared" si="4"/>
        <v>0</v>
      </c>
      <c r="W17" s="2">
        <f>U17+V17+IF(Parameters_Public!$C$26=1, T17, 0)</f>
        <v>6947593.0418250002</v>
      </c>
      <c r="X17" s="2">
        <f t="shared" si="5"/>
        <v>11211.82309062668</v>
      </c>
      <c r="Y17" s="2">
        <f>INDEX(YearMap!$I$2:$I$6, MATCH(C17, YearMap!$A$2:$A$6, 0))</f>
        <v>5013</v>
      </c>
      <c r="Z17" s="2">
        <f>W17 - ((Y17 + IF(Parameters_Public!$C$20=1, Parameters_Public!$C$19, 0))*AC17)</f>
        <v>3375245.6918250001</v>
      </c>
      <c r="AA17" s="2">
        <f t="shared" si="6"/>
        <v>5446.8730906266801</v>
      </c>
      <c r="AB17">
        <f>MAX(0, (MAX(0, $D17-BaselineCalc!$B$7) + MAX(0, $E17-BaselineCalc!$B$8)))</f>
        <v>66.666666666666686</v>
      </c>
      <c r="AC17">
        <f t="shared" si="7"/>
        <v>619.66666666666674</v>
      </c>
      <c r="AD17" s="2">
        <f>((Y17 + IF(Parameters_Public!$C$20=1, INDEX(YearMap!$O$2:$O$6, MATCH(C17, YearMap!$A$2:$A$6, 0)), 0))*AC17) + AC17*INDEX(YearMap!$P$2:$P$6, MATCH(C17, YearMap!$A$2:$A$6, 0))</f>
        <v>6794614.0166666675</v>
      </c>
      <c r="AE17" s="2">
        <f>W17 - (1-Parameters_Public!$C42)*$G17*$AB17*$J17*(1-$K17)</f>
        <v>6522952.3805250004</v>
      </c>
      <c r="AF17" s="2">
        <f t="shared" si="8"/>
        <v>271661.63614166714</v>
      </c>
      <c r="AG17" t="str">
        <f t="shared" si="9"/>
        <v>D_Grow_Both_Targets|FY2026</v>
      </c>
    </row>
    <row r="18" spans="1:33">
      <c r="A18" t="str">
        <f t="shared" si="0"/>
        <v>D_Grow_Both_Targets|FY2027</v>
      </c>
      <c r="B18" t="str">
        <f>Scenarios!A5</f>
        <v>D_Grow_Both_Targets</v>
      </c>
      <c r="C18" t="s">
        <v>32</v>
      </c>
      <c r="D18">
        <f>IF(Scenarios!D5=1,0, L18)</f>
        <v>324</v>
      </c>
      <c r="E18">
        <f>IF(Scenarios!E5=1,0, M18)</f>
        <v>362.33333333333337</v>
      </c>
      <c r="F18">
        <f t="shared" si="1"/>
        <v>686.33333333333337</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324</v>
      </c>
      <c r="M18">
        <f>IF(Scenarios!$R5=1,BaselineCalc!$B$8*(1+Parameters_Public!$C45)^(IF($C18="FY2026",0,IF($C18="FY2027",1,IF($C18="FY2028",2,IF($C18="FY2029",3,IF($C18="FY2030",4,0))))))+Scenarios!J5-ROUND(Scenarios!J5*Scenarios!$F5,0),BaselineCalc!$B$8+Scenarios!J5-ROUND(Scenarios!J5*Scenarios!$F5,0))</f>
        <v>362.33333333333337</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7556539.5457031252</v>
      </c>
      <c r="V18" s="2">
        <f t="shared" si="4"/>
        <v>0</v>
      </c>
      <c r="W18" s="2">
        <f>U18+V18+IF(Parameters_Public!$C$26=1, T18, 0)</f>
        <v>7556539.5457031252</v>
      </c>
      <c r="X18" s="2">
        <f t="shared" si="5"/>
        <v>11010.013908260988</v>
      </c>
      <c r="Y18" s="2">
        <f>INDEX(YearMap!$I$2:$I$6, MATCH(C18, YearMap!$A$2:$A$6, 0))</f>
        <v>5138.3249999999998</v>
      </c>
      <c r="Z18" s="2">
        <f>W18 - ((Y18 + IF(Parameters_Public!$C$20=1, Parameters_Public!$C$19, 0))*AC18)</f>
        <v>3513847.470703125</v>
      </c>
      <c r="AA18" s="2">
        <f t="shared" si="6"/>
        <v>5119.738908260988</v>
      </c>
      <c r="AB18">
        <f>MAX(0, (MAX(0, $D18-BaselineCalc!$B$7) + MAX(0, $E18-BaselineCalc!$B$8)))</f>
        <v>133.33333333333337</v>
      </c>
      <c r="AC18">
        <f t="shared" si="7"/>
        <v>686.33333333333337</v>
      </c>
      <c r="AD18" s="2">
        <f>((Y18 + IF(Parameters_Public!$C$20=1, INDEX(YearMap!$O$2:$O$6, MATCH(C18, YearMap!$A$2:$A$6, 0)), 0))*AC18) + AC18*INDEX(YearMap!$P$2:$P$6, MATCH(C18, YearMap!$A$2:$A$6, 0))</f>
        <v>7713750.9504166655</v>
      </c>
      <c r="AE18" s="2">
        <f>W18 - (1-Parameters_Public!$C42)*$G18*$AB18*$J18*(1-$K18)</f>
        <v>6686026.190038125</v>
      </c>
      <c r="AF18" s="2">
        <f t="shared" si="8"/>
        <v>1027724.7603785405</v>
      </c>
      <c r="AG18" t="str">
        <f t="shared" si="9"/>
        <v>D_Grow_Both_Targets|FY2027</v>
      </c>
    </row>
    <row r="19" spans="1:33">
      <c r="A19" t="str">
        <f t="shared" si="0"/>
        <v>D_Grow_Both_Targets|FY2028</v>
      </c>
      <c r="B19" t="str">
        <f>Scenarios!A5</f>
        <v>D_Grow_Both_Targets</v>
      </c>
      <c r="C19" t="s">
        <v>33</v>
      </c>
      <c r="D19">
        <f>IF(Scenarios!D5=1,0, L19)</f>
        <v>357</v>
      </c>
      <c r="E19">
        <f>IF(Scenarios!E5=1,0, M19)</f>
        <v>396</v>
      </c>
      <c r="F19">
        <f t="shared" si="1"/>
        <v>753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357</v>
      </c>
      <c r="M19">
        <f>IF(Scenarios!$R5=1,BaselineCalc!$B$8*(1+Parameters_Public!$C45)^(IF($C19="FY2026",0,IF($C19="FY2027",1,IF($C19="FY2028",2,IF($C19="FY2029",3,IF($C19="FY2030",4,0))))))+Scenarios!K5-ROUND(Scenarios!K5*Scenarios!$F5,0),BaselineCalc!$B$8+Scenarios!K5-ROUND(Scenarios!K5*Scenarios!$F5,0))</f>
        <v>396</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8191591.1291240146</v>
      </c>
      <c r="V19" s="2">
        <f t="shared" si="4"/>
        <v>0</v>
      </c>
      <c r="W19" s="2">
        <f>U19+V19+IF(Parameters_Public!$C$26=1, T19, 0)</f>
        <v>8191591.1291240146</v>
      </c>
      <c r="X19" s="2">
        <f t="shared" si="5"/>
        <v>10878.607077189927</v>
      </c>
      <c r="Y19" s="2">
        <f>INDEX(YearMap!$I$2:$I$6, MATCH(C19, YearMap!$A$2:$A$6, 0))</f>
        <v>5266.7831249999999</v>
      </c>
      <c r="Z19" s="2">
        <f>W19 - ((Y19 + IF(Parameters_Public!$C$20=1, Parameters_Public!$C$19, 0))*AC19)</f>
        <v>3659485.0859990148</v>
      </c>
      <c r="AA19" s="2">
        <f t="shared" si="6"/>
        <v>4859.873952189927</v>
      </c>
      <c r="AB19">
        <f>MAX(0, (MAX(0, $D19-BaselineCalc!$B$7) + MAX(0, $E19-BaselineCalc!$B$8)))</f>
        <v>200</v>
      </c>
      <c r="AC19">
        <f t="shared" si="7"/>
        <v>753</v>
      </c>
      <c r="AD19" s="2">
        <f>((Y19 + IF(Parameters_Public!$C$20=1, INDEX(YearMap!$O$2:$O$6, MATCH(C19, YearMap!$A$2:$A$6, 0)), 0))*AC19) + AC19*INDEX(YearMap!$P$2:$P$6, MATCH(C19, YearMap!$A$2:$A$6, 0))</f>
        <v>8674598.0970937498</v>
      </c>
      <c r="AE19" s="2">
        <f>W19 - (1-Parameters_Public!$C42)*$G19*$AB19*$J19*(1-$K19)</f>
        <v>6853176.8447890775</v>
      </c>
      <c r="AF19" s="2">
        <f t="shared" si="8"/>
        <v>1821421.2523046723</v>
      </c>
      <c r="AG19" t="str">
        <f t="shared" si="9"/>
        <v>D_Grow_Both_Targets|FY2028</v>
      </c>
    </row>
    <row r="20" spans="1:33">
      <c r="A20" t="str">
        <f t="shared" si="0"/>
        <v>D_Grow_Both_Targets|FY2029</v>
      </c>
      <c r="B20" t="str">
        <f>Scenarios!A5</f>
        <v>D_Grow_Both_Targets</v>
      </c>
      <c r="C20" t="s">
        <v>34</v>
      </c>
      <c r="D20">
        <f>IF(Scenarios!D5=1,0, L20)</f>
        <v>357</v>
      </c>
      <c r="E20">
        <f>IF(Scenarios!E5=1,0, M20)</f>
        <v>396</v>
      </c>
      <c r="F20">
        <f t="shared" si="1"/>
        <v>753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357</v>
      </c>
      <c r="M20">
        <f>IF(Scenarios!$R5=1,BaselineCalc!$B$8*(1+Parameters_Public!$C45)^(IF($C20="FY2026",0,IF($C20="FY2027",1,IF($C20="FY2028",2,IF($C20="FY2029",3,IF($C20="FY2030",4,0))))))+Scenarios!L5-ROUND(Scenarios!L5*Scenarios!$F5,0),BaselineCalc!$B$8+Scenarios!L5-ROUND(Scenarios!L5*Scenarios!$F5,0))</f>
        <v>396</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8396380.9073521141</v>
      </c>
      <c r="V20" s="2">
        <f t="shared" si="4"/>
        <v>0</v>
      </c>
      <c r="W20" s="2">
        <f>U20+V20+IF(Parameters_Public!$C$26=1, T20, 0)</f>
        <v>8396380.9073521141</v>
      </c>
      <c r="X20" s="2">
        <f t="shared" si="5"/>
        <v>11150.572254119674</v>
      </c>
      <c r="Y20" s="2">
        <f>INDEX(YearMap!$I$2:$I$6, MATCH(C20, YearMap!$A$2:$A$6, 0))</f>
        <v>5398.4527031249991</v>
      </c>
      <c r="Z20" s="2">
        <f>W20 - ((Y20 + IF(Parameters_Public!$C$20=1, Parameters_Public!$C$19, 0))*AC20)</f>
        <v>3765127.6718989899</v>
      </c>
      <c r="AA20" s="2">
        <f t="shared" si="6"/>
        <v>5000.1695509946749</v>
      </c>
      <c r="AB20">
        <f>MAX(0, (MAX(0, $D20-BaselineCalc!$B$7) + MAX(0, $E20-BaselineCalc!$B$8)))</f>
        <v>200</v>
      </c>
      <c r="AC20">
        <f t="shared" si="7"/>
        <v>753</v>
      </c>
      <c r="AD20" s="2">
        <f>((Y20 + IF(Parameters_Public!$C$20=1, INDEX(YearMap!$O$2:$O$6, MATCH(C20, YearMap!$A$2:$A$6, 0)), 0))*AC20) + AC20*INDEX(YearMap!$P$2:$P$6, MATCH(C20, YearMap!$A$2:$A$6, 0))</f>
        <v>8891463.0495210923</v>
      </c>
      <c r="AE20" s="2">
        <f>W20 - (1-Parameters_Public!$C42)*$G20*$AB20*$J20*(1-$K20)</f>
        <v>7024506.2659088038</v>
      </c>
      <c r="AF20" s="2">
        <f t="shared" si="8"/>
        <v>1866956.7836122885</v>
      </c>
      <c r="AG20" t="str">
        <f t="shared" si="9"/>
        <v>D_Grow_Both_Targets|FY2029</v>
      </c>
    </row>
    <row r="21" spans="1:33">
      <c r="A21" t="str">
        <f t="shared" si="0"/>
        <v>D_Grow_Both_Targets|FY2030</v>
      </c>
      <c r="B21" t="str">
        <f>Scenarios!A5</f>
        <v>D_Grow_Both_Targets</v>
      </c>
      <c r="C21" t="s">
        <v>35</v>
      </c>
      <c r="D21">
        <f>IF(Scenarios!D5=1,0, L21)</f>
        <v>357</v>
      </c>
      <c r="E21">
        <f>IF(Scenarios!E5=1,0, M21)</f>
        <v>396</v>
      </c>
      <c r="F21">
        <f t="shared" si="1"/>
        <v>753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357</v>
      </c>
      <c r="M21">
        <f>IF(Scenarios!$R5=1,BaselineCalc!$B$8*(1+Parameters_Public!$C45)^(IF($C21="FY2026",0,IF($C21="FY2027",1,IF($C21="FY2028",2,IF($C21="FY2029",3,IF($C21="FY2030",4,0))))))+Scenarios!M5-ROUND(Scenarios!M5*Scenarios!$F5,0),BaselineCalc!$B$8+Scenarios!M5-ROUND(Scenarios!M5*Scenarios!$F5,0))</f>
        <v>396</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8606290.4300359171</v>
      </c>
      <c r="V21" s="2">
        <f t="shared" si="4"/>
        <v>0</v>
      </c>
      <c r="W21" s="2">
        <f>U21+V21+IF(Parameters_Public!$C$26=1, T21, 0)</f>
        <v>8606290.4300359171</v>
      </c>
      <c r="X21" s="2">
        <f t="shared" si="5"/>
        <v>11429.336560472666</v>
      </c>
      <c r="Y21" s="2">
        <f>INDEX(YearMap!$I$2:$I$6, MATCH(C21, YearMap!$A$2:$A$6, 0))</f>
        <v>5533.4140207031242</v>
      </c>
      <c r="Z21" s="2">
        <f>W21 - ((Y21 + IF(Parameters_Public!$C$20=1, Parameters_Public!$C$19, 0))*AC21)</f>
        <v>3873411.3224464646</v>
      </c>
      <c r="AA21" s="2">
        <f t="shared" si="6"/>
        <v>5143.9725397695411</v>
      </c>
      <c r="AB21">
        <f>MAX(0, (MAX(0, $D21-BaselineCalc!$B$7) + MAX(0, $E21-BaselineCalc!$B$8)))</f>
        <v>200</v>
      </c>
      <c r="AC21">
        <f t="shared" si="7"/>
        <v>753</v>
      </c>
      <c r="AD21" s="2">
        <f>((Y21 + IF(Parameters_Public!$C$20=1, INDEX(YearMap!$O$2:$O$6, MATCH(C21, YearMap!$A$2:$A$6, 0)), 0))*AC21) + AC21*INDEX(YearMap!$P$2:$P$6, MATCH(C21, YearMap!$A$2:$A$6, 0))</f>
        <v>9113749.625759121</v>
      </c>
      <c r="AE21" s="2">
        <f>W21 - (1-Parameters_Public!$C42)*$G21*$AB21*$J21*(1-$K21)</f>
        <v>7200118.9225565242</v>
      </c>
      <c r="AF21" s="2">
        <f t="shared" si="8"/>
        <v>1913630.7032025969</v>
      </c>
      <c r="AG21" t="str">
        <f t="shared" si="9"/>
        <v>D_Grow_Both_Targets|FY2030</v>
      </c>
    </row>
    <row r="22" spans="1:33">
      <c r="A22" t="str">
        <f t="shared" si="0"/>
        <v>D_CUSTOM2|FY2026</v>
      </c>
      <c r="B22" t="str">
        <f>Scenarios!A6</f>
        <v>D_CUSTOM2</v>
      </c>
      <c r="C22" t="s">
        <v>31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D_CUSTOM2|FY2026</v>
      </c>
    </row>
    <row r="23" spans="1:33">
      <c r="A23" t="str">
        <f t="shared" si="0"/>
        <v>D_CUSTOM2|FY2027</v>
      </c>
      <c r="B23" t="str">
        <f>Scenarios!A6</f>
        <v>D_CUSTOM2</v>
      </c>
      <c r="C23" t="s">
        <v>32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f t="shared" si="7"/>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D_CUSTOM2|FY2027</v>
      </c>
    </row>
    <row r="24" spans="1:33">
      <c r="A24" t="str">
        <f t="shared" si="0"/>
        <v>D_CUSTOM2|FY2028</v>
      </c>
      <c r="B24" t="str">
        <f>Scenarios!A6</f>
        <v>D_CUSTOM2</v>
      </c>
      <c r="C24" t="s">
        <v>33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f t="shared" si="7"/>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D_CUSTOM2|FY2028</v>
      </c>
    </row>
    <row r="25" spans="1:33">
      <c r="A25" t="str">
        <f t="shared" si="0"/>
        <v>D_CUSTOM2|FY2029</v>
      </c>
      <c r="B25" t="str">
        <f>Scenarios!A6</f>
        <v>D_CUSTOM2</v>
      </c>
      <c r="C25" t="s">
        <v>34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f t="shared" si="7"/>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D_CUSTOM2|FY2029</v>
      </c>
    </row>
    <row r="26" spans="1:33">
      <c r="A26" t="str">
        <f t="shared" si="0"/>
        <v>D_CUSTOM2|FY2030</v>
      </c>
      <c r="B26" t="str">
        <f>Scenarios!A6</f>
        <v>D_CUSTOM2</v>
      </c>
      <c r="C26" t="s">
        <v>35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f t="shared" si="7"/>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D_CUSTOM2|FY2030</v>
      </c>
    </row>
    <row r="27" spans="1:33">
      <c r="A27" t="str">
        <f t="shared" si="0"/>
        <v>G_EchoGHubRamp_PimaTargets|FY2026</v>
      </c>
      <c r="B27" t="str">
        <f>Scenarios!A7</f>
        <v>G_EchoGHubRamp_PimaTargets</v>
      </c>
      <c r="C27" t="s">
        <v>31</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292</v>
      </c>
      <c r="M27">
        <f>IF(Scenarios!$R7=1,BaselineCalc!$B$8*(1+Parameters_Public!$C45)^(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INDEX(YearMap!$O$2:$O$6, MATCH(C27, YearMap!$A$2:$A$6, 0)), 0))*AC27) + AC27*INDEX(YearMap!$P$2:$P$6, MATCH(C27, YearMap!$A$2:$A$6, 0))</f>
        <v>6611864.8499999996</v>
      </c>
      <c r="AE27" s="2">
        <f>W27 - (1-Parameters_Public!$C42)*$G27*$AB27*$J27*(1-$K27)</f>
        <v>6522952.3805249995</v>
      </c>
      <c r="AF27" s="2">
        <f t="shared" si="8"/>
        <v>88912.469475000165</v>
      </c>
      <c r="AG27" t="str">
        <f t="shared" si="9"/>
        <v>G_EchoGHubRamp_PimaTargets|FY2026</v>
      </c>
    </row>
    <row r="28" spans="1:33">
      <c r="A28" t="str">
        <f t="shared" si="0"/>
        <v>G_EchoGHubRamp_PimaTargets|FY2027</v>
      </c>
      <c r="B28" t="str">
        <f>Scenarios!A7</f>
        <v>G_EchoGHubRamp_PimaTargets</v>
      </c>
      <c r="C28" t="s">
        <v>32</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327</v>
      </c>
      <c r="M28">
        <f>IF(Scenarios!$R7=1,BaselineCalc!$B$8*(1+Parameters_Public!$C45)^(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5138.3249999999998</v>
      </c>
      <c r="Z28" s="2">
        <f>W28 - ((Y28 + IF(Parameters_Public!$C$20=1, Parameters_Public!$C$19, 0))*AC28)</f>
        <v>3492561.631786875</v>
      </c>
      <c r="AA28" s="2">
        <f t="shared" si="6"/>
        <v>5348.4864192754594</v>
      </c>
      <c r="AB28">
        <f>MAX(0, (MAX(0, $D28-BaselineCalc!$B$7) + MAX(0, $E28-BaselineCalc!$B$8)))</f>
        <v>100</v>
      </c>
      <c r="AC28">
        <f t="shared" si="7"/>
        <v>653</v>
      </c>
      <c r="AD28" s="2">
        <f>((Y28 + IF(Parameters_Public!$C$20=1, INDEX(YearMap!$O$2:$O$6, MATCH(C28, YearMap!$A$2:$A$6, 0)), 0))*AC28) + AC28*INDEX(YearMap!$P$2:$P$6, MATCH(C28, YearMap!$A$2:$A$6, 0))</f>
        <v>7339115.1587499995</v>
      </c>
      <c r="AE28" s="2">
        <f>W28 - (1-Parameters_Public!$C42)*$G28*$AB28*$J28*(1-$K28)</f>
        <v>6686026.190038125</v>
      </c>
      <c r="AF28" s="2">
        <f t="shared" si="8"/>
        <v>653088.96871187445</v>
      </c>
      <c r="AG28" t="str">
        <f t="shared" si="9"/>
        <v>G_EchoGHubRamp_PimaTargets|FY2027</v>
      </c>
    </row>
    <row r="29" spans="1:33">
      <c r="A29" t="str">
        <f t="shared" si="0"/>
        <v>G_EchoGHubRamp_PimaTargets|FY2028</v>
      </c>
      <c r="B29" t="str">
        <f>Scenarios!A7</f>
        <v>G_EchoGHubRamp_PimaTargets</v>
      </c>
      <c r="C29" t="s">
        <v>33</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362</v>
      </c>
      <c r="M29">
        <f>IF(Scenarios!$R7=1,BaselineCalc!$B$8*(1+Parameters_Public!$C45)^(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5266.7831249999999</v>
      </c>
      <c r="Z29" s="2">
        <f>W29 - ((Y29 + IF(Parameters_Public!$C$20=1, Parameters_Public!$C$19, 0))*AC29)</f>
        <v>3625818.171165281</v>
      </c>
      <c r="AA29" s="2">
        <f t="shared" si="6"/>
        <v>5157.6360898510402</v>
      </c>
      <c r="AB29">
        <f>MAX(0, (MAX(0, $D29-BaselineCalc!$B$7) + MAX(0, $E29-BaselineCalc!$B$8)))</f>
        <v>150</v>
      </c>
      <c r="AC29">
        <f t="shared" si="7"/>
        <v>703</v>
      </c>
      <c r="AD29" s="2">
        <f>((Y29 + IF(Parameters_Public!$C$20=1, INDEX(YearMap!$O$2:$O$6, MATCH(C29, YearMap!$A$2:$A$6, 0)), 0))*AC29) + AC29*INDEX(YearMap!$P$2:$P$6, MATCH(C29, YearMap!$A$2:$A$6, 0))</f>
        <v>8098595.5674062502</v>
      </c>
      <c r="AE29" s="2">
        <f>W29 - (1-Parameters_Public!$C42)*$G29*$AB29*$J29*(1-$K29)</f>
        <v>6853176.8447890785</v>
      </c>
      <c r="AF29" s="2">
        <f t="shared" si="8"/>
        <v>1245418.7226171717</v>
      </c>
      <c r="AG29" t="str">
        <f t="shared" si="9"/>
        <v>G_EchoGHubRamp_PimaTargets|FY2028</v>
      </c>
    </row>
    <row r="30" spans="1:33">
      <c r="A30" t="str">
        <f t="shared" si="0"/>
        <v>G_EchoGHubRamp_PimaTargets|FY2029</v>
      </c>
      <c r="B30" t="str">
        <f>Scenarios!A7</f>
        <v>G_EchoGHubRamp_PimaTargets</v>
      </c>
      <c r="C30" t="s">
        <v>34</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362</v>
      </c>
      <c r="M30">
        <f>IF(Scenarios!$R7=1,BaselineCalc!$B$8*(1+Parameters_Public!$C45)^(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5398.4527031249991</v>
      </c>
      <c r="Z30" s="2">
        <f>W30 - ((Y30 + IF(Parameters_Public!$C$20=1, Parameters_Public!$C$19, 0))*AC30)</f>
        <v>3729679.1466944115</v>
      </c>
      <c r="AA30" s="2">
        <f t="shared" si="6"/>
        <v>5305.3757420973134</v>
      </c>
      <c r="AB30">
        <f>MAX(0, (MAX(0, $D30-BaselineCalc!$B$7) + MAX(0, $E30-BaselineCalc!$B$8)))</f>
        <v>150</v>
      </c>
      <c r="AC30">
        <f t="shared" si="7"/>
        <v>703</v>
      </c>
      <c r="AD30" s="2">
        <f>((Y30 + IF(Parameters_Public!$C$20=1, INDEX(YearMap!$O$2:$O$6, MATCH(C30, YearMap!$A$2:$A$6, 0)), 0))*AC30) + AC30*INDEX(YearMap!$P$2:$P$6, MATCH(C30, YearMap!$A$2:$A$6, 0))</f>
        <v>8301060.456591405</v>
      </c>
      <c r="AE30" s="2">
        <f>W30 - (1-Parameters_Public!$C42)*$G30*$AB30*$J30*(1-$K30)</f>
        <v>7024506.2659088029</v>
      </c>
      <c r="AF30" s="2">
        <f t="shared" si="8"/>
        <v>1276554.1906826021</v>
      </c>
      <c r="AG30" t="str">
        <f t="shared" si="9"/>
        <v>G_EchoGHubRamp_PimaTargets|FY2029</v>
      </c>
    </row>
    <row r="31" spans="1:33">
      <c r="A31" t="str">
        <f t="shared" si="0"/>
        <v>G_EchoGHubRamp_PimaTargets|FY2030</v>
      </c>
      <c r="B31" t="str">
        <f>Scenarios!A7</f>
        <v>G_EchoGHubRamp_PimaTargets</v>
      </c>
      <c r="C31" t="s">
        <v>35</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362</v>
      </c>
      <c r="M31">
        <f>IF(Scenarios!$R7=1,BaselineCalc!$B$8*(1+Parameters_Public!$C45)^(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5533.4140207031242</v>
      </c>
      <c r="Z31" s="2">
        <f>W31 - ((Y31 + IF(Parameters_Public!$C$20=1, Parameters_Public!$C$19, 0))*AC31)</f>
        <v>3836136.6466117715</v>
      </c>
      <c r="AA31" s="2">
        <f t="shared" si="6"/>
        <v>5456.8088856497461</v>
      </c>
      <c r="AB31">
        <f>MAX(0, (MAX(0, $D31-BaselineCalc!$B$7) + MAX(0, $E31-BaselineCalc!$B$8)))</f>
        <v>150</v>
      </c>
      <c r="AC31">
        <f t="shared" si="7"/>
        <v>703</v>
      </c>
      <c r="AD31" s="2">
        <f>((Y31 + IF(Parameters_Public!$C$20=1, INDEX(YearMap!$O$2:$O$6, MATCH(C31, YearMap!$A$2:$A$6, 0)), 0))*AC31) + AC31*INDEX(YearMap!$P$2:$P$6, MATCH(C31, YearMap!$A$2:$A$6, 0))</f>
        <v>8508586.9680061899</v>
      </c>
      <c r="AE31" s="2">
        <f>W31 - (1-Parameters_Public!$C42)*$G31*$AB31*$J31*(1-$K31)</f>
        <v>7200118.9225565232</v>
      </c>
      <c r="AF31" s="2">
        <f t="shared" si="8"/>
        <v>1308468.0454496667</v>
      </c>
      <c r="AG31" t="str">
        <f t="shared" si="9"/>
        <v>G_EchoGHubRamp_PimaTargets|FY2030</v>
      </c>
    </row>
    <row r="32" spans="1:33">
      <c r="A32" t="str">
        <f t="shared" si="0"/>
        <v>A_Repurpose_Both_lease|FY2026</v>
      </c>
      <c r="B32" t="str">
        <f>Scenarios!A8</f>
        <v>A_Repurpose_Both_lease</v>
      </c>
      <c r="C32" t="s">
        <v>31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(Parameters_Public!$C$22*(L32-D32)+Parameters_Public!$C$23*(M32-E32))</f>
        <v>184.02500000000001</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1364455.4787874997</v>
      </c>
      <c r="W32" s="2">
        <f>U32+V32+IF(Parameters_Public!$C$26=1, T32, 0)</f>
        <v>2564678.7168041002</v>
      </c>
      <c r="X32" s="2">
        <f t="shared" si="5"/>
        <v>13936.577730221981</v>
      </c>
      <c r="Y32" s="2">
        <f>INDEX(YearMap!$I$2:$I$6, MATCH(C32, YearMap!$A$2:$A$6, 0))</f>
        <v>5013</v>
      </c>
      <c r="Z32" s="2">
        <f>W32 - ((Y32 + IF(Parameters_Public!$C$20=1, Parameters_Public!$C$19, 0))*AC32)</f>
        <v>1503783.7930541001</v>
      </c>
      <c r="AA32" s="2">
        <f t="shared" si="6"/>
        <v>8171.6277302219814</v>
      </c>
      <c r="AB32">
        <f>MAX(0, (MAX(0, $D32-BaselineCalc!$B$7) + MAX(0, $E32-BaselineCalc!$B$8)))</f>
        <v>0</v>
      </c>
      <c r="AC32">
        <f t="shared" si="7"/>
        <v>184.02500000000001</v>
      </c>
      <c r="AD32" s="2">
        <f>((Y32 + IF(Parameters_Public!$C$20=1, INDEX(YearMap!$O$2:$O$6, MATCH(C32, YearMap!$A$2:$A$6, 0)), 0))*AC32) + AC32*INDEX(YearMap!$P$2:$P$6, MATCH(C32, YearMap!$A$2:$A$6, 0))</f>
        <v>2017824.9237500001</v>
      </c>
      <c r="AE32" s="2">
        <f>W32 - (1-Parameters_Public!$C42)*$G32*$AB32*$J32*(1-$K32)</f>
        <v>2564678.7168041002</v>
      </c>
      <c r="AF32" s="2">
        <f t="shared" si="8"/>
        <v>-546853.79305410013</v>
      </c>
      <c r="AG32" t="str">
        <f t="shared" si="9"/>
        <v>A_Repurpose_Both_lease|FY2026</v>
      </c>
    </row>
    <row r="33" spans="1:33">
      <c r="A33" t="str">
        <f t="shared" ref="A33:A66" si="10">AG33</f>
        <v>A_Repurpose_Both_lease|FY2027</v>
      </c>
      <c r="B33" t="str">
        <f>Scenarios!A8</f>
        <v>A_Repurpose_Both_lease</v>
      </c>
      <c r="C33" t="s">
        <v>32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(Parameters_Public!$C$22*(L33-D33)+Parameters_Public!$C$23*(M33-E33))</f>
        <v>184.02500000000001</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1357161.2407571874</v>
      </c>
      <c r="W33" s="2">
        <f>U33+V33+IF(Parameters_Public!$C$26=1, T33, 0)</f>
        <v>2279832.8549824487</v>
      </c>
      <c r="X33" s="2">
        <f t="shared" si="5"/>
        <v>12388.712701983148</v>
      </c>
      <c r="Y33" s="2">
        <f>INDEX(YearMap!$I$2:$I$6, MATCH(C33, YearMap!$A$2:$A$6, 0))</f>
        <v>5138.3249999999998</v>
      </c>
      <c r="Z33" s="2">
        <f>W33 - ((Y33 + IF(Parameters_Public!$C$20=1, Parameters_Public!$C$19, 0))*AC33)</f>
        <v>1195874.9981074487</v>
      </c>
      <c r="AA33" s="2">
        <f t="shared" si="6"/>
        <v>6498.4377019831472</v>
      </c>
      <c r="AB33">
        <f>MAX(0, (MAX(0, $D33-BaselineCalc!$B$7) + MAX(0, $E33-BaselineCalc!$B$8)))</f>
        <v>0</v>
      </c>
      <c r="AC33">
        <f t="shared" si="7"/>
        <v>184.02500000000001</v>
      </c>
      <c r="AD33" s="2">
        <f>((Y33 + IF(Parameters_Public!$C$20=1, INDEX(YearMap!$O$2:$O$6, MATCH(C33, YearMap!$A$2:$A$6, 0)), 0))*AC33) + AC33*INDEX(YearMap!$P$2:$P$6, MATCH(C33, YearMap!$A$2:$A$6, 0))</f>
        <v>2068270.5468437499</v>
      </c>
      <c r="AE33" s="2">
        <f>W33 - (1-Parameters_Public!$C42)*$G33*$AB33*$J33*(1-$K33)</f>
        <v>2279832.8549824487</v>
      </c>
      <c r="AF33" s="2">
        <f t="shared" si="8"/>
        <v>-211562.30813869881</v>
      </c>
      <c r="AG33" t="str">
        <f t="shared" si="9"/>
        <v>A_Repurpose_Both_lease|FY2027</v>
      </c>
    </row>
    <row r="34" spans="1:33">
      <c r="A34" t="str">
        <f t="shared" si="10"/>
        <v>A_Repurpose_Both_lease|FY2028</v>
      </c>
      <c r="B34" t="str">
        <f>Scenarios!A8</f>
        <v>A_Repurpose_Both_lease</v>
      </c>
      <c r="C34" t="s">
        <v>33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184.02500000000001</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1350604.7717761169</v>
      </c>
      <c r="W34" s="2">
        <f>U34+V34+IF(Parameters_Public!$C$26=1, T34, 0)</f>
        <v>1981097.0414967122</v>
      </c>
      <c r="X34" s="2">
        <f t="shared" ref="X34:X65" si="15">IF(F34+O34&gt;0, W34/(F34+O34),"")</f>
        <v>10765.369061250984</v>
      </c>
      <c r="Y34" s="2">
        <f>INDEX(YearMap!$I$2:$I$6, MATCH(C34, YearMap!$A$2:$A$6, 0))</f>
        <v>5266.7831249999999</v>
      </c>
      <c r="Z34" s="2">
        <f>W34 - ((Y34 + IF(Parameters_Public!$C$20=1, Parameters_Public!$C$19, 0))*AC34)</f>
        <v>873499.67816858715</v>
      </c>
      <c r="AA34" s="2">
        <f t="shared" ref="AA34:AA66" si="16">IF($AC34&gt;0, $Z34/$AC34, 0)</f>
        <v>4746.6359362509829</v>
      </c>
      <c r="AB34">
        <f>MAX(0, (MAX(0, $D34-BaselineCalc!$B$7) + MAX(0, $E34-BaselineCalc!$B$8)))</f>
        <v>0</v>
      </c>
      <c r="AC34">
        <f t="shared" ref="AC34:AC66" si="17">IF(LEFT($B34,2)="A_", $O34, IF(LEFT($B34,2)="B_", $M34+$O34, IF(LEFT($B34,2)="C_", $L34+$O34, $F34)))</f>
        <v>184.02500000000001</v>
      </c>
      <c r="AD34" s="2">
        <f>((Y34 + IF(Parameters_Public!$C$20=1, INDEX(YearMap!$O$2:$O$6, MATCH(C34, YearMap!$A$2:$A$6, 0)), 0))*AC34) + AC34*INDEX(YearMap!$P$2:$P$6, MATCH(C34, YearMap!$A$2:$A$6, 0))</f>
        <v>2119977.310514844</v>
      </c>
      <c r="AE34" s="2">
        <f>W34 - (1-Parameters_Public!$C42)*$G34*$AB34*$J34*(1-$K34)</f>
        <v>1981097.0414967122</v>
      </c>
      <c r="AF34" s="2">
        <f t="shared" ref="AF34:AF65" si="18">AD34-AE34</f>
        <v>138880.26901813177</v>
      </c>
      <c r="AG34" t="str">
        <f t="shared" ref="AG34:AG66" si="19">B34&amp;"|"&amp;C34</f>
        <v>A_Repurpose_Both_lease|FY2028</v>
      </c>
    </row>
    <row r="35" spans="1:33">
      <c r="A35" t="str">
        <f t="shared" si="10"/>
        <v>A_Repurpose_Both_lease|FY2029</v>
      </c>
      <c r="B35" t="str">
        <f>Scenarios!A8</f>
        <v>A_Repurpose_Both_lease</v>
      </c>
      <c r="C35" t="s">
        <v>34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(Parameters_Public!$C$22*(L35-D35)+Parameters_Public!$C$23*(M35-E35))</f>
        <v>184.02500000000001</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1363207.0160705198</v>
      </c>
      <c r="W35" s="2">
        <f>U35+V35+IF(Parameters_Public!$C$26=1, T35, 0)</f>
        <v>1686334.3043023248</v>
      </c>
      <c r="X35" s="2">
        <f t="shared" si="15"/>
        <v>9163.615293043471</v>
      </c>
      <c r="Y35" s="2">
        <f>INDEX(YearMap!$I$2:$I$6, MATCH(C35, YearMap!$A$2:$A$6, 0))</f>
        <v>5398.4527031249991</v>
      </c>
      <c r="Z35" s="2">
        <f>W35 - ((Y35 + IF(Parameters_Public!$C$20=1, Parameters_Public!$C$19, 0))*AC35)</f>
        <v>554506.44685974671</v>
      </c>
      <c r="AA35" s="2">
        <f t="shared" si="16"/>
        <v>3013.2125899184712</v>
      </c>
      <c r="AB35">
        <f>MAX(0, (MAX(0, $D35-BaselineCalc!$B$7) + MAX(0, $E35-BaselineCalc!$B$8)))</f>
        <v>0</v>
      </c>
      <c r="AC35">
        <f t="shared" si="17"/>
        <v>184.02500000000001</v>
      </c>
      <c r="AD35" s="2">
        <f>((Y35 + IF(Parameters_Public!$C$20=1, INDEX(YearMap!$O$2:$O$6, MATCH(C35, YearMap!$A$2:$A$6, 0)), 0))*AC35) + AC35*INDEX(YearMap!$P$2:$P$6, MATCH(C35, YearMap!$A$2:$A$6, 0))</f>
        <v>2172976.7432777146</v>
      </c>
      <c r="AE35" s="2">
        <f>W35 - (1-Parameters_Public!$C42)*$G35*$AB35*$J35*(1-$K35)</f>
        <v>1686334.3043023248</v>
      </c>
      <c r="AF35" s="2">
        <f t="shared" si="18"/>
        <v>486642.43897538981</v>
      </c>
      <c r="AG35" t="str">
        <f t="shared" si="19"/>
        <v>A_Repurpose_Both_lease|FY2029</v>
      </c>
    </row>
    <row r="36" spans="1:33">
      <c r="A36" t="str">
        <f t="shared" si="10"/>
        <v>A_Repurpose_Both_lease|FY2030</v>
      </c>
      <c r="B36" t="str">
        <f>Scenarios!A8</f>
        <v>A_Repurpose_Both_lease</v>
      </c>
      <c r="C36" t="s">
        <v>35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(Parameters_Public!$C$22*(L36-D36)+Parameters_Public!$C$23*(M36-E36))</f>
        <v>184.02500000000001</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1358181.8789722826</v>
      </c>
      <c r="W36" s="2">
        <f>U36+V36+IF(Parameters_Public!$C$26=1, T36, 0)</f>
        <v>1689387.3494098827</v>
      </c>
      <c r="X36" s="2">
        <f t="shared" si="15"/>
        <v>9180.205675369556</v>
      </c>
      <c r="Y36" s="2">
        <f>INDEX(YearMap!$I$2:$I$6, MATCH(C36, YearMap!$A$2:$A$6, 0))</f>
        <v>5533.4140207031242</v>
      </c>
      <c r="Z36" s="2">
        <f>W36 - ((Y36 + IF(Parameters_Public!$C$20=1, Parameters_Public!$C$19, 0))*AC36)</f>
        <v>532723.23549999017</v>
      </c>
      <c r="AA36" s="2">
        <f t="shared" si="16"/>
        <v>2894.8416546664321</v>
      </c>
      <c r="AB36">
        <f>MAX(0, (MAX(0, $D36-BaselineCalc!$B$7) + MAX(0, $E36-BaselineCalc!$B$8)))</f>
        <v>0</v>
      </c>
      <c r="AC36">
        <f t="shared" si="17"/>
        <v>184.02500000000001</v>
      </c>
      <c r="AD36" s="2">
        <f>((Y36 + IF(Parameters_Public!$C$20=1, INDEX(YearMap!$O$2:$O$6, MATCH(C36, YearMap!$A$2:$A$6, 0)), 0))*AC36) + AC36*INDEX(YearMap!$P$2:$P$6, MATCH(C36, YearMap!$A$2:$A$6, 0))</f>
        <v>2227301.1618596576</v>
      </c>
      <c r="AE36" s="2">
        <f>W36 - (1-Parameters_Public!$C42)*$G36*$AB36*$J36*(1-$K36)</f>
        <v>1689387.3494098827</v>
      </c>
      <c r="AF36" s="2">
        <f t="shared" si="18"/>
        <v>537913.81244977494</v>
      </c>
      <c r="AG36" t="str">
        <f t="shared" si="19"/>
        <v>A_Repurpose_Both_lease|FY2030</v>
      </c>
    </row>
    <row r="37" spans="1:33">
      <c r="A37" t="str">
        <f t="shared" si="10"/>
        <v>A_Repurpose_Both_ops|FY2026</v>
      </c>
      <c r="B37" t="str">
        <f>Scenarios!A9</f>
        <v>A_Repurpose_Both_ops</v>
      </c>
      <c r="C37" t="s">
        <v>31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(Parameters_Public!$C$22*(L37-D37)+Parameters_Public!$C$23*(M37-E37))</f>
        <v>184.02500000000001</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1364455.4787874997</v>
      </c>
      <c r="W37" s="2">
        <f>U37+V37+IF(Parameters_Public!$C$26=1, T37, 0)</f>
        <v>2864734.5263082497</v>
      </c>
      <c r="X37" s="2">
        <f t="shared" si="15"/>
        <v>15567.094287777474</v>
      </c>
      <c r="Y37" s="2">
        <f>INDEX(YearMap!$I$2:$I$6, MATCH(C37, YearMap!$A$2:$A$6, 0))</f>
        <v>5013</v>
      </c>
      <c r="Z37" s="2">
        <f>W37 - ((Y37 + IF(Parameters_Public!$C$20=1, Parameters_Public!$C$19, 0))*AC37)</f>
        <v>1803839.6025582496</v>
      </c>
      <c r="AA37" s="2">
        <f t="shared" si="16"/>
        <v>9802.1442877774734</v>
      </c>
      <c r="AB37">
        <f>MAX(0, (MAX(0, $D37-BaselineCalc!$B$7) + MAX(0, $E37-BaselineCalc!$B$8)))</f>
        <v>0</v>
      </c>
      <c r="AC37">
        <f t="shared" si="17"/>
        <v>184.02500000000001</v>
      </c>
      <c r="AD37" s="2">
        <f>((Y37 + IF(Parameters_Public!$C$20=1, INDEX(YearMap!$O$2:$O$6, MATCH(C37, YearMap!$A$2:$A$6, 0)), 0))*AC37) + AC37*INDEX(YearMap!$P$2:$P$6, MATCH(C37, YearMap!$A$2:$A$6, 0))</f>
        <v>2017824.9237500001</v>
      </c>
      <c r="AE37" s="2">
        <f>W37 - (1-Parameters_Public!$C42)*$G37*$AB37*$J37*(1-$K37)</f>
        <v>2864734.5263082497</v>
      </c>
      <c r="AF37" s="2">
        <f t="shared" si="18"/>
        <v>-846909.60255824961</v>
      </c>
      <c r="AG37" t="str">
        <f t="shared" si="19"/>
        <v>A_Repurpose_Both_ops|FY2026</v>
      </c>
    </row>
    <row r="38" spans="1:33">
      <c r="A38" t="str">
        <f t="shared" si="10"/>
        <v>A_Repurpose_Both_ops|FY2027</v>
      </c>
      <c r="B38" t="str">
        <f>Scenarios!A9</f>
        <v>A_Repurpose_Both_ops</v>
      </c>
      <c r="C38" t="s">
        <v>32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(Parameters_Public!$C$22*(L38-D38)+Parameters_Public!$C$23*(M38-E38))</f>
        <v>184.02500000000001</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1357161.2407571874</v>
      </c>
      <c r="W38" s="2">
        <f>U38+V38+IF(Parameters_Public!$C$26=1, T38, 0)</f>
        <v>2587390.0597242028</v>
      </c>
      <c r="X38" s="2">
        <f t="shared" si="15"/>
        <v>14059.992173477533</v>
      </c>
      <c r="Y38" s="2">
        <f>INDEX(YearMap!$I$2:$I$6, MATCH(C38, YearMap!$A$2:$A$6, 0))</f>
        <v>5138.3249999999998</v>
      </c>
      <c r="Z38" s="2">
        <f>W38 - ((Y38 + IF(Parameters_Public!$C$20=1, Parameters_Public!$C$19, 0))*AC38)</f>
        <v>1503432.2028492028</v>
      </c>
      <c r="AA38" s="2">
        <f t="shared" si="16"/>
        <v>8169.7171734775311</v>
      </c>
      <c r="AB38">
        <f>MAX(0, (MAX(0, $D38-BaselineCalc!$B$7) + MAX(0, $E38-BaselineCalc!$B$8)))</f>
        <v>0</v>
      </c>
      <c r="AC38">
        <f t="shared" si="17"/>
        <v>184.02500000000001</v>
      </c>
      <c r="AD38" s="2">
        <f>((Y38 + IF(Parameters_Public!$C$20=1, INDEX(YearMap!$O$2:$O$6, MATCH(C38, YearMap!$A$2:$A$6, 0)), 0))*AC38) + AC38*INDEX(YearMap!$P$2:$P$6, MATCH(C38, YearMap!$A$2:$A$6, 0))</f>
        <v>2068270.5468437499</v>
      </c>
      <c r="AE38" s="2">
        <f>W38 - (1-Parameters_Public!$C42)*$G38*$AB38*$J38*(1-$K38)</f>
        <v>2587390.0597242028</v>
      </c>
      <c r="AF38" s="2">
        <f t="shared" si="18"/>
        <v>-519119.51288045291</v>
      </c>
      <c r="AG38" t="str">
        <f t="shared" si="19"/>
        <v>A_Repurpose_Both_ops|FY2027</v>
      </c>
    </row>
    <row r="39" spans="1:33">
      <c r="A39" t="str">
        <f t="shared" si="10"/>
        <v>A_Repurpose_Both_ops|FY2028</v>
      </c>
      <c r="B39" t="str">
        <f>Scenarios!A9</f>
        <v>A_Repurpose_Both_ops</v>
      </c>
      <c r="C39" t="s">
        <v>33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(Parameters_Public!$C$22*(L39-D39)+Parameters_Public!$C$23*(M39-E39))</f>
        <v>184.02500000000001</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1350604.7717761169</v>
      </c>
      <c r="W39" s="2">
        <f>U39+V39+IF(Parameters_Public!$C$26=1, T39, 0)</f>
        <v>2453966.2437871583</v>
      </c>
      <c r="X39" s="2">
        <f t="shared" si="15"/>
        <v>13334.961248673595</v>
      </c>
      <c r="Y39" s="2">
        <f>INDEX(YearMap!$I$2:$I$6, MATCH(C39, YearMap!$A$2:$A$6, 0))</f>
        <v>5266.7831249999999</v>
      </c>
      <c r="Z39" s="2">
        <f>W39 - ((Y39 + IF(Parameters_Public!$C$20=1, Parameters_Public!$C$19, 0))*AC39)</f>
        <v>1346368.8804590332</v>
      </c>
      <c r="AA39" s="2">
        <f t="shared" si="16"/>
        <v>7316.2281236735944</v>
      </c>
      <c r="AB39">
        <f>MAX(0, (MAX(0, $D39-BaselineCalc!$B$7) + MAX(0, $E39-BaselineCalc!$B$8)))</f>
        <v>0</v>
      </c>
      <c r="AC39">
        <f t="shared" si="17"/>
        <v>184.02500000000001</v>
      </c>
      <c r="AD39" s="2">
        <f>((Y39 + IF(Parameters_Public!$C$20=1, INDEX(YearMap!$O$2:$O$6, MATCH(C39, YearMap!$A$2:$A$6, 0)), 0))*AC39) + AC39*INDEX(YearMap!$P$2:$P$6, MATCH(C39, YearMap!$A$2:$A$6, 0))</f>
        <v>2119977.310514844</v>
      </c>
      <c r="AE39" s="2">
        <f>W39 - (1-Parameters_Public!$C42)*$G39*$AB39*$J39*(1-$K39)</f>
        <v>2453966.2437871583</v>
      </c>
      <c r="AF39" s="2">
        <f t="shared" si="18"/>
        <v>-333988.93327231426</v>
      </c>
      <c r="AG39" t="str">
        <f t="shared" si="19"/>
        <v>A_Repurpose_Both_ops|FY2028</v>
      </c>
    </row>
    <row r="40" spans="1:33">
      <c r="A40" t="str">
        <f t="shared" si="10"/>
        <v>A_Repurpose_Both_ops|FY2029</v>
      </c>
      <c r="B40" t="str">
        <f>Scenarios!A9</f>
        <v>A_Repurpose_Both_ops</v>
      </c>
      <c r="C40" t="s">
        <v>34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(Parameters_Public!$C$22*(L40-D40)+Parameters_Public!$C$23*(M40-E40))</f>
        <v>184.02500000000001</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1363207.0160705198</v>
      </c>
      <c r="W40" s="2">
        <f>U40+V40+IF(Parameters_Public!$C$26=1, T40, 0)</f>
        <v>2332588.8807659349</v>
      </c>
      <c r="X40" s="2">
        <f t="shared" si="15"/>
        <v>12675.391282521043</v>
      </c>
      <c r="Y40" s="2">
        <f>INDEX(YearMap!$I$2:$I$6, MATCH(C40, YearMap!$A$2:$A$6, 0))</f>
        <v>5398.4527031249991</v>
      </c>
      <c r="Z40" s="2">
        <f>W40 - ((Y40 + IF(Parameters_Public!$C$20=1, Parameters_Public!$C$19, 0))*AC40)</f>
        <v>1200761.0233233569</v>
      </c>
      <c r="AA40" s="2">
        <f t="shared" si="16"/>
        <v>6524.988579396043</v>
      </c>
      <c r="AB40">
        <f>MAX(0, (MAX(0, $D40-BaselineCalc!$B$7) + MAX(0, $E40-BaselineCalc!$B$8)))</f>
        <v>0</v>
      </c>
      <c r="AC40">
        <f t="shared" si="17"/>
        <v>184.02500000000001</v>
      </c>
      <c r="AD40" s="2">
        <f>((Y40 + IF(Parameters_Public!$C$20=1, INDEX(YearMap!$O$2:$O$6, MATCH(C40, YearMap!$A$2:$A$6, 0)), 0))*AC40) + AC40*INDEX(YearMap!$P$2:$P$6, MATCH(C40, YearMap!$A$2:$A$6, 0))</f>
        <v>2172976.7432777146</v>
      </c>
      <c r="AE40" s="2">
        <f>W40 - (1-Parameters_Public!$C42)*$G40*$AB40*$J40*(1-$K40)</f>
        <v>2332588.8807659349</v>
      </c>
      <c r="AF40" s="2">
        <f t="shared" si="18"/>
        <v>-159612.13748822035</v>
      </c>
      <c r="AG40" t="str">
        <f t="shared" si="19"/>
        <v>A_Repurpose_Both_ops|FY2029</v>
      </c>
    </row>
    <row r="41" spans="1:33">
      <c r="A41" t="str">
        <f t="shared" si="10"/>
        <v>A_Repurpose_Both_ops|FY2030</v>
      </c>
      <c r="B41" t="str">
        <f>Scenarios!A9</f>
        <v>A_Repurpose_Both_ops</v>
      </c>
      <c r="C41" t="s">
        <v>35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(Parameters_Public!$C$22*(L41-D41)+Parameters_Public!$C$23*(M41-E41))</f>
        <v>184.02500000000001</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1358181.8789722826</v>
      </c>
      <c r="W41" s="2">
        <f>U41+V41+IF(Parameters_Public!$C$26=1, T41, 0)</f>
        <v>2351798.290285083</v>
      </c>
      <c r="X41" s="2">
        <f t="shared" si="15"/>
        <v>12779.776064584066</v>
      </c>
      <c r="Y41" s="2">
        <f>INDEX(YearMap!$I$2:$I$6, MATCH(C41, YearMap!$A$2:$A$6, 0))</f>
        <v>5533.4140207031242</v>
      </c>
      <c r="Z41" s="2">
        <f>W41 - ((Y41 + IF(Parameters_Public!$C$20=1, Parameters_Public!$C$19, 0))*AC41)</f>
        <v>1195134.1763751905</v>
      </c>
      <c r="AA41" s="2">
        <f t="shared" si="16"/>
        <v>6494.4120438809423</v>
      </c>
      <c r="AB41">
        <f>MAX(0, (MAX(0, $D41-BaselineCalc!$B$7) + MAX(0, $E41-BaselineCalc!$B$8)))</f>
        <v>0</v>
      </c>
      <c r="AC41">
        <f t="shared" si="17"/>
        <v>184.02500000000001</v>
      </c>
      <c r="AD41" s="2">
        <f>((Y41 + IF(Parameters_Public!$C$20=1, INDEX(YearMap!$O$2:$O$6, MATCH(C41, YearMap!$A$2:$A$6, 0)), 0))*AC41) + AC41*INDEX(YearMap!$P$2:$P$6, MATCH(C41, YearMap!$A$2:$A$6, 0))</f>
        <v>2227301.1618596576</v>
      </c>
      <c r="AE41" s="2">
        <f>W41 - (1-Parameters_Public!$C42)*$G41*$AB41*$J41*(1-$K41)</f>
        <v>2351798.290285083</v>
      </c>
      <c r="AF41" s="2">
        <f t="shared" si="18"/>
        <v>-124497.12842542538</v>
      </c>
      <c r="AG41" t="str">
        <f t="shared" si="19"/>
        <v>A_Repurpose_Both_ops|FY2030</v>
      </c>
    </row>
    <row r="42" spans="1:33">
      <c r="A42" t="str">
        <f t="shared" si="10"/>
        <v>B_Repurpose_Echo_lease_PimaTargets|FY2026</v>
      </c>
      <c r="B42" t="str">
        <f>Scenarios!A10</f>
        <v>B_Repurpose_Echo_lease_PimaTargets</v>
      </c>
      <c r="C42" t="s">
        <v>31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(Parameters_Public!$C$22*(L42-D42)+Parameters_Public!$C$23*(M42-E42))</f>
        <v>6.4250000000000007</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47638.236387499994</v>
      </c>
      <c r="W42" s="2">
        <f>U42+V42+IF(Parameters_Public!$C$26=1, T42, 0)</f>
        <v>4096917.2179528996</v>
      </c>
      <c r="X42" s="2">
        <f t="shared" si="15"/>
        <v>13546.886725478713</v>
      </c>
      <c r="Y42" s="2">
        <f>INDEX(YearMap!$I$2:$I$6, MATCH(C42, YearMap!$A$2:$A$6, 0))</f>
        <v>5013</v>
      </c>
      <c r="Z42" s="2">
        <f>W42 - ((Y42 + IF(Parameters_Public!$C$20=1, Parameters_Public!$C$19, 0))*AC42)</f>
        <v>2353452.2142028995</v>
      </c>
      <c r="AA42" s="2">
        <f t="shared" si="16"/>
        <v>7781.9367254787121</v>
      </c>
      <c r="AB42">
        <f>MAX(0, (MAX(0, $D42-BaselineCalc!$B$7) + MAX(0, $E42-BaselineCalc!$B$8)))</f>
        <v>0</v>
      </c>
      <c r="AC42">
        <f t="shared" si="17"/>
        <v>302.42500000000001</v>
      </c>
      <c r="AD42" s="2">
        <f>((Y42 + IF(Parameters_Public!$C$20=1, INDEX(YearMap!$O$2:$O$6, MATCH(C42, YearMap!$A$2:$A$6, 0)), 0))*AC42) + AC42*INDEX(YearMap!$P$2:$P$6, MATCH(C42, YearMap!$A$2:$A$6, 0))</f>
        <v>3316075.0037500001</v>
      </c>
      <c r="AE42" s="2">
        <f>W42 - (1-Parameters_Public!$C42)*$G42*$AB42*$J42*(1-$K42)</f>
        <v>4096917.2179528996</v>
      </c>
      <c r="AF42" s="2">
        <f t="shared" si="18"/>
        <v>-780842.21420289949</v>
      </c>
      <c r="AG42" t="str">
        <f t="shared" si="19"/>
        <v>B_Repurpose_Echo_lease_PimaTargets|FY2026</v>
      </c>
    </row>
    <row r="43" spans="1:33">
      <c r="A43" t="str">
        <f t="shared" si="10"/>
        <v>B_Repurpose_Echo_lease_PimaTargets|FY2027</v>
      </c>
      <c r="B43" t="str">
        <f>Scenarios!A10</f>
        <v>B_Repurpose_Echo_lease_PimaTargets</v>
      </c>
      <c r="C43" t="s">
        <v>32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(Parameters_Public!$C$22*(L43-D43)+Parameters_Public!$C$23*(M43-E43))</f>
        <v>6.4250000000000007</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47383.567297187496</v>
      </c>
      <c r="W43" s="2">
        <f>U43+V43+IF(Parameters_Public!$C$26=1, T43, 0)</f>
        <v>4054961.066586839</v>
      </c>
      <c r="X43" s="2">
        <f t="shared" si="15"/>
        <v>13408.154307966732</v>
      </c>
      <c r="Y43" s="2">
        <f>INDEX(YearMap!$I$2:$I$6, MATCH(C43, YearMap!$A$2:$A$6, 0))</f>
        <v>5138.3249999999998</v>
      </c>
      <c r="Z43" s="2">
        <f>W43 - ((Y43 + IF(Parameters_Public!$C$20=1, Parameters_Public!$C$19, 0))*AC43)</f>
        <v>2273594.6497118389</v>
      </c>
      <c r="AA43" s="2">
        <f t="shared" si="16"/>
        <v>7517.8793079667321</v>
      </c>
      <c r="AB43">
        <f>MAX(0, (MAX(0, $D43-BaselineCalc!$B$7) + MAX(0, $E43-BaselineCalc!$B$8)))</f>
        <v>0</v>
      </c>
      <c r="AC43">
        <f t="shared" si="17"/>
        <v>302.42500000000001</v>
      </c>
      <c r="AD43" s="2">
        <f>((Y43 + IF(Parameters_Public!$C$20=1, INDEX(YearMap!$O$2:$O$6, MATCH(C43, YearMap!$A$2:$A$6, 0)), 0))*AC43) + AC43*INDEX(YearMap!$P$2:$P$6, MATCH(C43, YearMap!$A$2:$A$6, 0))</f>
        <v>3398976.8788437499</v>
      </c>
      <c r="AE43" s="2">
        <f>W43 - (1-Parameters_Public!$C42)*$G43*$AB43*$J43*(1-$K43)</f>
        <v>4054961.066586839</v>
      </c>
      <c r="AF43" s="2">
        <f t="shared" si="18"/>
        <v>-655984.18774308916</v>
      </c>
      <c r="AG43" t="str">
        <f t="shared" si="19"/>
        <v>B_Repurpose_Echo_lease_PimaTargets|FY2027</v>
      </c>
    </row>
    <row r="44" spans="1:33">
      <c r="A44" t="str">
        <f t="shared" si="10"/>
        <v>B_Repurpose_Echo_lease_PimaTargets|FY2028</v>
      </c>
      <c r="B44" t="str">
        <f>Scenarios!A10</f>
        <v>B_Repurpose_Echo_lease_PimaTargets</v>
      </c>
      <c r="C44" t="s">
        <v>33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(Parameters_Public!$C$22*(L44-D44)+Parameters_Public!$C$23*(M44-E44))</f>
        <v>6.4250000000000007</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47154.656479617181</v>
      </c>
      <c r="W44" s="2">
        <f>U44+V44+IF(Parameters_Public!$C$26=1, T44, 0)</f>
        <v>4008414.8000162537</v>
      </c>
      <c r="X44" s="2">
        <f t="shared" si="15"/>
        <v>13254.244192828812</v>
      </c>
      <c r="Y44" s="2">
        <f>INDEX(YearMap!$I$2:$I$6, MATCH(C44, YearMap!$A$2:$A$6, 0))</f>
        <v>5266.7831249999999</v>
      </c>
      <c r="Z44" s="2">
        <f>W44 - ((Y44 + IF(Parameters_Public!$C$20=1, Parameters_Public!$C$19, 0))*AC44)</f>
        <v>2188199.4346881285</v>
      </c>
      <c r="AA44" s="2">
        <f t="shared" si="16"/>
        <v>7235.511067828812</v>
      </c>
      <c r="AB44">
        <f>MAX(0, (MAX(0, $D44-BaselineCalc!$B$7) + MAX(0, $E44-BaselineCalc!$B$8)))</f>
        <v>0</v>
      </c>
      <c r="AC44">
        <f t="shared" si="17"/>
        <v>302.42500000000001</v>
      </c>
      <c r="AD44" s="2">
        <f>((Y44 + IF(Parameters_Public!$C$20=1, INDEX(YearMap!$O$2:$O$6, MATCH(C44, YearMap!$A$2:$A$6, 0)), 0))*AC44) + AC44*INDEX(YearMap!$P$2:$P$6, MATCH(C44, YearMap!$A$2:$A$6, 0))</f>
        <v>3483951.3008148437</v>
      </c>
      <c r="AE44" s="2">
        <f>W44 - (1-Parameters_Public!$C42)*$G44*$AB44*$J44*(1-$K44)</f>
        <v>4008414.8000162537</v>
      </c>
      <c r="AF44" s="2">
        <f t="shared" si="18"/>
        <v>-524463.49920140998</v>
      </c>
      <c r="AG44" t="str">
        <f t="shared" si="19"/>
        <v>B_Repurpose_Echo_lease_PimaTargets|FY2028</v>
      </c>
    </row>
    <row r="45" spans="1:33">
      <c r="A45" t="str">
        <f t="shared" si="10"/>
        <v>B_Repurpose_Echo_lease_PimaTargets|FY2029</v>
      </c>
      <c r="B45" t="str">
        <f>Scenarios!A10</f>
        <v>B_Repurpose_Echo_lease_PimaTargets</v>
      </c>
      <c r="C45" t="s">
        <v>34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(Parameters_Public!$C$22*(L45-D45)+Parameters_Public!$C$23*(M45-E45))</f>
        <v>6.4250000000000007</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47594.647891607608</v>
      </c>
      <c r="W45" s="2">
        <f>U45+V45+IF(Parameters_Public!$C$26=1, T45, 0)</f>
        <v>3957716.831950522</v>
      </c>
      <c r="X45" s="2">
        <f t="shared" si="15"/>
        <v>13086.606041003626</v>
      </c>
      <c r="Y45" s="2">
        <f>INDEX(YearMap!$I$2:$I$6, MATCH(C45, YearMap!$A$2:$A$6, 0))</f>
        <v>5398.4527031249991</v>
      </c>
      <c r="Z45" s="2">
        <f>W45 - ((Y45 + IF(Parameters_Public!$C$20=1, Parameters_Public!$C$19, 0))*AC45)</f>
        <v>2097681.2944579441</v>
      </c>
      <c r="AA45" s="2">
        <f t="shared" si="16"/>
        <v>6936.2033378786282</v>
      </c>
      <c r="AB45">
        <f>MAX(0, (MAX(0, $D45-BaselineCalc!$B$7) + MAX(0, $E45-BaselineCalc!$B$8)))</f>
        <v>0</v>
      </c>
      <c r="AC45">
        <f t="shared" si="17"/>
        <v>302.42500000000001</v>
      </c>
      <c r="AD45" s="2">
        <f>((Y45 + IF(Parameters_Public!$C$20=1, INDEX(YearMap!$O$2:$O$6, MATCH(C45, YearMap!$A$2:$A$6, 0)), 0))*AC45) + AC45*INDEX(YearMap!$P$2:$P$6, MATCH(C45, YearMap!$A$2:$A$6, 0))</f>
        <v>3571050.0833352143</v>
      </c>
      <c r="AE45" s="2">
        <f>W45 - (1-Parameters_Public!$C42)*$G45*$AB45*$J45*(1-$K45)</f>
        <v>3957716.831950522</v>
      </c>
      <c r="AF45" s="2">
        <f t="shared" si="18"/>
        <v>-386666.74861530773</v>
      </c>
      <c r="AG45" t="str">
        <f t="shared" si="19"/>
        <v>B_Repurpose_Echo_lease_PimaTargets|FY2029</v>
      </c>
    </row>
    <row r="46" spans="1:33">
      <c r="A46" t="str">
        <f t="shared" si="10"/>
        <v>B_Repurpose_Echo_lease_PimaTargets|FY2030</v>
      </c>
      <c r="B46" t="str">
        <f>Scenarios!A10</f>
        <v>B_Repurpose_Echo_lease_PimaTargets</v>
      </c>
      <c r="C46" t="s">
        <v>35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(Parameters_Public!$C$22*(L46-D46)+Parameters_Public!$C$23*(M46-E46))</f>
        <v>6.4250000000000007</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47419.201588897791</v>
      </c>
      <c r="W46" s="2">
        <f>U46+V46+IF(Parameters_Public!$C$26=1, T46, 0)</f>
        <v>4055294.4402492852</v>
      </c>
      <c r="X46" s="2">
        <f t="shared" si="15"/>
        <v>13409.256642966968</v>
      </c>
      <c r="Y46" s="2">
        <f>INDEX(YearMap!$I$2:$I$6, MATCH(C46, YearMap!$A$2:$A$6, 0))</f>
        <v>5533.4140207031242</v>
      </c>
      <c r="Z46" s="2">
        <f>W46 - ((Y46 + IF(Parameters_Public!$C$20=1, Parameters_Public!$C$19, 0))*AC46)</f>
        <v>2154443.2262881426</v>
      </c>
      <c r="AA46" s="2">
        <f t="shared" si="16"/>
        <v>7123.892622263842</v>
      </c>
      <c r="AB46">
        <f>MAX(0, (MAX(0, $D46-BaselineCalc!$B$7) + MAX(0, $E46-BaselineCalc!$B$8)))</f>
        <v>0</v>
      </c>
      <c r="AC46">
        <f t="shared" si="17"/>
        <v>302.42500000000001</v>
      </c>
      <c r="AD46" s="2">
        <f>((Y46 + IF(Parameters_Public!$C$20=1, INDEX(YearMap!$O$2:$O$6, MATCH(C46, YearMap!$A$2:$A$6, 0)), 0))*AC46) + AC46*INDEX(YearMap!$P$2:$P$6, MATCH(C46, YearMap!$A$2:$A$6, 0))</f>
        <v>3660326.335418595</v>
      </c>
      <c r="AE46" s="2">
        <f>W46 - (1-Parameters_Public!$C42)*$G46*$AB46*$J46*(1-$K46)</f>
        <v>4055294.4402492852</v>
      </c>
      <c r="AF46" s="2">
        <f t="shared" si="18"/>
        <v>-394968.10483069019</v>
      </c>
      <c r="AG46" t="str">
        <f t="shared" si="19"/>
        <v>B_Repurpose_Echo_lease_PimaTargets|FY2030</v>
      </c>
    </row>
    <row r="47" spans="1:33">
      <c r="A47" t="str">
        <f t="shared" si="10"/>
        <v>B_Repurpose_Echo_ops_PimaTargets|FY2026</v>
      </c>
      <c r="B47" t="str">
        <f>Scenarios!A11</f>
        <v>B_Repurpose_Echo_ops_PimaTargets</v>
      </c>
      <c r="C47" t="s">
        <v>31</v>
      </c>
      <c r="D47">
        <f>IF(Scenarios!D11=1,0, L47)</f>
        <v>0</v>
      </c>
      <c r="E47">
        <f>IF(Scenarios!E11=1,0, M47)</f>
        <v>312.66666666666669</v>
      </c>
      <c r="F47">
        <f t="shared" si="11"/>
        <v>312.66666666666669</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312.66666666666669</v>
      </c>
      <c r="N47" s="11">
        <f t="shared" si="12"/>
        <v>257</v>
      </c>
      <c r="O47" s="11">
        <f>(Parameters_Public!$C$22*(L47-D47)+Parameters_Public!$C$23*(M47-E47))</f>
        <v>6.4250000000000007</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4294886.4218317503</v>
      </c>
      <c r="V47" s="2">
        <f t="shared" si="14"/>
        <v>47638.236387499994</v>
      </c>
      <c r="W47" s="2">
        <f>U47+V47+IF(Parameters_Public!$C$26=1, T47, 0)</f>
        <v>4342524.6582192499</v>
      </c>
      <c r="X47" s="2">
        <f t="shared" si="15"/>
        <v>13609.019325332583</v>
      </c>
      <c r="Y47" s="2">
        <f>INDEX(YearMap!$I$2:$I$6, MATCH(C47, YearMap!$A$2:$A$6, 0))</f>
        <v>5013</v>
      </c>
      <c r="Z47" s="2">
        <f>W47 - ((Y47 + IF(Parameters_Public!$C$20=1, Parameters_Public!$C$19, 0))*AC47)</f>
        <v>2502977.1544692498</v>
      </c>
      <c r="AA47" s="2">
        <f t="shared" si="16"/>
        <v>7844.0693253325835</v>
      </c>
      <c r="AB47">
        <f>MAX(0, (MAX(0, $D47-BaselineCalc!$B$7) + MAX(0, $E47-BaselineCalc!$B$8)))</f>
        <v>16.666666666666686</v>
      </c>
      <c r="AC47">
        <f t="shared" si="17"/>
        <v>319.0916666666667</v>
      </c>
      <c r="AD47" s="2">
        <f>((Y47 + IF(Parameters_Public!$C$20=1, INDEX(YearMap!$O$2:$O$6, MATCH(C47, YearMap!$A$2:$A$6, 0)), 0))*AC47) + AC47*INDEX(YearMap!$P$2:$P$6, MATCH(C47, YearMap!$A$2:$A$6, 0))</f>
        <v>3498824.1704166671</v>
      </c>
      <c r="AE47" s="2">
        <f>W47 - (1-Parameters_Public!$C42)*$G47*$AB47*$J47*(1-$K47)</f>
        <v>4236364.49289425</v>
      </c>
      <c r="AF47" s="2">
        <f t="shared" si="18"/>
        <v>-737540.32247758284</v>
      </c>
      <c r="AG47" t="str">
        <f t="shared" si="19"/>
        <v>B_Repurpose_Echo_ops_PimaTargets|FY2026</v>
      </c>
    </row>
    <row r="48" spans="1:33">
      <c r="A48" t="str">
        <f t="shared" si="10"/>
        <v>B_Repurpose_Echo_ops_PimaTargets|FY2027</v>
      </c>
      <c r="B48" t="str">
        <f>Scenarios!A11</f>
        <v>B_Repurpose_Echo_ops_PimaTargets</v>
      </c>
      <c r="C48" t="s">
        <v>32</v>
      </c>
      <c r="D48">
        <f>IF(Scenarios!D11=1,0, L48)</f>
        <v>0</v>
      </c>
      <c r="E48">
        <f>IF(Scenarios!E11=1,0, M48)</f>
        <v>329.33333333333331</v>
      </c>
      <c r="F48">
        <f t="shared" si="11"/>
        <v>329.33333333333331</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329.33333333333331</v>
      </c>
      <c r="N48" s="11">
        <f t="shared" si="12"/>
        <v>257</v>
      </c>
      <c r="O48" s="11">
        <f>(Parameters_Public!$C$22*(L48-D48)+Parameters_Public!$C$23*(M48-E48))</f>
        <v>6.4250000000000007</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4368139.2950207852</v>
      </c>
      <c r="V48" s="2">
        <f t="shared" si="14"/>
        <v>47383.567297187496</v>
      </c>
      <c r="W48" s="2">
        <f>U48+V48+IF(Parameters_Public!$C$26=1, T48, 0)</f>
        <v>4415522.8623179728</v>
      </c>
      <c r="X48" s="2">
        <f t="shared" si="15"/>
        <v>13150.895819864405</v>
      </c>
      <c r="Y48" s="2">
        <f>INDEX(YearMap!$I$2:$I$6, MATCH(C48, YearMap!$A$2:$A$6, 0))</f>
        <v>5138.3249999999998</v>
      </c>
      <c r="Z48" s="2">
        <f>W48 - ((Y48 + IF(Parameters_Public!$C$20=1, Parameters_Public!$C$19, 0))*AC48)</f>
        <v>2437813.9454429727</v>
      </c>
      <c r="AA48" s="2">
        <f t="shared" si="16"/>
        <v>7260.6208198644044</v>
      </c>
      <c r="AB48">
        <f>MAX(0, (MAX(0, $D48-BaselineCalc!$B$7) + MAX(0, $E48-BaselineCalc!$B$8)))</f>
        <v>33.333333333333314</v>
      </c>
      <c r="AC48">
        <f t="shared" si="17"/>
        <v>335.75833333333333</v>
      </c>
      <c r="AD48" s="2">
        <f>((Y48 + IF(Parameters_Public!$C$20=1, INDEX(YearMap!$O$2:$O$6, MATCH(C48, YearMap!$A$2:$A$6, 0)), 0))*AC48) + AC48*INDEX(YearMap!$P$2:$P$6, MATCH(C48, YearMap!$A$2:$A$6, 0))</f>
        <v>3773612.6705104159</v>
      </c>
      <c r="AE48" s="2">
        <f>W48 - (1-Parameters_Public!$C42)*$G48*$AB48*$J48*(1-$K48)</f>
        <v>4197894.5234017232</v>
      </c>
      <c r="AF48" s="2">
        <f t="shared" si="18"/>
        <v>-424281.85289130732</v>
      </c>
      <c r="AG48" t="str">
        <f t="shared" si="19"/>
        <v>B_Repurpose_Echo_ops_PimaTargets|FY2027</v>
      </c>
    </row>
    <row r="49" spans="1:33">
      <c r="A49" t="str">
        <f t="shared" si="10"/>
        <v>B_Repurpose_Echo_ops_PimaTargets|FY2028</v>
      </c>
      <c r="B49" t="str">
        <f>Scenarios!A11</f>
        <v>B_Repurpose_Echo_ops_PimaTargets</v>
      </c>
      <c r="C49" t="s">
        <v>33</v>
      </c>
      <c r="D49">
        <f>IF(Scenarios!D11=1,0, L49)</f>
        <v>0</v>
      </c>
      <c r="E49">
        <f>IF(Scenarios!E11=1,0, M49)</f>
        <v>346</v>
      </c>
      <c r="F49">
        <f t="shared" si="11"/>
        <v>346</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346</v>
      </c>
      <c r="N49" s="11">
        <f t="shared" si="12"/>
        <v>257</v>
      </c>
      <c r="O49" s="11">
        <f>(Parameters_Public!$C$22*(L49-D49)+Parameters_Public!$C$23*(M49-E49))</f>
        <v>6.4250000000000007</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4515623.9044732545</v>
      </c>
      <c r="V49" s="2">
        <f t="shared" si="14"/>
        <v>47154.656479617181</v>
      </c>
      <c r="W49" s="2">
        <f>U49+V49+IF(Parameters_Public!$C$26=1, T49, 0)</f>
        <v>4562778.560952872</v>
      </c>
      <c r="X49" s="2">
        <f t="shared" si="15"/>
        <v>12946.80729503546</v>
      </c>
      <c r="Y49" s="2">
        <f>INDEX(YearMap!$I$2:$I$6, MATCH(C49, YearMap!$A$2:$A$6, 0))</f>
        <v>5266.7831249999999</v>
      </c>
      <c r="Z49" s="2">
        <f>W49 - ((Y49 + IF(Parameters_Public!$C$20=1, Parameters_Public!$C$19, 0))*AC49)</f>
        <v>2441626.5393747468</v>
      </c>
      <c r="AA49" s="2">
        <f t="shared" si="16"/>
        <v>6928.0741700354592</v>
      </c>
      <c r="AB49">
        <f>MAX(0, (MAX(0, $D49-BaselineCalc!$B$7) + MAX(0, $E49-BaselineCalc!$B$8)))</f>
        <v>50</v>
      </c>
      <c r="AC49">
        <f t="shared" si="17"/>
        <v>352.42500000000001</v>
      </c>
      <c r="AD49" s="2">
        <f>((Y49 + IF(Parameters_Public!$C$20=1, INDEX(YearMap!$O$2:$O$6, MATCH(C49, YearMap!$A$2:$A$6, 0)), 0))*AC49) + AC49*INDEX(YearMap!$P$2:$P$6, MATCH(C49, YearMap!$A$2:$A$6, 0))</f>
        <v>4059953.8305023438</v>
      </c>
      <c r="AE49" s="2">
        <f>W49 - (1-Parameters_Public!$C42)*$G49*$AB49*$J49*(1-$K49)</f>
        <v>4228174.9898691382</v>
      </c>
      <c r="AF49" s="2">
        <f t="shared" si="18"/>
        <v>-168221.1593667944</v>
      </c>
      <c r="AG49" t="str">
        <f t="shared" si="19"/>
        <v>B_Repurpose_Echo_ops_PimaTargets|FY2028</v>
      </c>
    </row>
    <row r="50" spans="1:33">
      <c r="A50" t="str">
        <f t="shared" si="10"/>
        <v>B_Repurpose_Echo_ops_PimaTargets|FY2029</v>
      </c>
      <c r="B50" t="str">
        <f>Scenarios!A11</f>
        <v>B_Repurpose_Echo_ops_PimaTargets</v>
      </c>
      <c r="C50" t="s">
        <v>34</v>
      </c>
      <c r="D50">
        <f>IF(Scenarios!D11=1,0, L50)</f>
        <v>0</v>
      </c>
      <c r="E50">
        <f>IF(Scenarios!E11=1,0, M50)</f>
        <v>346</v>
      </c>
      <c r="F50">
        <f t="shared" si="11"/>
        <v>346</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346</v>
      </c>
      <c r="N50" s="11">
        <f t="shared" si="12"/>
        <v>257</v>
      </c>
      <c r="O50" s="11">
        <f>(Parameters_Public!$C$22*(L50-D50)+Parameters_Public!$C$23*(M50-E50))</f>
        <v>6.4250000000000007</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4553429.7705520168</v>
      </c>
      <c r="V50" s="2">
        <f t="shared" si="14"/>
        <v>47594.647891607608</v>
      </c>
      <c r="W50" s="2">
        <f>U50+V50+IF(Parameters_Public!$C$26=1, T50, 0)</f>
        <v>4601024.4184436249</v>
      </c>
      <c r="X50" s="2">
        <f t="shared" si="15"/>
        <v>13055.329271316237</v>
      </c>
      <c r="Y50" s="2">
        <f>INDEX(YearMap!$I$2:$I$6, MATCH(C50, YearMap!$A$2:$A$6, 0))</f>
        <v>5398.4527031249991</v>
      </c>
      <c r="Z50" s="2">
        <f>W50 - ((Y50 + IF(Parameters_Public!$C$20=1, Parameters_Public!$C$19, 0))*AC50)</f>
        <v>2433468.7457947969</v>
      </c>
      <c r="AA50" s="2">
        <f t="shared" si="16"/>
        <v>6904.9265681912375</v>
      </c>
      <c r="AB50">
        <f>MAX(0, (MAX(0, $D50-BaselineCalc!$B$7) + MAX(0, $E50-BaselineCalc!$B$8)))</f>
        <v>50</v>
      </c>
      <c r="AC50">
        <f t="shared" si="17"/>
        <v>352.42500000000001</v>
      </c>
      <c r="AD50" s="2">
        <f>((Y50 + IF(Parameters_Public!$C$20=1, INDEX(YearMap!$O$2:$O$6, MATCH(C50, YearMap!$A$2:$A$6, 0)), 0))*AC50) + AC50*INDEX(YearMap!$P$2:$P$6, MATCH(C50, YearMap!$A$2:$A$6, 0))</f>
        <v>4161452.6762649016</v>
      </c>
      <c r="AE50" s="2">
        <f>W50 - (1-Parameters_Public!$C42)*$G50*$AB50*$J50*(1-$K50)</f>
        <v>4258055.7580827968</v>
      </c>
      <c r="AF50" s="2">
        <f t="shared" si="18"/>
        <v>-96603.081817895174</v>
      </c>
      <c r="AG50" t="str">
        <f t="shared" si="19"/>
        <v>B_Repurpose_Echo_ops_PimaTargets|FY2029</v>
      </c>
    </row>
    <row r="51" spans="1:33">
      <c r="A51" t="str">
        <f t="shared" si="10"/>
        <v>B_Repurpose_Echo_ops_PimaTargets|FY2030</v>
      </c>
      <c r="B51" t="str">
        <f>Scenarios!A11</f>
        <v>B_Repurpose_Echo_ops_PimaTargets</v>
      </c>
      <c r="C51" t="s">
        <v>35</v>
      </c>
      <c r="D51">
        <f>IF(Scenarios!D11=1,0, L51)</f>
        <v>0</v>
      </c>
      <c r="E51">
        <f>IF(Scenarios!E11=1,0, M51)</f>
        <v>346</v>
      </c>
      <c r="F51">
        <f t="shared" si="11"/>
        <v>346</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346</v>
      </c>
      <c r="N51" s="11">
        <f t="shared" si="12"/>
        <v>257</v>
      </c>
      <c r="O51" s="11">
        <f>(Parameters_Public!$C$22*(L51-D51)+Parameters_Public!$C$23*(M51-E51))</f>
        <v>6.4250000000000007</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4667265.5148158167</v>
      </c>
      <c r="V51" s="2">
        <f t="shared" si="14"/>
        <v>47419.201588897791</v>
      </c>
      <c r="W51" s="2">
        <f>U51+V51+IF(Parameters_Public!$C$26=1, T51, 0)</f>
        <v>4714684.7164047146</v>
      </c>
      <c r="X51" s="2">
        <f t="shared" si="15"/>
        <v>13377.83845188257</v>
      </c>
      <c r="Y51" s="2">
        <f>INDEX(YearMap!$I$2:$I$6, MATCH(C51, YearMap!$A$2:$A$6, 0))</f>
        <v>5533.4140207031242</v>
      </c>
      <c r="Z51" s="2">
        <f>W51 - ((Y51 + IF(Parameters_Public!$C$20=1, Parameters_Public!$C$19, 0))*AC51)</f>
        <v>2499565.3014084161</v>
      </c>
      <c r="AA51" s="2">
        <f t="shared" si="16"/>
        <v>7092.4744311794457</v>
      </c>
      <c r="AB51">
        <f>MAX(0, (MAX(0, $D51-BaselineCalc!$B$7) + MAX(0, $E51-BaselineCalc!$B$8)))</f>
        <v>50</v>
      </c>
      <c r="AC51">
        <f t="shared" si="17"/>
        <v>352.42500000000001</v>
      </c>
      <c r="AD51" s="2">
        <f>((Y51 + IF(Parameters_Public!$C$20=1, INDEX(YearMap!$O$2:$O$6, MATCH(C51, YearMap!$A$2:$A$6, 0)), 0))*AC51) + AC51*INDEX(YearMap!$P$2:$P$6, MATCH(C51, YearMap!$A$2:$A$6, 0))</f>
        <v>4265488.9931715243</v>
      </c>
      <c r="AE51" s="2">
        <f>W51 - (1-Parameters_Public!$C42)*$G51*$AB51*$J51*(1-$K51)</f>
        <v>4363141.8395348666</v>
      </c>
      <c r="AF51" s="2">
        <f t="shared" si="18"/>
        <v>-97652.846363342367</v>
      </c>
      <c r="AG51" t="str">
        <f t="shared" si="19"/>
        <v>B_Repurpose_Echo_ops_PimaTargets|FY2030</v>
      </c>
    </row>
    <row r="52" spans="1:33">
      <c r="A52" t="str">
        <f t="shared" si="10"/>
        <v>C_Repurpose_Pima_lease_EchoGHub_EchoTargets|FY2026</v>
      </c>
      <c r="B52" t="str">
        <f>Scenarios!A12</f>
        <v>C_Repurpose_Pima_lease_EchoGHub_EchoTargets</v>
      </c>
      <c r="C52" t="s">
        <v>31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(Parameters_Public!$C$22*(L52-D52)+Parameters_Public!$C$23*(M52-E52))</f>
        <v>177.6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1316817.2423999996</v>
      </c>
      <c r="W52" s="2">
        <f>U52+V52+IF(Parameters_Public!$C$26=1, T52, 0)</f>
        <v>4990713.8793762</v>
      </c>
      <c r="X52" s="2">
        <f t="shared" si="15"/>
        <v>11483.46497785596</v>
      </c>
      <c r="Y52" s="2">
        <f>INDEX(YearMap!$I$2:$I$6, MATCH(C52, YearMap!$A$2:$A$6, 0))</f>
        <v>5013</v>
      </c>
      <c r="Z52" s="2">
        <f>W52 - ((Y52 + IF(Parameters_Public!$C$20=1, Parameters_Public!$C$19, 0))*AC52)</f>
        <v>2485266.6093762</v>
      </c>
      <c r="AA52" s="2">
        <f t="shared" si="16"/>
        <v>5718.5149778559589</v>
      </c>
      <c r="AB52">
        <f>MAX(0, (MAX(0, $D52-BaselineCalc!$B$7) + MAX(0, $E52-BaselineCalc!$B$8)))</f>
        <v>0</v>
      </c>
      <c r="AC52">
        <f t="shared" si="17"/>
        <v>434.6</v>
      </c>
      <c r="AD52" s="2">
        <f>((Y52 + IF(Parameters_Public!$C$20=1, INDEX(YearMap!$O$2:$O$6, MATCH(C52, YearMap!$A$2:$A$6, 0)), 0))*AC52) + AC52*INDEX(YearMap!$P$2:$P$6, MATCH(C52, YearMap!$A$2:$A$6, 0))</f>
        <v>4765367.2699999996</v>
      </c>
      <c r="AE52" s="2">
        <f>W52 - (1-Parameters_Public!$C42)*$G52*$AB52*$J52*(1-$K52)</f>
        <v>4990713.8793762</v>
      </c>
      <c r="AF52" s="2">
        <f t="shared" si="18"/>
        <v>-225346.60937620047</v>
      </c>
      <c r="AG52" t="str">
        <f t="shared" si="19"/>
        <v>C_Repurpose_Pima_lease_EchoGHub_EchoTargets|FY2026</v>
      </c>
    </row>
    <row r="53" spans="1:33">
      <c r="A53" t="str">
        <f t="shared" si="10"/>
        <v>C_Repurpose_Pima_lease_EchoGHub_EchoTargets|FY2027</v>
      </c>
      <c r="B53" t="str">
        <f>Scenarios!A12</f>
        <v>C_Repurpose_Pima_lease_EchoGHub_EchoTargets</v>
      </c>
      <c r="C53" t="s">
        <v>32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(Parameters_Public!$C$22*(L53-D53)+Parameters_Public!$C$23*(M53-E53))</f>
        <v>177.6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1309777.6734599997</v>
      </c>
      <c r="W53" s="2">
        <f>U53+V53+IF(Parameters_Public!$C$26=1, T53, 0)</f>
        <v>4910897.9784337347</v>
      </c>
      <c r="X53" s="2">
        <f t="shared" si="15"/>
        <v>11299.811271131464</v>
      </c>
      <c r="Y53" s="2">
        <f>INDEX(YearMap!$I$2:$I$6, MATCH(C53, YearMap!$A$2:$A$6, 0))</f>
        <v>5138.3249999999998</v>
      </c>
      <c r="Z53" s="2">
        <f>W53 - ((Y53 + IF(Parameters_Public!$C$20=1, Parameters_Public!$C$19, 0))*AC53)</f>
        <v>2350984.4634337346</v>
      </c>
      <c r="AA53" s="2">
        <f t="shared" si="16"/>
        <v>5409.5362711314647</v>
      </c>
      <c r="AB53">
        <f>MAX(0, (MAX(0, $D53-BaselineCalc!$B$7) + MAX(0, $E53-BaselineCalc!$B$8)))</f>
        <v>0</v>
      </c>
      <c r="AC53">
        <f t="shared" si="17"/>
        <v>434.6</v>
      </c>
      <c r="AD53" s="2">
        <f>((Y53 + IF(Parameters_Public!$C$20=1, INDEX(YearMap!$O$2:$O$6, MATCH(C53, YearMap!$A$2:$A$6, 0)), 0))*AC53) + AC53*INDEX(YearMap!$P$2:$P$6, MATCH(C53, YearMap!$A$2:$A$6, 0))</f>
        <v>4884501.4517499991</v>
      </c>
      <c r="AE53" s="2">
        <f>W53 - (1-Parameters_Public!$C42)*$G53*$AB53*$J53*(1-$K53)</f>
        <v>4910897.9784337347</v>
      </c>
      <c r="AF53" s="2">
        <f t="shared" si="18"/>
        <v>-26396.526683735661</v>
      </c>
      <c r="AG53" t="str">
        <f t="shared" si="19"/>
        <v>C_Repurpose_Pima_lease_EchoGHub_EchoTargets|FY2027</v>
      </c>
    </row>
    <row r="54" spans="1:33">
      <c r="A54" t="str">
        <f t="shared" si="10"/>
        <v>C_Repurpose_Pima_lease_EchoGHub_EchoTargets|FY2028</v>
      </c>
      <c r="B54" t="str">
        <f>Scenarios!A12</f>
        <v>C_Repurpose_Pima_lease_EchoGHub_EchoTargets</v>
      </c>
      <c r="C54" t="s">
        <v>33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(Parameters_Public!$C$22*(L54-D54)+Parameters_Public!$C$23*(M54-E54))</f>
        <v>177.6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1303450.1152964998</v>
      </c>
      <c r="W54" s="2">
        <f>U54+V54+IF(Parameters_Public!$C$26=1, T54, 0)</f>
        <v>4825859.0862695361</v>
      </c>
      <c r="X54" s="2">
        <f t="shared" si="15"/>
        <v>11104.139637067501</v>
      </c>
      <c r="Y54" s="2">
        <f>INDEX(YearMap!$I$2:$I$6, MATCH(C54, YearMap!$A$2:$A$6, 0))</f>
        <v>5266.7831249999999</v>
      </c>
      <c r="Z54" s="2">
        <f>W54 - ((Y54 + IF(Parameters_Public!$C$20=1, Parameters_Public!$C$19, 0))*AC54)</f>
        <v>2210117.6701445361</v>
      </c>
      <c r="AA54" s="2">
        <f t="shared" si="16"/>
        <v>5085.4065120675014</v>
      </c>
      <c r="AB54">
        <f>MAX(0, (MAX(0, $D54-BaselineCalc!$B$7) + MAX(0, $E54-BaselineCalc!$B$8)))</f>
        <v>0</v>
      </c>
      <c r="AC54">
        <f t="shared" si="17"/>
        <v>434.6</v>
      </c>
      <c r="AD54" s="2">
        <f>((Y54 + IF(Parameters_Public!$C$20=1, INDEX(YearMap!$O$2:$O$6, MATCH(C54, YearMap!$A$2:$A$6, 0)), 0))*AC54) + AC54*INDEX(YearMap!$P$2:$P$6, MATCH(C54, YearMap!$A$2:$A$6, 0))</f>
        <v>5006613.9880437506</v>
      </c>
      <c r="AE54" s="2">
        <f>W54 - (1-Parameters_Public!$C42)*$G54*$AB54*$J54*(1-$K54)</f>
        <v>4825859.0862695361</v>
      </c>
      <c r="AF54" s="2">
        <f t="shared" si="18"/>
        <v>180754.90177421458</v>
      </c>
      <c r="AG54" t="str">
        <f t="shared" si="19"/>
        <v>C_Repurpose_Pima_lease_EchoGHub_EchoTargets|FY2028</v>
      </c>
    </row>
    <row r="55" spans="1:33">
      <c r="A55" t="str">
        <f t="shared" si="10"/>
        <v>C_Repurpose_Pima_lease_EchoGHub_EchoTargets|FY2029</v>
      </c>
      <c r="B55" t="str">
        <f>Scenarios!A12</f>
        <v>C_Repurpose_Pima_lease_EchoGHub_EchoTargets</v>
      </c>
      <c r="C55" t="s">
        <v>34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(Parameters_Public!$C$22*(L55-D55)+Parameters_Public!$C$23*(M55-E55))</f>
        <v>177.6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1315612.368178912</v>
      </c>
      <c r="W55" s="2">
        <f>U55+V55+IF(Parameters_Public!$C$26=1, T55, 0)</f>
        <v>4753123.7382606063</v>
      </c>
      <c r="X55" s="2">
        <f t="shared" si="15"/>
        <v>10936.778044778201</v>
      </c>
      <c r="Y55" s="2">
        <f>INDEX(YearMap!$I$2:$I$6, MATCH(C55, YearMap!$A$2:$A$6, 0))</f>
        <v>5398.4527031249991</v>
      </c>
      <c r="Z55" s="2">
        <f>W55 - ((Y55 + IF(Parameters_Public!$C$20=1, Parameters_Public!$C$19, 0))*AC55)</f>
        <v>2080158.7234824817</v>
      </c>
      <c r="AA55" s="2">
        <f t="shared" si="16"/>
        <v>4786.3753416532018</v>
      </c>
      <c r="AB55">
        <f>MAX(0, (MAX(0, $D55-BaselineCalc!$B$7) + MAX(0, $E55-BaselineCalc!$B$8)))</f>
        <v>0</v>
      </c>
      <c r="AC55">
        <f t="shared" si="17"/>
        <v>434.6</v>
      </c>
      <c r="AD55" s="2">
        <f>((Y55 + IF(Parameters_Public!$C$20=1, INDEX(YearMap!$O$2:$O$6, MATCH(C55, YearMap!$A$2:$A$6, 0)), 0))*AC55) + AC55*INDEX(YearMap!$P$2:$P$6, MATCH(C55, YearMap!$A$2:$A$6, 0))</f>
        <v>5131779.3377448432</v>
      </c>
      <c r="AE55" s="2">
        <f>W55 - (1-Parameters_Public!$C42)*$G55*$AB55*$J55*(1-$K55)</f>
        <v>4753123.7382606063</v>
      </c>
      <c r="AF55" s="2">
        <f t="shared" si="18"/>
        <v>378655.59948423691</v>
      </c>
      <c r="AG55" t="str">
        <f t="shared" si="19"/>
        <v>C_Repurpose_Pima_lease_EchoGHub_EchoTargets|FY2029</v>
      </c>
    </row>
    <row r="56" spans="1:33">
      <c r="A56" t="str">
        <f t="shared" si="10"/>
        <v>C_Repurpose_Pima_lease_EchoGHub_EchoTargets|FY2030</v>
      </c>
      <c r="B56" t="str">
        <f>Scenarios!A12</f>
        <v>C_Repurpose_Pima_lease_EchoGHub_EchoTargets</v>
      </c>
      <c r="C56" t="s">
        <v>35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(Parameters_Public!$C$22*(L56-D56)+Parameters_Public!$C$23*(M56-E56))</f>
        <v>177.6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1310762.6773833847</v>
      </c>
      <c r="W56" s="2">
        <f>U56+V56+IF(Parameters_Public!$C$26=1, T56, 0)</f>
        <v>4834211.8317171205</v>
      </c>
      <c r="X56" s="2">
        <f t="shared" si="15"/>
        <v>11123.359023739347</v>
      </c>
      <c r="Y56" s="2">
        <f>INDEX(YearMap!$I$2:$I$6, MATCH(C56, YearMap!$A$2:$A$6, 0))</f>
        <v>5533.4140207031242</v>
      </c>
      <c r="Z56" s="2">
        <f>W56 - ((Y56 + IF(Parameters_Public!$C$20=1, Parameters_Public!$C$19, 0))*AC56)</f>
        <v>2102592.6283195429</v>
      </c>
      <c r="AA56" s="2">
        <f t="shared" si="16"/>
        <v>4837.9950030362234</v>
      </c>
      <c r="AB56">
        <f>MAX(0, (MAX(0, $D56-BaselineCalc!$B$7) + MAX(0, $E56-BaselineCalc!$B$8)))</f>
        <v>0</v>
      </c>
      <c r="AC56">
        <f t="shared" si="17"/>
        <v>434.6</v>
      </c>
      <c r="AD56" s="2">
        <f>((Y56 + IF(Parameters_Public!$C$20=1, INDEX(YearMap!$O$2:$O$6, MATCH(C56, YearMap!$A$2:$A$6, 0)), 0))*AC56) + AC56*INDEX(YearMap!$P$2:$P$6, MATCH(C56, YearMap!$A$2:$A$6, 0))</f>
        <v>5260073.8211884648</v>
      </c>
      <c r="AE56" s="2">
        <f>W56 - (1-Parameters_Public!$C42)*$G56*$AB56*$J56*(1-$K56)</f>
        <v>4834211.8317171205</v>
      </c>
      <c r="AF56" s="2">
        <f t="shared" si="18"/>
        <v>425861.98947134428</v>
      </c>
      <c r="AG56" t="str">
        <f t="shared" si="19"/>
        <v>C_Repurpose_Pima_lease_EchoGHub_EchoTargets|FY2030</v>
      </c>
    </row>
    <row r="57" spans="1:33">
      <c r="A57" t="str">
        <f t="shared" si="10"/>
        <v>C_Repurpose_Pima_ops_EchoGHub_EchoTargets|FY2026</v>
      </c>
      <c r="B57" t="str">
        <f>Scenarios!A13</f>
        <v>C_Repurpose_Pima_ops_EchoGHub_EchoTargets</v>
      </c>
      <c r="C57" t="s">
        <v>31</v>
      </c>
      <c r="D57">
        <f>IF(Scenarios!D13=1,0, L57)</f>
        <v>290</v>
      </c>
      <c r="E57">
        <f>IF(Scenarios!E13=1,0, M57)</f>
        <v>0</v>
      </c>
      <c r="F57">
        <f t="shared" si="11"/>
        <v>290</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290</v>
      </c>
      <c r="M57">
        <f>IF(Scenarios!$R13=1,BaselineCalc!$B$8*(1+Parameters_Public!$C45)^(IF($C57="FY2026",0,IF($C57="FY2027",1,IF($C57="FY2028",2,IF($C57="FY2029",3,IF($C57="FY2030",4,0))))))+Scenarios!I13-ROUND(Scenarios!I13*Scenarios!$F13,0),BaselineCalc!$B$8+Scenarios!I13-ROUND(Scenarios!I13*Scenarios!$F13,0))</f>
        <v>296.33333333333331</v>
      </c>
      <c r="N57" s="11">
        <f t="shared" si="12"/>
        <v>296.33333333333331</v>
      </c>
      <c r="O57" s="11">
        <f>(Parameters_Public!$C$22*(L57-D57)+Parameters_Public!$C$23*(M57-E57))</f>
        <v>177.79999999999998</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4044702.2988825003</v>
      </c>
      <c r="V57" s="2">
        <f t="shared" si="14"/>
        <v>1318300.1446999996</v>
      </c>
      <c r="W57" s="2">
        <f>U57+V57+IF(Parameters_Public!$C$26=1, T57, 0)</f>
        <v>5363002.4435824994</v>
      </c>
      <c r="X57" s="2">
        <f t="shared" si="15"/>
        <v>11464.306206888627</v>
      </c>
      <c r="Y57" s="2">
        <f>INDEX(YearMap!$I$2:$I$6, MATCH(C57, YearMap!$A$2:$A$6, 0))</f>
        <v>5013</v>
      </c>
      <c r="Z57" s="2">
        <f>W57 - ((Y57 + IF(Parameters_Public!$C$20=1, Parameters_Public!$C$19, 0))*AC57)</f>
        <v>2666158.8335824995</v>
      </c>
      <c r="AA57" s="2">
        <f t="shared" si="16"/>
        <v>5699.3562068886267</v>
      </c>
      <c r="AB57">
        <f>MAX(0, (MAX(0, $D57-BaselineCalc!$B$7) + MAX(0, $E57-BaselineCalc!$B$8)))</f>
        <v>33</v>
      </c>
      <c r="AC57">
        <f t="shared" si="17"/>
        <v>467.79999999999995</v>
      </c>
      <c r="AD57" s="2">
        <f>((Y57 + IF(Parameters_Public!$C$20=1, INDEX(YearMap!$O$2:$O$6, MATCH(C57, YearMap!$A$2:$A$6, 0)), 0))*AC57) + AC57*INDEX(YearMap!$P$2:$P$6, MATCH(C57, YearMap!$A$2:$A$6, 0))</f>
        <v>5129403.6099999994</v>
      </c>
      <c r="AE57" s="2">
        <f>W57 - (1-Parameters_Public!$C42)*$G57*$AB57*$J57*(1-$K57)</f>
        <v>5152805.3162389994</v>
      </c>
      <c r="AF57" s="2">
        <f t="shared" si="18"/>
        <v>-23401.706238999963</v>
      </c>
      <c r="AG57" t="str">
        <f t="shared" si="19"/>
        <v>C_Repurpose_Pima_ops_EchoGHub_EchoTargets|FY2026</v>
      </c>
    </row>
    <row r="58" spans="1:33">
      <c r="A58" t="str">
        <f t="shared" si="10"/>
        <v>C_Repurpose_Pima_ops_EchoGHub_EchoTargets|FY2027</v>
      </c>
      <c r="B58" t="str">
        <f>Scenarios!A13</f>
        <v>C_Repurpose_Pima_ops_EchoGHub_EchoTargets</v>
      </c>
      <c r="C58" t="s">
        <v>32</v>
      </c>
      <c r="D58">
        <f>IF(Scenarios!D13=1,0, L58)</f>
        <v>324</v>
      </c>
      <c r="E58">
        <f>IF(Scenarios!E13=1,0, M58)</f>
        <v>0</v>
      </c>
      <c r="F58">
        <f t="shared" si="11"/>
        <v>324</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324</v>
      </c>
      <c r="M58">
        <f>IF(Scenarios!$R13=1,BaselineCalc!$B$8*(1+Parameters_Public!$C45)^(IF($C58="FY2026",0,IF($C58="FY2027",1,IF($C58="FY2028",2,IF($C58="FY2029",3,IF($C58="FY2030",4,0))))))+Scenarios!J13-ROUND(Scenarios!J13*Scenarios!$F13,0),BaselineCalc!$B$8+Scenarios!J13-ROUND(Scenarios!J13*Scenarios!$F13,0))</f>
        <v>295.66666666666669</v>
      </c>
      <c r="N58" s="11">
        <f t="shared" si="12"/>
        <v>295.66666666666669</v>
      </c>
      <c r="O58" s="11">
        <f>(Parameters_Public!$C$22*(L58-D58)+Parameters_Public!$C$23*(M58-E58))</f>
        <v>177.4</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4203177.0141222673</v>
      </c>
      <c r="V58" s="2">
        <f t="shared" si="14"/>
        <v>1308302.6986024999</v>
      </c>
      <c r="W58" s="2">
        <f>U58+V58+IF(Parameters_Public!$C$26=1, T58, 0)</f>
        <v>5511479.7127247676</v>
      </c>
      <c r="X58" s="2">
        <f t="shared" si="15"/>
        <v>10992.181317759809</v>
      </c>
      <c r="Y58" s="2">
        <f>INDEX(YearMap!$I$2:$I$6, MATCH(C58, YearMap!$A$2:$A$6, 0))</f>
        <v>5138.3249999999998</v>
      </c>
      <c r="Z58" s="2">
        <f>W58 - ((Y58 + IF(Parameters_Public!$C$20=1, Parameters_Public!$C$19, 0))*AC58)</f>
        <v>2558095.8277247678</v>
      </c>
      <c r="AA58" s="2">
        <f t="shared" si="16"/>
        <v>5101.9063177598082</v>
      </c>
      <c r="AB58">
        <f>MAX(0, (MAX(0, $D58-BaselineCalc!$B$7) + MAX(0, $E58-BaselineCalc!$B$8)))</f>
        <v>67</v>
      </c>
      <c r="AC58">
        <f t="shared" si="17"/>
        <v>501.4</v>
      </c>
      <c r="AD58" s="2">
        <f>((Y58 + IF(Parameters_Public!$C$20=1, INDEX(YearMap!$O$2:$O$6, MATCH(C58, YearMap!$A$2:$A$6, 0)), 0))*AC58) + AC58*INDEX(YearMap!$P$2:$P$6, MATCH(C58, YearMap!$A$2:$A$6, 0))</f>
        <v>5635271.5782499993</v>
      </c>
      <c r="AE58" s="2">
        <f>W58 - (1-Parameters_Public!$C42)*$G58*$AB58*$J58*(1-$K58)</f>
        <v>5074046.7515031053</v>
      </c>
      <c r="AF58" s="2">
        <f t="shared" si="18"/>
        <v>561224.82674689405</v>
      </c>
      <c r="AG58" t="str">
        <f t="shared" si="19"/>
        <v>C_Repurpose_Pima_ops_EchoGHub_EchoTargets|FY2027</v>
      </c>
    </row>
    <row r="59" spans="1:33">
      <c r="A59" t="str">
        <f t="shared" si="10"/>
        <v>C_Repurpose_Pima_ops_EchoGHub_EchoTargets|FY2028</v>
      </c>
      <c r="B59" t="str">
        <f>Scenarios!A13</f>
        <v>C_Repurpose_Pima_ops_EchoGHub_EchoTargets</v>
      </c>
      <c r="C59" t="s">
        <v>33</v>
      </c>
      <c r="D59">
        <f>IF(Scenarios!D13=1,0, L59)</f>
        <v>357</v>
      </c>
      <c r="E59">
        <f>IF(Scenarios!E13=1,0, M59)</f>
        <v>0</v>
      </c>
      <c r="F59">
        <f t="shared" si="11"/>
        <v>357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357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(Parameters_Public!$C$22*(L59-D59)+Parameters_Public!$C$23*(M59-E59))</f>
        <v>177.6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4444725.1255780673</v>
      </c>
      <c r="V59" s="2">
        <f t="shared" si="14"/>
        <v>1303450.1152964998</v>
      </c>
      <c r="W59" s="2">
        <f>U59+V59+IF(Parameters_Public!$C$26=1, T59, 0)</f>
        <v>5748175.2408745671</v>
      </c>
      <c r="X59" s="2">
        <f t="shared" si="15"/>
        <v>10752.291883416698</v>
      </c>
      <c r="Y59" s="2">
        <f>INDEX(YearMap!$I$2:$I$6, MATCH(C59, YearMap!$A$2:$A$6, 0))</f>
        <v>5266.7831249999999</v>
      </c>
      <c r="Z59" s="2">
        <f>W59 - ((Y59 + IF(Parameters_Public!$C$20=1, Parameters_Public!$C$19, 0))*AC59)</f>
        <v>2530560.5122495671</v>
      </c>
      <c r="AA59" s="2">
        <f t="shared" si="16"/>
        <v>4733.5587584166988</v>
      </c>
      <c r="AB59">
        <f>MAX(0, (MAX(0, $D59-BaselineCalc!$B$7) + MAX(0, $E59-BaselineCalc!$B$8)))</f>
        <v>100</v>
      </c>
      <c r="AC59">
        <f t="shared" si="17"/>
        <v>534.6</v>
      </c>
      <c r="AD59" s="2">
        <f>((Y59 + IF(Parameters_Public!$C$20=1, INDEX(YearMap!$O$2:$O$6, MATCH(C59, YearMap!$A$2:$A$6, 0)), 0))*AC59) + AC59*INDEX(YearMap!$P$2:$P$6, MATCH(C59, YearMap!$A$2:$A$6, 0))</f>
        <v>6158619.0474187508</v>
      </c>
      <c r="AE59" s="2">
        <f>W59 - (1-Parameters_Public!$C42)*$G59*$AB59*$J59*(1-$K59)</f>
        <v>5078968.0987070985</v>
      </c>
      <c r="AF59" s="2">
        <f t="shared" si="18"/>
        <v>1079650.9487116523</v>
      </c>
      <c r="AG59" t="str">
        <f t="shared" si="19"/>
        <v>C_Repurpose_Pima_ops_EchoGHub_EchoTargets|FY2028</v>
      </c>
    </row>
    <row r="60" spans="1:33">
      <c r="A60" t="str">
        <f t="shared" si="10"/>
        <v>C_Repurpose_Pima_ops_EchoGHub_EchoTargets|FY2029</v>
      </c>
      <c r="B60" t="str">
        <f>Scenarios!A13</f>
        <v>C_Repurpose_Pima_ops_EchoGHub_EchoTargets</v>
      </c>
      <c r="C60" t="s">
        <v>34</v>
      </c>
      <c r="D60">
        <f>IF(Scenarios!D13=1,0, L60)</f>
        <v>357</v>
      </c>
      <c r="E60">
        <f>IF(Scenarios!E13=1,0, M60)</f>
        <v>0</v>
      </c>
      <c r="F60">
        <f t="shared" si="11"/>
        <v>357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357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(Parameters_Public!$C$22*(L60-D60)+Parameters_Public!$C$23*(M60-E60))</f>
        <v>177.6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4469364.3411346851</v>
      </c>
      <c r="V60" s="2">
        <f t="shared" si="14"/>
        <v>1315612.368178912</v>
      </c>
      <c r="W60" s="2">
        <f>U60+V60+IF(Parameters_Public!$C$26=1, T60, 0)</f>
        <v>5784976.7093135975</v>
      </c>
      <c r="X60" s="2">
        <f t="shared" si="15"/>
        <v>10821.131143497189</v>
      </c>
      <c r="Y60" s="2">
        <f>INDEX(YearMap!$I$2:$I$6, MATCH(C60, YearMap!$A$2:$A$6, 0))</f>
        <v>5398.4527031249991</v>
      </c>
      <c r="Z60" s="2">
        <f>W60 - ((Y60 + IF(Parameters_Public!$C$20=1, Parameters_Public!$C$19, 0))*AC60)</f>
        <v>2496971.4242229732</v>
      </c>
      <c r="AA60" s="2">
        <f t="shared" si="16"/>
        <v>4670.7284403721906</v>
      </c>
      <c r="AB60">
        <f>MAX(0, (MAX(0, $D60-BaselineCalc!$B$7) + MAX(0, $E60-BaselineCalc!$B$8)))</f>
        <v>100</v>
      </c>
      <c r="AC60">
        <f t="shared" si="17"/>
        <v>534.6</v>
      </c>
      <c r="AD60" s="2">
        <f>((Y60 + IF(Parameters_Public!$C$20=1, INDEX(YearMap!$O$2:$O$6, MATCH(C60, YearMap!$A$2:$A$6, 0)), 0))*AC60) + AC60*INDEX(YearMap!$P$2:$P$6, MATCH(C60, YearMap!$A$2:$A$6, 0))</f>
        <v>6312584.5236042179</v>
      </c>
      <c r="AE60" s="2">
        <f>W60 - (1-Parameters_Public!$C42)*$G60*$AB60*$J60*(1-$K60)</f>
        <v>5099039.3885919424</v>
      </c>
      <c r="AF60" s="2">
        <f t="shared" si="18"/>
        <v>1213545.1350122755</v>
      </c>
      <c r="AG60" t="str">
        <f t="shared" si="19"/>
        <v>C_Repurpose_Pima_ops_EchoGHub_EchoTargets|FY2029</v>
      </c>
    </row>
    <row r="61" spans="1:33">
      <c r="A61" t="str">
        <f t="shared" si="10"/>
        <v>C_Repurpose_Pima_ops_EchoGHub_EchoTargets|FY2030</v>
      </c>
      <c r="B61" t="str">
        <f>Scenarios!A13</f>
        <v>C_Repurpose_Pima_ops_EchoGHub_EchoTargets</v>
      </c>
      <c r="C61" t="s">
        <v>35</v>
      </c>
      <c r="D61">
        <f>IF(Scenarios!D13=1,0, L61)</f>
        <v>357</v>
      </c>
      <c r="E61">
        <f>IF(Scenarios!E13=1,0, M61)</f>
        <v>0</v>
      </c>
      <c r="F61">
        <f t="shared" si="11"/>
        <v>357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357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(Parameters_Public!$C$22*(L61-D61)+Parameters_Public!$C$23*(M61-E61))</f>
        <v>177.6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4581098.4496630514</v>
      </c>
      <c r="V61" s="2">
        <f t="shared" si="14"/>
        <v>1310762.6773833847</v>
      </c>
      <c r="W61" s="2">
        <f>U61+V61+IF(Parameters_Public!$C$26=1, T61, 0)</f>
        <v>5891861.1270464361</v>
      </c>
      <c r="X61" s="2">
        <f t="shared" si="15"/>
        <v>11021.064584823112</v>
      </c>
      <c r="Y61" s="2">
        <f>INDEX(YearMap!$I$2:$I$6, MATCH(C61, YearMap!$A$2:$A$6, 0))</f>
        <v>5533.4140207031242</v>
      </c>
      <c r="Z61" s="2">
        <f>W61 - ((Y61 + IF(Parameters_Public!$C$20=1, Parameters_Public!$C$19, 0))*AC61)</f>
        <v>2531705.5215785457</v>
      </c>
      <c r="AA61" s="2">
        <f t="shared" si="16"/>
        <v>4735.7005641199876</v>
      </c>
      <c r="AB61">
        <f>MAX(0, (MAX(0, $D61-BaselineCalc!$B$7) + MAX(0, $E61-BaselineCalc!$B$8)))</f>
        <v>100</v>
      </c>
      <c r="AC61">
        <f t="shared" si="17"/>
        <v>534.6</v>
      </c>
      <c r="AD61" s="2">
        <f>((Y61 + IF(Parameters_Public!$C$20=1, INDEX(YearMap!$O$2:$O$6, MATCH(C61, YearMap!$A$2:$A$6, 0)), 0))*AC61) + AC61*INDEX(YearMap!$P$2:$P$6, MATCH(C61, YearMap!$A$2:$A$6, 0))</f>
        <v>6470399.1366943233</v>
      </c>
      <c r="AE61" s="2">
        <f>W61 - (1-Parameters_Public!$C42)*$G61*$AB61*$J61*(1-$K61)</f>
        <v>5188775.3733067391</v>
      </c>
      <c r="AF61" s="2">
        <f t="shared" si="18"/>
        <v>1281623.7633875841</v>
      </c>
      <c r="AG61" t="str">
        <f t="shared" si="19"/>
        <v>C_Repurpose_Pima_ops_EchoGHub_EchoTargets|FY2030</v>
      </c>
    </row>
    <row r="62" spans="1:33">
      <c r="A62" t="str">
        <f t="shared" si="10"/>
        <v>H_StatusQuo_Decline|FY2026</v>
      </c>
      <c r="B62" t="str">
        <f>Scenarios!A14</f>
        <v>H_StatusQuo_Decline</v>
      </c>
      <c r="C62" t="s">
        <v>31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INDEX(YearMap!$O$2:$O$6, MATCH(C62, YearMap!$A$2:$A$6, 0)), 0))*AC62) + AC62*INDEX(YearMap!$P$2:$P$6, MATCH(C62, YearMap!$A$2:$A$6, 0))</f>
        <v>6063617.3499999996</v>
      </c>
      <c r="AE62" s="2">
        <f>W62 - (1-Parameters_Public!$C42)*$G62*$AB62*$J62*(1-$K62)</f>
        <v>6522952.3805249985</v>
      </c>
      <c r="AF62" s="2">
        <f t="shared" si="18"/>
        <v>-459335.0305249989</v>
      </c>
      <c r="AG62" t="str">
        <f t="shared" si="19"/>
        <v>H_StatusQuo_Decline|FY2026</v>
      </c>
    </row>
    <row r="63" spans="1:33">
      <c r="A63" t="str">
        <f t="shared" si="10"/>
        <v>H_StatusQuo_Decline|FY2027</v>
      </c>
      <c r="B63" t="str">
        <f>Scenarios!A14</f>
        <v>H_StatusQuo_Decline</v>
      </c>
      <c r="C63" t="s">
        <v>32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f t="shared" si="17"/>
        <v>541.93999999999994</v>
      </c>
      <c r="AD63" s="2">
        <f>((Y63 + IF(Parameters_Public!$C$20=1, INDEX(YearMap!$O$2:$O$6, MATCH(C63, YearMap!$A$2:$A$6, 0)), 0))*AC63) + AC63*INDEX(YearMap!$P$2:$P$6, MATCH(C63, YearMap!$A$2:$A$6, 0))</f>
        <v>6090903.628074998</v>
      </c>
      <c r="AE63" s="2">
        <f>W63 - (1-Parameters_Public!$C42)*$G63*$AB63*$J63*(1-$K63)</f>
        <v>6613817.1071857121</v>
      </c>
      <c r="AF63" s="2">
        <f t="shared" si="18"/>
        <v>-522913.47911071405</v>
      </c>
      <c r="AG63" t="str">
        <f t="shared" si="19"/>
        <v>H_StatusQuo_Decline|FY2027</v>
      </c>
    </row>
    <row r="64" spans="1:33">
      <c r="A64" t="str">
        <f t="shared" si="10"/>
        <v>H_StatusQuo_Decline|FY2028</v>
      </c>
      <c r="B64" t="str">
        <f>Scenarios!A14</f>
        <v>H_StatusQuo_Decline</v>
      </c>
      <c r="C64" t="s">
        <v>33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f t="shared" si="17"/>
        <v>531.10119999999995</v>
      </c>
      <c r="AD64" s="2">
        <f>((Y64 + IF(Parameters_Public!$C$20=1, INDEX(YearMap!$O$2:$O$6, MATCH(C64, YearMap!$A$2:$A$6, 0)), 0))*AC64) + AC64*INDEX(YearMap!$P$2:$P$6, MATCH(C64, YearMap!$A$2:$A$6, 0))</f>
        <v>6118312.6944013368</v>
      </c>
      <c r="AE64" s="2">
        <f>W64 - (1-Parameters_Public!$C42)*$G64*$AB64*$J64*(1-$K64)</f>
        <v>6706628.5111401081</v>
      </c>
      <c r="AF64" s="2">
        <f t="shared" si="18"/>
        <v>-588315.81673877127</v>
      </c>
      <c r="AG64" t="str">
        <f t="shared" si="19"/>
        <v>H_StatusQuo_Decline|FY2028</v>
      </c>
    </row>
    <row r="65" spans="1:33">
      <c r="A65" t="str">
        <f t="shared" si="10"/>
        <v>H_StatusQuo_Decline|FY2029</v>
      </c>
      <c r="B65" t="str">
        <f>Scenarios!A14</f>
        <v>H_StatusQuo_Decline</v>
      </c>
      <c r="C65" t="s">
        <v>34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f t="shared" si="17"/>
        <v>520.47917599999994</v>
      </c>
      <c r="AD65" s="2">
        <f>((Y65 + IF(Parameters_Public!$C$20=1, INDEX(YearMap!$O$2:$O$6, MATCH(C65, YearMap!$A$2:$A$6, 0)), 0))*AC65) + AC65*INDEX(YearMap!$P$2:$P$6, MATCH(C65, YearMap!$A$2:$A$6, 0))</f>
        <v>6145845.1015261412</v>
      </c>
      <c r="AE65" s="2">
        <f>W65 - (1-Parameters_Public!$C42)*$G65*$AB65*$J65*(1-$K65)</f>
        <v>6801433.7970865984</v>
      </c>
      <c r="AF65" s="2">
        <f t="shared" si="18"/>
        <v>-655588.69556045718</v>
      </c>
      <c r="AG65" t="str">
        <f t="shared" si="19"/>
        <v>H_StatusQuo_Decline|FY2029</v>
      </c>
    </row>
    <row r="66" spans="1:33">
      <c r="A66" t="str">
        <f t="shared" si="10"/>
        <v>H_StatusQuo_Decline|FY2030</v>
      </c>
      <c r="B66" t="str">
        <f>Scenarios!A14</f>
        <v>H_StatusQuo_Decline</v>
      </c>
      <c r="C66" t="s">
        <v>35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f>IF(LEFT($B66,2)="A_", $O66, IF(LEFT($B66,2)="B_", $M66+$O66, IF(LEFT($B66,2)="C_", $L66+$O66, $F66)))</f>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AF97" si="23">AD66-AE66</f>
        <v>-724779.93877799716</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51" t="s">
        <v>134</v>
      </c>
      <c r="B1" s="51"/>
      <c r="C1" s="51"/>
      <c r="D1" s="51"/>
      <c r="E1" s="51"/>
      <c r="F1" s="51"/>
      <c r="G1" s="51"/>
      <c r="H1" s="51"/>
    </row>
    <row r="3" spans="1:8">
      <c r="A3" s="4" t="s">
        <v>68</v>
      </c>
      <c r="B3" s="4" t="s">
        <v>28</v>
      </c>
      <c r="C3" s="4" t="s">
        <v>135</v>
      </c>
      <c r="D3" s="4" t="s">
        <v>136</v>
      </c>
      <c r="E3" s="4" t="s">
        <v>137</v>
      </c>
      <c r="F3" s="4" t="s">
        <v>138</v>
      </c>
      <c r="G3" s="4" t="s">
        <v>139</v>
      </c>
      <c r="H3" s="4" t="s">
        <v>140</v>
      </c>
    </row>
    <row r="4" spans="1:8">
      <c r="A4" t="str">
        <f>Scenarios!$A$2</f>
        <v>D_CUSTOM1</v>
      </c>
      <c r="B4" t="s">
        <v>31</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32</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33</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34</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35</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31</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32</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33</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34</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35</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31</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32</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33</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34</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35</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31</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0</v>
      </c>
      <c r="G19">
        <f>IF($B19="FY2026", INDEX(Receiving_Capacity!$L:$L, MATCH($A19, Receiving_Capacity!$A:$A, 0)), 0)</f>
        <v>0</v>
      </c>
      <c r="H19">
        <f t="shared" si="0"/>
        <v>1200000</v>
      </c>
    </row>
    <row r="20" spans="1:8">
      <c r="A20" t="str">
        <f>Scenarios!$A$5</f>
        <v>D_Grow_Both_Targets</v>
      </c>
      <c r="B20" t="s">
        <v>32</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33</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34</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35</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31</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32</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33</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34</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35</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31</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0</v>
      </c>
    </row>
    <row r="30" spans="1:8">
      <c r="A30" t="str">
        <f>Scenarios!$A$7</f>
        <v>G_EchoGHubRamp_PimaTargets</v>
      </c>
      <c r="B30" t="s">
        <v>32</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33</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34</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35</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31</v>
      </c>
      <c r="C34">
        <f>INDEX(Scenarios!$D:$D, MATCH($A34, Scenarios!$A:$A, 0)) + INDEX(Scenarios!$E:$E, MATCH($A34, Scenarios!$A:$A, 0))</f>
        <v>2</v>
      </c>
      <c r="D34">
        <f>IF($B34="FY2026",$C34*IF(INDEX(Scenarios!$N:$N, MATCH($A34, Scenarios!$A:$A, 0))="lease", Parameters_Public!$C$31, Parameters_Public!$C$27),0)</f>
        <v>2400000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0</v>
      </c>
      <c r="H34">
        <f t="shared" si="0"/>
        <v>2400000</v>
      </c>
    </row>
    <row r="35" spans="1:8">
      <c r="A35" t="str">
        <f>Scenarios!$A$8</f>
        <v>A_Repurpose_Both_lease</v>
      </c>
      <c r="B35" t="s">
        <v>32</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33</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34</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35</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31</v>
      </c>
      <c r="C39">
        <f>INDEX(Scenarios!$D:$D, MATCH($A39, Scenarios!$A:$A, 0)) + INDEX(Scenarios!$E:$E, MATCH($A39, Scenarios!$A:$A, 0))</f>
        <v>2</v>
      </c>
      <c r="D39">
        <f>IF($B39="FY2026",$C39*IF(INDEX(Scenarios!$N:$N, MATCH($A39, Scenarios!$A:$A, 0))="lease", Parameters_Public!$C$31, Parameters_Public!$C$27),0)</f>
        <v>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0</v>
      </c>
      <c r="H39">
        <f t="shared" si="1"/>
        <v>0</v>
      </c>
    </row>
    <row r="40" spans="1:8">
      <c r="A40" t="str">
        <f>Scenarios!$A$9</f>
        <v>A_Repurpose_Both_ops</v>
      </c>
      <c r="B40" t="s">
        <v>32</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33</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34</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35</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31</v>
      </c>
      <c r="C44">
        <f>INDEX(Scenarios!$D:$D, MATCH($A44, Scenarios!$A:$A, 0)) + INDEX(Scenarios!$E:$E, MATCH($A44, Scenarios!$A:$A, 0))</f>
        <v>1</v>
      </c>
      <c r="D44">
        <f>IF($B44="FY2026",$C44*IF(INDEX(Scenarios!$N:$N, MATCH($A44, Scenarios!$A:$A, 0))="lease", Parameters_Public!$C$31, Parameters_Public!$C$27),0)</f>
        <v>1200000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1200000</v>
      </c>
    </row>
    <row r="45" spans="1:8">
      <c r="A45" t="str">
        <f>Scenarios!$A$10</f>
        <v>B_Repurpose_Echo_lease_PimaTargets</v>
      </c>
      <c r="B45" t="s">
        <v>32</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33</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34</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35</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31</v>
      </c>
      <c r="C49">
        <f>INDEX(Scenarios!$D:$D, MATCH($A49, Scenarios!$A:$A, 0)) + INDEX(Scenarios!$E:$E, MATCH($A49, Scenarios!$A:$A, 0))</f>
        <v>1</v>
      </c>
      <c r="D49">
        <f>IF($B49="FY2026",$C49*IF(INDEX(Scenarios!$N:$N, MATCH($A49, Scenarios!$A:$A, 0))="lease", Parameters_Public!$C$31, Parameters_Public!$C$27),0)</f>
        <v>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0</v>
      </c>
    </row>
    <row r="50" spans="1:8">
      <c r="A50" t="str">
        <f>Scenarios!$A$11</f>
        <v>B_Repurpose_Echo_ops_PimaTargets</v>
      </c>
      <c r="B50" t="s">
        <v>32</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33</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34</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35</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31</v>
      </c>
      <c r="C54">
        <f>INDEX(Scenarios!$D:$D, MATCH($A54, Scenarios!$A:$A, 0)) + INDEX(Scenarios!$E:$E, MATCH($A54, Scenarios!$A:$A, 0))</f>
        <v>1</v>
      </c>
      <c r="D54">
        <f>IF($B54="FY2026",$C54*IF(INDEX(Scenarios!$N:$N, MATCH($A54, Scenarios!$A:$A, 0))="lease", Parameters_Public!$C$31, Parameters_Public!$C$27),0)</f>
        <v>1200000</v>
      </c>
      <c r="E54">
        <f>IF($B54="FY2026", IF(INDEX(Scenarios!$D:$D, MATCH($A54, Scenarios!$A:$A, 0))=0, IF(LEFT(INDEX(Scenarios!$O:$O, MATCH($A54, Scenarios!$A:$A, 0)),4)="Arts", Parameters_Public!$C$28, IF(LEFT(INDEX(Scenarios!$O:$O, MATCH($A54, Scenarios!$A:$A, 0)),5)="Innov", Parameters_Public!$C$29, 0)), 0), 0)</f>
        <v>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1200000</v>
      </c>
    </row>
    <row r="55" spans="1:8">
      <c r="A55" t="str">
        <f>Scenarios!$A$12</f>
        <v>C_Repurpose_Pima_lease_EchoGHub_EchoTargets</v>
      </c>
      <c r="B55" t="s">
        <v>32</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33</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34</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35</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31</v>
      </c>
      <c r="C59">
        <f>INDEX(Scenarios!$D:$D, MATCH($A59, Scenarios!$A:$A, 0)) + INDEX(Scenarios!$E:$E, MATCH($A59, Scenarios!$A:$A, 0))</f>
        <v>1</v>
      </c>
      <c r="D59">
        <f>IF($B59="FY2026",$C59*IF(INDEX(Scenarios!$N:$N, MATCH($A59, Scenarios!$A:$A, 0))="lease", Parameters_Public!$C$31, Parameters_Public!$C$27),0)</f>
        <v>0</v>
      </c>
      <c r="E59">
        <f>IF($B59="FY2026", IF(INDEX(Scenarios!$D:$D, MATCH($A59, Scenarios!$A:$A, 0))=0, IF(LEFT(INDEX(Scenarios!$O:$O, MATCH($A59, Scenarios!$A:$A, 0)),4)="Arts", Parameters_Public!$C$28, IF(LEFT(INDEX(Scenarios!$O:$O, MATCH($A59, Scenarios!$A:$A, 0)),5)="Innov", Parameters_Public!$C$29, 0)), 0), 0)</f>
        <v>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0</v>
      </c>
    </row>
    <row r="60" spans="1:8">
      <c r="A60" t="str">
        <f>Scenarios!$A$13</f>
        <v>C_Repurpose_Pima_ops_EchoGHub_EchoTargets</v>
      </c>
      <c r="B60" t="s">
        <v>32</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33</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34</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35</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31</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32</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33</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34</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35</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68</v>
      </c>
      <c r="B70" s="4" t="s">
        <v>141</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1200000</v>
      </c>
    </row>
    <row r="75" spans="1:8">
      <c r="A75" t="str">
        <v>D_CUSTOM2</v>
      </c>
      <c r="B75">
        <f t="shared" si="3"/>
        <v>0</v>
      </c>
    </row>
    <row r="76" spans="1:8">
      <c r="A76" t="str">
        <v>G_EchoGHubRamp_PimaTargets</v>
      </c>
      <c r="B76">
        <f t="shared" si="3"/>
        <v>0</v>
      </c>
    </row>
    <row r="77" spans="1:8">
      <c r="A77" t="str">
        <v>A_Repurpose_Both_lease</v>
      </c>
      <c r="B77">
        <f t="shared" si="3"/>
        <v>2400000</v>
      </c>
    </row>
    <row r="78" spans="1:8">
      <c r="A78" t="str">
        <v>A_Repurpose_Both_ops</v>
      </c>
      <c r="B78">
        <f t="shared" si="3"/>
        <v>0</v>
      </c>
    </row>
    <row r="79" spans="1:8">
      <c r="A79" t="str">
        <v>B_Repurpose_Echo_lease_PimaTargets</v>
      </c>
      <c r="B79">
        <f t="shared" si="3"/>
        <v>1200000</v>
      </c>
    </row>
    <row r="80" spans="1:8">
      <c r="A80" t="str">
        <v>B_Repurpose_Echo_ops_PimaTargets</v>
      </c>
      <c r="B80">
        <f t="shared" si="3"/>
        <v>0</v>
      </c>
    </row>
    <row r="81" spans="1:2">
      <c r="A81" t="str">
        <v>C_Repurpose_Pima_lease_EchoGHub_EchoTargets</v>
      </c>
      <c r="B81">
        <f t="shared" si="3"/>
        <v>1200000</v>
      </c>
    </row>
    <row r="82" spans="1:2">
      <c r="A82" t="str">
        <v>C_Repurpose_Pima_ops_EchoGHub_EchoTargets</v>
      </c>
      <c r="B82">
        <f t="shared" si="3"/>
        <v>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51" t="s">
        <v>142</v>
      </c>
      <c r="B1" s="51"/>
      <c r="C1" s="51"/>
      <c r="D1" s="51"/>
      <c r="E1" s="51"/>
      <c r="F1" s="51"/>
      <c r="G1" s="51"/>
      <c r="H1" s="51"/>
      <c r="I1" s="51"/>
      <c r="J1" s="51"/>
      <c r="K1" s="51"/>
      <c r="L1" s="51"/>
    </row>
    <row r="3" spans="1:12">
      <c r="A3" t="s">
        <v>68</v>
      </c>
      <c r="B3" t="s">
        <v>71</v>
      </c>
      <c r="C3" t="s">
        <v>72</v>
      </c>
      <c r="D3" t="s">
        <v>143</v>
      </c>
      <c r="E3" t="s">
        <v>144</v>
      </c>
      <c r="G3" t="s">
        <v>145</v>
      </c>
      <c r="H3" t="s">
        <v>146</v>
      </c>
      <c r="J3" t="s">
        <v>147</v>
      </c>
      <c r="K3" t="s">
        <v>148</v>
      </c>
      <c r="L3" t="s">
        <v>139</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topLeftCell="A33" zoomScale="70" zoomScaleNormal="70" workbookViewId="0">
      <selection activeCell="C44" sqref="C44"/>
    </sheetView>
  </sheetViews>
  <sheetFormatPr defaultRowHeight="14.5"/>
  <cols>
    <col min="2" max="2" width="36.90625" bestFit="1" customWidth="1"/>
    <col min="4" max="4" width="19.81640625" bestFit="1" customWidth="1"/>
  </cols>
  <sheetData>
    <row r="1" spans="1:9" ht="22.5" customHeight="1">
      <c r="A1" s="52" t="s">
        <v>149</v>
      </c>
      <c r="B1" s="51"/>
      <c r="C1" s="51"/>
      <c r="D1" s="51"/>
      <c r="E1" s="51"/>
      <c r="F1" s="51"/>
    </row>
    <row r="3" spans="1:9">
      <c r="A3" t="s">
        <v>150</v>
      </c>
      <c r="C3" t="s">
        <v>151</v>
      </c>
      <c r="E3" t="s">
        <v>75</v>
      </c>
      <c r="I3" t="s">
        <v>152</v>
      </c>
    </row>
    <row r="4" spans="1:9">
      <c r="B4" t="s">
        <v>153</v>
      </c>
      <c r="C4">
        <v>257</v>
      </c>
      <c r="D4" t="s">
        <v>154</v>
      </c>
      <c r="E4" t="s">
        <v>155</v>
      </c>
    </row>
    <row r="5" spans="1:9">
      <c r="B5" t="s">
        <v>156</v>
      </c>
      <c r="C5">
        <v>257</v>
      </c>
      <c r="D5" t="s">
        <v>157</v>
      </c>
      <c r="E5" t="s">
        <v>158</v>
      </c>
    </row>
    <row r="6" spans="1:9">
      <c r="B6" t="s">
        <v>159</v>
      </c>
      <c r="C6">
        <v>296</v>
      </c>
      <c r="D6" t="s">
        <v>160</v>
      </c>
      <c r="E6" t="s">
        <v>161</v>
      </c>
    </row>
    <row r="7" spans="1:9">
      <c r="B7" t="s">
        <v>162</v>
      </c>
      <c r="C7">
        <v>296</v>
      </c>
      <c r="E7" t="s">
        <v>163</v>
      </c>
    </row>
    <row r="8" spans="1:9">
      <c r="B8" t="s">
        <v>154</v>
      </c>
      <c r="C8">
        <v>40</v>
      </c>
      <c r="E8" t="s">
        <v>164</v>
      </c>
    </row>
    <row r="10" spans="1:9">
      <c r="B10" t="s">
        <v>157</v>
      </c>
      <c r="C10">
        <f>IF(C8=40,C4,C5)</f>
        <v>257</v>
      </c>
      <c r="E10" t="s">
        <v>165</v>
      </c>
    </row>
    <row r="11" spans="1:9">
      <c r="B11" t="s">
        <v>160</v>
      </c>
      <c r="C11">
        <f>IF(C8=40,C6,C7)</f>
        <v>296</v>
      </c>
      <c r="E11" t="s">
        <v>166</v>
      </c>
    </row>
    <row r="13" spans="1:9">
      <c r="A13" t="s">
        <v>167</v>
      </c>
    </row>
    <row r="14" spans="1:9">
      <c r="B14" t="s">
        <v>168</v>
      </c>
      <c r="C14">
        <v>11589</v>
      </c>
      <c r="E14" t="s">
        <v>169</v>
      </c>
    </row>
    <row r="16" spans="1:9">
      <c r="A16" t="s">
        <v>170</v>
      </c>
    </row>
    <row r="17" spans="1:9">
      <c r="B17" t="s">
        <v>171</v>
      </c>
      <c r="C17">
        <v>0.15</v>
      </c>
      <c r="E17" t="s">
        <v>172</v>
      </c>
    </row>
    <row r="18" spans="1:9">
      <c r="B18" t="s">
        <v>173</v>
      </c>
      <c r="C18">
        <v>5013</v>
      </c>
      <c r="E18" t="s">
        <v>174</v>
      </c>
    </row>
    <row r="19" spans="1:9">
      <c r="B19" t="s">
        <v>175</v>
      </c>
      <c r="C19">
        <f>C17*C18</f>
        <v>751.94999999999993</v>
      </c>
      <c r="E19" t="s">
        <v>176</v>
      </c>
    </row>
    <row r="20" spans="1:9">
      <c r="B20" t="s">
        <v>177</v>
      </c>
      <c r="C20">
        <v>1</v>
      </c>
      <c r="E20" t="s">
        <v>178</v>
      </c>
    </row>
    <row r="21" spans="1:9">
      <c r="B21" t="s">
        <v>179</v>
      </c>
      <c r="C21">
        <v>5200</v>
      </c>
      <c r="E21" t="s">
        <v>180</v>
      </c>
      <c r="I21" s="49" t="s">
        <v>181</v>
      </c>
    </row>
    <row r="22" spans="1:9">
      <c r="B22" t="s">
        <v>182</v>
      </c>
      <c r="C22">
        <v>2.5000000000000001E-2</v>
      </c>
    </row>
    <row r="23" spans="1:9">
      <c r="B23" t="s">
        <v>183</v>
      </c>
      <c r="C23">
        <v>0.6</v>
      </c>
      <c r="E23" t="s">
        <v>184</v>
      </c>
    </row>
    <row r="24" spans="1:9">
      <c r="A24" s="51"/>
      <c r="B24" s="51" t="s">
        <v>185</v>
      </c>
      <c r="C24" s="51">
        <v>0.85</v>
      </c>
      <c r="D24" s="51"/>
      <c r="E24" s="51" t="s">
        <v>186</v>
      </c>
      <c r="F24" s="51"/>
    </row>
    <row r="26" spans="1:9">
      <c r="A26" s="47" t="s">
        <v>187</v>
      </c>
    </row>
    <row r="28" spans="1:9">
      <c r="B28" t="s">
        <v>188</v>
      </c>
      <c r="C28">
        <v>0</v>
      </c>
      <c r="E28" t="s">
        <v>189</v>
      </c>
    </row>
    <row r="29" spans="1:9">
      <c r="B29" t="s">
        <v>190</v>
      </c>
      <c r="C29">
        <f>BaselineCalc!$B$22</f>
        <v>1200000</v>
      </c>
      <c r="E29" t="s">
        <v>191</v>
      </c>
    </row>
    <row r="30" spans="1:9">
      <c r="B30" t="s">
        <v>192</v>
      </c>
      <c r="C30">
        <v>800000</v>
      </c>
      <c r="E30" t="s">
        <v>193</v>
      </c>
    </row>
    <row r="31" spans="1:9">
      <c r="B31" t="s">
        <v>194</v>
      </c>
      <c r="C31">
        <v>1200000</v>
      </c>
      <c r="E31" t="s">
        <v>195</v>
      </c>
    </row>
    <row r="32" spans="1:9">
      <c r="B32" t="s">
        <v>196</v>
      </c>
      <c r="C32">
        <v>0</v>
      </c>
      <c r="E32" t="s">
        <v>197</v>
      </c>
    </row>
    <row r="33" spans="2:5">
      <c r="B33" t="s">
        <v>198</v>
      </c>
      <c r="C33">
        <v>800000</v>
      </c>
      <c r="E33" t="s">
        <v>199</v>
      </c>
    </row>
    <row r="34" spans="2:5">
      <c r="B34" t="s">
        <v>200</v>
      </c>
      <c r="C34">
        <v>12000</v>
      </c>
      <c r="E34" t="s">
        <v>201</v>
      </c>
    </row>
    <row r="35" spans="2:5">
      <c r="B35" t="s">
        <v>202</v>
      </c>
      <c r="C35">
        <v>300</v>
      </c>
      <c r="E35" t="s">
        <v>203</v>
      </c>
    </row>
    <row r="36" spans="2:5">
      <c r="B36" t="s">
        <v>204</v>
      </c>
      <c r="C36">
        <v>150</v>
      </c>
      <c r="E36" t="s">
        <v>205</v>
      </c>
    </row>
    <row r="38" spans="2:5">
      <c r="B38" t="s">
        <v>206</v>
      </c>
      <c r="C38">
        <v>0.7</v>
      </c>
      <c r="E38" t="s">
        <v>207</v>
      </c>
    </row>
    <row r="39" spans="2:5">
      <c r="B39" t="s">
        <v>208</v>
      </c>
      <c r="C39">
        <v>0.3</v>
      </c>
    </row>
    <row r="40" spans="2:5">
      <c r="B40" t="s">
        <v>209</v>
      </c>
      <c r="C40">
        <v>1</v>
      </c>
    </row>
    <row r="41" spans="2:5">
      <c r="B41" t="s">
        <v>210</v>
      </c>
      <c r="C41">
        <v>0</v>
      </c>
    </row>
    <row r="43" spans="2:5">
      <c r="B43" t="s">
        <v>211</v>
      </c>
      <c r="C43">
        <v>0.6</v>
      </c>
      <c r="E43" t="s">
        <v>212</v>
      </c>
    </row>
    <row r="44" spans="2:5">
      <c r="B44" t="s">
        <v>213</v>
      </c>
      <c r="C44">
        <v>-0.02</v>
      </c>
      <c r="E44" t="s">
        <v>214</v>
      </c>
    </row>
    <row r="45" spans="2:5">
      <c r="B45" t="s">
        <v>215</v>
      </c>
      <c r="C45">
        <v>-0.02</v>
      </c>
      <c r="E45" t="s">
        <v>214</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216</v>
      </c>
    </row>
    <row r="3" spans="1:16">
      <c r="A3" s="4" t="s">
        <v>217</v>
      </c>
      <c r="B3" s="7"/>
    </row>
    <row r="4" spans="1:16">
      <c r="A4" s="4"/>
    </row>
    <row r="5" spans="1:16">
      <c r="B5" s="6" t="s">
        <v>218</v>
      </c>
      <c r="C5" s="53" t="s">
        <v>219</v>
      </c>
      <c r="D5" s="54"/>
      <c r="E5" s="54"/>
      <c r="F5" s="54"/>
      <c r="G5" s="55"/>
      <c r="H5" s="6" t="s">
        <v>75</v>
      </c>
      <c r="J5" s="4"/>
      <c r="K5" s="4"/>
      <c r="L5" s="4"/>
      <c r="M5" s="4"/>
      <c r="N5" s="4"/>
      <c r="O5" s="4"/>
      <c r="P5" s="4"/>
    </row>
    <row r="6" spans="1:16">
      <c r="B6" s="7" t="s">
        <v>220</v>
      </c>
      <c r="C6" s="14">
        <v>2.5000000000000001E-2</v>
      </c>
      <c r="D6" s="7"/>
      <c r="E6" s="7"/>
      <c r="F6" s="7"/>
      <c r="G6" s="7"/>
      <c r="H6" s="8" t="s">
        <v>221</v>
      </c>
    </row>
    <row r="7" spans="1:16">
      <c r="B7" s="7" t="s">
        <v>222</v>
      </c>
      <c r="C7" s="14">
        <v>9936</v>
      </c>
      <c r="D7" s="7"/>
      <c r="E7" s="7"/>
      <c r="F7" s="7"/>
      <c r="G7" s="7"/>
      <c r="H7" s="8" t="s">
        <v>223</v>
      </c>
    </row>
    <row r="8" spans="1:16">
      <c r="B8" s="7" t="s">
        <v>224</v>
      </c>
      <c r="C8" s="14">
        <v>0.46</v>
      </c>
      <c r="D8" s="7"/>
      <c r="E8" s="7"/>
      <c r="F8" s="7"/>
      <c r="G8" s="7"/>
      <c r="H8" s="8" t="s">
        <v>225</v>
      </c>
    </row>
    <row r="9" spans="1:16">
      <c r="B9" s="7" t="s">
        <v>226</v>
      </c>
      <c r="C9" s="14">
        <v>5013</v>
      </c>
      <c r="D9" s="7"/>
      <c r="E9" s="7"/>
      <c r="F9" s="7"/>
      <c r="G9" s="7"/>
      <c r="H9" s="8" t="s">
        <v>227</v>
      </c>
    </row>
    <row r="10" spans="1:16">
      <c r="B10" s="7" t="s">
        <v>228</v>
      </c>
      <c r="C10" s="14">
        <v>7.0000000000000001E-3</v>
      </c>
      <c r="D10" s="7"/>
      <c r="E10" s="7"/>
      <c r="F10" s="7"/>
      <c r="G10" s="7"/>
      <c r="H10" s="8" t="s">
        <v>229</v>
      </c>
    </row>
    <row r="11" spans="1:16">
      <c r="B11" s="7" t="s">
        <v>230</v>
      </c>
      <c r="C11" s="14">
        <v>1.4999999999999999E-2</v>
      </c>
      <c r="D11" s="7"/>
      <c r="E11" s="7"/>
      <c r="F11" s="7"/>
      <c r="G11" s="7"/>
      <c r="H11" s="8" t="s">
        <v>231</v>
      </c>
    </row>
    <row r="12" spans="1:16">
      <c r="B12" s="7" t="s">
        <v>232</v>
      </c>
      <c r="C12" s="14">
        <v>257</v>
      </c>
      <c r="D12" s="7"/>
      <c r="E12" s="7"/>
      <c r="F12" s="7"/>
      <c r="G12" s="7"/>
      <c r="H12" s="8" t="s">
        <v>233</v>
      </c>
    </row>
    <row r="13" spans="1:16">
      <c r="B13" s="7" t="s">
        <v>234</v>
      </c>
      <c r="C13" s="14">
        <v>296</v>
      </c>
      <c r="D13" s="7"/>
      <c r="E13" s="7"/>
      <c r="F13" s="7"/>
      <c r="G13" s="7"/>
      <c r="H13" s="8" t="s">
        <v>235</v>
      </c>
    </row>
    <row r="14" spans="1:16">
      <c r="B14" s="7" t="s">
        <v>236</v>
      </c>
      <c r="C14" s="7">
        <f>C12+C13</f>
        <v>553</v>
      </c>
      <c r="D14" s="7"/>
      <c r="E14" s="7"/>
      <c r="F14" s="7"/>
      <c r="G14" s="7"/>
      <c r="H14" s="8" t="s">
        <v>237</v>
      </c>
    </row>
    <row r="15" spans="1:16">
      <c r="B15" s="7" t="s">
        <v>238</v>
      </c>
      <c r="C15" s="13">
        <v>1200000</v>
      </c>
      <c r="D15" s="7"/>
      <c r="E15" s="7"/>
      <c r="F15" s="7"/>
      <c r="G15" s="7"/>
      <c r="H15" s="8" t="s">
        <v>239</v>
      </c>
    </row>
    <row r="16" spans="1:16">
      <c r="B16" s="7" t="s">
        <v>240</v>
      </c>
      <c r="C16" s="14">
        <v>0.75</v>
      </c>
      <c r="D16" s="7"/>
      <c r="E16" s="7"/>
      <c r="F16" s="7"/>
      <c r="G16" s="7"/>
      <c r="H16" s="8" t="s">
        <v>241</v>
      </c>
    </row>
    <row r="17" spans="1:8">
      <c r="B17" s="7" t="s">
        <v>61</v>
      </c>
      <c r="C17" s="14">
        <f>Parameters_Public!$C41</f>
        <v>0</v>
      </c>
      <c r="D17" s="7"/>
      <c r="E17" s="7"/>
      <c r="F17" s="7"/>
      <c r="G17" s="7"/>
      <c r="H17" s="8" t="s">
        <v>242</v>
      </c>
    </row>
    <row r="18" spans="1:8">
      <c r="B18" s="7"/>
      <c r="C18" s="7"/>
      <c r="D18" s="7"/>
      <c r="E18" s="7"/>
      <c r="F18" s="7"/>
      <c r="G18" s="7"/>
      <c r="H18" s="9"/>
    </row>
    <row r="19" spans="1:8">
      <c r="A19" s="4" t="s">
        <v>243</v>
      </c>
      <c r="B19" s="7"/>
      <c r="C19" s="7"/>
      <c r="D19" s="7"/>
      <c r="E19" s="7"/>
      <c r="F19" s="7"/>
      <c r="G19" s="7"/>
      <c r="H19" s="9"/>
    </row>
    <row r="20" spans="1:8">
      <c r="A20" s="4"/>
      <c r="B20" s="7"/>
      <c r="C20" s="7"/>
      <c r="D20" s="7"/>
      <c r="E20" s="7"/>
      <c r="F20" s="7"/>
      <c r="G20" s="7"/>
      <c r="H20" s="9"/>
    </row>
    <row r="21" spans="1:8">
      <c r="B21" s="6" t="s">
        <v>28</v>
      </c>
      <c r="C21" s="6" t="s">
        <v>117</v>
      </c>
      <c r="D21" s="6" t="s">
        <v>244</v>
      </c>
      <c r="E21" s="6" t="s">
        <v>245</v>
      </c>
      <c r="F21" s="15"/>
      <c r="G21" s="15"/>
      <c r="H21" s="9"/>
    </row>
    <row r="22" spans="1:8">
      <c r="B22" s="7" t="s">
        <v>31</v>
      </c>
      <c r="C22" s="14">
        <v>1000</v>
      </c>
      <c r="D22" s="14">
        <v>0.4</v>
      </c>
      <c r="E22" s="14">
        <v>0.5</v>
      </c>
      <c r="F22" s="7"/>
      <c r="G22" s="7"/>
      <c r="H22" s="8" t="s">
        <v>246</v>
      </c>
    </row>
    <row r="23" spans="1:8">
      <c r="B23" s="7" t="s">
        <v>32</v>
      </c>
      <c r="C23" s="14">
        <v>800</v>
      </c>
      <c r="D23" s="14">
        <v>0.3</v>
      </c>
      <c r="E23" s="14">
        <v>0.4</v>
      </c>
      <c r="F23" s="7"/>
      <c r="G23" s="7"/>
      <c r="H23" s="8" t="s">
        <v>247</v>
      </c>
    </row>
    <row r="24" spans="1:8">
      <c r="B24" s="7" t="s">
        <v>33</v>
      </c>
      <c r="C24" s="14">
        <v>600</v>
      </c>
      <c r="D24" s="14">
        <v>0.2</v>
      </c>
      <c r="E24" s="14">
        <v>0.35</v>
      </c>
      <c r="F24" s="7"/>
      <c r="G24" s="7"/>
      <c r="H24" s="8" t="s">
        <v>248</v>
      </c>
    </row>
    <row r="25" spans="1:8">
      <c r="B25" s="7" t="s">
        <v>34</v>
      </c>
      <c r="C25" s="14">
        <v>500</v>
      </c>
      <c r="D25" s="14">
        <v>0.1</v>
      </c>
      <c r="E25" s="14">
        <v>0.3</v>
      </c>
      <c r="F25" s="7"/>
      <c r="G25" s="7"/>
      <c r="H25" s="9"/>
    </row>
    <row r="26" spans="1:8">
      <c r="B26" s="7" t="s">
        <v>35</v>
      </c>
      <c r="C26" s="14">
        <v>300</v>
      </c>
      <c r="D26" s="14">
        <v>0.1</v>
      </c>
      <c r="E26" s="14">
        <v>0.3</v>
      </c>
      <c r="F26" s="7"/>
      <c r="G26" s="7"/>
      <c r="H26" s="9"/>
    </row>
    <row r="27" spans="1:8">
      <c r="B27" s="7"/>
      <c r="C27" s="7"/>
      <c r="D27" s="7"/>
      <c r="E27" s="7"/>
      <c r="F27" s="7"/>
      <c r="G27" s="7"/>
      <c r="H27" s="9"/>
    </row>
    <row r="28" spans="1:8">
      <c r="A28" s="4" t="s">
        <v>249</v>
      </c>
      <c r="B28" s="7"/>
      <c r="C28" s="7"/>
      <c r="D28" s="7"/>
      <c r="E28" s="7"/>
      <c r="F28" s="7"/>
      <c r="G28" s="7"/>
      <c r="H28" s="9"/>
    </row>
    <row r="29" spans="1:8">
      <c r="A29" s="4"/>
      <c r="B29" s="7"/>
      <c r="C29" s="7"/>
      <c r="D29" s="7"/>
      <c r="E29" s="7"/>
      <c r="F29" s="7"/>
      <c r="G29" s="7"/>
      <c r="H29" s="9"/>
    </row>
    <row r="30" spans="1:8">
      <c r="A30" s="10" t="s">
        <v>250</v>
      </c>
      <c r="B30" s="6" t="s">
        <v>251</v>
      </c>
      <c r="C30" s="6" t="s">
        <v>252</v>
      </c>
      <c r="D30" s="6" t="s">
        <v>253</v>
      </c>
      <c r="E30" s="6" t="s">
        <v>254</v>
      </c>
      <c r="F30" s="6" t="s">
        <v>255</v>
      </c>
      <c r="G30" s="6" t="s">
        <v>256</v>
      </c>
      <c r="H30" s="9"/>
    </row>
    <row r="31" spans="1:8">
      <c r="A31" s="10" t="s">
        <v>257</v>
      </c>
      <c r="B31" s="7" t="s">
        <v>258</v>
      </c>
      <c r="C31" s="14">
        <v>0</v>
      </c>
      <c r="D31" s="14">
        <v>0</v>
      </c>
      <c r="E31" s="14">
        <v>0</v>
      </c>
      <c r="F31" s="14">
        <v>0.5</v>
      </c>
      <c r="G31" s="14">
        <v>0</v>
      </c>
      <c r="H31" s="9"/>
    </row>
    <row r="32" spans="1:8">
      <c r="A32" s="10" t="s">
        <v>259</v>
      </c>
      <c r="B32" s="7" t="s">
        <v>260</v>
      </c>
      <c r="C32" s="14">
        <v>100</v>
      </c>
      <c r="D32" s="14">
        <v>0</v>
      </c>
      <c r="E32" s="14">
        <v>0</v>
      </c>
      <c r="F32" s="14">
        <v>0.5</v>
      </c>
      <c r="G32" s="14">
        <v>0</v>
      </c>
      <c r="H32" s="9" t="s">
        <v>261</v>
      </c>
    </row>
    <row r="33" spans="1:8">
      <c r="A33" s="10" t="s">
        <v>262</v>
      </c>
      <c r="B33" s="7" t="s">
        <v>263</v>
      </c>
      <c r="C33" s="14">
        <v>100</v>
      </c>
      <c r="D33" s="14">
        <v>0</v>
      </c>
      <c r="E33" s="14">
        <v>0</v>
      </c>
      <c r="F33" s="14">
        <v>0.5</v>
      </c>
      <c r="G33" s="14">
        <v>0.05</v>
      </c>
      <c r="H33" s="31"/>
    </row>
    <row r="34" spans="1:8">
      <c r="A34" s="10" t="s">
        <v>264</v>
      </c>
      <c r="B34" s="7" t="s">
        <v>265</v>
      </c>
      <c r="C34" s="14">
        <v>200</v>
      </c>
      <c r="D34" s="14">
        <v>0</v>
      </c>
      <c r="E34" s="14">
        <v>0</v>
      </c>
      <c r="F34" s="14">
        <v>0.5</v>
      </c>
      <c r="G34" s="14">
        <v>0</v>
      </c>
      <c r="H34" s="9"/>
    </row>
    <row r="35" spans="1:8">
      <c r="A35" s="10" t="s">
        <v>266</v>
      </c>
      <c r="B35" s="7" t="s">
        <v>267</v>
      </c>
      <c r="C35" s="14">
        <v>0</v>
      </c>
      <c r="D35" s="14">
        <v>0</v>
      </c>
      <c r="E35" s="14">
        <v>0</v>
      </c>
      <c r="F35" s="14">
        <v>0.5</v>
      </c>
      <c r="G35" s="14">
        <v>0</v>
      </c>
      <c r="H35" s="9"/>
    </row>
    <row r="36" spans="1:8">
      <c r="A36" s="10" t="s">
        <v>268</v>
      </c>
      <c r="B36" s="7" t="s">
        <v>269</v>
      </c>
      <c r="C36" s="14">
        <v>150</v>
      </c>
      <c r="D36" s="14">
        <v>0</v>
      </c>
      <c r="E36" s="14">
        <v>0</v>
      </c>
      <c r="F36" s="14">
        <v>0.7</v>
      </c>
      <c r="G36" s="14">
        <v>0</v>
      </c>
      <c r="H36" s="9"/>
    </row>
    <row r="37" spans="1:8">
      <c r="A37" s="10" t="s">
        <v>270</v>
      </c>
      <c r="B37" s="7" t="s">
        <v>271</v>
      </c>
      <c r="C37" s="14">
        <v>0</v>
      </c>
      <c r="D37" s="14">
        <v>1</v>
      </c>
      <c r="E37" s="14">
        <v>1</v>
      </c>
      <c r="F37" s="14">
        <v>0.5</v>
      </c>
      <c r="G37" s="14">
        <v>0</v>
      </c>
      <c r="H37" s="9"/>
    </row>
    <row r="38" spans="1:8">
      <c r="A38" s="10" t="s">
        <v>272</v>
      </c>
      <c r="B38" s="7" t="s">
        <v>273</v>
      </c>
      <c r="C38" s="14">
        <v>0</v>
      </c>
      <c r="D38" s="14">
        <v>1</v>
      </c>
      <c r="E38" s="14">
        <v>1</v>
      </c>
      <c r="F38" s="14">
        <v>0.5</v>
      </c>
      <c r="G38" s="14">
        <v>0</v>
      </c>
      <c r="H38" s="9"/>
    </row>
    <row r="39" spans="1:8">
      <c r="A39" s="10" t="s">
        <v>274</v>
      </c>
      <c r="B39" s="7" t="s">
        <v>275</v>
      </c>
      <c r="C39" s="14">
        <v>0</v>
      </c>
      <c r="D39" s="14">
        <v>1</v>
      </c>
      <c r="E39" s="14">
        <v>0</v>
      </c>
      <c r="F39" s="14">
        <v>0</v>
      </c>
      <c r="G39" s="14">
        <v>0</v>
      </c>
      <c r="H39" s="9"/>
    </row>
    <row r="40" spans="1:8">
      <c r="A40" s="10" t="s">
        <v>276</v>
      </c>
      <c r="B40" s="7" t="s">
        <v>277</v>
      </c>
      <c r="C40" s="14">
        <v>50</v>
      </c>
      <c r="D40" s="14">
        <v>1</v>
      </c>
      <c r="E40" s="14">
        <v>0</v>
      </c>
      <c r="F40" s="14">
        <v>0</v>
      </c>
      <c r="G40" s="14">
        <v>0</v>
      </c>
      <c r="H40" s="9"/>
    </row>
    <row r="41" spans="1:8">
      <c r="A41" s="10" t="s">
        <v>278</v>
      </c>
      <c r="B41" s="7" t="s">
        <v>279</v>
      </c>
      <c r="C41" s="14">
        <v>0</v>
      </c>
      <c r="D41" s="14">
        <v>0</v>
      </c>
      <c r="E41" s="14">
        <v>1</v>
      </c>
      <c r="F41" s="14">
        <v>1</v>
      </c>
      <c r="G41" s="14">
        <v>0</v>
      </c>
      <c r="H41" s="9"/>
    </row>
    <row r="42" spans="1:8">
      <c r="A42" s="10" t="s">
        <v>280</v>
      </c>
      <c r="B42" s="7" t="s">
        <v>281</v>
      </c>
      <c r="C42" s="14">
        <v>100</v>
      </c>
      <c r="D42" s="14">
        <v>0</v>
      </c>
      <c r="E42" s="14">
        <v>1</v>
      </c>
      <c r="F42" s="14">
        <v>1</v>
      </c>
      <c r="G42" s="14">
        <v>0</v>
      </c>
      <c r="H42" s="9"/>
    </row>
    <row r="43" spans="1:8">
      <c r="B43" s="7"/>
      <c r="C43" s="7"/>
      <c r="D43" s="7"/>
      <c r="E43" s="7"/>
      <c r="F43" s="7"/>
      <c r="G43" s="7"/>
    </row>
    <row r="44" spans="1:8">
      <c r="A44" s="4" t="s">
        <v>282</v>
      </c>
      <c r="B44" s="7"/>
      <c r="C44" s="7"/>
      <c r="D44" s="7"/>
      <c r="E44" s="7"/>
      <c r="F44" s="7"/>
      <c r="G44" s="7"/>
    </row>
    <row r="45" spans="1:8">
      <c r="B45" s="7"/>
      <c r="C45" s="7"/>
      <c r="D45" s="7"/>
      <c r="E45" s="7"/>
      <c r="F45" s="7"/>
      <c r="G45" s="7"/>
    </row>
    <row r="46" spans="1:8">
      <c r="B46" s="6" t="s">
        <v>251</v>
      </c>
      <c r="C46" s="6" t="s">
        <v>283</v>
      </c>
      <c r="D46" s="6" t="s">
        <v>284</v>
      </c>
      <c r="E46" s="7"/>
      <c r="F46" s="7"/>
      <c r="G46" s="7"/>
      <c r="H46" s="9" t="s">
        <v>285</v>
      </c>
    </row>
    <row r="47" spans="1:8">
      <c r="B47" s="7" t="s">
        <v>286</v>
      </c>
      <c r="C47" s="14" t="s">
        <v>287</v>
      </c>
      <c r="D47" s="14" t="s">
        <v>288</v>
      </c>
      <c r="E47" s="7"/>
      <c r="F47" s="7"/>
      <c r="G47" s="7"/>
      <c r="H47" s="9"/>
    </row>
    <row r="48" spans="1:8">
      <c r="B48" s="7" t="s">
        <v>260</v>
      </c>
      <c r="C48" s="14" t="s">
        <v>289</v>
      </c>
      <c r="D48" s="14" t="s">
        <v>290</v>
      </c>
      <c r="E48" s="7"/>
      <c r="F48" s="7"/>
      <c r="G48" s="7"/>
      <c r="H48" s="9"/>
    </row>
    <row r="49" spans="2:8">
      <c r="B49" s="7" t="s">
        <v>263</v>
      </c>
      <c r="C49" s="16" t="s">
        <v>291</v>
      </c>
      <c r="D49" s="14" t="s">
        <v>288</v>
      </c>
      <c r="E49" s="7"/>
      <c r="F49" s="7"/>
      <c r="G49" s="7"/>
      <c r="H49" s="9"/>
    </row>
    <row r="50" spans="2:8">
      <c r="B50" s="7" t="s">
        <v>265</v>
      </c>
      <c r="C50" s="16" t="s">
        <v>291</v>
      </c>
      <c r="D50" s="14" t="s">
        <v>288</v>
      </c>
      <c r="E50" s="7"/>
      <c r="F50" s="7"/>
      <c r="G50" s="7"/>
      <c r="H50" s="9"/>
    </row>
    <row r="51" spans="2:8">
      <c r="B51" s="7" t="s">
        <v>292</v>
      </c>
      <c r="C51" s="14" t="s">
        <v>287</v>
      </c>
      <c r="D51" s="14" t="s">
        <v>288</v>
      </c>
      <c r="E51" s="7"/>
      <c r="F51" s="7"/>
      <c r="G51" s="7"/>
      <c r="H51" s="9"/>
    </row>
    <row r="52" spans="2:8">
      <c r="B52" s="7" t="s">
        <v>269</v>
      </c>
      <c r="C52" s="16" t="s">
        <v>291</v>
      </c>
      <c r="D52" s="14" t="s">
        <v>288</v>
      </c>
      <c r="E52" s="7"/>
      <c r="F52" s="7"/>
      <c r="G52" s="7"/>
      <c r="H52" s="9"/>
    </row>
    <row r="53" spans="2:8">
      <c r="B53" s="7" t="s">
        <v>271</v>
      </c>
      <c r="C53" s="16" t="s">
        <v>293</v>
      </c>
      <c r="D53" s="14" t="s">
        <v>294</v>
      </c>
      <c r="E53" s="7"/>
      <c r="F53" s="7"/>
      <c r="G53" s="7"/>
      <c r="H53" s="9"/>
    </row>
    <row r="54" spans="2:8">
      <c r="B54" s="7" t="s">
        <v>273</v>
      </c>
      <c r="C54" s="16" t="s">
        <v>295</v>
      </c>
      <c r="D54" s="14" t="s">
        <v>296</v>
      </c>
      <c r="E54" s="7"/>
      <c r="F54" s="7"/>
      <c r="G54" s="7"/>
      <c r="H54" s="9"/>
    </row>
    <row r="55" spans="2:8">
      <c r="B55" s="7" t="s">
        <v>275</v>
      </c>
      <c r="C55" s="16" t="s">
        <v>295</v>
      </c>
      <c r="D55" s="14" t="s">
        <v>296</v>
      </c>
      <c r="E55" s="7"/>
      <c r="F55" s="7"/>
      <c r="G55" s="7"/>
      <c r="H55" s="9"/>
    </row>
    <row r="56" spans="2:8">
      <c r="B56" s="7" t="s">
        <v>277</v>
      </c>
      <c r="C56" s="14" t="s">
        <v>289</v>
      </c>
      <c r="D56" s="14" t="s">
        <v>296</v>
      </c>
      <c r="E56" s="7"/>
      <c r="F56" s="7"/>
      <c r="G56" s="7"/>
      <c r="H56" s="9"/>
    </row>
    <row r="57" spans="2:8">
      <c r="B57" s="7" t="s">
        <v>279</v>
      </c>
      <c r="C57" s="16" t="s">
        <v>295</v>
      </c>
      <c r="D57" s="14" t="s">
        <v>296</v>
      </c>
      <c r="E57" s="7"/>
      <c r="F57" s="7"/>
      <c r="G57" s="7"/>
      <c r="H57" s="9"/>
    </row>
    <row r="58" spans="2:8">
      <c r="B58" s="7" t="s">
        <v>281</v>
      </c>
      <c r="C58" s="14" t="s">
        <v>289</v>
      </c>
      <c r="D58" s="14" t="s">
        <v>296</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10"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218</v>
      </c>
      <c r="B1" s="1" t="s">
        <v>219</v>
      </c>
      <c r="C1" s="1" t="s">
        <v>75</v>
      </c>
    </row>
    <row r="2" spans="1:11">
      <c r="A2" t="s">
        <v>220</v>
      </c>
      <c r="B2">
        <f>Control_Center!C6</f>
        <v>2.5000000000000001E-2</v>
      </c>
      <c r="C2" t="s">
        <v>221</v>
      </c>
    </row>
    <row r="3" spans="1:11">
      <c r="A3" t="s">
        <v>222</v>
      </c>
      <c r="B3">
        <f>Parameters_Public!$C$14</f>
        <v>11589</v>
      </c>
      <c r="C3" t="s">
        <v>297</v>
      </c>
    </row>
    <row r="4" spans="1:11">
      <c r="A4" t="s">
        <v>224</v>
      </c>
      <c r="B4">
        <f>Control_Center!C8</f>
        <v>0.46</v>
      </c>
      <c r="C4" t="s">
        <v>298</v>
      </c>
    </row>
    <row r="5" spans="1:11">
      <c r="A5" t="s">
        <v>228</v>
      </c>
      <c r="B5">
        <f>Control_Center!C10</f>
        <v>7.0000000000000001E-3</v>
      </c>
      <c r="C5" t="s">
        <v>229</v>
      </c>
    </row>
    <row r="6" spans="1:11">
      <c r="A6" t="s">
        <v>230</v>
      </c>
      <c r="B6">
        <f>Control_Center!C11</f>
        <v>1.4999999999999999E-2</v>
      </c>
      <c r="C6" t="s">
        <v>231</v>
      </c>
    </row>
    <row r="7" spans="1:11">
      <c r="A7" t="s">
        <v>232</v>
      </c>
      <c r="B7">
        <f>Parameters_Public!$C$10</f>
        <v>257</v>
      </c>
    </row>
    <row r="8" spans="1:11">
      <c r="A8" t="s">
        <v>234</v>
      </c>
      <c r="B8">
        <f>Parameters_Public!$C$11</f>
        <v>296</v>
      </c>
    </row>
    <row r="9" spans="1:11">
      <c r="A9" t="s">
        <v>236</v>
      </c>
      <c r="B9">
        <f>B7+B8</f>
        <v>553</v>
      </c>
      <c r="C9" t="s">
        <v>237</v>
      </c>
    </row>
    <row r="12" spans="1:11">
      <c r="A12" s="1" t="s">
        <v>299</v>
      </c>
      <c r="B12" s="1" t="s">
        <v>300</v>
      </c>
      <c r="C12" s="1" t="s">
        <v>301</v>
      </c>
      <c r="D12" s="1" t="s">
        <v>302</v>
      </c>
      <c r="E12" s="1" t="s">
        <v>303</v>
      </c>
      <c r="F12" s="1" t="s">
        <v>304</v>
      </c>
      <c r="G12" s="1" t="s">
        <v>75</v>
      </c>
    </row>
    <row r="13" spans="1:11">
      <c r="A13" t="s">
        <v>305</v>
      </c>
      <c r="B13" s="2">
        <f>B9*B3</f>
        <v>6408717</v>
      </c>
      <c r="C13" s="2">
        <f>C14/$B$4</f>
        <v>6568934.9249999998</v>
      </c>
      <c r="D13" s="2">
        <f>D14/$B$4</f>
        <v>6733158.2981250007</v>
      </c>
      <c r="E13" s="2">
        <f>E14/$B$4</f>
        <v>6901487.255578124</v>
      </c>
      <c r="F13" s="2">
        <f>F14/$B$4</f>
        <v>7074024.4369675769</v>
      </c>
      <c r="G13" t="s">
        <v>306</v>
      </c>
      <c r="K13" t="s">
        <v>307</v>
      </c>
    </row>
    <row r="14" spans="1:11">
      <c r="A14" t="s">
        <v>308</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309</v>
      </c>
      <c r="K14" t="s">
        <v>310</v>
      </c>
    </row>
    <row r="15" spans="1:11">
      <c r="A15" t="s">
        <v>311</v>
      </c>
      <c r="B15" s="2">
        <f>(B13-B14)/B9</f>
        <v>6258.0599999999995</v>
      </c>
      <c r="C15" s="2">
        <f t="shared" si="0"/>
        <v>6414.5114999999987</v>
      </c>
      <c r="D15" s="2">
        <f t="shared" si="0"/>
        <v>6574.8742874999989</v>
      </c>
      <c r="E15" s="2">
        <f t="shared" si="0"/>
        <v>6739.2461446874986</v>
      </c>
      <c r="F15" s="2">
        <f t="shared" si="0"/>
        <v>6907.7272983046851</v>
      </c>
      <c r="G15" t="s">
        <v>312</v>
      </c>
      <c r="K15" t="s">
        <v>313</v>
      </c>
    </row>
    <row r="17" spans="1:6">
      <c r="A17" t="s">
        <v>314</v>
      </c>
      <c r="B17" s="2">
        <f>$B$14*(1+$B$2)^1</f>
        <v>3021710.0655</v>
      </c>
      <c r="C17" s="2">
        <f>$B$14*(1+$B$2)^2</f>
        <v>3097252.8171375003</v>
      </c>
      <c r="D17" s="2">
        <f>$B$14*(1+$B$2)^3</f>
        <v>3174684.1375659374</v>
      </c>
      <c r="E17" s="2">
        <f>$B$14*(1+$B$2)^4</f>
        <v>3254051.2410050854</v>
      </c>
      <c r="F17" s="2">
        <f>$B$14*(1+$B$2)^5</f>
        <v>3335402.5220302125</v>
      </c>
    </row>
    <row r="18" spans="1:6">
      <c r="A18" t="s">
        <v>315</v>
      </c>
      <c r="B18" s="2">
        <f>$B$15*(1+$B$2)^1</f>
        <v>6414.5114999999987</v>
      </c>
      <c r="C18" s="2">
        <f>$B$15*(1+$B$2)^2</f>
        <v>6574.8742874999989</v>
      </c>
      <c r="D18" s="2">
        <f>$B$15*(1+$B$2)^3</f>
        <v>6739.2461446874986</v>
      </c>
      <c r="E18" s="2">
        <f>$B$15*(1+$B$2)^4</f>
        <v>6907.7272983046851</v>
      </c>
      <c r="F18" s="2">
        <f>$B$15*(1+$B$2)^5</f>
        <v>7080.4204807623018</v>
      </c>
    </row>
    <row r="19" spans="1:6">
      <c r="A19" t="s">
        <v>316</v>
      </c>
      <c r="B19" s="2">
        <f>IF(Site_Fixed!$C$8&gt;0, Site_Fixed!$C$8*(1+$B$2)^1, B17*($B$7/$B$9))</f>
        <v>1404302.8695</v>
      </c>
      <c r="C19" s="2">
        <f>C17*($B$7/$B$9)</f>
        <v>1439410.4412375002</v>
      </c>
      <c r="D19" s="2">
        <f>D17*($B$7/$B$9)</f>
        <v>1475395.7022684375</v>
      </c>
      <c r="E19" s="2">
        <f>E17*($B$7/$B$9)</f>
        <v>1512280.5948251483</v>
      </c>
      <c r="F19" s="2">
        <f>F17*($B$7/$B$9)</f>
        <v>1550087.6096957768</v>
      </c>
    </row>
    <row r="20" spans="1:6">
      <c r="A20" t="s">
        <v>317</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238</v>
      </c>
      <c r="B22">
        <f>Control_Center!C15</f>
        <v>1200000</v>
      </c>
    </row>
    <row r="23" spans="1:6">
      <c r="A23" t="s">
        <v>318</v>
      </c>
      <c r="B23">
        <f>Control_Center!C16</f>
        <v>0.75</v>
      </c>
    </row>
    <row r="25" spans="1:6">
      <c r="A25" s="1" t="s">
        <v>75</v>
      </c>
    </row>
    <row r="26" spans="1:6">
      <c r="A26" s="3" t="s">
        <v>319</v>
      </c>
    </row>
    <row r="27" spans="1:6">
      <c r="A27" t="s">
        <v>226</v>
      </c>
      <c r="B27">
        <f>Parameters_Public!$C18</f>
        <v>5013</v>
      </c>
      <c r="C27" t="s">
        <v>227</v>
      </c>
    </row>
    <row r="28" spans="1:6">
      <c r="A28" t="s">
        <v>320</v>
      </c>
      <c r="B28">
        <f>Parameters_Public!$C22</f>
        <v>2.5000000000000001E-2</v>
      </c>
      <c r="C28" t="s">
        <v>321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28</v>
      </c>
      <c r="B1" s="1" t="s">
        <v>108</v>
      </c>
      <c r="C1" s="1" t="s">
        <v>109</v>
      </c>
      <c r="D1" s="1" t="s">
        <v>110</v>
      </c>
      <c r="E1" s="1" t="s">
        <v>117</v>
      </c>
      <c r="F1" s="1" t="s">
        <v>244</v>
      </c>
      <c r="G1" s="1" t="s">
        <v>245</v>
      </c>
      <c r="H1" s="1" t="s">
        <v>322</v>
      </c>
      <c r="I1" s="1" t="s">
        <v>323</v>
      </c>
      <c r="L1" s="1" t="s">
        <v>324</v>
      </c>
      <c r="M1" s="1" t="s">
        <v>325</v>
      </c>
      <c r="N1" s="1" t="s">
        <v>326</v>
      </c>
      <c r="O1" t="s">
        <v>327</v>
      </c>
      <c r="P1" t="s">
        <v>328</v>
      </c>
    </row>
    <row r="2" spans="1:16">
      <c r="A2" t="s">
        <v>31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32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33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34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35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329</v>
      </c>
    </row>
    <row r="3" spans="1:3">
      <c r="A3" t="s">
        <v>330</v>
      </c>
      <c r="B3">
        <v>0</v>
      </c>
    </row>
    <row r="4" spans="1:3">
      <c r="A4" t="s">
        <v>331</v>
      </c>
      <c r="B4">
        <v>0</v>
      </c>
    </row>
    <row r="5" spans="1:3">
      <c r="A5" t="s">
        <v>332</v>
      </c>
      <c r="B5">
        <v>0</v>
      </c>
    </row>
    <row r="6" spans="1:3">
      <c r="A6" t="s">
        <v>333</v>
      </c>
      <c r="B6">
        <v>0</v>
      </c>
    </row>
    <row r="7" spans="1:3">
      <c r="A7" t="s">
        <v>334</v>
      </c>
      <c r="B7">
        <v>0</v>
      </c>
    </row>
    <row r="8" spans="1:3">
      <c r="A8" t="s">
        <v>335</v>
      </c>
      <c r="C8">
        <f>SUM(B3:B7)</f>
        <v>0</v>
      </c>
    </row>
    <row r="10" spans="1:3">
      <c r="A10" t="s">
        <v>336</v>
      </c>
      <c r="B10">
        <v>0</v>
      </c>
    </row>
    <row r="11" spans="1:3">
      <c r="A11" t="s">
        <v>337</v>
      </c>
      <c r="B11">
        <v>0</v>
      </c>
    </row>
    <row r="12" spans="1:3">
      <c r="A12" t="s">
        <v>338</v>
      </c>
      <c r="B12">
        <v>0</v>
      </c>
    </row>
    <row r="13" spans="1:3">
      <c r="A13" t="s">
        <v>339</v>
      </c>
      <c r="B13">
        <v>0</v>
      </c>
    </row>
    <row r="14" spans="1:3">
      <c r="A14" t="s">
        <v>340</v>
      </c>
      <c r="B14">
        <v>0</v>
      </c>
    </row>
    <row r="15" spans="1:3">
      <c r="A15" t="s">
        <v>341</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342</v>
      </c>
      <c r="C2" s="6" t="s">
        <v>343</v>
      </c>
      <c r="D2" s="6" t="s">
        <v>344</v>
      </c>
      <c r="E2" s="6" t="s">
        <v>345</v>
      </c>
      <c r="F2" s="6" t="s">
        <v>346</v>
      </c>
      <c r="G2" s="6" t="s">
        <v>347</v>
      </c>
      <c r="H2" s="7"/>
      <c r="I2" s="7"/>
    </row>
    <row r="3" spans="1:11" ht="221" customHeight="1">
      <c r="A3" s="7"/>
      <c r="B3" s="7">
        <f t="shared" ref="B3:B28" si="0">ROW()-2</f>
        <v>1</v>
      </c>
      <c r="C3" s="24" t="s">
        <v>348</v>
      </c>
      <c r="D3" s="25" t="s">
        <v>349</v>
      </c>
      <c r="E3" s="25" t="s">
        <v>350</v>
      </c>
      <c r="F3" s="25"/>
      <c r="G3" s="25"/>
      <c r="H3" s="7"/>
      <c r="I3" s="7"/>
    </row>
    <row r="4" spans="1:11" ht="182" customHeight="1">
      <c r="A4" s="7"/>
      <c r="B4" s="7">
        <f t="shared" si="0"/>
        <v>2</v>
      </c>
      <c r="C4" s="24" t="s">
        <v>351</v>
      </c>
      <c r="D4" s="25" t="s">
        <v>352</v>
      </c>
      <c r="E4" s="25" t="s">
        <v>353</v>
      </c>
      <c r="F4" s="25"/>
      <c r="G4" s="25"/>
      <c r="H4" s="7"/>
      <c r="I4" s="7"/>
    </row>
    <row r="5" spans="1:11" ht="130" customHeight="1">
      <c r="A5" s="7"/>
      <c r="B5" s="7">
        <f t="shared" si="0"/>
        <v>3</v>
      </c>
      <c r="C5" s="24" t="s">
        <v>354</v>
      </c>
      <c r="D5" s="25" t="s">
        <v>355</v>
      </c>
      <c r="E5" s="24" t="s">
        <v>356</v>
      </c>
      <c r="F5" s="24"/>
      <c r="G5" s="25" t="s">
        <v>357</v>
      </c>
      <c r="H5" s="7"/>
      <c r="I5" s="7"/>
    </row>
    <row r="6" spans="1:11" ht="65" customHeight="1">
      <c r="A6" s="7"/>
      <c r="B6" s="7">
        <f t="shared" si="0"/>
        <v>4</v>
      </c>
      <c r="C6" s="24" t="s">
        <v>358</v>
      </c>
      <c r="D6" s="25" t="s">
        <v>359</v>
      </c>
      <c r="E6" s="25" t="s">
        <v>360</v>
      </c>
      <c r="F6" s="25"/>
      <c r="G6" s="25" t="s">
        <v>361</v>
      </c>
      <c r="H6" s="7"/>
      <c r="I6" s="7"/>
    </row>
    <row r="7" spans="1:11" ht="52" customHeight="1">
      <c r="A7" s="7"/>
      <c r="B7" s="7">
        <f t="shared" si="0"/>
        <v>5</v>
      </c>
      <c r="C7" s="24" t="s">
        <v>362</v>
      </c>
      <c r="D7" s="25" t="s">
        <v>359</v>
      </c>
      <c r="E7" s="24" t="s">
        <v>363</v>
      </c>
      <c r="F7" s="24"/>
      <c r="G7" s="25" t="s">
        <v>364</v>
      </c>
      <c r="H7" s="7"/>
      <c r="I7" s="7"/>
    </row>
    <row r="8" spans="1:11" ht="104" customHeight="1">
      <c r="A8" s="7"/>
      <c r="B8" s="7">
        <f t="shared" si="0"/>
        <v>6</v>
      </c>
      <c r="C8" s="24" t="s">
        <v>365</v>
      </c>
      <c r="D8" s="25" t="s">
        <v>366</v>
      </c>
      <c r="E8" s="26" t="s">
        <v>367</v>
      </c>
      <c r="F8" s="26"/>
      <c r="G8" s="25" t="s">
        <v>368</v>
      </c>
      <c r="H8" s="7"/>
      <c r="I8" s="7"/>
    </row>
    <row r="9" spans="1:11" ht="145" customHeight="1">
      <c r="A9" s="7"/>
      <c r="B9" s="7">
        <f t="shared" si="0"/>
        <v>7</v>
      </c>
      <c r="C9" s="20" t="s">
        <v>369</v>
      </c>
      <c r="D9" s="19" t="s">
        <v>370</v>
      </c>
      <c r="E9" s="23" t="s">
        <v>371</v>
      </c>
      <c r="F9" s="23"/>
      <c r="G9" s="25" t="s">
        <v>372</v>
      </c>
      <c r="H9" s="7"/>
      <c r="I9" s="7"/>
    </row>
    <row r="10" spans="1:11">
      <c r="A10" s="7"/>
      <c r="B10" s="7">
        <f t="shared" si="0"/>
        <v>8</v>
      </c>
      <c r="C10" s="24" t="s">
        <v>373</v>
      </c>
      <c r="D10" s="28"/>
      <c r="E10" s="27"/>
      <c r="F10" s="27"/>
      <c r="G10" s="28"/>
      <c r="H10" s="7"/>
      <c r="I10" s="7"/>
    </row>
    <row r="11" spans="1:11">
      <c r="A11" s="7"/>
      <c r="B11" s="7">
        <f t="shared" si="0"/>
        <v>9</v>
      </c>
      <c r="C11" s="24" t="s">
        <v>374</v>
      </c>
      <c r="D11" s="28"/>
      <c r="E11" s="27"/>
      <c r="F11" s="27"/>
      <c r="G11" s="28"/>
      <c r="H11" s="7"/>
      <c r="I11" s="7"/>
    </row>
    <row r="12" spans="1:11" ht="26" customHeight="1">
      <c r="A12" s="7"/>
      <c r="B12" s="7">
        <f t="shared" si="0"/>
        <v>10</v>
      </c>
      <c r="C12" s="24" t="s">
        <v>70</v>
      </c>
      <c r="D12" s="25" t="s">
        <v>375</v>
      </c>
      <c r="E12" s="25" t="s">
        <v>376</v>
      </c>
      <c r="F12" s="25"/>
      <c r="G12" s="25"/>
      <c r="H12" s="7"/>
      <c r="I12" s="7"/>
    </row>
    <row r="13" spans="1:11" ht="52" customHeight="1">
      <c r="A13" s="7"/>
      <c r="B13" s="7">
        <f t="shared" si="0"/>
        <v>11</v>
      </c>
      <c r="C13" s="24" t="s">
        <v>377</v>
      </c>
      <c r="D13" s="25" t="s">
        <v>378</v>
      </c>
      <c r="E13" s="24" t="s">
        <v>379</v>
      </c>
      <c r="F13" s="24"/>
      <c r="G13" s="25" t="s">
        <v>380</v>
      </c>
      <c r="H13" s="7"/>
      <c r="I13" s="7"/>
    </row>
    <row r="14" spans="1:11" ht="104" customHeight="1">
      <c r="A14" s="7"/>
      <c r="B14" s="7">
        <f t="shared" si="0"/>
        <v>12</v>
      </c>
      <c r="C14" s="24" t="s">
        <v>381</v>
      </c>
      <c r="D14" s="25" t="s">
        <v>382</v>
      </c>
      <c r="E14" s="27" t="s">
        <v>383</v>
      </c>
      <c r="F14" s="27"/>
      <c r="G14" s="25" t="s">
        <v>384</v>
      </c>
      <c r="H14" s="7"/>
      <c r="I14" s="7"/>
    </row>
    <row r="15" spans="1:11" ht="391.5" customHeight="1">
      <c r="A15" s="7"/>
      <c r="B15" s="7">
        <f t="shared" si="0"/>
        <v>13</v>
      </c>
      <c r="C15" s="24" t="s">
        <v>385</v>
      </c>
      <c r="D15" s="25" t="s">
        <v>386</v>
      </c>
      <c r="E15" s="24" t="s">
        <v>387</v>
      </c>
      <c r="F15" s="24"/>
      <c r="G15" s="25" t="s">
        <v>388</v>
      </c>
      <c r="H15" s="20" t="s">
        <v>389</v>
      </c>
      <c r="I15" s="19" t="s">
        <v>390</v>
      </c>
      <c r="J15" s="19" t="s">
        <v>391</v>
      </c>
      <c r="K15" s="19" t="s">
        <v>392</v>
      </c>
    </row>
    <row r="16" spans="1:11" ht="409.5" customHeight="1">
      <c r="A16" s="7"/>
      <c r="B16" s="7">
        <f t="shared" si="0"/>
        <v>14</v>
      </c>
      <c r="C16" s="24" t="s">
        <v>393</v>
      </c>
      <c r="D16" s="25" t="s">
        <v>394</v>
      </c>
      <c r="E16" s="27" t="s">
        <v>395</v>
      </c>
      <c r="F16" s="27"/>
      <c r="G16" s="25" t="s">
        <v>396</v>
      </c>
      <c r="H16" s="7"/>
      <c r="I16" s="7"/>
    </row>
    <row r="17" spans="1:11" ht="65" customHeight="1">
      <c r="A17" s="7"/>
      <c r="B17" s="7">
        <f t="shared" si="0"/>
        <v>15</v>
      </c>
      <c r="C17" s="24" t="s">
        <v>397</v>
      </c>
      <c r="D17" s="25" t="s">
        <v>398</v>
      </c>
      <c r="E17" s="24" t="s">
        <v>399</v>
      </c>
      <c r="F17" s="24"/>
      <c r="G17" s="25" t="s">
        <v>400</v>
      </c>
      <c r="H17" s="7"/>
      <c r="I17" s="7"/>
    </row>
    <row r="18" spans="1:11" ht="195" customHeight="1">
      <c r="A18" s="7"/>
      <c r="B18" s="7">
        <f t="shared" si="0"/>
        <v>16</v>
      </c>
      <c r="C18" s="24" t="s">
        <v>401</v>
      </c>
      <c r="D18" s="30" t="s">
        <v>402</v>
      </c>
      <c r="E18" s="24" t="s">
        <v>403</v>
      </c>
      <c r="F18" s="24"/>
      <c r="G18" s="25" t="s">
        <v>404</v>
      </c>
      <c r="H18" s="7"/>
      <c r="I18" s="7"/>
    </row>
    <row r="19" spans="1:11" ht="91" customHeight="1">
      <c r="A19" s="7"/>
      <c r="B19" s="7">
        <f t="shared" si="0"/>
        <v>17</v>
      </c>
      <c r="C19" s="24" t="s">
        <v>405</v>
      </c>
      <c r="D19" s="28" t="s">
        <v>406</v>
      </c>
      <c r="E19" s="29"/>
      <c r="F19" s="29"/>
      <c r="G19" s="28"/>
      <c r="H19" s="7"/>
      <c r="I19" s="7"/>
    </row>
    <row r="20" spans="1:11" ht="104" customHeight="1">
      <c r="A20" s="7"/>
      <c r="B20" s="7">
        <f t="shared" si="0"/>
        <v>18</v>
      </c>
      <c r="C20" s="24" t="s">
        <v>407</v>
      </c>
      <c r="D20" s="28" t="s">
        <v>408</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409</v>
      </c>
      <c r="D22" s="25" t="s">
        <v>410</v>
      </c>
      <c r="E22" s="24" t="s">
        <v>411</v>
      </c>
      <c r="F22" s="24"/>
      <c r="G22" s="25" t="s">
        <v>412</v>
      </c>
      <c r="H22" s="7" t="s">
        <v>413</v>
      </c>
      <c r="I22" s="7"/>
    </row>
    <row r="23" spans="1:11" ht="39" customHeight="1">
      <c r="A23" s="7"/>
      <c r="B23" s="7">
        <f t="shared" si="0"/>
        <v>21</v>
      </c>
      <c r="C23" s="24" t="s">
        <v>414</v>
      </c>
      <c r="D23" s="25" t="s">
        <v>415</v>
      </c>
      <c r="E23" s="25" t="s">
        <v>416</v>
      </c>
      <c r="F23" s="25"/>
      <c r="G23" s="25" t="s">
        <v>417</v>
      </c>
      <c r="H23" s="7"/>
      <c r="I23" s="7"/>
    </row>
    <row r="24" spans="1:11" ht="52" customHeight="1">
      <c r="A24" s="7"/>
      <c r="B24" s="7">
        <f t="shared" si="0"/>
        <v>22</v>
      </c>
      <c r="C24" s="24" t="s">
        <v>418</v>
      </c>
      <c r="D24" s="25" t="s">
        <v>419</v>
      </c>
      <c r="E24" s="26" t="s">
        <v>420</v>
      </c>
      <c r="F24" s="26"/>
      <c r="G24" s="25" t="s">
        <v>421</v>
      </c>
      <c r="H24" s="7"/>
      <c r="I24" s="7"/>
    </row>
    <row r="25" spans="1:11" ht="65" customHeight="1">
      <c r="A25" s="7"/>
      <c r="B25" s="7">
        <f t="shared" si="0"/>
        <v>23</v>
      </c>
      <c r="C25" s="24" t="s">
        <v>422</v>
      </c>
      <c r="D25" s="25" t="s">
        <v>423</v>
      </c>
      <c r="E25" s="26" t="s">
        <v>424</v>
      </c>
      <c r="F25" s="26"/>
      <c r="G25" s="25" t="s">
        <v>425</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426</v>
      </c>
      <c r="D28" s="18" t="s">
        <v>427</v>
      </c>
      <c r="E28" s="18" t="s">
        <v>428</v>
      </c>
      <c r="F28" s="18"/>
      <c r="G28" s="18" t="s">
        <v>429</v>
      </c>
      <c r="H28" s="7"/>
      <c r="I28" s="7"/>
    </row>
    <row r="29" spans="1:11">
      <c r="A29" s="7"/>
      <c r="B29" s="7"/>
      <c r="H29" s="7"/>
      <c r="I29" s="7"/>
    </row>
    <row r="30" spans="1:11" ht="26" customHeight="1">
      <c r="A30" s="7"/>
      <c r="B30" s="7"/>
      <c r="C30" s="21" t="s">
        <v>430</v>
      </c>
      <c r="D30" s="21" t="s">
        <v>431</v>
      </c>
      <c r="E30" s="21" t="s">
        <v>432</v>
      </c>
      <c r="F30" s="21"/>
      <c r="G30" s="21" t="s">
        <v>433</v>
      </c>
      <c r="H30" s="21" t="s">
        <v>434</v>
      </c>
      <c r="I30" s="7"/>
    </row>
    <row r="31" spans="1:11" ht="52" customHeight="1">
      <c r="A31" s="7"/>
      <c r="B31" s="7"/>
      <c r="C31" s="21" t="s">
        <v>222</v>
      </c>
      <c r="D31" s="22" t="s">
        <v>435</v>
      </c>
      <c r="E31" s="22" t="s">
        <v>436</v>
      </c>
      <c r="F31" s="22"/>
      <c r="G31" s="22" t="s">
        <v>437</v>
      </c>
      <c r="H31" s="22" t="s">
        <v>438</v>
      </c>
      <c r="I31" s="7"/>
      <c r="K31" s="22" t="s">
        <v>413</v>
      </c>
    </row>
    <row r="32" spans="1:11" ht="52" customHeight="1">
      <c r="A32" s="7"/>
      <c r="B32" s="7"/>
      <c r="C32" s="21" t="s">
        <v>224</v>
      </c>
      <c r="D32" s="22" t="s">
        <v>439</v>
      </c>
      <c r="E32" s="22" t="s">
        <v>436</v>
      </c>
      <c r="F32" s="22"/>
      <c r="G32" s="22" t="s">
        <v>440</v>
      </c>
      <c r="H32" s="22" t="s">
        <v>441</v>
      </c>
      <c r="I32" s="15" t="s">
        <v>442</v>
      </c>
    </row>
    <row r="33" spans="1:9" ht="26" customHeight="1">
      <c r="A33" s="7"/>
      <c r="B33" s="7"/>
      <c r="C33" s="21" t="s">
        <v>311</v>
      </c>
      <c r="D33" s="22" t="s">
        <v>443</v>
      </c>
      <c r="E33" s="22" t="s">
        <v>436</v>
      </c>
      <c r="F33" s="22"/>
      <c r="G33" s="22" t="s">
        <v>444</v>
      </c>
      <c r="H33" s="22" t="s">
        <v>445</v>
      </c>
      <c r="I33" s="7"/>
    </row>
    <row r="34" spans="1:9" ht="26" customHeight="1">
      <c r="A34" s="7"/>
      <c r="B34" s="7"/>
      <c r="C34" s="21" t="s">
        <v>220</v>
      </c>
      <c r="D34" s="22" t="s">
        <v>446</v>
      </c>
      <c r="E34" s="22" t="s">
        <v>436</v>
      </c>
      <c r="F34" s="22"/>
      <c r="G34" s="22" t="s">
        <v>447</v>
      </c>
      <c r="H34" s="22" t="s">
        <v>448</v>
      </c>
      <c r="I34" s="7"/>
    </row>
    <row r="35" spans="1:9" ht="26" customHeight="1">
      <c r="A35" s="7"/>
      <c r="B35" s="7"/>
      <c r="C35" s="21" t="s">
        <v>449</v>
      </c>
      <c r="D35" s="22" t="s">
        <v>450</v>
      </c>
      <c r="E35" s="22" t="s">
        <v>436</v>
      </c>
      <c r="F35" s="22"/>
      <c r="G35" s="22" t="s">
        <v>451</v>
      </c>
      <c r="H35" s="22" t="s">
        <v>452</v>
      </c>
      <c r="I35" s="7"/>
    </row>
    <row r="36" spans="1:9" ht="26" customHeight="1">
      <c r="A36" s="7"/>
      <c r="B36" s="7"/>
      <c r="C36" s="21" t="s">
        <v>453</v>
      </c>
      <c r="D36" s="22" t="s">
        <v>454</v>
      </c>
      <c r="E36" s="22" t="s">
        <v>455</v>
      </c>
      <c r="F36" s="22"/>
      <c r="G36" s="22" t="s">
        <v>456</v>
      </c>
      <c r="H36" s="22" t="s">
        <v>445</v>
      </c>
      <c r="I36" s="7"/>
    </row>
    <row r="37" spans="1:9" ht="52" customHeight="1">
      <c r="A37" s="7"/>
      <c r="B37" s="7"/>
      <c r="C37" s="21" t="s">
        <v>457</v>
      </c>
      <c r="D37" s="22" t="s">
        <v>458</v>
      </c>
      <c r="E37" s="22" t="s">
        <v>455</v>
      </c>
      <c r="F37" s="22"/>
      <c r="G37" s="22" t="s">
        <v>459</v>
      </c>
      <c r="H37" s="22" t="s">
        <v>460</v>
      </c>
      <c r="I37" s="7"/>
    </row>
    <row r="38" spans="1:9" ht="26" customHeight="1">
      <c r="A38" s="7"/>
      <c r="B38" s="7"/>
      <c r="C38" s="21" t="s">
        <v>461</v>
      </c>
      <c r="D38" s="22" t="s">
        <v>462</v>
      </c>
      <c r="E38" s="22" t="s">
        <v>455</v>
      </c>
      <c r="F38" s="22"/>
      <c r="G38" s="22" t="s">
        <v>463</v>
      </c>
      <c r="H38" s="22" t="s">
        <v>464</v>
      </c>
      <c r="I38" s="7"/>
    </row>
    <row r="39" spans="1:9" ht="26" customHeight="1">
      <c r="A39" s="7"/>
      <c r="B39" s="7"/>
      <c r="C39" s="21" t="s">
        <v>465</v>
      </c>
      <c r="D39" s="22" t="s">
        <v>466</v>
      </c>
      <c r="E39" s="22" t="s">
        <v>455</v>
      </c>
      <c r="F39" s="22"/>
      <c r="G39" s="22" t="s">
        <v>467</v>
      </c>
      <c r="H39" s="22" t="s">
        <v>468</v>
      </c>
      <c r="I39" s="7"/>
    </row>
    <row r="40" spans="1:9" ht="26" customHeight="1">
      <c r="A40" s="7"/>
      <c r="B40" s="7"/>
      <c r="C40" s="21" t="s">
        <v>469</v>
      </c>
      <c r="D40" s="22" t="s">
        <v>470</v>
      </c>
      <c r="E40" s="22" t="s">
        <v>455</v>
      </c>
      <c r="F40" s="22"/>
      <c r="G40" s="22" t="s">
        <v>471</v>
      </c>
      <c r="H40" s="22" t="s">
        <v>472</v>
      </c>
      <c r="I40" s="7"/>
    </row>
    <row r="41" spans="1:9" ht="26" customHeight="1">
      <c r="A41" s="7"/>
      <c r="B41" s="7"/>
      <c r="C41" s="21" t="s">
        <v>61</v>
      </c>
      <c r="D41" s="22" t="s">
        <v>473</v>
      </c>
      <c r="E41" s="22" t="s">
        <v>474</v>
      </c>
      <c r="F41" s="22"/>
      <c r="G41" s="22" t="s">
        <v>475</v>
      </c>
      <c r="H41" s="22" t="s">
        <v>476</v>
      </c>
      <c r="I41" s="7"/>
    </row>
    <row r="42" spans="1:9" ht="39" customHeight="1">
      <c r="A42" s="7"/>
      <c r="B42" s="7"/>
      <c r="C42" s="21" t="s">
        <v>477</v>
      </c>
      <c r="D42" s="22" t="s">
        <v>478</v>
      </c>
      <c r="E42" s="22" t="s">
        <v>479</v>
      </c>
      <c r="F42" s="22"/>
      <c r="G42" s="22" t="s">
        <v>480</v>
      </c>
      <c r="H42" s="22" t="s">
        <v>481</v>
      </c>
      <c r="I42" s="7"/>
    </row>
    <row r="44" spans="1:9">
      <c r="C44" s="18" t="s">
        <v>482</v>
      </c>
      <c r="D44" s="18" t="s">
        <v>483</v>
      </c>
      <c r="E44" s="18" t="s">
        <v>484</v>
      </c>
      <c r="F44" s="18" t="s">
        <v>485</v>
      </c>
      <c r="G44" s="18" t="s">
        <v>486</v>
      </c>
    </row>
    <row r="45" spans="1:9" ht="87" customHeight="1">
      <c r="A45" s="7"/>
      <c r="B45" s="7"/>
      <c r="C45" s="20" t="s">
        <v>487</v>
      </c>
      <c r="D45" s="19" t="s">
        <v>488</v>
      </c>
      <c r="E45" s="19" t="s">
        <v>489</v>
      </c>
      <c r="F45" s="40" t="s">
        <v>490</v>
      </c>
      <c r="G45" s="19" t="s">
        <v>491</v>
      </c>
    </row>
    <row r="46" spans="1:9" ht="43.5" customHeight="1">
      <c r="A46" s="15"/>
      <c r="B46" s="15"/>
      <c r="C46" s="20" t="s">
        <v>492</v>
      </c>
      <c r="D46" s="19" t="s">
        <v>493</v>
      </c>
      <c r="E46" s="19" t="s">
        <v>494</v>
      </c>
      <c r="F46" s="40" t="s">
        <v>495</v>
      </c>
      <c r="G46" s="19" t="s">
        <v>496</v>
      </c>
    </row>
    <row r="47" spans="1:9" ht="87" customHeight="1">
      <c r="A47" s="7"/>
      <c r="B47" s="7"/>
      <c r="C47" s="20" t="s">
        <v>497</v>
      </c>
      <c r="D47" s="19" t="s">
        <v>498</v>
      </c>
      <c r="E47" s="20" t="s">
        <v>499</v>
      </c>
      <c r="F47" s="40" t="s">
        <v>500</v>
      </c>
      <c r="G47" s="19" t="s">
        <v>501</v>
      </c>
    </row>
    <row r="48" spans="1:9" ht="58" customHeight="1">
      <c r="A48" s="7"/>
      <c r="B48" s="7"/>
      <c r="C48" s="20" t="s">
        <v>502</v>
      </c>
      <c r="D48" s="19" t="s">
        <v>503</v>
      </c>
      <c r="E48" s="19" t="s">
        <v>504</v>
      </c>
      <c r="F48" s="40" t="s">
        <v>505</v>
      </c>
      <c r="G48" s="19" t="s">
        <v>506</v>
      </c>
    </row>
    <row r="49" spans="1:7" ht="72.5" customHeight="1">
      <c r="A49" s="7"/>
      <c r="B49" s="7"/>
      <c r="C49" s="20" t="s">
        <v>507</v>
      </c>
      <c r="D49" s="19" t="s">
        <v>508</v>
      </c>
      <c r="E49" s="19" t="s">
        <v>509</v>
      </c>
      <c r="F49" s="40" t="s">
        <v>510</v>
      </c>
      <c r="G49" s="20" t="s">
        <v>511</v>
      </c>
    </row>
    <row r="50" spans="1:7" ht="72.5" customHeight="1">
      <c r="A50" s="7"/>
      <c r="B50" s="7"/>
      <c r="C50" s="20" t="s">
        <v>512</v>
      </c>
      <c r="D50" s="19" t="s">
        <v>513</v>
      </c>
      <c r="E50" s="19" t="s">
        <v>514</v>
      </c>
      <c r="F50" s="40" t="s">
        <v>515</v>
      </c>
      <c r="G50" s="19" t="s">
        <v>516</v>
      </c>
    </row>
    <row r="51" spans="1:7" ht="58" customHeight="1">
      <c r="A51" s="7"/>
      <c r="B51" s="7"/>
      <c r="C51" s="20" t="s">
        <v>517</v>
      </c>
      <c r="D51" s="19" t="s">
        <v>518</v>
      </c>
      <c r="E51" s="20" t="s">
        <v>519</v>
      </c>
      <c r="F51" s="40" t="s">
        <v>520</v>
      </c>
      <c r="G51" s="19" t="s">
        <v>521</v>
      </c>
    </row>
    <row r="52" spans="1:7" ht="101.5" customHeight="1">
      <c r="A52" s="7"/>
      <c r="B52" s="7"/>
      <c r="C52" s="20" t="s">
        <v>522</v>
      </c>
      <c r="D52" s="19" t="s">
        <v>523</v>
      </c>
      <c r="E52" s="19" t="s">
        <v>524</v>
      </c>
      <c r="F52" s="40" t="s">
        <v>525</v>
      </c>
      <c r="G52" s="20" t="s">
        <v>526</v>
      </c>
    </row>
    <row r="53" spans="1:7" ht="101.5" customHeight="1">
      <c r="A53" s="7"/>
      <c r="B53" s="7"/>
      <c r="C53" s="20" t="s">
        <v>527</v>
      </c>
      <c r="D53" s="20" t="s">
        <v>528</v>
      </c>
      <c r="E53" s="19" t="s">
        <v>529</v>
      </c>
      <c r="F53" s="40" t="s">
        <v>530</v>
      </c>
      <c r="G53" s="19" t="s">
        <v>531</v>
      </c>
    </row>
    <row r="54" spans="1:7" ht="58" customHeight="1">
      <c r="A54" s="7"/>
      <c r="B54" s="7"/>
      <c r="C54" s="20" t="s">
        <v>61</v>
      </c>
      <c r="D54" s="19" t="s">
        <v>532</v>
      </c>
      <c r="E54" s="19" t="s">
        <v>533</v>
      </c>
      <c r="F54" s="40" t="s">
        <v>534</v>
      </c>
      <c r="G54" s="19" t="s">
        <v>535</v>
      </c>
    </row>
    <row r="55" spans="1:7" ht="72.5" customHeight="1">
      <c r="C55" s="20" t="s">
        <v>536</v>
      </c>
      <c r="D55" s="19" t="s">
        <v>537</v>
      </c>
      <c r="E55" s="19" t="s">
        <v>538</v>
      </c>
      <c r="F55" s="40" t="s">
        <v>539</v>
      </c>
      <c r="G55" s="19" t="s">
        <v>540</v>
      </c>
    </row>
    <row r="56" spans="1:7" ht="58" customHeight="1">
      <c r="C56" s="20" t="s">
        <v>541</v>
      </c>
      <c r="D56" s="19" t="s">
        <v>542</v>
      </c>
      <c r="E56" s="19" t="s">
        <v>543</v>
      </c>
      <c r="F56" s="40" t="s">
        <v>544</v>
      </c>
      <c r="G56" s="19" t="s">
        <v>545</v>
      </c>
    </row>
    <row r="57" spans="1:7" ht="58" customHeight="1">
      <c r="C57" s="20" t="s">
        <v>546</v>
      </c>
      <c r="D57" s="19" t="s">
        <v>547</v>
      </c>
      <c r="E57" s="19" t="s">
        <v>548</v>
      </c>
      <c r="F57" s="19" t="s">
        <v>549</v>
      </c>
      <c r="G57" s="19" t="s">
        <v>550</v>
      </c>
    </row>
    <row r="58" spans="1:7" ht="58" customHeight="1">
      <c r="C58" s="20" t="s">
        <v>551</v>
      </c>
      <c r="D58" s="19" t="s">
        <v>552</v>
      </c>
      <c r="E58" s="19" t="s">
        <v>553</v>
      </c>
      <c r="F58" s="40" t="s">
        <v>554</v>
      </c>
      <c r="G58" s="19" t="s">
        <v>555</v>
      </c>
    </row>
    <row r="59" spans="1:7" ht="29" customHeight="1">
      <c r="C59" s="20" t="s">
        <v>556</v>
      </c>
      <c r="D59" s="19" t="s">
        <v>557</v>
      </c>
      <c r="E59" s="19" t="s">
        <v>558</v>
      </c>
      <c r="F59" s="40" t="s">
        <v>559</v>
      </c>
      <c r="G59" s="19" t="s">
        <v>560</v>
      </c>
    </row>
    <row r="60" spans="1:7" ht="58" customHeight="1">
      <c r="C60" s="20" t="s">
        <v>561</v>
      </c>
      <c r="D60" s="19" t="s">
        <v>562</v>
      </c>
      <c r="E60" s="19" t="s">
        <v>563</v>
      </c>
      <c r="F60" s="40" t="s">
        <v>564</v>
      </c>
      <c r="G60" s="19" t="s">
        <v>565</v>
      </c>
    </row>
    <row r="61" spans="1:7" ht="29" customHeight="1">
      <c r="C61" s="20" t="s">
        <v>566</v>
      </c>
      <c r="D61" s="19" t="s">
        <v>567</v>
      </c>
      <c r="E61" s="19" t="s">
        <v>568</v>
      </c>
      <c r="F61" s="40" t="s">
        <v>569</v>
      </c>
      <c r="G61" s="19" t="s">
        <v>570</v>
      </c>
    </row>
    <row r="62" spans="1:7" ht="43.5" customHeight="1">
      <c r="C62" s="20" t="s">
        <v>571</v>
      </c>
      <c r="D62" s="19" t="s">
        <v>572</v>
      </c>
      <c r="E62" s="19" t="s">
        <v>573</v>
      </c>
      <c r="F62" s="40" t="s">
        <v>574</v>
      </c>
      <c r="G62" s="19" t="s">
        <v>575</v>
      </c>
    </row>
    <row r="63" spans="1:7" ht="43.5" customHeight="1">
      <c r="C63" s="20" t="s">
        <v>576</v>
      </c>
      <c r="D63" s="19" t="s">
        <v>577</v>
      </c>
      <c r="E63" s="19" t="s">
        <v>578</v>
      </c>
      <c r="F63" s="40" t="s">
        <v>579</v>
      </c>
      <c r="G63" s="19" t="s">
        <v>580</v>
      </c>
    </row>
    <row r="64" spans="1:7" ht="43.5" customHeight="1">
      <c r="C64" s="20" t="s">
        <v>581</v>
      </c>
      <c r="D64" s="19" t="s">
        <v>582</v>
      </c>
      <c r="E64" s="19" t="s">
        <v>583</v>
      </c>
      <c r="F64" s="40" t="s">
        <v>584</v>
      </c>
      <c r="G64" s="19" t="s">
        <v>585</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586</v>
      </c>
    </row>
    <row r="4" spans="2:2">
      <c r="B4" s="4" t="s">
        <v>587</v>
      </c>
    </row>
    <row r="6" spans="2:2">
      <c r="B6" s="4" t="s">
        <v>588</v>
      </c>
    </row>
    <row r="8" spans="2:2">
      <c r="B8" s="4" t="s">
        <v>589</v>
      </c>
    </row>
    <row r="10" spans="2:2">
      <c r="B10" s="4" t="s">
        <v>590</v>
      </c>
    </row>
    <row r="13" spans="2:2">
      <c r="B13" s="33" t="s">
        <v>591</v>
      </c>
    </row>
    <row r="14" spans="2:2">
      <c r="B14" s="34"/>
    </row>
    <row r="15" spans="2:2">
      <c r="B15" s="33" t="s">
        <v>592</v>
      </c>
    </row>
    <row r="16" spans="2:2">
      <c r="B16" s="34"/>
    </row>
    <row r="17" spans="2:2">
      <c r="B17" s="33" t="s">
        <v>593</v>
      </c>
    </row>
    <row r="18" spans="2:2">
      <c r="B18" s="34"/>
    </row>
    <row r="19" spans="2:2">
      <c r="B19" s="33" t="s">
        <v>594</v>
      </c>
    </row>
    <row r="20" spans="2:2">
      <c r="B20" s="34"/>
    </row>
    <row r="21" spans="2:2">
      <c r="B21" s="33" t="s">
        <v>595</v>
      </c>
    </row>
    <row r="23" spans="2:2">
      <c r="B23" s="4" t="s">
        <v>596</v>
      </c>
    </row>
    <row r="24" spans="2:2">
      <c r="B24" s="34"/>
    </row>
    <row r="25" spans="2:2">
      <c r="B25" s="33" t="s">
        <v>597</v>
      </c>
    </row>
    <row r="26" spans="2:2">
      <c r="B26" s="34"/>
    </row>
    <row r="27" spans="2:2">
      <c r="B27" s="33" t="s">
        <v>598</v>
      </c>
    </row>
    <row r="28" spans="2:2">
      <c r="B28" s="34"/>
    </row>
    <row r="29" spans="2:2">
      <c r="B29" s="34" t="s">
        <v>599</v>
      </c>
    </row>
    <row r="31" spans="2:2">
      <c r="B31" s="4" t="s">
        <v>600</v>
      </c>
    </row>
    <row r="32" spans="2:2">
      <c r="B32" s="34"/>
    </row>
    <row r="33" spans="2:2">
      <c r="B33" s="34" t="s">
        <v>601</v>
      </c>
    </row>
    <row r="34" spans="2:2">
      <c r="B34" s="34"/>
    </row>
    <row r="35" spans="2:2">
      <c r="B35" s="34" t="s">
        <v>602</v>
      </c>
    </row>
    <row r="36" spans="2:2">
      <c r="B36" s="34"/>
    </row>
    <row r="37" spans="2:2">
      <c r="B37" s="34"/>
    </row>
    <row r="38" spans="2:2">
      <c r="B38" s="35"/>
    </row>
    <row r="39" spans="2:2">
      <c r="B39" s="35" t="s">
        <v>603</v>
      </c>
    </row>
    <row r="40" spans="2:2">
      <c r="B40" s="35"/>
    </row>
    <row r="41" spans="2:2">
      <c r="B41" s="35" t="s">
        <v>604</v>
      </c>
    </row>
    <row r="42" spans="2:2">
      <c r="B42" s="35"/>
    </row>
    <row r="43" spans="2:2">
      <c r="B43" s="35" t="s">
        <v>605</v>
      </c>
    </row>
    <row r="44" spans="2:2">
      <c r="B44" s="35"/>
    </row>
    <row r="45" spans="2:2">
      <c r="B45" s="35" t="s">
        <v>606</v>
      </c>
    </row>
    <row r="48" spans="2:2" ht="17.5" customHeight="1">
      <c r="B48" s="37" t="s">
        <v>607</v>
      </c>
    </row>
    <row r="50" spans="2:2">
      <c r="B50" s="4" t="s">
        <v>608</v>
      </c>
    </row>
    <row r="51" spans="2:2">
      <c r="B51" s="34"/>
    </row>
    <row r="52" spans="2:2">
      <c r="B52" s="33" t="s">
        <v>609</v>
      </c>
    </row>
    <row r="53" spans="2:2">
      <c r="B53" s="34"/>
    </row>
    <row r="54" spans="2:2">
      <c r="B54" s="33" t="s">
        <v>610</v>
      </c>
    </row>
    <row r="55" spans="2:2">
      <c r="B55" s="34"/>
    </row>
    <row r="56" spans="2:2">
      <c r="B56" s="33" t="s">
        <v>611</v>
      </c>
    </row>
    <row r="57" spans="2:2">
      <c r="B57" s="34"/>
    </row>
    <row r="58" spans="2:2">
      <c r="B58" s="33" t="s">
        <v>612</v>
      </c>
    </row>
    <row r="59" spans="2:2">
      <c r="B59" s="34"/>
    </row>
    <row r="60" spans="2:2">
      <c r="B60" s="33" t="s">
        <v>613</v>
      </c>
    </row>
    <row r="62" spans="2:2">
      <c r="B62" s="4" t="s">
        <v>614</v>
      </c>
    </row>
    <row r="63" spans="2:2">
      <c r="B63" t="s">
        <v>615</v>
      </c>
    </row>
    <row r="64" spans="2:2">
      <c r="B64" s="34"/>
    </row>
    <row r="65" spans="2:2">
      <c r="B65" s="34" t="s">
        <v>616</v>
      </c>
    </row>
    <row r="66" spans="2:2">
      <c r="B66" s="34"/>
    </row>
    <row r="67" spans="2:2">
      <c r="B67" s="34" t="s">
        <v>617</v>
      </c>
    </row>
    <row r="68" spans="2:2">
      <c r="B68" s="36"/>
    </row>
    <row r="69" spans="2:2">
      <c r="B69" s="38" t="s">
        <v>618</v>
      </c>
    </row>
    <row r="71" spans="2:2">
      <c r="B71" s="4" t="s">
        <v>619</v>
      </c>
    </row>
    <row r="72" spans="2:2">
      <c r="B72" s="34"/>
    </row>
    <row r="73" spans="2:2">
      <c r="B73" s="33" t="s">
        <v>620</v>
      </c>
    </row>
    <row r="74" spans="2:2">
      <c r="B74" s="34"/>
    </row>
    <row r="75" spans="2:2">
      <c r="B75" s="33" t="s">
        <v>621</v>
      </c>
    </row>
    <row r="76" spans="2:2">
      <c r="B76" s="34"/>
    </row>
    <row r="77" spans="2:2">
      <c r="B77" s="33" t="s">
        <v>622</v>
      </c>
    </row>
    <row r="78" spans="2:2">
      <c r="B78" s="34"/>
    </row>
    <row r="79" spans="2:2">
      <c r="B79" s="33" t="s">
        <v>623</v>
      </c>
    </row>
    <row r="80" spans="2:2">
      <c r="B80" s="34"/>
    </row>
    <row r="81" spans="2:2">
      <c r="B81" s="33" t="s">
        <v>624</v>
      </c>
    </row>
    <row r="82" spans="2:2">
      <c r="B82" s="34"/>
    </row>
    <row r="83" spans="2:2">
      <c r="B83" s="33" t="s">
        <v>625</v>
      </c>
    </row>
    <row r="84" spans="2:2">
      <c r="B84" s="34"/>
    </row>
    <row r="85" spans="2:2">
      <c r="B85" s="33" t="s">
        <v>626</v>
      </c>
    </row>
    <row r="87" spans="2:2">
      <c r="B87" t="s">
        <v>627</v>
      </c>
    </row>
    <row r="88" spans="2:2">
      <c r="B88" s="34"/>
    </row>
    <row r="89" spans="2:2">
      <c r="B89" s="33" t="s">
        <v>628</v>
      </c>
    </row>
    <row r="90" spans="2:2">
      <c r="B90" s="34"/>
    </row>
    <row r="91" spans="2:2">
      <c r="B91" s="33" t="s">
        <v>629</v>
      </c>
    </row>
    <row r="92" spans="2:2">
      <c r="B92" s="34"/>
    </row>
    <row r="93" spans="2:2">
      <c r="B93" s="33" t="s">
        <v>630</v>
      </c>
    </row>
    <row r="94" spans="2:2">
      <c r="B94" s="34"/>
    </row>
    <row r="95" spans="2:2">
      <c r="B95" s="33" t="s">
        <v>631</v>
      </c>
    </row>
    <row r="96" spans="2:2">
      <c r="B96" s="34"/>
    </row>
    <row r="97" spans="2:2">
      <c r="B97" s="33" t="s">
        <v>632</v>
      </c>
    </row>
    <row r="98" spans="2:2">
      <c r="B98" s="34"/>
    </row>
    <row r="99" spans="2:2">
      <c r="B99" s="33" t="s">
        <v>633</v>
      </c>
    </row>
    <row r="100" spans="2:2">
      <c r="B100" s="34"/>
    </row>
    <row r="101" spans="2:2">
      <c r="B101" s="33" t="s">
        <v>634</v>
      </c>
    </row>
    <row r="102" spans="2:2">
      <c r="B102" s="34"/>
    </row>
    <row r="103" spans="2:2">
      <c r="B103" s="33" t="s">
        <v>635</v>
      </c>
    </row>
    <row r="104" spans="2:2">
      <c r="B104" s="34"/>
    </row>
    <row r="105" spans="2:2">
      <c r="B105" s="33" t="s">
        <v>636</v>
      </c>
    </row>
    <row r="106" spans="2:2">
      <c r="B106" s="34"/>
    </row>
    <row r="107" spans="2:2">
      <c r="B107" s="33" t="s">
        <v>637</v>
      </c>
    </row>
    <row r="108" spans="2:2">
      <c r="B108" s="34"/>
    </row>
    <row r="109" spans="2:2">
      <c r="B109" s="34" t="s">
        <v>638</v>
      </c>
    </row>
    <row r="110" spans="2:2">
      <c r="B110" s="34" t="s">
        <v>639</v>
      </c>
    </row>
    <row r="111" spans="2:2">
      <c r="B111" s="34" t="s">
        <v>640</v>
      </c>
    </row>
    <row r="112" spans="2:2">
      <c r="B112" s="34" t="s">
        <v>641</v>
      </c>
    </row>
    <row r="113" spans="2:2">
      <c r="B113" s="34" t="s">
        <v>642</v>
      </c>
    </row>
    <row r="114" spans="2:2">
      <c r="B114" s="34" t="s">
        <v>643</v>
      </c>
    </row>
    <row r="116" spans="2:2">
      <c r="B116" s="4" t="s">
        <v>644</v>
      </c>
    </row>
    <row r="117" spans="2:2">
      <c r="B117" s="34"/>
    </row>
    <row r="118" spans="2:2">
      <c r="B118" s="33" t="s">
        <v>645</v>
      </c>
    </row>
    <row r="119" spans="2:2">
      <c r="B119" s="34"/>
    </row>
    <row r="120" spans="2:2">
      <c r="B120" s="33" t="s">
        <v>646</v>
      </c>
    </row>
    <row r="121" spans="2:2">
      <c r="B121" s="34"/>
    </row>
    <row r="122" spans="2:2">
      <c r="B122" s="33" t="s">
        <v>647</v>
      </c>
    </row>
    <row r="124" spans="2:2">
      <c r="B124" t="s">
        <v>648</v>
      </c>
    </row>
    <row r="125" spans="2:2">
      <c r="B125" s="34"/>
    </row>
    <row r="126" spans="2:2">
      <c r="B126" s="33" t="s">
        <v>649</v>
      </c>
    </row>
    <row r="127" spans="2:2">
      <c r="B127" s="39" t="s">
        <v>650</v>
      </c>
    </row>
    <row r="128" spans="2:2">
      <c r="B128" s="34"/>
    </row>
    <row r="129" spans="2:2">
      <c r="B129" s="33" t="s">
        <v>651</v>
      </c>
    </row>
    <row r="130" spans="2:2">
      <c r="B130" s="39" t="s">
        <v>652</v>
      </c>
    </row>
    <row r="131" spans="2:2">
      <c r="B131" s="34"/>
    </row>
    <row r="132" spans="2:2">
      <c r="B132" s="33" t="s">
        <v>653</v>
      </c>
    </row>
    <row r="133" spans="2:2">
      <c r="B133" s="34"/>
    </row>
    <row r="134" spans="2:2">
      <c r="B134" s="34" t="s">
        <v>654</v>
      </c>
    </row>
    <row r="135" spans="2:2">
      <c r="B135" s="34" t="s">
        <v>655</v>
      </c>
    </row>
    <row r="136" spans="2:2">
      <c r="B136" s="34" t="s">
        <v>656</v>
      </c>
    </row>
    <row r="137" spans="2:2">
      <c r="B137" s="34" t="s">
        <v>657</v>
      </c>
    </row>
    <row r="139" spans="2:2">
      <c r="B139" s="4" t="s">
        <v>658</v>
      </c>
    </row>
    <row r="140" spans="2:2">
      <c r="B140" s="34"/>
    </row>
    <row r="141" spans="2:2">
      <c r="B141" s="33" t="s">
        <v>659</v>
      </c>
    </row>
    <row r="142" spans="2:2">
      <c r="B142" s="34"/>
    </row>
    <row r="143" spans="2:2">
      <c r="B143" s="33" t="s">
        <v>660</v>
      </c>
    </row>
    <row r="144" spans="2:2">
      <c r="B144" s="34"/>
    </row>
    <row r="145" spans="2:6">
      <c r="B145" s="33" t="s">
        <v>661</v>
      </c>
    </row>
    <row r="146" spans="2:6">
      <c r="B146" s="34"/>
    </row>
    <row r="147" spans="2:6">
      <c r="B147" s="33" t="s">
        <v>662</v>
      </c>
    </row>
    <row r="148" spans="2:6">
      <c r="B148" s="34"/>
    </row>
    <row r="149" spans="2:6">
      <c r="B149" s="33" t="s">
        <v>663</v>
      </c>
    </row>
    <row r="152" spans="2:6" ht="58" customHeight="1">
      <c r="B152" s="18" t="s">
        <v>664</v>
      </c>
      <c r="C152" s="18" t="s">
        <v>665</v>
      </c>
      <c r="D152" s="18" t="s">
        <v>666</v>
      </c>
      <c r="E152" s="18" t="s">
        <v>667</v>
      </c>
      <c r="F152" s="18" t="s">
        <v>668</v>
      </c>
    </row>
    <row r="153" spans="2:6" ht="188.5" customHeight="1">
      <c r="B153" s="19" t="s">
        <v>669</v>
      </c>
      <c r="C153" s="19" t="s">
        <v>670</v>
      </c>
      <c r="D153" s="40" t="s">
        <v>671</v>
      </c>
      <c r="E153" s="19" t="s">
        <v>672</v>
      </c>
      <c r="F153" s="19" t="s">
        <v>673</v>
      </c>
    </row>
    <row r="154" spans="2:6" ht="87" customHeight="1">
      <c r="B154" s="20" t="s">
        <v>674</v>
      </c>
      <c r="C154" s="19" t="s">
        <v>675</v>
      </c>
      <c r="D154" s="40" t="s">
        <v>676</v>
      </c>
      <c r="E154" s="19" t="s">
        <v>677</v>
      </c>
      <c r="F154" s="19" t="s">
        <v>673</v>
      </c>
    </row>
    <row r="155" spans="2:6" ht="101.5" customHeight="1">
      <c r="B155" s="20" t="s">
        <v>678</v>
      </c>
      <c r="C155" s="19" t="s">
        <v>679</v>
      </c>
      <c r="D155" s="40" t="s">
        <v>680</v>
      </c>
      <c r="E155" s="19" t="s">
        <v>681</v>
      </c>
      <c r="F155" s="19" t="s">
        <v>673</v>
      </c>
    </row>
    <row r="156" spans="2:6" ht="101.5" customHeight="1">
      <c r="B156" s="20" t="s">
        <v>682</v>
      </c>
      <c r="C156" s="19" t="s">
        <v>683</v>
      </c>
      <c r="D156" s="40" t="s">
        <v>684</v>
      </c>
      <c r="E156" s="19" t="s">
        <v>685</v>
      </c>
      <c r="F156" s="19" t="s">
        <v>673</v>
      </c>
    </row>
    <row r="157" spans="2:6" ht="217.5" customHeight="1">
      <c r="B157" s="20" t="s">
        <v>686</v>
      </c>
      <c r="C157" s="19" t="s">
        <v>687</v>
      </c>
      <c r="D157" s="19" t="s">
        <v>688</v>
      </c>
      <c r="E157" s="19" t="s">
        <v>689</v>
      </c>
      <c r="F157" s="19" t="s">
        <v>673</v>
      </c>
    </row>
    <row r="158" spans="2:6" ht="101.5" customHeight="1">
      <c r="B158" s="20" t="s">
        <v>690</v>
      </c>
      <c r="C158" s="19" t="s">
        <v>691</v>
      </c>
      <c r="D158" s="19" t="s">
        <v>692</v>
      </c>
      <c r="E158" s="19" t="s">
        <v>693</v>
      </c>
      <c r="F158" s="19" t="s">
        <v>673</v>
      </c>
    </row>
    <row r="159" spans="2:6" ht="72.5" customHeight="1">
      <c r="B159" s="20" t="s">
        <v>694</v>
      </c>
      <c r="C159" s="19" t="s">
        <v>695</v>
      </c>
      <c r="D159" s="19" t="s">
        <v>696</v>
      </c>
      <c r="E159" s="19" t="s">
        <v>697</v>
      </c>
      <c r="F159" s="19" t="s">
        <v>673</v>
      </c>
    </row>
    <row r="160" spans="2:6" ht="101.5" customHeight="1">
      <c r="B160" s="20" t="s">
        <v>698</v>
      </c>
      <c r="C160" s="19" t="s">
        <v>699</v>
      </c>
      <c r="D160" s="19" t="s">
        <v>700</v>
      </c>
      <c r="E160" s="19" t="s">
        <v>701</v>
      </c>
      <c r="F160" s="19" t="s">
        <v>673</v>
      </c>
    </row>
    <row r="161" spans="2:6" ht="159.5" customHeight="1">
      <c r="B161" s="20" t="s">
        <v>702</v>
      </c>
      <c r="C161" s="19" t="s">
        <v>703</v>
      </c>
      <c r="D161" s="19" t="s">
        <v>704</v>
      </c>
      <c r="E161" s="19" t="s">
        <v>705</v>
      </c>
      <c r="F161" s="19" t="s">
        <v>673</v>
      </c>
    </row>
    <row r="162" spans="2:6" ht="101.5" customHeight="1">
      <c r="B162" s="20" t="s">
        <v>706</v>
      </c>
      <c r="C162" s="19" t="s">
        <v>707</v>
      </c>
      <c r="D162" s="19" t="s">
        <v>708</v>
      </c>
      <c r="E162" s="19" t="s">
        <v>709</v>
      </c>
      <c r="F162" s="19" t="s">
        <v>673</v>
      </c>
    </row>
    <row r="163" spans="2:6" ht="101.5" customHeight="1">
      <c r="B163" s="20" t="s">
        <v>710</v>
      </c>
      <c r="C163" s="19" t="s">
        <v>711</v>
      </c>
      <c r="D163" s="19" t="s">
        <v>712</v>
      </c>
      <c r="E163" s="19" t="s">
        <v>713</v>
      </c>
      <c r="F163" s="19" t="s">
        <v>673</v>
      </c>
    </row>
    <row r="164" spans="2:6" ht="116" customHeight="1">
      <c r="B164" s="20" t="s">
        <v>714</v>
      </c>
      <c r="C164" s="19" t="s">
        <v>715</v>
      </c>
      <c r="D164" s="40" t="s">
        <v>716</v>
      </c>
      <c r="E164" s="19" t="s">
        <v>717</v>
      </c>
      <c r="F164" s="19" t="s">
        <v>673</v>
      </c>
    </row>
    <row r="165" spans="2:6" ht="101.5" customHeight="1">
      <c r="B165" s="20" t="s">
        <v>718</v>
      </c>
      <c r="C165" s="19" t="s">
        <v>719</v>
      </c>
      <c r="D165" s="19" t="s">
        <v>720</v>
      </c>
      <c r="E165" s="19" t="s">
        <v>721</v>
      </c>
      <c r="F165" s="19" t="s">
        <v>673</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722</v>
      </c>
    </row>
    <row r="2" spans="1:2">
      <c r="A2" t="s">
        <v>723</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724</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725</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726</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2025-10-30T05:58:34Z</dcterms:modified>
</cp:coreProperties>
</file>