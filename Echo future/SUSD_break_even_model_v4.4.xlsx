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0" documentId="8_{76335BBD-FC60-4ABF-A93B-19C697BA5624}" xr6:coauthVersionLast="47" xr6:coauthVersionMax="47" xr10:uidLastSave="{00000000-0000-0000-0000-000000000000}"/>
  <bookViews>
    <workbookView xWindow="540" yWindow="0" windowWidth="17430" windowHeight="10170" activeTab="5" xr2:uid="{00000000-000D-0000-FFFF-FFFF00000000}"/>
  </bookViews>
  <sheets>
    <sheet name="Dashboard" sheetId="1" r:id="rId1"/>
    <sheet name="Cards" sheetId="2" r:id="rId2"/>
    <sheet name="BaselineCalc" sheetId="3" r:id="rId3"/>
    <sheet name="YearMap" sheetId="4" r:id="rId4"/>
    <sheet name="MultiYear_ProForma" sheetId="6" r:id="rId5"/>
    <sheet name="Scenarios" sheetId="5" r:id="rId6"/>
    <sheet name="Summary_Costs" sheetId="7" r:id="rId7"/>
    <sheet name="BreakEven" sheetId="8" r:id="rId8"/>
    <sheet name="Notes" sheetId="9" r:id="rId9"/>
    <sheet name="Attributes" sheetId="10" r:id="rId10"/>
    <sheet name="BreakEven_X" sheetId="11" r:id="rId11"/>
    <sheet name="BreakEven_Y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2" l="1"/>
  <c r="B26" i="12"/>
  <c r="B13" i="12"/>
  <c r="B12" i="12"/>
  <c r="B6" i="12"/>
  <c r="B5" i="12"/>
  <c r="B3" i="12"/>
  <c r="B27" i="11"/>
  <c r="B26" i="11"/>
  <c r="B13" i="11"/>
  <c r="B12" i="11"/>
  <c r="B6" i="11"/>
  <c r="B5" i="11"/>
  <c r="B3" i="11"/>
  <c r="B27" i="8"/>
  <c r="B26" i="8"/>
  <c r="B13" i="8"/>
  <c r="B12" i="8"/>
  <c r="B6" i="8"/>
  <c r="B5" i="8"/>
  <c r="A13" i="7"/>
  <c r="A12" i="7"/>
  <c r="A11" i="7"/>
  <c r="A10" i="7"/>
  <c r="A9" i="7"/>
  <c r="A8" i="7"/>
  <c r="A7" i="7"/>
  <c r="A6" i="7"/>
  <c r="A5" i="7"/>
  <c r="A4" i="7"/>
  <c r="A3" i="7"/>
  <c r="A2" i="7"/>
  <c r="T61" i="6"/>
  <c r="Q61" i="6"/>
  <c r="P61" i="6"/>
  <c r="K61" i="6"/>
  <c r="J61" i="6"/>
  <c r="E61" i="6"/>
  <c r="B61" i="6"/>
  <c r="Y61" i="6" s="1"/>
  <c r="A61" i="6" s="1"/>
  <c r="T60" i="6"/>
  <c r="Q60" i="6"/>
  <c r="P60" i="6"/>
  <c r="K60" i="6"/>
  <c r="J60" i="6"/>
  <c r="E60" i="6"/>
  <c r="B60" i="6"/>
  <c r="T59" i="6"/>
  <c r="Q59" i="6"/>
  <c r="P59" i="6"/>
  <c r="K59" i="6"/>
  <c r="J59" i="6"/>
  <c r="E59" i="6"/>
  <c r="B59" i="6"/>
  <c r="T58" i="6"/>
  <c r="Q58" i="6"/>
  <c r="P58" i="6"/>
  <c r="K58" i="6"/>
  <c r="J58" i="6"/>
  <c r="E58" i="6"/>
  <c r="B58" i="6"/>
  <c r="T57" i="6"/>
  <c r="Q57" i="6"/>
  <c r="P57" i="6"/>
  <c r="K57" i="6"/>
  <c r="J57" i="6"/>
  <c r="E57" i="6"/>
  <c r="B57" i="6"/>
  <c r="Y57" i="6" s="1"/>
  <c r="A57" i="6" s="1"/>
  <c r="Y56" i="6"/>
  <c r="A56" i="6" s="1"/>
  <c r="T56" i="6"/>
  <c r="Q56" i="6"/>
  <c r="P56" i="6"/>
  <c r="K56" i="6"/>
  <c r="J56" i="6"/>
  <c r="E56" i="6"/>
  <c r="B56" i="6"/>
  <c r="Z55" i="6"/>
  <c r="Y55" i="6"/>
  <c r="A55" i="6" s="1"/>
  <c r="T55" i="6"/>
  <c r="Q55" i="6"/>
  <c r="P55" i="6"/>
  <c r="K55" i="6"/>
  <c r="J55" i="6"/>
  <c r="E55" i="6"/>
  <c r="B55" i="6"/>
  <c r="Y54" i="6"/>
  <c r="T54" i="6"/>
  <c r="Q54" i="6"/>
  <c r="P54" i="6"/>
  <c r="K54" i="6"/>
  <c r="J54" i="6"/>
  <c r="E54" i="6"/>
  <c r="B54" i="6"/>
  <c r="A54" i="6"/>
  <c r="Y53" i="6"/>
  <c r="T53" i="6"/>
  <c r="Q53" i="6"/>
  <c r="P53" i="6"/>
  <c r="K53" i="6"/>
  <c r="J53" i="6"/>
  <c r="E53" i="6"/>
  <c r="B53" i="6"/>
  <c r="A53" i="6"/>
  <c r="T52" i="6"/>
  <c r="Q52" i="6"/>
  <c r="P52" i="6"/>
  <c r="K52" i="6"/>
  <c r="J52" i="6"/>
  <c r="E52" i="6"/>
  <c r="B52" i="6"/>
  <c r="T51" i="6"/>
  <c r="Q51" i="6"/>
  <c r="P51" i="6"/>
  <c r="K51" i="6"/>
  <c r="J51" i="6"/>
  <c r="D51" i="6"/>
  <c r="B51" i="6"/>
  <c r="T50" i="6"/>
  <c r="Q50" i="6"/>
  <c r="P50" i="6"/>
  <c r="K50" i="6"/>
  <c r="J50" i="6"/>
  <c r="D50" i="6"/>
  <c r="B50" i="6"/>
  <c r="T49" i="6"/>
  <c r="Q49" i="6"/>
  <c r="P49" i="6"/>
  <c r="K49" i="6"/>
  <c r="J49" i="6"/>
  <c r="D49" i="6"/>
  <c r="B49" i="6"/>
  <c r="T48" i="6"/>
  <c r="Q48" i="6"/>
  <c r="P48" i="6"/>
  <c r="K48" i="6"/>
  <c r="J48" i="6"/>
  <c r="D48" i="6"/>
  <c r="B48" i="6"/>
  <c r="Y48" i="6" s="1"/>
  <c r="A48" i="6" s="1"/>
  <c r="Y47" i="6"/>
  <c r="T47" i="6"/>
  <c r="Q47" i="6"/>
  <c r="P47" i="6"/>
  <c r="K47" i="6"/>
  <c r="J47" i="6"/>
  <c r="D47" i="6"/>
  <c r="B47" i="6"/>
  <c r="A47" i="6"/>
  <c r="Y46" i="6"/>
  <c r="A46" i="6" s="1"/>
  <c r="T46" i="6"/>
  <c r="Q46" i="6"/>
  <c r="P46" i="6"/>
  <c r="K46" i="6"/>
  <c r="J46" i="6"/>
  <c r="D46" i="6"/>
  <c r="B46" i="6"/>
  <c r="Y45" i="6"/>
  <c r="T45" i="6"/>
  <c r="Q45" i="6"/>
  <c r="P45" i="6"/>
  <c r="K45" i="6"/>
  <c r="J45" i="6"/>
  <c r="D45" i="6"/>
  <c r="B45" i="6"/>
  <c r="A45" i="6"/>
  <c r="T44" i="6"/>
  <c r="Q44" i="6"/>
  <c r="P44" i="6"/>
  <c r="K44" i="6"/>
  <c r="J44" i="6"/>
  <c r="D44" i="6"/>
  <c r="B44" i="6"/>
  <c r="T43" i="6"/>
  <c r="Q43" i="6"/>
  <c r="P43" i="6"/>
  <c r="K43" i="6"/>
  <c r="J43" i="6"/>
  <c r="D43" i="6"/>
  <c r="B43" i="6"/>
  <c r="Y42" i="6"/>
  <c r="A42" i="6" s="1"/>
  <c r="T42" i="6"/>
  <c r="Q42" i="6"/>
  <c r="P42" i="6"/>
  <c r="K42" i="6"/>
  <c r="J42" i="6"/>
  <c r="D42" i="6"/>
  <c r="B42" i="6"/>
  <c r="Y41" i="6"/>
  <c r="A41" i="6" s="1"/>
  <c r="T41" i="6"/>
  <c r="Q41" i="6"/>
  <c r="P41" i="6"/>
  <c r="K41" i="6"/>
  <c r="J41" i="6"/>
  <c r="F41" i="6"/>
  <c r="E41" i="6"/>
  <c r="D41" i="6"/>
  <c r="B41" i="6"/>
  <c r="Y40" i="6"/>
  <c r="A40" i="6" s="1"/>
  <c r="T40" i="6"/>
  <c r="Q40" i="6"/>
  <c r="P40" i="6"/>
  <c r="K40" i="6"/>
  <c r="J40" i="6"/>
  <c r="E40" i="6"/>
  <c r="D40" i="6"/>
  <c r="F40" i="6" s="1"/>
  <c r="B40" i="6"/>
  <c r="T39" i="6"/>
  <c r="Q39" i="6"/>
  <c r="P39" i="6"/>
  <c r="K39" i="6"/>
  <c r="J39" i="6"/>
  <c r="E39" i="6"/>
  <c r="D39" i="6"/>
  <c r="B39" i="6"/>
  <c r="Y39" i="6" s="1"/>
  <c r="A39" i="6" s="1"/>
  <c r="T38" i="6"/>
  <c r="Q38" i="6"/>
  <c r="P38" i="6"/>
  <c r="K38" i="6"/>
  <c r="J38" i="6"/>
  <c r="F38" i="6"/>
  <c r="E38" i="6"/>
  <c r="D38" i="6"/>
  <c r="B38" i="6"/>
  <c r="Y38" i="6" s="1"/>
  <c r="A38" i="6"/>
  <c r="T37" i="6"/>
  <c r="Q37" i="6"/>
  <c r="P37" i="6"/>
  <c r="K37" i="6"/>
  <c r="J37" i="6"/>
  <c r="F37" i="6"/>
  <c r="E37" i="6"/>
  <c r="D37" i="6"/>
  <c r="B37" i="6"/>
  <c r="T36" i="6"/>
  <c r="Q36" i="6"/>
  <c r="P36" i="6"/>
  <c r="K36" i="6"/>
  <c r="J36" i="6"/>
  <c r="F36" i="6"/>
  <c r="E36" i="6"/>
  <c r="D36" i="6"/>
  <c r="B36" i="6"/>
  <c r="Y36" i="6" s="1"/>
  <c r="A36" i="6" s="1"/>
  <c r="T35" i="6"/>
  <c r="Q35" i="6"/>
  <c r="P35" i="6"/>
  <c r="K35" i="6"/>
  <c r="J35" i="6"/>
  <c r="E35" i="6"/>
  <c r="D35" i="6"/>
  <c r="F35" i="6" s="1"/>
  <c r="B35" i="6"/>
  <c r="Y35" i="6" s="1"/>
  <c r="A35" i="6" s="1"/>
  <c r="T34" i="6"/>
  <c r="Q34" i="6"/>
  <c r="P34" i="6"/>
  <c r="K34" i="6"/>
  <c r="J34" i="6"/>
  <c r="E34" i="6"/>
  <c r="D34" i="6"/>
  <c r="F34" i="6" s="1"/>
  <c r="B34" i="6"/>
  <c r="Y34" i="6" s="1"/>
  <c r="A34" i="6"/>
  <c r="T33" i="6"/>
  <c r="Q33" i="6"/>
  <c r="P33" i="6"/>
  <c r="K33" i="6"/>
  <c r="J33" i="6"/>
  <c r="E33" i="6"/>
  <c r="D33" i="6"/>
  <c r="F33" i="6" s="1"/>
  <c r="B33" i="6"/>
  <c r="Y32" i="6"/>
  <c r="T32" i="6"/>
  <c r="Q32" i="6"/>
  <c r="P32" i="6"/>
  <c r="K32" i="6"/>
  <c r="J32" i="6"/>
  <c r="E32" i="6"/>
  <c r="D32" i="6"/>
  <c r="B32" i="6"/>
  <c r="A32" i="6"/>
  <c r="Y31" i="6"/>
  <c r="T31" i="6"/>
  <c r="Q31" i="6"/>
  <c r="P31" i="6"/>
  <c r="K31" i="6"/>
  <c r="J31" i="6"/>
  <c r="B31" i="6"/>
  <c r="A31" i="6"/>
  <c r="T30" i="6"/>
  <c r="Q30" i="6"/>
  <c r="P30" i="6"/>
  <c r="K30" i="6"/>
  <c r="J30" i="6"/>
  <c r="B30" i="6"/>
  <c r="Y30" i="6" s="1"/>
  <c r="A30" i="6" s="1"/>
  <c r="T29" i="6"/>
  <c r="Q29" i="6"/>
  <c r="P29" i="6"/>
  <c r="K29" i="6"/>
  <c r="J29" i="6"/>
  <c r="B29" i="6"/>
  <c r="Y29" i="6" s="1"/>
  <c r="A29" i="6" s="1"/>
  <c r="Y28" i="6"/>
  <c r="A28" i="6" s="1"/>
  <c r="T28" i="6"/>
  <c r="Q28" i="6"/>
  <c r="P28" i="6"/>
  <c r="K28" i="6"/>
  <c r="J28" i="6"/>
  <c r="B28" i="6"/>
  <c r="T27" i="6"/>
  <c r="Q27" i="6"/>
  <c r="P27" i="6"/>
  <c r="K27" i="6"/>
  <c r="J27" i="6"/>
  <c r="B27" i="6"/>
  <c r="Y26" i="6"/>
  <c r="A26" i="6" s="1"/>
  <c r="T26" i="6"/>
  <c r="Q26" i="6"/>
  <c r="P26" i="6"/>
  <c r="K26" i="6"/>
  <c r="J26" i="6"/>
  <c r="B26" i="6"/>
  <c r="T25" i="6"/>
  <c r="Q25" i="6"/>
  <c r="P25" i="6"/>
  <c r="K25" i="6"/>
  <c r="J25" i="6"/>
  <c r="B25" i="6"/>
  <c r="T24" i="6"/>
  <c r="Q24" i="6"/>
  <c r="P24" i="6"/>
  <c r="K24" i="6"/>
  <c r="J24" i="6"/>
  <c r="B24" i="6"/>
  <c r="Y23" i="6"/>
  <c r="T23" i="6"/>
  <c r="Q23" i="6"/>
  <c r="P23" i="6"/>
  <c r="K23" i="6"/>
  <c r="J23" i="6"/>
  <c r="B23" i="6"/>
  <c r="A23" i="6"/>
  <c r="T22" i="6"/>
  <c r="Q22" i="6"/>
  <c r="P22" i="6"/>
  <c r="M22" i="6"/>
  <c r="E22" i="6" s="1"/>
  <c r="L22" i="6"/>
  <c r="K22" i="6"/>
  <c r="J22" i="6"/>
  <c r="B22" i="6"/>
  <c r="T21" i="6"/>
  <c r="Q21" i="6"/>
  <c r="P21" i="6"/>
  <c r="K21" i="6"/>
  <c r="J21" i="6"/>
  <c r="B21" i="6"/>
  <c r="Y21" i="6" s="1"/>
  <c r="A21" i="6"/>
  <c r="Z20" i="6"/>
  <c r="T20" i="6"/>
  <c r="Q20" i="6"/>
  <c r="P20" i="6"/>
  <c r="K20" i="6"/>
  <c r="J20" i="6"/>
  <c r="B20" i="6"/>
  <c r="Y20" i="6" s="1"/>
  <c r="A20" i="6" s="1"/>
  <c r="T19" i="6"/>
  <c r="Q19" i="6"/>
  <c r="P19" i="6"/>
  <c r="K19" i="6"/>
  <c r="J19" i="6"/>
  <c r="B19" i="6"/>
  <c r="Y19" i="6" s="1"/>
  <c r="A19" i="6" s="1"/>
  <c r="T18" i="6"/>
  <c r="Q18" i="6"/>
  <c r="P18" i="6"/>
  <c r="K18" i="6"/>
  <c r="J18" i="6"/>
  <c r="B18" i="6"/>
  <c r="T17" i="6"/>
  <c r="Q17" i="6"/>
  <c r="P17" i="6"/>
  <c r="K17" i="6"/>
  <c r="J17" i="6"/>
  <c r="B17" i="6"/>
  <c r="Y16" i="6"/>
  <c r="A16" i="6" s="1"/>
  <c r="T16" i="6"/>
  <c r="Q16" i="6"/>
  <c r="P16" i="6"/>
  <c r="K16" i="6"/>
  <c r="J16" i="6"/>
  <c r="B16" i="6"/>
  <c r="Y15" i="6"/>
  <c r="A15" i="6" s="1"/>
  <c r="T15" i="6"/>
  <c r="Q15" i="6"/>
  <c r="P15" i="6"/>
  <c r="K15" i="6"/>
  <c r="J15" i="6"/>
  <c r="B15" i="6"/>
  <c r="T14" i="6"/>
  <c r="Q14" i="6"/>
  <c r="P14" i="6"/>
  <c r="K14" i="6"/>
  <c r="J14" i="6"/>
  <c r="B14" i="6"/>
  <c r="Y14" i="6" s="1"/>
  <c r="A14" i="6" s="1"/>
  <c r="Y13" i="6"/>
  <c r="A13" i="6" s="1"/>
  <c r="T13" i="6"/>
  <c r="Q13" i="6"/>
  <c r="P13" i="6"/>
  <c r="K13" i="6"/>
  <c r="J13" i="6"/>
  <c r="B13" i="6"/>
  <c r="Y12" i="6"/>
  <c r="T12" i="6"/>
  <c r="Q12" i="6"/>
  <c r="P12" i="6"/>
  <c r="K12" i="6"/>
  <c r="J12" i="6"/>
  <c r="B12" i="6"/>
  <c r="L12" i="7" s="1"/>
  <c r="A12" i="6"/>
  <c r="T11" i="6"/>
  <c r="Q11" i="6"/>
  <c r="P11" i="6"/>
  <c r="K11" i="6"/>
  <c r="J11" i="6"/>
  <c r="B11" i="6"/>
  <c r="K11" i="7" s="1"/>
  <c r="Y10" i="6"/>
  <c r="T10" i="6"/>
  <c r="Q10" i="6"/>
  <c r="P10" i="6"/>
  <c r="K10" i="6"/>
  <c r="J10" i="6"/>
  <c r="B10" i="6"/>
  <c r="L10" i="7" s="1"/>
  <c r="A10" i="6"/>
  <c r="Z9" i="6"/>
  <c r="T9" i="6"/>
  <c r="Q9" i="6"/>
  <c r="P9" i="6"/>
  <c r="K9" i="6"/>
  <c r="J9" i="6"/>
  <c r="B9" i="6"/>
  <c r="Y8" i="6"/>
  <c r="A8" i="6" s="1"/>
  <c r="T8" i="6"/>
  <c r="Q8" i="6"/>
  <c r="P8" i="6"/>
  <c r="K8" i="6"/>
  <c r="J8" i="6"/>
  <c r="B8" i="6"/>
  <c r="L8" i="7" s="1"/>
  <c r="Y7" i="6"/>
  <c r="A7" i="6" s="1"/>
  <c r="T7" i="6"/>
  <c r="Q7" i="6"/>
  <c r="P7" i="6"/>
  <c r="K7" i="6"/>
  <c r="J7" i="6"/>
  <c r="B7" i="6"/>
  <c r="K7" i="7" s="1"/>
  <c r="T6" i="6"/>
  <c r="Q6" i="6"/>
  <c r="P6" i="6"/>
  <c r="L6" i="6"/>
  <c r="K6" i="6"/>
  <c r="J6" i="6"/>
  <c r="B6" i="6"/>
  <c r="Y5" i="6"/>
  <c r="A5" i="6" s="1"/>
  <c r="T5" i="6"/>
  <c r="Q5" i="6"/>
  <c r="P5" i="6"/>
  <c r="K5" i="6"/>
  <c r="J5" i="6"/>
  <c r="B5" i="6"/>
  <c r="K5" i="7" s="1"/>
  <c r="Y4" i="6"/>
  <c r="T4" i="6"/>
  <c r="Q4" i="6"/>
  <c r="P4" i="6"/>
  <c r="K4" i="6"/>
  <c r="J4" i="6"/>
  <c r="B4" i="6"/>
  <c r="L4" i="7" s="1"/>
  <c r="A4" i="6"/>
  <c r="T3" i="6"/>
  <c r="Q3" i="6"/>
  <c r="P3" i="6"/>
  <c r="K3" i="6"/>
  <c r="J3" i="6"/>
  <c r="B3" i="6"/>
  <c r="K3" i="7" s="1"/>
  <c r="Y2" i="6"/>
  <c r="T2" i="6"/>
  <c r="Q2" i="6"/>
  <c r="P2" i="6"/>
  <c r="K2" i="6"/>
  <c r="J2" i="6"/>
  <c r="B2" i="6"/>
  <c r="A2" i="6"/>
  <c r="A1" i="6"/>
  <c r="D75" i="5"/>
  <c r="A75" i="5"/>
  <c r="I75" i="5" s="1"/>
  <c r="D74" i="5"/>
  <c r="A74" i="5"/>
  <c r="I74" i="5" s="1"/>
  <c r="I73" i="5"/>
  <c r="D73" i="5"/>
  <c r="A73" i="5"/>
  <c r="I72" i="5"/>
  <c r="D72" i="5"/>
  <c r="A72" i="5"/>
  <c r="D71" i="5"/>
  <c r="A71" i="5"/>
  <c r="I71" i="5" s="1"/>
  <c r="D70" i="5"/>
  <c r="C70" i="5"/>
  <c r="E70" i="5" s="1"/>
  <c r="A70" i="5"/>
  <c r="I70" i="5" s="1"/>
  <c r="D69" i="5"/>
  <c r="A69" i="5"/>
  <c r="I69" i="5" s="1"/>
  <c r="I68" i="5"/>
  <c r="D68" i="5"/>
  <c r="A68" i="5"/>
  <c r="I67" i="5"/>
  <c r="D67" i="5"/>
  <c r="A67" i="5"/>
  <c r="D66" i="5"/>
  <c r="A66" i="5"/>
  <c r="I66" i="5" s="1"/>
  <c r="C65" i="5"/>
  <c r="A65" i="5"/>
  <c r="I65" i="5" s="1"/>
  <c r="D64" i="5"/>
  <c r="C64" i="5"/>
  <c r="A64" i="5"/>
  <c r="I64" i="5" s="1"/>
  <c r="I63" i="5"/>
  <c r="D63" i="5"/>
  <c r="C63" i="5"/>
  <c r="E63" i="5" s="1"/>
  <c r="A63" i="5"/>
  <c r="C62" i="5"/>
  <c r="A62" i="5"/>
  <c r="I62" i="5" s="1"/>
  <c r="C61" i="5"/>
  <c r="A61" i="5"/>
  <c r="I61" i="5" s="1"/>
  <c r="I60" i="5"/>
  <c r="C60" i="5"/>
  <c r="A60" i="5"/>
  <c r="I59" i="5"/>
  <c r="C59" i="5"/>
  <c r="A59" i="5"/>
  <c r="C58" i="5"/>
  <c r="A58" i="5"/>
  <c r="I58" i="5" s="1"/>
  <c r="C57" i="5"/>
  <c r="A57" i="5"/>
  <c r="I57" i="5" s="1"/>
  <c r="D56" i="5"/>
  <c r="C56" i="5"/>
  <c r="A56" i="5"/>
  <c r="I56" i="5" s="1"/>
  <c r="I55" i="5"/>
  <c r="D55" i="5"/>
  <c r="C55" i="5"/>
  <c r="E55" i="5" s="1"/>
  <c r="A55" i="5"/>
  <c r="D54" i="5"/>
  <c r="C54" i="5"/>
  <c r="E54" i="5" s="1"/>
  <c r="A54" i="5"/>
  <c r="I54" i="5" s="1"/>
  <c r="D53" i="5"/>
  <c r="C53" i="5"/>
  <c r="A53" i="5"/>
  <c r="I53" i="5" s="1"/>
  <c r="I52" i="5"/>
  <c r="D52" i="5"/>
  <c r="C52" i="5"/>
  <c r="E52" i="5" s="1"/>
  <c r="A52" i="5"/>
  <c r="I51" i="5"/>
  <c r="D51" i="5"/>
  <c r="C51" i="5"/>
  <c r="A51" i="5"/>
  <c r="D50" i="5"/>
  <c r="E50" i="5" s="1"/>
  <c r="C50" i="5"/>
  <c r="A50" i="5"/>
  <c r="I50" i="5" s="1"/>
  <c r="D49" i="5"/>
  <c r="E49" i="5" s="1"/>
  <c r="C49" i="5"/>
  <c r="A49" i="5"/>
  <c r="I49" i="5" s="1"/>
  <c r="D48" i="5"/>
  <c r="E48" i="5" s="1"/>
  <c r="C48" i="5"/>
  <c r="A48" i="5"/>
  <c r="I48" i="5" s="1"/>
  <c r="D47" i="5"/>
  <c r="E47" i="5" s="1"/>
  <c r="C47" i="5"/>
  <c r="A47" i="5"/>
  <c r="I47" i="5" s="1"/>
  <c r="D46" i="5"/>
  <c r="E46" i="5" s="1"/>
  <c r="C46" i="5"/>
  <c r="A46" i="5"/>
  <c r="I46" i="5" s="1"/>
  <c r="A45" i="5"/>
  <c r="I45" i="5" s="1"/>
  <c r="A44" i="5"/>
  <c r="I44" i="5" s="1"/>
  <c r="A43" i="5"/>
  <c r="I43" i="5" s="1"/>
  <c r="A42" i="5"/>
  <c r="I42" i="5" s="1"/>
  <c r="A41" i="5"/>
  <c r="I41" i="5" s="1"/>
  <c r="A40" i="5"/>
  <c r="I40" i="5" s="1"/>
  <c r="A39" i="5"/>
  <c r="I39" i="5" s="1"/>
  <c r="A38" i="5"/>
  <c r="I38" i="5" s="1"/>
  <c r="A37" i="5"/>
  <c r="I37" i="5" s="1"/>
  <c r="A36" i="5"/>
  <c r="I36" i="5" s="1"/>
  <c r="D35" i="5"/>
  <c r="C35" i="5"/>
  <c r="E35" i="5" s="1"/>
  <c r="A35" i="5"/>
  <c r="I35" i="5" s="1"/>
  <c r="A34" i="5"/>
  <c r="I34" i="5" s="1"/>
  <c r="A33" i="5"/>
  <c r="I33" i="5" s="1"/>
  <c r="D32" i="5"/>
  <c r="A32" i="5"/>
  <c r="I32" i="5" s="1"/>
  <c r="A31" i="5"/>
  <c r="I31" i="5" s="1"/>
  <c r="A30" i="5"/>
  <c r="I30" i="5" s="1"/>
  <c r="A29" i="5"/>
  <c r="I29" i="5" s="1"/>
  <c r="A28" i="5"/>
  <c r="I28" i="5" s="1"/>
  <c r="D27" i="5"/>
  <c r="C27" i="5"/>
  <c r="E27" i="5" s="1"/>
  <c r="A27" i="5"/>
  <c r="I27" i="5" s="1"/>
  <c r="A26" i="5"/>
  <c r="I26" i="5" s="1"/>
  <c r="A25" i="5"/>
  <c r="I25" i="5" s="1"/>
  <c r="D24" i="5"/>
  <c r="C24" i="5"/>
  <c r="E24" i="5" s="1"/>
  <c r="A24" i="5"/>
  <c r="I24" i="5" s="1"/>
  <c r="D23" i="5"/>
  <c r="A23" i="5"/>
  <c r="I23" i="5" s="1"/>
  <c r="A22" i="5"/>
  <c r="I22" i="5" s="1"/>
  <c r="A21" i="5"/>
  <c r="I21" i="5" s="1"/>
  <c r="A20" i="5"/>
  <c r="I20" i="5" s="1"/>
  <c r="D19" i="5"/>
  <c r="C19" i="5"/>
  <c r="E19" i="5" s="1"/>
  <c r="A19" i="5"/>
  <c r="I19" i="5" s="1"/>
  <c r="A18" i="5"/>
  <c r="I18" i="5" s="1"/>
  <c r="A17" i="5"/>
  <c r="I17" i="5" s="1"/>
  <c r="D16" i="5"/>
  <c r="C16" i="5"/>
  <c r="E16" i="5" s="1"/>
  <c r="A16" i="5"/>
  <c r="I16" i="5" s="1"/>
  <c r="M13" i="5"/>
  <c r="L13" i="5"/>
  <c r="K13" i="5"/>
  <c r="J13" i="5"/>
  <c r="C72" i="5" s="1"/>
  <c r="E72" i="5" s="1"/>
  <c r="I13" i="5"/>
  <c r="M57" i="6" s="1"/>
  <c r="M12" i="5"/>
  <c r="L12" i="5"/>
  <c r="C69" i="5" s="1"/>
  <c r="E69" i="5" s="1"/>
  <c r="K12" i="5"/>
  <c r="J12" i="5"/>
  <c r="I12" i="5"/>
  <c r="M11" i="5"/>
  <c r="L11" i="5"/>
  <c r="K11" i="5"/>
  <c r="J11" i="5"/>
  <c r="D62" i="5" s="1"/>
  <c r="I11" i="5"/>
  <c r="M47" i="6" s="1"/>
  <c r="M10" i="5"/>
  <c r="L10" i="5"/>
  <c r="K10" i="5"/>
  <c r="J10" i="5"/>
  <c r="I10" i="5"/>
  <c r="M9" i="5"/>
  <c r="L9" i="5"/>
  <c r="K9" i="5"/>
  <c r="J9" i="5"/>
  <c r="I9" i="5"/>
  <c r="M8" i="5"/>
  <c r="L8" i="5"/>
  <c r="K8" i="5"/>
  <c r="J8" i="5"/>
  <c r="I8" i="5"/>
  <c r="M7" i="5"/>
  <c r="L31" i="6" s="1"/>
  <c r="L7" i="5"/>
  <c r="I7" i="5"/>
  <c r="M6" i="5"/>
  <c r="D40" i="5" s="1"/>
  <c r="L6" i="5"/>
  <c r="D39" i="5" s="1"/>
  <c r="K6" i="5"/>
  <c r="C38" i="5" s="1"/>
  <c r="J6" i="5"/>
  <c r="I6" i="5"/>
  <c r="D36" i="5" s="1"/>
  <c r="M5" i="5"/>
  <c r="L5" i="5"/>
  <c r="K5" i="5"/>
  <c r="J5" i="5"/>
  <c r="C32" i="5" s="1"/>
  <c r="E32" i="5" s="1"/>
  <c r="I5" i="5"/>
  <c r="D31" i="5" s="1"/>
  <c r="M4" i="5"/>
  <c r="L16" i="6" s="1"/>
  <c r="D16" i="6" s="1"/>
  <c r="L4" i="5"/>
  <c r="K4" i="5"/>
  <c r="M14" i="6" s="1"/>
  <c r="E14" i="6" s="1"/>
  <c r="J4" i="5"/>
  <c r="I4" i="5"/>
  <c r="M3" i="5"/>
  <c r="L3" i="5"/>
  <c r="K3" i="5"/>
  <c r="C23" i="5" s="1"/>
  <c r="E23" i="5" s="1"/>
  <c r="J3" i="5"/>
  <c r="L8" i="6" s="1"/>
  <c r="D8" i="6" s="1"/>
  <c r="I3" i="5"/>
  <c r="M2" i="5"/>
  <c r="M6" i="6" s="1"/>
  <c r="E6" i="6" s="1"/>
  <c r="L2" i="5"/>
  <c r="K2" i="5"/>
  <c r="J2" i="5"/>
  <c r="M3" i="6" s="1"/>
  <c r="E3" i="6" s="1"/>
  <c r="I2" i="5"/>
  <c r="I6" i="4"/>
  <c r="I5" i="4"/>
  <c r="I4" i="4"/>
  <c r="Z4" i="6" s="1"/>
  <c r="I3" i="4"/>
  <c r="I2" i="4"/>
  <c r="Z12" i="6" s="1"/>
  <c r="B13" i="3"/>
  <c r="B9" i="3"/>
  <c r="E9" i="2"/>
  <c r="B9" i="2"/>
  <c r="E6" i="2"/>
  <c r="B6" i="2"/>
  <c r="E5" i="2"/>
  <c r="B5" i="2"/>
  <c r="E4" i="2"/>
  <c r="B4" i="2"/>
  <c r="E3" i="2"/>
  <c r="B3" i="2"/>
  <c r="D22" i="6" l="1"/>
  <c r="F22" i="6" s="1"/>
  <c r="L43" i="6"/>
  <c r="M43" i="6"/>
  <c r="E43" i="6" s="1"/>
  <c r="F43" i="6" s="1"/>
  <c r="D57" i="5"/>
  <c r="M19" i="6"/>
  <c r="E19" i="6" s="1"/>
  <c r="D33" i="5"/>
  <c r="C33" i="5"/>
  <c r="L52" i="6"/>
  <c r="M52" i="6"/>
  <c r="C66" i="5"/>
  <c r="E66" i="5" s="1"/>
  <c r="M27" i="6"/>
  <c r="E27" i="6" s="1"/>
  <c r="L27" i="6"/>
  <c r="D41" i="5"/>
  <c r="C41" i="5"/>
  <c r="E41" i="5" s="1"/>
  <c r="L60" i="6"/>
  <c r="M60" i="6"/>
  <c r="C74" i="5"/>
  <c r="E74" i="5" s="1"/>
  <c r="M4" i="6"/>
  <c r="E4" i="6" s="1"/>
  <c r="L4" i="6"/>
  <c r="D18" i="5"/>
  <c r="C18" i="5"/>
  <c r="E18" i="5" s="1"/>
  <c r="M35" i="6"/>
  <c r="L35" i="6"/>
  <c r="L59" i="6"/>
  <c r="M59" i="6"/>
  <c r="C73" i="5"/>
  <c r="E73" i="5" s="1"/>
  <c r="J7" i="5"/>
  <c r="E62" i="5"/>
  <c r="L19" i="6"/>
  <c r="L51" i="6"/>
  <c r="N51" i="6" s="1"/>
  <c r="O51" i="6" s="1"/>
  <c r="M51" i="6"/>
  <c r="E51" i="6" s="1"/>
  <c r="F51" i="6" s="1"/>
  <c r="D65" i="5"/>
  <c r="L3" i="6"/>
  <c r="D17" i="5"/>
  <c r="C17" i="5"/>
  <c r="M36" i="6"/>
  <c r="L36" i="6"/>
  <c r="N36" i="6" s="1"/>
  <c r="O36" i="6" s="1"/>
  <c r="M20" i="6"/>
  <c r="E20" i="6" s="1"/>
  <c r="L20" i="6"/>
  <c r="D34" i="5"/>
  <c r="C34" i="5"/>
  <c r="E34" i="5" s="1"/>
  <c r="M11" i="6"/>
  <c r="E11" i="6" s="1"/>
  <c r="D25" i="5"/>
  <c r="L11" i="6"/>
  <c r="C25" i="5"/>
  <c r="E25" i="5" s="1"/>
  <c r="L44" i="6"/>
  <c r="N44" i="6" s="1"/>
  <c r="O44" i="6" s="1"/>
  <c r="M44" i="6"/>
  <c r="E44" i="6" s="1"/>
  <c r="D58" i="5"/>
  <c r="M12" i="6"/>
  <c r="E12" i="6" s="1"/>
  <c r="L12" i="6"/>
  <c r="D26" i="5"/>
  <c r="C26" i="5"/>
  <c r="E26" i="5" s="1"/>
  <c r="B14" i="3"/>
  <c r="K9" i="7"/>
  <c r="Y9" i="6"/>
  <c r="A9" i="6" s="1"/>
  <c r="Z48" i="6"/>
  <c r="Z58" i="6"/>
  <c r="Z33" i="6"/>
  <c r="Z53" i="6"/>
  <c r="Z28" i="6"/>
  <c r="Z3" i="6"/>
  <c r="Z43" i="6"/>
  <c r="Z38" i="6"/>
  <c r="Z23" i="6"/>
  <c r="Z8" i="6"/>
  <c r="Z13" i="6"/>
  <c r="Z18" i="6"/>
  <c r="Z50" i="6"/>
  <c r="Z60" i="6"/>
  <c r="Z35" i="6"/>
  <c r="Z45" i="6"/>
  <c r="Z30" i="6"/>
  <c r="Z40" i="6"/>
  <c r="Z25" i="6"/>
  <c r="Z5" i="6"/>
  <c r="Z10" i="6"/>
  <c r="Z15" i="6"/>
  <c r="M5" i="6"/>
  <c r="E5" i="6" s="1"/>
  <c r="L5" i="6"/>
  <c r="M13" i="6"/>
  <c r="E13" i="6" s="1"/>
  <c r="L13" i="6"/>
  <c r="M21" i="6"/>
  <c r="E21" i="6" s="1"/>
  <c r="L21" i="6"/>
  <c r="L37" i="6"/>
  <c r="N37" i="6" s="1"/>
  <c r="O37" i="6" s="1"/>
  <c r="M37" i="6"/>
  <c r="M45" i="6"/>
  <c r="L45" i="6"/>
  <c r="M53" i="6"/>
  <c r="L53" i="6"/>
  <c r="M61" i="6"/>
  <c r="L61" i="6"/>
  <c r="E53" i="5"/>
  <c r="N6" i="6"/>
  <c r="O6" i="6" s="1"/>
  <c r="M30" i="6"/>
  <c r="E30" i="6" s="1"/>
  <c r="L30" i="6"/>
  <c r="M38" i="6"/>
  <c r="L38" i="6"/>
  <c r="N38" i="6" s="1"/>
  <c r="O38" i="6" s="1"/>
  <c r="L46" i="6"/>
  <c r="M46" i="6"/>
  <c r="M54" i="6"/>
  <c r="L54" i="6"/>
  <c r="E60" i="5"/>
  <c r="D61" i="5"/>
  <c r="E61" i="5" s="1"/>
  <c r="C68" i="5"/>
  <c r="E68" i="5" s="1"/>
  <c r="Y25" i="6"/>
  <c r="A25" i="6" s="1"/>
  <c r="L47" i="6"/>
  <c r="M7" i="6"/>
  <c r="E7" i="6" s="1"/>
  <c r="L7" i="6"/>
  <c r="M15" i="6"/>
  <c r="E15" i="6" s="1"/>
  <c r="L15" i="6"/>
  <c r="L23" i="6"/>
  <c r="M23" i="6"/>
  <c r="E23" i="6" s="1"/>
  <c r="D31" i="6"/>
  <c r="M39" i="6"/>
  <c r="L39" i="6"/>
  <c r="N39" i="6" s="1"/>
  <c r="O39" i="6" s="1"/>
  <c r="E47" i="6"/>
  <c r="F47" i="6" s="1"/>
  <c r="M55" i="6"/>
  <c r="L55" i="6"/>
  <c r="C20" i="5"/>
  <c r="C21" i="5"/>
  <c r="C22" i="5"/>
  <c r="C28" i="5"/>
  <c r="E28" i="5" s="1"/>
  <c r="C29" i="5"/>
  <c r="E29" i="5" s="1"/>
  <c r="C30" i="5"/>
  <c r="C31" i="5"/>
  <c r="E31" i="5" s="1"/>
  <c r="C36" i="5"/>
  <c r="E36" i="5" s="1"/>
  <c r="C37" i="5"/>
  <c r="C39" i="5"/>
  <c r="E39" i="5" s="1"/>
  <c r="C40" i="5"/>
  <c r="E40" i="5" s="1"/>
  <c r="C44" i="5"/>
  <c r="E44" i="5" s="1"/>
  <c r="C45" i="5"/>
  <c r="E51" i="5"/>
  <c r="D60" i="5"/>
  <c r="C67" i="5"/>
  <c r="E67" i="5" s="1"/>
  <c r="M31" i="6"/>
  <c r="E31" i="6" s="1"/>
  <c r="L24" i="6"/>
  <c r="M24" i="6"/>
  <c r="E24" i="6" s="1"/>
  <c r="M32" i="6"/>
  <c r="L32" i="6"/>
  <c r="N32" i="6" s="1"/>
  <c r="O32" i="6" s="1"/>
  <c r="M40" i="6"/>
  <c r="L40" i="6"/>
  <c r="M48" i="6"/>
  <c r="L48" i="6"/>
  <c r="M56" i="6"/>
  <c r="L56" i="6"/>
  <c r="D20" i="5"/>
  <c r="D21" i="5"/>
  <c r="D22" i="5"/>
  <c r="D28" i="5"/>
  <c r="D29" i="5"/>
  <c r="D30" i="5"/>
  <c r="D37" i="5"/>
  <c r="D38" i="5"/>
  <c r="E38" i="5" s="1"/>
  <c r="D44" i="5"/>
  <c r="D45" i="5"/>
  <c r="E58" i="5"/>
  <c r="D59" i="5"/>
  <c r="E59" i="5" s="1"/>
  <c r="L6" i="7"/>
  <c r="Y6" i="6"/>
  <c r="A6" i="6" s="1"/>
  <c r="M16" i="6"/>
  <c r="E16" i="6" s="1"/>
  <c r="F16" i="6" s="1"/>
  <c r="Y22" i="6"/>
  <c r="A22" i="6" s="1"/>
  <c r="Z57" i="6"/>
  <c r="Z42" i="6"/>
  <c r="Z27" i="6"/>
  <c r="Z22" i="6"/>
  <c r="Z32" i="6"/>
  <c r="Z47" i="6"/>
  <c r="Z37" i="6"/>
  <c r="Z52" i="6"/>
  <c r="Z7" i="6"/>
  <c r="Z49" i="6"/>
  <c r="Z59" i="6"/>
  <c r="Z54" i="6"/>
  <c r="Z34" i="6"/>
  <c r="Z44" i="6"/>
  <c r="Z29" i="6"/>
  <c r="Z14" i="6"/>
  <c r="Z19" i="6"/>
  <c r="Z24" i="6"/>
  <c r="Z39" i="6"/>
  <c r="Z41" i="6"/>
  <c r="Z56" i="6"/>
  <c r="Z51" i="6"/>
  <c r="Z46" i="6"/>
  <c r="Z61" i="6"/>
  <c r="Z36" i="6"/>
  <c r="Z21" i="6"/>
  <c r="Z31" i="6"/>
  <c r="Z26" i="6"/>
  <c r="Z6" i="6"/>
  <c r="Z11" i="6"/>
  <c r="Z16" i="6"/>
  <c r="M9" i="6"/>
  <c r="E9" i="6" s="1"/>
  <c r="L9" i="6"/>
  <c r="M17" i="6"/>
  <c r="E17" i="6" s="1"/>
  <c r="L17" i="6"/>
  <c r="M25" i="6"/>
  <c r="E25" i="6" s="1"/>
  <c r="L25" i="6"/>
  <c r="M33" i="6"/>
  <c r="L33" i="6"/>
  <c r="M41" i="6"/>
  <c r="L41" i="6"/>
  <c r="N41" i="6" s="1"/>
  <c r="O41" i="6" s="1"/>
  <c r="M49" i="6"/>
  <c r="E49" i="6" s="1"/>
  <c r="L49" i="6"/>
  <c r="E57" i="5"/>
  <c r="E65" i="5"/>
  <c r="D6" i="6"/>
  <c r="F6" i="6" s="1"/>
  <c r="N16" i="6"/>
  <c r="O16" i="6" s="1"/>
  <c r="Y17" i="6"/>
  <c r="A17" i="6" s="1"/>
  <c r="F9" i="7" s="1"/>
  <c r="Z17" i="6"/>
  <c r="L57" i="6"/>
  <c r="M2" i="6"/>
  <c r="E2" i="6" s="1"/>
  <c r="L2" i="6"/>
  <c r="M10" i="6"/>
  <c r="E10" i="6" s="1"/>
  <c r="L10" i="6"/>
  <c r="M18" i="6"/>
  <c r="E18" i="6" s="1"/>
  <c r="L18" i="6"/>
  <c r="M26" i="6"/>
  <c r="E26" i="6" s="1"/>
  <c r="L26" i="6"/>
  <c r="M34" i="6"/>
  <c r="L34" i="6"/>
  <c r="N34" i="6" s="1"/>
  <c r="O34" i="6" s="1"/>
  <c r="L42" i="6"/>
  <c r="M42" i="6"/>
  <c r="E42" i="6" s="1"/>
  <c r="F42" i="6" s="1"/>
  <c r="L50" i="6"/>
  <c r="N50" i="6" s="1"/>
  <c r="O50" i="6" s="1"/>
  <c r="M50" i="6"/>
  <c r="E50" i="6" s="1"/>
  <c r="F50" i="6" s="1"/>
  <c r="L58" i="6"/>
  <c r="M58" i="6"/>
  <c r="E56" i="5"/>
  <c r="E64" i="5"/>
  <c r="C71" i="5"/>
  <c r="E71" i="5" s="1"/>
  <c r="C75" i="5"/>
  <c r="E75" i="5" s="1"/>
  <c r="Z2" i="6"/>
  <c r="M8" i="6"/>
  <c r="L14" i="6"/>
  <c r="Y18" i="6"/>
  <c r="A18" i="6" s="1"/>
  <c r="F32" i="6"/>
  <c r="F49" i="6"/>
  <c r="Y43" i="6"/>
  <c r="A43" i="6" s="1"/>
  <c r="L2" i="7"/>
  <c r="Y3" i="6"/>
  <c r="A3" i="6" s="1"/>
  <c r="F8" i="7" s="1"/>
  <c r="Y11" i="6"/>
  <c r="A11" i="6" s="1"/>
  <c r="L13" i="7"/>
  <c r="K13" i="7"/>
  <c r="Y51" i="6"/>
  <c r="A51" i="6" s="1"/>
  <c r="Y58" i="6"/>
  <c r="A58" i="6" s="1"/>
  <c r="Y33" i="6"/>
  <c r="A33" i="6" s="1"/>
  <c r="Y24" i="6"/>
  <c r="A24" i="6" s="1"/>
  <c r="Y27" i="6"/>
  <c r="A27" i="6" s="1"/>
  <c r="Y52" i="6"/>
  <c r="A52" i="6" s="1"/>
  <c r="K4" i="7"/>
  <c r="Y49" i="6"/>
  <c r="A49" i="6" s="1"/>
  <c r="Y60" i="6"/>
  <c r="A60" i="6" s="1"/>
  <c r="F39" i="6"/>
  <c r="F44" i="6"/>
  <c r="Y50" i="6"/>
  <c r="A50" i="6" s="1"/>
  <c r="Y37" i="6"/>
  <c r="A37" i="6" s="1"/>
  <c r="K2" i="7"/>
  <c r="K10" i="7"/>
  <c r="K8" i="7"/>
  <c r="Y44" i="6"/>
  <c r="A44" i="6" s="1"/>
  <c r="K6" i="7"/>
  <c r="K12" i="7"/>
  <c r="Y59" i="6"/>
  <c r="A59" i="6" s="1"/>
  <c r="G2" i="7"/>
  <c r="L3" i="7"/>
  <c r="L5" i="7"/>
  <c r="L7" i="7"/>
  <c r="L9" i="7"/>
  <c r="L11" i="7"/>
  <c r="E7" i="2" l="1"/>
  <c r="E7" i="1"/>
  <c r="B7" i="2"/>
  <c r="D7" i="6"/>
  <c r="F7" i="6" s="1"/>
  <c r="D5" i="6"/>
  <c r="F5" i="6" s="1"/>
  <c r="B17" i="3"/>
  <c r="F17" i="3"/>
  <c r="E17" i="3"/>
  <c r="D17" i="3"/>
  <c r="C17" i="3"/>
  <c r="E22" i="5"/>
  <c r="D54" i="6"/>
  <c r="F54" i="6" s="1"/>
  <c r="D11" i="6"/>
  <c r="F11" i="6" s="1"/>
  <c r="N19" i="6"/>
  <c r="O19" i="6" s="1"/>
  <c r="D19" i="6"/>
  <c r="F19" i="6" s="1"/>
  <c r="G4" i="7"/>
  <c r="N42" i="6"/>
  <c r="O42" i="6" s="1"/>
  <c r="N33" i="6"/>
  <c r="O33" i="6" s="1"/>
  <c r="E21" i="5"/>
  <c r="F31" i="6"/>
  <c r="G7" i="7" s="1"/>
  <c r="N47" i="6"/>
  <c r="O47" i="6" s="1"/>
  <c r="N27" i="6"/>
  <c r="O27" i="6" s="1"/>
  <c r="D27" i="6"/>
  <c r="F27" i="6" s="1"/>
  <c r="D10" i="6"/>
  <c r="F10" i="6" s="1"/>
  <c r="E45" i="6"/>
  <c r="F45" i="6" s="1"/>
  <c r="D2" i="6"/>
  <c r="F2" i="6" s="1"/>
  <c r="N2" i="6"/>
  <c r="D56" i="6"/>
  <c r="F56" i="6" s="1"/>
  <c r="N56" i="6"/>
  <c r="O56" i="6" s="1"/>
  <c r="E37" i="5"/>
  <c r="E20" i="5"/>
  <c r="N31" i="6"/>
  <c r="O31" i="6" s="1"/>
  <c r="E46" i="6"/>
  <c r="F46" i="6" s="1"/>
  <c r="N12" i="6"/>
  <c r="D12" i="6"/>
  <c r="F12" i="6" s="1"/>
  <c r="E17" i="5"/>
  <c r="M28" i="6"/>
  <c r="E28" i="6" s="1"/>
  <c r="L28" i="6"/>
  <c r="D42" i="5"/>
  <c r="C42" i="5"/>
  <c r="E42" i="5" s="1"/>
  <c r="K7" i="5"/>
  <c r="N4" i="6"/>
  <c r="O4" i="6" s="1"/>
  <c r="D4" i="6"/>
  <c r="F4" i="6" s="1"/>
  <c r="D25" i="6"/>
  <c r="F25" i="6" s="1"/>
  <c r="D24" i="6"/>
  <c r="F24" i="6" s="1"/>
  <c r="G11" i="7"/>
  <c r="D55" i="6"/>
  <c r="F55" i="6" s="1"/>
  <c r="N46" i="6"/>
  <c r="O46" i="6" s="1"/>
  <c r="D61" i="6"/>
  <c r="F61" i="6" s="1"/>
  <c r="D21" i="6"/>
  <c r="F21" i="6" s="1"/>
  <c r="N43" i="6"/>
  <c r="O43" i="6" s="1"/>
  <c r="D9" i="6"/>
  <c r="F9" i="6" s="1"/>
  <c r="N14" i="6"/>
  <c r="O14" i="6" s="1"/>
  <c r="D14" i="6"/>
  <c r="F14" i="6" s="1"/>
  <c r="D26" i="6"/>
  <c r="F26" i="6" s="1"/>
  <c r="N57" i="6"/>
  <c r="D57" i="6"/>
  <c r="F57" i="6" s="1"/>
  <c r="N48" i="6"/>
  <c r="O48" i="6" s="1"/>
  <c r="F10" i="7"/>
  <c r="D23" i="6"/>
  <c r="F23" i="6" s="1"/>
  <c r="N3" i="6"/>
  <c r="O3" i="6" s="1"/>
  <c r="D3" i="6"/>
  <c r="F3" i="6" s="1"/>
  <c r="G10" i="7"/>
  <c r="G8" i="7"/>
  <c r="F11" i="7"/>
  <c r="E8" i="6"/>
  <c r="F8" i="6" s="1"/>
  <c r="N8" i="6"/>
  <c r="O8" i="6" s="1"/>
  <c r="D58" i="6"/>
  <c r="F58" i="6" s="1"/>
  <c r="N49" i="6"/>
  <c r="O49" i="6" s="1"/>
  <c r="N17" i="6"/>
  <c r="O17" i="6" s="1"/>
  <c r="D17" i="6"/>
  <c r="F17" i="6" s="1"/>
  <c r="E48" i="6"/>
  <c r="F48" i="6" s="1"/>
  <c r="G9" i="7"/>
  <c r="E8" i="1" s="1"/>
  <c r="E30" i="5"/>
  <c r="N15" i="6"/>
  <c r="O15" i="6" s="1"/>
  <c r="D15" i="6"/>
  <c r="F15" i="6" s="1"/>
  <c r="D53" i="6"/>
  <c r="F53" i="6" s="1"/>
  <c r="D13" i="6"/>
  <c r="F13" i="6" s="1"/>
  <c r="N13" i="6"/>
  <c r="O13" i="6" s="1"/>
  <c r="D59" i="6"/>
  <c r="F59" i="6" s="1"/>
  <c r="N52" i="6"/>
  <c r="O52" i="6" s="1"/>
  <c r="D52" i="6"/>
  <c r="F52" i="6" s="1"/>
  <c r="N22" i="6"/>
  <c r="O22" i="6" s="1"/>
  <c r="D18" i="6"/>
  <c r="F18" i="6" s="1"/>
  <c r="N40" i="6"/>
  <c r="O40" i="6" s="1"/>
  <c r="F12" i="7"/>
  <c r="E45" i="5"/>
  <c r="D30" i="6"/>
  <c r="F30" i="6" s="1"/>
  <c r="N30" i="6"/>
  <c r="O30" i="6" s="1"/>
  <c r="B15" i="3"/>
  <c r="D20" i="6"/>
  <c r="F20" i="6" s="1"/>
  <c r="N35" i="6"/>
  <c r="O35" i="6" s="1"/>
  <c r="D60" i="6"/>
  <c r="F60" i="6" s="1"/>
  <c r="E33" i="5"/>
  <c r="F19" i="3" l="1"/>
  <c r="C6" i="4" s="1"/>
  <c r="F20" i="3"/>
  <c r="D6" i="4" s="1"/>
  <c r="O57" i="6"/>
  <c r="F13" i="7"/>
  <c r="O12" i="6"/>
  <c r="F4" i="7"/>
  <c r="E18" i="3"/>
  <c r="D18" i="3"/>
  <c r="C18" i="3"/>
  <c r="B18" i="3"/>
  <c r="F18" i="3"/>
  <c r="B6" i="4" s="1"/>
  <c r="L29" i="6"/>
  <c r="M29" i="6"/>
  <c r="E29" i="6" s="1"/>
  <c r="D43" i="5"/>
  <c r="C43" i="5"/>
  <c r="E43" i="5" s="1"/>
  <c r="N10" i="6"/>
  <c r="O10" i="6" s="1"/>
  <c r="N11" i="6"/>
  <c r="O11" i="6" s="1"/>
  <c r="B20" i="3"/>
  <c r="D2" i="4" s="1"/>
  <c r="C14" i="3"/>
  <c r="C13" i="3" s="1"/>
  <c r="B19" i="3"/>
  <c r="C2" i="4" s="1"/>
  <c r="O2" i="6"/>
  <c r="F2" i="7"/>
  <c r="N26" i="6"/>
  <c r="O26" i="6" s="1"/>
  <c r="N21" i="6"/>
  <c r="O21" i="6" s="1"/>
  <c r="N5" i="6"/>
  <c r="O5" i="6" s="1"/>
  <c r="F5" i="7"/>
  <c r="N60" i="6"/>
  <c r="O60" i="6" s="1"/>
  <c r="N24" i="6"/>
  <c r="O24" i="6" s="1"/>
  <c r="F6" i="7"/>
  <c r="D28" i="6"/>
  <c r="F28" i="6" s="1"/>
  <c r="N54" i="6"/>
  <c r="O54" i="6" s="1"/>
  <c r="N45" i="6"/>
  <c r="O45" i="6" s="1"/>
  <c r="N23" i="6"/>
  <c r="O23" i="6" s="1"/>
  <c r="N9" i="6"/>
  <c r="O9" i="6" s="1"/>
  <c r="N61" i="6"/>
  <c r="O61" i="6" s="1"/>
  <c r="G12" i="7"/>
  <c r="C20" i="3"/>
  <c r="D3" i="4" s="1"/>
  <c r="D14" i="3"/>
  <c r="D13" i="3" s="1"/>
  <c r="C19" i="3"/>
  <c r="C3" i="4" s="1"/>
  <c r="F7" i="7"/>
  <c r="E8" i="2" s="1"/>
  <c r="N53" i="6"/>
  <c r="O53" i="6" s="1"/>
  <c r="N25" i="6"/>
  <c r="O25" i="6" s="1"/>
  <c r="D19" i="3"/>
  <c r="C4" i="4" s="1"/>
  <c r="E14" i="3"/>
  <c r="E13" i="3" s="1"/>
  <c r="D20" i="3"/>
  <c r="D4" i="4" s="1"/>
  <c r="N7" i="6"/>
  <c r="N20" i="6"/>
  <c r="O20" i="6" s="1"/>
  <c r="N18" i="6"/>
  <c r="O18" i="6" s="1"/>
  <c r="N59" i="6"/>
  <c r="O59" i="6" s="1"/>
  <c r="N58" i="6"/>
  <c r="O58" i="6" s="1"/>
  <c r="N55" i="6"/>
  <c r="O55" i="6" s="1"/>
  <c r="G3" i="7"/>
  <c r="E19" i="3"/>
  <c r="C5" i="4" s="1"/>
  <c r="E20" i="3"/>
  <c r="D5" i="4" s="1"/>
  <c r="F14" i="3"/>
  <c r="F13" i="3" s="1"/>
  <c r="H55" i="6" l="1"/>
  <c r="R55" i="6" s="1"/>
  <c r="H60" i="6"/>
  <c r="R60" i="6" s="1"/>
  <c r="H45" i="6"/>
  <c r="R45" i="6" s="1"/>
  <c r="H35" i="6"/>
  <c r="R35" i="6" s="1"/>
  <c r="H30" i="6"/>
  <c r="R30" i="6" s="1"/>
  <c r="H20" i="6"/>
  <c r="R20" i="6" s="1"/>
  <c r="H50" i="6"/>
  <c r="R50" i="6" s="1"/>
  <c r="H25" i="6"/>
  <c r="R25" i="6" s="1"/>
  <c r="H5" i="6"/>
  <c r="R5" i="6" s="1"/>
  <c r="H15" i="6"/>
  <c r="R15" i="6" s="1"/>
  <c r="G59" i="5"/>
  <c r="H10" i="6"/>
  <c r="R10" i="6" s="1"/>
  <c r="G69" i="5"/>
  <c r="G54" i="5"/>
  <c r="G74" i="5"/>
  <c r="G64" i="5"/>
  <c r="H40" i="6"/>
  <c r="R40" i="6" s="1"/>
  <c r="G39" i="5"/>
  <c r="G19" i="5"/>
  <c r="G44" i="5"/>
  <c r="G34" i="5"/>
  <c r="G29" i="5"/>
  <c r="G49" i="5"/>
  <c r="G24" i="5"/>
  <c r="B8" i="2"/>
  <c r="F7" i="1"/>
  <c r="B5" i="4"/>
  <c r="F15" i="3"/>
  <c r="B25" i="8"/>
  <c r="B25" i="11"/>
  <c r="B25" i="12"/>
  <c r="I51" i="6"/>
  <c r="S51" i="6" s="1"/>
  <c r="I61" i="6"/>
  <c r="S61" i="6" s="1"/>
  <c r="I36" i="6"/>
  <c r="S36" i="6" s="1"/>
  <c r="I56" i="6"/>
  <c r="S56" i="6" s="1"/>
  <c r="I46" i="6"/>
  <c r="S46" i="6" s="1"/>
  <c r="I31" i="6"/>
  <c r="S31" i="6" s="1"/>
  <c r="I41" i="6"/>
  <c r="S41" i="6" s="1"/>
  <c r="I26" i="6"/>
  <c r="S26" i="6" s="1"/>
  <c r="I6" i="6"/>
  <c r="S6" i="6" s="1"/>
  <c r="I11" i="6"/>
  <c r="S11" i="6" s="1"/>
  <c r="I16" i="6"/>
  <c r="S16" i="6" s="1"/>
  <c r="H60" i="5"/>
  <c r="I21" i="6"/>
  <c r="S21" i="6" s="1"/>
  <c r="H70" i="5"/>
  <c r="H55" i="5"/>
  <c r="H75" i="5"/>
  <c r="H65" i="5"/>
  <c r="H25" i="5"/>
  <c r="H20" i="5"/>
  <c r="H35" i="5"/>
  <c r="H45" i="5"/>
  <c r="H30" i="5"/>
  <c r="H50" i="5"/>
  <c r="H40" i="5"/>
  <c r="B11" i="11"/>
  <c r="B11" i="12"/>
  <c r="I44" i="6"/>
  <c r="S44" i="6" s="1"/>
  <c r="I59" i="6"/>
  <c r="S59" i="6" s="1"/>
  <c r="B11" i="8"/>
  <c r="I34" i="6"/>
  <c r="S34" i="6" s="1"/>
  <c r="I24" i="6"/>
  <c r="S24" i="6" s="1"/>
  <c r="I29" i="6"/>
  <c r="S29" i="6" s="1"/>
  <c r="I9" i="6"/>
  <c r="S9" i="6" s="1"/>
  <c r="I54" i="6"/>
  <c r="S54" i="6" s="1"/>
  <c r="I14" i="6"/>
  <c r="S14" i="6" s="1"/>
  <c r="I19" i="6"/>
  <c r="S19" i="6" s="1"/>
  <c r="I49" i="6"/>
  <c r="S49" i="6" s="1"/>
  <c r="I39" i="6"/>
  <c r="S39" i="6" s="1"/>
  <c r="H68" i="5"/>
  <c r="H73" i="5"/>
  <c r="H53" i="5"/>
  <c r="I4" i="6"/>
  <c r="S4" i="6" s="1"/>
  <c r="H63" i="5"/>
  <c r="H48" i="5"/>
  <c r="H23" i="5"/>
  <c r="H18" i="5"/>
  <c r="H43" i="5"/>
  <c r="H28" i="5"/>
  <c r="H33" i="5"/>
  <c r="H58" i="5"/>
  <c r="H38" i="5"/>
  <c r="B24" i="8"/>
  <c r="B24" i="11"/>
  <c r="B24" i="12"/>
  <c r="H46" i="6"/>
  <c r="R46" i="6" s="1"/>
  <c r="H56" i="6"/>
  <c r="R56" i="6" s="1"/>
  <c r="H41" i="6"/>
  <c r="R41" i="6" s="1"/>
  <c r="H36" i="6"/>
  <c r="R36" i="6" s="1"/>
  <c r="H61" i="6"/>
  <c r="R61" i="6" s="1"/>
  <c r="H51" i="6"/>
  <c r="R51" i="6" s="1"/>
  <c r="H31" i="6"/>
  <c r="R31" i="6" s="1"/>
  <c r="U31" i="6" s="1"/>
  <c r="W31" i="6" s="1"/>
  <c r="H6" i="6"/>
  <c r="R6" i="6" s="1"/>
  <c r="H11" i="6"/>
  <c r="R11" i="6" s="1"/>
  <c r="H26" i="6"/>
  <c r="R26" i="6" s="1"/>
  <c r="H16" i="6"/>
  <c r="R16" i="6" s="1"/>
  <c r="G60" i="5"/>
  <c r="G75" i="5"/>
  <c r="H21" i="6"/>
  <c r="R21" i="6" s="1"/>
  <c r="G70" i="5"/>
  <c r="G55" i="5"/>
  <c r="G65" i="5"/>
  <c r="G45" i="5"/>
  <c r="G30" i="5"/>
  <c r="G25" i="5"/>
  <c r="G20" i="5"/>
  <c r="G50" i="5"/>
  <c r="G40" i="5"/>
  <c r="G35" i="5"/>
  <c r="E15" i="3"/>
  <c r="B4" i="4"/>
  <c r="G5" i="7"/>
  <c r="D29" i="6"/>
  <c r="F29" i="6" s="1"/>
  <c r="N29" i="6"/>
  <c r="O29" i="6" s="1"/>
  <c r="B10" i="8"/>
  <c r="B10" i="11"/>
  <c r="B10" i="12"/>
  <c r="H54" i="6"/>
  <c r="R54" i="6" s="1"/>
  <c r="H59" i="6"/>
  <c r="R59" i="6" s="1"/>
  <c r="H34" i="6"/>
  <c r="R34" i="6" s="1"/>
  <c r="H24" i="6"/>
  <c r="R24" i="6" s="1"/>
  <c r="H29" i="6"/>
  <c r="R29" i="6" s="1"/>
  <c r="H4" i="6"/>
  <c r="R4" i="6" s="1"/>
  <c r="H9" i="6"/>
  <c r="R9" i="6" s="1"/>
  <c r="H14" i="6"/>
  <c r="R14" i="6" s="1"/>
  <c r="H19" i="6"/>
  <c r="R19" i="6" s="1"/>
  <c r="H49" i="6"/>
  <c r="R49" i="6" s="1"/>
  <c r="H39" i="6"/>
  <c r="R39" i="6" s="1"/>
  <c r="H44" i="6"/>
  <c r="R44" i="6" s="1"/>
  <c r="G68" i="5"/>
  <c r="G73" i="5"/>
  <c r="G53" i="5"/>
  <c r="G63" i="5"/>
  <c r="G58" i="5"/>
  <c r="G48" i="5"/>
  <c r="G23" i="5"/>
  <c r="G33" i="5"/>
  <c r="G18" i="5"/>
  <c r="G38" i="5"/>
  <c r="G43" i="5"/>
  <c r="G28" i="5"/>
  <c r="I52" i="6"/>
  <c r="S52" i="6" s="1"/>
  <c r="I57" i="6"/>
  <c r="S57" i="6" s="1"/>
  <c r="I47" i="6"/>
  <c r="S47" i="6" s="1"/>
  <c r="I32" i="6"/>
  <c r="S32" i="6" s="1"/>
  <c r="I27" i="6"/>
  <c r="S27" i="6" s="1"/>
  <c r="I37" i="6"/>
  <c r="S37" i="6" s="1"/>
  <c r="I17" i="6"/>
  <c r="S17" i="6" s="1"/>
  <c r="I22" i="6"/>
  <c r="S22" i="6" s="1"/>
  <c r="I42" i="6"/>
  <c r="S42" i="6" s="1"/>
  <c r="H61" i="5"/>
  <c r="I12" i="6"/>
  <c r="S12" i="6" s="1"/>
  <c r="H56" i="5"/>
  <c r="I7" i="6"/>
  <c r="S7" i="6" s="1"/>
  <c r="I2" i="6"/>
  <c r="S2" i="6" s="1"/>
  <c r="H71" i="5"/>
  <c r="H16" i="5"/>
  <c r="H51" i="5"/>
  <c r="H46" i="5"/>
  <c r="H36" i="5"/>
  <c r="H41" i="5"/>
  <c r="H26" i="5"/>
  <c r="H21" i="5"/>
  <c r="H66" i="5"/>
  <c r="H31" i="5"/>
  <c r="N28" i="6"/>
  <c r="O28" i="6" s="1"/>
  <c r="B23" i="8"/>
  <c r="B23" i="11"/>
  <c r="B23" i="12"/>
  <c r="G51" i="6"/>
  <c r="V51" i="6" s="1"/>
  <c r="G36" i="6"/>
  <c r="V36" i="6" s="1"/>
  <c r="G56" i="6"/>
  <c r="V56" i="6" s="1"/>
  <c r="G61" i="6"/>
  <c r="G46" i="6"/>
  <c r="V46" i="6" s="1"/>
  <c r="G31" i="6"/>
  <c r="V31" i="6" s="1"/>
  <c r="G21" i="6"/>
  <c r="F75" i="5"/>
  <c r="F70" i="5"/>
  <c r="G41" i="6"/>
  <c r="V41" i="6" s="1"/>
  <c r="G6" i="6"/>
  <c r="V6" i="6" s="1"/>
  <c r="G11" i="6"/>
  <c r="V11" i="6" s="1"/>
  <c r="G26" i="6"/>
  <c r="V26" i="6" s="1"/>
  <c r="G16" i="6"/>
  <c r="V16" i="6" s="1"/>
  <c r="F50" i="5"/>
  <c r="F45" i="5"/>
  <c r="F40" i="5"/>
  <c r="F35" i="5"/>
  <c r="F30" i="5"/>
  <c r="F25" i="5"/>
  <c r="F20" i="5"/>
  <c r="F60" i="5"/>
  <c r="F55" i="5"/>
  <c r="F65" i="5"/>
  <c r="I60" i="6"/>
  <c r="S60" i="6" s="1"/>
  <c r="I45" i="6"/>
  <c r="S45" i="6" s="1"/>
  <c r="I30" i="6"/>
  <c r="S30" i="6" s="1"/>
  <c r="I35" i="6"/>
  <c r="S35" i="6" s="1"/>
  <c r="I25" i="6"/>
  <c r="S25" i="6" s="1"/>
  <c r="I55" i="6"/>
  <c r="S55" i="6" s="1"/>
  <c r="I50" i="6"/>
  <c r="S50" i="6" s="1"/>
  <c r="I40" i="6"/>
  <c r="S40" i="6" s="1"/>
  <c r="I10" i="6"/>
  <c r="S10" i="6" s="1"/>
  <c r="H69" i="5"/>
  <c r="H54" i="5"/>
  <c r="H74" i="5"/>
  <c r="H64" i="5"/>
  <c r="I20" i="6"/>
  <c r="S20" i="6" s="1"/>
  <c r="I5" i="6"/>
  <c r="S5" i="6" s="1"/>
  <c r="I15" i="6"/>
  <c r="S15" i="6" s="1"/>
  <c r="H39" i="5"/>
  <c r="H44" i="5"/>
  <c r="H34" i="5"/>
  <c r="H29" i="5"/>
  <c r="H19" i="5"/>
  <c r="H49" i="5"/>
  <c r="H24" i="5"/>
  <c r="H59" i="5"/>
  <c r="I43" i="6"/>
  <c r="S43" i="6" s="1"/>
  <c r="I53" i="6"/>
  <c r="S53" i="6" s="1"/>
  <c r="I38" i="6"/>
  <c r="S38" i="6" s="1"/>
  <c r="I58" i="6"/>
  <c r="S58" i="6" s="1"/>
  <c r="I33" i="6"/>
  <c r="S33" i="6" s="1"/>
  <c r="I28" i="6"/>
  <c r="S28" i="6" s="1"/>
  <c r="I3" i="6"/>
  <c r="S3" i="6" s="1"/>
  <c r="I8" i="6"/>
  <c r="S8" i="6" s="1"/>
  <c r="I13" i="6"/>
  <c r="S13" i="6" s="1"/>
  <c r="I48" i="6"/>
  <c r="S48" i="6" s="1"/>
  <c r="I18" i="6"/>
  <c r="S18" i="6" s="1"/>
  <c r="H52" i="5"/>
  <c r="I23" i="6"/>
  <c r="S23" i="6" s="1"/>
  <c r="H62" i="5"/>
  <c r="H57" i="5"/>
  <c r="H42" i="5"/>
  <c r="H32" i="5"/>
  <c r="H27" i="5"/>
  <c r="H67" i="5"/>
  <c r="H37" i="5"/>
  <c r="H72" i="5"/>
  <c r="H17" i="5"/>
  <c r="H22" i="5"/>
  <c r="H47" i="5"/>
  <c r="H47" i="6"/>
  <c r="R47" i="6" s="1"/>
  <c r="H52" i="6"/>
  <c r="R52" i="6" s="1"/>
  <c r="H57" i="6"/>
  <c r="R57" i="6" s="1"/>
  <c r="H37" i="6"/>
  <c r="R37" i="6" s="1"/>
  <c r="H32" i="6"/>
  <c r="R32" i="6" s="1"/>
  <c r="H27" i="6"/>
  <c r="R27" i="6" s="1"/>
  <c r="H12" i="6"/>
  <c r="R12" i="6" s="1"/>
  <c r="H17" i="6"/>
  <c r="R17" i="6" s="1"/>
  <c r="H22" i="6"/>
  <c r="R22" i="6" s="1"/>
  <c r="G51" i="5"/>
  <c r="H42" i="6"/>
  <c r="R42" i="6" s="1"/>
  <c r="G61" i="5"/>
  <c r="H7" i="6"/>
  <c r="R7" i="6" s="1"/>
  <c r="H2" i="6"/>
  <c r="R2" i="6" s="1"/>
  <c r="G71" i="5"/>
  <c r="G56" i="5"/>
  <c r="G21" i="5"/>
  <c r="G16" i="5"/>
  <c r="G66" i="5"/>
  <c r="G46" i="5"/>
  <c r="G36" i="5"/>
  <c r="G26" i="5"/>
  <c r="G41" i="5"/>
  <c r="G31" i="5"/>
  <c r="B2" i="4"/>
  <c r="C15" i="3"/>
  <c r="O7" i="6"/>
  <c r="F3" i="7"/>
  <c r="H48" i="6"/>
  <c r="R48" i="6" s="1"/>
  <c r="H43" i="6"/>
  <c r="R43" i="6" s="1"/>
  <c r="H33" i="6"/>
  <c r="R33" i="6" s="1"/>
  <c r="H53" i="6"/>
  <c r="R53" i="6" s="1"/>
  <c r="H58" i="6"/>
  <c r="R58" i="6" s="1"/>
  <c r="H28" i="6"/>
  <c r="R28" i="6" s="1"/>
  <c r="H23" i="6"/>
  <c r="R23" i="6" s="1"/>
  <c r="H38" i="6"/>
  <c r="R38" i="6" s="1"/>
  <c r="H3" i="6"/>
  <c r="R3" i="6" s="1"/>
  <c r="H8" i="6"/>
  <c r="R8" i="6" s="1"/>
  <c r="H13" i="6"/>
  <c r="R13" i="6" s="1"/>
  <c r="G72" i="5"/>
  <c r="G67" i="5"/>
  <c r="G52" i="5"/>
  <c r="G62" i="5"/>
  <c r="H18" i="6"/>
  <c r="R18" i="6" s="1"/>
  <c r="G37" i="5"/>
  <c r="G42" i="5"/>
  <c r="G32" i="5"/>
  <c r="G27" i="5"/>
  <c r="G57" i="5"/>
  <c r="G17" i="5"/>
  <c r="G22" i="5"/>
  <c r="G47" i="5"/>
  <c r="V61" i="6"/>
  <c r="G13" i="7"/>
  <c r="V21" i="6"/>
  <c r="G6" i="7"/>
  <c r="F8" i="1" s="1"/>
  <c r="B3" i="4"/>
  <c r="D15" i="3"/>
  <c r="U6" i="6" l="1"/>
  <c r="W6" i="6" s="1"/>
  <c r="U21" i="6"/>
  <c r="W21" i="6" s="1"/>
  <c r="U51" i="6"/>
  <c r="W51" i="6" s="1"/>
  <c r="U20" i="6"/>
  <c r="W20" i="6" s="1"/>
  <c r="U61" i="6"/>
  <c r="W61" i="6" s="1"/>
  <c r="U27" i="6"/>
  <c r="W27" i="6" s="1"/>
  <c r="U36" i="6"/>
  <c r="W36" i="6" s="1"/>
  <c r="G50" i="6"/>
  <c r="V50" i="6" s="1"/>
  <c r="G60" i="6"/>
  <c r="V60" i="6" s="1"/>
  <c r="G35" i="6"/>
  <c r="V35" i="6" s="1"/>
  <c r="G55" i="6"/>
  <c r="V55" i="6" s="1"/>
  <c r="G30" i="6"/>
  <c r="V30" i="6" s="1"/>
  <c r="G40" i="6"/>
  <c r="V40" i="6" s="1"/>
  <c r="G15" i="6"/>
  <c r="V15" i="6" s="1"/>
  <c r="G20" i="6"/>
  <c r="V20" i="6" s="1"/>
  <c r="F74" i="5"/>
  <c r="G45" i="6"/>
  <c r="V45" i="6" s="1"/>
  <c r="F49" i="5"/>
  <c r="F44" i="5"/>
  <c r="F39" i="5"/>
  <c r="F34" i="5"/>
  <c r="F29" i="5"/>
  <c r="F24" i="5"/>
  <c r="F19" i="5"/>
  <c r="F59" i="5"/>
  <c r="G25" i="6"/>
  <c r="V25" i="6" s="1"/>
  <c r="G10" i="6"/>
  <c r="V10" i="6" s="1"/>
  <c r="F69" i="5"/>
  <c r="F54" i="5"/>
  <c r="F64" i="5"/>
  <c r="G5" i="6"/>
  <c r="V5" i="6" s="1"/>
  <c r="U35" i="6"/>
  <c r="W35" i="6" s="1"/>
  <c r="G42" i="6"/>
  <c r="V42" i="6" s="1"/>
  <c r="G57" i="6"/>
  <c r="V57" i="6" s="1"/>
  <c r="G47" i="6"/>
  <c r="V47" i="6" s="1"/>
  <c r="G37" i="6"/>
  <c r="V37" i="6" s="1"/>
  <c r="G52" i="6"/>
  <c r="V52" i="6" s="1"/>
  <c r="G22" i="6"/>
  <c r="V22" i="6" s="1"/>
  <c r="G32" i="6"/>
  <c r="V32" i="6" s="1"/>
  <c r="G7" i="6"/>
  <c r="G12" i="6"/>
  <c r="V12" i="6" s="1"/>
  <c r="F71" i="5"/>
  <c r="G17" i="6"/>
  <c r="V17" i="6" s="1"/>
  <c r="G27" i="6"/>
  <c r="V27" i="6" s="1"/>
  <c r="F66" i="5"/>
  <c r="F46" i="5"/>
  <c r="F41" i="5"/>
  <c r="F36" i="5"/>
  <c r="F31" i="5"/>
  <c r="F26" i="5"/>
  <c r="F21" i="5"/>
  <c r="F16" i="5"/>
  <c r="F51" i="5"/>
  <c r="F61" i="5"/>
  <c r="F56" i="5"/>
  <c r="G2" i="6"/>
  <c r="V2" i="6" s="1"/>
  <c r="U50" i="6"/>
  <c r="W50" i="6" s="1"/>
  <c r="V7" i="6"/>
  <c r="U7" i="6"/>
  <c r="W7" i="6" s="1"/>
  <c r="AA7" i="6" s="1"/>
  <c r="U32" i="6"/>
  <c r="W32" i="6" s="1"/>
  <c r="U16" i="6"/>
  <c r="W16" i="6" s="1"/>
  <c r="U41" i="6"/>
  <c r="W41" i="6" s="1"/>
  <c r="U45" i="6"/>
  <c r="W45" i="6" s="1"/>
  <c r="U43" i="6"/>
  <c r="W43" i="6" s="1"/>
  <c r="U37" i="6"/>
  <c r="W37" i="6" s="1"/>
  <c r="U9" i="6"/>
  <c r="W9" i="6" s="1"/>
  <c r="B9" i="8"/>
  <c r="B9" i="11"/>
  <c r="B9" i="12"/>
  <c r="G49" i="6"/>
  <c r="V49" i="6" s="1"/>
  <c r="G59" i="6"/>
  <c r="V59" i="6" s="1"/>
  <c r="G54" i="6"/>
  <c r="V54" i="6" s="1"/>
  <c r="G44" i="6"/>
  <c r="V44" i="6" s="1"/>
  <c r="G39" i="6"/>
  <c r="V39" i="6" s="1"/>
  <c r="G34" i="6"/>
  <c r="V34" i="6" s="1"/>
  <c r="G24" i="6"/>
  <c r="V24" i="6" s="1"/>
  <c r="G4" i="6"/>
  <c r="V4" i="6" s="1"/>
  <c r="F73" i="5"/>
  <c r="G29" i="6"/>
  <c r="U29" i="6" s="1"/>
  <c r="G9" i="6"/>
  <c r="V9" i="6" s="1"/>
  <c r="G14" i="6"/>
  <c r="V14" i="6" s="1"/>
  <c r="G19" i="6"/>
  <c r="V19" i="6" s="1"/>
  <c r="F58" i="5"/>
  <c r="F48" i="5"/>
  <c r="F43" i="5"/>
  <c r="F38" i="5"/>
  <c r="F33" i="5"/>
  <c r="F28" i="5"/>
  <c r="F23" i="5"/>
  <c r="F18" i="5"/>
  <c r="F68" i="5"/>
  <c r="F53" i="5"/>
  <c r="F63" i="5"/>
  <c r="U26" i="6"/>
  <c r="W26" i="6" s="1"/>
  <c r="U56" i="6"/>
  <c r="W56" i="6" s="1"/>
  <c r="U15" i="6"/>
  <c r="W15" i="6" s="1"/>
  <c r="U60" i="6"/>
  <c r="W60" i="6" s="1"/>
  <c r="U22" i="6"/>
  <c r="W22" i="6" s="1"/>
  <c r="AA31" i="6"/>
  <c r="X31" i="6"/>
  <c r="C7" i="7" s="1"/>
  <c r="B28" i="12" s="1"/>
  <c r="G58" i="6"/>
  <c r="V58" i="6" s="1"/>
  <c r="G28" i="6"/>
  <c r="U28" i="6" s="1"/>
  <c r="G48" i="6"/>
  <c r="V48" i="6" s="1"/>
  <c r="G38" i="6"/>
  <c r="V38" i="6" s="1"/>
  <c r="G23" i="6"/>
  <c r="V23" i="6" s="1"/>
  <c r="G53" i="6"/>
  <c r="V53" i="6" s="1"/>
  <c r="G43" i="6"/>
  <c r="V43" i="6" s="1"/>
  <c r="G33" i="6"/>
  <c r="V33" i="6" s="1"/>
  <c r="F72" i="5"/>
  <c r="G8" i="6"/>
  <c r="V8" i="6" s="1"/>
  <c r="F47" i="5"/>
  <c r="F42" i="5"/>
  <c r="F37" i="5"/>
  <c r="F32" i="5"/>
  <c r="F27" i="5"/>
  <c r="F22" i="5"/>
  <c r="F17" i="5"/>
  <c r="G18" i="6"/>
  <c r="V18" i="6" s="1"/>
  <c r="F67" i="5"/>
  <c r="F52" i="5"/>
  <c r="G3" i="6"/>
  <c r="V3" i="6" s="1"/>
  <c r="F62" i="5"/>
  <c r="G13" i="6"/>
  <c r="V13" i="6" s="1"/>
  <c r="F57" i="5"/>
  <c r="U53" i="6"/>
  <c r="W53" i="6" s="1"/>
  <c r="U42" i="6"/>
  <c r="W42" i="6" s="1"/>
  <c r="U57" i="6"/>
  <c r="W57" i="6" s="1"/>
  <c r="U11" i="6"/>
  <c r="W11" i="6" s="1"/>
  <c r="U46" i="6"/>
  <c r="W46" i="6" s="1"/>
  <c r="U40" i="6"/>
  <c r="W40" i="6" s="1"/>
  <c r="U5" i="6"/>
  <c r="W5" i="6" s="1"/>
  <c r="U55" i="6"/>
  <c r="W55" i="6" s="1"/>
  <c r="AA55" i="6" l="1"/>
  <c r="AB55" i="6" s="1"/>
  <c r="X55" i="6"/>
  <c r="AA60" i="6"/>
  <c r="AB60" i="6" s="1"/>
  <c r="X60" i="6"/>
  <c r="AA56" i="6"/>
  <c r="X56" i="6"/>
  <c r="C12" i="7" s="1"/>
  <c r="AA43" i="6"/>
  <c r="AB43" i="6" s="1"/>
  <c r="X43" i="6"/>
  <c r="X7" i="6"/>
  <c r="V28" i="6"/>
  <c r="W28" i="6" s="1"/>
  <c r="U30" i="6"/>
  <c r="W30" i="6" s="1"/>
  <c r="AA20" i="6"/>
  <c r="AB20" i="6" s="1"/>
  <c r="X20" i="6"/>
  <c r="U3" i="6"/>
  <c r="W3" i="6" s="1"/>
  <c r="AA11" i="6"/>
  <c r="X11" i="6"/>
  <c r="C3" i="7" s="1"/>
  <c r="AA57" i="6"/>
  <c r="X57" i="6"/>
  <c r="AA42" i="6"/>
  <c r="X42" i="6"/>
  <c r="AA26" i="6"/>
  <c r="X26" i="6"/>
  <c r="C6" i="7" s="1"/>
  <c r="AA45" i="6"/>
  <c r="AB45" i="6" s="1"/>
  <c r="X45" i="6"/>
  <c r="AA27" i="6"/>
  <c r="X27" i="6"/>
  <c r="AA61" i="6"/>
  <c r="X61" i="6"/>
  <c r="C13" i="7" s="1"/>
  <c r="AA51" i="6"/>
  <c r="X51" i="6"/>
  <c r="C11" i="7" s="1"/>
  <c r="U44" i="6"/>
  <c r="W44" i="6" s="1"/>
  <c r="AA41" i="6"/>
  <c r="X41" i="6"/>
  <c r="C9" i="7" s="1"/>
  <c r="E5" i="1" s="1"/>
  <c r="AA50" i="6"/>
  <c r="AB50" i="6" s="1"/>
  <c r="X50" i="6"/>
  <c r="U2" i="6"/>
  <c r="W2" i="6" s="1"/>
  <c r="AA21" i="6"/>
  <c r="X21" i="6"/>
  <c r="C5" i="7" s="1"/>
  <c r="U25" i="6"/>
  <c r="W25" i="6" s="1"/>
  <c r="J32" i="12"/>
  <c r="J31" i="12"/>
  <c r="I32" i="12"/>
  <c r="I31" i="12"/>
  <c r="H32" i="12"/>
  <c r="H31" i="12"/>
  <c r="G32" i="12"/>
  <c r="G31" i="12"/>
  <c r="F32" i="12"/>
  <c r="F31" i="12"/>
  <c r="E32" i="12"/>
  <c r="E31" i="12"/>
  <c r="D32" i="12"/>
  <c r="D31" i="12"/>
  <c r="C32" i="12"/>
  <c r="C31" i="12"/>
  <c r="AA16" i="6"/>
  <c r="X16" i="6"/>
  <c r="C4" i="7" s="1"/>
  <c r="AA35" i="6"/>
  <c r="AB35" i="6" s="1"/>
  <c r="X35" i="6"/>
  <c r="U23" i="6"/>
  <c r="W23" i="6" s="1"/>
  <c r="V29" i="6"/>
  <c r="W29" i="6" s="1"/>
  <c r="AA6" i="6"/>
  <c r="X6" i="6"/>
  <c r="C2" i="7" s="1"/>
  <c r="B28" i="8" s="1"/>
  <c r="AA53" i="6"/>
  <c r="AB53" i="6" s="1"/>
  <c r="X53" i="6"/>
  <c r="AA5" i="6"/>
  <c r="AB5" i="6" s="1"/>
  <c r="X5" i="6"/>
  <c r="AA40" i="6"/>
  <c r="X40" i="6"/>
  <c r="J7" i="7"/>
  <c r="AB31" i="6"/>
  <c r="U14" i="6"/>
  <c r="W14" i="6" s="1"/>
  <c r="U10" i="6"/>
  <c r="W10" i="6" s="1"/>
  <c r="U18" i="6"/>
  <c r="W18" i="6" s="1"/>
  <c r="U59" i="6"/>
  <c r="W59" i="6" s="1"/>
  <c r="U34" i="6"/>
  <c r="W34" i="6" s="1"/>
  <c r="AA46" i="6"/>
  <c r="X46" i="6"/>
  <c r="C10" i="7" s="1"/>
  <c r="AA22" i="6"/>
  <c r="X22" i="6"/>
  <c r="AA9" i="6"/>
  <c r="X9" i="6"/>
  <c r="B3" i="7" s="1"/>
  <c r="AA32" i="6"/>
  <c r="X32" i="6"/>
  <c r="AA36" i="6"/>
  <c r="X36" i="6"/>
  <c r="C8" i="7" s="1"/>
  <c r="U24" i="6"/>
  <c r="W24" i="6" s="1"/>
  <c r="U49" i="6"/>
  <c r="W49" i="6" s="1"/>
  <c r="U39" i="6"/>
  <c r="W39" i="6" s="1"/>
  <c r="U52" i="6"/>
  <c r="W52" i="6" s="1"/>
  <c r="AB7" i="6"/>
  <c r="U54" i="6"/>
  <c r="W54" i="6" s="1"/>
  <c r="U47" i="6"/>
  <c r="W47" i="6" s="1"/>
  <c r="U12" i="6"/>
  <c r="W12" i="6" s="1"/>
  <c r="U17" i="6"/>
  <c r="W17" i="6" s="1"/>
  <c r="U33" i="6"/>
  <c r="W33" i="6" s="1"/>
  <c r="AA37" i="6"/>
  <c r="X37" i="6"/>
  <c r="U4" i="6"/>
  <c r="W4" i="6" s="1"/>
  <c r="AA15" i="6"/>
  <c r="AB15" i="6" s="1"/>
  <c r="X15" i="6"/>
  <c r="U58" i="6"/>
  <c r="W58" i="6" s="1"/>
  <c r="U19" i="6"/>
  <c r="W19" i="6" s="1"/>
  <c r="U8" i="6"/>
  <c r="W8" i="6" s="1"/>
  <c r="U38" i="6"/>
  <c r="W38" i="6" s="1"/>
  <c r="U48" i="6"/>
  <c r="W48" i="6" s="1"/>
  <c r="U13" i="6"/>
  <c r="W13" i="6" s="1"/>
  <c r="AA29" i="6" l="1"/>
  <c r="X29" i="6"/>
  <c r="B7" i="7" s="1"/>
  <c r="B14" i="12" s="1"/>
  <c r="AA28" i="6"/>
  <c r="AB28" i="6" s="1"/>
  <c r="X28" i="6"/>
  <c r="AA54" i="6"/>
  <c r="X54" i="6"/>
  <c r="B12" i="7" s="1"/>
  <c r="J8" i="7"/>
  <c r="AB36" i="6"/>
  <c r="J10" i="7"/>
  <c r="AB46" i="6"/>
  <c r="J5" i="7"/>
  <c r="AB21" i="6"/>
  <c r="J11" i="7"/>
  <c r="AB51" i="6"/>
  <c r="C20" i="1"/>
  <c r="J6" i="7"/>
  <c r="AB26" i="6"/>
  <c r="J12" i="7"/>
  <c r="AB56" i="6"/>
  <c r="AA4" i="6"/>
  <c r="X4" i="6"/>
  <c r="B2" i="7" s="1"/>
  <c r="B14" i="8" s="1"/>
  <c r="AA34" i="6"/>
  <c r="X34" i="6"/>
  <c r="B8" i="7" s="1"/>
  <c r="B19" i="1"/>
  <c r="AB40" i="6"/>
  <c r="AA23" i="6"/>
  <c r="X23" i="6"/>
  <c r="AA2" i="6"/>
  <c r="X2" i="6"/>
  <c r="D10" i="7"/>
  <c r="AB32" i="6"/>
  <c r="AA59" i="6"/>
  <c r="X59" i="6"/>
  <c r="B13" i="7" s="1"/>
  <c r="J13" i="7"/>
  <c r="AB61" i="6"/>
  <c r="M10" i="7"/>
  <c r="AB42" i="6"/>
  <c r="AA30" i="6"/>
  <c r="AB30" i="6" s="1"/>
  <c r="X30" i="6"/>
  <c r="AB6" i="6"/>
  <c r="J2" i="7"/>
  <c r="AA13" i="6"/>
  <c r="AB13" i="6" s="1"/>
  <c r="X13" i="6"/>
  <c r="M9" i="7"/>
  <c r="B16" i="1"/>
  <c r="AB37" i="6"/>
  <c r="AA52" i="6"/>
  <c r="X52" i="6"/>
  <c r="AA18" i="6"/>
  <c r="AB18" i="6" s="1"/>
  <c r="X18" i="6"/>
  <c r="E7" i="7"/>
  <c r="D7" i="7"/>
  <c r="AA48" i="6"/>
  <c r="AB48" i="6" s="1"/>
  <c r="X48" i="6"/>
  <c r="AA8" i="6"/>
  <c r="X8" i="6"/>
  <c r="AA39" i="6"/>
  <c r="X39" i="6"/>
  <c r="B9" i="7" s="1"/>
  <c r="AA10" i="6"/>
  <c r="AB10" i="6" s="1"/>
  <c r="X10" i="6"/>
  <c r="AB27" i="6"/>
  <c r="M13" i="7"/>
  <c r="AB57" i="6"/>
  <c r="D3" i="7"/>
  <c r="E3" i="7"/>
  <c r="AA3" i="6"/>
  <c r="AB3" i="6" s="1"/>
  <c r="X3" i="6"/>
  <c r="AA38" i="6"/>
  <c r="X38" i="6"/>
  <c r="AA33" i="6"/>
  <c r="AB33" i="6" s="1"/>
  <c r="X33" i="6"/>
  <c r="D8" i="7" s="1"/>
  <c r="H3" i="7"/>
  <c r="AB9" i="6"/>
  <c r="AA19" i="6"/>
  <c r="X19" i="6"/>
  <c r="B5" i="7" s="1"/>
  <c r="AA17" i="6"/>
  <c r="X17" i="6"/>
  <c r="AA49" i="6"/>
  <c r="X49" i="6"/>
  <c r="B11" i="7" s="1"/>
  <c r="D6" i="7"/>
  <c r="E6" i="7"/>
  <c r="F6" i="1" s="1"/>
  <c r="AA14" i="6"/>
  <c r="X14" i="6"/>
  <c r="B4" i="7" s="1"/>
  <c r="J4" i="7"/>
  <c r="AB16" i="6"/>
  <c r="B20" i="1"/>
  <c r="J9" i="7"/>
  <c r="AB41" i="6"/>
  <c r="AA47" i="6"/>
  <c r="X47" i="6"/>
  <c r="F5" i="1"/>
  <c r="F10" i="1" s="1"/>
  <c r="B28" i="11"/>
  <c r="AA58" i="6"/>
  <c r="AB58" i="6" s="1"/>
  <c r="X58" i="6"/>
  <c r="E13" i="7" s="1"/>
  <c r="AA12" i="6"/>
  <c r="X12" i="6"/>
  <c r="AA24" i="6"/>
  <c r="X24" i="6"/>
  <c r="B6" i="7" s="1"/>
  <c r="B14" i="11" s="1"/>
  <c r="C16" i="1"/>
  <c r="M6" i="7"/>
  <c r="AB22" i="6"/>
  <c r="H32" i="8"/>
  <c r="H31" i="8"/>
  <c r="G32" i="8"/>
  <c r="G31" i="8"/>
  <c r="F32" i="8"/>
  <c r="F31" i="8"/>
  <c r="E32" i="8"/>
  <c r="E31" i="8"/>
  <c r="D32" i="8"/>
  <c r="D31" i="8"/>
  <c r="C32" i="8"/>
  <c r="C31" i="8"/>
  <c r="J32" i="8"/>
  <c r="J31" i="8"/>
  <c r="I32" i="8"/>
  <c r="I31" i="8"/>
  <c r="AA25" i="6"/>
  <c r="X25" i="6"/>
  <c r="AA44" i="6"/>
  <c r="X44" i="6"/>
  <c r="B10" i="7" s="1"/>
  <c r="J3" i="7"/>
  <c r="AB11" i="6"/>
  <c r="H8" i="7" l="1"/>
  <c r="AB34" i="6"/>
  <c r="H9" i="7"/>
  <c r="B18" i="1"/>
  <c r="AB39" i="6"/>
  <c r="D2" i="7"/>
  <c r="E2" i="7"/>
  <c r="E8" i="7"/>
  <c r="C19" i="1"/>
  <c r="AB25" i="6"/>
  <c r="M2" i="7"/>
  <c r="AB2" i="6"/>
  <c r="AB8" i="6"/>
  <c r="M3" i="7"/>
  <c r="F18" i="8"/>
  <c r="F17" i="8"/>
  <c r="E18" i="8"/>
  <c r="E17" i="8"/>
  <c r="D18" i="8"/>
  <c r="D17" i="8"/>
  <c r="C18" i="8"/>
  <c r="C17" i="8"/>
  <c r="J18" i="8"/>
  <c r="J17" i="8"/>
  <c r="I18" i="8"/>
  <c r="I17" i="8"/>
  <c r="G18" i="8"/>
  <c r="G17" i="8"/>
  <c r="H18" i="8"/>
  <c r="H17" i="8"/>
  <c r="H12" i="7"/>
  <c r="AB54" i="6"/>
  <c r="D9" i="7"/>
  <c r="H11" i="7"/>
  <c r="AB49" i="6"/>
  <c r="E9" i="7"/>
  <c r="E6" i="1" s="1"/>
  <c r="E5" i="7"/>
  <c r="D5" i="7"/>
  <c r="D12" i="7"/>
  <c r="E12" i="7"/>
  <c r="H13" i="7"/>
  <c r="AB59" i="6"/>
  <c r="C17" i="1"/>
  <c r="AB23" i="6"/>
  <c r="H2" i="7"/>
  <c r="AB4" i="6"/>
  <c r="G18" i="11"/>
  <c r="G17" i="11"/>
  <c r="F18" i="11"/>
  <c r="F17" i="11"/>
  <c r="E18" i="11"/>
  <c r="E17" i="11"/>
  <c r="D18" i="11"/>
  <c r="D17" i="11"/>
  <c r="C18" i="11"/>
  <c r="C17" i="11"/>
  <c r="J18" i="11"/>
  <c r="J17" i="11"/>
  <c r="I18" i="11"/>
  <c r="I17" i="11"/>
  <c r="H18" i="11"/>
  <c r="H17" i="11"/>
  <c r="I32" i="11"/>
  <c r="I31" i="11"/>
  <c r="H32" i="11"/>
  <c r="H31" i="11"/>
  <c r="G32" i="11"/>
  <c r="G31" i="11"/>
  <c r="F32" i="11"/>
  <c r="F31" i="11"/>
  <c r="E32" i="11"/>
  <c r="E31" i="11"/>
  <c r="D32" i="11"/>
  <c r="D31" i="11"/>
  <c r="C32" i="11"/>
  <c r="C31" i="11"/>
  <c r="J32" i="11"/>
  <c r="J31" i="11"/>
  <c r="M5" i="7"/>
  <c r="AB17" i="6"/>
  <c r="B17" i="1"/>
  <c r="AB38" i="6"/>
  <c r="M7" i="7"/>
  <c r="M12" i="7"/>
  <c r="AB52" i="6"/>
  <c r="M4" i="7"/>
  <c r="AB12" i="6"/>
  <c r="M11" i="7"/>
  <c r="AB47" i="6"/>
  <c r="H6" i="7"/>
  <c r="C18" i="1"/>
  <c r="AB24" i="6"/>
  <c r="D13" i="7"/>
  <c r="M8" i="7"/>
  <c r="H18" i="12"/>
  <c r="H17" i="12"/>
  <c r="G18" i="12"/>
  <c r="G17" i="12"/>
  <c r="F18" i="12"/>
  <c r="F17" i="12"/>
  <c r="E18" i="12"/>
  <c r="E17" i="12"/>
  <c r="D18" i="12"/>
  <c r="D17" i="12"/>
  <c r="C18" i="12"/>
  <c r="C17" i="12"/>
  <c r="J18" i="12"/>
  <c r="J17" i="12"/>
  <c r="I18" i="12"/>
  <c r="I17" i="12"/>
  <c r="F11" i="1"/>
  <c r="AB44" i="6"/>
  <c r="H10" i="7"/>
  <c r="D4" i="7"/>
  <c r="E4" i="7"/>
  <c r="D11" i="7"/>
  <c r="E11" i="7"/>
  <c r="H4" i="7"/>
  <c r="AB14" i="6"/>
  <c r="H5" i="7"/>
  <c r="AB19" i="6"/>
  <c r="E10" i="7"/>
  <c r="H7" i="7"/>
  <c r="AB29" i="6"/>
</calcChain>
</file>

<file path=xl/sharedStrings.xml><?xml version="1.0" encoding="utf-8"?>
<sst xmlns="http://schemas.openxmlformats.org/spreadsheetml/2006/main" count="442" uniqueCount="196">
  <si>
    <t>SUSD Keep-Open vs Repurpose — Interactive Dashboard (v4.4)</t>
  </si>
  <si>
    <t>Pick scenarios &amp; assumptions</t>
  </si>
  <si>
    <t>Metric</t>
  </si>
  <si>
    <t>A (baseline)</t>
  </si>
  <si>
    <t>X (compare)</t>
  </si>
  <si>
    <t>Baseline A (auto):</t>
  </si>
  <si>
    <t>A_Repurpose_Both_ops</t>
  </si>
  <si>
    <t>FY2030 Net ($)</t>
  </si>
  <si>
    <t>Compare to (X):</t>
  </si>
  <si>
    <t>D_Grow_Both_150</t>
  </si>
  <si>
    <t>5‑yr Avg Net ($)</t>
  </si>
  <si>
    <t>Compare to (Y) [optional]:</t>
  </si>
  <si>
    <t>G_DHub_EchoRamp</t>
  </si>
  <si>
    <t># students displaced</t>
  </si>
  <si>
    <t>FY2030 # served (open &amp; retained)</t>
  </si>
  <si>
    <t>Δ vs A by FY2030 ($)</t>
  </si>
  <si>
    <t>Δ vs A (5‑yr Avg) ($)</t>
  </si>
  <si>
    <t>Year</t>
  </si>
  <si>
    <t>A Net ($)</t>
  </si>
  <si>
    <t>X Net ($)</t>
  </si>
  <si>
    <t>FY2026</t>
  </si>
  <si>
    <t>FY2027</t>
  </si>
  <si>
    <t>FY2028</t>
  </si>
  <si>
    <t>FY2029</t>
  </si>
  <si>
    <t>FY2030</t>
  </si>
  <si>
    <t>Notes</t>
  </si>
  <si>
    <t>• 'Net ($)' = Comparable M&amp;O costs minus base state aid on students served (open &amp; retained). This is a two‑site view (Echo+Pima), not the entire district budget.
• Positive Δ vs A means the comparator is more expensive than 'A_Repurpose_Both_ops' under the Parameters tab assumptions.</t>
  </si>
  <si>
    <t>Mini-Cards: A (Repurpose-Both) vs X and Y</t>
  </si>
  <si>
    <t>Comparator X</t>
  </si>
  <si>
    <t>Comparator Y</t>
  </si>
  <si>
    <t>r* needed (year/mode/h)</t>
  </si>
  <si>
    <t>Δ FY2030 $/student</t>
  </si>
  <si>
    <t>Δ 5-yr Avg $/student</t>
  </si>
  <si>
    <t># displaced (A)</t>
  </si>
  <si>
    <t># displaced (X)</t>
  </si>
  <si>
    <t># displaced (Y)</t>
  </si>
  <si>
    <t>Distinctiveness / Reversibility</t>
  </si>
  <si>
    <t>Parameter</t>
  </si>
  <si>
    <t>Value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</si>
  <si>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</si>
  <si>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</si>
  <si>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</si>
  <si>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</si>
  <si>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</si>
  <si>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</si>
  <si>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</si>
  <si>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</si>
  <si>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</si>
  <si>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</si>
  <si>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</si>
  <si>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</si>
  <si>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</si>
  <si>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</si>
  <si>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</si>
  <si>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</si>
  <si>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</si>
  <si>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</si>
  <si>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</si>
  <si>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</si>
  <si>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</si>
  <si>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</si>
  <si>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</si>
  <si>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</si>
  <si>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</si>
  <si>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</si>
  <si>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</si>
  <si>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</si>
  <si>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</si>
  <si>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</si>
  <si>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</si>
  <si>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</si>
  <si>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</si>
  <si>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Repurpose TI per closed site (FY26)</t>
  </si>
  <si>
    <t>Retention r (central)</t>
  </si>
  <si>
    <t>All formulas are same‑sheet and reference the Parameter cells above.</t>
  </si>
  <si>
    <t>Base State Aid per ADM (FY26)</t>
  </si>
  <si>
    <t>Editable; ADE base aid.</t>
  </si>
  <si>
    <t>Aid inflation (annual)</t>
  </si>
  <si>
    <t>Editable; assumed growth in base aid.</t>
  </si>
  <si>
    <t>VarUnit$</t>
  </si>
  <si>
    <t>EchoFixed$</t>
  </si>
  <si>
    <t>PimaFixed$</t>
  </si>
  <si>
    <t>h</t>
  </si>
  <si>
    <t>f_lease</t>
  </si>
  <si>
    <t>f_ops</t>
  </si>
  <si>
    <t>YearIdx</t>
  </si>
  <si>
    <t>Aid$</t>
  </si>
  <si>
    <t>ScenarioKey</t>
  </si>
  <si>
    <t>Label</t>
  </si>
  <si>
    <t>Overlay</t>
  </si>
  <si>
    <t>CloseEcho</t>
  </si>
  <si>
    <t>ClosePima</t>
  </si>
  <si>
    <t>EchoShareDist</t>
  </si>
  <si>
    <t>ExtraSave</t>
  </si>
  <si>
    <t>Overlay_FY26</t>
  </si>
  <si>
    <t>Overlay_FY27</t>
  </si>
  <si>
    <t>Overlay_FY28</t>
  </si>
  <si>
    <t>Overlay_FY29</t>
  </si>
  <si>
    <t>Overlay_FY30</t>
  </si>
  <si>
    <t>Carry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</si>
  <si>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</si>
  <si>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</si>
  <si>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</si>
  <si>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</si>
  <si>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</si>
  <si>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</si>
  <si>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</si>
  <si>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</si>
  <si>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</si>
  <si>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</si>
  <si>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</si>
  <si>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</si>
  <si>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D. Grow Both (Overlay 150)</t>
  </si>
  <si>
    <t>Baseline +150 overlay</t>
  </si>
  <si>
    <t>G. D‑Hub @ Echo (Ramp 50→100→150)</t>
  </si>
  <si>
    <t>Time‑phased ramp (+50,+100,+150 years 1–3)</t>
  </si>
  <si>
    <t>A_Repurpose_Both_lease</t>
  </si>
  <si>
    <t>A. Repurpose BOTH (lease)</t>
  </si>
  <si>
    <t>Repurpose both; lease/sale glide</t>
  </si>
  <si>
    <t>lease</t>
  </si>
  <si>
    <t>A. Repurpose BOTH (ops)</t>
  </si>
  <si>
    <t>Repurpose both; operations carry</t>
  </si>
  <si>
    <t>ops</t>
  </si>
  <si>
    <t>B_Repurpose_Echo_lease</t>
  </si>
  <si>
    <t>B. Repurpose ECHO (lease)</t>
  </si>
  <si>
    <t>Repurpose Echo only; lease glide</t>
  </si>
  <si>
    <t>B_Repurpose_Echo_ops</t>
  </si>
  <si>
    <t>B. Repurpose ECHO (ops)</t>
  </si>
  <si>
    <t>Repurpose Echo only; ops carry</t>
  </si>
  <si>
    <t>C_Repurpose_Pima_lease</t>
  </si>
  <si>
    <t>C. Repurpose PIMA (lease)</t>
  </si>
  <si>
    <t>Repurpose Pima only; lease glide</t>
  </si>
  <si>
    <t>C_Repurpose_Pima_ops</t>
  </si>
  <si>
    <t>C. Repurpose PIMA (ops)</t>
  </si>
  <si>
    <t>Repurpose Pima only; ops carry</t>
  </si>
  <si>
    <t>Echo_ADM</t>
  </si>
  <si>
    <t>Pima_ADM</t>
  </si>
  <si>
    <t>Total_ADM</t>
  </si>
  <si>
    <t>Key</t>
  </si>
  <si>
    <t>OpsFactor</t>
  </si>
  <si>
    <t>EchoPotential_ADM</t>
  </si>
  <si>
    <t>PimaPotential_ADM</t>
  </si>
  <si>
    <t>Displaced_ADM</t>
  </si>
  <si>
    <t>Retained_ADM</t>
  </si>
  <si>
    <t>CarryFrac</t>
  </si>
  <si>
    <t>EchoFixedEff$</t>
  </si>
  <si>
    <t>PimaFixedEff$</t>
  </si>
  <si>
    <t>TI_adds$</t>
  </si>
  <si>
    <t>SiteCost$</t>
  </si>
  <si>
    <t>RetainedSvc$</t>
  </si>
  <si>
    <t>Comparable_MO$</t>
  </si>
  <si>
    <t>Comparable_per_Student$</t>
  </si>
  <si>
    <t>Aid_per_ADM</t>
  </si>
  <si>
    <t>Net_MO_after_aid$</t>
  </si>
  <si>
    <t>Net_per_served$</t>
  </si>
  <si>
    <t>FY2028 Comparable $/Student</t>
  </si>
  <si>
    <t>FY2030 Comparable $/Student</t>
  </si>
  <si>
    <t>3‑yr Avg Comparable $/Student (FY26–FY28)</t>
  </si>
  <si>
    <t>5‑yr Avg Comparable $/Student (FY26–FY30)</t>
  </si>
  <si>
    <t>FY2030 # students served (open &amp; retained)</t>
  </si>
  <si>
    <t>FY2028 Net ($)</t>
  </si>
  <si>
    <t>5-yr Net Avg ($)</t>
  </si>
  <si>
    <t>Break-even retention r* for A_Repurpose_Both vs selected keep-open scenario</t>
  </si>
  <si>
    <t>Keep-open scenario (pick from Summary_Costs!A)</t>
  </si>
  <si>
    <t>M (displaced if close both)</t>
  </si>
  <si>
    <t>FY2028 helpers</t>
  </si>
  <si>
    <t>Var</t>
  </si>
  <si>
    <t>EchoFixed</t>
  </si>
  <si>
    <t>PimaFixed</t>
  </si>
  <si>
    <t>Ct(FY2028)</t>
  </si>
  <si>
    <t>h →</t>
  </si>
  <si>
    <t>FY2028 f_ops</t>
  </si>
  <si>
    <t>FY2028 f_lease</t>
  </si>
  <si>
    <t>FY2030 helpers</t>
  </si>
  <si>
    <t>Ct(FY2030)</t>
  </si>
  <si>
    <t>FY2030 f_ops</t>
  </si>
  <si>
    <t>FY2030 f_lease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</si>
  <si>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</si>
  <si>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</si>
  <si>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</si>
  <si>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</si>
  <si>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</si>
  <si>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</si>
  <si>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</si>
  <si>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</si>
  <si>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</si>
  <si>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</si>
  <si>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Distinctiveness</t>
  </si>
  <si>
    <t>Reversibility</t>
  </si>
  <si>
    <t>-</t>
  </si>
  <si>
    <t>Low</t>
  </si>
  <si>
    <t>+</t>
  </si>
  <si>
    <t>High</t>
  </si>
  <si>
    <t>Med</t>
  </si>
  <si>
    <t>o</t>
  </si>
  <si>
    <t>Med-High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</si>
</sst>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b/>
      <sz val="1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DE9"/>
        <bgColor rgb="FFFFFDE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3" fillId="0" borderId="0"/>
  </cellStyleXfs>
  <cellXfs count="2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  <xf numFmtId="1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wrapText="1"/>
    </xf>
    <xf numFmtId="9" fontId="0" fillId="0" borderId="0" xfId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4" fillId="5" borderId="0" xfId="0" applyFont="1" applyFill="1"/>
    <xf numFmtId="0" fontId="4" fillId="0" borderId="2" xfId="0" applyFont="1" applyBorder="1"/>
    <xf numFmtId="0" fontId="4" fillId="5" borderId="3" xfId="0" applyFont="1" applyFill="1" applyBorder="1"/>
    <xf numFmtId="0" fontId="4" fillId="0" borderId="7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164" fontId="4" fillId="0" borderId="0" xfId="0" applyNumberFormat="1" applyFont="1"/>
    <xf numFmtId="9" fontId="4" fillId="0" borderId="0" xfId="1" applyFont="1"/>
    <xf numFmtId="1" fontId="4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Annual Net (Cost after base aid) — A vs X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Dashboard!$B$15</c:f>
              <c:strCache>
                <c:ptCount val="1"/>
                <c:pt idx="0">
                  <c:v>A Net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Dashboard!$A$16:$A$20</c:f>
              <c:strCache>
                <c:ptCount val="5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</c:strCache>
            </c:strRef>
          </c:cat>
          <c:val>
            <c:numRef>
              <c:f>Dashboard!$B$16:$B$21</c:f>
              <c:numCache>
                <c:formatCode>\$#,##0</c:formatCode>
                <c:ptCount val="6"/>
                <c:pt idx="0">
                  <c:v>4322025.1065119999</c:v>
                </c:pt>
                <c:pt idx="1">
                  <c:v>1801374.6210904494</c:v>
                </c:pt>
                <c:pt idx="2">
                  <c:v>1677844.0490375021</c:v>
                </c:pt>
                <c:pt idx="3">
                  <c:v>1551311.8885166002</c:v>
                </c:pt>
                <c:pt idx="4">
                  <c:v>1463127.3414473375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69-4099-B705-C7925C230B84}"/>
            </c:ext>
          </c:extLst>
        </c:ser>
        <c:ser>
          <c:idx val="1"/>
          <c:order val="1"/>
          <c:tx>
            <c:strRef>
              <c:f>Dashboard!$C$15</c:f>
              <c:strCache>
                <c:ptCount val="1"/>
                <c:pt idx="0">
                  <c:v>X Net ($)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Dashboard!$A$16:$A$20</c:f>
              <c:strCache>
                <c:ptCount val="5"/>
                <c:pt idx="0">
                  <c:v>FY2026</c:v>
                </c:pt>
                <c:pt idx="1">
                  <c:v>FY2027</c:v>
                </c:pt>
                <c:pt idx="2">
                  <c:v>FY2028</c:v>
                </c:pt>
                <c:pt idx="3">
                  <c:v>FY2029</c:v>
                </c:pt>
                <c:pt idx="4">
                  <c:v>FY2030</c:v>
                </c:pt>
              </c:strCache>
            </c:strRef>
          </c:cat>
          <c:val>
            <c:numRef>
              <c:f>Dashboard!$C$16:$C$21</c:f>
              <c:numCache>
                <c:formatCode>\$#,##0</c:formatCode>
                <c:ptCount val="6"/>
                <c:pt idx="0">
                  <c:v>2863369.2095999988</c:v>
                </c:pt>
                <c:pt idx="1">
                  <c:v>3052413.927389998</c:v>
                </c:pt>
                <c:pt idx="2">
                  <c:v>3251651.8268384989</c:v>
                </c:pt>
                <c:pt idx="3">
                  <c:v>3351641.3941874616</c:v>
                </c:pt>
                <c:pt idx="4">
                  <c:v>3454504.6661537071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69-4099-B705-C7925C230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Net ($)</a:t>
                </a:r>
              </a:p>
            </c:rich>
          </c:tx>
          <c:overlay val="0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100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"/>
  <sheetViews>
    <sheetView zoomScale="85" zoomScaleNormal="85" workbookViewId="0">
      <selection activeCell="B6" sqref="B6"/>
    </sheetView>
  </sheetViews>
  <sheetFormatPr defaultRowHeight="14.5" x14ac:dyDescent="0.35"/>
  <cols>
    <col min="1" max="1" width="32.54296875" customWidth="1"/>
    <col min="2" max="2" width="25.453125" bestFit="1" customWidth="1"/>
    <col min="3" max="3" width="20.7265625" customWidth="1"/>
    <col min="4" max="4" width="56.1796875" customWidth="1"/>
    <col min="5" max="5" width="10.7265625" bestFit="1" customWidth="1"/>
    <col min="7" max="7" width="24.54296875" customWidth="1"/>
    <col min="8" max="8" width="13.36328125" bestFit="1" customWidth="1"/>
  </cols>
  <sheetData>
    <row r="1" spans="1:26" ht="18.5" x14ac:dyDescent="0.4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" customHeight="1" thickBot="1" x14ac:dyDescent="0.4">
      <c r="A3" s="1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6" customHeight="1" x14ac:dyDescent="0.35">
      <c r="A4" s="12"/>
      <c r="B4" s="12"/>
      <c r="C4" s="12"/>
      <c r="D4" s="12" t="s">
        <v>2</v>
      </c>
      <c r="E4" s="12" t="s">
        <v>3</v>
      </c>
      <c r="F4" s="12" t="s">
        <v>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6" customHeight="1" x14ac:dyDescent="0.35">
      <c r="A5" s="12" t="s">
        <v>5</v>
      </c>
      <c r="B5" s="14" t="s">
        <v>6</v>
      </c>
      <c r="C5" s="12"/>
      <c r="D5" s="12" t="s">
        <v>7</v>
      </c>
      <c r="E5" s="2">
        <f>INDEX(Summary_Costs!$C$2:$C$13, MATCH($B$5, Summary_Costs!$A$2:$A$13, 0))</f>
        <v>9062.2088262375346</v>
      </c>
      <c r="F5" s="2">
        <f>INDEX(Summary_Costs!$C$2:$C$13, MATCH($B$6, Summary_Costs!$A$2:$A$13, 0))</f>
        <v>10448.422527613011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6" customHeight="1" x14ac:dyDescent="0.35">
      <c r="A6" s="12" t="s">
        <v>8</v>
      </c>
      <c r="B6" s="16" t="s">
        <v>12</v>
      </c>
      <c r="C6" s="14" t="s">
        <v>9</v>
      </c>
      <c r="D6" s="12" t="s">
        <v>10</v>
      </c>
      <c r="E6" s="2">
        <f>INDEX(Summary_Costs!$E$2:$E$13, MATCH($B$5, Summary_Costs!$A$2:$A$13, 0))</f>
        <v>10537.17069925139</v>
      </c>
      <c r="F6" s="2">
        <f>INDEX(Summary_Costs!$E$2:$E$13, MATCH($B$6, Summary_Costs!$A$2:$A$13, 0))</f>
        <v>10067.642167159765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6" customHeight="1" x14ac:dyDescent="0.35">
      <c r="A7" s="15" t="s">
        <v>11</v>
      </c>
      <c r="B7" s="16" t="s">
        <v>12</v>
      </c>
      <c r="C7" s="17"/>
      <c r="D7" s="12" t="s">
        <v>13</v>
      </c>
      <c r="E7" s="12">
        <f>INDEX(Summary_Costs!$F$2:$F$13, MATCH($B$5, Summary_Costs!$A$2:$A$13, 0))</f>
        <v>553</v>
      </c>
      <c r="F7" s="12">
        <f>INDEX(Summary_Costs!$F$2:$F$13, MATCH($B$6, Summary_Costs!$A$2:$A$13, 0))</f>
        <v>0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6" customHeight="1" x14ac:dyDescent="0.35">
      <c r="A8" s="15"/>
      <c r="B8" s="18"/>
      <c r="C8" s="17"/>
      <c r="D8" s="12" t="s">
        <v>14</v>
      </c>
      <c r="E8" s="12">
        <f>INDEX(Summary_Costs!$G$2:$G$13, MATCH($B$5, Summary_Costs!$A$2:$A$13, 0))</f>
        <v>414.75</v>
      </c>
      <c r="F8" s="12">
        <f>INDEX(Summary_Costs!$G$2:$G$13, MATCH($B$6, Summary_Costs!$A$2:$A$13, 0))</f>
        <v>703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6" customHeight="1" x14ac:dyDescent="0.35">
      <c r="A9" s="15"/>
      <c r="B9" s="18"/>
      <c r="C9" s="17"/>
      <c r="D9" s="18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6" customHeight="1" x14ac:dyDescent="0.35">
      <c r="A10" s="15"/>
      <c r="B10" s="18"/>
      <c r="C10" s="17"/>
      <c r="D10" s="18" t="s">
        <v>15</v>
      </c>
      <c r="E10" s="12"/>
      <c r="F10" s="2">
        <f>F5-E5</f>
        <v>1386.2137013754764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6" customHeight="1" x14ac:dyDescent="0.35">
      <c r="A11" s="15"/>
      <c r="B11" s="18"/>
      <c r="C11" s="17"/>
      <c r="D11" s="18" t="s">
        <v>16</v>
      </c>
      <c r="E11" s="12"/>
      <c r="F11" s="2">
        <f>F6-E6</f>
        <v>-469.52853209162458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6" customHeight="1" x14ac:dyDescent="0.35">
      <c r="A12" s="15"/>
      <c r="B12" s="18"/>
      <c r="C12" s="17"/>
      <c r="D12" s="18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6" customHeight="1" x14ac:dyDescent="0.35">
      <c r="A13" s="15"/>
      <c r="B13" s="18"/>
      <c r="C13" s="17"/>
      <c r="D13" s="18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6" customHeight="1" thickBot="1" x14ac:dyDescent="0.4">
      <c r="A14" s="19"/>
      <c r="B14" s="20"/>
      <c r="C14" s="21"/>
      <c r="D14" s="20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x14ac:dyDescent="0.35">
      <c r="A15" s="12" t="s">
        <v>17</v>
      </c>
      <c r="B15" s="12" t="s">
        <v>18</v>
      </c>
      <c r="C15" s="12" t="s">
        <v>19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x14ac:dyDescent="0.35">
      <c r="A16" s="12" t="s">
        <v>20</v>
      </c>
      <c r="B16" s="2">
        <f>SUMIFS(MultiYear_ProForma!$AA:$AA, MultiYear_ProForma!$B:$B, $B$5, MultiYear_ProForma!$C:$C, "FY2026")</f>
        <v>4322025.1065119999</v>
      </c>
      <c r="C16" s="2">
        <f>SUMIFS(MultiYear_ProForma!$AA:$AA, MultiYear_ProForma!$B:$B, $B$6, MultiYear_ProForma!$C:$C, "FY2026")</f>
        <v>2863369.2095999988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x14ac:dyDescent="0.35">
      <c r="A17" s="12" t="s">
        <v>21</v>
      </c>
      <c r="B17" s="2">
        <f>SUMIFS(MultiYear_ProForma!$AA:$AA, MultiYear_ProForma!$B:$B, $B$5, MultiYear_ProForma!$C:$C, "FY2027")</f>
        <v>1801374.6210904494</v>
      </c>
      <c r="C17" s="2">
        <f>SUMIFS(MultiYear_ProForma!$AA:$AA, MultiYear_ProForma!$B:$B, $B$6, MultiYear_ProForma!$C:$C, "FY2027")</f>
        <v>3052413.927389998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x14ac:dyDescent="0.35">
      <c r="A18" s="12" t="s">
        <v>22</v>
      </c>
      <c r="B18" s="2">
        <f>SUMIFS(MultiYear_ProForma!$AA:$AA, MultiYear_ProForma!$B:$B, $B$5, MultiYear_ProForma!$C:$C, "FY2028")</f>
        <v>1677844.0490375021</v>
      </c>
      <c r="C18" s="2">
        <f>SUMIFS(MultiYear_ProForma!$AA:$AA, MultiYear_ProForma!$B:$B, $B$6, MultiYear_ProForma!$C:$C, "FY2028")</f>
        <v>3251651.8268384989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x14ac:dyDescent="0.35">
      <c r="A19" s="12" t="s">
        <v>23</v>
      </c>
      <c r="B19" s="2">
        <f>SUMIFS(MultiYear_ProForma!$AA:$AA, MultiYear_ProForma!$B:$B, $B$5, MultiYear_ProForma!$C:$C, "FY2029")</f>
        <v>1551311.8885166002</v>
      </c>
      <c r="C19" s="2">
        <f>SUMIFS(MultiYear_ProForma!$AA:$AA, MultiYear_ProForma!$B:$B, $B$6, MultiYear_ProForma!$C:$C, "FY2029")</f>
        <v>3351641.3941874616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x14ac:dyDescent="0.35">
      <c r="A20" s="12" t="s">
        <v>24</v>
      </c>
      <c r="B20" s="2">
        <f>SUMIFS(MultiYear_ProForma!$AA:$AA, MultiYear_ProForma!$B:$B, $B$5, MultiYear_ProForma!$C:$C, "FY2030")</f>
        <v>1463127.3414473375</v>
      </c>
      <c r="C20" s="2">
        <f>SUMIFS(MultiYear_ProForma!$AA:$AA, MultiYear_ProForma!$B:$B, $B$6, MultiYear_ProForma!$C:$C, "FY2030")</f>
        <v>3454504.6661537071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x14ac:dyDescent="0.35">
      <c r="A21" s="12"/>
      <c r="B21" s="2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35">
      <c r="A22" s="12"/>
      <c r="B22" s="2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x14ac:dyDescent="0.35">
      <c r="A23" s="12"/>
      <c r="B23" s="22"/>
      <c r="C23" s="12"/>
      <c r="D23" s="12"/>
      <c r="E23" s="12"/>
      <c r="F23" s="12"/>
      <c r="G23" s="12"/>
      <c r="H23" s="12"/>
      <c r="I23" s="23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35">
      <c r="A24" s="12"/>
      <c r="B24" s="24"/>
      <c r="C24" s="12"/>
      <c r="D24" s="12"/>
      <c r="E24" s="12"/>
      <c r="F24" s="12"/>
      <c r="G24" s="12"/>
      <c r="H24" s="12"/>
      <c r="I24" s="23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x14ac:dyDescent="0.35">
      <c r="A25" s="12" t="s">
        <v>25</v>
      </c>
      <c r="B25" s="2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x14ac:dyDescent="0.35">
      <c r="A26" s="12" t="s">
        <v>26</v>
      </c>
      <c r="B26" s="12"/>
      <c r="C26" s="12"/>
      <c r="D26" s="12"/>
      <c r="E26" s="12"/>
      <c r="F26" s="12"/>
      <c r="G26" s="12"/>
      <c r="H26" s="12"/>
      <c r="I26" s="22"/>
      <c r="J26" s="2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x14ac:dyDescent="0.35">
      <c r="A27" s="12"/>
      <c r="B27" s="22"/>
      <c r="C27" s="12"/>
      <c r="D27" s="12"/>
      <c r="E27" s="12"/>
      <c r="F27" s="12"/>
      <c r="G27" s="12"/>
      <c r="H27" s="12"/>
      <c r="I27" s="22"/>
      <c r="J27" s="2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x14ac:dyDescent="0.35">
      <c r="A28" s="12"/>
      <c r="B28" s="22"/>
      <c r="C28" s="12"/>
      <c r="D28" s="12"/>
      <c r="E28" s="12"/>
      <c r="F28" s="12"/>
      <c r="G28" s="12"/>
      <c r="H28" s="12"/>
      <c r="I28" s="22"/>
      <c r="J28" s="2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x14ac:dyDescent="0.35">
      <c r="A29" s="12"/>
      <c r="B29" s="22"/>
      <c r="C29" s="12"/>
      <c r="D29" s="12"/>
      <c r="E29" s="12"/>
      <c r="F29" s="12"/>
      <c r="G29" s="12"/>
      <c r="H29" s="12"/>
      <c r="I29" s="22"/>
      <c r="J29" s="2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x14ac:dyDescent="0.35">
      <c r="A30" s="12"/>
      <c r="B30" s="2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x14ac:dyDescent="0.35">
      <c r="A31" s="12"/>
      <c r="B31" s="2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x14ac:dyDescent="0.35">
      <c r="A32" s="12"/>
      <c r="B32" s="2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x14ac:dyDescent="0.35">
      <c r="A34" s="12"/>
      <c r="B34" s="2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35">
      <c r="A35" s="12"/>
      <c r="B35" s="2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x14ac:dyDescent="0.35">
      <c r="A36" s="12"/>
      <c r="B36" s="2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x14ac:dyDescent="0.35">
      <c r="A37" s="12"/>
      <c r="B37" s="2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35">
      <c r="A38" s="12"/>
      <c r="B38" s="24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x14ac:dyDescent="0.35">
      <c r="A39" s="12"/>
      <c r="B39" s="24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</sheetData>
  <dataValidations count="3">
    <dataValidation type="list" showInputMessage="1" showErrorMessage="1" sqref="B10" xr:uid="{00000000-0002-0000-0000-000000000000}">
      <formula1>"200,300,400,600,800,1000,1200,1500"</formula1>
    </dataValidation>
    <dataValidation type="list" showInputMessage="1" showErrorMessage="1" sqref="B11" xr:uid="{00000000-0002-0000-0000-000001000000}">
      <formula1>"FY2028,FY2030"</formula1>
    </dataValidation>
    <dataValidation type="list" showInputMessage="1" showErrorMessage="1" sqref="B12" xr:uid="{00000000-0002-0000-0000-000002000000}">
      <formula1>"ops,lease"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DropDown="1" showInputMessage="1" showErrorMessage="1" xr:uid="{00000000-0002-0000-0000-000003000000}">
          <x14:formula1>
            <xm:f>Summary_Costs!$A$2:$A$13</xm:f>
          </x14:formula1>
          <xm:sqref>B5:B7 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B5" sqref="B5"/>
    </sheetView>
  </sheetViews>
  <sheetFormatPr defaultRowHeight="14.5" x14ac:dyDescent="0.35"/>
  <cols>
    <col min="1" max="1" width="37.36328125" bestFit="1" customWidth="1"/>
    <col min="2" max="2" width="19.1796875" bestFit="1" customWidth="1"/>
    <col min="4" max="4" width="26.54296875" bestFit="1" customWidth="1"/>
    <col min="5" max="5" width="17.81640625" bestFit="1" customWidth="1"/>
  </cols>
  <sheetData>
    <row r="1" spans="1:5" x14ac:dyDescent="0.35">
      <c r="A1" t="s">
        <v>27</v>
      </c>
    </row>
    <row r="3" spans="1:5" x14ac:dyDescent="0.35">
      <c r="A3" t="s">
        <v>28</v>
      </c>
      <c r="B3" t="str">
        <f>Dashboard!$B$6</f>
        <v>G_DHub_EchoRamp</v>
      </c>
      <c r="D3" t="s">
        <v>29</v>
      </c>
      <c r="E3" t="str">
        <f>Dashboard!$B$7</f>
        <v>G_DHub_EchoRamp</v>
      </c>
    </row>
    <row r="4" spans="1:5" x14ac:dyDescent="0.35">
      <c r="A4" t="s">
        <v>30</v>
      </c>
      <c r="B4" s="10">
        <f>Dashboard!$I$23</f>
        <v>0</v>
      </c>
      <c r="D4" t="s">
        <v>30</v>
      </c>
      <c r="E4" s="10">
        <f>Dashboard!$I$24</f>
        <v>0</v>
      </c>
    </row>
    <row r="5" spans="1:5" x14ac:dyDescent="0.35">
      <c r="A5" t="s">
        <v>31</v>
      </c>
      <c r="B5" s="2">
        <f>Dashboard!$I$26</f>
        <v>0</v>
      </c>
      <c r="D5" t="s">
        <v>31</v>
      </c>
      <c r="E5" s="2">
        <f>Dashboard!$I$27</f>
        <v>0</v>
      </c>
    </row>
    <row r="6" spans="1:5" x14ac:dyDescent="0.35">
      <c r="A6" t="s">
        <v>32</v>
      </c>
      <c r="B6" s="2">
        <f>Dashboard!$I$28</f>
        <v>0</v>
      </c>
      <c r="D6" t="s">
        <v>32</v>
      </c>
      <c r="E6" s="2">
        <f>Dashboard!$I$29</f>
        <v>0</v>
      </c>
    </row>
    <row r="7" spans="1:5" x14ac:dyDescent="0.35">
      <c r="A7" t="s">
        <v>33</v>
      </c>
      <c r="B7" s="7">
        <f>INDEX(Summary_Costs!$F:$F, MATCH(Dashboard!$B$5, Summary_Costs!$A:$A,0))</f>
        <v>553</v>
      </c>
      <c r="D7" t="s">
        <v>33</v>
      </c>
      <c r="E7" s="7">
        <f>INDEX(Summary_Costs!$F:$F, MATCH(Dashboard!$B$5, Summary_Costs!$A:$A,0))</f>
        <v>553</v>
      </c>
    </row>
    <row r="8" spans="1:5" x14ac:dyDescent="0.35">
      <c r="A8" t="s">
        <v>34</v>
      </c>
      <c r="B8" s="7">
        <f>INDEX(Summary_Costs!$F:$F, MATCH(Dashboard!$B$6, Summary_Costs!$A:$A,0))</f>
        <v>0</v>
      </c>
      <c r="D8" t="s">
        <v>35</v>
      </c>
      <c r="E8" s="7">
        <f>INDEX(Summary_Costs!$F:$F, MATCH(Dashboard!$B$7, Summary_Costs!$A:$A,0))</f>
        <v>0</v>
      </c>
    </row>
    <row r="9" spans="1:5" x14ac:dyDescent="0.35">
      <c r="A9" t="s">
        <v>36</v>
      </c>
      <c r="B9" t="str">
        <f>Dashboard!$E$26 &amp; " / " &amp; Dashboard!$F$26</f>
        <v xml:space="preserve"> / </v>
      </c>
      <c r="D9" t="s">
        <v>36</v>
      </c>
      <c r="E9" t="str">
        <f>Dashboard!$E$33 &amp; " / " &amp; Dashboard!$F$33</f>
        <v xml:space="preserve"> / 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zoomScale="85" zoomScaleNormal="85" workbookViewId="0">
      <pane ySplit="1" topLeftCell="A2" activePane="bottomLeft" state="frozen"/>
      <selection pane="bottomLeft" activeCell="B3" sqref="A3:B3"/>
    </sheetView>
  </sheetViews>
  <sheetFormatPr defaultRowHeight="14.5" x14ac:dyDescent="0.35"/>
  <cols>
    <col min="1" max="1" width="25.1796875" customWidth="1"/>
    <col min="2" max="2" width="10.54296875" bestFit="1" customWidth="1"/>
    <col min="3" max="3" width="11" customWidth="1"/>
    <col min="4" max="4" width="11.90625" customWidth="1"/>
    <col min="5" max="5" width="11.1796875" customWidth="1"/>
    <col min="6" max="6" width="11.36328125" customWidth="1"/>
  </cols>
  <sheetData>
    <row r="1" spans="1:11" x14ac:dyDescent="0.35">
      <c r="A1" s="1" t="s">
        <v>37</v>
      </c>
      <c r="B1" s="1" t="s">
        <v>38</v>
      </c>
      <c r="C1" s="1" t="s">
        <v>25</v>
      </c>
    </row>
    <row r="2" spans="1:11" x14ac:dyDescent="0.35">
      <c r="A2" t="s">
        <v>39</v>
      </c>
      <c r="B2" s="4">
        <v>2.5000000000000001E-2</v>
      </c>
      <c r="C2" s="6" t="s">
        <v>40</v>
      </c>
    </row>
    <row r="3" spans="1:11" x14ac:dyDescent="0.35">
      <c r="A3" t="s">
        <v>41</v>
      </c>
      <c r="B3" s="4">
        <v>9936</v>
      </c>
      <c r="C3" s="6" t="s">
        <v>42</v>
      </c>
    </row>
    <row r="4" spans="1:11" x14ac:dyDescent="0.35">
      <c r="A4" t="s">
        <v>43</v>
      </c>
      <c r="B4" s="4">
        <v>0.3</v>
      </c>
      <c r="C4" s="6" t="s">
        <v>44</v>
      </c>
    </row>
    <row r="5" spans="1:11" x14ac:dyDescent="0.35">
      <c r="A5" t="s">
        <v>45</v>
      </c>
      <c r="B5" s="4">
        <v>7.0000000000000001E-3</v>
      </c>
      <c r="C5" s="6" t="s">
        <v>46</v>
      </c>
    </row>
    <row r="6" spans="1:11" x14ac:dyDescent="0.35">
      <c r="A6" t="s">
        <v>47</v>
      </c>
      <c r="B6" s="4">
        <v>1.4999999999999999E-2</v>
      </c>
      <c r="C6" s="6" t="s">
        <v>48</v>
      </c>
    </row>
    <row r="7" spans="1:11" x14ac:dyDescent="0.35">
      <c r="A7" t="s">
        <v>49</v>
      </c>
      <c r="B7" s="4">
        <v>257</v>
      </c>
    </row>
    <row r="8" spans="1:11" x14ac:dyDescent="0.35">
      <c r="A8" t="s">
        <v>50</v>
      </c>
      <c r="B8" s="4">
        <v>296</v>
      </c>
    </row>
    <row r="9" spans="1:11" x14ac:dyDescent="0.35">
      <c r="A9" t="s">
        <v>51</v>
      </c>
      <c r="B9">
        <f>B7+B8</f>
        <v>553</v>
      </c>
      <c r="C9" t="s">
        <v>52</v>
      </c>
    </row>
    <row r="12" spans="1:11" x14ac:dyDescent="0.3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58</v>
      </c>
      <c r="G12" s="1" t="s">
        <v>25</v>
      </c>
    </row>
    <row r="13" spans="1:11" x14ac:dyDescent="0.35">
      <c r="A13" t="s">
        <v>59</v>
      </c>
      <c r="B13" s="2">
        <f>B9*B3</f>
        <v>5494608</v>
      </c>
      <c r="C13" s="2">
        <f>C14/$B$4</f>
        <v>5631973.1999999993</v>
      </c>
      <c r="D13" s="2">
        <f>D14/$B$4</f>
        <v>5772772.5299999993</v>
      </c>
      <c r="E13" s="2">
        <f>E14/$B$4</f>
        <v>5917091.843249999</v>
      </c>
      <c r="F13" s="2">
        <f>F14/$B$4</f>
        <v>6065019.1393312486</v>
      </c>
      <c r="G13" t="s">
        <v>60</v>
      </c>
      <c r="K13" t="s">
        <v>61</v>
      </c>
    </row>
    <row r="14" spans="1:11" x14ac:dyDescent="0.35">
      <c r="A14" t="s">
        <v>62</v>
      </c>
      <c r="B14" s="2">
        <f>B13*B4</f>
        <v>1648382.4</v>
      </c>
      <c r="C14" s="2">
        <f t="shared" ref="C14:F15" si="0">B17</f>
        <v>1689591.9599999997</v>
      </c>
      <c r="D14" s="2">
        <f t="shared" si="0"/>
        <v>1731831.7589999998</v>
      </c>
      <c r="E14" s="2">
        <f t="shared" si="0"/>
        <v>1775127.5529749996</v>
      </c>
      <c r="F14" s="2">
        <f t="shared" si="0"/>
        <v>1819505.7417993746</v>
      </c>
      <c r="G14" t="s">
        <v>63</v>
      </c>
      <c r="K14" t="s">
        <v>64</v>
      </c>
    </row>
    <row r="15" spans="1:11" x14ac:dyDescent="0.35">
      <c r="A15" t="s">
        <v>65</v>
      </c>
      <c r="B15" s="2">
        <f>(B13-B14)/B9</f>
        <v>6955.2</v>
      </c>
      <c r="C15" s="2">
        <f t="shared" si="0"/>
        <v>7129.079999999999</v>
      </c>
      <c r="D15" s="2">
        <f t="shared" si="0"/>
        <v>7307.3069999999989</v>
      </c>
      <c r="E15" s="2">
        <f t="shared" si="0"/>
        <v>7489.9896749999989</v>
      </c>
      <c r="F15" s="2">
        <f t="shared" si="0"/>
        <v>7677.2394168749979</v>
      </c>
      <c r="G15" t="s">
        <v>66</v>
      </c>
      <c r="K15" t="s">
        <v>67</v>
      </c>
    </row>
    <row r="17" spans="1:6" x14ac:dyDescent="0.35">
      <c r="A17" t="s">
        <v>68</v>
      </c>
      <c r="B17" s="2">
        <f>$B$14*(1+$B$2)^1</f>
        <v>1689591.9599999997</v>
      </c>
      <c r="C17" s="2">
        <f>$B$14*(1+$B$2)^2</f>
        <v>1731831.7589999998</v>
      </c>
      <c r="D17" s="2">
        <f>$B$14*(1+$B$2)^3</f>
        <v>1775127.5529749996</v>
      </c>
      <c r="E17" s="2">
        <f>$B$14*(1+$B$2)^4</f>
        <v>1819505.7417993746</v>
      </c>
      <c r="F17" s="2">
        <f>$B$14*(1+$B$2)^5</f>
        <v>1864993.3853443586</v>
      </c>
    </row>
    <row r="18" spans="1:6" x14ac:dyDescent="0.35">
      <c r="A18" t="s">
        <v>69</v>
      </c>
      <c r="B18" s="2">
        <f>$B$15*(1+$B$2)^1</f>
        <v>7129.079999999999</v>
      </c>
      <c r="C18" s="2">
        <f>$B$15*(1+$B$2)^2</f>
        <v>7307.3069999999989</v>
      </c>
      <c r="D18" s="2">
        <f>$B$15*(1+$B$2)^3</f>
        <v>7489.9896749999989</v>
      </c>
      <c r="E18" s="2">
        <f>$B$15*(1+$B$2)^4</f>
        <v>7677.2394168749979</v>
      </c>
      <c r="F18" s="2">
        <f>$B$15*(1+$B$2)^5</f>
        <v>7869.1704022968725</v>
      </c>
    </row>
    <row r="19" spans="1:6" x14ac:dyDescent="0.35">
      <c r="A19" t="s">
        <v>70</v>
      </c>
      <c r="B19" s="2">
        <f>B17*($B$7/$B$9)</f>
        <v>785217.23999999987</v>
      </c>
      <c r="C19" s="2">
        <f>C17*($B$7/$B$9)</f>
        <v>804847.67099999997</v>
      </c>
      <c r="D19" s="2">
        <f>D17*($B$7/$B$9)</f>
        <v>824968.86277499993</v>
      </c>
      <c r="E19" s="2">
        <f>E17*($B$7/$B$9)</f>
        <v>845593.08434437483</v>
      </c>
      <c r="F19" s="2">
        <f>F17*($B$7/$B$9)</f>
        <v>866732.91145298409</v>
      </c>
    </row>
    <row r="20" spans="1:6" x14ac:dyDescent="0.35">
      <c r="A20" t="s">
        <v>71</v>
      </c>
      <c r="B20" s="2">
        <f>B17*($B$8/$B$9)</f>
        <v>904374.71999999986</v>
      </c>
      <c r="C20" s="2">
        <f>C17*($B$8/$B$9)</f>
        <v>926984.08799999999</v>
      </c>
      <c r="D20" s="2">
        <f>D17*($B$8/$B$9)</f>
        <v>950158.69019999984</v>
      </c>
      <c r="E20" s="2">
        <f>E17*($B$8/$B$9)</f>
        <v>973912.65745499986</v>
      </c>
      <c r="F20" s="2">
        <f>F17*($B$8/$B$9)</f>
        <v>998260.47389137466</v>
      </c>
    </row>
    <row r="21" spans="1:6" x14ac:dyDescent="0.35">
      <c r="A21" t="s">
        <v>72</v>
      </c>
      <c r="B21" s="4">
        <v>1200000</v>
      </c>
    </row>
    <row r="22" spans="1:6" x14ac:dyDescent="0.35">
      <c r="A22" t="s">
        <v>73</v>
      </c>
      <c r="B22" s="4">
        <v>0.75</v>
      </c>
    </row>
    <row r="24" spans="1:6" x14ac:dyDescent="0.35">
      <c r="A24" s="1" t="s">
        <v>25</v>
      </c>
    </row>
    <row r="25" spans="1:6" x14ac:dyDescent="0.35">
      <c r="A25" s="3" t="s">
        <v>74</v>
      </c>
    </row>
    <row r="26" spans="1:6" x14ac:dyDescent="0.35">
      <c r="A26" t="s">
        <v>75</v>
      </c>
      <c r="B26">
        <v>5113</v>
      </c>
      <c r="C26" t="s">
        <v>76</v>
      </c>
    </row>
    <row r="27" spans="1:6" x14ac:dyDescent="0.35">
      <c r="A27" t="s">
        <v>77</v>
      </c>
      <c r="B27">
        <v>0.02</v>
      </c>
      <c r="C27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"/>
  <sheetViews>
    <sheetView zoomScale="90" zoomScaleNormal="90" workbookViewId="0">
      <selection activeCell="D2" sqref="D2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5.26953125" bestFit="1" customWidth="1"/>
    <col min="6" max="6" width="7.08984375" bestFit="1" customWidth="1"/>
    <col min="7" max="7" width="5.54296875" bestFit="1" customWidth="1"/>
    <col min="8" max="8" width="7.1796875" bestFit="1" customWidth="1"/>
  </cols>
  <sheetData>
    <row r="1" spans="1:9" x14ac:dyDescent="0.35">
      <c r="A1" s="1" t="s">
        <v>17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t="s">
        <v>85</v>
      </c>
      <c r="I1" t="s">
        <v>86</v>
      </c>
    </row>
    <row r="2" spans="1:9" x14ac:dyDescent="0.35">
      <c r="A2" t="s">
        <v>20</v>
      </c>
      <c r="B2" s="2">
        <f>BaselineCalc!B18</f>
        <v>7129.079999999999</v>
      </c>
      <c r="C2" s="2">
        <f>BaselineCalc!B19</f>
        <v>785217.23999999987</v>
      </c>
      <c r="D2" s="2">
        <f>BaselineCalc!B20</f>
        <v>904374.71999999986</v>
      </c>
      <c r="E2" s="4">
        <v>1000</v>
      </c>
      <c r="F2" s="4">
        <v>0.4</v>
      </c>
      <c r="G2" s="4">
        <v>0.4</v>
      </c>
      <c r="H2">
        <v>1</v>
      </c>
      <c r="I2">
        <f>BaselineCalc!$B$26*(1+BaselineCalc!$B$27)^(H2-1)</f>
        <v>5113</v>
      </c>
    </row>
    <row r="3" spans="1:9" x14ac:dyDescent="0.35">
      <c r="A3" t="s">
        <v>21</v>
      </c>
      <c r="B3" s="2">
        <f>BaselineCalc!C18</f>
        <v>7307.3069999999989</v>
      </c>
      <c r="C3" s="2">
        <f>BaselineCalc!C19</f>
        <v>804847.67099999997</v>
      </c>
      <c r="D3" s="2">
        <f>BaselineCalc!C20</f>
        <v>926984.08799999999</v>
      </c>
      <c r="E3" s="4">
        <v>800</v>
      </c>
      <c r="F3" s="4">
        <v>0.3</v>
      </c>
      <c r="G3" s="4">
        <v>0.35</v>
      </c>
      <c r="H3">
        <v>2</v>
      </c>
      <c r="I3">
        <f>BaselineCalc!$B$26*(1+BaselineCalc!$B$27)^(H3-1)</f>
        <v>5215.26</v>
      </c>
    </row>
    <row r="4" spans="1:9" x14ac:dyDescent="0.35">
      <c r="A4" t="s">
        <v>22</v>
      </c>
      <c r="B4" s="2">
        <f>BaselineCalc!D18</f>
        <v>7489.9896749999989</v>
      </c>
      <c r="C4" s="2">
        <f>BaselineCalc!D19</f>
        <v>824968.86277499993</v>
      </c>
      <c r="D4" s="2">
        <f>BaselineCalc!D20</f>
        <v>950158.69019999984</v>
      </c>
      <c r="E4" s="4">
        <v>600</v>
      </c>
      <c r="F4" s="4">
        <v>0.2</v>
      </c>
      <c r="G4" s="4">
        <v>0.3</v>
      </c>
      <c r="H4">
        <v>3</v>
      </c>
      <c r="I4">
        <f>BaselineCalc!$B$26*(1+BaselineCalc!$B$27)^(H4-1)</f>
        <v>5319.5652</v>
      </c>
    </row>
    <row r="5" spans="1:9" x14ac:dyDescent="0.35">
      <c r="A5" t="s">
        <v>23</v>
      </c>
      <c r="B5" s="2">
        <f>BaselineCalc!E18</f>
        <v>7677.2394168749979</v>
      </c>
      <c r="C5" s="2">
        <f>BaselineCalc!E19</f>
        <v>845593.08434437483</v>
      </c>
      <c r="D5" s="2">
        <f>BaselineCalc!E20</f>
        <v>973912.65745499986</v>
      </c>
      <c r="E5" s="4">
        <v>400</v>
      </c>
      <c r="F5" s="4">
        <v>0.1</v>
      </c>
      <c r="G5" s="4">
        <v>0.25</v>
      </c>
      <c r="H5">
        <v>4</v>
      </c>
      <c r="I5">
        <f>BaselineCalc!$B$26*(1+BaselineCalc!$B$27)^(H5-1)</f>
        <v>5425.9565039999998</v>
      </c>
    </row>
    <row r="6" spans="1:9" x14ac:dyDescent="0.35">
      <c r="A6" t="s">
        <v>24</v>
      </c>
      <c r="B6" s="2">
        <f>BaselineCalc!F18</f>
        <v>7869.1704022968725</v>
      </c>
      <c r="C6" s="2">
        <f>BaselineCalc!F19</f>
        <v>866732.91145298409</v>
      </c>
      <c r="D6" s="2">
        <f>BaselineCalc!F20</f>
        <v>998260.47389137466</v>
      </c>
      <c r="E6" s="4">
        <v>300</v>
      </c>
      <c r="F6" s="4">
        <v>0</v>
      </c>
      <c r="G6" s="4">
        <v>0.2</v>
      </c>
      <c r="H6">
        <v>5</v>
      </c>
      <c r="I6">
        <f>BaselineCalc!$B$26*(1+BaselineCalc!$B$27)^(H6-1)</f>
        <v>5534.4756340799995</v>
      </c>
    </row>
  </sheetData>
  <pageMargins left="0.75" right="0.75" top="1" bottom="1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61"/>
  <sheetViews>
    <sheetView zoomScale="60" zoomScaleNormal="60" workbookViewId="0">
      <pane xSplit="2" ySplit="1" topLeftCell="L2" activePane="bottomRight" state="frozen"/>
      <selection pane="topRight" activeCell="B1" sqref="B1"/>
      <selection pane="bottomLeft" activeCell="A2" sqref="A2"/>
      <selection pane="bottomRight" activeCell="AB2" sqref="AB2"/>
    </sheetView>
  </sheetViews>
  <sheetFormatPr defaultRowHeight="14.5" x14ac:dyDescent="0.35"/>
  <cols>
    <col min="2" max="2" width="22.81640625" bestFit="1" customWidth="1"/>
    <col min="4" max="4" width="10.26953125" bestFit="1" customWidth="1"/>
    <col min="5" max="6" width="10.54296875" bestFit="1" customWidth="1"/>
    <col min="7" max="9" width="13.08984375" bestFit="1" customWidth="1"/>
    <col min="10" max="10" width="9.6328125" bestFit="1" customWidth="1"/>
    <col min="11" max="11" width="9.1796875" bestFit="1" customWidth="1"/>
    <col min="12" max="12" width="18" bestFit="1" customWidth="1"/>
    <col min="13" max="13" width="18.26953125" bestFit="1" customWidth="1"/>
    <col min="14" max="14" width="14.36328125" bestFit="1" customWidth="1"/>
    <col min="15" max="15" width="13.6328125" bestFit="1" customWidth="1"/>
    <col min="16" max="16" width="5.453125" bestFit="1" customWidth="1"/>
    <col min="17" max="17" width="9.08984375" bestFit="1" customWidth="1"/>
    <col min="18" max="19" width="13.08984375" bestFit="1" customWidth="1"/>
    <col min="20" max="20" width="12.6328125" bestFit="1" customWidth="1"/>
    <col min="21" max="22" width="13.08984375" bestFit="1" customWidth="1"/>
    <col min="23" max="23" width="16.54296875" bestFit="1" customWidth="1"/>
    <col min="24" max="24" width="24.453125" bestFit="1" customWidth="1"/>
    <col min="26" max="26" width="12.6328125" bestFit="1" customWidth="1"/>
    <col min="27" max="27" width="17.54296875" bestFit="1" customWidth="1"/>
  </cols>
  <sheetData>
    <row r="1" spans="1:28" x14ac:dyDescent="0.35">
      <c r="A1" t="str">
        <f t="shared" ref="A1:A32" si="0">Y1</f>
        <v>Key</v>
      </c>
      <c r="B1" s="1" t="s">
        <v>87</v>
      </c>
      <c r="C1" s="1" t="s">
        <v>17</v>
      </c>
      <c r="D1" s="1" t="s">
        <v>135</v>
      </c>
      <c r="E1" s="1" t="s">
        <v>136</v>
      </c>
      <c r="F1" s="1" t="s">
        <v>137</v>
      </c>
      <c r="G1" s="1" t="s">
        <v>79</v>
      </c>
      <c r="H1" s="1" t="s">
        <v>80</v>
      </c>
      <c r="I1" s="1" t="s">
        <v>81</v>
      </c>
      <c r="J1" s="1" t="s">
        <v>139</v>
      </c>
      <c r="K1" s="1" t="s">
        <v>93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82</v>
      </c>
      <c r="Q1" s="1" t="s">
        <v>144</v>
      </c>
      <c r="R1" s="1" t="s">
        <v>145</v>
      </c>
      <c r="S1" s="1" t="s">
        <v>146</v>
      </c>
      <c r="T1" s="1" t="s">
        <v>147</v>
      </c>
      <c r="U1" s="1" t="s">
        <v>148</v>
      </c>
      <c r="V1" s="1" t="s">
        <v>149</v>
      </c>
      <c r="W1" s="1" t="s">
        <v>150</v>
      </c>
      <c r="X1" s="1" t="s">
        <v>151</v>
      </c>
      <c r="Y1" s="1" t="s">
        <v>138</v>
      </c>
      <c r="Z1" t="s">
        <v>152</v>
      </c>
      <c r="AA1" t="s">
        <v>153</v>
      </c>
      <c r="AB1" t="s">
        <v>154</v>
      </c>
    </row>
    <row r="2" spans="1:28" x14ac:dyDescent="0.35">
      <c r="A2" t="str">
        <f t="shared" si="0"/>
        <v>D_Grow_Both_0|FY2026</v>
      </c>
      <c r="B2" t="str">
        <f>Scenarios!A2</f>
        <v>D_Grow_Both_0</v>
      </c>
      <c r="C2" t="s">
        <v>20</v>
      </c>
      <c r="D2">
        <f>IF(Scenarios!D2=1,0, L2)</f>
        <v>257</v>
      </c>
      <c r="E2">
        <f>IF(Scenarios!E2=1,0, M2)</f>
        <v>296</v>
      </c>
      <c r="F2">
        <f t="shared" ref="F2:F33" si="1">D2+E2</f>
        <v>553</v>
      </c>
      <c r="G2" s="2">
        <f>YearMap!B2</f>
        <v>7129.079999999999</v>
      </c>
      <c r="H2" s="2">
        <f>YearMap!C2</f>
        <v>785217.23999999987</v>
      </c>
      <c r="I2" s="2">
        <f>YearMap!D2</f>
        <v>904374.71999999986</v>
      </c>
      <c r="J2">
        <f>1-BaselineCalc!$B$5</f>
        <v>0.99299999999999999</v>
      </c>
      <c r="K2">
        <f>Scenarios!G2</f>
        <v>0</v>
      </c>
      <c r="L2">
        <f>BaselineCalc!$B$7 + ROUND(Scenarios!I2*Scenarios!F2,0)</f>
        <v>257</v>
      </c>
      <c r="M2">
        <f>BaselineCalc!$B$8 + Scenarios!I2 - ROUND(Scenarios!I2*Scenarios!F2,0)</f>
        <v>296</v>
      </c>
      <c r="N2" s="7">
        <f t="shared" ref="N2:N33" si="2">(L2-D2) + (M2-E2)</f>
        <v>0</v>
      </c>
      <c r="O2" s="7">
        <f>BaselineCalc!$B$22 * N2</f>
        <v>0</v>
      </c>
      <c r="P2">
        <f>YearMap!E2</f>
        <v>1000</v>
      </c>
      <c r="Q2">
        <f>IF(Scenarios!N2="lease", YearMap!F2, YearMap!G2)</f>
        <v>0.4</v>
      </c>
      <c r="R2" s="2">
        <f>IF(Scenarios!D2=1, Q2*H2, H2)</f>
        <v>785217.23999999987</v>
      </c>
      <c r="S2" s="2">
        <f>IF(Scenarios!E2=1, Q2*I2, I2)</f>
        <v>904374.71999999986</v>
      </c>
      <c r="T2" s="2">
        <f>IF(C2="FY2026", (Scenarios!D2+Scenarios!E2)*BaselineCalc!$B$21, 0)</f>
        <v>0</v>
      </c>
      <c r="U2" s="2">
        <f t="shared" ref="U2:U33" si="3">(R2+S2+G2*F2)*J2*(1-K2)</f>
        <v>5592549.3875999991</v>
      </c>
      <c r="V2" s="2">
        <f t="shared" ref="V2:V33" si="4">O2*(G2+P2)</f>
        <v>0</v>
      </c>
      <c r="W2" s="2">
        <f t="shared" ref="W2:W33" si="5">U2+V2+T2</f>
        <v>5592549.3875999991</v>
      </c>
      <c r="X2" s="2">
        <f t="shared" ref="X2:X33" si="6">IF(F2+O2&gt;0, W2/(F2+O2),"")</f>
        <v>10113.109199999999</v>
      </c>
      <c r="Y2" t="str">
        <f t="shared" ref="Y2:Y33" si="7">B2&amp;"|"&amp;C2</f>
        <v>D_Grow_Both_0|FY2026</v>
      </c>
      <c r="Z2">
        <f>INDEX(YearMap!$I$2:$I$6, MATCH(C2, YearMap!$A$2:$A$6, 0))</f>
        <v>5113</v>
      </c>
      <c r="AA2">
        <f t="shared" ref="AA2:AA33" si="8">$W2 - $Z2 * (IF(LEFT($B2,2)="A_", $O2, IF(LEFT($B2,2)="B_", $M2+$O2, IF(LEFT($B2,2)="C_", $L2+$O2, $F2))))</f>
        <v>2765060.3875999991</v>
      </c>
      <c r="AB2">
        <f t="shared" ref="AB2:AB33" si="9">IF((IF(LEFT($B2,2)="A_", $O2, IF(LEFT($B2,2)="B_", $M2+$O2, IF(LEFT($B2,2)="C_", $L2+$O2, $F2))))&gt;0, $AA2 / (IF(LEFT($B2,2)="A_", $O2, IF(LEFT($B2,2)="B_", $M2+$O2, IF(LEFT($B2,2)="C_", $L2+$O2, $F2)))), "")</f>
        <v>5000.1091999999981</v>
      </c>
    </row>
    <row r="3" spans="1:28" x14ac:dyDescent="0.35">
      <c r="A3" t="str">
        <f t="shared" si="0"/>
        <v>D_Grow_Both_0|FY2027</v>
      </c>
      <c r="B3" t="str">
        <f>Scenarios!A2</f>
        <v>D_Grow_Both_0</v>
      </c>
      <c r="C3" t="s">
        <v>21</v>
      </c>
      <c r="D3">
        <f>IF(Scenarios!D2=1,0, L3)</f>
        <v>257</v>
      </c>
      <c r="E3">
        <f>IF(Scenarios!E2=1,0, M3)</f>
        <v>296</v>
      </c>
      <c r="F3">
        <f t="shared" si="1"/>
        <v>553</v>
      </c>
      <c r="G3" s="2">
        <f>YearMap!B3</f>
        <v>7307.3069999999989</v>
      </c>
      <c r="H3" s="2">
        <f>YearMap!C3</f>
        <v>804847.67099999997</v>
      </c>
      <c r="I3" s="2">
        <f>YearMap!D3</f>
        <v>926984.08799999999</v>
      </c>
      <c r="J3">
        <f>1-BaselineCalc!$B$5</f>
        <v>0.99299999999999999</v>
      </c>
      <c r="K3">
        <f>Scenarios!G2</f>
        <v>0</v>
      </c>
      <c r="L3">
        <f>BaselineCalc!$B$7 + ROUND(Scenarios!J2*Scenarios!F2,0)</f>
        <v>257</v>
      </c>
      <c r="M3">
        <f>BaselineCalc!$B$8 + Scenarios!J2 - ROUND(Scenarios!J2*Scenarios!F2,0)</f>
        <v>296</v>
      </c>
      <c r="N3" s="7">
        <f t="shared" si="2"/>
        <v>0</v>
      </c>
      <c r="O3" s="7">
        <f>BaselineCalc!$B$22 * N3</f>
        <v>0</v>
      </c>
      <c r="P3">
        <f>YearMap!E3</f>
        <v>800</v>
      </c>
      <c r="Q3">
        <f>IF(Scenarios!N2="lease", YearMap!F3, YearMap!G3)</f>
        <v>0.35</v>
      </c>
      <c r="R3" s="2">
        <f>IF(Scenarios!D2=1, Q3*H3, H3)</f>
        <v>804847.67099999997</v>
      </c>
      <c r="S3" s="2">
        <f>IF(Scenarios!E2=1, Q3*I3, I3)</f>
        <v>926984.08799999999</v>
      </c>
      <c r="T3" s="2">
        <f>IF(C3="FY2026", (Scenarios!D2+Scenarios!E2)*BaselineCalc!$B$21, 0)</f>
        <v>0</v>
      </c>
      <c r="U3" s="2">
        <f t="shared" si="3"/>
        <v>5732363.1222899994</v>
      </c>
      <c r="V3" s="2">
        <f t="shared" si="4"/>
        <v>0</v>
      </c>
      <c r="W3" s="2">
        <f t="shared" si="5"/>
        <v>5732363.1222899994</v>
      </c>
      <c r="X3" s="2">
        <f t="shared" si="6"/>
        <v>10365.936929999998</v>
      </c>
      <c r="Y3" t="str">
        <f t="shared" si="7"/>
        <v>D_Grow_Both_0|FY2027</v>
      </c>
      <c r="Z3">
        <f>INDEX(YearMap!$I$2:$I$6, MATCH(C3, YearMap!$A$2:$A$6, 0))</f>
        <v>5215.26</v>
      </c>
      <c r="AA3">
        <f t="shared" si="8"/>
        <v>2848324.3422899991</v>
      </c>
      <c r="AB3">
        <f t="shared" si="9"/>
        <v>5150.6769299999987</v>
      </c>
    </row>
    <row r="4" spans="1:28" x14ac:dyDescent="0.35">
      <c r="A4" t="str">
        <f t="shared" si="0"/>
        <v>D_Grow_Both_0|FY2028</v>
      </c>
      <c r="B4" t="str">
        <f>Scenarios!A2</f>
        <v>D_Grow_Both_0</v>
      </c>
      <c r="C4" t="s">
        <v>22</v>
      </c>
      <c r="D4">
        <f>IF(Scenarios!D2=1,0, L4)</f>
        <v>257</v>
      </c>
      <c r="E4">
        <f>IF(Scenarios!E2=1,0, M4)</f>
        <v>296</v>
      </c>
      <c r="F4">
        <f t="shared" si="1"/>
        <v>553</v>
      </c>
      <c r="G4" s="2">
        <f>YearMap!B4</f>
        <v>7489.9896749999989</v>
      </c>
      <c r="H4" s="2">
        <f>YearMap!C4</f>
        <v>824968.86277499993</v>
      </c>
      <c r="I4" s="2">
        <f>YearMap!D4</f>
        <v>950158.69019999984</v>
      </c>
      <c r="J4">
        <f>1-BaselineCalc!$B$5</f>
        <v>0.99299999999999999</v>
      </c>
      <c r="K4">
        <f>Scenarios!G2</f>
        <v>0</v>
      </c>
      <c r="L4">
        <f>BaselineCalc!$B$7 + ROUND(Scenarios!K2*Scenarios!F2,0)</f>
        <v>257</v>
      </c>
      <c r="M4">
        <f>BaselineCalc!$B$8 + Scenarios!K2 - ROUND(Scenarios!K2*Scenarios!F2,0)</f>
        <v>296</v>
      </c>
      <c r="N4" s="7">
        <f t="shared" si="2"/>
        <v>0</v>
      </c>
      <c r="O4" s="7">
        <f>BaselineCalc!$B$22 * N4</f>
        <v>0</v>
      </c>
      <c r="P4">
        <f>YearMap!E4</f>
        <v>600</v>
      </c>
      <c r="Q4">
        <f>IF(Scenarios!N2="lease", YearMap!F4, YearMap!G4)</f>
        <v>0.3</v>
      </c>
      <c r="R4" s="2">
        <f>IF(Scenarios!D2=1, Q4*H4, H4)</f>
        <v>824968.86277499993</v>
      </c>
      <c r="S4" s="2">
        <f>IF(Scenarios!E2=1, Q4*I4, I4)</f>
        <v>950158.69019999984</v>
      </c>
      <c r="T4" s="2">
        <f>IF(C4="FY2026", (Scenarios!D2+Scenarios!E2)*BaselineCalc!$B$21, 0)</f>
        <v>0</v>
      </c>
      <c r="U4" s="2">
        <f t="shared" si="3"/>
        <v>5875672.2003472494</v>
      </c>
      <c r="V4" s="2">
        <f t="shared" si="4"/>
        <v>0</v>
      </c>
      <c r="W4" s="2">
        <f t="shared" si="5"/>
        <v>5875672.2003472494</v>
      </c>
      <c r="X4" s="2">
        <f t="shared" si="6"/>
        <v>10625.085353249999</v>
      </c>
      <c r="Y4" t="str">
        <f t="shared" si="7"/>
        <v>D_Grow_Both_0|FY2028</v>
      </c>
      <c r="Z4">
        <f>INDEX(YearMap!$I$2:$I$6, MATCH(C4, YearMap!$A$2:$A$6, 0))</f>
        <v>5319.5652</v>
      </c>
      <c r="AA4">
        <f t="shared" si="8"/>
        <v>2933952.6447472493</v>
      </c>
      <c r="AB4">
        <f t="shared" si="9"/>
        <v>5305.5201532499987</v>
      </c>
    </row>
    <row r="5" spans="1:28" x14ac:dyDescent="0.35">
      <c r="A5" t="str">
        <f t="shared" si="0"/>
        <v>D_Grow_Both_0|FY2029</v>
      </c>
      <c r="B5" t="str">
        <f>Scenarios!A2</f>
        <v>D_Grow_Both_0</v>
      </c>
      <c r="C5" t="s">
        <v>23</v>
      </c>
      <c r="D5">
        <f>IF(Scenarios!D2=1,0, L5)</f>
        <v>257</v>
      </c>
      <c r="E5">
        <f>IF(Scenarios!E2=1,0, M5)</f>
        <v>296</v>
      </c>
      <c r="F5">
        <f t="shared" si="1"/>
        <v>553</v>
      </c>
      <c r="G5" s="2">
        <f>YearMap!B5</f>
        <v>7677.2394168749979</v>
      </c>
      <c r="H5" s="2">
        <f>YearMap!C5</f>
        <v>845593.08434437483</v>
      </c>
      <c r="I5" s="2">
        <f>YearMap!D5</f>
        <v>973912.65745499986</v>
      </c>
      <c r="J5">
        <f>1-BaselineCalc!$B$5</f>
        <v>0.99299999999999999</v>
      </c>
      <c r="K5">
        <f>Scenarios!G2</f>
        <v>0</v>
      </c>
      <c r="L5">
        <f>BaselineCalc!$B$7 + ROUND(Scenarios!L2*Scenarios!F2,0)</f>
        <v>257</v>
      </c>
      <c r="M5">
        <f>BaselineCalc!$B$8 + Scenarios!L2 - ROUND(Scenarios!L2*Scenarios!F2,0)</f>
        <v>296</v>
      </c>
      <c r="N5" s="7">
        <f t="shared" si="2"/>
        <v>0</v>
      </c>
      <c r="O5" s="7">
        <f>BaselineCalc!$B$22 * N5</f>
        <v>0</v>
      </c>
      <c r="P5">
        <f>YearMap!E5</f>
        <v>400</v>
      </c>
      <c r="Q5">
        <f>IF(Scenarios!N2="lease", YearMap!F5, YearMap!G5)</f>
        <v>0.25</v>
      </c>
      <c r="R5" s="2">
        <f>IF(Scenarios!D2=1, Q5*H5, H5)</f>
        <v>845593.08434437483</v>
      </c>
      <c r="S5" s="2">
        <f>IF(Scenarios!E2=1, Q5*I5, I5)</f>
        <v>973912.65745499986</v>
      </c>
      <c r="T5" s="2">
        <f>IF(C5="FY2026", (Scenarios!D2+Scenarios!E2)*BaselineCalc!$B$21, 0)</f>
        <v>0</v>
      </c>
      <c r="U5" s="2">
        <f t="shared" si="3"/>
        <v>6022564.005355929</v>
      </c>
      <c r="V5" s="2">
        <f t="shared" si="4"/>
        <v>0</v>
      </c>
      <c r="W5" s="2">
        <f t="shared" si="5"/>
        <v>6022564.005355929</v>
      </c>
      <c r="X5" s="2">
        <f t="shared" si="6"/>
        <v>10890.712487081246</v>
      </c>
      <c r="Y5" t="str">
        <f t="shared" si="7"/>
        <v>D_Grow_Both_0|FY2029</v>
      </c>
      <c r="Z5">
        <f>INDEX(YearMap!$I$2:$I$6, MATCH(C5, YearMap!$A$2:$A$6, 0))</f>
        <v>5425.9565039999998</v>
      </c>
      <c r="AA5">
        <f t="shared" si="8"/>
        <v>3022010.0586439292</v>
      </c>
      <c r="AB5">
        <f t="shared" si="9"/>
        <v>5464.7559830812461</v>
      </c>
    </row>
    <row r="6" spans="1:28" x14ac:dyDescent="0.35">
      <c r="A6" t="str">
        <f t="shared" si="0"/>
        <v>D_Grow_Both_0|FY2030</v>
      </c>
      <c r="B6" t="str">
        <f>Scenarios!A2</f>
        <v>D_Grow_Both_0</v>
      </c>
      <c r="C6" t="s">
        <v>24</v>
      </c>
      <c r="D6">
        <f>IF(Scenarios!D2=1,0, L6)</f>
        <v>257</v>
      </c>
      <c r="E6">
        <f>IF(Scenarios!E2=1,0, M6)</f>
        <v>296</v>
      </c>
      <c r="F6">
        <f t="shared" si="1"/>
        <v>553</v>
      </c>
      <c r="G6" s="2">
        <f>YearMap!B6</f>
        <v>7869.1704022968725</v>
      </c>
      <c r="H6" s="2">
        <f>YearMap!C6</f>
        <v>866732.91145298409</v>
      </c>
      <c r="I6" s="2">
        <f>YearMap!D6</f>
        <v>998260.47389137466</v>
      </c>
      <c r="J6">
        <f>1-BaselineCalc!$B$5</f>
        <v>0.99299999999999999</v>
      </c>
      <c r="K6">
        <f>Scenarios!G2</f>
        <v>0</v>
      </c>
      <c r="L6">
        <f>BaselineCalc!$B$7 + ROUND(Scenarios!M2*Scenarios!F2,0)</f>
        <v>257</v>
      </c>
      <c r="M6">
        <f>BaselineCalc!$B$8 + Scenarios!M2 - ROUND(Scenarios!M2*Scenarios!F2,0)</f>
        <v>296</v>
      </c>
      <c r="N6" s="7">
        <f t="shared" si="2"/>
        <v>0</v>
      </c>
      <c r="O6" s="7">
        <f>BaselineCalc!$B$22 * N6</f>
        <v>0</v>
      </c>
      <c r="P6">
        <f>YearMap!E6</f>
        <v>300</v>
      </c>
      <c r="Q6">
        <f>IF(Scenarios!N2="lease", YearMap!F6, YearMap!G6)</f>
        <v>0.2</v>
      </c>
      <c r="R6" s="2">
        <f>IF(Scenarios!D2=1, Q6*H6, H6)</f>
        <v>866732.91145298409</v>
      </c>
      <c r="S6" s="2">
        <f>IF(Scenarios!E2=1, Q6*I6, I6)</f>
        <v>998260.47389137466</v>
      </c>
      <c r="T6" s="2">
        <f>IF(C6="FY2026", (Scenarios!D2+Scenarios!E2)*BaselineCalc!$B$21, 0)</f>
        <v>0</v>
      </c>
      <c r="U6" s="2">
        <f t="shared" si="3"/>
        <v>6173128.1054898277</v>
      </c>
      <c r="V6" s="2">
        <f t="shared" si="4"/>
        <v>0</v>
      </c>
      <c r="W6" s="2">
        <f t="shared" si="5"/>
        <v>6173128.1054898277</v>
      </c>
      <c r="X6" s="2">
        <f t="shared" si="6"/>
        <v>11162.980299258277</v>
      </c>
      <c r="Y6" t="str">
        <f t="shared" si="7"/>
        <v>D_Grow_Both_0|FY2030</v>
      </c>
      <c r="Z6">
        <f>INDEX(YearMap!$I$2:$I$6, MATCH(C6, YearMap!$A$2:$A$6, 0))</f>
        <v>5534.4756340799995</v>
      </c>
      <c r="AA6">
        <f t="shared" si="8"/>
        <v>3112563.0798435882</v>
      </c>
      <c r="AB6">
        <f t="shared" si="9"/>
        <v>5628.5046651782786</v>
      </c>
    </row>
    <row r="7" spans="1:28" x14ac:dyDescent="0.35">
      <c r="A7" t="str">
        <f t="shared" si="0"/>
        <v>E_StatusQuo_Targets_0|FY2026</v>
      </c>
      <c r="B7" t="str">
        <f>Scenarios!A3</f>
        <v>E_StatusQuo_Targets_0</v>
      </c>
      <c r="C7" t="s">
        <v>20</v>
      </c>
      <c r="D7">
        <f>IF(Scenarios!D3=1,0, L7)</f>
        <v>257</v>
      </c>
      <c r="E7">
        <f>IF(Scenarios!E3=1,0, M7)</f>
        <v>296</v>
      </c>
      <c r="F7">
        <f t="shared" si="1"/>
        <v>553</v>
      </c>
      <c r="G7" s="2">
        <f>YearMap!B2</f>
        <v>7129.079999999999</v>
      </c>
      <c r="H7" s="2">
        <f>YearMap!C2</f>
        <v>785217.23999999987</v>
      </c>
      <c r="I7" s="2">
        <f>YearMap!D2</f>
        <v>904374.71999999986</v>
      </c>
      <c r="J7">
        <f>1-BaselineCalc!$B$5</f>
        <v>0.99299999999999999</v>
      </c>
      <c r="K7">
        <f>Scenarios!G3</f>
        <v>0</v>
      </c>
      <c r="L7">
        <f>BaselineCalc!$B$7 + ROUND(Scenarios!I3*Scenarios!F3,0)</f>
        <v>257</v>
      </c>
      <c r="M7">
        <f>BaselineCalc!$B$8 + Scenarios!I3 - ROUND(Scenarios!J3*Scenarios!F3,0)</f>
        <v>296</v>
      </c>
      <c r="N7" s="7">
        <f t="shared" si="2"/>
        <v>0</v>
      </c>
      <c r="O7" s="7">
        <f>BaselineCalc!$B$22 * N7</f>
        <v>0</v>
      </c>
      <c r="P7">
        <f>YearMap!E2</f>
        <v>1000</v>
      </c>
      <c r="Q7">
        <f>IF(Scenarios!N3="lease", YearMap!F2, YearMap!G2)</f>
        <v>0.4</v>
      </c>
      <c r="R7" s="2">
        <f>IF(Scenarios!D3=1, Q7*H7, H7)</f>
        <v>785217.23999999987</v>
      </c>
      <c r="S7" s="2">
        <f>IF(Scenarios!E3=1, Q7*I7, I7)</f>
        <v>904374.71999999986</v>
      </c>
      <c r="T7" s="2">
        <f>IF(C7="FY2026", (Scenarios!D3+Scenarios!E3)*BaselineCalc!$B$21, 0)</f>
        <v>0</v>
      </c>
      <c r="U7" s="2">
        <f t="shared" si="3"/>
        <v>5592549.3875999991</v>
      </c>
      <c r="V7" s="2">
        <f t="shared" si="4"/>
        <v>0</v>
      </c>
      <c r="W7" s="2">
        <f t="shared" si="5"/>
        <v>5592549.3875999991</v>
      </c>
      <c r="X7" s="2">
        <f t="shared" si="6"/>
        <v>10113.109199999999</v>
      </c>
      <c r="Y7" t="str">
        <f t="shared" si="7"/>
        <v>E_StatusQuo_Targets_0|FY2026</v>
      </c>
      <c r="Z7">
        <f>INDEX(YearMap!$I$2:$I$6, MATCH(C7, YearMap!$A$2:$A$6, 0))</f>
        <v>5113</v>
      </c>
      <c r="AA7">
        <f t="shared" si="8"/>
        <v>2765060.3875999991</v>
      </c>
      <c r="AB7">
        <f t="shared" si="9"/>
        <v>5000.1091999999981</v>
      </c>
    </row>
    <row r="8" spans="1:28" x14ac:dyDescent="0.35">
      <c r="A8" t="str">
        <f t="shared" si="0"/>
        <v>E_StatusQuo_Targets_0|FY2027</v>
      </c>
      <c r="B8" t="str">
        <f>Scenarios!A3</f>
        <v>E_StatusQuo_Targets_0</v>
      </c>
      <c r="C8" t="s">
        <v>21</v>
      </c>
      <c r="D8">
        <f>IF(Scenarios!D3=1,0, L8)</f>
        <v>257</v>
      </c>
      <c r="E8">
        <f>IF(Scenarios!E3=1,0, M8)</f>
        <v>296</v>
      </c>
      <c r="F8">
        <f t="shared" si="1"/>
        <v>553</v>
      </c>
      <c r="G8" s="2">
        <f>YearMap!B3</f>
        <v>7307.3069999999989</v>
      </c>
      <c r="H8" s="2">
        <f>YearMap!C3</f>
        <v>804847.67099999997</v>
      </c>
      <c r="I8" s="2">
        <f>YearMap!D3</f>
        <v>926984.08799999999</v>
      </c>
      <c r="J8">
        <f>1-BaselineCalc!$B$5</f>
        <v>0.99299999999999999</v>
      </c>
      <c r="K8">
        <f>Scenarios!G3</f>
        <v>0</v>
      </c>
      <c r="L8">
        <f>BaselineCalc!$B$7 + ROUND(Scenarios!J3*Scenarios!F3,0)</f>
        <v>257</v>
      </c>
      <c r="M8">
        <f>BaselineCalc!$B$8 + Scenarios!J3 - ROUND(Scenarios!J3*Scenarios!F3,0)</f>
        <v>296</v>
      </c>
      <c r="N8" s="7">
        <f t="shared" si="2"/>
        <v>0</v>
      </c>
      <c r="O8" s="7">
        <f>BaselineCalc!$B$22 * N8</f>
        <v>0</v>
      </c>
      <c r="P8">
        <f>YearMap!E3</f>
        <v>800</v>
      </c>
      <c r="Q8">
        <f>IF(Scenarios!N3="lease", YearMap!F3, YearMap!G3)</f>
        <v>0.35</v>
      </c>
      <c r="R8" s="2">
        <f>IF(Scenarios!D3=1, Q8*H8, H8)</f>
        <v>804847.67099999997</v>
      </c>
      <c r="S8" s="2">
        <f>IF(Scenarios!E3=1, Q8*I8, I8)</f>
        <v>926984.08799999999</v>
      </c>
      <c r="T8" s="2">
        <f>IF(C8="FY2026", (Scenarios!D3+Scenarios!E3)*BaselineCalc!$B$21, 0)</f>
        <v>0</v>
      </c>
      <c r="U8" s="2">
        <f t="shared" si="3"/>
        <v>5732363.1222899994</v>
      </c>
      <c r="V8" s="2">
        <f t="shared" si="4"/>
        <v>0</v>
      </c>
      <c r="W8" s="2">
        <f t="shared" si="5"/>
        <v>5732363.1222899994</v>
      </c>
      <c r="X8" s="2">
        <f t="shared" si="6"/>
        <v>10365.936929999998</v>
      </c>
      <c r="Y8" t="str">
        <f t="shared" si="7"/>
        <v>E_StatusQuo_Targets_0|FY2027</v>
      </c>
      <c r="Z8">
        <f>INDEX(YearMap!$I$2:$I$6, MATCH(C8, YearMap!$A$2:$A$6, 0))</f>
        <v>5215.26</v>
      </c>
      <c r="AA8">
        <f t="shared" si="8"/>
        <v>2848324.3422899991</v>
      </c>
      <c r="AB8">
        <f t="shared" si="9"/>
        <v>5150.6769299999987</v>
      </c>
    </row>
    <row r="9" spans="1:28" x14ac:dyDescent="0.35">
      <c r="A9" t="str">
        <f t="shared" si="0"/>
        <v>E_StatusQuo_Targets_0|FY2028</v>
      </c>
      <c r="B9" t="str">
        <f>Scenarios!A3</f>
        <v>E_StatusQuo_Targets_0</v>
      </c>
      <c r="C9" t="s">
        <v>22</v>
      </c>
      <c r="D9">
        <f>IF(Scenarios!D3=1,0, L9)</f>
        <v>257</v>
      </c>
      <c r="E9">
        <f>IF(Scenarios!E3=1,0, M9)</f>
        <v>296</v>
      </c>
      <c r="F9">
        <f t="shared" si="1"/>
        <v>553</v>
      </c>
      <c r="G9" s="2">
        <f>YearMap!B4</f>
        <v>7489.9896749999989</v>
      </c>
      <c r="H9" s="2">
        <f>YearMap!C4</f>
        <v>824968.86277499993</v>
      </c>
      <c r="I9" s="2">
        <f>YearMap!D4</f>
        <v>950158.69019999984</v>
      </c>
      <c r="J9">
        <f>1-BaselineCalc!$B$5</f>
        <v>0.99299999999999999</v>
      </c>
      <c r="K9">
        <f>Scenarios!G3</f>
        <v>0</v>
      </c>
      <c r="L9">
        <f>BaselineCalc!$B$7 + ROUND(Scenarios!K3*Scenarios!F3,0)</f>
        <v>257</v>
      </c>
      <c r="M9">
        <f>BaselineCalc!$B$8 + Scenarios!K3 - ROUND(Scenarios!K3*Scenarios!F3,0)</f>
        <v>296</v>
      </c>
      <c r="N9" s="7">
        <f t="shared" si="2"/>
        <v>0</v>
      </c>
      <c r="O9" s="7">
        <f>BaselineCalc!$B$22 * N9</f>
        <v>0</v>
      </c>
      <c r="P9">
        <f>YearMap!E4</f>
        <v>600</v>
      </c>
      <c r="Q9">
        <f>IF(Scenarios!N3="lease", YearMap!F4, YearMap!G4)</f>
        <v>0.3</v>
      </c>
      <c r="R9" s="2">
        <f>IF(Scenarios!D3=1, Q9*H9, H9)</f>
        <v>824968.86277499993</v>
      </c>
      <c r="S9" s="2">
        <f>IF(Scenarios!E3=1, Q9*I9, I9)</f>
        <v>950158.69019999984</v>
      </c>
      <c r="T9" s="2">
        <f>IF(C9="FY2026", (Scenarios!D3+Scenarios!E3)*BaselineCalc!$B$21, 0)</f>
        <v>0</v>
      </c>
      <c r="U9" s="2">
        <f t="shared" si="3"/>
        <v>5875672.2003472494</v>
      </c>
      <c r="V9" s="2">
        <f t="shared" si="4"/>
        <v>0</v>
      </c>
      <c r="W9" s="2">
        <f t="shared" si="5"/>
        <v>5875672.2003472494</v>
      </c>
      <c r="X9" s="2">
        <f t="shared" si="6"/>
        <v>10625.085353249999</v>
      </c>
      <c r="Y9" t="str">
        <f t="shared" si="7"/>
        <v>E_StatusQuo_Targets_0|FY2028</v>
      </c>
      <c r="Z9">
        <f>INDEX(YearMap!$I$2:$I$6, MATCH(C9, YearMap!$A$2:$A$6, 0))</f>
        <v>5319.5652</v>
      </c>
      <c r="AA9">
        <f t="shared" si="8"/>
        <v>2933952.6447472493</v>
      </c>
      <c r="AB9">
        <f t="shared" si="9"/>
        <v>5305.5201532499987</v>
      </c>
    </row>
    <row r="10" spans="1:28" x14ac:dyDescent="0.35">
      <c r="A10" t="str">
        <f t="shared" si="0"/>
        <v>E_StatusQuo_Targets_0|FY2029</v>
      </c>
      <c r="B10" t="str">
        <f>Scenarios!A3</f>
        <v>E_StatusQuo_Targets_0</v>
      </c>
      <c r="C10" t="s">
        <v>23</v>
      </c>
      <c r="D10">
        <f>IF(Scenarios!D3=1,0, L10)</f>
        <v>257</v>
      </c>
      <c r="E10">
        <f>IF(Scenarios!E3=1,0, M10)</f>
        <v>296</v>
      </c>
      <c r="F10">
        <f t="shared" si="1"/>
        <v>553</v>
      </c>
      <c r="G10" s="2">
        <f>YearMap!B5</f>
        <v>7677.2394168749979</v>
      </c>
      <c r="H10" s="2">
        <f>YearMap!C5</f>
        <v>845593.08434437483</v>
      </c>
      <c r="I10" s="2">
        <f>YearMap!D5</f>
        <v>973912.65745499986</v>
      </c>
      <c r="J10">
        <f>1-BaselineCalc!$B$5</f>
        <v>0.99299999999999999</v>
      </c>
      <c r="K10">
        <f>Scenarios!G3</f>
        <v>0</v>
      </c>
      <c r="L10">
        <f>BaselineCalc!$B$7 + ROUND(Scenarios!L3*Scenarios!F3,0)</f>
        <v>257</v>
      </c>
      <c r="M10">
        <f>BaselineCalc!$B$8 + Scenarios!L3 - ROUND(Scenarios!L3*Scenarios!F3,0)</f>
        <v>296</v>
      </c>
      <c r="N10" s="7">
        <f t="shared" si="2"/>
        <v>0</v>
      </c>
      <c r="O10" s="7">
        <f>BaselineCalc!$B$22 * N10</f>
        <v>0</v>
      </c>
      <c r="P10">
        <f>YearMap!E5</f>
        <v>400</v>
      </c>
      <c r="Q10">
        <f>IF(Scenarios!N3="lease", YearMap!F5, YearMap!G5)</f>
        <v>0.25</v>
      </c>
      <c r="R10" s="2">
        <f>IF(Scenarios!D3=1, Q10*H10, H10)</f>
        <v>845593.08434437483</v>
      </c>
      <c r="S10" s="2">
        <f>IF(Scenarios!E3=1, Q10*I10, I10)</f>
        <v>973912.65745499986</v>
      </c>
      <c r="T10" s="2">
        <f>IF(C10="FY2026", (Scenarios!D3+Scenarios!E3)*BaselineCalc!$B$21, 0)</f>
        <v>0</v>
      </c>
      <c r="U10" s="2">
        <f t="shared" si="3"/>
        <v>6022564.005355929</v>
      </c>
      <c r="V10" s="2">
        <f t="shared" si="4"/>
        <v>0</v>
      </c>
      <c r="W10" s="2">
        <f t="shared" si="5"/>
        <v>6022564.005355929</v>
      </c>
      <c r="X10" s="2">
        <f t="shared" si="6"/>
        <v>10890.712487081246</v>
      </c>
      <c r="Y10" t="str">
        <f t="shared" si="7"/>
        <v>E_StatusQuo_Targets_0|FY2029</v>
      </c>
      <c r="Z10">
        <f>INDEX(YearMap!$I$2:$I$6, MATCH(C10, YearMap!$A$2:$A$6, 0))</f>
        <v>5425.9565039999998</v>
      </c>
      <c r="AA10">
        <f t="shared" si="8"/>
        <v>3022010.0586439292</v>
      </c>
      <c r="AB10">
        <f t="shared" si="9"/>
        <v>5464.7559830812461</v>
      </c>
    </row>
    <row r="11" spans="1:28" x14ac:dyDescent="0.35">
      <c r="A11" t="str">
        <f t="shared" si="0"/>
        <v>E_StatusQuo_Targets_0|FY2030</v>
      </c>
      <c r="B11" t="str">
        <f>Scenarios!A3</f>
        <v>E_StatusQuo_Targets_0</v>
      </c>
      <c r="C11" t="s">
        <v>24</v>
      </c>
      <c r="D11">
        <f>IF(Scenarios!D3=1,0, L11)</f>
        <v>257</v>
      </c>
      <c r="E11">
        <f>IF(Scenarios!E3=1,0, M11)</f>
        <v>296</v>
      </c>
      <c r="F11">
        <f t="shared" si="1"/>
        <v>553</v>
      </c>
      <c r="G11" s="2">
        <f>YearMap!B6</f>
        <v>7869.1704022968725</v>
      </c>
      <c r="H11" s="2">
        <f>YearMap!C6</f>
        <v>866732.91145298409</v>
      </c>
      <c r="I11" s="2">
        <f>YearMap!D6</f>
        <v>998260.47389137466</v>
      </c>
      <c r="J11">
        <f>1-BaselineCalc!$B$5</f>
        <v>0.99299999999999999</v>
      </c>
      <c r="K11">
        <f>Scenarios!G3</f>
        <v>0</v>
      </c>
      <c r="L11">
        <f>BaselineCalc!$B$7 + ROUND(Scenarios!M3*Scenarios!F3,0)</f>
        <v>257</v>
      </c>
      <c r="M11">
        <f>BaselineCalc!$B$8 + Scenarios!M3 - ROUND(Scenarios!M3*Scenarios!F3,0)</f>
        <v>296</v>
      </c>
      <c r="N11" s="7">
        <f t="shared" si="2"/>
        <v>0</v>
      </c>
      <c r="O11" s="7">
        <f>BaselineCalc!$B$22 * N11</f>
        <v>0</v>
      </c>
      <c r="P11">
        <f>YearMap!E6</f>
        <v>300</v>
      </c>
      <c r="Q11">
        <f>IF(Scenarios!N3="lease", YearMap!F6, YearMap!G6)</f>
        <v>0.2</v>
      </c>
      <c r="R11" s="2">
        <f>IF(Scenarios!D3=1, Q11*H11, H11)</f>
        <v>866732.91145298409</v>
      </c>
      <c r="S11" s="2">
        <f>IF(Scenarios!E3=1, Q11*I11, I11)</f>
        <v>998260.47389137466</v>
      </c>
      <c r="T11" s="2">
        <f>IF(C11="FY2026", (Scenarios!D3+Scenarios!E3)*BaselineCalc!$B$21, 0)</f>
        <v>0</v>
      </c>
      <c r="U11" s="2">
        <f t="shared" si="3"/>
        <v>6173128.1054898277</v>
      </c>
      <c r="V11" s="2">
        <f t="shared" si="4"/>
        <v>0</v>
      </c>
      <c r="W11" s="2">
        <f t="shared" si="5"/>
        <v>6173128.1054898277</v>
      </c>
      <c r="X11" s="2">
        <f t="shared" si="6"/>
        <v>11162.980299258277</v>
      </c>
      <c r="Y11" t="str">
        <f t="shared" si="7"/>
        <v>E_StatusQuo_Targets_0|FY2030</v>
      </c>
      <c r="Z11">
        <f>INDEX(YearMap!$I$2:$I$6, MATCH(C11, YearMap!$A$2:$A$6, 0))</f>
        <v>5534.4756340799995</v>
      </c>
      <c r="AA11">
        <f t="shared" si="8"/>
        <v>3112563.0798435882</v>
      </c>
      <c r="AB11">
        <f t="shared" si="9"/>
        <v>5628.5046651782786</v>
      </c>
    </row>
    <row r="12" spans="1:28" x14ac:dyDescent="0.35">
      <c r="A12" t="str">
        <f t="shared" si="0"/>
        <v>F_CoLocation_Echo_0|FY2026</v>
      </c>
      <c r="B12" t="str">
        <f>Scenarios!A4</f>
        <v>F_CoLocation_Echo_0</v>
      </c>
      <c r="C12" t="s">
        <v>20</v>
      </c>
      <c r="D12">
        <f>IF(Scenarios!D4=1,0, L12)</f>
        <v>257</v>
      </c>
      <c r="E12">
        <f>IF(Scenarios!E4=1,0, M12)</f>
        <v>296</v>
      </c>
      <c r="F12">
        <f t="shared" si="1"/>
        <v>553</v>
      </c>
      <c r="G12" s="2">
        <f>YearMap!B2</f>
        <v>7129.079999999999</v>
      </c>
      <c r="H12" s="2">
        <f>YearMap!C2</f>
        <v>785217.23999999987</v>
      </c>
      <c r="I12" s="2">
        <f>YearMap!D2</f>
        <v>904374.71999999986</v>
      </c>
      <c r="J12">
        <f>1-BaselineCalc!$B$5</f>
        <v>0.99299999999999999</v>
      </c>
      <c r="K12">
        <f>Scenarios!G4</f>
        <v>1.4999999999999999E-2</v>
      </c>
      <c r="L12">
        <f>BaselineCalc!$B$7 + ROUND(Scenarios!I4*Scenarios!F4,0)</f>
        <v>257</v>
      </c>
      <c r="M12">
        <f>BaselineCalc!$B$8 + Scenarios!I4 - ROUND(Scenarios!I4*Scenarios!F4,0)</f>
        <v>296</v>
      </c>
      <c r="N12" s="7">
        <f t="shared" si="2"/>
        <v>0</v>
      </c>
      <c r="O12" s="7">
        <f>BaselineCalc!$B$22 * N12</f>
        <v>0</v>
      </c>
      <c r="P12">
        <f>YearMap!E2</f>
        <v>1000</v>
      </c>
      <c r="Q12">
        <f>IF(Scenarios!N4="lease", YearMap!F2, YearMap!G2)</f>
        <v>0.4</v>
      </c>
      <c r="R12" s="2">
        <f>IF(Scenarios!D4=1, Q12*H12, H12)</f>
        <v>785217.23999999987</v>
      </c>
      <c r="S12" s="2">
        <f>IF(Scenarios!E4=1, Q12*I12, I12)</f>
        <v>904374.71999999986</v>
      </c>
      <c r="T12" s="2">
        <f>IF(C12="FY2026", (Scenarios!D4+Scenarios!E4)*BaselineCalc!$B$21, 0)</f>
        <v>0</v>
      </c>
      <c r="U12" s="2">
        <f t="shared" si="3"/>
        <v>5508661.1467859987</v>
      </c>
      <c r="V12" s="2">
        <f t="shared" si="4"/>
        <v>0</v>
      </c>
      <c r="W12" s="2">
        <f t="shared" si="5"/>
        <v>5508661.1467859987</v>
      </c>
      <c r="X12" s="2">
        <f t="shared" si="6"/>
        <v>9961.4125619999977</v>
      </c>
      <c r="Y12" t="str">
        <f t="shared" si="7"/>
        <v>F_CoLocation_Echo_0|FY2026</v>
      </c>
      <c r="Z12">
        <f>INDEX(YearMap!$I$2:$I$6, MATCH(C12, YearMap!$A$2:$A$6, 0))</f>
        <v>5113</v>
      </c>
      <c r="AA12">
        <f t="shared" si="8"/>
        <v>2681172.1467859987</v>
      </c>
      <c r="AB12">
        <f t="shared" si="9"/>
        <v>4848.4125619999977</v>
      </c>
    </row>
    <row r="13" spans="1:28" x14ac:dyDescent="0.35">
      <c r="A13" t="str">
        <f t="shared" si="0"/>
        <v>F_CoLocation_Echo_0|FY2027</v>
      </c>
      <c r="B13" t="str">
        <f>Scenarios!A4</f>
        <v>F_CoLocation_Echo_0</v>
      </c>
      <c r="C13" t="s">
        <v>21</v>
      </c>
      <c r="D13">
        <f>IF(Scenarios!D4=1,0, L13)</f>
        <v>257</v>
      </c>
      <c r="E13">
        <f>IF(Scenarios!E4=1,0, M13)</f>
        <v>296</v>
      </c>
      <c r="F13">
        <f t="shared" si="1"/>
        <v>553</v>
      </c>
      <c r="G13" s="2">
        <f>YearMap!B3</f>
        <v>7307.3069999999989</v>
      </c>
      <c r="H13" s="2">
        <f>YearMap!C3</f>
        <v>804847.67099999997</v>
      </c>
      <c r="I13" s="2">
        <f>YearMap!D3</f>
        <v>926984.08799999999</v>
      </c>
      <c r="J13">
        <f>1-BaselineCalc!$B$5</f>
        <v>0.99299999999999999</v>
      </c>
      <c r="K13">
        <f>Scenarios!G4</f>
        <v>1.4999999999999999E-2</v>
      </c>
      <c r="L13">
        <f>BaselineCalc!$B$7 + ROUND(Scenarios!J4*Scenarios!F4,0)</f>
        <v>257</v>
      </c>
      <c r="M13">
        <f>BaselineCalc!$B$8 + Scenarios!J4 - ROUND(Scenarios!J4*Scenarios!F4,0)</f>
        <v>296</v>
      </c>
      <c r="N13" s="7">
        <f t="shared" si="2"/>
        <v>0</v>
      </c>
      <c r="O13" s="7">
        <f>BaselineCalc!$B$22 * N13</f>
        <v>0</v>
      </c>
      <c r="P13">
        <f>YearMap!E3</f>
        <v>800</v>
      </c>
      <c r="Q13">
        <f>IF(Scenarios!N4="lease", YearMap!F3, YearMap!G3)</f>
        <v>0.35</v>
      </c>
      <c r="R13" s="2">
        <f>IF(Scenarios!D4=1, Q13*H13, H13)</f>
        <v>804847.67099999997</v>
      </c>
      <c r="S13" s="2">
        <f>IF(Scenarios!E4=1, Q13*I13, I13)</f>
        <v>926984.08799999999</v>
      </c>
      <c r="T13" s="2">
        <f>IF(C13="FY2026", (Scenarios!D4+Scenarios!E4)*BaselineCalc!$B$21, 0)</f>
        <v>0</v>
      </c>
      <c r="U13" s="2">
        <f t="shared" si="3"/>
        <v>5646377.6754556494</v>
      </c>
      <c r="V13" s="2">
        <f t="shared" si="4"/>
        <v>0</v>
      </c>
      <c r="W13" s="2">
        <f t="shared" si="5"/>
        <v>5646377.6754556494</v>
      </c>
      <c r="X13" s="2">
        <f t="shared" si="6"/>
        <v>10210.447876049999</v>
      </c>
      <c r="Y13" t="str">
        <f t="shared" si="7"/>
        <v>F_CoLocation_Echo_0|FY2027</v>
      </c>
      <c r="Z13">
        <f>INDEX(YearMap!$I$2:$I$6, MATCH(C13, YearMap!$A$2:$A$6, 0))</f>
        <v>5215.26</v>
      </c>
      <c r="AA13">
        <f t="shared" si="8"/>
        <v>2762338.8954556491</v>
      </c>
      <c r="AB13">
        <f t="shared" si="9"/>
        <v>4995.1878760499985</v>
      </c>
    </row>
    <row r="14" spans="1:28" x14ac:dyDescent="0.35">
      <c r="A14" t="str">
        <f t="shared" si="0"/>
        <v>F_CoLocation_Echo_0|FY2028</v>
      </c>
      <c r="B14" t="str">
        <f>Scenarios!A4</f>
        <v>F_CoLocation_Echo_0</v>
      </c>
      <c r="C14" t="s">
        <v>22</v>
      </c>
      <c r="D14">
        <f>IF(Scenarios!D4=1,0, L14)</f>
        <v>257</v>
      </c>
      <c r="E14">
        <f>IF(Scenarios!E4=1,0, M14)</f>
        <v>296</v>
      </c>
      <c r="F14">
        <f t="shared" si="1"/>
        <v>553</v>
      </c>
      <c r="G14" s="2">
        <f>YearMap!B4</f>
        <v>7489.9896749999989</v>
      </c>
      <c r="H14" s="2">
        <f>YearMap!C4</f>
        <v>824968.86277499993</v>
      </c>
      <c r="I14" s="2">
        <f>YearMap!D4</f>
        <v>950158.69019999984</v>
      </c>
      <c r="J14">
        <f>1-BaselineCalc!$B$5</f>
        <v>0.99299999999999999</v>
      </c>
      <c r="K14">
        <f>Scenarios!G4</f>
        <v>1.4999999999999999E-2</v>
      </c>
      <c r="L14">
        <f>BaselineCalc!$B$7 + ROUND(Scenarios!K4*Scenarios!F4,0)</f>
        <v>257</v>
      </c>
      <c r="M14">
        <f>BaselineCalc!$B$8 + Scenarios!K4 - ROUND(Scenarios!K4*Scenarios!F4,0)</f>
        <v>296</v>
      </c>
      <c r="N14" s="7">
        <f t="shared" si="2"/>
        <v>0</v>
      </c>
      <c r="O14" s="7">
        <f>BaselineCalc!$B$22 * N14</f>
        <v>0</v>
      </c>
      <c r="P14">
        <f>YearMap!E4</f>
        <v>600</v>
      </c>
      <c r="Q14">
        <f>IF(Scenarios!N4="lease", YearMap!F4, YearMap!G4)</f>
        <v>0.3</v>
      </c>
      <c r="R14" s="2">
        <f>IF(Scenarios!D4=1, Q14*H14, H14)</f>
        <v>824968.86277499993</v>
      </c>
      <c r="S14" s="2">
        <f>IF(Scenarios!E4=1, Q14*I14, I14)</f>
        <v>950158.69019999984</v>
      </c>
      <c r="T14" s="2">
        <f>IF(C14="FY2026", (Scenarios!D4+Scenarios!E4)*BaselineCalc!$B$21, 0)</f>
        <v>0</v>
      </c>
      <c r="U14" s="2">
        <f t="shared" si="3"/>
        <v>5787537.1173420409</v>
      </c>
      <c r="V14" s="2">
        <f t="shared" si="4"/>
        <v>0</v>
      </c>
      <c r="W14" s="2">
        <f t="shared" si="5"/>
        <v>5787537.1173420409</v>
      </c>
      <c r="X14" s="2">
        <f t="shared" si="6"/>
        <v>10465.709072951249</v>
      </c>
      <c r="Y14" t="str">
        <f t="shared" si="7"/>
        <v>F_CoLocation_Echo_0|FY2028</v>
      </c>
      <c r="Z14">
        <f>INDEX(YearMap!$I$2:$I$6, MATCH(C14, YearMap!$A$2:$A$6, 0))</f>
        <v>5319.5652</v>
      </c>
      <c r="AA14">
        <f t="shared" si="8"/>
        <v>2845817.5617420408</v>
      </c>
      <c r="AB14">
        <f t="shared" si="9"/>
        <v>5146.1438729512493</v>
      </c>
    </row>
    <row r="15" spans="1:28" x14ac:dyDescent="0.35">
      <c r="A15" t="str">
        <f t="shared" si="0"/>
        <v>F_CoLocation_Echo_0|FY2029</v>
      </c>
      <c r="B15" t="str">
        <f>Scenarios!A4</f>
        <v>F_CoLocation_Echo_0</v>
      </c>
      <c r="C15" t="s">
        <v>23</v>
      </c>
      <c r="D15">
        <f>IF(Scenarios!D4=1,0, L15)</f>
        <v>257</v>
      </c>
      <c r="E15">
        <f>IF(Scenarios!E4=1,0, M15)</f>
        <v>296</v>
      </c>
      <c r="F15">
        <f t="shared" si="1"/>
        <v>553</v>
      </c>
      <c r="G15" s="2">
        <f>YearMap!B5</f>
        <v>7677.2394168749979</v>
      </c>
      <c r="H15" s="2">
        <f>YearMap!C5</f>
        <v>845593.08434437483</v>
      </c>
      <c r="I15" s="2">
        <f>YearMap!D5</f>
        <v>973912.65745499986</v>
      </c>
      <c r="J15">
        <f>1-BaselineCalc!$B$5</f>
        <v>0.99299999999999999</v>
      </c>
      <c r="K15">
        <f>Scenarios!G4</f>
        <v>1.4999999999999999E-2</v>
      </c>
      <c r="L15">
        <f>BaselineCalc!$B$7 + ROUND(Scenarios!L4*Scenarios!F4,0)</f>
        <v>257</v>
      </c>
      <c r="M15">
        <f>BaselineCalc!$B$8 + Scenarios!L4 - ROUND(Scenarios!L4*Scenarios!F4,0)</f>
        <v>296</v>
      </c>
      <c r="N15" s="7">
        <f t="shared" si="2"/>
        <v>0</v>
      </c>
      <c r="O15" s="7">
        <f>BaselineCalc!$B$22 * N15</f>
        <v>0</v>
      </c>
      <c r="P15">
        <f>YearMap!E5</f>
        <v>400</v>
      </c>
      <c r="Q15">
        <f>IF(Scenarios!N4="lease", YearMap!F5, YearMap!G5)</f>
        <v>0.25</v>
      </c>
      <c r="R15" s="2">
        <f>IF(Scenarios!D4=1, Q15*H15, H15)</f>
        <v>845593.08434437483</v>
      </c>
      <c r="S15" s="2">
        <f>IF(Scenarios!E4=1, Q15*I15, I15)</f>
        <v>973912.65745499986</v>
      </c>
      <c r="T15" s="2">
        <f>IF(C15="FY2026", (Scenarios!D4+Scenarios!E4)*BaselineCalc!$B$21, 0)</f>
        <v>0</v>
      </c>
      <c r="U15" s="2">
        <f t="shared" si="3"/>
        <v>5932225.5452755904</v>
      </c>
      <c r="V15" s="2">
        <f t="shared" si="4"/>
        <v>0</v>
      </c>
      <c r="W15" s="2">
        <f t="shared" si="5"/>
        <v>5932225.5452755904</v>
      </c>
      <c r="X15" s="2">
        <f t="shared" si="6"/>
        <v>10727.351799775028</v>
      </c>
      <c r="Y15" t="str">
        <f t="shared" si="7"/>
        <v>F_CoLocation_Echo_0|FY2029</v>
      </c>
      <c r="Z15">
        <f>INDEX(YearMap!$I$2:$I$6, MATCH(C15, YearMap!$A$2:$A$6, 0))</f>
        <v>5425.9565039999998</v>
      </c>
      <c r="AA15">
        <f t="shared" si="8"/>
        <v>2931671.5985635906</v>
      </c>
      <c r="AB15">
        <f t="shared" si="9"/>
        <v>5301.395295775028</v>
      </c>
    </row>
    <row r="16" spans="1:28" x14ac:dyDescent="0.35">
      <c r="A16" t="str">
        <f t="shared" si="0"/>
        <v>F_CoLocation_Echo_0|FY2030</v>
      </c>
      <c r="B16" t="str">
        <f>Scenarios!A4</f>
        <v>F_CoLocation_Echo_0</v>
      </c>
      <c r="C16" t="s">
        <v>24</v>
      </c>
      <c r="D16">
        <f>IF(Scenarios!D4=1,0, L16)</f>
        <v>257</v>
      </c>
      <c r="E16">
        <f>IF(Scenarios!E4=1,0, M16)</f>
        <v>296</v>
      </c>
      <c r="F16">
        <f t="shared" si="1"/>
        <v>553</v>
      </c>
      <c r="G16" s="2">
        <f>YearMap!B6</f>
        <v>7869.1704022968725</v>
      </c>
      <c r="H16" s="2">
        <f>YearMap!C6</f>
        <v>866732.91145298409</v>
      </c>
      <c r="I16" s="2">
        <f>YearMap!D6</f>
        <v>998260.47389137466</v>
      </c>
      <c r="J16">
        <f>1-BaselineCalc!$B$5</f>
        <v>0.99299999999999999</v>
      </c>
      <c r="K16">
        <f>Scenarios!G4</f>
        <v>1.4999999999999999E-2</v>
      </c>
      <c r="L16">
        <f>BaselineCalc!$B$7 + ROUND(Scenarios!M4*Scenarios!F4,0)</f>
        <v>257</v>
      </c>
      <c r="M16">
        <f>BaselineCalc!$B$8 + Scenarios!M4 - ROUND(Scenarios!M4*Scenarios!F4,0)</f>
        <v>296</v>
      </c>
      <c r="N16" s="7">
        <f t="shared" si="2"/>
        <v>0</v>
      </c>
      <c r="O16" s="7">
        <f>BaselineCalc!$B$22 * N16</f>
        <v>0</v>
      </c>
      <c r="P16">
        <f>YearMap!E6</f>
        <v>300</v>
      </c>
      <c r="Q16">
        <f>IF(Scenarios!N4="lease", YearMap!F6, YearMap!G6)</f>
        <v>0.2</v>
      </c>
      <c r="R16" s="2">
        <f>IF(Scenarios!D4=1, Q16*H16, H16)</f>
        <v>866732.91145298409</v>
      </c>
      <c r="S16" s="2">
        <f>IF(Scenarios!E4=1, Q16*I16, I16)</f>
        <v>998260.47389137466</v>
      </c>
      <c r="T16" s="2">
        <f>IF(C16="FY2026", (Scenarios!D4+Scenarios!E4)*BaselineCalc!$B$21, 0)</f>
        <v>0</v>
      </c>
      <c r="U16" s="2">
        <f t="shared" si="3"/>
        <v>6080531.18390748</v>
      </c>
      <c r="V16" s="2">
        <f t="shared" si="4"/>
        <v>0</v>
      </c>
      <c r="W16" s="2">
        <f t="shared" si="5"/>
        <v>6080531.18390748</v>
      </c>
      <c r="X16" s="2">
        <f t="shared" si="6"/>
        <v>10995.535594769402</v>
      </c>
      <c r="Y16" t="str">
        <f t="shared" si="7"/>
        <v>F_CoLocation_Echo_0|FY2030</v>
      </c>
      <c r="Z16">
        <f>INDEX(YearMap!$I$2:$I$6, MATCH(C16, YearMap!$A$2:$A$6, 0))</f>
        <v>5534.4756340799995</v>
      </c>
      <c r="AA16">
        <f t="shared" si="8"/>
        <v>3019966.1582612405</v>
      </c>
      <c r="AB16">
        <f t="shared" si="9"/>
        <v>5461.0599606894039</v>
      </c>
    </row>
    <row r="17" spans="1:28" x14ac:dyDescent="0.35">
      <c r="A17" t="str">
        <f t="shared" si="0"/>
        <v>D_Grow_Both_100|FY2026</v>
      </c>
      <c r="B17" t="str">
        <f>Scenarios!A5</f>
        <v>D_Grow_Both_100</v>
      </c>
      <c r="C17" t="s">
        <v>20</v>
      </c>
      <c r="D17">
        <f>IF(Scenarios!D5=1,0, L17)</f>
        <v>307</v>
      </c>
      <c r="E17">
        <f>IF(Scenarios!E5=1,0, M17)</f>
        <v>346</v>
      </c>
      <c r="F17">
        <f t="shared" si="1"/>
        <v>653</v>
      </c>
      <c r="G17" s="2">
        <f>YearMap!B2</f>
        <v>7129.079999999999</v>
      </c>
      <c r="H17" s="2">
        <f>YearMap!C2</f>
        <v>785217.23999999987</v>
      </c>
      <c r="I17" s="2">
        <f>YearMap!D2</f>
        <v>904374.71999999986</v>
      </c>
      <c r="J17">
        <f>1-BaselineCalc!$B$5</f>
        <v>0.99299999999999999</v>
      </c>
      <c r="K17">
        <f>Scenarios!G5</f>
        <v>0</v>
      </c>
      <c r="L17">
        <f>BaselineCalc!$B$7 + ROUND(Scenarios!I5*Scenarios!F5,0)</f>
        <v>307</v>
      </c>
      <c r="M17">
        <f>BaselineCalc!$B$8 + Scenarios!I5 - ROUND(Scenarios!I5*Scenarios!F5,0)</f>
        <v>346</v>
      </c>
      <c r="N17" s="7">
        <f t="shared" si="2"/>
        <v>0</v>
      </c>
      <c r="O17" s="7">
        <f>BaselineCalc!$B$22 * N17</f>
        <v>0</v>
      </c>
      <c r="P17">
        <f>YearMap!E2</f>
        <v>1000</v>
      </c>
      <c r="Q17">
        <f>IF(Scenarios!N5="lease", YearMap!F2, YearMap!G2)</f>
        <v>0.4</v>
      </c>
      <c r="R17" s="2">
        <f>IF(Scenarios!D5=1, Q17*H17, H17)</f>
        <v>785217.23999999987</v>
      </c>
      <c r="S17" s="2">
        <f>IF(Scenarios!E5=1, Q17*I17, I17)</f>
        <v>904374.71999999986</v>
      </c>
      <c r="T17" s="2">
        <f>IF(C17="FY2026", (Scenarios!D5+Scenarios!E5)*BaselineCalc!$B$21, 0)</f>
        <v>0</v>
      </c>
      <c r="U17" s="2">
        <f t="shared" si="3"/>
        <v>6300467.0315999994</v>
      </c>
      <c r="V17" s="2">
        <f t="shared" si="4"/>
        <v>0</v>
      </c>
      <c r="W17" s="2">
        <f t="shared" si="5"/>
        <v>6300467.0315999994</v>
      </c>
      <c r="X17" s="2">
        <f t="shared" si="6"/>
        <v>9648.4946885145473</v>
      </c>
      <c r="Y17" t="str">
        <f t="shared" si="7"/>
        <v>D_Grow_Both_100|FY2026</v>
      </c>
      <c r="Z17">
        <f>INDEX(YearMap!$I$2:$I$6, MATCH(C17, YearMap!$A$2:$A$6, 0))</f>
        <v>5113</v>
      </c>
      <c r="AA17">
        <f t="shared" si="8"/>
        <v>2961678.0315999994</v>
      </c>
      <c r="AB17">
        <f t="shared" si="9"/>
        <v>4535.4946885145473</v>
      </c>
    </row>
    <row r="18" spans="1:28" x14ac:dyDescent="0.35">
      <c r="A18" t="str">
        <f t="shared" si="0"/>
        <v>D_Grow_Both_100|FY2027</v>
      </c>
      <c r="B18" t="str">
        <f>Scenarios!A5</f>
        <v>D_Grow_Both_100</v>
      </c>
      <c r="C18" t="s">
        <v>21</v>
      </c>
      <c r="D18">
        <f>IF(Scenarios!D5=1,0, L18)</f>
        <v>307</v>
      </c>
      <c r="E18">
        <f>IF(Scenarios!E5=1,0, M18)</f>
        <v>346</v>
      </c>
      <c r="F18">
        <f t="shared" si="1"/>
        <v>653</v>
      </c>
      <c r="G18" s="2">
        <f>YearMap!B3</f>
        <v>7307.3069999999989</v>
      </c>
      <c r="H18" s="2">
        <f>YearMap!C3</f>
        <v>804847.67099999997</v>
      </c>
      <c r="I18" s="2">
        <f>YearMap!D3</f>
        <v>926984.08799999999</v>
      </c>
      <c r="J18">
        <f>1-BaselineCalc!$B$5</f>
        <v>0.99299999999999999</v>
      </c>
      <c r="K18">
        <f>Scenarios!G5</f>
        <v>0</v>
      </c>
      <c r="L18">
        <f>BaselineCalc!$B$7 + ROUND(Scenarios!J5*Scenarios!F5,0)</f>
        <v>307</v>
      </c>
      <c r="M18">
        <f>BaselineCalc!$B$8 + Scenarios!J5 - ROUND(Scenarios!J5*Scenarios!F5,0)</f>
        <v>346</v>
      </c>
      <c r="N18" s="7">
        <f t="shared" si="2"/>
        <v>0</v>
      </c>
      <c r="O18" s="7">
        <f>BaselineCalc!$B$22 * N18</f>
        <v>0</v>
      </c>
      <c r="P18">
        <f>YearMap!E3</f>
        <v>800</v>
      </c>
      <c r="Q18">
        <f>IF(Scenarios!N5="lease", YearMap!F3, YearMap!G3)</f>
        <v>0.35</v>
      </c>
      <c r="R18" s="2">
        <f>IF(Scenarios!D5=1, Q18*H18, H18)</f>
        <v>804847.67099999997</v>
      </c>
      <c r="S18" s="2">
        <f>IF(Scenarios!E5=1, Q18*I18, I18)</f>
        <v>926984.08799999999</v>
      </c>
      <c r="T18" s="2">
        <f>IF(C18="FY2026", (Scenarios!D5+Scenarios!E5)*BaselineCalc!$B$21, 0)</f>
        <v>0</v>
      </c>
      <c r="U18" s="2">
        <f t="shared" si="3"/>
        <v>6457978.7073899982</v>
      </c>
      <c r="V18" s="2">
        <f t="shared" si="4"/>
        <v>0</v>
      </c>
      <c r="W18" s="2">
        <f t="shared" si="5"/>
        <v>6457978.7073899982</v>
      </c>
      <c r="X18" s="2">
        <f t="shared" si="6"/>
        <v>9889.7070557274092</v>
      </c>
      <c r="Y18" t="str">
        <f t="shared" si="7"/>
        <v>D_Grow_Both_100|FY2027</v>
      </c>
      <c r="Z18">
        <f>INDEX(YearMap!$I$2:$I$6, MATCH(C18, YearMap!$A$2:$A$6, 0))</f>
        <v>5215.26</v>
      </c>
      <c r="AA18">
        <f t="shared" si="8"/>
        <v>3052413.927389998</v>
      </c>
      <c r="AB18">
        <f t="shared" si="9"/>
        <v>4674.447055727409</v>
      </c>
    </row>
    <row r="19" spans="1:28" x14ac:dyDescent="0.35">
      <c r="A19" t="str">
        <f t="shared" si="0"/>
        <v>D_Grow_Both_100|FY2028</v>
      </c>
      <c r="B19" t="str">
        <f>Scenarios!A5</f>
        <v>D_Grow_Both_100</v>
      </c>
      <c r="C19" t="s">
        <v>22</v>
      </c>
      <c r="D19">
        <f>IF(Scenarios!D5=1,0, L19)</f>
        <v>307</v>
      </c>
      <c r="E19">
        <f>IF(Scenarios!E5=1,0, M19)</f>
        <v>346</v>
      </c>
      <c r="F19">
        <f t="shared" si="1"/>
        <v>653</v>
      </c>
      <c r="G19" s="2">
        <f>YearMap!B4</f>
        <v>7489.9896749999989</v>
      </c>
      <c r="H19" s="2">
        <f>YearMap!C4</f>
        <v>824968.86277499993</v>
      </c>
      <c r="I19" s="2">
        <f>YearMap!D4</f>
        <v>950158.69019999984</v>
      </c>
      <c r="J19">
        <f>1-BaselineCalc!$B$5</f>
        <v>0.99299999999999999</v>
      </c>
      <c r="K19">
        <f>Scenarios!G5</f>
        <v>0</v>
      </c>
      <c r="L19">
        <f>BaselineCalc!$B$7 + ROUND(Scenarios!K5*Scenarios!F5,0)</f>
        <v>307</v>
      </c>
      <c r="M19">
        <f>BaselineCalc!$B$8 + Scenarios!K5 - ROUND(Scenarios!K5*Scenarios!F5,0)</f>
        <v>346</v>
      </c>
      <c r="N19" s="7">
        <f t="shared" si="2"/>
        <v>0</v>
      </c>
      <c r="O19" s="7">
        <f>BaselineCalc!$B$22 * N19</f>
        <v>0</v>
      </c>
      <c r="P19">
        <f>YearMap!E4</f>
        <v>600</v>
      </c>
      <c r="Q19">
        <f>IF(Scenarios!N5="lease", YearMap!F4, YearMap!G4)</f>
        <v>0.3</v>
      </c>
      <c r="R19" s="2">
        <f>IF(Scenarios!D5=1, Q19*H19, H19)</f>
        <v>824968.86277499993</v>
      </c>
      <c r="S19" s="2">
        <f>IF(Scenarios!E5=1, Q19*I19, I19)</f>
        <v>950158.69019999984</v>
      </c>
      <c r="T19" s="2">
        <f>IF(C19="FY2026", (Scenarios!D5+Scenarios!E5)*BaselineCalc!$B$21, 0)</f>
        <v>0</v>
      </c>
      <c r="U19" s="2">
        <f t="shared" si="3"/>
        <v>6619428.1750747496</v>
      </c>
      <c r="V19" s="2">
        <f t="shared" si="4"/>
        <v>0</v>
      </c>
      <c r="W19" s="2">
        <f t="shared" si="5"/>
        <v>6619428.1750747496</v>
      </c>
      <c r="X19" s="2">
        <f t="shared" si="6"/>
        <v>10136.949732120596</v>
      </c>
      <c r="Y19" t="str">
        <f t="shared" si="7"/>
        <v>D_Grow_Both_100|FY2028</v>
      </c>
      <c r="Z19">
        <f>INDEX(YearMap!$I$2:$I$6, MATCH(C19, YearMap!$A$2:$A$6, 0))</f>
        <v>5319.5652</v>
      </c>
      <c r="AA19">
        <f t="shared" si="8"/>
        <v>3145752.0994747495</v>
      </c>
      <c r="AB19">
        <f t="shared" si="9"/>
        <v>4817.3845321205963</v>
      </c>
    </row>
    <row r="20" spans="1:28" x14ac:dyDescent="0.35">
      <c r="A20" t="str">
        <f t="shared" si="0"/>
        <v>D_Grow_Both_100|FY2029</v>
      </c>
      <c r="B20" t="str">
        <f>Scenarios!A5</f>
        <v>D_Grow_Both_100</v>
      </c>
      <c r="C20" t="s">
        <v>23</v>
      </c>
      <c r="D20">
        <f>IF(Scenarios!D5=1,0, L20)</f>
        <v>307</v>
      </c>
      <c r="E20">
        <f>IF(Scenarios!E5=1,0, M20)</f>
        <v>346</v>
      </c>
      <c r="F20">
        <f t="shared" si="1"/>
        <v>653</v>
      </c>
      <c r="G20" s="2">
        <f>YearMap!B5</f>
        <v>7677.2394168749979</v>
      </c>
      <c r="H20" s="2">
        <f>YearMap!C5</f>
        <v>845593.08434437483</v>
      </c>
      <c r="I20" s="2">
        <f>YearMap!D5</f>
        <v>973912.65745499986</v>
      </c>
      <c r="J20">
        <f>1-BaselineCalc!$B$5</f>
        <v>0.99299999999999999</v>
      </c>
      <c r="K20">
        <f>Scenarios!G5</f>
        <v>0</v>
      </c>
      <c r="L20">
        <f>BaselineCalc!$B$7 + ROUND(Scenarios!L5*Scenarios!F5,0)</f>
        <v>307</v>
      </c>
      <c r="M20">
        <f>BaselineCalc!$B$8 + Scenarios!L5 - ROUND(Scenarios!L5*Scenarios!F5,0)</f>
        <v>346</v>
      </c>
      <c r="N20" s="7">
        <f t="shared" si="2"/>
        <v>0</v>
      </c>
      <c r="O20" s="7">
        <f>BaselineCalc!$B$22 * N20</f>
        <v>0</v>
      </c>
      <c r="P20">
        <f>YearMap!E5</f>
        <v>400</v>
      </c>
      <c r="Q20">
        <f>IF(Scenarios!N5="lease", YearMap!F5, YearMap!G5)</f>
        <v>0.25</v>
      </c>
      <c r="R20" s="2">
        <f>IF(Scenarios!D5=1, Q20*H20, H20)</f>
        <v>845593.08434437483</v>
      </c>
      <c r="S20" s="2">
        <f>IF(Scenarios!E5=1, Q20*I20, I20)</f>
        <v>973912.65745499986</v>
      </c>
      <c r="T20" s="2">
        <f>IF(C20="FY2026", (Scenarios!D5+Scenarios!E5)*BaselineCalc!$B$21, 0)</f>
        <v>0</v>
      </c>
      <c r="U20" s="2">
        <f t="shared" si="3"/>
        <v>6784913.8794516167</v>
      </c>
      <c r="V20" s="2">
        <f t="shared" si="4"/>
        <v>0</v>
      </c>
      <c r="W20" s="2">
        <f t="shared" si="5"/>
        <v>6784913.8794516167</v>
      </c>
      <c r="X20" s="2">
        <f t="shared" si="6"/>
        <v>10390.373475423608</v>
      </c>
      <c r="Y20" t="str">
        <f t="shared" si="7"/>
        <v>D_Grow_Both_100|FY2029</v>
      </c>
      <c r="Z20">
        <f>INDEX(YearMap!$I$2:$I$6, MATCH(C20, YearMap!$A$2:$A$6, 0))</f>
        <v>5425.9565039999998</v>
      </c>
      <c r="AA20">
        <f t="shared" si="8"/>
        <v>3241764.2823396167</v>
      </c>
      <c r="AB20">
        <f t="shared" si="9"/>
        <v>4964.4169714236086</v>
      </c>
    </row>
    <row r="21" spans="1:28" x14ac:dyDescent="0.35">
      <c r="A21" t="str">
        <f t="shared" si="0"/>
        <v>D_Grow_Both_100|FY2030</v>
      </c>
      <c r="B21" t="str">
        <f>Scenarios!A5</f>
        <v>D_Grow_Both_100</v>
      </c>
      <c r="C21" t="s">
        <v>24</v>
      </c>
      <c r="D21">
        <f>IF(Scenarios!D5=1,0, L21)</f>
        <v>307</v>
      </c>
      <c r="E21">
        <f>IF(Scenarios!E5=1,0, M21)</f>
        <v>346</v>
      </c>
      <c r="F21">
        <f t="shared" si="1"/>
        <v>653</v>
      </c>
      <c r="G21" s="2">
        <f>YearMap!B6</f>
        <v>7869.1704022968725</v>
      </c>
      <c r="H21" s="2">
        <f>YearMap!C6</f>
        <v>866732.91145298409</v>
      </c>
      <c r="I21" s="2">
        <f>YearMap!D6</f>
        <v>998260.47389137466</v>
      </c>
      <c r="J21">
        <f>1-BaselineCalc!$B$5</f>
        <v>0.99299999999999999</v>
      </c>
      <c r="K21">
        <f>Scenarios!G5</f>
        <v>0</v>
      </c>
      <c r="L21">
        <f>BaselineCalc!$B$7 + ROUND(Scenarios!M5*Scenarios!F5,0)</f>
        <v>307</v>
      </c>
      <c r="M21">
        <f>BaselineCalc!$B$8 + Scenarios!M5 - ROUND(Scenarios!M5*Scenarios!F5,0)</f>
        <v>346</v>
      </c>
      <c r="N21" s="7">
        <f t="shared" si="2"/>
        <v>0</v>
      </c>
      <c r="O21" s="7">
        <f>BaselineCalc!$B$22 * N21</f>
        <v>0</v>
      </c>
      <c r="P21">
        <f>YearMap!E6</f>
        <v>300</v>
      </c>
      <c r="Q21">
        <f>IF(Scenarios!N5="lease", YearMap!F6, YearMap!G6)</f>
        <v>0.2</v>
      </c>
      <c r="R21" s="2">
        <f>IF(Scenarios!D5=1, Q21*H21, H21)</f>
        <v>866732.91145298409</v>
      </c>
      <c r="S21" s="2">
        <f>IF(Scenarios!E5=1, Q21*I21, I21)</f>
        <v>998260.47389137466</v>
      </c>
      <c r="T21" s="2">
        <f>IF(C21="FY2026", (Scenarios!D5+Scenarios!E5)*BaselineCalc!$B$21, 0)</f>
        <v>0</v>
      </c>
      <c r="U21" s="2">
        <f t="shared" si="3"/>
        <v>6954536.7264379077</v>
      </c>
      <c r="V21" s="2">
        <f t="shared" si="4"/>
        <v>0</v>
      </c>
      <c r="W21" s="2">
        <f t="shared" si="5"/>
        <v>6954536.7264379077</v>
      </c>
      <c r="X21" s="2">
        <f t="shared" si="6"/>
        <v>10650.132812309201</v>
      </c>
      <c r="Y21" t="str">
        <f t="shared" si="7"/>
        <v>D_Grow_Both_100|FY2030</v>
      </c>
      <c r="Z21">
        <f>INDEX(YearMap!$I$2:$I$6, MATCH(C21, YearMap!$A$2:$A$6, 0))</f>
        <v>5534.4756340799995</v>
      </c>
      <c r="AA21">
        <f t="shared" si="8"/>
        <v>3340524.1373836682</v>
      </c>
      <c r="AB21">
        <f t="shared" si="9"/>
        <v>5115.6571782292012</v>
      </c>
    </row>
    <row r="22" spans="1:28" x14ac:dyDescent="0.35">
      <c r="A22" t="str">
        <f t="shared" si="0"/>
        <v>D_Grow_Both_150|FY2026</v>
      </c>
      <c r="B22" t="str">
        <f>Scenarios!A6</f>
        <v>D_Grow_Both_150</v>
      </c>
      <c r="C22" t="s">
        <v>20</v>
      </c>
      <c r="D22">
        <f>IF(Scenarios!D6=1,0, L22)</f>
        <v>332</v>
      </c>
      <c r="E22">
        <f>IF(Scenarios!E6=1,0, M22)</f>
        <v>371</v>
      </c>
      <c r="F22">
        <f t="shared" si="1"/>
        <v>703</v>
      </c>
      <c r="G22" s="2">
        <f>YearMap!B2</f>
        <v>7129.079999999999</v>
      </c>
      <c r="H22" s="2">
        <f>YearMap!C2</f>
        <v>785217.23999999987</v>
      </c>
      <c r="I22" s="2">
        <f>YearMap!D2</f>
        <v>904374.71999999986</v>
      </c>
      <c r="J22">
        <f>1-BaselineCalc!$B$5</f>
        <v>0.99299999999999999</v>
      </c>
      <c r="K22">
        <f>Scenarios!G6</f>
        <v>0</v>
      </c>
      <c r="L22">
        <f>BaselineCalc!$B$7 + ROUND(Scenarios!I6*Scenarios!F6,0)</f>
        <v>332</v>
      </c>
      <c r="M22">
        <f>BaselineCalc!$B$8 + Scenarios!I6 - ROUND(Scenarios!I6*Scenarios!F6,0)</f>
        <v>371</v>
      </c>
      <c r="N22" s="7">
        <f t="shared" si="2"/>
        <v>0</v>
      </c>
      <c r="O22" s="7">
        <f>BaselineCalc!$B$22 * N22</f>
        <v>0</v>
      </c>
      <c r="P22">
        <f>YearMap!E2</f>
        <v>1000</v>
      </c>
      <c r="Q22">
        <f>IF(Scenarios!N6="lease", YearMap!F2, YearMap!G2)</f>
        <v>0.4</v>
      </c>
      <c r="R22" s="2">
        <f>IF(Scenarios!D6=1, Q22*H22, H22)</f>
        <v>785217.23999999987</v>
      </c>
      <c r="S22" s="2">
        <f>IF(Scenarios!E6=1, Q22*I22, I22)</f>
        <v>904374.71999999986</v>
      </c>
      <c r="T22" s="2">
        <f>IF(C22="FY2026", (Scenarios!D6+Scenarios!E6)*BaselineCalc!$B$21, 0)</f>
        <v>0</v>
      </c>
      <c r="U22" s="2">
        <f t="shared" si="3"/>
        <v>6654425.8535999991</v>
      </c>
      <c r="V22" s="2">
        <f t="shared" si="4"/>
        <v>0</v>
      </c>
      <c r="W22" s="2">
        <f t="shared" si="5"/>
        <v>6654425.8535999991</v>
      </c>
      <c r="X22" s="2">
        <f t="shared" si="6"/>
        <v>9465.7551260312939</v>
      </c>
      <c r="Y22" t="str">
        <f t="shared" si="7"/>
        <v>D_Grow_Both_150|FY2026</v>
      </c>
      <c r="Z22">
        <f>INDEX(YearMap!$I$2:$I$6, MATCH(C22, YearMap!$A$2:$A$6, 0))</f>
        <v>5113</v>
      </c>
      <c r="AA22">
        <f t="shared" si="8"/>
        <v>3059986.8535999991</v>
      </c>
      <c r="AB22">
        <f t="shared" si="9"/>
        <v>4352.755126031293</v>
      </c>
    </row>
    <row r="23" spans="1:28" x14ac:dyDescent="0.35">
      <c r="A23" t="str">
        <f t="shared" si="0"/>
        <v>D_Grow_Both_150|FY2027</v>
      </c>
      <c r="B23" t="str">
        <f>Scenarios!A6</f>
        <v>D_Grow_Both_150</v>
      </c>
      <c r="C23" t="s">
        <v>21</v>
      </c>
      <c r="D23">
        <f>IF(Scenarios!D6=1,0, L23)</f>
        <v>332</v>
      </c>
      <c r="E23">
        <f>IF(Scenarios!E6=1,0, M23)</f>
        <v>371</v>
      </c>
      <c r="F23">
        <f t="shared" si="1"/>
        <v>703</v>
      </c>
      <c r="G23" s="2">
        <f>YearMap!B3</f>
        <v>7307.3069999999989</v>
      </c>
      <c r="H23" s="2">
        <f>YearMap!C3</f>
        <v>804847.67099999997</v>
      </c>
      <c r="I23" s="2">
        <f>YearMap!D3</f>
        <v>926984.08799999999</v>
      </c>
      <c r="J23">
        <f>1-BaselineCalc!$B$5</f>
        <v>0.99299999999999999</v>
      </c>
      <c r="K23">
        <f>Scenarios!G6</f>
        <v>0</v>
      </c>
      <c r="L23">
        <f>BaselineCalc!$B$7 + ROUND(Scenarios!J6*Scenarios!F6,0)</f>
        <v>332</v>
      </c>
      <c r="M23">
        <f>BaselineCalc!$B$8 + Scenarios!J6 - ROUND(Scenarios!J6*Scenarios!F6,0)</f>
        <v>371</v>
      </c>
      <c r="N23" s="7">
        <f t="shared" si="2"/>
        <v>0</v>
      </c>
      <c r="O23" s="7">
        <f>BaselineCalc!$B$22 * N23</f>
        <v>0</v>
      </c>
      <c r="P23">
        <f>YearMap!E3</f>
        <v>800</v>
      </c>
      <c r="Q23">
        <f>IF(Scenarios!N6="lease", YearMap!F3, YearMap!G3)</f>
        <v>0.35</v>
      </c>
      <c r="R23" s="2">
        <f>IF(Scenarios!D6=1, Q23*H23, H23)</f>
        <v>804847.67099999997</v>
      </c>
      <c r="S23" s="2">
        <f>IF(Scenarios!E6=1, Q23*I23, I23)</f>
        <v>926984.08799999999</v>
      </c>
      <c r="T23" s="2">
        <f>IF(C23="FY2026", (Scenarios!D6+Scenarios!E6)*BaselineCalc!$B$21, 0)</f>
        <v>0</v>
      </c>
      <c r="U23" s="2">
        <f t="shared" si="3"/>
        <v>6820786.4999400005</v>
      </c>
      <c r="V23" s="2">
        <f t="shared" si="4"/>
        <v>0</v>
      </c>
      <c r="W23" s="2">
        <f t="shared" si="5"/>
        <v>6820786.4999400005</v>
      </c>
      <c r="X23" s="2">
        <f t="shared" si="6"/>
        <v>9702.399004182078</v>
      </c>
      <c r="Y23" t="str">
        <f t="shared" si="7"/>
        <v>D_Grow_Both_150|FY2027</v>
      </c>
      <c r="Z23">
        <f>INDEX(YearMap!$I$2:$I$6, MATCH(C23, YearMap!$A$2:$A$6, 0))</f>
        <v>5215.26</v>
      </c>
      <c r="AA23">
        <f t="shared" si="8"/>
        <v>3154458.7199400002</v>
      </c>
      <c r="AB23">
        <f t="shared" si="9"/>
        <v>4487.1390041820769</v>
      </c>
    </row>
    <row r="24" spans="1:28" x14ac:dyDescent="0.35">
      <c r="A24" t="str">
        <f t="shared" si="0"/>
        <v>D_Grow_Both_150|FY2028</v>
      </c>
      <c r="B24" t="str">
        <f>Scenarios!A6</f>
        <v>D_Grow_Both_150</v>
      </c>
      <c r="C24" t="s">
        <v>22</v>
      </c>
      <c r="D24">
        <f>IF(Scenarios!D6=1,0, L24)</f>
        <v>332</v>
      </c>
      <c r="E24">
        <f>IF(Scenarios!E6=1,0, M24)</f>
        <v>371</v>
      </c>
      <c r="F24">
        <f t="shared" si="1"/>
        <v>703</v>
      </c>
      <c r="G24" s="2">
        <f>YearMap!B4</f>
        <v>7489.9896749999989</v>
      </c>
      <c r="H24" s="2">
        <f>YearMap!C4</f>
        <v>824968.86277499993</v>
      </c>
      <c r="I24" s="2">
        <f>YearMap!D4</f>
        <v>950158.69019999984</v>
      </c>
      <c r="J24">
        <f>1-BaselineCalc!$B$5</f>
        <v>0.99299999999999999</v>
      </c>
      <c r="K24">
        <f>Scenarios!G6</f>
        <v>0</v>
      </c>
      <c r="L24">
        <f>BaselineCalc!$B$7 + ROUND(Scenarios!K6*Scenarios!F6,0)</f>
        <v>332</v>
      </c>
      <c r="M24">
        <f>BaselineCalc!$B$8 + Scenarios!K6 - ROUND(Scenarios!K6*Scenarios!F6,0)</f>
        <v>371</v>
      </c>
      <c r="N24" s="7">
        <f t="shared" si="2"/>
        <v>0</v>
      </c>
      <c r="O24" s="7">
        <f>BaselineCalc!$B$22 * N24</f>
        <v>0</v>
      </c>
      <c r="P24">
        <f>YearMap!E4</f>
        <v>600</v>
      </c>
      <c r="Q24">
        <f>IF(Scenarios!N6="lease", YearMap!F4, YearMap!G4)</f>
        <v>0.3</v>
      </c>
      <c r="R24" s="2">
        <f>IF(Scenarios!D6=1, Q24*H24, H24)</f>
        <v>824968.86277499993</v>
      </c>
      <c r="S24" s="2">
        <f>IF(Scenarios!E6=1, Q24*I24, I24)</f>
        <v>950158.69019999984</v>
      </c>
      <c r="T24" s="2">
        <f>IF(C24="FY2026", (Scenarios!D6+Scenarios!E6)*BaselineCalc!$B$21, 0)</f>
        <v>0</v>
      </c>
      <c r="U24" s="2">
        <f t="shared" si="3"/>
        <v>6991306.1624384988</v>
      </c>
      <c r="V24" s="2">
        <f t="shared" si="4"/>
        <v>0</v>
      </c>
      <c r="W24" s="2">
        <f t="shared" si="5"/>
        <v>6991306.1624384988</v>
      </c>
      <c r="X24" s="2">
        <f t="shared" si="6"/>
        <v>9944.9589792866263</v>
      </c>
      <c r="Y24" t="str">
        <f t="shared" si="7"/>
        <v>D_Grow_Both_150|FY2028</v>
      </c>
      <c r="Z24">
        <f>INDEX(YearMap!$I$2:$I$6, MATCH(C24, YearMap!$A$2:$A$6, 0))</f>
        <v>5319.5652</v>
      </c>
      <c r="AA24">
        <f t="shared" si="8"/>
        <v>3251651.8268384989</v>
      </c>
      <c r="AB24">
        <f t="shared" si="9"/>
        <v>4625.3937792866273</v>
      </c>
    </row>
    <row r="25" spans="1:28" x14ac:dyDescent="0.35">
      <c r="A25" t="str">
        <f t="shared" si="0"/>
        <v>D_Grow_Both_150|FY2029</v>
      </c>
      <c r="B25" t="str">
        <f>Scenarios!A6</f>
        <v>D_Grow_Both_150</v>
      </c>
      <c r="C25" t="s">
        <v>23</v>
      </c>
      <c r="D25">
        <f>IF(Scenarios!D6=1,0, L25)</f>
        <v>332</v>
      </c>
      <c r="E25">
        <f>IF(Scenarios!E6=1,0, M25)</f>
        <v>371</v>
      </c>
      <c r="F25">
        <f t="shared" si="1"/>
        <v>703</v>
      </c>
      <c r="G25" s="2">
        <f>YearMap!B5</f>
        <v>7677.2394168749979</v>
      </c>
      <c r="H25" s="2">
        <f>YearMap!C5</f>
        <v>845593.08434437483</v>
      </c>
      <c r="I25" s="2">
        <f>YearMap!D5</f>
        <v>973912.65745499986</v>
      </c>
      <c r="J25">
        <f>1-BaselineCalc!$B$5</f>
        <v>0.99299999999999999</v>
      </c>
      <c r="K25">
        <f>Scenarios!G6</f>
        <v>0</v>
      </c>
      <c r="L25">
        <f>BaselineCalc!$B$7 + ROUND(Scenarios!L6*Scenarios!F6,0)</f>
        <v>332</v>
      </c>
      <c r="M25">
        <f>BaselineCalc!$B$8 + Scenarios!L6 - ROUND(Scenarios!L6*Scenarios!F6,0)</f>
        <v>371</v>
      </c>
      <c r="N25" s="7">
        <f t="shared" si="2"/>
        <v>0</v>
      </c>
      <c r="O25" s="7">
        <f>BaselineCalc!$B$22 * N25</f>
        <v>0</v>
      </c>
      <c r="P25">
        <f>YearMap!E5</f>
        <v>400</v>
      </c>
      <c r="Q25">
        <f>IF(Scenarios!N6="lease", YearMap!F5, YearMap!G5)</f>
        <v>0.25</v>
      </c>
      <c r="R25" s="2">
        <f>IF(Scenarios!D6=1, Q25*H25, H25)</f>
        <v>845593.08434437483</v>
      </c>
      <c r="S25" s="2">
        <f>IF(Scenarios!E6=1, Q25*I25, I25)</f>
        <v>973912.65745499986</v>
      </c>
      <c r="T25" s="2">
        <f>IF(C25="FY2026", (Scenarios!D6+Scenarios!E6)*BaselineCalc!$B$21, 0)</f>
        <v>0</v>
      </c>
      <c r="U25" s="2">
        <f t="shared" si="3"/>
        <v>7166088.8164994614</v>
      </c>
      <c r="V25" s="2">
        <f t="shared" si="4"/>
        <v>0</v>
      </c>
      <c r="W25" s="2">
        <f t="shared" si="5"/>
        <v>7166088.8164994614</v>
      </c>
      <c r="X25" s="2">
        <f t="shared" si="6"/>
        <v>10193.582953768793</v>
      </c>
      <c r="Y25" t="str">
        <f t="shared" si="7"/>
        <v>D_Grow_Both_150|FY2029</v>
      </c>
      <c r="Z25">
        <f>INDEX(YearMap!$I$2:$I$6, MATCH(C25, YearMap!$A$2:$A$6, 0))</f>
        <v>5425.9565039999998</v>
      </c>
      <c r="AA25">
        <f t="shared" si="8"/>
        <v>3351641.3941874616</v>
      </c>
      <c r="AB25">
        <f t="shared" si="9"/>
        <v>4767.6264497687935</v>
      </c>
    </row>
    <row r="26" spans="1:28" x14ac:dyDescent="0.35">
      <c r="A26" t="str">
        <f t="shared" si="0"/>
        <v>D_Grow_Both_150|FY2030</v>
      </c>
      <c r="B26" t="str">
        <f>Scenarios!A6</f>
        <v>D_Grow_Both_150</v>
      </c>
      <c r="C26" t="s">
        <v>24</v>
      </c>
      <c r="D26">
        <f>IF(Scenarios!D6=1,0, L26)</f>
        <v>332</v>
      </c>
      <c r="E26">
        <f>IF(Scenarios!E6=1,0, M26)</f>
        <v>371</v>
      </c>
      <c r="F26">
        <f t="shared" si="1"/>
        <v>703</v>
      </c>
      <c r="G26" s="2">
        <f>YearMap!B6</f>
        <v>7869.1704022968725</v>
      </c>
      <c r="H26" s="2">
        <f>YearMap!C6</f>
        <v>866732.91145298409</v>
      </c>
      <c r="I26" s="2">
        <f>YearMap!D6</f>
        <v>998260.47389137466</v>
      </c>
      <c r="J26">
        <f>1-BaselineCalc!$B$5</f>
        <v>0.99299999999999999</v>
      </c>
      <c r="K26">
        <f>Scenarios!G6</f>
        <v>0</v>
      </c>
      <c r="L26">
        <f>BaselineCalc!$B$7 + ROUND(Scenarios!M6*Scenarios!F6,0)</f>
        <v>332</v>
      </c>
      <c r="M26">
        <f>BaselineCalc!$B$8 + Scenarios!M6 - ROUND(Scenarios!M6*Scenarios!F6,0)</f>
        <v>371</v>
      </c>
      <c r="N26" s="7">
        <f t="shared" si="2"/>
        <v>0</v>
      </c>
      <c r="O26" s="7">
        <f>BaselineCalc!$B$22 * N26</f>
        <v>0</v>
      </c>
      <c r="P26">
        <f>YearMap!E6</f>
        <v>300</v>
      </c>
      <c r="Q26">
        <f>IF(Scenarios!N6="lease", YearMap!F6, YearMap!G6)</f>
        <v>0.2</v>
      </c>
      <c r="R26" s="2">
        <f>IF(Scenarios!D6=1, Q26*H26, H26)</f>
        <v>866732.91145298409</v>
      </c>
      <c r="S26" s="2">
        <f>IF(Scenarios!E6=1, Q26*I26, I26)</f>
        <v>998260.47389137466</v>
      </c>
      <c r="T26" s="2">
        <f>IF(C26="FY2026", (Scenarios!D6+Scenarios!E6)*BaselineCalc!$B$21, 0)</f>
        <v>0</v>
      </c>
      <c r="U26" s="2">
        <f t="shared" si="3"/>
        <v>7345241.0369119467</v>
      </c>
      <c r="V26" s="2">
        <f t="shared" si="4"/>
        <v>0</v>
      </c>
      <c r="W26" s="2">
        <f t="shared" si="5"/>
        <v>7345241.0369119467</v>
      </c>
      <c r="X26" s="2">
        <f t="shared" si="6"/>
        <v>10448.422527613011</v>
      </c>
      <c r="Y26" t="str">
        <f t="shared" si="7"/>
        <v>D_Grow_Both_150|FY2030</v>
      </c>
      <c r="Z26">
        <f>INDEX(YearMap!$I$2:$I$6, MATCH(C26, YearMap!$A$2:$A$6, 0))</f>
        <v>5534.4756340799995</v>
      </c>
      <c r="AA26">
        <f t="shared" si="8"/>
        <v>3454504.6661537071</v>
      </c>
      <c r="AB26">
        <f t="shared" si="9"/>
        <v>4913.9468935330115</v>
      </c>
    </row>
    <row r="27" spans="1:28" x14ac:dyDescent="0.35">
      <c r="A27" t="str">
        <f t="shared" si="0"/>
        <v>G_DHub_EchoRamp|FY2026</v>
      </c>
      <c r="B27" t="str">
        <f>Scenarios!A7</f>
        <v>G_DHub_EchoRamp</v>
      </c>
      <c r="C27" t="s">
        <v>20</v>
      </c>
      <c r="D27">
        <f>IF(Scenarios!D7=1,0, L27)</f>
        <v>292</v>
      </c>
      <c r="E27">
        <f>IF(Scenarios!E7=1,0, M27)</f>
        <v>311</v>
      </c>
      <c r="F27">
        <f t="shared" si="1"/>
        <v>603</v>
      </c>
      <c r="G27" s="2">
        <f>YearMap!B2</f>
        <v>7129.079999999999</v>
      </c>
      <c r="H27" s="2">
        <f>YearMap!C2</f>
        <v>785217.23999999987</v>
      </c>
      <c r="I27" s="2">
        <f>YearMap!D2</f>
        <v>904374.71999999986</v>
      </c>
      <c r="J27">
        <f>1-BaselineCalc!$B$5</f>
        <v>0.99299999999999999</v>
      </c>
      <c r="K27">
        <f>Scenarios!G7</f>
        <v>0</v>
      </c>
      <c r="L27">
        <f>BaselineCalc!$B$7 + ROUND(Scenarios!I7*Scenarios!F7,0)</f>
        <v>292</v>
      </c>
      <c r="M27">
        <f>BaselineCalc!$B$8 + Scenarios!I7 - ROUND(Scenarios!I7*Scenarios!F7,0)</f>
        <v>311</v>
      </c>
      <c r="N27" s="7">
        <f t="shared" si="2"/>
        <v>0</v>
      </c>
      <c r="O27" s="7">
        <f>BaselineCalc!$B$22 * N27</f>
        <v>0</v>
      </c>
      <c r="P27">
        <f>YearMap!E2</f>
        <v>1000</v>
      </c>
      <c r="Q27">
        <f>IF(Scenarios!N7="lease", YearMap!F2, YearMap!G2)</f>
        <v>0.4</v>
      </c>
      <c r="R27" s="2">
        <f>IF(Scenarios!D7=1, Q27*H27, H27)</f>
        <v>785217.23999999987</v>
      </c>
      <c r="S27" s="2">
        <f>IF(Scenarios!E7=1, Q27*I27, I27)</f>
        <v>904374.71999999986</v>
      </c>
      <c r="T27" s="2">
        <f>IF(C27="FY2026", (Scenarios!D7+Scenarios!E7)*BaselineCalc!$B$21, 0)</f>
        <v>0</v>
      </c>
      <c r="U27" s="2">
        <f t="shared" si="3"/>
        <v>5946508.2095999988</v>
      </c>
      <c r="V27" s="2">
        <f t="shared" si="4"/>
        <v>0</v>
      </c>
      <c r="W27" s="2">
        <f t="shared" si="5"/>
        <v>5946508.2095999988</v>
      </c>
      <c r="X27" s="2">
        <f t="shared" si="6"/>
        <v>9861.5393194029839</v>
      </c>
      <c r="Y27" t="str">
        <f t="shared" si="7"/>
        <v>G_DHub_EchoRamp|FY2026</v>
      </c>
      <c r="Z27">
        <f>INDEX(YearMap!$I$2:$I$6, MATCH(C27, YearMap!$A$2:$A$6, 0))</f>
        <v>5113</v>
      </c>
      <c r="AA27">
        <f t="shared" si="8"/>
        <v>2863369.2095999988</v>
      </c>
      <c r="AB27">
        <f t="shared" si="9"/>
        <v>4748.539319402983</v>
      </c>
    </row>
    <row r="28" spans="1:28" x14ac:dyDescent="0.35">
      <c r="A28" t="str">
        <f t="shared" si="0"/>
        <v>G_DHub_EchoRamp|FY2027</v>
      </c>
      <c r="B28" t="str">
        <f>Scenarios!A7</f>
        <v>G_DHub_EchoRamp</v>
      </c>
      <c r="C28" t="s">
        <v>21</v>
      </c>
      <c r="D28">
        <f>IF(Scenarios!D7=1,0, L28)</f>
        <v>327</v>
      </c>
      <c r="E28">
        <f>IF(Scenarios!E7=1,0, M28)</f>
        <v>326</v>
      </c>
      <c r="F28">
        <f t="shared" si="1"/>
        <v>653</v>
      </c>
      <c r="G28" s="2">
        <f>YearMap!B3</f>
        <v>7307.3069999999989</v>
      </c>
      <c r="H28" s="2">
        <f>YearMap!C3</f>
        <v>804847.67099999997</v>
      </c>
      <c r="I28" s="2">
        <f>YearMap!D3</f>
        <v>926984.08799999999</v>
      </c>
      <c r="J28">
        <f>1-BaselineCalc!$B$5</f>
        <v>0.99299999999999999</v>
      </c>
      <c r="K28">
        <f>Scenarios!G7</f>
        <v>0</v>
      </c>
      <c r="L28">
        <f>BaselineCalc!$B$7 + ROUND(Scenarios!J7*Scenarios!F7,0)</f>
        <v>327</v>
      </c>
      <c r="M28">
        <f>BaselineCalc!$B$8 + Scenarios!J7 - ROUND(Scenarios!J7*Scenarios!F7,0)</f>
        <v>326</v>
      </c>
      <c r="N28" s="7">
        <f t="shared" si="2"/>
        <v>0</v>
      </c>
      <c r="O28" s="7">
        <f>BaselineCalc!$B$22 * N28</f>
        <v>0</v>
      </c>
      <c r="P28">
        <f>YearMap!E3</f>
        <v>800</v>
      </c>
      <c r="Q28">
        <f>IF(Scenarios!N7="lease", YearMap!F3, YearMap!G3)</f>
        <v>0.35</v>
      </c>
      <c r="R28" s="2">
        <f>IF(Scenarios!D7=1, Q28*H28, H28)</f>
        <v>804847.67099999997</v>
      </c>
      <c r="S28" s="2">
        <f>IF(Scenarios!E7=1, Q28*I28, I28)</f>
        <v>926984.08799999999</v>
      </c>
      <c r="T28" s="2">
        <f>IF(C28="FY2026", (Scenarios!D7+Scenarios!E7)*BaselineCalc!$B$21, 0)</f>
        <v>0</v>
      </c>
      <c r="U28" s="2">
        <f t="shared" si="3"/>
        <v>6457978.7073899982</v>
      </c>
      <c r="V28" s="2">
        <f t="shared" si="4"/>
        <v>0</v>
      </c>
      <c r="W28" s="2">
        <f t="shared" si="5"/>
        <v>6457978.7073899982</v>
      </c>
      <c r="X28" s="2">
        <f t="shared" si="6"/>
        <v>9889.7070557274092</v>
      </c>
      <c r="Y28" t="str">
        <f t="shared" si="7"/>
        <v>G_DHub_EchoRamp|FY2027</v>
      </c>
      <c r="Z28">
        <f>INDEX(YearMap!$I$2:$I$6, MATCH(C28, YearMap!$A$2:$A$6, 0))</f>
        <v>5215.26</v>
      </c>
      <c r="AA28">
        <f t="shared" si="8"/>
        <v>3052413.927389998</v>
      </c>
      <c r="AB28">
        <f t="shared" si="9"/>
        <v>4674.447055727409</v>
      </c>
    </row>
    <row r="29" spans="1:28" x14ac:dyDescent="0.35">
      <c r="A29" t="str">
        <f t="shared" si="0"/>
        <v>G_DHub_EchoRamp|FY2028</v>
      </c>
      <c r="B29" t="str">
        <f>Scenarios!A7</f>
        <v>G_DHub_EchoRamp</v>
      </c>
      <c r="C29" t="s">
        <v>22</v>
      </c>
      <c r="D29">
        <f>IF(Scenarios!D7=1,0, L29)</f>
        <v>362</v>
      </c>
      <c r="E29">
        <f>IF(Scenarios!E7=1,0, M29)</f>
        <v>341</v>
      </c>
      <c r="F29">
        <f t="shared" si="1"/>
        <v>703</v>
      </c>
      <c r="G29" s="2">
        <f>YearMap!B4</f>
        <v>7489.9896749999989</v>
      </c>
      <c r="H29" s="2">
        <f>YearMap!C4</f>
        <v>824968.86277499993</v>
      </c>
      <c r="I29" s="2">
        <f>YearMap!D4</f>
        <v>950158.69019999984</v>
      </c>
      <c r="J29">
        <f>1-BaselineCalc!$B$5</f>
        <v>0.99299999999999999</v>
      </c>
      <c r="K29">
        <f>Scenarios!G7</f>
        <v>0</v>
      </c>
      <c r="L29">
        <f>BaselineCalc!$B$7 + ROUND(Scenarios!K7*Scenarios!F7,0)</f>
        <v>362</v>
      </c>
      <c r="M29">
        <f>BaselineCalc!$B$8 + Scenarios!K7 - ROUND(Scenarios!K7*Scenarios!F7,0)</f>
        <v>341</v>
      </c>
      <c r="N29" s="7">
        <f t="shared" si="2"/>
        <v>0</v>
      </c>
      <c r="O29" s="7">
        <f>BaselineCalc!$B$22 * N29</f>
        <v>0</v>
      </c>
      <c r="P29">
        <f>YearMap!E4</f>
        <v>600</v>
      </c>
      <c r="Q29">
        <f>IF(Scenarios!N7="lease", YearMap!F4, YearMap!G4)</f>
        <v>0.3</v>
      </c>
      <c r="R29" s="2">
        <f>IF(Scenarios!D7=1, Q29*H29, H29)</f>
        <v>824968.86277499993</v>
      </c>
      <c r="S29" s="2">
        <f>IF(Scenarios!E7=1, Q29*I29, I29)</f>
        <v>950158.69019999984</v>
      </c>
      <c r="T29" s="2">
        <f>IF(C29="FY2026", (Scenarios!D7+Scenarios!E7)*BaselineCalc!$B$21, 0)</f>
        <v>0</v>
      </c>
      <c r="U29" s="2">
        <f t="shared" si="3"/>
        <v>6991306.1624384988</v>
      </c>
      <c r="V29" s="2">
        <f t="shared" si="4"/>
        <v>0</v>
      </c>
      <c r="W29" s="2">
        <f t="shared" si="5"/>
        <v>6991306.1624384988</v>
      </c>
      <c r="X29" s="2">
        <f t="shared" si="6"/>
        <v>9944.9589792866263</v>
      </c>
      <c r="Y29" t="str">
        <f t="shared" si="7"/>
        <v>G_DHub_EchoRamp|FY2028</v>
      </c>
      <c r="Z29">
        <f>INDEX(YearMap!$I$2:$I$6, MATCH(C29, YearMap!$A$2:$A$6, 0))</f>
        <v>5319.5652</v>
      </c>
      <c r="AA29">
        <f t="shared" si="8"/>
        <v>3251651.8268384989</v>
      </c>
      <c r="AB29">
        <f t="shared" si="9"/>
        <v>4625.3937792866273</v>
      </c>
    </row>
    <row r="30" spans="1:28" x14ac:dyDescent="0.35">
      <c r="A30" t="str">
        <f t="shared" si="0"/>
        <v>G_DHub_EchoRamp|FY2029</v>
      </c>
      <c r="B30" t="str">
        <f>Scenarios!A7</f>
        <v>G_DHub_EchoRamp</v>
      </c>
      <c r="C30" t="s">
        <v>23</v>
      </c>
      <c r="D30">
        <f>IF(Scenarios!D7=1,0, L30)</f>
        <v>362</v>
      </c>
      <c r="E30">
        <f>IF(Scenarios!E7=1,0, M30)</f>
        <v>341</v>
      </c>
      <c r="F30">
        <f t="shared" si="1"/>
        <v>703</v>
      </c>
      <c r="G30" s="2">
        <f>YearMap!B5</f>
        <v>7677.2394168749979</v>
      </c>
      <c r="H30" s="2">
        <f>YearMap!C5</f>
        <v>845593.08434437483</v>
      </c>
      <c r="I30" s="2">
        <f>YearMap!D5</f>
        <v>973912.65745499986</v>
      </c>
      <c r="J30">
        <f>1-BaselineCalc!$B$5</f>
        <v>0.99299999999999999</v>
      </c>
      <c r="K30">
        <f>Scenarios!G7</f>
        <v>0</v>
      </c>
      <c r="L30">
        <f>BaselineCalc!$B$7 + ROUND(Scenarios!L7*Scenarios!F7,0)</f>
        <v>362</v>
      </c>
      <c r="M30">
        <f>BaselineCalc!$B$8 + Scenarios!L7 - ROUND(Scenarios!L7*Scenarios!F7,0)</f>
        <v>341</v>
      </c>
      <c r="N30" s="7">
        <f t="shared" si="2"/>
        <v>0</v>
      </c>
      <c r="O30" s="7">
        <f>BaselineCalc!$B$22 * N30</f>
        <v>0</v>
      </c>
      <c r="P30">
        <f>YearMap!E5</f>
        <v>400</v>
      </c>
      <c r="Q30">
        <f>IF(Scenarios!N7="lease", YearMap!F5, YearMap!G5)</f>
        <v>0.25</v>
      </c>
      <c r="R30" s="2">
        <f>IF(Scenarios!D7=1, Q30*H30, H30)</f>
        <v>845593.08434437483</v>
      </c>
      <c r="S30" s="2">
        <f>IF(Scenarios!E7=1, Q30*I30, I30)</f>
        <v>973912.65745499986</v>
      </c>
      <c r="T30" s="2">
        <f>IF(C30="FY2026", (Scenarios!D7+Scenarios!E7)*BaselineCalc!$B$21, 0)</f>
        <v>0</v>
      </c>
      <c r="U30" s="2">
        <f t="shared" si="3"/>
        <v>7166088.8164994614</v>
      </c>
      <c r="V30" s="2">
        <f t="shared" si="4"/>
        <v>0</v>
      </c>
      <c r="W30" s="2">
        <f t="shared" si="5"/>
        <v>7166088.8164994614</v>
      </c>
      <c r="X30" s="2">
        <f t="shared" si="6"/>
        <v>10193.582953768793</v>
      </c>
      <c r="Y30" t="str">
        <f t="shared" si="7"/>
        <v>G_DHub_EchoRamp|FY2029</v>
      </c>
      <c r="Z30">
        <f>INDEX(YearMap!$I$2:$I$6, MATCH(C30, YearMap!$A$2:$A$6, 0))</f>
        <v>5425.9565039999998</v>
      </c>
      <c r="AA30">
        <f t="shared" si="8"/>
        <v>3351641.3941874616</v>
      </c>
      <c r="AB30">
        <f t="shared" si="9"/>
        <v>4767.6264497687935</v>
      </c>
    </row>
    <row r="31" spans="1:28" x14ac:dyDescent="0.35">
      <c r="A31" t="str">
        <f t="shared" si="0"/>
        <v>G_DHub_EchoRamp|FY2030</v>
      </c>
      <c r="B31" t="str">
        <f>Scenarios!A7</f>
        <v>G_DHub_EchoRamp</v>
      </c>
      <c r="C31" t="s">
        <v>24</v>
      </c>
      <c r="D31">
        <f>IF(Scenarios!D7=1,0, L31)</f>
        <v>362</v>
      </c>
      <c r="E31">
        <f>IF(Scenarios!E7=1,0, M31)</f>
        <v>341</v>
      </c>
      <c r="F31">
        <f t="shared" si="1"/>
        <v>703</v>
      </c>
      <c r="G31" s="2">
        <f>YearMap!B6</f>
        <v>7869.1704022968725</v>
      </c>
      <c r="H31" s="2">
        <f>YearMap!C6</f>
        <v>866732.91145298409</v>
      </c>
      <c r="I31" s="2">
        <f>YearMap!D6</f>
        <v>998260.47389137466</v>
      </c>
      <c r="J31">
        <f>1-BaselineCalc!$B$5</f>
        <v>0.99299999999999999</v>
      </c>
      <c r="K31">
        <f>Scenarios!G7</f>
        <v>0</v>
      </c>
      <c r="L31">
        <f>BaselineCalc!$B$7 + ROUND(Scenarios!M7*Scenarios!F7,0)</f>
        <v>362</v>
      </c>
      <c r="M31">
        <f>BaselineCalc!$B$8 + Scenarios!M7 - ROUND(Scenarios!M7*Scenarios!F7,0)</f>
        <v>341</v>
      </c>
      <c r="N31" s="7">
        <f t="shared" si="2"/>
        <v>0</v>
      </c>
      <c r="O31" s="7">
        <f>BaselineCalc!$B$22 * N31</f>
        <v>0</v>
      </c>
      <c r="P31">
        <f>YearMap!E6</f>
        <v>300</v>
      </c>
      <c r="Q31">
        <f>IF(Scenarios!N7="lease", YearMap!F6, YearMap!G6)</f>
        <v>0.2</v>
      </c>
      <c r="R31" s="2">
        <f>IF(Scenarios!D7=1, Q31*H31, H31)</f>
        <v>866732.91145298409</v>
      </c>
      <c r="S31" s="2">
        <f>IF(Scenarios!E7=1, Q31*I31, I31)</f>
        <v>998260.47389137466</v>
      </c>
      <c r="T31" s="2">
        <f>IF(C31="FY2026", (Scenarios!D7+Scenarios!E7)*BaselineCalc!$B$21, 0)</f>
        <v>0</v>
      </c>
      <c r="U31" s="2">
        <f t="shared" si="3"/>
        <v>7345241.0369119467</v>
      </c>
      <c r="V31" s="2">
        <f t="shared" si="4"/>
        <v>0</v>
      </c>
      <c r="W31" s="2">
        <f t="shared" si="5"/>
        <v>7345241.0369119467</v>
      </c>
      <c r="X31" s="2">
        <f t="shared" si="6"/>
        <v>10448.422527613011</v>
      </c>
      <c r="Y31" t="str">
        <f t="shared" si="7"/>
        <v>G_DHub_EchoRamp|FY2030</v>
      </c>
      <c r="Z31">
        <f>INDEX(YearMap!$I$2:$I$6, MATCH(C31, YearMap!$A$2:$A$6, 0))</f>
        <v>5534.4756340799995</v>
      </c>
      <c r="AA31">
        <f t="shared" si="8"/>
        <v>3454504.6661537071</v>
      </c>
      <c r="AB31">
        <f t="shared" si="9"/>
        <v>4913.9468935330115</v>
      </c>
    </row>
    <row r="32" spans="1:28" x14ac:dyDescent="0.35">
      <c r="A32" t="str">
        <f t="shared" si="0"/>
        <v>A_Repurpose_Both_lease|FY2026</v>
      </c>
      <c r="B32" t="str">
        <f>Scenarios!A8</f>
        <v>A_Repurpose_Both_lease</v>
      </c>
      <c r="C32" t="s">
        <v>20</v>
      </c>
      <c r="D32">
        <f>IF(Scenarios!D8=1,0, L32)</f>
        <v>0</v>
      </c>
      <c r="E32">
        <f>IF(Scenarios!E8=1,0, M32)</f>
        <v>0</v>
      </c>
      <c r="F32">
        <f t="shared" si="1"/>
        <v>0</v>
      </c>
      <c r="G32" s="2">
        <f>YearMap!B2</f>
        <v>7129.079999999999</v>
      </c>
      <c r="H32" s="2">
        <f>YearMap!C2</f>
        <v>785217.23999999987</v>
      </c>
      <c r="I32" s="2">
        <f>YearMap!D2</f>
        <v>904374.71999999986</v>
      </c>
      <c r="J32">
        <f>1-BaselineCalc!$B$5</f>
        <v>0.99299999999999999</v>
      </c>
      <c r="K32">
        <f>Scenarios!G8</f>
        <v>0</v>
      </c>
      <c r="L32">
        <f>BaselineCalc!$B$7 + ROUND(Scenarios!I8*Scenarios!F8,0)</f>
        <v>257</v>
      </c>
      <c r="M32">
        <f>BaselineCalc!$B$8 + Scenarios!I8 - ROUND(Scenarios!I8*Scenarios!F8,0)</f>
        <v>296</v>
      </c>
      <c r="N32" s="7">
        <f t="shared" si="2"/>
        <v>553</v>
      </c>
      <c r="O32" s="7">
        <f>BaselineCalc!$B$22 * N32</f>
        <v>414.75</v>
      </c>
      <c r="P32">
        <f>YearMap!E2</f>
        <v>1000</v>
      </c>
      <c r="Q32">
        <f>IF(Scenarios!N8="lease", YearMap!F2, YearMap!G2)</f>
        <v>0.4</v>
      </c>
      <c r="R32" s="2">
        <f>IF(Scenarios!D8=1, Q32*H32, H32)</f>
        <v>314086.89599999995</v>
      </c>
      <c r="S32" s="2">
        <f>IF(Scenarios!E8=1, Q32*I32, I32)</f>
        <v>361749.88799999998</v>
      </c>
      <c r="T32" s="2">
        <f>IF(C32="FY2026", (Scenarios!D8+Scenarios!E8)*BaselineCalc!$B$21, 0)</f>
        <v>2400000</v>
      </c>
      <c r="U32" s="2">
        <f t="shared" si="3"/>
        <v>671105.92651200003</v>
      </c>
      <c r="V32" s="2">
        <f t="shared" si="4"/>
        <v>3371535.9299999997</v>
      </c>
      <c r="W32" s="2">
        <f t="shared" si="5"/>
        <v>6442641.8565119999</v>
      </c>
      <c r="X32" s="2">
        <f t="shared" si="6"/>
        <v>15533.795916846293</v>
      </c>
      <c r="Y32" t="str">
        <f t="shared" si="7"/>
        <v>A_Repurpose_Both_lease|FY2026</v>
      </c>
      <c r="Z32">
        <f>INDEX(YearMap!$I$2:$I$6, MATCH(C32, YearMap!$A$2:$A$6, 0))</f>
        <v>5113</v>
      </c>
      <c r="AA32">
        <f t="shared" si="8"/>
        <v>4322025.1065119999</v>
      </c>
      <c r="AB32">
        <f t="shared" si="9"/>
        <v>10420.795916846293</v>
      </c>
    </row>
    <row r="33" spans="1:28" x14ac:dyDescent="0.35">
      <c r="A33" t="str">
        <f t="shared" ref="A33:A61" si="10">Y33</f>
        <v>A_Repurpose_Both_lease|FY2027</v>
      </c>
      <c r="B33" t="str">
        <f>Scenarios!A8</f>
        <v>A_Repurpose_Both_lease</v>
      </c>
      <c r="C33" t="s">
        <v>21</v>
      </c>
      <c r="D33">
        <f>IF(Scenarios!D8=1,0, L33)</f>
        <v>0</v>
      </c>
      <c r="E33">
        <f>IF(Scenarios!E8=1,0, M33)</f>
        <v>0</v>
      </c>
      <c r="F33">
        <f t="shared" si="1"/>
        <v>0</v>
      </c>
      <c r="G33" s="2">
        <f>YearMap!B3</f>
        <v>7307.3069999999989</v>
      </c>
      <c r="H33" s="2">
        <f>YearMap!C3</f>
        <v>804847.67099999997</v>
      </c>
      <c r="I33" s="2">
        <f>YearMap!D3</f>
        <v>926984.08799999999</v>
      </c>
      <c r="J33">
        <f>1-BaselineCalc!$B$5</f>
        <v>0.99299999999999999</v>
      </c>
      <c r="K33">
        <f>Scenarios!G8</f>
        <v>0</v>
      </c>
      <c r="L33">
        <f>BaselineCalc!$B$7 + ROUND(Scenarios!J8*Scenarios!F8,0)</f>
        <v>257</v>
      </c>
      <c r="M33">
        <f>BaselineCalc!$B$8 + Scenarios!J8 - ROUND(Scenarios!J8*Scenarios!F8,0)</f>
        <v>296</v>
      </c>
      <c r="N33" s="7">
        <f t="shared" si="2"/>
        <v>553</v>
      </c>
      <c r="O33" s="7">
        <f>BaselineCalc!$B$22 * N33</f>
        <v>414.75</v>
      </c>
      <c r="P33">
        <f>YearMap!E3</f>
        <v>800</v>
      </c>
      <c r="Q33">
        <f>IF(Scenarios!N8="lease", YearMap!F3, YearMap!G3)</f>
        <v>0.3</v>
      </c>
      <c r="R33" s="2">
        <f>IF(Scenarios!D8=1, Q33*H33, H33)</f>
        <v>241454.30129999999</v>
      </c>
      <c r="S33" s="2">
        <f>IF(Scenarios!E8=1, Q33*I33, I33)</f>
        <v>278095.22639999999</v>
      </c>
      <c r="T33" s="2">
        <f>IF(C33="FY2026", (Scenarios!D8+Scenarios!E8)*BaselineCalc!$B$21, 0)</f>
        <v>0</v>
      </c>
      <c r="U33" s="2">
        <f t="shared" si="3"/>
        <v>515912.68100609997</v>
      </c>
      <c r="V33" s="2">
        <f t="shared" si="4"/>
        <v>3362505.5782499993</v>
      </c>
      <c r="W33" s="2">
        <f t="shared" si="5"/>
        <v>3878418.2592560994</v>
      </c>
      <c r="X33" s="2">
        <f t="shared" si="6"/>
        <v>9351.2194315999986</v>
      </c>
      <c r="Y33" t="str">
        <f t="shared" si="7"/>
        <v>A_Repurpose_Both_lease|FY2027</v>
      </c>
      <c r="Z33">
        <f>INDEX(YearMap!$I$2:$I$6, MATCH(C33, YearMap!$A$2:$A$6, 0))</f>
        <v>5215.26</v>
      </c>
      <c r="AA33">
        <f t="shared" si="8"/>
        <v>1715389.1742560994</v>
      </c>
      <c r="AB33">
        <f t="shared" si="9"/>
        <v>4135.9594315999984</v>
      </c>
    </row>
    <row r="34" spans="1:28" x14ac:dyDescent="0.35">
      <c r="A34" t="str">
        <f t="shared" si="10"/>
        <v>A_Repurpose_Both_lease|FY2028</v>
      </c>
      <c r="B34" t="str">
        <f>Scenarios!A8</f>
        <v>A_Repurpose_Both_lease</v>
      </c>
      <c r="C34" t="s">
        <v>22</v>
      </c>
      <c r="D34">
        <f>IF(Scenarios!D8=1,0, L34)</f>
        <v>0</v>
      </c>
      <c r="E34">
        <f>IF(Scenarios!E8=1,0, M34)</f>
        <v>0</v>
      </c>
      <c r="F34">
        <f t="shared" ref="F34:F65" si="11">D34+E34</f>
        <v>0</v>
      </c>
      <c r="G34" s="2">
        <f>YearMap!B4</f>
        <v>7489.9896749999989</v>
      </c>
      <c r="H34" s="2">
        <f>YearMap!C4</f>
        <v>824968.86277499993</v>
      </c>
      <c r="I34" s="2">
        <f>YearMap!D4</f>
        <v>950158.69019999984</v>
      </c>
      <c r="J34">
        <f>1-BaselineCalc!$B$5</f>
        <v>0.99299999999999999</v>
      </c>
      <c r="K34">
        <f>Scenarios!G8</f>
        <v>0</v>
      </c>
      <c r="L34">
        <f>BaselineCalc!$B$7 + ROUND(Scenarios!K8*Scenarios!F8,0)</f>
        <v>257</v>
      </c>
      <c r="M34">
        <f>BaselineCalc!$B$8 + Scenarios!K8 - ROUND(Scenarios!K8*Scenarios!F8,0)</f>
        <v>296</v>
      </c>
      <c r="N34" s="7">
        <f t="shared" ref="N34:N65" si="12">(L34-D34) + (M34-E34)</f>
        <v>553</v>
      </c>
      <c r="O34" s="7">
        <f>BaselineCalc!$B$22 * N34</f>
        <v>414.75</v>
      </c>
      <c r="P34">
        <f>YearMap!E4</f>
        <v>600</v>
      </c>
      <c r="Q34">
        <f>IF(Scenarios!N8="lease", YearMap!F4, YearMap!G4)</f>
        <v>0.2</v>
      </c>
      <c r="R34" s="2">
        <f>IF(Scenarios!D8=1, Q34*H34, H34)</f>
        <v>164993.772555</v>
      </c>
      <c r="S34" s="2">
        <f>IF(Scenarios!E8=1, Q34*I34, I34)</f>
        <v>190031.73803999997</v>
      </c>
      <c r="T34" s="2">
        <f>IF(C34="FY2026", (Scenarios!D8+Scenarios!E8)*BaselineCalc!$B$21, 0)</f>
        <v>0</v>
      </c>
      <c r="U34" s="2">
        <f t="shared" ref="U34:U61" si="13">(R34+S34+G34*F34)*J34*(1-K34)</f>
        <v>352540.33202083502</v>
      </c>
      <c r="V34" s="2">
        <f t="shared" ref="V34:V61" si="14">O34*(G34+P34)</f>
        <v>3355323.2177062496</v>
      </c>
      <c r="W34" s="2">
        <f t="shared" ref="W34:W65" si="15">U34+V34+T34</f>
        <v>3707863.5497270846</v>
      </c>
      <c r="X34" s="2">
        <f t="shared" ref="X34:X65" si="16">IF(F34+O34&gt;0, W34/(F34+O34),"")</f>
        <v>8939.9965032599994</v>
      </c>
      <c r="Y34" t="str">
        <f t="shared" ref="Y34:Y61" si="17">B34&amp;"|"&amp;C34</f>
        <v>A_Repurpose_Both_lease|FY2028</v>
      </c>
      <c r="Z34">
        <f>INDEX(YearMap!$I$2:$I$6, MATCH(C34, YearMap!$A$2:$A$6, 0))</f>
        <v>5319.5652</v>
      </c>
      <c r="AA34">
        <f t="shared" ref="AA34:AA61" si="18">$W34 - $Z34 * (IF(LEFT($B34,2)="A_", $O34, IF(LEFT($B34,2)="B_", $M34+$O34, IF(LEFT($B34,2)="C_", $L34+$O34, $F34))))</f>
        <v>1501573.8830270846</v>
      </c>
      <c r="AB34">
        <f t="shared" ref="AB34:AB61" si="19">IF((IF(LEFT($B34,2)="A_", $O34, IF(LEFT($B34,2)="B_", $M34+$O34, IF(LEFT($B34,2)="C_", $L34+$O34, $F34))))&gt;0, $AA34 / (IF(LEFT($B34,2)="A_", $O34, IF(LEFT($B34,2)="B_", $M34+$O34, IF(LEFT($B34,2)="C_", $L34+$O34, $F34)))), "")</f>
        <v>3620.4313032599989</v>
      </c>
    </row>
    <row r="35" spans="1:28" x14ac:dyDescent="0.35">
      <c r="A35" t="str">
        <f t="shared" si="10"/>
        <v>A_Repurpose_Both_lease|FY2029</v>
      </c>
      <c r="B35" t="str">
        <f>Scenarios!A8</f>
        <v>A_Repurpose_Both_lease</v>
      </c>
      <c r="C35" t="s">
        <v>23</v>
      </c>
      <c r="D35">
        <f>IF(Scenarios!D8=1,0, L35)</f>
        <v>0</v>
      </c>
      <c r="E35">
        <f>IF(Scenarios!E8=1,0, M35)</f>
        <v>0</v>
      </c>
      <c r="F35">
        <f t="shared" si="11"/>
        <v>0</v>
      </c>
      <c r="G35" s="2">
        <f>YearMap!B5</f>
        <v>7677.2394168749979</v>
      </c>
      <c r="H35" s="2">
        <f>YearMap!C5</f>
        <v>845593.08434437483</v>
      </c>
      <c r="I35" s="2">
        <f>YearMap!D5</f>
        <v>973912.65745499986</v>
      </c>
      <c r="J35">
        <f>1-BaselineCalc!$B$5</f>
        <v>0.99299999999999999</v>
      </c>
      <c r="K35">
        <f>Scenarios!G8</f>
        <v>0</v>
      </c>
      <c r="L35">
        <f>BaselineCalc!$B$7 + ROUND(Scenarios!L8*Scenarios!F8,0)</f>
        <v>257</v>
      </c>
      <c r="M35">
        <f>BaselineCalc!$B$8 + Scenarios!L8 - ROUND(Scenarios!L8*Scenarios!F8,0)</f>
        <v>296</v>
      </c>
      <c r="N35" s="7">
        <f t="shared" si="12"/>
        <v>553</v>
      </c>
      <c r="O35" s="7">
        <f>BaselineCalc!$B$22 * N35</f>
        <v>414.75</v>
      </c>
      <c r="P35">
        <f>YearMap!E5</f>
        <v>400</v>
      </c>
      <c r="Q35">
        <f>IF(Scenarios!N8="lease", YearMap!F5, YearMap!G5)</f>
        <v>0.1</v>
      </c>
      <c r="R35" s="2">
        <f>IF(Scenarios!D8=1, Q35*H35, H35)</f>
        <v>84559.308434437495</v>
      </c>
      <c r="S35" s="2">
        <f>IF(Scenarios!E8=1, Q35*I35, I35)</f>
        <v>97391.265745499986</v>
      </c>
      <c r="T35" s="2">
        <f>IF(C35="FY2026", (Scenarios!D8+Scenarios!E8)*BaselineCalc!$B$21, 0)</f>
        <v>0</v>
      </c>
      <c r="U35" s="2">
        <f t="shared" si="13"/>
        <v>180676.92016067792</v>
      </c>
      <c r="V35" s="2">
        <f t="shared" si="14"/>
        <v>3350035.0481489054</v>
      </c>
      <c r="W35" s="2">
        <f t="shared" si="15"/>
        <v>3530711.9683095831</v>
      </c>
      <c r="X35" s="2">
        <f t="shared" si="16"/>
        <v>8512.8679163582474</v>
      </c>
      <c r="Y35" t="str">
        <f t="shared" si="17"/>
        <v>A_Repurpose_Both_lease|FY2029</v>
      </c>
      <c r="Z35">
        <f>INDEX(YearMap!$I$2:$I$6, MATCH(C35, YearMap!$A$2:$A$6, 0))</f>
        <v>5425.9565039999998</v>
      </c>
      <c r="AA35">
        <f t="shared" si="18"/>
        <v>1280296.5082755834</v>
      </c>
      <c r="AB35">
        <f t="shared" si="19"/>
        <v>3086.9114123582481</v>
      </c>
    </row>
    <row r="36" spans="1:28" x14ac:dyDescent="0.35">
      <c r="A36" t="str">
        <f t="shared" si="10"/>
        <v>A_Repurpose_Both_lease|FY2030</v>
      </c>
      <c r="B36" t="str">
        <f>Scenarios!A8</f>
        <v>A_Repurpose_Both_lease</v>
      </c>
      <c r="C36" t="s">
        <v>24</v>
      </c>
      <c r="D36">
        <f>IF(Scenarios!D8=1,0, L36)</f>
        <v>0</v>
      </c>
      <c r="E36">
        <f>IF(Scenarios!E8=1,0, M36)</f>
        <v>0</v>
      </c>
      <c r="F36">
        <f t="shared" si="11"/>
        <v>0</v>
      </c>
      <c r="G36" s="2">
        <f>YearMap!B6</f>
        <v>7869.1704022968725</v>
      </c>
      <c r="H36" s="2">
        <f>YearMap!C6</f>
        <v>866732.91145298409</v>
      </c>
      <c r="I36" s="2">
        <f>YearMap!D6</f>
        <v>998260.47389137466</v>
      </c>
      <c r="J36">
        <f>1-BaselineCalc!$B$5</f>
        <v>0.99299999999999999</v>
      </c>
      <c r="K36">
        <f>Scenarios!G8</f>
        <v>0</v>
      </c>
      <c r="L36">
        <f>BaselineCalc!$B$7 + ROUND(Scenarios!M8*Scenarios!F8,0)</f>
        <v>257</v>
      </c>
      <c r="M36">
        <f>BaselineCalc!$B$8 + Scenarios!M8 - ROUND(Scenarios!M8*Scenarios!F8,0)</f>
        <v>296</v>
      </c>
      <c r="N36" s="7">
        <f t="shared" si="12"/>
        <v>553</v>
      </c>
      <c r="O36" s="7">
        <f>BaselineCalc!$B$22 * N36</f>
        <v>414.75</v>
      </c>
      <c r="P36">
        <f>YearMap!E6</f>
        <v>300</v>
      </c>
      <c r="Q36">
        <f>IF(Scenarios!N8="lease", YearMap!F6, YearMap!G6)</f>
        <v>0</v>
      </c>
      <c r="R36" s="2">
        <f>IF(Scenarios!D8=1, Q36*H36, H36)</f>
        <v>0</v>
      </c>
      <c r="S36" s="2">
        <f>IF(Scenarios!E8=1, Q36*I36, I36)</f>
        <v>0</v>
      </c>
      <c r="T36" s="2">
        <f>IF(C36="FY2026", (Scenarios!D8+Scenarios!E8)*BaselineCalc!$B$21, 0)</f>
        <v>0</v>
      </c>
      <c r="U36" s="2">
        <f t="shared" si="13"/>
        <v>0</v>
      </c>
      <c r="V36" s="2">
        <f t="shared" si="14"/>
        <v>3388163.4243526277</v>
      </c>
      <c r="W36" s="2">
        <f t="shared" si="15"/>
        <v>3388163.4243526277</v>
      </c>
      <c r="X36" s="2">
        <f t="shared" si="16"/>
        <v>8169.1704022968725</v>
      </c>
      <c r="Y36" t="str">
        <f t="shared" si="17"/>
        <v>A_Repurpose_Both_lease|FY2030</v>
      </c>
      <c r="Z36">
        <f>INDEX(YearMap!$I$2:$I$6, MATCH(C36, YearMap!$A$2:$A$6, 0))</f>
        <v>5534.4756340799995</v>
      </c>
      <c r="AA36">
        <f t="shared" si="18"/>
        <v>1092739.6551179481</v>
      </c>
      <c r="AB36">
        <f t="shared" si="19"/>
        <v>2634.6947682168729</v>
      </c>
    </row>
    <row r="37" spans="1:28" x14ac:dyDescent="0.35">
      <c r="A37" t="str">
        <f t="shared" si="10"/>
        <v>A_Repurpose_Both_ops|FY2026</v>
      </c>
      <c r="B37" t="str">
        <f>Scenarios!A9</f>
        <v>A_Repurpose_Both_ops</v>
      </c>
      <c r="C37" t="s">
        <v>20</v>
      </c>
      <c r="D37">
        <f>IF(Scenarios!D9=1,0, L37)</f>
        <v>0</v>
      </c>
      <c r="E37">
        <f>IF(Scenarios!E9=1,0, M37)</f>
        <v>0</v>
      </c>
      <c r="F37">
        <f t="shared" si="11"/>
        <v>0</v>
      </c>
      <c r="G37" s="2">
        <f>YearMap!B2</f>
        <v>7129.079999999999</v>
      </c>
      <c r="H37" s="2">
        <f>YearMap!C2</f>
        <v>785217.23999999987</v>
      </c>
      <c r="I37" s="2">
        <f>YearMap!D2</f>
        <v>904374.71999999986</v>
      </c>
      <c r="J37">
        <f>1-BaselineCalc!$B$5</f>
        <v>0.99299999999999999</v>
      </c>
      <c r="K37">
        <f>Scenarios!G9</f>
        <v>0</v>
      </c>
      <c r="L37">
        <f>BaselineCalc!$B$7 + ROUND(Scenarios!I9*Scenarios!F9,0)</f>
        <v>257</v>
      </c>
      <c r="M37">
        <f>BaselineCalc!$B$8 + Scenarios!I9 - ROUND(Scenarios!I9*Scenarios!F9,0)</f>
        <v>296</v>
      </c>
      <c r="N37" s="7">
        <f t="shared" si="12"/>
        <v>553</v>
      </c>
      <c r="O37" s="7">
        <f>BaselineCalc!$B$22 * N37</f>
        <v>414.75</v>
      </c>
      <c r="P37">
        <f>YearMap!E2</f>
        <v>1000</v>
      </c>
      <c r="Q37">
        <f>IF(Scenarios!N9="lease", YearMap!F2, YearMap!G2)</f>
        <v>0.4</v>
      </c>
      <c r="R37" s="2">
        <f>IF(Scenarios!D9=1, Q37*H37, H37)</f>
        <v>314086.89599999995</v>
      </c>
      <c r="S37" s="2">
        <f>IF(Scenarios!E9=1, Q37*I37, I37)</f>
        <v>361749.88799999998</v>
      </c>
      <c r="T37" s="2">
        <f>IF(C37="FY2026", (Scenarios!D9+Scenarios!E9)*BaselineCalc!$B$21, 0)</f>
        <v>2400000</v>
      </c>
      <c r="U37" s="2">
        <f t="shared" si="13"/>
        <v>671105.92651200003</v>
      </c>
      <c r="V37" s="2">
        <f t="shared" si="14"/>
        <v>3371535.9299999997</v>
      </c>
      <c r="W37" s="2">
        <f t="shared" si="15"/>
        <v>6442641.8565119999</v>
      </c>
      <c r="X37" s="2">
        <f t="shared" si="16"/>
        <v>15533.795916846293</v>
      </c>
      <c r="Y37" t="str">
        <f t="shared" si="17"/>
        <v>A_Repurpose_Both_ops|FY2026</v>
      </c>
      <c r="Z37">
        <f>INDEX(YearMap!$I$2:$I$6, MATCH(C37, YearMap!$A$2:$A$6, 0))</f>
        <v>5113</v>
      </c>
      <c r="AA37">
        <f t="shared" si="18"/>
        <v>4322025.1065119999</v>
      </c>
      <c r="AB37">
        <f t="shared" si="19"/>
        <v>10420.795916846293</v>
      </c>
    </row>
    <row r="38" spans="1:28" x14ac:dyDescent="0.35">
      <c r="A38" t="str">
        <f t="shared" si="10"/>
        <v>A_Repurpose_Both_ops|FY2027</v>
      </c>
      <c r="B38" t="str">
        <f>Scenarios!A9</f>
        <v>A_Repurpose_Both_ops</v>
      </c>
      <c r="C38" t="s">
        <v>21</v>
      </c>
      <c r="D38">
        <f>IF(Scenarios!D9=1,0, L38)</f>
        <v>0</v>
      </c>
      <c r="E38">
        <f>IF(Scenarios!E9=1,0, M38)</f>
        <v>0</v>
      </c>
      <c r="F38">
        <f t="shared" si="11"/>
        <v>0</v>
      </c>
      <c r="G38" s="2">
        <f>YearMap!B3</f>
        <v>7307.3069999999989</v>
      </c>
      <c r="H38" s="2">
        <f>YearMap!C3</f>
        <v>804847.67099999997</v>
      </c>
      <c r="I38" s="2">
        <f>YearMap!D3</f>
        <v>926984.08799999999</v>
      </c>
      <c r="J38">
        <f>1-BaselineCalc!$B$5</f>
        <v>0.99299999999999999</v>
      </c>
      <c r="K38">
        <f>Scenarios!G9</f>
        <v>0</v>
      </c>
      <c r="L38">
        <f>BaselineCalc!$B$7 + ROUND(Scenarios!J9*Scenarios!F9,0)</f>
        <v>257</v>
      </c>
      <c r="M38">
        <f>BaselineCalc!$B$8 + Scenarios!J9 - ROUND(Scenarios!J9*Scenarios!F9,0)</f>
        <v>296</v>
      </c>
      <c r="N38" s="7">
        <f t="shared" si="12"/>
        <v>553</v>
      </c>
      <c r="O38" s="7">
        <f>BaselineCalc!$B$22 * N38</f>
        <v>414.75</v>
      </c>
      <c r="P38">
        <f>YearMap!E3</f>
        <v>800</v>
      </c>
      <c r="Q38">
        <f>IF(Scenarios!N9="lease", YearMap!F3, YearMap!G3)</f>
        <v>0.35</v>
      </c>
      <c r="R38" s="2">
        <f>IF(Scenarios!D9=1, Q38*H38, H38)</f>
        <v>281696.68484999996</v>
      </c>
      <c r="S38" s="2">
        <f>IF(Scenarios!E9=1, Q38*I38, I38)</f>
        <v>324444.43079999997</v>
      </c>
      <c r="T38" s="2">
        <f>IF(C38="FY2026", (Scenarios!D9+Scenarios!E9)*BaselineCalc!$B$21, 0)</f>
        <v>0</v>
      </c>
      <c r="U38" s="2">
        <f t="shared" si="13"/>
        <v>601898.12784044992</v>
      </c>
      <c r="V38" s="2">
        <f t="shared" si="14"/>
        <v>3362505.5782499993</v>
      </c>
      <c r="W38" s="2">
        <f t="shared" si="15"/>
        <v>3964403.7060904494</v>
      </c>
      <c r="X38" s="2">
        <f t="shared" si="16"/>
        <v>9558.5381701999977</v>
      </c>
      <c r="Y38" t="str">
        <f t="shared" si="17"/>
        <v>A_Repurpose_Both_ops|FY2027</v>
      </c>
      <c r="Z38">
        <f>INDEX(YearMap!$I$2:$I$6, MATCH(C38, YearMap!$A$2:$A$6, 0))</f>
        <v>5215.26</v>
      </c>
      <c r="AA38">
        <f t="shared" si="18"/>
        <v>1801374.6210904494</v>
      </c>
      <c r="AB38">
        <f t="shared" si="19"/>
        <v>4343.2781701999984</v>
      </c>
    </row>
    <row r="39" spans="1:28" x14ac:dyDescent="0.35">
      <c r="A39" t="str">
        <f t="shared" si="10"/>
        <v>A_Repurpose_Both_ops|FY2028</v>
      </c>
      <c r="B39" t="str">
        <f>Scenarios!A9</f>
        <v>A_Repurpose_Both_ops</v>
      </c>
      <c r="C39" t="s">
        <v>22</v>
      </c>
      <c r="D39">
        <f>IF(Scenarios!D9=1,0, L39)</f>
        <v>0</v>
      </c>
      <c r="E39">
        <f>IF(Scenarios!E9=1,0, M39)</f>
        <v>0</v>
      </c>
      <c r="F39">
        <f t="shared" si="11"/>
        <v>0</v>
      </c>
      <c r="G39" s="2">
        <f>YearMap!B4</f>
        <v>7489.9896749999989</v>
      </c>
      <c r="H39" s="2">
        <f>YearMap!C4</f>
        <v>824968.86277499993</v>
      </c>
      <c r="I39" s="2">
        <f>YearMap!D4</f>
        <v>950158.69019999984</v>
      </c>
      <c r="J39">
        <f>1-BaselineCalc!$B$5</f>
        <v>0.99299999999999999</v>
      </c>
      <c r="K39">
        <f>Scenarios!G9</f>
        <v>0</v>
      </c>
      <c r="L39">
        <f>BaselineCalc!$B$7 + ROUND(Scenarios!K9*Scenarios!F9,0)</f>
        <v>257</v>
      </c>
      <c r="M39">
        <f>BaselineCalc!$B$8 + Scenarios!K9 - ROUND(Scenarios!K9*Scenarios!F9,0)</f>
        <v>296</v>
      </c>
      <c r="N39" s="7">
        <f t="shared" si="12"/>
        <v>553</v>
      </c>
      <c r="O39" s="7">
        <f>BaselineCalc!$B$22 * N39</f>
        <v>414.75</v>
      </c>
      <c r="P39">
        <f>YearMap!E4</f>
        <v>600</v>
      </c>
      <c r="Q39">
        <f>IF(Scenarios!N9="lease", YearMap!F4, YearMap!G4)</f>
        <v>0.3</v>
      </c>
      <c r="R39" s="2">
        <f>IF(Scenarios!D9=1, Q39*H39, H39)</f>
        <v>247490.65883249996</v>
      </c>
      <c r="S39" s="2">
        <f>IF(Scenarios!E9=1, Q39*I39, I39)</f>
        <v>285047.60705999995</v>
      </c>
      <c r="T39" s="2">
        <f>IF(C39="FY2026", (Scenarios!D9+Scenarios!E9)*BaselineCalc!$B$21, 0)</f>
        <v>0</v>
      </c>
      <c r="U39" s="2">
        <f t="shared" si="13"/>
        <v>528810.49803125241</v>
      </c>
      <c r="V39" s="2">
        <f t="shared" si="14"/>
        <v>3355323.2177062496</v>
      </c>
      <c r="W39" s="2">
        <f t="shared" si="15"/>
        <v>3884133.7157375021</v>
      </c>
      <c r="X39" s="2">
        <f t="shared" si="16"/>
        <v>9364.9999173899996</v>
      </c>
      <c r="Y39" t="str">
        <f t="shared" si="17"/>
        <v>A_Repurpose_Both_ops|FY2028</v>
      </c>
      <c r="Z39">
        <f>INDEX(YearMap!$I$2:$I$6, MATCH(C39, YearMap!$A$2:$A$6, 0))</f>
        <v>5319.5652</v>
      </c>
      <c r="AA39">
        <f t="shared" si="18"/>
        <v>1677844.0490375021</v>
      </c>
      <c r="AB39">
        <f t="shared" si="19"/>
        <v>4045.4347173899992</v>
      </c>
    </row>
    <row r="40" spans="1:28" x14ac:dyDescent="0.35">
      <c r="A40" t="str">
        <f t="shared" si="10"/>
        <v>A_Repurpose_Both_ops|FY2029</v>
      </c>
      <c r="B40" t="str">
        <f>Scenarios!A9</f>
        <v>A_Repurpose_Both_ops</v>
      </c>
      <c r="C40" t="s">
        <v>23</v>
      </c>
      <c r="D40">
        <f>IF(Scenarios!D9=1,0, L40)</f>
        <v>0</v>
      </c>
      <c r="E40">
        <f>IF(Scenarios!E9=1,0, M40)</f>
        <v>0</v>
      </c>
      <c r="F40">
        <f t="shared" si="11"/>
        <v>0</v>
      </c>
      <c r="G40" s="2">
        <f>YearMap!B5</f>
        <v>7677.2394168749979</v>
      </c>
      <c r="H40" s="2">
        <f>YearMap!C5</f>
        <v>845593.08434437483</v>
      </c>
      <c r="I40" s="2">
        <f>YearMap!D5</f>
        <v>973912.65745499986</v>
      </c>
      <c r="J40">
        <f>1-BaselineCalc!$B$5</f>
        <v>0.99299999999999999</v>
      </c>
      <c r="K40">
        <f>Scenarios!G9</f>
        <v>0</v>
      </c>
      <c r="L40">
        <f>BaselineCalc!$B$7 + ROUND(Scenarios!L9*Scenarios!F9,0)</f>
        <v>257</v>
      </c>
      <c r="M40">
        <f>BaselineCalc!$B$8 + Scenarios!L9 - ROUND(Scenarios!L9*Scenarios!F9,0)</f>
        <v>296</v>
      </c>
      <c r="N40" s="7">
        <f t="shared" si="12"/>
        <v>553</v>
      </c>
      <c r="O40" s="7">
        <f>BaselineCalc!$B$22 * N40</f>
        <v>414.75</v>
      </c>
      <c r="P40">
        <f>YearMap!E5</f>
        <v>400</v>
      </c>
      <c r="Q40">
        <f>IF(Scenarios!N9="lease", YearMap!F5, YearMap!G5)</f>
        <v>0.25</v>
      </c>
      <c r="R40" s="2">
        <f>IF(Scenarios!D9=1, Q40*H40, H40)</f>
        <v>211398.27108609371</v>
      </c>
      <c r="S40" s="2">
        <f>IF(Scenarios!E9=1, Q40*I40, I40)</f>
        <v>243478.16436374997</v>
      </c>
      <c r="T40" s="2">
        <f>IF(C40="FY2026", (Scenarios!D9+Scenarios!E9)*BaselineCalc!$B$21, 0)</f>
        <v>0</v>
      </c>
      <c r="U40" s="2">
        <f t="shared" si="13"/>
        <v>451692.30040169472</v>
      </c>
      <c r="V40" s="2">
        <f t="shared" si="14"/>
        <v>3350035.0481489054</v>
      </c>
      <c r="W40" s="2">
        <f t="shared" si="15"/>
        <v>3801727.3485506</v>
      </c>
      <c r="X40" s="2">
        <f t="shared" si="16"/>
        <v>9166.3106655831216</v>
      </c>
      <c r="Y40" t="str">
        <f t="shared" si="17"/>
        <v>A_Repurpose_Both_ops|FY2029</v>
      </c>
      <c r="Z40">
        <f>INDEX(YearMap!$I$2:$I$6, MATCH(C40, YearMap!$A$2:$A$6, 0))</f>
        <v>5425.9565039999998</v>
      </c>
      <c r="AA40">
        <f t="shared" si="18"/>
        <v>1551311.8885166002</v>
      </c>
      <c r="AB40">
        <f t="shared" si="19"/>
        <v>3740.3541615831227</v>
      </c>
    </row>
    <row r="41" spans="1:28" x14ac:dyDescent="0.35">
      <c r="A41" t="str">
        <f t="shared" si="10"/>
        <v>A_Repurpose_Both_ops|FY2030</v>
      </c>
      <c r="B41" t="str">
        <f>Scenarios!A9</f>
        <v>A_Repurpose_Both_ops</v>
      </c>
      <c r="C41" t="s">
        <v>24</v>
      </c>
      <c r="D41">
        <f>IF(Scenarios!D9=1,0, L41)</f>
        <v>0</v>
      </c>
      <c r="E41">
        <f>IF(Scenarios!E9=1,0, M41)</f>
        <v>0</v>
      </c>
      <c r="F41">
        <f t="shared" si="11"/>
        <v>0</v>
      </c>
      <c r="G41" s="2">
        <f>YearMap!B6</f>
        <v>7869.1704022968725</v>
      </c>
      <c r="H41" s="2">
        <f>YearMap!C6</f>
        <v>866732.91145298409</v>
      </c>
      <c r="I41" s="2">
        <f>YearMap!D6</f>
        <v>998260.47389137466</v>
      </c>
      <c r="J41">
        <f>1-BaselineCalc!$B$5</f>
        <v>0.99299999999999999</v>
      </c>
      <c r="K41">
        <f>Scenarios!G9</f>
        <v>0</v>
      </c>
      <c r="L41">
        <f>BaselineCalc!$B$7 + ROUND(Scenarios!M9*Scenarios!F9,0)</f>
        <v>257</v>
      </c>
      <c r="M41">
        <f>BaselineCalc!$B$8 + Scenarios!M9 - ROUND(Scenarios!M9*Scenarios!F9,0)</f>
        <v>296</v>
      </c>
      <c r="N41" s="7">
        <f t="shared" si="12"/>
        <v>553</v>
      </c>
      <c r="O41" s="7">
        <f>BaselineCalc!$B$22 * N41</f>
        <v>414.75</v>
      </c>
      <c r="P41">
        <f>YearMap!E6</f>
        <v>300</v>
      </c>
      <c r="Q41">
        <f>IF(Scenarios!N9="lease", YearMap!F6, YearMap!G6)</f>
        <v>0.2</v>
      </c>
      <c r="R41" s="2">
        <f>IF(Scenarios!D9=1, Q41*H41, H41)</f>
        <v>173346.58229059682</v>
      </c>
      <c r="S41" s="2">
        <f>IF(Scenarios!E9=1, Q41*I41, I41)</f>
        <v>199652.09477827494</v>
      </c>
      <c r="T41" s="2">
        <f>IF(C41="FY2026", (Scenarios!D9+Scenarios!E9)*BaselineCalc!$B$21, 0)</f>
        <v>0</v>
      </c>
      <c r="U41" s="2">
        <f t="shared" si="13"/>
        <v>370387.68632938969</v>
      </c>
      <c r="V41" s="2">
        <f t="shared" si="14"/>
        <v>3388163.4243526277</v>
      </c>
      <c r="W41" s="2">
        <f t="shared" si="15"/>
        <v>3758551.1106820172</v>
      </c>
      <c r="X41" s="2">
        <f t="shared" si="16"/>
        <v>9062.2088262375346</v>
      </c>
      <c r="Y41" t="str">
        <f t="shared" si="17"/>
        <v>A_Repurpose_Both_ops|FY2030</v>
      </c>
      <c r="Z41">
        <f>INDEX(YearMap!$I$2:$I$6, MATCH(C41, YearMap!$A$2:$A$6, 0))</f>
        <v>5534.4756340799995</v>
      </c>
      <c r="AA41">
        <f t="shared" si="18"/>
        <v>1463127.3414473375</v>
      </c>
      <c r="AB41">
        <f t="shared" si="19"/>
        <v>3527.7331921575346</v>
      </c>
    </row>
    <row r="42" spans="1:28" x14ac:dyDescent="0.35">
      <c r="A42" t="str">
        <f t="shared" si="10"/>
        <v>B_Repurpose_Echo_lease|FY2026</v>
      </c>
      <c r="B42" t="str">
        <f>Scenarios!A10</f>
        <v>B_Repurpose_Echo_lease</v>
      </c>
      <c r="C42" t="s">
        <v>20</v>
      </c>
      <c r="D42">
        <f>IF(Scenarios!D10=1,0, L42)</f>
        <v>0</v>
      </c>
      <c r="E42">
        <f>IF(Scenarios!E10=1,0, M42)</f>
        <v>296</v>
      </c>
      <c r="F42">
        <f t="shared" si="11"/>
        <v>296</v>
      </c>
      <c r="G42" s="2">
        <f>YearMap!B2</f>
        <v>7129.079999999999</v>
      </c>
      <c r="H42" s="2">
        <f>YearMap!C2</f>
        <v>785217.23999999987</v>
      </c>
      <c r="I42" s="2">
        <f>YearMap!D2</f>
        <v>904374.71999999986</v>
      </c>
      <c r="J42">
        <f>1-BaselineCalc!$B$5</f>
        <v>0.99299999999999999</v>
      </c>
      <c r="K42">
        <f>Scenarios!G10</f>
        <v>0</v>
      </c>
      <c r="L42">
        <f>BaselineCalc!$B$7 + ROUND(Scenarios!I10*Scenarios!F10,0)</f>
        <v>257</v>
      </c>
      <c r="M42">
        <f>BaselineCalc!$B$8 + Scenarios!I10 - ROUND(Scenarios!I10*Scenarios!F10,0)</f>
        <v>296</v>
      </c>
      <c r="N42" s="7">
        <f t="shared" si="12"/>
        <v>257</v>
      </c>
      <c r="O42" s="7">
        <f>BaselineCalc!$B$22 * N42</f>
        <v>192.75</v>
      </c>
      <c r="P42">
        <f>YearMap!E2</f>
        <v>1000</v>
      </c>
      <c r="Q42">
        <f>IF(Scenarios!N10="lease", YearMap!F2, YearMap!G2)</f>
        <v>0.4</v>
      </c>
      <c r="R42" s="2">
        <f>IF(Scenarios!D10=1, Q42*H42, H42)</f>
        <v>314086.89599999995</v>
      </c>
      <c r="S42" s="2">
        <f>IF(Scenarios!E10=1, Q42*I42, I42)</f>
        <v>904374.71999999986</v>
      </c>
      <c r="T42" s="2">
        <f>IF(C42="FY2026", (Scenarios!D10+Scenarios!E10)*BaselineCalc!$B$21, 0)</f>
        <v>1200000</v>
      </c>
      <c r="U42" s="2">
        <f t="shared" si="13"/>
        <v>3305368.6109279995</v>
      </c>
      <c r="V42" s="2">
        <f t="shared" si="14"/>
        <v>1566880.17</v>
      </c>
      <c r="W42" s="2">
        <f t="shared" si="15"/>
        <v>6072248.7809279989</v>
      </c>
      <c r="X42" s="2">
        <f t="shared" si="16"/>
        <v>12424.038426451149</v>
      </c>
      <c r="Y42" t="str">
        <f t="shared" si="17"/>
        <v>B_Repurpose_Echo_lease|FY2026</v>
      </c>
      <c r="Z42">
        <f>INDEX(YearMap!$I$2:$I$6, MATCH(C42, YearMap!$A$2:$A$6, 0))</f>
        <v>5113</v>
      </c>
      <c r="AA42">
        <f t="shared" si="18"/>
        <v>3573270.0309279989</v>
      </c>
      <c r="AB42">
        <f t="shared" si="19"/>
        <v>7311.0384264511486</v>
      </c>
    </row>
    <row r="43" spans="1:28" x14ac:dyDescent="0.35">
      <c r="A43" t="str">
        <f t="shared" si="10"/>
        <v>B_Repurpose_Echo_lease|FY2027</v>
      </c>
      <c r="B43" t="str">
        <f>Scenarios!A10</f>
        <v>B_Repurpose_Echo_lease</v>
      </c>
      <c r="C43" t="s">
        <v>21</v>
      </c>
      <c r="D43">
        <f>IF(Scenarios!D10=1,0, L43)</f>
        <v>0</v>
      </c>
      <c r="E43">
        <f>IF(Scenarios!E10=1,0, M43)</f>
        <v>296</v>
      </c>
      <c r="F43">
        <f t="shared" si="11"/>
        <v>296</v>
      </c>
      <c r="G43" s="2">
        <f>YearMap!B3</f>
        <v>7307.3069999999989</v>
      </c>
      <c r="H43" s="2">
        <f>YearMap!C3</f>
        <v>804847.67099999997</v>
      </c>
      <c r="I43" s="2">
        <f>YearMap!D3</f>
        <v>926984.08799999999</v>
      </c>
      <c r="J43">
        <f>1-BaselineCalc!$B$5</f>
        <v>0.99299999999999999</v>
      </c>
      <c r="K43">
        <f>Scenarios!G10</f>
        <v>0</v>
      </c>
      <c r="L43">
        <f>BaselineCalc!$B$7 + ROUND(Scenarios!J10*Scenarios!F10,0)</f>
        <v>257</v>
      </c>
      <c r="M43">
        <f>BaselineCalc!$B$8 + Scenarios!J10 - ROUND(Scenarios!J10*Scenarios!F10,0)</f>
        <v>296</v>
      </c>
      <c r="N43" s="7">
        <f t="shared" si="12"/>
        <v>257</v>
      </c>
      <c r="O43" s="7">
        <f>BaselineCalc!$B$22 * N43</f>
        <v>192.75</v>
      </c>
      <c r="P43">
        <f>YearMap!E3</f>
        <v>800</v>
      </c>
      <c r="Q43">
        <f>IF(Scenarios!N10="lease", YearMap!F3, YearMap!G3)</f>
        <v>0.3</v>
      </c>
      <c r="R43" s="2">
        <f>IF(Scenarios!D10=1, Q43*H43, H43)</f>
        <v>241454.30129999999</v>
      </c>
      <c r="S43" s="2">
        <f>IF(Scenarios!E10=1, Q43*I43, I43)</f>
        <v>926984.08799999999</v>
      </c>
      <c r="T43" s="2">
        <f>IF(C43="FY2026", (Scenarios!D10+Scenarios!E10)*BaselineCalc!$B$21, 0)</f>
        <v>0</v>
      </c>
      <c r="U43" s="2">
        <f t="shared" si="13"/>
        <v>3308081.4524708996</v>
      </c>
      <c r="V43" s="2">
        <f t="shared" si="14"/>
        <v>1562683.4242499997</v>
      </c>
      <c r="W43" s="2">
        <f t="shared" si="15"/>
        <v>4870764.8767208997</v>
      </c>
      <c r="X43" s="2">
        <f t="shared" si="16"/>
        <v>9965.7593385593864</v>
      </c>
      <c r="Y43" t="str">
        <f t="shared" si="17"/>
        <v>B_Repurpose_Echo_lease|FY2027</v>
      </c>
      <c r="Z43">
        <f>INDEX(YearMap!$I$2:$I$6, MATCH(C43, YearMap!$A$2:$A$6, 0))</f>
        <v>5215.26</v>
      </c>
      <c r="AA43">
        <f t="shared" si="18"/>
        <v>2321806.5517208995</v>
      </c>
      <c r="AB43">
        <f t="shared" si="19"/>
        <v>4750.4993385593853</v>
      </c>
    </row>
    <row r="44" spans="1:28" x14ac:dyDescent="0.35">
      <c r="A44" t="str">
        <f t="shared" si="10"/>
        <v>B_Repurpose_Echo_lease|FY2028</v>
      </c>
      <c r="B44" t="str">
        <f>Scenarios!A10</f>
        <v>B_Repurpose_Echo_lease</v>
      </c>
      <c r="C44" t="s">
        <v>22</v>
      </c>
      <c r="D44">
        <f>IF(Scenarios!D10=1,0, L44)</f>
        <v>0</v>
      </c>
      <c r="E44">
        <f>IF(Scenarios!E10=1,0, M44)</f>
        <v>296</v>
      </c>
      <c r="F44">
        <f t="shared" si="11"/>
        <v>296</v>
      </c>
      <c r="G44" s="2">
        <f>YearMap!B4</f>
        <v>7489.9896749999989</v>
      </c>
      <c r="H44" s="2">
        <f>YearMap!C4</f>
        <v>824968.86277499993</v>
      </c>
      <c r="I44" s="2">
        <f>YearMap!D4</f>
        <v>950158.69019999984</v>
      </c>
      <c r="J44">
        <f>1-BaselineCalc!$B$5</f>
        <v>0.99299999999999999</v>
      </c>
      <c r="K44">
        <f>Scenarios!G10</f>
        <v>0</v>
      </c>
      <c r="L44">
        <f>BaselineCalc!$B$7 + ROUND(Scenarios!K10*Scenarios!F10,0)</f>
        <v>257</v>
      </c>
      <c r="M44">
        <f>BaselineCalc!$B$8 + Scenarios!K10 - ROUND(Scenarios!K10*Scenarios!F10,0)</f>
        <v>296</v>
      </c>
      <c r="N44" s="7">
        <f t="shared" si="12"/>
        <v>257</v>
      </c>
      <c r="O44" s="7">
        <f>BaselineCalc!$B$22 * N44</f>
        <v>192.75</v>
      </c>
      <c r="P44">
        <f>YearMap!E4</f>
        <v>600</v>
      </c>
      <c r="Q44">
        <f>IF(Scenarios!N10="lease", YearMap!F4, YearMap!G4)</f>
        <v>0.2</v>
      </c>
      <c r="R44" s="2">
        <f>IF(Scenarios!D10=1, Q44*H44, H44)</f>
        <v>164993.772555</v>
      </c>
      <c r="S44" s="2">
        <f>IF(Scenarios!E10=1, Q44*I44, I44)</f>
        <v>950158.69019999984</v>
      </c>
      <c r="T44" s="2">
        <f>IF(C44="FY2026", (Scenarios!D10+Scenarios!E10)*BaselineCalc!$B$21, 0)</f>
        <v>0</v>
      </c>
      <c r="U44" s="2">
        <f t="shared" si="13"/>
        <v>3308864.0807091142</v>
      </c>
      <c r="V44" s="2">
        <f t="shared" si="14"/>
        <v>1559345.5098562497</v>
      </c>
      <c r="W44" s="2">
        <f t="shared" si="15"/>
        <v>4868209.5905653639</v>
      </c>
      <c r="X44" s="2">
        <f t="shared" si="16"/>
        <v>9960.5311315915369</v>
      </c>
      <c r="Y44" t="str">
        <f t="shared" si="17"/>
        <v>B_Repurpose_Echo_lease|FY2028</v>
      </c>
      <c r="Z44">
        <f>INDEX(YearMap!$I$2:$I$6, MATCH(C44, YearMap!$A$2:$A$6, 0))</f>
        <v>5319.5652</v>
      </c>
      <c r="AA44">
        <f t="shared" si="18"/>
        <v>2268272.0990653639</v>
      </c>
      <c r="AB44">
        <f t="shared" si="19"/>
        <v>4640.9659315915369</v>
      </c>
    </row>
    <row r="45" spans="1:28" x14ac:dyDescent="0.35">
      <c r="A45" t="str">
        <f t="shared" si="10"/>
        <v>B_Repurpose_Echo_lease|FY2029</v>
      </c>
      <c r="B45" t="str">
        <f>Scenarios!A10</f>
        <v>B_Repurpose_Echo_lease</v>
      </c>
      <c r="C45" t="s">
        <v>23</v>
      </c>
      <c r="D45">
        <f>IF(Scenarios!D10=1,0, L45)</f>
        <v>0</v>
      </c>
      <c r="E45">
        <f>IF(Scenarios!E10=1,0, M45)</f>
        <v>296</v>
      </c>
      <c r="F45">
        <f t="shared" si="11"/>
        <v>296</v>
      </c>
      <c r="G45" s="2">
        <f>YearMap!B5</f>
        <v>7677.2394168749979</v>
      </c>
      <c r="H45" s="2">
        <f>YearMap!C5</f>
        <v>845593.08434437483</v>
      </c>
      <c r="I45" s="2">
        <f>YearMap!D5</f>
        <v>973912.65745499986</v>
      </c>
      <c r="J45">
        <f>1-BaselineCalc!$B$5</f>
        <v>0.99299999999999999</v>
      </c>
      <c r="K45">
        <f>Scenarios!G10</f>
        <v>0</v>
      </c>
      <c r="L45">
        <f>BaselineCalc!$B$7 + ROUND(Scenarios!L10*Scenarios!F10,0)</f>
        <v>257</v>
      </c>
      <c r="M45">
        <f>BaselineCalc!$B$8 + Scenarios!L10 - ROUND(Scenarios!L10*Scenarios!F10,0)</f>
        <v>296</v>
      </c>
      <c r="N45" s="7">
        <f t="shared" si="12"/>
        <v>257</v>
      </c>
      <c r="O45" s="7">
        <f>BaselineCalc!$B$22 * N45</f>
        <v>192.75</v>
      </c>
      <c r="P45">
        <f>YearMap!E5</f>
        <v>400</v>
      </c>
      <c r="Q45">
        <f>IF(Scenarios!N10="lease", YearMap!F5, YearMap!G5)</f>
        <v>0.1</v>
      </c>
      <c r="R45" s="2">
        <f>IF(Scenarios!D10=1, Q45*H45, H45)</f>
        <v>84559.308434437495</v>
      </c>
      <c r="S45" s="2">
        <f>IF(Scenarios!E10=1, Q45*I45, I45)</f>
        <v>973912.65745499986</v>
      </c>
      <c r="T45" s="2">
        <f>IF(C45="FY2026", (Scenarios!D10+Scenarios!E10)*BaselineCalc!$B$21, 0)</f>
        <v>0</v>
      </c>
      <c r="U45" s="2">
        <f t="shared" si="13"/>
        <v>3307618.2894514455</v>
      </c>
      <c r="V45" s="2">
        <f t="shared" si="14"/>
        <v>1556887.8976026559</v>
      </c>
      <c r="W45" s="2">
        <f t="shared" si="15"/>
        <v>4864506.1870541014</v>
      </c>
      <c r="X45" s="2">
        <f t="shared" si="16"/>
        <v>9952.9538354048109</v>
      </c>
      <c r="Y45" t="str">
        <f t="shared" si="17"/>
        <v>B_Repurpose_Echo_lease|FY2029</v>
      </c>
      <c r="Z45">
        <f>INDEX(YearMap!$I$2:$I$6, MATCH(C45, YearMap!$A$2:$A$6, 0))</f>
        <v>5425.9565039999998</v>
      </c>
      <c r="AA45">
        <f t="shared" si="18"/>
        <v>2212569.9457241013</v>
      </c>
      <c r="AB45">
        <f t="shared" si="19"/>
        <v>4526.9973314048111</v>
      </c>
    </row>
    <row r="46" spans="1:28" x14ac:dyDescent="0.35">
      <c r="A46" t="str">
        <f t="shared" si="10"/>
        <v>B_Repurpose_Echo_lease|FY2030</v>
      </c>
      <c r="B46" t="str">
        <f>Scenarios!A10</f>
        <v>B_Repurpose_Echo_lease</v>
      </c>
      <c r="C46" t="s">
        <v>24</v>
      </c>
      <c r="D46">
        <f>IF(Scenarios!D10=1,0, L46)</f>
        <v>0</v>
      </c>
      <c r="E46">
        <f>IF(Scenarios!E10=1,0, M46)</f>
        <v>296</v>
      </c>
      <c r="F46">
        <f t="shared" si="11"/>
        <v>296</v>
      </c>
      <c r="G46" s="2">
        <f>YearMap!B6</f>
        <v>7869.1704022968725</v>
      </c>
      <c r="H46" s="2">
        <f>YearMap!C6</f>
        <v>866732.91145298409</v>
      </c>
      <c r="I46" s="2">
        <f>YearMap!D6</f>
        <v>998260.47389137466</v>
      </c>
      <c r="J46">
        <f>1-BaselineCalc!$B$5</f>
        <v>0.99299999999999999</v>
      </c>
      <c r="K46">
        <f>Scenarios!G10</f>
        <v>0</v>
      </c>
      <c r="L46">
        <f>BaselineCalc!$B$7 + ROUND(Scenarios!M10*Scenarios!F10,0)</f>
        <v>257</v>
      </c>
      <c r="M46">
        <f>BaselineCalc!$B$8 + Scenarios!M10 - ROUND(Scenarios!M10*Scenarios!F10,0)</f>
        <v>296</v>
      </c>
      <c r="N46" s="7">
        <f t="shared" si="12"/>
        <v>257</v>
      </c>
      <c r="O46" s="7">
        <f>BaselineCalc!$B$22 * N46</f>
        <v>192.75</v>
      </c>
      <c r="P46">
        <f>YearMap!E6</f>
        <v>300</v>
      </c>
      <c r="Q46">
        <f>IF(Scenarios!N10="lease", YearMap!F6, YearMap!G6)</f>
        <v>0</v>
      </c>
      <c r="R46" s="2">
        <f>IF(Scenarios!D10=1, Q46*H46, H46)</f>
        <v>0</v>
      </c>
      <c r="S46" s="2">
        <f>IF(Scenarios!E10=1, Q46*I46, I46)</f>
        <v>998260.47389137466</v>
      </c>
      <c r="T46" s="2">
        <f>IF(C46="FY2026", (Scenarios!D10+Scenarios!E10)*BaselineCalc!$B$21, 0)</f>
        <v>0</v>
      </c>
      <c r="U46" s="2">
        <f t="shared" si="13"/>
        <v>3304242.1685804501</v>
      </c>
      <c r="V46" s="2">
        <f t="shared" si="14"/>
        <v>1574607.5950427221</v>
      </c>
      <c r="W46" s="2">
        <f t="shared" si="15"/>
        <v>4878849.7636231724</v>
      </c>
      <c r="X46" s="2">
        <f t="shared" si="16"/>
        <v>9982.301306645877</v>
      </c>
      <c r="Y46" t="str">
        <f t="shared" si="17"/>
        <v>B_Repurpose_Echo_lease|FY2030</v>
      </c>
      <c r="Z46">
        <f>INDEX(YearMap!$I$2:$I$6, MATCH(C46, YearMap!$A$2:$A$6, 0))</f>
        <v>5534.4756340799995</v>
      </c>
      <c r="AA46">
        <f t="shared" si="18"/>
        <v>2173874.7974665728</v>
      </c>
      <c r="AB46">
        <f t="shared" si="19"/>
        <v>4447.8256725658775</v>
      </c>
    </row>
    <row r="47" spans="1:28" x14ac:dyDescent="0.35">
      <c r="A47" t="str">
        <f t="shared" si="10"/>
        <v>B_Repurpose_Echo_ops|FY2026</v>
      </c>
      <c r="B47" t="str">
        <f>Scenarios!A11</f>
        <v>B_Repurpose_Echo_ops</v>
      </c>
      <c r="C47" t="s">
        <v>20</v>
      </c>
      <c r="D47">
        <f>IF(Scenarios!D11=1,0, L47)</f>
        <v>0</v>
      </c>
      <c r="E47">
        <f>IF(Scenarios!E11=1,0, M47)</f>
        <v>296</v>
      </c>
      <c r="F47">
        <f t="shared" si="11"/>
        <v>296</v>
      </c>
      <c r="G47" s="2">
        <f>YearMap!B2</f>
        <v>7129.079999999999</v>
      </c>
      <c r="H47" s="2">
        <f>YearMap!C2</f>
        <v>785217.23999999987</v>
      </c>
      <c r="I47" s="2">
        <f>YearMap!D2</f>
        <v>904374.71999999986</v>
      </c>
      <c r="J47">
        <f>1-BaselineCalc!$B$5</f>
        <v>0.99299999999999999</v>
      </c>
      <c r="K47">
        <f>Scenarios!G11</f>
        <v>0</v>
      </c>
      <c r="L47">
        <f>BaselineCalc!$B$7 + ROUND(Scenarios!I11*Scenarios!F11,0)</f>
        <v>257</v>
      </c>
      <c r="M47">
        <f>BaselineCalc!$B$8 + Scenarios!I11 - ROUND(Scenarios!I11*Scenarios!F11,0)</f>
        <v>296</v>
      </c>
      <c r="N47" s="7">
        <f t="shared" si="12"/>
        <v>257</v>
      </c>
      <c r="O47" s="7">
        <f>BaselineCalc!$B$22 * N47</f>
        <v>192.75</v>
      </c>
      <c r="P47">
        <f>YearMap!E2</f>
        <v>1000</v>
      </c>
      <c r="Q47">
        <f>IF(Scenarios!N11="lease", YearMap!F2, YearMap!G2)</f>
        <v>0.4</v>
      </c>
      <c r="R47" s="2">
        <f>IF(Scenarios!D11=1, Q47*H47, H47)</f>
        <v>314086.89599999995</v>
      </c>
      <c r="S47" s="2">
        <f>IF(Scenarios!E11=1, Q47*I47, I47)</f>
        <v>904374.71999999986</v>
      </c>
      <c r="T47" s="2">
        <f>IF(C47="FY2026", (Scenarios!D11+Scenarios!E11)*BaselineCalc!$B$21, 0)</f>
        <v>1200000</v>
      </c>
      <c r="U47" s="2">
        <f t="shared" si="13"/>
        <v>3305368.6109279995</v>
      </c>
      <c r="V47" s="2">
        <f t="shared" si="14"/>
        <v>1566880.17</v>
      </c>
      <c r="W47" s="2">
        <f t="shared" si="15"/>
        <v>6072248.7809279989</v>
      </c>
      <c r="X47" s="2">
        <f t="shared" si="16"/>
        <v>12424.038426451149</v>
      </c>
      <c r="Y47" t="str">
        <f t="shared" si="17"/>
        <v>B_Repurpose_Echo_ops|FY2026</v>
      </c>
      <c r="Z47">
        <f>INDEX(YearMap!$I$2:$I$6, MATCH(C47, YearMap!$A$2:$A$6, 0))</f>
        <v>5113</v>
      </c>
      <c r="AA47">
        <f t="shared" si="18"/>
        <v>3573270.0309279989</v>
      </c>
      <c r="AB47">
        <f t="shared" si="19"/>
        <v>7311.0384264511486</v>
      </c>
    </row>
    <row r="48" spans="1:28" x14ac:dyDescent="0.35">
      <c r="A48" t="str">
        <f t="shared" si="10"/>
        <v>B_Repurpose_Echo_ops|FY2027</v>
      </c>
      <c r="B48" t="str">
        <f>Scenarios!A11</f>
        <v>B_Repurpose_Echo_ops</v>
      </c>
      <c r="C48" t="s">
        <v>21</v>
      </c>
      <c r="D48">
        <f>IF(Scenarios!D11=1,0, L48)</f>
        <v>0</v>
      </c>
      <c r="E48">
        <f>IF(Scenarios!E11=1,0, M48)</f>
        <v>296</v>
      </c>
      <c r="F48">
        <f t="shared" si="11"/>
        <v>296</v>
      </c>
      <c r="G48" s="2">
        <f>YearMap!B3</f>
        <v>7307.3069999999989</v>
      </c>
      <c r="H48" s="2">
        <f>YearMap!C3</f>
        <v>804847.67099999997</v>
      </c>
      <c r="I48" s="2">
        <f>YearMap!D3</f>
        <v>926984.08799999999</v>
      </c>
      <c r="J48">
        <f>1-BaselineCalc!$B$5</f>
        <v>0.99299999999999999</v>
      </c>
      <c r="K48">
        <f>Scenarios!G11</f>
        <v>0</v>
      </c>
      <c r="L48">
        <f>BaselineCalc!$B$7 + ROUND(Scenarios!J11*Scenarios!F11,0)</f>
        <v>257</v>
      </c>
      <c r="M48">
        <f>BaselineCalc!$B$8 + Scenarios!J11 - ROUND(Scenarios!J11*Scenarios!F11,0)</f>
        <v>296</v>
      </c>
      <c r="N48" s="7">
        <f t="shared" si="12"/>
        <v>257</v>
      </c>
      <c r="O48" s="7">
        <f>BaselineCalc!$B$22 * N48</f>
        <v>192.75</v>
      </c>
      <c r="P48">
        <f>YearMap!E3</f>
        <v>800</v>
      </c>
      <c r="Q48">
        <f>IF(Scenarios!N11="lease", YearMap!F3, YearMap!G3)</f>
        <v>0.35</v>
      </c>
      <c r="R48" s="2">
        <f>IF(Scenarios!D11=1, Q48*H48, H48)</f>
        <v>281696.68484999996</v>
      </c>
      <c r="S48" s="2">
        <f>IF(Scenarios!E11=1, Q48*I48, I48)</f>
        <v>926984.08799999999</v>
      </c>
      <c r="T48" s="2">
        <f>IF(C48="FY2026", (Scenarios!D11+Scenarios!E11)*BaselineCalc!$B$21, 0)</f>
        <v>0</v>
      </c>
      <c r="U48" s="2">
        <f t="shared" si="13"/>
        <v>3348042.1393360496</v>
      </c>
      <c r="V48" s="2">
        <f t="shared" si="14"/>
        <v>1562683.4242499997</v>
      </c>
      <c r="W48" s="2">
        <f t="shared" si="15"/>
        <v>4910725.5635860488</v>
      </c>
      <c r="X48" s="2">
        <f t="shared" si="16"/>
        <v>10047.520334702913</v>
      </c>
      <c r="Y48" t="str">
        <f t="shared" si="17"/>
        <v>B_Repurpose_Echo_ops|FY2027</v>
      </c>
      <c r="Z48">
        <f>INDEX(YearMap!$I$2:$I$6, MATCH(C48, YearMap!$A$2:$A$6, 0))</f>
        <v>5215.26</v>
      </c>
      <c r="AA48">
        <f t="shared" si="18"/>
        <v>2361767.2385860486</v>
      </c>
      <c r="AB48">
        <f t="shared" si="19"/>
        <v>4832.2603347029126</v>
      </c>
    </row>
    <row r="49" spans="1:28" x14ac:dyDescent="0.35">
      <c r="A49" t="str">
        <f t="shared" si="10"/>
        <v>B_Repurpose_Echo_ops|FY2028</v>
      </c>
      <c r="B49" t="str">
        <f>Scenarios!A11</f>
        <v>B_Repurpose_Echo_ops</v>
      </c>
      <c r="C49" t="s">
        <v>22</v>
      </c>
      <c r="D49">
        <f>IF(Scenarios!D11=1,0, L49)</f>
        <v>0</v>
      </c>
      <c r="E49">
        <f>IF(Scenarios!E11=1,0, M49)</f>
        <v>296</v>
      </c>
      <c r="F49">
        <f t="shared" si="11"/>
        <v>296</v>
      </c>
      <c r="G49" s="2">
        <f>YearMap!B4</f>
        <v>7489.9896749999989</v>
      </c>
      <c r="H49" s="2">
        <f>YearMap!C4</f>
        <v>824968.86277499993</v>
      </c>
      <c r="I49" s="2">
        <f>YearMap!D4</f>
        <v>950158.69019999984</v>
      </c>
      <c r="J49">
        <f>1-BaselineCalc!$B$5</f>
        <v>0.99299999999999999</v>
      </c>
      <c r="K49">
        <f>Scenarios!G11</f>
        <v>0</v>
      </c>
      <c r="L49">
        <f>BaselineCalc!$B$7 + ROUND(Scenarios!K11*Scenarios!F11,0)</f>
        <v>257</v>
      </c>
      <c r="M49">
        <f>BaselineCalc!$B$8 + Scenarios!K11 - ROUND(Scenarios!K11*Scenarios!F11,0)</f>
        <v>296</v>
      </c>
      <c r="N49" s="7">
        <f t="shared" si="12"/>
        <v>257</v>
      </c>
      <c r="O49" s="7">
        <f>BaselineCalc!$B$22 * N49</f>
        <v>192.75</v>
      </c>
      <c r="P49">
        <f>YearMap!E4</f>
        <v>600</v>
      </c>
      <c r="Q49">
        <f>IF(Scenarios!N11="lease", YearMap!F4, YearMap!G4)</f>
        <v>0.3</v>
      </c>
      <c r="R49" s="2">
        <f>IF(Scenarios!D11=1, Q49*H49, H49)</f>
        <v>247490.65883249996</v>
      </c>
      <c r="S49" s="2">
        <f>IF(Scenarios!E11=1, Q49*I49, I49)</f>
        <v>950158.69019999984</v>
      </c>
      <c r="T49" s="2">
        <f>IF(C49="FY2026", (Scenarios!D11+Scenarios!E11)*BaselineCalc!$B$21, 0)</f>
        <v>0</v>
      </c>
      <c r="U49" s="2">
        <f t="shared" si="13"/>
        <v>3390783.4887826717</v>
      </c>
      <c r="V49" s="2">
        <f t="shared" si="14"/>
        <v>1559345.5098562497</v>
      </c>
      <c r="W49" s="2">
        <f t="shared" si="15"/>
        <v>4950128.9986389214</v>
      </c>
      <c r="X49" s="2">
        <f t="shared" si="16"/>
        <v>10128.141173685774</v>
      </c>
      <c r="Y49" t="str">
        <f t="shared" si="17"/>
        <v>B_Repurpose_Echo_ops|FY2028</v>
      </c>
      <c r="Z49">
        <f>INDEX(YearMap!$I$2:$I$6, MATCH(C49, YearMap!$A$2:$A$6, 0))</f>
        <v>5319.5652</v>
      </c>
      <c r="AA49">
        <f t="shared" si="18"/>
        <v>2350191.5071389214</v>
      </c>
      <c r="AB49">
        <f t="shared" si="19"/>
        <v>4808.5759736857726</v>
      </c>
    </row>
    <row r="50" spans="1:28" x14ac:dyDescent="0.35">
      <c r="A50" t="str">
        <f t="shared" si="10"/>
        <v>B_Repurpose_Echo_ops|FY2029</v>
      </c>
      <c r="B50" t="str">
        <f>Scenarios!A11</f>
        <v>B_Repurpose_Echo_ops</v>
      </c>
      <c r="C50" t="s">
        <v>23</v>
      </c>
      <c r="D50">
        <f>IF(Scenarios!D11=1,0, L50)</f>
        <v>0</v>
      </c>
      <c r="E50">
        <f>IF(Scenarios!E11=1,0, M50)</f>
        <v>296</v>
      </c>
      <c r="F50">
        <f t="shared" si="11"/>
        <v>296</v>
      </c>
      <c r="G50" s="2">
        <f>YearMap!B5</f>
        <v>7677.2394168749979</v>
      </c>
      <c r="H50" s="2">
        <f>YearMap!C5</f>
        <v>845593.08434437483</v>
      </c>
      <c r="I50" s="2">
        <f>YearMap!D5</f>
        <v>973912.65745499986</v>
      </c>
      <c r="J50">
        <f>1-BaselineCalc!$B$5</f>
        <v>0.99299999999999999</v>
      </c>
      <c r="K50">
        <f>Scenarios!G11</f>
        <v>0</v>
      </c>
      <c r="L50">
        <f>BaselineCalc!$B$7 + ROUND(Scenarios!L11*Scenarios!F11,0)</f>
        <v>257</v>
      </c>
      <c r="M50">
        <f>BaselineCalc!$B$8 + Scenarios!L11 - ROUND(Scenarios!L11*Scenarios!F11,0)</f>
        <v>296</v>
      </c>
      <c r="N50" s="7">
        <f t="shared" si="12"/>
        <v>257</v>
      </c>
      <c r="O50" s="7">
        <f>BaselineCalc!$B$22 * N50</f>
        <v>192.75</v>
      </c>
      <c r="P50">
        <f>YearMap!E5</f>
        <v>400</v>
      </c>
      <c r="Q50">
        <f>IF(Scenarios!N11="lease", YearMap!F5, YearMap!G5)</f>
        <v>0.25</v>
      </c>
      <c r="R50" s="2">
        <f>IF(Scenarios!D11=1, Q50*H50, H50)</f>
        <v>211398.27108609371</v>
      </c>
      <c r="S50" s="2">
        <f>IF(Scenarios!E11=1, Q50*I50, I50)</f>
        <v>973912.65745499986</v>
      </c>
      <c r="T50" s="2">
        <f>IF(C50="FY2026", (Scenarios!D11+Scenarios!E11)*BaselineCalc!$B$21, 0)</f>
        <v>0</v>
      </c>
      <c r="U50" s="2">
        <f t="shared" si="13"/>
        <v>3433569.3793645403</v>
      </c>
      <c r="V50" s="2">
        <f t="shared" si="14"/>
        <v>1556887.8976026559</v>
      </c>
      <c r="W50" s="2">
        <f t="shared" si="15"/>
        <v>4990457.2769671958</v>
      </c>
      <c r="X50" s="2">
        <f t="shared" si="16"/>
        <v>10210.654275124698</v>
      </c>
      <c r="Y50" t="str">
        <f t="shared" si="17"/>
        <v>B_Repurpose_Echo_ops|FY2029</v>
      </c>
      <c r="Z50">
        <f>INDEX(YearMap!$I$2:$I$6, MATCH(C50, YearMap!$A$2:$A$6, 0))</f>
        <v>5425.9565039999998</v>
      </c>
      <c r="AA50">
        <f t="shared" si="18"/>
        <v>2338521.0356371957</v>
      </c>
      <c r="AB50">
        <f t="shared" si="19"/>
        <v>4784.6977711246973</v>
      </c>
    </row>
    <row r="51" spans="1:28" x14ac:dyDescent="0.35">
      <c r="A51" t="str">
        <f t="shared" si="10"/>
        <v>B_Repurpose_Echo_ops|FY2030</v>
      </c>
      <c r="B51" t="str">
        <f>Scenarios!A11</f>
        <v>B_Repurpose_Echo_ops</v>
      </c>
      <c r="C51" t="s">
        <v>24</v>
      </c>
      <c r="D51">
        <f>IF(Scenarios!D11=1,0, L51)</f>
        <v>0</v>
      </c>
      <c r="E51">
        <f>IF(Scenarios!E11=1,0, M51)</f>
        <v>296</v>
      </c>
      <c r="F51">
        <f t="shared" si="11"/>
        <v>296</v>
      </c>
      <c r="G51" s="2">
        <f>YearMap!B6</f>
        <v>7869.1704022968725</v>
      </c>
      <c r="H51" s="2">
        <f>YearMap!C6</f>
        <v>866732.91145298409</v>
      </c>
      <c r="I51" s="2">
        <f>YearMap!D6</f>
        <v>998260.47389137466</v>
      </c>
      <c r="J51">
        <f>1-BaselineCalc!$B$5</f>
        <v>0.99299999999999999</v>
      </c>
      <c r="K51">
        <f>Scenarios!G11</f>
        <v>0</v>
      </c>
      <c r="L51">
        <f>BaselineCalc!$B$7 + ROUND(Scenarios!M11*Scenarios!F11,0)</f>
        <v>257</v>
      </c>
      <c r="M51">
        <f>BaselineCalc!$B$8 + Scenarios!M11 - ROUND(Scenarios!M11*Scenarios!F11,0)</f>
        <v>296</v>
      </c>
      <c r="N51" s="7">
        <f t="shared" si="12"/>
        <v>257</v>
      </c>
      <c r="O51" s="7">
        <f>BaselineCalc!$B$22 * N51</f>
        <v>192.75</v>
      </c>
      <c r="P51">
        <f>YearMap!E6</f>
        <v>300</v>
      </c>
      <c r="Q51">
        <f>IF(Scenarios!N11="lease", YearMap!F6, YearMap!G6)</f>
        <v>0.2</v>
      </c>
      <c r="R51" s="2">
        <f>IF(Scenarios!D11=1, Q51*H51, H51)</f>
        <v>173346.58229059682</v>
      </c>
      <c r="S51" s="2">
        <f>IF(Scenarios!E11=1, Q51*I51, I51)</f>
        <v>998260.47389137466</v>
      </c>
      <c r="T51" s="2">
        <f>IF(C51="FY2026", (Scenarios!D11+Scenarios!E11)*BaselineCalc!$B$21, 0)</f>
        <v>0</v>
      </c>
      <c r="U51" s="2">
        <f t="shared" si="13"/>
        <v>3476375.3247950128</v>
      </c>
      <c r="V51" s="2">
        <f t="shared" si="14"/>
        <v>1574607.5950427221</v>
      </c>
      <c r="W51" s="2">
        <f t="shared" si="15"/>
        <v>5050982.9198377347</v>
      </c>
      <c r="X51" s="2">
        <f t="shared" si="16"/>
        <v>10334.491907596388</v>
      </c>
      <c r="Y51" t="str">
        <f t="shared" si="17"/>
        <v>B_Repurpose_Echo_ops|FY2030</v>
      </c>
      <c r="Z51">
        <f>INDEX(YearMap!$I$2:$I$6, MATCH(C51, YearMap!$A$2:$A$6, 0))</f>
        <v>5534.4756340799995</v>
      </c>
      <c r="AA51">
        <f t="shared" si="18"/>
        <v>2346007.9536811351</v>
      </c>
      <c r="AB51">
        <f t="shared" si="19"/>
        <v>4800.0162735163885</v>
      </c>
    </row>
    <row r="52" spans="1:28" x14ac:dyDescent="0.35">
      <c r="A52" t="str">
        <f t="shared" si="10"/>
        <v>C_Repurpose_Pima_lease|FY2026</v>
      </c>
      <c r="B52" t="str">
        <f>Scenarios!A12</f>
        <v>C_Repurpose_Pima_lease</v>
      </c>
      <c r="C52" t="s">
        <v>20</v>
      </c>
      <c r="D52">
        <f>IF(Scenarios!D12=1,0, L52)</f>
        <v>257</v>
      </c>
      <c r="E52">
        <f>IF(Scenarios!E12=1,0, M52)</f>
        <v>0</v>
      </c>
      <c r="F52">
        <f t="shared" si="11"/>
        <v>257</v>
      </c>
      <c r="G52" s="2">
        <f>YearMap!B2</f>
        <v>7129.079999999999</v>
      </c>
      <c r="H52" s="2">
        <f>YearMap!C2</f>
        <v>785217.23999999987</v>
      </c>
      <c r="I52" s="2">
        <f>YearMap!D2</f>
        <v>904374.71999999986</v>
      </c>
      <c r="J52">
        <f>1-BaselineCalc!$B$5</f>
        <v>0.99299999999999999</v>
      </c>
      <c r="K52">
        <f>Scenarios!G12</f>
        <v>0</v>
      </c>
      <c r="L52">
        <f>BaselineCalc!$B$7 + ROUND(Scenarios!I12*Scenarios!F12,0)</f>
        <v>257</v>
      </c>
      <c r="M52">
        <f>BaselineCalc!$B$8 + Scenarios!I12 - ROUND(Scenarios!I12*Scenarios!F12,0)</f>
        <v>296</v>
      </c>
      <c r="N52" s="7">
        <f t="shared" si="12"/>
        <v>296</v>
      </c>
      <c r="O52" s="7">
        <f>BaselineCalc!$B$22 * N52</f>
        <v>222</v>
      </c>
      <c r="P52">
        <f>YearMap!E2</f>
        <v>1000</v>
      </c>
      <c r="Q52">
        <f>IF(Scenarios!N12="lease", YearMap!F2, YearMap!G2)</f>
        <v>0.4</v>
      </c>
      <c r="R52" s="2">
        <f>IF(Scenarios!D12=1, Q52*H52, H52)</f>
        <v>785217.23999999987</v>
      </c>
      <c r="S52" s="2">
        <f>IF(Scenarios!E12=1, Q52*I52, I52)</f>
        <v>361749.88799999998</v>
      </c>
      <c r="T52" s="2">
        <f>IF(C52="FY2026", (Scenarios!D12+Scenarios!E12)*BaselineCalc!$B$21, 0)</f>
        <v>1200000</v>
      </c>
      <c r="U52" s="2">
        <f t="shared" si="13"/>
        <v>2958286.7031839998</v>
      </c>
      <c r="V52" s="2">
        <f t="shared" si="14"/>
        <v>1804655.7599999998</v>
      </c>
      <c r="W52" s="2">
        <f t="shared" si="15"/>
        <v>5962942.4631839991</v>
      </c>
      <c r="X52" s="2">
        <f t="shared" si="16"/>
        <v>12448.73165591649</v>
      </c>
      <c r="Y52" t="str">
        <f t="shared" si="17"/>
        <v>C_Repurpose_Pima_lease|FY2026</v>
      </c>
      <c r="Z52">
        <f>INDEX(YearMap!$I$2:$I$6, MATCH(C52, YearMap!$A$2:$A$6, 0))</f>
        <v>5113</v>
      </c>
      <c r="AA52">
        <f t="shared" si="18"/>
        <v>3513815.4631839991</v>
      </c>
      <c r="AB52">
        <f t="shared" si="19"/>
        <v>7335.731655916491</v>
      </c>
    </row>
    <row r="53" spans="1:28" x14ac:dyDescent="0.35">
      <c r="A53" t="str">
        <f t="shared" si="10"/>
        <v>C_Repurpose_Pima_lease|FY2027</v>
      </c>
      <c r="B53" t="str">
        <f>Scenarios!A12</f>
        <v>C_Repurpose_Pima_lease</v>
      </c>
      <c r="C53" t="s">
        <v>21</v>
      </c>
      <c r="D53">
        <f>IF(Scenarios!D12=1,0, L53)</f>
        <v>257</v>
      </c>
      <c r="E53">
        <f>IF(Scenarios!E12=1,0, M53)</f>
        <v>0</v>
      </c>
      <c r="F53">
        <f t="shared" si="11"/>
        <v>257</v>
      </c>
      <c r="G53" s="2">
        <f>YearMap!B3</f>
        <v>7307.3069999999989</v>
      </c>
      <c r="H53" s="2">
        <f>YearMap!C3</f>
        <v>804847.67099999997</v>
      </c>
      <c r="I53" s="2">
        <f>YearMap!D3</f>
        <v>926984.08799999999</v>
      </c>
      <c r="J53">
        <f>1-BaselineCalc!$B$5</f>
        <v>0.99299999999999999</v>
      </c>
      <c r="K53">
        <f>Scenarios!G12</f>
        <v>0</v>
      </c>
      <c r="L53">
        <f>BaselineCalc!$B$7 + ROUND(Scenarios!J12*Scenarios!F12,0)</f>
        <v>257</v>
      </c>
      <c r="M53">
        <f>BaselineCalc!$B$8 + Scenarios!J12 - ROUND(Scenarios!J12*Scenarios!F12,0)</f>
        <v>296</v>
      </c>
      <c r="N53" s="7">
        <f t="shared" si="12"/>
        <v>296</v>
      </c>
      <c r="O53" s="7">
        <f>BaselineCalc!$B$22 * N53</f>
        <v>222</v>
      </c>
      <c r="P53">
        <f>YearMap!E3</f>
        <v>800</v>
      </c>
      <c r="Q53">
        <f>IF(Scenarios!N12="lease", YearMap!F3, YearMap!G3)</f>
        <v>0.3</v>
      </c>
      <c r="R53" s="2">
        <f>IF(Scenarios!D12=1, Q53*H53, H53)</f>
        <v>804847.67099999997</v>
      </c>
      <c r="S53" s="2">
        <f>IF(Scenarios!E12=1, Q53*I53, I53)</f>
        <v>278095.22639999999</v>
      </c>
      <c r="T53" s="2">
        <f>IF(C53="FY2026", (Scenarios!D12+Scenarios!E12)*BaselineCalc!$B$21, 0)</f>
        <v>0</v>
      </c>
      <c r="U53" s="2">
        <f t="shared" si="13"/>
        <v>2940194.3508251994</v>
      </c>
      <c r="V53" s="2">
        <f t="shared" si="14"/>
        <v>1799822.1539999999</v>
      </c>
      <c r="W53" s="2">
        <f t="shared" si="15"/>
        <v>4740016.504825199</v>
      </c>
      <c r="X53" s="2">
        <f t="shared" si="16"/>
        <v>9895.6503232258856</v>
      </c>
      <c r="Y53" t="str">
        <f t="shared" si="17"/>
        <v>C_Repurpose_Pima_lease|FY2027</v>
      </c>
      <c r="Z53">
        <f>INDEX(YearMap!$I$2:$I$6, MATCH(C53, YearMap!$A$2:$A$6, 0))</f>
        <v>5215.26</v>
      </c>
      <c r="AA53">
        <f t="shared" si="18"/>
        <v>2241906.964825199</v>
      </c>
      <c r="AB53">
        <f t="shared" si="19"/>
        <v>4680.3903232258854</v>
      </c>
    </row>
    <row r="54" spans="1:28" x14ac:dyDescent="0.35">
      <c r="A54" t="str">
        <f t="shared" si="10"/>
        <v>C_Repurpose_Pima_lease|FY2028</v>
      </c>
      <c r="B54" t="str">
        <f>Scenarios!A12</f>
        <v>C_Repurpose_Pima_lease</v>
      </c>
      <c r="C54" t="s">
        <v>22</v>
      </c>
      <c r="D54">
        <f>IF(Scenarios!D12=1,0, L54)</f>
        <v>257</v>
      </c>
      <c r="E54">
        <f>IF(Scenarios!E12=1,0, M54)</f>
        <v>0</v>
      </c>
      <c r="F54">
        <f t="shared" si="11"/>
        <v>257</v>
      </c>
      <c r="G54" s="2">
        <f>YearMap!B4</f>
        <v>7489.9896749999989</v>
      </c>
      <c r="H54" s="2">
        <f>YearMap!C4</f>
        <v>824968.86277499993</v>
      </c>
      <c r="I54" s="2">
        <f>YearMap!D4</f>
        <v>950158.69019999984</v>
      </c>
      <c r="J54">
        <f>1-BaselineCalc!$B$5</f>
        <v>0.99299999999999999</v>
      </c>
      <c r="K54">
        <f>Scenarios!G12</f>
        <v>0</v>
      </c>
      <c r="L54">
        <f>BaselineCalc!$B$7 + ROUND(Scenarios!K12*Scenarios!F12,0)</f>
        <v>257</v>
      </c>
      <c r="M54">
        <f>BaselineCalc!$B$8 + Scenarios!K12 - ROUND(Scenarios!K12*Scenarios!F12,0)</f>
        <v>296</v>
      </c>
      <c r="N54" s="7">
        <f t="shared" si="12"/>
        <v>296</v>
      </c>
      <c r="O54" s="7">
        <f>BaselineCalc!$B$22 * N54</f>
        <v>222</v>
      </c>
      <c r="P54">
        <f>YearMap!E4</f>
        <v>600</v>
      </c>
      <c r="Q54">
        <f>IF(Scenarios!N12="lease", YearMap!F4, YearMap!G4)</f>
        <v>0.2</v>
      </c>
      <c r="R54" s="2">
        <f>IF(Scenarios!D12=1, Q54*H54, H54)</f>
        <v>824968.86277499993</v>
      </c>
      <c r="S54" s="2">
        <f>IF(Scenarios!E12=1, Q54*I54, I54)</f>
        <v>190031.73803999997</v>
      </c>
      <c r="T54" s="2">
        <f>IF(C54="FY2026", (Scenarios!D12+Scenarios!E12)*BaselineCalc!$B$21, 0)</f>
        <v>0</v>
      </c>
      <c r="U54" s="2">
        <f t="shared" si="13"/>
        <v>2919348.4516589697</v>
      </c>
      <c r="V54" s="2">
        <f t="shared" si="14"/>
        <v>1795977.7078499997</v>
      </c>
      <c r="W54" s="2">
        <f t="shared" si="15"/>
        <v>4715326.1595089696</v>
      </c>
      <c r="X54" s="2">
        <f t="shared" si="16"/>
        <v>9844.1047171377231</v>
      </c>
      <c r="Y54" t="str">
        <f t="shared" si="17"/>
        <v>C_Repurpose_Pima_lease|FY2028</v>
      </c>
      <c r="Z54">
        <f>INDEX(YearMap!$I$2:$I$6, MATCH(C54, YearMap!$A$2:$A$6, 0))</f>
        <v>5319.5652</v>
      </c>
      <c r="AA54">
        <f t="shared" si="18"/>
        <v>2167254.4287089696</v>
      </c>
      <c r="AB54">
        <f t="shared" si="19"/>
        <v>4524.539517137724</v>
      </c>
    </row>
    <row r="55" spans="1:28" x14ac:dyDescent="0.35">
      <c r="A55" t="str">
        <f t="shared" si="10"/>
        <v>C_Repurpose_Pima_lease|FY2029</v>
      </c>
      <c r="B55" t="str">
        <f>Scenarios!A12</f>
        <v>C_Repurpose_Pima_lease</v>
      </c>
      <c r="C55" t="s">
        <v>23</v>
      </c>
      <c r="D55">
        <f>IF(Scenarios!D12=1,0, L55)</f>
        <v>257</v>
      </c>
      <c r="E55">
        <f>IF(Scenarios!E12=1,0, M55)</f>
        <v>0</v>
      </c>
      <c r="F55">
        <f t="shared" si="11"/>
        <v>257</v>
      </c>
      <c r="G55" s="2">
        <f>YearMap!B5</f>
        <v>7677.2394168749979</v>
      </c>
      <c r="H55" s="2">
        <f>YearMap!C5</f>
        <v>845593.08434437483</v>
      </c>
      <c r="I55" s="2">
        <f>YearMap!D5</f>
        <v>973912.65745499986</v>
      </c>
      <c r="J55">
        <f>1-BaselineCalc!$B$5</f>
        <v>0.99299999999999999</v>
      </c>
      <c r="K55">
        <f>Scenarios!G12</f>
        <v>0</v>
      </c>
      <c r="L55">
        <f>BaselineCalc!$B$7 + ROUND(Scenarios!L12*Scenarios!F12,0)</f>
        <v>257</v>
      </c>
      <c r="M55">
        <f>BaselineCalc!$B$8 + Scenarios!L12 - ROUND(Scenarios!L12*Scenarios!F12,0)</f>
        <v>296</v>
      </c>
      <c r="N55" s="7">
        <f t="shared" si="12"/>
        <v>296</v>
      </c>
      <c r="O55" s="7">
        <f>BaselineCalc!$B$22 * N55</f>
        <v>222</v>
      </c>
      <c r="P55">
        <f>YearMap!E5</f>
        <v>400</v>
      </c>
      <c r="Q55">
        <f>IF(Scenarios!N12="lease", YearMap!F5, YearMap!G5)</f>
        <v>0.1</v>
      </c>
      <c r="R55" s="2">
        <f>IF(Scenarios!D12=1, Q55*H55, H55)</f>
        <v>845593.08434437483</v>
      </c>
      <c r="S55" s="2">
        <f>IF(Scenarios!E12=1, Q55*I55, I55)</f>
        <v>97391.265745499986</v>
      </c>
      <c r="T55" s="2">
        <f>IF(C55="FY2026", (Scenarios!D12+Scenarios!E12)*BaselineCalc!$B$21, 0)</f>
        <v>0</v>
      </c>
      <c r="U55" s="2">
        <f t="shared" si="13"/>
        <v>2895622.6360651618</v>
      </c>
      <c r="V55" s="2">
        <f t="shared" si="14"/>
        <v>1793147.1505462495</v>
      </c>
      <c r="W55" s="2">
        <f t="shared" si="15"/>
        <v>4688769.7866114117</v>
      </c>
      <c r="X55" s="2">
        <f t="shared" si="16"/>
        <v>9788.663437602112</v>
      </c>
      <c r="Y55" t="str">
        <f t="shared" si="17"/>
        <v>C_Repurpose_Pima_lease|FY2029</v>
      </c>
      <c r="Z55">
        <f>INDEX(YearMap!$I$2:$I$6, MATCH(C55, YearMap!$A$2:$A$6, 0))</f>
        <v>5425.9565039999998</v>
      </c>
      <c r="AA55">
        <f t="shared" si="18"/>
        <v>2089736.6211954118</v>
      </c>
      <c r="AB55">
        <f t="shared" si="19"/>
        <v>4362.7069336021123</v>
      </c>
    </row>
    <row r="56" spans="1:28" x14ac:dyDescent="0.35">
      <c r="A56" t="str">
        <f t="shared" si="10"/>
        <v>C_Repurpose_Pima_lease|FY2030</v>
      </c>
      <c r="B56" t="str">
        <f>Scenarios!A12</f>
        <v>C_Repurpose_Pima_lease</v>
      </c>
      <c r="C56" t="s">
        <v>24</v>
      </c>
      <c r="D56">
        <f>IF(Scenarios!D12=1,0, L56)</f>
        <v>257</v>
      </c>
      <c r="E56">
        <f>IF(Scenarios!E12=1,0, M56)</f>
        <v>0</v>
      </c>
      <c r="F56">
        <f t="shared" si="11"/>
        <v>257</v>
      </c>
      <c r="G56" s="2">
        <f>YearMap!B6</f>
        <v>7869.1704022968725</v>
      </c>
      <c r="H56" s="2">
        <f>YearMap!C6</f>
        <v>866732.91145298409</v>
      </c>
      <c r="I56" s="2">
        <f>YearMap!D6</f>
        <v>998260.47389137466</v>
      </c>
      <c r="J56">
        <f>1-BaselineCalc!$B$5</f>
        <v>0.99299999999999999</v>
      </c>
      <c r="K56">
        <f>Scenarios!G12</f>
        <v>0</v>
      </c>
      <c r="L56">
        <f>BaselineCalc!$B$7 + ROUND(Scenarios!M12*Scenarios!F12,0)</f>
        <v>257</v>
      </c>
      <c r="M56">
        <f>BaselineCalc!$B$8 + Scenarios!M12 - ROUND(Scenarios!M12*Scenarios!F12,0)</f>
        <v>296</v>
      </c>
      <c r="N56" s="7">
        <f t="shared" si="12"/>
        <v>296</v>
      </c>
      <c r="O56" s="7">
        <f>BaselineCalc!$B$22 * N56</f>
        <v>222</v>
      </c>
      <c r="P56">
        <f>YearMap!E6</f>
        <v>300</v>
      </c>
      <c r="Q56">
        <f>IF(Scenarios!N12="lease", YearMap!F6, YearMap!G6)</f>
        <v>0</v>
      </c>
      <c r="R56" s="2">
        <f>IF(Scenarios!D12=1, Q56*H56, H56)</f>
        <v>866732.91145298409</v>
      </c>
      <c r="S56" s="2">
        <f>IF(Scenarios!E12=1, Q56*I56, I56)</f>
        <v>0</v>
      </c>
      <c r="T56" s="2">
        <f>IF(C56="FY2026", (Scenarios!D12+Scenarios!E12)*BaselineCalc!$B$21, 0)</f>
        <v>0</v>
      </c>
      <c r="U56" s="2">
        <f t="shared" si="13"/>
        <v>2868885.9369093776</v>
      </c>
      <c r="V56" s="2">
        <f t="shared" si="14"/>
        <v>1813555.8293099056</v>
      </c>
      <c r="W56" s="2">
        <f t="shared" si="15"/>
        <v>4682441.7662192835</v>
      </c>
      <c r="X56" s="2">
        <f t="shared" si="16"/>
        <v>9775.4525390799245</v>
      </c>
      <c r="Y56" t="str">
        <f t="shared" si="17"/>
        <v>C_Repurpose_Pima_lease|FY2030</v>
      </c>
      <c r="Z56">
        <f>INDEX(YearMap!$I$2:$I$6, MATCH(C56, YearMap!$A$2:$A$6, 0))</f>
        <v>5534.4756340799995</v>
      </c>
      <c r="AA56">
        <f t="shared" si="18"/>
        <v>2031427.9374949639</v>
      </c>
      <c r="AB56">
        <f t="shared" si="19"/>
        <v>4240.976904999925</v>
      </c>
    </row>
    <row r="57" spans="1:28" x14ac:dyDescent="0.35">
      <c r="A57" t="str">
        <f t="shared" si="10"/>
        <v>C_Repurpose_Pima_ops|FY2026</v>
      </c>
      <c r="B57" t="str">
        <f>Scenarios!A13</f>
        <v>C_Repurpose_Pima_ops</v>
      </c>
      <c r="C57" t="s">
        <v>20</v>
      </c>
      <c r="D57">
        <f>IF(Scenarios!D13=1,0, L57)</f>
        <v>257</v>
      </c>
      <c r="E57">
        <f>IF(Scenarios!E13=1,0, M57)</f>
        <v>0</v>
      </c>
      <c r="F57">
        <f t="shared" si="11"/>
        <v>257</v>
      </c>
      <c r="G57" s="2">
        <f>YearMap!B2</f>
        <v>7129.079999999999</v>
      </c>
      <c r="H57" s="2">
        <f>YearMap!C2</f>
        <v>785217.23999999987</v>
      </c>
      <c r="I57" s="2">
        <f>YearMap!D2</f>
        <v>904374.71999999986</v>
      </c>
      <c r="J57">
        <f>1-BaselineCalc!$B$5</f>
        <v>0.99299999999999999</v>
      </c>
      <c r="K57">
        <f>Scenarios!G13</f>
        <v>0</v>
      </c>
      <c r="L57">
        <f>BaselineCalc!$B$7 + ROUND(Scenarios!I13*Scenarios!F13,0)</f>
        <v>257</v>
      </c>
      <c r="M57">
        <f>BaselineCalc!$B$8 + Scenarios!I13 - ROUND(Scenarios!I13*Scenarios!F13,0)</f>
        <v>296</v>
      </c>
      <c r="N57" s="7">
        <f t="shared" si="12"/>
        <v>296</v>
      </c>
      <c r="O57" s="7">
        <f>BaselineCalc!$B$22 * N57</f>
        <v>222</v>
      </c>
      <c r="P57">
        <f>YearMap!E2</f>
        <v>1000</v>
      </c>
      <c r="Q57">
        <f>IF(Scenarios!N13="lease", YearMap!F2, YearMap!G2)</f>
        <v>0.4</v>
      </c>
      <c r="R57" s="2">
        <f>IF(Scenarios!D13=1, Q57*H57, H57)</f>
        <v>785217.23999999987</v>
      </c>
      <c r="S57" s="2">
        <f>IF(Scenarios!E13=1, Q57*I57, I57)</f>
        <v>361749.88799999998</v>
      </c>
      <c r="T57" s="2">
        <f>IF(C57="FY2026", (Scenarios!D13+Scenarios!E13)*BaselineCalc!$B$21, 0)</f>
        <v>1200000</v>
      </c>
      <c r="U57" s="2">
        <f t="shared" si="13"/>
        <v>2958286.7031839998</v>
      </c>
      <c r="V57" s="2">
        <f t="shared" si="14"/>
        <v>1804655.7599999998</v>
      </c>
      <c r="W57" s="2">
        <f t="shared" si="15"/>
        <v>5962942.4631839991</v>
      </c>
      <c r="X57" s="2">
        <f t="shared" si="16"/>
        <v>12448.73165591649</v>
      </c>
      <c r="Y57" t="str">
        <f t="shared" si="17"/>
        <v>C_Repurpose_Pima_ops|FY2026</v>
      </c>
      <c r="Z57">
        <f>INDEX(YearMap!$I$2:$I$6, MATCH(C57, YearMap!$A$2:$A$6, 0))</f>
        <v>5113</v>
      </c>
      <c r="AA57">
        <f t="shared" si="18"/>
        <v>3513815.4631839991</v>
      </c>
      <c r="AB57">
        <f t="shared" si="19"/>
        <v>7335.731655916491</v>
      </c>
    </row>
    <row r="58" spans="1:28" x14ac:dyDescent="0.35">
      <c r="A58" t="str">
        <f t="shared" si="10"/>
        <v>C_Repurpose_Pima_ops|FY2027</v>
      </c>
      <c r="B58" t="str">
        <f>Scenarios!A13</f>
        <v>C_Repurpose_Pima_ops</v>
      </c>
      <c r="C58" t="s">
        <v>21</v>
      </c>
      <c r="D58">
        <f>IF(Scenarios!D13=1,0, L58)</f>
        <v>257</v>
      </c>
      <c r="E58">
        <f>IF(Scenarios!E13=1,0, M58)</f>
        <v>0</v>
      </c>
      <c r="F58">
        <f t="shared" si="11"/>
        <v>257</v>
      </c>
      <c r="G58" s="2">
        <f>YearMap!B3</f>
        <v>7307.3069999999989</v>
      </c>
      <c r="H58" s="2">
        <f>YearMap!C3</f>
        <v>804847.67099999997</v>
      </c>
      <c r="I58" s="2">
        <f>YearMap!D3</f>
        <v>926984.08799999999</v>
      </c>
      <c r="J58">
        <f>1-BaselineCalc!$B$5</f>
        <v>0.99299999999999999</v>
      </c>
      <c r="K58">
        <f>Scenarios!G13</f>
        <v>0</v>
      </c>
      <c r="L58">
        <f>BaselineCalc!$B$7 + ROUND(Scenarios!J13*Scenarios!F13,0)</f>
        <v>257</v>
      </c>
      <c r="M58">
        <f>BaselineCalc!$B$8 + Scenarios!J13 - ROUND(Scenarios!J13*Scenarios!F13,0)</f>
        <v>296</v>
      </c>
      <c r="N58" s="7">
        <f t="shared" si="12"/>
        <v>296</v>
      </c>
      <c r="O58" s="7">
        <f>BaselineCalc!$B$22 * N58</f>
        <v>222</v>
      </c>
      <c r="P58">
        <f>YearMap!E3</f>
        <v>800</v>
      </c>
      <c r="Q58">
        <f>IF(Scenarios!N13="lease", YearMap!F3, YearMap!G3)</f>
        <v>0.35</v>
      </c>
      <c r="R58" s="2">
        <f>IF(Scenarios!D13=1, Q58*H58, H58)</f>
        <v>804847.67099999997</v>
      </c>
      <c r="S58" s="2">
        <f>IF(Scenarios!E13=1, Q58*I58, I58)</f>
        <v>324444.43079999997</v>
      </c>
      <c r="T58" s="2">
        <f>IF(C58="FY2026", (Scenarios!D13+Scenarios!E13)*BaselineCalc!$B$21, 0)</f>
        <v>0</v>
      </c>
      <c r="U58" s="2">
        <f t="shared" si="13"/>
        <v>2986219.1107943994</v>
      </c>
      <c r="V58" s="2">
        <f t="shared" si="14"/>
        <v>1799822.1539999999</v>
      </c>
      <c r="W58" s="2">
        <f t="shared" si="15"/>
        <v>4786041.264794399</v>
      </c>
      <c r="X58" s="2">
        <f t="shared" si="16"/>
        <v>9991.7354171073057</v>
      </c>
      <c r="Y58" t="str">
        <f t="shared" si="17"/>
        <v>C_Repurpose_Pima_ops|FY2027</v>
      </c>
      <c r="Z58">
        <f>INDEX(YearMap!$I$2:$I$6, MATCH(C58, YearMap!$A$2:$A$6, 0))</f>
        <v>5215.26</v>
      </c>
      <c r="AA58">
        <f t="shared" si="18"/>
        <v>2287931.724794399</v>
      </c>
      <c r="AB58">
        <f t="shared" si="19"/>
        <v>4776.4754171073046</v>
      </c>
    </row>
    <row r="59" spans="1:28" x14ac:dyDescent="0.35">
      <c r="A59" t="str">
        <f t="shared" si="10"/>
        <v>C_Repurpose_Pima_ops|FY2028</v>
      </c>
      <c r="B59" t="str">
        <f>Scenarios!A13</f>
        <v>C_Repurpose_Pima_ops</v>
      </c>
      <c r="C59" t="s">
        <v>22</v>
      </c>
      <c r="D59">
        <f>IF(Scenarios!D13=1,0, L59)</f>
        <v>257</v>
      </c>
      <c r="E59">
        <f>IF(Scenarios!E13=1,0, M59)</f>
        <v>0</v>
      </c>
      <c r="F59">
        <f t="shared" si="11"/>
        <v>257</v>
      </c>
      <c r="G59" s="2">
        <f>YearMap!B4</f>
        <v>7489.9896749999989</v>
      </c>
      <c r="H59" s="2">
        <f>YearMap!C4</f>
        <v>824968.86277499993</v>
      </c>
      <c r="I59" s="2">
        <f>YearMap!D4</f>
        <v>950158.69019999984</v>
      </c>
      <c r="J59">
        <f>1-BaselineCalc!$B$5</f>
        <v>0.99299999999999999</v>
      </c>
      <c r="K59">
        <f>Scenarios!G13</f>
        <v>0</v>
      </c>
      <c r="L59">
        <f>BaselineCalc!$B$7 + ROUND(Scenarios!K13*Scenarios!F13,0)</f>
        <v>257</v>
      </c>
      <c r="M59">
        <f>BaselineCalc!$B$8 + Scenarios!K13 - ROUND(Scenarios!K13*Scenarios!F13,0)</f>
        <v>296</v>
      </c>
      <c r="N59" s="7">
        <f t="shared" si="12"/>
        <v>296</v>
      </c>
      <c r="O59" s="7">
        <f>BaselineCalc!$B$22 * N59</f>
        <v>222</v>
      </c>
      <c r="P59">
        <f>YearMap!E4</f>
        <v>600</v>
      </c>
      <c r="Q59">
        <f>IF(Scenarios!N13="lease", YearMap!F4, YearMap!G4)</f>
        <v>0.3</v>
      </c>
      <c r="R59" s="2">
        <f>IF(Scenarios!D13=1, Q59*H59, H59)</f>
        <v>824968.86277499993</v>
      </c>
      <c r="S59" s="2">
        <f>IF(Scenarios!E13=1, Q59*I59, I59)</f>
        <v>285047.60705999995</v>
      </c>
      <c r="T59" s="2">
        <f>IF(C59="FY2026", (Scenarios!D13+Scenarios!E13)*BaselineCalc!$B$21, 0)</f>
        <v>0</v>
      </c>
      <c r="U59" s="2">
        <f t="shared" si="13"/>
        <v>3013699.2095958297</v>
      </c>
      <c r="V59" s="2">
        <f t="shared" si="14"/>
        <v>1795977.7078499997</v>
      </c>
      <c r="W59" s="2">
        <f t="shared" si="15"/>
        <v>4809676.9174458291</v>
      </c>
      <c r="X59" s="2">
        <f t="shared" si="16"/>
        <v>10041.079159594632</v>
      </c>
      <c r="Y59" t="str">
        <f t="shared" si="17"/>
        <v>C_Repurpose_Pima_ops|FY2028</v>
      </c>
      <c r="Z59">
        <f>INDEX(YearMap!$I$2:$I$6, MATCH(C59, YearMap!$A$2:$A$6, 0))</f>
        <v>5319.5652</v>
      </c>
      <c r="AA59">
        <f t="shared" si="18"/>
        <v>2261605.1866458291</v>
      </c>
      <c r="AB59">
        <f t="shared" si="19"/>
        <v>4721.513959594633</v>
      </c>
    </row>
    <row r="60" spans="1:28" x14ac:dyDescent="0.35">
      <c r="A60" t="str">
        <f t="shared" si="10"/>
        <v>C_Repurpose_Pima_ops|FY2029</v>
      </c>
      <c r="B60" t="str">
        <f>Scenarios!A13</f>
        <v>C_Repurpose_Pima_ops</v>
      </c>
      <c r="C60" t="s">
        <v>23</v>
      </c>
      <c r="D60">
        <f>IF(Scenarios!D13=1,0, L60)</f>
        <v>257</v>
      </c>
      <c r="E60">
        <f>IF(Scenarios!E13=1,0, M60)</f>
        <v>0</v>
      </c>
      <c r="F60">
        <f t="shared" si="11"/>
        <v>257</v>
      </c>
      <c r="G60" s="2">
        <f>YearMap!B5</f>
        <v>7677.2394168749979</v>
      </c>
      <c r="H60" s="2">
        <f>YearMap!C5</f>
        <v>845593.08434437483</v>
      </c>
      <c r="I60" s="2">
        <f>YearMap!D5</f>
        <v>973912.65745499986</v>
      </c>
      <c r="J60">
        <f>1-BaselineCalc!$B$5</f>
        <v>0.99299999999999999</v>
      </c>
      <c r="K60">
        <f>Scenarios!G13</f>
        <v>0</v>
      </c>
      <c r="L60">
        <f>BaselineCalc!$B$7 + ROUND(Scenarios!L13*Scenarios!F13,0)</f>
        <v>257</v>
      </c>
      <c r="M60">
        <f>BaselineCalc!$B$8 + Scenarios!L13 - ROUND(Scenarios!L13*Scenarios!F13,0)</f>
        <v>296</v>
      </c>
      <c r="N60" s="7">
        <f t="shared" si="12"/>
        <v>296</v>
      </c>
      <c r="O60" s="7">
        <f>BaselineCalc!$B$22 * N60</f>
        <v>222</v>
      </c>
      <c r="P60">
        <f>YearMap!E5</f>
        <v>400</v>
      </c>
      <c r="Q60">
        <f>IF(Scenarios!N13="lease", YearMap!F5, YearMap!G5)</f>
        <v>0.25</v>
      </c>
      <c r="R60" s="2">
        <f>IF(Scenarios!D13=1, Q60*H60, H60)</f>
        <v>845593.08434437483</v>
      </c>
      <c r="S60" s="2">
        <f>IF(Scenarios!E13=1, Q60*I60, I60)</f>
        <v>243478.16436374997</v>
      </c>
      <c r="T60" s="2">
        <f>IF(C60="FY2026", (Scenarios!D13+Scenarios!E13)*BaselineCalc!$B$21, 0)</f>
        <v>0</v>
      </c>
      <c r="U60" s="2">
        <f t="shared" si="13"/>
        <v>3040686.9263930842</v>
      </c>
      <c r="V60" s="2">
        <f t="shared" si="14"/>
        <v>1793147.1505462495</v>
      </c>
      <c r="W60" s="2">
        <f t="shared" si="15"/>
        <v>4833834.0769393332</v>
      </c>
      <c r="X60" s="2">
        <f t="shared" si="16"/>
        <v>10091.51164287961</v>
      </c>
      <c r="Y60" t="str">
        <f t="shared" si="17"/>
        <v>C_Repurpose_Pima_ops|FY2029</v>
      </c>
      <c r="Z60">
        <f>INDEX(YearMap!$I$2:$I$6, MATCH(C60, YearMap!$A$2:$A$6, 0))</f>
        <v>5425.9565039999998</v>
      </c>
      <c r="AA60">
        <f t="shared" si="18"/>
        <v>2234800.9115233333</v>
      </c>
      <c r="AB60">
        <f t="shared" si="19"/>
        <v>4665.5551388796102</v>
      </c>
    </row>
    <row r="61" spans="1:28" x14ac:dyDescent="0.35">
      <c r="A61" t="str">
        <f t="shared" si="10"/>
        <v>C_Repurpose_Pima_ops|FY2030</v>
      </c>
      <c r="B61" t="str">
        <f>Scenarios!A13</f>
        <v>C_Repurpose_Pima_ops</v>
      </c>
      <c r="C61" t="s">
        <v>24</v>
      </c>
      <c r="D61">
        <f>IF(Scenarios!D13=1,0, L61)</f>
        <v>257</v>
      </c>
      <c r="E61">
        <f>IF(Scenarios!E13=1,0, M61)</f>
        <v>0</v>
      </c>
      <c r="F61">
        <f t="shared" si="11"/>
        <v>257</v>
      </c>
      <c r="G61" s="2">
        <f>YearMap!B6</f>
        <v>7869.1704022968725</v>
      </c>
      <c r="H61" s="2">
        <f>YearMap!C6</f>
        <v>866732.91145298409</v>
      </c>
      <c r="I61" s="2">
        <f>YearMap!D6</f>
        <v>998260.47389137466</v>
      </c>
      <c r="J61">
        <f>1-BaselineCalc!$B$5</f>
        <v>0.99299999999999999</v>
      </c>
      <c r="K61">
        <f>Scenarios!G13</f>
        <v>0</v>
      </c>
      <c r="L61">
        <f>BaselineCalc!$B$7 + ROUND(Scenarios!M13*Scenarios!F13,0)</f>
        <v>257</v>
      </c>
      <c r="M61">
        <f>BaselineCalc!$B$8 + Scenarios!M13 - ROUND(Scenarios!M13*Scenarios!F13,0)</f>
        <v>296</v>
      </c>
      <c r="N61" s="7">
        <f t="shared" si="12"/>
        <v>296</v>
      </c>
      <c r="O61" s="7">
        <f>BaselineCalc!$B$22 * N61</f>
        <v>222</v>
      </c>
      <c r="P61">
        <f>YearMap!E6</f>
        <v>300</v>
      </c>
      <c r="Q61">
        <f>IF(Scenarios!N13="lease", YearMap!F6, YearMap!G6)</f>
        <v>0.2</v>
      </c>
      <c r="R61" s="2">
        <f>IF(Scenarios!D13=1, Q61*H61, H61)</f>
        <v>866732.91145298409</v>
      </c>
      <c r="S61" s="2">
        <f>IF(Scenarios!E13=1, Q61*I61, I61)</f>
        <v>199652.09477827494</v>
      </c>
      <c r="T61" s="2">
        <f>IF(C61="FY2026", (Scenarios!D13+Scenarios!E13)*BaselineCalc!$B$21, 0)</f>
        <v>0</v>
      </c>
      <c r="U61" s="2">
        <f t="shared" si="13"/>
        <v>3067140.4670242043</v>
      </c>
      <c r="V61" s="2">
        <f t="shared" si="14"/>
        <v>1813555.8293099056</v>
      </c>
      <c r="W61" s="2">
        <f t="shared" si="15"/>
        <v>4880696.2963341102</v>
      </c>
      <c r="X61" s="2">
        <f t="shared" si="16"/>
        <v>10189.345086292506</v>
      </c>
      <c r="Y61" t="str">
        <f t="shared" si="17"/>
        <v>C_Repurpose_Pima_ops|FY2030</v>
      </c>
      <c r="Z61">
        <f>INDEX(YearMap!$I$2:$I$6, MATCH(C61, YearMap!$A$2:$A$6, 0))</f>
        <v>5534.4756340799995</v>
      </c>
      <c r="AA61">
        <f t="shared" si="18"/>
        <v>2229682.4676097906</v>
      </c>
      <c r="AB61">
        <f t="shared" si="19"/>
        <v>4654.8694522125061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5"/>
  <sheetViews>
    <sheetView tabSelected="1" zoomScale="70" zoomScaleNormal="70" workbookViewId="0">
      <selection activeCell="C16" sqref="C16"/>
    </sheetView>
  </sheetViews>
  <sheetFormatPr defaultRowHeight="14.5" x14ac:dyDescent="0.35"/>
  <cols>
    <col min="1" max="1" width="26.1796875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4" x14ac:dyDescent="0.3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25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</row>
    <row r="2" spans="1:14" x14ac:dyDescent="0.35">
      <c r="A2" t="s">
        <v>100</v>
      </c>
      <c r="B2" t="s">
        <v>101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102</v>
      </c>
      <c r="I2">
        <f t="shared" ref="I2:M6" si="0">$C2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</row>
    <row r="3" spans="1:14" x14ac:dyDescent="0.35">
      <c r="A3" t="s">
        <v>103</v>
      </c>
      <c r="B3" t="s">
        <v>104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105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4" x14ac:dyDescent="0.35">
      <c r="A4" t="s">
        <v>106</v>
      </c>
      <c r="B4" t="s">
        <v>107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108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</row>
    <row r="5" spans="1:14" x14ac:dyDescent="0.35">
      <c r="A5" t="s">
        <v>109</v>
      </c>
      <c r="B5" t="s">
        <v>110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111</v>
      </c>
      <c r="I5">
        <f t="shared" si="0"/>
        <v>100</v>
      </c>
      <c r="J5">
        <f t="shared" si="0"/>
        <v>100</v>
      </c>
      <c r="K5">
        <f t="shared" si="0"/>
        <v>100</v>
      </c>
      <c r="L5">
        <f t="shared" si="0"/>
        <v>100</v>
      </c>
      <c r="M5">
        <f t="shared" si="0"/>
        <v>100</v>
      </c>
    </row>
    <row r="6" spans="1:14" x14ac:dyDescent="0.35">
      <c r="A6" t="s">
        <v>9</v>
      </c>
      <c r="B6" t="s">
        <v>112</v>
      </c>
      <c r="C6" s="4">
        <v>150</v>
      </c>
      <c r="D6" s="4">
        <v>0</v>
      </c>
      <c r="E6" s="4">
        <v>0</v>
      </c>
      <c r="F6" s="4">
        <v>0.5</v>
      </c>
      <c r="G6" s="4">
        <v>0</v>
      </c>
      <c r="H6" t="s">
        <v>113</v>
      </c>
      <c r="I6">
        <f t="shared" si="0"/>
        <v>150</v>
      </c>
      <c r="J6">
        <f t="shared" si="0"/>
        <v>150</v>
      </c>
      <c r="K6">
        <f t="shared" si="0"/>
        <v>150</v>
      </c>
      <c r="L6">
        <f t="shared" si="0"/>
        <v>150</v>
      </c>
      <c r="M6">
        <f t="shared" si="0"/>
        <v>150</v>
      </c>
    </row>
    <row r="7" spans="1:14" x14ac:dyDescent="0.35">
      <c r="A7" t="s">
        <v>12</v>
      </c>
      <c r="B7" t="s">
        <v>114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115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8" spans="1:14" x14ac:dyDescent="0.35">
      <c r="A8" t="s">
        <v>116</v>
      </c>
      <c r="B8" t="s">
        <v>117</v>
      </c>
      <c r="C8" s="4">
        <v>0</v>
      </c>
      <c r="D8" s="4">
        <v>1</v>
      </c>
      <c r="E8" s="4">
        <v>1</v>
      </c>
      <c r="F8" s="4">
        <v>0.5</v>
      </c>
      <c r="G8" s="4">
        <v>0</v>
      </c>
      <c r="H8" t="s">
        <v>118</v>
      </c>
      <c r="I8">
        <f t="shared" ref="I8:M13" si="1">$C8</f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 t="s">
        <v>119</v>
      </c>
    </row>
    <row r="9" spans="1:14" x14ac:dyDescent="0.35">
      <c r="A9" t="s">
        <v>6</v>
      </c>
      <c r="B9" t="s">
        <v>120</v>
      </c>
      <c r="C9" s="4">
        <v>0</v>
      </c>
      <c r="D9" s="4">
        <v>1</v>
      </c>
      <c r="E9" s="4">
        <v>1</v>
      </c>
      <c r="F9" s="4">
        <v>0.5</v>
      </c>
      <c r="G9" s="4">
        <v>0</v>
      </c>
      <c r="H9" t="s">
        <v>121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 t="s">
        <v>122</v>
      </c>
    </row>
    <row r="10" spans="1:14" x14ac:dyDescent="0.35">
      <c r="A10" t="s">
        <v>123</v>
      </c>
      <c r="B10" t="s">
        <v>124</v>
      </c>
      <c r="C10" s="4">
        <v>0</v>
      </c>
      <c r="D10" s="4">
        <v>1</v>
      </c>
      <c r="E10" s="4">
        <v>0</v>
      </c>
      <c r="F10" s="4">
        <v>0.5</v>
      </c>
      <c r="G10" s="4">
        <v>0</v>
      </c>
      <c r="H10" t="s">
        <v>125</v>
      </c>
      <c r="I10">
        <f t="shared" si="1"/>
        <v>0</v>
      </c>
      <c r="J10">
        <f t="shared" si="1"/>
        <v>0</v>
      </c>
      <c r="K10">
        <f t="shared" si="1"/>
        <v>0</v>
      </c>
      <c r="L10">
        <f t="shared" si="1"/>
        <v>0</v>
      </c>
      <c r="M10">
        <f t="shared" si="1"/>
        <v>0</v>
      </c>
      <c r="N10" t="s">
        <v>119</v>
      </c>
    </row>
    <row r="11" spans="1:14" x14ac:dyDescent="0.35">
      <c r="A11" t="s">
        <v>126</v>
      </c>
      <c r="B11" t="s">
        <v>127</v>
      </c>
      <c r="C11" s="4">
        <v>0</v>
      </c>
      <c r="D11" s="4">
        <v>1</v>
      </c>
      <c r="E11" s="4">
        <v>0</v>
      </c>
      <c r="F11" s="4">
        <v>0.5</v>
      </c>
      <c r="G11" s="4">
        <v>0</v>
      </c>
      <c r="H11" t="s">
        <v>128</v>
      </c>
      <c r="I11">
        <f t="shared" si="1"/>
        <v>0</v>
      </c>
      <c r="J11">
        <f t="shared" si="1"/>
        <v>0</v>
      </c>
      <c r="K11">
        <f t="shared" si="1"/>
        <v>0</v>
      </c>
      <c r="L11">
        <f t="shared" si="1"/>
        <v>0</v>
      </c>
      <c r="M11">
        <f t="shared" si="1"/>
        <v>0</v>
      </c>
      <c r="N11" t="s">
        <v>122</v>
      </c>
    </row>
    <row r="12" spans="1:14" x14ac:dyDescent="0.35">
      <c r="A12" t="s">
        <v>129</v>
      </c>
      <c r="B12" t="s">
        <v>130</v>
      </c>
      <c r="C12" s="4">
        <v>0</v>
      </c>
      <c r="D12" s="4">
        <v>0</v>
      </c>
      <c r="E12" s="4">
        <v>1</v>
      </c>
      <c r="F12" s="4">
        <v>0.5</v>
      </c>
      <c r="G12" s="4">
        <v>0</v>
      </c>
      <c r="H12" t="s">
        <v>131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 t="s">
        <v>119</v>
      </c>
    </row>
    <row r="13" spans="1:14" x14ac:dyDescent="0.35">
      <c r="A13" t="s">
        <v>132</v>
      </c>
      <c r="B13" t="s">
        <v>133</v>
      </c>
      <c r="C13" s="4">
        <v>0</v>
      </c>
      <c r="D13" s="4">
        <v>0</v>
      </c>
      <c r="E13" s="4">
        <v>1</v>
      </c>
      <c r="F13" s="4">
        <v>0.5</v>
      </c>
      <c r="G13" s="4">
        <v>0</v>
      </c>
      <c r="H13" t="s">
        <v>134</v>
      </c>
      <c r="I13">
        <f t="shared" si="1"/>
        <v>0</v>
      </c>
      <c r="J13">
        <f t="shared" si="1"/>
        <v>0</v>
      </c>
      <c r="K13">
        <f t="shared" si="1"/>
        <v>0</v>
      </c>
      <c r="L13">
        <f t="shared" si="1"/>
        <v>0</v>
      </c>
      <c r="M13">
        <f t="shared" si="1"/>
        <v>0</v>
      </c>
      <c r="N13" t="s">
        <v>122</v>
      </c>
    </row>
    <row r="15" spans="1:14" x14ac:dyDescent="0.35">
      <c r="A15" s="1" t="s">
        <v>87</v>
      </c>
      <c r="B15" s="1" t="s">
        <v>17</v>
      </c>
      <c r="C15" s="1" t="s">
        <v>135</v>
      </c>
      <c r="D15" s="1" t="s">
        <v>136</v>
      </c>
      <c r="E15" s="1" t="s">
        <v>137</v>
      </c>
      <c r="F15" s="1" t="s">
        <v>79</v>
      </c>
      <c r="G15" s="1" t="s">
        <v>80</v>
      </c>
      <c r="H15" s="1" t="s">
        <v>81</v>
      </c>
      <c r="I15" s="1" t="s">
        <v>138</v>
      </c>
    </row>
    <row r="16" spans="1:14" x14ac:dyDescent="0.35">
      <c r="A16" t="str">
        <f>A2</f>
        <v>D_Grow_Both_0</v>
      </c>
      <c r="B16" t="s">
        <v>20</v>
      </c>
      <c r="C16">
        <f>IF(D2=1,0, BaselineCalc!$B$7 + ROUND(I2*F2,0))</f>
        <v>257</v>
      </c>
      <c r="D16">
        <f>IF(E2=1,0, BaselineCalc!$B$8 + I2 - ROUND(I2*F2,0))</f>
        <v>296</v>
      </c>
      <c r="E16">
        <f t="shared" ref="E16:E47" si="2">C16+D16</f>
        <v>553</v>
      </c>
      <c r="F16" s="2">
        <f>YearMap!B2</f>
        <v>7129.079999999999</v>
      </c>
      <c r="G16" s="2">
        <f>YearMap!C2</f>
        <v>785217.23999999987</v>
      </c>
      <c r="H16" s="2">
        <f>YearMap!D2</f>
        <v>904374.71999999986</v>
      </c>
      <c r="I16" t="str">
        <f t="shared" ref="I16:I47" si="3">A16&amp;"|"&amp;B16</f>
        <v>D_Grow_Both_0|FY2026</v>
      </c>
    </row>
    <row r="17" spans="1:9" x14ac:dyDescent="0.35">
      <c r="A17" t="str">
        <f>A2</f>
        <v>D_Grow_Both_0</v>
      </c>
      <c r="B17" t="s">
        <v>21</v>
      </c>
      <c r="C17">
        <f>IF(D2=1,0, BaselineCalc!$B$7 + ROUND(J2*F2,0))</f>
        <v>257</v>
      </c>
      <c r="D17">
        <f>IF(E2=1,0, BaselineCalc!$B$8 + J2 - ROUND(J2*F2,0))</f>
        <v>296</v>
      </c>
      <c r="E17">
        <f t="shared" si="2"/>
        <v>553</v>
      </c>
      <c r="F17" s="2">
        <f>YearMap!B3</f>
        <v>7307.3069999999989</v>
      </c>
      <c r="G17" s="2">
        <f>YearMap!C3</f>
        <v>804847.67099999997</v>
      </c>
      <c r="H17" s="2">
        <f>YearMap!D3</f>
        <v>926984.08799999999</v>
      </c>
      <c r="I17" t="str">
        <f t="shared" si="3"/>
        <v>D_Grow_Both_0|FY2027</v>
      </c>
    </row>
    <row r="18" spans="1:9" x14ac:dyDescent="0.35">
      <c r="A18" t="str">
        <f>A2</f>
        <v>D_Grow_Both_0</v>
      </c>
      <c r="B18" t="s">
        <v>22</v>
      </c>
      <c r="C18">
        <f>IF(D2=1,0, BaselineCalc!$B$7 + ROUND(K2*F2,0))</f>
        <v>257</v>
      </c>
      <c r="D18">
        <f>IF(E2=1,0, BaselineCalc!$B$8 + K2 - ROUND(K2*F2,0))</f>
        <v>296</v>
      </c>
      <c r="E18">
        <f t="shared" si="2"/>
        <v>553</v>
      </c>
      <c r="F18" s="2">
        <f>YearMap!B4</f>
        <v>7489.9896749999989</v>
      </c>
      <c r="G18" s="2">
        <f>YearMap!C4</f>
        <v>824968.86277499993</v>
      </c>
      <c r="H18" s="2">
        <f>YearMap!D4</f>
        <v>950158.69019999984</v>
      </c>
      <c r="I18" t="str">
        <f t="shared" si="3"/>
        <v>D_Grow_Both_0|FY2028</v>
      </c>
    </row>
    <row r="19" spans="1:9" x14ac:dyDescent="0.35">
      <c r="A19" t="str">
        <f>A2</f>
        <v>D_Grow_Both_0</v>
      </c>
      <c r="B19" t="s">
        <v>23</v>
      </c>
      <c r="C19">
        <f>IF(D2=1,0, BaselineCalc!$B$7 + ROUND(L2*F2,0))</f>
        <v>257</v>
      </c>
      <c r="D19">
        <f>IF(E2=1,0, BaselineCalc!$B$8 + L2 - ROUND(L2*F2,0))</f>
        <v>296</v>
      </c>
      <c r="E19">
        <f t="shared" si="2"/>
        <v>553</v>
      </c>
      <c r="F19" s="2">
        <f>YearMap!B5</f>
        <v>7677.2394168749979</v>
      </c>
      <c r="G19" s="2">
        <f>YearMap!C5</f>
        <v>845593.08434437483</v>
      </c>
      <c r="H19" s="2">
        <f>YearMap!D5</f>
        <v>973912.65745499986</v>
      </c>
      <c r="I19" t="str">
        <f t="shared" si="3"/>
        <v>D_Grow_Both_0|FY2029</v>
      </c>
    </row>
    <row r="20" spans="1:9" x14ac:dyDescent="0.35">
      <c r="A20" t="str">
        <f>A2</f>
        <v>D_Grow_Both_0</v>
      </c>
      <c r="B20" t="s">
        <v>24</v>
      </c>
      <c r="C20">
        <f>IF(D2=1,0, BaselineCalc!$B$7 + ROUND(M2*F2,0))</f>
        <v>257</v>
      </c>
      <c r="D20">
        <f>IF(E2=1,0, BaselineCalc!$B$8 + M2 - ROUND(M2*F2,0))</f>
        <v>296</v>
      </c>
      <c r="E20">
        <f t="shared" si="2"/>
        <v>553</v>
      </c>
      <c r="F20" s="2">
        <f>YearMap!B6</f>
        <v>7869.1704022968725</v>
      </c>
      <c r="G20" s="2">
        <f>YearMap!C6</f>
        <v>866732.91145298409</v>
      </c>
      <c r="H20" s="2">
        <f>YearMap!D6</f>
        <v>998260.47389137466</v>
      </c>
      <c r="I20" t="str">
        <f t="shared" si="3"/>
        <v>D_Grow_Both_0|FY2030</v>
      </c>
    </row>
    <row r="21" spans="1:9" x14ac:dyDescent="0.35">
      <c r="A21" t="str">
        <f>A3</f>
        <v>E_StatusQuo_Targets_0</v>
      </c>
      <c r="B21" t="s">
        <v>20</v>
      </c>
      <c r="C21">
        <f>IF(D3=1,0, BaselineCalc!$B$7 + ROUND(I3*F3,0))</f>
        <v>257</v>
      </c>
      <c r="D21">
        <f>IF(E3=1,0, BaselineCalc!$B$8 + I3 - ROUND(I3*F3,0))</f>
        <v>296</v>
      </c>
      <c r="E21">
        <f t="shared" si="2"/>
        <v>553</v>
      </c>
      <c r="F21" s="2">
        <f>YearMap!B2</f>
        <v>7129.079999999999</v>
      </c>
      <c r="G21" s="2">
        <f>YearMap!C2</f>
        <v>785217.23999999987</v>
      </c>
      <c r="H21" s="2">
        <f>YearMap!D2</f>
        <v>904374.71999999986</v>
      </c>
      <c r="I21" t="str">
        <f t="shared" si="3"/>
        <v>E_StatusQuo_Targets_0|FY2026</v>
      </c>
    </row>
    <row r="22" spans="1:9" x14ac:dyDescent="0.35">
      <c r="A22" t="str">
        <f>A3</f>
        <v>E_StatusQuo_Targets_0</v>
      </c>
      <c r="B22" t="s">
        <v>21</v>
      </c>
      <c r="C22">
        <f>IF(D3=1,0, BaselineCalc!$B$7 + ROUND(J3*F3,0))</f>
        <v>257</v>
      </c>
      <c r="D22">
        <f>IF(E3=1,0, BaselineCalc!$B$8 + J3 - ROUND(J3*F3,0))</f>
        <v>296</v>
      </c>
      <c r="E22">
        <f t="shared" si="2"/>
        <v>553</v>
      </c>
      <c r="F22" s="2">
        <f>YearMap!B3</f>
        <v>7307.3069999999989</v>
      </c>
      <c r="G22" s="2">
        <f>YearMap!C3</f>
        <v>804847.67099999997</v>
      </c>
      <c r="H22" s="2">
        <f>YearMap!D3</f>
        <v>926984.08799999999</v>
      </c>
      <c r="I22" t="str">
        <f t="shared" si="3"/>
        <v>E_StatusQuo_Targets_0|FY2027</v>
      </c>
    </row>
    <row r="23" spans="1:9" x14ac:dyDescent="0.35">
      <c r="A23" t="str">
        <f>A3</f>
        <v>E_StatusQuo_Targets_0</v>
      </c>
      <c r="B23" t="s">
        <v>22</v>
      </c>
      <c r="C23">
        <f>IF(D3=1,0, BaselineCalc!$B$7 + ROUND(K3*F3,0))</f>
        <v>257</v>
      </c>
      <c r="D23">
        <f>IF(E3=1,0, BaselineCalc!$B$8 + K3 - ROUND(K3*F3,0))</f>
        <v>296</v>
      </c>
      <c r="E23">
        <f t="shared" si="2"/>
        <v>553</v>
      </c>
      <c r="F23" s="2">
        <f>YearMap!B4</f>
        <v>7489.9896749999989</v>
      </c>
      <c r="G23" s="2">
        <f>YearMap!C4</f>
        <v>824968.86277499993</v>
      </c>
      <c r="H23" s="2">
        <f>YearMap!D4</f>
        <v>950158.69019999984</v>
      </c>
      <c r="I23" t="str">
        <f t="shared" si="3"/>
        <v>E_StatusQuo_Targets_0|FY2028</v>
      </c>
    </row>
    <row r="24" spans="1:9" x14ac:dyDescent="0.35">
      <c r="A24" t="str">
        <f>A3</f>
        <v>E_StatusQuo_Targets_0</v>
      </c>
      <c r="B24" t="s">
        <v>23</v>
      </c>
      <c r="C24">
        <f>IF(D3=1,0, BaselineCalc!$B$7 + ROUND(L3*F3,0))</f>
        <v>257</v>
      </c>
      <c r="D24">
        <f>IF(E3=1,0, BaselineCalc!$B$8 + L3 - ROUND(L3*F3,0))</f>
        <v>296</v>
      </c>
      <c r="E24">
        <f t="shared" si="2"/>
        <v>553</v>
      </c>
      <c r="F24" s="2">
        <f>YearMap!B5</f>
        <v>7677.2394168749979</v>
      </c>
      <c r="G24" s="2">
        <f>YearMap!C5</f>
        <v>845593.08434437483</v>
      </c>
      <c r="H24" s="2">
        <f>YearMap!D5</f>
        <v>973912.65745499986</v>
      </c>
      <c r="I24" t="str">
        <f t="shared" si="3"/>
        <v>E_StatusQuo_Targets_0|FY2029</v>
      </c>
    </row>
    <row r="25" spans="1:9" x14ac:dyDescent="0.35">
      <c r="A25" t="str">
        <f>A3</f>
        <v>E_StatusQuo_Targets_0</v>
      </c>
      <c r="B25" t="s">
        <v>24</v>
      </c>
      <c r="C25">
        <f>IF(D3=1,0, BaselineCalc!$B$7 + ROUND(M3*F3,0))</f>
        <v>257</v>
      </c>
      <c r="D25">
        <f>IF(E3=1,0, BaselineCalc!$B$8 + M3 - ROUND(M3*F3,0))</f>
        <v>296</v>
      </c>
      <c r="E25">
        <f t="shared" si="2"/>
        <v>553</v>
      </c>
      <c r="F25" s="2">
        <f>YearMap!B6</f>
        <v>7869.1704022968725</v>
      </c>
      <c r="G25" s="2">
        <f>YearMap!C6</f>
        <v>866732.91145298409</v>
      </c>
      <c r="H25" s="2">
        <f>YearMap!D6</f>
        <v>998260.47389137466</v>
      </c>
      <c r="I25" t="str">
        <f t="shared" si="3"/>
        <v>E_StatusQuo_Targets_0|FY2030</v>
      </c>
    </row>
    <row r="26" spans="1:9" x14ac:dyDescent="0.35">
      <c r="A26" t="str">
        <f>A4</f>
        <v>F_CoLocation_Echo_0</v>
      </c>
      <c r="B26" t="s">
        <v>20</v>
      </c>
      <c r="C26">
        <f>IF(D4=1,0, BaselineCalc!$B$7 + ROUND(I4*F4,0))</f>
        <v>257</v>
      </c>
      <c r="D26">
        <f>IF(E4=1,0, BaselineCalc!$B$8 + I4 - ROUND(I4*F4,0))</f>
        <v>296</v>
      </c>
      <c r="E26">
        <f t="shared" si="2"/>
        <v>553</v>
      </c>
      <c r="F26" s="2">
        <f>YearMap!B2</f>
        <v>7129.079999999999</v>
      </c>
      <c r="G26" s="2">
        <f>YearMap!C2</f>
        <v>785217.23999999987</v>
      </c>
      <c r="H26" s="2">
        <f>YearMap!D2</f>
        <v>904374.71999999986</v>
      </c>
      <c r="I26" t="str">
        <f t="shared" si="3"/>
        <v>F_CoLocation_Echo_0|FY2026</v>
      </c>
    </row>
    <row r="27" spans="1:9" x14ac:dyDescent="0.35">
      <c r="A27" t="str">
        <f>A4</f>
        <v>F_CoLocation_Echo_0</v>
      </c>
      <c r="B27" t="s">
        <v>21</v>
      </c>
      <c r="C27">
        <f>IF(D4=1,0, BaselineCalc!$B$7 + ROUND(J4*F4,0))</f>
        <v>257</v>
      </c>
      <c r="D27">
        <f>IF(E4=1,0, BaselineCalc!$B$8 + J4 - ROUND(J4*F4,0))</f>
        <v>296</v>
      </c>
      <c r="E27">
        <f t="shared" si="2"/>
        <v>553</v>
      </c>
      <c r="F27" s="2">
        <f>YearMap!B3</f>
        <v>7307.3069999999989</v>
      </c>
      <c r="G27" s="2">
        <f>YearMap!C3</f>
        <v>804847.67099999997</v>
      </c>
      <c r="H27" s="2">
        <f>YearMap!D3</f>
        <v>926984.08799999999</v>
      </c>
      <c r="I27" t="str">
        <f t="shared" si="3"/>
        <v>F_CoLocation_Echo_0|FY2027</v>
      </c>
    </row>
    <row r="28" spans="1:9" x14ac:dyDescent="0.35">
      <c r="A28" t="str">
        <f>A4</f>
        <v>F_CoLocation_Echo_0</v>
      </c>
      <c r="B28" t="s">
        <v>22</v>
      </c>
      <c r="C28">
        <f>IF(D4=1,0, BaselineCalc!$B$7 + ROUND(K4*F4,0))</f>
        <v>257</v>
      </c>
      <c r="D28">
        <f>IF(E4=1,0, BaselineCalc!$B$8 + K4 - ROUND(K4*F4,0))</f>
        <v>296</v>
      </c>
      <c r="E28">
        <f t="shared" si="2"/>
        <v>553</v>
      </c>
      <c r="F28" s="2">
        <f>YearMap!B4</f>
        <v>7489.9896749999989</v>
      </c>
      <c r="G28" s="2">
        <f>YearMap!C4</f>
        <v>824968.86277499993</v>
      </c>
      <c r="H28" s="2">
        <f>YearMap!D4</f>
        <v>950158.69019999984</v>
      </c>
      <c r="I28" t="str">
        <f t="shared" si="3"/>
        <v>F_CoLocation_Echo_0|FY2028</v>
      </c>
    </row>
    <row r="29" spans="1:9" x14ac:dyDescent="0.35">
      <c r="A29" t="str">
        <f>A4</f>
        <v>F_CoLocation_Echo_0</v>
      </c>
      <c r="B29" t="s">
        <v>23</v>
      </c>
      <c r="C29">
        <f>IF(D4=1,0, BaselineCalc!$B$7 + ROUND(L4*F4,0))</f>
        <v>257</v>
      </c>
      <c r="D29">
        <f>IF(E4=1,0, BaselineCalc!$B$8 + L4 - ROUND(L4*F4,0))</f>
        <v>296</v>
      </c>
      <c r="E29">
        <f t="shared" si="2"/>
        <v>553</v>
      </c>
      <c r="F29" s="2">
        <f>YearMap!B5</f>
        <v>7677.2394168749979</v>
      </c>
      <c r="G29" s="2">
        <f>YearMap!C5</f>
        <v>845593.08434437483</v>
      </c>
      <c r="H29" s="2">
        <f>YearMap!D5</f>
        <v>973912.65745499986</v>
      </c>
      <c r="I29" t="str">
        <f t="shared" si="3"/>
        <v>F_CoLocation_Echo_0|FY2029</v>
      </c>
    </row>
    <row r="30" spans="1:9" x14ac:dyDescent="0.35">
      <c r="A30" t="str">
        <f>A4</f>
        <v>F_CoLocation_Echo_0</v>
      </c>
      <c r="B30" t="s">
        <v>24</v>
      </c>
      <c r="C30">
        <f>IF(D4=1,0, BaselineCalc!$B$7 + ROUND(M4*F4,0))</f>
        <v>257</v>
      </c>
      <c r="D30">
        <f>IF(E4=1,0, BaselineCalc!$B$8 + M4 - ROUND(M4*F4,0))</f>
        <v>296</v>
      </c>
      <c r="E30">
        <f t="shared" si="2"/>
        <v>553</v>
      </c>
      <c r="F30" s="2">
        <f>YearMap!B6</f>
        <v>7869.1704022968725</v>
      </c>
      <c r="G30" s="2">
        <f>YearMap!C6</f>
        <v>866732.91145298409</v>
      </c>
      <c r="H30" s="2">
        <f>YearMap!D6</f>
        <v>998260.47389137466</v>
      </c>
      <c r="I30" t="str">
        <f t="shared" si="3"/>
        <v>F_CoLocation_Echo_0|FY2030</v>
      </c>
    </row>
    <row r="31" spans="1:9" x14ac:dyDescent="0.35">
      <c r="A31" t="str">
        <f>A5</f>
        <v>D_Grow_Both_100</v>
      </c>
      <c r="B31" t="s">
        <v>20</v>
      </c>
      <c r="C31">
        <f>IF(D5=1,0, BaselineCalc!$B$7 + ROUND(I5*F5,0))</f>
        <v>307</v>
      </c>
      <c r="D31">
        <f>IF(E5=1,0, BaselineCalc!$B$8 + I5 - ROUND(I5*F5,0))</f>
        <v>346</v>
      </c>
      <c r="E31">
        <f t="shared" si="2"/>
        <v>653</v>
      </c>
      <c r="F31" s="2">
        <f>YearMap!B2</f>
        <v>7129.079999999999</v>
      </c>
      <c r="G31" s="2">
        <f>YearMap!C2</f>
        <v>785217.23999999987</v>
      </c>
      <c r="H31" s="2">
        <f>YearMap!D2</f>
        <v>904374.71999999986</v>
      </c>
      <c r="I31" t="str">
        <f t="shared" si="3"/>
        <v>D_Grow_Both_100|FY2026</v>
      </c>
    </row>
    <row r="32" spans="1:9" x14ac:dyDescent="0.35">
      <c r="A32" t="str">
        <f>A5</f>
        <v>D_Grow_Both_100</v>
      </c>
      <c r="B32" t="s">
        <v>21</v>
      </c>
      <c r="C32">
        <f>IF(D5=1,0, BaselineCalc!$B$7 + ROUND(J5*F5,0))</f>
        <v>307</v>
      </c>
      <c r="D32">
        <f>IF(E5=1,0, BaselineCalc!$B$8 + J5 - ROUND(J5*F5,0))</f>
        <v>346</v>
      </c>
      <c r="E32">
        <f t="shared" si="2"/>
        <v>653</v>
      </c>
      <c r="F32" s="2">
        <f>YearMap!B3</f>
        <v>7307.3069999999989</v>
      </c>
      <c r="G32" s="2">
        <f>YearMap!C3</f>
        <v>804847.67099999997</v>
      </c>
      <c r="H32" s="2">
        <f>YearMap!D3</f>
        <v>926984.08799999999</v>
      </c>
      <c r="I32" t="str">
        <f t="shared" si="3"/>
        <v>D_Grow_Both_100|FY2027</v>
      </c>
    </row>
    <row r="33" spans="1:9" x14ac:dyDescent="0.35">
      <c r="A33" t="str">
        <f>A5</f>
        <v>D_Grow_Both_100</v>
      </c>
      <c r="B33" t="s">
        <v>22</v>
      </c>
      <c r="C33">
        <f>IF(D5=1,0, BaselineCalc!$B$7 + ROUND(K5*F5,0))</f>
        <v>307</v>
      </c>
      <c r="D33">
        <f>IF(E5=1,0, BaselineCalc!$B$8 + K5 - ROUND(K5*F5,0))</f>
        <v>346</v>
      </c>
      <c r="E33">
        <f t="shared" si="2"/>
        <v>653</v>
      </c>
      <c r="F33" s="2">
        <f>YearMap!B4</f>
        <v>7489.9896749999989</v>
      </c>
      <c r="G33" s="2">
        <f>YearMap!C4</f>
        <v>824968.86277499993</v>
      </c>
      <c r="H33" s="2">
        <f>YearMap!D4</f>
        <v>950158.69019999984</v>
      </c>
      <c r="I33" t="str">
        <f t="shared" si="3"/>
        <v>D_Grow_Both_100|FY2028</v>
      </c>
    </row>
    <row r="34" spans="1:9" x14ac:dyDescent="0.35">
      <c r="A34" t="str">
        <f>A5</f>
        <v>D_Grow_Both_100</v>
      </c>
      <c r="B34" t="s">
        <v>23</v>
      </c>
      <c r="C34">
        <f>IF(D5=1,0, BaselineCalc!$B$7 + ROUND(L5*F5,0))</f>
        <v>307</v>
      </c>
      <c r="D34">
        <f>IF(E5=1,0, BaselineCalc!$B$8 + L5 - ROUND(L5*F5,0))</f>
        <v>346</v>
      </c>
      <c r="E34">
        <f t="shared" si="2"/>
        <v>653</v>
      </c>
      <c r="F34" s="2">
        <f>YearMap!B5</f>
        <v>7677.2394168749979</v>
      </c>
      <c r="G34" s="2">
        <f>YearMap!C5</f>
        <v>845593.08434437483</v>
      </c>
      <c r="H34" s="2">
        <f>YearMap!D5</f>
        <v>973912.65745499986</v>
      </c>
      <c r="I34" t="str">
        <f t="shared" si="3"/>
        <v>D_Grow_Both_100|FY2029</v>
      </c>
    </row>
    <row r="35" spans="1:9" x14ac:dyDescent="0.35">
      <c r="A35" t="str">
        <f>A5</f>
        <v>D_Grow_Both_100</v>
      </c>
      <c r="B35" t="s">
        <v>24</v>
      </c>
      <c r="C35">
        <f>IF(D5=1,0, BaselineCalc!$B$7 + ROUND(M5*F5,0))</f>
        <v>307</v>
      </c>
      <c r="D35">
        <f>IF(E5=1,0, BaselineCalc!$B$8 + M5 - ROUND(M5*F5,0))</f>
        <v>346</v>
      </c>
      <c r="E35">
        <f t="shared" si="2"/>
        <v>653</v>
      </c>
      <c r="F35" s="2">
        <f>YearMap!B6</f>
        <v>7869.1704022968725</v>
      </c>
      <c r="G35" s="2">
        <f>YearMap!C6</f>
        <v>866732.91145298409</v>
      </c>
      <c r="H35" s="2">
        <f>YearMap!D6</f>
        <v>998260.47389137466</v>
      </c>
      <c r="I35" t="str">
        <f t="shared" si="3"/>
        <v>D_Grow_Both_100|FY2030</v>
      </c>
    </row>
    <row r="36" spans="1:9" x14ac:dyDescent="0.35">
      <c r="A36" t="str">
        <f>A6</f>
        <v>D_Grow_Both_150</v>
      </c>
      <c r="B36" t="s">
        <v>20</v>
      </c>
      <c r="C36">
        <f>IF(D6=1,0, BaselineCalc!$B$7 + ROUND(I6*F6,0))</f>
        <v>332</v>
      </c>
      <c r="D36">
        <f>IF(E6=1,0, BaselineCalc!$B$8 + I6 - ROUND(I6*F6,0))</f>
        <v>371</v>
      </c>
      <c r="E36">
        <f t="shared" si="2"/>
        <v>703</v>
      </c>
      <c r="F36" s="2">
        <f>YearMap!B2</f>
        <v>7129.079999999999</v>
      </c>
      <c r="G36" s="2">
        <f>YearMap!C2</f>
        <v>785217.23999999987</v>
      </c>
      <c r="H36" s="2">
        <f>YearMap!D2</f>
        <v>904374.71999999986</v>
      </c>
      <c r="I36" t="str">
        <f t="shared" si="3"/>
        <v>D_Grow_Both_150|FY2026</v>
      </c>
    </row>
    <row r="37" spans="1:9" x14ac:dyDescent="0.35">
      <c r="A37" t="str">
        <f>A6</f>
        <v>D_Grow_Both_150</v>
      </c>
      <c r="B37" t="s">
        <v>21</v>
      </c>
      <c r="C37">
        <f>IF(D6=1,0, BaselineCalc!$B$7 + ROUND(J6*F6,0))</f>
        <v>332</v>
      </c>
      <c r="D37">
        <f>IF(E6=1,0, BaselineCalc!$B$8 + J6 - ROUND(J6*F6,0))</f>
        <v>371</v>
      </c>
      <c r="E37">
        <f t="shared" si="2"/>
        <v>703</v>
      </c>
      <c r="F37" s="2">
        <f>YearMap!B3</f>
        <v>7307.3069999999989</v>
      </c>
      <c r="G37" s="2">
        <f>YearMap!C3</f>
        <v>804847.67099999997</v>
      </c>
      <c r="H37" s="2">
        <f>YearMap!D3</f>
        <v>926984.08799999999</v>
      </c>
      <c r="I37" t="str">
        <f t="shared" si="3"/>
        <v>D_Grow_Both_150|FY2027</v>
      </c>
    </row>
    <row r="38" spans="1:9" x14ac:dyDescent="0.35">
      <c r="A38" t="str">
        <f>A6</f>
        <v>D_Grow_Both_150</v>
      </c>
      <c r="B38" t="s">
        <v>22</v>
      </c>
      <c r="C38">
        <f>IF(D6=1,0, BaselineCalc!$B$7 + ROUND(K6*F6,0))</f>
        <v>332</v>
      </c>
      <c r="D38">
        <f>IF(E6=1,0, BaselineCalc!$B$8 + K6 - ROUND(K6*F6,0))</f>
        <v>371</v>
      </c>
      <c r="E38">
        <f t="shared" si="2"/>
        <v>703</v>
      </c>
      <c r="F38" s="2">
        <f>YearMap!B4</f>
        <v>7489.9896749999989</v>
      </c>
      <c r="G38" s="2">
        <f>YearMap!C4</f>
        <v>824968.86277499993</v>
      </c>
      <c r="H38" s="2">
        <f>YearMap!D4</f>
        <v>950158.69019999984</v>
      </c>
      <c r="I38" t="str">
        <f t="shared" si="3"/>
        <v>D_Grow_Both_150|FY2028</v>
      </c>
    </row>
    <row r="39" spans="1:9" x14ac:dyDescent="0.35">
      <c r="A39" t="str">
        <f>A6</f>
        <v>D_Grow_Both_150</v>
      </c>
      <c r="B39" t="s">
        <v>23</v>
      </c>
      <c r="C39">
        <f>IF(D6=1,0, BaselineCalc!$B$7 + ROUND(L6*F6,0))</f>
        <v>332</v>
      </c>
      <c r="D39">
        <f>IF(E6=1,0, BaselineCalc!$B$8 + L6 - ROUND(L6*F6,0))</f>
        <v>371</v>
      </c>
      <c r="E39">
        <f t="shared" si="2"/>
        <v>703</v>
      </c>
      <c r="F39" s="2">
        <f>YearMap!B5</f>
        <v>7677.2394168749979</v>
      </c>
      <c r="G39" s="2">
        <f>YearMap!C5</f>
        <v>845593.08434437483</v>
      </c>
      <c r="H39" s="2">
        <f>YearMap!D5</f>
        <v>973912.65745499986</v>
      </c>
      <c r="I39" t="str">
        <f t="shared" si="3"/>
        <v>D_Grow_Both_150|FY2029</v>
      </c>
    </row>
    <row r="40" spans="1:9" x14ac:dyDescent="0.35">
      <c r="A40" t="str">
        <f>A6</f>
        <v>D_Grow_Both_150</v>
      </c>
      <c r="B40" t="s">
        <v>24</v>
      </c>
      <c r="C40">
        <f>IF(D6=1,0, BaselineCalc!$B$7 + ROUND(M6*F6,0))</f>
        <v>332</v>
      </c>
      <c r="D40">
        <f>IF(E6=1,0, BaselineCalc!$B$8 + M6 - ROUND(M6*F6,0))</f>
        <v>371</v>
      </c>
      <c r="E40">
        <f t="shared" si="2"/>
        <v>703</v>
      </c>
      <c r="F40" s="2">
        <f>YearMap!B6</f>
        <v>7869.1704022968725</v>
      </c>
      <c r="G40" s="2">
        <f>YearMap!C6</f>
        <v>866732.91145298409</v>
      </c>
      <c r="H40" s="2">
        <f>YearMap!D6</f>
        <v>998260.47389137466</v>
      </c>
      <c r="I40" t="str">
        <f t="shared" si="3"/>
        <v>D_Grow_Both_150|FY2030</v>
      </c>
    </row>
    <row r="41" spans="1:9" x14ac:dyDescent="0.35">
      <c r="A41" t="str">
        <f>A7</f>
        <v>G_DHub_EchoRamp</v>
      </c>
      <c r="B41" t="s">
        <v>20</v>
      </c>
      <c r="C41">
        <f>IF(D7=1,0, BaselineCalc!$B$7 + ROUND(I7*F7,0))</f>
        <v>292</v>
      </c>
      <c r="D41">
        <f>IF(E7=1,0, BaselineCalc!$B$8 + I7 - ROUND(I7*F7,0))</f>
        <v>311</v>
      </c>
      <c r="E41">
        <f t="shared" si="2"/>
        <v>603</v>
      </c>
      <c r="F41" s="2">
        <f>YearMap!B2</f>
        <v>7129.079999999999</v>
      </c>
      <c r="G41" s="2">
        <f>YearMap!C2</f>
        <v>785217.23999999987</v>
      </c>
      <c r="H41" s="2">
        <f>YearMap!D2</f>
        <v>904374.71999999986</v>
      </c>
      <c r="I41" t="str">
        <f t="shared" si="3"/>
        <v>G_DHub_EchoRamp|FY2026</v>
      </c>
    </row>
    <row r="42" spans="1:9" x14ac:dyDescent="0.35">
      <c r="A42" t="str">
        <f>A7</f>
        <v>G_DHub_EchoRamp</v>
      </c>
      <c r="B42" t="s">
        <v>21</v>
      </c>
      <c r="C42">
        <f>IF(D7=1,0, BaselineCalc!$B$7 + ROUND(J7*F7,0))</f>
        <v>327</v>
      </c>
      <c r="D42">
        <f>IF(E7=1,0, BaselineCalc!$B$8 + J7 - ROUND(J7*F7,0))</f>
        <v>326</v>
      </c>
      <c r="E42">
        <f t="shared" si="2"/>
        <v>653</v>
      </c>
      <c r="F42" s="2">
        <f>YearMap!B3</f>
        <v>7307.3069999999989</v>
      </c>
      <c r="G42" s="2">
        <f>YearMap!C3</f>
        <v>804847.67099999997</v>
      </c>
      <c r="H42" s="2">
        <f>YearMap!D3</f>
        <v>926984.08799999999</v>
      </c>
      <c r="I42" t="str">
        <f t="shared" si="3"/>
        <v>G_DHub_EchoRamp|FY2027</v>
      </c>
    </row>
    <row r="43" spans="1:9" x14ac:dyDescent="0.35">
      <c r="A43" t="str">
        <f>A7</f>
        <v>G_DHub_EchoRamp</v>
      </c>
      <c r="B43" t="s">
        <v>22</v>
      </c>
      <c r="C43">
        <f>IF(D7=1,0, BaselineCalc!$B$7 + ROUND(K7*F7,0))</f>
        <v>362</v>
      </c>
      <c r="D43">
        <f>IF(E7=1,0, BaselineCalc!$B$8 + K7 - ROUND(K7*F7,0))</f>
        <v>341</v>
      </c>
      <c r="E43">
        <f t="shared" si="2"/>
        <v>703</v>
      </c>
      <c r="F43" s="2">
        <f>YearMap!B4</f>
        <v>7489.9896749999989</v>
      </c>
      <c r="G43" s="2">
        <f>YearMap!C4</f>
        <v>824968.86277499993</v>
      </c>
      <c r="H43" s="2">
        <f>YearMap!D4</f>
        <v>950158.69019999984</v>
      </c>
      <c r="I43" t="str">
        <f t="shared" si="3"/>
        <v>G_DHub_EchoRamp|FY2028</v>
      </c>
    </row>
    <row r="44" spans="1:9" x14ac:dyDescent="0.35">
      <c r="A44" t="str">
        <f>A7</f>
        <v>G_DHub_EchoRamp</v>
      </c>
      <c r="B44" t="s">
        <v>23</v>
      </c>
      <c r="C44">
        <f>IF(D7=1,0, BaselineCalc!$B$7 + ROUND(L7*F7,0))</f>
        <v>362</v>
      </c>
      <c r="D44">
        <f>IF(E7=1,0, BaselineCalc!$B$8 + L7 - ROUND(L7*F7,0))</f>
        <v>341</v>
      </c>
      <c r="E44">
        <f t="shared" si="2"/>
        <v>703</v>
      </c>
      <c r="F44" s="2">
        <f>YearMap!B5</f>
        <v>7677.2394168749979</v>
      </c>
      <c r="G44" s="2">
        <f>YearMap!C5</f>
        <v>845593.08434437483</v>
      </c>
      <c r="H44" s="2">
        <f>YearMap!D5</f>
        <v>973912.65745499986</v>
      </c>
      <c r="I44" t="str">
        <f t="shared" si="3"/>
        <v>G_DHub_EchoRamp|FY2029</v>
      </c>
    </row>
    <row r="45" spans="1:9" x14ac:dyDescent="0.35">
      <c r="A45" t="str">
        <f>A7</f>
        <v>G_DHub_EchoRamp</v>
      </c>
      <c r="B45" t="s">
        <v>24</v>
      </c>
      <c r="C45">
        <f>IF(D7=1,0, BaselineCalc!$B$7 + ROUND(M7*F7,0))</f>
        <v>362</v>
      </c>
      <c r="D45">
        <f>IF(E7=1,0, BaselineCalc!$B$8 + M7 - ROUND(M7*F7,0))</f>
        <v>341</v>
      </c>
      <c r="E45">
        <f t="shared" si="2"/>
        <v>703</v>
      </c>
      <c r="F45" s="2">
        <f>YearMap!B6</f>
        <v>7869.1704022968725</v>
      </c>
      <c r="G45" s="2">
        <f>YearMap!C6</f>
        <v>866732.91145298409</v>
      </c>
      <c r="H45" s="2">
        <f>YearMap!D6</f>
        <v>998260.47389137466</v>
      </c>
      <c r="I45" t="str">
        <f t="shared" si="3"/>
        <v>G_DHub_EchoRamp|FY2030</v>
      </c>
    </row>
    <row r="46" spans="1:9" x14ac:dyDescent="0.35">
      <c r="A46" t="str">
        <f>A8</f>
        <v>A_Repurpose_Both_lease</v>
      </c>
      <c r="B46" t="s">
        <v>20</v>
      </c>
      <c r="C46">
        <f>IF(D8=1,0, BaselineCalc!$B$7 + ROUND(I8*F8,0))</f>
        <v>0</v>
      </c>
      <c r="D46">
        <f>IF(E8=1,0, BaselineCalc!$B$8 + I8 - ROUND(I8*F8,0))</f>
        <v>0</v>
      </c>
      <c r="E46">
        <f t="shared" si="2"/>
        <v>0</v>
      </c>
      <c r="F46" s="2">
        <f>YearMap!B2</f>
        <v>7129.079999999999</v>
      </c>
      <c r="G46" s="2">
        <f>YearMap!C2</f>
        <v>785217.23999999987</v>
      </c>
      <c r="H46" s="2">
        <f>YearMap!D2</f>
        <v>904374.71999999986</v>
      </c>
      <c r="I46" t="str">
        <f t="shared" si="3"/>
        <v>A_Repurpose_Both_lease|FY2026</v>
      </c>
    </row>
    <row r="47" spans="1:9" x14ac:dyDescent="0.35">
      <c r="A47" t="str">
        <f>A8</f>
        <v>A_Repurpose_Both_lease</v>
      </c>
      <c r="B47" t="s">
        <v>21</v>
      </c>
      <c r="C47">
        <f>IF(D8=1,0, BaselineCalc!$B$7 + ROUND(J8*F8,0))</f>
        <v>0</v>
      </c>
      <c r="D47">
        <f>IF(E8=1,0, BaselineCalc!$B$8 + J8 - ROUND(J8*F8,0))</f>
        <v>0</v>
      </c>
      <c r="E47">
        <f t="shared" si="2"/>
        <v>0</v>
      </c>
      <c r="F47" s="2">
        <f>YearMap!B3</f>
        <v>7307.3069999999989</v>
      </c>
      <c r="G47" s="2">
        <f>YearMap!C3</f>
        <v>804847.67099999997</v>
      </c>
      <c r="H47" s="2">
        <f>YearMap!D3</f>
        <v>926984.08799999999</v>
      </c>
      <c r="I47" t="str">
        <f t="shared" si="3"/>
        <v>A_Repurpose_Both_lease|FY2027</v>
      </c>
    </row>
    <row r="48" spans="1:9" x14ac:dyDescent="0.35">
      <c r="A48" t="str">
        <f>A8</f>
        <v>A_Repurpose_Both_lease</v>
      </c>
      <c r="B48" t="s">
        <v>22</v>
      </c>
      <c r="C48">
        <f>IF(D8=1,0, BaselineCalc!$B$7 + ROUND(K8*F8,0))</f>
        <v>0</v>
      </c>
      <c r="D48">
        <f>IF(E8=1,0, BaselineCalc!$B$8 + K8 - ROUND(K8*F8,0))</f>
        <v>0</v>
      </c>
      <c r="E48">
        <f t="shared" ref="E48:E79" si="4">C48+D48</f>
        <v>0</v>
      </c>
      <c r="F48" s="2">
        <f>YearMap!B4</f>
        <v>7489.9896749999989</v>
      </c>
      <c r="G48" s="2">
        <f>YearMap!C4</f>
        <v>824968.86277499993</v>
      </c>
      <c r="H48" s="2">
        <f>YearMap!D4</f>
        <v>950158.69019999984</v>
      </c>
      <c r="I48" t="str">
        <f t="shared" ref="I48:I75" si="5">A48&amp;"|"&amp;B48</f>
        <v>A_Repurpose_Both_lease|FY2028</v>
      </c>
    </row>
    <row r="49" spans="1:9" x14ac:dyDescent="0.35">
      <c r="A49" t="str">
        <f>A8</f>
        <v>A_Repurpose_Both_lease</v>
      </c>
      <c r="B49" t="s">
        <v>23</v>
      </c>
      <c r="C49">
        <f>IF(D8=1,0, BaselineCalc!$B$7 + ROUND(L8*F8,0))</f>
        <v>0</v>
      </c>
      <c r="D49">
        <f>IF(E8=1,0, BaselineCalc!$B$8 + L8 - ROUND(L8*F8,0))</f>
        <v>0</v>
      </c>
      <c r="E49">
        <f t="shared" si="4"/>
        <v>0</v>
      </c>
      <c r="F49" s="2">
        <f>YearMap!B5</f>
        <v>7677.2394168749979</v>
      </c>
      <c r="G49" s="2">
        <f>YearMap!C5</f>
        <v>845593.08434437483</v>
      </c>
      <c r="H49" s="2">
        <f>YearMap!D5</f>
        <v>973912.65745499986</v>
      </c>
      <c r="I49" t="str">
        <f t="shared" si="5"/>
        <v>A_Repurpose_Both_lease|FY2029</v>
      </c>
    </row>
    <row r="50" spans="1:9" x14ac:dyDescent="0.35">
      <c r="A50" t="str">
        <f>A8</f>
        <v>A_Repurpose_Both_lease</v>
      </c>
      <c r="B50" t="s">
        <v>24</v>
      </c>
      <c r="C50">
        <f>IF(D8=1,0, BaselineCalc!$B$7 + ROUND(M8*F8,0))</f>
        <v>0</v>
      </c>
      <c r="D50">
        <f>IF(E8=1,0, BaselineCalc!$B$8 + M8 - ROUND(M8*F8,0))</f>
        <v>0</v>
      </c>
      <c r="E50">
        <f t="shared" si="4"/>
        <v>0</v>
      </c>
      <c r="F50" s="2">
        <f>YearMap!B6</f>
        <v>7869.1704022968725</v>
      </c>
      <c r="G50" s="2">
        <f>YearMap!C6</f>
        <v>866732.91145298409</v>
      </c>
      <c r="H50" s="2">
        <f>YearMap!D6</f>
        <v>998260.47389137466</v>
      </c>
      <c r="I50" t="str">
        <f t="shared" si="5"/>
        <v>A_Repurpose_Both_lease|FY2030</v>
      </c>
    </row>
    <row r="51" spans="1:9" x14ac:dyDescent="0.35">
      <c r="A51" t="str">
        <f>A9</f>
        <v>A_Repurpose_Both_ops</v>
      </c>
      <c r="B51" t="s">
        <v>20</v>
      </c>
      <c r="C51">
        <f>IF(D9=1,0, BaselineCalc!$B$7 + ROUND(I9*F9,0))</f>
        <v>0</v>
      </c>
      <c r="D51">
        <f>IF(E9=1,0, BaselineCalc!$B$8 + I9 - ROUND(I9*F9,0))</f>
        <v>0</v>
      </c>
      <c r="E51">
        <f t="shared" si="4"/>
        <v>0</v>
      </c>
      <c r="F51" s="2">
        <f>YearMap!B2</f>
        <v>7129.079999999999</v>
      </c>
      <c r="G51" s="2">
        <f>YearMap!C2</f>
        <v>785217.23999999987</v>
      </c>
      <c r="H51" s="2">
        <f>YearMap!D2</f>
        <v>904374.71999999986</v>
      </c>
      <c r="I51" t="str">
        <f t="shared" si="5"/>
        <v>A_Repurpose_Both_ops|FY2026</v>
      </c>
    </row>
    <row r="52" spans="1:9" x14ac:dyDescent="0.35">
      <c r="A52" t="str">
        <f>A9</f>
        <v>A_Repurpose_Both_ops</v>
      </c>
      <c r="B52" t="s">
        <v>21</v>
      </c>
      <c r="C52">
        <f>IF(D9=1,0, BaselineCalc!$B$7 + ROUND(J9*F9,0))</f>
        <v>0</v>
      </c>
      <c r="D52">
        <f>IF(E9=1,0, BaselineCalc!$B$8 + J9 - ROUND(J9*F9,0))</f>
        <v>0</v>
      </c>
      <c r="E52">
        <f t="shared" si="4"/>
        <v>0</v>
      </c>
      <c r="F52" s="2">
        <f>YearMap!B3</f>
        <v>7307.3069999999989</v>
      </c>
      <c r="G52" s="2">
        <f>YearMap!C3</f>
        <v>804847.67099999997</v>
      </c>
      <c r="H52" s="2">
        <f>YearMap!D3</f>
        <v>926984.08799999999</v>
      </c>
      <c r="I52" t="str">
        <f t="shared" si="5"/>
        <v>A_Repurpose_Both_ops|FY2027</v>
      </c>
    </row>
    <row r="53" spans="1:9" x14ac:dyDescent="0.35">
      <c r="A53" t="str">
        <f>A9</f>
        <v>A_Repurpose_Both_ops</v>
      </c>
      <c r="B53" t="s">
        <v>22</v>
      </c>
      <c r="C53">
        <f>IF(D9=1,0, BaselineCalc!$B$7 + ROUND(K9*F9,0))</f>
        <v>0</v>
      </c>
      <c r="D53">
        <f>IF(E9=1,0, BaselineCalc!$B$8 + K9 - ROUND(K9*F9,0))</f>
        <v>0</v>
      </c>
      <c r="E53">
        <f t="shared" si="4"/>
        <v>0</v>
      </c>
      <c r="F53" s="2">
        <f>YearMap!B4</f>
        <v>7489.9896749999989</v>
      </c>
      <c r="G53" s="2">
        <f>YearMap!C4</f>
        <v>824968.86277499993</v>
      </c>
      <c r="H53" s="2">
        <f>YearMap!D4</f>
        <v>950158.69019999984</v>
      </c>
      <c r="I53" t="str">
        <f t="shared" si="5"/>
        <v>A_Repurpose_Both_ops|FY2028</v>
      </c>
    </row>
    <row r="54" spans="1:9" x14ac:dyDescent="0.35">
      <c r="A54" t="str">
        <f>A9</f>
        <v>A_Repurpose_Both_ops</v>
      </c>
      <c r="B54" t="s">
        <v>23</v>
      </c>
      <c r="C54">
        <f>IF(D9=1,0, BaselineCalc!$B$7 + ROUND(L9*F9,0))</f>
        <v>0</v>
      </c>
      <c r="D54">
        <f>IF(E9=1,0, BaselineCalc!$B$8 + L9 - ROUND(L9*F9,0))</f>
        <v>0</v>
      </c>
      <c r="E54">
        <f t="shared" si="4"/>
        <v>0</v>
      </c>
      <c r="F54" s="2">
        <f>YearMap!B5</f>
        <v>7677.2394168749979</v>
      </c>
      <c r="G54" s="2">
        <f>YearMap!C5</f>
        <v>845593.08434437483</v>
      </c>
      <c r="H54" s="2">
        <f>YearMap!D5</f>
        <v>973912.65745499986</v>
      </c>
      <c r="I54" t="str">
        <f t="shared" si="5"/>
        <v>A_Repurpose_Both_ops|FY2029</v>
      </c>
    </row>
    <row r="55" spans="1:9" x14ac:dyDescent="0.35">
      <c r="A55" t="str">
        <f>A9</f>
        <v>A_Repurpose_Both_ops</v>
      </c>
      <c r="B55" t="s">
        <v>24</v>
      </c>
      <c r="C55">
        <f>IF(D9=1,0, BaselineCalc!$B$7 + ROUND(M9*F9,0))</f>
        <v>0</v>
      </c>
      <c r="D55">
        <f>IF(E9=1,0, BaselineCalc!$B$8 + M9 - ROUND(M9*F9,0))</f>
        <v>0</v>
      </c>
      <c r="E55">
        <f t="shared" si="4"/>
        <v>0</v>
      </c>
      <c r="F55" s="2">
        <f>YearMap!B6</f>
        <v>7869.1704022968725</v>
      </c>
      <c r="G55" s="2">
        <f>YearMap!C6</f>
        <v>866732.91145298409</v>
      </c>
      <c r="H55" s="2">
        <f>YearMap!D6</f>
        <v>998260.47389137466</v>
      </c>
      <c r="I55" t="str">
        <f t="shared" si="5"/>
        <v>A_Repurpose_Both_ops|FY2030</v>
      </c>
    </row>
    <row r="56" spans="1:9" x14ac:dyDescent="0.35">
      <c r="A56" t="str">
        <f>A10</f>
        <v>B_Repurpose_Echo_lease</v>
      </c>
      <c r="B56" t="s">
        <v>20</v>
      </c>
      <c r="C56">
        <f>IF(D10=1,0, BaselineCalc!$B$7 + ROUND(I10*F10,0))</f>
        <v>0</v>
      </c>
      <c r="D56">
        <f>IF(E10=1,0, BaselineCalc!$B$8 + I10 - ROUND(I10*F10,0))</f>
        <v>296</v>
      </c>
      <c r="E56">
        <f t="shared" si="4"/>
        <v>296</v>
      </c>
      <c r="F56" s="2">
        <f>YearMap!B2</f>
        <v>7129.079999999999</v>
      </c>
      <c r="G56" s="2">
        <f>YearMap!C2</f>
        <v>785217.23999999987</v>
      </c>
      <c r="H56" s="2">
        <f>YearMap!D2</f>
        <v>904374.71999999986</v>
      </c>
      <c r="I56" t="str">
        <f t="shared" si="5"/>
        <v>B_Repurpose_Echo_lease|FY2026</v>
      </c>
    </row>
    <row r="57" spans="1:9" x14ac:dyDescent="0.35">
      <c r="A57" t="str">
        <f>A10</f>
        <v>B_Repurpose_Echo_lease</v>
      </c>
      <c r="B57" t="s">
        <v>21</v>
      </c>
      <c r="C57">
        <f>IF(D10=1,0, BaselineCalc!$B$7 + ROUND(J10*F10,0))</f>
        <v>0</v>
      </c>
      <c r="D57">
        <f>IF(E10=1,0, BaselineCalc!$B$8 + J10 - ROUND(J10*F10,0))</f>
        <v>296</v>
      </c>
      <c r="E57">
        <f t="shared" si="4"/>
        <v>296</v>
      </c>
      <c r="F57" s="2">
        <f>YearMap!B3</f>
        <v>7307.3069999999989</v>
      </c>
      <c r="G57" s="2">
        <f>YearMap!C3</f>
        <v>804847.67099999997</v>
      </c>
      <c r="H57" s="2">
        <f>YearMap!D3</f>
        <v>926984.08799999999</v>
      </c>
      <c r="I57" t="str">
        <f t="shared" si="5"/>
        <v>B_Repurpose_Echo_lease|FY2027</v>
      </c>
    </row>
    <row r="58" spans="1:9" x14ac:dyDescent="0.35">
      <c r="A58" t="str">
        <f>A10</f>
        <v>B_Repurpose_Echo_lease</v>
      </c>
      <c r="B58" t="s">
        <v>22</v>
      </c>
      <c r="C58">
        <f>IF(D10=1,0, BaselineCalc!$B$7 + ROUND(K10*F10,0))</f>
        <v>0</v>
      </c>
      <c r="D58">
        <f>IF(E10=1,0, BaselineCalc!$B$8 + K10 - ROUND(K10*F10,0))</f>
        <v>296</v>
      </c>
      <c r="E58">
        <f t="shared" si="4"/>
        <v>296</v>
      </c>
      <c r="F58" s="2">
        <f>YearMap!B4</f>
        <v>7489.9896749999989</v>
      </c>
      <c r="G58" s="2">
        <f>YearMap!C4</f>
        <v>824968.86277499993</v>
      </c>
      <c r="H58" s="2">
        <f>YearMap!D4</f>
        <v>950158.69019999984</v>
      </c>
      <c r="I58" t="str">
        <f t="shared" si="5"/>
        <v>B_Repurpose_Echo_lease|FY2028</v>
      </c>
    </row>
    <row r="59" spans="1:9" x14ac:dyDescent="0.35">
      <c r="A59" t="str">
        <f>A10</f>
        <v>B_Repurpose_Echo_lease</v>
      </c>
      <c r="B59" t="s">
        <v>23</v>
      </c>
      <c r="C59">
        <f>IF(D10=1,0, BaselineCalc!$B$7 + ROUND(L10*F10,0))</f>
        <v>0</v>
      </c>
      <c r="D59">
        <f>IF(E10=1,0, BaselineCalc!$B$8 + L10 - ROUND(L10*F10,0))</f>
        <v>296</v>
      </c>
      <c r="E59">
        <f t="shared" si="4"/>
        <v>296</v>
      </c>
      <c r="F59" s="2">
        <f>YearMap!B5</f>
        <v>7677.2394168749979</v>
      </c>
      <c r="G59" s="2">
        <f>YearMap!C5</f>
        <v>845593.08434437483</v>
      </c>
      <c r="H59" s="2">
        <f>YearMap!D5</f>
        <v>973912.65745499986</v>
      </c>
      <c r="I59" t="str">
        <f t="shared" si="5"/>
        <v>B_Repurpose_Echo_lease|FY2029</v>
      </c>
    </row>
    <row r="60" spans="1:9" x14ac:dyDescent="0.35">
      <c r="A60" t="str">
        <f>A10</f>
        <v>B_Repurpose_Echo_lease</v>
      </c>
      <c r="B60" t="s">
        <v>24</v>
      </c>
      <c r="C60">
        <f>IF(D10=1,0, BaselineCalc!$B$7 + ROUND(M10*F10,0))</f>
        <v>0</v>
      </c>
      <c r="D60">
        <f>IF(E10=1,0, BaselineCalc!$B$8 + M10 - ROUND(M10*F10,0))</f>
        <v>296</v>
      </c>
      <c r="E60">
        <f t="shared" si="4"/>
        <v>296</v>
      </c>
      <c r="F60" s="2">
        <f>YearMap!B6</f>
        <v>7869.1704022968725</v>
      </c>
      <c r="G60" s="2">
        <f>YearMap!C6</f>
        <v>866732.91145298409</v>
      </c>
      <c r="H60" s="2">
        <f>YearMap!D6</f>
        <v>998260.47389137466</v>
      </c>
      <c r="I60" t="str">
        <f t="shared" si="5"/>
        <v>B_Repurpose_Echo_lease|FY2030</v>
      </c>
    </row>
    <row r="61" spans="1:9" x14ac:dyDescent="0.35">
      <c r="A61" t="str">
        <f>A11</f>
        <v>B_Repurpose_Echo_ops</v>
      </c>
      <c r="B61" t="s">
        <v>20</v>
      </c>
      <c r="C61">
        <f>IF(D11=1,0, BaselineCalc!$B$7 + ROUND(I11*F11,0))</f>
        <v>0</v>
      </c>
      <c r="D61">
        <f>IF(E11=1,0, BaselineCalc!$B$8 + I11 - ROUND(I11*F11,0))</f>
        <v>296</v>
      </c>
      <c r="E61">
        <f t="shared" si="4"/>
        <v>296</v>
      </c>
      <c r="F61" s="2">
        <f>YearMap!B2</f>
        <v>7129.079999999999</v>
      </c>
      <c r="G61" s="2">
        <f>YearMap!C2</f>
        <v>785217.23999999987</v>
      </c>
      <c r="H61" s="2">
        <f>YearMap!D2</f>
        <v>904374.71999999986</v>
      </c>
      <c r="I61" t="str">
        <f t="shared" si="5"/>
        <v>B_Repurpose_Echo_ops|FY2026</v>
      </c>
    </row>
    <row r="62" spans="1:9" x14ac:dyDescent="0.35">
      <c r="A62" t="str">
        <f>A11</f>
        <v>B_Repurpose_Echo_ops</v>
      </c>
      <c r="B62" t="s">
        <v>21</v>
      </c>
      <c r="C62">
        <f>IF(D11=1,0, BaselineCalc!$B$7 + ROUND(J11*F11,0))</f>
        <v>0</v>
      </c>
      <c r="D62">
        <f>IF(E11=1,0, BaselineCalc!$B$8 + J11 - ROUND(J11*F11,0))</f>
        <v>296</v>
      </c>
      <c r="E62">
        <f t="shared" si="4"/>
        <v>296</v>
      </c>
      <c r="F62" s="2">
        <f>YearMap!B3</f>
        <v>7307.3069999999989</v>
      </c>
      <c r="G62" s="2">
        <f>YearMap!C3</f>
        <v>804847.67099999997</v>
      </c>
      <c r="H62" s="2">
        <f>YearMap!D3</f>
        <v>926984.08799999999</v>
      </c>
      <c r="I62" t="str">
        <f t="shared" si="5"/>
        <v>B_Repurpose_Echo_ops|FY2027</v>
      </c>
    </row>
    <row r="63" spans="1:9" x14ac:dyDescent="0.35">
      <c r="A63" t="str">
        <f>A11</f>
        <v>B_Repurpose_Echo_ops</v>
      </c>
      <c r="B63" t="s">
        <v>22</v>
      </c>
      <c r="C63">
        <f>IF(D11=1,0, BaselineCalc!$B$7 + ROUND(K11*F11,0))</f>
        <v>0</v>
      </c>
      <c r="D63">
        <f>IF(E11=1,0, BaselineCalc!$B$8 + K11 - ROUND(K11*F11,0))</f>
        <v>296</v>
      </c>
      <c r="E63">
        <f t="shared" si="4"/>
        <v>296</v>
      </c>
      <c r="F63" s="2">
        <f>YearMap!B4</f>
        <v>7489.9896749999989</v>
      </c>
      <c r="G63" s="2">
        <f>YearMap!C4</f>
        <v>824968.86277499993</v>
      </c>
      <c r="H63" s="2">
        <f>YearMap!D4</f>
        <v>950158.69019999984</v>
      </c>
      <c r="I63" t="str">
        <f t="shared" si="5"/>
        <v>B_Repurpose_Echo_ops|FY2028</v>
      </c>
    </row>
    <row r="64" spans="1:9" x14ac:dyDescent="0.35">
      <c r="A64" t="str">
        <f>A11</f>
        <v>B_Repurpose_Echo_ops</v>
      </c>
      <c r="B64" t="s">
        <v>23</v>
      </c>
      <c r="C64">
        <f>IF(D11=1,0, BaselineCalc!$B$7 + ROUND(L11*F11,0))</f>
        <v>0</v>
      </c>
      <c r="D64">
        <f>IF(E11=1,0, BaselineCalc!$B$8 + L11 - ROUND(L11*F11,0))</f>
        <v>296</v>
      </c>
      <c r="E64">
        <f t="shared" si="4"/>
        <v>296</v>
      </c>
      <c r="F64" s="2">
        <f>YearMap!B5</f>
        <v>7677.2394168749979</v>
      </c>
      <c r="G64" s="2">
        <f>YearMap!C5</f>
        <v>845593.08434437483</v>
      </c>
      <c r="H64" s="2">
        <f>YearMap!D5</f>
        <v>973912.65745499986</v>
      </c>
      <c r="I64" t="str">
        <f t="shared" si="5"/>
        <v>B_Repurpose_Echo_ops|FY2029</v>
      </c>
    </row>
    <row r="65" spans="1:9" x14ac:dyDescent="0.35">
      <c r="A65" t="str">
        <f>A11</f>
        <v>B_Repurpose_Echo_ops</v>
      </c>
      <c r="B65" t="s">
        <v>24</v>
      </c>
      <c r="C65">
        <f>IF(D11=1,0, BaselineCalc!$B$7 + ROUND(M11*F11,0))</f>
        <v>0</v>
      </c>
      <c r="D65">
        <f>IF(E11=1,0, BaselineCalc!$B$8 + M11 - ROUND(M11*F11,0))</f>
        <v>296</v>
      </c>
      <c r="E65">
        <f t="shared" si="4"/>
        <v>296</v>
      </c>
      <c r="F65" s="2">
        <f>YearMap!B6</f>
        <v>7869.1704022968725</v>
      </c>
      <c r="G65" s="2">
        <f>YearMap!C6</f>
        <v>866732.91145298409</v>
      </c>
      <c r="H65" s="2">
        <f>YearMap!D6</f>
        <v>998260.47389137466</v>
      </c>
      <c r="I65" t="str">
        <f t="shared" si="5"/>
        <v>B_Repurpose_Echo_ops|FY2030</v>
      </c>
    </row>
    <row r="66" spans="1:9" x14ac:dyDescent="0.35">
      <c r="A66" t="str">
        <f>A12</f>
        <v>C_Repurpose_Pima_lease</v>
      </c>
      <c r="B66" t="s">
        <v>20</v>
      </c>
      <c r="C66">
        <f>IF(D12=1,0, BaselineCalc!$B$7 + ROUND(I12*F12,0))</f>
        <v>257</v>
      </c>
      <c r="D66">
        <f>IF(E12=1,0, BaselineCalc!$B$8 + I12 - ROUND(I12*F12,0))</f>
        <v>0</v>
      </c>
      <c r="E66">
        <f t="shared" si="4"/>
        <v>257</v>
      </c>
      <c r="F66" s="2">
        <f>YearMap!B2</f>
        <v>7129.079999999999</v>
      </c>
      <c r="G66" s="2">
        <f>YearMap!C2</f>
        <v>785217.23999999987</v>
      </c>
      <c r="H66" s="2">
        <f>YearMap!D2</f>
        <v>904374.71999999986</v>
      </c>
      <c r="I66" t="str">
        <f t="shared" si="5"/>
        <v>C_Repurpose_Pima_lease|FY2026</v>
      </c>
    </row>
    <row r="67" spans="1:9" x14ac:dyDescent="0.35">
      <c r="A67" t="str">
        <f>A12</f>
        <v>C_Repurpose_Pima_lease</v>
      </c>
      <c r="B67" t="s">
        <v>21</v>
      </c>
      <c r="C67">
        <f>IF(D12=1,0, BaselineCalc!$B$7 + ROUND(J12*F12,0))</f>
        <v>257</v>
      </c>
      <c r="D67">
        <f>IF(E12=1,0, BaselineCalc!$B$8 + J12 - ROUND(J12*F12,0))</f>
        <v>0</v>
      </c>
      <c r="E67">
        <f t="shared" si="4"/>
        <v>257</v>
      </c>
      <c r="F67" s="2">
        <f>YearMap!B3</f>
        <v>7307.3069999999989</v>
      </c>
      <c r="G67" s="2">
        <f>YearMap!C3</f>
        <v>804847.67099999997</v>
      </c>
      <c r="H67" s="2">
        <f>YearMap!D3</f>
        <v>926984.08799999999</v>
      </c>
      <c r="I67" t="str">
        <f t="shared" si="5"/>
        <v>C_Repurpose_Pima_lease|FY2027</v>
      </c>
    </row>
    <row r="68" spans="1:9" x14ac:dyDescent="0.35">
      <c r="A68" t="str">
        <f>A12</f>
        <v>C_Repurpose_Pima_lease</v>
      </c>
      <c r="B68" t="s">
        <v>22</v>
      </c>
      <c r="C68">
        <f>IF(D12=1,0, BaselineCalc!$B$7 + ROUND(K12*F12,0))</f>
        <v>257</v>
      </c>
      <c r="D68">
        <f>IF(E12=1,0, BaselineCalc!$B$8 + K12 - ROUND(K12*F12,0))</f>
        <v>0</v>
      </c>
      <c r="E68">
        <f t="shared" si="4"/>
        <v>257</v>
      </c>
      <c r="F68" s="2">
        <f>YearMap!B4</f>
        <v>7489.9896749999989</v>
      </c>
      <c r="G68" s="2">
        <f>YearMap!C4</f>
        <v>824968.86277499993</v>
      </c>
      <c r="H68" s="2">
        <f>YearMap!D4</f>
        <v>950158.69019999984</v>
      </c>
      <c r="I68" t="str">
        <f t="shared" si="5"/>
        <v>C_Repurpose_Pima_lease|FY2028</v>
      </c>
    </row>
    <row r="69" spans="1:9" x14ac:dyDescent="0.35">
      <c r="A69" t="str">
        <f>A12</f>
        <v>C_Repurpose_Pima_lease</v>
      </c>
      <c r="B69" t="s">
        <v>23</v>
      </c>
      <c r="C69">
        <f>IF(D12=1,0, BaselineCalc!$B$7 + ROUND(L12*F12,0))</f>
        <v>257</v>
      </c>
      <c r="D69">
        <f>IF(E12=1,0, BaselineCalc!$B$8 + L12 - ROUND(L12*F12,0))</f>
        <v>0</v>
      </c>
      <c r="E69">
        <f t="shared" si="4"/>
        <v>257</v>
      </c>
      <c r="F69" s="2">
        <f>YearMap!B5</f>
        <v>7677.2394168749979</v>
      </c>
      <c r="G69" s="2">
        <f>YearMap!C5</f>
        <v>845593.08434437483</v>
      </c>
      <c r="H69" s="2">
        <f>YearMap!D5</f>
        <v>973912.65745499986</v>
      </c>
      <c r="I69" t="str">
        <f t="shared" si="5"/>
        <v>C_Repurpose_Pima_lease|FY2029</v>
      </c>
    </row>
    <row r="70" spans="1:9" x14ac:dyDescent="0.35">
      <c r="A70" t="str">
        <f>A12</f>
        <v>C_Repurpose_Pima_lease</v>
      </c>
      <c r="B70" t="s">
        <v>24</v>
      </c>
      <c r="C70">
        <f>IF(D12=1,0, BaselineCalc!$B$7 + ROUND(M12*F12,0))</f>
        <v>257</v>
      </c>
      <c r="D70">
        <f>IF(E12=1,0, BaselineCalc!$B$8 + M12 - ROUND(M12*F12,0))</f>
        <v>0</v>
      </c>
      <c r="E70">
        <f t="shared" si="4"/>
        <v>257</v>
      </c>
      <c r="F70" s="2">
        <f>YearMap!B6</f>
        <v>7869.1704022968725</v>
      </c>
      <c r="G70" s="2">
        <f>YearMap!C6</f>
        <v>866732.91145298409</v>
      </c>
      <c r="H70" s="2">
        <f>YearMap!D6</f>
        <v>998260.47389137466</v>
      </c>
      <c r="I70" t="str">
        <f t="shared" si="5"/>
        <v>C_Repurpose_Pima_lease|FY2030</v>
      </c>
    </row>
    <row r="71" spans="1:9" x14ac:dyDescent="0.35">
      <c r="A71" t="str">
        <f>A13</f>
        <v>C_Repurpose_Pima_ops</v>
      </c>
      <c r="B71" t="s">
        <v>20</v>
      </c>
      <c r="C71">
        <f>IF(D13=1,0, BaselineCalc!$B$7 + ROUND(I13*F13,0))</f>
        <v>257</v>
      </c>
      <c r="D71">
        <f>IF(E13=1,0, BaselineCalc!$B$8 + I13 - ROUND(I13*F13,0))</f>
        <v>0</v>
      </c>
      <c r="E71">
        <f t="shared" si="4"/>
        <v>257</v>
      </c>
      <c r="F71" s="2">
        <f>YearMap!B2</f>
        <v>7129.079999999999</v>
      </c>
      <c r="G71" s="2">
        <f>YearMap!C2</f>
        <v>785217.23999999987</v>
      </c>
      <c r="H71" s="2">
        <f>YearMap!D2</f>
        <v>904374.71999999986</v>
      </c>
      <c r="I71" t="str">
        <f t="shared" si="5"/>
        <v>C_Repurpose_Pima_ops|FY2026</v>
      </c>
    </row>
    <row r="72" spans="1:9" x14ac:dyDescent="0.35">
      <c r="A72" t="str">
        <f>A13</f>
        <v>C_Repurpose_Pima_ops</v>
      </c>
      <c r="B72" t="s">
        <v>21</v>
      </c>
      <c r="C72">
        <f>IF(D13=1,0, BaselineCalc!$B$7 + ROUND(J13*F13,0))</f>
        <v>257</v>
      </c>
      <c r="D72">
        <f>IF(E13=1,0, BaselineCalc!$B$8 + J13 - ROUND(J13*F13,0))</f>
        <v>0</v>
      </c>
      <c r="E72">
        <f t="shared" si="4"/>
        <v>257</v>
      </c>
      <c r="F72" s="2">
        <f>YearMap!B3</f>
        <v>7307.3069999999989</v>
      </c>
      <c r="G72" s="2">
        <f>YearMap!C3</f>
        <v>804847.67099999997</v>
      </c>
      <c r="H72" s="2">
        <f>YearMap!D3</f>
        <v>926984.08799999999</v>
      </c>
      <c r="I72" t="str">
        <f t="shared" si="5"/>
        <v>C_Repurpose_Pima_ops|FY2027</v>
      </c>
    </row>
    <row r="73" spans="1:9" x14ac:dyDescent="0.35">
      <c r="A73" t="str">
        <f>A13</f>
        <v>C_Repurpose_Pima_ops</v>
      </c>
      <c r="B73" t="s">
        <v>22</v>
      </c>
      <c r="C73">
        <f>IF(D13=1,0, BaselineCalc!$B$7 + ROUND(K13*F13,0))</f>
        <v>257</v>
      </c>
      <c r="D73">
        <f>IF(E13=1,0, BaselineCalc!$B$8 + K13 - ROUND(K13*F13,0))</f>
        <v>0</v>
      </c>
      <c r="E73">
        <f t="shared" si="4"/>
        <v>257</v>
      </c>
      <c r="F73" s="2">
        <f>YearMap!B4</f>
        <v>7489.9896749999989</v>
      </c>
      <c r="G73" s="2">
        <f>YearMap!C4</f>
        <v>824968.86277499993</v>
      </c>
      <c r="H73" s="2">
        <f>YearMap!D4</f>
        <v>950158.69019999984</v>
      </c>
      <c r="I73" t="str">
        <f t="shared" si="5"/>
        <v>C_Repurpose_Pima_ops|FY2028</v>
      </c>
    </row>
    <row r="74" spans="1:9" x14ac:dyDescent="0.35">
      <c r="A74" t="str">
        <f>A13</f>
        <v>C_Repurpose_Pima_ops</v>
      </c>
      <c r="B74" t="s">
        <v>23</v>
      </c>
      <c r="C74">
        <f>IF(D13=1,0, BaselineCalc!$B$7 + ROUND(L13*F13,0))</f>
        <v>257</v>
      </c>
      <c r="D74">
        <f>IF(E13=1,0, BaselineCalc!$B$8 + L13 - ROUND(L13*F13,0))</f>
        <v>0</v>
      </c>
      <c r="E74">
        <f t="shared" si="4"/>
        <v>257</v>
      </c>
      <c r="F74" s="2">
        <f>YearMap!B5</f>
        <v>7677.2394168749979</v>
      </c>
      <c r="G74" s="2">
        <f>YearMap!C5</f>
        <v>845593.08434437483</v>
      </c>
      <c r="H74" s="2">
        <f>YearMap!D5</f>
        <v>973912.65745499986</v>
      </c>
      <c r="I74" t="str">
        <f t="shared" si="5"/>
        <v>C_Repurpose_Pima_ops|FY2029</v>
      </c>
    </row>
    <row r="75" spans="1:9" x14ac:dyDescent="0.35">
      <c r="A75" t="str">
        <f>A13</f>
        <v>C_Repurpose_Pima_ops</v>
      </c>
      <c r="B75" t="s">
        <v>24</v>
      </c>
      <c r="C75">
        <f>IF(D13=1,0, BaselineCalc!$B$7 + ROUND(M13*F13,0))</f>
        <v>257</v>
      </c>
      <c r="D75">
        <f>IF(E13=1,0, BaselineCalc!$B$8 + M13 - ROUND(M13*F13,0))</f>
        <v>0</v>
      </c>
      <c r="E75">
        <f t="shared" si="4"/>
        <v>257</v>
      </c>
      <c r="F75" s="2">
        <f>YearMap!B6</f>
        <v>7869.1704022968725</v>
      </c>
      <c r="G75" s="2">
        <f>YearMap!C6</f>
        <v>866732.91145298409</v>
      </c>
      <c r="H75" s="2">
        <f>YearMap!D6</f>
        <v>998260.47389137466</v>
      </c>
      <c r="I75" t="str">
        <f t="shared" si="5"/>
        <v>C_Repurpose_Pima_ops|FY2030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3"/>
  <sheetViews>
    <sheetView zoomScale="80" zoomScaleNormal="8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M6" sqref="M6"/>
    </sheetView>
  </sheetViews>
  <sheetFormatPr defaultRowHeight="14.5" x14ac:dyDescent="0.35"/>
  <cols>
    <col min="1" max="1" width="25.7265625" bestFit="1" customWidth="1"/>
    <col min="2" max="7" width="23" customWidth="1"/>
    <col min="8" max="8" width="13.1796875" bestFit="1" customWidth="1"/>
    <col min="10" max="10" width="13.1796875" bestFit="1" customWidth="1"/>
    <col min="13" max="13" width="14" bestFit="1" customWidth="1"/>
  </cols>
  <sheetData>
    <row r="1" spans="1:13" ht="29" customHeight="1" x14ac:dyDescent="0.35">
      <c r="A1" s="9" t="s">
        <v>87</v>
      </c>
      <c r="B1" s="9" t="s">
        <v>155</v>
      </c>
      <c r="C1" s="9" t="s">
        <v>156</v>
      </c>
      <c r="D1" s="9" t="s">
        <v>157</v>
      </c>
      <c r="E1" s="9" t="s">
        <v>158</v>
      </c>
      <c r="F1" s="9" t="s">
        <v>13</v>
      </c>
      <c r="G1" s="9" t="s">
        <v>159</v>
      </c>
      <c r="H1" t="s">
        <v>160</v>
      </c>
      <c r="J1" t="s">
        <v>7</v>
      </c>
      <c r="M1" t="s">
        <v>161</v>
      </c>
    </row>
    <row r="2" spans="1:13" x14ac:dyDescent="0.35">
      <c r="A2" t="str">
        <f>Scenarios!A2</f>
        <v>D_Grow_Both_0</v>
      </c>
      <c r="B2" s="2">
        <f>INDEX(MultiYear_ProForma!$X$2:$X$61, MATCH(Scenarios!A2&amp;"|FY2028", MultiYear_ProForma!$Y$2:$Y$61, 0))</f>
        <v>10625.085353249999</v>
      </c>
      <c r="C2" s="2">
        <f>INDEX(MultiYear_ProForma!$X$2:$X$61, MATCH(Scenarios!A2&amp;"|FY2030", MultiYear_ProForma!$Y$2:$Y$61, 0))</f>
        <v>11162.980299258277</v>
      </c>
      <c r="D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0)))</f>
        <v>10368.043827749998</v>
      </c>
      <c r="E2" s="2">
        <f>AVERAGE(INDEX(MultiYear_ProForma!$X$2:$X$61, MATCH(Scenarios!A2&amp;"|FY2026", MultiYear_ProForma!$Y$2:$Y$61, 0)),INDEX(MultiYear_ProForma!$X$2:$X$61, MATCH(Scenarios!A2&amp;"|FY2027", MultiYear_ProForma!$Y$2:$Y$61, 0)),INDEX(MultiYear_ProForma!$X$2:$X$61, MATCH(Scenarios!A2&amp;"|FY2028", MultiYear_ProForma!$Y$2:$Y$61, 0)),INDEX(MultiYear_ProForma!$X$2:$X$61, MATCH(Scenarios!A2&amp;"|FY2029", MultiYear_ProForma!$Y$2:$Y$61, 0)),INDEX(MultiYear_ProForma!$X$2:$X$61, MATCH(Scenarios!A2&amp;"|FY2030", MultiYear_ProForma!$Y$2:$Y$61, 0)))</f>
        <v>10631.564853917904</v>
      </c>
      <c r="F2">
        <f>IFERROR(VLOOKUP($A2&amp;"|FY2026", MultiYear_ProForma!$A:$Y, 14, FALSE), "")</f>
        <v>0</v>
      </c>
      <c r="G2">
        <f>IFERROR(VLOOKUP($A2&amp;"|FY2030", MultiYear_ProForma!$A:$Y, 6, FALSE) + VLOOKUP($A2&amp;"|FY2030", MultiYear_ProForma!$A:$Y, 15, FALSE), "")</f>
        <v>553</v>
      </c>
      <c r="H2" s="2">
        <f>SUMIFS(MultiYear_ProForma!$AA:$AA, MultiYear_ProForma!$B:$B, $A2, MultiYear_ProForma!$C:$C, "FY2028")</f>
        <v>2933952.6447472493</v>
      </c>
      <c r="J2" s="2">
        <f>SUMIFS(MultiYear_ProForma!$AA:$AA, MultiYear_ProForma!$B:$B, $A2, MultiYear_ProForma!$C:$C, "FY2030")</f>
        <v>3112563.0798435882</v>
      </c>
      <c r="K2" t="e">
        <f>INDEX(MultiYear_ProForma!$AA:$AA,MATCH($A2&amp;"|"&amp;"FY2028",MultiYear_ProForma!$B:$B&amp;"|"&amp;MultiYear_ProForma!$C:$C,0))</f>
        <v>#VALUE!</v>
      </c>
      <c r="L2" t="e">
        <f>INDEX(MultiYear_ProForma!$AA:$AA,MATCH($A2&amp;"|"&amp;"FY2030",MultiYear_ProForma!$B:$B&amp;"|"&amp;MultiYear_ProForma!$C:$C,0))</f>
        <v>#VALUE!</v>
      </c>
      <c r="M2" s="2">
        <f>(SUMIFS(MultiYear_ProForma!$AA:$AA, MultiYear_ProForma!$B:$B, $A2, MultiYear_ProForma!$C:$C, "FY2026")+SUMIFS(MultiYear_ProForma!$AA:$AA, MultiYear_ProForma!$B:$B, $A2, MultiYear_ProForma!$C:$C, "FY2027")+SUMIFS(MultiYear_ProForma!$AA:$AA, MultiYear_ProForma!$B:$B, $A2, MultiYear_ProForma!$C:$C, "FY2028")+SUMIFS(MultiYear_ProForma!$AA:$AA, MultiYear_ProForma!$B:$B, $A2, MultiYear_ProForma!$C:$C, "FY2029")+SUMIFS(MultiYear_ProForma!$AA:$AA, MultiYear_ProForma!$B:$B, $A2, MultiYear_ProForma!$C:$C, "FY2030"))/5</f>
        <v>2936382.1026249533</v>
      </c>
    </row>
    <row r="3" spans="1:13" x14ac:dyDescent="0.35">
      <c r="A3" t="str">
        <f>Scenarios!A3</f>
        <v>E_StatusQuo_Targets_0</v>
      </c>
      <c r="B3" s="2">
        <f>INDEX(MultiYear_ProForma!$X$2:$X$61, MATCH(Scenarios!A3&amp;"|FY2028", MultiYear_ProForma!$Y$2:$Y$61, 0))</f>
        <v>10625.085353249999</v>
      </c>
      <c r="C3" s="2">
        <f>INDEX(MultiYear_ProForma!$X$2:$X$61, MATCH(Scenarios!A3&amp;"|FY2030", MultiYear_ProForma!$Y$2:$Y$61, 0))</f>
        <v>11162.980299258277</v>
      </c>
      <c r="D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0)))</f>
        <v>10368.043827749998</v>
      </c>
      <c r="E3" s="2">
        <f>AVERAGE(INDEX(MultiYear_ProForma!$X$2:$X$61, MATCH(Scenarios!A3&amp;"|FY2026", MultiYear_ProForma!$Y$2:$Y$61, 0)),INDEX(MultiYear_ProForma!$X$2:$X$61, MATCH(Scenarios!A3&amp;"|FY2027", MultiYear_ProForma!$Y$2:$Y$61, 0)),INDEX(MultiYear_ProForma!$X$2:$X$61, MATCH(Scenarios!A3&amp;"|FY2028", MultiYear_ProForma!$Y$2:$Y$61, 0)),INDEX(MultiYear_ProForma!$X$2:$X$61, MATCH(Scenarios!A3&amp;"|FY2029", MultiYear_ProForma!$Y$2:$Y$61, 0)),INDEX(MultiYear_ProForma!$X$2:$X$61, MATCH(Scenarios!A3&amp;"|FY2030", MultiYear_ProForma!$Y$2:$Y$61, 0)))</f>
        <v>10631.564853917904</v>
      </c>
      <c r="F3">
        <f>IFERROR(VLOOKUP($A3&amp;"|FY2026", MultiYear_ProForma!$A:$Y, 14, FALSE), "")</f>
        <v>0</v>
      </c>
      <c r="G3" s="7">
        <f>IFERROR(VLOOKUP($A3&amp;"|FY2030", MultiYear_ProForma!$A:$Y, 6, FALSE) + VLOOKUP($A3&amp;"|FY2030", MultiYear_ProForma!$A:$Y, 15, FALSE), "")</f>
        <v>553</v>
      </c>
      <c r="H3" s="2">
        <f>SUMIFS(MultiYear_ProForma!$AA:$AA, MultiYear_ProForma!$B:$B, $A3, MultiYear_ProForma!$C:$C, "FY2028")</f>
        <v>2933952.6447472493</v>
      </c>
      <c r="J3" s="2">
        <f>SUMIFS(MultiYear_ProForma!$AA:$AA, MultiYear_ProForma!$B:$B, $A3, MultiYear_ProForma!$C:$C, "FY2030")</f>
        <v>3112563.0798435882</v>
      </c>
      <c r="K3" t="e">
        <f>INDEX(MultiYear_ProForma!$AA:$AA,MATCH($A3&amp;"|"&amp;"FY2028",MultiYear_ProForma!$B:$B&amp;"|"&amp;MultiYear_ProForma!$C:$C,0))</f>
        <v>#VALUE!</v>
      </c>
      <c r="L3" t="e">
        <f>INDEX(MultiYear_ProForma!$AA:$AA,MATCH($A3&amp;"|"&amp;"FY2030",MultiYear_ProForma!$B:$B&amp;"|"&amp;MultiYear_ProForma!$C:$C,0))</f>
        <v>#VALUE!</v>
      </c>
      <c r="M3" s="2">
        <f>(SUMIFS(MultiYear_ProForma!$AA:$AA, MultiYear_ProForma!$B:$B, $A3, MultiYear_ProForma!$C:$C, "FY2026")+SUMIFS(MultiYear_ProForma!$AA:$AA, MultiYear_ProForma!$B:$B, $A3, MultiYear_ProForma!$C:$C, "FY2027")+SUMIFS(MultiYear_ProForma!$AA:$AA, MultiYear_ProForma!$B:$B, $A3, MultiYear_ProForma!$C:$C, "FY2028")+SUMIFS(MultiYear_ProForma!$AA:$AA, MultiYear_ProForma!$B:$B, $A3, MultiYear_ProForma!$C:$C, "FY2029")+SUMIFS(MultiYear_ProForma!$AA:$AA, MultiYear_ProForma!$B:$B, $A3, MultiYear_ProForma!$C:$C, "FY2030"))/5</f>
        <v>2936382.1026249533</v>
      </c>
    </row>
    <row r="4" spans="1:13" x14ac:dyDescent="0.35">
      <c r="A4" t="str">
        <f>Scenarios!A4</f>
        <v>F_CoLocation_Echo_0</v>
      </c>
      <c r="B4" s="2">
        <f>INDEX(MultiYear_ProForma!$X$2:$X$61, MATCH(Scenarios!A4&amp;"|FY2028", MultiYear_ProForma!$Y$2:$Y$61, 0))</f>
        <v>10465.709072951249</v>
      </c>
      <c r="C4" s="2">
        <f>INDEX(MultiYear_ProForma!$X$2:$X$61, MATCH(Scenarios!A4&amp;"|FY2030", MultiYear_ProForma!$Y$2:$Y$61, 0))</f>
        <v>10995.535594769402</v>
      </c>
      <c r="D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0)))</f>
        <v>10212.523170333749</v>
      </c>
      <c r="E4" s="2">
        <f>AVERAGE(INDEX(MultiYear_ProForma!$X$2:$X$61, MATCH(Scenarios!A4&amp;"|FY2026", MultiYear_ProForma!$Y$2:$Y$61, 0)),INDEX(MultiYear_ProForma!$X$2:$X$61, MATCH(Scenarios!A4&amp;"|FY2027", MultiYear_ProForma!$Y$2:$Y$61, 0)),INDEX(MultiYear_ProForma!$X$2:$X$61, MATCH(Scenarios!A4&amp;"|FY2028", MultiYear_ProForma!$Y$2:$Y$61, 0)),INDEX(MultiYear_ProForma!$X$2:$X$61, MATCH(Scenarios!A4&amp;"|FY2029", MultiYear_ProForma!$Y$2:$Y$61, 0)),INDEX(MultiYear_ProForma!$X$2:$X$61, MATCH(Scenarios!A4&amp;"|FY2030", MultiYear_ProForma!$Y$2:$Y$61, 0)))</f>
        <v>10472.091381109136</v>
      </c>
      <c r="F4">
        <f>IFERROR(VLOOKUP($A4&amp;"|FY2026", MultiYear_ProForma!$A:$Y, 14, FALSE), "")</f>
        <v>0</v>
      </c>
      <c r="G4" s="7">
        <f>IFERROR(VLOOKUP($A4&amp;"|FY2030", MultiYear_ProForma!$A:$Y, 6, FALSE) + VLOOKUP($A4&amp;"|FY2030", MultiYear_ProForma!$A:$Y, 15, FALSE), "")</f>
        <v>553</v>
      </c>
      <c r="H4" s="2">
        <f>SUMIFS(MultiYear_ProForma!$AA:$AA, MultiYear_ProForma!$B:$B, $A4, MultiYear_ProForma!$C:$C, "FY2028")</f>
        <v>2845817.5617420408</v>
      </c>
      <c r="J4" s="2">
        <f>SUMIFS(MultiYear_ProForma!$AA:$AA, MultiYear_ProForma!$B:$B, $A4, MultiYear_ProForma!$C:$C, "FY2030")</f>
        <v>3019966.1582612405</v>
      </c>
      <c r="K4" t="e">
        <f>INDEX(MultiYear_ProForma!$AA:$AA,MATCH($A4&amp;"|"&amp;"FY2028",MultiYear_ProForma!$B:$B&amp;"|"&amp;MultiYear_ProForma!$C:$C,0))</f>
        <v>#VALUE!</v>
      </c>
      <c r="L4" t="e">
        <f>INDEX(MultiYear_ProForma!$AA:$AA,MATCH($A4&amp;"|"&amp;"FY2030",MultiYear_ProForma!$B:$B&amp;"|"&amp;MultiYear_ProForma!$C:$C,0))</f>
        <v>#VALUE!</v>
      </c>
      <c r="M4" s="2">
        <f>(SUMIFS(MultiYear_ProForma!$AA:$AA, MultiYear_ProForma!$B:$B, $A4, MultiYear_ProForma!$C:$C, "FY2026")+SUMIFS(MultiYear_ProForma!$AA:$AA, MultiYear_ProForma!$B:$B, $A4, MultiYear_ProForma!$C:$C, "FY2027")+SUMIFS(MultiYear_ProForma!$AA:$AA, MultiYear_ProForma!$B:$B, $A4, MultiYear_ProForma!$C:$C, "FY2028")+SUMIFS(MultiYear_ProForma!$AA:$AA, MultiYear_ProForma!$B:$B, $A4, MultiYear_ProForma!$C:$C, "FY2029")+SUMIFS(MultiYear_ProForma!$AA:$AA, MultiYear_ProForma!$B:$B, $A4, MultiYear_ProForma!$C:$C, "FY2030"))/5</f>
        <v>2848193.2721617045</v>
      </c>
    </row>
    <row r="5" spans="1:13" x14ac:dyDescent="0.35">
      <c r="A5" t="str">
        <f>Scenarios!A5</f>
        <v>D_Grow_Both_100</v>
      </c>
      <c r="B5" s="2">
        <f>INDEX(MultiYear_ProForma!$X$2:$X$61, MATCH(Scenarios!A5&amp;"|FY2028", MultiYear_ProForma!$Y$2:$Y$61, 0))</f>
        <v>10136.949732120596</v>
      </c>
      <c r="C5" s="2">
        <f>INDEX(MultiYear_ProForma!$X$2:$X$61, MATCH(Scenarios!A5&amp;"|FY2030", MultiYear_ProForma!$Y$2:$Y$61, 0))</f>
        <v>10650.132812309201</v>
      </c>
      <c r="D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0)))</f>
        <v>9891.7171587875182</v>
      </c>
      <c r="E5" s="2">
        <f>AVERAGE(INDEX(MultiYear_ProForma!$X$2:$X$61, MATCH(Scenarios!A5&amp;"|FY2026", MultiYear_ProForma!$Y$2:$Y$61, 0)),INDEX(MultiYear_ProForma!$X$2:$X$61, MATCH(Scenarios!A5&amp;"|FY2027", MultiYear_ProForma!$Y$2:$Y$61, 0)),INDEX(MultiYear_ProForma!$X$2:$X$61, MATCH(Scenarios!A5&amp;"|FY2028", MultiYear_ProForma!$Y$2:$Y$61, 0)),INDEX(MultiYear_ProForma!$X$2:$X$61, MATCH(Scenarios!A5&amp;"|FY2029", MultiYear_ProForma!$Y$2:$Y$61, 0)),INDEX(MultiYear_ProForma!$X$2:$X$61, MATCH(Scenarios!A5&amp;"|FY2030", MultiYear_ProForma!$Y$2:$Y$61, 0)))</f>
        <v>10143.131552819072</v>
      </c>
      <c r="F5">
        <f>IFERROR(VLOOKUP($A5&amp;"|FY2026", MultiYear_ProForma!$A:$Y, 14, FALSE), "")</f>
        <v>0</v>
      </c>
      <c r="G5" s="7">
        <f>IFERROR(VLOOKUP($A5&amp;"|FY2030", MultiYear_ProForma!$A:$Y, 6, FALSE) + VLOOKUP($A5&amp;"|FY2030", MultiYear_ProForma!$A:$Y, 15, FALSE), "")</f>
        <v>653</v>
      </c>
      <c r="H5" s="2">
        <f>SUMIFS(MultiYear_ProForma!$AA:$AA, MultiYear_ProForma!$B:$B, $A5, MultiYear_ProForma!$C:$C, "FY2028")</f>
        <v>3145752.0994747495</v>
      </c>
      <c r="J5" s="2">
        <f>SUMIFS(MultiYear_ProForma!$AA:$AA, MultiYear_ProForma!$B:$B, $A5, MultiYear_ProForma!$C:$C, "FY2030")</f>
        <v>3340524.1373836682</v>
      </c>
      <c r="K5" t="e">
        <f>INDEX(MultiYear_ProForma!$AA:$AA,MATCH($A5&amp;"|"&amp;"FY2028",MultiYear_ProForma!$B:$B&amp;"|"&amp;MultiYear_ProForma!$C:$C,0))</f>
        <v>#VALUE!</v>
      </c>
      <c r="L5" t="e">
        <f>INDEX(MultiYear_ProForma!$AA:$AA,MATCH($A5&amp;"|"&amp;"FY2030",MultiYear_ProForma!$B:$B&amp;"|"&amp;MultiYear_ProForma!$C:$C,0))</f>
        <v>#VALUE!</v>
      </c>
      <c r="M5" s="2">
        <f>(SUMIFS(MultiYear_ProForma!$AA:$AA, MultiYear_ProForma!$B:$B, $A5, MultiYear_ProForma!$C:$C, "FY2026")+SUMIFS(MultiYear_ProForma!$AA:$AA, MultiYear_ProForma!$B:$B, $A5, MultiYear_ProForma!$C:$C, "FY2027")+SUMIFS(MultiYear_ProForma!$AA:$AA, MultiYear_ProForma!$B:$B, $A5, MultiYear_ProForma!$C:$C, "FY2028")+SUMIFS(MultiYear_ProForma!$AA:$AA, MultiYear_ProForma!$B:$B, $A5, MultiYear_ProForma!$C:$C, "FY2029")+SUMIFS(MultiYear_ProForma!$AA:$AA, MultiYear_ProForma!$B:$B, $A5, MultiYear_ProForma!$C:$C, "FY2030"))/5</f>
        <v>3148426.4956376064</v>
      </c>
    </row>
    <row r="6" spans="1:13" x14ac:dyDescent="0.35">
      <c r="A6" t="str">
        <f>Scenarios!A6</f>
        <v>D_Grow_Both_150</v>
      </c>
      <c r="B6" s="2">
        <f>INDEX(MultiYear_ProForma!$X$2:$X$61, MATCH(Scenarios!A6&amp;"|FY2028", MultiYear_ProForma!$Y$2:$Y$61, 0))</f>
        <v>9944.9589792866263</v>
      </c>
      <c r="C6" s="2">
        <f>INDEX(MultiYear_ProForma!$X$2:$X$61, MATCH(Scenarios!A6&amp;"|FY2030", MultiYear_ProForma!$Y$2:$Y$61, 0))</f>
        <v>10448.422527613011</v>
      </c>
      <c r="D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0)))</f>
        <v>9704.3710364999988</v>
      </c>
      <c r="E6" s="2">
        <f>AVERAGE(INDEX(MultiYear_ProForma!$X$2:$X$61, MATCH(Scenarios!A6&amp;"|FY2026", MultiYear_ProForma!$Y$2:$Y$61, 0)),INDEX(MultiYear_ProForma!$X$2:$X$61, MATCH(Scenarios!A6&amp;"|FY2027", MultiYear_ProForma!$Y$2:$Y$61, 0)),INDEX(MultiYear_ProForma!$X$2:$X$61, MATCH(Scenarios!A6&amp;"|FY2028", MultiYear_ProForma!$Y$2:$Y$61, 0)),INDEX(MultiYear_ProForma!$X$2:$X$61, MATCH(Scenarios!A6&amp;"|FY2029", MultiYear_ProForma!$Y$2:$Y$61, 0)),INDEX(MultiYear_ProForma!$X$2:$X$61, MATCH(Scenarios!A6&amp;"|FY2030", MultiYear_ProForma!$Y$2:$Y$61, 0)))</f>
        <v>9951.0237181763587</v>
      </c>
      <c r="F6">
        <f>IFERROR(VLOOKUP($A6&amp;"|FY2026", MultiYear_ProForma!$A:$Y, 14, FALSE), "")</f>
        <v>0</v>
      </c>
      <c r="G6" s="7">
        <f>IFERROR(VLOOKUP($A6&amp;"|FY2030", MultiYear_ProForma!$A:$Y, 6, FALSE) + VLOOKUP($A6&amp;"|FY2030", MultiYear_ProForma!$A:$Y, 15, FALSE), "")</f>
        <v>703</v>
      </c>
      <c r="H6" s="2">
        <f>SUMIFS(MultiYear_ProForma!$AA:$AA, MultiYear_ProForma!$B:$B, $A6, MultiYear_ProForma!$C:$C, "FY2028")</f>
        <v>3251651.8268384989</v>
      </c>
      <c r="J6" s="2">
        <f>SUMIFS(MultiYear_ProForma!$AA:$AA, MultiYear_ProForma!$B:$B, $A6, MultiYear_ProForma!$C:$C, "FY2030")</f>
        <v>3454504.6661537071</v>
      </c>
      <c r="K6" t="e">
        <f>INDEX(MultiYear_ProForma!$AA:$AA,MATCH($A6&amp;"|"&amp;"FY2028",MultiYear_ProForma!$B:$B&amp;"|"&amp;MultiYear_ProForma!$C:$C,0))</f>
        <v>#VALUE!</v>
      </c>
      <c r="L6" t="e">
        <f>INDEX(MultiYear_ProForma!$AA:$AA,MATCH($A6&amp;"|"&amp;"FY2030",MultiYear_ProForma!$B:$B&amp;"|"&amp;MultiYear_ProForma!$C:$C,0))</f>
        <v>#VALUE!</v>
      </c>
      <c r="M6" s="2">
        <f>(SUMIFS(MultiYear_ProForma!$AA:$AA, MultiYear_ProForma!$B:$B, $A6, MultiYear_ProForma!$C:$C, "FY2026")+SUMIFS(MultiYear_ProForma!$AA:$AA, MultiYear_ProForma!$B:$B, $A6, MultiYear_ProForma!$C:$C, "FY2027")+SUMIFS(MultiYear_ProForma!$AA:$AA, MultiYear_ProForma!$B:$B, $A6, MultiYear_ProForma!$C:$C, "FY2028")+SUMIFS(MultiYear_ProForma!$AA:$AA, MultiYear_ProForma!$B:$B, $A6, MultiYear_ProForma!$C:$C, "FY2029")+SUMIFS(MultiYear_ProForma!$AA:$AA, MultiYear_ProForma!$B:$B, $A6, MultiYear_ProForma!$C:$C, "FY2030"))/5</f>
        <v>3254448.6921439334</v>
      </c>
    </row>
    <row r="7" spans="1:13" x14ac:dyDescent="0.35">
      <c r="A7" t="str">
        <f>Scenarios!A7</f>
        <v>G_DHub_EchoRamp</v>
      </c>
      <c r="B7" s="2">
        <f>INDEX(MultiYear_ProForma!$X$2:$X$61, MATCH(Scenarios!A7&amp;"|FY2028", MultiYear_ProForma!$Y$2:$Y$61, 0))</f>
        <v>9944.9589792866263</v>
      </c>
      <c r="C7" s="2">
        <f>INDEX(MultiYear_ProForma!$X$2:$X$61, MATCH(Scenarios!A7&amp;"|FY2030", MultiYear_ProForma!$Y$2:$Y$61, 0))</f>
        <v>10448.422527613011</v>
      </c>
      <c r="D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0)))</f>
        <v>9898.7351181390059</v>
      </c>
      <c r="E7" s="2">
        <f>AVERAGE(INDEX(MultiYear_ProForma!$X$2:$X$61, MATCH(Scenarios!A7&amp;"|FY2026", MultiYear_ProForma!$Y$2:$Y$61, 0)),INDEX(MultiYear_ProForma!$X$2:$X$61, MATCH(Scenarios!A7&amp;"|FY2027", MultiYear_ProForma!$Y$2:$Y$61, 0)),INDEX(MultiYear_ProForma!$X$2:$X$61, MATCH(Scenarios!A7&amp;"|FY2028", MultiYear_ProForma!$Y$2:$Y$61, 0)),INDEX(MultiYear_ProForma!$X$2:$X$61, MATCH(Scenarios!A7&amp;"|FY2029", MultiYear_ProForma!$Y$2:$Y$61, 0)),INDEX(MultiYear_ProForma!$X$2:$X$61, MATCH(Scenarios!A7&amp;"|FY2030", MultiYear_ProForma!$Y$2:$Y$61, 0)))</f>
        <v>10067.642167159765</v>
      </c>
      <c r="F7">
        <f>IFERROR(VLOOKUP($A7&amp;"|FY2026", MultiYear_ProForma!$A:$Y, 14, FALSE), "")</f>
        <v>0</v>
      </c>
      <c r="G7" s="7">
        <f>IFERROR(VLOOKUP($A7&amp;"|FY2030", MultiYear_ProForma!$A:$Y, 6, FALSE) + VLOOKUP($A7&amp;"|FY2030", MultiYear_ProForma!$A:$Y, 15, FALSE), "")</f>
        <v>703</v>
      </c>
      <c r="H7" s="2">
        <f>SUMIFS(MultiYear_ProForma!$AA:$AA, MultiYear_ProForma!$B:$B, $A7, MultiYear_ProForma!$C:$C, "FY2028")</f>
        <v>3251651.8268384989</v>
      </c>
      <c r="J7" s="2">
        <f>SUMIFS(MultiYear_ProForma!$AA:$AA, MultiYear_ProForma!$B:$B, $A7, MultiYear_ProForma!$C:$C, "FY2030")</f>
        <v>3454504.6661537071</v>
      </c>
      <c r="K7" t="e">
        <f>INDEX(MultiYear_ProForma!$AA:$AA,MATCH($A7&amp;"|"&amp;"FY2028",MultiYear_ProForma!$B:$B&amp;"|"&amp;MultiYear_ProForma!$C:$C,0))</f>
        <v>#VALUE!</v>
      </c>
      <c r="L7" t="e">
        <f>INDEX(MultiYear_ProForma!$AA:$AA,MATCH($A7&amp;"|"&amp;"FY2030",MultiYear_ProForma!$B:$B&amp;"|"&amp;MultiYear_ProForma!$C:$C,0))</f>
        <v>#VALUE!</v>
      </c>
      <c r="M7" s="2">
        <f>(SUMIFS(MultiYear_ProForma!$AA:$AA, MultiYear_ProForma!$B:$B, $A7, MultiYear_ProForma!$C:$C, "FY2026")+SUMIFS(MultiYear_ProForma!$AA:$AA, MultiYear_ProForma!$B:$B, $A7, MultiYear_ProForma!$C:$C, "FY2027")+SUMIFS(MultiYear_ProForma!$AA:$AA, MultiYear_ProForma!$B:$B, $A7, MultiYear_ProForma!$C:$C, "FY2028")+SUMIFS(MultiYear_ProForma!$AA:$AA, MultiYear_ProForma!$B:$B, $A7, MultiYear_ProForma!$C:$C, "FY2029")+SUMIFS(MultiYear_ProForma!$AA:$AA, MultiYear_ProForma!$B:$B, $A7, MultiYear_ProForma!$C:$C, "FY2030"))/5</f>
        <v>3194716.2048339332</v>
      </c>
    </row>
    <row r="8" spans="1:13" x14ac:dyDescent="0.35">
      <c r="A8" t="str">
        <f>Scenarios!A8</f>
        <v>A_Repurpose_Both_lease</v>
      </c>
      <c r="B8" s="2">
        <f>INDEX(MultiYear_ProForma!$X$2:$X$61, MATCH(Scenarios!A8&amp;"|FY2028", MultiYear_ProForma!$Y$2:$Y$61, 0))</f>
        <v>8939.9965032599994</v>
      </c>
      <c r="C8" s="2">
        <f>INDEX(MultiYear_ProForma!$X$2:$X$61, MATCH(Scenarios!A8&amp;"|FY2030", MultiYear_ProForma!$Y$2:$Y$61, 0))</f>
        <v>8169.1704022968725</v>
      </c>
      <c r="D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0)))</f>
        <v>11275.003950568766</v>
      </c>
      <c r="E8" s="2">
        <f>AVERAGE(INDEX(MultiYear_ProForma!$X$2:$X$61, MATCH(Scenarios!A8&amp;"|FY2026", MultiYear_ProForma!$Y$2:$Y$61, 0)),INDEX(MultiYear_ProForma!$X$2:$X$61, MATCH(Scenarios!A8&amp;"|FY2027", MultiYear_ProForma!$Y$2:$Y$61, 0)),INDEX(MultiYear_ProForma!$X$2:$X$61, MATCH(Scenarios!A8&amp;"|FY2028", MultiYear_ProForma!$Y$2:$Y$61, 0)),INDEX(MultiYear_ProForma!$X$2:$X$61, MATCH(Scenarios!A8&amp;"|FY2029", MultiYear_ProForma!$Y$2:$Y$61, 0)),INDEX(MultiYear_ProForma!$X$2:$X$61, MATCH(Scenarios!A8&amp;"|FY2030", MultiYear_ProForma!$Y$2:$Y$61, 0)))</f>
        <v>10101.410034072283</v>
      </c>
      <c r="F8">
        <f>IFERROR(VLOOKUP($A8&amp;"|FY2026", MultiYear_ProForma!$A:$Y, 14, FALSE), "")</f>
        <v>553</v>
      </c>
      <c r="G8" s="7">
        <f>IFERROR(VLOOKUP($A8&amp;"|FY2030", MultiYear_ProForma!$A:$Y, 6, FALSE) + VLOOKUP($A8&amp;"|FY2030", MultiYear_ProForma!$A:$Y, 15, FALSE), "")</f>
        <v>414.75</v>
      </c>
      <c r="H8" s="2">
        <f>SUMIFS(MultiYear_ProForma!$AA:$AA, MultiYear_ProForma!$B:$B, $A8, MultiYear_ProForma!$C:$C, "FY2028")</f>
        <v>1501573.8830270846</v>
      </c>
      <c r="J8" s="2">
        <f>SUMIFS(MultiYear_ProForma!$AA:$AA, MultiYear_ProForma!$B:$B, $A8, MultiYear_ProForma!$C:$C, "FY2030")</f>
        <v>1092739.6551179481</v>
      </c>
      <c r="K8" t="e">
        <f>INDEX(MultiYear_ProForma!$AA:$AA,MATCH($A8&amp;"|"&amp;"FY2028",MultiYear_ProForma!$B:$B&amp;"|"&amp;MultiYear_ProForma!$C:$C,0))</f>
        <v>#VALUE!</v>
      </c>
      <c r="L8" t="e">
        <f>INDEX(MultiYear_ProForma!$AA:$AA,MATCH($A8&amp;"|"&amp;"FY2030",MultiYear_ProForma!$B:$B&amp;"|"&amp;MultiYear_ProForma!$C:$C,0))</f>
        <v>#VALUE!</v>
      </c>
      <c r="M8" s="2">
        <f>(SUMIFS(MultiYear_ProForma!$AA:$AA, MultiYear_ProForma!$B:$B, $A8, MultiYear_ProForma!$C:$C, "FY2026")+SUMIFS(MultiYear_ProForma!$AA:$AA, MultiYear_ProForma!$B:$B, $A8, MultiYear_ProForma!$C:$C, "FY2027")+SUMIFS(MultiYear_ProForma!$AA:$AA, MultiYear_ProForma!$B:$B, $A8, MultiYear_ProForma!$C:$C, "FY2028")+SUMIFS(MultiYear_ProForma!$AA:$AA, MultiYear_ProForma!$B:$B, $A8, MultiYear_ProForma!$C:$C, "FY2029")+SUMIFS(MultiYear_ProForma!$AA:$AA, MultiYear_ProForma!$B:$B, $A8, MultiYear_ProForma!$C:$C, "FY2030"))/5</f>
        <v>1982404.865437743</v>
      </c>
    </row>
    <row r="9" spans="1:13" x14ac:dyDescent="0.35">
      <c r="A9" t="str">
        <f>Scenarios!A9</f>
        <v>A_Repurpose_Both_ops</v>
      </c>
      <c r="B9" s="2">
        <f>INDEX(MultiYear_ProForma!$X$2:$X$61, MATCH(Scenarios!A9&amp;"|FY2028", MultiYear_ProForma!$Y$2:$Y$61, 0))</f>
        <v>9364.9999173899996</v>
      </c>
      <c r="C9" s="2">
        <f>INDEX(MultiYear_ProForma!$X$2:$X$61, MATCH(Scenarios!A9&amp;"|FY2030", MultiYear_ProForma!$Y$2:$Y$61, 0))</f>
        <v>9062.2088262375346</v>
      </c>
      <c r="D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0)))</f>
        <v>11485.778001478764</v>
      </c>
      <c r="E9" s="2">
        <f>AVERAGE(INDEX(MultiYear_ProForma!$X$2:$X$61, MATCH(Scenarios!A9&amp;"|FY2026", MultiYear_ProForma!$Y$2:$Y$61, 0)),INDEX(MultiYear_ProForma!$X$2:$X$61, MATCH(Scenarios!A9&amp;"|FY2027", MultiYear_ProForma!$Y$2:$Y$61, 0)),INDEX(MultiYear_ProForma!$X$2:$X$61, MATCH(Scenarios!A9&amp;"|FY2028", MultiYear_ProForma!$Y$2:$Y$61, 0)),INDEX(MultiYear_ProForma!$X$2:$X$61, MATCH(Scenarios!A9&amp;"|FY2029", MultiYear_ProForma!$Y$2:$Y$61, 0)),INDEX(MultiYear_ProForma!$X$2:$X$61, MATCH(Scenarios!A9&amp;"|FY2030", MultiYear_ProForma!$Y$2:$Y$61, 0)))</f>
        <v>10537.17069925139</v>
      </c>
      <c r="F9">
        <f>IFERROR(VLOOKUP($A9&amp;"|FY2026", MultiYear_ProForma!$A:$Y, 14, FALSE), "")</f>
        <v>553</v>
      </c>
      <c r="G9" s="7">
        <f>IFERROR(VLOOKUP($A9&amp;"|FY2030", MultiYear_ProForma!$A:$Y, 6, FALSE) + VLOOKUP($A9&amp;"|FY2030", MultiYear_ProForma!$A:$Y, 15, FALSE), "")</f>
        <v>414.75</v>
      </c>
      <c r="H9" s="2">
        <f>SUMIFS(MultiYear_ProForma!$AA:$AA, MultiYear_ProForma!$B:$B, $A9, MultiYear_ProForma!$C:$C, "FY2028")</f>
        <v>1677844.0490375021</v>
      </c>
      <c r="J9" s="2">
        <f>SUMIFS(MultiYear_ProForma!$AA:$AA, MultiYear_ProForma!$B:$B, $A9, MultiYear_ProForma!$C:$C, "FY2030")</f>
        <v>1463127.3414473375</v>
      </c>
      <c r="K9" t="e">
        <f>INDEX(MultiYear_ProForma!$AA:$AA,MATCH($A9&amp;"|"&amp;"FY2028",MultiYear_ProForma!$B:$B&amp;"|"&amp;MultiYear_ProForma!$C:$C,0))</f>
        <v>#VALUE!</v>
      </c>
      <c r="L9" t="e">
        <f>INDEX(MultiYear_ProForma!$AA:$AA,MATCH($A9&amp;"|"&amp;"FY2030",MultiYear_ProForma!$B:$B&amp;"|"&amp;MultiYear_ProForma!$C:$C,0))</f>
        <v>#VALUE!</v>
      </c>
      <c r="M9" s="2">
        <f>(SUMIFS(MultiYear_ProForma!$AA:$AA, MultiYear_ProForma!$B:$B, $A9, MultiYear_ProForma!$C:$C, "FY2026")+SUMIFS(MultiYear_ProForma!$AA:$AA, MultiYear_ProForma!$B:$B, $A9, MultiYear_ProForma!$C:$C, "FY2027")+SUMIFS(MultiYear_ProForma!$AA:$AA, MultiYear_ProForma!$B:$B, $A9, MultiYear_ProForma!$C:$C, "FY2028")+SUMIFS(MultiYear_ProForma!$AA:$AA, MultiYear_ProForma!$B:$B, $A9, MultiYear_ProForma!$C:$C, "FY2029")+SUMIFS(MultiYear_ProForma!$AA:$AA, MultiYear_ProForma!$B:$B, $A9, MultiYear_ProForma!$C:$C, "FY2030"))/5</f>
        <v>2163136.601320778</v>
      </c>
    </row>
    <row r="10" spans="1:13" x14ac:dyDescent="0.35">
      <c r="A10" t="str">
        <f>Scenarios!A10</f>
        <v>B_Repurpose_Echo_lease</v>
      </c>
      <c r="B10" s="2">
        <f>INDEX(MultiYear_ProForma!$X$2:$X$61, MATCH(Scenarios!A10&amp;"|FY2028", MultiYear_ProForma!$Y$2:$Y$61, 0))</f>
        <v>9960.5311315915369</v>
      </c>
      <c r="C10" s="2">
        <f>INDEX(MultiYear_ProForma!$X$2:$X$61, MATCH(Scenarios!A10&amp;"|FY2030", MultiYear_ProForma!$Y$2:$Y$61, 0))</f>
        <v>9982.301306645877</v>
      </c>
      <c r="D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0)))</f>
        <v>10783.442965534023</v>
      </c>
      <c r="E10" s="2">
        <f>AVERAGE(INDEX(MultiYear_ProForma!$X$2:$X$61, MATCH(Scenarios!A10&amp;"|FY2026", MultiYear_ProForma!$Y$2:$Y$61, 0)),INDEX(MultiYear_ProForma!$X$2:$X$61, MATCH(Scenarios!A10&amp;"|FY2027", MultiYear_ProForma!$Y$2:$Y$61, 0)),INDEX(MultiYear_ProForma!$X$2:$X$61, MATCH(Scenarios!A10&amp;"|FY2028", MultiYear_ProForma!$Y$2:$Y$61, 0)),INDEX(MultiYear_ProForma!$X$2:$X$61, MATCH(Scenarios!A10&amp;"|FY2029", MultiYear_ProForma!$Y$2:$Y$61, 0)),INDEX(MultiYear_ProForma!$X$2:$X$61, MATCH(Scenarios!A10&amp;"|FY2030", MultiYear_ProForma!$Y$2:$Y$61, 0)))</f>
        <v>10457.116807730552</v>
      </c>
      <c r="F10">
        <f>IFERROR(VLOOKUP($A10&amp;"|FY2026", MultiYear_ProForma!$A:$Y, 14, FALSE), "")</f>
        <v>257</v>
      </c>
      <c r="G10" s="7">
        <f>IFERROR(VLOOKUP($A10&amp;"|FY2030", MultiYear_ProForma!$A:$Y, 6, FALSE) + VLOOKUP($A10&amp;"|FY2030", MultiYear_ProForma!$A:$Y, 15, FALSE), "")</f>
        <v>488.75</v>
      </c>
      <c r="H10" s="2">
        <f>SUMIFS(MultiYear_ProForma!$AA:$AA, MultiYear_ProForma!$B:$B, $A10, MultiYear_ProForma!$C:$C, "FY2028")</f>
        <v>2268272.0990653639</v>
      </c>
      <c r="J10" s="2">
        <f>SUMIFS(MultiYear_ProForma!$AA:$AA, MultiYear_ProForma!$B:$B, $A10, MultiYear_ProForma!$C:$C, "FY2030")</f>
        <v>2173874.7974665728</v>
      </c>
      <c r="K10" t="e">
        <f>INDEX(MultiYear_ProForma!$AA:$AA,MATCH($A10&amp;"|"&amp;"FY2028",MultiYear_ProForma!$B:$B&amp;"|"&amp;MultiYear_ProForma!$C:$C,0))</f>
        <v>#VALUE!</v>
      </c>
      <c r="L10" t="e">
        <f>INDEX(MultiYear_ProForma!$AA:$AA,MATCH($A10&amp;"|"&amp;"FY2030",MultiYear_ProForma!$B:$B&amp;"|"&amp;MultiYear_ProForma!$C:$C,0))</f>
        <v>#VALUE!</v>
      </c>
      <c r="M10" s="2">
        <f>(SUMIFS(MultiYear_ProForma!$AA:$AA, MultiYear_ProForma!$B:$B, $A10, MultiYear_ProForma!$C:$C, "FY2026")+SUMIFS(MultiYear_ProForma!$AA:$AA, MultiYear_ProForma!$B:$B, $A10, MultiYear_ProForma!$C:$C, "FY2027")+SUMIFS(MultiYear_ProForma!$AA:$AA, MultiYear_ProForma!$B:$B, $A10, MultiYear_ProForma!$C:$C, "FY2028")+SUMIFS(MultiYear_ProForma!$AA:$AA, MultiYear_ProForma!$B:$B, $A10, MultiYear_ProForma!$C:$C, "FY2029")+SUMIFS(MultiYear_ProForma!$AA:$AA, MultiYear_ProForma!$B:$B, $A10, MultiYear_ProForma!$C:$C, "FY2030"))/5</f>
        <v>2509958.6849809876</v>
      </c>
    </row>
    <row r="11" spans="1:13" x14ac:dyDescent="0.35">
      <c r="A11" t="str">
        <f>Scenarios!A11</f>
        <v>B_Repurpose_Echo_ops</v>
      </c>
      <c r="B11" s="2">
        <f>INDEX(MultiYear_ProForma!$X$2:$X$61, MATCH(Scenarios!A11&amp;"|FY2028", MultiYear_ProForma!$Y$2:$Y$61, 0))</f>
        <v>10128.141173685774</v>
      </c>
      <c r="C11" s="2">
        <f>INDEX(MultiYear_ProForma!$X$2:$X$61, MATCH(Scenarios!A11&amp;"|FY2030", MultiYear_ProForma!$Y$2:$Y$61, 0))</f>
        <v>10334.491907596388</v>
      </c>
      <c r="D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0)))</f>
        <v>10866.566644946612</v>
      </c>
      <c r="E11" s="2">
        <f>AVERAGE(INDEX(MultiYear_ProForma!$X$2:$X$61, MATCH(Scenarios!A11&amp;"|FY2026", MultiYear_ProForma!$Y$2:$Y$61, 0)),INDEX(MultiYear_ProForma!$X$2:$X$61, MATCH(Scenarios!A11&amp;"|FY2027", MultiYear_ProForma!$Y$2:$Y$61, 0)),INDEX(MultiYear_ProForma!$X$2:$X$61, MATCH(Scenarios!A11&amp;"|FY2028", MultiYear_ProForma!$Y$2:$Y$61, 0)),INDEX(MultiYear_ProForma!$X$2:$X$61, MATCH(Scenarios!A11&amp;"|FY2029", MultiYear_ProForma!$Y$2:$Y$61, 0)),INDEX(MultiYear_ProForma!$X$2:$X$61, MATCH(Scenarios!A11&amp;"|FY2030", MultiYear_ProForma!$Y$2:$Y$61, 0)))</f>
        <v>10628.969223512186</v>
      </c>
      <c r="F11">
        <f>IFERROR(VLOOKUP($A11&amp;"|FY2026", MultiYear_ProForma!$A:$Y, 14, FALSE), "")</f>
        <v>257</v>
      </c>
      <c r="G11" s="7">
        <f>IFERROR(VLOOKUP($A11&amp;"|FY2030", MultiYear_ProForma!$A:$Y, 6, FALSE) + VLOOKUP($A11&amp;"|FY2030", MultiYear_ProForma!$A:$Y, 15, FALSE), "")</f>
        <v>488.75</v>
      </c>
      <c r="H11" s="2">
        <f>SUMIFS(MultiYear_ProForma!$AA:$AA, MultiYear_ProForma!$B:$B, $A11, MultiYear_ProForma!$C:$C, "FY2028")</f>
        <v>2350191.5071389214</v>
      </c>
      <c r="J11" s="2">
        <f>SUMIFS(MultiYear_ProForma!$AA:$AA, MultiYear_ProForma!$B:$B, $A11, MultiYear_ProForma!$C:$C, "FY2030")</f>
        <v>2346007.9536811351</v>
      </c>
      <c r="K11" t="e">
        <f>INDEX(MultiYear_ProForma!$AA:$AA,MATCH($A11&amp;"|"&amp;"FY2028",MultiYear_ProForma!$B:$B&amp;"|"&amp;MultiYear_ProForma!$C:$C,0))</f>
        <v>#VALUE!</v>
      </c>
      <c r="L11" t="e">
        <f>INDEX(MultiYear_ProForma!$AA:$AA,MATCH($A11&amp;"|"&amp;"FY2030",MultiYear_ProForma!$B:$B&amp;"|"&amp;MultiYear_ProForma!$C:$C,0))</f>
        <v>#VALUE!</v>
      </c>
      <c r="M11" s="2">
        <f>(SUMIFS(MultiYear_ProForma!$AA:$AA, MultiYear_ProForma!$B:$B, $A11, MultiYear_ProForma!$C:$C, "FY2026")+SUMIFS(MultiYear_ProForma!$AA:$AA, MultiYear_ProForma!$B:$B, $A11, MultiYear_ProForma!$C:$C, "FY2027")+SUMIFS(MultiYear_ProForma!$AA:$AA, MultiYear_ProForma!$B:$B, $A11, MultiYear_ProForma!$C:$C, "FY2028")+SUMIFS(MultiYear_ProForma!$AA:$AA, MultiYear_ProForma!$B:$B, $A11, MultiYear_ProForma!$C:$C, "FY2029")+SUMIFS(MultiYear_ProForma!$AA:$AA, MultiYear_ProForma!$B:$B, $A11, MultiYear_ProForma!$C:$C, "FY2030"))/5</f>
        <v>2593951.5531942602</v>
      </c>
    </row>
    <row r="12" spans="1:13" x14ac:dyDescent="0.35">
      <c r="A12" t="str">
        <f>Scenarios!A12</f>
        <v>C_Repurpose_Pima_lease</v>
      </c>
      <c r="B12" s="2">
        <f>INDEX(MultiYear_ProForma!$X$2:$X$61, MATCH(Scenarios!A12&amp;"|FY2028", MultiYear_ProForma!$Y$2:$Y$61, 0))</f>
        <v>9844.1047171377231</v>
      </c>
      <c r="C12" s="2">
        <f>INDEX(MultiYear_ProForma!$X$2:$X$61, MATCH(Scenarios!A12&amp;"|FY2030", MultiYear_ProForma!$Y$2:$Y$61, 0))</f>
        <v>9775.4525390799245</v>
      </c>
      <c r="D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0)))</f>
        <v>10729.495565426698</v>
      </c>
      <c r="E12" s="2">
        <f>AVERAGE(INDEX(MultiYear_ProForma!$X$2:$X$61, MATCH(Scenarios!A12&amp;"|FY2026", MultiYear_ProForma!$Y$2:$Y$61, 0)),INDEX(MultiYear_ProForma!$X$2:$X$61, MATCH(Scenarios!A12&amp;"|FY2027", MultiYear_ProForma!$Y$2:$Y$61, 0)),INDEX(MultiYear_ProForma!$X$2:$X$61, MATCH(Scenarios!A12&amp;"|FY2028", MultiYear_ProForma!$Y$2:$Y$61, 0)),INDEX(MultiYear_ProForma!$X$2:$X$61, MATCH(Scenarios!A12&amp;"|FY2029", MultiYear_ProForma!$Y$2:$Y$61, 0)),INDEX(MultiYear_ProForma!$X$2:$X$61, MATCH(Scenarios!A12&amp;"|FY2030", MultiYear_ProForma!$Y$2:$Y$61, 0)))</f>
        <v>10350.520534592426</v>
      </c>
      <c r="F12">
        <f>IFERROR(VLOOKUP($A12&amp;"|FY2026", MultiYear_ProForma!$A:$Y, 14, FALSE), "")</f>
        <v>296</v>
      </c>
      <c r="G12" s="7">
        <f>IFERROR(VLOOKUP($A12&amp;"|FY2030", MultiYear_ProForma!$A:$Y, 6, FALSE) + VLOOKUP($A12&amp;"|FY2030", MultiYear_ProForma!$A:$Y, 15, FALSE), "")</f>
        <v>479</v>
      </c>
      <c r="H12" s="2">
        <f>SUMIFS(MultiYear_ProForma!$AA:$AA, MultiYear_ProForma!$B:$B, $A12, MultiYear_ProForma!$C:$C, "FY2028")</f>
        <v>2167254.4287089696</v>
      </c>
      <c r="J12" s="2">
        <f>SUMIFS(MultiYear_ProForma!$AA:$AA, MultiYear_ProForma!$B:$B, $A12, MultiYear_ProForma!$C:$C, "FY2030")</f>
        <v>2031427.9374949639</v>
      </c>
      <c r="K12" t="e">
        <f>INDEX(MultiYear_ProForma!$AA:$AA,MATCH($A12&amp;"|"&amp;"FY2028",MultiYear_ProForma!$B:$B&amp;"|"&amp;MultiYear_ProForma!$C:$C,0))</f>
        <v>#VALUE!</v>
      </c>
      <c r="L12" t="e">
        <f>INDEX(MultiYear_ProForma!$AA:$AA,MATCH($A12&amp;"|"&amp;"FY2030",MultiYear_ProForma!$B:$B&amp;"|"&amp;MultiYear_ProForma!$C:$C,0))</f>
        <v>#VALUE!</v>
      </c>
      <c r="M12" s="2">
        <f>(SUMIFS(MultiYear_ProForma!$AA:$AA, MultiYear_ProForma!$B:$B, $A12, MultiYear_ProForma!$C:$C, "FY2026")+SUMIFS(MultiYear_ProForma!$AA:$AA, MultiYear_ProForma!$B:$B, $A12, MultiYear_ProForma!$C:$C, "FY2027")+SUMIFS(MultiYear_ProForma!$AA:$AA, MultiYear_ProForma!$B:$B, $A12, MultiYear_ProForma!$C:$C, "FY2028")+SUMIFS(MultiYear_ProForma!$AA:$AA, MultiYear_ProForma!$B:$B, $A12, MultiYear_ProForma!$C:$C, "FY2029")+SUMIFS(MultiYear_ProForma!$AA:$AA, MultiYear_ProForma!$B:$B, $A12, MultiYear_ProForma!$C:$C, "FY2030"))/5</f>
        <v>2408828.2830817085</v>
      </c>
    </row>
    <row r="13" spans="1:13" x14ac:dyDescent="0.35">
      <c r="A13" t="str">
        <f>Scenarios!A13</f>
        <v>C_Repurpose_Pima_ops</v>
      </c>
      <c r="B13" s="2">
        <f>INDEX(MultiYear_ProForma!$X$2:$X$61, MATCH(Scenarios!A13&amp;"|FY2028", MultiYear_ProForma!$Y$2:$Y$61, 0))</f>
        <v>10041.079159594632</v>
      </c>
      <c r="C13" s="2">
        <f>INDEX(MultiYear_ProForma!$X$2:$X$61, MATCH(Scenarios!A13&amp;"|FY2030", MultiYear_ProForma!$Y$2:$Y$61, 0))</f>
        <v>10189.345086292506</v>
      </c>
      <c r="D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0)))</f>
        <v>10827.182077539475</v>
      </c>
      <c r="E13" s="2">
        <f>AVERAGE(INDEX(MultiYear_ProForma!$X$2:$X$61, MATCH(Scenarios!A13&amp;"|FY2026", MultiYear_ProForma!$Y$2:$Y$61, 0)),INDEX(MultiYear_ProForma!$X$2:$X$61, MATCH(Scenarios!A13&amp;"|FY2027", MultiYear_ProForma!$Y$2:$Y$61, 0)),INDEX(MultiYear_ProForma!$X$2:$X$61, MATCH(Scenarios!A13&amp;"|FY2028", MultiYear_ProForma!$Y$2:$Y$61, 0)),INDEX(MultiYear_ProForma!$X$2:$X$61, MATCH(Scenarios!A13&amp;"|FY2029", MultiYear_ProForma!$Y$2:$Y$61, 0)),INDEX(MultiYear_ProForma!$X$2:$X$61, MATCH(Scenarios!A13&amp;"|FY2030", MultiYear_ProForma!$Y$2:$Y$61, 0)))</f>
        <v>10552.48059235811</v>
      </c>
      <c r="F13">
        <f>IFERROR(VLOOKUP($A13&amp;"|FY2026", MultiYear_ProForma!$A:$Y, 14, FALSE), "")</f>
        <v>296</v>
      </c>
      <c r="G13" s="7">
        <f>IFERROR(VLOOKUP($A13&amp;"|FY2030", MultiYear_ProForma!$A:$Y, 6, FALSE) + VLOOKUP($A13&amp;"|FY2030", MultiYear_ProForma!$A:$Y, 15, FALSE), "")</f>
        <v>479</v>
      </c>
      <c r="H13" s="2">
        <f>SUMIFS(MultiYear_ProForma!$AA:$AA, MultiYear_ProForma!$B:$B, $A13, MultiYear_ProForma!$C:$C, "FY2028")</f>
        <v>2261605.1866458291</v>
      </c>
      <c r="J13" s="2">
        <f>SUMIFS(MultiYear_ProForma!$AA:$AA, MultiYear_ProForma!$B:$B, $A13, MultiYear_ProForma!$C:$C, "FY2030")</f>
        <v>2229682.4676097906</v>
      </c>
      <c r="K13" t="e">
        <f>INDEX(MultiYear_ProForma!$AA:$AA,MATCH($A13&amp;"|"&amp;"FY2028",MultiYear_ProForma!$B:$B&amp;"|"&amp;MultiYear_ProForma!$C:$C,0))</f>
        <v>#VALUE!</v>
      </c>
      <c r="L13" t="e">
        <f>INDEX(MultiYear_ProForma!$AA:$AA,MATCH($A13&amp;"|"&amp;"FY2030",MultiYear_ProForma!$B:$B&amp;"|"&amp;MultiYear_ProForma!$C:$C,0))</f>
        <v>#VALUE!</v>
      </c>
      <c r="M13" s="2">
        <f>(SUMIFS(MultiYear_ProForma!$AA:$AA, MultiYear_ProForma!$B:$B, $A13, MultiYear_ProForma!$C:$C, "FY2026")+SUMIFS(MultiYear_ProForma!$AA:$AA, MultiYear_ProForma!$B:$B, $A13, MultiYear_ProForma!$C:$C, "FY2027")+SUMIFS(MultiYear_ProForma!$AA:$AA, MultiYear_ProForma!$B:$B, $A13, MultiYear_ProForma!$C:$C, "FY2028")+SUMIFS(MultiYear_ProForma!$AA:$AA, MultiYear_ProForma!$B:$B, $A13, MultiYear_ProForma!$C:$C, "FY2029")+SUMIFS(MultiYear_ProForma!$AA:$AA, MultiYear_ProForma!$B:$B, $A13, MultiYear_ProForma!$C:$C, "FY2030"))/5</f>
        <v>2505567.1507514706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2"/>
  <sheetViews>
    <sheetView zoomScale="85" zoomScaleNormal="85" workbookViewId="0">
      <pane xSplit="2" ySplit="3" topLeftCell="C4" activePane="bottomRight" state="frozen"/>
      <selection activeCell="T42" sqref="T42"/>
      <selection pane="topRight" activeCell="T42" sqref="T42"/>
      <selection pane="bottomLeft" activeCell="T42" sqref="T42"/>
      <selection pane="bottomRight" activeCell="B3" sqref="B3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162</v>
      </c>
    </row>
    <row r="3" spans="1:10" x14ac:dyDescent="0.35">
      <c r="A3" s="5" t="s">
        <v>163</v>
      </c>
      <c r="B3" s="4" t="s">
        <v>100</v>
      </c>
    </row>
    <row r="5" spans="1:10" x14ac:dyDescent="0.35">
      <c r="A5" t="s">
        <v>139</v>
      </c>
      <c r="B5">
        <f>1-BaselineCalc!$B$5</f>
        <v>0.99299999999999999</v>
      </c>
    </row>
    <row r="6" spans="1:10" x14ac:dyDescent="0.35">
      <c r="A6" t="s">
        <v>164</v>
      </c>
      <c r="B6">
        <f>BaselineCalc!$B$7 + BaselineCalc!$B$8</f>
        <v>553</v>
      </c>
    </row>
    <row r="8" spans="1:10" x14ac:dyDescent="0.35">
      <c r="A8" t="s">
        <v>165</v>
      </c>
    </row>
    <row r="9" spans="1:10" x14ac:dyDescent="0.35">
      <c r="A9" t="s">
        <v>166</v>
      </c>
      <c r="B9" s="2">
        <f>YearMap!B4</f>
        <v>7489.9896749999989</v>
      </c>
    </row>
    <row r="10" spans="1:10" x14ac:dyDescent="0.35">
      <c r="A10" t="s">
        <v>167</v>
      </c>
      <c r="B10" s="2">
        <f>YearMap!C4</f>
        <v>824968.86277499993</v>
      </c>
    </row>
    <row r="11" spans="1:10" x14ac:dyDescent="0.35">
      <c r="A11" t="s">
        <v>168</v>
      </c>
      <c r="B11" s="2">
        <f>YearMap!D4</f>
        <v>950158.69019999984</v>
      </c>
    </row>
    <row r="12" spans="1:10" x14ac:dyDescent="0.35">
      <c r="A12" t="s">
        <v>84</v>
      </c>
      <c r="B12">
        <f>YearMap!G4</f>
        <v>0.3</v>
      </c>
    </row>
    <row r="13" spans="1:10" x14ac:dyDescent="0.35">
      <c r="A13" t="s">
        <v>83</v>
      </c>
      <c r="B13">
        <f>YearMap!F4</f>
        <v>0.2</v>
      </c>
    </row>
    <row r="14" spans="1:10" x14ac:dyDescent="0.35">
      <c r="A14" t="s">
        <v>169</v>
      </c>
      <c r="B14" s="2">
        <f>INDEX(Summary_Costs!$B:$B, MATCH($B$3, Summary_Costs!$A:$A, 0))</f>
        <v>10625.085353249999</v>
      </c>
    </row>
    <row r="16" spans="1:10" x14ac:dyDescent="0.35">
      <c r="B16" t="s">
        <v>170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171</v>
      </c>
      <c r="C17" s="8">
        <f t="shared" ref="C17:J17" si="0">IF(($B$14-( $B$9+C16))&lt;=0,NA(),($B$5*$B$12*($B$10+$B$11))/($B$6*($B$14-( $B$9+C16))))</f>
        <v>0.32580119581064287</v>
      </c>
      <c r="D17" s="8">
        <f t="shared" si="0"/>
        <v>0.33729291364965946</v>
      </c>
      <c r="E17" s="8">
        <f t="shared" si="0"/>
        <v>0.34962494708936237</v>
      </c>
      <c r="F17" s="8">
        <f t="shared" si="0"/>
        <v>0.37720772829079707</v>
      </c>
      <c r="G17" s="8">
        <f t="shared" si="0"/>
        <v>0.4095154175905768</v>
      </c>
      <c r="H17" s="8">
        <f t="shared" si="0"/>
        <v>0.44787579851048298</v>
      </c>
      <c r="I17" s="8">
        <f t="shared" si="0"/>
        <v>0.49416558185758019</v>
      </c>
      <c r="J17" s="8">
        <f t="shared" si="0"/>
        <v>0.58483285994368084</v>
      </c>
    </row>
    <row r="18" spans="1:10" x14ac:dyDescent="0.35">
      <c r="A18" t="s">
        <v>172</v>
      </c>
      <c r="C18" s="8">
        <f t="shared" ref="C18:J18" si="1">IF(($B$14-( $B$9+C16))&lt;=0,NA(),($B$5*$B$13*($B$10+$B$11))/($B$6*($B$14-( $B$9+C16))))</f>
        <v>0.21720079720709526</v>
      </c>
      <c r="D18" s="8">
        <f t="shared" si="1"/>
        <v>0.22486194243310631</v>
      </c>
      <c r="E18" s="8">
        <f t="shared" si="1"/>
        <v>0.23308329805957492</v>
      </c>
      <c r="F18" s="8">
        <f t="shared" si="1"/>
        <v>0.25147181886053138</v>
      </c>
      <c r="G18" s="8">
        <f t="shared" si="1"/>
        <v>0.27301027839371789</v>
      </c>
      <c r="H18" s="8">
        <f t="shared" si="1"/>
        <v>0.29858386567365536</v>
      </c>
      <c r="I18" s="8">
        <f t="shared" si="1"/>
        <v>0.32944372123838678</v>
      </c>
      <c r="J18" s="8">
        <f t="shared" si="1"/>
        <v>0.38988857329578724</v>
      </c>
    </row>
    <row r="22" spans="1:10" x14ac:dyDescent="0.35">
      <c r="A22" t="s">
        <v>173</v>
      </c>
    </row>
    <row r="23" spans="1:10" x14ac:dyDescent="0.35">
      <c r="A23" t="s">
        <v>166</v>
      </c>
      <c r="B23" s="2">
        <f>YearMap!B6</f>
        <v>7869.1704022968725</v>
      </c>
    </row>
    <row r="24" spans="1:10" x14ac:dyDescent="0.35">
      <c r="A24" t="s">
        <v>167</v>
      </c>
      <c r="B24" s="2">
        <f>YearMap!C6</f>
        <v>866732.91145298409</v>
      </c>
    </row>
    <row r="25" spans="1:10" x14ac:dyDescent="0.35">
      <c r="A25" t="s">
        <v>168</v>
      </c>
      <c r="B25" s="2">
        <f>YearMap!D6</f>
        <v>998260.47389137466</v>
      </c>
    </row>
    <row r="26" spans="1:10" x14ac:dyDescent="0.35">
      <c r="A26" t="s">
        <v>84</v>
      </c>
      <c r="B26">
        <f>YearMap!G6</f>
        <v>0.2</v>
      </c>
    </row>
    <row r="27" spans="1:10" x14ac:dyDescent="0.35">
      <c r="A27" t="s">
        <v>83</v>
      </c>
      <c r="B27">
        <f>YearMap!F6</f>
        <v>0</v>
      </c>
    </row>
    <row r="28" spans="1:10" x14ac:dyDescent="0.35">
      <c r="A28" t="s">
        <v>174</v>
      </c>
      <c r="B28" s="2">
        <f>INDEX(Summary_Costs!$C:$C, MATCH($B$3, Summary_Costs!$A:$A, 0))</f>
        <v>11162.980299258277</v>
      </c>
    </row>
    <row r="30" spans="1:10" x14ac:dyDescent="0.35">
      <c r="B30" t="s">
        <v>170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175</v>
      </c>
      <c r="C31" s="8">
        <f t="shared" ref="C31:J31" si="2">IF(($B$28-( $B$23+C30))&lt;=0,NA(),($B$5*$B$26*($B$24+$B$25))/($B$6*($B$28-( $B$23+C30))))</f>
        <v>0.21648997199644426</v>
      </c>
      <c r="D31" s="8">
        <f t="shared" si="2"/>
        <v>0.22372122513032469</v>
      </c>
      <c r="E31" s="8">
        <f t="shared" si="2"/>
        <v>0.23145225215339352</v>
      </c>
      <c r="F31" s="8">
        <f t="shared" si="2"/>
        <v>0.24863626000891961</v>
      </c>
      <c r="G31" s="8">
        <f t="shared" si="2"/>
        <v>0.26857653374926138</v>
      </c>
      <c r="H31" s="8">
        <f t="shared" si="2"/>
        <v>0.29199403962932957</v>
      </c>
      <c r="I31" s="8">
        <f t="shared" si="2"/>
        <v>0.31988520969716427</v>
      </c>
      <c r="J31" s="8">
        <f t="shared" si="2"/>
        <v>0.37338338866903231</v>
      </c>
    </row>
    <row r="32" spans="1:10" x14ac:dyDescent="0.35">
      <c r="A32" t="s">
        <v>176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5"/>
  <sheetViews>
    <sheetView zoomScale="90" zoomScaleNormal="90" workbookViewId="0">
      <selection activeCell="A17" sqref="A17"/>
    </sheetView>
  </sheetViews>
  <sheetFormatPr defaultRowHeight="14.5" x14ac:dyDescent="0.35"/>
  <sheetData>
    <row r="1" spans="1:2" x14ac:dyDescent="0.35">
      <c r="A1" s="5" t="s">
        <v>177</v>
      </c>
    </row>
    <row r="2" spans="1:2" x14ac:dyDescent="0.35">
      <c r="B2" s="5" t="s">
        <v>178</v>
      </c>
    </row>
    <row r="3" spans="1:2" x14ac:dyDescent="0.35">
      <c r="B3" t="s">
        <v>179</v>
      </c>
    </row>
    <row r="5" spans="1:2" x14ac:dyDescent="0.35">
      <c r="B5" s="5" t="s">
        <v>180</v>
      </c>
    </row>
    <row r="6" spans="1:2" x14ac:dyDescent="0.35">
      <c r="B6" t="s">
        <v>181</v>
      </c>
    </row>
    <row r="8" spans="1:2" x14ac:dyDescent="0.35">
      <c r="B8" s="5" t="s">
        <v>182</v>
      </c>
    </row>
    <row r="9" spans="1:2" x14ac:dyDescent="0.35">
      <c r="B9" t="s">
        <v>183</v>
      </c>
    </row>
    <row r="11" spans="1:2" x14ac:dyDescent="0.35">
      <c r="B11" s="5" t="s">
        <v>184</v>
      </c>
    </row>
    <row r="12" spans="1:2" x14ac:dyDescent="0.35">
      <c r="B12" t="s">
        <v>185</v>
      </c>
    </row>
    <row r="17" spans="1:2" x14ac:dyDescent="0.35">
      <c r="A17" s="5" t="s">
        <v>186</v>
      </c>
    </row>
    <row r="18" spans="1:2" x14ac:dyDescent="0.35">
      <c r="B18" t="s">
        <v>39</v>
      </c>
    </row>
    <row r="19" spans="1:2" x14ac:dyDescent="0.35">
      <c r="B19" t="s">
        <v>41</v>
      </c>
    </row>
    <row r="20" spans="1:2" x14ac:dyDescent="0.35">
      <c r="B20" t="s">
        <v>43</v>
      </c>
    </row>
    <row r="21" spans="1:2" x14ac:dyDescent="0.35">
      <c r="B21" t="s">
        <v>45</v>
      </c>
    </row>
    <row r="22" spans="1:2" x14ac:dyDescent="0.35">
      <c r="B22" t="s">
        <v>47</v>
      </c>
    </row>
    <row r="23" spans="1:2" x14ac:dyDescent="0.35">
      <c r="B23" t="s">
        <v>49</v>
      </c>
    </row>
    <row r="24" spans="1:2" x14ac:dyDescent="0.35">
      <c r="B24" t="s">
        <v>50</v>
      </c>
    </row>
    <row r="25" spans="1:2" x14ac:dyDescent="0.35">
      <c r="B25" t="s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9"/>
  <sheetViews>
    <sheetView workbookViewId="0"/>
  </sheetViews>
  <sheetFormatPr defaultRowHeight="14.5" x14ac:dyDescent="0.35"/>
  <sheetData>
    <row r="1" spans="1:3" x14ac:dyDescent="0.35">
      <c r="A1" t="s">
        <v>87</v>
      </c>
      <c r="B1" t="s">
        <v>187</v>
      </c>
      <c r="C1" t="s">
        <v>188</v>
      </c>
    </row>
    <row r="2" spans="1:3" x14ac:dyDescent="0.35">
      <c r="A2" t="s">
        <v>6</v>
      </c>
      <c r="B2" t="s">
        <v>189</v>
      </c>
      <c r="C2" t="s">
        <v>190</v>
      </c>
    </row>
    <row r="3" spans="1:3" x14ac:dyDescent="0.35">
      <c r="A3" t="s">
        <v>116</v>
      </c>
      <c r="B3" t="s">
        <v>189</v>
      </c>
      <c r="C3" t="s">
        <v>190</v>
      </c>
    </row>
    <row r="4" spans="1:3" x14ac:dyDescent="0.35">
      <c r="A4" t="s">
        <v>106</v>
      </c>
      <c r="B4" t="s">
        <v>191</v>
      </c>
      <c r="C4" t="s">
        <v>192</v>
      </c>
    </row>
    <row r="5" spans="1:3" x14ac:dyDescent="0.35">
      <c r="A5" t="s">
        <v>100</v>
      </c>
      <c r="B5" t="s">
        <v>191</v>
      </c>
      <c r="C5" t="s">
        <v>193</v>
      </c>
    </row>
    <row r="6" spans="1:3" x14ac:dyDescent="0.35">
      <c r="A6" t="s">
        <v>109</v>
      </c>
      <c r="B6" t="s">
        <v>191</v>
      </c>
      <c r="C6" t="s">
        <v>193</v>
      </c>
    </row>
    <row r="7" spans="1:3" x14ac:dyDescent="0.35">
      <c r="A7" t="s">
        <v>9</v>
      </c>
      <c r="B7" t="s">
        <v>191</v>
      </c>
      <c r="C7" t="s">
        <v>193</v>
      </c>
    </row>
    <row r="8" spans="1:3" x14ac:dyDescent="0.35">
      <c r="A8" t="s">
        <v>103</v>
      </c>
      <c r="B8" t="s">
        <v>194</v>
      </c>
      <c r="C8" t="s">
        <v>192</v>
      </c>
    </row>
    <row r="9" spans="1:3" x14ac:dyDescent="0.35">
      <c r="A9" t="s">
        <v>12</v>
      </c>
      <c r="B9" t="s">
        <v>191</v>
      </c>
      <c r="C9" t="s">
        <v>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2"/>
  <sheetViews>
    <sheetView workbookViewId="0">
      <selection activeCell="F31" sqref="F31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162</v>
      </c>
    </row>
    <row r="3" spans="1:10" x14ac:dyDescent="0.35">
      <c r="A3" s="5" t="s">
        <v>163</v>
      </c>
      <c r="B3" s="4" t="str">
        <f>Dashboard!$B$6</f>
        <v>G_DHub_EchoRamp</v>
      </c>
    </row>
    <row r="5" spans="1:10" x14ac:dyDescent="0.35">
      <c r="A5" t="s">
        <v>139</v>
      </c>
      <c r="B5">
        <f>1-BaselineCalc!$B$5</f>
        <v>0.99299999999999999</v>
      </c>
    </row>
    <row r="6" spans="1:10" x14ac:dyDescent="0.35">
      <c r="A6" t="s">
        <v>164</v>
      </c>
      <c r="B6">
        <f>BaselineCalc!$B$7 + BaselineCalc!$B$8</f>
        <v>553</v>
      </c>
    </row>
    <row r="8" spans="1:10" x14ac:dyDescent="0.35">
      <c r="A8" t="s">
        <v>165</v>
      </c>
    </row>
    <row r="9" spans="1:10" x14ac:dyDescent="0.35">
      <c r="A9" t="s">
        <v>166</v>
      </c>
      <c r="B9" s="2">
        <f>YearMap!B4</f>
        <v>7489.9896749999989</v>
      </c>
    </row>
    <row r="10" spans="1:10" x14ac:dyDescent="0.35">
      <c r="A10" t="s">
        <v>167</v>
      </c>
      <c r="B10" s="2">
        <f>YearMap!C4</f>
        <v>824968.86277499993</v>
      </c>
    </row>
    <row r="11" spans="1:10" x14ac:dyDescent="0.35">
      <c r="A11" t="s">
        <v>168</v>
      </c>
      <c r="B11" s="2">
        <f>YearMap!D4</f>
        <v>950158.69019999984</v>
      </c>
    </row>
    <row r="12" spans="1:10" x14ac:dyDescent="0.35">
      <c r="A12" t="s">
        <v>84</v>
      </c>
      <c r="B12">
        <f>YearMap!G4</f>
        <v>0.3</v>
      </c>
    </row>
    <row r="13" spans="1:10" x14ac:dyDescent="0.35">
      <c r="A13" t="s">
        <v>83</v>
      </c>
      <c r="B13">
        <f>YearMap!F4</f>
        <v>0.2</v>
      </c>
    </row>
    <row r="14" spans="1:10" x14ac:dyDescent="0.35">
      <c r="A14" t="s">
        <v>169</v>
      </c>
      <c r="B14" s="2">
        <f>INDEX(Summary_Costs!$B:$B, MATCH($B$3, Summary_Costs!$A:$A, 0))</f>
        <v>9944.9589792866263</v>
      </c>
    </row>
    <row r="16" spans="1:10" x14ac:dyDescent="0.35">
      <c r="B16" t="s">
        <v>170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171</v>
      </c>
      <c r="C17" s="8">
        <f t="shared" ref="C17:J17" si="0">IF(($B$14-( $B$9+C16))&lt;=0,NA(),($B$5*$B$12*($B$10+$B$11))/($B$6*($B$14-( $B$9+C16))))</f>
        <v>0.42406682874781637</v>
      </c>
      <c r="D17" s="8">
        <f t="shared" si="0"/>
        <v>0.44374538416409404</v>
      </c>
      <c r="E17" s="8">
        <f t="shared" si="0"/>
        <v>0.46533915606318998</v>
      </c>
      <c r="F17" s="8">
        <f t="shared" si="0"/>
        <v>0.51551132387080201</v>
      </c>
      <c r="G17" s="8">
        <f t="shared" si="0"/>
        <v>0.57780992029014921</v>
      </c>
      <c r="H17" s="8">
        <f t="shared" si="0"/>
        <v>0.65723563993767808</v>
      </c>
      <c r="I17" s="8">
        <f t="shared" si="0"/>
        <v>0.76197694917811021</v>
      </c>
      <c r="J17" s="8">
        <f t="shared" si="0"/>
        <v>1.0013491297574584</v>
      </c>
    </row>
    <row r="18" spans="1:10" x14ac:dyDescent="0.35">
      <c r="A18" t="s">
        <v>172</v>
      </c>
      <c r="C18" s="8">
        <f t="shared" ref="C18:J18" si="1">IF(($B$14-( $B$9+C16))&lt;=0,NA(),($B$5*$B$13*($B$10+$B$11))/($B$6*($B$14-( $B$9+C16))))</f>
        <v>0.28271121916521097</v>
      </c>
      <c r="D18" s="8">
        <f t="shared" si="1"/>
        <v>0.29583025610939601</v>
      </c>
      <c r="E18" s="8">
        <f t="shared" si="1"/>
        <v>0.31022610404212669</v>
      </c>
      <c r="F18" s="8">
        <f t="shared" si="1"/>
        <v>0.34367421591386799</v>
      </c>
      <c r="G18" s="8">
        <f t="shared" si="1"/>
        <v>0.38520661352676611</v>
      </c>
      <c r="H18" s="8">
        <f t="shared" si="1"/>
        <v>0.43815709329178537</v>
      </c>
      <c r="I18" s="8">
        <f t="shared" si="1"/>
        <v>0.50798463278540684</v>
      </c>
      <c r="J18" s="8">
        <f t="shared" si="1"/>
        <v>0.66756608650497229</v>
      </c>
    </row>
    <row r="22" spans="1:10" x14ac:dyDescent="0.35">
      <c r="A22" t="s">
        <v>173</v>
      </c>
    </row>
    <row r="23" spans="1:10" x14ac:dyDescent="0.35">
      <c r="A23" t="s">
        <v>166</v>
      </c>
      <c r="B23" s="2">
        <f>YearMap!B6</f>
        <v>7869.1704022968725</v>
      </c>
    </row>
    <row r="24" spans="1:10" x14ac:dyDescent="0.35">
      <c r="A24" t="s">
        <v>167</v>
      </c>
      <c r="B24" s="2">
        <f>YearMap!C6</f>
        <v>866732.91145298409</v>
      </c>
    </row>
    <row r="25" spans="1:10" x14ac:dyDescent="0.35">
      <c r="A25" t="s">
        <v>168</v>
      </c>
      <c r="B25" s="2">
        <f>YearMap!D6</f>
        <v>998260.47389137466</v>
      </c>
    </row>
    <row r="26" spans="1:10" x14ac:dyDescent="0.35">
      <c r="A26" t="s">
        <v>84</v>
      </c>
      <c r="B26">
        <f>YearMap!G6</f>
        <v>0.2</v>
      </c>
    </row>
    <row r="27" spans="1:10" x14ac:dyDescent="0.35">
      <c r="A27" t="s">
        <v>83</v>
      </c>
      <c r="B27">
        <f>YearMap!F6</f>
        <v>0</v>
      </c>
    </row>
    <row r="28" spans="1:10" x14ac:dyDescent="0.35">
      <c r="A28" t="s">
        <v>174</v>
      </c>
      <c r="B28" s="2">
        <f>INDEX(Summary_Costs!$C:$C, MATCH($B$3, Summary_Costs!$A:$A, 0))</f>
        <v>10448.422527613011</v>
      </c>
    </row>
    <row r="30" spans="1:10" x14ac:dyDescent="0.35">
      <c r="B30" t="s">
        <v>170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175</v>
      </c>
      <c r="C31" s="8">
        <f t="shared" ref="C31:J31" si="2">IF(($B$28-( $B$23+C30))&lt;=0,NA(),($B$5*$B$26*($B$24+$B$25))/($B$6*($B$28-( $B$23+C30))))</f>
        <v>0.28150813057128238</v>
      </c>
      <c r="D31" s="8">
        <f t="shared" si="2"/>
        <v>0.29385902968615041</v>
      </c>
      <c r="E31" s="8">
        <f t="shared" si="2"/>
        <v>0.30734342767169903</v>
      </c>
      <c r="F31" s="8">
        <f t="shared" si="2"/>
        <v>0.33839994884356422</v>
      </c>
      <c r="G31" s="8">
        <f t="shared" si="2"/>
        <v>0.37643839702396886</v>
      </c>
      <c r="H31" s="8">
        <f t="shared" si="2"/>
        <v>0.42411139248675639</v>
      </c>
      <c r="I31" s="8">
        <f t="shared" si="2"/>
        <v>0.4856101402069451</v>
      </c>
      <c r="J31" s="8">
        <f t="shared" si="2"/>
        <v>0.62059531989274808</v>
      </c>
    </row>
    <row r="32" spans="1:10" x14ac:dyDescent="0.35">
      <c r="A32" t="s">
        <v>176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2"/>
  <sheetViews>
    <sheetView workbookViewId="0">
      <selection activeCell="B3" sqref="B3"/>
    </sheetView>
  </sheetViews>
  <sheetFormatPr defaultRowHeight="14.5" x14ac:dyDescent="0.35"/>
  <cols>
    <col min="1" max="1" width="67.54296875" bestFit="1" customWidth="1"/>
    <col min="2" max="2" width="24" bestFit="1" customWidth="1"/>
  </cols>
  <sheetData>
    <row r="1" spans="1:10" x14ac:dyDescent="0.35">
      <c r="A1" s="5" t="s">
        <v>162</v>
      </c>
    </row>
    <row r="3" spans="1:10" x14ac:dyDescent="0.35">
      <c r="A3" s="5" t="s">
        <v>163</v>
      </c>
      <c r="B3" s="4" t="str">
        <f>Dashboard!$B$7</f>
        <v>G_DHub_EchoRamp</v>
      </c>
    </row>
    <row r="5" spans="1:10" x14ac:dyDescent="0.35">
      <c r="A5" t="s">
        <v>139</v>
      </c>
      <c r="B5">
        <f>1-BaselineCalc!$B$5</f>
        <v>0.99299999999999999</v>
      </c>
    </row>
    <row r="6" spans="1:10" x14ac:dyDescent="0.35">
      <c r="A6" t="s">
        <v>164</v>
      </c>
      <c r="B6">
        <f>BaselineCalc!$B$7 + BaselineCalc!$B$8</f>
        <v>553</v>
      </c>
    </row>
    <row r="8" spans="1:10" x14ac:dyDescent="0.35">
      <c r="A8" t="s">
        <v>165</v>
      </c>
    </row>
    <row r="9" spans="1:10" x14ac:dyDescent="0.35">
      <c r="A9" t="s">
        <v>166</v>
      </c>
      <c r="B9" s="2">
        <f>YearMap!B4</f>
        <v>7489.9896749999989</v>
      </c>
    </row>
    <row r="10" spans="1:10" x14ac:dyDescent="0.35">
      <c r="A10" t="s">
        <v>167</v>
      </c>
      <c r="B10" s="2">
        <f>YearMap!C4</f>
        <v>824968.86277499993</v>
      </c>
    </row>
    <row r="11" spans="1:10" x14ac:dyDescent="0.35">
      <c r="A11" t="s">
        <v>168</v>
      </c>
      <c r="B11" s="2">
        <f>YearMap!D4</f>
        <v>950158.69019999984</v>
      </c>
    </row>
    <row r="12" spans="1:10" x14ac:dyDescent="0.35">
      <c r="A12" t="s">
        <v>84</v>
      </c>
      <c r="B12">
        <f>YearMap!G4</f>
        <v>0.3</v>
      </c>
    </row>
    <row r="13" spans="1:10" x14ac:dyDescent="0.35">
      <c r="A13" t="s">
        <v>83</v>
      </c>
      <c r="B13">
        <f>YearMap!F4</f>
        <v>0.2</v>
      </c>
    </row>
    <row r="14" spans="1:10" x14ac:dyDescent="0.35">
      <c r="A14" t="s">
        <v>169</v>
      </c>
      <c r="B14" s="2">
        <f>INDEX(Summary_Costs!$B:$B, MATCH($B$3, Summary_Costs!$A:$A, 0))</f>
        <v>9944.9589792866263</v>
      </c>
    </row>
    <row r="16" spans="1:10" x14ac:dyDescent="0.35">
      <c r="B16" t="s">
        <v>170</v>
      </c>
      <c r="C16">
        <v>200</v>
      </c>
      <c r="D16">
        <v>300</v>
      </c>
      <c r="E16">
        <v>400</v>
      </c>
      <c r="F16">
        <v>600</v>
      </c>
      <c r="G16">
        <v>800</v>
      </c>
      <c r="H16">
        <v>1000</v>
      </c>
      <c r="I16">
        <v>1200</v>
      </c>
      <c r="J16">
        <v>1500</v>
      </c>
    </row>
    <row r="17" spans="1:10" x14ac:dyDescent="0.35">
      <c r="A17" t="s">
        <v>171</v>
      </c>
      <c r="C17" s="8">
        <f t="shared" ref="C17:J17" si="0">IF(($B$14-( $B$9+C16))&lt;=0,NA(),($B$5*$B$12*($B$10+$B$11))/($B$6*($B$14-( $B$9+C16))))</f>
        <v>0.42406682874781637</v>
      </c>
      <c r="D17" s="8">
        <f t="shared" si="0"/>
        <v>0.44374538416409404</v>
      </c>
      <c r="E17" s="8">
        <f t="shared" si="0"/>
        <v>0.46533915606318998</v>
      </c>
      <c r="F17" s="8">
        <f t="shared" si="0"/>
        <v>0.51551132387080201</v>
      </c>
      <c r="G17" s="8">
        <f t="shared" si="0"/>
        <v>0.57780992029014921</v>
      </c>
      <c r="H17" s="8">
        <f t="shared" si="0"/>
        <v>0.65723563993767808</v>
      </c>
      <c r="I17" s="8">
        <f t="shared" si="0"/>
        <v>0.76197694917811021</v>
      </c>
      <c r="J17" s="8">
        <f t="shared" si="0"/>
        <v>1.0013491297574584</v>
      </c>
    </row>
    <row r="18" spans="1:10" x14ac:dyDescent="0.35">
      <c r="A18" t="s">
        <v>172</v>
      </c>
      <c r="C18" s="8">
        <f t="shared" ref="C18:J18" si="1">IF(($B$14-( $B$9+C16))&lt;=0,NA(),($B$5*$B$13*($B$10+$B$11))/($B$6*($B$14-( $B$9+C16))))</f>
        <v>0.28271121916521097</v>
      </c>
      <c r="D18" s="8">
        <f t="shared" si="1"/>
        <v>0.29583025610939601</v>
      </c>
      <c r="E18" s="8">
        <f t="shared" si="1"/>
        <v>0.31022610404212669</v>
      </c>
      <c r="F18" s="8">
        <f t="shared" si="1"/>
        <v>0.34367421591386799</v>
      </c>
      <c r="G18" s="8">
        <f t="shared" si="1"/>
        <v>0.38520661352676611</v>
      </c>
      <c r="H18" s="8">
        <f t="shared" si="1"/>
        <v>0.43815709329178537</v>
      </c>
      <c r="I18" s="8">
        <f t="shared" si="1"/>
        <v>0.50798463278540684</v>
      </c>
      <c r="J18" s="8">
        <f t="shared" si="1"/>
        <v>0.66756608650497229</v>
      </c>
    </row>
    <row r="22" spans="1:10" x14ac:dyDescent="0.35">
      <c r="A22" t="s">
        <v>173</v>
      </c>
    </row>
    <row r="23" spans="1:10" x14ac:dyDescent="0.35">
      <c r="A23" t="s">
        <v>166</v>
      </c>
      <c r="B23" s="2">
        <f>YearMap!B6</f>
        <v>7869.1704022968725</v>
      </c>
    </row>
    <row r="24" spans="1:10" x14ac:dyDescent="0.35">
      <c r="A24" t="s">
        <v>167</v>
      </c>
      <c r="B24" s="2">
        <f>YearMap!C6</f>
        <v>866732.91145298409</v>
      </c>
    </row>
    <row r="25" spans="1:10" x14ac:dyDescent="0.35">
      <c r="A25" t="s">
        <v>168</v>
      </c>
      <c r="B25" s="2">
        <f>YearMap!D6</f>
        <v>998260.47389137466</v>
      </c>
    </row>
    <row r="26" spans="1:10" x14ac:dyDescent="0.35">
      <c r="A26" t="s">
        <v>84</v>
      </c>
      <c r="B26">
        <f>YearMap!G6</f>
        <v>0.2</v>
      </c>
    </row>
    <row r="27" spans="1:10" x14ac:dyDescent="0.35">
      <c r="A27" t="s">
        <v>83</v>
      </c>
      <c r="B27">
        <f>YearMap!F6</f>
        <v>0</v>
      </c>
    </row>
    <row r="28" spans="1:10" x14ac:dyDescent="0.35">
      <c r="A28" t="s">
        <v>174</v>
      </c>
      <c r="B28" s="2">
        <f>INDEX(Summary_Costs!$C:$C, MATCH($B$3, Summary_Costs!$A:$A, 0))</f>
        <v>10448.422527613011</v>
      </c>
    </row>
    <row r="30" spans="1:10" x14ac:dyDescent="0.35">
      <c r="B30" t="s">
        <v>170</v>
      </c>
      <c r="C30">
        <v>200</v>
      </c>
      <c r="D30">
        <v>300</v>
      </c>
      <c r="E30">
        <v>400</v>
      </c>
      <c r="F30">
        <v>600</v>
      </c>
      <c r="G30">
        <v>800</v>
      </c>
      <c r="H30">
        <v>1000</v>
      </c>
      <c r="I30">
        <v>1200</v>
      </c>
      <c r="J30">
        <v>1500</v>
      </c>
    </row>
    <row r="31" spans="1:10" x14ac:dyDescent="0.35">
      <c r="A31" t="s">
        <v>175</v>
      </c>
      <c r="C31" s="8">
        <f t="shared" ref="C31:J31" si="2">IF(($B$28-( $B$23+C30))&lt;=0,NA(),($B$5*$B$26*($B$24+$B$25))/($B$6*($B$28-( $B$23+C30))))</f>
        <v>0.28150813057128238</v>
      </c>
      <c r="D31" s="8">
        <f t="shared" si="2"/>
        <v>0.29385902968615041</v>
      </c>
      <c r="E31" s="8">
        <f t="shared" si="2"/>
        <v>0.30734342767169903</v>
      </c>
      <c r="F31" s="8">
        <f t="shared" si="2"/>
        <v>0.33839994884356422</v>
      </c>
      <c r="G31" s="8">
        <f t="shared" si="2"/>
        <v>0.37643839702396886</v>
      </c>
      <c r="H31" s="8">
        <f t="shared" si="2"/>
        <v>0.42411139248675639</v>
      </c>
      <c r="I31" s="8">
        <f t="shared" si="2"/>
        <v>0.4856101402069451</v>
      </c>
      <c r="J31" s="8">
        <f t="shared" si="2"/>
        <v>0.62059531989274808</v>
      </c>
    </row>
    <row r="32" spans="1:10" x14ac:dyDescent="0.35">
      <c r="A32" t="s">
        <v>176</v>
      </c>
      <c r="C32" s="8">
        <f t="shared" ref="C32:J32" si="3">IF(($B$28-( $B$23+C30))&lt;=0,NA(),($B$5*$B$27*($B$24+$B$25))/($B$6*($B$28-( $B$23+C30))))</f>
        <v>0</v>
      </c>
      <c r="D32" s="8">
        <f t="shared" si="3"/>
        <v>0</v>
      </c>
      <c r="E32" s="8">
        <f t="shared" si="3"/>
        <v>0</v>
      </c>
      <c r="F32" s="8">
        <f t="shared" si="3"/>
        <v>0</v>
      </c>
      <c r="G32" s="8">
        <f t="shared" si="3"/>
        <v>0</v>
      </c>
      <c r="H32" s="8">
        <f t="shared" si="3"/>
        <v>0</v>
      </c>
      <c r="I32" s="8">
        <f t="shared" si="3"/>
        <v>0</v>
      </c>
      <c r="J32" s="8">
        <f t="shared" si="3"/>
        <v>0</v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Cards</vt:lpstr>
      <vt:lpstr>BaselineCalc</vt:lpstr>
      <vt:lpstr>YearMap</vt:lpstr>
      <vt:lpstr>MultiYear_ProForma</vt:lpstr>
      <vt:lpstr>Scenarios</vt:lpstr>
      <vt:lpstr>Summary_Costs</vt:lpstr>
      <vt:lpstr>BreakEven</vt:lpstr>
      <vt:lpstr>Notes</vt:lpstr>
      <vt:lpstr>Attributes</vt:lpstr>
      <vt:lpstr>BreakEven_X</vt:lpstr>
      <vt:lpstr>BreakEven_Y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2025-10-23T05:21:01Z</dcterms:modified>
</cp:coreProperties>
</file>