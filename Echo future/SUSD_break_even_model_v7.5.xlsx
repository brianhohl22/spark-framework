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845AFE18-6D14-4956-BABB-385010C11C1D}" xr6:coauthVersionLast="47" xr6:coauthVersionMax="47" xr10:uidLastSave="{00000000-0000-0000-0000-000000000000}"/>
  <bookViews>
    <workbookView xWindow="-110" yWindow="-110" windowWidth="19420" windowHeight="10300" firstSheet="1" activeTab="2" xr2:uid="{00000000-000D-0000-FFFF-FFFF00000000}"/>
  </bookViews>
  <sheets>
    <sheet name="Parameters_Public" sheetId="1" r:id="rId1"/>
    <sheet name="Summary" sheetId="2" r:id="rId2"/>
    <sheet name="Capital_Summary" sheetId="3" r:id="rId3"/>
    <sheet name="Control_Center" sheetId="4" r:id="rId4"/>
    <sheet name="Dashboard" sheetId="5" r:id="rId5"/>
    <sheet name="Definitions_Sources" sheetId="6" r:id="rId6"/>
    <sheet name="Q&amp;A" sheetId="7" r:id="rId7"/>
    <sheet name="MultiYear_ProForma" sheetId="8" r:id="rId8"/>
    <sheet name="BaselineCalc" sheetId="9" r:id="rId9"/>
    <sheet name="YearMap" sheetId="10" r:id="rId10"/>
    <sheet name="Scenarios" sheetId="11" r:id="rId11"/>
    <sheet name="Other_Parameters" sheetId="12" r:id="rId12"/>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2" i="8" l="1"/>
  <c r="W3" i="8"/>
  <c r="W2" i="8"/>
  <c r="B2" i="12"/>
  <c r="A75" i="11"/>
  <c r="I75" i="11" s="1"/>
  <c r="A74" i="11"/>
  <c r="I74" i="11" s="1"/>
  <c r="A73" i="11"/>
  <c r="I73" i="11" s="1"/>
  <c r="A72" i="11"/>
  <c r="I72" i="11" s="1"/>
  <c r="A71" i="11"/>
  <c r="I71" i="11" s="1"/>
  <c r="A70" i="11"/>
  <c r="I70" i="11" s="1"/>
  <c r="A69" i="11"/>
  <c r="I69" i="11" s="1"/>
  <c r="A68" i="11"/>
  <c r="I68" i="11" s="1"/>
  <c r="A67" i="11"/>
  <c r="I67" i="11" s="1"/>
  <c r="A66" i="11"/>
  <c r="I66" i="11" s="1"/>
  <c r="A65" i="11"/>
  <c r="I65" i="11" s="1"/>
  <c r="A64" i="11"/>
  <c r="I64" i="11" s="1"/>
  <c r="A63" i="11"/>
  <c r="I63" i="11" s="1"/>
  <c r="A62" i="11"/>
  <c r="I62" i="11" s="1"/>
  <c r="A61" i="11"/>
  <c r="I61" i="11" s="1"/>
  <c r="A60" i="11"/>
  <c r="I60" i="11" s="1"/>
  <c r="A59" i="11"/>
  <c r="I59" i="11" s="1"/>
  <c r="A58" i="11"/>
  <c r="I58" i="11" s="1"/>
  <c r="A57" i="11"/>
  <c r="I57" i="11" s="1"/>
  <c r="A56" i="11"/>
  <c r="I56" i="11" s="1"/>
  <c r="A55" i="11"/>
  <c r="I55" i="11" s="1"/>
  <c r="A54" i="11"/>
  <c r="I54" i="11" s="1"/>
  <c r="A53" i="11"/>
  <c r="I53" i="11" s="1"/>
  <c r="A52" i="11"/>
  <c r="I52" i="11" s="1"/>
  <c r="A51" i="11"/>
  <c r="I51" i="11" s="1"/>
  <c r="A50" i="11"/>
  <c r="I50" i="11" s="1"/>
  <c r="A49" i="11"/>
  <c r="I49" i="11" s="1"/>
  <c r="A48" i="11"/>
  <c r="I48" i="11" s="1"/>
  <c r="A47" i="11"/>
  <c r="I47" i="11" s="1"/>
  <c r="A46" i="11"/>
  <c r="I46" i="11" s="1"/>
  <c r="A45" i="11"/>
  <c r="I45" i="11" s="1"/>
  <c r="A44" i="11"/>
  <c r="I44" i="11" s="1"/>
  <c r="A43" i="11"/>
  <c r="I43" i="11" s="1"/>
  <c r="A42" i="11"/>
  <c r="I42" i="11" s="1"/>
  <c r="A41" i="11"/>
  <c r="I41" i="11" s="1"/>
  <c r="A40" i="11"/>
  <c r="I40" i="11" s="1"/>
  <c r="A39" i="11"/>
  <c r="I39" i="11" s="1"/>
  <c r="A38" i="11"/>
  <c r="I38" i="11" s="1"/>
  <c r="A37" i="11"/>
  <c r="I37" i="11" s="1"/>
  <c r="A36" i="11"/>
  <c r="I36" i="11" s="1"/>
  <c r="A35" i="11"/>
  <c r="I35" i="11" s="1"/>
  <c r="A34" i="11"/>
  <c r="I34" i="11" s="1"/>
  <c r="A33" i="11"/>
  <c r="I33" i="11" s="1"/>
  <c r="A32" i="11"/>
  <c r="I32" i="11" s="1"/>
  <c r="A31" i="11"/>
  <c r="I31" i="11" s="1"/>
  <c r="A30" i="11"/>
  <c r="I30" i="11" s="1"/>
  <c r="A29" i="11"/>
  <c r="I29" i="11" s="1"/>
  <c r="A28" i="11"/>
  <c r="I28" i="11" s="1"/>
  <c r="A27" i="11"/>
  <c r="I27" i="11" s="1"/>
  <c r="A26" i="11"/>
  <c r="I26" i="11" s="1"/>
  <c r="A25" i="11"/>
  <c r="I25" i="11" s="1"/>
  <c r="A24" i="11"/>
  <c r="I24" i="11" s="1"/>
  <c r="A23" i="11"/>
  <c r="I23" i="11" s="1"/>
  <c r="A22" i="11"/>
  <c r="I22" i="11" s="1"/>
  <c r="A21" i="11"/>
  <c r="I21" i="11" s="1"/>
  <c r="A20" i="11"/>
  <c r="I20" i="11" s="1"/>
  <c r="A19" i="11"/>
  <c r="I19" i="11" s="1"/>
  <c r="A18" i="11"/>
  <c r="I18" i="11" s="1"/>
  <c r="A17" i="11"/>
  <c r="I17" i="11" s="1"/>
  <c r="A16" i="11"/>
  <c r="I16" i="11" s="1"/>
  <c r="L13" i="11"/>
  <c r="G13" i="11"/>
  <c r="F13" i="11"/>
  <c r="E13" i="11"/>
  <c r="D75" i="11" s="1"/>
  <c r="D13" i="11"/>
  <c r="C13" i="11"/>
  <c r="J13" i="11" s="1"/>
  <c r="B13" i="11"/>
  <c r="M12" i="11"/>
  <c r="K12" i="11"/>
  <c r="J12" i="11"/>
  <c r="I12" i="11"/>
  <c r="G12" i="11"/>
  <c r="F12" i="11"/>
  <c r="E12" i="11"/>
  <c r="D70" i="11" s="1"/>
  <c r="D12" i="11"/>
  <c r="C12" i="11"/>
  <c r="L12" i="11" s="1"/>
  <c r="B12" i="11"/>
  <c r="J11" i="11"/>
  <c r="G11" i="11"/>
  <c r="F11" i="11"/>
  <c r="E11" i="11"/>
  <c r="D11" i="11"/>
  <c r="C65" i="11" s="1"/>
  <c r="C11" i="11"/>
  <c r="L11" i="11" s="1"/>
  <c r="B11" i="11"/>
  <c r="M10" i="11"/>
  <c r="K10" i="11"/>
  <c r="I10" i="11"/>
  <c r="G10" i="11"/>
  <c r="F10" i="11"/>
  <c r="E10" i="11"/>
  <c r="D10" i="11"/>
  <c r="D46" i="8" s="1"/>
  <c r="C10" i="11"/>
  <c r="L10" i="11" s="1"/>
  <c r="B10" i="11"/>
  <c r="G9" i="11"/>
  <c r="F9" i="11"/>
  <c r="E9" i="11"/>
  <c r="D9" i="11"/>
  <c r="C55" i="11" s="1"/>
  <c r="C9" i="11"/>
  <c r="J9" i="11" s="1"/>
  <c r="B9" i="11"/>
  <c r="M8" i="11"/>
  <c r="K8" i="11"/>
  <c r="J8" i="11"/>
  <c r="I8" i="11"/>
  <c r="G8" i="11"/>
  <c r="F8" i="11"/>
  <c r="E8" i="11"/>
  <c r="D50" i="11" s="1"/>
  <c r="D8" i="11"/>
  <c r="C50" i="11" s="1"/>
  <c r="E50" i="11" s="1"/>
  <c r="C8" i="11"/>
  <c r="L8" i="11" s="1"/>
  <c r="B8" i="11"/>
  <c r="G7" i="11"/>
  <c r="F7" i="11"/>
  <c r="E7" i="11"/>
  <c r="D7" i="11"/>
  <c r="C7" i="11"/>
  <c r="L7" i="11" s="1"/>
  <c r="B7" i="11"/>
  <c r="M6" i="11"/>
  <c r="K6" i="11"/>
  <c r="I6" i="11"/>
  <c r="G6" i="11"/>
  <c r="F6" i="11"/>
  <c r="E6" i="11"/>
  <c r="D6" i="11"/>
  <c r="C6" i="11"/>
  <c r="J6" i="11" s="1"/>
  <c r="B6" i="11"/>
  <c r="G5" i="11"/>
  <c r="F5" i="11"/>
  <c r="E5" i="11"/>
  <c r="D5" i="11"/>
  <c r="C5" i="11"/>
  <c r="B5" i="11"/>
  <c r="M4" i="11"/>
  <c r="K4" i="11"/>
  <c r="J4" i="11"/>
  <c r="I4" i="11"/>
  <c r="G4" i="11"/>
  <c r="F4" i="11"/>
  <c r="E4" i="11"/>
  <c r="D4" i="11"/>
  <c r="C4" i="11"/>
  <c r="L4" i="11" s="1"/>
  <c r="B4" i="11"/>
  <c r="J3" i="11"/>
  <c r="G3" i="11"/>
  <c r="F3" i="11"/>
  <c r="E3" i="11"/>
  <c r="D3" i="11"/>
  <c r="C3" i="11"/>
  <c r="L3" i="11" s="1"/>
  <c r="B3" i="11"/>
  <c r="M2" i="11"/>
  <c r="K2" i="11"/>
  <c r="I2" i="11"/>
  <c r="G2" i="11"/>
  <c r="F2" i="11"/>
  <c r="E2" i="11"/>
  <c r="D2" i="11"/>
  <c r="C2" i="11"/>
  <c r="L2" i="11" s="1"/>
  <c r="B2" i="11"/>
  <c r="G6" i="10"/>
  <c r="F6" i="10"/>
  <c r="E6" i="10"/>
  <c r="P61" i="8" s="1"/>
  <c r="I5" i="10"/>
  <c r="Y60" i="8" s="1"/>
  <c r="G5" i="10"/>
  <c r="F5" i="10"/>
  <c r="E5" i="10"/>
  <c r="G4" i="10"/>
  <c r="F4" i="10"/>
  <c r="E4" i="10"/>
  <c r="P59" i="8" s="1"/>
  <c r="I3" i="10"/>
  <c r="Y48" i="8" s="1"/>
  <c r="G3" i="10"/>
  <c r="F3" i="10"/>
  <c r="E3" i="10"/>
  <c r="G2" i="10"/>
  <c r="F2" i="10"/>
  <c r="E2" i="10"/>
  <c r="B27" i="9"/>
  <c r="I2" i="10" s="1"/>
  <c r="B23" i="9"/>
  <c r="B22" i="9"/>
  <c r="B6" i="9"/>
  <c r="B5" i="9"/>
  <c r="B4" i="9"/>
  <c r="B3" i="9"/>
  <c r="B2" i="9"/>
  <c r="T61" i="8"/>
  <c r="Q61" i="8"/>
  <c r="K61" i="8"/>
  <c r="J61" i="8"/>
  <c r="E61" i="8"/>
  <c r="B61" i="8"/>
  <c r="AG61" i="8" s="1"/>
  <c r="A61" i="8" s="1"/>
  <c r="AG60" i="8"/>
  <c r="A60" i="8" s="1"/>
  <c r="T60" i="8"/>
  <c r="Q60" i="8"/>
  <c r="P60" i="8"/>
  <c r="K60" i="8"/>
  <c r="J60" i="8"/>
  <c r="E60" i="8"/>
  <c r="B60" i="8"/>
  <c r="T59" i="8"/>
  <c r="Q59" i="8"/>
  <c r="K59" i="8"/>
  <c r="J59" i="8"/>
  <c r="E59" i="8"/>
  <c r="B59" i="8"/>
  <c r="T58" i="8"/>
  <c r="Q58" i="8"/>
  <c r="P58" i="8"/>
  <c r="K58" i="8"/>
  <c r="J58" i="8"/>
  <c r="E58" i="8"/>
  <c r="B58" i="8"/>
  <c r="AG58" i="8" s="1"/>
  <c r="A58" i="8" s="1"/>
  <c r="Y57" i="8"/>
  <c r="T57" i="8"/>
  <c r="Q57" i="8"/>
  <c r="P57" i="8"/>
  <c r="K57" i="8"/>
  <c r="J57" i="8"/>
  <c r="E57" i="8"/>
  <c r="B57" i="8"/>
  <c r="AG56" i="8"/>
  <c r="T56" i="8"/>
  <c r="Q56" i="8"/>
  <c r="P56" i="8"/>
  <c r="K56" i="8"/>
  <c r="J56" i="8"/>
  <c r="E56" i="8"/>
  <c r="B56" i="8"/>
  <c r="A56" i="8"/>
  <c r="T55" i="8"/>
  <c r="Q55" i="8"/>
  <c r="P55" i="8"/>
  <c r="K55" i="8"/>
  <c r="J55" i="8"/>
  <c r="E55" i="8"/>
  <c r="B55" i="8"/>
  <c r="AG54" i="8"/>
  <c r="T54" i="8"/>
  <c r="Q54" i="8"/>
  <c r="P54" i="8"/>
  <c r="K54" i="8"/>
  <c r="J54" i="8"/>
  <c r="E54" i="8"/>
  <c r="B54" i="8"/>
  <c r="A54" i="8"/>
  <c r="Y53" i="8"/>
  <c r="T53" i="8"/>
  <c r="Q53" i="8"/>
  <c r="P53" i="8"/>
  <c r="K53" i="8"/>
  <c r="J53" i="8"/>
  <c r="E53" i="8"/>
  <c r="B53" i="8"/>
  <c r="AG53" i="8" s="1"/>
  <c r="A53" i="8" s="1"/>
  <c r="AG52" i="8"/>
  <c r="Y52" i="8"/>
  <c r="T52" i="8"/>
  <c r="Q52" i="8"/>
  <c r="P52" i="8"/>
  <c r="K52" i="8"/>
  <c r="J52" i="8"/>
  <c r="E52" i="8"/>
  <c r="B52" i="8"/>
  <c r="A52" i="8"/>
  <c r="T51" i="8"/>
  <c r="Q51" i="8"/>
  <c r="P51" i="8"/>
  <c r="K51" i="8"/>
  <c r="J51" i="8"/>
  <c r="D51" i="8"/>
  <c r="B51" i="8"/>
  <c r="AG50" i="8"/>
  <c r="Y50" i="8"/>
  <c r="T50" i="8"/>
  <c r="Q50" i="8"/>
  <c r="P50" i="8"/>
  <c r="K50" i="8"/>
  <c r="J50" i="8"/>
  <c r="D50" i="8"/>
  <c r="B50" i="8"/>
  <c r="A50" i="8"/>
  <c r="AG49" i="8"/>
  <c r="A49" i="8" s="1"/>
  <c r="T49" i="8"/>
  <c r="Q49" i="8"/>
  <c r="P49" i="8"/>
  <c r="K49" i="8"/>
  <c r="J49" i="8"/>
  <c r="D49" i="8"/>
  <c r="B49" i="8"/>
  <c r="AG48" i="8"/>
  <c r="T48" i="8"/>
  <c r="Q48" i="8"/>
  <c r="P48" i="8"/>
  <c r="K48" i="8"/>
  <c r="J48" i="8"/>
  <c r="D48" i="8"/>
  <c r="B48" i="8"/>
  <c r="A48" i="8"/>
  <c r="AG47" i="8"/>
  <c r="Y47" i="8"/>
  <c r="T47" i="8"/>
  <c r="Q47" i="8"/>
  <c r="P47" i="8"/>
  <c r="K47" i="8"/>
  <c r="J47" i="8"/>
  <c r="D47" i="8"/>
  <c r="B47" i="8"/>
  <c r="A47" i="8"/>
  <c r="AG46" i="8"/>
  <c r="T46" i="8"/>
  <c r="Q46" i="8"/>
  <c r="P46" i="8"/>
  <c r="K46" i="8"/>
  <c r="J46" i="8"/>
  <c r="B46" i="8"/>
  <c r="A46" i="8"/>
  <c r="T45" i="8"/>
  <c r="Q45" i="8"/>
  <c r="P45" i="8"/>
  <c r="K45" i="8"/>
  <c r="J45" i="8"/>
  <c r="D45" i="8"/>
  <c r="B45" i="8"/>
  <c r="AG45" i="8" s="1"/>
  <c r="A45" i="8" s="1"/>
  <c r="T44" i="8"/>
  <c r="Q44" i="8"/>
  <c r="P44" i="8"/>
  <c r="K44" i="8"/>
  <c r="J44" i="8"/>
  <c r="B44" i="8"/>
  <c r="AG44" i="8" s="1"/>
  <c r="A44" i="8" s="1"/>
  <c r="T43" i="8"/>
  <c r="Q43" i="8"/>
  <c r="P43" i="8"/>
  <c r="K43" i="8"/>
  <c r="J43" i="8"/>
  <c r="D43" i="8"/>
  <c r="B43" i="8"/>
  <c r="AG42" i="8"/>
  <c r="A42" i="8" s="1"/>
  <c r="Y42" i="8"/>
  <c r="T42" i="8"/>
  <c r="Q42" i="8"/>
  <c r="P42" i="8"/>
  <c r="K42" i="8"/>
  <c r="J42" i="8"/>
  <c r="D42" i="8"/>
  <c r="B42" i="8"/>
  <c r="T41" i="8"/>
  <c r="Q41" i="8"/>
  <c r="P41" i="8"/>
  <c r="K41" i="8"/>
  <c r="J41" i="8"/>
  <c r="E41" i="8"/>
  <c r="D41" i="8"/>
  <c r="B41" i="8"/>
  <c r="Y40" i="8"/>
  <c r="T40" i="8"/>
  <c r="Q40" i="8"/>
  <c r="P40" i="8"/>
  <c r="K40" i="8"/>
  <c r="J40" i="8"/>
  <c r="F40" i="8"/>
  <c r="E40" i="8"/>
  <c r="D40" i="8"/>
  <c r="B40" i="8"/>
  <c r="AG39" i="8"/>
  <c r="A39" i="8" s="1"/>
  <c r="T39" i="8"/>
  <c r="Q39" i="8"/>
  <c r="P39" i="8"/>
  <c r="K39" i="8"/>
  <c r="J39" i="8"/>
  <c r="F39" i="8"/>
  <c r="E39" i="8"/>
  <c r="D39" i="8"/>
  <c r="B39" i="8"/>
  <c r="AG38" i="8"/>
  <c r="A38" i="8" s="1"/>
  <c r="Y38" i="8"/>
  <c r="T38" i="8"/>
  <c r="Q38" i="8"/>
  <c r="P38" i="8"/>
  <c r="K38" i="8"/>
  <c r="J38" i="8"/>
  <c r="F38" i="8"/>
  <c r="E38" i="8"/>
  <c r="D38" i="8"/>
  <c r="B38" i="8"/>
  <c r="AG37" i="8"/>
  <c r="Y37" i="8"/>
  <c r="T37" i="8"/>
  <c r="Q37" i="8"/>
  <c r="P37" i="8"/>
  <c r="K37" i="8"/>
  <c r="J37" i="8"/>
  <c r="F37" i="8"/>
  <c r="E37" i="8"/>
  <c r="D37" i="8"/>
  <c r="B37" i="8"/>
  <c r="A37" i="8"/>
  <c r="AG36" i="8"/>
  <c r="T36" i="8"/>
  <c r="Q36" i="8"/>
  <c r="P36" i="8"/>
  <c r="K36" i="8"/>
  <c r="J36" i="8"/>
  <c r="F36" i="8"/>
  <c r="E36" i="8"/>
  <c r="D36" i="8"/>
  <c r="B36" i="8"/>
  <c r="A36" i="8"/>
  <c r="AG35" i="8"/>
  <c r="A35" i="8" s="1"/>
  <c r="Y35" i="8"/>
  <c r="T35" i="8"/>
  <c r="Q35" i="8"/>
  <c r="P35" i="8"/>
  <c r="K35" i="8"/>
  <c r="J35" i="8"/>
  <c r="F35" i="8"/>
  <c r="E35" i="8"/>
  <c r="D35" i="8"/>
  <c r="B35" i="8"/>
  <c r="AG34" i="8"/>
  <c r="A34" i="8" s="1"/>
  <c r="T34" i="8"/>
  <c r="Q34" i="8"/>
  <c r="P34" i="8"/>
  <c r="K34" i="8"/>
  <c r="J34" i="8"/>
  <c r="F34" i="8"/>
  <c r="E34" i="8"/>
  <c r="D34" i="8"/>
  <c r="B34" i="8"/>
  <c r="AG33" i="8"/>
  <c r="Y33" i="8"/>
  <c r="T33" i="8"/>
  <c r="Q33" i="8"/>
  <c r="P33" i="8"/>
  <c r="K33" i="8"/>
  <c r="J33" i="8"/>
  <c r="E33" i="8"/>
  <c r="F33" i="8" s="1"/>
  <c r="D33" i="8"/>
  <c r="B33" i="8"/>
  <c r="A33" i="8"/>
  <c r="AG32" i="8"/>
  <c r="Y32" i="8"/>
  <c r="T32" i="8"/>
  <c r="Q32" i="8"/>
  <c r="P32" i="8"/>
  <c r="K32" i="8"/>
  <c r="J32" i="8"/>
  <c r="E32" i="8"/>
  <c r="F32" i="8" s="1"/>
  <c r="D32" i="8"/>
  <c r="B32" i="8"/>
  <c r="A32" i="8"/>
  <c r="AG31" i="8"/>
  <c r="A31" i="8" s="1"/>
  <c r="T31" i="8"/>
  <c r="Q31" i="8"/>
  <c r="P31" i="8"/>
  <c r="K31" i="8"/>
  <c r="J31" i="8"/>
  <c r="B31" i="8"/>
  <c r="AG30" i="8"/>
  <c r="A30" i="8" s="1"/>
  <c r="Y30" i="8"/>
  <c r="T30" i="8"/>
  <c r="Q30" i="8"/>
  <c r="P30" i="8"/>
  <c r="K30" i="8"/>
  <c r="J30" i="8"/>
  <c r="B30" i="8"/>
  <c r="AG29" i="8"/>
  <c r="T29" i="8"/>
  <c r="Q29" i="8"/>
  <c r="P29" i="8"/>
  <c r="K29" i="8"/>
  <c r="J29" i="8"/>
  <c r="B29" i="8"/>
  <c r="A29" i="8"/>
  <c r="AG28" i="8"/>
  <c r="Y28" i="8"/>
  <c r="T28" i="8"/>
  <c r="Q28" i="8"/>
  <c r="P28" i="8"/>
  <c r="K28" i="8"/>
  <c r="J28" i="8"/>
  <c r="B28" i="8"/>
  <c r="A28" i="8"/>
  <c r="AG27" i="8"/>
  <c r="Y27" i="8"/>
  <c r="T27" i="8"/>
  <c r="Q27" i="8"/>
  <c r="P27" i="8"/>
  <c r="K27" i="8"/>
  <c r="J27" i="8"/>
  <c r="B27" i="8"/>
  <c r="A27" i="8"/>
  <c r="AG26" i="8"/>
  <c r="T26" i="8"/>
  <c r="Q26" i="8"/>
  <c r="P26" i="8"/>
  <c r="K26" i="8"/>
  <c r="J26" i="8"/>
  <c r="B26" i="8"/>
  <c r="A26" i="8"/>
  <c r="AG25" i="8"/>
  <c r="Y25" i="8"/>
  <c r="T25" i="8"/>
  <c r="Q25" i="8"/>
  <c r="P25" i="8"/>
  <c r="K25" i="8"/>
  <c r="J25" i="8"/>
  <c r="B25" i="8"/>
  <c r="A25" i="8"/>
  <c r="AG24" i="8"/>
  <c r="A24" i="8" s="1"/>
  <c r="T24" i="8"/>
  <c r="Q24" i="8"/>
  <c r="P24" i="8"/>
  <c r="K24" i="8"/>
  <c r="J24" i="8"/>
  <c r="B24" i="8"/>
  <c r="AG23" i="8"/>
  <c r="Y23" i="8"/>
  <c r="T23" i="8"/>
  <c r="Q23" i="8"/>
  <c r="P23" i="8"/>
  <c r="K23" i="8"/>
  <c r="J23" i="8"/>
  <c r="B23" i="8"/>
  <c r="A23" i="8"/>
  <c r="AG22" i="8"/>
  <c r="Y22" i="8"/>
  <c r="T22" i="8"/>
  <c r="Q22" i="8"/>
  <c r="P22" i="8"/>
  <c r="K22" i="8"/>
  <c r="J22" i="8"/>
  <c r="B22" i="8"/>
  <c r="A22" i="8"/>
  <c r="AG21" i="8"/>
  <c r="A21" i="8" s="1"/>
  <c r="T21" i="8"/>
  <c r="Q21" i="8"/>
  <c r="P21" i="8"/>
  <c r="K21" i="8"/>
  <c r="J21" i="8"/>
  <c r="B21" i="8"/>
  <c r="AG20" i="8"/>
  <c r="A20" i="8" s="1"/>
  <c r="Y20" i="8"/>
  <c r="T20" i="8"/>
  <c r="Q20" i="8"/>
  <c r="P20" i="8"/>
  <c r="K20" i="8"/>
  <c r="J20" i="8"/>
  <c r="B20" i="8"/>
  <c r="AG19" i="8"/>
  <c r="T19" i="8"/>
  <c r="Q19" i="8"/>
  <c r="P19" i="8"/>
  <c r="K19" i="8"/>
  <c r="J19" i="8"/>
  <c r="B19" i="8"/>
  <c r="A19" i="8"/>
  <c r="AG18" i="8"/>
  <c r="Y18" i="8"/>
  <c r="T18" i="8"/>
  <c r="Q18" i="8"/>
  <c r="P18" i="8"/>
  <c r="K18" i="8"/>
  <c r="J18" i="8"/>
  <c r="B18" i="8"/>
  <c r="A18" i="8"/>
  <c r="AG17" i="8"/>
  <c r="A17" i="8" s="1"/>
  <c r="Y17" i="8"/>
  <c r="T17" i="8"/>
  <c r="Q17" i="8"/>
  <c r="P17" i="8"/>
  <c r="K17" i="8"/>
  <c r="J17" i="8"/>
  <c r="B17" i="8"/>
  <c r="T16" i="8"/>
  <c r="Q16" i="8"/>
  <c r="P16" i="8"/>
  <c r="K16" i="8"/>
  <c r="J16" i="8"/>
  <c r="B16" i="8"/>
  <c r="AG16" i="8" s="1"/>
  <c r="A16" i="8" s="1"/>
  <c r="Y15" i="8"/>
  <c r="T15" i="8"/>
  <c r="Q15" i="8"/>
  <c r="P15" i="8"/>
  <c r="K15" i="8"/>
  <c r="J15" i="8"/>
  <c r="B15" i="8"/>
  <c r="AG15" i="8" s="1"/>
  <c r="A15" i="8" s="1"/>
  <c r="T14" i="8"/>
  <c r="Q14" i="8"/>
  <c r="P14" i="8"/>
  <c r="K14" i="8"/>
  <c r="J14" i="8"/>
  <c r="B14" i="8"/>
  <c r="Y13" i="8"/>
  <c r="T13" i="8"/>
  <c r="Q13" i="8"/>
  <c r="P13" i="8"/>
  <c r="K13" i="8"/>
  <c r="J13" i="8"/>
  <c r="B13" i="8"/>
  <c r="Y12" i="8"/>
  <c r="T12" i="8"/>
  <c r="Q12" i="8"/>
  <c r="P12" i="8"/>
  <c r="K12" i="8"/>
  <c r="J12" i="8"/>
  <c r="B12" i="8"/>
  <c r="T11" i="8"/>
  <c r="Q11" i="8"/>
  <c r="P11" i="8"/>
  <c r="K11" i="8"/>
  <c r="J11" i="8"/>
  <c r="B11" i="8"/>
  <c r="Y10" i="8"/>
  <c r="T10" i="8"/>
  <c r="Q10" i="8"/>
  <c r="P10" i="8"/>
  <c r="K10" i="8"/>
  <c r="J10" i="8"/>
  <c r="B10" i="8"/>
  <c r="T9" i="8"/>
  <c r="Q9" i="8"/>
  <c r="P9" i="8"/>
  <c r="K9" i="8"/>
  <c r="J9" i="8"/>
  <c r="B9" i="8"/>
  <c r="Y8" i="8"/>
  <c r="T8" i="8"/>
  <c r="Q8" i="8"/>
  <c r="P8" i="8"/>
  <c r="K8" i="8"/>
  <c r="J8" i="8"/>
  <c r="B8" i="8"/>
  <c r="AG7" i="8"/>
  <c r="A7" i="8" s="1"/>
  <c r="Y7" i="8"/>
  <c r="T7" i="8"/>
  <c r="Q7" i="8"/>
  <c r="P7" i="8"/>
  <c r="K7" i="8"/>
  <c r="J7" i="8"/>
  <c r="B7" i="8"/>
  <c r="T6" i="8"/>
  <c r="Q6" i="8"/>
  <c r="P6" i="8"/>
  <c r="K6" i="8"/>
  <c r="J6" i="8"/>
  <c r="B6" i="8"/>
  <c r="Y5" i="8"/>
  <c r="T5" i="8"/>
  <c r="Q5" i="8"/>
  <c r="P5" i="8"/>
  <c r="K5" i="8"/>
  <c r="J5" i="8"/>
  <c r="B5" i="8"/>
  <c r="T4" i="8"/>
  <c r="Q4" i="8"/>
  <c r="P4" i="8"/>
  <c r="K4" i="8"/>
  <c r="J4" i="8"/>
  <c r="B4" i="8"/>
  <c r="AG3" i="8"/>
  <c r="A3" i="8" s="1"/>
  <c r="Y3" i="8"/>
  <c r="T3" i="8"/>
  <c r="Q3" i="8"/>
  <c r="P3" i="8"/>
  <c r="K3" i="8"/>
  <c r="J3" i="8"/>
  <c r="B3" i="8"/>
  <c r="Y2" i="8"/>
  <c r="T2" i="8"/>
  <c r="Q2" i="8"/>
  <c r="P2" i="8"/>
  <c r="K2" i="8"/>
  <c r="J2" i="8"/>
  <c r="B2" i="8"/>
  <c r="A1" i="8"/>
  <c r="N14" i="5"/>
  <c r="J14" i="5"/>
  <c r="I14" i="5"/>
  <c r="B14" i="5"/>
  <c r="N13" i="5"/>
  <c r="J13" i="5"/>
  <c r="I13" i="5"/>
  <c r="B13" i="5"/>
  <c r="N12" i="5"/>
  <c r="J12" i="5"/>
  <c r="I12" i="5"/>
  <c r="B12" i="5"/>
  <c r="N11" i="5"/>
  <c r="J11" i="5"/>
  <c r="I11" i="5"/>
  <c r="B11" i="5"/>
  <c r="N10" i="5"/>
  <c r="J10" i="5"/>
  <c r="I10" i="5"/>
  <c r="B10" i="5"/>
  <c r="N9" i="5"/>
  <c r="J9" i="5"/>
  <c r="I9" i="5"/>
  <c r="B9" i="5"/>
  <c r="N8" i="5"/>
  <c r="J8" i="5"/>
  <c r="I8" i="5"/>
  <c r="B8" i="5"/>
  <c r="N7" i="5"/>
  <c r="J7" i="5"/>
  <c r="I7" i="5"/>
  <c r="B7" i="5"/>
  <c r="N6" i="5"/>
  <c r="J6" i="5"/>
  <c r="I6" i="5"/>
  <c r="B6" i="5"/>
  <c r="N5" i="5"/>
  <c r="J5" i="5"/>
  <c r="I5" i="5"/>
  <c r="B5" i="5"/>
  <c r="N4" i="5"/>
  <c r="J4" i="5"/>
  <c r="I4" i="5"/>
  <c r="B4" i="5"/>
  <c r="N3" i="5"/>
  <c r="J3" i="5"/>
  <c r="I3" i="5"/>
  <c r="B3" i="5"/>
  <c r="J2" i="5"/>
  <c r="I2" i="5"/>
  <c r="C14" i="4"/>
  <c r="A72" i="3"/>
  <c r="A71" i="3"/>
  <c r="G63" i="3"/>
  <c r="D63" i="3"/>
  <c r="A63" i="3"/>
  <c r="G62" i="3"/>
  <c r="D62" i="3"/>
  <c r="A62" i="3"/>
  <c r="G61" i="3"/>
  <c r="D61" i="3"/>
  <c r="A61" i="3"/>
  <c r="G60" i="3"/>
  <c r="D60" i="3"/>
  <c r="A60" i="3"/>
  <c r="A59" i="3"/>
  <c r="D58" i="3"/>
  <c r="G58" i="3" s="1"/>
  <c r="A58" i="3"/>
  <c r="D57" i="3"/>
  <c r="G57" i="3" s="1"/>
  <c r="A57" i="3"/>
  <c r="D56" i="3"/>
  <c r="G56" i="3" s="1"/>
  <c r="A56" i="3"/>
  <c r="D55" i="3"/>
  <c r="G55" i="3" s="1"/>
  <c r="A55" i="3"/>
  <c r="A54" i="3"/>
  <c r="G53" i="3"/>
  <c r="D53" i="3"/>
  <c r="A53" i="3"/>
  <c r="D52" i="3"/>
  <c r="G52" i="3" s="1"/>
  <c r="A52" i="3"/>
  <c r="G51" i="3"/>
  <c r="D51" i="3"/>
  <c r="A51" i="3"/>
  <c r="D50" i="3"/>
  <c r="G50" i="3" s="1"/>
  <c r="A50" i="3"/>
  <c r="A49" i="3"/>
  <c r="D48" i="3"/>
  <c r="G48" i="3" s="1"/>
  <c r="A48" i="3"/>
  <c r="D47" i="3"/>
  <c r="G47" i="3" s="1"/>
  <c r="A47" i="3"/>
  <c r="D46" i="3"/>
  <c r="G46" i="3" s="1"/>
  <c r="A46" i="3"/>
  <c r="G45" i="3"/>
  <c r="D45" i="3"/>
  <c r="A45" i="3"/>
  <c r="A44" i="3"/>
  <c r="G43" i="3"/>
  <c r="D43" i="3"/>
  <c r="A43" i="3"/>
  <c r="D42" i="3"/>
  <c r="G42" i="3" s="1"/>
  <c r="A42" i="3"/>
  <c r="D41" i="3"/>
  <c r="G41" i="3" s="1"/>
  <c r="A41" i="3"/>
  <c r="D40" i="3"/>
  <c r="G40" i="3" s="1"/>
  <c r="A40" i="3"/>
  <c r="A39" i="3"/>
  <c r="D38" i="3"/>
  <c r="G38" i="3" s="1"/>
  <c r="A38" i="3"/>
  <c r="G37" i="3"/>
  <c r="D37" i="3"/>
  <c r="A37" i="3"/>
  <c r="D36" i="3"/>
  <c r="G36" i="3" s="1"/>
  <c r="A36" i="3"/>
  <c r="G35" i="3"/>
  <c r="D35" i="3"/>
  <c r="A35" i="3"/>
  <c r="A34" i="3"/>
  <c r="D33" i="3"/>
  <c r="G33" i="3" s="1"/>
  <c r="A33" i="3"/>
  <c r="D32" i="3"/>
  <c r="G32" i="3" s="1"/>
  <c r="A32" i="3"/>
  <c r="D31" i="3"/>
  <c r="G31" i="3" s="1"/>
  <c r="A31" i="3"/>
  <c r="D30" i="3"/>
  <c r="G30" i="3" s="1"/>
  <c r="A30" i="3"/>
  <c r="A29" i="3"/>
  <c r="D28" i="3"/>
  <c r="G28" i="3" s="1"/>
  <c r="A28" i="3"/>
  <c r="G27" i="3"/>
  <c r="D27" i="3"/>
  <c r="A27" i="3"/>
  <c r="D26" i="3"/>
  <c r="G26" i="3" s="1"/>
  <c r="A26" i="3"/>
  <c r="D25" i="3"/>
  <c r="G25" i="3" s="1"/>
  <c r="A25" i="3"/>
  <c r="A24" i="3"/>
  <c r="D23" i="3"/>
  <c r="G23" i="3" s="1"/>
  <c r="A23" i="3"/>
  <c r="D22" i="3"/>
  <c r="G22" i="3" s="1"/>
  <c r="A22" i="3"/>
  <c r="G21" i="3"/>
  <c r="D21" i="3"/>
  <c r="A21" i="3"/>
  <c r="D20" i="3"/>
  <c r="G20" i="3" s="1"/>
  <c r="A20" i="3"/>
  <c r="A19" i="3"/>
  <c r="D18" i="3"/>
  <c r="G18" i="3" s="1"/>
  <c r="A18" i="3"/>
  <c r="D17" i="3"/>
  <c r="G17" i="3" s="1"/>
  <c r="A17" i="3"/>
  <c r="D16" i="3"/>
  <c r="G16" i="3" s="1"/>
  <c r="A16" i="3"/>
  <c r="D15" i="3"/>
  <c r="G15" i="3" s="1"/>
  <c r="A15" i="3"/>
  <c r="A14" i="3"/>
  <c r="G13" i="3"/>
  <c r="D13" i="3"/>
  <c r="A13" i="3"/>
  <c r="A70" i="3" s="1"/>
  <c r="D12" i="3"/>
  <c r="G12" i="3" s="1"/>
  <c r="A12" i="3"/>
  <c r="A69" i="3" s="1"/>
  <c r="G11" i="3"/>
  <c r="D11" i="3"/>
  <c r="A11" i="3"/>
  <c r="A68" i="3" s="1"/>
  <c r="D10" i="3"/>
  <c r="G10" i="3" s="1"/>
  <c r="A10" i="3"/>
  <c r="A67" i="3" s="1"/>
  <c r="A9" i="3"/>
  <c r="A78" i="3" s="1"/>
  <c r="D8" i="3"/>
  <c r="G8" i="3" s="1"/>
  <c r="A8" i="3"/>
  <c r="A77" i="3" s="1"/>
  <c r="D7" i="3"/>
  <c r="G7" i="3" s="1"/>
  <c r="A7" i="3"/>
  <c r="A76" i="3" s="1"/>
  <c r="D6" i="3"/>
  <c r="G6" i="3" s="1"/>
  <c r="A6" i="3"/>
  <c r="A75" i="3" s="1"/>
  <c r="G5" i="3"/>
  <c r="D5" i="3"/>
  <c r="A5" i="3"/>
  <c r="A74" i="3" s="1"/>
  <c r="A4" i="3"/>
  <c r="C27" i="1"/>
  <c r="D59" i="3" s="1"/>
  <c r="G59" i="3" s="1"/>
  <c r="C19" i="1"/>
  <c r="C11" i="1"/>
  <c r="B8" i="9" s="1"/>
  <c r="M23" i="8" s="1"/>
  <c r="E23" i="8" s="1"/>
  <c r="C10" i="1"/>
  <c r="B7" i="9" s="1"/>
  <c r="L22" i="8" s="1"/>
  <c r="D22" i="8" l="1"/>
  <c r="A73" i="3"/>
  <c r="B91" i="3"/>
  <c r="AG12" i="8"/>
  <c r="A12" i="8" s="1"/>
  <c r="AB35" i="8"/>
  <c r="AG41" i="8"/>
  <c r="A41" i="8" s="1"/>
  <c r="D44" i="3"/>
  <c r="G44" i="3" s="1"/>
  <c r="B69" i="3"/>
  <c r="B73" i="3"/>
  <c r="B77" i="3"/>
  <c r="B84" i="3"/>
  <c r="AG9" i="8"/>
  <c r="A9" i="8" s="1"/>
  <c r="AB42" i="8"/>
  <c r="AG8" i="8"/>
  <c r="A8" i="8" s="1"/>
  <c r="M13" i="8"/>
  <c r="E13" i="8" s="1"/>
  <c r="AG14" i="8"/>
  <c r="A14" i="8" s="1"/>
  <c r="AG43" i="8"/>
  <c r="A43" i="8" s="1"/>
  <c r="D54" i="3"/>
  <c r="G54" i="3" s="1"/>
  <c r="B83" i="3" s="1"/>
  <c r="D9" i="3"/>
  <c r="G9" i="3" s="1"/>
  <c r="B88" i="3" s="1"/>
  <c r="D49" i="3"/>
  <c r="G49" i="3" s="1"/>
  <c r="D4" i="3"/>
  <c r="G4" i="3" s="1"/>
  <c r="B85" i="3" s="1"/>
  <c r="D39" i="3"/>
  <c r="G39" i="3" s="1"/>
  <c r="D34" i="3"/>
  <c r="G34" i="3" s="1"/>
  <c r="B70" i="3"/>
  <c r="B74" i="3"/>
  <c r="B78" i="3"/>
  <c r="AG4" i="8"/>
  <c r="A4" i="8" s="1"/>
  <c r="M10" i="8"/>
  <c r="E10" i="8" s="1"/>
  <c r="AG11" i="8"/>
  <c r="A11" i="8" s="1"/>
  <c r="AB39" i="8"/>
  <c r="AG55" i="8"/>
  <c r="A55" i="8" s="1"/>
  <c r="B9" i="9"/>
  <c r="B13" i="9" s="1"/>
  <c r="L59" i="8"/>
  <c r="L58" i="8"/>
  <c r="L56" i="8"/>
  <c r="L54" i="8"/>
  <c r="L52" i="8"/>
  <c r="L50" i="8"/>
  <c r="L48" i="8"/>
  <c r="L60" i="8"/>
  <c r="L46" i="8"/>
  <c r="L42" i="8"/>
  <c r="L45" i="8"/>
  <c r="L44" i="8"/>
  <c r="L39" i="8"/>
  <c r="L38" i="8"/>
  <c r="L36" i="8"/>
  <c r="L35" i="8"/>
  <c r="L34" i="8"/>
  <c r="L33" i="8"/>
  <c r="L32" i="8"/>
  <c r="L31" i="8"/>
  <c r="L30" i="8"/>
  <c r="L26" i="8"/>
  <c r="L57" i="8"/>
  <c r="L55" i="8"/>
  <c r="L53" i="8"/>
  <c r="AB46" i="8"/>
  <c r="L24" i="8"/>
  <c r="L16" i="8"/>
  <c r="L15" i="8"/>
  <c r="L14" i="8"/>
  <c r="L13" i="8"/>
  <c r="L12" i="8"/>
  <c r="L10" i="8"/>
  <c r="L7" i="8"/>
  <c r="L6" i="8"/>
  <c r="L5" i="8"/>
  <c r="L4" i="8"/>
  <c r="L2" i="8"/>
  <c r="L23" i="8"/>
  <c r="D29" i="3"/>
  <c r="G29" i="3" s="1"/>
  <c r="B90" i="3" s="1"/>
  <c r="B79" i="3"/>
  <c r="B87" i="3"/>
  <c r="M53" i="8"/>
  <c r="B67" i="3"/>
  <c r="B71" i="3"/>
  <c r="B75" i="3"/>
  <c r="B80" i="3"/>
  <c r="AG5" i="8"/>
  <c r="A5" i="8" s="1"/>
  <c r="M12" i="8"/>
  <c r="E12" i="8" s="1"/>
  <c r="AG13" i="8"/>
  <c r="A13" i="8" s="1"/>
  <c r="AG51" i="8"/>
  <c r="A51" i="8" s="1"/>
  <c r="AG57" i="8"/>
  <c r="A57" i="8" s="1"/>
  <c r="D14" i="3"/>
  <c r="G14" i="3" s="1"/>
  <c r="M58" i="8"/>
  <c r="M56" i="8"/>
  <c r="M54" i="8"/>
  <c r="M52" i="8"/>
  <c r="M50" i="8"/>
  <c r="M48" i="8"/>
  <c r="M46" i="8"/>
  <c r="E46" i="8" s="1"/>
  <c r="F46" i="8" s="1"/>
  <c r="M44" i="8"/>
  <c r="M60" i="8"/>
  <c r="M45" i="8"/>
  <c r="M38" i="8"/>
  <c r="M36" i="8"/>
  <c r="M35" i="8"/>
  <c r="M34" i="8"/>
  <c r="M33" i="8"/>
  <c r="M32" i="8"/>
  <c r="M30" i="8"/>
  <c r="E30" i="8" s="1"/>
  <c r="M26" i="8"/>
  <c r="E26" i="8" s="1"/>
  <c r="M49" i="8"/>
  <c r="E49" i="8" s="1"/>
  <c r="F49" i="8" s="1"/>
  <c r="M59" i="8"/>
  <c r="M42" i="8"/>
  <c r="E42" i="8" s="1"/>
  <c r="F42" i="8" s="1"/>
  <c r="M24" i="8"/>
  <c r="E24" i="8" s="1"/>
  <c r="M16" i="8"/>
  <c r="E16" i="8" s="1"/>
  <c r="M15" i="8"/>
  <c r="E15" i="8" s="1"/>
  <c r="M55" i="8"/>
  <c r="M6" i="8"/>
  <c r="E6" i="8" s="1"/>
  <c r="M5" i="8"/>
  <c r="E5" i="8" s="1"/>
  <c r="M4" i="8"/>
  <c r="E4" i="8" s="1"/>
  <c r="M3" i="8"/>
  <c r="E3" i="8" s="1"/>
  <c r="M2" i="8"/>
  <c r="E2" i="8" s="1"/>
  <c r="M8" i="8"/>
  <c r="E8" i="8" s="1"/>
  <c r="M22" i="8"/>
  <c r="E22" i="8" s="1"/>
  <c r="M41" i="8"/>
  <c r="D24" i="3"/>
  <c r="G24" i="3" s="1"/>
  <c r="B86" i="3" s="1"/>
  <c r="D19" i="3"/>
  <c r="G19" i="3" s="1"/>
  <c r="B81" i="3"/>
  <c r="B89" i="3"/>
  <c r="AG10" i="8"/>
  <c r="A10" i="8" s="1"/>
  <c r="B68" i="3"/>
  <c r="B72" i="3"/>
  <c r="B76" i="3"/>
  <c r="B82" i="3"/>
  <c r="AG2" i="8"/>
  <c r="AG6" i="8"/>
  <c r="A6" i="8" s="1"/>
  <c r="L8" i="8"/>
  <c r="M14" i="8"/>
  <c r="E14" i="8" s="1"/>
  <c r="AB40" i="8"/>
  <c r="AB34" i="8"/>
  <c r="AB38" i="8"/>
  <c r="F41" i="8"/>
  <c r="AB41" i="8"/>
  <c r="AB36" i="8"/>
  <c r="AG59" i="8"/>
  <c r="A59" i="8" s="1"/>
  <c r="AB32" i="8"/>
  <c r="AB37" i="8"/>
  <c r="AB33" i="8"/>
  <c r="AG40" i="8"/>
  <c r="A40" i="8" s="1"/>
  <c r="Y45" i="8"/>
  <c r="Y58" i="8"/>
  <c r="Y55" i="8"/>
  <c r="D20" i="11"/>
  <c r="D30" i="11"/>
  <c r="M5" i="11"/>
  <c r="L21" i="8" s="1"/>
  <c r="K5" i="11"/>
  <c r="M19" i="8" s="1"/>
  <c r="E19" i="8" s="1"/>
  <c r="I5" i="11"/>
  <c r="L17" i="8" s="1"/>
  <c r="L5" i="11"/>
  <c r="L20" i="8" s="1"/>
  <c r="J5" i="11"/>
  <c r="M18" i="8" s="1"/>
  <c r="E18" i="8" s="1"/>
  <c r="Y43" i="8"/>
  <c r="D56" i="8"/>
  <c r="D55" i="11"/>
  <c r="E55" i="11" s="1"/>
  <c r="D54" i="11"/>
  <c r="D53" i="11"/>
  <c r="D52" i="11"/>
  <c r="D51" i="11"/>
  <c r="D44" i="8"/>
  <c r="D52" i="8"/>
  <c r="D54" i="8"/>
  <c r="C20" i="11"/>
  <c r="C19" i="11"/>
  <c r="C18" i="11"/>
  <c r="E18" i="11" s="1"/>
  <c r="C17" i="11"/>
  <c r="C16" i="11"/>
  <c r="E16" i="11" s="1"/>
  <c r="C30" i="11"/>
  <c r="E30" i="11" s="1"/>
  <c r="C29" i="11"/>
  <c r="C28" i="11"/>
  <c r="C27" i="11"/>
  <c r="E27" i="11" s="1"/>
  <c r="C26" i="11"/>
  <c r="E26" i="11" s="1"/>
  <c r="C40" i="11"/>
  <c r="E40" i="11" s="1"/>
  <c r="M7" i="11"/>
  <c r="M31" i="8" s="1"/>
  <c r="E31" i="8" s="1"/>
  <c r="I7" i="11"/>
  <c r="J7" i="11" s="1"/>
  <c r="K7" i="11" s="1"/>
  <c r="L29" i="8" s="1"/>
  <c r="C60" i="11"/>
  <c r="C59" i="11"/>
  <c r="C58" i="11"/>
  <c r="E58" i="11" s="1"/>
  <c r="C57" i="11"/>
  <c r="C56" i="11"/>
  <c r="C70" i="11"/>
  <c r="E70" i="11" s="1"/>
  <c r="C69" i="11"/>
  <c r="C68" i="11"/>
  <c r="E68" i="11" s="1"/>
  <c r="C67" i="11"/>
  <c r="C66" i="11"/>
  <c r="D35" i="11"/>
  <c r="D40" i="11"/>
  <c r="C45" i="11"/>
  <c r="D60" i="11"/>
  <c r="M13" i="11"/>
  <c r="M61" i="8" s="1"/>
  <c r="K13" i="11"/>
  <c r="I13" i="11"/>
  <c r="M57" i="8" s="1"/>
  <c r="D45" i="11"/>
  <c r="D44" i="11"/>
  <c r="D42" i="11"/>
  <c r="M3" i="11"/>
  <c r="C25" i="11" s="1"/>
  <c r="L6" i="11"/>
  <c r="L25" i="8" s="1"/>
  <c r="K9" i="11"/>
  <c r="M39" i="8" s="1"/>
  <c r="M11" i="11"/>
  <c r="D65" i="11" s="1"/>
  <c r="E65" i="11" s="1"/>
  <c r="C22" i="11"/>
  <c r="E22" i="11" s="1"/>
  <c r="C24" i="11"/>
  <c r="C31" i="11"/>
  <c r="C32" i="11"/>
  <c r="C33" i="11"/>
  <c r="C34" i="11"/>
  <c r="C36" i="11"/>
  <c r="C37" i="11"/>
  <c r="E37" i="11" s="1"/>
  <c r="C38" i="11"/>
  <c r="C41" i="11"/>
  <c r="C44" i="11"/>
  <c r="E44" i="11" s="1"/>
  <c r="C46" i="11"/>
  <c r="C47" i="11"/>
  <c r="E47" i="11" s="1"/>
  <c r="C48" i="11"/>
  <c r="C49" i="11"/>
  <c r="C51" i="11"/>
  <c r="E51" i="11" s="1"/>
  <c r="C52" i="11"/>
  <c r="E52" i="11" s="1"/>
  <c r="C53" i="11"/>
  <c r="C54" i="11"/>
  <c r="E54" i="11" s="1"/>
  <c r="C61" i="11"/>
  <c r="C62" i="11"/>
  <c r="E62" i="11" s="1"/>
  <c r="C63" i="11"/>
  <c r="C64" i="11"/>
  <c r="C71" i="11"/>
  <c r="E71" i="11" s="1"/>
  <c r="C72" i="11"/>
  <c r="C73" i="11"/>
  <c r="C74" i="11"/>
  <c r="E74" i="11" s="1"/>
  <c r="L9" i="11"/>
  <c r="L40" i="8" s="1"/>
  <c r="D16" i="11"/>
  <c r="D18" i="11"/>
  <c r="D19" i="11"/>
  <c r="D22" i="11"/>
  <c r="D23" i="11"/>
  <c r="D24" i="11"/>
  <c r="D26" i="11"/>
  <c r="D27" i="11"/>
  <c r="D28" i="11"/>
  <c r="D29" i="11"/>
  <c r="D31" i="11"/>
  <c r="D32" i="11"/>
  <c r="D33" i="11"/>
  <c r="D36" i="11"/>
  <c r="D37" i="11"/>
  <c r="D38" i="11"/>
  <c r="D39" i="11"/>
  <c r="D46" i="11"/>
  <c r="D47" i="11"/>
  <c r="D48" i="11"/>
  <c r="D49" i="11"/>
  <c r="D56" i="11"/>
  <c r="D58" i="11"/>
  <c r="D59" i="11"/>
  <c r="D62" i="11"/>
  <c r="D63" i="11"/>
  <c r="D64" i="11"/>
  <c r="D66" i="11"/>
  <c r="D67" i="11"/>
  <c r="D68" i="11"/>
  <c r="D69" i="11"/>
  <c r="D71" i="11"/>
  <c r="D72" i="11"/>
  <c r="D73" i="11"/>
  <c r="D74" i="11"/>
  <c r="I6" i="10"/>
  <c r="J2" i="11"/>
  <c r="D17" i="11" s="1"/>
  <c r="M9" i="11"/>
  <c r="L41" i="8" s="1"/>
  <c r="J10" i="11"/>
  <c r="D57" i="11" s="1"/>
  <c r="I4" i="10"/>
  <c r="I3" i="11"/>
  <c r="D21" i="11" s="1"/>
  <c r="I11" i="11"/>
  <c r="L47" i="8" s="1"/>
  <c r="K3" i="11"/>
  <c r="C23" i="11" s="1"/>
  <c r="E23" i="11" s="1"/>
  <c r="I9" i="11"/>
  <c r="L37" i="8" s="1"/>
  <c r="K11" i="11"/>
  <c r="L49" i="8" s="1"/>
  <c r="E31" i="11" l="1"/>
  <c r="O49" i="8"/>
  <c r="N49" i="8"/>
  <c r="D17" i="8"/>
  <c r="N37" i="8"/>
  <c r="D25" i="8"/>
  <c r="D29" i="8"/>
  <c r="O29" i="8" s="1"/>
  <c r="D20" i="8"/>
  <c r="D21" i="8"/>
  <c r="O41" i="8"/>
  <c r="N41" i="8"/>
  <c r="Y61" i="8"/>
  <c r="Y41" i="8"/>
  <c r="Y46" i="8"/>
  <c r="Y56" i="8"/>
  <c r="Y16" i="8"/>
  <c r="Y26" i="8"/>
  <c r="Y21" i="8"/>
  <c r="Y51" i="8"/>
  <c r="Y36" i="8"/>
  <c r="Y31" i="8"/>
  <c r="Y11" i="8"/>
  <c r="Y6" i="8"/>
  <c r="E29" i="11"/>
  <c r="AB54" i="8"/>
  <c r="F54" i="8"/>
  <c r="O8" i="8"/>
  <c r="D8" i="8"/>
  <c r="M28" i="8"/>
  <c r="E28" i="8" s="1"/>
  <c r="L18" i="8"/>
  <c r="L19" i="8"/>
  <c r="D2" i="8"/>
  <c r="O2" i="8" s="1"/>
  <c r="L11" i="8"/>
  <c r="N26" i="8"/>
  <c r="D26" i="8"/>
  <c r="O26" i="8" s="1"/>
  <c r="N34" i="8"/>
  <c r="O34" i="8"/>
  <c r="D34" i="11"/>
  <c r="E34" i="11" s="1"/>
  <c r="E46" i="11"/>
  <c r="E36" i="11"/>
  <c r="C21" i="11"/>
  <c r="E21" i="11" s="1"/>
  <c r="D41" i="11"/>
  <c r="E69" i="11"/>
  <c r="AC49" i="8"/>
  <c r="M17" i="8"/>
  <c r="E17" i="8" s="1"/>
  <c r="M7" i="8"/>
  <c r="E7" i="8" s="1"/>
  <c r="M47" i="8"/>
  <c r="M29" i="8"/>
  <c r="E29" i="8" s="1"/>
  <c r="M37" i="8"/>
  <c r="O37" i="8" s="1"/>
  <c r="E48" i="8"/>
  <c r="D23" i="8"/>
  <c r="L3" i="8"/>
  <c r="D12" i="8"/>
  <c r="L27" i="8"/>
  <c r="N35" i="8"/>
  <c r="O35" i="8"/>
  <c r="O52" i="8"/>
  <c r="AC52" i="8" s="1"/>
  <c r="N52" i="8"/>
  <c r="AB52" i="8"/>
  <c r="F52" i="8"/>
  <c r="A2" i="8"/>
  <c r="M21" i="8"/>
  <c r="E21" i="8" s="1"/>
  <c r="E50" i="8"/>
  <c r="O50" i="8" s="1"/>
  <c r="D4" i="8"/>
  <c r="N4" i="8" s="1"/>
  <c r="L51" i="8"/>
  <c r="L28" i="8"/>
  <c r="N36" i="8"/>
  <c r="O36" i="8"/>
  <c r="O54" i="8"/>
  <c r="N54" i="8"/>
  <c r="AC54" i="8"/>
  <c r="E73" i="11"/>
  <c r="E53" i="11"/>
  <c r="C43" i="11"/>
  <c r="E33" i="11"/>
  <c r="D43" i="11"/>
  <c r="E45" i="11"/>
  <c r="E56" i="11"/>
  <c r="C35" i="11"/>
  <c r="E35" i="11" s="1"/>
  <c r="E17" i="11"/>
  <c r="AB56" i="8"/>
  <c r="F56" i="8"/>
  <c r="M25" i="8"/>
  <c r="E25" i="8" s="1"/>
  <c r="D5" i="8"/>
  <c r="O5" i="8"/>
  <c r="N5" i="8"/>
  <c r="D14" i="8"/>
  <c r="D53" i="8"/>
  <c r="O46" i="8"/>
  <c r="N46" i="8"/>
  <c r="O56" i="8"/>
  <c r="N56" i="8"/>
  <c r="AC56" i="8"/>
  <c r="M51" i="8"/>
  <c r="N13" i="8"/>
  <c r="D13" i="8"/>
  <c r="N42" i="8"/>
  <c r="O42" i="8"/>
  <c r="Y59" i="8"/>
  <c r="Y44" i="8"/>
  <c r="Y49" i="8"/>
  <c r="AD49" i="8" s="1"/>
  <c r="Y54" i="8"/>
  <c r="AD54" i="8" s="1"/>
  <c r="Y39" i="8"/>
  <c r="Y24" i="8"/>
  <c r="Y34" i="8"/>
  <c r="Y19" i="8"/>
  <c r="Y4" i="8"/>
  <c r="Y29" i="8"/>
  <c r="Y14" i="8"/>
  <c r="Y9" i="8"/>
  <c r="D61" i="11"/>
  <c r="E61" i="11" s="1"/>
  <c r="E72" i="11"/>
  <c r="C42" i="11"/>
  <c r="E42" i="11" s="1"/>
  <c r="E32" i="11"/>
  <c r="E57" i="11"/>
  <c r="D25" i="11"/>
  <c r="E25" i="11" s="1"/>
  <c r="AB44" i="8"/>
  <c r="M43" i="8"/>
  <c r="M40" i="8"/>
  <c r="O40" i="8" s="1"/>
  <c r="D6" i="8"/>
  <c r="N6" i="8"/>
  <c r="O15" i="8"/>
  <c r="D15" i="8"/>
  <c r="D55" i="8"/>
  <c r="D30" i="8"/>
  <c r="N38" i="8"/>
  <c r="O38" i="8"/>
  <c r="D58" i="8"/>
  <c r="F22" i="8"/>
  <c r="AB22" i="8"/>
  <c r="E41" i="11"/>
  <c r="D16" i="8"/>
  <c r="N16" i="8" s="1"/>
  <c r="O57" i="8"/>
  <c r="N57" i="8"/>
  <c r="D57" i="8"/>
  <c r="N31" i="8"/>
  <c r="D31" i="8"/>
  <c r="O31" i="8"/>
  <c r="N39" i="8"/>
  <c r="O39" i="8"/>
  <c r="L61" i="8"/>
  <c r="O59" i="8"/>
  <c r="D59" i="8"/>
  <c r="N59" i="8"/>
  <c r="E64" i="11"/>
  <c r="E49" i="11"/>
  <c r="C39" i="11"/>
  <c r="E39" i="11" s="1"/>
  <c r="E24" i="11"/>
  <c r="C75" i="11"/>
  <c r="E75" i="11" s="1"/>
  <c r="E66" i="11"/>
  <c r="E59" i="11"/>
  <c r="E20" i="11"/>
  <c r="AB49" i="8"/>
  <c r="M9" i="8"/>
  <c r="E9" i="8" s="1"/>
  <c r="M20" i="8"/>
  <c r="E20" i="8" s="1"/>
  <c r="L9" i="8"/>
  <c r="L43" i="8"/>
  <c r="N32" i="8"/>
  <c r="O32" i="8"/>
  <c r="O60" i="8"/>
  <c r="N60" i="8"/>
  <c r="D60" i="8"/>
  <c r="AC60" i="8"/>
  <c r="B14" i="9"/>
  <c r="B15" i="9"/>
  <c r="M11" i="8"/>
  <c r="E11" i="8" s="1"/>
  <c r="O22" i="8"/>
  <c r="E19" i="11"/>
  <c r="E45" i="8"/>
  <c r="D7" i="8"/>
  <c r="O7" i="8"/>
  <c r="E63" i="11"/>
  <c r="E48" i="11"/>
  <c r="E38" i="11"/>
  <c r="E67" i="11"/>
  <c r="E60" i="11"/>
  <c r="E28" i="11"/>
  <c r="M27" i="8"/>
  <c r="E27" i="8" s="1"/>
  <c r="E44" i="8"/>
  <c r="F44" i="8" s="1"/>
  <c r="AC44" i="8"/>
  <c r="N10" i="8"/>
  <c r="O10" i="8"/>
  <c r="D10" i="8"/>
  <c r="D24" i="8"/>
  <c r="N24" i="8" s="1"/>
  <c r="N33" i="8"/>
  <c r="O33" i="8"/>
  <c r="O44" i="8"/>
  <c r="N44" i="8"/>
  <c r="O48" i="8"/>
  <c r="N48" i="8"/>
  <c r="AC42" i="8"/>
  <c r="N22" i="8"/>
  <c r="AC37" i="8" l="1"/>
  <c r="AC50" i="8"/>
  <c r="AD52" i="8"/>
  <c r="AC40" i="8"/>
  <c r="AC32" i="8"/>
  <c r="N27" i="8"/>
  <c r="D27" i="8"/>
  <c r="O27" i="8"/>
  <c r="F48" i="8"/>
  <c r="AB48" i="8"/>
  <c r="N40" i="8"/>
  <c r="C18" i="9"/>
  <c r="B18" i="9"/>
  <c r="F18" i="9"/>
  <c r="B6" i="10" s="1"/>
  <c r="E18" i="9"/>
  <c r="D18" i="9"/>
  <c r="F30" i="8"/>
  <c r="AB30" i="8"/>
  <c r="AD44" i="8"/>
  <c r="AC36" i="8"/>
  <c r="E17" i="9"/>
  <c r="C17" i="9"/>
  <c r="B17" i="9"/>
  <c r="F17" i="9"/>
  <c r="D17" i="9"/>
  <c r="AB58" i="8"/>
  <c r="F58" i="8"/>
  <c r="AB55" i="8"/>
  <c r="F55" i="8"/>
  <c r="F14" i="8"/>
  <c r="AB14" i="8"/>
  <c r="E43" i="11"/>
  <c r="N28" i="8"/>
  <c r="D28" i="8"/>
  <c r="O28" i="8"/>
  <c r="F10" i="8"/>
  <c r="AB10" i="8"/>
  <c r="F45" i="8"/>
  <c r="AB45" i="8"/>
  <c r="F60" i="8"/>
  <c r="AB60" i="8"/>
  <c r="O16" i="8"/>
  <c r="N58" i="8"/>
  <c r="N55" i="8"/>
  <c r="O14" i="8"/>
  <c r="F12" i="8"/>
  <c r="AB12" i="8"/>
  <c r="AC48" i="8"/>
  <c r="N50" i="8"/>
  <c r="AD56" i="8"/>
  <c r="F21" i="8"/>
  <c r="AB21" i="8"/>
  <c r="F29" i="8"/>
  <c r="AB29" i="8"/>
  <c r="D9" i="8"/>
  <c r="AD60" i="8"/>
  <c r="AC39" i="8"/>
  <c r="AB6" i="8"/>
  <c r="F6" i="8"/>
  <c r="O58" i="8"/>
  <c r="O55" i="8"/>
  <c r="E43" i="8"/>
  <c r="F13" i="8"/>
  <c r="AB13" i="8"/>
  <c r="N14" i="8"/>
  <c r="G6" i="5"/>
  <c r="H3" i="5"/>
  <c r="H12" i="5"/>
  <c r="G12" i="5"/>
  <c r="G4" i="5"/>
  <c r="G11" i="5"/>
  <c r="H6" i="5"/>
  <c r="H5" i="5"/>
  <c r="H9" i="5"/>
  <c r="G10" i="5"/>
  <c r="G9" i="5"/>
  <c r="G13" i="5"/>
  <c r="G3" i="5"/>
  <c r="H10" i="5"/>
  <c r="O12" i="8"/>
  <c r="N11" i="8"/>
  <c r="O11" i="8"/>
  <c r="D11" i="8"/>
  <c r="O21" i="8"/>
  <c r="H8" i="5" s="1"/>
  <c r="N29" i="8"/>
  <c r="F17" i="8"/>
  <c r="AB17" i="8"/>
  <c r="AC33" i="8"/>
  <c r="AB4" i="8"/>
  <c r="F4" i="8"/>
  <c r="AD42" i="8"/>
  <c r="F24" i="8"/>
  <c r="AB24" i="8"/>
  <c r="O43" i="8"/>
  <c r="AC43" i="8" s="1"/>
  <c r="N43" i="8"/>
  <c r="AC22" i="8"/>
  <c r="AB53" i="8"/>
  <c r="F53" i="8"/>
  <c r="O24" i="8"/>
  <c r="AB7" i="8"/>
  <c r="F7" i="8"/>
  <c r="N61" i="8"/>
  <c r="D61" i="8"/>
  <c r="F16" i="8"/>
  <c r="AB16" i="8"/>
  <c r="AC59" i="8"/>
  <c r="F31" i="8"/>
  <c r="AB31" i="8"/>
  <c r="AC38" i="8"/>
  <c r="F15" i="8"/>
  <c r="AB15" i="8"/>
  <c r="AD39" i="8"/>
  <c r="O13" i="8"/>
  <c r="AC46" i="8"/>
  <c r="O4" i="8"/>
  <c r="N12" i="8"/>
  <c r="G5" i="5" s="1"/>
  <c r="N45" i="8"/>
  <c r="N2" i="8"/>
  <c r="G14" i="5" s="1"/>
  <c r="F8" i="8"/>
  <c r="AB8" i="8"/>
  <c r="AD41" i="8"/>
  <c r="N21" i="8"/>
  <c r="F25" i="8"/>
  <c r="AB25" i="8"/>
  <c r="O17" i="8"/>
  <c r="D3" i="8"/>
  <c r="O3" i="8" s="1"/>
  <c r="N3" i="8"/>
  <c r="E47" i="8"/>
  <c r="O45" i="8"/>
  <c r="N8" i="8"/>
  <c r="AD36" i="8"/>
  <c r="O25" i="8"/>
  <c r="N17" i="8"/>
  <c r="G8" i="5" s="1"/>
  <c r="N7" i="8"/>
  <c r="F59" i="8"/>
  <c r="AB59" i="8"/>
  <c r="AB57" i="8"/>
  <c r="F57" i="8"/>
  <c r="O30" i="8"/>
  <c r="N15" i="8"/>
  <c r="E51" i="8"/>
  <c r="O51" i="8" s="1"/>
  <c r="N53" i="8"/>
  <c r="AB5" i="8"/>
  <c r="F5" i="8"/>
  <c r="F50" i="8"/>
  <c r="AB50" i="8"/>
  <c r="F23" i="8"/>
  <c r="AB23" i="8"/>
  <c r="AC34" i="8"/>
  <c r="AB2" i="8"/>
  <c r="F2" i="8"/>
  <c r="F20" i="8"/>
  <c r="AB20" i="8"/>
  <c r="N25" i="8"/>
  <c r="AC57" i="8"/>
  <c r="AC35" i="8"/>
  <c r="O23" i="8"/>
  <c r="O19" i="8"/>
  <c r="D19" i="8"/>
  <c r="AC41" i="8"/>
  <c r="O20" i="8"/>
  <c r="N47" i="8"/>
  <c r="G7" i="5" s="1"/>
  <c r="N30" i="8"/>
  <c r="O6" i="8"/>
  <c r="H14" i="5" s="1"/>
  <c r="AD59" i="8"/>
  <c r="O53" i="8"/>
  <c r="N23" i="8"/>
  <c r="F26" i="8"/>
  <c r="AB26" i="8"/>
  <c r="N18" i="8"/>
  <c r="O18" i="8"/>
  <c r="D18" i="8"/>
  <c r="N20" i="8"/>
  <c r="O47" i="8"/>
  <c r="AC51" i="8" l="1"/>
  <c r="AD43" i="8"/>
  <c r="AC23" i="8"/>
  <c r="AC4" i="8"/>
  <c r="V11" i="8"/>
  <c r="F18" i="8"/>
  <c r="AB18" i="8"/>
  <c r="AC47" i="8"/>
  <c r="AD38" i="8"/>
  <c r="AC16" i="8"/>
  <c r="E19" i="9"/>
  <c r="C5" i="10" s="1"/>
  <c r="E20" i="9"/>
  <c r="D5" i="10" s="1"/>
  <c r="F14" i="9"/>
  <c r="F13" i="9" s="1"/>
  <c r="F15" i="9"/>
  <c r="B5" i="10"/>
  <c r="AD50" i="8"/>
  <c r="F9" i="8"/>
  <c r="AB9" i="8"/>
  <c r="G61" i="8"/>
  <c r="G56" i="8"/>
  <c r="V56" i="8" s="1"/>
  <c r="G51" i="8"/>
  <c r="V51" i="8" s="1"/>
  <c r="G46" i="8"/>
  <c r="V46" i="8" s="1"/>
  <c r="F75" i="11"/>
  <c r="F35" i="11"/>
  <c r="F40" i="11"/>
  <c r="F45" i="11"/>
  <c r="F55" i="11"/>
  <c r="F60" i="11"/>
  <c r="F20" i="11"/>
  <c r="F65" i="11"/>
  <c r="F25" i="11"/>
  <c r="F70" i="11"/>
  <c r="F30" i="11"/>
  <c r="G41" i="8"/>
  <c r="V41" i="8" s="1"/>
  <c r="F50" i="11"/>
  <c r="G36" i="8"/>
  <c r="V36" i="8" s="1"/>
  <c r="G31" i="8"/>
  <c r="V31" i="8" s="1"/>
  <c r="G26" i="8"/>
  <c r="V26" i="8" s="1"/>
  <c r="G21" i="8"/>
  <c r="V21" i="8" s="1"/>
  <c r="G16" i="8"/>
  <c r="V16" i="8" s="1"/>
  <c r="G11" i="8"/>
  <c r="G6" i="8"/>
  <c r="V6" i="8" s="1"/>
  <c r="AD40" i="8"/>
  <c r="F19" i="8"/>
  <c r="AB19" i="8"/>
  <c r="AC5" i="8"/>
  <c r="F61" i="8"/>
  <c r="AB61" i="8"/>
  <c r="AC24" i="8"/>
  <c r="AC13" i="8"/>
  <c r="AC6" i="8"/>
  <c r="O9" i="8"/>
  <c r="B2" i="10"/>
  <c r="C15" i="9"/>
  <c r="F27" i="8"/>
  <c r="AB27" i="8"/>
  <c r="N9" i="8"/>
  <c r="AD48" i="8"/>
  <c r="AD34" i="8"/>
  <c r="B3" i="10"/>
  <c r="D15" i="9"/>
  <c r="AD37" i="8"/>
  <c r="AB3" i="8"/>
  <c r="F3" i="8"/>
  <c r="AC8" i="8"/>
  <c r="AC31" i="8"/>
  <c r="AD33" i="8"/>
  <c r="AC26" i="8"/>
  <c r="N19" i="8"/>
  <c r="AC20" i="8"/>
  <c r="O61" i="8"/>
  <c r="AD22" i="8"/>
  <c r="F11" i="8"/>
  <c r="AB11" i="8"/>
  <c r="AC10" i="8"/>
  <c r="AC14" i="8"/>
  <c r="D20" i="9"/>
  <c r="D4" i="10" s="1"/>
  <c r="E14" i="9"/>
  <c r="E13" i="9" s="1"/>
  <c r="D19" i="9"/>
  <c r="C4" i="10" s="1"/>
  <c r="F43" i="8"/>
  <c r="AB43" i="8"/>
  <c r="AC29" i="8"/>
  <c r="AC12" i="8"/>
  <c r="F19" i="9"/>
  <c r="C6" i="10" s="1"/>
  <c r="F20" i="9"/>
  <c r="D6" i="10" s="1"/>
  <c r="AC55" i="8"/>
  <c r="B20" i="9"/>
  <c r="D2" i="10" s="1"/>
  <c r="C14" i="9"/>
  <c r="C13" i="9" s="1"/>
  <c r="B19" i="9"/>
  <c r="C2" i="10" s="1"/>
  <c r="AC30" i="8"/>
  <c r="AD32" i="8"/>
  <c r="AD57" i="8"/>
  <c r="AD46" i="8"/>
  <c r="AC7" i="8"/>
  <c r="AC53" i="8"/>
  <c r="AB51" i="8"/>
  <c r="F51" i="8"/>
  <c r="AC45" i="8"/>
  <c r="AC25" i="8"/>
  <c r="AC15" i="8"/>
  <c r="AC17" i="8"/>
  <c r="AD35" i="8"/>
  <c r="AC2" i="8"/>
  <c r="F47" i="8"/>
  <c r="AB47" i="8"/>
  <c r="H13" i="5"/>
  <c r="AC58" i="8"/>
  <c r="AC21" i="8"/>
  <c r="N51" i="8"/>
  <c r="F28" i="8"/>
  <c r="AB28" i="8"/>
  <c r="C19" i="9"/>
  <c r="C3" i="10" s="1"/>
  <c r="C20" i="9"/>
  <c r="D3" i="10" s="1"/>
  <c r="D14" i="9"/>
  <c r="D13" i="9" s="1"/>
  <c r="E15" i="9"/>
  <c r="B4" i="10"/>
  <c r="AD55" i="8" l="1"/>
  <c r="AD13" i="8"/>
  <c r="G60" i="8"/>
  <c r="V60" i="8" s="1"/>
  <c r="G55" i="8"/>
  <c r="V55" i="8" s="1"/>
  <c r="G50" i="8"/>
  <c r="V50" i="8" s="1"/>
  <c r="G45" i="8"/>
  <c r="V45" i="8" s="1"/>
  <c r="F59" i="11"/>
  <c r="F19" i="11"/>
  <c r="F64" i="11"/>
  <c r="F24" i="11"/>
  <c r="F69" i="11"/>
  <c r="F29" i="11"/>
  <c r="F74" i="11"/>
  <c r="F39" i="11"/>
  <c r="F44" i="11"/>
  <c r="F49" i="11"/>
  <c r="F54" i="11"/>
  <c r="F34" i="11"/>
  <c r="G40" i="8"/>
  <c r="V40" i="8" s="1"/>
  <c r="G35" i="8"/>
  <c r="V35" i="8" s="1"/>
  <c r="G30" i="8"/>
  <c r="V30" i="8" s="1"/>
  <c r="G25" i="8"/>
  <c r="V25" i="8" s="1"/>
  <c r="G20" i="8"/>
  <c r="V20" i="8" s="1"/>
  <c r="G15" i="8"/>
  <c r="V15" i="8" s="1"/>
  <c r="G10" i="8"/>
  <c r="V10" i="8" s="1"/>
  <c r="G5" i="8"/>
  <c r="V5" i="8" s="1"/>
  <c r="AD45" i="8"/>
  <c r="AD16" i="8"/>
  <c r="G59" i="8"/>
  <c r="V59" i="8" s="1"/>
  <c r="G54" i="8"/>
  <c r="V54" i="8" s="1"/>
  <c r="G49" i="8"/>
  <c r="V49" i="8" s="1"/>
  <c r="G44" i="8"/>
  <c r="V44" i="8" s="1"/>
  <c r="F43" i="11"/>
  <c r="F48" i="11"/>
  <c r="F53" i="11"/>
  <c r="F63" i="11"/>
  <c r="F23" i="11"/>
  <c r="F68" i="11"/>
  <c r="F28" i="11"/>
  <c r="F73" i="11"/>
  <c r="F33" i="11"/>
  <c r="F38" i="11"/>
  <c r="F58" i="11"/>
  <c r="F18" i="11"/>
  <c r="G39" i="8"/>
  <c r="V39" i="8" s="1"/>
  <c r="G34" i="8"/>
  <c r="V34" i="8" s="1"/>
  <c r="G29" i="8"/>
  <c r="V29" i="8" s="1"/>
  <c r="G24" i="8"/>
  <c r="V24" i="8" s="1"/>
  <c r="G19" i="8"/>
  <c r="V19" i="8" s="1"/>
  <c r="G14" i="8"/>
  <c r="V14" i="8" s="1"/>
  <c r="G9" i="8"/>
  <c r="G4" i="8"/>
  <c r="V4" i="8" s="1"/>
  <c r="AD30" i="8"/>
  <c r="AD10" i="8"/>
  <c r="AC3" i="8"/>
  <c r="G58" i="8"/>
  <c r="V58" i="8" s="1"/>
  <c r="G53" i="8"/>
  <c r="V53" i="8" s="1"/>
  <c r="G48" i="8"/>
  <c r="V48" i="8" s="1"/>
  <c r="F67" i="11"/>
  <c r="F27" i="11"/>
  <c r="F72" i="11"/>
  <c r="F32" i="11"/>
  <c r="F37" i="11"/>
  <c r="F47" i="11"/>
  <c r="F52" i="11"/>
  <c r="F57" i="11"/>
  <c r="F17" i="11"/>
  <c r="F62" i="11"/>
  <c r="F22" i="11"/>
  <c r="F42" i="11"/>
  <c r="G43" i="8"/>
  <c r="V43" i="8" s="1"/>
  <c r="G38" i="8"/>
  <c r="V38" i="8" s="1"/>
  <c r="G33" i="8"/>
  <c r="V33" i="8" s="1"/>
  <c r="G28" i="8"/>
  <c r="V28" i="8" s="1"/>
  <c r="G23" i="8"/>
  <c r="V23" i="8" s="1"/>
  <c r="G18" i="8"/>
  <c r="V18" i="8" s="1"/>
  <c r="G13" i="8"/>
  <c r="V13" i="8" s="1"/>
  <c r="G8" i="8"/>
  <c r="V8" i="8" s="1"/>
  <c r="G3" i="8"/>
  <c r="V3" i="8" s="1"/>
  <c r="G57" i="8"/>
  <c r="V57" i="8" s="1"/>
  <c r="G52" i="8"/>
  <c r="V52" i="8" s="1"/>
  <c r="G47" i="8"/>
  <c r="V47" i="8" s="1"/>
  <c r="F51" i="11"/>
  <c r="F56" i="11"/>
  <c r="F16" i="11"/>
  <c r="F61" i="11"/>
  <c r="F21" i="11"/>
  <c r="F71" i="11"/>
  <c r="F31" i="11"/>
  <c r="F36" i="11"/>
  <c r="F41" i="11"/>
  <c r="F46" i="11"/>
  <c r="F66" i="11"/>
  <c r="F26" i="11"/>
  <c r="G37" i="8"/>
  <c r="V37" i="8" s="1"/>
  <c r="G32" i="8"/>
  <c r="V32" i="8" s="1"/>
  <c r="G27" i="8"/>
  <c r="V27" i="8" s="1"/>
  <c r="G22" i="8"/>
  <c r="V22" i="8" s="1"/>
  <c r="G17" i="8"/>
  <c r="V17" i="8" s="1"/>
  <c r="G12" i="8"/>
  <c r="V12" i="8" s="1"/>
  <c r="G42" i="8"/>
  <c r="V42" i="8" s="1"/>
  <c r="G7" i="8"/>
  <c r="V7" i="8" s="1"/>
  <c r="G2" i="8"/>
  <c r="V2" i="8" s="1"/>
  <c r="AD24" i="8"/>
  <c r="AC18" i="8"/>
  <c r="AD25" i="8"/>
  <c r="AD8" i="8"/>
  <c r="AD26" i="8"/>
  <c r="AD17" i="8"/>
  <c r="H7" i="5"/>
  <c r="G75" i="11"/>
  <c r="G70" i="11"/>
  <c r="G65" i="11"/>
  <c r="G60" i="11"/>
  <c r="G55" i="11"/>
  <c r="G50" i="11"/>
  <c r="G45" i="11"/>
  <c r="G40" i="11"/>
  <c r="G35" i="11"/>
  <c r="G30" i="11"/>
  <c r="G25" i="11"/>
  <c r="G20" i="11"/>
  <c r="H61" i="8"/>
  <c r="R61" i="8" s="1"/>
  <c r="U61" i="8" s="1"/>
  <c r="W61" i="8" s="1"/>
  <c r="H51" i="8"/>
  <c r="R51" i="8" s="1"/>
  <c r="H41" i="8"/>
  <c r="R41" i="8" s="1"/>
  <c r="U41" i="8" s="1"/>
  <c r="W41" i="8" s="1"/>
  <c r="H36" i="8"/>
  <c r="R36" i="8" s="1"/>
  <c r="U36" i="8" s="1"/>
  <c r="W36" i="8" s="1"/>
  <c r="H31" i="8"/>
  <c r="R31" i="8" s="1"/>
  <c r="H46" i="8"/>
  <c r="R46" i="8" s="1"/>
  <c r="H26" i="8"/>
  <c r="R26" i="8" s="1"/>
  <c r="H56" i="8"/>
  <c r="R56" i="8" s="1"/>
  <c r="H21" i="8"/>
  <c r="R21" i="8" s="1"/>
  <c r="H16" i="8"/>
  <c r="R16" i="8" s="1"/>
  <c r="H11" i="8"/>
  <c r="R11" i="8" s="1"/>
  <c r="U11" i="8" s="1"/>
  <c r="W11" i="8" s="1"/>
  <c r="H6" i="8"/>
  <c r="R6" i="8" s="1"/>
  <c r="U6" i="8" s="1"/>
  <c r="W6" i="8" s="1"/>
  <c r="AC19" i="8"/>
  <c r="AC9" i="8"/>
  <c r="G74" i="11"/>
  <c r="G69" i="11"/>
  <c r="G64" i="11"/>
  <c r="G59" i="11"/>
  <c r="G54" i="11"/>
  <c r="G49" i="11"/>
  <c r="G44" i="11"/>
  <c r="G39" i="11"/>
  <c r="G34" i="11"/>
  <c r="G29" i="11"/>
  <c r="G24" i="11"/>
  <c r="G19" i="11"/>
  <c r="H60" i="8"/>
  <c r="R60" i="8" s="1"/>
  <c r="H55" i="8"/>
  <c r="R55" i="8" s="1"/>
  <c r="H50" i="8"/>
  <c r="R50" i="8" s="1"/>
  <c r="H40" i="8"/>
  <c r="R40" i="8" s="1"/>
  <c r="U40" i="8" s="1"/>
  <c r="W40" i="8" s="1"/>
  <c r="H35" i="8"/>
  <c r="R35" i="8" s="1"/>
  <c r="H45" i="8"/>
  <c r="R45" i="8" s="1"/>
  <c r="H30" i="8"/>
  <c r="R30" i="8" s="1"/>
  <c r="U30" i="8" s="1"/>
  <c r="W30" i="8" s="1"/>
  <c r="H25" i="8"/>
  <c r="R25" i="8" s="1"/>
  <c r="H5" i="8"/>
  <c r="R5" i="8" s="1"/>
  <c r="H20" i="8"/>
  <c r="R20" i="8" s="1"/>
  <c r="H15" i="8"/>
  <c r="R15" i="8" s="1"/>
  <c r="H10" i="8"/>
  <c r="R10" i="8" s="1"/>
  <c r="AD4" i="8"/>
  <c r="AD29" i="8"/>
  <c r="AD5" i="8"/>
  <c r="H75" i="11"/>
  <c r="H40" i="11"/>
  <c r="H45" i="11"/>
  <c r="H50" i="11"/>
  <c r="H60" i="11"/>
  <c r="H20" i="11"/>
  <c r="H65" i="11"/>
  <c r="H25" i="11"/>
  <c r="I61" i="8"/>
  <c r="S61" i="8" s="1"/>
  <c r="I51" i="8"/>
  <c r="S51" i="8" s="1"/>
  <c r="H70" i="11"/>
  <c r="H30" i="11"/>
  <c r="H35" i="11"/>
  <c r="H55" i="11"/>
  <c r="I41" i="8"/>
  <c r="S41" i="8" s="1"/>
  <c r="I46" i="8"/>
  <c r="S46" i="8" s="1"/>
  <c r="I26" i="8"/>
  <c r="S26" i="8" s="1"/>
  <c r="I16" i="8"/>
  <c r="S16" i="8" s="1"/>
  <c r="I11" i="8"/>
  <c r="S11" i="8" s="1"/>
  <c r="I36" i="8"/>
  <c r="S36" i="8" s="1"/>
  <c r="I31" i="8"/>
  <c r="S31" i="8" s="1"/>
  <c r="I56" i="8"/>
  <c r="S56" i="8" s="1"/>
  <c r="I21" i="8"/>
  <c r="S21" i="8" s="1"/>
  <c r="I6" i="8"/>
  <c r="S6" i="8" s="1"/>
  <c r="H64" i="11"/>
  <c r="H24" i="11"/>
  <c r="H69" i="11"/>
  <c r="H29" i="11"/>
  <c r="H74" i="11"/>
  <c r="H34" i="11"/>
  <c r="H44" i="11"/>
  <c r="H49" i="11"/>
  <c r="I55" i="8"/>
  <c r="S55" i="8" s="1"/>
  <c r="I45" i="8"/>
  <c r="S45" i="8" s="1"/>
  <c r="H54" i="11"/>
  <c r="H59" i="11"/>
  <c r="H19" i="11"/>
  <c r="H39" i="11"/>
  <c r="I60" i="8"/>
  <c r="S60" i="8" s="1"/>
  <c r="I35" i="8"/>
  <c r="S35" i="8" s="1"/>
  <c r="I20" i="8"/>
  <c r="S20" i="8" s="1"/>
  <c r="I15" i="8"/>
  <c r="S15" i="8" s="1"/>
  <c r="I10" i="8"/>
  <c r="S10" i="8" s="1"/>
  <c r="I50" i="8"/>
  <c r="S50" i="8" s="1"/>
  <c r="I40" i="8"/>
  <c r="S40" i="8" s="1"/>
  <c r="I30" i="8"/>
  <c r="S30" i="8" s="1"/>
  <c r="I5" i="8"/>
  <c r="S5" i="8" s="1"/>
  <c r="I25" i="8"/>
  <c r="S25" i="8" s="1"/>
  <c r="AD15" i="8"/>
  <c r="H56" i="11"/>
  <c r="H16" i="11"/>
  <c r="H61" i="11"/>
  <c r="H21" i="11"/>
  <c r="H66" i="11"/>
  <c r="H26" i="11"/>
  <c r="H71" i="11"/>
  <c r="H36" i="11"/>
  <c r="H41" i="11"/>
  <c r="I57" i="8"/>
  <c r="S57" i="8" s="1"/>
  <c r="I47" i="8"/>
  <c r="S47" i="8" s="1"/>
  <c r="H46" i="11"/>
  <c r="H51" i="11"/>
  <c r="I42" i="8"/>
  <c r="S42" i="8" s="1"/>
  <c r="H31" i="11"/>
  <c r="I22" i="8"/>
  <c r="S22" i="8" s="1"/>
  <c r="I27" i="8"/>
  <c r="S27" i="8" s="1"/>
  <c r="I52" i="8"/>
  <c r="S52" i="8" s="1"/>
  <c r="I12" i="8"/>
  <c r="S12" i="8" s="1"/>
  <c r="I17" i="8"/>
  <c r="S17" i="8" s="1"/>
  <c r="I37" i="8"/>
  <c r="S37" i="8" s="1"/>
  <c r="I32" i="8"/>
  <c r="S32" i="8" s="1"/>
  <c r="I7" i="8"/>
  <c r="S7" i="8" s="1"/>
  <c r="I2" i="8"/>
  <c r="S2" i="8" s="1"/>
  <c r="AD12" i="8"/>
  <c r="G73" i="11"/>
  <c r="G68" i="11"/>
  <c r="G63" i="11"/>
  <c r="G58" i="11"/>
  <c r="G53" i="11"/>
  <c r="G48" i="11"/>
  <c r="G43" i="11"/>
  <c r="G38" i="11"/>
  <c r="G33" i="11"/>
  <c r="G28" i="11"/>
  <c r="G23" i="11"/>
  <c r="G18" i="11"/>
  <c r="H59" i="8"/>
  <c r="R59" i="8" s="1"/>
  <c r="H49" i="8"/>
  <c r="R49" i="8" s="1"/>
  <c r="U49" i="8" s="1"/>
  <c r="W49" i="8" s="1"/>
  <c r="H54" i="8"/>
  <c r="R54" i="8" s="1"/>
  <c r="H39" i="8"/>
  <c r="R39" i="8" s="1"/>
  <c r="H19" i="8"/>
  <c r="R19" i="8" s="1"/>
  <c r="H34" i="8"/>
  <c r="R34" i="8" s="1"/>
  <c r="H44" i="8"/>
  <c r="R44" i="8" s="1"/>
  <c r="U44" i="8" s="1"/>
  <c r="W44" i="8" s="1"/>
  <c r="H24" i="8"/>
  <c r="R24" i="8" s="1"/>
  <c r="H29" i="8"/>
  <c r="R29" i="8" s="1"/>
  <c r="U29" i="8" s="1"/>
  <c r="W29" i="8" s="1"/>
  <c r="H14" i="8"/>
  <c r="R14" i="8" s="1"/>
  <c r="H4" i="8"/>
  <c r="R4" i="8" s="1"/>
  <c r="H9" i="8"/>
  <c r="R9" i="8" s="1"/>
  <c r="AC11" i="8"/>
  <c r="H11" i="5"/>
  <c r="AD20" i="8"/>
  <c r="V9" i="8"/>
  <c r="H4" i="5"/>
  <c r="AD14" i="8"/>
  <c r="AD7" i="8"/>
  <c r="G71" i="11"/>
  <c r="G66" i="11"/>
  <c r="G61" i="11"/>
  <c r="G56" i="11"/>
  <c r="G51" i="11"/>
  <c r="G46" i="11"/>
  <c r="G41" i="11"/>
  <c r="G36" i="11"/>
  <c r="G31" i="11"/>
  <c r="G26" i="11"/>
  <c r="G21" i="11"/>
  <c r="G16" i="11"/>
  <c r="H57" i="8"/>
  <c r="R57" i="8" s="1"/>
  <c r="H47" i="8"/>
  <c r="R47" i="8" s="1"/>
  <c r="U47" i="8" s="1"/>
  <c r="W47" i="8" s="1"/>
  <c r="X47" i="8" s="1"/>
  <c r="H22" i="8"/>
  <c r="R22" i="8" s="1"/>
  <c r="H42" i="8"/>
  <c r="R42" i="8" s="1"/>
  <c r="U42" i="8" s="1"/>
  <c r="W42" i="8" s="1"/>
  <c r="H27" i="8"/>
  <c r="R27" i="8" s="1"/>
  <c r="U27" i="8" s="1"/>
  <c r="W27" i="8" s="1"/>
  <c r="H32" i="8"/>
  <c r="R32" i="8" s="1"/>
  <c r="H17" i="8"/>
  <c r="R17" i="8" s="1"/>
  <c r="H2" i="8"/>
  <c r="R2" i="8" s="1"/>
  <c r="H37" i="8"/>
  <c r="R37" i="8" s="1"/>
  <c r="H12" i="8"/>
  <c r="R12" i="8" s="1"/>
  <c r="U12" i="8" s="1"/>
  <c r="W12" i="8" s="1"/>
  <c r="H7" i="8"/>
  <c r="R7" i="8" s="1"/>
  <c r="H52" i="8"/>
  <c r="R52" i="8" s="1"/>
  <c r="U52" i="8" s="1"/>
  <c r="W52" i="8" s="1"/>
  <c r="H72" i="11"/>
  <c r="H32" i="11"/>
  <c r="H37" i="11"/>
  <c r="H42" i="11"/>
  <c r="H52" i="11"/>
  <c r="H57" i="11"/>
  <c r="H17" i="11"/>
  <c r="I53" i="8"/>
  <c r="S53" i="8" s="1"/>
  <c r="H62" i="11"/>
  <c r="H22" i="11"/>
  <c r="H67" i="11"/>
  <c r="H27" i="11"/>
  <c r="H47" i="11"/>
  <c r="I48" i="8"/>
  <c r="S48" i="8" s="1"/>
  <c r="I58" i="8"/>
  <c r="S58" i="8" s="1"/>
  <c r="I18" i="8"/>
  <c r="S18" i="8" s="1"/>
  <c r="I23" i="8"/>
  <c r="S23" i="8" s="1"/>
  <c r="I43" i="8"/>
  <c r="S43" i="8" s="1"/>
  <c r="I38" i="8"/>
  <c r="S38" i="8" s="1"/>
  <c r="I28" i="8"/>
  <c r="S28" i="8" s="1"/>
  <c r="I13" i="8"/>
  <c r="S13" i="8" s="1"/>
  <c r="I8" i="8"/>
  <c r="S8" i="8" s="1"/>
  <c r="I33" i="8"/>
  <c r="S33" i="8" s="1"/>
  <c r="I3" i="8"/>
  <c r="S3" i="8" s="1"/>
  <c r="AD58" i="8"/>
  <c r="AD31" i="8"/>
  <c r="AD6" i="8"/>
  <c r="AD47" i="8"/>
  <c r="AD23" i="8"/>
  <c r="AD51" i="8"/>
  <c r="V61" i="8"/>
  <c r="AC61" i="8"/>
  <c r="AC27" i="8"/>
  <c r="AC28" i="8"/>
  <c r="AD21" i="8"/>
  <c r="G72" i="11"/>
  <c r="G67" i="11"/>
  <c r="G62" i="11"/>
  <c r="G57" i="11"/>
  <c r="G52" i="11"/>
  <c r="G47" i="11"/>
  <c r="G42" i="11"/>
  <c r="G37" i="11"/>
  <c r="G32" i="11"/>
  <c r="G27" i="11"/>
  <c r="G22" i="11"/>
  <c r="G17" i="11"/>
  <c r="H53" i="8"/>
  <c r="R53" i="8" s="1"/>
  <c r="H48" i="8"/>
  <c r="R48" i="8" s="1"/>
  <c r="H58" i="8"/>
  <c r="R58" i="8" s="1"/>
  <c r="U58" i="8" s="1"/>
  <c r="W58" i="8" s="1"/>
  <c r="H43" i="8"/>
  <c r="R43" i="8" s="1"/>
  <c r="H18" i="8"/>
  <c r="R18" i="8" s="1"/>
  <c r="U18" i="8" s="1"/>
  <c r="W18" i="8" s="1"/>
  <c r="H23" i="8"/>
  <c r="R23" i="8" s="1"/>
  <c r="U23" i="8" s="1"/>
  <c r="W23" i="8" s="1"/>
  <c r="H38" i="8"/>
  <c r="R38" i="8" s="1"/>
  <c r="H8" i="8"/>
  <c r="R8" i="8" s="1"/>
  <c r="H13" i="8"/>
  <c r="R13" i="8" s="1"/>
  <c r="H33" i="8"/>
  <c r="R33" i="8" s="1"/>
  <c r="U33" i="8" s="1"/>
  <c r="W33" i="8" s="1"/>
  <c r="H3" i="8"/>
  <c r="R3" i="8" s="1"/>
  <c r="H28" i="8"/>
  <c r="R28" i="8" s="1"/>
  <c r="U28" i="8" s="1"/>
  <c r="W28" i="8" s="1"/>
  <c r="AD2" i="8"/>
  <c r="AD53" i="8"/>
  <c r="H48" i="11"/>
  <c r="H53" i="11"/>
  <c r="H58" i="11"/>
  <c r="H18" i="11"/>
  <c r="H68" i="11"/>
  <c r="H28" i="11"/>
  <c r="H73" i="11"/>
  <c r="H33" i="11"/>
  <c r="I49" i="8"/>
  <c r="S49" i="8" s="1"/>
  <c r="H38" i="11"/>
  <c r="H43" i="11"/>
  <c r="I59" i="8"/>
  <c r="S59" i="8" s="1"/>
  <c r="H23" i="11"/>
  <c r="H63" i="11"/>
  <c r="I54" i="8"/>
  <c r="S54" i="8" s="1"/>
  <c r="I39" i="8"/>
  <c r="S39" i="8" s="1"/>
  <c r="I19" i="8"/>
  <c r="S19" i="8" s="1"/>
  <c r="I34" i="8"/>
  <c r="S34" i="8" s="1"/>
  <c r="I24" i="8"/>
  <c r="S24" i="8" s="1"/>
  <c r="I14" i="8"/>
  <c r="S14" i="8" s="1"/>
  <c r="I9" i="8"/>
  <c r="S9" i="8" s="1"/>
  <c r="I29" i="8"/>
  <c r="S29" i="8" s="1"/>
  <c r="I4" i="8"/>
  <c r="S4" i="8" s="1"/>
  <c r="I44" i="8"/>
  <c r="S44" i="8" s="1"/>
  <c r="U21" i="8" l="1"/>
  <c r="W21" i="8" s="1"/>
  <c r="U17" i="8"/>
  <c r="W17" i="8" s="1"/>
  <c r="AD3" i="8"/>
  <c r="AE28" i="8"/>
  <c r="Z28" i="8"/>
  <c r="U43" i="8"/>
  <c r="W43" i="8" s="1"/>
  <c r="U7" i="8"/>
  <c r="W7" i="8" s="1"/>
  <c r="U22" i="8"/>
  <c r="W22" i="8" s="1"/>
  <c r="U24" i="8"/>
  <c r="W24" i="8" s="1"/>
  <c r="U35" i="8"/>
  <c r="W35" i="8" s="1"/>
  <c r="U16" i="8"/>
  <c r="W16" i="8" s="1"/>
  <c r="U51" i="8"/>
  <c r="W51" i="8" s="1"/>
  <c r="AE49" i="8"/>
  <c r="AF49" i="8" s="1"/>
  <c r="K7" i="5" s="1"/>
  <c r="Z49" i="8"/>
  <c r="AA49" i="8" s="1"/>
  <c r="X49" i="8"/>
  <c r="C7" i="5" s="1"/>
  <c r="Z6" i="8"/>
  <c r="AA6" i="8" s="1"/>
  <c r="AE6" i="8"/>
  <c r="AF6" i="8" s="1"/>
  <c r="L14" i="5" s="1"/>
  <c r="X6" i="8"/>
  <c r="D14" i="5" s="1"/>
  <c r="AD61" i="8"/>
  <c r="Z42" i="8"/>
  <c r="AA42" i="8" s="1"/>
  <c r="AE42" i="8"/>
  <c r="AF42" i="8" s="1"/>
  <c r="X42" i="8"/>
  <c r="U59" i="8"/>
  <c r="W59" i="8" s="1"/>
  <c r="Z41" i="8"/>
  <c r="AA41" i="8" s="1"/>
  <c r="AE41" i="8"/>
  <c r="AF41" i="8" s="1"/>
  <c r="L6" i="5" s="1"/>
  <c r="O6" i="5" s="1"/>
  <c r="X41" i="8"/>
  <c r="D6" i="5" s="1"/>
  <c r="AD9" i="8"/>
  <c r="AE61" i="8"/>
  <c r="Z61" i="8"/>
  <c r="AA61" i="8" s="1"/>
  <c r="AE33" i="8"/>
  <c r="AF33" i="8" s="1"/>
  <c r="Z33" i="8"/>
  <c r="AA33" i="8" s="1"/>
  <c r="X33" i="8"/>
  <c r="U48" i="8"/>
  <c r="W48" i="8" s="1"/>
  <c r="U37" i="8"/>
  <c r="W37" i="8" s="1"/>
  <c r="U57" i="8"/>
  <c r="W57" i="8" s="1"/>
  <c r="AD11" i="8"/>
  <c r="U34" i="8"/>
  <c r="W34" i="8" s="1"/>
  <c r="U15" i="8"/>
  <c r="W15" i="8" s="1"/>
  <c r="U50" i="8"/>
  <c r="W50" i="8" s="1"/>
  <c r="U56" i="8"/>
  <c r="W56" i="8" s="1"/>
  <c r="AE23" i="8"/>
  <c r="AF23" i="8" s="1"/>
  <c r="Z23" i="8"/>
  <c r="AA23" i="8" s="1"/>
  <c r="X23" i="8"/>
  <c r="U14" i="8"/>
  <c r="W14" i="8" s="1"/>
  <c r="AE30" i="8"/>
  <c r="Z30" i="8"/>
  <c r="AA30" i="8" s="1"/>
  <c r="X30" i="8"/>
  <c r="AE36" i="8"/>
  <c r="AF36" i="8" s="1"/>
  <c r="L3" i="5" s="1"/>
  <c r="Z36" i="8"/>
  <c r="AA36" i="8" s="1"/>
  <c r="X36" i="8"/>
  <c r="D3" i="5" s="1"/>
  <c r="AE18" i="8"/>
  <c r="Z18" i="8"/>
  <c r="AA18" i="8" s="1"/>
  <c r="AE52" i="8"/>
  <c r="AF52" i="8" s="1"/>
  <c r="Z52" i="8"/>
  <c r="AA52" i="8" s="1"/>
  <c r="X52" i="8"/>
  <c r="AE29" i="8"/>
  <c r="AF29" i="8" s="1"/>
  <c r="K12" i="5" s="1"/>
  <c r="Z29" i="8"/>
  <c r="AA29" i="8" s="1"/>
  <c r="X29" i="8"/>
  <c r="C12" i="5" s="1"/>
  <c r="U45" i="8"/>
  <c r="W45" i="8" s="1"/>
  <c r="AE11" i="8"/>
  <c r="Z11" i="8"/>
  <c r="AA11" i="8" s="1"/>
  <c r="U3" i="8"/>
  <c r="AE12" i="8"/>
  <c r="AF12" i="8" s="1"/>
  <c r="Z12" i="8"/>
  <c r="AA12" i="8" s="1"/>
  <c r="X12" i="8"/>
  <c r="Z40" i="8"/>
  <c r="AA40" i="8" s="1"/>
  <c r="AE40" i="8"/>
  <c r="AF40" i="8" s="1"/>
  <c r="X40" i="8"/>
  <c r="AE21" i="8"/>
  <c r="AF21" i="8" s="1"/>
  <c r="L8" i="5" s="1"/>
  <c r="Z21" i="8"/>
  <c r="AA21" i="8" s="1"/>
  <c r="X21" i="8"/>
  <c r="D8" i="5" s="1"/>
  <c r="U13" i="8"/>
  <c r="W13" i="8" s="1"/>
  <c r="U53" i="8"/>
  <c r="W53" i="8" s="1"/>
  <c r="X28" i="8"/>
  <c r="U2" i="8"/>
  <c r="X11" i="8"/>
  <c r="D11" i="5" s="1"/>
  <c r="U19" i="8"/>
  <c r="W19" i="8" s="1"/>
  <c r="U20" i="8"/>
  <c r="W20" i="8" s="1"/>
  <c r="U55" i="8"/>
  <c r="W55" i="8" s="1"/>
  <c r="AD19" i="8"/>
  <c r="U26" i="8"/>
  <c r="W26" i="8" s="1"/>
  <c r="X18" i="8"/>
  <c r="AE58" i="8"/>
  <c r="Z58" i="8"/>
  <c r="AA58" i="8" s="1"/>
  <c r="X58" i="8"/>
  <c r="AE47" i="8"/>
  <c r="AF47" i="8" s="1"/>
  <c r="Z47" i="8"/>
  <c r="AA47" i="8" s="1"/>
  <c r="AE44" i="8"/>
  <c r="AF44" i="8" s="1"/>
  <c r="K10" i="5" s="1"/>
  <c r="Z44" i="8"/>
  <c r="AA44" i="8" s="1"/>
  <c r="X44" i="8"/>
  <c r="C10" i="5" s="1"/>
  <c r="U10" i="8"/>
  <c r="W10" i="8" s="1"/>
  <c r="U8" i="8"/>
  <c r="W8" i="8" s="1"/>
  <c r="AA28" i="8"/>
  <c r="AD28" i="8"/>
  <c r="AE17" i="8"/>
  <c r="AF17" i="8" s="1"/>
  <c r="Z17" i="8"/>
  <c r="AA17" i="8" s="1"/>
  <c r="X17" i="8"/>
  <c r="U9" i="8"/>
  <c r="W9" i="8" s="1"/>
  <c r="U39" i="8"/>
  <c r="W39" i="8" s="1"/>
  <c r="U5" i="8"/>
  <c r="W5" i="8" s="1"/>
  <c r="U60" i="8"/>
  <c r="W60" i="8" s="1"/>
  <c r="U46" i="8"/>
  <c r="W46" i="8" s="1"/>
  <c r="AD18" i="8"/>
  <c r="AF18" i="8" s="1"/>
  <c r="AF30" i="8"/>
  <c r="AA27" i="8"/>
  <c r="AD27" i="8"/>
  <c r="AE27" i="8"/>
  <c r="Z27" i="8"/>
  <c r="U38" i="8"/>
  <c r="W38" i="8" s="1"/>
  <c r="X27" i="8"/>
  <c r="AF58" i="8"/>
  <c r="U32" i="8"/>
  <c r="X61" i="8"/>
  <c r="D4" i="5" s="1"/>
  <c r="U4" i="8"/>
  <c r="W4" i="8" s="1"/>
  <c r="U54" i="8"/>
  <c r="W54" i="8" s="1"/>
  <c r="U25" i="8"/>
  <c r="W25" i="8" s="1"/>
  <c r="U31" i="8"/>
  <c r="W31" i="8" s="1"/>
  <c r="O3" i="5" l="1"/>
  <c r="AF28" i="8"/>
  <c r="O14" i="5"/>
  <c r="O8" i="5"/>
  <c r="AE8" i="8"/>
  <c r="AF8" i="8" s="1"/>
  <c r="Z8" i="8"/>
  <c r="AA8" i="8" s="1"/>
  <c r="X8" i="8"/>
  <c r="AE55" i="8"/>
  <c r="AF55" i="8" s="1"/>
  <c r="Z55" i="8"/>
  <c r="AA55" i="8" s="1"/>
  <c r="X55" i="8"/>
  <c r="AE53" i="8"/>
  <c r="AF53" i="8" s="1"/>
  <c r="Z53" i="8"/>
  <c r="AA53" i="8" s="1"/>
  <c r="X53" i="8"/>
  <c r="AE45" i="8"/>
  <c r="AF45" i="8" s="1"/>
  <c r="Z45" i="8"/>
  <c r="AA45" i="8" s="1"/>
  <c r="X45" i="8"/>
  <c r="AE50" i="8"/>
  <c r="AF50" i="8" s="1"/>
  <c r="Z50" i="8"/>
  <c r="AA50" i="8" s="1"/>
  <c r="X50" i="8"/>
  <c r="AE48" i="8"/>
  <c r="AF48" i="8" s="1"/>
  <c r="M7" i="5" s="1"/>
  <c r="Z48" i="8"/>
  <c r="AA48" i="8" s="1"/>
  <c r="X48" i="8"/>
  <c r="F10" i="5"/>
  <c r="AE16" i="8"/>
  <c r="AF16" i="8" s="1"/>
  <c r="L5" i="5" s="1"/>
  <c r="O5" i="5" s="1"/>
  <c r="Z16" i="8"/>
  <c r="AA16" i="8" s="1"/>
  <c r="X16" i="8"/>
  <c r="D5" i="5" s="1"/>
  <c r="AE57" i="8"/>
  <c r="AF57" i="8" s="1"/>
  <c r="Z57" i="8"/>
  <c r="AA57" i="8" s="1"/>
  <c r="X57" i="8"/>
  <c r="AE59" i="8"/>
  <c r="AF59" i="8" s="1"/>
  <c r="K4" i="5" s="1"/>
  <c r="Z59" i="8"/>
  <c r="AA59" i="8" s="1"/>
  <c r="X59" i="8"/>
  <c r="C4" i="5" s="1"/>
  <c r="AE51" i="8"/>
  <c r="AF51" i="8" s="1"/>
  <c r="L7" i="5" s="1"/>
  <c r="O7" i="5" s="1"/>
  <c r="Z51" i="8"/>
  <c r="AA51" i="8" s="1"/>
  <c r="X51" i="8"/>
  <c r="D7" i="5" s="1"/>
  <c r="AE43" i="8"/>
  <c r="AF43" i="8" s="1"/>
  <c r="Z43" i="8"/>
  <c r="AA43" i="8" s="1"/>
  <c r="X43" i="8"/>
  <c r="E10" i="5" s="1"/>
  <c r="AE31" i="8"/>
  <c r="AF31" i="8" s="1"/>
  <c r="L12" i="5" s="1"/>
  <c r="O12" i="5" s="1"/>
  <c r="Z31" i="8"/>
  <c r="AA31" i="8" s="1"/>
  <c r="X31" i="8"/>
  <c r="D12" i="5" s="1"/>
  <c r="AE39" i="8"/>
  <c r="AF39" i="8" s="1"/>
  <c r="K6" i="5" s="1"/>
  <c r="Z39" i="8"/>
  <c r="AA39" i="8" s="1"/>
  <c r="X39" i="8"/>
  <c r="C6" i="5" s="1"/>
  <c r="AE20" i="8"/>
  <c r="AF20" i="8" s="1"/>
  <c r="Z20" i="8"/>
  <c r="AA20" i="8" s="1"/>
  <c r="X20" i="8"/>
  <c r="AE13" i="8"/>
  <c r="AF13" i="8" s="1"/>
  <c r="M5" i="5" s="1"/>
  <c r="Z13" i="8"/>
  <c r="AA13" i="8" s="1"/>
  <c r="X13" i="8"/>
  <c r="AE14" i="8"/>
  <c r="AF14" i="8" s="1"/>
  <c r="K5" i="5" s="1"/>
  <c r="Z14" i="8"/>
  <c r="AA14" i="8" s="1"/>
  <c r="X14" i="8"/>
  <c r="C5" i="5" s="1"/>
  <c r="AE15" i="8"/>
  <c r="AF15" i="8" s="1"/>
  <c r="Z15" i="8"/>
  <c r="AA15" i="8" s="1"/>
  <c r="X15" i="8"/>
  <c r="AE35" i="8"/>
  <c r="AF35" i="8" s="1"/>
  <c r="Z35" i="8"/>
  <c r="AA35" i="8" s="1"/>
  <c r="X35" i="8"/>
  <c r="AE60" i="8"/>
  <c r="AF60" i="8" s="1"/>
  <c r="Z60" i="8"/>
  <c r="AA60" i="8" s="1"/>
  <c r="X60" i="8"/>
  <c r="AE37" i="8"/>
  <c r="AF37" i="8" s="1"/>
  <c r="Z37" i="8"/>
  <c r="AA37" i="8" s="1"/>
  <c r="X37" i="8"/>
  <c r="AE34" i="8"/>
  <c r="AF34" i="8" s="1"/>
  <c r="K3" i="5" s="1"/>
  <c r="Z34" i="8"/>
  <c r="AA34" i="8" s="1"/>
  <c r="X34" i="8"/>
  <c r="C3" i="5" s="1"/>
  <c r="AE24" i="8"/>
  <c r="AF24" i="8" s="1"/>
  <c r="K13" i="5" s="1"/>
  <c r="Z24" i="8"/>
  <c r="AA24" i="8" s="1"/>
  <c r="X24" i="8"/>
  <c r="C13" i="5" s="1"/>
  <c r="AE32" i="8"/>
  <c r="AF32" i="8" s="1"/>
  <c r="Z32" i="8"/>
  <c r="AA32" i="8" s="1"/>
  <c r="X32" i="8"/>
  <c r="AE25" i="8"/>
  <c r="AF25" i="8" s="1"/>
  <c r="Z25" i="8"/>
  <c r="AA25" i="8" s="1"/>
  <c r="X25" i="8"/>
  <c r="AE10" i="8"/>
  <c r="AF10" i="8" s="1"/>
  <c r="Z10" i="8"/>
  <c r="AA10" i="8" s="1"/>
  <c r="X10" i="8"/>
  <c r="AE19" i="8"/>
  <c r="AF19" i="8" s="1"/>
  <c r="K8" i="5" s="1"/>
  <c r="Z19" i="8"/>
  <c r="AA19" i="8" s="1"/>
  <c r="X19" i="8"/>
  <c r="C8" i="5" s="1"/>
  <c r="AF11" i="8"/>
  <c r="L11" i="5" s="1"/>
  <c r="O11" i="5" s="1"/>
  <c r="AF61" i="8"/>
  <c r="L4" i="5" s="1"/>
  <c r="O4" i="5" s="1"/>
  <c r="AE22" i="8"/>
  <c r="AF22" i="8" s="1"/>
  <c r="Z22" i="8"/>
  <c r="AA22" i="8" s="1"/>
  <c r="X22" i="8"/>
  <c r="Z4" i="8"/>
  <c r="AA4" i="8" s="1"/>
  <c r="AE4" i="8"/>
  <c r="AF4" i="8" s="1"/>
  <c r="K14" i="5" s="1"/>
  <c r="X4" i="8"/>
  <c r="C14" i="5" s="1"/>
  <c r="AE46" i="8"/>
  <c r="AF46" i="8" s="1"/>
  <c r="L10" i="5" s="1"/>
  <c r="O10" i="5" s="1"/>
  <c r="Z46" i="8"/>
  <c r="AA46" i="8" s="1"/>
  <c r="X46" i="8"/>
  <c r="D10" i="5" s="1"/>
  <c r="AE26" i="8"/>
  <c r="AF26" i="8" s="1"/>
  <c r="L13" i="5" s="1"/>
  <c r="O13" i="5" s="1"/>
  <c r="Z26" i="8"/>
  <c r="AA26" i="8" s="1"/>
  <c r="X26" i="8"/>
  <c r="D13" i="5" s="1"/>
  <c r="Z2" i="8"/>
  <c r="AA2" i="8" s="1"/>
  <c r="AE2" i="8"/>
  <c r="AF2" i="8" s="1"/>
  <c r="X2" i="8"/>
  <c r="Z3" i="8"/>
  <c r="AA3" i="8" s="1"/>
  <c r="AE3" i="8"/>
  <c r="AF3" i="8" s="1"/>
  <c r="X3" i="8"/>
  <c r="F9" i="5"/>
  <c r="AF27" i="8"/>
  <c r="M12" i="5" s="1"/>
  <c r="Z5" i="8"/>
  <c r="AA5" i="8" s="1"/>
  <c r="AE5" i="8"/>
  <c r="AF5" i="8" s="1"/>
  <c r="X5" i="8"/>
  <c r="AE56" i="8"/>
  <c r="AF56" i="8" s="1"/>
  <c r="L9" i="5" s="1"/>
  <c r="O9" i="5" s="1"/>
  <c r="Z56" i="8"/>
  <c r="AA56" i="8" s="1"/>
  <c r="X56" i="8"/>
  <c r="D9" i="5" s="1"/>
  <c r="E12" i="5"/>
  <c r="AE9" i="8"/>
  <c r="AF9" i="8" s="1"/>
  <c r="K11" i="5" s="1"/>
  <c r="Z9" i="8"/>
  <c r="AA9" i="8" s="1"/>
  <c r="X9" i="8"/>
  <c r="C11" i="5" s="1"/>
  <c r="AE38" i="8"/>
  <c r="AF38" i="8" s="1"/>
  <c r="Z38" i="8"/>
  <c r="AA38" i="8" s="1"/>
  <c r="X38" i="8"/>
  <c r="AE54" i="8"/>
  <c r="AF54" i="8" s="1"/>
  <c r="K9" i="5" s="1"/>
  <c r="Z54" i="8"/>
  <c r="AA54" i="8" s="1"/>
  <c r="X54" i="8"/>
  <c r="C9" i="5" s="1"/>
  <c r="Z7" i="8"/>
  <c r="AA7" i="8" s="1"/>
  <c r="AE7" i="8"/>
  <c r="AF7" i="8" s="1"/>
  <c r="X7" i="8"/>
  <c r="E8" i="5" l="1"/>
  <c r="F5" i="5"/>
  <c r="M3" i="5"/>
  <c r="F12" i="5"/>
  <c r="M11" i="5"/>
  <c r="E9" i="5"/>
  <c r="E13" i="5"/>
  <c r="F13" i="5"/>
  <c r="E3" i="5"/>
  <c r="F3" i="5"/>
  <c r="E4" i="5"/>
  <c r="F4" i="5"/>
  <c r="F7" i="5"/>
  <c r="E7" i="5"/>
  <c r="E5" i="5"/>
  <c r="M13" i="5"/>
  <c r="F6" i="5"/>
  <c r="E6" i="5"/>
  <c r="M4" i="5"/>
  <c r="M10" i="5"/>
  <c r="M14" i="5"/>
  <c r="E11" i="5"/>
  <c r="F11" i="5"/>
  <c r="F8" i="5"/>
  <c r="F14" i="5"/>
  <c r="E14" i="5"/>
  <c r="M6" i="5"/>
  <c r="P6" i="5" s="1"/>
  <c r="M9" i="5"/>
  <c r="M8" i="5"/>
  <c r="P8" i="5" l="1"/>
  <c r="P10" i="5"/>
  <c r="P9" i="5"/>
  <c r="P14" i="5"/>
  <c r="P3" i="5"/>
  <c r="P13" i="5"/>
  <c r="P11" i="5"/>
  <c r="P12" i="5"/>
  <c r="P4" i="5"/>
  <c r="P5" i="5"/>
  <c r="P7" i="5"/>
</calcChain>
</file>

<file path=xl/sharedStrings.xml><?xml version="1.0" encoding="utf-8"?>
<sst xmlns="http://schemas.openxmlformats.org/spreadsheetml/2006/main" count="841" uniqueCount="399">
  <si>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</si>
  <si>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</si>
  <si>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</si>
  <si>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</si>
  <si>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</si>
  <si>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</si>
  <si>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</si>
  <si>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</si>
  <si>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</si>
  <si>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</si>
  <si>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</si>
  <si>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</si>
  <si>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</si>
  <si>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</si>
  <si>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</si>
  <si>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</si>
  <si>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</si>
  <si>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</si>
  <si>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</si>
  <si>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</si>
  <si>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</si>
  <si>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</si>
  <si>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</si>
  <si>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</si>
  <si>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</si>
  <si>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</si>
  <si>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</si>
  <si>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</si>
  <si>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</si>
  <si>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</si>
  <si>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</si>
  <si>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</si>
  <si>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</si>
  <si>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</si>
  <si>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</si>
  <si>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</si>
  <si>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</si>
  <si>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</si>
  <si>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</si>
  <si>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</si>
  <si>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</si>
  <si>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</si>
  <si>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</si>
  <si>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</si>
  <si>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</si>
  <si>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Capital Summary (TI and Growth Capex) — Cash, not Operating</t>
  </si>
  <si>
    <t>ScenarioKey</t>
  </si>
  <si>
    <t>Year</t>
  </si>
  <si>
    <t>ClosedSites</t>
  </si>
  <si>
    <t>TI_Cash$</t>
  </si>
  <si>
    <t>GrowthCapex_Echo$</t>
  </si>
  <si>
    <t>GrowthCapex_Pima$</t>
  </si>
  <si>
    <t>Total_Capital$</t>
  </si>
  <si>
    <t>FY2026</t>
  </si>
  <si>
    <t>FY2027</t>
  </si>
  <si>
    <t>FY2028</t>
  </si>
  <si>
    <t>FY2029</t>
  </si>
  <si>
    <t>FY2030</t>
  </si>
  <si>
    <t>Totals by Scenario</t>
  </si>
  <si>
    <t>Total_Capital_FY26$</t>
  </si>
  <si>
    <t>A_Repurpose_Both_lease</t>
  </si>
  <si>
    <t>A_Repurpose_Both_ops</t>
  </si>
  <si>
    <t>B_Repurpose_Echo_lease_PimaTargets</t>
  </si>
  <si>
    <t>B_Repurpose_Echo_ops_PimaTargets</t>
  </si>
  <si>
    <t>C_Repurpose_Pima_lease_EchoGHub_EchoTargets</t>
  </si>
  <si>
    <t>C_Repurpose_Pima_ops_EchoGHub_EchoTargets</t>
  </si>
  <si>
    <t>D_CUSTOM1</t>
  </si>
  <si>
    <t>D_CUSTOM2</t>
  </si>
  <si>
    <t>D_Grow_Both_Targets</t>
  </si>
  <si>
    <t>E_StatusQuo_Targets</t>
  </si>
  <si>
    <t>F_CoLocation_Echo_Targets</t>
  </si>
  <si>
    <t>G_EchoGHubRamp_PimaTargets</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</si>
  <si>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</si>
  <si>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</si>
  <si>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</si>
  <si>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</si>
  <si>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</si>
  <si>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</si>
  <si>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</si>
  <si>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</si>
  <si>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</si>
  <si>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</si>
  <si>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</si>
  <si>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</si>
  <si>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</si>
  <si>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</si>
  <si>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</si>
  <si>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</si>
  <si>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</si>
  <si>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</si>
  <si>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</si>
  <si>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</si>
  <si>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</si>
  <si>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</si>
  <si>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</si>
  <si>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</si>
  <si>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</si>
  <si>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</si>
  <si>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</si>
  <si>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</si>
  <si>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</si>
  <si>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</si>
  <si>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</si>
  <si>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</si>
  <si>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</si>
  <si>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</si>
  <si>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</si>
  <si>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</si>
  <si>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</si>
  <si>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</si>
  <si>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</si>
  <si>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</si>
  <si>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</si>
  <si>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</si>
  <si>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</si>
  <si>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</si>
  <si>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</si>
  <si>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</si>
  <si>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</si>
  <si>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</si>
  <si>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</si>
  <si>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</si>
  <si>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</si>
  <si>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</si>
  <si>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</si>
  <si>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</si>
  <si>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</si>
  <si>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</si>
  <si>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</si>
  <si>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</si>
  <si>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</si>
  <si>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</si>
  <si>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</si>
  <si>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</si>
  <si>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</si>
  <si>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</si>
  <si>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</si>
  <si>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</si>
  <si>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</si>
  <si>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</si>
  <si>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</si>
  <si>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</si>
  <si>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</si>
  <si>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</si>
  <si>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</si>
  <si>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</si>
  <si>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</si>
  <si>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</si>
  <si>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</si>
  <si>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</si>
  <si>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</si>
  <si>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</si>
  <si>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</si>
  <si>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</si>
  <si>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</si>
  <si>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</si>
  <si>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</si>
  <si>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</si>
  <si>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</si>
  <si>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</si>
  <si>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</si>
  <si>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</si>
  <si>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</si>
  <si>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</si>
  <si>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</si>
  <si>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</si>
  <si>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</si>
  <si>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</si>
  <si>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</si>
  <si>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</si>
  <si>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</si>
  <si>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</si>
  <si>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</si>
  <si>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</si>
  <si>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</si>
  <si>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</si>
  <si>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</si>
  <si>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</si>
  <si>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</si>
  <si>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</si>
  <si>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</si>
  <si>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</si>
  <si>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</si>
  <si>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</si>
  <si>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</si>
  <si>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</si>
  <si>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</si>
  <si>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</si>
  <si>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</si>
  <si>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</si>
  <si>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</si>
  <si>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</si>
  <si>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</si>
  <si>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</si>
  <si>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</si>
  <si>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</si>
  <si>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</si>
  <si>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</si>
  <si>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</si>
  <si>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</si>
  <si>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</si>
  <si>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</si>
  <si>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</si>
  <si>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</si>
  <si>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</si>
  <si>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</si>
  <si>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</si>
  <si>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</si>
  <si>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</si>
  <si>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</si>
  <si>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</si>
  <si>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</si>
  <si>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</si>
  <si>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</si>
  <si>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</si>
  <si>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</si>
  <si>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</si>
  <si>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</si>
  <si>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</si>
  <si>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</si>
  <si>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</si>
  <si>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</si>
  <si>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</si>
  <si>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</si>
  <si>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</si>
  <si>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</si>
  <si>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</si>
  <si>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</si>
  <si>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</si>
  <si>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</si>
  <si>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</si>
  <si>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</si>
  <si>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</si>
  <si>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</si>
  <si>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</si>
  <si>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</si>
  <si>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</si>
  <si>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</si>
  <si>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</si>
  <si>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</si>
  <si>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</si>
  <si>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</si>
  <si>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</si>
  <si>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</si>
  <si>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</si>
  <si>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</si>
  <si>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</si>
  <si>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</si>
  <si>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</si>
  <si>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</si>
  <si>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</si>
  <si>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</si>
  <si>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</si>
  <si>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</si>
  <si>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</si>
  <si>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</si>
  <si>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</si>
  <si>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</si>
  <si>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</si>
  <si>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</si>
  <si>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</si>
  <si>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</si>
  <si>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</si>
  <si>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</si>
  <si>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</si>
  <si>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</si>
  <si>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</si>
  <si>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</si>
  <si>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</si>
  <si>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</si>
  <si>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</si>
  <si>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</si>
  <si>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</si>
  <si>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</si>
  <si>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</si>
  <si>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</si>
  <si>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</si>
  <si>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</si>
  <si>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</si>
  <si>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</si>
  <si>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</si>
  <si>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</si>
  <si>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</si>
  <si>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</si>
  <si>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</si>
  <si>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</si>
  <si>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</si>
  <si>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</si>
  <si>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</si>
  <si>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</si>
  <si>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</si>
  <si>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</si>
  <si>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</si>
  <si>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</si>
  <si>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</si>
  <si>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</si>
  <si>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</si>
  <si>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</si>
  <si>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</si>
  <si>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</si>
  <si>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</si>
  <si>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</si>
  <si>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</si>
  <si>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</si>
  <si>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</si>
  <si>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</si>
  <si>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</si>
  <si>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</si>
  <si>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</si>
  <si>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</si>
  <si>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</si>
  <si>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</si>
  <si>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</si>
  <si>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</si>
  <si>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</si>
  <si>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</si>
  <si>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</si>
  <si>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</si>
  <si>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</si>
  <si>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</si>
  <si>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</si>
  <si>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</si>
  <si>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</si>
  <si>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</si>
  <si>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</si>
  <si>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</si>
  <si>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</si>
  <si>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</si>
  <si>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</si>
  <si>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</si>
  <si>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</si>
  <si>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</si>
  <si>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</si>
  <si>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</si>
  <si>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</si>
  <si>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</si>
  <si>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</si>
  <si>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</si>
  <si>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</si>
  <si>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</si>
  <si>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</si>
  <si>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</si>
  <si>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</si>
  <si>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</si>
  <si>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</si>
  <si>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</si>
  <si>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</si>
  <si>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</si>
  <si>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</si>
  <si>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</si>
  <si>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</si>
  <si>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</si>
  <si>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</si>
  <si>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</si>
  <si>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</si>
  <si>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</si>
  <si>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</si>
  <si>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</si>
  <si>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</si>
  <si>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</si>
  <si>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</si>
  <si>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</si>
  <si>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</si>
  <si>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</si>
  <si>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</si>
  <si>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</si>
  <si>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</si>
  <si>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</si>
  <si>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</si>
  <si>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</si>
  <si>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</si>
  <si>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</si>
  <si>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</si>
  <si>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</si>
  <si>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</si>
  <si>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</si>
  <si>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</si>
  <si>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</si>
  <si>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</si>
  <si>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Growth_Echo</t>
  </si>
  <si>
    <t>Growth_Pima</t>
  </si>
  <si>
    <t>Baseline + outreach; no closures</t>
  </si>
  <si>
    <t>None</t>
  </si>
  <si>
    <t>Baseline + targets; no closures</t>
  </si>
  <si>
    <t>Shared‑use efficiencies later (no closure)</t>
  </si>
  <si>
    <t>Baseline +100 overlay</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</si>
  <si>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</si>
  <si>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</si>
  <si>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</si>
  <si>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</si>
  <si>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</si>
  <si>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</si>
  <si>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</si>
  <si>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</si>
  <si>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</si>
  <si>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</si>
  <si>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Orig</t>
  </si>
  <si>
    <t>Arts</t>
  </si>
  <si>
    <t>Innov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</si>
</sst>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34BA-4F72-AD6E-B906418D3364}"/>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34BA-4F72-AD6E-B906418D3364}"/>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opLeftCell="A9" zoomScale="70" zoomScaleNormal="70" workbookViewId="0">
      <selection activeCell="C28" sqref="C28"/>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1:6" x14ac:dyDescent="0.35">
      <c r="B17" t="s">
        <v>22</v>
      </c>
      <c r="C17">
        <v>0.15</v>
      </c>
      <c r="E17" t="s">
        <v>23</v>
      </c>
    </row>
    <row r="18" spans="1:6" x14ac:dyDescent="0.35">
      <c r="B18" t="s">
        <v>24</v>
      </c>
      <c r="C18">
        <v>5013</v>
      </c>
      <c r="E18" t="s">
        <v>25</v>
      </c>
    </row>
    <row r="19" spans="1:6" x14ac:dyDescent="0.35">
      <c r="B19" t="s">
        <v>26</v>
      </c>
      <c r="C19">
        <f>C17*C18</f>
        <v>751.94999999999993</v>
      </c>
      <c r="E19" t="s">
        <v>27</v>
      </c>
    </row>
    <row r="20" spans="1:6" x14ac:dyDescent="0.35">
      <c r="B20" t="s">
        <v>28</v>
      </c>
      <c r="C20">
        <v>1</v>
      </c>
      <c r="E20" t="s">
        <v>29</v>
      </c>
    </row>
    <row r="22" spans="1:6" x14ac:dyDescent="0.35">
      <c r="B22" t="s">
        <v>30</v>
      </c>
      <c r="C22">
        <v>0.6</v>
      </c>
      <c r="E22" t="s">
        <v>31</v>
      </c>
    </row>
    <row r="23" spans="1:6" x14ac:dyDescent="0.35">
      <c r="B23" t="s">
        <v>32</v>
      </c>
      <c r="C23">
        <v>0.85</v>
      </c>
      <c r="E23" t="s">
        <v>33</v>
      </c>
    </row>
    <row r="24" spans="1:6" x14ac:dyDescent="0.35">
      <c r="A24" s="54" t="s">
        <v>34</v>
      </c>
      <c r="B24" s="53"/>
      <c r="C24" s="53"/>
      <c r="D24" s="53"/>
      <c r="E24" s="53"/>
      <c r="F24" s="53"/>
    </row>
    <row r="26" spans="1:6" x14ac:dyDescent="0.35">
      <c r="B26" t="s">
        <v>35</v>
      </c>
      <c r="C26">
        <v>0</v>
      </c>
      <c r="E26" t="s">
        <v>36</v>
      </c>
    </row>
    <row r="27" spans="1:6" x14ac:dyDescent="0.35">
      <c r="B27" t="s">
        <v>37</v>
      </c>
      <c r="C27">
        <f>BaselineCalc!$B$22</f>
        <v>1200000</v>
      </c>
      <c r="E27" t="s">
        <v>38</v>
      </c>
    </row>
    <row r="28" spans="1:6" x14ac:dyDescent="0.35">
      <c r="B28" t="s">
        <v>39</v>
      </c>
      <c r="C28">
        <v>800000</v>
      </c>
      <c r="E28" t="s">
        <v>40</v>
      </c>
    </row>
    <row r="29" spans="1:6" x14ac:dyDescent="0.35">
      <c r="B29" t="s">
        <v>41</v>
      </c>
      <c r="C29">
        <v>1200000</v>
      </c>
      <c r="E29" t="s">
        <v>42</v>
      </c>
    </row>
    <row r="30" spans="1:6" x14ac:dyDescent="0.35">
      <c r="B30" t="s">
        <v>43</v>
      </c>
      <c r="C30">
        <v>0</v>
      </c>
      <c r="E30" t="s">
        <v>44</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1"/>
  <sheetViews>
    <sheetView tabSelected="1" zoomScale="70" zoomScaleNormal="70" workbookViewId="0">
      <selection activeCell="I8" sqref="I8"/>
    </sheetView>
  </sheetViews>
  <sheetFormatPr defaultRowHeight="14.5" x14ac:dyDescent="0.35"/>
  <cols>
    <col min="1" max="1" width="43.81640625" bestFit="1" customWidth="1"/>
    <col min="3" max="3" width="10.1796875" bestFit="1" customWidth="1"/>
    <col min="4" max="4" width="8.36328125" bestFit="1" customWidth="1"/>
    <col min="5" max="5" width="18.36328125" bestFit="1" customWidth="1"/>
    <col min="6" max="6" width="18.453125" bestFit="1" customWidth="1"/>
    <col min="7" max="7" width="12.7265625" bestFit="1" customWidth="1"/>
  </cols>
  <sheetData>
    <row r="1" spans="1:7" x14ac:dyDescent="0.35">
      <c r="A1" s="53" t="s">
        <v>45</v>
      </c>
      <c r="B1" s="53"/>
      <c r="C1" s="53"/>
      <c r="D1" s="53"/>
      <c r="E1" s="53"/>
      <c r="F1" s="53"/>
      <c r="G1" s="53"/>
    </row>
    <row r="3" spans="1:7" x14ac:dyDescent="0.35">
      <c r="A3" t="s">
        <v>46</v>
      </c>
      <c r="B3" t="s">
        <v>47</v>
      </c>
      <c r="C3" t="s">
        <v>48</v>
      </c>
      <c r="D3" t="s">
        <v>49</v>
      </c>
      <c r="E3" t="s">
        <v>50</v>
      </c>
      <c r="F3" t="s">
        <v>51</v>
      </c>
      <c r="G3" t="s">
        <v>52</v>
      </c>
    </row>
    <row r="4" spans="1:7" x14ac:dyDescent="0.35">
      <c r="A4" t="str">
        <f>Scenarios!A2</f>
        <v>D_CUSTOM1</v>
      </c>
      <c r="B4" t="s">
        <v>53</v>
      </c>
      <c r="C4">
        <v>0</v>
      </c>
      <c r="D4">
        <f>IF(MultiYear_ProForma!C2="FY2026", 0*Parameters_Public!$C$27, 0)</f>
        <v>0</v>
      </c>
      <c r="E4">
        <v>0</v>
      </c>
      <c r="F4">
        <v>0</v>
      </c>
      <c r="G4">
        <f t="shared" ref="G4:G35" si="0">SUM(D4:F4)</f>
        <v>0</v>
      </c>
    </row>
    <row r="5" spans="1:7" x14ac:dyDescent="0.35">
      <c r="A5" t="str">
        <f>Scenarios!A2</f>
        <v>D_CUSTOM1</v>
      </c>
      <c r="B5" t="s">
        <v>54</v>
      </c>
      <c r="C5">
        <v>0</v>
      </c>
      <c r="D5">
        <f>IF(MultiYear_ProForma!C3="FY2026", 0*Parameters_Public!$C$27, 0)</f>
        <v>0</v>
      </c>
      <c r="E5">
        <v>0</v>
      </c>
      <c r="F5">
        <v>0</v>
      </c>
      <c r="G5">
        <f t="shared" si="0"/>
        <v>0</v>
      </c>
    </row>
    <row r="6" spans="1:7" x14ac:dyDescent="0.35">
      <c r="A6" t="str">
        <f>Scenarios!A2</f>
        <v>D_CUSTOM1</v>
      </c>
      <c r="B6" t="s">
        <v>55</v>
      </c>
      <c r="C6">
        <v>0</v>
      </c>
      <c r="D6">
        <f>IF(MultiYear_ProForma!C4="FY2026", 0*Parameters_Public!$C$27, 0)</f>
        <v>0</v>
      </c>
      <c r="E6">
        <v>0</v>
      </c>
      <c r="F6">
        <v>0</v>
      </c>
      <c r="G6">
        <f t="shared" si="0"/>
        <v>0</v>
      </c>
    </row>
    <row r="7" spans="1:7" x14ac:dyDescent="0.35">
      <c r="A7" t="str">
        <f>Scenarios!A2</f>
        <v>D_CUSTOM1</v>
      </c>
      <c r="B7" t="s">
        <v>56</v>
      </c>
      <c r="C7">
        <v>0</v>
      </c>
      <c r="D7">
        <f>IF(MultiYear_ProForma!C5="FY2026", 0*Parameters_Public!$C$27, 0)</f>
        <v>0</v>
      </c>
      <c r="E7">
        <v>0</v>
      </c>
      <c r="F7">
        <v>0</v>
      </c>
      <c r="G7">
        <f t="shared" si="0"/>
        <v>0</v>
      </c>
    </row>
    <row r="8" spans="1:7" x14ac:dyDescent="0.35">
      <c r="A8" t="str">
        <f>Scenarios!A2</f>
        <v>D_CUSTOM1</v>
      </c>
      <c r="B8" t="s">
        <v>57</v>
      </c>
      <c r="C8">
        <v>0</v>
      </c>
      <c r="D8">
        <f>IF(MultiYear_ProForma!C6="FY2026", 0*Parameters_Public!$C$27, 0)</f>
        <v>0</v>
      </c>
      <c r="E8">
        <v>0</v>
      </c>
      <c r="F8">
        <v>0</v>
      </c>
      <c r="G8">
        <f t="shared" si="0"/>
        <v>0</v>
      </c>
    </row>
    <row r="9" spans="1:7" x14ac:dyDescent="0.35">
      <c r="A9" t="str">
        <f>Scenarios!A3</f>
        <v>E_StatusQuo_Targets</v>
      </c>
      <c r="B9" t="s">
        <v>53</v>
      </c>
      <c r="C9">
        <v>0</v>
      </c>
      <c r="D9">
        <f>IF(MultiYear_ProForma!C7="FY2026", 0*Parameters_Public!$C$27, 0)</f>
        <v>0</v>
      </c>
      <c r="E9">
        <v>0</v>
      </c>
      <c r="F9">
        <v>0</v>
      </c>
      <c r="G9">
        <f t="shared" si="0"/>
        <v>0</v>
      </c>
    </row>
    <row r="10" spans="1:7" x14ac:dyDescent="0.35">
      <c r="A10" t="str">
        <f>Scenarios!A3</f>
        <v>E_StatusQuo_Targets</v>
      </c>
      <c r="B10" t="s">
        <v>54</v>
      </c>
      <c r="C10">
        <v>0</v>
      </c>
      <c r="D10">
        <f>IF(MultiYear_ProForma!C8="FY2026", 0*Parameters_Public!$C$27, 0)</f>
        <v>0</v>
      </c>
      <c r="E10">
        <v>0</v>
      </c>
      <c r="F10">
        <v>0</v>
      </c>
      <c r="G10">
        <f t="shared" si="0"/>
        <v>0</v>
      </c>
    </row>
    <row r="11" spans="1:7" x14ac:dyDescent="0.35">
      <c r="A11" t="str">
        <f>Scenarios!A3</f>
        <v>E_StatusQuo_Targets</v>
      </c>
      <c r="B11" t="s">
        <v>55</v>
      </c>
      <c r="C11">
        <v>0</v>
      </c>
      <c r="D11">
        <f>IF(MultiYear_ProForma!C9="FY2026", 0*Parameters_Public!$C$27, 0)</f>
        <v>0</v>
      </c>
      <c r="E11">
        <v>0</v>
      </c>
      <c r="F11">
        <v>0</v>
      </c>
      <c r="G11">
        <f t="shared" si="0"/>
        <v>0</v>
      </c>
    </row>
    <row r="12" spans="1:7" x14ac:dyDescent="0.35">
      <c r="A12" t="str">
        <f>Scenarios!A3</f>
        <v>E_StatusQuo_Targets</v>
      </c>
      <c r="B12" t="s">
        <v>56</v>
      </c>
      <c r="C12">
        <v>0</v>
      </c>
      <c r="D12">
        <f>IF(MultiYear_ProForma!C10="FY2026", 0*Parameters_Public!$C$27, 0)</f>
        <v>0</v>
      </c>
      <c r="E12">
        <v>0</v>
      </c>
      <c r="F12">
        <v>0</v>
      </c>
      <c r="G12">
        <f t="shared" si="0"/>
        <v>0</v>
      </c>
    </row>
    <row r="13" spans="1:7" x14ac:dyDescent="0.35">
      <c r="A13" t="str">
        <f>Scenarios!A3</f>
        <v>E_StatusQuo_Targets</v>
      </c>
      <c r="B13" t="s">
        <v>57</v>
      </c>
      <c r="C13">
        <v>0</v>
      </c>
      <c r="D13">
        <f>IF(MultiYear_ProForma!C11="FY2026", 0*Parameters_Public!$C$27, 0)</f>
        <v>0</v>
      </c>
      <c r="E13">
        <v>0</v>
      </c>
      <c r="F13">
        <v>0</v>
      </c>
      <c r="G13">
        <f t="shared" si="0"/>
        <v>0</v>
      </c>
    </row>
    <row r="14" spans="1:7" x14ac:dyDescent="0.35">
      <c r="A14" t="str">
        <f>Scenarios!A4</f>
        <v>F_CoLocation_Echo_Targets</v>
      </c>
      <c r="B14" t="s">
        <v>53</v>
      </c>
      <c r="C14">
        <v>0</v>
      </c>
      <c r="D14">
        <f>IF(MultiYear_ProForma!C12="FY2026", 0*Parameters_Public!$C$27, 0)</f>
        <v>0</v>
      </c>
      <c r="E14">
        <v>0</v>
      </c>
      <c r="F14">
        <v>0</v>
      </c>
      <c r="G14">
        <f t="shared" si="0"/>
        <v>0</v>
      </c>
    </row>
    <row r="15" spans="1:7" x14ac:dyDescent="0.35">
      <c r="A15" t="str">
        <f>Scenarios!A4</f>
        <v>F_CoLocation_Echo_Targets</v>
      </c>
      <c r="B15" t="s">
        <v>54</v>
      </c>
      <c r="C15">
        <v>0</v>
      </c>
      <c r="D15">
        <f>IF(MultiYear_ProForma!C13="FY2026", 0*Parameters_Public!$C$27, 0)</f>
        <v>0</v>
      </c>
      <c r="E15">
        <v>0</v>
      </c>
      <c r="F15">
        <v>0</v>
      </c>
      <c r="G15">
        <f t="shared" si="0"/>
        <v>0</v>
      </c>
    </row>
    <row r="16" spans="1:7" x14ac:dyDescent="0.35">
      <c r="A16" t="str">
        <f>Scenarios!A4</f>
        <v>F_CoLocation_Echo_Targets</v>
      </c>
      <c r="B16" t="s">
        <v>55</v>
      </c>
      <c r="C16">
        <v>0</v>
      </c>
      <c r="D16">
        <f>IF(MultiYear_ProForma!C14="FY2026", 0*Parameters_Public!$C$27, 0)</f>
        <v>0</v>
      </c>
      <c r="E16">
        <v>0</v>
      </c>
      <c r="F16">
        <v>0</v>
      </c>
      <c r="G16">
        <f t="shared" si="0"/>
        <v>0</v>
      </c>
    </row>
    <row r="17" spans="1:7" x14ac:dyDescent="0.35">
      <c r="A17" t="str">
        <f>Scenarios!A4</f>
        <v>F_CoLocation_Echo_Targets</v>
      </c>
      <c r="B17" t="s">
        <v>56</v>
      </c>
      <c r="C17">
        <v>0</v>
      </c>
      <c r="D17">
        <f>IF(MultiYear_ProForma!C15="FY2026", 0*Parameters_Public!$C$27, 0)</f>
        <v>0</v>
      </c>
      <c r="E17">
        <v>0</v>
      </c>
      <c r="F17">
        <v>0</v>
      </c>
      <c r="G17">
        <f t="shared" si="0"/>
        <v>0</v>
      </c>
    </row>
    <row r="18" spans="1:7" x14ac:dyDescent="0.35">
      <c r="A18" t="str">
        <f>Scenarios!A4</f>
        <v>F_CoLocation_Echo_Targets</v>
      </c>
      <c r="B18" t="s">
        <v>57</v>
      </c>
      <c r="C18">
        <v>0</v>
      </c>
      <c r="D18">
        <f>IF(MultiYear_ProForma!C16="FY2026", 0*Parameters_Public!$C$27, 0)</f>
        <v>0</v>
      </c>
      <c r="E18">
        <v>0</v>
      </c>
      <c r="F18">
        <v>0</v>
      </c>
      <c r="G18">
        <f t="shared" si="0"/>
        <v>0</v>
      </c>
    </row>
    <row r="19" spans="1:7" x14ac:dyDescent="0.35">
      <c r="A19" t="str">
        <f>Scenarios!A5</f>
        <v>D_Grow_Both_Targets</v>
      </c>
      <c r="B19" t="s">
        <v>53</v>
      </c>
      <c r="C19">
        <v>0</v>
      </c>
      <c r="D19">
        <f>IF(MultiYear_ProForma!C17="FY2026", 0*Parameters_Public!$C$27, 0)</f>
        <v>0</v>
      </c>
      <c r="E19">
        <v>0</v>
      </c>
      <c r="F19">
        <v>0</v>
      </c>
      <c r="G19">
        <f t="shared" si="0"/>
        <v>0</v>
      </c>
    </row>
    <row r="20" spans="1:7" x14ac:dyDescent="0.35">
      <c r="A20" t="str">
        <f>Scenarios!A5</f>
        <v>D_Grow_Both_Targets</v>
      </c>
      <c r="B20" t="s">
        <v>54</v>
      </c>
      <c r="C20">
        <v>0</v>
      </c>
      <c r="D20">
        <f>IF(MultiYear_ProForma!C18="FY2026", 0*Parameters_Public!$C$27, 0)</f>
        <v>0</v>
      </c>
      <c r="E20">
        <v>0</v>
      </c>
      <c r="F20">
        <v>0</v>
      </c>
      <c r="G20">
        <f t="shared" si="0"/>
        <v>0</v>
      </c>
    </row>
    <row r="21" spans="1:7" x14ac:dyDescent="0.35">
      <c r="A21" t="str">
        <f>Scenarios!A5</f>
        <v>D_Grow_Both_Targets</v>
      </c>
      <c r="B21" t="s">
        <v>55</v>
      </c>
      <c r="C21">
        <v>0</v>
      </c>
      <c r="D21">
        <f>IF(MultiYear_ProForma!C19="FY2026", 0*Parameters_Public!$C$27, 0)</f>
        <v>0</v>
      </c>
      <c r="E21">
        <v>0</v>
      </c>
      <c r="F21">
        <v>0</v>
      </c>
      <c r="G21">
        <f t="shared" si="0"/>
        <v>0</v>
      </c>
    </row>
    <row r="22" spans="1:7" x14ac:dyDescent="0.35">
      <c r="A22" t="str">
        <f>Scenarios!A5</f>
        <v>D_Grow_Both_Targets</v>
      </c>
      <c r="B22" t="s">
        <v>56</v>
      </c>
      <c r="C22">
        <v>0</v>
      </c>
      <c r="D22">
        <f>IF(MultiYear_ProForma!C20="FY2026", 0*Parameters_Public!$C$27, 0)</f>
        <v>0</v>
      </c>
      <c r="E22">
        <v>0</v>
      </c>
      <c r="F22">
        <v>0</v>
      </c>
      <c r="G22">
        <f t="shared" si="0"/>
        <v>0</v>
      </c>
    </row>
    <row r="23" spans="1:7" x14ac:dyDescent="0.35">
      <c r="A23" t="str">
        <f>Scenarios!A5</f>
        <v>D_Grow_Both_Targets</v>
      </c>
      <c r="B23" t="s">
        <v>57</v>
      </c>
      <c r="C23">
        <v>0</v>
      </c>
      <c r="D23">
        <f>IF(MultiYear_ProForma!C21="FY2026", 0*Parameters_Public!$C$27, 0)</f>
        <v>0</v>
      </c>
      <c r="E23">
        <v>0</v>
      </c>
      <c r="F23">
        <v>0</v>
      </c>
      <c r="G23">
        <f t="shared" si="0"/>
        <v>0</v>
      </c>
    </row>
    <row r="24" spans="1:7" x14ac:dyDescent="0.35">
      <c r="A24" t="str">
        <f>Scenarios!A6</f>
        <v>D_CUSTOM2</v>
      </c>
      <c r="B24" t="s">
        <v>53</v>
      </c>
      <c r="C24">
        <v>0</v>
      </c>
      <c r="D24">
        <f>IF(MultiYear_ProForma!C22="FY2026", 0*Parameters_Public!$C$27, 0)</f>
        <v>0</v>
      </c>
      <c r="E24">
        <v>0</v>
      </c>
      <c r="F24">
        <v>0</v>
      </c>
      <c r="G24">
        <f t="shared" si="0"/>
        <v>0</v>
      </c>
    </row>
    <row r="25" spans="1:7" x14ac:dyDescent="0.35">
      <c r="A25" t="str">
        <f>Scenarios!A6</f>
        <v>D_CUSTOM2</v>
      </c>
      <c r="B25" t="s">
        <v>54</v>
      </c>
      <c r="C25">
        <v>0</v>
      </c>
      <c r="D25">
        <f>IF(MultiYear_ProForma!C23="FY2026", 0*Parameters_Public!$C$27, 0)</f>
        <v>0</v>
      </c>
      <c r="E25">
        <v>0</v>
      </c>
      <c r="F25">
        <v>0</v>
      </c>
      <c r="G25">
        <f t="shared" si="0"/>
        <v>0</v>
      </c>
    </row>
    <row r="26" spans="1:7" x14ac:dyDescent="0.35">
      <c r="A26" t="str">
        <f>Scenarios!A6</f>
        <v>D_CUSTOM2</v>
      </c>
      <c r="B26" t="s">
        <v>55</v>
      </c>
      <c r="C26">
        <v>0</v>
      </c>
      <c r="D26">
        <f>IF(MultiYear_ProForma!C24="FY2026", 0*Parameters_Public!$C$27, 0)</f>
        <v>0</v>
      </c>
      <c r="E26">
        <v>0</v>
      </c>
      <c r="F26">
        <v>0</v>
      </c>
      <c r="G26">
        <f t="shared" si="0"/>
        <v>0</v>
      </c>
    </row>
    <row r="27" spans="1:7" x14ac:dyDescent="0.35">
      <c r="A27" t="str">
        <f>Scenarios!A6</f>
        <v>D_CUSTOM2</v>
      </c>
      <c r="B27" t="s">
        <v>56</v>
      </c>
      <c r="C27">
        <v>0</v>
      </c>
      <c r="D27">
        <f>IF(MultiYear_ProForma!C25="FY2026", 0*Parameters_Public!$C$27, 0)</f>
        <v>0</v>
      </c>
      <c r="E27">
        <v>0</v>
      </c>
      <c r="F27">
        <v>0</v>
      </c>
      <c r="G27">
        <f t="shared" si="0"/>
        <v>0</v>
      </c>
    </row>
    <row r="28" spans="1:7" x14ac:dyDescent="0.35">
      <c r="A28" t="str">
        <f>Scenarios!A6</f>
        <v>D_CUSTOM2</v>
      </c>
      <c r="B28" t="s">
        <v>57</v>
      </c>
      <c r="C28">
        <v>0</v>
      </c>
      <c r="D28">
        <f>IF(MultiYear_ProForma!C26="FY2026", 0*Parameters_Public!$C$27, 0)</f>
        <v>0</v>
      </c>
      <c r="E28">
        <v>0</v>
      </c>
      <c r="F28">
        <v>0</v>
      </c>
      <c r="G28">
        <f t="shared" si="0"/>
        <v>0</v>
      </c>
    </row>
    <row r="29" spans="1:7" x14ac:dyDescent="0.35">
      <c r="A29" t="str">
        <f>Scenarios!A7</f>
        <v>G_EchoGHubRamp_PimaTargets</v>
      </c>
      <c r="B29" t="s">
        <v>53</v>
      </c>
      <c r="C29">
        <v>0</v>
      </c>
      <c r="D29">
        <f>IF(MultiYear_ProForma!C27="FY2026", 0*Parameters_Public!$C$27, 0)</f>
        <v>0</v>
      </c>
      <c r="E29">
        <v>0</v>
      </c>
      <c r="F29">
        <v>0</v>
      </c>
      <c r="G29">
        <f t="shared" si="0"/>
        <v>0</v>
      </c>
    </row>
    <row r="30" spans="1:7" x14ac:dyDescent="0.35">
      <c r="A30" t="str">
        <f>Scenarios!A7</f>
        <v>G_EchoGHubRamp_PimaTargets</v>
      </c>
      <c r="B30" t="s">
        <v>54</v>
      </c>
      <c r="C30">
        <v>0</v>
      </c>
      <c r="D30">
        <f>IF(MultiYear_ProForma!C28="FY2026", 0*Parameters_Public!$C$27, 0)</f>
        <v>0</v>
      </c>
      <c r="E30">
        <v>0</v>
      </c>
      <c r="F30">
        <v>0</v>
      </c>
      <c r="G30">
        <f t="shared" si="0"/>
        <v>0</v>
      </c>
    </row>
    <row r="31" spans="1:7" x14ac:dyDescent="0.35">
      <c r="A31" t="str">
        <f>Scenarios!A7</f>
        <v>G_EchoGHubRamp_PimaTargets</v>
      </c>
      <c r="B31" t="s">
        <v>55</v>
      </c>
      <c r="C31">
        <v>0</v>
      </c>
      <c r="D31">
        <f>IF(MultiYear_ProForma!C29="FY2026", 0*Parameters_Public!$C$27, 0)</f>
        <v>0</v>
      </c>
      <c r="E31">
        <v>0</v>
      </c>
      <c r="F31">
        <v>0</v>
      </c>
      <c r="G31">
        <f t="shared" si="0"/>
        <v>0</v>
      </c>
    </row>
    <row r="32" spans="1:7" x14ac:dyDescent="0.35">
      <c r="A32" t="str">
        <f>Scenarios!A7</f>
        <v>G_EchoGHubRamp_PimaTargets</v>
      </c>
      <c r="B32" t="s">
        <v>56</v>
      </c>
      <c r="C32">
        <v>0</v>
      </c>
      <c r="D32">
        <f>IF(MultiYear_ProForma!C30="FY2026", 0*Parameters_Public!$C$27, 0)</f>
        <v>0</v>
      </c>
      <c r="E32">
        <v>0</v>
      </c>
      <c r="F32">
        <v>0</v>
      </c>
      <c r="G32">
        <f t="shared" si="0"/>
        <v>0</v>
      </c>
    </row>
    <row r="33" spans="1:7" x14ac:dyDescent="0.35">
      <c r="A33" t="str">
        <f>Scenarios!A7</f>
        <v>G_EchoGHubRamp_PimaTargets</v>
      </c>
      <c r="B33" t="s">
        <v>57</v>
      </c>
      <c r="C33">
        <v>0</v>
      </c>
      <c r="D33">
        <f>IF(MultiYear_ProForma!C31="FY2026", 0*Parameters_Public!$C$27, 0)</f>
        <v>0</v>
      </c>
      <c r="E33">
        <v>0</v>
      </c>
      <c r="F33">
        <v>0</v>
      </c>
      <c r="G33">
        <f t="shared" si="0"/>
        <v>0</v>
      </c>
    </row>
    <row r="34" spans="1:7" x14ac:dyDescent="0.35">
      <c r="A34" t="str">
        <f>Scenarios!A8</f>
        <v>A_Repurpose_Both_lease</v>
      </c>
      <c r="B34" t="s">
        <v>53</v>
      </c>
      <c r="C34">
        <v>0</v>
      </c>
      <c r="D34">
        <f>IF(MultiYear_ProForma!C32="FY2026", 0*Parameters_Public!$C$27, 0)</f>
        <v>0</v>
      </c>
      <c r="E34">
        <v>0</v>
      </c>
      <c r="F34">
        <v>0</v>
      </c>
      <c r="G34">
        <f t="shared" si="0"/>
        <v>0</v>
      </c>
    </row>
    <row r="35" spans="1:7" x14ac:dyDescent="0.35">
      <c r="A35" t="str">
        <f>Scenarios!A8</f>
        <v>A_Repurpose_Both_lease</v>
      </c>
      <c r="B35" t="s">
        <v>54</v>
      </c>
      <c r="C35">
        <v>0</v>
      </c>
      <c r="D35">
        <f>IF(MultiYear_ProForma!C33="FY2026", 0*Parameters_Public!$C$27, 0)</f>
        <v>0</v>
      </c>
      <c r="E35">
        <v>0</v>
      </c>
      <c r="F35">
        <v>0</v>
      </c>
      <c r="G35">
        <f t="shared" si="0"/>
        <v>0</v>
      </c>
    </row>
    <row r="36" spans="1:7" x14ac:dyDescent="0.35">
      <c r="A36" t="str">
        <f>Scenarios!A8</f>
        <v>A_Repurpose_Both_lease</v>
      </c>
      <c r="B36" t="s">
        <v>55</v>
      </c>
      <c r="C36">
        <v>0</v>
      </c>
      <c r="D36">
        <f>IF(MultiYear_ProForma!C34="FY2026", 0*Parameters_Public!$C$27, 0)</f>
        <v>0</v>
      </c>
      <c r="E36">
        <v>0</v>
      </c>
      <c r="F36">
        <v>0</v>
      </c>
      <c r="G36">
        <f t="shared" ref="G36:G67" si="1">SUM(D36:F36)</f>
        <v>0</v>
      </c>
    </row>
    <row r="37" spans="1:7" x14ac:dyDescent="0.35">
      <c r="A37" t="str">
        <f>Scenarios!A8</f>
        <v>A_Repurpose_Both_lease</v>
      </c>
      <c r="B37" t="s">
        <v>56</v>
      </c>
      <c r="C37">
        <v>0</v>
      </c>
      <c r="D37">
        <f>IF(MultiYear_ProForma!C35="FY2026", 0*Parameters_Public!$C$27, 0)</f>
        <v>0</v>
      </c>
      <c r="E37">
        <v>0</v>
      </c>
      <c r="F37">
        <v>0</v>
      </c>
      <c r="G37">
        <f t="shared" si="1"/>
        <v>0</v>
      </c>
    </row>
    <row r="38" spans="1:7" x14ac:dyDescent="0.35">
      <c r="A38" t="str">
        <f>Scenarios!A8</f>
        <v>A_Repurpose_Both_lease</v>
      </c>
      <c r="B38" t="s">
        <v>57</v>
      </c>
      <c r="C38">
        <v>0</v>
      </c>
      <c r="D38">
        <f>IF(MultiYear_ProForma!C36="FY2026", 0*Parameters_Public!$C$27, 0)</f>
        <v>0</v>
      </c>
      <c r="E38">
        <v>0</v>
      </c>
      <c r="F38">
        <v>0</v>
      </c>
      <c r="G38">
        <f t="shared" si="1"/>
        <v>0</v>
      </c>
    </row>
    <row r="39" spans="1:7" x14ac:dyDescent="0.35">
      <c r="A39" t="str">
        <f>Scenarios!A9</f>
        <v>A_Repurpose_Both_ops</v>
      </c>
      <c r="B39" t="s">
        <v>53</v>
      </c>
      <c r="C39">
        <v>0</v>
      </c>
      <c r="D39">
        <f>IF(MultiYear_ProForma!C37="FY2026", 0*Parameters_Public!$C$27, 0)</f>
        <v>0</v>
      </c>
      <c r="E39">
        <v>0</v>
      </c>
      <c r="F39">
        <v>0</v>
      </c>
      <c r="G39">
        <f t="shared" si="1"/>
        <v>0</v>
      </c>
    </row>
    <row r="40" spans="1:7" x14ac:dyDescent="0.35">
      <c r="A40" t="str">
        <f>Scenarios!A9</f>
        <v>A_Repurpose_Both_ops</v>
      </c>
      <c r="B40" t="s">
        <v>54</v>
      </c>
      <c r="C40">
        <v>0</v>
      </c>
      <c r="D40">
        <f>IF(MultiYear_ProForma!C38="FY2026", 0*Parameters_Public!$C$27, 0)</f>
        <v>0</v>
      </c>
      <c r="E40">
        <v>0</v>
      </c>
      <c r="F40">
        <v>0</v>
      </c>
      <c r="G40">
        <f t="shared" si="1"/>
        <v>0</v>
      </c>
    </row>
    <row r="41" spans="1:7" x14ac:dyDescent="0.35">
      <c r="A41" t="str">
        <f>Scenarios!A9</f>
        <v>A_Repurpose_Both_ops</v>
      </c>
      <c r="B41" t="s">
        <v>55</v>
      </c>
      <c r="C41">
        <v>0</v>
      </c>
      <c r="D41">
        <f>IF(MultiYear_ProForma!C39="FY2026", 0*Parameters_Public!$C$27, 0)</f>
        <v>0</v>
      </c>
      <c r="E41">
        <v>0</v>
      </c>
      <c r="F41">
        <v>0</v>
      </c>
      <c r="G41">
        <f t="shared" si="1"/>
        <v>0</v>
      </c>
    </row>
    <row r="42" spans="1:7" x14ac:dyDescent="0.35">
      <c r="A42" t="str">
        <f>Scenarios!A9</f>
        <v>A_Repurpose_Both_ops</v>
      </c>
      <c r="B42" t="s">
        <v>56</v>
      </c>
      <c r="C42">
        <v>0</v>
      </c>
      <c r="D42">
        <f>IF(MultiYear_ProForma!C40="FY2026", 0*Parameters_Public!$C$27, 0)</f>
        <v>0</v>
      </c>
      <c r="E42">
        <v>0</v>
      </c>
      <c r="F42">
        <v>0</v>
      </c>
      <c r="G42">
        <f t="shared" si="1"/>
        <v>0</v>
      </c>
    </row>
    <row r="43" spans="1:7" x14ac:dyDescent="0.35">
      <c r="A43" t="str">
        <f>Scenarios!A9</f>
        <v>A_Repurpose_Both_ops</v>
      </c>
      <c r="B43" t="s">
        <v>57</v>
      </c>
      <c r="C43">
        <v>0</v>
      </c>
      <c r="D43">
        <f>IF(MultiYear_ProForma!C41="FY2026", 0*Parameters_Public!$C$27, 0)</f>
        <v>0</v>
      </c>
      <c r="E43">
        <v>0</v>
      </c>
      <c r="F43">
        <v>0</v>
      </c>
      <c r="G43">
        <f t="shared" si="1"/>
        <v>0</v>
      </c>
    </row>
    <row r="44" spans="1:7" x14ac:dyDescent="0.35">
      <c r="A44" t="str">
        <f>Scenarios!A10</f>
        <v>B_Repurpose_Echo_lease_PimaTargets</v>
      </c>
      <c r="B44" t="s">
        <v>53</v>
      </c>
      <c r="C44">
        <v>0</v>
      </c>
      <c r="D44">
        <f>IF(MultiYear_ProForma!C42="FY2026", 0*Parameters_Public!$C$27, 0)</f>
        <v>0</v>
      </c>
      <c r="E44">
        <v>0</v>
      </c>
      <c r="F44">
        <v>0</v>
      </c>
      <c r="G44">
        <f t="shared" si="1"/>
        <v>0</v>
      </c>
    </row>
    <row r="45" spans="1:7" x14ac:dyDescent="0.35">
      <c r="A45" t="str">
        <f>Scenarios!A10</f>
        <v>B_Repurpose_Echo_lease_PimaTargets</v>
      </c>
      <c r="B45" t="s">
        <v>54</v>
      </c>
      <c r="C45">
        <v>0</v>
      </c>
      <c r="D45">
        <f>IF(MultiYear_ProForma!C43="FY2026", 0*Parameters_Public!$C$27, 0)</f>
        <v>0</v>
      </c>
      <c r="E45">
        <v>0</v>
      </c>
      <c r="F45">
        <v>0</v>
      </c>
      <c r="G45">
        <f t="shared" si="1"/>
        <v>0</v>
      </c>
    </row>
    <row r="46" spans="1:7" x14ac:dyDescent="0.35">
      <c r="A46" t="str">
        <f>Scenarios!A10</f>
        <v>B_Repurpose_Echo_lease_PimaTargets</v>
      </c>
      <c r="B46" t="s">
        <v>55</v>
      </c>
      <c r="C46">
        <v>0</v>
      </c>
      <c r="D46">
        <f>IF(MultiYear_ProForma!C44="FY2026", 0*Parameters_Public!$C$27, 0)</f>
        <v>0</v>
      </c>
      <c r="E46">
        <v>0</v>
      </c>
      <c r="F46">
        <v>0</v>
      </c>
      <c r="G46">
        <f t="shared" si="1"/>
        <v>0</v>
      </c>
    </row>
    <row r="47" spans="1:7" x14ac:dyDescent="0.35">
      <c r="A47" t="str">
        <f>Scenarios!A10</f>
        <v>B_Repurpose_Echo_lease_PimaTargets</v>
      </c>
      <c r="B47" t="s">
        <v>56</v>
      </c>
      <c r="C47">
        <v>0</v>
      </c>
      <c r="D47">
        <f>IF(MultiYear_ProForma!C45="FY2026", 0*Parameters_Public!$C$27, 0)</f>
        <v>0</v>
      </c>
      <c r="E47">
        <v>0</v>
      </c>
      <c r="F47">
        <v>0</v>
      </c>
      <c r="G47">
        <f t="shared" si="1"/>
        <v>0</v>
      </c>
    </row>
    <row r="48" spans="1:7" x14ac:dyDescent="0.35">
      <c r="A48" t="str">
        <f>Scenarios!A10</f>
        <v>B_Repurpose_Echo_lease_PimaTargets</v>
      </c>
      <c r="B48" t="s">
        <v>57</v>
      </c>
      <c r="C48">
        <v>0</v>
      </c>
      <c r="D48">
        <f>IF(MultiYear_ProForma!C46="FY2026", 0*Parameters_Public!$C$27, 0)</f>
        <v>0</v>
      </c>
      <c r="E48">
        <v>0</v>
      </c>
      <c r="F48">
        <v>0</v>
      </c>
      <c r="G48">
        <f t="shared" si="1"/>
        <v>0</v>
      </c>
    </row>
    <row r="49" spans="1:7" x14ac:dyDescent="0.35">
      <c r="A49" t="str">
        <f>Scenarios!A11</f>
        <v>B_Repurpose_Echo_ops_PimaTargets</v>
      </c>
      <c r="B49" t="s">
        <v>53</v>
      </c>
      <c r="C49">
        <v>0</v>
      </c>
      <c r="D49">
        <f>IF(MultiYear_ProForma!C47="FY2026", 0*Parameters_Public!$C$27, 0)</f>
        <v>0</v>
      </c>
      <c r="E49">
        <v>0</v>
      </c>
      <c r="F49">
        <v>0</v>
      </c>
      <c r="G49">
        <f t="shared" si="1"/>
        <v>0</v>
      </c>
    </row>
    <row r="50" spans="1:7" x14ac:dyDescent="0.35">
      <c r="A50" t="str">
        <f>Scenarios!A11</f>
        <v>B_Repurpose_Echo_ops_PimaTargets</v>
      </c>
      <c r="B50" t="s">
        <v>54</v>
      </c>
      <c r="C50">
        <v>0</v>
      </c>
      <c r="D50">
        <f>IF(MultiYear_ProForma!C48="FY2026", 0*Parameters_Public!$C$27, 0)</f>
        <v>0</v>
      </c>
      <c r="E50">
        <v>0</v>
      </c>
      <c r="F50">
        <v>0</v>
      </c>
      <c r="G50">
        <f t="shared" si="1"/>
        <v>0</v>
      </c>
    </row>
    <row r="51" spans="1:7" x14ac:dyDescent="0.35">
      <c r="A51" t="str">
        <f>Scenarios!A11</f>
        <v>B_Repurpose_Echo_ops_PimaTargets</v>
      </c>
      <c r="B51" t="s">
        <v>55</v>
      </c>
      <c r="C51">
        <v>0</v>
      </c>
      <c r="D51">
        <f>IF(MultiYear_ProForma!C49="FY2026", 0*Parameters_Public!$C$27, 0)</f>
        <v>0</v>
      </c>
      <c r="E51">
        <v>0</v>
      </c>
      <c r="F51">
        <v>0</v>
      </c>
      <c r="G51">
        <f t="shared" si="1"/>
        <v>0</v>
      </c>
    </row>
    <row r="52" spans="1:7" x14ac:dyDescent="0.35">
      <c r="A52" t="str">
        <f>Scenarios!A11</f>
        <v>B_Repurpose_Echo_ops_PimaTargets</v>
      </c>
      <c r="B52" t="s">
        <v>56</v>
      </c>
      <c r="C52">
        <v>0</v>
      </c>
      <c r="D52">
        <f>IF(MultiYear_ProForma!C50="FY2026", 0*Parameters_Public!$C$27, 0)</f>
        <v>0</v>
      </c>
      <c r="E52">
        <v>0</v>
      </c>
      <c r="F52">
        <v>0</v>
      </c>
      <c r="G52">
        <f t="shared" si="1"/>
        <v>0</v>
      </c>
    </row>
    <row r="53" spans="1:7" x14ac:dyDescent="0.35">
      <c r="A53" t="str">
        <f>Scenarios!A11</f>
        <v>B_Repurpose_Echo_ops_PimaTargets</v>
      </c>
      <c r="B53" t="s">
        <v>57</v>
      </c>
      <c r="C53">
        <v>0</v>
      </c>
      <c r="D53">
        <f>IF(MultiYear_ProForma!C51="FY2026", 0*Parameters_Public!$C$27, 0)</f>
        <v>0</v>
      </c>
      <c r="E53">
        <v>0</v>
      </c>
      <c r="F53">
        <v>0</v>
      </c>
      <c r="G53">
        <f t="shared" si="1"/>
        <v>0</v>
      </c>
    </row>
    <row r="54" spans="1:7" x14ac:dyDescent="0.35">
      <c r="A54" t="str">
        <f>Scenarios!A12</f>
        <v>C_Repurpose_Pima_lease_EchoGHub_EchoTargets</v>
      </c>
      <c r="B54" t="s">
        <v>53</v>
      </c>
      <c r="C54">
        <v>0</v>
      </c>
      <c r="D54">
        <f>IF(MultiYear_ProForma!C52="FY2026", 0*Parameters_Public!$C$27, 0)</f>
        <v>0</v>
      </c>
      <c r="E54">
        <v>0</v>
      </c>
      <c r="F54">
        <v>0</v>
      </c>
      <c r="G54">
        <f t="shared" si="1"/>
        <v>0</v>
      </c>
    </row>
    <row r="55" spans="1:7" x14ac:dyDescent="0.35">
      <c r="A55" t="str">
        <f>Scenarios!A12</f>
        <v>C_Repurpose_Pima_lease_EchoGHub_EchoTargets</v>
      </c>
      <c r="B55" t="s">
        <v>54</v>
      </c>
      <c r="C55">
        <v>0</v>
      </c>
      <c r="D55">
        <f>IF(MultiYear_ProForma!C53="FY2026", 0*Parameters_Public!$C$27, 0)</f>
        <v>0</v>
      </c>
      <c r="E55">
        <v>0</v>
      </c>
      <c r="F55">
        <v>0</v>
      </c>
      <c r="G55">
        <f t="shared" si="1"/>
        <v>0</v>
      </c>
    </row>
    <row r="56" spans="1:7" x14ac:dyDescent="0.35">
      <c r="A56" t="str">
        <f>Scenarios!A12</f>
        <v>C_Repurpose_Pima_lease_EchoGHub_EchoTargets</v>
      </c>
      <c r="B56" t="s">
        <v>55</v>
      </c>
      <c r="C56">
        <v>0</v>
      </c>
      <c r="D56">
        <f>IF(MultiYear_ProForma!C54="FY2026", 0*Parameters_Public!$C$27, 0)</f>
        <v>0</v>
      </c>
      <c r="E56">
        <v>0</v>
      </c>
      <c r="F56">
        <v>0</v>
      </c>
      <c r="G56">
        <f t="shared" si="1"/>
        <v>0</v>
      </c>
    </row>
    <row r="57" spans="1:7" x14ac:dyDescent="0.35">
      <c r="A57" t="str">
        <f>Scenarios!A12</f>
        <v>C_Repurpose_Pima_lease_EchoGHub_EchoTargets</v>
      </c>
      <c r="B57" t="s">
        <v>56</v>
      </c>
      <c r="C57">
        <v>0</v>
      </c>
      <c r="D57">
        <f>IF(MultiYear_ProForma!C55="FY2026", 0*Parameters_Public!$C$27, 0)</f>
        <v>0</v>
      </c>
      <c r="E57">
        <v>0</v>
      </c>
      <c r="F57">
        <v>0</v>
      </c>
      <c r="G57">
        <f t="shared" si="1"/>
        <v>0</v>
      </c>
    </row>
    <row r="58" spans="1:7" x14ac:dyDescent="0.35">
      <c r="A58" t="str">
        <f>Scenarios!A12</f>
        <v>C_Repurpose_Pima_lease_EchoGHub_EchoTargets</v>
      </c>
      <c r="B58" t="s">
        <v>57</v>
      </c>
      <c r="C58">
        <v>0</v>
      </c>
      <c r="D58">
        <f>IF(MultiYear_ProForma!C56="FY2026", 0*Parameters_Public!$C$27, 0)</f>
        <v>0</v>
      </c>
      <c r="E58">
        <v>0</v>
      </c>
      <c r="F58">
        <v>0</v>
      </c>
      <c r="G58">
        <f t="shared" si="1"/>
        <v>0</v>
      </c>
    </row>
    <row r="59" spans="1:7" x14ac:dyDescent="0.35">
      <c r="A59" t="str">
        <f>Scenarios!A13</f>
        <v>C_Repurpose_Pima_ops_EchoGHub_EchoTargets</v>
      </c>
      <c r="B59" t="s">
        <v>53</v>
      </c>
      <c r="C59">
        <v>0</v>
      </c>
      <c r="D59">
        <f>IF(MultiYear_ProForma!C57="FY2026", 0*Parameters_Public!$C$27, 0)</f>
        <v>0</v>
      </c>
      <c r="E59">
        <v>0</v>
      </c>
      <c r="F59">
        <v>0</v>
      </c>
      <c r="G59">
        <f t="shared" si="1"/>
        <v>0</v>
      </c>
    </row>
    <row r="60" spans="1:7" x14ac:dyDescent="0.35">
      <c r="A60" t="str">
        <f>Scenarios!A13</f>
        <v>C_Repurpose_Pima_ops_EchoGHub_EchoTargets</v>
      </c>
      <c r="B60" t="s">
        <v>54</v>
      </c>
      <c r="C60">
        <v>0</v>
      </c>
      <c r="D60">
        <f>IF(MultiYear_ProForma!C58="FY2026", 0*Parameters_Public!$C$27, 0)</f>
        <v>0</v>
      </c>
      <c r="E60">
        <v>0</v>
      </c>
      <c r="F60">
        <v>0</v>
      </c>
      <c r="G60">
        <f t="shared" si="1"/>
        <v>0</v>
      </c>
    </row>
    <row r="61" spans="1:7" x14ac:dyDescent="0.35">
      <c r="A61" t="str">
        <f>Scenarios!A13</f>
        <v>C_Repurpose_Pima_ops_EchoGHub_EchoTargets</v>
      </c>
      <c r="B61" t="s">
        <v>55</v>
      </c>
      <c r="C61">
        <v>0</v>
      </c>
      <c r="D61">
        <f>IF(MultiYear_ProForma!C59="FY2026", 0*Parameters_Public!$C$27, 0)</f>
        <v>0</v>
      </c>
      <c r="E61">
        <v>0</v>
      </c>
      <c r="F61">
        <v>0</v>
      </c>
      <c r="G61">
        <f t="shared" si="1"/>
        <v>0</v>
      </c>
    </row>
    <row r="62" spans="1:7" x14ac:dyDescent="0.35">
      <c r="A62" t="str">
        <f>Scenarios!A13</f>
        <v>C_Repurpose_Pima_ops_EchoGHub_EchoTargets</v>
      </c>
      <c r="B62" t="s">
        <v>56</v>
      </c>
      <c r="C62">
        <v>0</v>
      </c>
      <c r="D62">
        <f>IF(MultiYear_ProForma!C60="FY2026", 0*Parameters_Public!$C$27, 0)</f>
        <v>0</v>
      </c>
      <c r="E62">
        <v>0</v>
      </c>
      <c r="F62">
        <v>0</v>
      </c>
      <c r="G62">
        <f t="shared" si="1"/>
        <v>0</v>
      </c>
    </row>
    <row r="63" spans="1:7" x14ac:dyDescent="0.35">
      <c r="A63" t="str">
        <f>Scenarios!A13</f>
        <v>C_Repurpose_Pima_ops_EchoGHub_EchoTargets</v>
      </c>
      <c r="B63" t="s">
        <v>57</v>
      </c>
      <c r="C63">
        <v>0</v>
      </c>
      <c r="D63">
        <f>IF(MultiYear_ProForma!C61="FY2026", 0*Parameters_Public!$C$27, 0)</f>
        <v>0</v>
      </c>
      <c r="E63">
        <v>0</v>
      </c>
      <c r="F63">
        <v>0</v>
      </c>
      <c r="G63">
        <f t="shared" si="1"/>
        <v>0</v>
      </c>
    </row>
    <row r="65" spans="1:3" x14ac:dyDescent="0.35">
      <c r="A65" s="53" t="s">
        <v>58</v>
      </c>
      <c r="B65" s="53"/>
      <c r="C65" s="53"/>
    </row>
    <row r="66" spans="1:3" x14ac:dyDescent="0.35">
      <c r="A66" t="s">
        <v>46</v>
      </c>
      <c r="B66" t="s">
        <v>59</v>
      </c>
    </row>
    <row r="67" spans="1:3" x14ac:dyDescent="0.35">
      <c r="A67" t="str">
        <f>A10</f>
        <v>E_StatusQuo_Targets</v>
      </c>
      <c r="B67">
        <f>SUMIFS($G$4:$G$63, $A$4:$A$63, "=A10", $B$4:$B$63, "FY2026")</f>
        <v>0</v>
      </c>
    </row>
    <row r="68" spans="1:3" x14ac:dyDescent="0.35">
      <c r="A68" t="str">
        <f>A11</f>
        <v>E_StatusQuo_Targets</v>
      </c>
      <c r="B68">
        <f>SUMIFS($G$4:$G$63, $A$4:$A$63, "=A11", $B$4:$B$63, "FY2026")</f>
        <v>0</v>
      </c>
    </row>
    <row r="69" spans="1:3" x14ac:dyDescent="0.35">
      <c r="A69" t="str">
        <f>A12</f>
        <v>E_StatusQuo_Targets</v>
      </c>
      <c r="B69">
        <f>SUMIFS($G$4:$G$63, $A$4:$A$63, "=A12", $B$4:$B$63, "FY2026")</f>
        <v>0</v>
      </c>
    </row>
    <row r="70" spans="1:3" x14ac:dyDescent="0.35">
      <c r="A70" t="str">
        <f>A13</f>
        <v>E_StatusQuo_Targets</v>
      </c>
      <c r="B70">
        <f>SUMIFS($G$4:$G$63, $A$4:$A$63, "=A13", $B$4:$B$63, "FY2026")</f>
        <v>0</v>
      </c>
    </row>
    <row r="71" spans="1:3" x14ac:dyDescent="0.35">
      <c r="A71">
        <f t="shared" ref="A71:A78" si="2">A2</f>
        <v>0</v>
      </c>
      <c r="B71">
        <f>SUMIFS($G$4:$G$63, $A$4:$A$63, "=A2", $B$4:$B$63, "FY2026")</f>
        <v>0</v>
      </c>
    </row>
    <row r="72" spans="1:3" x14ac:dyDescent="0.35">
      <c r="A72" t="str">
        <f t="shared" si="2"/>
        <v>ScenarioKey</v>
      </c>
      <c r="B72">
        <f>SUMIFS($G$4:$G$63, $A$4:$A$63, "=A3", $B$4:$B$63, "FY2026")</f>
        <v>0</v>
      </c>
    </row>
    <row r="73" spans="1:3" x14ac:dyDescent="0.35">
      <c r="A73" t="str">
        <f t="shared" si="2"/>
        <v>D_CUSTOM1</v>
      </c>
      <c r="B73">
        <f>SUMIFS($G$4:$G$63, $A$4:$A$63, "=A4", $B$4:$B$63, "FY2026")</f>
        <v>0</v>
      </c>
    </row>
    <row r="74" spans="1:3" x14ac:dyDescent="0.35">
      <c r="A74" t="str">
        <f t="shared" si="2"/>
        <v>D_CUSTOM1</v>
      </c>
      <c r="B74">
        <f>SUMIFS($G$4:$G$63, $A$4:$A$63, "=A5", $B$4:$B$63, "FY2026")</f>
        <v>0</v>
      </c>
    </row>
    <row r="75" spans="1:3" x14ac:dyDescent="0.35">
      <c r="A75" t="str">
        <f t="shared" si="2"/>
        <v>D_CUSTOM1</v>
      </c>
      <c r="B75">
        <f>SUMIFS($G$4:$G$63, $A$4:$A$63, "=A6", $B$4:$B$63, "FY2026")</f>
        <v>0</v>
      </c>
    </row>
    <row r="76" spans="1:3" x14ac:dyDescent="0.35">
      <c r="A76" t="str">
        <f t="shared" si="2"/>
        <v>D_CUSTOM1</v>
      </c>
      <c r="B76">
        <f>SUMIFS($G$4:$G$63, $A$4:$A$63, "=A7", $B$4:$B$63, "FY2026")</f>
        <v>0</v>
      </c>
    </row>
    <row r="77" spans="1:3" x14ac:dyDescent="0.35">
      <c r="A77" t="str">
        <f t="shared" si="2"/>
        <v>D_CUSTOM1</v>
      </c>
      <c r="B77">
        <f>SUMIFS($G$4:$G$63, $A$4:$A$63, "=A8", $B$4:$B$63, "FY2026")</f>
        <v>0</v>
      </c>
    </row>
    <row r="78" spans="1:3" x14ac:dyDescent="0.35">
      <c r="A78" t="str">
        <f t="shared" si="2"/>
        <v>E_StatusQuo_Targets</v>
      </c>
      <c r="B78">
        <f>SUMIFS($G$4:$G$63, $A$4:$A$63, "=A9", $B$4:$B$63, "FY2026")</f>
        <v>0</v>
      </c>
    </row>
    <row r="79" spans="1:3" x14ac:dyDescent="0.35">
      <c r="A79" t="s">
        <v>60</v>
      </c>
      <c r="B79">
        <f>SUMIFS($G$4:$G$63, $A$4:$A$63, "A_Repurpose_Both_lease", $B$4:$B$63, "FY2026")</f>
        <v>0</v>
      </c>
    </row>
    <row r="80" spans="1:3" x14ac:dyDescent="0.35">
      <c r="A80" t="s">
        <v>61</v>
      </c>
      <c r="B80">
        <f>SUMIFS($G$4:$G$63, $A$4:$A$63, "A_Repurpose_Both_ops", $B$4:$B$63, "FY2026")</f>
        <v>0</v>
      </c>
    </row>
    <row r="81" spans="1:2" x14ac:dyDescent="0.35">
      <c r="A81" t="s">
        <v>62</v>
      </c>
      <c r="B81">
        <f>SUMIFS($G$4:$G$63, $A$4:$A$63, "B_Repurpose_Echo_lease_PimaTargets", $B$4:$B$63, "FY2026")</f>
        <v>0</v>
      </c>
    </row>
    <row r="82" spans="1:2" x14ac:dyDescent="0.35">
      <c r="A82" t="s">
        <v>63</v>
      </c>
      <c r="B82">
        <f>SUMIFS($G$4:$G$63, $A$4:$A$63, "B_Repurpose_Echo_ops_PimaTargets", $B$4:$B$63, "FY2026")</f>
        <v>0</v>
      </c>
    </row>
    <row r="83" spans="1:2" x14ac:dyDescent="0.35">
      <c r="A83" t="s">
        <v>64</v>
      </c>
      <c r="B83">
        <f>SUMIFS($G$4:$G$63, $A$4:$A$63, "C_Repurpose_Pima_lease_EchoGHub_EchoTargets", $B$4:$B$63, "FY2026")</f>
        <v>0</v>
      </c>
    </row>
    <row r="84" spans="1:2" x14ac:dyDescent="0.35">
      <c r="A84" t="s">
        <v>65</v>
      </c>
      <c r="B84">
        <f>SUMIFS($G$4:$G$63, $A$4:$A$63, "C_Repurpose_Pima_ops_EchoGHub_EchoTargets", $B$4:$B$63, "FY2026")</f>
        <v>0</v>
      </c>
    </row>
    <row r="85" spans="1:2" x14ac:dyDescent="0.35">
      <c r="A85" t="s">
        <v>66</v>
      </c>
      <c r="B85">
        <f>SUMIFS($G$4:$G$63, $A$4:$A$63, "D_CUSTOM1", $B$4:$B$63, "FY2026")</f>
        <v>0</v>
      </c>
    </row>
    <row r="86" spans="1:2" x14ac:dyDescent="0.35">
      <c r="A86" t="s">
        <v>67</v>
      </c>
      <c r="B86">
        <f>SUMIFS($G$4:$G$63, $A$4:$A$63, "D_CUSTOM2", $B$4:$B$63, "FY2026")</f>
        <v>0</v>
      </c>
    </row>
    <row r="87" spans="1:2" x14ac:dyDescent="0.35">
      <c r="A87" t="s">
        <v>68</v>
      </c>
      <c r="B87">
        <f>SUMIFS($G$4:$G$63, $A$4:$A$63, "D_Grow_Both_Targets", $B$4:$B$63, "FY2026")</f>
        <v>0</v>
      </c>
    </row>
    <row r="88" spans="1:2" x14ac:dyDescent="0.35">
      <c r="A88" t="s">
        <v>69</v>
      </c>
      <c r="B88">
        <f>SUMIFS($G$4:$G$63, $A$4:$A$63, "E_StatusQuo_Targets", $B$4:$B$63, "FY2026")</f>
        <v>0</v>
      </c>
    </row>
    <row r="89" spans="1:2" x14ac:dyDescent="0.35">
      <c r="A89" t="s">
        <v>70</v>
      </c>
      <c r="B89">
        <f>SUMIFS($G$4:$G$63, $A$4:$A$63, "F_CoLocation_Echo_Targets", $B$4:$B$63, "FY2026")</f>
        <v>0</v>
      </c>
    </row>
    <row r="90" spans="1:2" x14ac:dyDescent="0.35">
      <c r="A90" t="s">
        <v>71</v>
      </c>
      <c r="B90">
        <f>SUMIFS($G$4:$G$63, $A$4:$A$63, "G_EchoGHubRamp_PimaTargets", $B$4:$B$63, "FY2026")</f>
        <v>0</v>
      </c>
    </row>
    <row r="91" spans="1:2" x14ac:dyDescent="0.35">
      <c r="A91" t="s">
        <v>46</v>
      </c>
      <c r="B91">
        <f>SUMIFS($G$4:$G$63, $A$4:$A$63, "ScenarioKey", $B$4:$B$63, "FY2026")</f>
        <v>0</v>
      </c>
    </row>
  </sheetData>
  <mergeCells count="2">
    <mergeCell ref="A1:G1"/>
    <mergeCell ref="A65:C6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zoomScale="80" zoomScaleNormal="80" workbookViewId="0">
      <pane xSplit="2" ySplit="1" topLeftCell="C5"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72</v>
      </c>
    </row>
    <row r="3" spans="1:16" x14ac:dyDescent="0.35">
      <c r="A3" s="4" t="s">
        <v>73</v>
      </c>
      <c r="B3" s="7"/>
    </row>
    <row r="4" spans="1:16" x14ac:dyDescent="0.35">
      <c r="A4" s="4"/>
    </row>
    <row r="5" spans="1:16" x14ac:dyDescent="0.35">
      <c r="B5" s="6" t="s">
        <v>74</v>
      </c>
      <c r="C5" s="55" t="s">
        <v>75</v>
      </c>
      <c r="D5" s="56"/>
      <c r="E5" s="56"/>
      <c r="F5" s="56"/>
      <c r="G5" s="57"/>
      <c r="H5" s="6" t="s">
        <v>3</v>
      </c>
      <c r="J5" s="4"/>
      <c r="K5" s="4"/>
      <c r="L5" s="4"/>
      <c r="M5" s="4"/>
      <c r="N5" s="4"/>
      <c r="O5" s="4"/>
      <c r="P5" s="4"/>
    </row>
    <row r="6" spans="1:16" x14ac:dyDescent="0.35">
      <c r="B6" s="7" t="s">
        <v>76</v>
      </c>
      <c r="C6" s="14">
        <v>2.5000000000000001E-2</v>
      </c>
      <c r="D6" s="7"/>
      <c r="E6" s="7"/>
      <c r="F6" s="7"/>
      <c r="G6" s="7"/>
      <c r="H6" s="8" t="s">
        <v>77</v>
      </c>
    </row>
    <row r="7" spans="1:16" x14ac:dyDescent="0.35">
      <c r="B7" s="7" t="s">
        <v>78</v>
      </c>
      <c r="C7" s="14">
        <v>9936</v>
      </c>
      <c r="D7" s="7"/>
      <c r="E7" s="7"/>
      <c r="F7" s="7"/>
      <c r="G7" s="7"/>
      <c r="H7" s="8" t="s">
        <v>79</v>
      </c>
    </row>
    <row r="8" spans="1:16" x14ac:dyDescent="0.35">
      <c r="B8" s="7" t="s">
        <v>80</v>
      </c>
      <c r="C8" s="14">
        <v>0.46</v>
      </c>
      <c r="D8" s="7"/>
      <c r="E8" s="7"/>
      <c r="F8" s="7"/>
      <c r="G8" s="7"/>
      <c r="H8" s="8" t="s">
        <v>81</v>
      </c>
    </row>
    <row r="9" spans="1:16" x14ac:dyDescent="0.35">
      <c r="B9" s="7" t="s">
        <v>82</v>
      </c>
      <c r="C9" s="14">
        <v>5013</v>
      </c>
      <c r="D9" s="7"/>
      <c r="E9" s="7"/>
      <c r="F9" s="7"/>
      <c r="G9" s="7"/>
      <c r="H9" s="8" t="s">
        <v>83</v>
      </c>
    </row>
    <row r="10" spans="1:16" x14ac:dyDescent="0.35">
      <c r="B10" s="7" t="s">
        <v>84</v>
      </c>
      <c r="C10" s="14">
        <v>7.0000000000000001E-3</v>
      </c>
      <c r="D10" s="7"/>
      <c r="E10" s="7"/>
      <c r="F10" s="7"/>
      <c r="G10" s="7"/>
      <c r="H10" s="8" t="s">
        <v>85</v>
      </c>
    </row>
    <row r="11" spans="1:16" x14ac:dyDescent="0.35">
      <c r="B11" s="7" t="s">
        <v>86</v>
      </c>
      <c r="C11" s="14">
        <v>1.4999999999999999E-2</v>
      </c>
      <c r="D11" s="7"/>
      <c r="E11" s="7"/>
      <c r="F11" s="7"/>
      <c r="G11" s="7"/>
      <c r="H11" s="8" t="s">
        <v>87</v>
      </c>
    </row>
    <row r="12" spans="1:16" x14ac:dyDescent="0.35">
      <c r="B12" s="7" t="s">
        <v>88</v>
      </c>
      <c r="C12" s="14">
        <v>257</v>
      </c>
      <c r="D12" s="7"/>
      <c r="E12" s="7"/>
      <c r="F12" s="7"/>
      <c r="G12" s="7"/>
      <c r="H12" s="8" t="s">
        <v>89</v>
      </c>
    </row>
    <row r="13" spans="1:16" x14ac:dyDescent="0.35">
      <c r="B13" s="7" t="s">
        <v>90</v>
      </c>
      <c r="C13" s="14">
        <v>296</v>
      </c>
      <c r="D13" s="7"/>
      <c r="E13" s="7"/>
      <c r="F13" s="7"/>
      <c r="G13" s="7"/>
      <c r="H13" s="8" t="s">
        <v>91</v>
      </c>
    </row>
    <row r="14" spans="1:16" x14ac:dyDescent="0.35">
      <c r="B14" s="7" t="s">
        <v>92</v>
      </c>
      <c r="C14" s="7">
        <f>C12+C13</f>
        <v>553</v>
      </c>
      <c r="D14" s="7"/>
      <c r="E14" s="7"/>
      <c r="F14" s="7"/>
      <c r="G14" s="7"/>
      <c r="H14" s="8" t="s">
        <v>93</v>
      </c>
    </row>
    <row r="15" spans="1:16" x14ac:dyDescent="0.35">
      <c r="B15" s="7" t="s">
        <v>94</v>
      </c>
      <c r="C15" s="13">
        <v>1200000</v>
      </c>
      <c r="D15" s="7"/>
      <c r="E15" s="7"/>
      <c r="F15" s="7"/>
      <c r="G15" s="7"/>
      <c r="H15" s="8" t="s">
        <v>95</v>
      </c>
    </row>
    <row r="16" spans="1:16" x14ac:dyDescent="0.35">
      <c r="B16" s="7" t="s">
        <v>96</v>
      </c>
      <c r="C16" s="14">
        <v>0.75</v>
      </c>
      <c r="D16" s="7"/>
      <c r="E16" s="7"/>
      <c r="F16" s="7"/>
      <c r="G16" s="7"/>
      <c r="H16" s="8" t="s">
        <v>97</v>
      </c>
    </row>
    <row r="17" spans="1:8" x14ac:dyDescent="0.35">
      <c r="B17" s="7" t="s">
        <v>98</v>
      </c>
      <c r="C17" s="14">
        <v>0.4</v>
      </c>
      <c r="D17" s="7"/>
      <c r="E17" s="7"/>
      <c r="F17" s="7"/>
      <c r="G17" s="7"/>
      <c r="H17" s="8" t="s">
        <v>99</v>
      </c>
    </row>
    <row r="18" spans="1:8" x14ac:dyDescent="0.35">
      <c r="B18" s="7"/>
      <c r="C18" s="7"/>
      <c r="D18" s="7"/>
      <c r="E18" s="7"/>
      <c r="F18" s="7"/>
      <c r="G18" s="7"/>
      <c r="H18" s="9"/>
    </row>
    <row r="19" spans="1:8" x14ac:dyDescent="0.35">
      <c r="A19" s="4" t="s">
        <v>100</v>
      </c>
      <c r="B19" s="7"/>
      <c r="C19" s="7"/>
      <c r="D19" s="7"/>
      <c r="E19" s="7"/>
      <c r="F19" s="7"/>
      <c r="G19" s="7"/>
      <c r="H19" s="9"/>
    </row>
    <row r="20" spans="1:8" x14ac:dyDescent="0.35">
      <c r="A20" s="4"/>
      <c r="B20" s="7"/>
      <c r="C20" s="7"/>
      <c r="D20" s="7"/>
      <c r="E20" s="7"/>
      <c r="F20" s="7"/>
      <c r="G20" s="7"/>
      <c r="H20" s="9"/>
    </row>
    <row r="21" spans="1:8" x14ac:dyDescent="0.35">
      <c r="B21" s="6" t="s">
        <v>47</v>
      </c>
      <c r="C21" s="6" t="s">
        <v>101</v>
      </c>
      <c r="D21" s="6" t="s">
        <v>102</v>
      </c>
      <c r="E21" s="6" t="s">
        <v>103</v>
      </c>
      <c r="F21" s="15"/>
      <c r="G21" s="15"/>
      <c r="H21" s="9"/>
    </row>
    <row r="22" spans="1:8" x14ac:dyDescent="0.35">
      <c r="B22" s="7" t="s">
        <v>53</v>
      </c>
      <c r="C22" s="14">
        <v>1000</v>
      </c>
      <c r="D22" s="14">
        <v>0.4</v>
      </c>
      <c r="E22" s="14">
        <v>0.5</v>
      </c>
      <c r="F22" s="7"/>
      <c r="G22" s="7"/>
      <c r="H22" s="8" t="s">
        <v>104</v>
      </c>
    </row>
    <row r="23" spans="1:8" x14ac:dyDescent="0.35">
      <c r="B23" s="7" t="s">
        <v>54</v>
      </c>
      <c r="C23" s="14">
        <v>800</v>
      </c>
      <c r="D23" s="14">
        <v>0.3</v>
      </c>
      <c r="E23" s="14">
        <v>0.4</v>
      </c>
      <c r="F23" s="7"/>
      <c r="G23" s="7"/>
      <c r="H23" s="8" t="s">
        <v>105</v>
      </c>
    </row>
    <row r="24" spans="1:8" x14ac:dyDescent="0.35">
      <c r="B24" s="7" t="s">
        <v>55</v>
      </c>
      <c r="C24" s="14">
        <v>600</v>
      </c>
      <c r="D24" s="14">
        <v>0.2</v>
      </c>
      <c r="E24" s="14">
        <v>0.35</v>
      </c>
      <c r="F24" s="7"/>
      <c r="G24" s="7"/>
      <c r="H24" s="8" t="s">
        <v>106</v>
      </c>
    </row>
    <row r="25" spans="1:8" x14ac:dyDescent="0.35">
      <c r="B25" s="7" t="s">
        <v>56</v>
      </c>
      <c r="C25" s="14">
        <v>500</v>
      </c>
      <c r="D25" s="14">
        <v>0.1</v>
      </c>
      <c r="E25" s="14">
        <v>0.3</v>
      </c>
      <c r="F25" s="7"/>
      <c r="G25" s="7"/>
      <c r="H25" s="9"/>
    </row>
    <row r="26" spans="1:8" x14ac:dyDescent="0.35">
      <c r="B26" s="7" t="s">
        <v>57</v>
      </c>
      <c r="C26" s="14">
        <v>300</v>
      </c>
      <c r="D26" s="14">
        <v>0.1</v>
      </c>
      <c r="E26" s="14">
        <v>0.3</v>
      </c>
      <c r="F26" s="7"/>
      <c r="G26" s="7"/>
      <c r="H26" s="9"/>
    </row>
    <row r="27" spans="1:8" x14ac:dyDescent="0.35">
      <c r="B27" s="7"/>
      <c r="C27" s="7"/>
      <c r="D27" s="7"/>
      <c r="E27" s="7"/>
      <c r="F27" s="7"/>
      <c r="G27" s="7"/>
      <c r="H27" s="9"/>
    </row>
    <row r="28" spans="1:8" x14ac:dyDescent="0.35">
      <c r="A28" s="4" t="s">
        <v>107</v>
      </c>
      <c r="B28" s="7"/>
      <c r="C28" s="7"/>
      <c r="D28" s="7"/>
      <c r="E28" s="7"/>
      <c r="F28" s="7"/>
      <c r="G28" s="7"/>
      <c r="H28" s="9"/>
    </row>
    <row r="29" spans="1:8" x14ac:dyDescent="0.35">
      <c r="A29" s="4"/>
      <c r="B29" s="7"/>
      <c r="C29" s="7"/>
      <c r="D29" s="7"/>
      <c r="E29" s="7"/>
      <c r="F29" s="7"/>
      <c r="G29" s="7"/>
      <c r="H29" s="9"/>
    </row>
    <row r="30" spans="1:8" x14ac:dyDescent="0.35">
      <c r="A30" s="10" t="s">
        <v>108</v>
      </c>
      <c r="B30" s="6" t="s">
        <v>109</v>
      </c>
      <c r="C30" s="6" t="s">
        <v>110</v>
      </c>
      <c r="D30" s="6" t="s">
        <v>111</v>
      </c>
      <c r="E30" s="6" t="s">
        <v>112</v>
      </c>
      <c r="F30" s="6" t="s">
        <v>113</v>
      </c>
      <c r="G30" s="6" t="s">
        <v>114</v>
      </c>
      <c r="H30" s="9"/>
    </row>
    <row r="31" spans="1:8" x14ac:dyDescent="0.35">
      <c r="A31" s="10" t="s">
        <v>115</v>
      </c>
      <c r="B31" s="7" t="s">
        <v>116</v>
      </c>
      <c r="C31" s="14">
        <v>0</v>
      </c>
      <c r="D31" s="14">
        <v>0</v>
      </c>
      <c r="E31" s="14">
        <v>0</v>
      </c>
      <c r="F31" s="14">
        <v>0.5</v>
      </c>
      <c r="G31" s="14">
        <v>0</v>
      </c>
      <c r="H31" s="9"/>
    </row>
    <row r="32" spans="1:8" x14ac:dyDescent="0.35">
      <c r="A32" s="10" t="s">
        <v>117</v>
      </c>
      <c r="B32" s="7" t="s">
        <v>118</v>
      </c>
      <c r="C32" s="14">
        <v>150</v>
      </c>
      <c r="D32" s="14">
        <v>0</v>
      </c>
      <c r="E32" s="14">
        <v>0</v>
      </c>
      <c r="F32" s="14">
        <v>0.5</v>
      </c>
      <c r="G32" s="14">
        <v>0</v>
      </c>
      <c r="H32" s="9" t="s">
        <v>119</v>
      </c>
    </row>
    <row r="33" spans="1:8" x14ac:dyDescent="0.35">
      <c r="A33" s="10" t="s">
        <v>120</v>
      </c>
      <c r="B33" s="7" t="s">
        <v>121</v>
      </c>
      <c r="C33" s="14">
        <v>150</v>
      </c>
      <c r="D33" s="14">
        <v>0</v>
      </c>
      <c r="E33" s="14">
        <v>0</v>
      </c>
      <c r="F33" s="14">
        <v>0.5</v>
      </c>
      <c r="G33" s="14">
        <v>0.05</v>
      </c>
      <c r="H33" s="51"/>
    </row>
    <row r="34" spans="1:8" x14ac:dyDescent="0.35">
      <c r="A34" s="10" t="s">
        <v>122</v>
      </c>
      <c r="B34" s="7" t="s">
        <v>123</v>
      </c>
      <c r="C34" s="14">
        <v>250</v>
      </c>
      <c r="D34" s="14">
        <v>0</v>
      </c>
      <c r="E34" s="14">
        <v>0</v>
      </c>
      <c r="F34" s="14">
        <v>0.5</v>
      </c>
      <c r="G34" s="14">
        <v>0</v>
      </c>
      <c r="H34" s="9"/>
    </row>
    <row r="35" spans="1:8" x14ac:dyDescent="0.35">
      <c r="A35" s="10" t="s">
        <v>124</v>
      </c>
      <c r="B35" s="7" t="s">
        <v>125</v>
      </c>
      <c r="C35" s="14">
        <v>0</v>
      </c>
      <c r="D35" s="14">
        <v>0</v>
      </c>
      <c r="E35" s="14">
        <v>0</v>
      </c>
      <c r="F35" s="14">
        <v>0.5</v>
      </c>
      <c r="G35" s="14">
        <v>0</v>
      </c>
      <c r="H35" s="9"/>
    </row>
    <row r="36" spans="1:8" x14ac:dyDescent="0.35">
      <c r="A36" s="10" t="s">
        <v>126</v>
      </c>
      <c r="B36" s="7" t="s">
        <v>127</v>
      </c>
      <c r="C36" s="14">
        <v>150</v>
      </c>
      <c r="D36" s="14">
        <v>0</v>
      </c>
      <c r="E36" s="14">
        <v>0</v>
      </c>
      <c r="F36" s="14">
        <v>0.7</v>
      </c>
      <c r="G36" s="14">
        <v>0</v>
      </c>
      <c r="H36" s="9"/>
    </row>
    <row r="37" spans="1:8" x14ac:dyDescent="0.35">
      <c r="A37" s="10" t="s">
        <v>128</v>
      </c>
      <c r="B37" s="7" t="s">
        <v>129</v>
      </c>
      <c r="C37" s="14">
        <v>0</v>
      </c>
      <c r="D37" s="14">
        <v>1</v>
      </c>
      <c r="E37" s="14">
        <v>1</v>
      </c>
      <c r="F37" s="14">
        <v>0.5</v>
      </c>
      <c r="G37" s="14">
        <v>0</v>
      </c>
      <c r="H37" s="9"/>
    </row>
    <row r="38" spans="1:8" x14ac:dyDescent="0.35">
      <c r="A38" s="10" t="s">
        <v>130</v>
      </c>
      <c r="B38" s="7" t="s">
        <v>131</v>
      </c>
      <c r="C38" s="14">
        <v>0</v>
      </c>
      <c r="D38" s="14">
        <v>1</v>
      </c>
      <c r="E38" s="14">
        <v>1</v>
      </c>
      <c r="F38" s="14">
        <v>0.5</v>
      </c>
      <c r="G38" s="14">
        <v>0</v>
      </c>
      <c r="H38" s="9"/>
    </row>
    <row r="39" spans="1:8" x14ac:dyDescent="0.35">
      <c r="A39" s="10" t="s">
        <v>132</v>
      </c>
      <c r="B39" s="7" t="s">
        <v>133</v>
      </c>
      <c r="C39" s="14">
        <v>0</v>
      </c>
      <c r="D39" s="14">
        <v>1</v>
      </c>
      <c r="E39" s="14">
        <v>0</v>
      </c>
      <c r="F39" s="14">
        <v>0</v>
      </c>
      <c r="G39" s="14">
        <v>0</v>
      </c>
      <c r="H39" s="9"/>
    </row>
    <row r="40" spans="1:8" x14ac:dyDescent="0.35">
      <c r="A40" s="10" t="s">
        <v>134</v>
      </c>
      <c r="B40" s="7" t="s">
        <v>135</v>
      </c>
      <c r="C40" s="14">
        <v>150</v>
      </c>
      <c r="D40" s="14">
        <v>1</v>
      </c>
      <c r="E40" s="14">
        <v>0</v>
      </c>
      <c r="F40" s="14">
        <v>0</v>
      </c>
      <c r="G40" s="14">
        <v>0</v>
      </c>
      <c r="H40" s="9"/>
    </row>
    <row r="41" spans="1:8" x14ac:dyDescent="0.35">
      <c r="A41" s="10" t="s">
        <v>136</v>
      </c>
      <c r="B41" s="7" t="s">
        <v>137</v>
      </c>
      <c r="C41" s="14">
        <v>0</v>
      </c>
      <c r="D41" s="14">
        <v>0</v>
      </c>
      <c r="E41" s="14">
        <v>1</v>
      </c>
      <c r="F41" s="14">
        <v>1</v>
      </c>
      <c r="G41" s="14">
        <v>0</v>
      </c>
      <c r="H41" s="9"/>
    </row>
    <row r="42" spans="1:8" x14ac:dyDescent="0.35">
      <c r="A42" s="10" t="s">
        <v>138</v>
      </c>
      <c r="B42" s="7" t="s">
        <v>139</v>
      </c>
      <c r="C42" s="14">
        <v>200</v>
      </c>
      <c r="D42" s="14">
        <v>0</v>
      </c>
      <c r="E42" s="14">
        <v>1</v>
      </c>
      <c r="F42" s="14">
        <v>1</v>
      </c>
      <c r="G42" s="14">
        <v>0</v>
      </c>
      <c r="H42" s="9"/>
    </row>
    <row r="43" spans="1:8" x14ac:dyDescent="0.35">
      <c r="B43" s="7"/>
      <c r="C43" s="7"/>
      <c r="D43" s="7"/>
      <c r="E43" s="7"/>
      <c r="F43" s="7"/>
      <c r="G43" s="7"/>
    </row>
    <row r="44" spans="1:8" x14ac:dyDescent="0.35">
      <c r="A44" s="4" t="s">
        <v>140</v>
      </c>
      <c r="B44" s="7"/>
      <c r="C44" s="7"/>
      <c r="D44" s="7"/>
      <c r="E44" s="7"/>
      <c r="F44" s="7"/>
      <c r="G44" s="7"/>
    </row>
    <row r="45" spans="1:8" x14ac:dyDescent="0.35">
      <c r="B45" s="7"/>
      <c r="C45" s="7"/>
      <c r="D45" s="7"/>
      <c r="E45" s="7"/>
      <c r="F45" s="7"/>
      <c r="G45" s="7"/>
    </row>
    <row r="46" spans="1:8" x14ac:dyDescent="0.35">
      <c r="B46" s="6" t="s">
        <v>109</v>
      </c>
      <c r="C46" s="6" t="s">
        <v>141</v>
      </c>
      <c r="D46" s="6" t="s">
        <v>142</v>
      </c>
      <c r="E46" s="7"/>
      <c r="F46" s="7"/>
      <c r="G46" s="7"/>
      <c r="H46" s="9" t="s">
        <v>143</v>
      </c>
    </row>
    <row r="47" spans="1:8" x14ac:dyDescent="0.35">
      <c r="B47" s="7" t="s">
        <v>144</v>
      </c>
      <c r="C47" s="14" t="s">
        <v>145</v>
      </c>
      <c r="D47" s="14" t="s">
        <v>146</v>
      </c>
      <c r="E47" s="7"/>
      <c r="F47" s="7"/>
      <c r="G47" s="7"/>
      <c r="H47" s="9"/>
    </row>
    <row r="48" spans="1:8" x14ac:dyDescent="0.35">
      <c r="B48" s="7" t="s">
        <v>118</v>
      </c>
      <c r="C48" s="14" t="s">
        <v>147</v>
      </c>
      <c r="D48" s="14" t="s">
        <v>148</v>
      </c>
      <c r="E48" s="7"/>
      <c r="F48" s="7"/>
      <c r="G48" s="7"/>
      <c r="H48" s="9"/>
    </row>
    <row r="49" spans="2:8" x14ac:dyDescent="0.35">
      <c r="B49" s="7" t="s">
        <v>121</v>
      </c>
      <c r="C49" s="16" t="s">
        <v>149</v>
      </c>
      <c r="D49" s="14" t="s">
        <v>146</v>
      </c>
      <c r="E49" s="7"/>
      <c r="F49" s="7"/>
      <c r="G49" s="7"/>
      <c r="H49" s="9"/>
    </row>
    <row r="50" spans="2:8" x14ac:dyDescent="0.35">
      <c r="B50" s="7" t="s">
        <v>123</v>
      </c>
      <c r="C50" s="16" t="s">
        <v>149</v>
      </c>
      <c r="D50" s="14" t="s">
        <v>146</v>
      </c>
      <c r="E50" s="7"/>
      <c r="F50" s="7"/>
      <c r="G50" s="7"/>
      <c r="H50" s="9"/>
    </row>
    <row r="51" spans="2:8" x14ac:dyDescent="0.35">
      <c r="B51" s="7" t="s">
        <v>150</v>
      </c>
      <c r="C51" s="14" t="s">
        <v>145</v>
      </c>
      <c r="D51" s="14" t="s">
        <v>146</v>
      </c>
      <c r="E51" s="7"/>
      <c r="F51" s="7"/>
      <c r="G51" s="7"/>
      <c r="H51" s="9"/>
    </row>
    <row r="52" spans="2:8" x14ac:dyDescent="0.35">
      <c r="B52" s="7" t="s">
        <v>127</v>
      </c>
      <c r="C52" s="16" t="s">
        <v>149</v>
      </c>
      <c r="D52" s="14" t="s">
        <v>146</v>
      </c>
      <c r="E52" s="7"/>
      <c r="F52" s="7"/>
      <c r="G52" s="7"/>
      <c r="H52" s="9"/>
    </row>
    <row r="53" spans="2:8" x14ac:dyDescent="0.35">
      <c r="B53" s="7" t="s">
        <v>129</v>
      </c>
      <c r="C53" s="16" t="s">
        <v>151</v>
      </c>
      <c r="D53" s="14" t="s">
        <v>152</v>
      </c>
      <c r="E53" s="7"/>
      <c r="F53" s="7"/>
      <c r="G53" s="7"/>
      <c r="H53" s="9"/>
    </row>
    <row r="54" spans="2:8" x14ac:dyDescent="0.35">
      <c r="B54" s="7" t="s">
        <v>131</v>
      </c>
      <c r="C54" s="16" t="s">
        <v>153</v>
      </c>
      <c r="D54" s="14" t="s">
        <v>154</v>
      </c>
      <c r="E54" s="7"/>
      <c r="F54" s="7"/>
      <c r="G54" s="7"/>
      <c r="H54" s="9"/>
    </row>
    <row r="55" spans="2:8" x14ac:dyDescent="0.35">
      <c r="B55" s="7" t="s">
        <v>133</v>
      </c>
      <c r="C55" s="16" t="s">
        <v>153</v>
      </c>
      <c r="D55" s="14" t="s">
        <v>154</v>
      </c>
      <c r="E55" s="7"/>
      <c r="F55" s="7"/>
      <c r="G55" s="7"/>
      <c r="H55" s="9"/>
    </row>
    <row r="56" spans="2:8" x14ac:dyDescent="0.35">
      <c r="B56" s="7" t="s">
        <v>135</v>
      </c>
      <c r="C56" s="14" t="s">
        <v>147</v>
      </c>
      <c r="D56" s="14" t="s">
        <v>154</v>
      </c>
      <c r="E56" s="7"/>
      <c r="F56" s="7"/>
      <c r="G56" s="7"/>
      <c r="H56" s="9"/>
    </row>
    <row r="57" spans="2:8" x14ac:dyDescent="0.35">
      <c r="B57" s="7" t="s">
        <v>137</v>
      </c>
      <c r="C57" s="16" t="s">
        <v>153</v>
      </c>
      <c r="D57" s="14" t="s">
        <v>154</v>
      </c>
      <c r="E57" s="7"/>
      <c r="F57" s="7"/>
      <c r="G57" s="7"/>
      <c r="H57" s="9"/>
    </row>
    <row r="58" spans="2:8" x14ac:dyDescent="0.35">
      <c r="B58" s="7" t="s">
        <v>139</v>
      </c>
      <c r="C58" s="14" t="s">
        <v>147</v>
      </c>
      <c r="D58" s="14" t="s">
        <v>154</v>
      </c>
      <c r="E58" s="7"/>
      <c r="F58" s="7"/>
      <c r="G58" s="7"/>
      <c r="H58" s="9"/>
    </row>
    <row r="59" spans="2:8" x14ac:dyDescent="0.35">
      <c r="H59" s="9"/>
    </row>
  </sheetData>
  <mergeCells count="1">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155</v>
      </c>
      <c r="H1" s="20"/>
      <c r="I1" s="19" t="s">
        <v>156</v>
      </c>
      <c r="J1" s="20"/>
      <c r="K1" s="19" t="s">
        <v>157</v>
      </c>
      <c r="L1" s="20"/>
      <c r="M1" s="21"/>
      <c r="N1" s="15"/>
      <c r="O1" s="15" t="s">
        <v>158</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46</v>
      </c>
      <c r="C2" s="22" t="s">
        <v>159</v>
      </c>
      <c r="D2" s="22" t="s">
        <v>160</v>
      </c>
      <c r="E2" s="22" t="s">
        <v>161</v>
      </c>
      <c r="F2" s="22" t="s">
        <v>162</v>
      </c>
      <c r="G2" s="22" t="s">
        <v>163</v>
      </c>
      <c r="H2" s="22" t="s">
        <v>164</v>
      </c>
      <c r="I2" s="23" t="str">
        <f>Control_Center!C46</f>
        <v>Distinctiveness</v>
      </c>
      <c r="J2" s="23" t="str">
        <f>Control_Center!D46</f>
        <v>Reversibility</v>
      </c>
      <c r="K2" s="23" t="s">
        <v>165</v>
      </c>
      <c r="L2" s="23" t="s">
        <v>166</v>
      </c>
      <c r="M2" s="23" t="s">
        <v>167</v>
      </c>
      <c r="N2" s="24" t="s">
        <v>168</v>
      </c>
      <c r="O2" s="22" t="s">
        <v>169</v>
      </c>
      <c r="P2" s="22" t="s">
        <v>170</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171</v>
      </c>
      <c r="C2" s="6" t="s">
        <v>172</v>
      </c>
      <c r="D2" s="6" t="s">
        <v>173</v>
      </c>
      <c r="E2" s="6" t="s">
        <v>174</v>
      </c>
      <c r="F2" s="7"/>
      <c r="G2" s="7"/>
    </row>
    <row r="3" spans="1:9" ht="221" customHeight="1" x14ac:dyDescent="0.35">
      <c r="A3" s="7"/>
      <c r="B3" s="44" t="s">
        <v>175</v>
      </c>
      <c r="C3" s="45" t="s">
        <v>176</v>
      </c>
      <c r="D3" s="45" t="s">
        <v>177</v>
      </c>
      <c r="E3" s="45"/>
      <c r="F3" s="7"/>
      <c r="G3" s="7"/>
    </row>
    <row r="4" spans="1:9" ht="182" customHeight="1" x14ac:dyDescent="0.35">
      <c r="A4" s="7"/>
      <c r="B4" s="44" t="s">
        <v>178</v>
      </c>
      <c r="C4" s="45" t="s">
        <v>179</v>
      </c>
      <c r="D4" s="45" t="s">
        <v>180</v>
      </c>
      <c r="E4" s="45"/>
      <c r="F4" s="7"/>
      <c r="G4" s="7"/>
    </row>
    <row r="5" spans="1:9" ht="130" customHeight="1" x14ac:dyDescent="0.35">
      <c r="A5" s="7"/>
      <c r="B5" s="44" t="s">
        <v>181</v>
      </c>
      <c r="C5" s="45" t="s">
        <v>182</v>
      </c>
      <c r="D5" s="44" t="s">
        <v>183</v>
      </c>
      <c r="E5" s="45" t="s">
        <v>184</v>
      </c>
      <c r="F5" s="7"/>
      <c r="G5" s="7"/>
    </row>
    <row r="6" spans="1:9" ht="65" customHeight="1" x14ac:dyDescent="0.35">
      <c r="A6" s="7"/>
      <c r="B6" s="44" t="s">
        <v>185</v>
      </c>
      <c r="C6" s="45" t="s">
        <v>186</v>
      </c>
      <c r="D6" s="45" t="s">
        <v>187</v>
      </c>
      <c r="E6" s="45" t="s">
        <v>188</v>
      </c>
      <c r="F6" s="7"/>
      <c r="G6" s="7"/>
    </row>
    <row r="7" spans="1:9" ht="52" customHeight="1" x14ac:dyDescent="0.35">
      <c r="A7" s="7"/>
      <c r="B7" s="44" t="s">
        <v>189</v>
      </c>
      <c r="C7" s="45" t="s">
        <v>186</v>
      </c>
      <c r="D7" s="44" t="s">
        <v>190</v>
      </c>
      <c r="E7" s="45" t="s">
        <v>191</v>
      </c>
      <c r="F7" s="7"/>
      <c r="G7" s="7"/>
    </row>
    <row r="8" spans="1:9" ht="104" customHeight="1" x14ac:dyDescent="0.35">
      <c r="A8" s="7"/>
      <c r="B8" s="44" t="s">
        <v>192</v>
      </c>
      <c r="C8" s="45" t="s">
        <v>193</v>
      </c>
      <c r="D8" s="46" t="s">
        <v>194</v>
      </c>
      <c r="E8" s="45" t="s">
        <v>195</v>
      </c>
      <c r="F8" s="7"/>
      <c r="G8" s="7"/>
    </row>
    <row r="9" spans="1:9" ht="145" customHeight="1" x14ac:dyDescent="0.35">
      <c r="A9" s="7"/>
      <c r="B9" s="40" t="s">
        <v>196</v>
      </c>
      <c r="C9" s="39" t="s">
        <v>197</v>
      </c>
      <c r="D9" s="43" t="s">
        <v>198</v>
      </c>
      <c r="E9" s="45" t="s">
        <v>199</v>
      </c>
      <c r="F9" s="7"/>
      <c r="G9" s="7"/>
    </row>
    <row r="10" spans="1:9" x14ac:dyDescent="0.35">
      <c r="A10" s="7"/>
      <c r="B10" s="44" t="s">
        <v>200</v>
      </c>
      <c r="C10" s="48"/>
      <c r="D10" s="47"/>
      <c r="E10" s="48"/>
      <c r="F10" s="7"/>
      <c r="G10" s="7"/>
    </row>
    <row r="11" spans="1:9" x14ac:dyDescent="0.35">
      <c r="A11" s="7"/>
      <c r="B11" s="44" t="s">
        <v>201</v>
      </c>
      <c r="C11" s="48"/>
      <c r="D11" s="47"/>
      <c r="E11" s="48"/>
      <c r="F11" s="7"/>
      <c r="G11" s="7"/>
    </row>
    <row r="12" spans="1:9" ht="26" customHeight="1" x14ac:dyDescent="0.35">
      <c r="A12" s="7"/>
      <c r="B12" s="44" t="s">
        <v>202</v>
      </c>
      <c r="C12" s="45" t="s">
        <v>203</v>
      </c>
      <c r="D12" s="45" t="s">
        <v>204</v>
      </c>
      <c r="E12" s="45"/>
      <c r="F12" s="7"/>
      <c r="G12" s="7"/>
    </row>
    <row r="13" spans="1:9" ht="52" customHeight="1" x14ac:dyDescent="0.35">
      <c r="A13" s="7"/>
      <c r="B13" s="44" t="s">
        <v>205</v>
      </c>
      <c r="C13" s="45" t="s">
        <v>206</v>
      </c>
      <c r="D13" s="44" t="s">
        <v>207</v>
      </c>
      <c r="E13" s="45" t="s">
        <v>208</v>
      </c>
      <c r="F13" s="7"/>
      <c r="G13" s="7"/>
    </row>
    <row r="14" spans="1:9" ht="104" customHeight="1" x14ac:dyDescent="0.35">
      <c r="A14" s="7"/>
      <c r="B14" s="44" t="s">
        <v>209</v>
      </c>
      <c r="C14" s="45" t="s">
        <v>210</v>
      </c>
      <c r="D14" s="47" t="s">
        <v>211</v>
      </c>
      <c r="E14" s="45" t="s">
        <v>212</v>
      </c>
      <c r="F14" s="7"/>
      <c r="G14" s="7"/>
    </row>
    <row r="15" spans="1:9" ht="391.5" customHeight="1" x14ac:dyDescent="0.35">
      <c r="A15" s="7"/>
      <c r="B15" s="44" t="s">
        <v>213</v>
      </c>
      <c r="C15" s="45" t="s">
        <v>214</v>
      </c>
      <c r="D15" s="44" t="s">
        <v>215</v>
      </c>
      <c r="E15" s="45" t="s">
        <v>216</v>
      </c>
      <c r="F15" s="40" t="s">
        <v>217</v>
      </c>
      <c r="G15" s="39" t="s">
        <v>218</v>
      </c>
      <c r="H15" s="39" t="s">
        <v>219</v>
      </c>
      <c r="I15" s="39" t="s">
        <v>220</v>
      </c>
    </row>
    <row r="16" spans="1:9" ht="409.5" customHeight="1" x14ac:dyDescent="0.35">
      <c r="A16" s="7"/>
      <c r="B16" s="44" t="s">
        <v>221</v>
      </c>
      <c r="C16" s="45" t="s">
        <v>222</v>
      </c>
      <c r="D16" s="47" t="s">
        <v>223</v>
      </c>
      <c r="E16" s="45" t="s">
        <v>224</v>
      </c>
      <c r="F16" s="7"/>
      <c r="G16" s="7"/>
    </row>
    <row r="17" spans="1:7" ht="65" customHeight="1" x14ac:dyDescent="0.35">
      <c r="A17" s="7"/>
      <c r="B17" s="44" t="s">
        <v>225</v>
      </c>
      <c r="C17" s="45" t="s">
        <v>226</v>
      </c>
      <c r="D17" s="44" t="s">
        <v>227</v>
      </c>
      <c r="E17" s="45" t="s">
        <v>228</v>
      </c>
      <c r="F17" s="7"/>
      <c r="G17" s="7"/>
    </row>
    <row r="18" spans="1:7" ht="195" customHeight="1" x14ac:dyDescent="0.35">
      <c r="A18" s="7"/>
      <c r="B18" s="44" t="s">
        <v>229</v>
      </c>
      <c r="C18" s="50" t="s">
        <v>230</v>
      </c>
      <c r="D18" s="44" t="s">
        <v>231</v>
      </c>
      <c r="E18" s="45" t="s">
        <v>232</v>
      </c>
      <c r="F18" s="7"/>
      <c r="G18" s="7"/>
    </row>
    <row r="19" spans="1:7" ht="91" customHeight="1" x14ac:dyDescent="0.35">
      <c r="A19" s="7"/>
      <c r="B19" s="44" t="s">
        <v>233</v>
      </c>
      <c r="C19" s="48" t="s">
        <v>234</v>
      </c>
      <c r="D19" s="49"/>
      <c r="E19" s="48"/>
      <c r="F19" s="7"/>
      <c r="G19" s="7"/>
    </row>
    <row r="20" spans="1:7" ht="104" customHeight="1" x14ac:dyDescent="0.35">
      <c r="A20" s="7"/>
      <c r="B20" s="44" t="s">
        <v>235</v>
      </c>
      <c r="C20" s="48" t="s">
        <v>236</v>
      </c>
      <c r="D20" s="49"/>
      <c r="E20" s="48"/>
      <c r="F20" s="7"/>
      <c r="G20" s="7"/>
    </row>
    <row r="21" spans="1:7" x14ac:dyDescent="0.35">
      <c r="A21" s="7"/>
      <c r="B21" s="44"/>
      <c r="C21" s="48"/>
      <c r="D21" s="49"/>
      <c r="E21" s="48"/>
      <c r="F21" s="7"/>
      <c r="G21" s="7"/>
    </row>
    <row r="22" spans="1:7" ht="39" customHeight="1" x14ac:dyDescent="0.35">
      <c r="A22" s="7"/>
      <c r="B22" s="44" t="s">
        <v>237</v>
      </c>
      <c r="C22" s="45" t="s">
        <v>238</v>
      </c>
      <c r="D22" s="44" t="s">
        <v>239</v>
      </c>
      <c r="E22" s="45" t="s">
        <v>240</v>
      </c>
      <c r="F22" s="7" t="s">
        <v>241</v>
      </c>
      <c r="G22" s="7"/>
    </row>
    <row r="23" spans="1:7" ht="39" customHeight="1" x14ac:dyDescent="0.35">
      <c r="A23" s="7"/>
      <c r="B23" s="44" t="s">
        <v>242</v>
      </c>
      <c r="C23" s="45" t="s">
        <v>243</v>
      </c>
      <c r="D23" s="45" t="s">
        <v>244</v>
      </c>
      <c r="E23" s="45" t="s">
        <v>245</v>
      </c>
      <c r="F23" s="7"/>
      <c r="G23" s="7"/>
    </row>
    <row r="24" spans="1:7" ht="52" customHeight="1" x14ac:dyDescent="0.35">
      <c r="A24" s="7"/>
      <c r="B24" s="44" t="s">
        <v>246</v>
      </c>
      <c r="C24" s="45" t="s">
        <v>247</v>
      </c>
      <c r="D24" s="46" t="s">
        <v>248</v>
      </c>
      <c r="E24" s="45" t="s">
        <v>249</v>
      </c>
      <c r="F24" s="7"/>
      <c r="G24" s="7"/>
    </row>
    <row r="25" spans="1:7" ht="65" customHeight="1" x14ac:dyDescent="0.35">
      <c r="A25" s="7"/>
      <c r="B25" s="44" t="s">
        <v>250</v>
      </c>
      <c r="C25" s="45" t="s">
        <v>251</v>
      </c>
      <c r="D25" s="46" t="s">
        <v>252</v>
      </c>
      <c r="E25" s="45" t="s">
        <v>253</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254</v>
      </c>
      <c r="C28" s="38" t="s">
        <v>255</v>
      </c>
      <c r="D28" s="38" t="s">
        <v>256</v>
      </c>
      <c r="E28" s="38" t="s">
        <v>257</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258</v>
      </c>
      <c r="C32" s="41" t="s">
        <v>259</v>
      </c>
      <c r="D32" s="41" t="s">
        <v>260</v>
      </c>
      <c r="E32" s="41" t="s">
        <v>261</v>
      </c>
      <c r="F32" s="41" t="s">
        <v>262</v>
      </c>
      <c r="G32" s="7"/>
    </row>
    <row r="33" spans="1:9" ht="52" customHeight="1" x14ac:dyDescent="0.35">
      <c r="A33" s="7"/>
      <c r="B33" s="41" t="s">
        <v>78</v>
      </c>
      <c r="C33" s="42" t="s">
        <v>263</v>
      </c>
      <c r="D33" s="42" t="s">
        <v>264</v>
      </c>
      <c r="E33" s="42" t="s">
        <v>265</v>
      </c>
      <c r="F33" s="42" t="s">
        <v>266</v>
      </c>
      <c r="G33" s="7"/>
      <c r="I33" s="42" t="s">
        <v>241</v>
      </c>
    </row>
    <row r="34" spans="1:9" ht="52" customHeight="1" x14ac:dyDescent="0.35">
      <c r="A34" s="7"/>
      <c r="B34" s="41" t="s">
        <v>80</v>
      </c>
      <c r="C34" s="42" t="s">
        <v>267</v>
      </c>
      <c r="D34" s="42" t="s">
        <v>264</v>
      </c>
      <c r="E34" s="42" t="s">
        <v>268</v>
      </c>
      <c r="F34" s="42" t="s">
        <v>269</v>
      </c>
      <c r="G34" s="15" t="s">
        <v>270</v>
      </c>
    </row>
    <row r="35" spans="1:9" ht="26" customHeight="1" x14ac:dyDescent="0.35">
      <c r="A35" s="7"/>
      <c r="B35" s="41" t="s">
        <v>271</v>
      </c>
      <c r="C35" s="42" t="s">
        <v>272</v>
      </c>
      <c r="D35" s="42" t="s">
        <v>264</v>
      </c>
      <c r="E35" s="42" t="s">
        <v>273</v>
      </c>
      <c r="F35" s="42" t="s">
        <v>274</v>
      </c>
      <c r="G35" s="7"/>
    </row>
    <row r="36" spans="1:9" ht="26" customHeight="1" x14ac:dyDescent="0.35">
      <c r="A36" s="7"/>
      <c r="B36" s="41" t="s">
        <v>76</v>
      </c>
      <c r="C36" s="42" t="s">
        <v>275</v>
      </c>
      <c r="D36" s="42" t="s">
        <v>264</v>
      </c>
      <c r="E36" s="42" t="s">
        <v>276</v>
      </c>
      <c r="F36" s="42" t="s">
        <v>277</v>
      </c>
      <c r="G36" s="7"/>
    </row>
    <row r="37" spans="1:9" ht="26" customHeight="1" x14ac:dyDescent="0.35">
      <c r="A37" s="7"/>
      <c r="B37" s="41" t="s">
        <v>278</v>
      </c>
      <c r="C37" s="42" t="s">
        <v>279</v>
      </c>
      <c r="D37" s="42" t="s">
        <v>264</v>
      </c>
      <c r="E37" s="42" t="s">
        <v>280</v>
      </c>
      <c r="F37" s="42" t="s">
        <v>281</v>
      </c>
      <c r="G37" s="7"/>
    </row>
    <row r="38" spans="1:9" ht="26" customHeight="1" x14ac:dyDescent="0.35">
      <c r="A38" s="7"/>
      <c r="B38" s="41" t="s">
        <v>282</v>
      </c>
      <c r="C38" s="42" t="s">
        <v>283</v>
      </c>
      <c r="D38" s="42" t="s">
        <v>284</v>
      </c>
      <c r="E38" s="42" t="s">
        <v>285</v>
      </c>
      <c r="F38" s="42" t="s">
        <v>274</v>
      </c>
      <c r="G38" s="7"/>
    </row>
    <row r="39" spans="1:9" ht="52" customHeight="1" x14ac:dyDescent="0.35">
      <c r="A39" s="7"/>
      <c r="B39" s="41" t="s">
        <v>286</v>
      </c>
      <c r="C39" s="42" t="s">
        <v>287</v>
      </c>
      <c r="D39" s="42" t="s">
        <v>284</v>
      </c>
      <c r="E39" s="42" t="s">
        <v>288</v>
      </c>
      <c r="F39" s="42" t="s">
        <v>289</v>
      </c>
      <c r="G39" s="7"/>
    </row>
    <row r="40" spans="1:9" ht="26" customHeight="1" x14ac:dyDescent="0.35">
      <c r="A40" s="7"/>
      <c r="B40" s="41" t="s">
        <v>290</v>
      </c>
      <c r="C40" s="42" t="s">
        <v>291</v>
      </c>
      <c r="D40" s="42" t="s">
        <v>284</v>
      </c>
      <c r="E40" s="42" t="s">
        <v>292</v>
      </c>
      <c r="F40" s="42" t="s">
        <v>293</v>
      </c>
      <c r="G40" s="7"/>
    </row>
    <row r="41" spans="1:9" ht="26" customHeight="1" x14ac:dyDescent="0.35">
      <c r="A41" s="7"/>
      <c r="B41" s="41" t="s">
        <v>294</v>
      </c>
      <c r="C41" s="42" t="s">
        <v>295</v>
      </c>
      <c r="D41" s="42" t="s">
        <v>284</v>
      </c>
      <c r="E41" s="42" t="s">
        <v>296</v>
      </c>
      <c r="F41" s="42" t="s">
        <v>297</v>
      </c>
      <c r="G41" s="7"/>
    </row>
    <row r="42" spans="1:9" ht="26" customHeight="1" x14ac:dyDescent="0.35">
      <c r="A42" s="7"/>
      <c r="B42" s="41" t="s">
        <v>298</v>
      </c>
      <c r="C42" s="42" t="s">
        <v>299</v>
      </c>
      <c r="D42" s="42" t="s">
        <v>284</v>
      </c>
      <c r="E42" s="42" t="s">
        <v>300</v>
      </c>
      <c r="F42" s="42" t="s">
        <v>301</v>
      </c>
      <c r="G42" s="7"/>
    </row>
    <row r="43" spans="1:9" ht="26" customHeight="1" x14ac:dyDescent="0.35">
      <c r="A43" s="7"/>
      <c r="B43" s="41" t="s">
        <v>98</v>
      </c>
      <c r="C43" s="42" t="s">
        <v>302</v>
      </c>
      <c r="D43" s="42" t="s">
        <v>303</v>
      </c>
      <c r="E43" s="42" t="s">
        <v>304</v>
      </c>
      <c r="F43" s="42" t="s">
        <v>305</v>
      </c>
      <c r="G43" s="7"/>
    </row>
    <row r="44" spans="1:9" ht="39" customHeight="1" x14ac:dyDescent="0.35">
      <c r="A44" s="7"/>
      <c r="B44" s="41" t="s">
        <v>306</v>
      </c>
      <c r="C44" s="42" t="s">
        <v>307</v>
      </c>
      <c r="D44" s="42" t="s">
        <v>308</v>
      </c>
      <c r="E44" s="42" t="s">
        <v>309</v>
      </c>
      <c r="F44" s="42" t="s">
        <v>310</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500-000000000000}"/>
    <hyperlink ref="D9" r:id="rId2" tooltip="sdspending.azauditor.gov" display="https://sdspending.azauditor.gov/" xr:uid="{00000000-0004-0000-0500-000001000000}"/>
    <hyperlink ref="D14" r:id="rId3" tooltip="List Of Groups - Sun Devil Central - Arizona State University" display="https://sundevilcentral.eoss.asu.edu/club_signup?category_tags=6551555&amp;group_type=&amp;view=all&amp;utm_source=chatgpt.com" xr:uid="{00000000-0004-0000-0500-000002000000}"/>
    <hyperlink ref="D16" r:id="rId4" tooltip="School Closings in Chicago" display="https://consortium.uchicago.edu/publications/school-closings-chicago-staff-and-student-experiences-and-academic-outcomes?utm_source=chatgpt.com" xr:uid="{00000000-0004-0000-0500-000003000000}"/>
    <hyperlink ref="D24" r:id="rId5" tooltip="School Finance Data Processing for Kindergarten Students" display="https://ade.az.gov/schoolfinance/STaR/SAISInfoSeries/SIS16.pdf?utm_source=chatgpt.com" xr:uid="{00000000-0004-0000-0500-000004000000}"/>
    <hyperlink ref="D25" r:id="rId6" tooltip="Bill Text: AZ HB2969 | 2025 | Fifty-seventh Legislature 1st ..." display="https://legiscan.com/AZ/text/HB2969/2025?utm_source=chatgpt.com" xr:uid="{00000000-0004-0000-0500-000005000000}"/>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1"/>
  <sheetViews>
    <sheetView zoomScale="60" zoomScaleNormal="60" workbookViewId="0">
      <pane xSplit="2" ySplit="1" topLeftCell="K21" activePane="bottomRight" state="frozen"/>
      <selection activeCell="B2" sqref="B2"/>
      <selection pane="topRight" activeCell="B2" sqref="B2"/>
      <selection pane="bottomLeft" activeCell="B2" sqref="B2"/>
      <selection pane="bottomRight" activeCell="W32" sqref="W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46</v>
      </c>
      <c r="C1" s="1" t="s">
        <v>47</v>
      </c>
      <c r="D1" s="1" t="s">
        <v>311</v>
      </c>
      <c r="E1" s="1" t="s">
        <v>312</v>
      </c>
      <c r="F1" s="1" t="s">
        <v>313</v>
      </c>
      <c r="G1" s="1" t="s">
        <v>314</v>
      </c>
      <c r="H1" s="1" t="s">
        <v>315</v>
      </c>
      <c r="I1" s="1" t="s">
        <v>316</v>
      </c>
      <c r="J1" s="1" t="s">
        <v>317</v>
      </c>
      <c r="K1" s="1" t="s">
        <v>318</v>
      </c>
      <c r="L1" s="1" t="s">
        <v>319</v>
      </c>
      <c r="M1" s="1" t="s">
        <v>320</v>
      </c>
      <c r="N1" s="1" t="s">
        <v>321</v>
      </c>
      <c r="O1" s="1" t="s">
        <v>322</v>
      </c>
      <c r="P1" s="1" t="s">
        <v>101</v>
      </c>
      <c r="Q1" s="1" t="s">
        <v>323</v>
      </c>
      <c r="R1" s="1" t="s">
        <v>324</v>
      </c>
      <c r="S1" s="1" t="s">
        <v>325</v>
      </c>
      <c r="T1" s="1" t="s">
        <v>326</v>
      </c>
      <c r="U1" s="1" t="s">
        <v>327</v>
      </c>
      <c r="V1" s="1" t="s">
        <v>328</v>
      </c>
      <c r="W1" s="1" t="s">
        <v>329</v>
      </c>
      <c r="X1" s="1" t="s">
        <v>330</v>
      </c>
      <c r="Y1" t="s">
        <v>331</v>
      </c>
      <c r="Z1" t="s">
        <v>332</v>
      </c>
      <c r="AA1" t="s">
        <v>333</v>
      </c>
      <c r="AB1" t="s">
        <v>334</v>
      </c>
      <c r="AC1" t="s">
        <v>335</v>
      </c>
      <c r="AD1" t="s">
        <v>336</v>
      </c>
      <c r="AE1" t="s">
        <v>337</v>
      </c>
      <c r="AF1" t="s">
        <v>338</v>
      </c>
      <c r="AG1" s="1" t="s">
        <v>339</v>
      </c>
    </row>
    <row r="2" spans="1:33" x14ac:dyDescent="0.35">
      <c r="A2" t="str">
        <f t="shared" si="0"/>
        <v>D_CUSTOM1|FY2026</v>
      </c>
      <c r="B2" t="str">
        <f>Scenarios!A2</f>
        <v>D_CUSTOM1</v>
      </c>
      <c r="C2" t="s">
        <v>53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x14ac:dyDescent="0.35">
      <c r="A3" t="str">
        <f t="shared" si="0"/>
        <v>D_CUSTOM1|FY2027</v>
      </c>
      <c r="B3" t="str">
        <f>Scenarios!A2</f>
        <v>D_CUSTOM1</v>
      </c>
      <c r="C3" t="s">
        <v>54</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x14ac:dyDescent="0.35">
      <c r="A4" t="str">
        <f t="shared" si="0"/>
        <v>D_CUSTOM1|FY2028</v>
      </c>
      <c r="B4" t="str">
        <f>Scenarios!A2</f>
        <v>D_CUSTOM1</v>
      </c>
      <c r="C4" t="s">
        <v>55</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x14ac:dyDescent="0.35">
      <c r="A5" t="str">
        <f t="shared" si="0"/>
        <v>D_CUSTOM1|FY2029</v>
      </c>
      <c r="B5" t="str">
        <f>Scenarios!A2</f>
        <v>D_CUSTOM1</v>
      </c>
      <c r="C5" t="s">
        <v>56</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x14ac:dyDescent="0.35">
      <c r="A6" t="str">
        <f t="shared" si="0"/>
        <v>D_CUSTOM1|FY2030</v>
      </c>
      <c r="B6" t="str">
        <f>Scenarios!A2</f>
        <v>D_CUSTOM1</v>
      </c>
      <c r="C6" t="s">
        <v>57</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x14ac:dyDescent="0.35">
      <c r="A7" t="str">
        <f t="shared" si="0"/>
        <v>E_StatusQuo_Targets|FY2026</v>
      </c>
      <c r="B7" t="str">
        <f>Scenarios!A3</f>
        <v>E_StatusQuo_Targets</v>
      </c>
      <c r="C7" t="s">
        <v>53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x14ac:dyDescent="0.35">
      <c r="A8" t="str">
        <f t="shared" si="0"/>
        <v>E_StatusQuo_Targets|FY2027</v>
      </c>
      <c r="B8" t="str">
        <f>Scenarios!A3</f>
        <v>E_StatusQuo_Targets</v>
      </c>
      <c r="C8" t="s">
        <v>54</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x14ac:dyDescent="0.35">
      <c r="A9" t="str">
        <f t="shared" si="0"/>
        <v>E_StatusQuo_Targets|FY2028</v>
      </c>
      <c r="B9" t="str">
        <f>Scenarios!A3</f>
        <v>E_StatusQuo_Targets</v>
      </c>
      <c r="C9" t="s">
        <v>55</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x14ac:dyDescent="0.35">
      <c r="A10" t="str">
        <f t="shared" si="0"/>
        <v>E_StatusQuo_Targets|FY2029</v>
      </c>
      <c r="B10" t="str">
        <f>Scenarios!A3</f>
        <v>E_StatusQuo_Targets</v>
      </c>
      <c r="C10" t="s">
        <v>56</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x14ac:dyDescent="0.35">
      <c r="A11" t="str">
        <f t="shared" si="0"/>
        <v>E_StatusQuo_Targets|FY2030</v>
      </c>
      <c r="B11" t="str">
        <f>Scenarios!A3</f>
        <v>E_StatusQuo_Targets</v>
      </c>
      <c r="C11" t="s">
        <v>57</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x14ac:dyDescent="0.35">
      <c r="A12" t="str">
        <f t="shared" si="0"/>
        <v>F_CoLocation_Echo_Targets|FY2026</v>
      </c>
      <c r="B12" t="str">
        <f>Scenarios!A4</f>
        <v>F_CoLocation_Echo_Targets</v>
      </c>
      <c r="C12" t="s">
        <v>53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x14ac:dyDescent="0.35">
      <c r="A13" t="str">
        <f t="shared" si="0"/>
        <v>F_CoLocation_Echo_Targets|FY2027</v>
      </c>
      <c r="B13" t="str">
        <f>Scenarios!A4</f>
        <v>F_CoLocation_Echo_Targets</v>
      </c>
      <c r="C13" t="s">
        <v>54</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x14ac:dyDescent="0.35">
      <c r="A14" t="str">
        <f t="shared" si="0"/>
        <v>F_CoLocation_Echo_Targets|FY2028</v>
      </c>
      <c r="B14" t="str">
        <f>Scenarios!A4</f>
        <v>F_CoLocation_Echo_Targets</v>
      </c>
      <c r="C14" t="s">
        <v>55</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x14ac:dyDescent="0.35">
      <c r="A15" t="str">
        <f t="shared" si="0"/>
        <v>F_CoLocation_Echo_Targets|FY2029</v>
      </c>
      <c r="B15" t="str">
        <f>Scenarios!A4</f>
        <v>F_CoLocation_Echo_Targets</v>
      </c>
      <c r="C15" t="s">
        <v>56</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x14ac:dyDescent="0.35">
      <c r="A16" t="str">
        <f t="shared" si="0"/>
        <v>F_CoLocation_Echo_Targets|FY2030</v>
      </c>
      <c r="B16" t="str">
        <f>Scenarios!A4</f>
        <v>F_CoLocation_Echo_Targets</v>
      </c>
      <c r="C16" t="s">
        <v>57</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x14ac:dyDescent="0.35">
      <c r="A17" t="str">
        <f t="shared" si="0"/>
        <v>D_Grow_Both_Targets|FY2026</v>
      </c>
      <c r="B17" t="str">
        <f>Scenarios!A5</f>
        <v>D_Grow_Both_Targets</v>
      </c>
      <c r="C17" t="s">
        <v>53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x14ac:dyDescent="0.35">
      <c r="A18" t="str">
        <f t="shared" si="0"/>
        <v>D_Grow_Both_Targets|FY2027</v>
      </c>
      <c r="B18" t="str">
        <f>Scenarios!A5</f>
        <v>D_Grow_Both_Targets</v>
      </c>
      <c r="C18" t="s">
        <v>54</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x14ac:dyDescent="0.35">
      <c r="A19" t="str">
        <f t="shared" si="0"/>
        <v>D_Grow_Both_Targets|FY2028</v>
      </c>
      <c r="B19" t="str">
        <f>Scenarios!A5</f>
        <v>D_Grow_Both_Targets</v>
      </c>
      <c r="C19" t="s">
        <v>55</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x14ac:dyDescent="0.35">
      <c r="A20" t="str">
        <f t="shared" si="0"/>
        <v>D_Grow_Both_Targets|FY2029</v>
      </c>
      <c r="B20" t="str">
        <f>Scenarios!A5</f>
        <v>D_Grow_Both_Targets</v>
      </c>
      <c r="C20" t="s">
        <v>56</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x14ac:dyDescent="0.35">
      <c r="A21" t="str">
        <f t="shared" si="0"/>
        <v>D_Grow_Both_Targets|FY2030</v>
      </c>
      <c r="B21" t="str">
        <f>Scenarios!A5</f>
        <v>D_Grow_Both_Targets</v>
      </c>
      <c r="C21" t="s">
        <v>57</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x14ac:dyDescent="0.35">
      <c r="A22" t="str">
        <f t="shared" si="0"/>
        <v>D_CUSTOM2|FY2026</v>
      </c>
      <c r="B22" t="str">
        <f>Scenarios!A6</f>
        <v>D_CUSTOM2</v>
      </c>
      <c r="C22" t="s">
        <v>53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x14ac:dyDescent="0.35">
      <c r="A23" t="str">
        <f t="shared" si="0"/>
        <v>D_CUSTOM2|FY2027</v>
      </c>
      <c r="B23" t="str">
        <f>Scenarios!A6</f>
        <v>D_CUSTOM2</v>
      </c>
      <c r="C23" t="s">
        <v>54</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x14ac:dyDescent="0.35">
      <c r="A24" t="str">
        <f t="shared" si="0"/>
        <v>D_CUSTOM2|FY2028</v>
      </c>
      <c r="B24" t="str">
        <f>Scenarios!A6</f>
        <v>D_CUSTOM2</v>
      </c>
      <c r="C24" t="s">
        <v>55</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x14ac:dyDescent="0.35">
      <c r="A25" t="str">
        <f t="shared" si="0"/>
        <v>D_CUSTOM2|FY2029</v>
      </c>
      <c r="B25" t="str">
        <f>Scenarios!A6</f>
        <v>D_CUSTOM2</v>
      </c>
      <c r="C25" t="s">
        <v>56</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x14ac:dyDescent="0.35">
      <c r="A26" t="str">
        <f t="shared" si="0"/>
        <v>D_CUSTOM2|FY2030</v>
      </c>
      <c r="B26" t="str">
        <f>Scenarios!A6</f>
        <v>D_CUSTOM2</v>
      </c>
      <c r="C26" t="s">
        <v>57</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x14ac:dyDescent="0.35">
      <c r="A27" t="str">
        <f t="shared" si="0"/>
        <v>G_EchoGHubRamp_PimaTargets|FY2026</v>
      </c>
      <c r="B27" t="str">
        <f>Scenarios!A7</f>
        <v>G_EchoGHubRamp_PimaTargets</v>
      </c>
      <c r="C27" t="s">
        <v>53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x14ac:dyDescent="0.35">
      <c r="A28" t="str">
        <f t="shared" si="0"/>
        <v>G_EchoGHubRamp_PimaTargets|FY2027</v>
      </c>
      <c r="B28" t="str">
        <f>Scenarios!A7</f>
        <v>G_EchoGHubRamp_PimaTargets</v>
      </c>
      <c r="C28" t="s">
        <v>54</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x14ac:dyDescent="0.35">
      <c r="A29" t="str">
        <f t="shared" si="0"/>
        <v>G_EchoGHubRamp_PimaTargets|FY2028</v>
      </c>
      <c r="B29" t="str">
        <f>Scenarios!A7</f>
        <v>G_EchoGHubRamp_PimaTargets</v>
      </c>
      <c r="C29" t="s">
        <v>55</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x14ac:dyDescent="0.35">
      <c r="A30" t="str">
        <f t="shared" si="0"/>
        <v>G_EchoGHubRamp_PimaTargets|FY2029</v>
      </c>
      <c r="B30" t="str">
        <f>Scenarios!A7</f>
        <v>G_EchoGHubRamp_PimaTargets</v>
      </c>
      <c r="C30" t="s">
        <v>56</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x14ac:dyDescent="0.35">
      <c r="A31" t="str">
        <f t="shared" si="0"/>
        <v>G_EchoGHubRamp_PimaTargets|FY2030</v>
      </c>
      <c r="B31" t="str">
        <f>Scenarios!A7</f>
        <v>G_EchoGHubRamp_PimaTargets</v>
      </c>
      <c r="C31" t="s">
        <v>57</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x14ac:dyDescent="0.35">
      <c r="A32" t="str">
        <f t="shared" si="0"/>
        <v>A_Repurpose_Both_lease|FY2026</v>
      </c>
      <c r="B32" t="str">
        <f>Scenarios!A8</f>
        <v>A_Repurpose_Both_lease</v>
      </c>
      <c r="C32" t="s">
        <v>53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x14ac:dyDescent="0.35">
      <c r="A33" t="str">
        <f t="shared" ref="A33:A61" si="10">AG33</f>
        <v>A_Repurpose_Both_lease|FY2027</v>
      </c>
      <c r="B33" t="str">
        <f>Scenarios!A8</f>
        <v>A_Repurpose_Both_lease</v>
      </c>
      <c r="C33" t="s">
        <v>54</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x14ac:dyDescent="0.35">
      <c r="A34" t="str">
        <f t="shared" si="10"/>
        <v>A_Repurpose_Both_lease|FY2028</v>
      </c>
      <c r="B34" t="str">
        <f>Scenarios!A8</f>
        <v>A_Repurpose_Both_lease</v>
      </c>
      <c r="C34" t="s">
        <v>55</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3">(R34+S34+G34*F34)*J34*(1-K34)</f>
        <v>630492.26972059521</v>
      </c>
      <c r="V34" s="2">
        <f t="shared" ref="V34:V61"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1" si="16">IF($AC34&gt;0, $Z34/$AC34, 0)</f>
        <v>2925.4729400561419</v>
      </c>
      <c r="AB34">
        <f>MAX(0, (MAX(0, $D34-BaselineCalc!$B$7) + MAX(0, $E34-BaselineCalc!$B$8)))</f>
        <v>0</v>
      </c>
      <c r="AC34">
        <f t="shared" ref="AC34:AC61"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1" si="19">B34&amp;"|"&amp;C34</f>
        <v>A_Repurpose_Both_lease|FY2028</v>
      </c>
    </row>
    <row r="35" spans="1:33" x14ac:dyDescent="0.35">
      <c r="A35" t="str">
        <f t="shared" si="10"/>
        <v>A_Repurpose_Both_lease|FY2029</v>
      </c>
      <c r="B35" t="str">
        <f>Scenarios!A8</f>
        <v>A_Repurpose_Both_lease</v>
      </c>
      <c r="C35" t="s">
        <v>56</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x14ac:dyDescent="0.35">
      <c r="A36" t="str">
        <f t="shared" si="10"/>
        <v>A_Repurpose_Both_lease|FY2030</v>
      </c>
      <c r="B36" t="str">
        <f>Scenarios!A8</f>
        <v>A_Repurpose_Both_lease</v>
      </c>
      <c r="C36" t="s">
        <v>57</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x14ac:dyDescent="0.35">
      <c r="A37" t="str">
        <f t="shared" si="10"/>
        <v>A_Repurpose_Both_ops|FY2026</v>
      </c>
      <c r="B37" t="str">
        <f>Scenarios!A9</f>
        <v>A_Repurpose_Both_ops</v>
      </c>
      <c r="C37" t="s">
        <v>53</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x14ac:dyDescent="0.35">
      <c r="A38" t="str">
        <f t="shared" si="10"/>
        <v>A_Repurpose_Both_ops|FY2027</v>
      </c>
      <c r="B38" t="str">
        <f>Scenarios!A9</f>
        <v>A_Repurpose_Both_ops</v>
      </c>
      <c r="C38" t="s">
        <v>54</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x14ac:dyDescent="0.35">
      <c r="A39" t="str">
        <f t="shared" si="10"/>
        <v>A_Repurpose_Both_ops|FY2028</v>
      </c>
      <c r="B39" t="str">
        <f>Scenarios!A9</f>
        <v>A_Repurpose_Both_ops</v>
      </c>
      <c r="C39" t="s">
        <v>55</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x14ac:dyDescent="0.35">
      <c r="A40" t="str">
        <f t="shared" si="10"/>
        <v>A_Repurpose_Both_ops|FY2029</v>
      </c>
      <c r="B40" t="str">
        <f>Scenarios!A9</f>
        <v>A_Repurpose_Both_ops</v>
      </c>
      <c r="C40" t="s">
        <v>56</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x14ac:dyDescent="0.35">
      <c r="A41" t="str">
        <f t="shared" si="10"/>
        <v>A_Repurpose_Both_ops|FY2030</v>
      </c>
      <c r="B41" t="str">
        <f>Scenarios!A9</f>
        <v>A_Repurpose_Both_ops</v>
      </c>
      <c r="C41" t="s">
        <v>57</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x14ac:dyDescent="0.35">
      <c r="A42" t="str">
        <f t="shared" si="10"/>
        <v>B_Repurpose_Echo_lease_PimaTargets|FY2026</v>
      </c>
      <c r="B42" t="str">
        <f>Scenarios!A10</f>
        <v>B_Repurpose_Echo_lease_PimaTargets</v>
      </c>
      <c r="C42" t="s">
        <v>53</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x14ac:dyDescent="0.35">
      <c r="A43" t="str">
        <f t="shared" si="10"/>
        <v>B_Repurpose_Echo_lease_PimaTargets|FY2027</v>
      </c>
      <c r="B43" t="str">
        <f>Scenarios!A10</f>
        <v>B_Repurpose_Echo_lease_PimaTargets</v>
      </c>
      <c r="C43" t="s">
        <v>54</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x14ac:dyDescent="0.35">
      <c r="A44" t="str">
        <f t="shared" si="10"/>
        <v>B_Repurpose_Echo_lease_PimaTargets|FY2028</v>
      </c>
      <c r="B44" t="str">
        <f>Scenarios!A10</f>
        <v>B_Repurpose_Echo_lease_PimaTargets</v>
      </c>
      <c r="C44" t="s">
        <v>55</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x14ac:dyDescent="0.35">
      <c r="A45" t="str">
        <f t="shared" si="10"/>
        <v>B_Repurpose_Echo_lease_PimaTargets|FY2029</v>
      </c>
      <c r="B45" t="str">
        <f>Scenarios!A10</f>
        <v>B_Repurpose_Echo_lease_PimaTargets</v>
      </c>
      <c r="C45" t="s">
        <v>56</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x14ac:dyDescent="0.35">
      <c r="A46" t="str">
        <f t="shared" si="10"/>
        <v>B_Repurpose_Echo_lease_PimaTargets|FY2030</v>
      </c>
      <c r="B46" t="str">
        <f>Scenarios!A10</f>
        <v>B_Repurpose_Echo_lease_PimaTargets</v>
      </c>
      <c r="C46" t="s">
        <v>57</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x14ac:dyDescent="0.35">
      <c r="A47" t="str">
        <f t="shared" si="10"/>
        <v>B_Repurpose_Echo_ops_PimaTargets|FY2026</v>
      </c>
      <c r="B47" t="str">
        <f>Scenarios!A11</f>
        <v>B_Repurpose_Echo_ops_PimaTargets</v>
      </c>
      <c r="C47" t="s">
        <v>53</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x14ac:dyDescent="0.35">
      <c r="A48" t="str">
        <f t="shared" si="10"/>
        <v>B_Repurpose_Echo_ops_PimaTargets|FY2027</v>
      </c>
      <c r="B48" t="str">
        <f>Scenarios!A11</f>
        <v>B_Repurpose_Echo_ops_PimaTargets</v>
      </c>
      <c r="C48" t="s">
        <v>54</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x14ac:dyDescent="0.35">
      <c r="A49" t="str">
        <f t="shared" si="10"/>
        <v>B_Repurpose_Echo_ops_PimaTargets|FY2028</v>
      </c>
      <c r="B49" t="str">
        <f>Scenarios!A11</f>
        <v>B_Repurpose_Echo_ops_PimaTargets</v>
      </c>
      <c r="C49" t="s">
        <v>55</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x14ac:dyDescent="0.35">
      <c r="A50" t="str">
        <f t="shared" si="10"/>
        <v>B_Repurpose_Echo_ops_PimaTargets|FY2029</v>
      </c>
      <c r="B50" t="str">
        <f>Scenarios!A11</f>
        <v>B_Repurpose_Echo_ops_PimaTargets</v>
      </c>
      <c r="C50" t="s">
        <v>56</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x14ac:dyDescent="0.35">
      <c r="A51" t="str">
        <f t="shared" si="10"/>
        <v>B_Repurpose_Echo_ops_PimaTargets|FY2030</v>
      </c>
      <c r="B51" t="str">
        <f>Scenarios!A11</f>
        <v>B_Repurpose_Echo_ops_PimaTargets</v>
      </c>
      <c r="C51" t="s">
        <v>57</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x14ac:dyDescent="0.35">
      <c r="A52" t="str">
        <f t="shared" si="10"/>
        <v>C_Repurpose_Pima_lease_EchoGHub_EchoTargets|FY2026</v>
      </c>
      <c r="B52" t="str">
        <f>Scenarios!A12</f>
        <v>C_Repurpose_Pima_lease_EchoGHub_EchoTargets</v>
      </c>
      <c r="C52" t="s">
        <v>53</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x14ac:dyDescent="0.35">
      <c r="A53" t="str">
        <f t="shared" si="10"/>
        <v>C_Repurpose_Pima_lease_EchoGHub_EchoTargets|FY2027</v>
      </c>
      <c r="B53" t="str">
        <f>Scenarios!A12</f>
        <v>C_Repurpose_Pima_lease_EchoGHub_EchoTargets</v>
      </c>
      <c r="C53" t="s">
        <v>54</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x14ac:dyDescent="0.35">
      <c r="A54" t="str">
        <f t="shared" si="10"/>
        <v>C_Repurpose_Pima_lease_EchoGHub_EchoTargets|FY2028</v>
      </c>
      <c r="B54" t="str">
        <f>Scenarios!A12</f>
        <v>C_Repurpose_Pima_lease_EchoGHub_EchoTargets</v>
      </c>
      <c r="C54" t="s">
        <v>55</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x14ac:dyDescent="0.35">
      <c r="A55" t="str">
        <f t="shared" si="10"/>
        <v>C_Repurpose_Pima_lease_EchoGHub_EchoTargets|FY2029</v>
      </c>
      <c r="B55" t="str">
        <f>Scenarios!A12</f>
        <v>C_Repurpose_Pima_lease_EchoGHub_EchoTargets</v>
      </c>
      <c r="C55" t="s">
        <v>56</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x14ac:dyDescent="0.35">
      <c r="A56" t="str">
        <f t="shared" si="10"/>
        <v>C_Repurpose_Pima_lease_EchoGHub_EchoTargets|FY2030</v>
      </c>
      <c r="B56" t="str">
        <f>Scenarios!A12</f>
        <v>C_Repurpose_Pima_lease_EchoGHub_EchoTargets</v>
      </c>
      <c r="C56" t="s">
        <v>57</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x14ac:dyDescent="0.35">
      <c r="A57" t="str">
        <f t="shared" si="10"/>
        <v>C_Repurpose_Pima_ops_EchoGHub_EchoTargets|FY2026</v>
      </c>
      <c r="B57" t="str">
        <f>Scenarios!A13</f>
        <v>C_Repurpose_Pima_ops_EchoGHub_EchoTargets</v>
      </c>
      <c r="C57" t="s">
        <v>53</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x14ac:dyDescent="0.35">
      <c r="A58" t="str">
        <f t="shared" si="10"/>
        <v>C_Repurpose_Pima_ops_EchoGHub_EchoTargets|FY2027</v>
      </c>
      <c r="B58" t="str">
        <f>Scenarios!A13</f>
        <v>C_Repurpose_Pima_ops_EchoGHub_EchoTargets</v>
      </c>
      <c r="C58" t="s">
        <v>54</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x14ac:dyDescent="0.35">
      <c r="A59" t="str">
        <f t="shared" si="10"/>
        <v>C_Repurpose_Pima_ops_EchoGHub_EchoTargets|FY2028</v>
      </c>
      <c r="B59" t="str">
        <f>Scenarios!A13</f>
        <v>C_Repurpose_Pima_ops_EchoGHub_EchoTargets</v>
      </c>
      <c r="C59" t="s">
        <v>55</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x14ac:dyDescent="0.35">
      <c r="A60" t="str">
        <f t="shared" si="10"/>
        <v>C_Repurpose_Pima_ops_EchoGHub_EchoTargets|FY2029</v>
      </c>
      <c r="B60" t="str">
        <f>Scenarios!A13</f>
        <v>C_Repurpose_Pima_ops_EchoGHub_EchoTargets</v>
      </c>
      <c r="C60" t="s">
        <v>56</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x14ac:dyDescent="0.35">
      <c r="A61" t="str">
        <f t="shared" si="10"/>
        <v>C_Repurpose_Pima_ops_EchoGHub_EchoTargets|FY2030</v>
      </c>
      <c r="B61" t="str">
        <f>Scenarios!A13</f>
        <v>C_Repurpose_Pima_ops_EchoGHub_EchoTargets</v>
      </c>
      <c r="C61" t="s">
        <v>57</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74</v>
      </c>
      <c r="B1" s="1" t="s">
        <v>75</v>
      </c>
      <c r="C1" s="1" t="s">
        <v>3</v>
      </c>
    </row>
    <row r="2" spans="1:11" x14ac:dyDescent="0.35">
      <c r="A2" t="s">
        <v>76</v>
      </c>
      <c r="B2">
        <f>Control_Center!C6</f>
        <v>2.5000000000000001E-2</v>
      </c>
      <c r="C2" t="s">
        <v>77</v>
      </c>
    </row>
    <row r="3" spans="1:11" x14ac:dyDescent="0.35">
      <c r="A3" t="s">
        <v>78</v>
      </c>
      <c r="B3">
        <f>Parameters_Public!$C$14</f>
        <v>11589</v>
      </c>
      <c r="C3" t="s">
        <v>340</v>
      </c>
    </row>
    <row r="4" spans="1:11" x14ac:dyDescent="0.35">
      <c r="A4" t="s">
        <v>80</v>
      </c>
      <c r="B4">
        <f>Control_Center!C8</f>
        <v>0.46</v>
      </c>
      <c r="C4" t="s">
        <v>341</v>
      </c>
    </row>
    <row r="5" spans="1:11" x14ac:dyDescent="0.35">
      <c r="A5" t="s">
        <v>84</v>
      </c>
      <c r="B5">
        <f>Control_Center!C10</f>
        <v>7.0000000000000001E-3</v>
      </c>
      <c r="C5" t="s">
        <v>85</v>
      </c>
    </row>
    <row r="6" spans="1:11" x14ac:dyDescent="0.35">
      <c r="A6" t="s">
        <v>86</v>
      </c>
      <c r="B6">
        <f>Control_Center!C11</f>
        <v>1.4999999999999999E-2</v>
      </c>
      <c r="C6" t="s">
        <v>87</v>
      </c>
    </row>
    <row r="7" spans="1:11" x14ac:dyDescent="0.35">
      <c r="A7" t="s">
        <v>88</v>
      </c>
      <c r="B7">
        <f>Parameters_Public!$C$10</f>
        <v>257</v>
      </c>
    </row>
    <row r="8" spans="1:11" x14ac:dyDescent="0.35">
      <c r="A8" t="s">
        <v>90</v>
      </c>
      <c r="B8">
        <f>Parameters_Public!$C$11</f>
        <v>296</v>
      </c>
    </row>
    <row r="9" spans="1:11" x14ac:dyDescent="0.35">
      <c r="A9" t="s">
        <v>92</v>
      </c>
      <c r="B9">
        <f>B7+B8</f>
        <v>553</v>
      </c>
      <c r="C9" t="s">
        <v>93</v>
      </c>
    </row>
    <row r="12" spans="1:11" x14ac:dyDescent="0.35">
      <c r="A12" s="1" t="s">
        <v>342</v>
      </c>
      <c r="B12" s="1" t="s">
        <v>343</v>
      </c>
      <c r="C12" s="1" t="s">
        <v>344</v>
      </c>
      <c r="D12" s="1" t="s">
        <v>345</v>
      </c>
      <c r="E12" s="1" t="s">
        <v>346</v>
      </c>
      <c r="F12" s="1" t="s">
        <v>347</v>
      </c>
      <c r="G12" s="1" t="s">
        <v>3</v>
      </c>
    </row>
    <row r="13" spans="1:11" x14ac:dyDescent="0.35">
      <c r="A13" t="s">
        <v>348</v>
      </c>
      <c r="B13" s="2">
        <f>B9*B3</f>
        <v>6408717</v>
      </c>
      <c r="C13" s="2">
        <f>C14/$B$4</f>
        <v>6568934.9249999998</v>
      </c>
      <c r="D13" s="2">
        <f>D14/$B$4</f>
        <v>6733158.2981250007</v>
      </c>
      <c r="E13" s="2">
        <f>E14/$B$4</f>
        <v>6901487.255578124</v>
      </c>
      <c r="F13" s="2">
        <f>F14/$B$4</f>
        <v>7074024.4369675769</v>
      </c>
      <c r="G13" t="s">
        <v>349</v>
      </c>
      <c r="K13" t="s">
        <v>350</v>
      </c>
    </row>
    <row r="14" spans="1:11" x14ac:dyDescent="0.35">
      <c r="A14" t="s">
        <v>351</v>
      </c>
      <c r="B14" s="2">
        <f>B13*B4</f>
        <v>2948009.8200000003</v>
      </c>
      <c r="C14" s="2">
        <f t="shared" ref="C14:F15" si="0">B17</f>
        <v>3021710.0655</v>
      </c>
      <c r="D14" s="2">
        <f t="shared" si="0"/>
        <v>3097252.8171375003</v>
      </c>
      <c r="E14" s="2">
        <f t="shared" si="0"/>
        <v>3174684.1375659374</v>
      </c>
      <c r="F14" s="2">
        <f t="shared" si="0"/>
        <v>3254051.2410050854</v>
      </c>
      <c r="G14" t="s">
        <v>352</v>
      </c>
      <c r="K14" t="s">
        <v>353</v>
      </c>
    </row>
    <row r="15" spans="1:11" x14ac:dyDescent="0.35">
      <c r="A15" t="s">
        <v>271</v>
      </c>
      <c r="B15" s="2">
        <f>(B13-B14)/B9</f>
        <v>6258.0599999999995</v>
      </c>
      <c r="C15" s="2">
        <f t="shared" si="0"/>
        <v>6414.5114999999987</v>
      </c>
      <c r="D15" s="2">
        <f t="shared" si="0"/>
        <v>6574.8742874999989</v>
      </c>
      <c r="E15" s="2">
        <f t="shared" si="0"/>
        <v>6739.2461446874986</v>
      </c>
      <c r="F15" s="2">
        <f t="shared" si="0"/>
        <v>6907.7272983046851</v>
      </c>
      <c r="G15" t="s">
        <v>354</v>
      </c>
      <c r="K15" t="s">
        <v>355</v>
      </c>
    </row>
    <row r="17" spans="1:6" x14ac:dyDescent="0.35">
      <c r="A17" t="s">
        <v>356</v>
      </c>
      <c r="B17" s="2">
        <f>$B$14*(1+$B$2)^1</f>
        <v>3021710.0655</v>
      </c>
      <c r="C17" s="2">
        <f>$B$14*(1+$B$2)^2</f>
        <v>3097252.8171375003</v>
      </c>
      <c r="D17" s="2">
        <f>$B$14*(1+$B$2)^3</f>
        <v>3174684.1375659374</v>
      </c>
      <c r="E17" s="2">
        <f>$B$14*(1+$B$2)^4</f>
        <v>3254051.2410050854</v>
      </c>
      <c r="F17" s="2">
        <f>$B$14*(1+$B$2)^5</f>
        <v>3335402.5220302125</v>
      </c>
    </row>
    <row r="18" spans="1:6" x14ac:dyDescent="0.35">
      <c r="A18" t="s">
        <v>357</v>
      </c>
      <c r="B18" s="2">
        <f>$B$15*(1+$B$2)^1</f>
        <v>6414.5114999999987</v>
      </c>
      <c r="C18" s="2">
        <f>$B$15*(1+$B$2)^2</f>
        <v>6574.8742874999989</v>
      </c>
      <c r="D18" s="2">
        <f>$B$15*(1+$B$2)^3</f>
        <v>6739.2461446874986</v>
      </c>
      <c r="E18" s="2">
        <f>$B$15*(1+$B$2)^4</f>
        <v>6907.7272983046851</v>
      </c>
      <c r="F18" s="2">
        <f>$B$15*(1+$B$2)^5</f>
        <v>7080.4204807623018</v>
      </c>
    </row>
    <row r="19" spans="1:6" x14ac:dyDescent="0.35">
      <c r="A19" t="s">
        <v>358</v>
      </c>
      <c r="B19" s="2">
        <f>B17*($B$7/$B$9)</f>
        <v>1404302.8695</v>
      </c>
      <c r="C19" s="2">
        <f>C17*($B$7/$B$9)</f>
        <v>1439410.4412375002</v>
      </c>
      <c r="D19" s="2">
        <f>D17*($B$7/$B$9)</f>
        <v>1475395.7022684375</v>
      </c>
      <c r="E19" s="2">
        <f>E17*($B$7/$B$9)</f>
        <v>1512280.5948251483</v>
      </c>
      <c r="F19" s="2">
        <f>F17*($B$7/$B$9)</f>
        <v>1550087.6096957768</v>
      </c>
    </row>
    <row r="20" spans="1:6" x14ac:dyDescent="0.35">
      <c r="A20" t="s">
        <v>359</v>
      </c>
      <c r="B20" s="2">
        <f>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94</v>
      </c>
      <c r="B22">
        <f>Control_Center!C15</f>
        <v>1200000</v>
      </c>
    </row>
    <row r="23" spans="1:6" x14ac:dyDescent="0.35">
      <c r="A23" t="s">
        <v>360</v>
      </c>
      <c r="B23">
        <f>Control_Center!C16</f>
        <v>0.75</v>
      </c>
    </row>
    <row r="25" spans="1:6" x14ac:dyDescent="0.35">
      <c r="A25" s="1" t="s">
        <v>3</v>
      </c>
    </row>
    <row r="26" spans="1:6" x14ac:dyDescent="0.35">
      <c r="A26" s="3" t="s">
        <v>361</v>
      </c>
    </row>
    <row r="27" spans="1:6" x14ac:dyDescent="0.35">
      <c r="A27" t="s">
        <v>82</v>
      </c>
      <c r="B27">
        <f>Control_Center!C9</f>
        <v>5013</v>
      </c>
      <c r="C27" t="s">
        <v>83</v>
      </c>
    </row>
    <row r="28" spans="1:6" x14ac:dyDescent="0.35">
      <c r="A28" t="s">
        <v>362</v>
      </c>
      <c r="B28">
        <v>0.02</v>
      </c>
      <c r="C28" t="s">
        <v>363</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47</v>
      </c>
      <c r="B1" s="1" t="s">
        <v>314</v>
      </c>
      <c r="C1" s="1" t="s">
        <v>315</v>
      </c>
      <c r="D1" s="1" t="s">
        <v>316</v>
      </c>
      <c r="E1" s="1" t="s">
        <v>101</v>
      </c>
      <c r="F1" s="1" t="s">
        <v>102</v>
      </c>
      <c r="G1" s="1" t="s">
        <v>103</v>
      </c>
      <c r="H1" s="1" t="s">
        <v>364</v>
      </c>
      <c r="I1" s="1" t="s">
        <v>365</v>
      </c>
      <c r="L1" s="1" t="s">
        <v>366</v>
      </c>
      <c r="M1" s="1" t="s">
        <v>367</v>
      </c>
      <c r="N1" s="1" t="s">
        <v>368</v>
      </c>
    </row>
    <row r="2" spans="1:14" x14ac:dyDescent="0.35">
      <c r="A2" t="s">
        <v>53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54</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55</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56</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57</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5"/>
  <sheetViews>
    <sheetView zoomScale="70" zoomScaleNormal="70" workbookViewId="0">
      <pane xSplit="2" ySplit="1" topLeftCell="N2" activePane="bottomRight" state="frozen"/>
      <selection pane="topRight" activeCell="C1" sqref="C1"/>
      <selection pane="bottomLeft" activeCell="A2" sqref="A2"/>
      <selection pane="bottomRight" activeCell="O7" sqref="O7"/>
    </sheetView>
  </sheetViews>
  <sheetFormatPr defaultRowHeight="14.5" x14ac:dyDescent="0.3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6" x14ac:dyDescent="0.35">
      <c r="A1" s="1" t="s">
        <v>46</v>
      </c>
      <c r="B1" s="1" t="s">
        <v>369</v>
      </c>
      <c r="C1" s="1" t="s">
        <v>202</v>
      </c>
      <c r="D1" s="1" t="s">
        <v>370</v>
      </c>
      <c r="E1" s="1" t="s">
        <v>371</v>
      </c>
      <c r="F1" s="1" t="s">
        <v>372</v>
      </c>
      <c r="G1" s="1" t="s">
        <v>318</v>
      </c>
      <c r="H1" s="1" t="s">
        <v>3</v>
      </c>
      <c r="I1" t="s">
        <v>373</v>
      </c>
      <c r="J1" t="s">
        <v>374</v>
      </c>
      <c r="K1" t="s">
        <v>375</v>
      </c>
      <c r="L1" t="s">
        <v>376</v>
      </c>
      <c r="M1" t="s">
        <v>377</v>
      </c>
      <c r="N1" t="s">
        <v>378</v>
      </c>
      <c r="O1" t="s">
        <v>379</v>
      </c>
      <c r="P1" t="s">
        <v>380</v>
      </c>
    </row>
    <row r="2" spans="1:16" x14ac:dyDescent="0.35">
      <c r="A2" t="s">
        <v>66</v>
      </c>
      <c r="B2" t="str">
        <f>Control_Center!B31</f>
        <v>CUSTOM_KeepOpen_v1</v>
      </c>
      <c r="C2">
        <f>Control_Center!C31</f>
        <v>0</v>
      </c>
      <c r="D2">
        <f>Control_Center!D31</f>
        <v>0</v>
      </c>
      <c r="E2">
        <f>Control_Center!E31</f>
        <v>0</v>
      </c>
      <c r="F2">
        <f>Control_Center!F31</f>
        <v>0.5</v>
      </c>
      <c r="G2">
        <f>Control_Center!G31</f>
        <v>0</v>
      </c>
      <c r="H2" t="s">
        <v>381</v>
      </c>
      <c r="I2">
        <f t="shared" ref="I2:M6" si="0">$C2</f>
        <v>0</v>
      </c>
      <c r="J2">
        <f t="shared" si="0"/>
        <v>0</v>
      </c>
      <c r="K2">
        <f t="shared" si="0"/>
        <v>0</v>
      </c>
      <c r="L2">
        <f t="shared" si="0"/>
        <v>0</v>
      </c>
      <c r="M2">
        <f t="shared" si="0"/>
        <v>0</v>
      </c>
      <c r="O2" t="s">
        <v>382</v>
      </c>
      <c r="P2" t="s">
        <v>382</v>
      </c>
    </row>
    <row r="3" spans="1:16" x14ac:dyDescent="0.35">
      <c r="A3" t="s">
        <v>69</v>
      </c>
      <c r="B3" t="str">
        <f>Control_Center!B32</f>
        <v>Status‑Quo + Op Growth Targets</v>
      </c>
      <c r="C3">
        <f>Control_Center!C32</f>
        <v>150</v>
      </c>
      <c r="D3">
        <f>Control_Center!D32</f>
        <v>0</v>
      </c>
      <c r="E3">
        <f>Control_Center!E32</f>
        <v>0</v>
      </c>
      <c r="F3">
        <f>Control_Center!F32</f>
        <v>0.5</v>
      </c>
      <c r="G3">
        <f>Control_Center!G32</f>
        <v>0</v>
      </c>
      <c r="H3" t="s">
        <v>383</v>
      </c>
      <c r="I3">
        <f t="shared" si="0"/>
        <v>150</v>
      </c>
      <c r="J3">
        <f t="shared" si="0"/>
        <v>150</v>
      </c>
      <c r="K3">
        <f t="shared" si="0"/>
        <v>150</v>
      </c>
      <c r="L3">
        <f t="shared" si="0"/>
        <v>150</v>
      </c>
      <c r="M3">
        <f t="shared" si="0"/>
        <v>150</v>
      </c>
      <c r="O3" t="s">
        <v>382</v>
      </c>
      <c r="P3" t="s">
        <v>382</v>
      </c>
    </row>
    <row r="4" spans="1:16" x14ac:dyDescent="0.35">
      <c r="A4" t="s">
        <v>70</v>
      </c>
      <c r="B4" t="str">
        <f>Control_Center!B33</f>
        <v>Co‑Location @ Echo + Op Growth Targets</v>
      </c>
      <c r="C4">
        <f>Control_Center!C33</f>
        <v>150</v>
      </c>
      <c r="D4">
        <f>Control_Center!D33</f>
        <v>0</v>
      </c>
      <c r="E4">
        <f>Control_Center!E33</f>
        <v>0</v>
      </c>
      <c r="F4">
        <f>Control_Center!F33</f>
        <v>0.5</v>
      </c>
      <c r="G4">
        <f>Control_Center!G33</f>
        <v>0.05</v>
      </c>
      <c r="H4" t="s">
        <v>384</v>
      </c>
      <c r="I4">
        <f t="shared" si="0"/>
        <v>150</v>
      </c>
      <c r="J4">
        <f t="shared" si="0"/>
        <v>150</v>
      </c>
      <c r="K4">
        <f t="shared" si="0"/>
        <v>150</v>
      </c>
      <c r="L4">
        <f t="shared" si="0"/>
        <v>150</v>
      </c>
      <c r="M4">
        <f t="shared" si="0"/>
        <v>150</v>
      </c>
      <c r="O4" t="s">
        <v>382</v>
      </c>
      <c r="P4" t="s">
        <v>382</v>
      </c>
    </row>
    <row r="5" spans="1:16" x14ac:dyDescent="0.35">
      <c r="A5" t="s">
        <v>68</v>
      </c>
      <c r="B5" t="str">
        <f>Control_Center!B34</f>
        <v>Grow Both + Op Growth Targets</v>
      </c>
      <c r="C5">
        <f>Control_Center!C34</f>
        <v>250</v>
      </c>
      <c r="D5">
        <f>Control_Center!D34</f>
        <v>0</v>
      </c>
      <c r="E5">
        <f>Control_Center!E34</f>
        <v>0</v>
      </c>
      <c r="F5">
        <f>Control_Center!F34</f>
        <v>0.5</v>
      </c>
      <c r="G5">
        <f>Control_Center!G34</f>
        <v>0</v>
      </c>
      <c r="H5" t="s">
        <v>385</v>
      </c>
      <c r="I5">
        <f t="shared" si="0"/>
        <v>250</v>
      </c>
      <c r="J5">
        <f t="shared" si="0"/>
        <v>250</v>
      </c>
      <c r="K5">
        <f t="shared" si="0"/>
        <v>250</v>
      </c>
      <c r="L5">
        <f t="shared" si="0"/>
        <v>250</v>
      </c>
      <c r="M5">
        <f t="shared" si="0"/>
        <v>250</v>
      </c>
      <c r="O5" t="s">
        <v>398</v>
      </c>
      <c r="P5" t="s">
        <v>397</v>
      </c>
    </row>
    <row r="6" spans="1:16" x14ac:dyDescent="0.35">
      <c r="A6" t="s">
        <v>67</v>
      </c>
      <c r="B6" t="str">
        <f>Control_Center!B35</f>
        <v>CUSTOM_KeepOpen_v2</v>
      </c>
      <c r="C6">
        <f>Control_Center!C35</f>
        <v>0</v>
      </c>
      <c r="D6">
        <f>Control_Center!D35</f>
        <v>0</v>
      </c>
      <c r="E6">
        <f>Control_Center!E35</f>
        <v>0</v>
      </c>
      <c r="F6">
        <f>Control_Center!F35</f>
        <v>0.5</v>
      </c>
      <c r="G6">
        <f>Control_Center!G35</f>
        <v>0</v>
      </c>
      <c r="H6" t="s">
        <v>386</v>
      </c>
      <c r="I6">
        <f t="shared" si="0"/>
        <v>0</v>
      </c>
      <c r="J6">
        <f t="shared" si="0"/>
        <v>0</v>
      </c>
      <c r="K6">
        <f t="shared" si="0"/>
        <v>0</v>
      </c>
      <c r="L6">
        <f t="shared" si="0"/>
        <v>0</v>
      </c>
      <c r="M6">
        <f t="shared" si="0"/>
        <v>0</v>
      </c>
      <c r="O6" t="s">
        <v>382</v>
      </c>
      <c r="P6" t="s">
        <v>382</v>
      </c>
    </row>
    <row r="7" spans="1:16" x14ac:dyDescent="0.35">
      <c r="A7" t="s">
        <v>71</v>
      </c>
      <c r="B7" t="str">
        <f>Control_Center!B36</f>
        <v>Growth Hub @ Echo + Status-Quo Pima + Op Growth Targets</v>
      </c>
      <c r="C7">
        <f>Control_Center!C36</f>
        <v>150</v>
      </c>
      <c r="D7">
        <f>Control_Center!D36</f>
        <v>0</v>
      </c>
      <c r="E7">
        <f>Control_Center!E36</f>
        <v>0</v>
      </c>
      <c r="F7">
        <f>Control_Center!F36</f>
        <v>0.7</v>
      </c>
      <c r="G7">
        <f>Control_Center!G36</f>
        <v>0</v>
      </c>
      <c r="H7" t="s">
        <v>387</v>
      </c>
      <c r="I7">
        <f>C7/3</f>
        <v>50</v>
      </c>
      <c r="J7">
        <f>I7+C7/3</f>
        <v>100</v>
      </c>
      <c r="K7">
        <f>J7+C7/3</f>
        <v>150</v>
      </c>
      <c r="L7">
        <f>C7</f>
        <v>150</v>
      </c>
      <c r="M7">
        <f>C7</f>
        <v>150</v>
      </c>
      <c r="O7" t="s">
        <v>397</v>
      </c>
      <c r="P7" t="s">
        <v>382</v>
      </c>
    </row>
    <row r="8" spans="1:16" x14ac:dyDescent="0.35">
      <c r="A8" t="s">
        <v>60</v>
      </c>
      <c r="B8" t="str">
        <f>Control_Center!B37</f>
        <v>Repurpose BOTH (lease)</v>
      </c>
      <c r="C8">
        <f>Control_Center!C37</f>
        <v>0</v>
      </c>
      <c r="D8">
        <f>Control_Center!D37</f>
        <v>1</v>
      </c>
      <c r="E8">
        <f>Control_Center!E37</f>
        <v>1</v>
      </c>
      <c r="F8">
        <f>Control_Center!F37</f>
        <v>0.5</v>
      </c>
      <c r="G8">
        <f>Control_Center!G37</f>
        <v>0</v>
      </c>
      <c r="H8" t="s">
        <v>388</v>
      </c>
      <c r="I8">
        <f t="shared" ref="I8:M13" si="1">$C8</f>
        <v>0</v>
      </c>
      <c r="J8">
        <f t="shared" si="1"/>
        <v>0</v>
      </c>
      <c r="K8">
        <f t="shared" si="1"/>
        <v>0</v>
      </c>
      <c r="L8">
        <f t="shared" si="1"/>
        <v>0</v>
      </c>
      <c r="M8">
        <f t="shared" si="1"/>
        <v>0</v>
      </c>
      <c r="N8" t="s">
        <v>389</v>
      </c>
      <c r="O8" t="s">
        <v>382</v>
      </c>
      <c r="P8" t="s">
        <v>382</v>
      </c>
    </row>
    <row r="9" spans="1:16" x14ac:dyDescent="0.35">
      <c r="A9" t="s">
        <v>61</v>
      </c>
      <c r="B9" t="str">
        <f>Control_Center!B38</f>
        <v>Repurpose BOTH (ops)</v>
      </c>
      <c r="C9">
        <f>Control_Center!C38</f>
        <v>0</v>
      </c>
      <c r="D9">
        <f>Control_Center!D38</f>
        <v>1</v>
      </c>
      <c r="E9">
        <f>Control_Center!E38</f>
        <v>1</v>
      </c>
      <c r="F9">
        <f>Control_Center!F38</f>
        <v>0.5</v>
      </c>
      <c r="G9">
        <f>Control_Center!G38</f>
        <v>0</v>
      </c>
      <c r="H9" t="s">
        <v>390</v>
      </c>
      <c r="I9">
        <f t="shared" si="1"/>
        <v>0</v>
      </c>
      <c r="J9">
        <f t="shared" si="1"/>
        <v>0</v>
      </c>
      <c r="K9">
        <f t="shared" si="1"/>
        <v>0</v>
      </c>
      <c r="L9">
        <f t="shared" si="1"/>
        <v>0</v>
      </c>
      <c r="M9">
        <f t="shared" si="1"/>
        <v>0</v>
      </c>
      <c r="N9" t="s">
        <v>391</v>
      </c>
      <c r="O9" t="s">
        <v>382</v>
      </c>
      <c r="P9" t="s">
        <v>382</v>
      </c>
    </row>
    <row r="10" spans="1:16" x14ac:dyDescent="0.35">
      <c r="A10" t="s">
        <v>62</v>
      </c>
      <c r="B10" t="str">
        <f>Control_Center!B39</f>
        <v>Repurpose ECHO (lease) + Status-Quo Pima + Pima Op Growth Targets</v>
      </c>
      <c r="C10">
        <f>Control_Center!C39</f>
        <v>0</v>
      </c>
      <c r="D10">
        <f>Control_Center!D39</f>
        <v>1</v>
      </c>
      <c r="E10">
        <f>Control_Center!E39</f>
        <v>0</v>
      </c>
      <c r="F10">
        <f>Control_Center!F39</f>
        <v>0</v>
      </c>
      <c r="G10">
        <f>Control_Center!G39</f>
        <v>0</v>
      </c>
      <c r="H10" t="s">
        <v>392</v>
      </c>
      <c r="I10">
        <f t="shared" si="1"/>
        <v>0</v>
      </c>
      <c r="J10">
        <f t="shared" si="1"/>
        <v>0</v>
      </c>
      <c r="K10">
        <f t="shared" si="1"/>
        <v>0</v>
      </c>
      <c r="L10">
        <f t="shared" si="1"/>
        <v>0</v>
      </c>
      <c r="M10">
        <f t="shared" si="1"/>
        <v>0</v>
      </c>
      <c r="N10" t="s">
        <v>389</v>
      </c>
      <c r="O10" t="s">
        <v>382</v>
      </c>
      <c r="P10" t="s">
        <v>382</v>
      </c>
    </row>
    <row r="11" spans="1:16" x14ac:dyDescent="0.35">
      <c r="A11" t="s">
        <v>63</v>
      </c>
      <c r="B11" t="str">
        <f>Control_Center!B40</f>
        <v>Repurpose ECHO (ops) + Status-Quo Pima + Pima Op Growth Targets</v>
      </c>
      <c r="C11">
        <f>Control_Center!C40</f>
        <v>150</v>
      </c>
      <c r="D11">
        <f>Control_Center!D40</f>
        <v>1</v>
      </c>
      <c r="E11">
        <f>Control_Center!E40</f>
        <v>0</v>
      </c>
      <c r="F11">
        <f>Control_Center!F40</f>
        <v>0</v>
      </c>
      <c r="G11">
        <f>Control_Center!G40</f>
        <v>0</v>
      </c>
      <c r="H11" t="s">
        <v>393</v>
      </c>
      <c r="I11">
        <f t="shared" si="1"/>
        <v>150</v>
      </c>
      <c r="J11">
        <f t="shared" si="1"/>
        <v>150</v>
      </c>
      <c r="K11">
        <f t="shared" si="1"/>
        <v>150</v>
      </c>
      <c r="L11">
        <f t="shared" si="1"/>
        <v>150</v>
      </c>
      <c r="M11">
        <f t="shared" si="1"/>
        <v>150</v>
      </c>
      <c r="N11" t="s">
        <v>391</v>
      </c>
      <c r="O11" t="s">
        <v>382</v>
      </c>
      <c r="P11" t="s">
        <v>382</v>
      </c>
    </row>
    <row r="12" spans="1:16" x14ac:dyDescent="0.35">
      <c r="A12" t="s">
        <v>64</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394</v>
      </c>
      <c r="I12">
        <f t="shared" si="1"/>
        <v>0</v>
      </c>
      <c r="J12">
        <f t="shared" si="1"/>
        <v>0</v>
      </c>
      <c r="K12">
        <f t="shared" si="1"/>
        <v>0</v>
      </c>
      <c r="L12">
        <f t="shared" si="1"/>
        <v>0</v>
      </c>
      <c r="M12">
        <f t="shared" si="1"/>
        <v>0</v>
      </c>
      <c r="N12" t="s">
        <v>389</v>
      </c>
      <c r="O12" t="s">
        <v>382</v>
      </c>
      <c r="P12" t="s">
        <v>382</v>
      </c>
    </row>
    <row r="13" spans="1:16" x14ac:dyDescent="0.35">
      <c r="A13" t="s">
        <v>65</v>
      </c>
      <c r="B13" t="str">
        <f>Control_Center!B42</f>
        <v>Repurpose PIMA (ops) + Growth Hub @ Echo + Echo Op Growth Targets</v>
      </c>
      <c r="C13">
        <f>Control_Center!C42</f>
        <v>200</v>
      </c>
      <c r="D13">
        <f>Control_Center!D42</f>
        <v>0</v>
      </c>
      <c r="E13">
        <f>Control_Center!E42</f>
        <v>1</v>
      </c>
      <c r="F13">
        <f>Control_Center!F42</f>
        <v>1</v>
      </c>
      <c r="G13">
        <f>Control_Center!G42</f>
        <v>0</v>
      </c>
      <c r="H13" t="s">
        <v>395</v>
      </c>
      <c r="I13">
        <f t="shared" si="1"/>
        <v>200</v>
      </c>
      <c r="J13">
        <f t="shared" si="1"/>
        <v>200</v>
      </c>
      <c r="K13">
        <f t="shared" si="1"/>
        <v>200</v>
      </c>
      <c r="L13">
        <f t="shared" si="1"/>
        <v>200</v>
      </c>
      <c r="M13">
        <f t="shared" si="1"/>
        <v>200</v>
      </c>
      <c r="N13" t="s">
        <v>391</v>
      </c>
      <c r="O13" t="s">
        <v>382</v>
      </c>
      <c r="P13" t="s">
        <v>382</v>
      </c>
    </row>
    <row r="14" spans="1:16" x14ac:dyDescent="0.35">
      <c r="O14" t="s">
        <v>382</v>
      </c>
      <c r="P14" t="s">
        <v>382</v>
      </c>
    </row>
    <row r="15" spans="1:16" hidden="1" x14ac:dyDescent="0.35">
      <c r="A15" s="1" t="s">
        <v>46</v>
      </c>
      <c r="B15" s="1" t="s">
        <v>47</v>
      </c>
      <c r="C15" s="1" t="s">
        <v>311</v>
      </c>
      <c r="D15" s="1" t="s">
        <v>312</v>
      </c>
      <c r="E15" s="1" t="s">
        <v>313</v>
      </c>
      <c r="F15" s="1" t="s">
        <v>314</v>
      </c>
      <c r="G15" s="1" t="s">
        <v>315</v>
      </c>
      <c r="H15" s="1" t="s">
        <v>316</v>
      </c>
      <c r="I15" s="1" t="s">
        <v>339</v>
      </c>
      <c r="O15" t="s">
        <v>382</v>
      </c>
      <c r="P15" t="s">
        <v>382</v>
      </c>
    </row>
    <row r="16" spans="1:16" hidden="1" x14ac:dyDescent="0.35">
      <c r="A16" t="str">
        <f>A2</f>
        <v>D_CUSTOM1</v>
      </c>
      <c r="B16" t="s">
        <v>53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c r="O16" t="s">
        <v>382</v>
      </c>
      <c r="P16" t="s">
        <v>382</v>
      </c>
    </row>
    <row r="17" spans="1:16" hidden="1" x14ac:dyDescent="0.35">
      <c r="A17" t="str">
        <f>A2</f>
        <v>D_CUSTOM1</v>
      </c>
      <c r="B17" t="s">
        <v>54</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c r="O17" t="s">
        <v>382</v>
      </c>
      <c r="P17" t="s">
        <v>382</v>
      </c>
    </row>
    <row r="18" spans="1:16" hidden="1" x14ac:dyDescent="0.35">
      <c r="A18" t="str">
        <f>A2</f>
        <v>D_CUSTOM1</v>
      </c>
      <c r="B18" t="s">
        <v>55</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c r="O18" t="s">
        <v>382</v>
      </c>
      <c r="P18" t="s">
        <v>382</v>
      </c>
    </row>
    <row r="19" spans="1:16" hidden="1" x14ac:dyDescent="0.35">
      <c r="A19" t="str">
        <f>A2</f>
        <v>D_CUSTOM1</v>
      </c>
      <c r="B19" t="s">
        <v>56</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c r="O19" t="s">
        <v>382</v>
      </c>
      <c r="P19" t="s">
        <v>382</v>
      </c>
    </row>
    <row r="20" spans="1:16" hidden="1" x14ac:dyDescent="0.35">
      <c r="A20" t="str">
        <f>A2</f>
        <v>D_CUSTOM1</v>
      </c>
      <c r="B20" t="s">
        <v>57</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c r="O20" t="s">
        <v>382</v>
      </c>
      <c r="P20" t="s">
        <v>382</v>
      </c>
    </row>
    <row r="21" spans="1:16" hidden="1" x14ac:dyDescent="0.35">
      <c r="A21" t="str">
        <f>A3</f>
        <v>E_StatusQuo_Targets</v>
      </c>
      <c r="B21" t="s">
        <v>53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c r="O21" t="s">
        <v>382</v>
      </c>
      <c r="P21" t="s">
        <v>382</v>
      </c>
    </row>
    <row r="22" spans="1:16" hidden="1" x14ac:dyDescent="0.35">
      <c r="A22" t="str">
        <f>A3</f>
        <v>E_StatusQuo_Targets</v>
      </c>
      <c r="B22" t="s">
        <v>54</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c r="O22" t="s">
        <v>382</v>
      </c>
      <c r="P22" t="s">
        <v>382</v>
      </c>
    </row>
    <row r="23" spans="1:16" hidden="1" x14ac:dyDescent="0.35">
      <c r="A23" t="str">
        <f>A3</f>
        <v>E_StatusQuo_Targets</v>
      </c>
      <c r="B23" t="s">
        <v>55</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c r="O23" t="s">
        <v>382</v>
      </c>
      <c r="P23" t="s">
        <v>382</v>
      </c>
    </row>
    <row r="24" spans="1:16" hidden="1" x14ac:dyDescent="0.35">
      <c r="A24" t="str">
        <f>A3</f>
        <v>E_StatusQuo_Targets</v>
      </c>
      <c r="B24" t="s">
        <v>56</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c r="O24" t="s">
        <v>382</v>
      </c>
      <c r="P24" t="s">
        <v>382</v>
      </c>
    </row>
    <row r="25" spans="1:16" hidden="1" x14ac:dyDescent="0.35">
      <c r="A25" t="str">
        <f>A3</f>
        <v>E_StatusQuo_Targets</v>
      </c>
      <c r="B25" t="s">
        <v>57</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c r="O25" t="s">
        <v>382</v>
      </c>
      <c r="P25" t="s">
        <v>382</v>
      </c>
    </row>
    <row r="26" spans="1:16" hidden="1" x14ac:dyDescent="0.35">
      <c r="A26" t="str">
        <f>A4</f>
        <v>F_CoLocation_Echo_Targets</v>
      </c>
      <c r="B26" t="s">
        <v>53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c r="O26" t="s">
        <v>382</v>
      </c>
      <c r="P26" t="s">
        <v>382</v>
      </c>
    </row>
    <row r="27" spans="1:16" hidden="1" x14ac:dyDescent="0.35">
      <c r="A27" t="str">
        <f>A4</f>
        <v>F_CoLocation_Echo_Targets</v>
      </c>
      <c r="B27" t="s">
        <v>54</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c r="O27" t="s">
        <v>382</v>
      </c>
      <c r="P27" t="s">
        <v>382</v>
      </c>
    </row>
    <row r="28" spans="1:16" hidden="1" x14ac:dyDescent="0.35">
      <c r="A28" t="str">
        <f>A4</f>
        <v>F_CoLocation_Echo_Targets</v>
      </c>
      <c r="B28" t="s">
        <v>55</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c r="O28" t="s">
        <v>382</v>
      </c>
      <c r="P28" t="s">
        <v>382</v>
      </c>
    </row>
    <row r="29" spans="1:16" hidden="1" x14ac:dyDescent="0.35">
      <c r="A29" t="str">
        <f>A4</f>
        <v>F_CoLocation_Echo_Targets</v>
      </c>
      <c r="B29" t="s">
        <v>56</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c r="O29" t="s">
        <v>382</v>
      </c>
      <c r="P29" t="s">
        <v>382</v>
      </c>
    </row>
    <row r="30" spans="1:16" hidden="1" x14ac:dyDescent="0.35">
      <c r="A30" t="str">
        <f>A4</f>
        <v>F_CoLocation_Echo_Targets</v>
      </c>
      <c r="B30" t="s">
        <v>57</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c r="O30" t="s">
        <v>382</v>
      </c>
      <c r="P30" t="s">
        <v>382</v>
      </c>
    </row>
    <row r="31" spans="1:16" hidden="1" x14ac:dyDescent="0.35">
      <c r="A31" t="str">
        <f>A5</f>
        <v>D_Grow_Both_Targets</v>
      </c>
      <c r="B31" t="s">
        <v>53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c r="O31" t="s">
        <v>382</v>
      </c>
      <c r="P31" t="s">
        <v>382</v>
      </c>
    </row>
    <row r="32" spans="1:16" hidden="1" x14ac:dyDescent="0.35">
      <c r="A32" t="str">
        <f>A5</f>
        <v>D_Grow_Both_Targets</v>
      </c>
      <c r="B32" t="s">
        <v>54</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c r="O32" t="s">
        <v>382</v>
      </c>
      <c r="P32" t="s">
        <v>382</v>
      </c>
    </row>
    <row r="33" spans="1:16" hidden="1" x14ac:dyDescent="0.35">
      <c r="A33" t="str">
        <f>A5</f>
        <v>D_Grow_Both_Targets</v>
      </c>
      <c r="B33" t="s">
        <v>55</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c r="O33" t="s">
        <v>382</v>
      </c>
      <c r="P33" t="s">
        <v>382</v>
      </c>
    </row>
    <row r="34" spans="1:16" hidden="1" x14ac:dyDescent="0.35">
      <c r="A34" t="str">
        <f>A5</f>
        <v>D_Grow_Both_Targets</v>
      </c>
      <c r="B34" t="s">
        <v>56</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c r="O34" t="s">
        <v>382</v>
      </c>
      <c r="P34" t="s">
        <v>382</v>
      </c>
    </row>
    <row r="35" spans="1:16" hidden="1" x14ac:dyDescent="0.35">
      <c r="A35" t="str">
        <f>A5</f>
        <v>D_Grow_Both_Targets</v>
      </c>
      <c r="B35" t="s">
        <v>57</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c r="O35" t="s">
        <v>382</v>
      </c>
      <c r="P35" t="s">
        <v>382</v>
      </c>
    </row>
    <row r="36" spans="1:16" hidden="1" x14ac:dyDescent="0.35">
      <c r="A36" t="str">
        <f>A6</f>
        <v>D_CUSTOM2</v>
      </c>
      <c r="B36" t="s">
        <v>53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c r="O36" t="s">
        <v>382</v>
      </c>
      <c r="P36" t="s">
        <v>382</v>
      </c>
    </row>
    <row r="37" spans="1:16" hidden="1" x14ac:dyDescent="0.35">
      <c r="A37" t="str">
        <f>A6</f>
        <v>D_CUSTOM2</v>
      </c>
      <c r="B37" t="s">
        <v>54</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c r="O37" t="s">
        <v>382</v>
      </c>
      <c r="P37" t="s">
        <v>382</v>
      </c>
    </row>
    <row r="38" spans="1:16" hidden="1" x14ac:dyDescent="0.35">
      <c r="A38" t="str">
        <f>A6</f>
        <v>D_CUSTOM2</v>
      </c>
      <c r="B38" t="s">
        <v>55</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c r="O38" t="s">
        <v>382</v>
      </c>
      <c r="P38" t="s">
        <v>382</v>
      </c>
    </row>
    <row r="39" spans="1:16" hidden="1" x14ac:dyDescent="0.35">
      <c r="A39" t="str">
        <f>A6</f>
        <v>D_CUSTOM2</v>
      </c>
      <c r="B39" t="s">
        <v>56</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c r="O39" t="s">
        <v>382</v>
      </c>
      <c r="P39" t="s">
        <v>382</v>
      </c>
    </row>
    <row r="40" spans="1:16" hidden="1" x14ac:dyDescent="0.35">
      <c r="A40" t="str">
        <f>A6</f>
        <v>D_CUSTOM2</v>
      </c>
      <c r="B40" t="s">
        <v>57</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c r="O40" t="s">
        <v>382</v>
      </c>
      <c r="P40" t="s">
        <v>382</v>
      </c>
    </row>
    <row r="41" spans="1:16" hidden="1" x14ac:dyDescent="0.35">
      <c r="A41" t="str">
        <f>A7</f>
        <v>G_EchoGHubRamp_PimaTargets</v>
      </c>
      <c r="B41" t="s">
        <v>53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c r="O41" t="s">
        <v>382</v>
      </c>
      <c r="P41" t="s">
        <v>382</v>
      </c>
    </row>
    <row r="42" spans="1:16" hidden="1" x14ac:dyDescent="0.35">
      <c r="A42" t="str">
        <f>A7</f>
        <v>G_EchoGHubRamp_PimaTargets</v>
      </c>
      <c r="B42" t="s">
        <v>54</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c r="O42" t="s">
        <v>382</v>
      </c>
      <c r="P42" t="s">
        <v>382</v>
      </c>
    </row>
    <row r="43" spans="1:16" hidden="1" x14ac:dyDescent="0.35">
      <c r="A43" t="str">
        <f>A7</f>
        <v>G_EchoGHubRamp_PimaTargets</v>
      </c>
      <c r="B43" t="s">
        <v>55</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c r="O43" t="s">
        <v>382</v>
      </c>
      <c r="P43" t="s">
        <v>382</v>
      </c>
    </row>
    <row r="44" spans="1:16" hidden="1" x14ac:dyDescent="0.35">
      <c r="A44" t="str">
        <f>A7</f>
        <v>G_EchoGHubRamp_PimaTargets</v>
      </c>
      <c r="B44" t="s">
        <v>56</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c r="O44" t="s">
        <v>382</v>
      </c>
      <c r="P44" t="s">
        <v>382</v>
      </c>
    </row>
    <row r="45" spans="1:16" hidden="1" x14ac:dyDescent="0.35">
      <c r="A45" t="str">
        <f>A7</f>
        <v>G_EchoGHubRamp_PimaTargets</v>
      </c>
      <c r="B45" t="s">
        <v>57</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c r="O45" t="s">
        <v>382</v>
      </c>
      <c r="P45" t="s">
        <v>382</v>
      </c>
    </row>
    <row r="46" spans="1:16" hidden="1" x14ac:dyDescent="0.35">
      <c r="A46" t="str">
        <f>A8</f>
        <v>A_Repurpose_Both_lease</v>
      </c>
      <c r="B46" t="s">
        <v>53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c r="O46" t="s">
        <v>382</v>
      </c>
      <c r="P46" t="s">
        <v>382</v>
      </c>
    </row>
    <row r="47" spans="1:16" hidden="1" x14ac:dyDescent="0.35">
      <c r="A47" t="str">
        <f>A8</f>
        <v>A_Repurpose_Both_lease</v>
      </c>
      <c r="B47" t="s">
        <v>54</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c r="O47" t="s">
        <v>382</v>
      </c>
      <c r="P47" t="s">
        <v>382</v>
      </c>
    </row>
    <row r="48" spans="1:16" hidden="1" x14ac:dyDescent="0.35">
      <c r="A48" t="str">
        <f>A8</f>
        <v>A_Repurpose_Both_lease</v>
      </c>
      <c r="B48" t="s">
        <v>55</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c r="O48" t="s">
        <v>382</v>
      </c>
      <c r="P48" t="s">
        <v>382</v>
      </c>
    </row>
    <row r="49" spans="1:16" hidden="1" x14ac:dyDescent="0.35">
      <c r="A49" t="str">
        <f>A8</f>
        <v>A_Repurpose_Both_lease</v>
      </c>
      <c r="B49" t="s">
        <v>56</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c r="O49" t="s">
        <v>382</v>
      </c>
      <c r="P49" t="s">
        <v>382</v>
      </c>
    </row>
    <row r="50" spans="1:16" hidden="1" x14ac:dyDescent="0.35">
      <c r="A50" t="str">
        <f>A8</f>
        <v>A_Repurpose_Both_lease</v>
      </c>
      <c r="B50" t="s">
        <v>57</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c r="O50" t="s">
        <v>382</v>
      </c>
      <c r="P50" t="s">
        <v>382</v>
      </c>
    </row>
    <row r="51" spans="1:16" hidden="1" x14ac:dyDescent="0.35">
      <c r="A51" t="str">
        <f>A9</f>
        <v>A_Repurpose_Both_ops</v>
      </c>
      <c r="B51" t="s">
        <v>53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c r="O51" t="s">
        <v>382</v>
      </c>
      <c r="P51" t="s">
        <v>382</v>
      </c>
    </row>
    <row r="52" spans="1:16" hidden="1" x14ac:dyDescent="0.35">
      <c r="A52" t="str">
        <f>A9</f>
        <v>A_Repurpose_Both_ops</v>
      </c>
      <c r="B52" t="s">
        <v>54</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c r="O52" t="s">
        <v>382</v>
      </c>
      <c r="P52" t="s">
        <v>382</v>
      </c>
    </row>
    <row r="53" spans="1:16" hidden="1" x14ac:dyDescent="0.35">
      <c r="A53" t="str">
        <f>A9</f>
        <v>A_Repurpose_Both_ops</v>
      </c>
      <c r="B53" t="s">
        <v>55</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c r="O53" t="s">
        <v>382</v>
      </c>
      <c r="P53" t="s">
        <v>382</v>
      </c>
    </row>
    <row r="54" spans="1:16" hidden="1" x14ac:dyDescent="0.35">
      <c r="A54" t="str">
        <f>A9</f>
        <v>A_Repurpose_Both_ops</v>
      </c>
      <c r="B54" t="s">
        <v>56</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c r="O54" t="s">
        <v>382</v>
      </c>
      <c r="P54" t="s">
        <v>382</v>
      </c>
    </row>
    <row r="55" spans="1:16" hidden="1" x14ac:dyDescent="0.35">
      <c r="A55" t="str">
        <f>A9</f>
        <v>A_Repurpose_Both_ops</v>
      </c>
      <c r="B55" t="s">
        <v>57</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c r="O55" t="s">
        <v>382</v>
      </c>
      <c r="P55" t="s">
        <v>382</v>
      </c>
    </row>
    <row r="56" spans="1:16" hidden="1" x14ac:dyDescent="0.35">
      <c r="A56" t="str">
        <f>A10</f>
        <v>B_Repurpose_Echo_lease_PimaTargets</v>
      </c>
      <c r="B56" t="s">
        <v>53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c r="O56" t="s">
        <v>382</v>
      </c>
      <c r="P56" t="s">
        <v>382</v>
      </c>
    </row>
    <row r="57" spans="1:16" hidden="1" x14ac:dyDescent="0.35">
      <c r="A57" t="str">
        <f>A10</f>
        <v>B_Repurpose_Echo_lease_PimaTargets</v>
      </c>
      <c r="B57" t="s">
        <v>54</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c r="O57" t="s">
        <v>382</v>
      </c>
      <c r="P57" t="s">
        <v>382</v>
      </c>
    </row>
    <row r="58" spans="1:16" hidden="1" x14ac:dyDescent="0.35">
      <c r="A58" t="str">
        <f>A10</f>
        <v>B_Repurpose_Echo_lease_PimaTargets</v>
      </c>
      <c r="B58" t="s">
        <v>55</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c r="O58" t="s">
        <v>382</v>
      </c>
      <c r="P58" t="s">
        <v>382</v>
      </c>
    </row>
    <row r="59" spans="1:16" hidden="1" x14ac:dyDescent="0.35">
      <c r="A59" t="str">
        <f>A10</f>
        <v>B_Repurpose_Echo_lease_PimaTargets</v>
      </c>
      <c r="B59" t="s">
        <v>56</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c r="O59" t="s">
        <v>382</v>
      </c>
      <c r="P59" t="s">
        <v>382</v>
      </c>
    </row>
    <row r="60" spans="1:16" hidden="1" x14ac:dyDescent="0.35">
      <c r="A60" t="str">
        <f>A10</f>
        <v>B_Repurpose_Echo_lease_PimaTargets</v>
      </c>
      <c r="B60" t="s">
        <v>57</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c r="O60" t="s">
        <v>382</v>
      </c>
      <c r="P60" t="s">
        <v>382</v>
      </c>
    </row>
    <row r="61" spans="1:16" hidden="1" x14ac:dyDescent="0.35">
      <c r="A61" t="str">
        <f>A11</f>
        <v>B_Repurpose_Echo_ops_PimaTargets</v>
      </c>
      <c r="B61" t="s">
        <v>53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c r="O61" t="s">
        <v>382</v>
      </c>
      <c r="P61" t="s">
        <v>382</v>
      </c>
    </row>
    <row r="62" spans="1:16" hidden="1" x14ac:dyDescent="0.35">
      <c r="A62" t="str">
        <f>A11</f>
        <v>B_Repurpose_Echo_ops_PimaTargets</v>
      </c>
      <c r="B62" t="s">
        <v>54</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c r="O62" t="s">
        <v>382</v>
      </c>
      <c r="P62" t="s">
        <v>382</v>
      </c>
    </row>
    <row r="63" spans="1:16" hidden="1" x14ac:dyDescent="0.35">
      <c r="A63" t="str">
        <f>A11</f>
        <v>B_Repurpose_Echo_ops_PimaTargets</v>
      </c>
      <c r="B63" t="s">
        <v>55</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c r="O63" t="s">
        <v>382</v>
      </c>
      <c r="P63" t="s">
        <v>382</v>
      </c>
    </row>
    <row r="64" spans="1:16" hidden="1" x14ac:dyDescent="0.35">
      <c r="A64" t="str">
        <f>A11</f>
        <v>B_Repurpose_Echo_ops_PimaTargets</v>
      </c>
      <c r="B64" t="s">
        <v>56</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c r="O64" t="s">
        <v>382</v>
      </c>
      <c r="P64" t="s">
        <v>382</v>
      </c>
    </row>
    <row r="65" spans="1:16" hidden="1" x14ac:dyDescent="0.35">
      <c r="A65" t="str">
        <f>A11</f>
        <v>B_Repurpose_Echo_ops_PimaTargets</v>
      </c>
      <c r="B65" t="s">
        <v>57</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c r="O65" t="s">
        <v>382</v>
      </c>
      <c r="P65" t="s">
        <v>382</v>
      </c>
    </row>
    <row r="66" spans="1:16" hidden="1" x14ac:dyDescent="0.35">
      <c r="A66" t="str">
        <f>A12</f>
        <v>C_Repurpose_Pima_lease_EchoGHub_EchoTargets</v>
      </c>
      <c r="B66" t="s">
        <v>53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c r="O66" t="s">
        <v>382</v>
      </c>
      <c r="P66" t="s">
        <v>382</v>
      </c>
    </row>
    <row r="67" spans="1:16" hidden="1" x14ac:dyDescent="0.35">
      <c r="A67" t="str">
        <f>A12</f>
        <v>C_Repurpose_Pima_lease_EchoGHub_EchoTargets</v>
      </c>
      <c r="B67" t="s">
        <v>54</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c r="O67" t="s">
        <v>382</v>
      </c>
      <c r="P67" t="s">
        <v>382</v>
      </c>
    </row>
    <row r="68" spans="1:16" hidden="1" x14ac:dyDescent="0.35">
      <c r="A68" t="str">
        <f>A12</f>
        <v>C_Repurpose_Pima_lease_EchoGHub_EchoTargets</v>
      </c>
      <c r="B68" t="s">
        <v>55</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c r="O68" t="s">
        <v>382</v>
      </c>
      <c r="P68" t="s">
        <v>382</v>
      </c>
    </row>
    <row r="69" spans="1:16" hidden="1" x14ac:dyDescent="0.35">
      <c r="A69" t="str">
        <f>A12</f>
        <v>C_Repurpose_Pima_lease_EchoGHub_EchoTargets</v>
      </c>
      <c r="B69" t="s">
        <v>56</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c r="O69" t="s">
        <v>382</v>
      </c>
      <c r="P69" t="s">
        <v>382</v>
      </c>
    </row>
    <row r="70" spans="1:16" hidden="1" x14ac:dyDescent="0.35">
      <c r="A70" t="str">
        <f>A12</f>
        <v>C_Repurpose_Pima_lease_EchoGHub_EchoTargets</v>
      </c>
      <c r="B70" t="s">
        <v>57</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c r="O70" t="s">
        <v>382</v>
      </c>
      <c r="P70" t="s">
        <v>382</v>
      </c>
    </row>
    <row r="71" spans="1:16" hidden="1" x14ac:dyDescent="0.35">
      <c r="A71" t="str">
        <f>A13</f>
        <v>C_Repurpose_Pima_ops_EchoGHub_EchoTargets</v>
      </c>
      <c r="B71" t="s">
        <v>53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c r="O71" t="s">
        <v>382</v>
      </c>
      <c r="P71" t="s">
        <v>382</v>
      </c>
    </row>
    <row r="72" spans="1:16" hidden="1" x14ac:dyDescent="0.35">
      <c r="A72" t="str">
        <f>A13</f>
        <v>C_Repurpose_Pima_ops_EchoGHub_EchoTargets</v>
      </c>
      <c r="B72" t="s">
        <v>54</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c r="O72" t="s">
        <v>382</v>
      </c>
      <c r="P72" t="s">
        <v>382</v>
      </c>
    </row>
    <row r="73" spans="1:16" hidden="1" x14ac:dyDescent="0.35">
      <c r="A73" t="str">
        <f>A13</f>
        <v>C_Repurpose_Pima_ops_EchoGHub_EchoTargets</v>
      </c>
      <c r="B73" t="s">
        <v>55</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c r="O73" t="s">
        <v>382</v>
      </c>
      <c r="P73" t="s">
        <v>382</v>
      </c>
    </row>
    <row r="74" spans="1:16" hidden="1" x14ac:dyDescent="0.35">
      <c r="A74" t="str">
        <f>A13</f>
        <v>C_Repurpose_Pima_ops_EchoGHub_EchoTargets</v>
      </c>
      <c r="B74" t="s">
        <v>56</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c r="O74" t="s">
        <v>382</v>
      </c>
      <c r="P74" t="s">
        <v>382</v>
      </c>
    </row>
    <row r="75" spans="1:16" hidden="1" x14ac:dyDescent="0.35">
      <c r="A75" t="str">
        <f>A13</f>
        <v>C_Repurpose_Pima_ops_EchoGHub_EchoTargets</v>
      </c>
      <c r="B75" t="s">
        <v>57</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c r="O75" t="s">
        <v>382</v>
      </c>
      <c r="P75" t="s">
        <v>382</v>
      </c>
    </row>
  </sheetData>
  <dataValidations count="1">
    <dataValidation type="list" allowBlank="1" showInputMessage="1" showErrorMessage="1" sqref="O2:P13" xr:uid="{D65B8419-C28A-45E9-9B80-4E37B0EF34BE}">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74</v>
      </c>
      <c r="B1" t="s">
        <v>75</v>
      </c>
      <c r="D1" t="s">
        <v>396</v>
      </c>
    </row>
    <row r="2" spans="1:4" x14ac:dyDescent="0.35">
      <c r="A2" t="s">
        <v>98</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Parameters_Public</vt:lpstr>
      <vt:lpstr>Summary</vt:lpstr>
      <vt:lpstr>Capital_Summary</vt:lpstr>
      <vt:lpstr>Control_Center</vt:lpstr>
      <vt:lpstr>Dashboard</vt:lpstr>
      <vt:lpstr>Definitions_Sources</vt:lpstr>
      <vt:lpstr>Q&amp;A</vt:lpstr>
      <vt:lpstr>MultiYear_ProForma</vt:lpstr>
      <vt:lpstr>BaselineCalc</vt:lpstr>
      <vt:lpstr>YearMap</vt:lpstr>
      <vt:lpstr>Scenarios</vt:lpstr>
      <vt:lpstr>Other_Parameters</vt:lpstr>
      <vt:lpstr>ADM_Day_Select</vt:lpstr>
      <vt:lpstr>BaseAid_per_ADM</vt:lpstr>
      <vt:lpstr>Capex_ArtsHub</vt:lpstr>
      <vt:lpstr>Capex_in_MO_Toggle</vt:lpstr>
      <vt:lpstr>Capex_InnovHub</vt:lpstr>
      <vt:lpstr>Echo_ADM0</vt:lpstr>
      <vt:lpstr>M_O_per_ADM_Audited</vt:lpstr>
      <vt:lpstr>Override_per_ADM_proxy</vt:lpstr>
      <vt:lpstr>Override_Percent</vt:lpstr>
      <vt:lpstr>Override_Toggle</vt:lpstr>
      <vt:lpstr>Pima_ADM0</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2025-10-25T17:10:33Z</dcterms:modified>
</cp:coreProperties>
</file>