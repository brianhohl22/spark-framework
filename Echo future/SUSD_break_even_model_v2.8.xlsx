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31" documentId="8_{DB5C53AE-9758-4475-931D-CA1B70904383}" xr6:coauthVersionLast="47" xr6:coauthVersionMax="47" xr10:uidLastSave="{08FE4ACE-49DF-4F7E-A416-03EF38054A85}"/>
  <bookViews>
    <workbookView xWindow="-110" yWindow="-110" windowWidth="19420" windowHeight="10300" firstSheet="1" activeTab="2" xr2:uid="{00000000-000D-0000-FFFF-FFFF00000000}"/>
  </bookViews>
  <sheets>
    <sheet name="BaselineCalc" sheetId="1" r:id="rId1"/>
    <sheet name="YearMap" sheetId="2" r:id="rId2"/>
    <sheet name="Scenarios" sheetId="3" r:id="rId3"/>
    <sheet name="MultiYear_ProForma" sheetId="4" r:id="rId4"/>
    <sheet name="Summary_Costs" sheetId="5" r:id="rId5"/>
    <sheet name="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3" l="1"/>
  <c r="D31" i="4" s="1"/>
  <c r="L7" i="3"/>
  <c r="K7" i="3"/>
  <c r="D29" i="4" s="1"/>
  <c r="J7" i="3"/>
  <c r="C36" i="3" s="1"/>
  <c r="I7" i="3"/>
  <c r="D27" i="4" s="1"/>
  <c r="M6" i="3"/>
  <c r="L6" i="3"/>
  <c r="K6" i="3"/>
  <c r="J6" i="3"/>
  <c r="M5" i="3"/>
  <c r="D21" i="4" s="1"/>
  <c r="L5" i="3"/>
  <c r="K5" i="3"/>
  <c r="D27" i="3" s="1"/>
  <c r="J5" i="3"/>
  <c r="C18" i="4" s="1"/>
  <c r="I5" i="3"/>
  <c r="C25" i="3" s="1"/>
  <c r="E25" i="3" s="1"/>
  <c r="I6" i="3"/>
  <c r="C20" i="4"/>
  <c r="F10" i="3"/>
  <c r="A7" i="5"/>
  <c r="A6" i="5"/>
  <c r="A5" i="5"/>
  <c r="A4" i="5"/>
  <c r="A3" i="5"/>
  <c r="A2" i="5"/>
  <c r="J31" i="4"/>
  <c r="I31" i="4"/>
  <c r="A31" i="4"/>
  <c r="M31" i="4" s="1"/>
  <c r="M30" i="4"/>
  <c r="J30" i="4"/>
  <c r="I30" i="4"/>
  <c r="D30" i="4"/>
  <c r="C30" i="4"/>
  <c r="E30" i="4" s="1"/>
  <c r="A30" i="4"/>
  <c r="J29" i="4"/>
  <c r="I29" i="4"/>
  <c r="A29" i="4"/>
  <c r="M29" i="4" s="1"/>
  <c r="M28" i="4"/>
  <c r="J28" i="4"/>
  <c r="I28" i="4"/>
  <c r="A28" i="4"/>
  <c r="J27" i="4"/>
  <c r="I27" i="4"/>
  <c r="A27" i="4"/>
  <c r="M27" i="4" s="1"/>
  <c r="M26" i="4"/>
  <c r="J26" i="4"/>
  <c r="I26" i="4"/>
  <c r="D26" i="4"/>
  <c r="C26" i="4"/>
  <c r="A26" i="4"/>
  <c r="J25" i="4"/>
  <c r="I25" i="4"/>
  <c r="D25" i="4"/>
  <c r="C25" i="4"/>
  <c r="A25" i="4"/>
  <c r="M25" i="4" s="1"/>
  <c r="M24" i="4"/>
  <c r="J24" i="4"/>
  <c r="I24" i="4"/>
  <c r="D24" i="4"/>
  <c r="C24" i="4"/>
  <c r="E24" i="4" s="1"/>
  <c r="A24" i="4"/>
  <c r="J23" i="4"/>
  <c r="I23" i="4"/>
  <c r="D23" i="4"/>
  <c r="C23" i="4"/>
  <c r="A23" i="4"/>
  <c r="M23" i="4" s="1"/>
  <c r="M22" i="4"/>
  <c r="J22" i="4"/>
  <c r="I22" i="4"/>
  <c r="D22" i="4"/>
  <c r="C22" i="4"/>
  <c r="E22" i="4" s="1"/>
  <c r="A22" i="4"/>
  <c r="J21" i="4"/>
  <c r="I21" i="4"/>
  <c r="A21" i="4"/>
  <c r="M21" i="4" s="1"/>
  <c r="M20" i="4"/>
  <c r="J20" i="4"/>
  <c r="I20" i="4"/>
  <c r="D20" i="4"/>
  <c r="A20" i="4"/>
  <c r="J19" i="4"/>
  <c r="I19" i="4"/>
  <c r="C19" i="4"/>
  <c r="A19" i="4"/>
  <c r="M19" i="4" s="1"/>
  <c r="M18" i="4"/>
  <c r="J18" i="4"/>
  <c r="I18" i="4"/>
  <c r="A18" i="4"/>
  <c r="J17" i="4"/>
  <c r="I17" i="4"/>
  <c r="A17" i="4"/>
  <c r="M17" i="4" s="1"/>
  <c r="M16" i="4"/>
  <c r="J16" i="4"/>
  <c r="I16" i="4"/>
  <c r="D16" i="4"/>
  <c r="C16" i="4"/>
  <c r="E16" i="4" s="1"/>
  <c r="A16" i="4"/>
  <c r="J15" i="4"/>
  <c r="I15" i="4"/>
  <c r="D15" i="4"/>
  <c r="C15" i="4"/>
  <c r="E15" i="4" s="1"/>
  <c r="A15" i="4"/>
  <c r="M15" i="4" s="1"/>
  <c r="M14" i="4"/>
  <c r="J14" i="4"/>
  <c r="I14" i="4"/>
  <c r="D14" i="4"/>
  <c r="C14" i="4"/>
  <c r="E14" i="4" s="1"/>
  <c r="A14" i="4"/>
  <c r="J13" i="4"/>
  <c r="I13" i="4"/>
  <c r="D13" i="4"/>
  <c r="C13" i="4"/>
  <c r="E13" i="4" s="1"/>
  <c r="A13" i="4"/>
  <c r="M13" i="4" s="1"/>
  <c r="M12" i="4"/>
  <c r="J12" i="4"/>
  <c r="I12" i="4"/>
  <c r="D12" i="4"/>
  <c r="C12" i="4"/>
  <c r="E12" i="4" s="1"/>
  <c r="A12" i="4"/>
  <c r="J11" i="4"/>
  <c r="I11" i="4"/>
  <c r="D11" i="4"/>
  <c r="C11" i="4"/>
  <c r="E11" i="4" s="1"/>
  <c r="A11" i="4"/>
  <c r="M11" i="4" s="1"/>
  <c r="M10" i="4"/>
  <c r="J10" i="4"/>
  <c r="I10" i="4"/>
  <c r="D10" i="4"/>
  <c r="C10" i="4"/>
  <c r="E10" i="4" s="1"/>
  <c r="A10" i="4"/>
  <c r="J9" i="4"/>
  <c r="I9" i="4"/>
  <c r="D9" i="4"/>
  <c r="C9" i="4"/>
  <c r="E9" i="4" s="1"/>
  <c r="A9" i="4"/>
  <c r="M9" i="4" s="1"/>
  <c r="M8" i="4"/>
  <c r="J8" i="4"/>
  <c r="I8" i="4"/>
  <c r="D8" i="4"/>
  <c r="C8" i="4"/>
  <c r="E8" i="4" s="1"/>
  <c r="A8" i="4"/>
  <c r="J7" i="4"/>
  <c r="I7" i="4"/>
  <c r="D7" i="4"/>
  <c r="C7" i="4"/>
  <c r="E7" i="4" s="1"/>
  <c r="A7" i="4"/>
  <c r="M7" i="4" s="1"/>
  <c r="M6" i="4"/>
  <c r="J6" i="4"/>
  <c r="I6" i="4"/>
  <c r="D6" i="4"/>
  <c r="C6" i="4"/>
  <c r="E6" i="4" s="1"/>
  <c r="A6" i="4"/>
  <c r="J5" i="4"/>
  <c r="I5" i="4"/>
  <c r="D5" i="4"/>
  <c r="C5" i="4"/>
  <c r="E5" i="4" s="1"/>
  <c r="A5" i="4"/>
  <c r="M5" i="4" s="1"/>
  <c r="M4" i="4"/>
  <c r="J4" i="4"/>
  <c r="I4" i="4"/>
  <c r="D4" i="4"/>
  <c r="C4" i="4"/>
  <c r="E4" i="4" s="1"/>
  <c r="A4" i="4"/>
  <c r="J3" i="4"/>
  <c r="I3" i="4"/>
  <c r="D3" i="4"/>
  <c r="C3" i="4"/>
  <c r="E3" i="4" s="1"/>
  <c r="A3" i="4"/>
  <c r="M3" i="4" s="1"/>
  <c r="M2" i="4"/>
  <c r="J2" i="4"/>
  <c r="I2" i="4"/>
  <c r="D2" i="4"/>
  <c r="C2" i="4"/>
  <c r="E2" i="4" s="1"/>
  <c r="A2" i="4"/>
  <c r="A39" i="3"/>
  <c r="I39" i="3" s="1"/>
  <c r="D38" i="3"/>
  <c r="C38" i="3"/>
  <c r="A38" i="3"/>
  <c r="I38" i="3" s="1"/>
  <c r="D37" i="3"/>
  <c r="C37" i="3"/>
  <c r="A37" i="3"/>
  <c r="I37" i="3" s="1"/>
  <c r="D36" i="3"/>
  <c r="A36" i="3"/>
  <c r="I36" i="3" s="1"/>
  <c r="D35" i="3"/>
  <c r="C35" i="3"/>
  <c r="A35" i="3"/>
  <c r="I35" i="3" s="1"/>
  <c r="D34" i="3"/>
  <c r="C34" i="3"/>
  <c r="E34" i="3" s="1"/>
  <c r="A34" i="3"/>
  <c r="I34" i="3" s="1"/>
  <c r="D33" i="3"/>
  <c r="C33" i="3"/>
  <c r="E33" i="3" s="1"/>
  <c r="A33" i="3"/>
  <c r="I33" i="3" s="1"/>
  <c r="D32" i="3"/>
  <c r="C32" i="3"/>
  <c r="E32" i="3" s="1"/>
  <c r="A32" i="3"/>
  <c r="I32" i="3" s="1"/>
  <c r="D31" i="3"/>
  <c r="C31" i="3"/>
  <c r="A31" i="3"/>
  <c r="I31" i="3" s="1"/>
  <c r="D30" i="3"/>
  <c r="C30" i="3"/>
  <c r="E30" i="3" s="1"/>
  <c r="A30" i="3"/>
  <c r="I30" i="3" s="1"/>
  <c r="A29" i="3"/>
  <c r="I29" i="3" s="1"/>
  <c r="D28" i="3"/>
  <c r="C28" i="3"/>
  <c r="A28" i="3"/>
  <c r="I28" i="3" s="1"/>
  <c r="A27" i="3"/>
  <c r="I27" i="3" s="1"/>
  <c r="A26" i="3"/>
  <c r="I26" i="3" s="1"/>
  <c r="D25" i="3"/>
  <c r="A25" i="3"/>
  <c r="I25" i="3" s="1"/>
  <c r="D24" i="3"/>
  <c r="C24" i="3"/>
  <c r="E24" i="3" s="1"/>
  <c r="A24" i="3"/>
  <c r="I24" i="3" s="1"/>
  <c r="D23" i="3"/>
  <c r="C23" i="3"/>
  <c r="E23" i="3" s="1"/>
  <c r="A23" i="3"/>
  <c r="I23" i="3" s="1"/>
  <c r="D22" i="3"/>
  <c r="C22" i="3"/>
  <c r="E22" i="3" s="1"/>
  <c r="A22" i="3"/>
  <c r="I22" i="3" s="1"/>
  <c r="D21" i="3"/>
  <c r="C21" i="3"/>
  <c r="E21" i="3" s="1"/>
  <c r="A21" i="3"/>
  <c r="I21" i="3" s="1"/>
  <c r="D20" i="3"/>
  <c r="C20" i="3"/>
  <c r="E20" i="3" s="1"/>
  <c r="A20" i="3"/>
  <c r="I20" i="3" s="1"/>
  <c r="D19" i="3"/>
  <c r="C19" i="3"/>
  <c r="E19" i="3" s="1"/>
  <c r="A19" i="3"/>
  <c r="I19" i="3" s="1"/>
  <c r="D18" i="3"/>
  <c r="C18" i="3"/>
  <c r="E18" i="3" s="1"/>
  <c r="A18" i="3"/>
  <c r="I18" i="3" s="1"/>
  <c r="D17" i="3"/>
  <c r="C17" i="3"/>
  <c r="E17" i="3" s="1"/>
  <c r="A17" i="3"/>
  <c r="I17" i="3" s="1"/>
  <c r="D16" i="3"/>
  <c r="C16" i="3"/>
  <c r="E16" i="3" s="1"/>
  <c r="A16" i="3"/>
  <c r="I16" i="3" s="1"/>
  <c r="D15" i="3"/>
  <c r="C15" i="3"/>
  <c r="E15" i="3" s="1"/>
  <c r="A15" i="3"/>
  <c r="I15" i="3" s="1"/>
  <c r="D14" i="3"/>
  <c r="C14" i="3"/>
  <c r="E14" i="3" s="1"/>
  <c r="A14" i="3"/>
  <c r="I14" i="3" s="1"/>
  <c r="D13" i="3"/>
  <c r="C13" i="3"/>
  <c r="E13" i="3" s="1"/>
  <c r="A13" i="3"/>
  <c r="I13" i="3" s="1"/>
  <c r="D12" i="3"/>
  <c r="C12" i="3"/>
  <c r="E12" i="3" s="1"/>
  <c r="A12" i="3"/>
  <c r="I12" i="3" s="1"/>
  <c r="D11" i="3"/>
  <c r="C11" i="3"/>
  <c r="E11" i="3" s="1"/>
  <c r="A11" i="3"/>
  <c r="I11" i="3" s="1"/>
  <c r="D10" i="3"/>
  <c r="C10" i="3"/>
  <c r="E10" i="3" s="1"/>
  <c r="A10" i="3"/>
  <c r="I10" i="3" s="1"/>
  <c r="B9" i="1"/>
  <c r="B13" i="1" s="1"/>
  <c r="E35" i="3" l="1"/>
  <c r="E38" i="3"/>
  <c r="E36" i="3"/>
  <c r="E37" i="3"/>
  <c r="E28" i="3"/>
  <c r="D19" i="4"/>
  <c r="E19" i="4" s="1"/>
  <c r="D39" i="3"/>
  <c r="C39" i="3"/>
  <c r="C31" i="4"/>
  <c r="E31" i="4" s="1"/>
  <c r="C29" i="4"/>
  <c r="E29" i="4" s="1"/>
  <c r="D28" i="4"/>
  <c r="C28" i="4"/>
  <c r="C27" i="4"/>
  <c r="E27" i="4" s="1"/>
  <c r="E31" i="3"/>
  <c r="C21" i="4"/>
  <c r="E21" i="4" s="1"/>
  <c r="D26" i="3"/>
  <c r="C29" i="3"/>
  <c r="E23" i="4"/>
  <c r="E26" i="4"/>
  <c r="E20" i="4"/>
  <c r="D18" i="4"/>
  <c r="E18" i="4" s="1"/>
  <c r="D29" i="3"/>
  <c r="C27" i="3"/>
  <c r="E27" i="3" s="1"/>
  <c r="C26" i="3"/>
  <c r="E26" i="3" s="1"/>
  <c r="E25" i="4"/>
  <c r="D17" i="4"/>
  <c r="C17" i="4"/>
  <c r="B14" i="1"/>
  <c r="B15" i="1"/>
  <c r="E28" i="4" l="1"/>
  <c r="E39" i="3"/>
  <c r="E29" i="3"/>
  <c r="E17" i="4"/>
  <c r="D18" i="1"/>
  <c r="C18" i="1"/>
  <c r="B18" i="1"/>
  <c r="E18" i="1"/>
  <c r="F18" i="1"/>
  <c r="B6" i="2" s="1"/>
  <c r="F17" i="1"/>
  <c r="E17" i="1"/>
  <c r="B17" i="1"/>
  <c r="D17" i="1"/>
  <c r="C17" i="1"/>
  <c r="B20" i="1" l="1"/>
  <c r="D2" i="2" s="1"/>
  <c r="C14" i="1"/>
  <c r="C13" i="1" s="1"/>
  <c r="B19" i="1"/>
  <c r="C2" i="2" s="1"/>
  <c r="D19" i="1"/>
  <c r="C4" i="2" s="1"/>
  <c r="D20" i="1"/>
  <c r="D4" i="2" s="1"/>
  <c r="E14" i="1"/>
  <c r="E13" i="1" s="1"/>
  <c r="E19" i="1"/>
  <c r="C5" i="2" s="1"/>
  <c r="E20" i="1"/>
  <c r="D5" i="2" s="1"/>
  <c r="F14" i="1"/>
  <c r="F13" i="1" s="1"/>
  <c r="F19" i="1"/>
  <c r="C6" i="2" s="1"/>
  <c r="F20" i="1"/>
  <c r="D6" i="2" s="1"/>
  <c r="F15" i="1"/>
  <c r="B5" i="2"/>
  <c r="B2" i="2"/>
  <c r="C15" i="1"/>
  <c r="F26" i="4"/>
  <c r="F16" i="4"/>
  <c r="F6" i="4"/>
  <c r="F39" i="3"/>
  <c r="F34" i="3"/>
  <c r="F29" i="3"/>
  <c r="F24" i="3"/>
  <c r="F19" i="3"/>
  <c r="F14" i="3"/>
  <c r="F31" i="4"/>
  <c r="F21" i="4"/>
  <c r="F11" i="4"/>
  <c r="C19" i="1"/>
  <c r="C3" i="2" s="1"/>
  <c r="C20" i="1"/>
  <c r="D3" i="2" s="1"/>
  <c r="D14" i="1"/>
  <c r="D13" i="1" s="1"/>
  <c r="B3" i="2"/>
  <c r="D15" i="1"/>
  <c r="E15" i="1"/>
  <c r="B4" i="2"/>
  <c r="F28" i="4" l="1"/>
  <c r="F18" i="4"/>
  <c r="F8" i="4"/>
  <c r="F36" i="3"/>
  <c r="F31" i="3"/>
  <c r="F26" i="3"/>
  <c r="F21" i="3"/>
  <c r="F16" i="3"/>
  <c r="F11" i="3"/>
  <c r="F23" i="4"/>
  <c r="F13" i="4"/>
  <c r="F3" i="4"/>
  <c r="H5" i="4"/>
  <c r="H25" i="4"/>
  <c r="H15" i="4"/>
  <c r="H30" i="4"/>
  <c r="H20" i="4"/>
  <c r="H10" i="4"/>
  <c r="H38" i="3"/>
  <c r="H33" i="3"/>
  <c r="H28" i="3"/>
  <c r="H23" i="3"/>
  <c r="H18" i="3"/>
  <c r="H13" i="3"/>
  <c r="G15" i="4"/>
  <c r="G25" i="4"/>
  <c r="G5" i="4"/>
  <c r="G38" i="3"/>
  <c r="G33" i="3"/>
  <c r="G28" i="3"/>
  <c r="G23" i="3"/>
  <c r="G18" i="3"/>
  <c r="G13" i="3"/>
  <c r="G20" i="4"/>
  <c r="G30" i="4"/>
  <c r="G10" i="4"/>
  <c r="F22" i="4"/>
  <c r="F12" i="4"/>
  <c r="F2" i="4"/>
  <c r="F35" i="3"/>
  <c r="F30" i="3"/>
  <c r="F25" i="3"/>
  <c r="F20" i="3"/>
  <c r="F15" i="3"/>
  <c r="F27" i="4"/>
  <c r="F17" i="4"/>
  <c r="F7" i="4"/>
  <c r="H3" i="4"/>
  <c r="H23" i="4"/>
  <c r="H13" i="4"/>
  <c r="H21" i="3"/>
  <c r="H16" i="3"/>
  <c r="H11" i="3"/>
  <c r="H28" i="4"/>
  <c r="H18" i="4"/>
  <c r="H8" i="4"/>
  <c r="H36" i="3"/>
  <c r="H31" i="3"/>
  <c r="H26" i="3"/>
  <c r="F30" i="4"/>
  <c r="F20" i="4"/>
  <c r="F10" i="4"/>
  <c r="F38" i="3"/>
  <c r="F33" i="3"/>
  <c r="F28" i="3"/>
  <c r="F23" i="3"/>
  <c r="F18" i="3"/>
  <c r="F13" i="3"/>
  <c r="F25" i="4"/>
  <c r="F15" i="4"/>
  <c r="F5" i="4"/>
  <c r="H9" i="4"/>
  <c r="H29" i="4"/>
  <c r="H19" i="4"/>
  <c r="H12" i="3"/>
  <c r="H24" i="4"/>
  <c r="H14" i="4"/>
  <c r="H4" i="4"/>
  <c r="H37" i="3"/>
  <c r="H32" i="3"/>
  <c r="H27" i="3"/>
  <c r="H22" i="3"/>
  <c r="H17" i="3"/>
  <c r="G29" i="4"/>
  <c r="K29" i="4" s="1"/>
  <c r="L29" i="4" s="1"/>
  <c r="B7" i="5" s="1"/>
  <c r="G19" i="4"/>
  <c r="G9" i="4"/>
  <c r="G32" i="3"/>
  <c r="G27" i="3"/>
  <c r="G22" i="3"/>
  <c r="G17" i="3"/>
  <c r="G12" i="3"/>
  <c r="G24" i="4"/>
  <c r="G14" i="4"/>
  <c r="G4" i="4"/>
  <c r="G37" i="3"/>
  <c r="H11" i="4"/>
  <c r="H31" i="4"/>
  <c r="H21" i="4"/>
  <c r="H14" i="3"/>
  <c r="H26" i="4"/>
  <c r="H16" i="4"/>
  <c r="H6" i="4"/>
  <c r="H39" i="3"/>
  <c r="H34" i="3"/>
  <c r="H29" i="3"/>
  <c r="H24" i="3"/>
  <c r="H19" i="3"/>
  <c r="F24" i="4"/>
  <c r="F14" i="4"/>
  <c r="F4" i="4"/>
  <c r="F37" i="3"/>
  <c r="F32" i="3"/>
  <c r="F27" i="3"/>
  <c r="F22" i="3"/>
  <c r="F17" i="3"/>
  <c r="F12" i="3"/>
  <c r="F29" i="4"/>
  <c r="F19" i="4"/>
  <c r="F9" i="4"/>
  <c r="G21" i="4"/>
  <c r="K21" i="4" s="1"/>
  <c r="L21" i="4" s="1"/>
  <c r="C5" i="5" s="1"/>
  <c r="G11" i="4"/>
  <c r="G31" i="4"/>
  <c r="K31" i="4" s="1"/>
  <c r="L31" i="4" s="1"/>
  <c r="C7" i="5" s="1"/>
  <c r="G34" i="3"/>
  <c r="G29" i="3"/>
  <c r="G24" i="3"/>
  <c r="G19" i="3"/>
  <c r="G14" i="3"/>
  <c r="G26" i="4"/>
  <c r="K26" i="4" s="1"/>
  <c r="L26" i="4" s="1"/>
  <c r="C6" i="5" s="1"/>
  <c r="G16" i="4"/>
  <c r="K16" i="4" s="1"/>
  <c r="L16" i="4" s="1"/>
  <c r="C4" i="5" s="1"/>
  <c r="G6" i="4"/>
  <c r="G39" i="3"/>
  <c r="G23" i="4"/>
  <c r="K23" i="4" s="1"/>
  <c r="L23" i="4" s="1"/>
  <c r="G13" i="4"/>
  <c r="K13" i="4" s="1"/>
  <c r="L13" i="4" s="1"/>
  <c r="G3" i="4"/>
  <c r="K3" i="4" s="1"/>
  <c r="L3" i="4" s="1"/>
  <c r="G36" i="3"/>
  <c r="G31" i="3"/>
  <c r="G26" i="3"/>
  <c r="G21" i="3"/>
  <c r="G16" i="3"/>
  <c r="G11" i="3"/>
  <c r="G28" i="4"/>
  <c r="G18" i="4"/>
  <c r="G8" i="4"/>
  <c r="K8" i="4" s="1"/>
  <c r="L8" i="4" s="1"/>
  <c r="G27" i="4"/>
  <c r="K27" i="4" s="1"/>
  <c r="L27" i="4" s="1"/>
  <c r="G17" i="4"/>
  <c r="G7" i="4"/>
  <c r="G2" i="4"/>
  <c r="G35" i="3"/>
  <c r="G30" i="3"/>
  <c r="G25" i="3"/>
  <c r="G20" i="3"/>
  <c r="G15" i="3"/>
  <c r="G10" i="3"/>
  <c r="G22" i="4"/>
  <c r="G12" i="4"/>
  <c r="H7" i="4"/>
  <c r="H27" i="4"/>
  <c r="H17" i="4"/>
  <c r="H22" i="4"/>
  <c r="H12" i="4"/>
  <c r="H2" i="4"/>
  <c r="H35" i="3"/>
  <c r="H30" i="3"/>
  <c r="H25" i="3"/>
  <c r="H20" i="3"/>
  <c r="H15" i="3"/>
  <c r="H10" i="3"/>
  <c r="D7" i="5" l="1"/>
  <c r="K4" i="4"/>
  <c r="L4" i="4" s="1"/>
  <c r="B2" i="5" s="1"/>
  <c r="K9" i="4"/>
  <c r="L9" i="4" s="1"/>
  <c r="B3" i="5" s="1"/>
  <c r="K28" i="4"/>
  <c r="L28" i="4" s="1"/>
  <c r="K14" i="4"/>
  <c r="L14" i="4" s="1"/>
  <c r="B4" i="5" s="1"/>
  <c r="K19" i="4"/>
  <c r="L19" i="4" s="1"/>
  <c r="B5" i="5" s="1"/>
  <c r="K18" i="4"/>
  <c r="L18" i="4" s="1"/>
  <c r="K24" i="4"/>
  <c r="L24" i="4" s="1"/>
  <c r="B6" i="5" s="1"/>
  <c r="K12" i="4"/>
  <c r="L12" i="4" s="1"/>
  <c r="K2" i="4"/>
  <c r="L2" i="4" s="1"/>
  <c r="K10" i="4"/>
  <c r="L10" i="4" s="1"/>
  <c r="K22" i="4"/>
  <c r="L22" i="4" s="1"/>
  <c r="K7" i="4"/>
  <c r="L7" i="4" s="1"/>
  <c r="K6" i="4"/>
  <c r="L6" i="4" s="1"/>
  <c r="C2" i="5" s="1"/>
  <c r="K30" i="4"/>
  <c r="L30" i="4" s="1"/>
  <c r="E7" i="5" s="1"/>
  <c r="K5" i="4"/>
  <c r="L5" i="4" s="1"/>
  <c r="K17" i="4"/>
  <c r="L17" i="4" s="1"/>
  <c r="K11" i="4"/>
  <c r="L11" i="4" s="1"/>
  <c r="C3" i="5" s="1"/>
  <c r="K20" i="4"/>
  <c r="L20" i="4" s="1"/>
  <c r="K25" i="4"/>
  <c r="L25" i="4" s="1"/>
  <c r="K15" i="4"/>
  <c r="L15" i="4" s="1"/>
  <c r="E6" i="5" l="1"/>
  <c r="D6" i="5"/>
  <c r="D3" i="5"/>
  <c r="E3" i="5"/>
  <c r="D2" i="5"/>
  <c r="E2" i="5"/>
  <c r="D5" i="5"/>
  <c r="E5" i="5"/>
  <c r="D4" i="5"/>
  <c r="E4" i="5"/>
</calcChain>
</file>

<file path=xl/sharedStrings.xml><?xml version="1.0" encoding="utf-8"?>
<sst xmlns="http://schemas.openxmlformats.org/spreadsheetml/2006/main" count="188" uniqueCount="101">
  <si>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</si>
  <si>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</si>
  <si>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</si>
  <si>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</si>
  <si>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</si>
  <si>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</si>
  <si>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</si>
  <si>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</si>
  <si>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</si>
  <si>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</si>
  <si>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</si>
  <si>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</si>
  <si>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</si>
  <si>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</si>
  <si>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</si>
  <si>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</si>
  <si>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</si>
  <si>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</si>
  <si>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</si>
  <si>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</si>
  <si>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</si>
  <si>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</si>
  <si>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</si>
  <si>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</si>
  <si>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</si>
  <si>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</si>
  <si>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</si>
  <si>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</si>
  <si>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</si>
  <si>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</si>
  <si>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</si>
  <si>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</si>
  <si>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</si>
  <si>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</si>
  <si>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</si>
  <si>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</si>
  <si>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</si>
  <si>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</si>
  <si>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</si>
  <si>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</si>
  <si>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</si>
  <si>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</si>
  <si>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</si>
  <si>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</si>
  <si>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YearIdx</t>
  </si>
  <si>
    <t>FY2026</t>
  </si>
  <si>
    <t>FY2027</t>
  </si>
  <si>
    <t>FY2028</t>
  </si>
  <si>
    <t>FY2029</t>
  </si>
  <si>
    <t>FY2030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</si>
  <si>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</si>
  <si>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</si>
  <si>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</si>
  <si>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</si>
  <si>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</si>
  <si>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</si>
  <si>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</si>
  <si>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</si>
  <si>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</si>
  <si>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</si>
  <si>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</si>
  <si>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</si>
  <si>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</si>
  <si>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</si>
  <si>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</si>
  <si>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</si>
  <si>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</si>
  <si>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</si>
  <si>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</si>
  <si>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</si>
  <si>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</si>
  <si>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</si>
  <si>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</si>
  <si>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</si>
  <si>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D_Grow_Both_150</t>
  </si>
  <si>
    <t>D. Grow Both (Overlay 150)</t>
  </si>
  <si>
    <t>Baseline +150 overlay</t>
  </si>
  <si>
    <t>G_DHub_EchoRamp</t>
  </si>
  <si>
    <t>G. D‑Hub @ Echo (Ramp 50→100→150)</t>
  </si>
  <si>
    <t>Time‑phased ramp (+50,+100,+150 years 1–3)</t>
  </si>
  <si>
    <t>Echo_ADM</t>
  </si>
  <si>
    <t>Pima_ADM</t>
  </si>
  <si>
    <t>Total_ADM</t>
  </si>
  <si>
    <t>Key</t>
  </si>
  <si>
    <t>OpsFactor</t>
  </si>
  <si>
    <t>Total_MO$</t>
  </si>
  <si>
    <t>MO_per_ADM$</t>
  </si>
  <si>
    <t>FY2028 MO/ADM</t>
  </si>
  <si>
    <t>FY2030 MO/ADM</t>
  </si>
  <si>
    <t>3-yr Avg MO/ADM (FY26–FY28)</t>
  </si>
  <si>
    <t>5-yr Avg MO/ADM (FY26–FY30)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</si>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</sst>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pane ySplit="1" topLeftCell="A2" activePane="bottomLeft" state="frozen"/>
      <selection pane="bottomLeft" activeCell="A11" sqref="A11"/>
    </sheetView>
  </sheetViews>
  <sheetFormatPr defaultRowHeight="14.5" x14ac:dyDescent="0.35"/>
  <cols>
    <col min="1" max="1" width="25.1796875" customWidth="1"/>
    <col min="2" max="6" width="9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6" t="s">
        <v>4</v>
      </c>
    </row>
    <row r="3" spans="1:11" x14ac:dyDescent="0.35">
      <c r="A3" t="s">
        <v>5</v>
      </c>
      <c r="B3" s="4">
        <v>9936</v>
      </c>
      <c r="C3" s="6" t="s">
        <v>6</v>
      </c>
    </row>
    <row r="4" spans="1:11" x14ac:dyDescent="0.35">
      <c r="A4" t="s">
        <v>7</v>
      </c>
      <c r="B4" s="4">
        <v>0.3</v>
      </c>
      <c r="C4" s="6" t="s">
        <v>8</v>
      </c>
    </row>
    <row r="5" spans="1:11" x14ac:dyDescent="0.35">
      <c r="A5" t="s">
        <v>9</v>
      </c>
      <c r="B5" s="4">
        <v>7.0000000000000001E-3</v>
      </c>
      <c r="C5" s="6" t="s">
        <v>10</v>
      </c>
    </row>
    <row r="6" spans="1:11" x14ac:dyDescent="0.35">
      <c r="A6" t="s">
        <v>11</v>
      </c>
      <c r="B6" s="4">
        <v>1.4999999999999999E-2</v>
      </c>
      <c r="C6" s="6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25</v>
      </c>
    </row>
    <row r="14" spans="1:11" x14ac:dyDescent="0.35">
      <c r="A14" t="s">
        <v>26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27</v>
      </c>
      <c r="K14" t="s">
        <v>28</v>
      </c>
    </row>
    <row r="15" spans="1:11" x14ac:dyDescent="0.35">
      <c r="A15" t="s">
        <v>29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30</v>
      </c>
      <c r="K15" t="s">
        <v>31</v>
      </c>
    </row>
    <row r="17" spans="1:6" x14ac:dyDescent="0.35">
      <c r="A17" t="s">
        <v>32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33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34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35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2" spans="1:6" x14ac:dyDescent="0.35">
      <c r="A22" s="1" t="s">
        <v>2</v>
      </c>
    </row>
    <row r="23" spans="1:6" x14ac:dyDescent="0.35">
      <c r="A23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8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t="s">
        <v>44</v>
      </c>
    </row>
    <row r="2" spans="1:8" x14ac:dyDescent="0.35">
      <c r="A2" t="s">
        <v>45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  <c r="H2">
        <v>1</v>
      </c>
    </row>
    <row r="3" spans="1:8" x14ac:dyDescent="0.35">
      <c r="A3" t="s">
        <v>46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  <c r="H3">
        <v>2</v>
      </c>
    </row>
    <row r="4" spans="1:8" x14ac:dyDescent="0.35">
      <c r="A4" t="s">
        <v>47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  <c r="H4">
        <v>3</v>
      </c>
    </row>
    <row r="5" spans="1:8" x14ac:dyDescent="0.35">
      <c r="A5" t="s">
        <v>48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  <c r="H5">
        <v>4</v>
      </c>
    </row>
    <row r="6" spans="1:8" x14ac:dyDescent="0.35">
      <c r="A6" t="s">
        <v>49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  <c r="H6">
        <v>5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tabSelected="1" topLeftCell="A17" zoomScale="75" zoomScaleNormal="75" workbookViewId="0">
      <selection activeCell="F32" sqref="F32"/>
    </sheetView>
  </sheetViews>
  <sheetFormatPr defaultRowHeight="14.5" x14ac:dyDescent="0.35"/>
  <cols>
    <col min="1" max="1" width="21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3" x14ac:dyDescent="0.3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</row>
    <row r="2" spans="1:13" x14ac:dyDescent="0.35">
      <c r="A2" t="s">
        <v>62</v>
      </c>
      <c r="B2" t="s">
        <v>63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64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5">
      <c r="A3" t="s">
        <v>65</v>
      </c>
      <c r="B3" t="s">
        <v>66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67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5">
      <c r="A4" t="s">
        <v>68</v>
      </c>
      <c r="B4" t="s">
        <v>69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70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5">
      <c r="A5" t="s">
        <v>71</v>
      </c>
      <c r="B5" t="s">
        <v>72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73</v>
      </c>
      <c r="I5">
        <f>$C5</f>
        <v>100</v>
      </c>
      <c r="J5">
        <f t="shared" ref="J5:M6" si="0">$C5</f>
        <v>100</v>
      </c>
      <c r="K5">
        <f t="shared" si="0"/>
        <v>100</v>
      </c>
      <c r="L5">
        <f t="shared" si="0"/>
        <v>100</v>
      </c>
      <c r="M5">
        <f t="shared" si="0"/>
        <v>100</v>
      </c>
    </row>
    <row r="6" spans="1:13" x14ac:dyDescent="0.35">
      <c r="A6" t="s">
        <v>74</v>
      </c>
      <c r="B6" t="s">
        <v>75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76</v>
      </c>
      <c r="I6">
        <f>$C6</f>
        <v>150</v>
      </c>
      <c r="J6">
        <f t="shared" si="0"/>
        <v>150</v>
      </c>
      <c r="K6">
        <f t="shared" si="0"/>
        <v>150</v>
      </c>
      <c r="L6">
        <f t="shared" si="0"/>
        <v>150</v>
      </c>
      <c r="M6">
        <f t="shared" si="0"/>
        <v>150</v>
      </c>
    </row>
    <row r="7" spans="1:13" x14ac:dyDescent="0.35">
      <c r="A7" t="s">
        <v>77</v>
      </c>
      <c r="B7" t="s">
        <v>78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79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9" spans="1:13" x14ac:dyDescent="0.35">
      <c r="A9" s="1" t="s">
        <v>50</v>
      </c>
      <c r="B9" s="1" t="s">
        <v>37</v>
      </c>
      <c r="C9" s="1" t="s">
        <v>80</v>
      </c>
      <c r="D9" s="1" t="s">
        <v>81</v>
      </c>
      <c r="E9" s="1" t="s">
        <v>82</v>
      </c>
      <c r="F9" s="1" t="s">
        <v>38</v>
      </c>
      <c r="G9" s="1" t="s">
        <v>39</v>
      </c>
      <c r="H9" s="1" t="s">
        <v>40</v>
      </c>
      <c r="I9" s="1" t="s">
        <v>83</v>
      </c>
    </row>
    <row r="10" spans="1:13" x14ac:dyDescent="0.35">
      <c r="A10" t="str">
        <f>A2</f>
        <v>D_Grow_Both_0</v>
      </c>
      <c r="B10" t="s">
        <v>45</v>
      </c>
      <c r="C10">
        <f>IF(D2=1,0, BaselineCalc!$B$7 + ROUND(I2*F2,0))</f>
        <v>257</v>
      </c>
      <c r="D10">
        <f>IF(E2=1,0, BaselineCalc!$B$8 + I2 - ROUND(I2*F2,0))</f>
        <v>296</v>
      </c>
      <c r="E10">
        <f t="shared" ref="E10:E39" si="1">C10+D10</f>
        <v>553</v>
      </c>
      <c r="F10" s="2">
        <f>YearMap!B2</f>
        <v>7129.079999999999</v>
      </c>
      <c r="G10" s="2">
        <f>YearMap!C2</f>
        <v>785217.23999999987</v>
      </c>
      <c r="H10" s="2">
        <f>YearMap!D2</f>
        <v>904374.71999999986</v>
      </c>
      <c r="I10" t="str">
        <f t="shared" ref="I10:I39" si="2">A10&amp;"|"&amp;B10</f>
        <v>D_Grow_Both_0|FY2026</v>
      </c>
    </row>
    <row r="11" spans="1:13" x14ac:dyDescent="0.35">
      <c r="A11" t="str">
        <f>A2</f>
        <v>D_Grow_Both_0</v>
      </c>
      <c r="B11" t="s">
        <v>46</v>
      </c>
      <c r="C11">
        <f>IF(D2=1,0, BaselineCalc!$B$7 + ROUND(J2*F2,0))</f>
        <v>257</v>
      </c>
      <c r="D11">
        <f>IF(E2=1,0, BaselineCalc!$B$8 + J2 - ROUND(J2*F2,0))</f>
        <v>296</v>
      </c>
      <c r="E11">
        <f t="shared" si="1"/>
        <v>553</v>
      </c>
      <c r="F11" s="2">
        <f>YearMap!B3</f>
        <v>7307.3069999999989</v>
      </c>
      <c r="G11" s="2">
        <f>YearMap!C3</f>
        <v>804847.67099999997</v>
      </c>
      <c r="H11" s="2">
        <f>YearMap!D3</f>
        <v>926984.08799999999</v>
      </c>
      <c r="I11" t="str">
        <f t="shared" si="2"/>
        <v>D_Grow_Both_0|FY2027</v>
      </c>
    </row>
    <row r="12" spans="1:13" x14ac:dyDescent="0.35">
      <c r="A12" t="str">
        <f>A2</f>
        <v>D_Grow_Both_0</v>
      </c>
      <c r="B12" t="s">
        <v>47</v>
      </c>
      <c r="C12">
        <f>IF(D2=1,0, BaselineCalc!$B$7 + ROUND(K2*F2,0))</f>
        <v>257</v>
      </c>
      <c r="D12">
        <f>IF(E2=1,0, BaselineCalc!$B$8 + K2 - ROUND(K2*F2,0))</f>
        <v>296</v>
      </c>
      <c r="E12">
        <f t="shared" si="1"/>
        <v>553</v>
      </c>
      <c r="F12" s="2">
        <f>YearMap!B4</f>
        <v>7489.9896749999989</v>
      </c>
      <c r="G12" s="2">
        <f>YearMap!C4</f>
        <v>824968.86277499993</v>
      </c>
      <c r="H12" s="2">
        <f>YearMap!D4</f>
        <v>950158.69019999984</v>
      </c>
      <c r="I12" t="str">
        <f t="shared" si="2"/>
        <v>D_Grow_Both_0|FY2028</v>
      </c>
    </row>
    <row r="13" spans="1:13" x14ac:dyDescent="0.35">
      <c r="A13" t="str">
        <f>A2</f>
        <v>D_Grow_Both_0</v>
      </c>
      <c r="B13" t="s">
        <v>48</v>
      </c>
      <c r="C13">
        <f>IF(D2=1,0, BaselineCalc!$B$7 + ROUND(L2*F2,0))</f>
        <v>257</v>
      </c>
      <c r="D13">
        <f>IF(E2=1,0, BaselineCalc!$B$8 + L2 - ROUND(L2*F2,0))</f>
        <v>296</v>
      </c>
      <c r="E13">
        <f t="shared" si="1"/>
        <v>553</v>
      </c>
      <c r="F13" s="2">
        <f>YearMap!B5</f>
        <v>7677.2394168749979</v>
      </c>
      <c r="G13" s="2">
        <f>YearMap!C5</f>
        <v>845593.08434437483</v>
      </c>
      <c r="H13" s="2">
        <f>YearMap!D5</f>
        <v>973912.65745499986</v>
      </c>
      <c r="I13" t="str">
        <f t="shared" si="2"/>
        <v>D_Grow_Both_0|FY2029</v>
      </c>
    </row>
    <row r="14" spans="1:13" x14ac:dyDescent="0.35">
      <c r="A14" t="str">
        <f>A2</f>
        <v>D_Grow_Both_0</v>
      </c>
      <c r="B14" t="s">
        <v>49</v>
      </c>
      <c r="C14">
        <f>IF(D2=1,0, BaselineCalc!$B$7 + ROUND(M2*F2,0))</f>
        <v>257</v>
      </c>
      <c r="D14">
        <f>IF(E2=1,0, BaselineCalc!$B$8 + M2 - ROUND(M2*F2,0))</f>
        <v>296</v>
      </c>
      <c r="E14">
        <f t="shared" si="1"/>
        <v>553</v>
      </c>
      <c r="F14" s="2">
        <f>YearMap!B6</f>
        <v>7869.1704022968725</v>
      </c>
      <c r="G14" s="2">
        <f>YearMap!C6</f>
        <v>866732.91145298409</v>
      </c>
      <c r="H14" s="2">
        <f>YearMap!D6</f>
        <v>998260.47389137466</v>
      </c>
      <c r="I14" t="str">
        <f t="shared" si="2"/>
        <v>D_Grow_Both_0|FY2030</v>
      </c>
    </row>
    <row r="15" spans="1:13" x14ac:dyDescent="0.35">
      <c r="A15" t="str">
        <f>A3</f>
        <v>E_StatusQuo_Targets_0</v>
      </c>
      <c r="B15" t="s">
        <v>45</v>
      </c>
      <c r="C15">
        <f>IF(D3=1,0, BaselineCalc!$B$7 + ROUND(I3*F3,0))</f>
        <v>257</v>
      </c>
      <c r="D15">
        <f>IF(E3=1,0, BaselineCalc!$B$8 + I3 - ROUND(I3*F3,0))</f>
        <v>296</v>
      </c>
      <c r="E15">
        <f t="shared" si="1"/>
        <v>553</v>
      </c>
      <c r="F15" s="2">
        <f>YearMap!B2</f>
        <v>7129.079999999999</v>
      </c>
      <c r="G15" s="2">
        <f>YearMap!C2</f>
        <v>785217.23999999987</v>
      </c>
      <c r="H15" s="2">
        <f>YearMap!D2</f>
        <v>904374.71999999986</v>
      </c>
      <c r="I15" t="str">
        <f t="shared" si="2"/>
        <v>E_StatusQuo_Targets_0|FY2026</v>
      </c>
    </row>
    <row r="16" spans="1:13" x14ac:dyDescent="0.35">
      <c r="A16" t="str">
        <f>A3</f>
        <v>E_StatusQuo_Targets_0</v>
      </c>
      <c r="B16" t="s">
        <v>46</v>
      </c>
      <c r="C16">
        <f>IF(D3=1,0, BaselineCalc!$B$7 + ROUND(J3*F3,0))</f>
        <v>257</v>
      </c>
      <c r="D16">
        <f>IF(E3=1,0, BaselineCalc!$B$8 + J3 - ROUND(J3*F3,0))</f>
        <v>296</v>
      </c>
      <c r="E16">
        <f t="shared" si="1"/>
        <v>553</v>
      </c>
      <c r="F16" s="2">
        <f>YearMap!B3</f>
        <v>7307.3069999999989</v>
      </c>
      <c r="G16" s="2">
        <f>YearMap!C3</f>
        <v>804847.67099999997</v>
      </c>
      <c r="H16" s="2">
        <f>YearMap!D3</f>
        <v>926984.08799999999</v>
      </c>
      <c r="I16" t="str">
        <f t="shared" si="2"/>
        <v>E_StatusQuo_Targets_0|FY2027</v>
      </c>
    </row>
    <row r="17" spans="1:9" x14ac:dyDescent="0.35">
      <c r="A17" t="str">
        <f>A3</f>
        <v>E_StatusQuo_Targets_0</v>
      </c>
      <c r="B17" t="s">
        <v>47</v>
      </c>
      <c r="C17">
        <f>IF(D3=1,0, BaselineCalc!$B$7 + ROUND(K3*F3,0))</f>
        <v>257</v>
      </c>
      <c r="D17">
        <f>IF(E3=1,0, BaselineCalc!$B$8 + K3 - ROUND(K3*F3,0))</f>
        <v>296</v>
      </c>
      <c r="E17">
        <f t="shared" si="1"/>
        <v>553</v>
      </c>
      <c r="F17" s="2">
        <f>YearMap!B4</f>
        <v>7489.9896749999989</v>
      </c>
      <c r="G17" s="2">
        <f>YearMap!C4</f>
        <v>824968.86277499993</v>
      </c>
      <c r="H17" s="2">
        <f>YearMap!D4</f>
        <v>950158.69019999984</v>
      </c>
      <c r="I17" t="str">
        <f t="shared" si="2"/>
        <v>E_StatusQuo_Targets_0|FY2028</v>
      </c>
    </row>
    <row r="18" spans="1:9" x14ac:dyDescent="0.35">
      <c r="A18" t="str">
        <f>A3</f>
        <v>E_StatusQuo_Targets_0</v>
      </c>
      <c r="B18" t="s">
        <v>48</v>
      </c>
      <c r="C18">
        <f>IF(D3=1,0, BaselineCalc!$B$7 + ROUND(L3*F3,0))</f>
        <v>257</v>
      </c>
      <c r="D18">
        <f>IF(E3=1,0, BaselineCalc!$B$8 + L3 - ROUND(L3*F3,0))</f>
        <v>296</v>
      </c>
      <c r="E18">
        <f t="shared" si="1"/>
        <v>553</v>
      </c>
      <c r="F18" s="2">
        <f>YearMap!B5</f>
        <v>7677.2394168749979</v>
      </c>
      <c r="G18" s="2">
        <f>YearMap!C5</f>
        <v>845593.08434437483</v>
      </c>
      <c r="H18" s="2">
        <f>YearMap!D5</f>
        <v>973912.65745499986</v>
      </c>
      <c r="I18" t="str">
        <f t="shared" si="2"/>
        <v>E_StatusQuo_Targets_0|FY2029</v>
      </c>
    </row>
    <row r="19" spans="1:9" x14ac:dyDescent="0.35">
      <c r="A19" t="str">
        <f>A3</f>
        <v>E_StatusQuo_Targets_0</v>
      </c>
      <c r="B19" t="s">
        <v>49</v>
      </c>
      <c r="C19">
        <f>IF(D3=1,0, BaselineCalc!$B$7 + ROUND(M3*F3,0))</f>
        <v>257</v>
      </c>
      <c r="D19">
        <f>IF(E3=1,0, BaselineCalc!$B$8 + M3 - ROUND(M3*F3,0))</f>
        <v>296</v>
      </c>
      <c r="E19">
        <f t="shared" si="1"/>
        <v>553</v>
      </c>
      <c r="F19" s="2">
        <f>YearMap!B6</f>
        <v>7869.1704022968725</v>
      </c>
      <c r="G19" s="2">
        <f>YearMap!C6</f>
        <v>866732.91145298409</v>
      </c>
      <c r="H19" s="2">
        <f>YearMap!D6</f>
        <v>998260.47389137466</v>
      </c>
      <c r="I19" t="str">
        <f t="shared" si="2"/>
        <v>E_StatusQuo_Targets_0|FY2030</v>
      </c>
    </row>
    <row r="20" spans="1:9" x14ac:dyDescent="0.35">
      <c r="A20" t="str">
        <f>A4</f>
        <v>F_CoLocation_Echo_0</v>
      </c>
      <c r="B20" t="s">
        <v>45</v>
      </c>
      <c r="C20">
        <f>IF(D4=1,0, BaselineCalc!$B$7 + ROUND(I4*F4,0))</f>
        <v>257</v>
      </c>
      <c r="D20">
        <f>IF(E4=1,0, BaselineCalc!$B$8 + I4 - ROUND(I4*F4,0))</f>
        <v>296</v>
      </c>
      <c r="E20">
        <f t="shared" si="1"/>
        <v>553</v>
      </c>
      <c r="F20" s="2">
        <f>YearMap!B2</f>
        <v>7129.079999999999</v>
      </c>
      <c r="G20" s="2">
        <f>YearMap!C2</f>
        <v>785217.23999999987</v>
      </c>
      <c r="H20" s="2">
        <f>YearMap!D2</f>
        <v>904374.71999999986</v>
      </c>
      <c r="I20" t="str">
        <f t="shared" si="2"/>
        <v>F_CoLocation_Echo_0|FY2026</v>
      </c>
    </row>
    <row r="21" spans="1:9" x14ac:dyDescent="0.35">
      <c r="A21" t="str">
        <f>A4</f>
        <v>F_CoLocation_Echo_0</v>
      </c>
      <c r="B21" t="s">
        <v>46</v>
      </c>
      <c r="C21">
        <f>IF(D4=1,0, BaselineCalc!$B$7 + ROUND(J4*F4,0))</f>
        <v>257</v>
      </c>
      <c r="D21">
        <f>IF(E4=1,0, BaselineCalc!$B$8 + J4 - ROUND(J4*F4,0))</f>
        <v>296</v>
      </c>
      <c r="E21">
        <f t="shared" si="1"/>
        <v>553</v>
      </c>
      <c r="F21" s="2">
        <f>YearMap!B3</f>
        <v>7307.3069999999989</v>
      </c>
      <c r="G21" s="2">
        <f>YearMap!C3</f>
        <v>804847.67099999997</v>
      </c>
      <c r="H21" s="2">
        <f>YearMap!D3</f>
        <v>926984.08799999999</v>
      </c>
      <c r="I21" t="str">
        <f t="shared" si="2"/>
        <v>F_CoLocation_Echo_0|FY2027</v>
      </c>
    </row>
    <row r="22" spans="1:9" x14ac:dyDescent="0.35">
      <c r="A22" t="str">
        <f>A4</f>
        <v>F_CoLocation_Echo_0</v>
      </c>
      <c r="B22" t="s">
        <v>47</v>
      </c>
      <c r="C22">
        <f>IF(D4=1,0, BaselineCalc!$B$7 + ROUND(K4*F4,0))</f>
        <v>257</v>
      </c>
      <c r="D22">
        <f>IF(E4=1,0, BaselineCalc!$B$8 + K4 - ROUND(K4*F4,0))</f>
        <v>296</v>
      </c>
      <c r="E22">
        <f t="shared" si="1"/>
        <v>553</v>
      </c>
      <c r="F22" s="2">
        <f>YearMap!B4</f>
        <v>7489.9896749999989</v>
      </c>
      <c r="G22" s="2">
        <f>YearMap!C4</f>
        <v>824968.86277499993</v>
      </c>
      <c r="H22" s="2">
        <f>YearMap!D4</f>
        <v>950158.69019999984</v>
      </c>
      <c r="I22" t="str">
        <f t="shared" si="2"/>
        <v>F_CoLocation_Echo_0|FY2028</v>
      </c>
    </row>
    <row r="23" spans="1:9" x14ac:dyDescent="0.35">
      <c r="A23" t="str">
        <f>A4</f>
        <v>F_CoLocation_Echo_0</v>
      </c>
      <c r="B23" t="s">
        <v>48</v>
      </c>
      <c r="C23">
        <f>IF(D4=1,0, BaselineCalc!$B$7 + ROUND(L4*F4,0))</f>
        <v>257</v>
      </c>
      <c r="D23">
        <f>IF(E4=1,0, BaselineCalc!$B$8 + L4 - ROUND(L4*F4,0))</f>
        <v>296</v>
      </c>
      <c r="E23">
        <f t="shared" si="1"/>
        <v>553</v>
      </c>
      <c r="F23" s="2">
        <f>YearMap!B5</f>
        <v>7677.2394168749979</v>
      </c>
      <c r="G23" s="2">
        <f>YearMap!C5</f>
        <v>845593.08434437483</v>
      </c>
      <c r="H23" s="2">
        <f>YearMap!D5</f>
        <v>973912.65745499986</v>
      </c>
      <c r="I23" t="str">
        <f t="shared" si="2"/>
        <v>F_CoLocation_Echo_0|FY2029</v>
      </c>
    </row>
    <row r="24" spans="1:9" x14ac:dyDescent="0.35">
      <c r="A24" t="str">
        <f>A4</f>
        <v>F_CoLocation_Echo_0</v>
      </c>
      <c r="B24" t="s">
        <v>49</v>
      </c>
      <c r="C24">
        <f>IF(D4=1,0, BaselineCalc!$B$7 + ROUND(M4*F4,0))</f>
        <v>257</v>
      </c>
      <c r="D24">
        <f>IF(E4=1,0, BaselineCalc!$B$8 + M4 - ROUND(M4*F4,0))</f>
        <v>296</v>
      </c>
      <c r="E24">
        <f t="shared" si="1"/>
        <v>553</v>
      </c>
      <c r="F24" s="2">
        <f>YearMap!B6</f>
        <v>7869.1704022968725</v>
      </c>
      <c r="G24" s="2">
        <f>YearMap!C6</f>
        <v>866732.91145298409</v>
      </c>
      <c r="H24" s="2">
        <f>YearMap!D6</f>
        <v>998260.47389137466</v>
      </c>
      <c r="I24" t="str">
        <f t="shared" si="2"/>
        <v>F_CoLocation_Echo_0|FY2030</v>
      </c>
    </row>
    <row r="25" spans="1:9" x14ac:dyDescent="0.35">
      <c r="A25" t="str">
        <f>A5</f>
        <v>D_Grow_Both_100</v>
      </c>
      <c r="B25" t="s">
        <v>45</v>
      </c>
      <c r="C25">
        <f>IF(D5=1,0, BaselineCalc!$B$7 + ROUND(I5*F5,0))</f>
        <v>307</v>
      </c>
      <c r="D25">
        <f>IF(E5=1,0, BaselineCalc!$B$8 + I5 - ROUND(I5*F5,0))</f>
        <v>346</v>
      </c>
      <c r="E25">
        <f t="shared" si="1"/>
        <v>653</v>
      </c>
      <c r="F25" s="2">
        <f>YearMap!B2</f>
        <v>7129.079999999999</v>
      </c>
      <c r="G25" s="2">
        <f>YearMap!C2</f>
        <v>785217.23999999987</v>
      </c>
      <c r="H25" s="2">
        <f>YearMap!D2</f>
        <v>904374.71999999986</v>
      </c>
      <c r="I25" t="str">
        <f t="shared" si="2"/>
        <v>D_Grow_Both_100|FY2026</v>
      </c>
    </row>
    <row r="26" spans="1:9" x14ac:dyDescent="0.35">
      <c r="A26" t="str">
        <f>A5</f>
        <v>D_Grow_Both_100</v>
      </c>
      <c r="B26" t="s">
        <v>46</v>
      </c>
      <c r="C26">
        <f>IF(D5=1,0, BaselineCalc!$B$7 + ROUND(J5*F5,0))</f>
        <v>307</v>
      </c>
      <c r="D26">
        <f>IF(E5=1,0, BaselineCalc!$B$8 + J5 - ROUND(J5*F5,0))</f>
        <v>346</v>
      </c>
      <c r="E26">
        <f t="shared" si="1"/>
        <v>653</v>
      </c>
      <c r="F26" s="2">
        <f>YearMap!B3</f>
        <v>7307.3069999999989</v>
      </c>
      <c r="G26" s="2">
        <f>YearMap!C3</f>
        <v>804847.67099999997</v>
      </c>
      <c r="H26" s="2">
        <f>YearMap!D3</f>
        <v>926984.08799999999</v>
      </c>
      <c r="I26" t="str">
        <f t="shared" si="2"/>
        <v>D_Grow_Both_100|FY2027</v>
      </c>
    </row>
    <row r="27" spans="1:9" x14ac:dyDescent="0.35">
      <c r="A27" t="str">
        <f>A5</f>
        <v>D_Grow_Both_100</v>
      </c>
      <c r="B27" t="s">
        <v>47</v>
      </c>
      <c r="C27">
        <f>IF(D5=1,0, BaselineCalc!$B$7 + ROUND(K5*F5,0))</f>
        <v>307</v>
      </c>
      <c r="D27">
        <f>IF(E5=1,0, BaselineCalc!$B$8 + K5 - ROUND(K5*F5,0))</f>
        <v>346</v>
      </c>
      <c r="E27">
        <f t="shared" si="1"/>
        <v>653</v>
      </c>
      <c r="F27" s="2">
        <f>YearMap!B4</f>
        <v>7489.9896749999989</v>
      </c>
      <c r="G27" s="2">
        <f>YearMap!C4</f>
        <v>824968.86277499993</v>
      </c>
      <c r="H27" s="2">
        <f>YearMap!D4</f>
        <v>950158.69019999984</v>
      </c>
      <c r="I27" t="str">
        <f t="shared" si="2"/>
        <v>D_Grow_Both_100|FY2028</v>
      </c>
    </row>
    <row r="28" spans="1:9" x14ac:dyDescent="0.35">
      <c r="A28" t="str">
        <f>A5</f>
        <v>D_Grow_Both_100</v>
      </c>
      <c r="B28" t="s">
        <v>48</v>
      </c>
      <c r="C28">
        <f>IF(D5=1,0, BaselineCalc!$B$7 + ROUND(L5*F5,0))</f>
        <v>307</v>
      </c>
      <c r="D28">
        <f>IF(E5=1,0, BaselineCalc!$B$8 + L5 - ROUND(L5*F5,0))</f>
        <v>346</v>
      </c>
      <c r="E28">
        <f t="shared" si="1"/>
        <v>653</v>
      </c>
      <c r="F28" s="2">
        <f>YearMap!B5</f>
        <v>7677.2394168749979</v>
      </c>
      <c r="G28" s="2">
        <f>YearMap!C5</f>
        <v>845593.08434437483</v>
      </c>
      <c r="H28" s="2">
        <f>YearMap!D5</f>
        <v>973912.65745499986</v>
      </c>
      <c r="I28" t="str">
        <f t="shared" si="2"/>
        <v>D_Grow_Both_100|FY2029</v>
      </c>
    </row>
    <row r="29" spans="1:9" x14ac:dyDescent="0.35">
      <c r="A29" t="str">
        <f>A5</f>
        <v>D_Grow_Both_100</v>
      </c>
      <c r="B29" t="s">
        <v>49</v>
      </c>
      <c r="C29">
        <f>IF(D5=1,0, BaselineCalc!$B$7 + ROUND(M5*F5,0))</f>
        <v>307</v>
      </c>
      <c r="D29">
        <f>IF(E5=1,0, BaselineCalc!$B$8 + M5 - ROUND(M5*F5,0))</f>
        <v>346</v>
      </c>
      <c r="E29">
        <f t="shared" si="1"/>
        <v>653</v>
      </c>
      <c r="F29" s="2">
        <f>YearMap!B6</f>
        <v>7869.1704022968725</v>
      </c>
      <c r="G29" s="2">
        <f>YearMap!C6</f>
        <v>866732.91145298409</v>
      </c>
      <c r="H29" s="2">
        <f>YearMap!D6</f>
        <v>998260.47389137466</v>
      </c>
      <c r="I29" t="str">
        <f t="shared" si="2"/>
        <v>D_Grow_Both_100|FY2030</v>
      </c>
    </row>
    <row r="30" spans="1:9" x14ac:dyDescent="0.35">
      <c r="A30" t="str">
        <f>A6</f>
        <v>D_Grow_Both_150</v>
      </c>
      <c r="B30" t="s">
        <v>45</v>
      </c>
      <c r="C30">
        <f>IF(D6=1,0, BaselineCalc!$B$7 + ROUND(I6*F6,0))</f>
        <v>332</v>
      </c>
      <c r="D30">
        <f>IF(E6=1,0, BaselineCalc!$B$8 + I6 - ROUND(I6*F6,0))</f>
        <v>371</v>
      </c>
      <c r="E30">
        <f t="shared" si="1"/>
        <v>703</v>
      </c>
      <c r="F30" s="2">
        <f>YearMap!B2</f>
        <v>7129.079999999999</v>
      </c>
      <c r="G30" s="2">
        <f>YearMap!C2</f>
        <v>785217.23999999987</v>
      </c>
      <c r="H30" s="2">
        <f>YearMap!D2</f>
        <v>904374.71999999986</v>
      </c>
      <c r="I30" t="str">
        <f t="shared" si="2"/>
        <v>D_Grow_Both_150|FY2026</v>
      </c>
    </row>
    <row r="31" spans="1:9" x14ac:dyDescent="0.35">
      <c r="A31" t="str">
        <f>A6</f>
        <v>D_Grow_Both_150</v>
      </c>
      <c r="B31" t="s">
        <v>46</v>
      </c>
      <c r="C31">
        <f>IF(D6=1,0, BaselineCalc!$B$7 + ROUND(J6*F6,0))</f>
        <v>332</v>
      </c>
      <c r="D31">
        <f>IF(E6=1,0, BaselineCalc!$B$8 + J6 - ROUND(J6*F6,0))</f>
        <v>371</v>
      </c>
      <c r="E31">
        <f t="shared" si="1"/>
        <v>703</v>
      </c>
      <c r="F31" s="2">
        <f>YearMap!B3</f>
        <v>7307.3069999999989</v>
      </c>
      <c r="G31" s="2">
        <f>YearMap!C3</f>
        <v>804847.67099999997</v>
      </c>
      <c r="H31" s="2">
        <f>YearMap!D3</f>
        <v>926984.08799999999</v>
      </c>
      <c r="I31" t="str">
        <f t="shared" si="2"/>
        <v>D_Grow_Both_150|FY2027</v>
      </c>
    </row>
    <row r="32" spans="1:9" x14ac:dyDescent="0.35">
      <c r="A32" t="str">
        <f>A6</f>
        <v>D_Grow_Both_150</v>
      </c>
      <c r="B32" t="s">
        <v>47</v>
      </c>
      <c r="C32">
        <f>IF(D6=1,0, BaselineCalc!$B$7 + ROUND(K6*F6,0))</f>
        <v>332</v>
      </c>
      <c r="D32">
        <f>IF(E6=1,0, BaselineCalc!$B$8 + K6 - ROUND(K6*F6,0))</f>
        <v>371</v>
      </c>
      <c r="E32">
        <f t="shared" si="1"/>
        <v>703</v>
      </c>
      <c r="F32" s="2">
        <f>YearMap!B4</f>
        <v>7489.9896749999989</v>
      </c>
      <c r="G32" s="2">
        <f>YearMap!C4</f>
        <v>824968.86277499993</v>
      </c>
      <c r="H32" s="2">
        <f>YearMap!D4</f>
        <v>950158.69019999984</v>
      </c>
      <c r="I32" t="str">
        <f t="shared" si="2"/>
        <v>D_Grow_Both_150|FY2028</v>
      </c>
    </row>
    <row r="33" spans="1:9" x14ac:dyDescent="0.35">
      <c r="A33" t="str">
        <f>A6</f>
        <v>D_Grow_Both_150</v>
      </c>
      <c r="B33" t="s">
        <v>48</v>
      </c>
      <c r="C33">
        <f>IF(D6=1,0, BaselineCalc!$B$7 + ROUND(L6*F6,0))</f>
        <v>332</v>
      </c>
      <c r="D33">
        <f>IF(E6=1,0, BaselineCalc!$B$8 + L6 - ROUND(L6*F6,0))</f>
        <v>371</v>
      </c>
      <c r="E33">
        <f t="shared" si="1"/>
        <v>703</v>
      </c>
      <c r="F33" s="2">
        <f>YearMap!B5</f>
        <v>7677.2394168749979</v>
      </c>
      <c r="G33" s="2">
        <f>YearMap!C5</f>
        <v>845593.08434437483</v>
      </c>
      <c r="H33" s="2">
        <f>YearMap!D5</f>
        <v>973912.65745499986</v>
      </c>
      <c r="I33" t="str">
        <f t="shared" si="2"/>
        <v>D_Grow_Both_150|FY2029</v>
      </c>
    </row>
    <row r="34" spans="1:9" x14ac:dyDescent="0.35">
      <c r="A34" t="str">
        <f>A6</f>
        <v>D_Grow_Both_150</v>
      </c>
      <c r="B34" t="s">
        <v>49</v>
      </c>
      <c r="C34">
        <f>IF(D6=1,0, BaselineCalc!$B$7 + ROUND(M6*F6,0))</f>
        <v>332</v>
      </c>
      <c r="D34">
        <f>IF(E6=1,0, BaselineCalc!$B$8 + M6 - ROUND(M6*F6,0))</f>
        <v>371</v>
      </c>
      <c r="E34">
        <f t="shared" si="1"/>
        <v>703</v>
      </c>
      <c r="F34" s="2">
        <f>YearMap!B6</f>
        <v>7869.1704022968725</v>
      </c>
      <c r="G34" s="2">
        <f>YearMap!C6</f>
        <v>866732.91145298409</v>
      </c>
      <c r="H34" s="2">
        <f>YearMap!D6</f>
        <v>998260.47389137466</v>
      </c>
      <c r="I34" t="str">
        <f t="shared" si="2"/>
        <v>D_Grow_Both_150|FY2030</v>
      </c>
    </row>
    <row r="35" spans="1:9" x14ac:dyDescent="0.35">
      <c r="A35" t="str">
        <f>A7</f>
        <v>G_DHub_EchoRamp</v>
      </c>
      <c r="B35" t="s">
        <v>45</v>
      </c>
      <c r="C35">
        <f>IF(D7=1,0, BaselineCalc!$B$7 + ROUND(I7*F7,0))</f>
        <v>292</v>
      </c>
      <c r="D35">
        <f>IF(E7=1,0, BaselineCalc!$B$8 + I7 - ROUND(I7*F7,0))</f>
        <v>311</v>
      </c>
      <c r="E35">
        <f t="shared" si="1"/>
        <v>603</v>
      </c>
      <c r="F35" s="2">
        <f>YearMap!B2</f>
        <v>7129.079999999999</v>
      </c>
      <c r="G35" s="2">
        <f>YearMap!C2</f>
        <v>785217.23999999987</v>
      </c>
      <c r="H35" s="2">
        <f>YearMap!D2</f>
        <v>904374.71999999986</v>
      </c>
      <c r="I35" t="str">
        <f t="shared" si="2"/>
        <v>G_DHub_EchoRamp|FY2026</v>
      </c>
    </row>
    <row r="36" spans="1:9" x14ac:dyDescent="0.35">
      <c r="A36" t="str">
        <f>A7</f>
        <v>G_DHub_EchoRamp</v>
      </c>
      <c r="B36" t="s">
        <v>46</v>
      </c>
      <c r="C36">
        <f>IF(D7=1,0, BaselineCalc!$B$7 + ROUND(J7*F7,0))</f>
        <v>327</v>
      </c>
      <c r="D36">
        <f>IF(E7=1,0, BaselineCalc!$B$8 + J7 - ROUND(J7*F7,0))</f>
        <v>326</v>
      </c>
      <c r="E36">
        <f t="shared" si="1"/>
        <v>653</v>
      </c>
      <c r="F36" s="2">
        <f>YearMap!B3</f>
        <v>7307.3069999999989</v>
      </c>
      <c r="G36" s="2">
        <f>YearMap!C3</f>
        <v>804847.67099999997</v>
      </c>
      <c r="H36" s="2">
        <f>YearMap!D3</f>
        <v>926984.08799999999</v>
      </c>
      <c r="I36" t="str">
        <f t="shared" si="2"/>
        <v>G_DHub_EchoRamp|FY2027</v>
      </c>
    </row>
    <row r="37" spans="1:9" x14ac:dyDescent="0.35">
      <c r="A37" t="str">
        <f>A7</f>
        <v>G_DHub_EchoRamp</v>
      </c>
      <c r="B37" t="s">
        <v>47</v>
      </c>
      <c r="C37">
        <f>IF(D7=1,0, BaselineCalc!$B$7 + ROUND(K7*F7,0))</f>
        <v>362</v>
      </c>
      <c r="D37">
        <f>IF(E7=1,0, BaselineCalc!$B$8 + K7 - ROUND(K7*F7,0))</f>
        <v>341</v>
      </c>
      <c r="E37">
        <f t="shared" si="1"/>
        <v>703</v>
      </c>
      <c r="F37" s="2">
        <f>YearMap!B4</f>
        <v>7489.9896749999989</v>
      </c>
      <c r="G37" s="2">
        <f>YearMap!C4</f>
        <v>824968.86277499993</v>
      </c>
      <c r="H37" s="2">
        <f>YearMap!D4</f>
        <v>950158.69019999984</v>
      </c>
      <c r="I37" t="str">
        <f t="shared" si="2"/>
        <v>G_DHub_EchoRamp|FY2028</v>
      </c>
    </row>
    <row r="38" spans="1:9" x14ac:dyDescent="0.35">
      <c r="A38" t="str">
        <f>A7</f>
        <v>G_DHub_EchoRamp</v>
      </c>
      <c r="B38" t="s">
        <v>48</v>
      </c>
      <c r="C38">
        <f>IF(D7=1,0, BaselineCalc!$B$7 + ROUND(L7*F7,0))</f>
        <v>362</v>
      </c>
      <c r="D38">
        <f>IF(E7=1,0, BaselineCalc!$B$8 + L7 - ROUND(L7*F7,0))</f>
        <v>341</v>
      </c>
      <c r="E38">
        <f t="shared" si="1"/>
        <v>703</v>
      </c>
      <c r="F38" s="2">
        <f>YearMap!B5</f>
        <v>7677.2394168749979</v>
      </c>
      <c r="G38" s="2">
        <f>YearMap!C5</f>
        <v>845593.08434437483</v>
      </c>
      <c r="H38" s="2">
        <f>YearMap!D5</f>
        <v>973912.65745499986</v>
      </c>
      <c r="I38" t="str">
        <f t="shared" si="2"/>
        <v>G_DHub_EchoRamp|FY2029</v>
      </c>
    </row>
    <row r="39" spans="1:9" x14ac:dyDescent="0.35">
      <c r="A39" t="str">
        <f>A7</f>
        <v>G_DHub_EchoRamp</v>
      </c>
      <c r="B39" t="s">
        <v>49</v>
      </c>
      <c r="C39">
        <f>IF(D7=1,0, BaselineCalc!$B$7 + ROUND(M7*F7,0))</f>
        <v>362</v>
      </c>
      <c r="D39">
        <f>IF(E7=1,0, BaselineCalc!$B$8 + M7 - ROUND(M7*F7,0))</f>
        <v>341</v>
      </c>
      <c r="E39">
        <f t="shared" si="1"/>
        <v>703</v>
      </c>
      <c r="F39" s="2">
        <f>YearMap!B6</f>
        <v>7869.1704022968725</v>
      </c>
      <c r="G39" s="2">
        <f>YearMap!C6</f>
        <v>866732.91145298409</v>
      </c>
      <c r="H39" s="2">
        <f>YearMap!D6</f>
        <v>998260.47389137466</v>
      </c>
      <c r="I39" t="str">
        <f t="shared" si="2"/>
        <v>G_DHub_EchoRamp|FY2030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zoomScale="80" zoomScaleNormal="80" workbookViewId="0">
      <selection activeCell="C17" sqref="C17"/>
    </sheetView>
  </sheetViews>
  <sheetFormatPr defaultRowHeight="14.5" x14ac:dyDescent="0.35"/>
  <cols>
    <col min="1" max="1" width="21.08984375" bestFit="1" customWidth="1"/>
    <col min="2" max="2" width="7" bestFit="1" customWidth="1"/>
    <col min="3" max="3" width="10.54296875" bestFit="1" customWidth="1"/>
    <col min="4" max="5" width="10.6328125" bestFit="1" customWidth="1"/>
    <col min="6" max="8" width="12.26953125" bestFit="1" customWidth="1"/>
    <col min="9" max="9" width="9.6328125" bestFit="1" customWidth="1"/>
    <col min="10" max="10" width="9.453125" bestFit="1" customWidth="1"/>
    <col min="11" max="11" width="12.26953125" bestFit="1" customWidth="1"/>
    <col min="12" max="12" width="14.54296875" bestFit="1" customWidth="1"/>
    <col min="13" max="13" width="28.26953125" bestFit="1" customWidth="1"/>
  </cols>
  <sheetData>
    <row r="1" spans="1:13" x14ac:dyDescent="0.35">
      <c r="A1" s="1" t="s">
        <v>50</v>
      </c>
      <c r="B1" s="1" t="s">
        <v>37</v>
      </c>
      <c r="C1" s="1" t="s">
        <v>80</v>
      </c>
      <c r="D1" s="1" t="s">
        <v>81</v>
      </c>
      <c r="E1" s="1" t="s">
        <v>82</v>
      </c>
      <c r="F1" s="1" t="s">
        <v>38</v>
      </c>
      <c r="G1" s="1" t="s">
        <v>39</v>
      </c>
      <c r="H1" s="1" t="s">
        <v>40</v>
      </c>
      <c r="I1" s="1" t="s">
        <v>84</v>
      </c>
      <c r="J1" s="1" t="s">
        <v>56</v>
      </c>
      <c r="K1" s="1" t="s">
        <v>85</v>
      </c>
      <c r="L1" s="1" t="s">
        <v>86</v>
      </c>
      <c r="M1" s="1" t="s">
        <v>83</v>
      </c>
    </row>
    <row r="2" spans="1:13" x14ac:dyDescent="0.35">
      <c r="A2" t="str">
        <f>Scenarios!A2</f>
        <v>D_Grow_Both_0</v>
      </c>
      <c r="B2" t="s">
        <v>45</v>
      </c>
      <c r="C2">
        <f>IF(Scenarios!D2=1,0, BaselineCalc!$B$7 + ROUND(Scenarios!I2*Scenarios!F2,0))</f>
        <v>257</v>
      </c>
      <c r="D2">
        <f>IF(Scenarios!E2=1,0, BaselineCalc!$B$8 + Scenarios!I2 - ROUND(Scenarios!I2*Scenarios!F2,0))</f>
        <v>296</v>
      </c>
      <c r="E2">
        <f t="shared" ref="E2:E31" si="0">C2+D2</f>
        <v>553</v>
      </c>
      <c r="F2" s="2">
        <f>YearMap!B2</f>
        <v>7129.079999999999</v>
      </c>
      <c r="G2" s="2">
        <f>YearMap!C2</f>
        <v>785217.23999999987</v>
      </c>
      <c r="H2" s="2">
        <f>YearMap!D2</f>
        <v>904374.71999999986</v>
      </c>
      <c r="I2">
        <f>1-BaselineCalc!$B$5</f>
        <v>0.99299999999999999</v>
      </c>
      <c r="J2">
        <f>Scenarios!G2</f>
        <v>0</v>
      </c>
      <c r="K2" s="2">
        <f t="shared" ref="K2:K31" si="1">(G2+H2+F2*E2)*I2*(1-J2)</f>
        <v>5592549.3875999991</v>
      </c>
      <c r="L2" s="2">
        <f t="shared" ref="L2:L31" si="2">IF(E2&gt;0, K2/E2, "")</f>
        <v>10113.109199999999</v>
      </c>
      <c r="M2" t="str">
        <f t="shared" ref="M2:M31" si="3">A2&amp;"|"&amp;B2</f>
        <v>D_Grow_Both_0|FY2026</v>
      </c>
    </row>
    <row r="3" spans="1:13" x14ac:dyDescent="0.35">
      <c r="A3" t="str">
        <f>Scenarios!A2</f>
        <v>D_Grow_Both_0</v>
      </c>
      <c r="B3" t="s">
        <v>46</v>
      </c>
      <c r="C3">
        <f>IF(Scenarios!D2=1,0, BaselineCalc!$B$7 + ROUND(Scenarios!J2*Scenarios!F2,0))</f>
        <v>257</v>
      </c>
      <c r="D3">
        <f>IF(Scenarios!E2=1,0, BaselineCalc!$B$8 + Scenarios!J2 - ROUND(Scenarios!J2*Scenarios!F2,0))</f>
        <v>296</v>
      </c>
      <c r="E3">
        <f t="shared" si="0"/>
        <v>553</v>
      </c>
      <c r="F3" s="2">
        <f>YearMap!B3</f>
        <v>7307.3069999999989</v>
      </c>
      <c r="G3" s="2">
        <f>YearMap!C3</f>
        <v>804847.67099999997</v>
      </c>
      <c r="H3" s="2">
        <f>YearMap!D3</f>
        <v>926984.08799999999</v>
      </c>
      <c r="I3">
        <f>1-BaselineCalc!$B$5</f>
        <v>0.99299999999999999</v>
      </c>
      <c r="J3">
        <f>Scenarios!G2</f>
        <v>0</v>
      </c>
      <c r="K3" s="2">
        <f t="shared" si="1"/>
        <v>5732363.1222899994</v>
      </c>
      <c r="L3" s="2">
        <f t="shared" si="2"/>
        <v>10365.936929999998</v>
      </c>
      <c r="M3" t="str">
        <f t="shared" si="3"/>
        <v>D_Grow_Both_0|FY2027</v>
      </c>
    </row>
    <row r="4" spans="1:13" x14ac:dyDescent="0.35">
      <c r="A4" t="str">
        <f>Scenarios!A2</f>
        <v>D_Grow_Both_0</v>
      </c>
      <c r="B4" t="s">
        <v>47</v>
      </c>
      <c r="C4">
        <f>IF(Scenarios!D2=1,0, BaselineCalc!$B$7 + ROUND(Scenarios!K2*Scenarios!F2,0))</f>
        <v>257</v>
      </c>
      <c r="D4">
        <f>IF(Scenarios!E2=1,0, BaselineCalc!$B$8 + Scenarios!K2 - ROUND(Scenarios!K2*Scenarios!F2,0))</f>
        <v>296</v>
      </c>
      <c r="E4">
        <f t="shared" si="0"/>
        <v>553</v>
      </c>
      <c r="F4" s="2">
        <f>YearMap!B4</f>
        <v>7489.9896749999989</v>
      </c>
      <c r="G4" s="2">
        <f>YearMap!C4</f>
        <v>824968.86277499993</v>
      </c>
      <c r="H4" s="2">
        <f>YearMap!D4</f>
        <v>950158.69019999984</v>
      </c>
      <c r="I4">
        <f>1-BaselineCalc!$B$5</f>
        <v>0.99299999999999999</v>
      </c>
      <c r="J4">
        <f>Scenarios!G2</f>
        <v>0</v>
      </c>
      <c r="K4" s="2">
        <f t="shared" si="1"/>
        <v>5875672.2003472494</v>
      </c>
      <c r="L4" s="2">
        <f t="shared" si="2"/>
        <v>10625.085353249999</v>
      </c>
      <c r="M4" t="str">
        <f t="shared" si="3"/>
        <v>D_Grow_Both_0|FY2028</v>
      </c>
    </row>
    <row r="5" spans="1:13" x14ac:dyDescent="0.35">
      <c r="A5" t="str">
        <f>Scenarios!A2</f>
        <v>D_Grow_Both_0</v>
      </c>
      <c r="B5" t="s">
        <v>48</v>
      </c>
      <c r="C5">
        <f>IF(Scenarios!D2=1,0, BaselineCalc!$B$7 + ROUND(Scenarios!L2*Scenarios!F2,0))</f>
        <v>257</v>
      </c>
      <c r="D5">
        <f>IF(Scenarios!E2=1,0, BaselineCalc!$B$8 + Scenarios!L2 - ROUND(Scenarios!L2*Scenarios!F2,0))</f>
        <v>296</v>
      </c>
      <c r="E5">
        <f t="shared" si="0"/>
        <v>553</v>
      </c>
      <c r="F5" s="2">
        <f>YearMap!B5</f>
        <v>7677.2394168749979</v>
      </c>
      <c r="G5" s="2">
        <f>YearMap!C5</f>
        <v>845593.08434437483</v>
      </c>
      <c r="H5" s="2">
        <f>YearMap!D5</f>
        <v>973912.65745499986</v>
      </c>
      <c r="I5">
        <f>1-BaselineCalc!$B$5</f>
        <v>0.99299999999999999</v>
      </c>
      <c r="J5">
        <f>Scenarios!G2</f>
        <v>0</v>
      </c>
      <c r="K5" s="2">
        <f t="shared" si="1"/>
        <v>6022564.005355929</v>
      </c>
      <c r="L5" s="2">
        <f t="shared" si="2"/>
        <v>10890.712487081246</v>
      </c>
      <c r="M5" t="str">
        <f t="shared" si="3"/>
        <v>D_Grow_Both_0|FY2029</v>
      </c>
    </row>
    <row r="6" spans="1:13" x14ac:dyDescent="0.35">
      <c r="A6" t="str">
        <f>Scenarios!A2</f>
        <v>D_Grow_Both_0</v>
      </c>
      <c r="B6" t="s">
        <v>49</v>
      </c>
      <c r="C6">
        <f>IF(Scenarios!D2=1,0, BaselineCalc!$B$7 + ROUND(Scenarios!M2*Scenarios!F2,0))</f>
        <v>257</v>
      </c>
      <c r="D6">
        <f>IF(Scenarios!E2=1,0, BaselineCalc!$B$8 + Scenarios!M2 - ROUND(Scenarios!M2*Scenarios!F2,0))</f>
        <v>296</v>
      </c>
      <c r="E6">
        <f t="shared" si="0"/>
        <v>553</v>
      </c>
      <c r="F6" s="2">
        <f>YearMap!B6</f>
        <v>7869.1704022968725</v>
      </c>
      <c r="G6" s="2">
        <f>YearMap!C6</f>
        <v>866732.91145298409</v>
      </c>
      <c r="H6" s="2">
        <f>YearMap!D6</f>
        <v>998260.47389137466</v>
      </c>
      <c r="I6">
        <f>1-BaselineCalc!$B$5</f>
        <v>0.99299999999999999</v>
      </c>
      <c r="J6">
        <f>Scenarios!G2</f>
        <v>0</v>
      </c>
      <c r="K6" s="2">
        <f t="shared" si="1"/>
        <v>6173128.1054898277</v>
      </c>
      <c r="L6" s="2">
        <f t="shared" si="2"/>
        <v>11162.980299258277</v>
      </c>
      <c r="M6" t="str">
        <f t="shared" si="3"/>
        <v>D_Grow_Both_0|FY2030</v>
      </c>
    </row>
    <row r="7" spans="1:13" x14ac:dyDescent="0.35">
      <c r="A7" t="str">
        <f>Scenarios!A3</f>
        <v>E_StatusQuo_Targets_0</v>
      </c>
      <c r="B7" t="s">
        <v>45</v>
      </c>
      <c r="C7">
        <f>IF(Scenarios!D3=1,0, BaselineCalc!$B$7 + ROUND(Scenarios!I3*Scenarios!F3,0))</f>
        <v>257</v>
      </c>
      <c r="D7">
        <f>IF(Scenarios!E3=1,0, BaselineCalc!$B$8 + Scenarios!I3 - ROUND(Scenarios!I3*Scenarios!F3,0))</f>
        <v>296</v>
      </c>
      <c r="E7">
        <f t="shared" si="0"/>
        <v>553</v>
      </c>
      <c r="F7" s="2">
        <f>YearMap!B2</f>
        <v>7129.079999999999</v>
      </c>
      <c r="G7" s="2">
        <f>YearMap!C2</f>
        <v>785217.23999999987</v>
      </c>
      <c r="H7" s="2">
        <f>YearMap!D2</f>
        <v>904374.71999999986</v>
      </c>
      <c r="I7">
        <f>1-BaselineCalc!$B$5</f>
        <v>0.99299999999999999</v>
      </c>
      <c r="J7">
        <f>Scenarios!G3</f>
        <v>0</v>
      </c>
      <c r="K7" s="2">
        <f t="shared" si="1"/>
        <v>5592549.3875999991</v>
      </c>
      <c r="L7" s="2">
        <f t="shared" si="2"/>
        <v>10113.109199999999</v>
      </c>
      <c r="M7" t="str">
        <f t="shared" si="3"/>
        <v>E_StatusQuo_Targets_0|FY2026</v>
      </c>
    </row>
    <row r="8" spans="1:13" x14ac:dyDescent="0.35">
      <c r="A8" t="str">
        <f>Scenarios!A3</f>
        <v>E_StatusQuo_Targets_0</v>
      </c>
      <c r="B8" t="s">
        <v>46</v>
      </c>
      <c r="C8">
        <f>IF(Scenarios!D3=1,0, BaselineCalc!$B$7 + ROUND(Scenarios!J3*Scenarios!F3,0))</f>
        <v>257</v>
      </c>
      <c r="D8">
        <f>IF(Scenarios!E3=1,0, BaselineCalc!$B$8 + Scenarios!J3 - ROUND(Scenarios!J3*Scenarios!F3,0))</f>
        <v>296</v>
      </c>
      <c r="E8">
        <f t="shared" si="0"/>
        <v>553</v>
      </c>
      <c r="F8" s="2">
        <f>YearMap!B3</f>
        <v>7307.3069999999989</v>
      </c>
      <c r="G8" s="2">
        <f>YearMap!C3</f>
        <v>804847.67099999997</v>
      </c>
      <c r="H8" s="2">
        <f>YearMap!D3</f>
        <v>926984.08799999999</v>
      </c>
      <c r="I8">
        <f>1-BaselineCalc!$B$5</f>
        <v>0.99299999999999999</v>
      </c>
      <c r="J8">
        <f>Scenarios!G3</f>
        <v>0</v>
      </c>
      <c r="K8" s="2">
        <f t="shared" si="1"/>
        <v>5732363.1222899994</v>
      </c>
      <c r="L8" s="2">
        <f t="shared" si="2"/>
        <v>10365.936929999998</v>
      </c>
      <c r="M8" t="str">
        <f t="shared" si="3"/>
        <v>E_StatusQuo_Targets_0|FY2027</v>
      </c>
    </row>
    <row r="9" spans="1:13" x14ac:dyDescent="0.35">
      <c r="A9" t="str">
        <f>Scenarios!A3</f>
        <v>E_StatusQuo_Targets_0</v>
      </c>
      <c r="B9" t="s">
        <v>47</v>
      </c>
      <c r="C9">
        <f>IF(Scenarios!D3=1,0, BaselineCalc!$B$7 + ROUND(Scenarios!K3*Scenarios!F3,0))</f>
        <v>257</v>
      </c>
      <c r="D9">
        <f>IF(Scenarios!E3=1,0, BaselineCalc!$B$8 + Scenarios!K3 - ROUND(Scenarios!K3*Scenarios!F3,0))</f>
        <v>296</v>
      </c>
      <c r="E9">
        <f t="shared" si="0"/>
        <v>553</v>
      </c>
      <c r="F9" s="2">
        <f>YearMap!B4</f>
        <v>7489.9896749999989</v>
      </c>
      <c r="G9" s="2">
        <f>YearMap!C4</f>
        <v>824968.86277499993</v>
      </c>
      <c r="H9" s="2">
        <f>YearMap!D4</f>
        <v>950158.69019999984</v>
      </c>
      <c r="I9">
        <f>1-BaselineCalc!$B$5</f>
        <v>0.99299999999999999</v>
      </c>
      <c r="J9">
        <f>Scenarios!G3</f>
        <v>0</v>
      </c>
      <c r="K9" s="2">
        <f t="shared" si="1"/>
        <v>5875672.2003472494</v>
      </c>
      <c r="L9" s="2">
        <f t="shared" si="2"/>
        <v>10625.085353249999</v>
      </c>
      <c r="M9" t="str">
        <f t="shared" si="3"/>
        <v>E_StatusQuo_Targets_0|FY2028</v>
      </c>
    </row>
    <row r="10" spans="1:13" x14ac:dyDescent="0.35">
      <c r="A10" t="str">
        <f>Scenarios!A3</f>
        <v>E_StatusQuo_Targets_0</v>
      </c>
      <c r="B10" t="s">
        <v>48</v>
      </c>
      <c r="C10">
        <f>IF(Scenarios!D3=1,0, BaselineCalc!$B$7 + ROUND(Scenarios!L3*Scenarios!F3,0))</f>
        <v>257</v>
      </c>
      <c r="D10">
        <f>IF(Scenarios!E3=1,0, BaselineCalc!$B$8 + Scenarios!L3 - ROUND(Scenarios!L3*Scenarios!F3,0))</f>
        <v>296</v>
      </c>
      <c r="E10">
        <f t="shared" si="0"/>
        <v>553</v>
      </c>
      <c r="F10" s="2">
        <f>YearMap!B5</f>
        <v>7677.2394168749979</v>
      </c>
      <c r="G10" s="2">
        <f>YearMap!C5</f>
        <v>845593.08434437483</v>
      </c>
      <c r="H10" s="2">
        <f>YearMap!D5</f>
        <v>973912.65745499986</v>
      </c>
      <c r="I10">
        <f>1-BaselineCalc!$B$5</f>
        <v>0.99299999999999999</v>
      </c>
      <c r="J10">
        <f>Scenarios!G3</f>
        <v>0</v>
      </c>
      <c r="K10" s="2">
        <f t="shared" si="1"/>
        <v>6022564.005355929</v>
      </c>
      <c r="L10" s="2">
        <f t="shared" si="2"/>
        <v>10890.712487081246</v>
      </c>
      <c r="M10" t="str">
        <f t="shared" si="3"/>
        <v>E_StatusQuo_Targets_0|FY2029</v>
      </c>
    </row>
    <row r="11" spans="1:13" x14ac:dyDescent="0.35">
      <c r="A11" t="str">
        <f>Scenarios!A3</f>
        <v>E_StatusQuo_Targets_0</v>
      </c>
      <c r="B11" t="s">
        <v>49</v>
      </c>
      <c r="C11">
        <f>IF(Scenarios!D3=1,0, BaselineCalc!$B$7 + ROUND(Scenarios!M3*Scenarios!F3,0))</f>
        <v>257</v>
      </c>
      <c r="D11">
        <f>IF(Scenarios!E3=1,0, BaselineCalc!$B$8 + Scenarios!M3 - ROUND(Scenarios!M3*Scenarios!F3,0))</f>
        <v>296</v>
      </c>
      <c r="E11">
        <f t="shared" si="0"/>
        <v>553</v>
      </c>
      <c r="F11" s="2">
        <f>YearMap!B6</f>
        <v>7869.1704022968725</v>
      </c>
      <c r="G11" s="2">
        <f>YearMap!C6</f>
        <v>866732.91145298409</v>
      </c>
      <c r="H11" s="2">
        <f>YearMap!D6</f>
        <v>998260.47389137466</v>
      </c>
      <c r="I11">
        <f>1-BaselineCalc!$B$5</f>
        <v>0.99299999999999999</v>
      </c>
      <c r="J11">
        <f>Scenarios!G3</f>
        <v>0</v>
      </c>
      <c r="K11" s="2">
        <f t="shared" si="1"/>
        <v>6173128.1054898277</v>
      </c>
      <c r="L11" s="2">
        <f t="shared" si="2"/>
        <v>11162.980299258277</v>
      </c>
      <c r="M11" t="str">
        <f t="shared" si="3"/>
        <v>E_StatusQuo_Targets_0|FY2030</v>
      </c>
    </row>
    <row r="12" spans="1:13" x14ac:dyDescent="0.35">
      <c r="A12" t="str">
        <f>Scenarios!A4</f>
        <v>F_CoLocation_Echo_0</v>
      </c>
      <c r="B12" t="s">
        <v>45</v>
      </c>
      <c r="C12">
        <f>IF(Scenarios!D4=1,0, BaselineCalc!$B$7 + ROUND(Scenarios!I4*Scenarios!F4,0))</f>
        <v>257</v>
      </c>
      <c r="D12">
        <f>IF(Scenarios!E4=1,0, BaselineCalc!$B$8 + Scenarios!I4 - ROUND(Scenarios!I4*Scenarios!F4,0))</f>
        <v>296</v>
      </c>
      <c r="E12">
        <f t="shared" si="0"/>
        <v>553</v>
      </c>
      <c r="F12" s="2">
        <f>YearMap!B2</f>
        <v>7129.079999999999</v>
      </c>
      <c r="G12" s="2">
        <f>YearMap!C2</f>
        <v>785217.23999999987</v>
      </c>
      <c r="H12" s="2">
        <f>YearMap!D2</f>
        <v>904374.71999999986</v>
      </c>
      <c r="I12">
        <f>1-BaselineCalc!$B$5</f>
        <v>0.99299999999999999</v>
      </c>
      <c r="J12">
        <f>Scenarios!G4</f>
        <v>1.4999999999999999E-2</v>
      </c>
      <c r="K12" s="2">
        <f t="shared" si="1"/>
        <v>5508661.1467859987</v>
      </c>
      <c r="L12" s="2">
        <f t="shared" si="2"/>
        <v>9961.4125619999977</v>
      </c>
      <c r="M12" t="str">
        <f t="shared" si="3"/>
        <v>F_CoLocation_Echo_0|FY2026</v>
      </c>
    </row>
    <row r="13" spans="1:13" x14ac:dyDescent="0.35">
      <c r="A13" t="str">
        <f>Scenarios!A4</f>
        <v>F_CoLocation_Echo_0</v>
      </c>
      <c r="B13" t="s">
        <v>46</v>
      </c>
      <c r="C13">
        <f>IF(Scenarios!D4=1,0, BaselineCalc!$B$7 + ROUND(Scenarios!J4*Scenarios!F4,0))</f>
        <v>257</v>
      </c>
      <c r="D13">
        <f>IF(Scenarios!E4=1,0, BaselineCalc!$B$8 + Scenarios!J4 - ROUND(Scenarios!J4*Scenarios!F4,0))</f>
        <v>296</v>
      </c>
      <c r="E13">
        <f t="shared" si="0"/>
        <v>553</v>
      </c>
      <c r="F13" s="2">
        <f>YearMap!B3</f>
        <v>7307.3069999999989</v>
      </c>
      <c r="G13" s="2">
        <f>YearMap!C3</f>
        <v>804847.67099999997</v>
      </c>
      <c r="H13" s="2">
        <f>YearMap!D3</f>
        <v>926984.08799999999</v>
      </c>
      <c r="I13">
        <f>1-BaselineCalc!$B$5</f>
        <v>0.99299999999999999</v>
      </c>
      <c r="J13">
        <f>Scenarios!G4</f>
        <v>1.4999999999999999E-2</v>
      </c>
      <c r="K13" s="2">
        <f t="shared" si="1"/>
        <v>5646377.6754556494</v>
      </c>
      <c r="L13" s="2">
        <f t="shared" si="2"/>
        <v>10210.447876049999</v>
      </c>
      <c r="M13" t="str">
        <f t="shared" si="3"/>
        <v>F_CoLocation_Echo_0|FY2027</v>
      </c>
    </row>
    <row r="14" spans="1:13" x14ac:dyDescent="0.35">
      <c r="A14" t="str">
        <f>Scenarios!A4</f>
        <v>F_CoLocation_Echo_0</v>
      </c>
      <c r="B14" t="s">
        <v>47</v>
      </c>
      <c r="C14">
        <f>IF(Scenarios!D4=1,0, BaselineCalc!$B$7 + ROUND(Scenarios!K4*Scenarios!F4,0))</f>
        <v>257</v>
      </c>
      <c r="D14">
        <f>IF(Scenarios!E4=1,0, BaselineCalc!$B$8 + Scenarios!K4 - ROUND(Scenarios!K4*Scenarios!F4,0))</f>
        <v>296</v>
      </c>
      <c r="E14">
        <f t="shared" si="0"/>
        <v>553</v>
      </c>
      <c r="F14" s="2">
        <f>YearMap!B4</f>
        <v>7489.9896749999989</v>
      </c>
      <c r="G14" s="2">
        <f>YearMap!C4</f>
        <v>824968.86277499993</v>
      </c>
      <c r="H14" s="2">
        <f>YearMap!D4</f>
        <v>950158.69019999984</v>
      </c>
      <c r="I14">
        <f>1-BaselineCalc!$B$5</f>
        <v>0.99299999999999999</v>
      </c>
      <c r="J14">
        <f>Scenarios!G4</f>
        <v>1.4999999999999999E-2</v>
      </c>
      <c r="K14" s="2">
        <f t="shared" si="1"/>
        <v>5787537.1173420409</v>
      </c>
      <c r="L14" s="2">
        <f t="shared" si="2"/>
        <v>10465.709072951249</v>
      </c>
      <c r="M14" t="str">
        <f t="shared" si="3"/>
        <v>F_CoLocation_Echo_0|FY2028</v>
      </c>
    </row>
    <row r="15" spans="1:13" x14ac:dyDescent="0.35">
      <c r="A15" t="str">
        <f>Scenarios!A4</f>
        <v>F_CoLocation_Echo_0</v>
      </c>
      <c r="B15" t="s">
        <v>48</v>
      </c>
      <c r="C15">
        <f>IF(Scenarios!D4=1,0, BaselineCalc!$B$7 + ROUND(Scenarios!L4*Scenarios!F4,0))</f>
        <v>257</v>
      </c>
      <c r="D15">
        <f>IF(Scenarios!E4=1,0, BaselineCalc!$B$8 + Scenarios!L4 - ROUND(Scenarios!L4*Scenarios!F4,0))</f>
        <v>296</v>
      </c>
      <c r="E15">
        <f t="shared" si="0"/>
        <v>553</v>
      </c>
      <c r="F15" s="2">
        <f>YearMap!B5</f>
        <v>7677.2394168749979</v>
      </c>
      <c r="G15" s="2">
        <f>YearMap!C5</f>
        <v>845593.08434437483</v>
      </c>
      <c r="H15" s="2">
        <f>YearMap!D5</f>
        <v>973912.65745499986</v>
      </c>
      <c r="I15">
        <f>1-BaselineCalc!$B$5</f>
        <v>0.99299999999999999</v>
      </c>
      <c r="J15">
        <f>Scenarios!G4</f>
        <v>1.4999999999999999E-2</v>
      </c>
      <c r="K15" s="2">
        <f t="shared" si="1"/>
        <v>5932225.5452755904</v>
      </c>
      <c r="L15" s="2">
        <f t="shared" si="2"/>
        <v>10727.351799775028</v>
      </c>
      <c r="M15" t="str">
        <f t="shared" si="3"/>
        <v>F_CoLocation_Echo_0|FY2029</v>
      </c>
    </row>
    <row r="16" spans="1:13" x14ac:dyDescent="0.35">
      <c r="A16" t="str">
        <f>Scenarios!A4</f>
        <v>F_CoLocation_Echo_0</v>
      </c>
      <c r="B16" t="s">
        <v>49</v>
      </c>
      <c r="C16">
        <f>IF(Scenarios!D4=1,0, BaselineCalc!$B$7 + ROUND(Scenarios!M4*Scenarios!F4,0))</f>
        <v>257</v>
      </c>
      <c r="D16">
        <f>IF(Scenarios!E4=1,0, BaselineCalc!$B$8 + Scenarios!M4 - ROUND(Scenarios!M4*Scenarios!F4,0))</f>
        <v>296</v>
      </c>
      <c r="E16">
        <f t="shared" si="0"/>
        <v>553</v>
      </c>
      <c r="F16" s="2">
        <f>YearMap!B6</f>
        <v>7869.1704022968725</v>
      </c>
      <c r="G16" s="2">
        <f>YearMap!C6</f>
        <v>866732.91145298409</v>
      </c>
      <c r="H16" s="2">
        <f>YearMap!D6</f>
        <v>998260.47389137466</v>
      </c>
      <c r="I16">
        <f>1-BaselineCalc!$B$5</f>
        <v>0.99299999999999999</v>
      </c>
      <c r="J16">
        <f>Scenarios!G4</f>
        <v>1.4999999999999999E-2</v>
      </c>
      <c r="K16" s="2">
        <f t="shared" si="1"/>
        <v>6080531.18390748</v>
      </c>
      <c r="L16" s="2">
        <f t="shared" si="2"/>
        <v>10995.535594769402</v>
      </c>
      <c r="M16" t="str">
        <f t="shared" si="3"/>
        <v>F_CoLocation_Echo_0|FY2030</v>
      </c>
    </row>
    <row r="17" spans="1:13" x14ac:dyDescent="0.35">
      <c r="A17" t="str">
        <f>Scenarios!A5</f>
        <v>D_Grow_Both_100</v>
      </c>
      <c r="B17" t="s">
        <v>45</v>
      </c>
      <c r="C17">
        <f>IF(Scenarios!D5=1,0, BaselineCalc!$B$7 + ROUND(Scenarios!I5*Scenarios!F5,0))</f>
        <v>307</v>
      </c>
      <c r="D17">
        <f>IF(Scenarios!E5=1,0, BaselineCalc!$B$8 + Scenarios!I5 - ROUND(Scenarios!I5*Scenarios!F5,0))</f>
        <v>346</v>
      </c>
      <c r="E17">
        <f t="shared" si="0"/>
        <v>653</v>
      </c>
      <c r="F17" s="2">
        <f>YearMap!B2</f>
        <v>7129.079999999999</v>
      </c>
      <c r="G17" s="2">
        <f>YearMap!C2</f>
        <v>785217.23999999987</v>
      </c>
      <c r="H17" s="2">
        <f>YearMap!D2</f>
        <v>904374.71999999986</v>
      </c>
      <c r="I17">
        <f>1-BaselineCalc!$B$5</f>
        <v>0.99299999999999999</v>
      </c>
      <c r="J17">
        <f>Scenarios!G5</f>
        <v>0</v>
      </c>
      <c r="K17" s="2">
        <f t="shared" si="1"/>
        <v>6300467.0315999994</v>
      </c>
      <c r="L17" s="2">
        <f t="shared" si="2"/>
        <v>9648.4946885145473</v>
      </c>
      <c r="M17" t="str">
        <f t="shared" si="3"/>
        <v>D_Grow_Both_100|FY2026</v>
      </c>
    </row>
    <row r="18" spans="1:13" x14ac:dyDescent="0.35">
      <c r="A18" t="str">
        <f>Scenarios!A5</f>
        <v>D_Grow_Both_100</v>
      </c>
      <c r="B18" t="s">
        <v>46</v>
      </c>
      <c r="C18">
        <f>IF(Scenarios!D5=1,0, BaselineCalc!$B$7 + ROUND(Scenarios!J5*Scenarios!F5,0))</f>
        <v>307</v>
      </c>
      <c r="D18">
        <f>IF(Scenarios!E5=1,0, BaselineCalc!$B$8 + Scenarios!J5 - ROUND(Scenarios!J5*Scenarios!F5,0))</f>
        <v>346</v>
      </c>
      <c r="E18">
        <f t="shared" si="0"/>
        <v>653</v>
      </c>
      <c r="F18" s="2">
        <f>YearMap!B3</f>
        <v>7307.3069999999989</v>
      </c>
      <c r="G18" s="2">
        <f>YearMap!C3</f>
        <v>804847.67099999997</v>
      </c>
      <c r="H18" s="2">
        <f>YearMap!D3</f>
        <v>926984.08799999999</v>
      </c>
      <c r="I18">
        <f>1-BaselineCalc!$B$5</f>
        <v>0.99299999999999999</v>
      </c>
      <c r="J18">
        <f>Scenarios!G5</f>
        <v>0</v>
      </c>
      <c r="K18" s="2">
        <f t="shared" si="1"/>
        <v>6457978.7073899982</v>
      </c>
      <c r="L18" s="2">
        <f t="shared" si="2"/>
        <v>9889.7070557274092</v>
      </c>
      <c r="M18" t="str">
        <f t="shared" si="3"/>
        <v>D_Grow_Both_100|FY2027</v>
      </c>
    </row>
    <row r="19" spans="1:13" x14ac:dyDescent="0.35">
      <c r="A19" t="str">
        <f>Scenarios!A5</f>
        <v>D_Grow_Both_100</v>
      </c>
      <c r="B19" t="s">
        <v>47</v>
      </c>
      <c r="C19">
        <f>IF(Scenarios!D5=1,0, BaselineCalc!$B$7 + ROUND(Scenarios!K5*Scenarios!F5,0))</f>
        <v>307</v>
      </c>
      <c r="D19">
        <f>IF(Scenarios!E5=1,0, BaselineCalc!$B$8 + Scenarios!K5 - ROUND(Scenarios!K5*Scenarios!F5,0))</f>
        <v>346</v>
      </c>
      <c r="E19">
        <f t="shared" si="0"/>
        <v>653</v>
      </c>
      <c r="F19" s="2">
        <f>YearMap!B4</f>
        <v>7489.9896749999989</v>
      </c>
      <c r="G19" s="2">
        <f>YearMap!C4</f>
        <v>824968.86277499993</v>
      </c>
      <c r="H19" s="2">
        <f>YearMap!D4</f>
        <v>950158.69019999984</v>
      </c>
      <c r="I19">
        <f>1-BaselineCalc!$B$5</f>
        <v>0.99299999999999999</v>
      </c>
      <c r="J19">
        <f>Scenarios!G5</f>
        <v>0</v>
      </c>
      <c r="K19" s="2">
        <f t="shared" si="1"/>
        <v>6619428.1750747496</v>
      </c>
      <c r="L19" s="2">
        <f t="shared" si="2"/>
        <v>10136.949732120596</v>
      </c>
      <c r="M19" t="str">
        <f t="shared" si="3"/>
        <v>D_Grow_Both_100|FY2028</v>
      </c>
    </row>
    <row r="20" spans="1:13" x14ac:dyDescent="0.35">
      <c r="A20" t="str">
        <f>Scenarios!A5</f>
        <v>D_Grow_Both_100</v>
      </c>
      <c r="B20" t="s">
        <v>48</v>
      </c>
      <c r="C20">
        <f>IF(Scenarios!D5=1,0, BaselineCalc!$B$7 + ROUND(Scenarios!L5*Scenarios!F5,0))</f>
        <v>307</v>
      </c>
      <c r="D20">
        <f>IF(Scenarios!E5=1,0, BaselineCalc!$B$8 + Scenarios!L5 - ROUND(Scenarios!L5*Scenarios!F5,0))</f>
        <v>346</v>
      </c>
      <c r="E20">
        <f t="shared" si="0"/>
        <v>653</v>
      </c>
      <c r="F20" s="2">
        <f>YearMap!B5</f>
        <v>7677.2394168749979</v>
      </c>
      <c r="G20" s="2">
        <f>YearMap!C5</f>
        <v>845593.08434437483</v>
      </c>
      <c r="H20" s="2">
        <f>YearMap!D5</f>
        <v>973912.65745499986</v>
      </c>
      <c r="I20">
        <f>1-BaselineCalc!$B$5</f>
        <v>0.99299999999999999</v>
      </c>
      <c r="J20">
        <f>Scenarios!G5</f>
        <v>0</v>
      </c>
      <c r="K20" s="2">
        <f t="shared" si="1"/>
        <v>6784913.8794516167</v>
      </c>
      <c r="L20" s="2">
        <f t="shared" si="2"/>
        <v>10390.373475423608</v>
      </c>
      <c r="M20" t="str">
        <f t="shared" si="3"/>
        <v>D_Grow_Both_100|FY2029</v>
      </c>
    </row>
    <row r="21" spans="1:13" x14ac:dyDescent="0.35">
      <c r="A21" t="str">
        <f>Scenarios!A5</f>
        <v>D_Grow_Both_100</v>
      </c>
      <c r="B21" t="s">
        <v>49</v>
      </c>
      <c r="C21">
        <f>IF(Scenarios!D5=1,0, BaselineCalc!$B$7 + ROUND(Scenarios!M5*Scenarios!F5,0))</f>
        <v>307</v>
      </c>
      <c r="D21">
        <f>IF(Scenarios!E5=1,0, BaselineCalc!$B$8 + Scenarios!M5 - ROUND(Scenarios!M5*Scenarios!F5,0))</f>
        <v>346</v>
      </c>
      <c r="E21">
        <f t="shared" si="0"/>
        <v>653</v>
      </c>
      <c r="F21" s="2">
        <f>YearMap!B6</f>
        <v>7869.1704022968725</v>
      </c>
      <c r="G21" s="2">
        <f>YearMap!C6</f>
        <v>866732.91145298409</v>
      </c>
      <c r="H21" s="2">
        <f>YearMap!D6</f>
        <v>998260.47389137466</v>
      </c>
      <c r="I21">
        <f>1-BaselineCalc!$B$5</f>
        <v>0.99299999999999999</v>
      </c>
      <c r="J21">
        <f>Scenarios!G5</f>
        <v>0</v>
      </c>
      <c r="K21" s="2">
        <f t="shared" si="1"/>
        <v>6954536.7264379077</v>
      </c>
      <c r="L21" s="2">
        <f t="shared" si="2"/>
        <v>10650.132812309201</v>
      </c>
      <c r="M21" t="str">
        <f t="shared" si="3"/>
        <v>D_Grow_Both_100|FY2030</v>
      </c>
    </row>
    <row r="22" spans="1:13" x14ac:dyDescent="0.35">
      <c r="A22" t="str">
        <f>Scenarios!A6</f>
        <v>D_Grow_Both_150</v>
      </c>
      <c r="B22" t="s">
        <v>45</v>
      </c>
      <c r="C22">
        <f>IF(Scenarios!D6=1,0, BaselineCalc!$B$7 + ROUND(Scenarios!I6*Scenarios!F6,0))</f>
        <v>332</v>
      </c>
      <c r="D22">
        <f>IF(Scenarios!E6=1,0, BaselineCalc!$B$8 + Scenarios!I6 - ROUND(Scenarios!I6*Scenarios!F6,0))</f>
        <v>371</v>
      </c>
      <c r="E22">
        <f t="shared" si="0"/>
        <v>703</v>
      </c>
      <c r="F22" s="2">
        <f>YearMap!B2</f>
        <v>7129.079999999999</v>
      </c>
      <c r="G22" s="2">
        <f>YearMap!C2</f>
        <v>785217.23999999987</v>
      </c>
      <c r="H22" s="2">
        <f>YearMap!D2</f>
        <v>904374.71999999986</v>
      </c>
      <c r="I22">
        <f>1-BaselineCalc!$B$5</f>
        <v>0.99299999999999999</v>
      </c>
      <c r="J22">
        <f>Scenarios!G6</f>
        <v>0</v>
      </c>
      <c r="K22" s="2">
        <f t="shared" si="1"/>
        <v>6654425.8535999991</v>
      </c>
      <c r="L22" s="2">
        <f t="shared" si="2"/>
        <v>9465.7551260312939</v>
      </c>
      <c r="M22" t="str">
        <f t="shared" si="3"/>
        <v>D_Grow_Both_150|FY2026</v>
      </c>
    </row>
    <row r="23" spans="1:13" x14ac:dyDescent="0.35">
      <c r="A23" t="str">
        <f>Scenarios!A6</f>
        <v>D_Grow_Both_150</v>
      </c>
      <c r="B23" t="s">
        <v>46</v>
      </c>
      <c r="C23">
        <f>IF(Scenarios!D6=1,0, BaselineCalc!$B$7 + ROUND(Scenarios!J6*Scenarios!F6,0))</f>
        <v>332</v>
      </c>
      <c r="D23">
        <f>IF(Scenarios!E6=1,0, BaselineCalc!$B$8 + Scenarios!J6 - ROUND(Scenarios!J6*Scenarios!F6,0))</f>
        <v>371</v>
      </c>
      <c r="E23">
        <f t="shared" si="0"/>
        <v>703</v>
      </c>
      <c r="F23" s="2">
        <f>YearMap!B3</f>
        <v>7307.3069999999989</v>
      </c>
      <c r="G23" s="2">
        <f>YearMap!C3</f>
        <v>804847.67099999997</v>
      </c>
      <c r="H23" s="2">
        <f>YearMap!D3</f>
        <v>926984.08799999999</v>
      </c>
      <c r="I23">
        <f>1-BaselineCalc!$B$5</f>
        <v>0.99299999999999999</v>
      </c>
      <c r="J23">
        <f>Scenarios!G6</f>
        <v>0</v>
      </c>
      <c r="K23" s="2">
        <f t="shared" si="1"/>
        <v>6820786.4999400005</v>
      </c>
      <c r="L23" s="2">
        <f t="shared" si="2"/>
        <v>9702.399004182078</v>
      </c>
      <c r="M23" t="str">
        <f t="shared" si="3"/>
        <v>D_Grow_Both_150|FY2027</v>
      </c>
    </row>
    <row r="24" spans="1:13" x14ac:dyDescent="0.35">
      <c r="A24" t="str">
        <f>Scenarios!A6</f>
        <v>D_Grow_Both_150</v>
      </c>
      <c r="B24" t="s">
        <v>47</v>
      </c>
      <c r="C24">
        <f>IF(Scenarios!D6=1,0, BaselineCalc!$B$7 + ROUND(Scenarios!K6*Scenarios!F6,0))</f>
        <v>332</v>
      </c>
      <c r="D24">
        <f>IF(Scenarios!E6=1,0, BaselineCalc!$B$8 + Scenarios!K6 - ROUND(Scenarios!K6*Scenarios!F6,0))</f>
        <v>371</v>
      </c>
      <c r="E24">
        <f t="shared" si="0"/>
        <v>703</v>
      </c>
      <c r="F24" s="2">
        <f>YearMap!B4</f>
        <v>7489.9896749999989</v>
      </c>
      <c r="G24" s="2">
        <f>YearMap!C4</f>
        <v>824968.86277499993</v>
      </c>
      <c r="H24" s="2">
        <f>YearMap!D4</f>
        <v>950158.69019999984</v>
      </c>
      <c r="I24">
        <f>1-BaselineCalc!$B$5</f>
        <v>0.99299999999999999</v>
      </c>
      <c r="J24">
        <f>Scenarios!G6</f>
        <v>0</v>
      </c>
      <c r="K24" s="2">
        <f t="shared" si="1"/>
        <v>6991306.1624384988</v>
      </c>
      <c r="L24" s="2">
        <f t="shared" si="2"/>
        <v>9944.9589792866263</v>
      </c>
      <c r="M24" t="str">
        <f t="shared" si="3"/>
        <v>D_Grow_Both_150|FY2028</v>
      </c>
    </row>
    <row r="25" spans="1:13" x14ac:dyDescent="0.35">
      <c r="A25" t="str">
        <f>Scenarios!A6</f>
        <v>D_Grow_Both_150</v>
      </c>
      <c r="B25" t="s">
        <v>48</v>
      </c>
      <c r="C25">
        <f>IF(Scenarios!D6=1,0, BaselineCalc!$B$7 + ROUND(Scenarios!L6*Scenarios!F6,0))</f>
        <v>332</v>
      </c>
      <c r="D25">
        <f>IF(Scenarios!E6=1,0, BaselineCalc!$B$8 + Scenarios!L6 - ROUND(Scenarios!L6*Scenarios!F6,0))</f>
        <v>371</v>
      </c>
      <c r="E25">
        <f t="shared" si="0"/>
        <v>703</v>
      </c>
      <c r="F25" s="2">
        <f>YearMap!B5</f>
        <v>7677.2394168749979</v>
      </c>
      <c r="G25" s="2">
        <f>YearMap!C5</f>
        <v>845593.08434437483</v>
      </c>
      <c r="H25" s="2">
        <f>YearMap!D5</f>
        <v>973912.65745499986</v>
      </c>
      <c r="I25">
        <f>1-BaselineCalc!$B$5</f>
        <v>0.99299999999999999</v>
      </c>
      <c r="J25">
        <f>Scenarios!G6</f>
        <v>0</v>
      </c>
      <c r="K25" s="2">
        <f t="shared" si="1"/>
        <v>7166088.8164994614</v>
      </c>
      <c r="L25" s="2">
        <f t="shared" si="2"/>
        <v>10193.582953768793</v>
      </c>
      <c r="M25" t="str">
        <f t="shared" si="3"/>
        <v>D_Grow_Both_150|FY2029</v>
      </c>
    </row>
    <row r="26" spans="1:13" x14ac:dyDescent="0.35">
      <c r="A26" t="str">
        <f>Scenarios!A6</f>
        <v>D_Grow_Both_150</v>
      </c>
      <c r="B26" t="s">
        <v>49</v>
      </c>
      <c r="C26">
        <f>IF(Scenarios!D6=1,0, BaselineCalc!$B$7 + ROUND(Scenarios!M6*Scenarios!F6,0))</f>
        <v>332</v>
      </c>
      <c r="D26">
        <f>IF(Scenarios!E6=1,0, BaselineCalc!$B$8 + Scenarios!M6 - ROUND(Scenarios!M6*Scenarios!F6,0))</f>
        <v>371</v>
      </c>
      <c r="E26">
        <f t="shared" si="0"/>
        <v>703</v>
      </c>
      <c r="F26" s="2">
        <f>YearMap!B6</f>
        <v>7869.1704022968725</v>
      </c>
      <c r="G26" s="2">
        <f>YearMap!C6</f>
        <v>866732.91145298409</v>
      </c>
      <c r="H26" s="2">
        <f>YearMap!D6</f>
        <v>998260.47389137466</v>
      </c>
      <c r="I26">
        <f>1-BaselineCalc!$B$5</f>
        <v>0.99299999999999999</v>
      </c>
      <c r="J26">
        <f>Scenarios!G6</f>
        <v>0</v>
      </c>
      <c r="K26" s="2">
        <f t="shared" si="1"/>
        <v>7345241.0369119467</v>
      </c>
      <c r="L26" s="2">
        <f t="shared" si="2"/>
        <v>10448.422527613011</v>
      </c>
      <c r="M26" t="str">
        <f t="shared" si="3"/>
        <v>D_Grow_Both_150|FY2030</v>
      </c>
    </row>
    <row r="27" spans="1:13" x14ac:dyDescent="0.35">
      <c r="A27" t="str">
        <f>Scenarios!A7</f>
        <v>G_DHub_EchoRamp</v>
      </c>
      <c r="B27" t="s">
        <v>45</v>
      </c>
      <c r="C27">
        <f>IF(Scenarios!D7=1,0, BaselineCalc!$B$7 + ROUND(Scenarios!I7*Scenarios!F7,0))</f>
        <v>292</v>
      </c>
      <c r="D27">
        <f>IF(Scenarios!E7=1,0, BaselineCalc!$B$8 + Scenarios!I7 - ROUND(Scenarios!I7*Scenarios!F7,0))</f>
        <v>311</v>
      </c>
      <c r="E27">
        <f t="shared" si="0"/>
        <v>603</v>
      </c>
      <c r="F27" s="2">
        <f>YearMap!B2</f>
        <v>7129.079999999999</v>
      </c>
      <c r="G27" s="2">
        <f>YearMap!C2</f>
        <v>785217.23999999987</v>
      </c>
      <c r="H27" s="2">
        <f>YearMap!D2</f>
        <v>904374.71999999986</v>
      </c>
      <c r="I27">
        <f>1-BaselineCalc!$B$5</f>
        <v>0.99299999999999999</v>
      </c>
      <c r="J27">
        <f>Scenarios!G7</f>
        <v>0</v>
      </c>
      <c r="K27" s="2">
        <f t="shared" si="1"/>
        <v>5946508.2095999988</v>
      </c>
      <c r="L27" s="2">
        <f t="shared" si="2"/>
        <v>9861.5393194029839</v>
      </c>
      <c r="M27" t="str">
        <f t="shared" si="3"/>
        <v>G_DHub_EchoRamp|FY2026</v>
      </c>
    </row>
    <row r="28" spans="1:13" x14ac:dyDescent="0.35">
      <c r="A28" t="str">
        <f>Scenarios!A7</f>
        <v>G_DHub_EchoRamp</v>
      </c>
      <c r="B28" t="s">
        <v>46</v>
      </c>
      <c r="C28">
        <f>IF(Scenarios!D7=1,0, BaselineCalc!$B$7 + ROUND(Scenarios!J7*Scenarios!F7,0))</f>
        <v>327</v>
      </c>
      <c r="D28">
        <f>IF(Scenarios!E7=1,0, BaselineCalc!$B$8 + Scenarios!J7 - ROUND(Scenarios!J7*Scenarios!F7,0))</f>
        <v>326</v>
      </c>
      <c r="E28">
        <f t="shared" si="0"/>
        <v>653</v>
      </c>
      <c r="F28" s="2">
        <f>YearMap!B3</f>
        <v>7307.3069999999989</v>
      </c>
      <c r="G28" s="2">
        <f>YearMap!C3</f>
        <v>804847.67099999997</v>
      </c>
      <c r="H28" s="2">
        <f>YearMap!D3</f>
        <v>926984.08799999999</v>
      </c>
      <c r="I28">
        <f>1-BaselineCalc!$B$5</f>
        <v>0.99299999999999999</v>
      </c>
      <c r="J28">
        <f>Scenarios!G7</f>
        <v>0</v>
      </c>
      <c r="K28" s="2">
        <f t="shared" si="1"/>
        <v>6457978.7073899982</v>
      </c>
      <c r="L28" s="2">
        <f t="shared" si="2"/>
        <v>9889.7070557274092</v>
      </c>
      <c r="M28" t="str">
        <f t="shared" si="3"/>
        <v>G_DHub_EchoRamp|FY2027</v>
      </c>
    </row>
    <row r="29" spans="1:13" x14ac:dyDescent="0.35">
      <c r="A29" t="str">
        <f>Scenarios!A7</f>
        <v>G_DHub_EchoRamp</v>
      </c>
      <c r="B29" t="s">
        <v>47</v>
      </c>
      <c r="C29">
        <f>IF(Scenarios!D7=1,0, BaselineCalc!$B$7 + ROUND(Scenarios!K7*Scenarios!F7,0))</f>
        <v>362</v>
      </c>
      <c r="D29">
        <f>IF(Scenarios!E7=1,0, BaselineCalc!$B$8 + Scenarios!K7 - ROUND(Scenarios!K7*Scenarios!F7,0))</f>
        <v>341</v>
      </c>
      <c r="E29">
        <f t="shared" si="0"/>
        <v>703</v>
      </c>
      <c r="F29" s="2">
        <f>YearMap!B4</f>
        <v>7489.9896749999989</v>
      </c>
      <c r="G29" s="2">
        <f>YearMap!C4</f>
        <v>824968.86277499993</v>
      </c>
      <c r="H29" s="2">
        <f>YearMap!D4</f>
        <v>950158.69019999984</v>
      </c>
      <c r="I29">
        <f>1-BaselineCalc!$B$5</f>
        <v>0.99299999999999999</v>
      </c>
      <c r="J29">
        <f>Scenarios!G7</f>
        <v>0</v>
      </c>
      <c r="K29" s="2">
        <f t="shared" si="1"/>
        <v>6991306.1624384988</v>
      </c>
      <c r="L29" s="2">
        <f t="shared" si="2"/>
        <v>9944.9589792866263</v>
      </c>
      <c r="M29" t="str">
        <f t="shared" si="3"/>
        <v>G_DHub_EchoRamp|FY2028</v>
      </c>
    </row>
    <row r="30" spans="1:13" x14ac:dyDescent="0.35">
      <c r="A30" t="str">
        <f>Scenarios!A7</f>
        <v>G_DHub_EchoRamp</v>
      </c>
      <c r="B30" t="s">
        <v>48</v>
      </c>
      <c r="C30">
        <f>IF(Scenarios!D7=1,0, BaselineCalc!$B$7 + ROUND(Scenarios!L7*Scenarios!F7,0))</f>
        <v>362</v>
      </c>
      <c r="D30">
        <f>IF(Scenarios!E7=1,0, BaselineCalc!$B$8 + Scenarios!L7 - ROUND(Scenarios!L7*Scenarios!F7,0))</f>
        <v>341</v>
      </c>
      <c r="E30">
        <f t="shared" si="0"/>
        <v>703</v>
      </c>
      <c r="F30" s="2">
        <f>YearMap!B5</f>
        <v>7677.2394168749979</v>
      </c>
      <c r="G30" s="2">
        <f>YearMap!C5</f>
        <v>845593.08434437483</v>
      </c>
      <c r="H30" s="2">
        <f>YearMap!D5</f>
        <v>973912.65745499986</v>
      </c>
      <c r="I30">
        <f>1-BaselineCalc!$B$5</f>
        <v>0.99299999999999999</v>
      </c>
      <c r="J30">
        <f>Scenarios!G7</f>
        <v>0</v>
      </c>
      <c r="K30" s="2">
        <f t="shared" si="1"/>
        <v>7166088.8164994614</v>
      </c>
      <c r="L30" s="2">
        <f t="shared" si="2"/>
        <v>10193.582953768793</v>
      </c>
      <c r="M30" t="str">
        <f t="shared" si="3"/>
        <v>G_DHub_EchoRamp|FY2029</v>
      </c>
    </row>
    <row r="31" spans="1:13" x14ac:dyDescent="0.35">
      <c r="A31" t="str">
        <f>Scenarios!A7</f>
        <v>G_DHub_EchoRamp</v>
      </c>
      <c r="B31" t="s">
        <v>49</v>
      </c>
      <c r="C31">
        <f>IF(Scenarios!D7=1,0, BaselineCalc!$B$7 + ROUND(Scenarios!M7*Scenarios!F7,0))</f>
        <v>362</v>
      </c>
      <c r="D31">
        <f>IF(Scenarios!E7=1,0, BaselineCalc!$B$8 + Scenarios!M7 - ROUND(Scenarios!M7*Scenarios!F7,0))</f>
        <v>341</v>
      </c>
      <c r="E31">
        <f t="shared" si="0"/>
        <v>703</v>
      </c>
      <c r="F31" s="2">
        <f>YearMap!B6</f>
        <v>7869.1704022968725</v>
      </c>
      <c r="G31" s="2">
        <f>YearMap!C6</f>
        <v>866732.91145298409</v>
      </c>
      <c r="H31" s="2">
        <f>YearMap!D6</f>
        <v>998260.47389137466</v>
      </c>
      <c r="I31">
        <f>1-BaselineCalc!$B$5</f>
        <v>0.99299999999999999</v>
      </c>
      <c r="J31">
        <f>Scenarios!G7</f>
        <v>0</v>
      </c>
      <c r="K31" s="2">
        <f t="shared" si="1"/>
        <v>7345241.0369119467</v>
      </c>
      <c r="L31" s="2">
        <f t="shared" si="2"/>
        <v>10448.422527613011</v>
      </c>
      <c r="M31" t="str">
        <f t="shared" si="3"/>
        <v>G_DHub_EchoRamp|FY2030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zoomScale="90" zoomScaleNormal="90" workbookViewId="0">
      <selection activeCell="B5" sqref="B5"/>
    </sheetView>
  </sheetViews>
  <sheetFormatPr defaultRowHeight="14.5" x14ac:dyDescent="0.35"/>
  <cols>
    <col min="1" max="1" width="21" bestFit="1" customWidth="1"/>
    <col min="2" max="3" width="15.36328125" bestFit="1" customWidth="1"/>
    <col min="4" max="5" width="27" bestFit="1" customWidth="1"/>
  </cols>
  <sheetData>
    <row r="1" spans="1:5" x14ac:dyDescent="0.35">
      <c r="A1" s="1" t="s">
        <v>50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 x14ac:dyDescent="0.35">
      <c r="A2" t="str">
        <f>Scenarios!A2</f>
        <v>D_Grow_Both_0</v>
      </c>
      <c r="B2" s="2">
        <f>INDEX(MultiYear_ProForma!$L$2:$L$31, MATCH( Scenarios!A2&amp;"|FY2028", MultiYear_ProForma!$M$2:$M$31, 0))</f>
        <v>10625.085353249999</v>
      </c>
      <c r="C2" s="2">
        <f>INDEX(MultiYear_ProForma!$L$2:$L$31, MATCH( Scenarios!A2&amp;"|FY2030", MultiYear_ProForma!$M$2:$M$31, 0))</f>
        <v>11162.980299258277</v>
      </c>
      <c r="D2" s="2">
        <f>AVERAGE(INDEX(MultiYear_ProForma!$L$2:$L$31, MATCH(Scenarios!A2&amp;"|FY2026", MultiYear_ProForma!$M$2:$M$31, 0)),INDEX(MultiYear_ProForma!$L$2:$L$31, MATCH(Scenarios!A2&amp;"|FY2027", MultiYear_ProForma!$M$2:$M$31, 0)),INDEX(MultiYear_ProForma!$L$2:$L$31, MATCH(Scenarios!A2&amp;"|FY2028", MultiYear_ProForma!$M$2:$M$31, 0)))</f>
        <v>10368.043827749998</v>
      </c>
      <c r="E2" s="2">
        <f>AVERAGE(INDEX(MultiYear_ProForma!$L$2:$L$31, MATCH(Scenarios!A2&amp;"|FY2026", MultiYear_ProForma!$M$2:$M$31, 0)),INDEX(MultiYear_ProForma!$L$2:$L$31, MATCH(Scenarios!A2&amp;"|FY2027", MultiYear_ProForma!$M$2:$M$31, 0)),INDEX(MultiYear_ProForma!$L$2:$L$31, MATCH(Scenarios!A2&amp;"|FY2028", MultiYear_ProForma!$M$2:$M$31, 0)),INDEX(MultiYear_ProForma!$L$2:$L$31, MATCH(Scenarios!A2&amp;"|FY2029", MultiYear_ProForma!$M$2:$M$31, 0)),INDEX(MultiYear_ProForma!$L$2:$L$31, MATCH(Scenarios!A2&amp;"|FY2030", MultiYear_ProForma!$M$2:$M$31, 0)))</f>
        <v>10631.564853917904</v>
      </c>
    </row>
    <row r="3" spans="1:5" x14ac:dyDescent="0.35">
      <c r="A3" t="str">
        <f>Scenarios!A3</f>
        <v>E_StatusQuo_Targets_0</v>
      </c>
      <c r="B3" s="2">
        <f>INDEX(MultiYear_ProForma!$L$2:$L$31, MATCH( Scenarios!A3&amp;"|FY2028", MultiYear_ProForma!$M$2:$M$31, 0))</f>
        <v>10625.085353249999</v>
      </c>
      <c r="C3" s="2">
        <f>INDEX(MultiYear_ProForma!$L$2:$L$31, MATCH( Scenarios!A3&amp;"|FY2030", MultiYear_ProForma!$M$2:$M$31, 0))</f>
        <v>11162.980299258277</v>
      </c>
      <c r="D3" s="2">
        <f>AVERAGE(INDEX(MultiYear_ProForma!$L$2:$L$31, MATCH(Scenarios!A3&amp;"|FY2026", MultiYear_ProForma!$M$2:$M$31, 0)),INDEX(MultiYear_ProForma!$L$2:$L$31, MATCH(Scenarios!A3&amp;"|FY2027", MultiYear_ProForma!$M$2:$M$31, 0)),INDEX(MultiYear_ProForma!$L$2:$L$31, MATCH(Scenarios!A3&amp;"|FY2028", MultiYear_ProForma!$M$2:$M$31, 0)))</f>
        <v>10368.043827749998</v>
      </c>
      <c r="E3" s="2">
        <f>AVERAGE(INDEX(MultiYear_ProForma!$L$2:$L$31, MATCH(Scenarios!A3&amp;"|FY2026", MultiYear_ProForma!$M$2:$M$31, 0)),INDEX(MultiYear_ProForma!$L$2:$L$31, MATCH(Scenarios!A3&amp;"|FY2027", MultiYear_ProForma!$M$2:$M$31, 0)),INDEX(MultiYear_ProForma!$L$2:$L$31, MATCH(Scenarios!A3&amp;"|FY2028", MultiYear_ProForma!$M$2:$M$31, 0)),INDEX(MultiYear_ProForma!$L$2:$L$31, MATCH(Scenarios!A3&amp;"|FY2029", MultiYear_ProForma!$M$2:$M$31, 0)),INDEX(MultiYear_ProForma!$L$2:$L$31, MATCH(Scenarios!A3&amp;"|FY2030", MultiYear_ProForma!$M$2:$M$31, 0)))</f>
        <v>10631.564853917904</v>
      </c>
    </row>
    <row r="4" spans="1:5" x14ac:dyDescent="0.35">
      <c r="A4" t="str">
        <f>Scenarios!A4</f>
        <v>F_CoLocation_Echo_0</v>
      </c>
      <c r="B4" s="2">
        <f>INDEX(MultiYear_ProForma!$L$2:$L$31, MATCH( Scenarios!A4&amp;"|FY2028", MultiYear_ProForma!$M$2:$M$31, 0))</f>
        <v>10465.709072951249</v>
      </c>
      <c r="C4" s="2">
        <f>INDEX(MultiYear_ProForma!$L$2:$L$31, MATCH( Scenarios!A4&amp;"|FY2030", MultiYear_ProForma!$M$2:$M$31, 0))</f>
        <v>10995.535594769402</v>
      </c>
      <c r="D4" s="2">
        <f>AVERAGE(INDEX(MultiYear_ProForma!$L$2:$L$31, MATCH(Scenarios!A4&amp;"|FY2026", MultiYear_ProForma!$M$2:$M$31, 0)),INDEX(MultiYear_ProForma!$L$2:$L$31, MATCH(Scenarios!A4&amp;"|FY2027", MultiYear_ProForma!$M$2:$M$31, 0)),INDEX(MultiYear_ProForma!$L$2:$L$31, MATCH(Scenarios!A4&amp;"|FY2028", MultiYear_ProForma!$M$2:$M$31, 0)))</f>
        <v>10212.523170333749</v>
      </c>
      <c r="E4" s="2">
        <f>AVERAGE(INDEX(MultiYear_ProForma!$L$2:$L$31, MATCH(Scenarios!A4&amp;"|FY2026", MultiYear_ProForma!$M$2:$M$31, 0)),INDEX(MultiYear_ProForma!$L$2:$L$31, MATCH(Scenarios!A4&amp;"|FY2027", MultiYear_ProForma!$M$2:$M$31, 0)),INDEX(MultiYear_ProForma!$L$2:$L$31, MATCH(Scenarios!A4&amp;"|FY2028", MultiYear_ProForma!$M$2:$M$31, 0)),INDEX(MultiYear_ProForma!$L$2:$L$31, MATCH(Scenarios!A4&amp;"|FY2029", MultiYear_ProForma!$M$2:$M$31, 0)),INDEX(MultiYear_ProForma!$L$2:$L$31, MATCH(Scenarios!A4&amp;"|FY2030", MultiYear_ProForma!$M$2:$M$31, 0)))</f>
        <v>10472.091381109136</v>
      </c>
    </row>
    <row r="5" spans="1:5" x14ac:dyDescent="0.35">
      <c r="A5" t="str">
        <f>Scenarios!A5</f>
        <v>D_Grow_Both_100</v>
      </c>
      <c r="B5" s="2">
        <f>INDEX(MultiYear_ProForma!$L$2:$L$31, MATCH( Scenarios!A5&amp;"|FY2028", MultiYear_ProForma!$M$2:$M$31, 0))</f>
        <v>10136.949732120596</v>
      </c>
      <c r="C5" s="2">
        <f>INDEX(MultiYear_ProForma!$L$2:$L$31, MATCH( Scenarios!A5&amp;"|FY2030", MultiYear_ProForma!$M$2:$M$31, 0))</f>
        <v>10650.132812309201</v>
      </c>
      <c r="D5" s="2">
        <f>AVERAGE(INDEX(MultiYear_ProForma!$L$2:$L$31, MATCH(Scenarios!A5&amp;"|FY2026", MultiYear_ProForma!$M$2:$M$31, 0)),INDEX(MultiYear_ProForma!$L$2:$L$31, MATCH(Scenarios!A5&amp;"|FY2027", MultiYear_ProForma!$M$2:$M$31, 0)),INDEX(MultiYear_ProForma!$L$2:$L$31, MATCH(Scenarios!A5&amp;"|FY2028", MultiYear_ProForma!$M$2:$M$31, 0)))</f>
        <v>9891.7171587875182</v>
      </c>
      <c r="E5" s="2">
        <f>AVERAGE(INDEX(MultiYear_ProForma!$L$2:$L$31, MATCH(Scenarios!A5&amp;"|FY2026", MultiYear_ProForma!$M$2:$M$31, 0)),INDEX(MultiYear_ProForma!$L$2:$L$31, MATCH(Scenarios!A5&amp;"|FY2027", MultiYear_ProForma!$M$2:$M$31, 0)),INDEX(MultiYear_ProForma!$L$2:$L$31, MATCH(Scenarios!A5&amp;"|FY2028", MultiYear_ProForma!$M$2:$M$31, 0)),INDEX(MultiYear_ProForma!$L$2:$L$31, MATCH(Scenarios!A5&amp;"|FY2029", MultiYear_ProForma!$M$2:$M$31, 0)),INDEX(MultiYear_ProForma!$L$2:$L$31, MATCH(Scenarios!A5&amp;"|FY2030", MultiYear_ProForma!$M$2:$M$31, 0)))</f>
        <v>10143.131552819072</v>
      </c>
    </row>
    <row r="6" spans="1:5" x14ac:dyDescent="0.35">
      <c r="A6" t="str">
        <f>Scenarios!A6</f>
        <v>D_Grow_Both_150</v>
      </c>
      <c r="B6" s="2">
        <f>INDEX(MultiYear_ProForma!$L$2:$L$31, MATCH( Scenarios!A6&amp;"|FY2028", MultiYear_ProForma!$M$2:$M$31, 0))</f>
        <v>9944.9589792866263</v>
      </c>
      <c r="C6" s="2">
        <f>INDEX(MultiYear_ProForma!$L$2:$L$31, MATCH( Scenarios!A6&amp;"|FY2030", MultiYear_ProForma!$M$2:$M$31, 0))</f>
        <v>10448.422527613011</v>
      </c>
      <c r="D6" s="2">
        <f>AVERAGE(INDEX(MultiYear_ProForma!$L$2:$L$31, MATCH(Scenarios!A6&amp;"|FY2026", MultiYear_ProForma!$M$2:$M$31, 0)),INDEX(MultiYear_ProForma!$L$2:$L$31, MATCH(Scenarios!A6&amp;"|FY2027", MultiYear_ProForma!$M$2:$M$31, 0)),INDEX(MultiYear_ProForma!$L$2:$L$31, MATCH(Scenarios!A6&amp;"|FY2028", MultiYear_ProForma!$M$2:$M$31, 0)))</f>
        <v>9704.3710364999988</v>
      </c>
      <c r="E6" s="2">
        <f>AVERAGE(INDEX(MultiYear_ProForma!$L$2:$L$31, MATCH(Scenarios!A6&amp;"|FY2026", MultiYear_ProForma!$M$2:$M$31, 0)),INDEX(MultiYear_ProForma!$L$2:$L$31, MATCH(Scenarios!A6&amp;"|FY2027", MultiYear_ProForma!$M$2:$M$31, 0)),INDEX(MultiYear_ProForma!$L$2:$L$31, MATCH(Scenarios!A6&amp;"|FY2028", MultiYear_ProForma!$M$2:$M$31, 0)),INDEX(MultiYear_ProForma!$L$2:$L$31, MATCH(Scenarios!A6&amp;"|FY2029", MultiYear_ProForma!$M$2:$M$31, 0)),INDEX(MultiYear_ProForma!$L$2:$L$31, MATCH(Scenarios!A6&amp;"|FY2030", MultiYear_ProForma!$M$2:$M$31, 0)))</f>
        <v>9951.0237181763587</v>
      </c>
    </row>
    <row r="7" spans="1:5" x14ac:dyDescent="0.35">
      <c r="A7" t="str">
        <f>Scenarios!A7</f>
        <v>G_DHub_EchoRamp</v>
      </c>
      <c r="B7" s="2">
        <f>INDEX(MultiYear_ProForma!$L$2:$L$31, MATCH( Scenarios!A7&amp;"|FY2028", MultiYear_ProForma!$M$2:$M$31, 0))</f>
        <v>9944.9589792866263</v>
      </c>
      <c r="C7" s="2">
        <f>INDEX(MultiYear_ProForma!$L$2:$L$31, MATCH( Scenarios!A7&amp;"|FY2030", MultiYear_ProForma!$M$2:$M$31, 0))</f>
        <v>10448.422527613011</v>
      </c>
      <c r="D7" s="2">
        <f>AVERAGE(INDEX(MultiYear_ProForma!$L$2:$L$31, MATCH(Scenarios!A7&amp;"|FY2026", MultiYear_ProForma!$M$2:$M$31, 0)),INDEX(MultiYear_ProForma!$L$2:$L$31, MATCH(Scenarios!A7&amp;"|FY2027", MultiYear_ProForma!$M$2:$M$31, 0)),INDEX(MultiYear_ProForma!$L$2:$L$31, MATCH(Scenarios!A7&amp;"|FY2028", MultiYear_ProForma!$M$2:$M$31, 0)))</f>
        <v>9898.7351181390059</v>
      </c>
      <c r="E7" s="2">
        <f>AVERAGE(INDEX(MultiYear_ProForma!$L$2:$L$31, MATCH(Scenarios!A7&amp;"|FY2026", MultiYear_ProForma!$M$2:$M$31, 0)),INDEX(MultiYear_ProForma!$L$2:$L$31, MATCH(Scenarios!A7&amp;"|FY2027", MultiYear_ProForma!$M$2:$M$31, 0)),INDEX(MultiYear_ProForma!$L$2:$L$31, MATCH(Scenarios!A7&amp;"|FY2028", MultiYear_ProForma!$M$2:$M$31, 0)),INDEX(MultiYear_ProForma!$L$2:$L$31, MATCH(Scenarios!A7&amp;"|FY2029", MultiYear_ProForma!$M$2:$M$31, 0)),INDEX(MultiYear_ProForma!$L$2:$L$31, MATCH(Scenarios!A7&amp;"|FY2030", MultiYear_ProForma!$M$2:$M$31, 0)))</f>
        <v>10067.642167159765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91</v>
      </c>
    </row>
    <row r="2" spans="1:2" x14ac:dyDescent="0.35">
      <c r="B2" s="5" t="s">
        <v>92</v>
      </c>
    </row>
    <row r="3" spans="1:2" x14ac:dyDescent="0.35">
      <c r="B3" t="s">
        <v>93</v>
      </c>
    </row>
    <row r="5" spans="1:2" x14ac:dyDescent="0.35">
      <c r="B5" s="5" t="s">
        <v>94</v>
      </c>
    </row>
    <row r="6" spans="1:2" x14ac:dyDescent="0.35">
      <c r="B6" t="s">
        <v>95</v>
      </c>
    </row>
    <row r="8" spans="1:2" x14ac:dyDescent="0.35">
      <c r="B8" s="5" t="s">
        <v>96</v>
      </c>
    </row>
    <row r="9" spans="1:2" x14ac:dyDescent="0.35">
      <c r="B9" t="s">
        <v>97</v>
      </c>
    </row>
    <row r="11" spans="1:2" x14ac:dyDescent="0.35">
      <c r="B11" s="5" t="s">
        <v>98</v>
      </c>
    </row>
    <row r="12" spans="1:2" x14ac:dyDescent="0.35">
      <c r="B12" t="s">
        <v>99</v>
      </c>
    </row>
    <row r="17" spans="1:2" x14ac:dyDescent="0.35">
      <c r="A17" s="5" t="s">
        <v>100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BaselineCalc</vt:lpstr>
      <vt:lpstr>YearMap</vt:lpstr>
      <vt:lpstr>Scenarios</vt:lpstr>
      <vt:lpstr>MultiYear_ProForma</vt:lpstr>
      <vt:lpstr>Summary_Costs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2025-10-22T05:00:38Z</dcterms:modified>
</cp:coreProperties>
</file>