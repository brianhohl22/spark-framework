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41" documentId="8_{4C0CC496-CAC1-405D-84F4-21F67C6EA598}" xr6:coauthVersionLast="47" xr6:coauthVersionMax="47" xr10:uidLastSave="{D1E11939-8FA5-4B03-8DE9-9F8BE7136D76}"/>
  <bookViews>
    <workbookView xWindow="-110" yWindow="-110" windowWidth="19420" windowHeight="10300"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3" i="22" l="1"/>
  <c r="F133" i="22"/>
  <c r="E133" i="22"/>
  <c r="D133" i="22"/>
  <c r="C133" i="22"/>
  <c r="B4" i="22"/>
  <c r="G97" i="22"/>
  <c r="F97" i="22"/>
  <c r="E97" i="22"/>
  <c r="D97" i="22"/>
  <c r="C97" i="22"/>
  <c r="G127" i="22"/>
  <c r="F127" i="22"/>
  <c r="E127" i="22"/>
  <c r="D127" i="22"/>
  <c r="E128" i="22" s="1"/>
  <c r="C127" i="22"/>
  <c r="G126" i="22"/>
  <c r="F126" i="22"/>
  <c r="E126" i="22"/>
  <c r="D126" i="22"/>
  <c r="C126" i="22"/>
  <c r="C128" i="22" s="1"/>
  <c r="G124" i="22"/>
  <c r="F124" i="22"/>
  <c r="G123" i="22"/>
  <c r="F123" i="22"/>
  <c r="E123" i="22"/>
  <c r="D123" i="22"/>
  <c r="C123" i="22"/>
  <c r="G120" i="22"/>
  <c r="G121" i="22" s="1"/>
  <c r="F120" i="22"/>
  <c r="E120" i="22"/>
  <c r="D120" i="22"/>
  <c r="C120" i="22"/>
  <c r="C121" i="22" s="1"/>
  <c r="G119" i="22"/>
  <c r="F119" i="22"/>
  <c r="E119" i="22"/>
  <c r="D119" i="22"/>
  <c r="C119" i="22"/>
  <c r="G117" i="22"/>
  <c r="F117" i="22"/>
  <c r="E117" i="22"/>
  <c r="D117" i="22"/>
  <c r="C117" i="22"/>
  <c r="G116" i="22"/>
  <c r="C116" i="22"/>
  <c r="G112" i="22"/>
  <c r="F112" i="22"/>
  <c r="E112" i="22"/>
  <c r="D112" i="22"/>
  <c r="C112" i="22"/>
  <c r="G108" i="22"/>
  <c r="F108" i="22"/>
  <c r="E108" i="22"/>
  <c r="E124" i="22" s="1"/>
  <c r="C108" i="22"/>
  <c r="C124" i="22" s="1"/>
  <c r="G107" i="22"/>
  <c r="F107" i="22"/>
  <c r="E107" i="22"/>
  <c r="D107" i="22"/>
  <c r="C107" i="22"/>
  <c r="G106" i="22"/>
  <c r="F106" i="22"/>
  <c r="F113" i="22" s="1"/>
  <c r="F118" i="22" s="1"/>
  <c r="E106" i="22"/>
  <c r="D106" i="22"/>
  <c r="C106" i="22"/>
  <c r="F105" i="22"/>
  <c r="E105" i="22"/>
  <c r="E116" i="22" s="1"/>
  <c r="G104" i="22"/>
  <c r="F104" i="22"/>
  <c r="E104" i="22"/>
  <c r="D104" i="22"/>
  <c r="C104" i="22"/>
  <c r="G103" i="22"/>
  <c r="G109" i="22" s="1"/>
  <c r="F103" i="22"/>
  <c r="E103" i="22"/>
  <c r="D103" i="22"/>
  <c r="C103" i="22"/>
  <c r="E92" i="22"/>
  <c r="G91" i="22"/>
  <c r="F91" i="22"/>
  <c r="E91" i="22"/>
  <c r="D91" i="22"/>
  <c r="D92" i="22" s="1"/>
  <c r="C91" i="22"/>
  <c r="G90" i="22"/>
  <c r="F90" i="22"/>
  <c r="F92" i="22" s="1"/>
  <c r="E90" i="22"/>
  <c r="D90" i="22"/>
  <c r="C90" i="22"/>
  <c r="G88" i="22"/>
  <c r="F88" i="22"/>
  <c r="G87" i="22"/>
  <c r="F87" i="22"/>
  <c r="E87" i="22"/>
  <c r="D87" i="22"/>
  <c r="C87" i="22"/>
  <c r="G84" i="22"/>
  <c r="G85" i="22" s="1"/>
  <c r="F84" i="22"/>
  <c r="E84" i="22"/>
  <c r="D84" i="22"/>
  <c r="C84" i="22"/>
  <c r="C85" i="22" s="1"/>
  <c r="G83" i="22"/>
  <c r="F83" i="22"/>
  <c r="E83" i="22"/>
  <c r="D83" i="22"/>
  <c r="C83" i="22"/>
  <c r="G81" i="22"/>
  <c r="F81" i="22"/>
  <c r="E81" i="22"/>
  <c r="D81" i="22"/>
  <c r="C81" i="22"/>
  <c r="G80" i="22"/>
  <c r="C80" i="22"/>
  <c r="G76" i="22"/>
  <c r="F76" i="22"/>
  <c r="E76" i="22"/>
  <c r="D76" i="22"/>
  <c r="C76" i="22"/>
  <c r="G72" i="22"/>
  <c r="F72" i="22"/>
  <c r="E72" i="22"/>
  <c r="E88" i="22" s="1"/>
  <c r="C72" i="22"/>
  <c r="C88" i="22" s="1"/>
  <c r="G71" i="22"/>
  <c r="F71" i="22"/>
  <c r="E71" i="22"/>
  <c r="D71" i="22"/>
  <c r="C71" i="22"/>
  <c r="G70" i="22"/>
  <c r="F70" i="22"/>
  <c r="F77" i="22" s="1"/>
  <c r="E70" i="22"/>
  <c r="D70" i="22"/>
  <c r="C70" i="22"/>
  <c r="F69" i="22"/>
  <c r="E69" i="22"/>
  <c r="E80" i="22" s="1"/>
  <c r="G68" i="22"/>
  <c r="G73" i="22" s="1"/>
  <c r="F68" i="22"/>
  <c r="E68" i="22"/>
  <c r="D68" i="22"/>
  <c r="C68" i="22"/>
  <c r="G67" i="22"/>
  <c r="F67" i="22"/>
  <c r="E67" i="22"/>
  <c r="D67" i="22"/>
  <c r="C67" i="22"/>
  <c r="C23" i="22"/>
  <c r="F23" i="22"/>
  <c r="G23" i="22"/>
  <c r="D23" i="22"/>
  <c r="E23" i="22"/>
  <c r="C11" i="22"/>
  <c r="C27" i="22" s="1"/>
  <c r="E11" i="22"/>
  <c r="E27" i="22" s="1"/>
  <c r="D10" i="22"/>
  <c r="D29" i="22"/>
  <c r="E29" i="22"/>
  <c r="G29" i="22"/>
  <c r="F29" i="22"/>
  <c r="C29" i="22"/>
  <c r="C22" i="22"/>
  <c r="E22" i="22"/>
  <c r="D22" i="22"/>
  <c r="G22" i="22"/>
  <c r="F22" i="22"/>
  <c r="Q2" i="14"/>
  <c r="AE66" i="8"/>
  <c r="AE65" i="8"/>
  <c r="AE64" i="8"/>
  <c r="AE63" i="8"/>
  <c r="AE62" i="8"/>
  <c r="AE61" i="8"/>
  <c r="AE60" i="8"/>
  <c r="AE59" i="8"/>
  <c r="AE58" i="8"/>
  <c r="AE57" i="8"/>
  <c r="AE56" i="8"/>
  <c r="AE55" i="8"/>
  <c r="AE54" i="8"/>
  <c r="AE53" i="8"/>
  <c r="AE5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D5" i="23"/>
  <c r="D16" i="23" s="1"/>
  <c r="G4" i="23"/>
  <c r="F4" i="23"/>
  <c r="E4" i="23"/>
  <c r="E9" i="23" s="1"/>
  <c r="D4" i="23"/>
  <c r="D9" i="23" s="1"/>
  <c r="D10" i="23" s="1"/>
  <c r="D11" i="23" s="1"/>
  <c r="C4" i="23"/>
  <c r="G3" i="23"/>
  <c r="G14" i="23" s="1"/>
  <c r="G15" i="23" s="1"/>
  <c r="F3" i="23"/>
  <c r="F14" i="23" s="1"/>
  <c r="F15" i="23" s="1"/>
  <c r="E3" i="23"/>
  <c r="D3" i="23"/>
  <c r="D14" i="23" s="1"/>
  <c r="D15" i="23" s="1"/>
  <c r="C3" i="23"/>
  <c r="C26" i="22"/>
  <c r="G19" i="22"/>
  <c r="C19" i="22"/>
  <c r="E20" i="22"/>
  <c r="D20" i="22"/>
  <c r="G20" i="22"/>
  <c r="C20" i="22"/>
  <c r="E15" i="22"/>
  <c r="D15" i="22"/>
  <c r="G15" i="22"/>
  <c r="F15" i="22"/>
  <c r="C15" i="22"/>
  <c r="B13" i="13"/>
  <c r="B15" i="13"/>
  <c r="AC52" i="8"/>
  <c r="E8" i="22"/>
  <c r="E19" i="22" s="1"/>
  <c r="F8" i="22"/>
  <c r="F19" i="22" s="1"/>
  <c r="E7" i="22"/>
  <c r="D7" i="22"/>
  <c r="G7" i="22"/>
  <c r="F7" i="22"/>
  <c r="E6" i="22"/>
  <c r="D6" i="22"/>
  <c r="G6" i="22"/>
  <c r="F6" i="22"/>
  <c r="C7" i="22"/>
  <c r="C6" i="22"/>
  <c r="D6" i="5"/>
  <c r="G27" i="22"/>
  <c r="F27" i="22"/>
  <c r="E30" i="22"/>
  <c r="D30" i="22"/>
  <c r="E31" i="22" s="1"/>
  <c r="C30" i="22"/>
  <c r="F20" i="22"/>
  <c r="G30" i="22"/>
  <c r="F30" i="22"/>
  <c r="G11" i="22"/>
  <c r="F11" i="22"/>
  <c r="E26" i="22"/>
  <c r="D26" i="22"/>
  <c r="G26" i="22"/>
  <c r="F26" i="22"/>
  <c r="G10" i="22"/>
  <c r="F10" i="22"/>
  <c r="E10" i="22"/>
  <c r="C10" i="22"/>
  <c r="E9" i="22"/>
  <c r="D9" i="22"/>
  <c r="G9" i="22"/>
  <c r="F9" i="22"/>
  <c r="C9"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G77" i="22" l="1"/>
  <c r="G82" i="22" s="1"/>
  <c r="F73" i="22"/>
  <c r="F78" i="22" s="1"/>
  <c r="G92" i="22"/>
  <c r="E77" i="22"/>
  <c r="E82" i="22" s="1"/>
  <c r="F80" i="22"/>
  <c r="E121" i="22"/>
  <c r="F121" i="22"/>
  <c r="G78" i="22"/>
  <c r="G79" i="22" s="1"/>
  <c r="G86" i="22" s="1"/>
  <c r="G89" i="22" s="1"/>
  <c r="G93" i="22" s="1"/>
  <c r="G94" i="22" s="1"/>
  <c r="G74" i="22"/>
  <c r="G75" i="22" s="1"/>
  <c r="E73" i="22"/>
  <c r="E78" i="22" s="1"/>
  <c r="E85" i="22"/>
  <c r="C92" i="22"/>
  <c r="C113" i="22"/>
  <c r="C118" i="22" s="1"/>
  <c r="F128" i="22"/>
  <c r="D128" i="22"/>
  <c r="E113" i="22"/>
  <c r="E118" i="22" s="1"/>
  <c r="F85" i="22"/>
  <c r="E109" i="22"/>
  <c r="E114" i="22" s="1"/>
  <c r="C109" i="22"/>
  <c r="C110" i="22" s="1"/>
  <c r="C111" i="22" s="1"/>
  <c r="G128" i="22"/>
  <c r="C77" i="22"/>
  <c r="C82" i="22" s="1"/>
  <c r="F109" i="22"/>
  <c r="F114" i="22" s="1"/>
  <c r="F115" i="22" s="1"/>
  <c r="F116" i="22"/>
  <c r="G113" i="22"/>
  <c r="G118" i="22" s="1"/>
  <c r="F82" i="22"/>
  <c r="G114" i="22"/>
  <c r="G110" i="22"/>
  <c r="G111" i="22" s="1"/>
  <c r="F79" i="22"/>
  <c r="F86" i="22" s="1"/>
  <c r="F89" i="22" s="1"/>
  <c r="F93" i="22" s="1"/>
  <c r="E74" i="22"/>
  <c r="E75" i="22" s="1"/>
  <c r="C73" i="22"/>
  <c r="F74" i="22"/>
  <c r="F75" i="22" s="1"/>
  <c r="E16" i="22"/>
  <c r="E21" i="22" s="1"/>
  <c r="D31" i="22"/>
  <c r="C16" i="22"/>
  <c r="C21" i="22" s="1"/>
  <c r="G31" i="22"/>
  <c r="C31" i="22"/>
  <c r="F31" i="22"/>
  <c r="F16" i="22"/>
  <c r="F21" i="22" s="1"/>
  <c r="G16" i="22"/>
  <c r="G21" i="22" s="1"/>
  <c r="E10" i="23"/>
  <c r="E11" i="23" s="1"/>
  <c r="E14" i="23"/>
  <c r="E15" i="23" s="1"/>
  <c r="E20" i="23" s="1"/>
  <c r="E23" i="23" s="1"/>
  <c r="E27" i="23" s="1"/>
  <c r="C19" i="23"/>
  <c r="D27" i="23"/>
  <c r="D28" i="23" s="1"/>
  <c r="D35" i="23"/>
  <c r="E35" i="23"/>
  <c r="G23" i="23"/>
  <c r="G27" i="23" s="1"/>
  <c r="C14" i="23"/>
  <c r="C15" i="23" s="1"/>
  <c r="C22" i="23"/>
  <c r="G9" i="23"/>
  <c r="G10" i="23" s="1"/>
  <c r="G11" i="23" s="1"/>
  <c r="C26" i="23"/>
  <c r="F24" i="22"/>
  <c r="G24" i="22"/>
  <c r="E24" i="22"/>
  <c r="G12" i="22"/>
  <c r="C24" i="22"/>
  <c r="E12" i="22"/>
  <c r="C12" i="22"/>
  <c r="F12" i="22"/>
  <c r="F17" i="22" s="1"/>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F122" i="22" l="1"/>
  <c r="F125" i="22" s="1"/>
  <c r="F129" i="22" s="1"/>
  <c r="C114" i="22"/>
  <c r="F110" i="22"/>
  <c r="F111" i="22" s="1"/>
  <c r="E79" i="22"/>
  <c r="E86" i="22" s="1"/>
  <c r="E89" i="22" s="1"/>
  <c r="E93" i="22" s="1"/>
  <c r="E94" i="22" s="1"/>
  <c r="E110" i="22"/>
  <c r="E111" i="22" s="1"/>
  <c r="C115" i="22"/>
  <c r="C122" i="22" s="1"/>
  <c r="C125" i="22" s="1"/>
  <c r="C129" i="22" s="1"/>
  <c r="C130" i="22" s="1"/>
  <c r="G115" i="22"/>
  <c r="G122" i="22" s="1"/>
  <c r="G125" i="22" s="1"/>
  <c r="G129" i="22" s="1"/>
  <c r="G130" i="22" s="1"/>
  <c r="E115" i="22"/>
  <c r="E122" i="22" s="1"/>
  <c r="E125" i="22" s="1"/>
  <c r="E129" i="22" s="1"/>
  <c r="E130" i="22" s="1"/>
  <c r="F130" i="22"/>
  <c r="F94" i="22"/>
  <c r="C74" i="22"/>
  <c r="C75" i="22" s="1"/>
  <c r="C78" i="22"/>
  <c r="C79" i="22" s="1"/>
  <c r="C86" i="22" s="1"/>
  <c r="C89" i="22" s="1"/>
  <c r="C93" i="22" s="1"/>
  <c r="F18" i="22"/>
  <c r="F25" i="22" s="1"/>
  <c r="F28" i="22" s="1"/>
  <c r="F32" i="22" s="1"/>
  <c r="G13" i="22"/>
  <c r="G14" i="22" s="1"/>
  <c r="G17" i="22"/>
  <c r="G18" i="22" s="1"/>
  <c r="C13" i="22"/>
  <c r="C14" i="22" s="1"/>
  <c r="C17" i="22"/>
  <c r="E13" i="22"/>
  <c r="E14" i="22" s="1"/>
  <c r="E17" i="22"/>
  <c r="E18" i="22" s="1"/>
  <c r="E25" i="22" s="1"/>
  <c r="E28" i="22" s="1"/>
  <c r="E32" i="22" s="1"/>
  <c r="G35" i="23"/>
  <c r="C20" i="23"/>
  <c r="C23" i="23" s="1"/>
  <c r="C31" i="23" s="1"/>
  <c r="C35" i="23"/>
  <c r="C36" i="23" s="1"/>
  <c r="E28" i="23"/>
  <c r="G28" i="23"/>
  <c r="F13" i="22"/>
  <c r="F14"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AB42" i="8" s="1"/>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C7" i="10"/>
  <c r="B7" i="10"/>
  <c r="B8" i="10"/>
  <c r="B12" i="10"/>
  <c r="B16" i="10"/>
  <c r="C4" i="10"/>
  <c r="D69" i="22" l="1"/>
  <c r="D105" i="22"/>
  <c r="F5" i="23"/>
  <c r="D8" i="22"/>
  <c r="L7" i="10"/>
  <c r="L11" i="10"/>
  <c r="C94" i="22"/>
  <c r="C18" i="22"/>
  <c r="C25" i="22" s="1"/>
  <c r="C28" i="22" s="1"/>
  <c r="E33" i="22"/>
  <c r="G25" i="22"/>
  <c r="G28" i="22" s="1"/>
  <c r="G32" i="22" s="1"/>
  <c r="G33" i="22" s="1"/>
  <c r="C27" i="23"/>
  <c r="C28" i="23" s="1"/>
  <c r="F33" i="22"/>
  <c r="L9" i="10"/>
  <c r="L6" i="10"/>
  <c r="G14" i="9" s="1"/>
  <c r="H14" i="9" s="1"/>
  <c r="L15" i="10"/>
  <c r="G59" i="9" s="1"/>
  <c r="H59" i="9" s="1"/>
  <c r="L14" i="10"/>
  <c r="G54" i="9" s="1"/>
  <c r="H54" i="9" s="1"/>
  <c r="L10" i="10"/>
  <c r="G34" i="9" s="1"/>
  <c r="H34" i="9" s="1"/>
  <c r="L16" i="10"/>
  <c r="G64" i="9" s="1"/>
  <c r="H64" i="9" s="1"/>
  <c r="L12" i="10"/>
  <c r="G44" i="9" s="1"/>
  <c r="H44" i="9" s="1"/>
  <c r="L8" i="10"/>
  <c r="G24" i="9" s="1"/>
  <c r="H24" i="9" s="1"/>
  <c r="E77" i="7"/>
  <c r="G4" i="9"/>
  <c r="H4" i="9" s="1"/>
  <c r="G9" i="9"/>
  <c r="H9" i="9" s="1"/>
  <c r="C83" i="7"/>
  <c r="E83" i="7" s="1"/>
  <c r="E36" i="7"/>
  <c r="E58" i="7"/>
  <c r="E42" i="7"/>
  <c r="AB37" i="8"/>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D108" i="22" l="1"/>
  <c r="D72" i="22"/>
  <c r="D11" i="22"/>
  <c r="D19" i="22"/>
  <c r="D24" i="22"/>
  <c r="F16" i="23"/>
  <c r="F9" i="23"/>
  <c r="F19" i="23"/>
  <c r="F20" i="23" s="1"/>
  <c r="F23" i="23" s="1"/>
  <c r="F27" i="23" s="1"/>
  <c r="D116" i="22"/>
  <c r="D121" i="22"/>
  <c r="D80" i="22"/>
  <c r="D85" i="22"/>
  <c r="C32" i="22"/>
  <c r="C33" i="22" s="1"/>
  <c r="AC55" i="8"/>
  <c r="AD55" i="8" s="1"/>
  <c r="AC26" i="8"/>
  <c r="AC22" i="8"/>
  <c r="AC51" i="8"/>
  <c r="B77" i="9"/>
  <c r="B83" i="9"/>
  <c r="AC25" i="8"/>
  <c r="AD25" i="8" s="1"/>
  <c r="O63" i="8"/>
  <c r="AC47" i="8"/>
  <c r="AC36" i="8"/>
  <c r="C59" i="3" s="1"/>
  <c r="AC45" i="8"/>
  <c r="AD45" i="8" s="1"/>
  <c r="AC35" i="8"/>
  <c r="AC46" i="8"/>
  <c r="I13" i="5" s="1"/>
  <c r="B72" i="9"/>
  <c r="B73" i="9"/>
  <c r="C7" i="5" s="1"/>
  <c r="AC41" i="8"/>
  <c r="I12" i="5" s="1"/>
  <c r="AC27" i="8"/>
  <c r="B74" i="9"/>
  <c r="F36" i="22" s="1"/>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B81" i="9"/>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F35" i="23" l="1"/>
  <c r="C8" i="5"/>
  <c r="C17" i="5"/>
  <c r="G36" i="22"/>
  <c r="D27" i="22"/>
  <c r="D16" i="22"/>
  <c r="D21" i="22" s="1"/>
  <c r="D12" i="22"/>
  <c r="D17" i="22" s="1"/>
  <c r="C15" i="5"/>
  <c r="E36" i="22"/>
  <c r="C11" i="5"/>
  <c r="C36" i="22"/>
  <c r="D88" i="22"/>
  <c r="D73" i="22"/>
  <c r="D77" i="22"/>
  <c r="D82" i="22" s="1"/>
  <c r="C13" i="5"/>
  <c r="D36" i="22"/>
  <c r="D124" i="22"/>
  <c r="D109" i="22"/>
  <c r="D114" i="22" s="1"/>
  <c r="D113" i="22"/>
  <c r="D118" i="22" s="1"/>
  <c r="C45" i="3"/>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D115" i="22" l="1"/>
  <c r="D122" i="22" s="1"/>
  <c r="D125" i="22" s="1"/>
  <c r="D129" i="22" s="1"/>
  <c r="D74" i="22"/>
  <c r="D75" i="22" s="1"/>
  <c r="D78" i="22"/>
  <c r="D79" i="22" s="1"/>
  <c r="D86" i="22" s="1"/>
  <c r="D89" i="22" s="1"/>
  <c r="D93" i="22" s="1"/>
  <c r="D13" i="22"/>
  <c r="D14" i="22" s="1"/>
  <c r="D110" i="22"/>
  <c r="D111" i="22" s="1"/>
  <c r="D18" i="22"/>
  <c r="D25" i="22" s="1"/>
  <c r="D28" i="22" s="1"/>
  <c r="D32" i="22" s="1"/>
  <c r="F10" i="23"/>
  <c r="F11" i="23" s="1"/>
  <c r="F28" i="23" s="1"/>
  <c r="I10" i="5"/>
  <c r="AD56" i="8"/>
  <c r="AC49" i="8"/>
  <c r="AD49" i="8" s="1"/>
  <c r="O3" i="8"/>
  <c r="AC3" i="8" s="1"/>
  <c r="N64" i="8"/>
  <c r="AC64" i="8" s="1"/>
  <c r="E30" i="7"/>
  <c r="AC38" i="8"/>
  <c r="AD38" i="8" s="1"/>
  <c r="AC44" i="8"/>
  <c r="AD44" i="8" s="1"/>
  <c r="N24" i="8"/>
  <c r="AC24" i="8" s="1"/>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D94" i="22" l="1"/>
  <c r="D130" i="22"/>
  <c r="D33" i="22"/>
  <c r="AD3" i="8"/>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U11" i="8"/>
  <c r="W11" i="8" s="1"/>
  <c r="U2" i="8"/>
  <c r="W2" i="8" s="1"/>
  <c r="AF2" i="8" s="1"/>
  <c r="V19" i="8"/>
  <c r="U31" i="8"/>
  <c r="U36" i="8"/>
  <c r="U22" i="8"/>
  <c r="U57" i="8"/>
  <c r="U26" i="8"/>
  <c r="U42" i="8"/>
  <c r="W42" i="8" s="1"/>
  <c r="AE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AE44" i="8" s="1"/>
  <c r="U59" i="8"/>
  <c r="U17" i="8"/>
  <c r="W17" i="8" s="1"/>
  <c r="U25" i="8"/>
  <c r="W25" i="8" s="1"/>
  <c r="V4" i="8"/>
  <c r="U39" i="8"/>
  <c r="W39" i="8" s="1"/>
  <c r="AC19" i="8"/>
  <c r="U23" i="8"/>
  <c r="W23" i="8" s="1"/>
  <c r="V59" i="8"/>
  <c r="U60" i="8"/>
  <c r="W60" i="8" s="1"/>
  <c r="U8" i="8"/>
  <c r="W8" i="8" s="1"/>
  <c r="U7" i="8"/>
  <c r="W7" i="8" s="1"/>
  <c r="U45" i="8"/>
  <c r="W45" i="8" s="1"/>
  <c r="AE45" i="8" s="1"/>
  <c r="U4" i="8"/>
  <c r="U19" i="8"/>
  <c r="U38" i="8"/>
  <c r="W38" i="8" s="1"/>
  <c r="U10" i="8"/>
  <c r="W10" i="8" s="1"/>
  <c r="U20" i="8"/>
  <c r="W20" i="8" s="1"/>
  <c r="U24" i="8"/>
  <c r="W24" i="8" s="1"/>
  <c r="U3" i="8"/>
  <c r="W3" i="8" s="1"/>
  <c r="U48" i="8"/>
  <c r="W48" i="8" s="1"/>
  <c r="AE48" i="8" s="1"/>
  <c r="Z11" i="8"/>
  <c r="AA11" i="8" s="1"/>
  <c r="AF11" i="8"/>
  <c r="X11" i="8"/>
  <c r="U35" i="8"/>
  <c r="W35" i="8" s="1"/>
  <c r="U50" i="8"/>
  <c r="W50" i="8" s="1"/>
  <c r="AE50" i="8" s="1"/>
  <c r="U9" i="8"/>
  <c r="W9" i="8" s="1"/>
  <c r="U64" i="8"/>
  <c r="W64" i="8" s="1"/>
  <c r="U61" i="8"/>
  <c r="W61" i="8" s="1"/>
  <c r="U28" i="8"/>
  <c r="W28" i="8" s="1"/>
  <c r="U58" i="8"/>
  <c r="W58" i="8" s="1"/>
  <c r="Z47" i="8" l="1"/>
  <c r="AA47" i="8" s="1"/>
  <c r="AE47" i="8"/>
  <c r="AF47" i="8" s="1"/>
  <c r="D14" i="5" s="1"/>
  <c r="W4" i="8"/>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W37" i="8"/>
  <c r="AF37" i="8" s="1"/>
  <c r="D12" i="5" s="1"/>
  <c r="W41" i="8"/>
  <c r="Z41" i="8" s="1"/>
  <c r="AA41" i="8" s="1"/>
  <c r="W43" i="8"/>
  <c r="W6" i="8"/>
  <c r="Z6" i="8" s="1"/>
  <c r="AA6" i="8" s="1"/>
  <c r="W46" i="8"/>
  <c r="W26" i="8"/>
  <c r="AF26" i="8" s="1"/>
  <c r="W36" i="8"/>
  <c r="AF36" i="8" s="1"/>
  <c r="W56" i="8"/>
  <c r="Z56" i="8" s="1"/>
  <c r="AA56" i="8" s="1"/>
  <c r="W54" i="8"/>
  <c r="Z54" i="8" s="1"/>
  <c r="AA54" i="8" s="1"/>
  <c r="W66" i="8"/>
  <c r="AF66" i="8" s="1"/>
  <c r="W57" i="8"/>
  <c r="Z57" i="8" s="1"/>
  <c r="AA57" i="8" s="1"/>
  <c r="W51" i="8"/>
  <c r="W63" i="8"/>
  <c r="AF63" i="8" s="1"/>
  <c r="W30" i="8"/>
  <c r="Z30" i="8" s="1"/>
  <c r="AA30" i="8" s="1"/>
  <c r="W14" i="8"/>
  <c r="X14" i="8" s="1"/>
  <c r="W33" i="8"/>
  <c r="AF33" i="8" s="1"/>
  <c r="C28" i="3" s="1"/>
  <c r="W62" i="8"/>
  <c r="X62" i="8" s="1"/>
  <c r="AF32" i="8"/>
  <c r="X47" i="8"/>
  <c r="X2" i="8"/>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Z49" i="8" l="1"/>
  <c r="AA49" i="8" s="1"/>
  <c r="AE49" i="8"/>
  <c r="AF49" i="8" s="1"/>
  <c r="E14" i="5" s="1"/>
  <c r="X51" i="8"/>
  <c r="AE51" i="8"/>
  <c r="AF51" i="8" s="1"/>
  <c r="Z43" i="8"/>
  <c r="AA43" i="8" s="1"/>
  <c r="AE43" i="8"/>
  <c r="Z46" i="8"/>
  <c r="AA46" i="8" s="1"/>
  <c r="AE46" i="8"/>
  <c r="C33" i="23"/>
  <c r="C41" i="22"/>
  <c r="C42" i="22" s="1"/>
  <c r="C43" i="22" s="1"/>
  <c r="D11" i="5"/>
  <c r="F41" i="22"/>
  <c r="F42" i="22" s="1"/>
  <c r="F43" i="22" s="1"/>
  <c r="D8" i="5"/>
  <c r="D33" i="23"/>
  <c r="D13" i="5"/>
  <c r="D41" i="22"/>
  <c r="D42" i="22" s="1"/>
  <c r="D43" i="22" s="1"/>
  <c r="Z37" i="8"/>
  <c r="AA37" i="8" s="1"/>
  <c r="X37" i="8"/>
  <c r="Z34" i="8"/>
  <c r="AA34" i="8" s="1"/>
  <c r="X34" i="8"/>
  <c r="AF22" i="8"/>
  <c r="D9" i="5" s="1"/>
  <c r="X22" i="8"/>
  <c r="X33" i="8"/>
  <c r="AF56" i="8"/>
  <c r="F15" i="5" s="1"/>
  <c r="X56" i="8"/>
  <c r="Z63" i="8"/>
  <c r="AA63" i="8" s="1"/>
  <c r="Z19" i="8"/>
  <c r="AA19" i="8" s="1"/>
  <c r="X63" i="8"/>
  <c r="Z51" i="8"/>
  <c r="AA51" i="8" s="1"/>
  <c r="Z62" i="8"/>
  <c r="AA62" i="8" s="1"/>
  <c r="AF31" i="8"/>
  <c r="X57" i="8"/>
  <c r="AF62" i="8"/>
  <c r="X43" i="8"/>
  <c r="X31" i="8"/>
  <c r="E11" i="5"/>
  <c r="C29" i="3"/>
  <c r="X54" i="8"/>
  <c r="X6" i="8"/>
  <c r="AF6" i="8"/>
  <c r="F5" i="5" s="1"/>
  <c r="Z33" i="8"/>
  <c r="AA33" i="8" s="1"/>
  <c r="AF46" i="8"/>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E41" i="22" l="1"/>
  <c r="E42" i="22" s="1"/>
  <c r="E43" i="22" s="1"/>
  <c r="G33" i="23"/>
  <c r="C7" i="4"/>
  <c r="C8" i="4" s="1"/>
  <c r="D17" i="5"/>
  <c r="E33" i="23"/>
  <c r="G41" i="22"/>
  <c r="G42" i="22" s="1"/>
  <c r="G43" i="22" s="1"/>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<sst xmlns="http://schemas.openxmlformats.org/spreadsheetml/2006/main" count="1534" uniqueCount="848">
  <si>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</si>
  <si>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</si>
  <si>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</si>
  <si>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</si>
  <si>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</si>
  <si>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</si>
  <si>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</si>
  <si>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</si>
  <si>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</si>
  <si>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</si>
  <si>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</si>
  <si>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</si>
  <si>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</si>
  <si>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</si>
  <si>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</si>
  <si>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</si>
  <si>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</si>
  <si>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</si>
  <si>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</si>
  <si>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</si>
  <si>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</si>
  <si>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</si>
  <si>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</si>
  <si>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</si>
  <si>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</si>
  <si>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</si>
  <si>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</si>
  <si>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</si>
  <si>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</si>
  <si>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</si>
  <si>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</si>
  <si>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</si>
  <si>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</si>
  <si>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</si>
  <si>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</si>
  <si>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</si>
  <si>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</si>
  <si>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</si>
  <si>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</si>
  <si>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</si>
  <si>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</si>
  <si>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</si>
  <si>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</si>
  <si>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</si>
  <si>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</si>
  <si>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</si>
  <si>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</si>
  <si>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</si>
  <si>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</si>
  <si>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</si>
  <si>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</si>
  <si>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</si>
  <si>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</si>
  <si>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</si>
  <si>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</si>
  <si>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</si>
  <si>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</si>
  <si>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</si>
  <si>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</si>
  <si>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</si>
  <si>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</si>
  <si>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</si>
  <si>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</si>
  <si>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</si>
  <si>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</si>
  <si>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</si>
  <si>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</si>
  <si>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</si>
  <si>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</si>
  <si>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</si>
  <si>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</si>
  <si>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</si>
  <si>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</si>
  <si>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</si>
  <si>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</si>
  <si>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</si>
  <si>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</si>
  <si>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</si>
  <si>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</si>
  <si>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</si>
  <si>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</si>
  <si>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</si>
  <si>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</si>
  <si>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</si>
  <si>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</si>
  <si>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</si>
  <si>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</si>
  <si>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</si>
  <si>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</si>
  <si>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</si>
  <si>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</si>
  <si>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</si>
  <si>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</si>
  <si>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</si>
  <si>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</si>
  <si>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</si>
  <si>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</si>
  <si>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</si>
  <si>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</si>
  <si>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</si>
  <si>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</si>
  <si>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</si>
  <si>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</si>
  <si>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</si>
  <si>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</si>
  <si>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</si>
  <si>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</si>
  <si>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</si>
  <si>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</si>
  <si>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</si>
  <si>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</si>
  <si>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</si>
  <si>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</si>
  <si>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</si>
  <si>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</si>
  <si>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</si>
  <si>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</si>
  <si>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</si>
  <si>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</si>
  <si>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</si>
  <si>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</si>
  <si>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</si>
  <si>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</si>
  <si>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</si>
  <si>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</si>
  <si>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</si>
  <si>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</si>
  <si>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</si>
  <si>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</si>
  <si>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</si>
  <si>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</si>
  <si>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</si>
  <si>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</si>
  <si>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</si>
  <si>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</si>
  <si>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</si>
  <si>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</si>
  <si>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</si>
  <si>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</si>
  <si>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</si>
  <si>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</si>
  <si>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</si>
  <si>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</si>
  <si>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</si>
  <si>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</si>
  <si>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</si>
  <si>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</si>
  <si>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</si>
  <si>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</si>
  <si>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</si>
  <si>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</si>
  <si>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</si>
  <si>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</si>
  <si>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</si>
  <si>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</si>
  <si>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</si>
  <si>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</si>
  <si>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</si>
  <si>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</si>
  <si>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</si>
  <si>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</si>
  <si>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</si>
  <si>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</si>
  <si>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</si>
  <si>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</si>
  <si>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</si>
  <si>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</si>
  <si>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</si>
  <si>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</si>
  <si>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</si>
  <si>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</si>
  <si>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</si>
  <si>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</si>
  <si>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</si>
  <si>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</si>
  <si>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</si>
  <si>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</si>
  <si>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</si>
  <si>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</si>
  <si>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</si>
  <si>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</si>
  <si>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</si>
  <si>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</si>
  <si>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</si>
  <si>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</si>
  <si>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</si>
  <si>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</si>
  <si>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</si>
  <si>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</si>
  <si>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</si>
  <si>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</si>
  <si>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</si>
  <si>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</si>
  <si>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</si>
  <si>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</si>
  <si>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</si>
  <si>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</si>
  <si>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</si>
  <si>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</si>
  <si>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</si>
  <si>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</si>
  <si>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</si>
  <si>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</si>
  <si>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</si>
  <si>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</si>
  <si>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</si>
  <si>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</si>
  <si>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</si>
  <si>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</si>
  <si>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</si>
  <si>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</si>
  <si>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</si>
  <si>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</si>
  <si>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</si>
  <si>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</si>
  <si>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</si>
  <si>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</si>
  <si>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</si>
  <si>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</si>
  <si>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</si>
  <si>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</si>
  <si>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</si>
  <si>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</si>
  <si>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</si>
  <si>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</si>
  <si>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</si>
  <si>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</si>
  <si>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</si>
  <si>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</si>
  <si>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</si>
  <si>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</si>
  <si>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</si>
  <si>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</si>
  <si>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</si>
  <si>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</si>
  <si>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</si>
  <si>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</si>
  <si>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</si>
  <si>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</si>
  <si>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</si>
  <si>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</si>
  <si>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</si>
  <si>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</si>
  <si>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</si>
  <si>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</si>
  <si>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</si>
  <si>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</si>
  <si>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</si>
  <si>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</si>
  <si>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</si>
  <si>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</si>
  <si>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</si>
  <si>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</si>
  <si>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</si>
  <si>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</si>
  <si>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</si>
  <si>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</si>
  <si>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</si>
  <si>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</si>
  <si>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</si>
  <si>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</si>
  <si>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</si>
  <si>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</si>
  <si>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</si>
  <si>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</si>
  <si>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</si>
  <si>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</si>
  <si>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</si>
  <si>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</si>
  <si>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</si>
  <si>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</si>
  <si>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</si>
  <si>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</si>
  <si>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</si>
  <si>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</si>
  <si>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</si>
  <si>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</si>
  <si>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</si>
  <si>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</si>
  <si>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</si>
  <si>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</si>
  <si>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</si>
  <si>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</si>
  <si>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</si>
  <si>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</si>
  <si>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</si>
  <si>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</si>
  <si>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</si>
  <si>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</si>
  <si>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</si>
  <si>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</si>
  <si>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</si>
  <si>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</si>
  <si>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</si>
  <si>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</si>
  <si>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</si>
  <si>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</si>
  <si>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</si>
  <si>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</si>
  <si>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</si>
  <si>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</si>
  <si>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</si>
  <si>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</si>
  <si>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</si>
  <si>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</si>
  <si>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</si>
  <si>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</si>
  <si>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</si>
  <si>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</si>
  <si>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</si>
  <si>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</si>
  <si>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</si>
  <si>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</si>
  <si>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</si>
  <si>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</si>
  <si>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</si>
  <si>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</si>
  <si>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</si>
  <si>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</si>
  <si>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</si>
  <si>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</si>
  <si>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</si>
  <si>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</si>
  <si>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</si>
  <si>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</si>
  <si>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</si>
  <si>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</si>
  <si>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</si>
  <si>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</si>
  <si>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</si>
  <si>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</si>
  <si>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</si>
  <si>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</si>
  <si>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</si>
  <si>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</si>
  <si>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</si>
  <si>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</si>
  <si>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</si>
  <si>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</si>
  <si>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</si>
  <si>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</si>
  <si>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</si>
  <si>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</si>
  <si>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</si>
  <si>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</si>
  <si>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</si>
  <si>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</si>
  <si>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</si>
  <si>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</si>
  <si>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</si>
  <si>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</si>
  <si>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</si>
  <si>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</si>
  <si>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</si>
  <si>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</si>
  <si>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</si>
  <si>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</si>
  <si>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</si>
  <si>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</si>
  <si>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</si>
  <si>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</si>
  <si>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</si>
  <si>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</si>
  <si>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</si>
  <si>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</si>
  <si>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</si>
  <si>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</si>
  <si>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</si>
  <si>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</si>
  <si>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</si>
  <si>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</si>
  <si>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</si>
  <si>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</si>
  <si>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</si>
  <si>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</si>
  <si>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</si>
  <si>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</si>
  <si>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</si>
  <si>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</si>
  <si>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</si>
  <si>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</si>
  <si>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</si>
  <si>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</si>
  <si>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</si>
  <si>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</si>
  <si>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</si>
  <si>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</si>
  <si>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</si>
  <si>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</si>
  <si>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</si>
  <si>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</si>
  <si>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</si>
  <si>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</si>
  <si>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</si>
  <si>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</si>
  <si>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</si>
  <si>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</si>
  <si>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</si>
  <si>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</si>
  <si>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</si>
  <si>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</si>
  <si>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</si>
  <si>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</si>
  <si>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</si>
  <si>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</si>
  <si>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</si>
  <si>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</si>
  <si>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</si>
  <si>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</si>
  <si>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</si>
  <si>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</si>
  <si>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</si>
  <si>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</si>
  <si>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</si>
  <si>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</si>
  <si>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</si>
  <si>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</si>
  <si>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</si>
  <si>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</si>
  <si>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</si>
  <si>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</si>
  <si>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</si>
  <si>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</si>
  <si>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</si>
  <si>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</si>
  <si>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</si>
  <si>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</si>
  <si>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</si>
  <si>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</si>
  <si>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</si>
  <si>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</si>
  <si>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</si>
  <si>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</si>
  <si>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</si>
  <si>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</si>
  <si>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</si>
  <si>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</si>
  <si>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</si>
  <si>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</si>
  <si>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</si>
  <si>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</si>
  <si>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</si>
  <si>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</si>
  <si>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</si>
  <si>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</si>
  <si>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</si>
  <si>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</si>
  <si>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</si>
  <si>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</si>
  <si>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</si>
  <si>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</si>
  <si>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</si>
  <si>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</si>
  <si>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</si>
  <si>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</si>
  <si>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</si>
  <si>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</si>
  <si>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</si>
  <si>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</si>
  <si>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</si>
  <si>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</si>
  <si>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</si>
  <si>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</si>
  <si>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</si>
  <si>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</si>
  <si>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</si>
  <si>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</si>
  <si>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</si>
  <si>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</si>
  <si>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</si>
  <si>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</si>
  <si>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</si>
  <si>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</si>
  <si>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</si>
  <si>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</si>
  <si>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</si>
  <si>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</si>
  <si>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</si>
  <si>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</si>
  <si>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</si>
  <si>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</si>
  <si>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</si>
  <si>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</si>
  <si>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</si>
  <si>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</si>
  <si>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</si>
  <si>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</si>
  <si>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</si>
  <si>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</si>
  <si>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</si>
  <si>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</si>
  <si>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</si>
  <si>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</si>
  <si>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</si>
  <si>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</si>
  <si>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</si>
  <si>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</si>
  <si>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</si>
  <si>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</si>
  <si>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</si>
  <si>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</si>
  <si>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</si>
  <si>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</si>
  <si>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</si>
  <si>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</si>
  <si>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</si>
  <si>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</si>
  <si>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</si>
  <si>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</si>
  <si>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</si>
  <si>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</si>
  <si>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</si>
  <si>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</si>
  <si>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</si>
  <si>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</si>
  <si>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</si>
  <si>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</si>
  <si>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</si>
  <si>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</si>
  <si>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</si>
  <si>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</si>
  <si>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</si>
  <si>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</si>
  <si>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</si>
  <si>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</si>
  <si>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</si>
  <si>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</si>
  <si>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</si>
  <si>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</si>
  <si>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</si>
  <si>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</si>
  <si>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</si>
  <si>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</si>
  <si>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</si>
  <si>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</si>
  <si>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</si>
  <si>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</si>
  <si>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</si>
  <si>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</si>
  <si>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</si>
  <si>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</si>
  <si>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</si>
  <si>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</si>
  <si>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</si>
  <si>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</si>
  <si>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</si>
  <si>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</si>
  <si>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</si>
  <si>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</si>
  <si>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</si>
  <si>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</si>
  <si>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</si>
  <si>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</si>
  <si>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</si>
  <si>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</si>
  <si>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</si>
  <si>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</si>
  <si>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</si>
  <si>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</si>
  <si>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</si>
  <si>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</si>
  <si>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</si>
  <si>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</si>
  <si>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</si>
  <si>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</si>
  <si>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</si>
  <si>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</si>
  <si>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</si>
  <si>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</si>
  <si>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</si>
  <si>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</si>
  <si>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</si>
  <si>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</si>
  <si>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</si>
  <si>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</si>
  <si>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</si>
  <si>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</si>
  <si>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</si>
  <si>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</si>
  <si>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</si>
  <si>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</si>
  <si>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</si>
  <si>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</si>
  <si>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</si>
  <si>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</si>
  <si>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</si>
  <si>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</si>
  <si>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</si>
  <si>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</si>
  <si>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</si>
  <si>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</si>
  <si>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</si>
  <si>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</si>
  <si>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</si>
  <si>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</si>
  <si>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</si>
  <si>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</si>
  <si>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</si>
  <si>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</si>
  <si>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</si>
  <si>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</si>
  <si>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</si>
  <si>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</si>
  <si>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</si>
  <si>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</si>
  <si>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</si>
  <si>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</si>
  <si>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</si>
  <si>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</si>
  <si>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</si>
  <si>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</si>
  <si>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</si>
  <si>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</si>
  <si>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</si>
  <si>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</si>
  <si>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</si>
  <si>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</si>
  <si>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</si>
  <si>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</si>
  <si>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</si>
  <si>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</si>
  <si>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</si>
  <si>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</si>
  <si>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</si>
  <si>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</si>
  <si>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</si>
  <si>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</si>
  <si>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</si>
  <si>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</si>
  <si>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</si>
  <si>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</si>
  <si>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</si>
  <si>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</si>
  <si>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</si>
  <si>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</si>
  <si>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</si>
  <si>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</si>
  <si>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</si>
  <si>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</si>
  <si>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</si>
  <si>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</si>
  <si>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</si>
  <si>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</si>
  <si>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</si>
  <si>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</si>
  <si>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</si>
  <si>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</si>
  <si>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</si>
  <si>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</si>
  <si>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</si>
  <si>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</si>
  <si>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</si>
  <si>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</si>
  <si>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</si>
  <si>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</si>
  <si>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</si>
  <si>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</si>
  <si>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</si>
  <si>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</si>
  <si>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</si>
  <si>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</si>
  <si>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</si>
  <si>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</si>
  <si>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</si>
  <si>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</si>
  <si>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</si>
  <si>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</si>
  <si>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</si>
  <si>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</si>
  <si>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</si>
  <si>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</si>
  <si>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</si>
  <si>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</si>
  <si>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</si>
  <si>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</si>
  <si>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</si>
  <si>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</si>
  <si>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</si>
  <si>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</si>
  <si>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</si>
  <si>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</si>
  <si>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</si>
  <si>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</si>
  <si>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</si>
  <si>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</si>
  <si>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</si>
  <si>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</si>
  <si>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</si>
  <si>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</si>
  <si>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</si>
  <si>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</si>
  <si>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</si>
  <si>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</si>
  <si>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</si>
  <si>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</si>
  <si>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</si>
  <si>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</si>
  <si>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</si>
  <si>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</si>
  <si>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</si>
  <si>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</si>
  <si>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</si>
  <si>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</si>
  <si>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</si>
  <si>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</si>
  <si>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</si>
  <si>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</si>
  <si>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</si>
  <si>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</si>
  <si>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</si>
  <si>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</si>
  <si>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</si>
  <si>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</si>
  <si>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</si>
  <si>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</si>
  <si>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</si>
  <si>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</si>
  <si>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</si>
  <si>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</si>
  <si>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</si>
  <si>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</si>
  <si>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</si>
  <si>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</si>
  <si>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</si>
  <si>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</si>
  <si>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</si>
  <si>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</si>
  <si>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</si>
  <si>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</si>
  <si>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</si>
  <si>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</si>
  <si>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</si>
  <si>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</si>
  <si>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</si>
  <si>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</si>
  <si>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</si>
  <si>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</si>
  <si>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</si>
  <si>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</si>
  <si>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</si>
  <si>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</si>
  <si>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</si>
  <si>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</si>
  <si>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</si>
  <si>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</si>
  <si>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</si>
  <si>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</si>
  <si>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</si>
  <si>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</si>
  <si>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</si>
  <si>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</si>
  <si>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</si>
  <si>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</si>
  <si>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</si>
  <si>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</si>
  <si>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</si>
  <si>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</si>
  <si>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</si>
  <si>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</si>
  <si>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</si>
  <si>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</si>
  <si>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</si>
  <si>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</si>
  <si>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</si>
  <si>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</si>
  <si>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</si>
  <si>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</si>
  <si>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</si>
  <si>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</si>
  <si>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</si>
  <si>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</si>
  <si>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</si>
  <si>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</si>
  <si>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</si>
  <si>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</si>
  <si>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</si>
  <si>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</si>
  <si>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</si>
  <si>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</si>
  <si>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</si>
  <si>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</si>
  <si>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</si>
  <si>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</si>
  <si>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</si>
  <si>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</si>
  <si>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</si>
  <si>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</si>
  <si>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</si>
  <si>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</si>
  <si>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</si>
  <si>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</si>
  <si>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</si>
  <si>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</si>
  <si>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</si>
  <si>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Light discipline if sites remain open.</t>
  </si>
  <si>
    <t>Total 'revenue'</t>
  </si>
  <si>
    <t>Total variable gross cost of non-new students</t>
  </si>
  <si>
    <t xml:space="preserve">Variable gross M&amp;O + growth overhead / new student </t>
  </si>
  <si>
    <t>Total variable gross cost of new students</t>
  </si>
  <si>
    <t>Transition cost (routing, transportation, etc.) FY26</t>
  </si>
  <si>
    <t>Total transition cost FY26</t>
  </si>
  <si>
    <t>Estimated repurpose site fixed cost carry ratio</t>
  </si>
  <si>
    <t>Net fixed cost total</t>
  </si>
  <si>
    <t>Net operating $ FY26</t>
  </si>
  <si>
    <t>(Check-MultiYear_Proforma) Net operating $ / year FY26</t>
  </si>
  <si>
    <t>Difference in MYP net vs. Dashboard net</t>
  </si>
  <si>
    <t>% difference in MYP net vs. Dashboard net</t>
  </si>
  <si>
    <t>A2</t>
  </si>
  <si>
    <t>B2</t>
  </si>
  <si>
    <t>C2</t>
  </si>
  <si>
    <t>D1</t>
  </si>
  <si>
    <t>E1</t>
  </si>
  <si>
    <t>Choose view &gt;&gt;</t>
  </si>
  <si>
    <t>Scenario A (Repurpose Both Lease)</t>
  </si>
  <si>
    <t>Scenario B (Repurpose Echo Lease; Grow Pima)</t>
  </si>
  <si>
    <t>Scenario C
(Repurpose Pima Lease; Grow Echo)</t>
  </si>
  <si>
    <t>Scenario D 
(Grow Both)</t>
  </si>
  <si>
    <t>Scenario E (Continued Decline)</t>
  </si>
  <si>
    <t>Echo retention ratio</t>
  </si>
  <si>
    <t>Pima retention ratio</t>
  </si>
  <si>
    <t xml:space="preserve">Per‑served revenue ($/ADM) </t>
  </si>
  <si>
    <t>Base+override;  to be conservative, small adjustment down for new students</t>
  </si>
  <si>
    <t>Districtwide gross Maint &amp; Operations cost per non-new ADM</t>
  </si>
  <si>
    <t xml:space="preserve">Variable cost / non-new ADM </t>
  </si>
  <si>
    <t>After discounting estimated fixed, adjusting for inflation</t>
  </si>
  <si>
    <t>Maintenance &amp; Operations referred to as "M&amp;O"</t>
  </si>
  <si>
    <t>M&amp;O = Maintenance &amp; Operations cost</t>
  </si>
  <si>
    <t xml:space="preserve">Incremental overhead per new student </t>
  </si>
  <si>
    <t>Estimted in model as proportion of repurpose transition cost</t>
  </si>
  <si>
    <t>Total variable gross M&amp;O cost</t>
  </si>
  <si>
    <t>Assuming adjustments in routing or other transportation investment needed for students displaced from repurpose; tapers over time</t>
  </si>
  <si>
    <t>Model sensitivity</t>
  </si>
  <si>
    <t xml:space="preserve">Marginal variable cost to add new students </t>
  </si>
  <si>
    <t>Variable gross M&amp;O / new student</t>
  </si>
  <si>
    <t>Go-forward scenario summary view*</t>
  </si>
  <si>
    <t>*SUSD-sourced data used wherever possible.  Sources and assumptions are noted in Inputs_Definitions_Sources</t>
  </si>
  <si>
    <t>Estimated proportion of full cost</t>
  </si>
  <si>
    <t xml:space="preserve">FY2026 </t>
  </si>
  <si>
    <t>ADM change FY30</t>
  </si>
  <si>
    <t>Students served FY30</t>
  </si>
  <si>
    <t>Transition cost (routing, transportation, etc.) FY30</t>
  </si>
  <si>
    <t>Total transition cost FY30</t>
  </si>
  <si>
    <t>Net operating $ FY30</t>
  </si>
  <si>
    <t>FY26 Capital investment</t>
  </si>
  <si>
    <t>Repurpose ECHO (lease) + Growth Hub @ Pima + Pima Op Growth Targets</t>
  </si>
  <si>
    <t>Repurpose ECHO (ops) + Growth Hub @ Pima + Pima Op Growth Targets</t>
  </si>
  <si>
    <t>Capital investment $ FY30</t>
  </si>
  <si>
    <t>Capital investment $ FY26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</si>
</sst>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9">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
      <sz val="10"/>
      <color theme="0" tint="-0.14999847407452621"/>
      <name val="Arial"/>
      <family val="2"/>
    </font>
    <font>
      <i/>
      <sz val="10"/>
      <color theme="1"/>
      <name val="Arial"/>
      <family val="2"/>
    </font>
  </fonts>
  <fills count="13">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s>
  <borders count="14">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5">
    <xf numFmtId="0" fontId="0" fillId="0" borderId="0"/>
    <xf numFmtId="44" fontId="3" fillId="0" borderId="0"/>
    <xf numFmtId="0" fontId="9" fillId="0" borderId="0"/>
    <xf numFmtId="0" fontId="11" fillId="0" borderId="0"/>
    <xf numFmtId="9" fontId="3" fillId="0" borderId="0" applyFont="0" applyFill="0" applyBorder="0" applyAlignment="0" applyProtection="0"/>
  </cellStyleXfs>
  <cellXfs count="169">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3" fillId="0" borderId="0" xfId="0" applyFont="1" applyAlignment="1">
      <alignment vertical="center" wrapText="1" readingOrder="1"/>
    </xf>
    <xf numFmtId="0" fontId="31" fillId="0" borderId="0" xfId="0" applyFont="1" applyAlignment="1">
      <alignment horizontal="center" vertical="center" wrapText="1"/>
    </xf>
    <xf numFmtId="0" fontId="35" fillId="0" borderId="0" xfId="0" applyFont="1" applyAlignment="1">
      <alignment vertical="center" wrapText="1" readingOrder="1"/>
    </xf>
    <xf numFmtId="9" fontId="34" fillId="0" borderId="0" xfId="4" applyFont="1" applyFill="1" applyBorder="1" applyAlignment="1">
      <alignment horizontal="center" vertical="center"/>
    </xf>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0" fontId="34" fillId="0" borderId="0" xfId="0" applyFont="1" applyFill="1" applyAlignment="1">
      <alignment horizontal="center" vertical="center"/>
    </xf>
    <xf numFmtId="0" fontId="34" fillId="0" borderId="0" xfId="0" applyFont="1" applyFill="1" applyBorder="1"/>
    <xf numFmtId="0" fontId="31"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1" fontId="34" fillId="0" borderId="0" xfId="0" applyNumberFormat="1" applyFont="1" applyFill="1" applyBorder="1" applyAlignment="1">
      <alignment horizontal="center" vertical="center"/>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5" fontId="34" fillId="0" borderId="0" xfId="0" applyNumberFormat="1" applyFont="1" applyFill="1" applyBorder="1" applyAlignment="1">
      <alignment horizontal="center" vertical="center"/>
    </xf>
    <xf numFmtId="0" fontId="34" fillId="0" borderId="0" xfId="0" applyFont="1" applyBorder="1"/>
    <xf numFmtId="0" fontId="34" fillId="0" borderId="0" xfId="0" applyFont="1" applyBorder="1" applyAlignment="1">
      <alignment horizontal="center" vertical="center"/>
    </xf>
    <xf numFmtId="0" fontId="37" fillId="0" borderId="0" xfId="0" applyFont="1" applyAlignment="1">
      <alignment horizontal="center" vertical="center"/>
    </xf>
    <xf numFmtId="0" fontId="36" fillId="0" borderId="11" xfId="0" applyFont="1" applyBorder="1" applyAlignment="1">
      <alignment horizontal="right" vertical="center"/>
    </xf>
    <xf numFmtId="0" fontId="36" fillId="3" borderId="10" xfId="0" applyFont="1" applyFill="1" applyBorder="1" applyAlignment="1">
      <alignment horizontal="center" vertical="center"/>
    </xf>
    <xf numFmtId="0" fontId="31" fillId="0" borderId="0" xfId="0" applyFont="1" applyFill="1" applyBorder="1" applyAlignment="1">
      <alignment horizontal="center" vertical="center" wrapText="1" readingOrder="1"/>
    </xf>
    <xf numFmtId="0" fontId="34" fillId="4" borderId="0" xfId="0" applyFont="1" applyFill="1" applyBorder="1"/>
    <xf numFmtId="5" fontId="33" fillId="4" borderId="0" xfId="0" applyNumberFormat="1" applyFont="1" applyFill="1" applyBorder="1" applyAlignment="1">
      <alignment horizontal="center" vertical="center" wrapText="1" readingOrder="1"/>
    </xf>
    <xf numFmtId="0" fontId="33" fillId="4" borderId="0" xfId="0" applyFont="1" applyFill="1" applyBorder="1" applyAlignment="1">
      <alignment horizontal="center" vertical="center" wrapText="1" readingOrder="1"/>
    </xf>
    <xf numFmtId="0" fontId="34" fillId="4" borderId="0" xfId="0" applyFont="1" applyFill="1" applyBorder="1" applyAlignment="1">
      <alignment horizontal="center" vertical="center"/>
    </xf>
    <xf numFmtId="0" fontId="34" fillId="0" borderId="0" xfId="0" applyFont="1" applyFill="1" applyBorder="1" applyAlignment="1">
      <alignment horizontal="left" indent="2"/>
    </xf>
    <xf numFmtId="0" fontId="33" fillId="0" borderId="0" xfId="0" applyFont="1" applyFill="1" applyBorder="1" applyAlignment="1">
      <alignment horizontal="left" vertical="center" wrapText="1" indent="4" readingOrder="1"/>
    </xf>
    <xf numFmtId="0" fontId="34" fillId="0" borderId="0" xfId="0" applyFont="1" applyFill="1" applyBorder="1" applyAlignment="1">
      <alignment horizontal="left" indent="4"/>
    </xf>
    <xf numFmtId="0" fontId="35" fillId="0" borderId="0" xfId="0" applyFont="1" applyFill="1" applyBorder="1" applyAlignment="1">
      <alignment horizontal="left" vertical="center" wrapText="1" indent="4" readingOrder="1"/>
    </xf>
    <xf numFmtId="0" fontId="34" fillId="4" borderId="0" xfId="0" applyFont="1" applyFill="1" applyBorder="1" applyAlignment="1">
      <alignment horizontal="left" indent="2"/>
    </xf>
    <xf numFmtId="0" fontId="34" fillId="4" borderId="0" xfId="0" applyFont="1" applyFill="1" applyBorder="1" applyAlignment="1">
      <alignment horizontal="left" indent="4"/>
    </xf>
    <xf numFmtId="5" fontId="34" fillId="0" borderId="13" xfId="0" applyNumberFormat="1" applyFont="1" applyFill="1" applyBorder="1" applyAlignment="1">
      <alignment horizontal="center" vertical="center"/>
    </xf>
    <xf numFmtId="5" fontId="34" fillId="0" borderId="12" xfId="0" applyNumberFormat="1" applyFont="1" applyFill="1" applyBorder="1" applyAlignment="1">
      <alignment horizontal="center" vertical="center"/>
    </xf>
    <xf numFmtId="0" fontId="36" fillId="0" borderId="10" xfId="0" applyFont="1" applyFill="1" applyBorder="1"/>
    <xf numFmtId="0" fontId="38" fillId="0" borderId="0" xfId="0" applyFont="1"/>
    <xf numFmtId="0" fontId="36" fillId="0" borderId="0" xfId="0" applyFont="1" applyBorder="1"/>
    <xf numFmtId="0" fontId="36" fillId="0" borderId="10" xfId="0" applyFont="1" applyBorder="1"/>
    <xf numFmtId="5" fontId="36" fillId="0" borderId="13" xfId="0" applyNumberFormat="1" applyFont="1" applyFill="1" applyBorder="1" applyAlignment="1">
      <alignment horizontal="center" vertical="center"/>
    </xf>
    <xf numFmtId="5" fontId="36" fillId="0" borderId="12" xfId="0" applyNumberFormat="1" applyFont="1" applyFill="1" applyBorder="1" applyAlignment="1">
      <alignment horizontal="center" vertical="center"/>
    </xf>
    <xf numFmtId="5" fontId="36" fillId="0" borderId="0" xfId="0" applyNumberFormat="1" applyFont="1" applyFill="1" applyBorder="1" applyAlignment="1">
      <alignment horizontal="center" vertical="center"/>
    </xf>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934438.20083439816</c:v>
                </c:pt>
                <c:pt idx="9">
                  <c:v>738640.3884443203</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683781.43425146921</c:v>
                </c:pt>
                <c:pt idx="9">
                  <c:v>486979.11361124518</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-1600000</c:v>
                </c:pt>
                <c:pt idx="9">
                  <c:v>-2000000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139710.41622982174</c:v>
                </c:pt>
                <c:pt idx="9">
                  <c:v>-57091.904410402291</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200" b="1" i="0">
                <a:solidFill>
                  <a:sysClr val="windowText" lastClr="000000"/>
                </a:solidFill>
                <a:effectLst/>
                <a:latin typeface="+mn-lt"/>
                <a:ea typeface="+mn-ea"/>
                <a:cs typeface="+mn-cs"/>
              </a:endParaRP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Refer to these</a:t>
              </a:r>
              <a:r>
                <a:rPr lang="en-US" sz="1200" b="1" i="0" baseline="0">
                  <a:solidFill>
                    <a:sysClr val="windowText" lastClr="000000"/>
                  </a:solidFill>
                  <a:effectLst/>
                  <a:latin typeface="+mn-lt"/>
                  <a:ea typeface="+mn-ea"/>
                  <a:cs typeface="+mn-cs"/>
                </a:rPr>
                <a:t> as known gaps in the model (but suggest we are making what we think are reasonable assumptions instead / ahead of having the correct data)...</a:t>
              </a: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Financial Invalidity:</a:t>
              </a:r>
              <a:r>
                <a:rPr lang="en-US" sz="1200" b="0" i="0">
                  <a:solidFill>
                    <a:sysClr val="windowText" lastClr="000000"/>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solidFill>
                  <a:sysClr val="windowText" lastClr="000000"/>
                </a:solidFill>
                <a:effectLst/>
              </a:endParaRPr>
            </a:p>
            <a:p>
              <a:r>
                <a:rPr lang="en-US" sz="1200" b="1" i="0">
                  <a:solidFill>
                    <a:sysClr val="windowText" lastClr="000000"/>
                  </a:solidFill>
                  <a:effectLst/>
                  <a:latin typeface="+mn-lt"/>
                  <a:ea typeface="+mn-ea"/>
                  <a:cs typeface="+mn-cs"/>
                </a:rPr>
                <a:t>Critical Flaw 2 (Logistical Invalidity):</a:t>
              </a:r>
              <a:r>
                <a:rPr lang="en-US" sz="1200" b="0" i="0">
                  <a:solidFill>
                    <a:sysClr val="windowText" lastClr="000000"/>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ysClr val="windowText" lastClr="000000"/>
                </a:solidFill>
                <a:effectLst/>
                <a:latin typeface="+mn-lt"/>
                <a:ea typeface="+mn-ea"/>
                <a:cs typeface="+mn-cs"/>
              </a:endParaRPr>
            </a:p>
            <a:p>
              <a:r>
                <a:rPr lang="en-US" sz="1200" b="0" i="0">
                  <a:solidFill>
                    <a:sysClr val="windowText" lastClr="000000"/>
                  </a:solidFill>
                  <a:effectLst/>
                  <a:latin typeface="+mn-lt"/>
                  <a:ea typeface="+mn-ea"/>
                  <a:cs typeface="+mn-cs"/>
                </a:rPr>
                <a:t>--emphasize the point that maybe</a:t>
              </a:r>
              <a:r>
                <a:rPr lang="en-US" sz="1200" b="0" i="0" baseline="0">
                  <a:solidFill>
                    <a:sysClr val="windowText" lastClr="000000"/>
                  </a:solidFill>
                  <a:effectLst/>
                  <a:latin typeface="+mn-lt"/>
                  <a:ea typeface="+mn-ea"/>
                  <a:cs typeface="+mn-cs"/>
                </a:rPr>
                <a:t> we just need to be budget-neutral or positive... we don't necessarily need to beat repurpose</a:t>
              </a:r>
              <a:endParaRPr lang="en-US" sz="1200">
                <a:solidFill>
                  <a:sysClr val="windowText" lastClr="000000"/>
                </a:solidFill>
                <a:effectLst/>
              </a:endParaRPr>
            </a:p>
            <a:p>
              <a:pPr algn="l"/>
              <a:endParaRPr lang="en-US" sz="1200">
                <a:solidFill>
                  <a:sysClr val="windowText" lastClr="000000"/>
                </a:solidFill>
              </a:endParaRPr>
            </a:p>
            <a:p>
              <a:pPr algn="l"/>
              <a:r>
                <a:rPr lang="en-US" sz="1200">
                  <a:solidFill>
                    <a:sysClr val="windowText" lastClr="000000"/>
                  </a:solidFill>
                </a:rPr>
                <a:t>--get</a:t>
              </a:r>
              <a:r>
                <a:rPr lang="en-US" sz="1200" baseline="0">
                  <a:solidFill>
                    <a:sysClr val="windowText" lastClr="000000"/>
                  </a:solidFill>
                </a:rPr>
                <a:t> rid of control center tab</a:t>
              </a:r>
            </a:p>
            <a:p>
              <a:pPr algn="l"/>
              <a:endParaRPr lang="en-US" sz="1200" baseline="0">
                <a:solidFill>
                  <a:sysClr val="windowText" lastClr="000000"/>
                </a:solidFill>
              </a:endParaRPr>
            </a:p>
            <a:p>
              <a:pPr algn="l"/>
              <a:r>
                <a:rPr lang="en-US" sz="1200" baseline="0">
                  <a:solidFill>
                    <a:sysClr val="windowText" lastClr="000000"/>
                  </a:solidFill>
                </a:rPr>
                <a:t>--</a:t>
              </a:r>
              <a:r>
                <a:rPr lang="en-US" sz="1100" b="1" i="0">
                  <a:solidFill>
                    <a:sysClr val="windowText" lastClr="000000"/>
                  </a:solidFill>
                  <a:effectLst/>
                  <a:latin typeface="+mn-lt"/>
                  <a:ea typeface="+mn-ea"/>
                  <a:cs typeface="+mn-cs"/>
                </a:rPr>
                <a:t>Flag Proxy Savings:</a:t>
              </a:r>
              <a:r>
                <a:rPr lang="en-US" sz="1100" b="0" i="0">
                  <a:solidFill>
                    <a:sysClr val="windowText" lastClr="000000"/>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ysClr val="windowText" lastClr="000000"/>
                </a:solidFill>
                <a:effectLst/>
                <a:latin typeface="+mn-lt"/>
                <a:ea typeface="+mn-ea"/>
                <a:cs typeface="+mn-cs"/>
              </a:endParaRPr>
            </a:p>
            <a:p>
              <a:pPr algn="l"/>
              <a:r>
                <a:rPr lang="en-US" sz="1100" b="0" i="0">
                  <a:solidFill>
                    <a:sysClr val="windowText" lastClr="000000"/>
                  </a:solidFill>
                  <a:effectLst/>
                  <a:latin typeface="+mn-lt"/>
                  <a:ea typeface="+mn-ea"/>
                  <a:cs typeface="+mn-cs"/>
                </a:rPr>
                <a:t>--</a:t>
              </a:r>
              <a:r>
                <a:rPr lang="en-US" sz="1100" b="1" i="0">
                  <a:solidFill>
                    <a:sysClr val="windowText" lastClr="000000"/>
                  </a:solidFill>
                  <a:effectLst/>
                  <a:latin typeface="+mn-lt"/>
                  <a:ea typeface="+mn-ea"/>
                  <a:cs typeface="+mn-cs"/>
                </a:rPr>
                <a:t>Harmonize Conflicting Inputs:</a:t>
              </a:r>
              <a:r>
                <a:rPr lang="en-US" sz="1100" b="0" i="0">
                  <a:solidFill>
                    <a:sysClr val="windowText" lastClr="000000"/>
                  </a:solidFill>
                  <a:effectLst/>
                  <a:latin typeface="+mn-lt"/>
                  <a:ea typeface="+mn-ea"/>
                  <a:cs typeface="+mn-cs"/>
                </a:rPr>
                <a:t> In Parameters_Public , change cell C43 (MarginalFactor_for_Overlay) from 0.6 to </a:t>
              </a:r>
              <a:r>
                <a:rPr lang="en-US" sz="1100" b="1" i="0">
                  <a:solidFill>
                    <a:sysClr val="windowText" lastClr="000000"/>
                  </a:solidFill>
                  <a:effectLst/>
                  <a:latin typeface="+mn-lt"/>
                  <a:ea typeface="+mn-ea"/>
                  <a:cs typeface="+mn-cs"/>
                </a:rPr>
                <a:t>0.50</a:t>
              </a:r>
              <a:r>
                <a:rPr lang="en-US" sz="1100" b="0" i="0">
                  <a:solidFill>
                    <a:sysClr val="windowText" lastClr="000000"/>
                  </a:solidFill>
                  <a:effectLst/>
                  <a:latin typeface="+mn-lt"/>
                  <a:ea typeface="+mn-ea"/>
                  <a:cs typeface="+mn-cs"/>
                </a:rPr>
                <a:t>. This aligns the </a:t>
              </a:r>
              <a:r>
                <a:rPr lang="en-US" sz="1100" b="0" i="1">
                  <a:solidFill>
                    <a:sysClr val="windowText" lastClr="000000"/>
                  </a:solidFill>
                  <a:effectLst/>
                  <a:latin typeface="+mn-lt"/>
                  <a:ea typeface="+mn-ea"/>
                  <a:cs typeface="+mn-cs"/>
                </a:rPr>
                <a:t>live model</a:t>
              </a:r>
              <a:r>
                <a:rPr lang="en-US" sz="1100" b="0" i="0">
                  <a:solidFill>
                    <a:sysClr val="windowText" lastClr="000000"/>
                  </a:solidFill>
                  <a:effectLst/>
                  <a:latin typeface="+mn-lt"/>
                  <a:ea typeface="+mn-ea"/>
                  <a:cs typeface="+mn-cs"/>
                </a:rPr>
                <a:t> with the </a:t>
              </a:r>
              <a:r>
                <a:rPr lang="en-US" sz="1100" b="0" i="1">
                  <a:solidFill>
                    <a:sysClr val="windowText" lastClr="000000"/>
                  </a:solidFill>
                  <a:effectLst/>
                  <a:latin typeface="+mn-lt"/>
                  <a:ea typeface="+mn-ea"/>
                  <a:cs typeface="+mn-cs"/>
                </a:rPr>
                <a:t>documented justification</a:t>
              </a:r>
              <a:r>
                <a:rPr lang="en-US" sz="1100" b="0" i="0">
                  <a:solidFill>
                    <a:sysClr val="windowText" lastClr="000000"/>
                  </a:solidFill>
                  <a:effectLst/>
                  <a:latin typeface="+mn-lt"/>
                  <a:ea typeface="+mn-ea"/>
                  <a:cs typeface="+mn-cs"/>
                </a:rPr>
                <a:t> in Definitions_Sources  and makes the "Growth" scenarios more conservative and defensible. -- see info / assumptions tab</a:t>
              </a:r>
            </a:p>
            <a:p>
              <a:pPr algn="l"/>
              <a:endParaRPr lang="en-US" sz="1100" b="0" i="0">
                <a:solidFill>
                  <a:sysClr val="windowText" lastClr="000000"/>
                </a:solidFill>
                <a:effectLst/>
                <a:latin typeface="+mn-lt"/>
                <a:ea typeface="+mn-ea"/>
                <a:cs typeface="+mn-cs"/>
              </a:endParaRPr>
            </a:p>
            <a:p>
              <a:pPr rtl="0" eaLnBrk="1" fontAlgn="auto" latinLnBrk="0" hangingPunct="1"/>
              <a:r>
                <a:rPr lang="en-US" sz="1100" b="0" i="0">
                  <a:solidFill>
                    <a:sysClr val="windowText" lastClr="000000"/>
                  </a:solidFill>
                  <a:effectLst/>
                  <a:latin typeface="+mn-lt"/>
                  <a:ea typeface="+mn-ea"/>
                  <a:cs typeface="+mn-cs"/>
                </a:rPr>
                <a:t>--</a:t>
              </a:r>
              <a:r>
                <a:rPr lang="en-US" sz="1100" b="0" i="0" baseline="0">
                  <a:solidFill>
                    <a:sysClr val="windowText" lastClr="000000"/>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the 'why echo makes sense as the innovation hub point'</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 </a:t>
              </a:r>
            </a:p>
            <a:p>
              <a:pPr rtl="0" eaLnBrk="1" fontAlgn="auto" latinLnBrk="0" hangingPunct="1"/>
              <a:endParaRPr lang="en-US" sz="1100" b="0" i="0" baseline="0">
                <a:solidFill>
                  <a:sysClr val="windowText" lastClr="000000"/>
                </a:solidFill>
                <a:effectLst/>
                <a:latin typeface="+mn-lt"/>
                <a:ea typeface="+mn-ea"/>
                <a:cs typeface="+mn-cs"/>
              </a:endParaRPr>
            </a:p>
            <a:p>
              <a:r>
                <a:rPr lang="en-US" b="1">
                  <a:solidFill>
                    <a:sysClr val="windowText" lastClr="000000"/>
                  </a:solidFill>
                </a:rPr>
                <a:t>Why your repurpose deltas fell when you pasted the estimated Site_Fixed numbers</a:t>
              </a:r>
            </a:p>
            <a:p>
              <a:r>
                <a:rPr lang="en-US" b="1">
                  <a:solidFill>
                    <a:sysClr val="windowText" lastClr="000000"/>
                  </a:solidFill>
                </a:rPr>
                <a:t>What changed:</a:t>
              </a:r>
              <a:endParaRPr lang="en-US">
                <a:solidFill>
                  <a:sysClr val="windowText" lastClr="000000"/>
                </a:solidFill>
              </a:endParaRPr>
            </a:p>
            <a:p>
              <a:r>
                <a:rPr lang="en-US">
                  <a:solidFill>
                    <a:sysClr val="windowText" lastClr="000000"/>
                  </a:solidFill>
                </a:rPr>
                <a:t>The </a:t>
              </a:r>
              <a:r>
                <a:rPr lang="en-US" b="1">
                  <a:solidFill>
                    <a:sysClr val="windowText" lastClr="000000"/>
                  </a:solidFill>
                </a:rPr>
                <a:t>old proxy</a:t>
              </a:r>
              <a:r>
                <a:rPr lang="en-US">
                  <a:solidFill>
                    <a:sysClr val="windowText" lastClr="000000"/>
                  </a:solidFill>
                </a:rPr>
                <a:t> (your “0.46 of total cost” rule) was crediting a </a:t>
              </a:r>
              <a:r>
                <a:rPr lang="en-US" b="1">
                  <a:solidFill>
                    <a:sysClr val="windowText" lastClr="000000"/>
                  </a:solidFill>
                </a:rPr>
                <a:t>larger</a:t>
              </a:r>
              <a:r>
                <a:rPr lang="en-US">
                  <a:solidFill>
                    <a:sysClr val="windowText" lastClr="000000"/>
                  </a:solidFill>
                </a:rPr>
                <a:t> fixed‑cost base per site.</a:t>
              </a:r>
            </a:p>
            <a:p>
              <a:r>
                <a:rPr lang="en-US">
                  <a:solidFill>
                    <a:sysClr val="windowText" lastClr="000000"/>
                  </a:solidFill>
                </a:rPr>
                <a:t>The </a:t>
              </a:r>
              <a:r>
                <a:rPr lang="en-US" b="1">
                  <a:solidFill>
                    <a:sysClr val="windowText" lastClr="000000"/>
                  </a:solidFill>
                </a:rPr>
                <a:t>new directional estimates</a:t>
              </a:r>
              <a:r>
                <a:rPr lang="en-US">
                  <a:solidFill>
                    <a:sysClr val="windowText" lastClr="000000"/>
                  </a:solidFill>
                </a:rPr>
                <a:t> (plant ops ≈ $8/sf + school‑admin ≈ $350–400k + small insurance/other) came in </a:t>
              </a:r>
              <a:r>
                <a:rPr lang="en-US" b="1">
                  <a:solidFill>
                    <a:sysClr val="windowText" lastClr="000000"/>
                  </a:solidFill>
                </a:rPr>
                <a:t>smaller</a:t>
              </a:r>
              <a:r>
                <a:rPr lang="en-US">
                  <a:solidFill>
                    <a:sysClr val="windowText" lastClr="000000"/>
                  </a:solidFill>
                </a:rPr>
                <a:t>—on the order of </a:t>
              </a:r>
              <a:r>
                <a:rPr lang="en-US" b="1">
                  <a:solidFill>
                    <a:sysClr val="windowText" lastClr="000000"/>
                  </a:solidFill>
                </a:rPr>
                <a:t>$0.90–$0.98M per site</a:t>
              </a:r>
              <a:r>
                <a:rPr lang="en-US">
                  <a:solidFill>
                    <a:sysClr val="windowText" lastClr="000000"/>
                  </a:solidFill>
                </a:rPr>
                <a:t>.</a:t>
              </a:r>
            </a:p>
            <a:p>
              <a:r>
                <a:rPr lang="en-US">
                  <a:solidFill>
                    <a:sysClr val="windowText" lastClr="000000"/>
                  </a:solidFill>
                </a:rPr>
                <a:t>Because </a:t>
              </a:r>
              <a:r>
                <a:rPr lang="el-GR">
                  <a:solidFill>
                    <a:sysClr val="windowText" lastClr="000000"/>
                  </a:solidFill>
                </a:rPr>
                <a:t>Δ</a:t>
              </a:r>
              <a:r>
                <a:rPr lang="en-US">
                  <a:solidFill>
                    <a:sysClr val="windowText" lastClr="000000"/>
                  </a:solidFill>
                </a:rPr>
                <a:t>Net (operating) for repurpose is </a:t>
              </a:r>
              <a:r>
                <a:rPr lang="en-US" b="1">
                  <a:solidFill>
                    <a:sysClr val="windowText" lastClr="000000"/>
                  </a:solidFill>
                </a:rPr>
                <a:t>driven primarily by credited fixed savings</a:t>
              </a:r>
              <a:r>
                <a:rPr lang="en-US">
                  <a:solidFill>
                    <a:sysClr val="windowText" lastClr="000000"/>
                  </a:solidFill>
                </a:rPr>
                <a:t>, a </a:t>
              </a:r>
              <a:r>
                <a:rPr lang="en-US" b="1">
                  <a:solidFill>
                    <a:sysClr val="windowText" lastClr="000000"/>
                  </a:solidFill>
                </a:rPr>
                <a:t>smaller fixed base</a:t>
              </a:r>
              <a:r>
                <a:rPr lang="en-US">
                  <a:solidFill>
                    <a:sysClr val="windowText" lastClr="000000"/>
                  </a:solidFill>
                </a:rPr>
                <a:t> → </a:t>
              </a:r>
              <a:r>
                <a:rPr lang="en-US" b="1">
                  <a:solidFill>
                    <a:sysClr val="windowText" lastClr="000000"/>
                  </a:solidFill>
                </a:rPr>
                <a:t>smaller operating gain</a:t>
              </a:r>
              <a:r>
                <a:rPr lang="en-US">
                  <a:solidFill>
                    <a:sysClr val="windowText" lastClr="000000"/>
                  </a:solidFill>
                </a:rPr>
                <a:t>, especially in early years when we still carry </a:t>
              </a:r>
              <a:r>
                <a:rPr lang="en-US" b="1">
                  <a:solidFill>
                    <a:sysClr val="windowText" lastClr="000000"/>
                  </a:solidFill>
                </a:rPr>
                <a:t>f_ops/f_lease residuals</a:t>
              </a:r>
              <a:r>
                <a:rPr lang="en-US">
                  <a:solidFill>
                    <a:sysClr val="windowText" lastClr="000000"/>
                  </a:solidFill>
                </a:rPr>
                <a:t>.</a:t>
              </a:r>
            </a:p>
            <a:p>
              <a:r>
                <a:rPr lang="en-US">
                  <a:solidFill>
                    <a:sysClr val="windowText" lastClr="000000"/>
                  </a:solidFill>
                </a:rPr>
                <a:t>That’s why the repurpose alternatives look less attractive now: you swapped in a </a:t>
              </a:r>
              <a:r>
                <a:rPr lang="en-US" b="1">
                  <a:solidFill>
                    <a:sysClr val="windowText" lastClr="000000"/>
                  </a:solidFill>
                </a:rPr>
                <a:t>more conservative</a:t>
              </a:r>
              <a:r>
                <a:rPr lang="en-US">
                  <a:solidFill>
                    <a:sysClr val="windowText" lastClr="000000"/>
                  </a:solidFill>
                </a:rPr>
                <a:t> (smaller) fixed base.</a:t>
              </a:r>
            </a:p>
            <a:p>
              <a:br>
                <a:rPr lang="en-US">
                  <a:solidFill>
                    <a:sysClr val="windowText" lastClr="000000"/>
                  </a:solidFill>
                </a:rPr>
              </a:br>
              <a:endParaRPr lang="en-US">
                <a:solidFill>
                  <a:sysClr val="windowText" lastClr="000000"/>
                </a:solidFill>
              </a:endParaRPr>
            </a:p>
            <a:p>
              <a:r>
                <a:rPr lang="en-US" b="1">
                  <a:solidFill>
                    <a:sysClr val="windowText" lastClr="000000"/>
                  </a:solidFill>
                </a:rPr>
                <a:t>B) Reconciling with the district’s “~$0.9–$1.0M per school” statement</a:t>
              </a:r>
            </a:p>
            <a:p>
              <a:r>
                <a:rPr lang="en-US">
                  <a:solidFill>
                    <a:sysClr val="windowText" lastClr="000000"/>
                  </a:solidFill>
                </a:rPr>
                <a:t>There are </a:t>
              </a:r>
              <a:r>
                <a:rPr lang="en-US" b="1">
                  <a:solidFill>
                    <a:sysClr val="windowText" lastClr="000000"/>
                  </a:solidFill>
                </a:rPr>
                <a:t>three</a:t>
              </a:r>
              <a:r>
                <a:rPr lang="en-US">
                  <a:solidFill>
                    <a:sysClr val="windowText" lastClr="000000"/>
                  </a:solidFill>
                </a:rPr>
                <a:t> plausible explanations for the gap. Each is testable.</a:t>
              </a:r>
            </a:p>
            <a:p>
              <a:r>
                <a:rPr lang="en-US" b="1">
                  <a:solidFill>
                    <a:sysClr val="windowText" lastClr="000000"/>
                  </a:solidFill>
                </a:rPr>
                <a:t>1) The “0.46” proxy was overstating fixed costs (most likely)</a:t>
              </a:r>
            </a:p>
            <a:p>
              <a:r>
                <a:rPr lang="en-US" b="1">
                  <a:solidFill>
                    <a:sysClr val="windowText" lastClr="000000"/>
                  </a:solidFill>
                </a:rPr>
                <a:t>What it would mean:</a:t>
              </a:r>
              <a:r>
                <a:rPr lang="en-US">
                  <a:solidFill>
                    <a:sysClr val="windowText" lastClr="000000"/>
                  </a:solidFill>
                </a:rPr>
                <a:t> The proxy swept in </a:t>
              </a:r>
              <a:r>
                <a:rPr lang="en-US" b="1">
                  <a:solidFill>
                    <a:sysClr val="windowText" lastClr="000000"/>
                  </a:solidFill>
                </a:rPr>
                <a:t>variable</a:t>
              </a:r>
              <a:r>
                <a:rPr lang="en-US">
                  <a:solidFill>
                    <a:sysClr val="windowText" lastClr="000000"/>
                  </a:solidFill>
                </a:rPr>
                <a:t> or </a:t>
              </a:r>
              <a:r>
                <a:rPr lang="en-US" b="1">
                  <a:solidFill>
                    <a:sysClr val="windowText" lastClr="000000"/>
                  </a:solidFill>
                </a:rPr>
                <a:t>semi‑variable</a:t>
              </a:r>
              <a:r>
                <a:rPr lang="en-US">
                  <a:solidFill>
                    <a:sysClr val="windowText" lastClr="000000"/>
                  </a:solidFill>
                </a:rPr>
                <a:t> costs when it labeled “fixed,” inflating the savings credited to repurpose. Your new directional estimate, rooted in </a:t>
              </a:r>
              <a:r>
                <a:rPr lang="en-US" b="1">
                  <a:solidFill>
                    <a:sysClr val="windowText" lastClr="000000"/>
                  </a:solidFill>
                </a:rPr>
                <a:t>plant ops per square foot + school‑admin FTE + small insurance/other</a:t>
              </a:r>
              <a:r>
                <a:rPr lang="en-US">
                  <a:solidFill>
                    <a:sysClr val="windowText" lastClr="000000"/>
                  </a:solidFill>
                </a:rPr>
                <a:t>, is closer to how </a:t>
              </a:r>
              <a:r>
                <a:rPr lang="en-US" b="1">
                  <a:solidFill>
                    <a:sysClr val="windowText" lastClr="000000"/>
                  </a:solidFill>
                </a:rPr>
                <a:t>site‑fixed</a:t>
              </a:r>
              <a:r>
                <a:rPr lang="en-US">
                  <a:solidFill>
                    <a:sysClr val="windowText" lastClr="000000"/>
                  </a:solidFill>
                </a:rPr>
                <a:t> is normally defined.</a:t>
              </a:r>
            </a:p>
            <a:p>
              <a:r>
                <a:rPr lang="en-US" b="1">
                  <a:solidFill>
                    <a:sysClr val="windowText" lastClr="000000"/>
                  </a:solidFill>
                </a:rPr>
                <a:t>How to validate quickly:</a:t>
              </a:r>
              <a:endParaRPr lang="en-US">
                <a:solidFill>
                  <a:sysClr val="windowText" lastClr="000000"/>
                </a:solidFill>
              </a:endParaRPr>
            </a:p>
            <a:p>
              <a:pPr lvl="1"/>
              <a:r>
                <a:rPr lang="en-US">
                  <a:solidFill>
                    <a:sysClr val="windowText" lastClr="000000"/>
                  </a:solidFill>
                </a:rPr>
                <a:t>Ask for the FY25 </a:t>
              </a:r>
              <a:r>
                <a:rPr lang="en-US" b="1">
                  <a:solidFill>
                    <a:sysClr val="windowText" lastClr="000000"/>
                  </a:solidFill>
                </a:rPr>
                <a:t>Fund 001, by school, by function</a:t>
              </a:r>
              <a:r>
                <a:rPr lang="en-US">
                  <a:solidFill>
                    <a:sysClr val="windowText" lastClr="000000"/>
                  </a:solidFill>
                </a:rPr>
                <a:t> extract (Echo, Pima). Keep only truly fixed: </a:t>
              </a:r>
              <a:r>
                <a:rPr lang="en-US" b="1">
                  <a:solidFill>
                    <a:sysClr val="windowText" lastClr="000000"/>
                  </a:solidFill>
                </a:rPr>
                <a:t>2600 Plant Ops</a:t>
              </a:r>
              <a:r>
                <a:rPr lang="en-US">
                  <a:solidFill>
                    <a:sysClr val="windowText" lastClr="000000"/>
                  </a:solidFill>
                </a:rPr>
                <a:t> (utilities, repairs, custodial baseline), </a:t>
              </a:r>
              <a:r>
                <a:rPr lang="en-US" b="1">
                  <a:solidFill>
                    <a:sysClr val="windowText" lastClr="000000"/>
                  </a:solidFill>
                </a:rPr>
                <a:t>2400 School Admin</a:t>
              </a:r>
              <a:r>
                <a:rPr lang="en-US">
                  <a:solidFill>
                    <a:sysClr val="windowText" lastClr="000000"/>
                  </a:solidFill>
                </a:rPr>
                <a:t>, </a:t>
              </a:r>
              <a:r>
                <a:rPr lang="en-US" b="1">
                  <a:solidFill>
                    <a:sysClr val="windowText" lastClr="000000"/>
                  </a:solidFill>
                </a:rPr>
                <a:t>insurance/min‑utilities</a:t>
              </a:r>
              <a:r>
                <a:rPr lang="en-US">
                  <a:solidFill>
                    <a:sysClr val="windowText" lastClr="000000"/>
                  </a:solidFill>
                </a:rPr>
                <a:t> that would persist if mothballed/leased; </a:t>
              </a:r>
              <a:r>
                <a:rPr lang="en-US" b="1">
                  <a:solidFill>
                    <a:sysClr val="windowText" lastClr="000000"/>
                  </a:solidFill>
                </a:rPr>
                <a:t>exclude</a:t>
              </a:r>
              <a:r>
                <a:rPr lang="en-US">
                  <a:solidFill>
                    <a:sysClr val="windowText" lastClr="000000"/>
                  </a:solidFill>
                </a:rPr>
                <a:t> classroom‑linked costs and itinerant FTEs.</a:t>
              </a:r>
            </a:p>
            <a:p>
              <a:pPr lvl="1"/>
              <a:r>
                <a:rPr lang="en-US">
                  <a:solidFill>
                    <a:sysClr val="windowText" lastClr="000000"/>
                  </a:solidFill>
                </a:rPr>
                <a:t>Crosswalk the old proxy’s “fixed” bucket to these functions and compare. If the old proxy included 100% of school‑level 2100/2200 (instruction/support) or shared central allocations, it was too rich.</a:t>
              </a:r>
            </a:p>
            <a:p>
              <a:r>
                <a:rPr lang="en-US" b="1">
                  <a:solidFill>
                    <a:sysClr val="windowText" lastClr="000000"/>
                  </a:solidFill>
                </a:rPr>
                <a:t>What we expect:</a:t>
              </a:r>
              <a:r>
                <a:rPr lang="en-US">
                  <a:solidFill>
                    <a:sysClr val="windowText" lastClr="000000"/>
                  </a:solidFill>
                </a:rPr>
                <a:t> The audited site‑fixed total per school will likely be </a:t>
              </a:r>
              <a:r>
                <a:rPr lang="en-US" b="1">
                  <a:solidFill>
                    <a:sysClr val="windowText" lastClr="000000"/>
                  </a:solidFill>
                </a:rPr>
                <a:t>in the $0.9–$1.1M band</a:t>
              </a:r>
              <a:r>
                <a:rPr lang="en-US">
                  <a:solidFill>
                    <a:sysClr val="windowText" lastClr="000000"/>
                  </a:solidFill>
                </a:rPr>
                <a:t>, not the larger number implied by “0.46 × total cost.”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High</a:t>
              </a:r>
              <a:r>
                <a:rPr lang="en-US">
                  <a:solidFill>
                    <a:sysClr val="windowText" lastClr="000000"/>
                  </a:solidFill>
                </a:rPr>
                <a:t>.</a:t>
              </a:r>
            </a:p>
            <a:p>
              <a:r>
                <a:rPr lang="en-US" b="1">
                  <a:solidFill>
                    <a:sysClr val="windowText" lastClr="000000"/>
                  </a:solidFill>
                </a:rPr>
                <a:t>2) Our directional Site_Fixed placeholders may still be low for these two sites (moderate likelihood)</a:t>
              </a:r>
            </a:p>
            <a:p>
              <a:r>
                <a:rPr lang="en-US" b="1">
                  <a:solidFill>
                    <a:sysClr val="windowText" lastClr="000000"/>
                  </a:solidFill>
                </a:rPr>
                <a:t>What it would mean:</a:t>
              </a:r>
              <a:r>
                <a:rPr lang="en-US">
                  <a:solidFill>
                    <a:sysClr val="windowText" lastClr="000000"/>
                  </a:solidFill>
                </a:rPr>
                <a:t> Echo/Pima may have </a:t>
              </a:r>
              <a:r>
                <a:rPr lang="en-US" b="1">
                  <a:solidFill>
                    <a:sysClr val="windowText" lastClr="000000"/>
                  </a:solidFill>
                </a:rPr>
                <a:t>above‑average plant costs</a:t>
              </a:r>
              <a:r>
                <a:rPr lang="en-US">
                  <a:solidFill>
                    <a:sysClr val="windowText" lastClr="000000"/>
                  </a:solidFill>
                </a:rPr>
                <a:t> or </a:t>
              </a:r>
              <a:r>
                <a:rPr lang="en-US" b="1">
                  <a:solidFill>
                    <a:sysClr val="windowText" lastClr="000000"/>
                  </a:solidFill>
                </a:rPr>
                <a:t>higher school‑admin load</a:t>
              </a:r>
              <a:r>
                <a:rPr lang="en-US">
                  <a:solidFill>
                    <a:sysClr val="windowText" lastClr="000000"/>
                  </a:solidFill>
                </a:rPr>
                <a:t> than the crude anchors (older HV/AC runs, grounds/security, modulars, or an assistant principal coded to 2400).</a:t>
              </a:r>
            </a:p>
            <a:p>
              <a:r>
                <a:rPr lang="en-US" b="1">
                  <a:solidFill>
                    <a:sysClr val="windowText" lastClr="000000"/>
                  </a:solidFill>
                </a:rPr>
                <a:t>How to validate:</a:t>
              </a:r>
              <a:r>
                <a:rPr lang="en-US">
                  <a:solidFill>
                    <a:sysClr val="windowText" lastClr="000000"/>
                  </a:solidFill>
                </a:rPr>
                <a:t> The same CFO CSV will tell us. As a pre‑check, you can sanity‑test </a:t>
              </a:r>
              <a:r>
                <a:rPr lang="en-US" b="1">
                  <a:solidFill>
                    <a:sysClr val="windowText" lastClr="000000"/>
                  </a:solidFill>
                </a:rPr>
                <a:t>plant cost ≈ (kWh + therms + water) × utility rates</a:t>
              </a:r>
              <a:r>
                <a:rPr lang="en-US">
                  <a:solidFill>
                    <a:sysClr val="windowText" lastClr="000000"/>
                  </a:solidFill>
                </a:rPr>
                <a:t> if those utility statements are available; often this alone can move the plant subtotal by </a:t>
              </a:r>
              <a:r>
                <a:rPr lang="en-US" b="1">
                  <a:solidFill>
                    <a:sysClr val="windowText" lastClr="000000"/>
                  </a:solidFill>
                </a:rPr>
                <a:t>$100–$200k</a:t>
              </a:r>
              <a:r>
                <a:rPr lang="en-US">
                  <a:solidFill>
                    <a:sysClr val="windowText" lastClr="000000"/>
                  </a:solidFill>
                </a:rPr>
                <a:t> per site year‑over‑year.</a:t>
              </a:r>
            </a:p>
            <a:p>
              <a:r>
                <a:rPr lang="en-US" b="1">
                  <a:solidFill>
                    <a:sysClr val="windowText" lastClr="000000"/>
                  </a:solidFill>
                </a:rPr>
                <a:t>What we expect:</a:t>
              </a:r>
              <a:r>
                <a:rPr lang="en-US">
                  <a:solidFill>
                    <a:sysClr val="windowText" lastClr="000000"/>
                  </a:solidFill>
                </a:rPr>
                <a:t> It’s very possible one site sits </a:t>
              </a:r>
              <a:r>
                <a:rPr lang="en-US" b="1">
                  <a:solidFill>
                    <a:sysClr val="windowText" lastClr="000000"/>
                  </a:solidFill>
                </a:rPr>
                <a:t>&gt; $1.0M</a:t>
              </a:r>
              <a:r>
                <a:rPr lang="en-US">
                  <a:solidFill>
                    <a:sysClr val="windowText" lastClr="000000"/>
                  </a:solidFill>
                </a:rPr>
                <a:t> and the other </a:t>
              </a:r>
              <a:r>
                <a:rPr lang="en-US" b="1">
                  <a:solidFill>
                    <a:sysClr val="windowText" lastClr="000000"/>
                  </a:solidFill>
                </a:rPr>
                <a:t>just below</a:t>
              </a:r>
              <a:r>
                <a:rPr lang="en-US">
                  <a:solidFill>
                    <a:sysClr val="windowText" lastClr="000000"/>
                  </a:solidFill>
                </a:rPr>
                <a:t>; your </a:t>
              </a:r>
              <a:r>
                <a:rPr lang="en-US" b="1">
                  <a:solidFill>
                    <a:sysClr val="windowText" lastClr="000000"/>
                  </a:solidFill>
                </a:rPr>
                <a:t>$0.9–$0.98M</a:t>
              </a:r>
              <a:r>
                <a:rPr lang="en-US">
                  <a:solidFill>
                    <a:sysClr val="windowText" lastClr="000000"/>
                  </a:solidFill>
                </a:rPr>
                <a:t> placeholders could be ~</a:t>
              </a:r>
              <a:r>
                <a:rPr lang="en-US" b="1">
                  <a:solidFill>
                    <a:sysClr val="windowText" lastClr="000000"/>
                  </a:solidFill>
                </a:rPr>
                <a:t>$100–$200k</a:t>
              </a:r>
              <a:r>
                <a:rPr lang="en-US">
                  <a:solidFill>
                    <a:sysClr val="windowText" lastClr="000000"/>
                  </a:solidFill>
                </a:rPr>
                <a:t> light in steady state.</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r>
                <a:rPr lang="en-US" b="1">
                  <a:solidFill>
                    <a:sysClr val="windowText" lastClr="000000"/>
                  </a:solidFill>
                </a:rPr>
                <a:t>3) Timing/definition mismatch with the board’s “$0.9–$1.0M” (moderate likelihood)</a:t>
              </a:r>
            </a:p>
            <a:p>
              <a:r>
                <a:rPr lang="en-US" b="1">
                  <a:solidFill>
                    <a:sysClr val="windowText" lastClr="000000"/>
                  </a:solidFill>
                </a:rPr>
                <a:t>What it would mean:</a:t>
              </a:r>
              <a:r>
                <a:rPr lang="en-US">
                  <a:solidFill>
                    <a:sysClr val="windowText" lastClr="000000"/>
                  </a:solidFill>
                </a:rPr>
                <a:t> The public number may refer to </a:t>
              </a:r>
              <a:r>
                <a:rPr lang="en-US" b="1">
                  <a:solidFill>
                    <a:sysClr val="windowText" lastClr="000000"/>
                  </a:solidFill>
                </a:rPr>
                <a:t>steady‑state</a:t>
              </a:r>
              <a:r>
                <a:rPr lang="en-US">
                  <a:solidFill>
                    <a:sysClr val="windowText" lastClr="000000"/>
                  </a:solidFill>
                </a:rPr>
                <a:t> (i.e., </a:t>
              </a:r>
              <a:r>
                <a:rPr lang="en-US" b="1">
                  <a:solidFill>
                    <a:sysClr val="windowText" lastClr="000000"/>
                  </a:solidFill>
                </a:rPr>
                <a:t>f → 0</a:t>
              </a:r>
              <a:r>
                <a:rPr lang="en-US">
                  <a:solidFill>
                    <a:sysClr val="windowText" lastClr="000000"/>
                  </a:solidFill>
                </a:rPr>
                <a:t>), or it may be a </a:t>
              </a:r>
              <a:r>
                <a:rPr lang="en-US" b="1">
                  <a:solidFill>
                    <a:sysClr val="windowText" lastClr="000000"/>
                  </a:solidFill>
                </a:rPr>
                <a:t>gross “fixed M&amp;O savings”</a:t>
              </a:r>
              <a:r>
                <a:rPr lang="en-US">
                  <a:solidFill>
                    <a:sysClr val="windowText" lastClr="000000"/>
                  </a:solidFill>
                </a:rPr>
                <a:t> number </a:t>
              </a:r>
              <a:r>
                <a:rPr lang="en-US" b="1">
                  <a:solidFill>
                    <a:sysClr val="windowText" lastClr="000000"/>
                  </a:solidFill>
                </a:rPr>
                <a:t>before</a:t>
              </a:r>
              <a:r>
                <a:rPr lang="en-US">
                  <a:solidFill>
                    <a:sysClr val="windowText" lastClr="000000"/>
                  </a:solidFill>
                </a:rPr>
                <a:t> retention overhead (</a:t>
              </a:r>
              <a:r>
                <a:rPr lang="en-US" b="1">
                  <a:solidFill>
                    <a:sysClr val="windowText" lastClr="000000"/>
                  </a:solidFill>
                </a:rPr>
                <a:t>h</a:t>
              </a:r>
              <a:r>
                <a:rPr lang="en-US">
                  <a:solidFill>
                    <a:sysClr val="windowText" lastClr="000000"/>
                  </a:solidFill>
                </a:rPr>
                <a:t>) and lost‑student contribution effects, or it may </a:t>
              </a:r>
              <a:r>
                <a:rPr lang="en-US" b="1">
                  <a:solidFill>
                    <a:sysClr val="windowText" lastClr="000000"/>
                  </a:solidFill>
                </a:rPr>
                <a:t>include</a:t>
              </a:r>
              <a:r>
                <a:rPr lang="en-US">
                  <a:solidFill>
                    <a:sysClr val="windowText" lastClr="000000"/>
                  </a:solidFill>
                </a:rPr>
                <a:t> anticipated </a:t>
              </a:r>
              <a:r>
                <a:rPr lang="en-US" b="1">
                  <a:solidFill>
                    <a:sysClr val="windowText" lastClr="000000"/>
                  </a:solidFill>
                </a:rPr>
                <a:t>lease revenue</a:t>
              </a:r>
              <a:r>
                <a:rPr lang="en-US">
                  <a:solidFill>
                    <a:sysClr val="windowText" lastClr="000000"/>
                  </a:solidFill>
                </a:rPr>
                <a:t>. We model </a:t>
              </a:r>
              <a:r>
                <a:rPr lang="en-US" b="1">
                  <a:solidFill>
                    <a:sysClr val="windowText" lastClr="000000"/>
                  </a:solidFill>
                </a:rPr>
                <a:t>operating Net</a:t>
              </a:r>
              <a:r>
                <a:rPr lang="en-US">
                  <a:solidFill>
                    <a:sysClr val="windowText" lastClr="000000"/>
                  </a:solidFill>
                </a:rPr>
                <a:t> (M&amp;O – revenues) and </a:t>
              </a:r>
              <a:r>
                <a:rPr lang="en-US" b="1">
                  <a:solidFill>
                    <a:sysClr val="windowText" lastClr="000000"/>
                  </a:solidFill>
                </a:rPr>
                <a:t>charge overhead</a:t>
              </a:r>
              <a:r>
                <a:rPr lang="en-US">
                  <a:solidFill>
                    <a:sysClr val="windowText" lastClr="000000"/>
                  </a:solidFill>
                </a:rPr>
                <a:t>; they might have quoted a </a:t>
              </a:r>
              <a:r>
                <a:rPr lang="en-US" b="1">
                  <a:solidFill>
                    <a:sysClr val="windowText" lastClr="000000"/>
                  </a:solidFill>
                </a:rPr>
                <a:t>gross, steady‑state savings</a:t>
              </a:r>
              <a:r>
                <a:rPr lang="en-US">
                  <a:solidFill>
                    <a:sysClr val="windowText" lastClr="000000"/>
                  </a:solidFill>
                </a:rPr>
                <a:t> with no overhead and no timing residual.</a:t>
              </a:r>
            </a:p>
            <a:p>
              <a:r>
                <a:rPr lang="en-US" b="1">
                  <a:solidFill>
                    <a:sysClr val="windowText" lastClr="000000"/>
                  </a:solidFill>
                </a:rPr>
                <a:t>How to validate:</a:t>
              </a:r>
              <a:r>
                <a:rPr lang="en-US">
                  <a:solidFill>
                    <a:sysClr val="windowText" lastClr="000000"/>
                  </a:solidFill>
                </a:rPr>
                <a:t> Ask Finance to clarify </a:t>
              </a:r>
              <a:r>
                <a:rPr lang="en-US" b="1">
                  <a:solidFill>
                    <a:sysClr val="windowText" lastClr="000000"/>
                  </a:solidFill>
                </a:rPr>
                <a:t>(a)</a:t>
              </a:r>
              <a:r>
                <a:rPr lang="en-US">
                  <a:solidFill>
                    <a:sysClr val="windowText" lastClr="000000"/>
                  </a:solidFill>
                </a:rPr>
                <a:t> the </a:t>
              </a:r>
              <a:r>
                <a:rPr lang="en-US" b="1">
                  <a:solidFill>
                    <a:sysClr val="windowText" lastClr="000000"/>
                  </a:solidFill>
                </a:rPr>
                <a:t>functions</a:t>
              </a:r>
              <a:r>
                <a:rPr lang="en-US">
                  <a:solidFill>
                    <a:sysClr val="windowText" lastClr="000000"/>
                  </a:solidFill>
                </a:rPr>
                <a:t> included, </a:t>
              </a:r>
              <a:r>
                <a:rPr lang="en-US" b="1">
                  <a:solidFill>
                    <a:sysClr val="windowText" lastClr="000000"/>
                  </a:solidFill>
                </a:rPr>
                <a:t>(b)</a:t>
              </a:r>
              <a:r>
                <a:rPr lang="en-US">
                  <a:solidFill>
                    <a:sysClr val="windowText" lastClr="000000"/>
                  </a:solidFill>
                </a:rPr>
                <a:t> whether it’s </a:t>
              </a:r>
              <a:r>
                <a:rPr lang="en-US" b="1">
                  <a:solidFill>
                    <a:sysClr val="windowText" lastClr="000000"/>
                  </a:solidFill>
                </a:rPr>
                <a:t>net of retention overhead</a:t>
              </a:r>
              <a:r>
                <a:rPr lang="en-US">
                  <a:solidFill>
                    <a:sysClr val="windowText" lastClr="000000"/>
                  </a:solidFill>
                </a:rPr>
                <a:t>, </a:t>
              </a:r>
              <a:r>
                <a:rPr lang="en-US" b="1">
                  <a:solidFill>
                    <a:sysClr val="windowText" lastClr="000000"/>
                  </a:solidFill>
                </a:rPr>
                <a:t>(c)</a:t>
              </a:r>
              <a:r>
                <a:rPr lang="en-US">
                  <a:solidFill>
                    <a:sysClr val="windowText" lastClr="000000"/>
                  </a:solidFill>
                </a:rPr>
                <a:t> whether it’s </a:t>
              </a:r>
              <a:r>
                <a:rPr lang="en-US" b="1">
                  <a:solidFill>
                    <a:sysClr val="windowText" lastClr="000000"/>
                  </a:solidFill>
                </a:rPr>
                <a:t>first year</a:t>
              </a:r>
              <a:r>
                <a:rPr lang="en-US">
                  <a:solidFill>
                    <a:sysClr val="windowText" lastClr="000000"/>
                  </a:solidFill>
                </a:rPr>
                <a:t> or </a:t>
              </a:r>
              <a:r>
                <a:rPr lang="en-US" b="1">
                  <a:solidFill>
                    <a:sysClr val="windowText" lastClr="000000"/>
                  </a:solidFill>
                </a:rPr>
                <a:t>steady‑state</a:t>
              </a:r>
              <a:r>
                <a:rPr lang="en-US">
                  <a:solidFill>
                    <a:sysClr val="windowText" lastClr="000000"/>
                  </a:solidFill>
                </a:rPr>
                <a:t>, and </a:t>
              </a:r>
              <a:r>
                <a:rPr lang="en-US" b="1">
                  <a:solidFill>
                    <a:sysClr val="windowText" lastClr="000000"/>
                  </a:solidFill>
                </a:rPr>
                <a:t>(d)</a:t>
              </a:r>
              <a:r>
                <a:rPr lang="en-US">
                  <a:solidFill>
                    <a:sysClr val="windowText" lastClr="000000"/>
                  </a:solidFill>
                </a:rPr>
                <a:t> whether </a:t>
              </a:r>
              <a:r>
                <a:rPr lang="en-US" b="1">
                  <a:solidFill>
                    <a:sysClr val="windowText" lastClr="000000"/>
                  </a:solidFill>
                </a:rPr>
                <a:t>lease revenue</a:t>
              </a:r>
              <a:r>
                <a:rPr lang="en-US">
                  <a:solidFill>
                    <a:sysClr val="windowText" lastClr="000000"/>
                  </a:solidFill>
                </a:rPr>
                <a:t> is in that figure.</a:t>
              </a:r>
            </a:p>
            <a:p>
              <a:r>
                <a:rPr lang="en-US" b="1">
                  <a:solidFill>
                    <a:sysClr val="windowText" lastClr="000000"/>
                  </a:solidFill>
                </a:rPr>
                <a:t>What we expect:</a:t>
              </a:r>
              <a:r>
                <a:rPr lang="en-US">
                  <a:solidFill>
                    <a:sysClr val="windowText" lastClr="000000"/>
                  </a:solidFill>
                </a:rPr>
                <a:t> If their figure is </a:t>
              </a:r>
              <a:r>
                <a:rPr lang="en-US" b="1">
                  <a:solidFill>
                    <a:sysClr val="windowText" lastClr="000000"/>
                  </a:solidFill>
                </a:rPr>
                <a:t>steady‑state fixed savings</a:t>
              </a:r>
              <a:r>
                <a:rPr lang="en-US">
                  <a:solidFill>
                    <a:sysClr val="windowText" lastClr="000000"/>
                  </a:solidFill>
                </a:rPr>
                <a:t>, it should match </a:t>
              </a:r>
              <a:r>
                <a:rPr lang="en-US" b="1">
                  <a:solidFill>
                    <a:sysClr val="windowText" lastClr="000000"/>
                  </a:solidFill>
                </a:rPr>
                <a:t>(1 − f_*) × SiteFixed</a:t>
              </a:r>
              <a:r>
                <a:rPr lang="en-US">
                  <a:solidFill>
                    <a:sysClr val="windowText" lastClr="000000"/>
                  </a:solidFill>
                </a:rPr>
                <a:t> when </a:t>
              </a:r>
              <a:r>
                <a:rPr lang="en-US" b="1">
                  <a:solidFill>
                    <a:sysClr val="windowText" lastClr="000000"/>
                  </a:solidFill>
                </a:rPr>
                <a:t>f_</a:t>
              </a:r>
              <a:r>
                <a:rPr lang="en-US">
                  <a:solidFill>
                    <a:sysClr val="windowText" lastClr="000000"/>
                  </a:solidFill>
                </a:rPr>
                <a:t>* is near </a:t>
              </a:r>
              <a:r>
                <a:rPr lang="en-US" b="1">
                  <a:solidFill>
                    <a:sysClr val="windowText" lastClr="000000"/>
                  </a:solidFill>
                </a:rPr>
                <a:t>0</a:t>
              </a:r>
              <a:r>
                <a:rPr lang="en-US">
                  <a:solidFill>
                    <a:sysClr val="windowText" lastClr="000000"/>
                  </a:solidFill>
                </a:rPr>
                <a:t>. Early‑year model deltas will be smaller because we carry </a:t>
              </a:r>
              <a:r>
                <a:rPr lang="en-US" b="1">
                  <a:solidFill>
                    <a:sysClr val="windowText" lastClr="000000"/>
                  </a:solidFill>
                </a:rPr>
                <a:t>f_ops 0.45…0.30</a:t>
              </a:r>
              <a:r>
                <a:rPr lang="en-US">
                  <a:solidFill>
                    <a:sysClr val="windowText" lastClr="000000"/>
                  </a:solidFill>
                </a:rPr>
                <a:t> and </a:t>
              </a:r>
              <a:r>
                <a:rPr lang="en-US" b="1">
                  <a:solidFill>
                    <a:sysClr val="windowText" lastClr="000000"/>
                  </a:solidFill>
                </a:rPr>
                <a:t>f_lease 0.20…0.10</a:t>
              </a:r>
              <a:r>
                <a:rPr lang="en-US">
                  <a:solidFill>
                    <a:sysClr val="windowText" lastClr="000000"/>
                  </a:solidFill>
                </a:rPr>
                <a:t> plus </a:t>
              </a:r>
              <a:r>
                <a:rPr lang="en-US" b="1">
                  <a:solidFill>
                    <a:sysClr val="windowText" lastClr="000000"/>
                  </a:solidFill>
                </a:rPr>
                <a:t>h</a:t>
              </a:r>
              <a:r>
                <a:rPr lang="en-US">
                  <a:solidFill>
                    <a:sysClr val="windowText" lastClr="000000"/>
                  </a:solidFill>
                </a:rPr>
                <a: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br>
                <a:rPr lang="en-US">
                  <a:solidFill>
                    <a:sysClr val="windowText" lastClr="000000"/>
                  </a:solidFill>
                </a:rPr>
              </a:br>
              <a:endParaRPr lang="en-US">
                <a:solidFill>
                  <a:sysClr val="windowText" lastClr="000000"/>
                </a:solidFill>
              </a:endParaRPr>
            </a:p>
            <a:p>
              <a:r>
                <a:rPr lang="en-US" b="1">
                  <a:solidFill>
                    <a:sysClr val="windowText" lastClr="000000"/>
                  </a:solidFill>
                </a:rPr>
                <a:t>C) A tight way to decide if our placeholders are “wrong” or the old proxy was “wrong”</a:t>
              </a:r>
            </a:p>
            <a:p>
              <a:r>
                <a:rPr lang="en-US">
                  <a:solidFill>
                    <a:sysClr val="windowText" lastClr="000000"/>
                  </a:solidFill>
                </a:rPr>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ysClr val="windowText" lastClr="000000"/>
                        </a:solidFill>
                        <a:latin typeface="Cambria Math" panose="02040503050406030204" pitchFamily="18" charset="0"/>
                        <a:ea typeface="+mn-ea"/>
                        <a:cs typeface="+mn-cs"/>
                      </a:rPr>
                      <m:t>Δ</m:t>
                    </m:r>
                    <m:r>
                      <m:rPr>
                        <m:nor/>
                      </m:rPr>
                      <a:rPr lang="en-US" sz="1100" b="0" i="1">
                        <a:solidFill>
                          <a:sysClr val="windowText" lastClr="000000"/>
                        </a:solidFill>
                        <a:latin typeface="+mn-lt"/>
                        <a:ea typeface="+mn-ea"/>
                        <a:cs typeface="+mn-cs"/>
                      </a:rPr>
                      <m:t>Net</m:t>
                    </m:r>
                    <m:r>
                      <a:rPr lang="en-US"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𝑓</m:t>
                            </m:r>
                          </m:e>
                          <m:sub>
                            <m:r>
                              <a:rPr lang="ar-AE" sz="1100" b="0" i="1">
                                <a:solidFill>
                                  <a:sysClr val="windowText" lastClr="000000"/>
                                </a:solidFill>
                                <a:latin typeface="Cambria Math" panose="02040503050406030204" pitchFamily="18" charset="0"/>
                                <a:ea typeface="+mn-ea"/>
                                <a:cs typeface="+mn-cs"/>
                              </a:rPr>
                              <m:t>𝑡</m:t>
                            </m:r>
                          </m:sub>
                        </m:sSub>
                      </m:e>
                    </m:d>
                    <m:r>
                      <m:rPr>
                        <m:nor/>
                      </m:rPr>
                      <a:rPr lang="ar-AE" sz="1100" b="0" i="1">
                        <a:solidFill>
                          <a:sysClr val="windowText" lastClr="000000"/>
                        </a:solidFill>
                        <a:latin typeface="+mn-lt"/>
                        <a:ea typeface="+mn-ea"/>
                        <a:cs typeface="+mn-cs"/>
                      </a:rPr>
                      <m:t> </m:t>
                    </m:r>
                    <m:limLow>
                      <m:limLowPr>
                        <m:ctrlPr>
                          <a:rPr lang="ar-AE" sz="1100" b="0" i="1">
                            <a:solidFill>
                              <a:sysClr val="windowText" lastClr="000000"/>
                            </a:solidFill>
                            <a:latin typeface="Cambria Math" panose="02040503050406030204" pitchFamily="18" charset="0"/>
                            <a:ea typeface="+mn-ea"/>
                            <a:cs typeface="+mn-cs"/>
                          </a:rPr>
                        </m:ctrlPr>
                      </m:limLowPr>
                      <m:e>
                        <m:groupChr>
                          <m:groupChrPr>
                            <m:chr m:val="⏟"/>
                            <m:ctrlPr>
                              <a:rPr lang="ar-AE" sz="1100" b="0" i="1">
                                <a:solidFill>
                                  <a:sysClr val="windowText" lastClr="000000"/>
                                </a:solidFill>
                                <a:latin typeface="Cambria Math" panose="02040503050406030204" pitchFamily="18" charset="0"/>
                                <a:ea typeface="+mn-ea"/>
                                <a:cs typeface="+mn-cs"/>
                              </a:rPr>
                            </m:ctrlPr>
                          </m:groupChrPr>
                          <m:e>
                            <m:r>
                              <m:rPr>
                                <m:nor/>
                              </m:rPr>
                              <a:rPr lang="en-US" sz="1100" b="0" i="1">
                                <a:solidFill>
                                  <a:sysClr val="windowText" lastClr="000000"/>
                                </a:solidFill>
                                <a:latin typeface="+mn-lt"/>
                                <a:ea typeface="+mn-ea"/>
                                <a:cs typeface="+mn-cs"/>
                              </a:rPr>
                              <m:t>SiteFixed</m:t>
                            </m:r>
                          </m:e>
                        </m:groupChr>
                      </m:e>
                      <m:lim>
                        <m:r>
                          <m:rPr>
                            <m:nor/>
                          </m:rPr>
                          <a:rPr lang="en-US" sz="1100" b="0" i="1">
                            <a:solidFill>
                              <a:sysClr val="windowText" lastClr="000000"/>
                            </a:solidFill>
                            <a:latin typeface="+mn-lt"/>
                            <a:ea typeface="+mn-ea"/>
                            <a:cs typeface="+mn-cs"/>
                          </a:rPr>
                          <m:t>Echo</m:t>
                        </m:r>
                        <m:r>
                          <m:rPr>
                            <m:nor/>
                          </m:rPr>
                          <a:rPr lang="en-US" sz="1100" b="0" i="1">
                            <a:solidFill>
                              <a:sysClr val="windowText" lastClr="000000"/>
                            </a:solidFill>
                            <a:latin typeface="+mn-lt"/>
                            <a:ea typeface="+mn-ea"/>
                            <a:cs typeface="+mn-cs"/>
                          </a:rPr>
                          <m:t>+</m:t>
                        </m:r>
                        <m:r>
                          <m:rPr>
                            <m:nor/>
                          </m:rPr>
                          <a:rPr lang="en-US" sz="1100" b="0" i="1">
                            <a:solidFill>
                              <a:sysClr val="windowText" lastClr="000000"/>
                            </a:solidFill>
                            <a:latin typeface="+mn-lt"/>
                            <a:ea typeface="+mn-ea"/>
                            <a:cs typeface="+mn-cs"/>
                          </a:rPr>
                          <m:t>Pima</m:t>
                        </m:r>
                      </m:lim>
                    </m:limLow>
                    <m:r>
                      <a:rPr lang="ar-AE"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e>
                    </m:d>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𝑚</m:t>
                        </m:r>
                      </m:e>
                      <m:sub>
                        <m:r>
                          <a:rPr lang="ar-AE" sz="1100" b="0" i="1">
                            <a:solidFill>
                              <a:sysClr val="windowText" lastClr="000000"/>
                            </a:solidFill>
                            <a:latin typeface="Cambria Math" panose="02040503050406030204" pitchFamily="18" charset="0"/>
                            <a:ea typeface="+mn-ea"/>
                            <a:cs typeface="+mn-cs"/>
                          </a:rPr>
                          <m:t>𝑡</m:t>
                        </m:r>
                      </m:sub>
                    </m:sSub>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h</m:t>
                        </m:r>
                      </m:e>
                      <m:sub>
                        <m:r>
                          <a:rPr lang="ar-AE" sz="1100" b="0" i="1">
                            <a:solidFill>
                              <a:sysClr val="windowText" lastClr="000000"/>
                            </a:solidFill>
                            <a:latin typeface="Cambria Math" panose="02040503050406030204" pitchFamily="18" charset="0"/>
                            <a:ea typeface="+mn-ea"/>
                            <a:cs typeface="+mn-cs"/>
                          </a:rPr>
                          <m:t>𝑡</m:t>
                        </m:r>
                      </m:sub>
                    </m:sSub>
                  </m:oMath>
                </m:oMathPara>
              </a14:m>
              <a:endParaRPr lang="ar-AE" b="0">
                <a:solidFill>
                  <a:sysClr val="windowText" lastClr="000000"/>
                </a:solidFill>
              </a:endParaRPr>
            </a:p>
            <a:p>
              <a:r>
                <a:rPr lang="en-US">
                  <a:solidFill>
                    <a:sysClr val="windowText" lastClr="000000"/>
                  </a:solidFill>
                </a:rPr>
                <a:t>If the Board’s </a:t>
              </a:r>
              <a:r>
                <a:rPr lang="en-US" b="1">
                  <a:solidFill>
                    <a:sysClr val="windowText" lastClr="000000"/>
                  </a:solidFill>
                </a:rPr>
                <a:t>target </a:t>
              </a:r>
              <a:r>
                <a:rPr lang="el-GR" b="1">
                  <a:solidFill>
                    <a:sysClr val="windowText" lastClr="000000"/>
                  </a:solidFill>
                </a:rPr>
                <a:t>Δ</a:t>
              </a:r>
              <a:r>
                <a:rPr lang="en-US" b="1">
                  <a:solidFill>
                    <a:sysClr val="windowText" lastClr="000000"/>
                  </a:solidFill>
                </a:rPr>
                <a:t>Net/site</a:t>
              </a:r>
              <a:r>
                <a:rPr lang="en-US">
                  <a:solidFill>
                    <a:sysClr val="windowText" lastClr="000000"/>
                  </a:solidFill>
                </a:rPr>
                <a:t> is </a:t>
              </a:r>
              <a:r>
                <a:rPr lang="en-US" b="1">
                  <a:solidFill>
                    <a:sysClr val="windowText" lastClr="000000"/>
                  </a:solidFill>
                </a:rPr>
                <a:t>$0.95M</a:t>
              </a:r>
              <a:r>
                <a:rPr lang="en-US">
                  <a:solidFill>
                    <a:sysClr val="windowText" lastClr="000000"/>
                  </a:solidFill>
                </a:rPr>
                <a:t> (so </a:t>
              </a:r>
              <a:r>
                <a:rPr lang="en-US" b="1">
                  <a:solidFill>
                    <a:sysClr val="windowText" lastClr="000000"/>
                  </a:solidFill>
                </a:rPr>
                <a:t>$1.90M</a:t>
              </a:r>
              <a:r>
                <a:rPr lang="en-US">
                  <a:solidFill>
                    <a:sysClr val="windowText" lastClr="000000"/>
                  </a:solidFill>
                </a:rPr>
                <a:t> for both), you can solve for the </a:t>
              </a:r>
              <a:r>
                <a:rPr lang="en-US" b="1">
                  <a:solidFill>
                    <a:sysClr val="windowText" lastClr="000000"/>
                  </a:solidFill>
                </a:rPr>
                <a:t>required SiteFixed</a:t>
              </a:r>
              <a:r>
                <a:rPr lang="en-US">
                  <a:solidFill>
                    <a:sysClr val="windowText" lastClr="000000"/>
                  </a:solidFill>
                </a:rPr>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ysClr val="windowText" lastClr="000000"/>
                            </a:solidFill>
                            <a:latin typeface="Cambria Math" panose="02040503050406030204" pitchFamily="18" charset="0"/>
                            <a:ea typeface="+mn-ea"/>
                            <a:cs typeface="+mn-cs"/>
                          </a:rPr>
                        </m:ctrlPr>
                      </m:sSupPr>
                      <m:e>
                        <m:r>
                          <m:rPr>
                            <m:nor/>
                          </m:rPr>
                          <a:rPr lang="en-US" b="0">
                            <a:solidFill>
                              <a:sysClr val="windowText" lastClr="000000"/>
                            </a:solidFill>
                          </a:rPr>
                          <m:t>SiteFixed</m:t>
                        </m:r>
                      </m:e>
                      <m:sup>
                        <m:r>
                          <a:rPr lang="ar-AE" sz="1100" b="0" i="0">
                            <a:solidFill>
                              <a:sysClr val="windowText" lastClr="000000"/>
                            </a:solidFill>
                            <a:latin typeface="Cambria Math" panose="02040503050406030204" pitchFamily="18" charset="0"/>
                            <a:ea typeface="+mn-ea"/>
                            <a:cs typeface="+mn-cs"/>
                          </a:rPr>
                          <m:t>⋆</m:t>
                        </m:r>
                      </m:sup>
                    </m:sSup>
                    <m:r>
                      <m:rPr>
                        <m:nor/>
                      </m:rPr>
                      <a:rPr lang="ar-AE" sz="1100" b="0" i="1">
                        <a:solidFill>
                          <a:sysClr val="windowText" lastClr="000000"/>
                        </a:solidFill>
                        <a:latin typeface="+mn-lt"/>
                        <a:ea typeface="+mn-ea"/>
                        <a:cs typeface="+mn-cs"/>
                      </a:rPr>
                      <m:t>  </m:t>
                    </m:r>
                    <m:r>
                      <a:rPr lang="ar-AE" sz="1100" b="0" i="0">
                        <a:solidFill>
                          <a:sysClr val="windowText" lastClr="000000"/>
                        </a:solidFill>
                        <a:latin typeface="Cambria Math" panose="02040503050406030204" pitchFamily="18" charset="0"/>
                        <a:ea typeface="+mn-ea"/>
                        <a:cs typeface="+mn-cs"/>
                      </a:rPr>
                      <m:t>=</m:t>
                    </m:r>
                    <m:r>
                      <m:rPr>
                        <m:nor/>
                      </m:rPr>
                      <a:rPr lang="ar-AE" sz="1100" b="0" i="1">
                        <a:solidFill>
                          <a:sysClr val="windowText" lastClr="000000"/>
                        </a:solidFill>
                        <a:latin typeface="+mn-lt"/>
                        <a:ea typeface="+mn-ea"/>
                        <a:cs typeface="+mn-cs"/>
                      </a:rPr>
                      <m:t>  </m:t>
                    </m:r>
                    <m:f>
                      <m:fPr>
                        <m:ctrlPr>
                          <a:rPr lang="ar-AE" sz="1100" b="0" i="1">
                            <a:solidFill>
                              <a:sysClr val="windowText" lastClr="000000"/>
                            </a:solidFill>
                            <a:latin typeface="Cambria Math" panose="02040503050406030204" pitchFamily="18" charset="0"/>
                            <a:ea typeface="+mn-ea"/>
                            <a:cs typeface="+mn-cs"/>
                          </a:rPr>
                        </m:ctrlPr>
                      </m:fPr>
                      <m:num>
                        <m:r>
                          <m:rPr>
                            <m:sty m:val="p"/>
                          </m:rPr>
                          <a:rPr lang="el-GR" sz="1100" b="0" i="0">
                            <a:solidFill>
                              <a:sysClr val="windowText" lastClr="000000"/>
                            </a:solidFill>
                            <a:latin typeface="Cambria Math" panose="02040503050406030204" pitchFamily="18" charset="0"/>
                            <a:ea typeface="+mn-ea"/>
                            <a:cs typeface="+mn-cs"/>
                          </a:rPr>
                          <m:t>Δ</m:t>
                        </m:r>
                        <m:sSub>
                          <m:sSubPr>
                            <m:ctrlPr>
                              <a:rPr lang="ar-AE" sz="1100" b="0" i="1">
                                <a:solidFill>
                                  <a:sysClr val="windowText" lastClr="000000"/>
                                </a:solidFill>
                                <a:latin typeface="Cambria Math" panose="02040503050406030204" pitchFamily="18" charset="0"/>
                                <a:ea typeface="+mn-ea"/>
                                <a:cs typeface="+mn-cs"/>
                              </a:rPr>
                            </m:ctrlPr>
                          </m:sSubPr>
                          <m:e>
                            <m:r>
                              <m:rPr>
                                <m:nor/>
                              </m:rPr>
                              <a:rPr lang="en-US" sz="1100" b="0" i="1">
                                <a:solidFill>
                                  <a:sysClr val="windowText" lastClr="000000"/>
                                </a:solidFill>
                                <a:latin typeface="+mn-lt"/>
                                <a:ea typeface="+mn-ea"/>
                                <a:cs typeface="+mn-cs"/>
                              </a:rPr>
                              <m:t>Net</m:t>
                            </m:r>
                          </m:e>
                          <m:sub>
                            <m:r>
                              <m:rPr>
                                <m:nor/>
                              </m:rPr>
                              <a:rPr lang="en-US" sz="1100" b="0" i="1">
                                <a:solidFill>
                                  <a:sysClr val="windowText" lastClr="000000"/>
                                </a:solidFill>
                                <a:latin typeface="+mn-lt"/>
                                <a:ea typeface="+mn-ea"/>
                                <a:cs typeface="+mn-cs"/>
                              </a:rPr>
                              <m:t>target</m:t>
                            </m:r>
                          </m:sub>
                        </m:sSub>
                        <m:r>
                          <a:rPr lang="ar-AE" sz="1100" b="0" i="0">
                            <a:solidFill>
                              <a:sysClr val="windowText" lastClr="000000"/>
                            </a:solidFill>
                            <a:latin typeface="Cambria Math" panose="02040503050406030204" pitchFamily="18" charset="0"/>
                            <a:ea typeface="+mn-ea"/>
                            <a:cs typeface="+mn-cs"/>
                          </a:rPr>
                          <m:t>+</m:t>
                        </m:r>
                        <m:d>
                          <m:dPr>
                            <m:ctrlPr>
                              <a:rPr lang="ar-AE" sz="1100" b="0" i="1">
                                <a:solidFill>
                                  <a:sysClr val="windowText" lastClr="000000"/>
                                </a:solidFill>
                                <a:latin typeface="Cambria Math" panose="02040503050406030204" pitchFamily="18" charset="0"/>
                                <a:ea typeface="+mn-ea"/>
                                <a:cs typeface="+mn-cs"/>
                              </a:rPr>
                            </m:ctrlPr>
                          </m:dPr>
                          <m:e>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e>
                        </m:d>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𝑚</m:t>
                            </m:r>
                          </m:e>
                          <m:sub>
                            <m:r>
                              <a:rPr lang="ar-AE" sz="1100" b="0" i="1">
                                <a:solidFill>
                                  <a:sysClr val="windowText" lastClr="000000"/>
                                </a:solidFill>
                                <a:latin typeface="Cambria Math" panose="02040503050406030204" pitchFamily="18" charset="0"/>
                                <a:ea typeface="+mn-ea"/>
                                <a:cs typeface="+mn-cs"/>
                              </a:rPr>
                              <m:t>𝑡</m:t>
                            </m:r>
                          </m:sub>
                        </m:sSub>
                        <m:r>
                          <a:rPr lang="ar-AE" sz="1100" b="0" i="0">
                            <a:solidFill>
                              <a:sysClr val="windowText" lastClr="000000"/>
                            </a:solidFill>
                            <a:latin typeface="Cambria Math" panose="02040503050406030204" pitchFamily="18" charset="0"/>
                            <a:ea typeface="+mn-ea"/>
                            <a:cs typeface="+mn-cs"/>
                          </a:rPr>
                          <m:t>+</m:t>
                        </m:r>
                        <m:r>
                          <a:rPr lang="ar-AE" sz="1100" b="0" i="1">
                            <a:solidFill>
                              <a:sysClr val="windowText" lastClr="000000"/>
                            </a:solidFill>
                            <a:latin typeface="Cambria Math" panose="02040503050406030204" pitchFamily="18" charset="0"/>
                            <a:ea typeface="+mn-ea"/>
                            <a:cs typeface="+mn-cs"/>
                          </a:rPr>
                          <m:t>𝑟</m:t>
                        </m:r>
                        <m:r>
                          <m:rPr>
                            <m:nor/>
                          </m:rPr>
                          <a:rPr lang="ar-AE" sz="1100" b="0" i="1">
                            <a:solidFill>
                              <a:sysClr val="windowText" lastClr="000000"/>
                            </a:solidFill>
                            <a:latin typeface="+mn-lt"/>
                            <a:ea typeface="+mn-ea"/>
                            <a:cs typeface="+mn-cs"/>
                          </a:rPr>
                          <m:t> </m:t>
                        </m:r>
                        <m:r>
                          <a:rPr lang="ar-AE" sz="1100" b="0" i="1">
                            <a:solidFill>
                              <a:sysClr val="windowText" lastClr="000000"/>
                            </a:solidFill>
                            <a:latin typeface="Cambria Math" panose="02040503050406030204" pitchFamily="18" charset="0"/>
                            <a:ea typeface="+mn-ea"/>
                            <a:cs typeface="+mn-cs"/>
                          </a:rPr>
                          <m:t>𝐷</m:t>
                        </m:r>
                        <m:r>
                          <m:rPr>
                            <m:nor/>
                          </m:rPr>
                          <a:rPr lang="ar-AE" sz="1100" b="0" i="1">
                            <a:solidFill>
                              <a:sysClr val="windowText" lastClr="000000"/>
                            </a:solidFill>
                            <a:latin typeface="+mn-lt"/>
                            <a:ea typeface="+mn-ea"/>
                            <a:cs typeface="+mn-cs"/>
                          </a:rPr>
                          <m:t> </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h</m:t>
                            </m:r>
                          </m:e>
                          <m:sub>
                            <m:r>
                              <a:rPr lang="ar-AE" sz="1100" b="0" i="1">
                                <a:solidFill>
                                  <a:sysClr val="windowText" lastClr="000000"/>
                                </a:solidFill>
                                <a:latin typeface="Cambria Math" panose="02040503050406030204" pitchFamily="18" charset="0"/>
                                <a:ea typeface="+mn-ea"/>
                                <a:cs typeface="+mn-cs"/>
                              </a:rPr>
                              <m:t>𝑡</m:t>
                            </m:r>
                          </m:sub>
                        </m:sSub>
                      </m:num>
                      <m:den>
                        <m:r>
                          <a:rPr lang="ar-AE" sz="1100" b="0" i="0">
                            <a:solidFill>
                              <a:sysClr val="windowText" lastClr="000000"/>
                            </a:solidFill>
                            <a:latin typeface="Cambria Math" panose="02040503050406030204" pitchFamily="18" charset="0"/>
                            <a:ea typeface="+mn-ea"/>
                            <a:cs typeface="+mn-cs"/>
                          </a:rPr>
                          <m:t>1</m:t>
                        </m:r>
                        <m:r>
                          <a:rPr lang="ar-AE" sz="1100" b="0" i="0">
                            <a:solidFill>
                              <a:sysClr val="windowText" lastClr="000000"/>
                            </a:solidFill>
                            <a:latin typeface="Cambria Math" panose="02040503050406030204" pitchFamily="18" charset="0"/>
                            <a:ea typeface="+mn-ea"/>
                            <a:cs typeface="+mn-cs"/>
                          </a:rPr>
                          <m:t>−</m:t>
                        </m:r>
                        <m:sSub>
                          <m:sSubPr>
                            <m:ctrlPr>
                              <a:rPr lang="ar-AE" sz="1100" b="0" i="1">
                                <a:solidFill>
                                  <a:sysClr val="windowText" lastClr="000000"/>
                                </a:solidFill>
                                <a:latin typeface="Cambria Math" panose="02040503050406030204" pitchFamily="18" charset="0"/>
                                <a:ea typeface="+mn-ea"/>
                                <a:cs typeface="+mn-cs"/>
                              </a:rPr>
                            </m:ctrlPr>
                          </m:sSubPr>
                          <m:e>
                            <m:r>
                              <a:rPr lang="ar-AE" sz="1100" b="0" i="1">
                                <a:solidFill>
                                  <a:sysClr val="windowText" lastClr="000000"/>
                                </a:solidFill>
                                <a:latin typeface="Cambria Math" panose="02040503050406030204" pitchFamily="18" charset="0"/>
                                <a:ea typeface="+mn-ea"/>
                                <a:cs typeface="+mn-cs"/>
                              </a:rPr>
                              <m:t>𝑓</m:t>
                            </m:r>
                          </m:e>
                          <m:sub>
                            <m:r>
                              <a:rPr lang="ar-AE" sz="1100" b="0" i="1">
                                <a:solidFill>
                                  <a:sysClr val="windowText" lastClr="000000"/>
                                </a:solidFill>
                                <a:latin typeface="Cambria Math" panose="02040503050406030204" pitchFamily="18" charset="0"/>
                                <a:ea typeface="+mn-ea"/>
                                <a:cs typeface="+mn-cs"/>
                              </a:rPr>
                              <m:t>𝑡</m:t>
                            </m:r>
                          </m:sub>
                        </m:sSub>
                      </m:den>
                    </m:f>
                  </m:oMath>
                </m:oMathPara>
              </a14:m>
              <a:endParaRPr lang="ar-AE" b="0">
                <a:solidFill>
                  <a:sysClr val="windowText" lastClr="000000"/>
                </a:solidFill>
              </a:endParaRP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your current placeholder, your placeholders are </a:t>
              </a:r>
              <a:r>
                <a:rPr lang="en-US" b="1">
                  <a:solidFill>
                    <a:sysClr val="windowText" lastClr="000000"/>
                  </a:solidFill>
                </a:rPr>
                <a:t>too low</a:t>
              </a:r>
              <a:r>
                <a:rPr lang="en-US">
                  <a:solidFill>
                    <a:sysClr val="windowText" lastClr="000000"/>
                  </a:solidFill>
                </a:rPr>
                <a:t> (Explanation #2).</a:t>
              </a: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the old 0.46‑rule result, the old proxy was </a:t>
              </a:r>
              <a:r>
                <a:rPr lang="en-US" b="1">
                  <a:solidFill>
                    <a:sysClr val="windowText" lastClr="000000"/>
                  </a:solidFill>
                </a:rPr>
                <a:t>too high</a:t>
              </a:r>
              <a:r>
                <a:rPr lang="en-US">
                  <a:solidFill>
                    <a:sysClr val="windowText" lastClr="000000"/>
                  </a:solidFill>
                </a:rPr>
                <a:t> (Explanation #1).</a:t>
              </a:r>
            </a:p>
            <a:p>
              <a:r>
                <a:rPr lang="en-US">
                  <a:solidFill>
                    <a:sysClr val="windowText" lastClr="000000"/>
                  </a:solidFill>
                </a:rPr>
                <a:t>If </a:t>
              </a:r>
              <a:r>
                <a:rPr lang="en-US" b="1">
                  <a:solidFill>
                    <a:sysClr val="windowText" lastClr="000000"/>
                  </a:solidFill>
                </a:rPr>
                <a:t>SiteFixed*</a:t>
              </a:r>
              <a:r>
                <a:rPr lang="en-US">
                  <a:solidFill>
                    <a:sysClr val="windowText" lastClr="000000"/>
                  </a:solidFill>
                </a:rPr>
                <a:t> matches the board target </a:t>
              </a:r>
              <a:r>
                <a:rPr lang="en-US" b="1">
                  <a:solidFill>
                    <a:sysClr val="windowText" lastClr="000000"/>
                  </a:solidFill>
                </a:rPr>
                <a:t>only</a:t>
              </a:r>
              <a:r>
                <a:rPr lang="en-US">
                  <a:solidFill>
                    <a:sysClr val="windowText" lastClr="000000"/>
                  </a:solidFill>
                </a:rPr>
                <a:t> when </a:t>
              </a:r>
              <a:r>
                <a:rPr lang="en-US" b="1">
                  <a:solidFill>
                    <a:sysClr val="windowText" lastClr="000000"/>
                  </a:solidFill>
                </a:rPr>
                <a:t>f_t</a:t>
              </a:r>
              <a:r>
                <a:rPr lang="en-US">
                  <a:solidFill>
                    <a:sysClr val="windowText" lastClr="000000"/>
                  </a:solidFill>
                </a:rPr>
                <a:t> is small (e.g., </a:t>
              </a:r>
              <a:r>
                <a:rPr lang="en-US" b="1">
                  <a:solidFill>
                    <a:sysClr val="windowText" lastClr="000000"/>
                  </a:solidFill>
                </a:rPr>
                <a:t>0.10</a:t>
              </a:r>
              <a:r>
                <a:rPr lang="en-US">
                  <a:solidFill>
                    <a:sysClr val="windowText" lastClr="000000"/>
                  </a:solidFill>
                </a:rPr>
                <a:t>), that points to a </a:t>
              </a:r>
              <a:r>
                <a:rPr lang="en-US" b="1">
                  <a:solidFill>
                    <a:sysClr val="windowText" lastClr="000000"/>
                  </a:solidFill>
                </a:rPr>
                <a:t>timing assumption</a:t>
              </a:r>
              <a:r>
                <a:rPr lang="en-US">
                  <a:solidFill>
                    <a:sysClr val="windowText" lastClr="000000"/>
                  </a:solidFill>
                </a:rPr>
                <a:t> mismatch (Explanation #3).</a:t>
              </a:r>
            </a:p>
            <a:p>
              <a:r>
                <a:rPr lang="en-US">
                  <a:solidFill>
                    <a:sysClr val="windowText" lastClr="000000"/>
                  </a:solidFill>
                </a:rPr>
                <a:t>This is deterministic and uses </a:t>
              </a:r>
              <a:r>
                <a:rPr lang="en-US" b="1">
                  <a:solidFill>
                    <a:sysClr val="windowText" lastClr="000000"/>
                  </a:solidFill>
                </a:rPr>
                <a:t>your own r, D, m, h, f</a:t>
              </a:r>
              <a:r>
                <a:rPr lang="en-US">
                  <a:solidFill>
                    <a:sysClr val="windowText" lastClr="000000"/>
                  </a:solidFill>
                </a:rPr>
                <a:t> for FY30.</a:t>
              </a:r>
            </a:p>
            <a:p>
              <a:br>
                <a:rPr lang="en-US">
                  <a:solidFill>
                    <a:sysClr val="windowText" lastClr="000000"/>
                  </a:solidFill>
                </a:rPr>
              </a:br>
              <a:endParaRPr lang="en-US">
                <a:solidFill>
                  <a:sysClr val="windowText" lastClr="000000"/>
                </a:solidFill>
              </a:endParaRPr>
            </a:p>
            <a:p>
              <a:r>
                <a:rPr lang="en-US" b="1">
                  <a:solidFill>
                    <a:sysClr val="windowText" lastClr="000000"/>
                  </a:solidFill>
                </a:rPr>
                <a:t>D) Quick sensitivity you can quote in the meeting</a:t>
              </a:r>
            </a:p>
            <a:p>
              <a:r>
                <a:rPr lang="en-US" b="1">
                  <a:solidFill>
                    <a:sysClr val="windowText" lastClr="000000"/>
                  </a:solidFill>
                </a:rPr>
                <a:t>Per $100k change</a:t>
              </a:r>
              <a:r>
                <a:rPr lang="en-US">
                  <a:solidFill>
                    <a:sysClr val="windowText" lastClr="000000"/>
                  </a:solidFill>
                </a:rPr>
                <a:t> in SiteFixed (both schools combined), FY30 </a:t>
              </a:r>
              <a:r>
                <a:rPr lang="el-GR" b="1">
                  <a:solidFill>
                    <a:sysClr val="windowText" lastClr="000000"/>
                  </a:solidFill>
                </a:rPr>
                <a:t>Δ</a:t>
              </a:r>
              <a:r>
                <a:rPr lang="en-US" b="1">
                  <a:solidFill>
                    <a:sysClr val="windowText" lastClr="000000"/>
                  </a:solidFill>
                </a:rPr>
                <a:t>Net moves by</a:t>
              </a:r>
              <a:r>
                <a:rPr lang="en-US">
                  <a:solidFill>
                    <a:sysClr val="windowText" lastClr="000000"/>
                  </a:solidFill>
                </a:rPr>
                <a:t> </a:t>
              </a:r>
              <a:r>
                <a:rPr lang="en-US" b="1">
                  <a:solidFill>
                    <a:sysClr val="windowText" lastClr="000000"/>
                  </a:solidFill>
                </a:rPr>
                <a:t>$(1 − f_t) × 100k</a:t>
              </a:r>
              <a:r>
                <a:rPr lang="en-US">
                  <a:solidFill>
                    <a:sysClr val="windowText" lastClr="000000"/>
                  </a:solidFill>
                </a:rPr>
                <a:t>.</a:t>
              </a:r>
            </a:p>
            <a:p>
              <a:pPr lvl="1"/>
              <a:r>
                <a:rPr lang="en-US">
                  <a:solidFill>
                    <a:sysClr val="windowText" lastClr="000000"/>
                  </a:solidFill>
                </a:rPr>
                <a:t>With </a:t>
              </a:r>
              <a:r>
                <a:rPr lang="en-US" b="1">
                  <a:solidFill>
                    <a:sysClr val="windowText" lastClr="000000"/>
                  </a:solidFill>
                </a:rPr>
                <a:t>f_ops FY30 = 0.30</a:t>
              </a:r>
              <a:r>
                <a:rPr lang="en-US">
                  <a:solidFill>
                    <a:sysClr val="windowText" lastClr="000000"/>
                  </a:solidFill>
                </a:rPr>
                <a:t>, that’s </a:t>
              </a:r>
              <a:r>
                <a:rPr lang="en-US" b="1">
                  <a:solidFill>
                    <a:sysClr val="windowText" lastClr="000000"/>
                  </a:solidFill>
                </a:rPr>
                <a:t>$70k</a:t>
              </a:r>
              <a:r>
                <a:rPr lang="en-US">
                  <a:solidFill>
                    <a:sysClr val="windowText" lastClr="000000"/>
                  </a:solidFill>
                </a:rPr>
                <a:t> to </a:t>
              </a:r>
              <a:r>
                <a:rPr lang="el-GR">
                  <a:solidFill>
                    <a:sysClr val="windowText" lastClr="000000"/>
                  </a:solidFill>
                </a:rPr>
                <a:t>Δ</a:t>
              </a:r>
              <a:r>
                <a:rPr lang="en-US">
                  <a:solidFill>
                    <a:sysClr val="windowText" lastClr="000000"/>
                  </a:solidFill>
                </a:rPr>
                <a:t>Net; with </a:t>
              </a:r>
              <a:r>
                <a:rPr lang="en-US" b="1">
                  <a:solidFill>
                    <a:sysClr val="windowText" lastClr="000000"/>
                  </a:solidFill>
                </a:rPr>
                <a:t>f_lease FY30 = 0.10</a:t>
              </a:r>
              <a:r>
                <a:rPr lang="en-US">
                  <a:solidFill>
                    <a:sysClr val="windowText" lastClr="000000"/>
                  </a:solidFill>
                </a:rPr>
                <a:t>, that’s </a:t>
              </a:r>
              <a:r>
                <a:rPr lang="en-US" b="1">
                  <a:solidFill>
                    <a:sysClr val="windowText" lastClr="000000"/>
                  </a:solidFill>
                </a:rPr>
                <a:t>$90k</a:t>
              </a:r>
              <a:r>
                <a:rPr lang="en-US">
                  <a:solidFill>
                    <a:sysClr val="windowText" lastClr="000000"/>
                  </a:solidFill>
                </a:rPr>
                <a:t>.</a:t>
              </a:r>
            </a:p>
            <a:p>
              <a:r>
                <a:rPr lang="en-US" b="1">
                  <a:solidFill>
                    <a:sysClr val="windowText" lastClr="000000"/>
                  </a:solidFill>
                </a:rPr>
                <a:t>Per 10‑point change</a:t>
              </a:r>
              <a:r>
                <a:rPr lang="en-US">
                  <a:solidFill>
                    <a:sysClr val="windowText" lastClr="000000"/>
                  </a:solidFill>
                </a:rPr>
                <a:t> in </a:t>
              </a:r>
              <a:r>
                <a:rPr lang="en-US" b="1">
                  <a:solidFill>
                    <a:sysClr val="windowText" lastClr="000000"/>
                  </a:solidFill>
                </a:rPr>
                <a:t>r</a:t>
              </a:r>
              <a:r>
                <a:rPr lang="en-US">
                  <a:solidFill>
                    <a:sysClr val="windowText" lastClr="000000"/>
                  </a:solidFill>
                </a:rPr>
                <a:t> (retention),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roughly </a:t>
              </a:r>
              <a:r>
                <a:rPr lang="en-US" b="1">
                  <a:solidFill>
                    <a:sysClr val="windowText" lastClr="000000"/>
                  </a:solidFill>
                </a:rPr>
                <a:t>0.10 × D × (m_t − h_t)</a:t>
              </a:r>
              <a:r>
                <a:rPr lang="en-US">
                  <a:solidFill>
                    <a:sysClr val="windowText" lastClr="000000"/>
                  </a:solidFill>
                </a:rPr>
                <a:t>.</a:t>
              </a:r>
            </a:p>
            <a:p>
              <a:r>
                <a:rPr lang="en-US" b="1">
                  <a:solidFill>
                    <a:sysClr val="windowText" lastClr="000000"/>
                  </a:solidFill>
                </a:rPr>
                <a:t>Per $500 change</a:t>
              </a:r>
              <a:r>
                <a:rPr lang="en-US">
                  <a:solidFill>
                    <a:sysClr val="windowText" lastClr="000000"/>
                  </a:solidFill>
                </a:rPr>
                <a:t> in </a:t>
              </a:r>
              <a:r>
                <a:rPr lang="en-US" b="1">
                  <a:solidFill>
                    <a:sysClr val="windowText" lastClr="000000"/>
                  </a:solidFill>
                </a:rPr>
                <a:t>m_t</a:t>
              </a:r>
              <a:r>
                <a:rPr lang="en-US">
                  <a:solidFill>
                    <a:sysClr val="windowText" lastClr="000000"/>
                  </a:solidFill>
                </a:rPr>
                <a:t>,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a:t>
              </a:r>
              <a:r>
                <a:rPr lang="en-US" b="1">
                  <a:solidFill>
                    <a:sysClr val="windowText" lastClr="000000"/>
                  </a:solidFill>
                </a:rPr>
                <a:t>$(1 − r) × D × 500</a:t>
              </a:r>
              <a:r>
                <a:rPr lang="en-US">
                  <a:solidFill>
                    <a:sysClr val="windowText" lastClr="000000"/>
                  </a:solidFill>
                </a:rPr>
                <a:t> (lost‑student term).</a:t>
              </a:r>
            </a:p>
            <a:p>
              <a:r>
                <a:rPr lang="en-US">
                  <a:solidFill>
                    <a:sysClr val="windowText" lastClr="000000"/>
                  </a:solidFill>
                </a:rPr>
                <a:t>These three levers explain </a:t>
              </a:r>
              <a:r>
                <a:rPr lang="en-US" b="1">
                  <a:solidFill>
                    <a:sysClr val="windowText" lastClr="000000"/>
                  </a:solidFill>
                </a:rPr>
                <a:t>most</a:t>
              </a:r>
              <a:r>
                <a:rPr lang="en-US">
                  <a:solidFill>
                    <a:sysClr val="windowText" lastClr="000000"/>
                  </a:solidFill>
                </a:rPr>
                <a:t> of the movement you saw when you swapped proxies.</a:t>
              </a:r>
            </a:p>
            <a:p>
              <a:br>
                <a:rPr lang="en-US">
                  <a:solidFill>
                    <a:sysClr val="windowText" lastClr="000000"/>
                  </a:solidFill>
                </a:rPr>
              </a:br>
              <a:endParaRPr lang="en-US">
                <a:solidFill>
                  <a:sysClr val="windowText" lastClr="000000"/>
                </a:solidFill>
              </a:endParaRPr>
            </a:p>
            <a:p>
              <a:r>
                <a:rPr lang="en-US" b="1">
                  <a:solidFill>
                    <a:sysClr val="windowText" lastClr="000000"/>
                  </a:solidFill>
                </a:rPr>
                <a:t>E) What to do right now (while we wait on the CFO CSV)</a:t>
              </a:r>
            </a:p>
            <a:p>
              <a:r>
                <a:rPr lang="en-US" b="1">
                  <a:solidFill>
                    <a:sysClr val="windowText" lastClr="000000"/>
                  </a:solidFill>
                </a:rPr>
                <a:t>Keep</a:t>
              </a:r>
              <a:r>
                <a:rPr lang="en-US">
                  <a:solidFill>
                    <a:sysClr val="windowText" lastClr="000000"/>
                  </a:solidFill>
                </a:rPr>
                <a:t> the directional placeholders you just used (they are </a:t>
              </a:r>
              <a:r>
                <a:rPr lang="en-US" b="1">
                  <a:solidFill>
                    <a:sysClr val="windowText" lastClr="000000"/>
                  </a:solidFill>
                </a:rPr>
                <a:t>defensible</a:t>
              </a:r>
              <a:r>
                <a:rPr lang="en-US">
                  <a:solidFill>
                    <a:sysClr val="windowText" lastClr="000000"/>
                  </a:solidFill>
                </a:rPr>
                <a:t> and align with public function totals and campus sizes).</a:t>
              </a:r>
            </a:p>
            <a:p>
              <a:r>
                <a:rPr lang="en-US" b="1">
                  <a:solidFill>
                    <a:sysClr val="windowText" lastClr="000000"/>
                  </a:solidFill>
                </a:rPr>
                <a:t>Add a one‑line footnote</a:t>
              </a:r>
              <a:r>
                <a:rPr lang="en-US">
                  <a:solidFill>
                    <a:sysClr val="windowText" lastClr="000000"/>
                  </a:solidFill>
                </a:rPr>
                <a:t> on </a:t>
              </a:r>
              <a:r>
                <a:rPr lang="en-US" b="1">
                  <a:solidFill>
                    <a:sysClr val="windowText" lastClr="000000"/>
                  </a:solidFill>
                </a:rPr>
                <a:t>Scenario_Comparison</a:t>
              </a:r>
              <a:r>
                <a:rPr lang="en-US">
                  <a:solidFill>
                    <a:sysClr val="windowText" lastClr="000000"/>
                  </a:solidFill>
                </a:rPr>
                <a:t> or </a:t>
              </a:r>
              <a:r>
                <a:rPr lang="en-US" b="1">
                  <a:solidFill>
                    <a:sysClr val="windowText" lastClr="000000"/>
                  </a:solidFill>
                </a:rPr>
                <a:t>Summary_Figures</a:t>
              </a:r>
              <a:r>
                <a:rPr lang="en-US">
                  <a:solidFill>
                    <a:sysClr val="windowText" lastClr="000000"/>
                  </a:solidFill>
                </a:rPr>
                <a:t>:</a:t>
              </a:r>
            </a:p>
            <a:p>
              <a:r>
                <a:rPr lang="en-US">
                  <a:solidFill>
                    <a:sysClr val="windowText" lastClr="000000"/>
                  </a:solidFill>
                </a:rPr>
                <a:t>“Repurpose fixed M&amp;O savings are using directional placeholders rooted in FY26 function totals and campus sf; audited FY25 site‑level ledgers (Fund 001) will replace these values.”</a:t>
              </a:r>
            </a:p>
            <a:p>
              <a:r>
                <a:rPr lang="en-US" b="1">
                  <a:solidFill>
                    <a:sysClr val="windowText" lastClr="000000"/>
                  </a:solidFill>
                </a:rPr>
                <a:t>Run the backward solve once</a:t>
              </a:r>
              <a:r>
                <a:rPr lang="en-US">
                  <a:solidFill>
                    <a:sysClr val="windowText" lastClr="000000"/>
                  </a:solidFill>
                </a:rPr>
                <a:t> (per C) for FY30 using your current </a:t>
              </a:r>
              <a:r>
                <a:rPr lang="en-US" b="1">
                  <a:solidFill>
                    <a:sysClr val="windowText" lastClr="000000"/>
                  </a:solidFill>
                </a:rPr>
                <a:t>r, D, m, h, f</a:t>
              </a:r>
              <a:r>
                <a:rPr lang="en-US">
                  <a:solidFill>
                    <a:sysClr val="windowText" lastClr="000000"/>
                  </a:solidFill>
                </a:rPr>
                <a:t> to see the </a:t>
              </a:r>
              <a:r>
                <a:rPr lang="en-US" b="1">
                  <a:solidFill>
                    <a:sysClr val="windowText" lastClr="000000"/>
                  </a:solidFill>
                </a:rPr>
                <a:t>implied SiteFixed*</a:t>
              </a:r>
              <a:r>
                <a:rPr lang="en-US">
                  <a:solidFill>
                    <a:sysClr val="windowText" lastClr="000000"/>
                  </a:solidFill>
                </a:rPr>
                <a:t> that would match </a:t>
              </a:r>
              <a:r>
                <a:rPr lang="en-US" b="1">
                  <a:solidFill>
                    <a:sysClr val="windowText" lastClr="000000"/>
                  </a:solidFill>
                </a:rPr>
                <a:t>$1.9M</a:t>
              </a:r>
              <a:r>
                <a:rPr lang="en-US">
                  <a:solidFill>
                    <a:sysClr val="windowText" lastClr="000000"/>
                  </a:solidFill>
                </a:rPr>
                <a:t> total. If the implied SiteFixed* is </a:t>
              </a:r>
              <a:r>
                <a:rPr lang="en-US" b="1">
                  <a:solidFill>
                    <a:sysClr val="windowText" lastClr="000000"/>
                  </a:solidFill>
                </a:rPr>
                <a:t>close</a:t>
              </a:r>
              <a:r>
                <a:rPr lang="en-US">
                  <a:solidFill>
                    <a:sysClr val="windowText" lastClr="000000"/>
                  </a:solidFill>
                </a:rPr>
                <a:t> to your placeholders, you’re in the right band; if it’s far, note </a:t>
              </a:r>
              <a:r>
                <a:rPr lang="en-US" b="1">
                  <a:solidFill>
                    <a:sysClr val="windowText" lastClr="000000"/>
                  </a:solidFill>
                </a:rPr>
                <a:t>which lever</a:t>
              </a:r>
              <a:r>
                <a:rPr lang="en-US">
                  <a:solidFill>
                    <a:sysClr val="windowText" lastClr="000000"/>
                  </a:solidFill>
                </a:rPr>
                <a:t> explains the distance (timing via </a:t>
              </a:r>
              <a:r>
                <a:rPr lang="en-US" b="1">
                  <a:solidFill>
                    <a:sysClr val="windowText" lastClr="000000"/>
                  </a:solidFill>
                </a:rPr>
                <a:t>f_t</a:t>
              </a:r>
              <a:r>
                <a:rPr lang="en-US">
                  <a:solidFill>
                    <a:sysClr val="windowText" lastClr="000000"/>
                  </a:solidFill>
                </a:rPr>
                <a:t>, or base via </a:t>
              </a:r>
              <a:r>
                <a:rPr lang="en-US" b="1">
                  <a:solidFill>
                    <a:sysClr val="windowText" lastClr="000000"/>
                  </a:solidFill>
                </a:rPr>
                <a:t>SiteFixed</a:t>
              </a:r>
              <a:r>
                <a:rPr lang="en-US">
                  <a:solidFill>
                    <a:sysClr val="windowText" lastClr="000000"/>
                  </a:solidFill>
                </a:rPr>
                <a:t>).</a:t>
              </a:r>
            </a:p>
            <a:p>
              <a:pPr rtl="0" eaLnBrk="1" fontAlgn="auto" latinLnBrk="0" hangingPunct="1"/>
              <a:endParaRPr lang="en-US" sz="1200">
                <a:solidFill>
                  <a:sysClr val="windowText" lastClr="000000"/>
                </a:solidFill>
                <a:effectLst/>
              </a:endParaRPr>
            </a:p>
            <a:p>
              <a:pPr algn="l"/>
              <a:endParaRPr lang="en-US" sz="1200">
                <a:solidFill>
                  <a:sysClr val="windowText" lastClr="000000"/>
                </a:solidFill>
              </a:endParaRPr>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endParaRPr lang="en-US" sz="1200" b="1" i="0">
                <a:solidFill>
                  <a:sysClr val="windowText" lastClr="000000"/>
                </a:solidFill>
                <a:effectLst/>
                <a:latin typeface="+mn-lt"/>
                <a:ea typeface="+mn-ea"/>
                <a:cs typeface="+mn-cs"/>
              </a:endParaRP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Refer to these</a:t>
              </a:r>
              <a:r>
                <a:rPr lang="en-US" sz="1200" b="1" i="0" baseline="0">
                  <a:solidFill>
                    <a:sysClr val="windowText" lastClr="000000"/>
                  </a:solidFill>
                  <a:effectLst/>
                  <a:latin typeface="+mn-lt"/>
                  <a:ea typeface="+mn-ea"/>
                  <a:cs typeface="+mn-cs"/>
                </a:rPr>
                <a:t> as known gaps in the model (but suggest we are making what we think are reasonable assumptions instead / ahead of having the correct data)...</a:t>
              </a:r>
            </a:p>
            <a:p>
              <a:endParaRPr lang="en-US" sz="1200" b="1" i="0">
                <a:solidFill>
                  <a:sysClr val="windowText" lastClr="000000"/>
                </a:solidFill>
                <a:effectLst/>
                <a:latin typeface="+mn-lt"/>
                <a:ea typeface="+mn-ea"/>
                <a:cs typeface="+mn-cs"/>
              </a:endParaRPr>
            </a:p>
            <a:p>
              <a:r>
                <a:rPr lang="en-US" sz="1200" b="1" i="0">
                  <a:solidFill>
                    <a:sysClr val="windowText" lastClr="000000"/>
                  </a:solidFill>
                  <a:effectLst/>
                  <a:latin typeface="+mn-lt"/>
                  <a:ea typeface="+mn-ea"/>
                  <a:cs typeface="+mn-cs"/>
                </a:rPr>
                <a:t>Financial Invalidity:</a:t>
              </a:r>
              <a:r>
                <a:rPr lang="en-US" sz="1200" b="0" i="0">
                  <a:solidFill>
                    <a:sysClr val="windowText" lastClr="000000"/>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solidFill>
                  <a:sysClr val="windowText" lastClr="000000"/>
                </a:solidFill>
                <a:effectLst/>
              </a:endParaRPr>
            </a:p>
            <a:p>
              <a:r>
                <a:rPr lang="en-US" sz="1200" b="1" i="0">
                  <a:solidFill>
                    <a:sysClr val="windowText" lastClr="000000"/>
                  </a:solidFill>
                  <a:effectLst/>
                  <a:latin typeface="+mn-lt"/>
                  <a:ea typeface="+mn-ea"/>
                  <a:cs typeface="+mn-cs"/>
                </a:rPr>
                <a:t>Critical Flaw 2 (Logistical Invalidity):</a:t>
              </a:r>
              <a:r>
                <a:rPr lang="en-US" sz="1200" b="0" i="0">
                  <a:solidFill>
                    <a:sysClr val="windowText" lastClr="000000"/>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ysClr val="windowText" lastClr="000000"/>
                </a:solidFill>
                <a:effectLst/>
                <a:latin typeface="+mn-lt"/>
                <a:ea typeface="+mn-ea"/>
                <a:cs typeface="+mn-cs"/>
              </a:endParaRPr>
            </a:p>
            <a:p>
              <a:r>
                <a:rPr lang="en-US" sz="1200" b="0" i="0">
                  <a:solidFill>
                    <a:sysClr val="windowText" lastClr="000000"/>
                  </a:solidFill>
                  <a:effectLst/>
                  <a:latin typeface="+mn-lt"/>
                  <a:ea typeface="+mn-ea"/>
                  <a:cs typeface="+mn-cs"/>
                </a:rPr>
                <a:t>--emphasize the point that maybe</a:t>
              </a:r>
              <a:r>
                <a:rPr lang="en-US" sz="1200" b="0" i="0" baseline="0">
                  <a:solidFill>
                    <a:sysClr val="windowText" lastClr="000000"/>
                  </a:solidFill>
                  <a:effectLst/>
                  <a:latin typeface="+mn-lt"/>
                  <a:ea typeface="+mn-ea"/>
                  <a:cs typeface="+mn-cs"/>
                </a:rPr>
                <a:t> we just need to be budget-neutral or positive... we don't necessarily need to beat repurpose</a:t>
              </a:r>
              <a:endParaRPr lang="en-US" sz="1200">
                <a:solidFill>
                  <a:sysClr val="windowText" lastClr="000000"/>
                </a:solidFill>
                <a:effectLst/>
              </a:endParaRPr>
            </a:p>
            <a:p>
              <a:pPr algn="l"/>
              <a:endParaRPr lang="en-US" sz="1200">
                <a:solidFill>
                  <a:sysClr val="windowText" lastClr="000000"/>
                </a:solidFill>
              </a:endParaRPr>
            </a:p>
            <a:p>
              <a:pPr algn="l"/>
              <a:r>
                <a:rPr lang="en-US" sz="1200">
                  <a:solidFill>
                    <a:sysClr val="windowText" lastClr="000000"/>
                  </a:solidFill>
                </a:rPr>
                <a:t>--get</a:t>
              </a:r>
              <a:r>
                <a:rPr lang="en-US" sz="1200" baseline="0">
                  <a:solidFill>
                    <a:sysClr val="windowText" lastClr="000000"/>
                  </a:solidFill>
                </a:rPr>
                <a:t> rid of control center tab</a:t>
              </a:r>
            </a:p>
            <a:p>
              <a:pPr algn="l"/>
              <a:endParaRPr lang="en-US" sz="1200" baseline="0">
                <a:solidFill>
                  <a:sysClr val="windowText" lastClr="000000"/>
                </a:solidFill>
              </a:endParaRPr>
            </a:p>
            <a:p>
              <a:pPr algn="l"/>
              <a:r>
                <a:rPr lang="en-US" sz="1200" baseline="0">
                  <a:solidFill>
                    <a:sysClr val="windowText" lastClr="000000"/>
                  </a:solidFill>
                </a:rPr>
                <a:t>--</a:t>
              </a:r>
              <a:r>
                <a:rPr lang="en-US" sz="1100" b="1" i="0">
                  <a:solidFill>
                    <a:sysClr val="windowText" lastClr="000000"/>
                  </a:solidFill>
                  <a:effectLst/>
                  <a:latin typeface="+mn-lt"/>
                  <a:ea typeface="+mn-ea"/>
                  <a:cs typeface="+mn-cs"/>
                </a:rPr>
                <a:t>Flag Proxy Savings:</a:t>
              </a:r>
              <a:r>
                <a:rPr lang="en-US" sz="1100" b="0" i="0">
                  <a:solidFill>
                    <a:sysClr val="windowText" lastClr="000000"/>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ysClr val="windowText" lastClr="000000"/>
                </a:solidFill>
                <a:effectLst/>
                <a:latin typeface="+mn-lt"/>
                <a:ea typeface="+mn-ea"/>
                <a:cs typeface="+mn-cs"/>
              </a:endParaRPr>
            </a:p>
            <a:p>
              <a:pPr algn="l"/>
              <a:r>
                <a:rPr lang="en-US" sz="1100" b="0" i="0">
                  <a:solidFill>
                    <a:sysClr val="windowText" lastClr="000000"/>
                  </a:solidFill>
                  <a:effectLst/>
                  <a:latin typeface="+mn-lt"/>
                  <a:ea typeface="+mn-ea"/>
                  <a:cs typeface="+mn-cs"/>
                </a:rPr>
                <a:t>--</a:t>
              </a:r>
              <a:r>
                <a:rPr lang="en-US" sz="1100" b="1" i="0">
                  <a:solidFill>
                    <a:sysClr val="windowText" lastClr="000000"/>
                  </a:solidFill>
                  <a:effectLst/>
                  <a:latin typeface="+mn-lt"/>
                  <a:ea typeface="+mn-ea"/>
                  <a:cs typeface="+mn-cs"/>
                </a:rPr>
                <a:t>Harmonize Conflicting Inputs:</a:t>
              </a:r>
              <a:r>
                <a:rPr lang="en-US" sz="1100" b="0" i="0">
                  <a:solidFill>
                    <a:sysClr val="windowText" lastClr="000000"/>
                  </a:solidFill>
                  <a:effectLst/>
                  <a:latin typeface="+mn-lt"/>
                  <a:ea typeface="+mn-ea"/>
                  <a:cs typeface="+mn-cs"/>
                </a:rPr>
                <a:t> In Parameters_Public , change cell C43 (MarginalFactor_for_Overlay) from 0.6 to </a:t>
              </a:r>
              <a:r>
                <a:rPr lang="en-US" sz="1100" b="1" i="0">
                  <a:solidFill>
                    <a:sysClr val="windowText" lastClr="000000"/>
                  </a:solidFill>
                  <a:effectLst/>
                  <a:latin typeface="+mn-lt"/>
                  <a:ea typeface="+mn-ea"/>
                  <a:cs typeface="+mn-cs"/>
                </a:rPr>
                <a:t>0.50</a:t>
              </a:r>
              <a:r>
                <a:rPr lang="en-US" sz="1100" b="0" i="0">
                  <a:solidFill>
                    <a:sysClr val="windowText" lastClr="000000"/>
                  </a:solidFill>
                  <a:effectLst/>
                  <a:latin typeface="+mn-lt"/>
                  <a:ea typeface="+mn-ea"/>
                  <a:cs typeface="+mn-cs"/>
                </a:rPr>
                <a:t>. This aligns the </a:t>
              </a:r>
              <a:r>
                <a:rPr lang="en-US" sz="1100" b="0" i="1">
                  <a:solidFill>
                    <a:sysClr val="windowText" lastClr="000000"/>
                  </a:solidFill>
                  <a:effectLst/>
                  <a:latin typeface="+mn-lt"/>
                  <a:ea typeface="+mn-ea"/>
                  <a:cs typeface="+mn-cs"/>
                </a:rPr>
                <a:t>live model</a:t>
              </a:r>
              <a:r>
                <a:rPr lang="en-US" sz="1100" b="0" i="0">
                  <a:solidFill>
                    <a:sysClr val="windowText" lastClr="000000"/>
                  </a:solidFill>
                  <a:effectLst/>
                  <a:latin typeface="+mn-lt"/>
                  <a:ea typeface="+mn-ea"/>
                  <a:cs typeface="+mn-cs"/>
                </a:rPr>
                <a:t> with the </a:t>
              </a:r>
              <a:r>
                <a:rPr lang="en-US" sz="1100" b="0" i="1">
                  <a:solidFill>
                    <a:sysClr val="windowText" lastClr="000000"/>
                  </a:solidFill>
                  <a:effectLst/>
                  <a:latin typeface="+mn-lt"/>
                  <a:ea typeface="+mn-ea"/>
                  <a:cs typeface="+mn-cs"/>
                </a:rPr>
                <a:t>documented justification</a:t>
              </a:r>
              <a:r>
                <a:rPr lang="en-US" sz="1100" b="0" i="0">
                  <a:solidFill>
                    <a:sysClr val="windowText" lastClr="000000"/>
                  </a:solidFill>
                  <a:effectLst/>
                  <a:latin typeface="+mn-lt"/>
                  <a:ea typeface="+mn-ea"/>
                  <a:cs typeface="+mn-cs"/>
                </a:rPr>
                <a:t> in Definitions_Sources  and makes the "Growth" scenarios more conservative and defensible. -- see info / assumptions tab</a:t>
              </a:r>
            </a:p>
            <a:p>
              <a:pPr algn="l"/>
              <a:endParaRPr lang="en-US" sz="1100" b="0" i="0">
                <a:solidFill>
                  <a:sysClr val="windowText" lastClr="000000"/>
                </a:solidFill>
                <a:effectLst/>
                <a:latin typeface="+mn-lt"/>
                <a:ea typeface="+mn-ea"/>
                <a:cs typeface="+mn-cs"/>
              </a:endParaRPr>
            </a:p>
            <a:p>
              <a:pPr rtl="0" eaLnBrk="1" fontAlgn="auto" latinLnBrk="0" hangingPunct="1"/>
              <a:r>
                <a:rPr lang="en-US" sz="1100" b="0" i="0">
                  <a:solidFill>
                    <a:sysClr val="windowText" lastClr="000000"/>
                  </a:solidFill>
                  <a:effectLst/>
                  <a:latin typeface="+mn-lt"/>
                  <a:ea typeface="+mn-ea"/>
                  <a:cs typeface="+mn-cs"/>
                </a:rPr>
                <a:t>--</a:t>
              </a:r>
              <a:r>
                <a:rPr lang="en-US" sz="1100" b="0" i="0" baseline="0">
                  <a:solidFill>
                    <a:sysClr val="windowText" lastClr="000000"/>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--add the 'why echo makes sense as the innovation hub point'</a:t>
              </a:r>
            </a:p>
            <a:p>
              <a:pPr rtl="0" eaLnBrk="1" fontAlgn="auto" latinLnBrk="0" hangingPunct="1"/>
              <a:endParaRPr lang="en-US" sz="1100" b="0" i="0" baseline="0">
                <a:solidFill>
                  <a:sysClr val="windowText" lastClr="000000"/>
                </a:solidFill>
                <a:effectLst/>
                <a:latin typeface="+mn-lt"/>
                <a:ea typeface="+mn-ea"/>
                <a:cs typeface="+mn-cs"/>
              </a:endParaRPr>
            </a:p>
            <a:p>
              <a:pPr rtl="0" eaLnBrk="1" fontAlgn="auto" latinLnBrk="0" hangingPunct="1"/>
              <a:r>
                <a:rPr lang="en-US" sz="1100" b="0" i="0" baseline="0">
                  <a:solidFill>
                    <a:sysClr val="windowText" lastClr="000000"/>
                  </a:solidFill>
                  <a:effectLst/>
                  <a:latin typeface="+mn-lt"/>
                  <a:ea typeface="+mn-ea"/>
                  <a:cs typeface="+mn-cs"/>
                </a:rPr>
                <a:t>----- </a:t>
              </a:r>
            </a:p>
            <a:p>
              <a:pPr rtl="0" eaLnBrk="1" fontAlgn="auto" latinLnBrk="0" hangingPunct="1"/>
              <a:endParaRPr lang="en-US" sz="1100" b="0" i="0" baseline="0">
                <a:solidFill>
                  <a:sysClr val="windowText" lastClr="000000"/>
                </a:solidFill>
                <a:effectLst/>
                <a:latin typeface="+mn-lt"/>
                <a:ea typeface="+mn-ea"/>
                <a:cs typeface="+mn-cs"/>
              </a:endParaRPr>
            </a:p>
            <a:p>
              <a:r>
                <a:rPr lang="en-US" b="1">
                  <a:solidFill>
                    <a:sysClr val="windowText" lastClr="000000"/>
                  </a:solidFill>
                </a:rPr>
                <a:t>Why your repurpose deltas fell when you pasted the estimated Site_Fixed numbers</a:t>
              </a:r>
            </a:p>
            <a:p>
              <a:r>
                <a:rPr lang="en-US" b="1">
                  <a:solidFill>
                    <a:sysClr val="windowText" lastClr="000000"/>
                  </a:solidFill>
                </a:rPr>
                <a:t>What changed:</a:t>
              </a:r>
              <a:endParaRPr lang="en-US">
                <a:solidFill>
                  <a:sysClr val="windowText" lastClr="000000"/>
                </a:solidFill>
              </a:endParaRPr>
            </a:p>
            <a:p>
              <a:r>
                <a:rPr lang="en-US">
                  <a:solidFill>
                    <a:sysClr val="windowText" lastClr="000000"/>
                  </a:solidFill>
                </a:rPr>
                <a:t>The </a:t>
              </a:r>
              <a:r>
                <a:rPr lang="en-US" b="1">
                  <a:solidFill>
                    <a:sysClr val="windowText" lastClr="000000"/>
                  </a:solidFill>
                </a:rPr>
                <a:t>old proxy</a:t>
              </a:r>
              <a:r>
                <a:rPr lang="en-US">
                  <a:solidFill>
                    <a:sysClr val="windowText" lastClr="000000"/>
                  </a:solidFill>
                </a:rPr>
                <a:t> (your “0.46 of total cost” rule) was crediting a </a:t>
              </a:r>
              <a:r>
                <a:rPr lang="en-US" b="1">
                  <a:solidFill>
                    <a:sysClr val="windowText" lastClr="000000"/>
                  </a:solidFill>
                </a:rPr>
                <a:t>larger</a:t>
              </a:r>
              <a:r>
                <a:rPr lang="en-US">
                  <a:solidFill>
                    <a:sysClr val="windowText" lastClr="000000"/>
                  </a:solidFill>
                </a:rPr>
                <a:t> fixed‑cost base per site.</a:t>
              </a:r>
            </a:p>
            <a:p>
              <a:r>
                <a:rPr lang="en-US">
                  <a:solidFill>
                    <a:sysClr val="windowText" lastClr="000000"/>
                  </a:solidFill>
                </a:rPr>
                <a:t>The </a:t>
              </a:r>
              <a:r>
                <a:rPr lang="en-US" b="1">
                  <a:solidFill>
                    <a:sysClr val="windowText" lastClr="000000"/>
                  </a:solidFill>
                </a:rPr>
                <a:t>new directional estimates</a:t>
              </a:r>
              <a:r>
                <a:rPr lang="en-US">
                  <a:solidFill>
                    <a:sysClr val="windowText" lastClr="000000"/>
                  </a:solidFill>
                </a:rPr>
                <a:t> (plant ops ≈ $8/sf + school‑admin ≈ $350–400k + small insurance/other) came in </a:t>
              </a:r>
              <a:r>
                <a:rPr lang="en-US" b="1">
                  <a:solidFill>
                    <a:sysClr val="windowText" lastClr="000000"/>
                  </a:solidFill>
                </a:rPr>
                <a:t>smaller</a:t>
              </a:r>
              <a:r>
                <a:rPr lang="en-US">
                  <a:solidFill>
                    <a:sysClr val="windowText" lastClr="000000"/>
                  </a:solidFill>
                </a:rPr>
                <a:t>—on the order of </a:t>
              </a:r>
              <a:r>
                <a:rPr lang="en-US" b="1">
                  <a:solidFill>
                    <a:sysClr val="windowText" lastClr="000000"/>
                  </a:solidFill>
                </a:rPr>
                <a:t>$0.90–$0.98M per site</a:t>
              </a:r>
              <a:r>
                <a:rPr lang="en-US">
                  <a:solidFill>
                    <a:sysClr val="windowText" lastClr="000000"/>
                  </a:solidFill>
                </a:rPr>
                <a:t>.</a:t>
              </a:r>
            </a:p>
            <a:p>
              <a:r>
                <a:rPr lang="en-US">
                  <a:solidFill>
                    <a:sysClr val="windowText" lastClr="000000"/>
                  </a:solidFill>
                </a:rPr>
                <a:t>Because </a:t>
              </a:r>
              <a:r>
                <a:rPr lang="el-GR">
                  <a:solidFill>
                    <a:sysClr val="windowText" lastClr="000000"/>
                  </a:solidFill>
                </a:rPr>
                <a:t>Δ</a:t>
              </a:r>
              <a:r>
                <a:rPr lang="en-US">
                  <a:solidFill>
                    <a:sysClr val="windowText" lastClr="000000"/>
                  </a:solidFill>
                </a:rPr>
                <a:t>Net (operating) for repurpose is </a:t>
              </a:r>
              <a:r>
                <a:rPr lang="en-US" b="1">
                  <a:solidFill>
                    <a:sysClr val="windowText" lastClr="000000"/>
                  </a:solidFill>
                </a:rPr>
                <a:t>driven primarily by credited fixed savings</a:t>
              </a:r>
              <a:r>
                <a:rPr lang="en-US">
                  <a:solidFill>
                    <a:sysClr val="windowText" lastClr="000000"/>
                  </a:solidFill>
                </a:rPr>
                <a:t>, a </a:t>
              </a:r>
              <a:r>
                <a:rPr lang="en-US" b="1">
                  <a:solidFill>
                    <a:sysClr val="windowText" lastClr="000000"/>
                  </a:solidFill>
                </a:rPr>
                <a:t>smaller fixed base</a:t>
              </a:r>
              <a:r>
                <a:rPr lang="en-US">
                  <a:solidFill>
                    <a:sysClr val="windowText" lastClr="000000"/>
                  </a:solidFill>
                </a:rPr>
                <a:t> → </a:t>
              </a:r>
              <a:r>
                <a:rPr lang="en-US" b="1">
                  <a:solidFill>
                    <a:sysClr val="windowText" lastClr="000000"/>
                  </a:solidFill>
                </a:rPr>
                <a:t>smaller operating gain</a:t>
              </a:r>
              <a:r>
                <a:rPr lang="en-US">
                  <a:solidFill>
                    <a:sysClr val="windowText" lastClr="000000"/>
                  </a:solidFill>
                </a:rPr>
                <a:t>, especially in early years when we still carry </a:t>
              </a:r>
              <a:r>
                <a:rPr lang="en-US" b="1">
                  <a:solidFill>
                    <a:sysClr val="windowText" lastClr="000000"/>
                  </a:solidFill>
                </a:rPr>
                <a:t>f_ops/f_lease residuals</a:t>
              </a:r>
              <a:r>
                <a:rPr lang="en-US">
                  <a:solidFill>
                    <a:sysClr val="windowText" lastClr="000000"/>
                  </a:solidFill>
                </a:rPr>
                <a:t>.</a:t>
              </a:r>
            </a:p>
            <a:p>
              <a:r>
                <a:rPr lang="en-US">
                  <a:solidFill>
                    <a:sysClr val="windowText" lastClr="000000"/>
                  </a:solidFill>
                </a:rPr>
                <a:t>That’s why the repurpose alternatives look less attractive now: you swapped in a </a:t>
              </a:r>
              <a:r>
                <a:rPr lang="en-US" b="1">
                  <a:solidFill>
                    <a:sysClr val="windowText" lastClr="000000"/>
                  </a:solidFill>
                </a:rPr>
                <a:t>more conservative</a:t>
              </a:r>
              <a:r>
                <a:rPr lang="en-US">
                  <a:solidFill>
                    <a:sysClr val="windowText" lastClr="000000"/>
                  </a:solidFill>
                </a:rPr>
                <a:t> (smaller) fixed base.</a:t>
              </a:r>
            </a:p>
            <a:p>
              <a:br>
                <a:rPr lang="en-US">
                  <a:solidFill>
                    <a:sysClr val="windowText" lastClr="000000"/>
                  </a:solidFill>
                </a:rPr>
              </a:br>
              <a:endParaRPr lang="en-US">
                <a:solidFill>
                  <a:sysClr val="windowText" lastClr="000000"/>
                </a:solidFill>
              </a:endParaRPr>
            </a:p>
            <a:p>
              <a:r>
                <a:rPr lang="en-US" b="1">
                  <a:solidFill>
                    <a:sysClr val="windowText" lastClr="000000"/>
                  </a:solidFill>
                </a:rPr>
                <a:t>B) Reconciling with the district’s “~$0.9–$1.0M per school” statement</a:t>
              </a:r>
            </a:p>
            <a:p>
              <a:r>
                <a:rPr lang="en-US">
                  <a:solidFill>
                    <a:sysClr val="windowText" lastClr="000000"/>
                  </a:solidFill>
                </a:rPr>
                <a:t>There are </a:t>
              </a:r>
              <a:r>
                <a:rPr lang="en-US" b="1">
                  <a:solidFill>
                    <a:sysClr val="windowText" lastClr="000000"/>
                  </a:solidFill>
                </a:rPr>
                <a:t>three</a:t>
              </a:r>
              <a:r>
                <a:rPr lang="en-US">
                  <a:solidFill>
                    <a:sysClr val="windowText" lastClr="000000"/>
                  </a:solidFill>
                </a:rPr>
                <a:t> plausible explanations for the gap. Each is testable.</a:t>
              </a:r>
            </a:p>
            <a:p>
              <a:r>
                <a:rPr lang="en-US" b="1">
                  <a:solidFill>
                    <a:sysClr val="windowText" lastClr="000000"/>
                  </a:solidFill>
                </a:rPr>
                <a:t>1) The “0.46” proxy was overstating fixed costs (most likely)</a:t>
              </a:r>
            </a:p>
            <a:p>
              <a:r>
                <a:rPr lang="en-US" b="1">
                  <a:solidFill>
                    <a:sysClr val="windowText" lastClr="000000"/>
                  </a:solidFill>
                </a:rPr>
                <a:t>What it would mean:</a:t>
              </a:r>
              <a:r>
                <a:rPr lang="en-US">
                  <a:solidFill>
                    <a:sysClr val="windowText" lastClr="000000"/>
                  </a:solidFill>
                </a:rPr>
                <a:t> The proxy swept in </a:t>
              </a:r>
              <a:r>
                <a:rPr lang="en-US" b="1">
                  <a:solidFill>
                    <a:sysClr val="windowText" lastClr="000000"/>
                  </a:solidFill>
                </a:rPr>
                <a:t>variable</a:t>
              </a:r>
              <a:r>
                <a:rPr lang="en-US">
                  <a:solidFill>
                    <a:sysClr val="windowText" lastClr="000000"/>
                  </a:solidFill>
                </a:rPr>
                <a:t> or </a:t>
              </a:r>
              <a:r>
                <a:rPr lang="en-US" b="1">
                  <a:solidFill>
                    <a:sysClr val="windowText" lastClr="000000"/>
                  </a:solidFill>
                </a:rPr>
                <a:t>semi‑variable</a:t>
              </a:r>
              <a:r>
                <a:rPr lang="en-US">
                  <a:solidFill>
                    <a:sysClr val="windowText" lastClr="000000"/>
                  </a:solidFill>
                </a:rPr>
                <a:t> costs when it labeled “fixed,” inflating the savings credited to repurpose. Your new directional estimate, rooted in </a:t>
              </a:r>
              <a:r>
                <a:rPr lang="en-US" b="1">
                  <a:solidFill>
                    <a:sysClr val="windowText" lastClr="000000"/>
                  </a:solidFill>
                </a:rPr>
                <a:t>plant ops per square foot + school‑admin FTE + small insurance/other</a:t>
              </a:r>
              <a:r>
                <a:rPr lang="en-US">
                  <a:solidFill>
                    <a:sysClr val="windowText" lastClr="000000"/>
                  </a:solidFill>
                </a:rPr>
                <a:t>, is closer to how </a:t>
              </a:r>
              <a:r>
                <a:rPr lang="en-US" b="1">
                  <a:solidFill>
                    <a:sysClr val="windowText" lastClr="000000"/>
                  </a:solidFill>
                </a:rPr>
                <a:t>site‑fixed</a:t>
              </a:r>
              <a:r>
                <a:rPr lang="en-US">
                  <a:solidFill>
                    <a:sysClr val="windowText" lastClr="000000"/>
                  </a:solidFill>
                </a:rPr>
                <a:t> is normally defined.</a:t>
              </a:r>
            </a:p>
            <a:p>
              <a:r>
                <a:rPr lang="en-US" b="1">
                  <a:solidFill>
                    <a:sysClr val="windowText" lastClr="000000"/>
                  </a:solidFill>
                </a:rPr>
                <a:t>How to validate quickly:</a:t>
              </a:r>
              <a:endParaRPr lang="en-US">
                <a:solidFill>
                  <a:sysClr val="windowText" lastClr="000000"/>
                </a:solidFill>
              </a:endParaRPr>
            </a:p>
            <a:p>
              <a:pPr lvl="1"/>
              <a:r>
                <a:rPr lang="en-US">
                  <a:solidFill>
                    <a:sysClr val="windowText" lastClr="000000"/>
                  </a:solidFill>
                </a:rPr>
                <a:t>Ask for the FY25 </a:t>
              </a:r>
              <a:r>
                <a:rPr lang="en-US" b="1">
                  <a:solidFill>
                    <a:sysClr val="windowText" lastClr="000000"/>
                  </a:solidFill>
                </a:rPr>
                <a:t>Fund 001, by school, by function</a:t>
              </a:r>
              <a:r>
                <a:rPr lang="en-US">
                  <a:solidFill>
                    <a:sysClr val="windowText" lastClr="000000"/>
                  </a:solidFill>
                </a:rPr>
                <a:t> extract (Echo, Pima). Keep only truly fixed: </a:t>
              </a:r>
              <a:r>
                <a:rPr lang="en-US" b="1">
                  <a:solidFill>
                    <a:sysClr val="windowText" lastClr="000000"/>
                  </a:solidFill>
                </a:rPr>
                <a:t>2600 Plant Ops</a:t>
              </a:r>
              <a:r>
                <a:rPr lang="en-US">
                  <a:solidFill>
                    <a:sysClr val="windowText" lastClr="000000"/>
                  </a:solidFill>
                </a:rPr>
                <a:t> (utilities, repairs, custodial baseline), </a:t>
              </a:r>
              <a:r>
                <a:rPr lang="en-US" b="1">
                  <a:solidFill>
                    <a:sysClr val="windowText" lastClr="000000"/>
                  </a:solidFill>
                </a:rPr>
                <a:t>2400 School Admin</a:t>
              </a:r>
              <a:r>
                <a:rPr lang="en-US">
                  <a:solidFill>
                    <a:sysClr val="windowText" lastClr="000000"/>
                  </a:solidFill>
                </a:rPr>
                <a:t>, </a:t>
              </a:r>
              <a:r>
                <a:rPr lang="en-US" b="1">
                  <a:solidFill>
                    <a:sysClr val="windowText" lastClr="000000"/>
                  </a:solidFill>
                </a:rPr>
                <a:t>insurance/min‑utilities</a:t>
              </a:r>
              <a:r>
                <a:rPr lang="en-US">
                  <a:solidFill>
                    <a:sysClr val="windowText" lastClr="000000"/>
                  </a:solidFill>
                </a:rPr>
                <a:t> that would persist if mothballed/leased; </a:t>
              </a:r>
              <a:r>
                <a:rPr lang="en-US" b="1">
                  <a:solidFill>
                    <a:sysClr val="windowText" lastClr="000000"/>
                  </a:solidFill>
                </a:rPr>
                <a:t>exclude</a:t>
              </a:r>
              <a:r>
                <a:rPr lang="en-US">
                  <a:solidFill>
                    <a:sysClr val="windowText" lastClr="000000"/>
                  </a:solidFill>
                </a:rPr>
                <a:t> classroom‑linked costs and itinerant FTEs.</a:t>
              </a:r>
            </a:p>
            <a:p>
              <a:pPr lvl="1"/>
              <a:r>
                <a:rPr lang="en-US">
                  <a:solidFill>
                    <a:sysClr val="windowText" lastClr="000000"/>
                  </a:solidFill>
                </a:rPr>
                <a:t>Crosswalk the old proxy’s “fixed” bucket to these functions and compare. If the old proxy included 100% of school‑level 2100/2200 (instruction/support) or shared central allocations, it was too rich.</a:t>
              </a:r>
            </a:p>
            <a:p>
              <a:r>
                <a:rPr lang="en-US" b="1">
                  <a:solidFill>
                    <a:sysClr val="windowText" lastClr="000000"/>
                  </a:solidFill>
                </a:rPr>
                <a:t>What we expect:</a:t>
              </a:r>
              <a:r>
                <a:rPr lang="en-US">
                  <a:solidFill>
                    <a:sysClr val="windowText" lastClr="000000"/>
                  </a:solidFill>
                </a:rPr>
                <a:t> The audited site‑fixed total per school will likely be </a:t>
              </a:r>
              <a:r>
                <a:rPr lang="en-US" b="1">
                  <a:solidFill>
                    <a:sysClr val="windowText" lastClr="000000"/>
                  </a:solidFill>
                </a:rPr>
                <a:t>in the $0.9–$1.1M band</a:t>
              </a:r>
              <a:r>
                <a:rPr lang="en-US">
                  <a:solidFill>
                    <a:sysClr val="windowText" lastClr="000000"/>
                  </a:solidFill>
                </a:rPr>
                <a:t>, not the larger number implied by “0.46 × total cost.”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High</a:t>
              </a:r>
              <a:r>
                <a:rPr lang="en-US">
                  <a:solidFill>
                    <a:sysClr val="windowText" lastClr="000000"/>
                  </a:solidFill>
                </a:rPr>
                <a:t>.</a:t>
              </a:r>
            </a:p>
            <a:p>
              <a:r>
                <a:rPr lang="en-US" b="1">
                  <a:solidFill>
                    <a:sysClr val="windowText" lastClr="000000"/>
                  </a:solidFill>
                </a:rPr>
                <a:t>2) Our directional Site_Fixed placeholders may still be low for these two sites (moderate likelihood)</a:t>
              </a:r>
            </a:p>
            <a:p>
              <a:r>
                <a:rPr lang="en-US" b="1">
                  <a:solidFill>
                    <a:sysClr val="windowText" lastClr="000000"/>
                  </a:solidFill>
                </a:rPr>
                <a:t>What it would mean:</a:t>
              </a:r>
              <a:r>
                <a:rPr lang="en-US">
                  <a:solidFill>
                    <a:sysClr val="windowText" lastClr="000000"/>
                  </a:solidFill>
                </a:rPr>
                <a:t> Echo/Pima may have </a:t>
              </a:r>
              <a:r>
                <a:rPr lang="en-US" b="1">
                  <a:solidFill>
                    <a:sysClr val="windowText" lastClr="000000"/>
                  </a:solidFill>
                </a:rPr>
                <a:t>above‑average plant costs</a:t>
              </a:r>
              <a:r>
                <a:rPr lang="en-US">
                  <a:solidFill>
                    <a:sysClr val="windowText" lastClr="000000"/>
                  </a:solidFill>
                </a:rPr>
                <a:t> or </a:t>
              </a:r>
              <a:r>
                <a:rPr lang="en-US" b="1">
                  <a:solidFill>
                    <a:sysClr val="windowText" lastClr="000000"/>
                  </a:solidFill>
                </a:rPr>
                <a:t>higher school‑admin load</a:t>
              </a:r>
              <a:r>
                <a:rPr lang="en-US">
                  <a:solidFill>
                    <a:sysClr val="windowText" lastClr="000000"/>
                  </a:solidFill>
                </a:rPr>
                <a:t> than the crude anchors (older HV/AC runs, grounds/security, modulars, or an assistant principal coded to 2400).</a:t>
              </a:r>
            </a:p>
            <a:p>
              <a:r>
                <a:rPr lang="en-US" b="1">
                  <a:solidFill>
                    <a:sysClr val="windowText" lastClr="000000"/>
                  </a:solidFill>
                </a:rPr>
                <a:t>How to validate:</a:t>
              </a:r>
              <a:r>
                <a:rPr lang="en-US">
                  <a:solidFill>
                    <a:sysClr val="windowText" lastClr="000000"/>
                  </a:solidFill>
                </a:rPr>
                <a:t> The same CFO CSV will tell us. As a pre‑check, you can sanity‑test </a:t>
              </a:r>
              <a:r>
                <a:rPr lang="en-US" b="1">
                  <a:solidFill>
                    <a:sysClr val="windowText" lastClr="000000"/>
                  </a:solidFill>
                </a:rPr>
                <a:t>plant cost ≈ (kWh + therms + water) × utility rates</a:t>
              </a:r>
              <a:r>
                <a:rPr lang="en-US">
                  <a:solidFill>
                    <a:sysClr val="windowText" lastClr="000000"/>
                  </a:solidFill>
                </a:rPr>
                <a:t> if those utility statements are available; often this alone can move the plant subtotal by </a:t>
              </a:r>
              <a:r>
                <a:rPr lang="en-US" b="1">
                  <a:solidFill>
                    <a:sysClr val="windowText" lastClr="000000"/>
                  </a:solidFill>
                </a:rPr>
                <a:t>$100–$200k</a:t>
              </a:r>
              <a:r>
                <a:rPr lang="en-US">
                  <a:solidFill>
                    <a:sysClr val="windowText" lastClr="000000"/>
                  </a:solidFill>
                </a:rPr>
                <a:t> per site year‑over‑year.</a:t>
              </a:r>
            </a:p>
            <a:p>
              <a:r>
                <a:rPr lang="en-US" b="1">
                  <a:solidFill>
                    <a:sysClr val="windowText" lastClr="000000"/>
                  </a:solidFill>
                </a:rPr>
                <a:t>What we expect:</a:t>
              </a:r>
              <a:r>
                <a:rPr lang="en-US">
                  <a:solidFill>
                    <a:sysClr val="windowText" lastClr="000000"/>
                  </a:solidFill>
                </a:rPr>
                <a:t> It’s very possible one site sits </a:t>
              </a:r>
              <a:r>
                <a:rPr lang="en-US" b="1">
                  <a:solidFill>
                    <a:sysClr val="windowText" lastClr="000000"/>
                  </a:solidFill>
                </a:rPr>
                <a:t>&gt; $1.0M</a:t>
              </a:r>
              <a:r>
                <a:rPr lang="en-US">
                  <a:solidFill>
                    <a:sysClr val="windowText" lastClr="000000"/>
                  </a:solidFill>
                </a:rPr>
                <a:t> and the other </a:t>
              </a:r>
              <a:r>
                <a:rPr lang="en-US" b="1">
                  <a:solidFill>
                    <a:sysClr val="windowText" lastClr="000000"/>
                  </a:solidFill>
                </a:rPr>
                <a:t>just below</a:t>
              </a:r>
              <a:r>
                <a:rPr lang="en-US">
                  <a:solidFill>
                    <a:sysClr val="windowText" lastClr="000000"/>
                  </a:solidFill>
                </a:rPr>
                <a:t>; your </a:t>
              </a:r>
              <a:r>
                <a:rPr lang="en-US" b="1">
                  <a:solidFill>
                    <a:sysClr val="windowText" lastClr="000000"/>
                  </a:solidFill>
                </a:rPr>
                <a:t>$0.9–$0.98M</a:t>
              </a:r>
              <a:r>
                <a:rPr lang="en-US">
                  <a:solidFill>
                    <a:sysClr val="windowText" lastClr="000000"/>
                  </a:solidFill>
                </a:rPr>
                <a:t> placeholders could be ~</a:t>
              </a:r>
              <a:r>
                <a:rPr lang="en-US" b="1">
                  <a:solidFill>
                    <a:sysClr val="windowText" lastClr="000000"/>
                  </a:solidFill>
                </a:rPr>
                <a:t>$100–$200k</a:t>
              </a:r>
              <a:r>
                <a:rPr lang="en-US">
                  <a:solidFill>
                    <a:sysClr val="windowText" lastClr="000000"/>
                  </a:solidFill>
                </a:rPr>
                <a:t> light in steady state.</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r>
                <a:rPr lang="en-US" b="1">
                  <a:solidFill>
                    <a:sysClr val="windowText" lastClr="000000"/>
                  </a:solidFill>
                </a:rPr>
                <a:t>3) Timing/definition mismatch with the board’s “$0.9–$1.0M” (moderate likelihood)</a:t>
              </a:r>
            </a:p>
            <a:p>
              <a:r>
                <a:rPr lang="en-US" b="1">
                  <a:solidFill>
                    <a:sysClr val="windowText" lastClr="000000"/>
                  </a:solidFill>
                </a:rPr>
                <a:t>What it would mean:</a:t>
              </a:r>
              <a:r>
                <a:rPr lang="en-US">
                  <a:solidFill>
                    <a:sysClr val="windowText" lastClr="000000"/>
                  </a:solidFill>
                </a:rPr>
                <a:t> The public number may refer to </a:t>
              </a:r>
              <a:r>
                <a:rPr lang="en-US" b="1">
                  <a:solidFill>
                    <a:sysClr val="windowText" lastClr="000000"/>
                  </a:solidFill>
                </a:rPr>
                <a:t>steady‑state</a:t>
              </a:r>
              <a:r>
                <a:rPr lang="en-US">
                  <a:solidFill>
                    <a:sysClr val="windowText" lastClr="000000"/>
                  </a:solidFill>
                </a:rPr>
                <a:t> (i.e., </a:t>
              </a:r>
              <a:r>
                <a:rPr lang="en-US" b="1">
                  <a:solidFill>
                    <a:sysClr val="windowText" lastClr="000000"/>
                  </a:solidFill>
                </a:rPr>
                <a:t>f → 0</a:t>
              </a:r>
              <a:r>
                <a:rPr lang="en-US">
                  <a:solidFill>
                    <a:sysClr val="windowText" lastClr="000000"/>
                  </a:solidFill>
                </a:rPr>
                <a:t>), or it may be a </a:t>
              </a:r>
              <a:r>
                <a:rPr lang="en-US" b="1">
                  <a:solidFill>
                    <a:sysClr val="windowText" lastClr="000000"/>
                  </a:solidFill>
                </a:rPr>
                <a:t>gross “fixed M&amp;O savings”</a:t>
              </a:r>
              <a:r>
                <a:rPr lang="en-US">
                  <a:solidFill>
                    <a:sysClr val="windowText" lastClr="000000"/>
                  </a:solidFill>
                </a:rPr>
                <a:t> number </a:t>
              </a:r>
              <a:r>
                <a:rPr lang="en-US" b="1">
                  <a:solidFill>
                    <a:sysClr val="windowText" lastClr="000000"/>
                  </a:solidFill>
                </a:rPr>
                <a:t>before</a:t>
              </a:r>
              <a:r>
                <a:rPr lang="en-US">
                  <a:solidFill>
                    <a:sysClr val="windowText" lastClr="000000"/>
                  </a:solidFill>
                </a:rPr>
                <a:t> retention overhead (</a:t>
              </a:r>
              <a:r>
                <a:rPr lang="en-US" b="1">
                  <a:solidFill>
                    <a:sysClr val="windowText" lastClr="000000"/>
                  </a:solidFill>
                </a:rPr>
                <a:t>h</a:t>
              </a:r>
              <a:r>
                <a:rPr lang="en-US">
                  <a:solidFill>
                    <a:sysClr val="windowText" lastClr="000000"/>
                  </a:solidFill>
                </a:rPr>
                <a:t>) and lost‑student contribution effects, or it may </a:t>
              </a:r>
              <a:r>
                <a:rPr lang="en-US" b="1">
                  <a:solidFill>
                    <a:sysClr val="windowText" lastClr="000000"/>
                  </a:solidFill>
                </a:rPr>
                <a:t>include</a:t>
              </a:r>
              <a:r>
                <a:rPr lang="en-US">
                  <a:solidFill>
                    <a:sysClr val="windowText" lastClr="000000"/>
                  </a:solidFill>
                </a:rPr>
                <a:t> anticipated </a:t>
              </a:r>
              <a:r>
                <a:rPr lang="en-US" b="1">
                  <a:solidFill>
                    <a:sysClr val="windowText" lastClr="000000"/>
                  </a:solidFill>
                </a:rPr>
                <a:t>lease revenue</a:t>
              </a:r>
              <a:r>
                <a:rPr lang="en-US">
                  <a:solidFill>
                    <a:sysClr val="windowText" lastClr="000000"/>
                  </a:solidFill>
                </a:rPr>
                <a:t>. We model </a:t>
              </a:r>
              <a:r>
                <a:rPr lang="en-US" b="1">
                  <a:solidFill>
                    <a:sysClr val="windowText" lastClr="000000"/>
                  </a:solidFill>
                </a:rPr>
                <a:t>operating Net</a:t>
              </a:r>
              <a:r>
                <a:rPr lang="en-US">
                  <a:solidFill>
                    <a:sysClr val="windowText" lastClr="000000"/>
                  </a:solidFill>
                </a:rPr>
                <a:t> (M&amp;O – revenues) and </a:t>
              </a:r>
              <a:r>
                <a:rPr lang="en-US" b="1">
                  <a:solidFill>
                    <a:sysClr val="windowText" lastClr="000000"/>
                  </a:solidFill>
                </a:rPr>
                <a:t>charge overhead</a:t>
              </a:r>
              <a:r>
                <a:rPr lang="en-US">
                  <a:solidFill>
                    <a:sysClr val="windowText" lastClr="000000"/>
                  </a:solidFill>
                </a:rPr>
                <a:t>; they might have quoted a </a:t>
              </a:r>
              <a:r>
                <a:rPr lang="en-US" b="1">
                  <a:solidFill>
                    <a:sysClr val="windowText" lastClr="000000"/>
                  </a:solidFill>
                </a:rPr>
                <a:t>gross, steady‑state savings</a:t>
              </a:r>
              <a:r>
                <a:rPr lang="en-US">
                  <a:solidFill>
                    <a:sysClr val="windowText" lastClr="000000"/>
                  </a:solidFill>
                </a:rPr>
                <a:t> with no overhead and no timing residual.</a:t>
              </a:r>
            </a:p>
            <a:p>
              <a:r>
                <a:rPr lang="en-US" b="1">
                  <a:solidFill>
                    <a:sysClr val="windowText" lastClr="000000"/>
                  </a:solidFill>
                </a:rPr>
                <a:t>How to validate:</a:t>
              </a:r>
              <a:r>
                <a:rPr lang="en-US">
                  <a:solidFill>
                    <a:sysClr val="windowText" lastClr="000000"/>
                  </a:solidFill>
                </a:rPr>
                <a:t> Ask Finance to clarify </a:t>
              </a:r>
              <a:r>
                <a:rPr lang="en-US" b="1">
                  <a:solidFill>
                    <a:sysClr val="windowText" lastClr="000000"/>
                  </a:solidFill>
                </a:rPr>
                <a:t>(a)</a:t>
              </a:r>
              <a:r>
                <a:rPr lang="en-US">
                  <a:solidFill>
                    <a:sysClr val="windowText" lastClr="000000"/>
                  </a:solidFill>
                </a:rPr>
                <a:t> the </a:t>
              </a:r>
              <a:r>
                <a:rPr lang="en-US" b="1">
                  <a:solidFill>
                    <a:sysClr val="windowText" lastClr="000000"/>
                  </a:solidFill>
                </a:rPr>
                <a:t>functions</a:t>
              </a:r>
              <a:r>
                <a:rPr lang="en-US">
                  <a:solidFill>
                    <a:sysClr val="windowText" lastClr="000000"/>
                  </a:solidFill>
                </a:rPr>
                <a:t> included, </a:t>
              </a:r>
              <a:r>
                <a:rPr lang="en-US" b="1">
                  <a:solidFill>
                    <a:sysClr val="windowText" lastClr="000000"/>
                  </a:solidFill>
                </a:rPr>
                <a:t>(b)</a:t>
              </a:r>
              <a:r>
                <a:rPr lang="en-US">
                  <a:solidFill>
                    <a:sysClr val="windowText" lastClr="000000"/>
                  </a:solidFill>
                </a:rPr>
                <a:t> whether it’s </a:t>
              </a:r>
              <a:r>
                <a:rPr lang="en-US" b="1">
                  <a:solidFill>
                    <a:sysClr val="windowText" lastClr="000000"/>
                  </a:solidFill>
                </a:rPr>
                <a:t>net of retention overhead</a:t>
              </a:r>
              <a:r>
                <a:rPr lang="en-US">
                  <a:solidFill>
                    <a:sysClr val="windowText" lastClr="000000"/>
                  </a:solidFill>
                </a:rPr>
                <a:t>, </a:t>
              </a:r>
              <a:r>
                <a:rPr lang="en-US" b="1">
                  <a:solidFill>
                    <a:sysClr val="windowText" lastClr="000000"/>
                  </a:solidFill>
                </a:rPr>
                <a:t>(c)</a:t>
              </a:r>
              <a:r>
                <a:rPr lang="en-US">
                  <a:solidFill>
                    <a:sysClr val="windowText" lastClr="000000"/>
                  </a:solidFill>
                </a:rPr>
                <a:t> whether it’s </a:t>
              </a:r>
              <a:r>
                <a:rPr lang="en-US" b="1">
                  <a:solidFill>
                    <a:sysClr val="windowText" lastClr="000000"/>
                  </a:solidFill>
                </a:rPr>
                <a:t>first year</a:t>
              </a:r>
              <a:r>
                <a:rPr lang="en-US">
                  <a:solidFill>
                    <a:sysClr val="windowText" lastClr="000000"/>
                  </a:solidFill>
                </a:rPr>
                <a:t> or </a:t>
              </a:r>
              <a:r>
                <a:rPr lang="en-US" b="1">
                  <a:solidFill>
                    <a:sysClr val="windowText" lastClr="000000"/>
                  </a:solidFill>
                </a:rPr>
                <a:t>steady‑state</a:t>
              </a:r>
              <a:r>
                <a:rPr lang="en-US">
                  <a:solidFill>
                    <a:sysClr val="windowText" lastClr="000000"/>
                  </a:solidFill>
                </a:rPr>
                <a:t>, and </a:t>
              </a:r>
              <a:r>
                <a:rPr lang="en-US" b="1">
                  <a:solidFill>
                    <a:sysClr val="windowText" lastClr="000000"/>
                  </a:solidFill>
                </a:rPr>
                <a:t>(d)</a:t>
              </a:r>
              <a:r>
                <a:rPr lang="en-US">
                  <a:solidFill>
                    <a:sysClr val="windowText" lastClr="000000"/>
                  </a:solidFill>
                </a:rPr>
                <a:t> whether </a:t>
              </a:r>
              <a:r>
                <a:rPr lang="en-US" b="1">
                  <a:solidFill>
                    <a:sysClr val="windowText" lastClr="000000"/>
                  </a:solidFill>
                </a:rPr>
                <a:t>lease revenue</a:t>
              </a:r>
              <a:r>
                <a:rPr lang="en-US">
                  <a:solidFill>
                    <a:sysClr val="windowText" lastClr="000000"/>
                  </a:solidFill>
                </a:rPr>
                <a:t> is in that figure.</a:t>
              </a:r>
            </a:p>
            <a:p>
              <a:r>
                <a:rPr lang="en-US" b="1">
                  <a:solidFill>
                    <a:sysClr val="windowText" lastClr="000000"/>
                  </a:solidFill>
                </a:rPr>
                <a:t>What we expect:</a:t>
              </a:r>
              <a:r>
                <a:rPr lang="en-US">
                  <a:solidFill>
                    <a:sysClr val="windowText" lastClr="000000"/>
                  </a:solidFill>
                </a:rPr>
                <a:t> If their figure is </a:t>
              </a:r>
              <a:r>
                <a:rPr lang="en-US" b="1">
                  <a:solidFill>
                    <a:sysClr val="windowText" lastClr="000000"/>
                  </a:solidFill>
                </a:rPr>
                <a:t>steady‑state fixed savings</a:t>
              </a:r>
              <a:r>
                <a:rPr lang="en-US">
                  <a:solidFill>
                    <a:sysClr val="windowText" lastClr="000000"/>
                  </a:solidFill>
                </a:rPr>
                <a:t>, it should match </a:t>
              </a:r>
              <a:r>
                <a:rPr lang="en-US" b="1">
                  <a:solidFill>
                    <a:sysClr val="windowText" lastClr="000000"/>
                  </a:solidFill>
                </a:rPr>
                <a:t>(1 − f_*) × SiteFixed</a:t>
              </a:r>
              <a:r>
                <a:rPr lang="en-US">
                  <a:solidFill>
                    <a:sysClr val="windowText" lastClr="000000"/>
                  </a:solidFill>
                </a:rPr>
                <a:t> when </a:t>
              </a:r>
              <a:r>
                <a:rPr lang="en-US" b="1">
                  <a:solidFill>
                    <a:sysClr val="windowText" lastClr="000000"/>
                  </a:solidFill>
                </a:rPr>
                <a:t>f_</a:t>
              </a:r>
              <a:r>
                <a:rPr lang="en-US">
                  <a:solidFill>
                    <a:sysClr val="windowText" lastClr="000000"/>
                  </a:solidFill>
                </a:rPr>
                <a:t>* is near </a:t>
              </a:r>
              <a:r>
                <a:rPr lang="en-US" b="1">
                  <a:solidFill>
                    <a:sysClr val="windowText" lastClr="000000"/>
                  </a:solidFill>
                </a:rPr>
                <a:t>0</a:t>
              </a:r>
              <a:r>
                <a:rPr lang="en-US">
                  <a:solidFill>
                    <a:sysClr val="windowText" lastClr="000000"/>
                  </a:solidFill>
                </a:rPr>
                <a:t>. Early‑year model deltas will be smaller because we carry </a:t>
              </a:r>
              <a:r>
                <a:rPr lang="en-US" b="1">
                  <a:solidFill>
                    <a:sysClr val="windowText" lastClr="000000"/>
                  </a:solidFill>
                </a:rPr>
                <a:t>f_ops 0.45…0.30</a:t>
              </a:r>
              <a:r>
                <a:rPr lang="en-US">
                  <a:solidFill>
                    <a:sysClr val="windowText" lastClr="000000"/>
                  </a:solidFill>
                </a:rPr>
                <a:t> and </a:t>
              </a:r>
              <a:r>
                <a:rPr lang="en-US" b="1">
                  <a:solidFill>
                    <a:sysClr val="windowText" lastClr="000000"/>
                  </a:solidFill>
                </a:rPr>
                <a:t>f_lease 0.20…0.10</a:t>
              </a:r>
              <a:r>
                <a:rPr lang="en-US">
                  <a:solidFill>
                    <a:sysClr val="windowText" lastClr="000000"/>
                  </a:solidFill>
                </a:rPr>
                <a:t> plus </a:t>
              </a:r>
              <a:r>
                <a:rPr lang="en-US" b="1">
                  <a:solidFill>
                    <a:sysClr val="windowText" lastClr="000000"/>
                  </a:solidFill>
                </a:rPr>
                <a:t>h</a:t>
              </a:r>
              <a:r>
                <a:rPr lang="en-US">
                  <a:solidFill>
                    <a:sysClr val="windowText" lastClr="000000"/>
                  </a:solidFill>
                </a:rPr>
                <a:t>.</a:t>
              </a:r>
            </a:p>
            <a:p>
              <a:r>
                <a:rPr lang="en-US" b="1">
                  <a:solidFill>
                    <a:sysClr val="windowText" lastClr="000000"/>
                  </a:solidFill>
                </a:rPr>
                <a:t>Subjective probability:</a:t>
              </a:r>
              <a:r>
                <a:rPr lang="en-US">
                  <a:solidFill>
                    <a:sysClr val="windowText" lastClr="000000"/>
                  </a:solidFill>
                </a:rPr>
                <a:t> </a:t>
              </a:r>
              <a:r>
                <a:rPr lang="en-US" b="1">
                  <a:solidFill>
                    <a:sysClr val="windowText" lastClr="000000"/>
                  </a:solidFill>
                </a:rPr>
                <a:t>Medium</a:t>
              </a:r>
              <a:r>
                <a:rPr lang="en-US">
                  <a:solidFill>
                    <a:sysClr val="windowText" lastClr="000000"/>
                  </a:solidFill>
                </a:rPr>
                <a:t>.</a:t>
              </a:r>
            </a:p>
            <a:p>
              <a:br>
                <a:rPr lang="en-US">
                  <a:solidFill>
                    <a:sysClr val="windowText" lastClr="000000"/>
                  </a:solidFill>
                </a:rPr>
              </a:br>
              <a:endParaRPr lang="en-US">
                <a:solidFill>
                  <a:sysClr val="windowText" lastClr="000000"/>
                </a:solidFill>
              </a:endParaRPr>
            </a:p>
            <a:p>
              <a:r>
                <a:rPr lang="en-US" b="1">
                  <a:solidFill>
                    <a:sysClr val="windowText" lastClr="000000"/>
                  </a:solidFill>
                </a:rPr>
                <a:t>C) A tight way to decide if our placeholders are “wrong” or the old proxy was “wrong”</a:t>
              </a:r>
            </a:p>
            <a:p>
              <a:r>
                <a:rPr lang="en-US">
                  <a:solidFill>
                    <a:sysClr val="windowText" lastClr="000000"/>
                  </a:solidFill>
                </a:rPr>
                <a:t>Work the identity backward for a target year (e.g., FY30):</a:t>
              </a:r>
            </a:p>
            <a:p>
              <a:pPr/>
              <a:r>
                <a:rPr lang="el-GR" sz="1100" i="0">
                  <a:solidFill>
                    <a:sysClr val="windowText" lastClr="000000"/>
                  </a:solidFill>
                  <a:latin typeface="Cambria Math" panose="02040503050406030204" pitchFamily="18" charset="0"/>
                  <a:ea typeface="+mn-ea"/>
                  <a:cs typeface="+mn-cs"/>
                </a:rPr>
                <a:t>Δ</a:t>
              </a:r>
              <a:r>
                <a:rPr lang="en-US" sz="1100" b="0" i="0">
                  <a:solidFill>
                    <a:sysClr val="windowText" lastClr="000000"/>
                  </a:solidFill>
                  <a:latin typeface="Cambria Math" panose="02040503050406030204" pitchFamily="18" charset="0"/>
                  <a:ea typeface="+mn-ea"/>
                  <a:cs typeface="+mn-cs"/>
                </a:rPr>
                <a:t>"Net"≈</a:t>
              </a:r>
              <a:r>
                <a:rPr lang="ar-AE" sz="1100" b="0" i="0">
                  <a:solidFill>
                    <a:sysClr val="windowText" lastClr="000000"/>
                  </a:solidFill>
                  <a:latin typeface="Cambria Math" panose="02040503050406030204" pitchFamily="18" charset="0"/>
                  <a:ea typeface="+mn-ea"/>
                  <a:cs typeface="+mn-cs"/>
                </a:rPr>
                <a:t>(1−𝑓_𝑡 )" "  ⏟(</a:t>
              </a:r>
              <a:r>
                <a:rPr lang="en-US" sz="1100" b="0" i="0">
                  <a:solidFill>
                    <a:sysClr val="windowText" lastClr="000000"/>
                  </a:solidFill>
                  <a:latin typeface="+mn-lt"/>
                  <a:ea typeface="+mn-ea"/>
                  <a:cs typeface="+mn-cs"/>
                </a:rPr>
                <a:t>"SiteFixed</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mn-lt"/>
                  <a:ea typeface="+mn-ea"/>
                  <a:cs typeface="+mn-cs"/>
                </a:rPr>
                <a:t>"Echo+Pima</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−(1−𝑟)" " 𝐷" " 𝑚_𝑡−𝑟" " 𝐷" " ℎ_𝑡</a:t>
              </a:r>
              <a:endParaRPr lang="ar-AE" b="0">
                <a:solidFill>
                  <a:sysClr val="windowText" lastClr="000000"/>
                </a:solidFill>
              </a:endParaRPr>
            </a:p>
            <a:p>
              <a:r>
                <a:rPr lang="en-US">
                  <a:solidFill>
                    <a:sysClr val="windowText" lastClr="000000"/>
                  </a:solidFill>
                </a:rPr>
                <a:t>If the Board’s </a:t>
              </a:r>
              <a:r>
                <a:rPr lang="en-US" b="1">
                  <a:solidFill>
                    <a:sysClr val="windowText" lastClr="000000"/>
                  </a:solidFill>
                </a:rPr>
                <a:t>target </a:t>
              </a:r>
              <a:r>
                <a:rPr lang="el-GR" b="1">
                  <a:solidFill>
                    <a:sysClr val="windowText" lastClr="000000"/>
                  </a:solidFill>
                </a:rPr>
                <a:t>Δ</a:t>
              </a:r>
              <a:r>
                <a:rPr lang="en-US" b="1">
                  <a:solidFill>
                    <a:sysClr val="windowText" lastClr="000000"/>
                  </a:solidFill>
                </a:rPr>
                <a:t>Net/site</a:t>
              </a:r>
              <a:r>
                <a:rPr lang="en-US">
                  <a:solidFill>
                    <a:sysClr val="windowText" lastClr="000000"/>
                  </a:solidFill>
                </a:rPr>
                <a:t> is </a:t>
              </a:r>
              <a:r>
                <a:rPr lang="en-US" b="1">
                  <a:solidFill>
                    <a:sysClr val="windowText" lastClr="000000"/>
                  </a:solidFill>
                </a:rPr>
                <a:t>$0.95M</a:t>
              </a:r>
              <a:r>
                <a:rPr lang="en-US">
                  <a:solidFill>
                    <a:sysClr val="windowText" lastClr="000000"/>
                  </a:solidFill>
                </a:rPr>
                <a:t> (so </a:t>
              </a:r>
              <a:r>
                <a:rPr lang="en-US" b="1">
                  <a:solidFill>
                    <a:sysClr val="windowText" lastClr="000000"/>
                  </a:solidFill>
                </a:rPr>
                <a:t>$1.90M</a:t>
              </a:r>
              <a:r>
                <a:rPr lang="en-US">
                  <a:solidFill>
                    <a:sysClr val="windowText" lastClr="000000"/>
                  </a:solidFill>
                </a:rPr>
                <a:t> for both), you can solve for the </a:t>
              </a:r>
              <a:r>
                <a:rPr lang="en-US" b="1">
                  <a:solidFill>
                    <a:sysClr val="windowText" lastClr="000000"/>
                  </a:solidFill>
                </a:rPr>
                <a:t>required SiteFixed</a:t>
              </a:r>
              <a:r>
                <a:rPr lang="en-US">
                  <a:solidFill>
                    <a:sysClr val="windowText" lastClr="000000"/>
                  </a:solidFill>
                </a:rPr>
                <a:t> that makes your FY30 model hit that total:</a:t>
              </a:r>
            </a:p>
            <a:p>
              <a:pP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Cambria Math" panose="02040503050406030204" pitchFamily="18" charset="0"/>
                  <a:ea typeface="+mn-ea"/>
                  <a:cs typeface="+mn-cs"/>
                </a:rPr>
                <a:t>"</a:t>
              </a:r>
              <a:r>
                <a:rPr lang="en-US" b="0" i="0">
                  <a:solidFill>
                    <a:sysClr val="windowText" lastClr="000000"/>
                  </a:solidFill>
                </a:rPr>
                <a:t>SiteFixed</a:t>
              </a:r>
              <a:r>
                <a:rPr lang="en-US" b="0" i="0">
                  <a:solidFill>
                    <a:sysClr val="windowText" lastClr="000000"/>
                  </a:solidFill>
                  <a:latin typeface="Cambria Math" panose="02040503050406030204" pitchFamily="18" charset="0"/>
                </a:rPr>
                <a:t>" </a:t>
              </a:r>
              <a:r>
                <a:rPr lang="ar-AE" sz="1100" b="0" i="0">
                  <a:solidFill>
                    <a:sysClr val="windowText" lastClr="000000"/>
                  </a:solidFill>
                  <a:latin typeface="Cambria Math" panose="02040503050406030204" pitchFamily="18" charset="0"/>
                  <a:ea typeface="+mn-ea"/>
                  <a:cs typeface="+mn-cs"/>
                </a:rPr>
                <a:t>〗^⋆</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"  "="  " </a:t>
              </a:r>
              <a:r>
                <a:rPr lang="el-GR"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a:t>
              </a:r>
              <a:r>
                <a:rPr lang="el-GR" sz="1100" b="0" i="0">
                  <a:solidFill>
                    <a:sysClr val="windowText" lastClr="000000"/>
                  </a:solidFill>
                  <a:latin typeface="Cambria Math" panose="02040503050406030204" pitchFamily="18" charset="0"/>
                  <a:ea typeface="+mn-ea"/>
                  <a:cs typeface="+mn-cs"/>
                </a:rPr>
                <a:t>Δ</a:t>
              </a:r>
              <a:r>
                <a:rPr lang="ar-AE" sz="1100" b="0" i="0">
                  <a:solidFill>
                    <a:sysClr val="windowText" lastClr="000000"/>
                  </a:solidFill>
                  <a:latin typeface="Cambria Math" panose="02040503050406030204" pitchFamily="18" charset="0"/>
                  <a:ea typeface="+mn-ea"/>
                  <a:cs typeface="+mn-cs"/>
                </a:rPr>
                <a:t>〖</a:t>
              </a:r>
              <a:r>
                <a:rPr lang="en-US" sz="1100" b="0" i="0">
                  <a:solidFill>
                    <a:sysClr val="windowText" lastClr="000000"/>
                  </a:solidFill>
                  <a:latin typeface="+mn-lt"/>
                  <a:ea typeface="+mn-ea"/>
                  <a:cs typeface="+mn-cs"/>
                </a:rPr>
                <a:t>"Net</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〗_</a:t>
              </a:r>
              <a:r>
                <a:rPr lang="en-US" sz="1100" b="0" i="0">
                  <a:solidFill>
                    <a:sysClr val="windowText" lastClr="000000"/>
                  </a:solidFill>
                  <a:latin typeface="+mn-lt"/>
                  <a:ea typeface="+mn-ea"/>
                  <a:cs typeface="+mn-cs"/>
                </a:rPr>
                <a:t>"target</a:t>
              </a:r>
              <a:r>
                <a:rPr lang="en-US" sz="1100" b="0" i="0">
                  <a:solidFill>
                    <a:sysClr val="windowText" lastClr="000000"/>
                  </a:solidFill>
                  <a:latin typeface="Cambria Math" panose="02040503050406030204" pitchFamily="18" charset="0"/>
                  <a:ea typeface="+mn-ea"/>
                  <a:cs typeface="+mn-cs"/>
                </a:rPr>
                <a:t>" </a:t>
              </a:r>
              <a:r>
                <a:rPr lang="ar-AE" sz="1100" b="0" i="0">
                  <a:solidFill>
                    <a:sysClr val="windowText" lastClr="000000"/>
                  </a:solidFill>
                  <a:latin typeface="Cambria Math" panose="02040503050406030204" pitchFamily="18" charset="0"/>
                  <a:ea typeface="+mn-ea"/>
                  <a:cs typeface="+mn-cs"/>
                </a:rPr>
                <a:t>+(1−𝑟)</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𝐷</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𝑚_𝑡+𝑟</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𝐷</a:t>
              </a:r>
              <a:r>
                <a:rPr lang="ar-AE" sz="1100" b="0" i="0">
                  <a:solidFill>
                    <a:sysClr val="windowText" lastClr="000000"/>
                  </a:solidFill>
                  <a:latin typeface="+mn-lt"/>
                  <a:ea typeface="+mn-ea"/>
                  <a:cs typeface="+mn-cs"/>
                </a:rPr>
                <a:t>" </a:t>
              </a:r>
              <a:r>
                <a:rPr lang="ar-AE" sz="1100" b="0" i="0">
                  <a:solidFill>
                    <a:sysClr val="windowText" lastClr="000000"/>
                  </a:solidFill>
                  <a:latin typeface="Cambria Math" panose="02040503050406030204" pitchFamily="18" charset="0"/>
                  <a:ea typeface="+mn-ea"/>
                  <a:cs typeface="+mn-cs"/>
                </a:rPr>
                <a:t>" ℎ_𝑡)/(1−𝑓_𝑡 )</a:t>
              </a:r>
              <a:endParaRPr lang="ar-AE" b="0">
                <a:solidFill>
                  <a:sysClr val="windowText" lastClr="000000"/>
                </a:solidFill>
              </a:endParaRP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your current placeholder, your placeholders are </a:t>
              </a:r>
              <a:r>
                <a:rPr lang="en-US" b="1">
                  <a:solidFill>
                    <a:sysClr val="windowText" lastClr="000000"/>
                  </a:solidFill>
                </a:rPr>
                <a:t>too low</a:t>
              </a:r>
              <a:r>
                <a:rPr lang="en-US">
                  <a:solidFill>
                    <a:sysClr val="windowText" lastClr="000000"/>
                  </a:solidFill>
                </a:rPr>
                <a:t> (Explanation #2).</a:t>
              </a:r>
            </a:p>
            <a:p>
              <a:r>
                <a:rPr lang="en-US">
                  <a:solidFill>
                    <a:sysClr val="windowText" lastClr="000000"/>
                  </a:solidFill>
                </a:rPr>
                <a:t>If </a:t>
              </a:r>
              <a:r>
                <a:rPr lang="en-US" b="1">
                  <a:solidFill>
                    <a:sysClr val="windowText" lastClr="000000"/>
                  </a:solidFill>
                </a:rPr>
                <a:t>SiteFixed* ≪</a:t>
              </a:r>
              <a:r>
                <a:rPr lang="en-US">
                  <a:solidFill>
                    <a:sysClr val="windowText" lastClr="000000"/>
                  </a:solidFill>
                </a:rPr>
                <a:t> the old 0.46‑rule result, the old proxy was </a:t>
              </a:r>
              <a:r>
                <a:rPr lang="en-US" b="1">
                  <a:solidFill>
                    <a:sysClr val="windowText" lastClr="000000"/>
                  </a:solidFill>
                </a:rPr>
                <a:t>too high</a:t>
              </a:r>
              <a:r>
                <a:rPr lang="en-US">
                  <a:solidFill>
                    <a:sysClr val="windowText" lastClr="000000"/>
                  </a:solidFill>
                </a:rPr>
                <a:t> (Explanation #1).</a:t>
              </a:r>
            </a:p>
            <a:p>
              <a:r>
                <a:rPr lang="en-US">
                  <a:solidFill>
                    <a:sysClr val="windowText" lastClr="000000"/>
                  </a:solidFill>
                </a:rPr>
                <a:t>If </a:t>
              </a:r>
              <a:r>
                <a:rPr lang="en-US" b="1">
                  <a:solidFill>
                    <a:sysClr val="windowText" lastClr="000000"/>
                  </a:solidFill>
                </a:rPr>
                <a:t>SiteFixed*</a:t>
              </a:r>
              <a:r>
                <a:rPr lang="en-US">
                  <a:solidFill>
                    <a:sysClr val="windowText" lastClr="000000"/>
                  </a:solidFill>
                </a:rPr>
                <a:t> matches the board target </a:t>
              </a:r>
              <a:r>
                <a:rPr lang="en-US" b="1">
                  <a:solidFill>
                    <a:sysClr val="windowText" lastClr="000000"/>
                  </a:solidFill>
                </a:rPr>
                <a:t>only</a:t>
              </a:r>
              <a:r>
                <a:rPr lang="en-US">
                  <a:solidFill>
                    <a:sysClr val="windowText" lastClr="000000"/>
                  </a:solidFill>
                </a:rPr>
                <a:t> when </a:t>
              </a:r>
              <a:r>
                <a:rPr lang="en-US" b="1">
                  <a:solidFill>
                    <a:sysClr val="windowText" lastClr="000000"/>
                  </a:solidFill>
                </a:rPr>
                <a:t>f_t</a:t>
              </a:r>
              <a:r>
                <a:rPr lang="en-US">
                  <a:solidFill>
                    <a:sysClr val="windowText" lastClr="000000"/>
                  </a:solidFill>
                </a:rPr>
                <a:t> is small (e.g., </a:t>
              </a:r>
              <a:r>
                <a:rPr lang="en-US" b="1">
                  <a:solidFill>
                    <a:sysClr val="windowText" lastClr="000000"/>
                  </a:solidFill>
                </a:rPr>
                <a:t>0.10</a:t>
              </a:r>
              <a:r>
                <a:rPr lang="en-US">
                  <a:solidFill>
                    <a:sysClr val="windowText" lastClr="000000"/>
                  </a:solidFill>
                </a:rPr>
                <a:t>), that points to a </a:t>
              </a:r>
              <a:r>
                <a:rPr lang="en-US" b="1">
                  <a:solidFill>
                    <a:sysClr val="windowText" lastClr="000000"/>
                  </a:solidFill>
                </a:rPr>
                <a:t>timing assumption</a:t>
              </a:r>
              <a:r>
                <a:rPr lang="en-US">
                  <a:solidFill>
                    <a:sysClr val="windowText" lastClr="000000"/>
                  </a:solidFill>
                </a:rPr>
                <a:t> mismatch (Explanation #3).</a:t>
              </a:r>
            </a:p>
            <a:p>
              <a:r>
                <a:rPr lang="en-US">
                  <a:solidFill>
                    <a:sysClr val="windowText" lastClr="000000"/>
                  </a:solidFill>
                </a:rPr>
                <a:t>This is deterministic and uses </a:t>
              </a:r>
              <a:r>
                <a:rPr lang="en-US" b="1">
                  <a:solidFill>
                    <a:sysClr val="windowText" lastClr="000000"/>
                  </a:solidFill>
                </a:rPr>
                <a:t>your own r, D, m, h, f</a:t>
              </a:r>
              <a:r>
                <a:rPr lang="en-US">
                  <a:solidFill>
                    <a:sysClr val="windowText" lastClr="000000"/>
                  </a:solidFill>
                </a:rPr>
                <a:t> for FY30.</a:t>
              </a:r>
            </a:p>
            <a:p>
              <a:br>
                <a:rPr lang="en-US">
                  <a:solidFill>
                    <a:sysClr val="windowText" lastClr="000000"/>
                  </a:solidFill>
                </a:rPr>
              </a:br>
              <a:endParaRPr lang="en-US">
                <a:solidFill>
                  <a:sysClr val="windowText" lastClr="000000"/>
                </a:solidFill>
              </a:endParaRPr>
            </a:p>
            <a:p>
              <a:r>
                <a:rPr lang="en-US" b="1">
                  <a:solidFill>
                    <a:sysClr val="windowText" lastClr="000000"/>
                  </a:solidFill>
                </a:rPr>
                <a:t>D) Quick sensitivity you can quote in the meeting</a:t>
              </a:r>
            </a:p>
            <a:p>
              <a:r>
                <a:rPr lang="en-US" b="1">
                  <a:solidFill>
                    <a:sysClr val="windowText" lastClr="000000"/>
                  </a:solidFill>
                </a:rPr>
                <a:t>Per $100k change</a:t>
              </a:r>
              <a:r>
                <a:rPr lang="en-US">
                  <a:solidFill>
                    <a:sysClr val="windowText" lastClr="000000"/>
                  </a:solidFill>
                </a:rPr>
                <a:t> in SiteFixed (both schools combined), FY30 </a:t>
              </a:r>
              <a:r>
                <a:rPr lang="el-GR" b="1">
                  <a:solidFill>
                    <a:sysClr val="windowText" lastClr="000000"/>
                  </a:solidFill>
                </a:rPr>
                <a:t>Δ</a:t>
              </a:r>
              <a:r>
                <a:rPr lang="en-US" b="1">
                  <a:solidFill>
                    <a:sysClr val="windowText" lastClr="000000"/>
                  </a:solidFill>
                </a:rPr>
                <a:t>Net moves by</a:t>
              </a:r>
              <a:r>
                <a:rPr lang="en-US">
                  <a:solidFill>
                    <a:sysClr val="windowText" lastClr="000000"/>
                  </a:solidFill>
                </a:rPr>
                <a:t> </a:t>
              </a:r>
              <a:r>
                <a:rPr lang="en-US" b="1">
                  <a:solidFill>
                    <a:sysClr val="windowText" lastClr="000000"/>
                  </a:solidFill>
                </a:rPr>
                <a:t>$(1 − f_t) × 100k</a:t>
              </a:r>
              <a:r>
                <a:rPr lang="en-US">
                  <a:solidFill>
                    <a:sysClr val="windowText" lastClr="000000"/>
                  </a:solidFill>
                </a:rPr>
                <a:t>.</a:t>
              </a:r>
            </a:p>
            <a:p>
              <a:pPr lvl="1"/>
              <a:r>
                <a:rPr lang="en-US">
                  <a:solidFill>
                    <a:sysClr val="windowText" lastClr="000000"/>
                  </a:solidFill>
                </a:rPr>
                <a:t>With </a:t>
              </a:r>
              <a:r>
                <a:rPr lang="en-US" b="1">
                  <a:solidFill>
                    <a:sysClr val="windowText" lastClr="000000"/>
                  </a:solidFill>
                </a:rPr>
                <a:t>f_ops FY30 = 0.30</a:t>
              </a:r>
              <a:r>
                <a:rPr lang="en-US">
                  <a:solidFill>
                    <a:sysClr val="windowText" lastClr="000000"/>
                  </a:solidFill>
                </a:rPr>
                <a:t>, that’s </a:t>
              </a:r>
              <a:r>
                <a:rPr lang="en-US" b="1">
                  <a:solidFill>
                    <a:sysClr val="windowText" lastClr="000000"/>
                  </a:solidFill>
                </a:rPr>
                <a:t>$70k</a:t>
              </a:r>
              <a:r>
                <a:rPr lang="en-US">
                  <a:solidFill>
                    <a:sysClr val="windowText" lastClr="000000"/>
                  </a:solidFill>
                </a:rPr>
                <a:t> to </a:t>
              </a:r>
              <a:r>
                <a:rPr lang="el-GR">
                  <a:solidFill>
                    <a:sysClr val="windowText" lastClr="000000"/>
                  </a:solidFill>
                </a:rPr>
                <a:t>Δ</a:t>
              </a:r>
              <a:r>
                <a:rPr lang="en-US">
                  <a:solidFill>
                    <a:sysClr val="windowText" lastClr="000000"/>
                  </a:solidFill>
                </a:rPr>
                <a:t>Net; with </a:t>
              </a:r>
              <a:r>
                <a:rPr lang="en-US" b="1">
                  <a:solidFill>
                    <a:sysClr val="windowText" lastClr="000000"/>
                  </a:solidFill>
                </a:rPr>
                <a:t>f_lease FY30 = 0.10</a:t>
              </a:r>
              <a:r>
                <a:rPr lang="en-US">
                  <a:solidFill>
                    <a:sysClr val="windowText" lastClr="000000"/>
                  </a:solidFill>
                </a:rPr>
                <a:t>, that’s </a:t>
              </a:r>
              <a:r>
                <a:rPr lang="en-US" b="1">
                  <a:solidFill>
                    <a:sysClr val="windowText" lastClr="000000"/>
                  </a:solidFill>
                </a:rPr>
                <a:t>$90k</a:t>
              </a:r>
              <a:r>
                <a:rPr lang="en-US">
                  <a:solidFill>
                    <a:sysClr val="windowText" lastClr="000000"/>
                  </a:solidFill>
                </a:rPr>
                <a:t>.</a:t>
              </a:r>
            </a:p>
            <a:p>
              <a:r>
                <a:rPr lang="en-US" b="1">
                  <a:solidFill>
                    <a:sysClr val="windowText" lastClr="000000"/>
                  </a:solidFill>
                </a:rPr>
                <a:t>Per 10‑point change</a:t>
              </a:r>
              <a:r>
                <a:rPr lang="en-US">
                  <a:solidFill>
                    <a:sysClr val="windowText" lastClr="000000"/>
                  </a:solidFill>
                </a:rPr>
                <a:t> in </a:t>
              </a:r>
              <a:r>
                <a:rPr lang="en-US" b="1">
                  <a:solidFill>
                    <a:sysClr val="windowText" lastClr="000000"/>
                  </a:solidFill>
                </a:rPr>
                <a:t>r</a:t>
              </a:r>
              <a:r>
                <a:rPr lang="en-US">
                  <a:solidFill>
                    <a:sysClr val="windowText" lastClr="000000"/>
                  </a:solidFill>
                </a:rPr>
                <a:t> (retention),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roughly </a:t>
              </a:r>
              <a:r>
                <a:rPr lang="en-US" b="1">
                  <a:solidFill>
                    <a:sysClr val="windowText" lastClr="000000"/>
                  </a:solidFill>
                </a:rPr>
                <a:t>0.10 × D × (m_t − h_t)</a:t>
              </a:r>
              <a:r>
                <a:rPr lang="en-US">
                  <a:solidFill>
                    <a:sysClr val="windowText" lastClr="000000"/>
                  </a:solidFill>
                </a:rPr>
                <a:t>.</a:t>
              </a:r>
            </a:p>
            <a:p>
              <a:r>
                <a:rPr lang="en-US" b="1">
                  <a:solidFill>
                    <a:sysClr val="windowText" lastClr="000000"/>
                  </a:solidFill>
                </a:rPr>
                <a:t>Per $500 change</a:t>
              </a:r>
              <a:r>
                <a:rPr lang="en-US">
                  <a:solidFill>
                    <a:sysClr val="windowText" lastClr="000000"/>
                  </a:solidFill>
                </a:rPr>
                <a:t> in </a:t>
              </a:r>
              <a:r>
                <a:rPr lang="en-US" b="1">
                  <a:solidFill>
                    <a:sysClr val="windowText" lastClr="000000"/>
                  </a:solidFill>
                </a:rPr>
                <a:t>m_t</a:t>
              </a:r>
              <a:r>
                <a:rPr lang="en-US">
                  <a:solidFill>
                    <a:sysClr val="windowText" lastClr="000000"/>
                  </a:solidFill>
                </a:rPr>
                <a:t>, FY30 </a:t>
              </a:r>
              <a:r>
                <a:rPr lang="el-GR" b="1">
                  <a:solidFill>
                    <a:sysClr val="windowText" lastClr="000000"/>
                  </a:solidFill>
                </a:rPr>
                <a:t>Δ</a:t>
              </a:r>
              <a:r>
                <a:rPr lang="en-US" b="1">
                  <a:solidFill>
                    <a:sysClr val="windowText" lastClr="000000"/>
                  </a:solidFill>
                </a:rPr>
                <a:t>Net</a:t>
              </a:r>
              <a:r>
                <a:rPr lang="en-US">
                  <a:solidFill>
                    <a:sysClr val="windowText" lastClr="000000"/>
                  </a:solidFill>
                </a:rPr>
                <a:t> moves by </a:t>
              </a:r>
              <a:r>
                <a:rPr lang="en-US" b="1">
                  <a:solidFill>
                    <a:sysClr val="windowText" lastClr="000000"/>
                  </a:solidFill>
                </a:rPr>
                <a:t>$(1 − r) × D × 500</a:t>
              </a:r>
              <a:r>
                <a:rPr lang="en-US">
                  <a:solidFill>
                    <a:sysClr val="windowText" lastClr="000000"/>
                  </a:solidFill>
                </a:rPr>
                <a:t> (lost‑student term).</a:t>
              </a:r>
            </a:p>
            <a:p>
              <a:r>
                <a:rPr lang="en-US">
                  <a:solidFill>
                    <a:sysClr val="windowText" lastClr="000000"/>
                  </a:solidFill>
                </a:rPr>
                <a:t>These three levers explain </a:t>
              </a:r>
              <a:r>
                <a:rPr lang="en-US" b="1">
                  <a:solidFill>
                    <a:sysClr val="windowText" lastClr="000000"/>
                  </a:solidFill>
                </a:rPr>
                <a:t>most</a:t>
              </a:r>
              <a:r>
                <a:rPr lang="en-US">
                  <a:solidFill>
                    <a:sysClr val="windowText" lastClr="000000"/>
                  </a:solidFill>
                </a:rPr>
                <a:t> of the movement you saw when you swapped proxies.</a:t>
              </a:r>
            </a:p>
            <a:p>
              <a:br>
                <a:rPr lang="en-US">
                  <a:solidFill>
                    <a:sysClr val="windowText" lastClr="000000"/>
                  </a:solidFill>
                </a:rPr>
              </a:br>
              <a:endParaRPr lang="en-US">
                <a:solidFill>
                  <a:sysClr val="windowText" lastClr="000000"/>
                </a:solidFill>
              </a:endParaRPr>
            </a:p>
            <a:p>
              <a:r>
                <a:rPr lang="en-US" b="1">
                  <a:solidFill>
                    <a:sysClr val="windowText" lastClr="000000"/>
                  </a:solidFill>
                </a:rPr>
                <a:t>E) What to do right now (while we wait on the CFO CSV)</a:t>
              </a:r>
            </a:p>
            <a:p>
              <a:r>
                <a:rPr lang="en-US" b="1">
                  <a:solidFill>
                    <a:sysClr val="windowText" lastClr="000000"/>
                  </a:solidFill>
                </a:rPr>
                <a:t>Keep</a:t>
              </a:r>
              <a:r>
                <a:rPr lang="en-US">
                  <a:solidFill>
                    <a:sysClr val="windowText" lastClr="000000"/>
                  </a:solidFill>
                </a:rPr>
                <a:t> the directional placeholders you just used (they are </a:t>
              </a:r>
              <a:r>
                <a:rPr lang="en-US" b="1">
                  <a:solidFill>
                    <a:sysClr val="windowText" lastClr="000000"/>
                  </a:solidFill>
                </a:rPr>
                <a:t>defensible</a:t>
              </a:r>
              <a:r>
                <a:rPr lang="en-US">
                  <a:solidFill>
                    <a:sysClr val="windowText" lastClr="000000"/>
                  </a:solidFill>
                </a:rPr>
                <a:t> and align with public function totals and campus sizes).</a:t>
              </a:r>
            </a:p>
            <a:p>
              <a:r>
                <a:rPr lang="en-US" b="1">
                  <a:solidFill>
                    <a:sysClr val="windowText" lastClr="000000"/>
                  </a:solidFill>
                </a:rPr>
                <a:t>Add a one‑line footnote</a:t>
              </a:r>
              <a:r>
                <a:rPr lang="en-US">
                  <a:solidFill>
                    <a:sysClr val="windowText" lastClr="000000"/>
                  </a:solidFill>
                </a:rPr>
                <a:t> on </a:t>
              </a:r>
              <a:r>
                <a:rPr lang="en-US" b="1">
                  <a:solidFill>
                    <a:sysClr val="windowText" lastClr="000000"/>
                  </a:solidFill>
                </a:rPr>
                <a:t>Scenario_Comparison</a:t>
              </a:r>
              <a:r>
                <a:rPr lang="en-US">
                  <a:solidFill>
                    <a:sysClr val="windowText" lastClr="000000"/>
                  </a:solidFill>
                </a:rPr>
                <a:t> or </a:t>
              </a:r>
              <a:r>
                <a:rPr lang="en-US" b="1">
                  <a:solidFill>
                    <a:sysClr val="windowText" lastClr="000000"/>
                  </a:solidFill>
                </a:rPr>
                <a:t>Summary_Figures</a:t>
              </a:r>
              <a:r>
                <a:rPr lang="en-US">
                  <a:solidFill>
                    <a:sysClr val="windowText" lastClr="000000"/>
                  </a:solidFill>
                </a:rPr>
                <a:t>:</a:t>
              </a:r>
            </a:p>
            <a:p>
              <a:r>
                <a:rPr lang="en-US">
                  <a:solidFill>
                    <a:sysClr val="windowText" lastClr="000000"/>
                  </a:solidFill>
                </a:rPr>
                <a:t>“Repurpose fixed M&amp;O savings are using directional placeholders rooted in FY26 function totals and campus sf; audited FY25 site‑level ledgers (Fund 001) will replace these values.”</a:t>
              </a:r>
            </a:p>
            <a:p>
              <a:r>
                <a:rPr lang="en-US" b="1">
                  <a:solidFill>
                    <a:sysClr val="windowText" lastClr="000000"/>
                  </a:solidFill>
                </a:rPr>
                <a:t>Run the backward solve once</a:t>
              </a:r>
              <a:r>
                <a:rPr lang="en-US">
                  <a:solidFill>
                    <a:sysClr val="windowText" lastClr="000000"/>
                  </a:solidFill>
                </a:rPr>
                <a:t> (per C) for FY30 using your current </a:t>
              </a:r>
              <a:r>
                <a:rPr lang="en-US" b="1">
                  <a:solidFill>
                    <a:sysClr val="windowText" lastClr="000000"/>
                  </a:solidFill>
                </a:rPr>
                <a:t>r, D, m, h, f</a:t>
              </a:r>
              <a:r>
                <a:rPr lang="en-US">
                  <a:solidFill>
                    <a:sysClr val="windowText" lastClr="000000"/>
                  </a:solidFill>
                </a:rPr>
                <a:t> to see the </a:t>
              </a:r>
              <a:r>
                <a:rPr lang="en-US" b="1">
                  <a:solidFill>
                    <a:sysClr val="windowText" lastClr="000000"/>
                  </a:solidFill>
                </a:rPr>
                <a:t>implied SiteFixed*</a:t>
              </a:r>
              <a:r>
                <a:rPr lang="en-US">
                  <a:solidFill>
                    <a:sysClr val="windowText" lastClr="000000"/>
                  </a:solidFill>
                </a:rPr>
                <a:t> that would match </a:t>
              </a:r>
              <a:r>
                <a:rPr lang="en-US" b="1">
                  <a:solidFill>
                    <a:sysClr val="windowText" lastClr="000000"/>
                  </a:solidFill>
                </a:rPr>
                <a:t>$1.9M</a:t>
              </a:r>
              <a:r>
                <a:rPr lang="en-US">
                  <a:solidFill>
                    <a:sysClr val="windowText" lastClr="000000"/>
                  </a:solidFill>
                </a:rPr>
                <a:t> total. If the implied SiteFixed* is </a:t>
              </a:r>
              <a:r>
                <a:rPr lang="en-US" b="1">
                  <a:solidFill>
                    <a:sysClr val="windowText" lastClr="000000"/>
                  </a:solidFill>
                </a:rPr>
                <a:t>close</a:t>
              </a:r>
              <a:r>
                <a:rPr lang="en-US">
                  <a:solidFill>
                    <a:sysClr val="windowText" lastClr="000000"/>
                  </a:solidFill>
                </a:rPr>
                <a:t> to your placeholders, you’re in the right band; if it’s far, note </a:t>
              </a:r>
              <a:r>
                <a:rPr lang="en-US" b="1">
                  <a:solidFill>
                    <a:sysClr val="windowText" lastClr="000000"/>
                  </a:solidFill>
                </a:rPr>
                <a:t>which lever</a:t>
              </a:r>
              <a:r>
                <a:rPr lang="en-US">
                  <a:solidFill>
                    <a:sysClr val="windowText" lastClr="000000"/>
                  </a:solidFill>
                </a:rPr>
                <a:t> explains the distance (timing via </a:t>
              </a:r>
              <a:r>
                <a:rPr lang="en-US" b="1">
                  <a:solidFill>
                    <a:sysClr val="windowText" lastClr="000000"/>
                  </a:solidFill>
                </a:rPr>
                <a:t>f_t</a:t>
              </a:r>
              <a:r>
                <a:rPr lang="en-US">
                  <a:solidFill>
                    <a:sysClr val="windowText" lastClr="000000"/>
                  </a:solidFill>
                </a:rPr>
                <a:t>, or base via </a:t>
              </a:r>
              <a:r>
                <a:rPr lang="en-US" b="1">
                  <a:solidFill>
                    <a:sysClr val="windowText" lastClr="000000"/>
                  </a:solidFill>
                </a:rPr>
                <a:t>SiteFixed</a:t>
              </a:r>
              <a:r>
                <a:rPr lang="en-US">
                  <a:solidFill>
                    <a:sysClr val="windowText" lastClr="000000"/>
                  </a:solidFill>
                </a:rPr>
                <a:t>).</a:t>
              </a:r>
            </a:p>
            <a:p>
              <a:pPr rtl="0" eaLnBrk="1" fontAlgn="auto" latinLnBrk="0" hangingPunct="1"/>
              <a:endParaRPr lang="en-US" sz="1200">
                <a:solidFill>
                  <a:sysClr val="windowText" lastClr="000000"/>
                </a:solidFill>
                <a:effectLst/>
              </a:endParaRPr>
            </a:p>
            <a:p>
              <a:pPr algn="l"/>
              <a:endParaRPr lang="en-US" sz="1200">
                <a:solidFill>
                  <a:sysClr val="windowText" lastClr="000000"/>
                </a:solidFill>
              </a:endParaRPr>
            </a:p>
          </xdr:txBody>
        </xdr:sp>
      </mc:Fallback>
    </mc:AlternateContent>
    <xdr:clientData/>
  </xdr:twoCellAnchor>
  <xdr:oneCellAnchor>
    <xdr:from>
      <xdr:col>9</xdr:col>
      <xdr:colOff>224118</xdr:colOff>
      <xdr:row>2</xdr:row>
      <xdr:rowOff>59765</xdr:rowOff>
    </xdr:from>
    <xdr:ext cx="9497594" cy="3192412"/>
    <xdr:sp macro="" textlink="">
      <xdr:nvSpPr>
        <xdr:cNvPr id="8" name="TextBox 7">
          <a:extLst>
            <a:ext uri="{FF2B5EF4-FFF2-40B4-BE49-F238E27FC236}">
              <a16:creationId xmlns:a16="http://schemas.microsoft.com/office/drawing/2014/main" id="{1CC37933-E3C0-634A-BE50-76043FF9B3B8}"/>
            </a:ext>
          </a:extLst>
        </xdr:cNvPr>
        <xdr:cNvSpPr txBox="1"/>
      </xdr:nvSpPr>
      <xdr:spPr>
        <a:xfrm>
          <a:off x="5737412" y="433294"/>
          <a:ext cx="9497594" cy="3192412"/>
        </a:xfrm>
        <a:prstGeom prst="rect">
          <a:avLst/>
        </a:prstGeom>
        <a:solidFill>
          <a:srgbClr val="FFFF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solidFill>
                <a:schemeClr val="tx1"/>
              </a:solidFill>
              <a:effectLst/>
              <a:latin typeface="+mn-lt"/>
              <a:ea typeface="+mn-ea"/>
              <a:cs typeface="+mn-cs"/>
            </a:rPr>
            <a:t>sensitivity</a:t>
          </a:r>
          <a:r>
            <a:rPr lang="en-US" sz="1100" baseline="0">
              <a:solidFill>
                <a:schemeClr val="tx1"/>
              </a:solidFill>
              <a:effectLst/>
              <a:latin typeface="+mn-lt"/>
              <a:ea typeface="+mn-ea"/>
              <a:cs typeface="+mn-cs"/>
            </a:rPr>
            <a:t>  --</a:t>
          </a:r>
          <a:r>
            <a:rPr lang="en-US" sz="1100">
              <a:solidFill>
                <a:schemeClr val="tx1"/>
              </a:solidFill>
              <a:effectLst/>
              <a:latin typeface="+mn-lt"/>
              <a:ea typeface="+mn-ea"/>
              <a:cs typeface="+mn-cs"/>
            </a:rPr>
            <a:t>All scenarios are sensitive to xx and yy.</a:t>
          </a:r>
          <a:endParaRPr lang="en-US">
            <a:effectLst/>
          </a:endParaRPr>
        </a:p>
        <a:p>
          <a:r>
            <a:rPr lang="en-US" sz="1100">
              <a:solidFill>
                <a:schemeClr val="tx1"/>
              </a:solidFill>
              <a:effectLst/>
              <a:latin typeface="+mn-lt"/>
              <a:ea typeface="+mn-ea"/>
              <a:cs typeface="+mn-cs"/>
            </a:rPr>
            <a:t> </a:t>
          </a:r>
          <a:endParaRPr lang="en-US">
            <a:effectLst/>
          </a:endParaRPr>
        </a:p>
        <a:p>
          <a:r>
            <a:rPr lang="en-US" sz="1100">
              <a:solidFill>
                <a:schemeClr val="tx1"/>
              </a:solidFill>
              <a:effectLst/>
              <a:latin typeface="+mn-lt"/>
              <a:ea typeface="+mn-ea"/>
              <a:cs typeface="+mn-cs"/>
            </a:rPr>
            <a:t>Repurpose scenarios are particularly sensitive to a, b, c.</a:t>
          </a:r>
          <a:endParaRPr lang="en-US">
            <a:effectLst/>
          </a:endParaRPr>
        </a:p>
        <a:p>
          <a:r>
            <a:rPr lang="en-US" sz="1100">
              <a:solidFill>
                <a:schemeClr val="tx1"/>
              </a:solidFill>
              <a:effectLst/>
              <a:latin typeface="+mn-lt"/>
              <a:ea typeface="+mn-ea"/>
              <a:cs typeface="+mn-cs"/>
            </a:rPr>
            <a:t> </a:t>
          </a:r>
          <a:endParaRPr lang="en-US">
            <a:effectLst/>
          </a:endParaRPr>
        </a:p>
        <a:p>
          <a:r>
            <a:rPr lang="en-US" sz="1100">
              <a:solidFill>
                <a:schemeClr val="tx1"/>
              </a:solidFill>
              <a:effectLst/>
              <a:latin typeface="+mn-lt"/>
              <a:ea typeface="+mn-ea"/>
              <a:cs typeface="+mn-cs"/>
            </a:rPr>
            <a:t>Keep-open (and grow) scenarios are particularly sensitive to a, d, f.</a:t>
          </a:r>
          <a:endParaRPr lang="en-US">
            <a:effectLst/>
          </a:endParaRPr>
        </a:p>
        <a:p>
          <a:r>
            <a:rPr lang="en-US" sz="1100" b="1" i="0">
              <a:solidFill>
                <a:schemeClr val="tx1"/>
              </a:solidFill>
              <a:effectLst/>
              <a:latin typeface="+mn-lt"/>
              <a:ea typeface="+mn-ea"/>
              <a:cs typeface="+mn-cs"/>
            </a:rPr>
            <a:t>Pose</a:t>
          </a:r>
          <a:r>
            <a:rPr lang="en-US" sz="1100" b="1" i="0" baseline="0">
              <a:solidFill>
                <a:schemeClr val="tx1"/>
              </a:solidFill>
              <a:effectLst/>
              <a:latin typeface="+mn-lt"/>
              <a:ea typeface="+mn-ea"/>
              <a:cs typeface="+mn-cs"/>
            </a:rPr>
            <a:t> key questions?</a:t>
          </a:r>
          <a:endParaRPr lang="en-US">
            <a:effectLst/>
          </a:endParaRPr>
        </a:p>
        <a:p>
          <a:r>
            <a:rPr lang="en-US" sz="1100" b="1" i="0">
              <a:solidFill>
                <a:schemeClr val="tx1"/>
              </a:solidFill>
              <a:effectLst/>
              <a:latin typeface="+mn-lt"/>
              <a:ea typeface="+mn-ea"/>
              <a:cs typeface="+mn-cs"/>
            </a:rPr>
            <a:t>-is repurpose stay open an option to consider?  &lt;are there comps for this?&gt;</a:t>
          </a:r>
          <a:r>
            <a:rPr lang="en-US" sz="1100" b="1" i="0" baseline="0">
              <a:solidFill>
                <a:schemeClr val="tx1"/>
              </a:solidFill>
              <a:effectLst/>
              <a:latin typeface="+mn-lt"/>
              <a:ea typeface="+mn-ea"/>
              <a:cs typeface="+mn-cs"/>
            </a:rPr>
            <a:t>  can we imagine that, with capaity , it would be feasible to renovate for a repurpose while keeping the school open?   </a:t>
          </a:r>
          <a:endParaRPr lang="en-US">
            <a:effectLst/>
          </a:endParaRPr>
        </a:p>
        <a:p>
          <a:r>
            <a:rPr lang="en-US" sz="1100" b="1" i="0">
              <a:solidFill>
                <a:schemeClr val="tx1"/>
              </a:solidFill>
              <a:effectLst/>
              <a:latin typeface="+mn-lt"/>
              <a:ea typeface="+mn-ea"/>
              <a:cs typeface="+mn-cs"/>
            </a:rPr>
            <a:t>-</a:t>
          </a:r>
          <a:r>
            <a:rPr lang="en-US" sz="1100" b="0" i="0">
              <a:solidFill>
                <a:schemeClr val="tx1"/>
              </a:solidFill>
              <a:effectLst/>
              <a:latin typeface="+mn-lt"/>
              <a:ea typeface="+mn-ea"/>
              <a:cs typeface="+mn-cs"/>
            </a:rPr>
            <a:t>This model is not perfect… we need to confirm certain assumptions and inputs.</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But - it does show us that small changes in certain assumptions can notably change the outcome / results.</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Repurpose or close probably still looks better.</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But maybe not by as much.</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If we can credibly develop a small growth strategy, the difference is smalller still…</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In any case - it suggests we need to get the numbers - the planning - right before a decision this consequential.</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100">
              <a:solidFill>
                <a:schemeClr val="tx1"/>
              </a:solidFill>
              <a:effectLst/>
              <a:latin typeface="+mn-lt"/>
              <a:ea typeface="+mn-ea"/>
              <a:cs typeface="+mn-cs"/>
            </a:rPr>
          </a:br>
          <a:r>
            <a:rPr lang="en-US" sz="1100" b="0" i="0">
              <a:solidFill>
                <a:schemeClr val="tx1"/>
              </a:solidFill>
              <a:effectLst/>
              <a:latin typeface="+mn-lt"/>
              <a:ea typeface="+mn-ea"/>
              <a:cs typeface="+mn-cs"/>
            </a:rPr>
            <a:t>—is repurpose keep-open a potential scenario?  Is that effectively what some of our scenarios are?</a:t>
          </a:r>
          <a:endParaRPr lang="en-US">
            <a:effectLst/>
          </a:endParaRP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19</xdr:col>
      <xdr:colOff>139822</xdr:colOff>
      <xdr:row>7</xdr:row>
      <xdr:rowOff>105630</xdr:rowOff>
    </xdr:from>
    <xdr:to>
      <xdr:col>24</xdr:col>
      <xdr:colOff>409697</xdr:colOff>
      <xdr:row>18</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328706</xdr:colOff>
      <xdr:row>4</xdr:row>
      <xdr:rowOff>112059</xdr:rowOff>
    </xdr:from>
    <xdr:to>
      <xdr:col>12</xdr:col>
      <xdr:colOff>82176</xdr:colOff>
      <xdr:row>10</xdr:row>
      <xdr:rowOff>52294</xdr:rowOff>
    </xdr:to>
    <xdr:sp macro="" textlink="">
      <xdr:nvSpPr>
        <xdr:cNvPr id="2" name="Rectangle 1">
          <a:extLst>
            <a:ext uri="{FF2B5EF4-FFF2-40B4-BE49-F238E27FC236}">
              <a16:creationId xmlns:a16="http://schemas.microsoft.com/office/drawing/2014/main" id="{E3CEB594-33BF-D859-54F3-1E672138C737}"/>
            </a:ext>
          </a:extLst>
        </xdr:cNvPr>
        <xdr:cNvSpPr/>
      </xdr:nvSpPr>
      <xdr:spPr>
        <a:xfrm>
          <a:off x="5998882" y="859118"/>
          <a:ext cx="3429000" cy="10608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-does this ops savings 0.007 make sense?  is it</a:t>
          </a:r>
          <a:r>
            <a:rPr lang="en-US" sz="1100" baseline="0"/>
            <a:t> useful?  and is it applied appropriately in the model if so?</a:t>
          </a:r>
        </a:p>
        <a:p>
          <a:pPr algn="l"/>
          <a:r>
            <a:rPr lang="en-US" sz="1100" baseline="0"/>
            <a:t>how about co-location extra savings?</a:t>
          </a:r>
        </a:p>
        <a:p>
          <a:pPr algn="l"/>
          <a:r>
            <a:rPr lang="en-US" sz="1100" baseline="0"/>
            <a:t>(should co-location be emphasized more?  need to really reconcile and think through the key scenarios to present)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T3" sqref="T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115"/>
      <c r="C3" s="115"/>
      <c r="D3" s="115"/>
      <c r="E3" s="115"/>
      <c r="F3" s="115"/>
      <c r="G3" s="115"/>
      <c r="H3" s="115"/>
      <c r="I3" s="115"/>
      <c r="J3" s="115"/>
      <c r="K3" s="115"/>
      <c r="L3" s="115"/>
      <c r="M3" s="11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115"/>
      <c r="C6" s="115"/>
      <c r="D6" s="115"/>
      <c r="E6" s="115"/>
      <c r="F6" s="115"/>
      <c r="G6" s="115"/>
      <c r="H6" s="115"/>
      <c r="I6" s="115"/>
      <c r="J6" s="115"/>
      <c r="K6" s="115"/>
      <c r="L6" s="115"/>
      <c r="M6" s="11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115"/>
      <c r="C9" s="115"/>
      <c r="D9" s="115"/>
      <c r="E9" s="115"/>
      <c r="F9" s="115"/>
      <c r="G9" s="115"/>
      <c r="H9" s="115"/>
      <c r="I9" s="115"/>
      <c r="J9" s="115"/>
      <c r="K9" s="115"/>
      <c r="L9" s="115"/>
      <c r="M9" s="11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115"/>
      <c r="C12" s="115"/>
      <c r="D12" s="115"/>
      <c r="E12" s="115"/>
      <c r="F12" s="115"/>
      <c r="G12" s="115"/>
      <c r="H12" s="115"/>
      <c r="I12" s="115"/>
      <c r="J12" s="115"/>
      <c r="K12" s="115"/>
      <c r="L12" s="115"/>
      <c r="M12" s="115"/>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115"/>
      <c r="C14" s="115"/>
      <c r="D14" s="115"/>
      <c r="E14" s="115"/>
      <c r="F14" s="115"/>
      <c r="G14" s="115"/>
      <c r="H14" s="115"/>
      <c r="I14" s="115"/>
      <c r="J14" s="115"/>
      <c r="K14" s="115"/>
      <c r="L14" s="115"/>
      <c r="M14" s="115"/>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115"/>
      <c r="C17" s="115"/>
      <c r="D17" s="115"/>
      <c r="E17" s="115"/>
      <c r="F17" s="115"/>
      <c r="G17" s="115"/>
      <c r="H17" s="115"/>
      <c r="I17" s="115"/>
      <c r="J17" s="115"/>
      <c r="K17" s="115"/>
      <c r="L17" s="115"/>
      <c r="M17" s="11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115"/>
      <c r="C20" s="115"/>
      <c r="D20" s="115"/>
      <c r="E20" s="115"/>
      <c r="F20" s="115"/>
      <c r="G20" s="115"/>
      <c r="H20" s="115"/>
      <c r="I20" s="115"/>
      <c r="J20" s="115"/>
      <c r="K20" s="115"/>
      <c r="L20" s="115"/>
      <c r="M20" s="11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B1:M133"/>
  <sheetViews>
    <sheetView tabSelected="1" zoomScale="70" zoomScaleNormal="70" workbookViewId="0">
      <pane ySplit="5" topLeftCell="A6" activePane="bottomLeft" state="frozen"/>
      <selection activeCell="B1" sqref="B1"/>
      <selection pane="bottomLeft" activeCell="C7" sqref="C7"/>
    </sheetView>
  </sheetViews>
  <sheetFormatPr defaultRowHeight="14.5" outlineLevelRow="1"/>
  <cols>
    <col min="1" max="1" width="4.26953125" style="87" customWidth="1"/>
    <col min="2" max="2" width="49.453125" style="87" customWidth="1"/>
    <col min="3" max="9" width="18.6328125" style="87" customWidth="1"/>
    <col min="10" max="10" width="28.81640625" customWidth="1"/>
    <col min="12" max="12" width="8.7265625" style="87"/>
    <col min="13" max="13" width="26.81640625" style="87" customWidth="1"/>
    <col min="14" max="19" width="14.6328125" style="87" customWidth="1"/>
    <col min="20" max="16384" width="8.7265625" style="87"/>
  </cols>
  <sheetData>
    <row r="1" spans="2:13" ht="15" thickBot="1">
      <c r="B1" s="100" t="s">
        <v>834</v>
      </c>
      <c r="C1" s="163" t="s">
        <v>835</v>
      </c>
    </row>
    <row r="2" spans="2:13" ht="15" thickBot="1">
      <c r="B2" s="147" t="s">
        <v>812</v>
      </c>
      <c r="C2" s="148">
        <v>2026</v>
      </c>
    </row>
    <row r="4" spans="2:13">
      <c r="B4" s="100" t="str">
        <f>"FY"&amp;IF(C2=2026, "26", IF(C2=2030, "30", "Average 2026-2030"))&amp;" simulated P&amp;L and capital spend by scenario"</f>
        <v>FY26 simulated P&amp;L and capital spend by scenario</v>
      </c>
      <c r="C4" s="146" t="s">
        <v>807</v>
      </c>
      <c r="D4" s="146" t="s">
        <v>808</v>
      </c>
      <c r="E4" s="146" t="s">
        <v>809</v>
      </c>
      <c r="F4" s="146" t="s">
        <v>810</v>
      </c>
      <c r="G4" s="146" t="s">
        <v>811</v>
      </c>
    </row>
    <row r="5" spans="2:13" ht="39">
      <c r="B5" s="137"/>
      <c r="C5" s="149" t="s">
        <v>813</v>
      </c>
      <c r="D5" s="149" t="s">
        <v>814</v>
      </c>
      <c r="E5" s="149" t="s">
        <v>815</v>
      </c>
      <c r="F5" s="149" t="s">
        <v>816</v>
      </c>
      <c r="G5" s="149" t="s">
        <v>817</v>
      </c>
      <c r="H5" s="138" t="s">
        <v>701</v>
      </c>
      <c r="I5" s="138" t="s">
        <v>831</v>
      </c>
      <c r="J5" s="149" t="s">
        <v>729</v>
      </c>
    </row>
    <row r="6" spans="2:13" ht="14" customHeight="1" outlineLevel="1">
      <c r="B6" s="155" t="s">
        <v>769</v>
      </c>
      <c r="C6" s="139">
        <f>Parameters_Public!$C$10</f>
        <v>257</v>
      </c>
      <c r="D6" s="139">
        <f>Parameters_Public!$C$10</f>
        <v>257</v>
      </c>
      <c r="E6" s="139">
        <f>Parameters_Public!$C$10</f>
        <v>257</v>
      </c>
      <c r="F6" s="139">
        <f>Parameters_Public!$C$10</f>
        <v>257</v>
      </c>
      <c r="G6" s="139">
        <f>Parameters_Public!$C$10</f>
        <v>257</v>
      </c>
      <c r="H6" s="139" t="s">
        <v>728</v>
      </c>
      <c r="I6" s="139"/>
    </row>
    <row r="7" spans="2:13" ht="14" customHeight="1" outlineLevel="1">
      <c r="B7" s="156" t="s">
        <v>770</v>
      </c>
      <c r="C7" s="139">
        <f>Parameters_Public!$C$11</f>
        <v>296</v>
      </c>
      <c r="D7" s="139">
        <f>Parameters_Public!$C$11</f>
        <v>296</v>
      </c>
      <c r="E7" s="139">
        <f>Parameters_Public!$C$11</f>
        <v>296</v>
      </c>
      <c r="F7" s="139">
        <f>Parameters_Public!$C$11</f>
        <v>296</v>
      </c>
      <c r="G7" s="139">
        <f>Parameters_Public!$C$11</f>
        <v>296</v>
      </c>
      <c r="H7" s="139"/>
      <c r="I7" s="139"/>
    </row>
    <row r="8" spans="2:13" ht="14" customHeight="1" outlineLevel="1">
      <c r="B8" s="156" t="s">
        <v>774</v>
      </c>
      <c r="C8" s="139">
        <v>0</v>
      </c>
      <c r="D8" s="140">
        <f>MultiYear_ProForma!$AB$42</f>
        <v>16.666666666666686</v>
      </c>
      <c r="E8" s="140">
        <f>MultiYear_ProForma!$AB$52</f>
        <v>17</v>
      </c>
      <c r="F8" s="140">
        <f>MultiYear_ProForma!$AB$17</f>
        <v>50</v>
      </c>
      <c r="G8" s="139">
        <v>0</v>
      </c>
      <c r="H8" s="139"/>
      <c r="I8" s="139"/>
    </row>
    <row r="9" spans="2:13" ht="14" customHeight="1" outlineLevel="1">
      <c r="B9" s="155" t="s">
        <v>818</v>
      </c>
      <c r="C9" s="139">
        <f>Parameters_Public!$C$23</f>
        <v>0.6</v>
      </c>
      <c r="D9" s="139">
        <f>Parameters_Public!$C$23</f>
        <v>0.6</v>
      </c>
      <c r="E9" s="139" t="str">
        <f>"N/A"</f>
        <v>N/A</v>
      </c>
      <c r="F9" s="139" t="str">
        <f>"N/A"</f>
        <v>N/A</v>
      </c>
      <c r="G9" s="139" t="str">
        <f>"N/A"</f>
        <v>N/A</v>
      </c>
      <c r="H9" s="139" t="s">
        <v>727</v>
      </c>
      <c r="I9" s="139"/>
    </row>
    <row r="10" spans="2:13" ht="14" customHeight="1" outlineLevel="1">
      <c r="B10" s="155" t="s">
        <v>819</v>
      </c>
      <c r="C10" s="139">
        <f>Parameters_Public!$C$24</f>
        <v>0.85</v>
      </c>
      <c r="D10" s="139" t="str">
        <f t="shared" ref="D10:G30" si="0">"N/A"</f>
        <v>N/A</v>
      </c>
      <c r="E10" s="139">
        <f>Parameters_Public!$C$24</f>
        <v>0.85</v>
      </c>
      <c r="F10" s="139" t="str">
        <f t="shared" si="0"/>
        <v>N/A</v>
      </c>
      <c r="G10" s="139" t="str">
        <f t="shared" si="0"/>
        <v>N/A</v>
      </c>
      <c r="H10" s="139" t="s">
        <v>703</v>
      </c>
      <c r="I10" s="139"/>
    </row>
    <row r="11" spans="2:13" ht="14" customHeight="1" outlineLevel="1">
      <c r="B11" s="156" t="s">
        <v>750</v>
      </c>
      <c r="C11" s="140">
        <f>MultiYear_ProForma!$O$32</f>
        <v>405.79999999999995</v>
      </c>
      <c r="D11" s="140">
        <f>MultiYear_ProForma!$O$42</f>
        <v>154.19999999999999</v>
      </c>
      <c r="E11" s="140">
        <f>MultiYear_ProForma!$O$52</f>
        <v>251.31666666666666</v>
      </c>
      <c r="F11" s="139" t="str">
        <f t="shared" si="0"/>
        <v>N/A</v>
      </c>
      <c r="G11" s="139" t="str">
        <f t="shared" si="0"/>
        <v>N/A</v>
      </c>
      <c r="H11" s="139"/>
      <c r="I11" s="139"/>
      <c r="L11" s="95"/>
    </row>
    <row r="12" spans="2:13" ht="14" customHeight="1" outlineLevel="1">
      <c r="B12" s="156" t="s">
        <v>767</v>
      </c>
      <c r="C12" s="140">
        <f>C11+C8</f>
        <v>405.79999999999995</v>
      </c>
      <c r="D12" s="140">
        <f>D7+D11+D8</f>
        <v>466.86666666666667</v>
      </c>
      <c r="E12" s="140">
        <f>E11+E6+E8</f>
        <v>525.31666666666661</v>
      </c>
      <c r="F12" s="139">
        <f>F8+F7+F6</f>
        <v>603</v>
      </c>
      <c r="G12" s="139">
        <f>G7+G6+G8</f>
        <v>553</v>
      </c>
      <c r="H12" s="139"/>
      <c r="I12" s="139"/>
    </row>
    <row r="13" spans="2:13" ht="14" customHeight="1" outlineLevel="1">
      <c r="B13" s="154" t="s">
        <v>820</v>
      </c>
      <c r="C13" s="141">
        <f>MultiYear_ProForma!$AD$32/Dashboard!C12</f>
        <v>10964.949999999999</v>
      </c>
      <c r="D13" s="141">
        <f>MultiYear_ProForma!$AD$42/Dashboard!D12</f>
        <v>10937.104790803942</v>
      </c>
      <c r="E13" s="141">
        <f>MultiYear_ProForma!$AD$52/Dashboard!E12</f>
        <v>10939.708082426474</v>
      </c>
      <c r="F13" s="141">
        <f>MultiYear_ProForma!$AD$17/Dashboard!F12</f>
        <v>10900.273383084577</v>
      </c>
      <c r="G13" s="141">
        <f>MultiYear_ProForma!$AD$62/Dashboard!G12</f>
        <v>10964.949999999999</v>
      </c>
      <c r="H13" s="139"/>
      <c r="I13" s="139"/>
      <c r="J13" t="s">
        <v>821</v>
      </c>
    </row>
    <row r="14" spans="2:13" ht="14" customHeight="1">
      <c r="B14" s="137" t="s">
        <v>795</v>
      </c>
      <c r="C14" s="141">
        <f>C13*C12</f>
        <v>4449576.709999999</v>
      </c>
      <c r="D14" s="141">
        <f>D13*D12</f>
        <v>5106169.6566666672</v>
      </c>
      <c r="E14" s="141">
        <f>E13*E12</f>
        <v>5746810.9841666669</v>
      </c>
      <c r="F14" s="141">
        <f t="shared" ref="F14:G14" si="1">F13*F12</f>
        <v>6572864.8500000006</v>
      </c>
      <c r="G14" s="141">
        <f t="shared" si="1"/>
        <v>6063617.3499999996</v>
      </c>
      <c r="H14" s="139"/>
      <c r="I14" s="139"/>
    </row>
    <row r="15" spans="2:13" ht="14" customHeight="1" outlineLevel="1">
      <c r="B15" s="156" t="s">
        <v>822</v>
      </c>
      <c r="C15" s="141">
        <f>Parameters_Public!$C$14</f>
        <v>11589</v>
      </c>
      <c r="D15" s="141">
        <f>Parameters_Public!$C$14</f>
        <v>11589</v>
      </c>
      <c r="E15" s="141">
        <f>Parameters_Public!$C$14</f>
        <v>11589</v>
      </c>
      <c r="F15" s="141">
        <f>Parameters_Public!$C$14</f>
        <v>11589</v>
      </c>
      <c r="G15" s="141">
        <f>Parameters_Public!$C$14</f>
        <v>11589</v>
      </c>
      <c r="H15" s="139"/>
      <c r="I15" s="139"/>
      <c r="J15" t="s">
        <v>825</v>
      </c>
    </row>
    <row r="16" spans="2:13" ht="14" customHeight="1" outlineLevel="1">
      <c r="B16" s="156" t="s">
        <v>823</v>
      </c>
      <c r="C16" s="141">
        <f>BaselineCalc!$B$18*(IF(ROUNDUP(IF(C9="N/A", 0, C9)+IF(C10="N/A", 0, C10), 0)=2, 1,IF(ROUNDUP(IF(C9="N/A", 0, C9)+IF(C10="N/A", 0, C10), 0)=1,(1-BaselineCalc!$B$5/2),(1-BaselineCalc!$B$5))))</f>
        <v>8403.3633363471963</v>
      </c>
      <c r="D16" s="141">
        <f>BaselineCalc!$B$18*(IF(ROUNDUP(IF(D9="N/A", 0, D9)+IF(D10="N/A", 0, D10), 0)=2, 1,IF(ROUNDUP(IF(D9="N/A", 0, D9)+IF(D10="N/A", 0, D10), 0)=1,(1-BaselineCalc!$B$5*(D7/(D7+D11))),(1-BaselineCalc!$B$5))))</f>
        <v>8364.687705887598</v>
      </c>
      <c r="E16" s="141">
        <f>BaselineCalc!$B$18*(IF(ROUNDUP(IF(E9="N/A", 0, E9)+IF(E10="N/A", 0, E10), 0)=2, 1,IF(ROUNDUP(IF(E9="N/A", 0, E9)+IF(E10="N/A", 0, E10), 0)=1,(1-BaselineCalc!$B$5*(E6/(E6+E11))),(1-BaselineCalc!$B$5))))</f>
        <v>8373.6227206376552</v>
      </c>
      <c r="F16" s="141">
        <f>BaselineCalc!$B$18*(IF(ROUNDUP(IF(F9="N/A", 0, F9)+IF(F10="N/A", 0, F10), 0)=2, 1,IF(ROUNDUP(IF(F9="N/A", 0, F9)+IF(F10="N/A", 0, F10), 0)=1,(1-BaselineCalc!$B$5/2),(1-BaselineCalc!$B$5))))</f>
        <v>8344.5397929927658</v>
      </c>
      <c r="G16" s="141">
        <f>BaselineCalc!$B$18*(IF(ROUNDUP(IF(G9="N/A", 0, G9)+IF(G10="N/A", 0, G10), 0)=2, 1,IF(ROUNDUP(IF(G9="N/A", 0, G9)+IF(G10="N/A", 0, G10), 0)=1,(1-BaselineCalc!$B$5/2),(1-BaselineCalc!$B$5))))</f>
        <v>8344.5397929927658</v>
      </c>
      <c r="H16" s="139"/>
      <c r="I16" s="139"/>
      <c r="M16" s="97"/>
    </row>
    <row r="17" spans="2:10" ht="14" customHeight="1" outlineLevel="1">
      <c r="B17" s="156" t="s">
        <v>776</v>
      </c>
      <c r="C17" s="140">
        <f>MAX(C12 - C8, 0)</f>
        <v>405.79999999999995</v>
      </c>
      <c r="D17" s="140">
        <f>MAX(D12 - D8, 0)</f>
        <v>450.2</v>
      </c>
      <c r="E17" s="140">
        <f>MAX(E12 - E8, 0)</f>
        <v>508.31666666666661</v>
      </c>
      <c r="F17" s="140">
        <f>MAX(F12 - F8, 0)</f>
        <v>553</v>
      </c>
      <c r="G17" s="140">
        <f>MAX(G12 - G8, 0)</f>
        <v>553</v>
      </c>
      <c r="H17" s="139"/>
      <c r="I17" s="139"/>
    </row>
    <row r="18" spans="2:10" ht="14" customHeight="1">
      <c r="B18" s="154" t="s">
        <v>796</v>
      </c>
      <c r="C18" s="141">
        <f>C17*C16</f>
        <v>3410084.841889692</v>
      </c>
      <c r="D18" s="141">
        <f>D17*D16</f>
        <v>3765782.4051905964</v>
      </c>
      <c r="E18" s="141">
        <f>E17*E16</f>
        <v>4256451.9892787971</v>
      </c>
      <c r="F18" s="141">
        <f>F17*F16</f>
        <v>4614530.5055249995</v>
      </c>
      <c r="G18" s="141">
        <f>G17*G16</f>
        <v>4614530.5055249995</v>
      </c>
      <c r="H18" s="139"/>
      <c r="I18" s="139"/>
      <c r="J18" t="s">
        <v>824</v>
      </c>
    </row>
    <row r="19" spans="2:10" ht="14" customHeight="1" outlineLevel="1">
      <c r="B19" s="156" t="s">
        <v>784</v>
      </c>
      <c r="C19" s="140">
        <f>C8</f>
        <v>0</v>
      </c>
      <c r="D19" s="140">
        <f>D8</f>
        <v>16.666666666666686</v>
      </c>
      <c r="E19" s="140">
        <f>E8</f>
        <v>17</v>
      </c>
      <c r="F19" s="140">
        <f t="shared" ref="F19:G19" si="2">F8</f>
        <v>50</v>
      </c>
      <c r="G19" s="140">
        <f t="shared" si="2"/>
        <v>0</v>
      </c>
      <c r="H19" s="139"/>
      <c r="I19" s="139"/>
    </row>
    <row r="20" spans="2:10" ht="14" customHeight="1" outlineLevel="1">
      <c r="B20" s="157" t="s">
        <v>832</v>
      </c>
      <c r="C20" s="142">
        <f>Parameters_Public!$C$43</f>
        <v>0.6</v>
      </c>
      <c r="D20" s="142">
        <f>Parameters_Public!$C$43</f>
        <v>0.6</v>
      </c>
      <c r="E20" s="142">
        <f>Parameters_Public!$C$43</f>
        <v>0.6</v>
      </c>
      <c r="F20" s="142">
        <f>Parameters_Public!$C$43</f>
        <v>0.6</v>
      </c>
      <c r="G20" s="142">
        <f>Parameters_Public!$C$43</f>
        <v>0.6</v>
      </c>
      <c r="H20" s="139" t="s">
        <v>703</v>
      </c>
      <c r="I20" s="139"/>
      <c r="J20" t="s">
        <v>836</v>
      </c>
    </row>
    <row r="21" spans="2:10" ht="14" customHeight="1" outlineLevel="1">
      <c r="B21" s="156" t="s">
        <v>833</v>
      </c>
      <c r="C21" s="141">
        <f>IFERROR((C16*C20), "N/A")</f>
        <v>5042.0180018083174</v>
      </c>
      <c r="D21" s="141">
        <f>IFERROR((D16*D20), "N/A")</f>
        <v>5018.812623532559</v>
      </c>
      <c r="E21" s="141">
        <f>IFERROR((E16*E20), "N/A")</f>
        <v>5024.1736323825926</v>
      </c>
      <c r="F21" s="141">
        <f t="shared" ref="F21:G21" si="3">IFERROR((F16*F20), "N/A")</f>
        <v>5006.7238757956593</v>
      </c>
      <c r="G21" s="141">
        <f t="shared" si="3"/>
        <v>5006.7238757956593</v>
      </c>
      <c r="H21" s="139"/>
      <c r="I21" s="139"/>
      <c r="J21" t="s">
        <v>826</v>
      </c>
    </row>
    <row r="22" spans="2:10" ht="14" customHeight="1" outlineLevel="1">
      <c r="B22" s="156" t="s">
        <v>827</v>
      </c>
      <c r="C22" s="141" t="str">
        <f>"$"&amp;YearMap!$E$2*Parameters_Public!$C$47&amp;"/student"</f>
        <v>$200/student</v>
      </c>
      <c r="D22" s="141" t="str">
        <f>"$"&amp;YearMap!$E$2*Parameters_Public!$C$47&amp;"/student"</f>
        <v>$200/student</v>
      </c>
      <c r="E22" s="141" t="str">
        <f>"$"&amp;YearMap!$E$2*Parameters_Public!$C$47&amp;"/student"</f>
        <v>$200/student</v>
      </c>
      <c r="F22" s="141" t="str">
        <f>"$"&amp;YearMap!$E$2*Parameters_Public!$C$47&amp;"/student"</f>
        <v>$200/student</v>
      </c>
      <c r="G22" s="141" t="str">
        <f>"$"&amp;YearMap!$E$2*Parameters_Public!$C$47&amp;"/student"</f>
        <v>$200/student</v>
      </c>
      <c r="H22" s="139"/>
      <c r="I22" s="139"/>
      <c r="J22" t="s">
        <v>828</v>
      </c>
    </row>
    <row r="23" spans="2:10" ht="14" customHeight="1" outlineLevel="1">
      <c r="B23" s="156" t="s">
        <v>797</v>
      </c>
      <c r="C23" s="143">
        <f>BaselineCalc!$B$18 * (1 - BaselineCalc!$B$5) * Parameters_Public!$C$43
         + YearMap!$Q$2</f>
        <v>5206.7238757956593</v>
      </c>
      <c r="D23" s="143">
        <f>BaselineCalc!$B$18 * (1 - BaselineCalc!$B$5) * Parameters_Public!$C$43
         + YearMap!$Q$2</f>
        <v>5206.7238757956593</v>
      </c>
      <c r="E23" s="143">
        <f>BaselineCalc!$B$18 * (1 - BaselineCalc!$B$5) * Parameters_Public!$C$43
         + YearMap!$Q$2</f>
        <v>5206.7238757956593</v>
      </c>
      <c r="F23" s="143">
        <f>BaselineCalc!$B$18 * (1 - BaselineCalc!$B$5) * Parameters_Public!$C$43
         + YearMap!$Q$2</f>
        <v>5206.7238757956593</v>
      </c>
      <c r="G23" s="143">
        <f>BaselineCalc!$B$18 * (1 - BaselineCalc!$B$5) * Parameters_Public!$C$43
         + YearMap!$Q$2</f>
        <v>5206.7238757956593</v>
      </c>
      <c r="H23" s="139"/>
      <c r="I23" s="139"/>
    </row>
    <row r="24" spans="2:10" ht="14" customHeight="1">
      <c r="B24" s="154" t="s">
        <v>798</v>
      </c>
      <c r="C24" s="141" t="str">
        <f>IF(C23*C8=0, "N/A", C23*C8)</f>
        <v>N/A</v>
      </c>
      <c r="D24" s="141">
        <f>IF(D23*D8=0, "N/A", D23*D8)</f>
        <v>86778.731263261085</v>
      </c>
      <c r="E24" s="141">
        <f>IF(E23*E8=0, "N/A", E23*E8)</f>
        <v>88514.305888526214</v>
      </c>
      <c r="F24" s="141">
        <f>IF(F23*F8=0, "N/A", F23*F8)</f>
        <v>260336.19378978296</v>
      </c>
      <c r="G24" s="141" t="str">
        <f t="shared" ref="G24" si="4">IF(G23*G8=0, "N/A", G23*G8)</f>
        <v>N/A</v>
      </c>
      <c r="H24" s="139"/>
      <c r="I24" s="139"/>
    </row>
    <row r="25" spans="2:10" ht="14" customHeight="1">
      <c r="B25" s="154" t="s">
        <v>829</v>
      </c>
      <c r="C25" s="143">
        <f>IF(C24="N/A", 0, C24)+C18</f>
        <v>3410084.841889692</v>
      </c>
      <c r="D25" s="143">
        <f>IF(D24="N/A", 0, D24)+D18</f>
        <v>3852561.1364538576</v>
      </c>
      <c r="E25" s="143">
        <f>IF(E24="N/A", 0, E24)+E18</f>
        <v>4344966.2951673232</v>
      </c>
      <c r="F25" s="143">
        <f>IF(F24="N/A", 0, F24)+F18</f>
        <v>4874866.6993147824</v>
      </c>
      <c r="G25" s="143">
        <f t="shared" ref="G25" si="5">IF(G24="N/A", 0, G24)+G18</f>
        <v>4614530.5055249995</v>
      </c>
      <c r="H25" s="139"/>
      <c r="I25" s="139"/>
    </row>
    <row r="26" spans="2:10" ht="14" customHeight="1" outlineLevel="1">
      <c r="B26" s="155" t="s">
        <v>799</v>
      </c>
      <c r="C26" s="142" t="str">
        <f>"$"&amp;YearMap!$E$2&amp;"/student"</f>
        <v>$1000/student</v>
      </c>
      <c r="D26" s="142" t="str">
        <f>"$"&amp;YearMap!$E$2&amp;"/student"</f>
        <v>$1000/student</v>
      </c>
      <c r="E26" s="142" t="str">
        <f>"$"&amp;YearMap!$E$2&amp;"/student"</f>
        <v>$1000/student</v>
      </c>
      <c r="F26" s="139" t="str">
        <f t="shared" si="0"/>
        <v>N/A</v>
      </c>
      <c r="G26" s="139" t="str">
        <f t="shared" si="0"/>
        <v>N/A</v>
      </c>
      <c r="H26" s="139" t="s">
        <v>703</v>
      </c>
      <c r="I26" s="139"/>
      <c r="J26" t="s">
        <v>830</v>
      </c>
    </row>
    <row r="27" spans="2:10" ht="14" customHeight="1">
      <c r="B27" s="154" t="s">
        <v>800</v>
      </c>
      <c r="C27" s="141">
        <f>YearMap!$E$2*C11</f>
        <v>405799.99999999994</v>
      </c>
      <c r="D27" s="141">
        <f>YearMap!$E$2*D11</f>
        <v>154200</v>
      </c>
      <c r="E27" s="141">
        <f>YearMap!$E$2*E11</f>
        <v>251316.66666666666</v>
      </c>
      <c r="F27" s="139" t="str">
        <f t="shared" si="0"/>
        <v>N/A</v>
      </c>
      <c r="G27" s="139" t="str">
        <f t="shared" si="0"/>
        <v>N/A</v>
      </c>
      <c r="H27" s="139"/>
      <c r="I27" s="139"/>
    </row>
    <row r="28" spans="2:10" ht="14" customHeight="1">
      <c r="B28" s="154" t="s">
        <v>781</v>
      </c>
      <c r="C28" s="143">
        <f>C25+IF(C27="N/A", 0, C27)</f>
        <v>3815884.841889692</v>
      </c>
      <c r="D28" s="143">
        <f>D25+IF(D27="N/A", 0, D27)</f>
        <v>4006761.1364538576</v>
      </c>
      <c r="E28" s="143">
        <f>E25+IF(E27="N/A", 0, E27)</f>
        <v>4596282.9618339902</v>
      </c>
      <c r="F28" s="143">
        <f>F25+IF(F27="N/A", 0, F27)</f>
        <v>4874866.6993147824</v>
      </c>
      <c r="G28" s="143">
        <f>G25+IF(G27="N/A", 0, G27)</f>
        <v>4614530.5055249995</v>
      </c>
      <c r="H28" s="139"/>
      <c r="I28" s="139"/>
    </row>
    <row r="29" spans="2:10" ht="14" customHeight="1" outlineLevel="1">
      <c r="B29" s="150" t="s">
        <v>792</v>
      </c>
      <c r="C29" s="151">
        <f>BaselineCalc!$B$19+BaselineCalc!$B$20</f>
        <v>1921874.9999999998</v>
      </c>
      <c r="D29" s="151">
        <f>BaselineCalc!$B$20</f>
        <v>999374.99999999988</v>
      </c>
      <c r="E29" s="151">
        <f>BaselineCalc!$B$19</f>
        <v>922499.99999999988</v>
      </c>
      <c r="F29" s="151">
        <f>BaselineCalc!$B$19+BaselineCalc!$B$20</f>
        <v>1921874.9999999998</v>
      </c>
      <c r="G29" s="151">
        <f>BaselineCalc!$B$19+BaselineCalc!$B$20</f>
        <v>1921874.9999999998</v>
      </c>
      <c r="H29" s="139" t="s">
        <v>727</v>
      </c>
      <c r="I29" s="139"/>
    </row>
    <row r="30" spans="2:10" ht="14" customHeight="1" outlineLevel="1">
      <c r="B30" s="159" t="s">
        <v>801</v>
      </c>
      <c r="C30" s="152">
        <f>YearMap!$F$2</f>
        <v>0.2</v>
      </c>
      <c r="D30" s="152">
        <f>YearMap!$F$2</f>
        <v>0.2</v>
      </c>
      <c r="E30" s="152">
        <f>YearMap!$F$2</f>
        <v>0.2</v>
      </c>
      <c r="F30" s="153" t="str">
        <f t="shared" si="0"/>
        <v>N/A</v>
      </c>
      <c r="G30" s="153" t="str">
        <f t="shared" si="0"/>
        <v>N/A</v>
      </c>
      <c r="H30" s="139" t="s">
        <v>703</v>
      </c>
      <c r="I30" s="139"/>
    </row>
    <row r="31" spans="2:10" ht="14" customHeight="1">
      <c r="B31" s="158" t="s">
        <v>802</v>
      </c>
      <c r="C31" s="151">
        <f>IFERROR(C29*(C30), C29)*(1-BaselineCalc!$B$5)</f>
        <v>381684.375</v>
      </c>
      <c r="D31" s="151">
        <f>(BaselineCalc!$B$20+IFERROR(BaselineCalc!$B$19*(D30), BaselineCalc!$B$19))*(1-BaselineCalc!$B$5)</f>
        <v>1175587.875</v>
      </c>
      <c r="E31" s="151">
        <f>(BaselineCalc!$B$19+IFERROR(BaselineCalc!$B$20*(D30), BaselineCalc!$B$20))*(1-BaselineCalc!$B$5)</f>
        <v>1114518.375</v>
      </c>
      <c r="F31" s="151">
        <f>IFERROR(F29*(F30), F29)*(1-BaselineCalc!$B$5)</f>
        <v>1908421.8749999998</v>
      </c>
      <c r="G31" s="151">
        <f>IFERROR(G29*(G30), G29)*(1-BaselineCalc!$B$5)</f>
        <v>1908421.8749999998</v>
      </c>
      <c r="H31" s="139"/>
      <c r="I31" s="139"/>
    </row>
    <row r="32" spans="2:10" ht="14" customHeight="1" thickBot="1">
      <c r="B32" s="137" t="s">
        <v>791</v>
      </c>
      <c r="C32" s="143">
        <f>C31+C28</f>
        <v>4197569.2168896925</v>
      </c>
      <c r="D32" s="143">
        <f>D31+D28</f>
        <v>5182349.0114538576</v>
      </c>
      <c r="E32" s="143">
        <f>E31+E28</f>
        <v>5710801.3368339902</v>
      </c>
      <c r="F32" s="143">
        <f>F31+F28</f>
        <v>6783288.5743147824</v>
      </c>
      <c r="G32" s="143">
        <f>G31+G28</f>
        <v>6522952.3805249995</v>
      </c>
      <c r="H32" s="139"/>
      <c r="I32" s="139"/>
    </row>
    <row r="33" spans="2:9" ht="14" customHeight="1" thickBot="1">
      <c r="B33" s="162" t="s">
        <v>803</v>
      </c>
      <c r="C33" s="166">
        <f>C14-C32</f>
        <v>252007.49311030656</v>
      </c>
      <c r="D33" s="166">
        <f>D14-D32</f>
        <v>-76179.354787190445</v>
      </c>
      <c r="E33" s="166">
        <f>E14-E32</f>
        <v>36009.647332676686</v>
      </c>
      <c r="F33" s="166">
        <f>F14-F32</f>
        <v>-210423.72431478184</v>
      </c>
      <c r="G33" s="167">
        <f>G14-G32</f>
        <v>-459335.03052499983</v>
      </c>
      <c r="H33" s="139"/>
      <c r="I33" s="139"/>
    </row>
    <row r="34" spans="2:9">
      <c r="C34" s="88"/>
      <c r="D34" s="88"/>
      <c r="E34" s="88"/>
      <c r="F34" s="88"/>
      <c r="G34" s="88"/>
      <c r="H34" s="88"/>
      <c r="I34" s="88"/>
    </row>
    <row r="35" spans="2:9" ht="15" thickBot="1">
      <c r="B35" s="144"/>
      <c r="C35" s="145"/>
      <c r="D35" s="145"/>
      <c r="E35" s="145"/>
      <c r="F35" s="145"/>
      <c r="G35" s="145"/>
      <c r="H35" s="88"/>
      <c r="I35" s="88"/>
    </row>
    <row r="36" spans="2:9" ht="15" thickBot="1">
      <c r="B36" s="165" t="s">
        <v>843</v>
      </c>
      <c r="C36" s="166">
        <f>Capital_Summary!$B$77</f>
        <v>2314479.9999999995</v>
      </c>
      <c r="D36" s="166">
        <f>Capital_Summary!$B$79</f>
        <v>1600000</v>
      </c>
      <c r="E36" s="166">
        <f>Capital_Summary!B81</f>
        <v>1600000</v>
      </c>
      <c r="F36" s="166">
        <f>Capital_Summary!B74</f>
        <v>2000000</v>
      </c>
      <c r="G36" s="167">
        <f>Capital_Summary!B83</f>
        <v>0</v>
      </c>
      <c r="H36" s="88"/>
      <c r="I36" s="88"/>
    </row>
    <row r="37" spans="2:9">
      <c r="B37" s="144"/>
      <c r="C37" s="145"/>
      <c r="D37" s="145"/>
      <c r="E37" s="145"/>
      <c r="F37" s="145"/>
      <c r="G37" s="145"/>
      <c r="H37" s="88"/>
      <c r="I37" s="88"/>
    </row>
    <row r="38" spans="2:9">
      <c r="B38" s="144"/>
      <c r="C38" s="145"/>
      <c r="D38" s="145"/>
      <c r="E38" s="145"/>
      <c r="F38" s="145"/>
      <c r="G38" s="145"/>
      <c r="H38" s="88"/>
      <c r="I38" s="88"/>
    </row>
    <row r="39" spans="2:9">
      <c r="B39" s="144"/>
      <c r="C39" s="145"/>
      <c r="D39" s="145"/>
      <c r="E39" s="145"/>
      <c r="F39" s="145"/>
      <c r="G39" s="145"/>
      <c r="H39" s="88"/>
      <c r="I39" s="88"/>
    </row>
    <row r="40" spans="2:9">
      <c r="B40" s="144"/>
      <c r="C40" s="145"/>
      <c r="D40" s="145"/>
      <c r="E40" s="145"/>
      <c r="F40" s="145"/>
      <c r="G40" s="145"/>
      <c r="H40" s="88"/>
      <c r="I40" s="88"/>
    </row>
    <row r="41" spans="2:9">
      <c r="B41" s="137" t="s">
        <v>804</v>
      </c>
      <c r="C41" s="141">
        <f>MultiYear_ProForma!$AF$32</f>
        <v>252007.49311030656</v>
      </c>
      <c r="D41" s="141">
        <f>MultiYear_ProForma!$AF$42</f>
        <v>-76179.354787189513</v>
      </c>
      <c r="E41" s="141">
        <f>MultiYear_ProForma!$AF$52</f>
        <v>36009.647332676686</v>
      </c>
      <c r="F41" s="141">
        <f>MultiYear_ProForma!$AF$17</f>
        <v>-210423.72431478277</v>
      </c>
      <c r="G41" s="141">
        <f>MultiYear_ProForma!$AF$62</f>
        <v>-459335.03052499983</v>
      </c>
      <c r="H41" s="136"/>
      <c r="I41" s="136"/>
    </row>
    <row r="42" spans="2:9">
      <c r="B42" s="137" t="s">
        <v>805</v>
      </c>
      <c r="C42" s="143">
        <f>C41-C33</f>
        <v>0</v>
      </c>
      <c r="D42" s="143">
        <f>D41-D33</f>
        <v>9.3132257461547852E-10</v>
      </c>
      <c r="E42" s="143">
        <f>E41-E33</f>
        <v>0</v>
      </c>
      <c r="F42" s="143">
        <f>F41-F33</f>
        <v>-9.3132257461547852E-10</v>
      </c>
      <c r="G42" s="143">
        <f>G41-G33</f>
        <v>0</v>
      </c>
      <c r="H42" s="136"/>
      <c r="I42" s="136"/>
    </row>
    <row r="43" spans="2:9">
      <c r="B43" s="137" t="s">
        <v>806</v>
      </c>
      <c r="C43" s="114">
        <f>C42/C41</f>
        <v>0</v>
      </c>
      <c r="D43" s="114">
        <f>D42/D41</f>
        <v>-1.2225393313151187E-14</v>
      </c>
      <c r="E43" s="114">
        <f>E42/E41</f>
        <v>0</v>
      </c>
      <c r="F43" s="114">
        <f>F42/F41</f>
        <v>4.4259390315811972E-15</v>
      </c>
      <c r="G43" s="114">
        <f>G42/G41</f>
        <v>0</v>
      </c>
      <c r="H43" s="136"/>
      <c r="I43" s="136"/>
    </row>
    <row r="45" spans="2:9">
      <c r="C45" s="98"/>
      <c r="D45" s="98"/>
      <c r="E45" s="98"/>
      <c r="F45" s="98"/>
      <c r="G45" s="98"/>
    </row>
    <row r="46" spans="2:9">
      <c r="B46" s="100"/>
    </row>
    <row r="47" spans="2:9">
      <c r="C47" s="99"/>
      <c r="D47" s="99"/>
      <c r="E47" s="99"/>
      <c r="F47" s="99"/>
      <c r="G47" s="99"/>
    </row>
    <row r="48" spans="2:9" ht="14.5" customHeight="1">
      <c r="B48" s="100"/>
      <c r="C48" s="99"/>
    </row>
    <row r="50" spans="2:9">
      <c r="B50" s="111"/>
      <c r="C50" s="88"/>
      <c r="D50" s="88"/>
      <c r="E50" s="88"/>
      <c r="F50" s="88"/>
      <c r="G50" s="88"/>
      <c r="H50" s="88"/>
      <c r="I50" s="88"/>
    </row>
    <row r="51" spans="2:9">
      <c r="B51" s="111"/>
      <c r="C51" s="112"/>
      <c r="D51" s="112"/>
      <c r="E51" s="112"/>
      <c r="F51" s="112"/>
      <c r="G51" s="112"/>
      <c r="H51" s="88"/>
      <c r="I51" s="88"/>
    </row>
    <row r="52" spans="2:9">
      <c r="C52" s="88"/>
      <c r="D52" s="88"/>
      <c r="E52" s="88"/>
      <c r="F52" s="88"/>
      <c r="G52" s="88"/>
      <c r="H52" s="88"/>
      <c r="I52" s="88"/>
    </row>
    <row r="53" spans="2:9">
      <c r="C53" s="88"/>
      <c r="D53" s="88"/>
      <c r="E53" s="88"/>
      <c r="F53" s="88"/>
      <c r="G53" s="88"/>
      <c r="H53" s="88"/>
      <c r="I53" s="88"/>
    </row>
    <row r="55" spans="2:9">
      <c r="B55" s="113"/>
      <c r="F55" s="88"/>
      <c r="G55" s="88"/>
    </row>
    <row r="56" spans="2:9">
      <c r="C56" s="97"/>
      <c r="D56" s="97"/>
      <c r="E56" s="97"/>
      <c r="F56" s="88"/>
      <c r="G56" s="88"/>
    </row>
    <row r="58" spans="2:9">
      <c r="B58" s="113"/>
      <c r="C58" s="85"/>
      <c r="D58" s="85"/>
      <c r="E58" s="85"/>
      <c r="F58" s="88"/>
      <c r="G58" s="88"/>
      <c r="H58" s="88"/>
      <c r="I58" s="88"/>
    </row>
    <row r="59" spans="2:9">
      <c r="C59" s="97"/>
      <c r="D59" s="97"/>
      <c r="E59" s="97"/>
      <c r="F59" s="88"/>
      <c r="G59" s="88"/>
    </row>
    <row r="61" spans="2:9">
      <c r="B61" s="113"/>
      <c r="C61" s="88"/>
      <c r="D61" s="88"/>
      <c r="E61" s="88"/>
      <c r="F61" s="85"/>
      <c r="G61" s="85"/>
      <c r="H61" s="88"/>
      <c r="I61" s="88"/>
    </row>
    <row r="63" spans="2:9">
      <c r="C63" s="97"/>
    </row>
    <row r="64" spans="2:9">
      <c r="B64" s="113"/>
      <c r="C64" s="97"/>
      <c r="D64" s="88"/>
      <c r="E64" s="88"/>
      <c r="F64" s="88"/>
      <c r="G64" s="88"/>
      <c r="H64" s="88"/>
      <c r="I64" s="88"/>
    </row>
    <row r="65" spans="2:10">
      <c r="B65" s="100" t="s">
        <v>837</v>
      </c>
      <c r="C65" s="146" t="s">
        <v>807</v>
      </c>
      <c r="D65" s="146" t="s">
        <v>808</v>
      </c>
      <c r="E65" s="146" t="s">
        <v>809</v>
      </c>
      <c r="F65" s="146" t="s">
        <v>810</v>
      </c>
      <c r="G65" s="146" t="s">
        <v>811</v>
      </c>
    </row>
    <row r="66" spans="2:10" ht="39">
      <c r="B66" s="137"/>
      <c r="C66" s="149" t="s">
        <v>813</v>
      </c>
      <c r="D66" s="149" t="s">
        <v>814</v>
      </c>
      <c r="E66" s="149" t="s">
        <v>815</v>
      </c>
      <c r="F66" s="149" t="s">
        <v>816</v>
      </c>
      <c r="G66" s="149" t="s">
        <v>817</v>
      </c>
      <c r="H66" s="138" t="s">
        <v>701</v>
      </c>
      <c r="I66" s="138" t="s">
        <v>831</v>
      </c>
      <c r="J66" s="149" t="s">
        <v>729</v>
      </c>
    </row>
    <row r="67" spans="2:10">
      <c r="B67" s="155" t="s">
        <v>769</v>
      </c>
      <c r="C67" s="139">
        <f>Parameters_Public!$C$10</f>
        <v>257</v>
      </c>
      <c r="D67" s="139">
        <f>Parameters_Public!$C$10</f>
        <v>257</v>
      </c>
      <c r="E67" s="139">
        <f>Parameters_Public!$C$10</f>
        <v>257</v>
      </c>
      <c r="F67" s="139">
        <f>Parameters_Public!$C$10</f>
        <v>257</v>
      </c>
      <c r="G67" s="139">
        <f>Parameters_Public!$C$10</f>
        <v>257</v>
      </c>
      <c r="H67" s="139" t="s">
        <v>728</v>
      </c>
      <c r="I67" s="139"/>
    </row>
    <row r="68" spans="2:10">
      <c r="B68" s="156" t="s">
        <v>770</v>
      </c>
      <c r="C68" s="139">
        <f>Parameters_Public!$C$11</f>
        <v>296</v>
      </c>
      <c r="D68" s="139">
        <f>Parameters_Public!$C$11</f>
        <v>296</v>
      </c>
      <c r="E68" s="139">
        <f>Parameters_Public!$C$11</f>
        <v>296</v>
      </c>
      <c r="F68" s="139">
        <f>Parameters_Public!$C$11</f>
        <v>296</v>
      </c>
      <c r="G68" s="139">
        <f>Parameters_Public!$C$11</f>
        <v>296</v>
      </c>
      <c r="H68" s="139"/>
      <c r="I68" s="139"/>
    </row>
    <row r="69" spans="2:10">
      <c r="B69" s="156" t="s">
        <v>774</v>
      </c>
      <c r="C69" s="139">
        <v>0</v>
      </c>
      <c r="D69" s="140">
        <f>MultiYear_ProForma!$AB$42</f>
        <v>16.666666666666686</v>
      </c>
      <c r="E69" s="140">
        <f>MultiYear_ProForma!$AB$52</f>
        <v>17</v>
      </c>
      <c r="F69" s="140">
        <f>MultiYear_ProForma!$AB$17</f>
        <v>50</v>
      </c>
      <c r="G69" s="139">
        <v>0</v>
      </c>
      <c r="H69" s="139"/>
      <c r="I69" s="139"/>
    </row>
    <row r="70" spans="2:10">
      <c r="B70" s="155" t="s">
        <v>818</v>
      </c>
      <c r="C70" s="139">
        <f>Parameters_Public!$C$23</f>
        <v>0.6</v>
      </c>
      <c r="D70" s="139">
        <f>Parameters_Public!$C$23</f>
        <v>0.6</v>
      </c>
      <c r="E70" s="139" t="str">
        <f>"N/A"</f>
        <v>N/A</v>
      </c>
      <c r="F70" s="139" t="str">
        <f>"N/A"</f>
        <v>N/A</v>
      </c>
      <c r="G70" s="139" t="str">
        <f>"N/A"</f>
        <v>N/A</v>
      </c>
      <c r="H70" s="139" t="s">
        <v>727</v>
      </c>
      <c r="I70" s="139"/>
    </row>
    <row r="71" spans="2:10">
      <c r="B71" s="155" t="s">
        <v>819</v>
      </c>
      <c r="C71" s="139">
        <f>Parameters_Public!$C$24</f>
        <v>0.85</v>
      </c>
      <c r="D71" s="139" t="str">
        <f t="shared" ref="D71:G91" si="6">"N/A"</f>
        <v>N/A</v>
      </c>
      <c r="E71" s="139">
        <f>Parameters_Public!$C$24</f>
        <v>0.85</v>
      </c>
      <c r="F71" s="139" t="str">
        <f t="shared" si="6"/>
        <v>N/A</v>
      </c>
      <c r="G71" s="139" t="str">
        <f t="shared" si="6"/>
        <v>N/A</v>
      </c>
      <c r="H71" s="139" t="s">
        <v>703</v>
      </c>
      <c r="I71" s="139"/>
    </row>
    <row r="72" spans="2:10">
      <c r="B72" s="156" t="s">
        <v>750</v>
      </c>
      <c r="C72" s="140">
        <f>MultiYear_ProForma!$O$32</f>
        <v>405.79999999999995</v>
      </c>
      <c r="D72" s="140">
        <f>MultiYear_ProForma!$O$42</f>
        <v>154.19999999999999</v>
      </c>
      <c r="E72" s="140">
        <f>MultiYear_ProForma!$O$52</f>
        <v>251.31666666666666</v>
      </c>
      <c r="F72" s="139" t="str">
        <f t="shared" si="6"/>
        <v>N/A</v>
      </c>
      <c r="G72" s="139" t="str">
        <f t="shared" si="6"/>
        <v>N/A</v>
      </c>
      <c r="H72" s="139"/>
      <c r="I72" s="139"/>
    </row>
    <row r="73" spans="2:10">
      <c r="B73" s="156" t="s">
        <v>767</v>
      </c>
      <c r="C73" s="140">
        <f>C72+C69</f>
        <v>405.79999999999995</v>
      </c>
      <c r="D73" s="140">
        <f>D68+D72+D69</f>
        <v>466.86666666666667</v>
      </c>
      <c r="E73" s="140">
        <f>E72+E67+E69</f>
        <v>525.31666666666661</v>
      </c>
      <c r="F73" s="139">
        <f>F69+F68+F67</f>
        <v>603</v>
      </c>
      <c r="G73" s="139">
        <f>G68+G67+G69</f>
        <v>553</v>
      </c>
      <c r="H73" s="139"/>
      <c r="I73" s="139"/>
    </row>
    <row r="74" spans="2:10">
      <c r="B74" s="154" t="s">
        <v>820</v>
      </c>
      <c r="C74" s="141">
        <f>MultiYear_ProForma!$AD$32/Dashboard!C73</f>
        <v>10964.949999999999</v>
      </c>
      <c r="D74" s="141">
        <f>MultiYear_ProForma!$AD$42/Dashboard!D73</f>
        <v>10937.104790803942</v>
      </c>
      <c r="E74" s="141">
        <f>MultiYear_ProForma!$AD$52/Dashboard!E73</f>
        <v>10939.708082426474</v>
      </c>
      <c r="F74" s="141">
        <f>MultiYear_ProForma!$AD$17/Dashboard!F73</f>
        <v>10900.273383084577</v>
      </c>
      <c r="G74" s="141">
        <f>MultiYear_ProForma!$AD$62/Dashboard!G73</f>
        <v>10964.949999999999</v>
      </c>
      <c r="H74" s="139"/>
      <c r="I74" s="139"/>
      <c r="J74" t="s">
        <v>821</v>
      </c>
    </row>
    <row r="75" spans="2:10">
      <c r="B75" s="137" t="s">
        <v>795</v>
      </c>
      <c r="C75" s="141">
        <f>C74*C73</f>
        <v>4449576.709999999</v>
      </c>
      <c r="D75" s="141">
        <f>D74*D73</f>
        <v>5106169.6566666672</v>
      </c>
      <c r="E75" s="141">
        <f>E74*E73</f>
        <v>5746810.9841666669</v>
      </c>
      <c r="F75" s="141">
        <f t="shared" ref="F75:G75" si="7">F74*F73</f>
        <v>6572864.8500000006</v>
      </c>
      <c r="G75" s="141">
        <f t="shared" si="7"/>
        <v>6063617.3499999996</v>
      </c>
      <c r="H75" s="139"/>
      <c r="I75" s="139"/>
    </row>
    <row r="76" spans="2:10">
      <c r="B76" s="156" t="s">
        <v>822</v>
      </c>
      <c r="C76" s="141">
        <f>Parameters_Public!$C$14</f>
        <v>11589</v>
      </c>
      <c r="D76" s="141">
        <f>Parameters_Public!$C$14</f>
        <v>11589</v>
      </c>
      <c r="E76" s="141">
        <f>Parameters_Public!$C$14</f>
        <v>11589</v>
      </c>
      <c r="F76" s="141">
        <f>Parameters_Public!$C$14</f>
        <v>11589</v>
      </c>
      <c r="G76" s="141">
        <f>Parameters_Public!$C$14</f>
        <v>11589</v>
      </c>
      <c r="H76" s="139"/>
      <c r="I76" s="139"/>
      <c r="J76" t="s">
        <v>825</v>
      </c>
    </row>
    <row r="77" spans="2:10">
      <c r="B77" s="156" t="s">
        <v>823</v>
      </c>
      <c r="C77" s="141">
        <f>BaselineCalc!$B$18*(IF(ROUNDUP(IF(C70="N/A", 0, C70)+IF(C71="N/A", 0, C71), 0)=2, 1,IF(ROUNDUP(IF(C70="N/A", 0, C70)+IF(C71="N/A", 0, C71), 0)=1,(1-BaselineCalc!$B$5/2),(1-BaselineCalc!$B$5))))</f>
        <v>8403.3633363471963</v>
      </c>
      <c r="D77" s="141">
        <f>BaselineCalc!$B$18*(IF(ROUNDUP(IF(D70="N/A", 0, D70)+IF(D71="N/A", 0, D71), 0)=2, 1,IF(ROUNDUP(IF(D70="N/A", 0, D70)+IF(D71="N/A", 0, D71), 0)=1,(1-BaselineCalc!$B$5*(D68/(D68+D72))),(1-BaselineCalc!$B$5))))</f>
        <v>8364.687705887598</v>
      </c>
      <c r="E77" s="141">
        <f>BaselineCalc!$B$18*(IF(ROUNDUP(IF(E70="N/A", 0, E70)+IF(E71="N/A", 0, E71), 0)=2, 1,IF(ROUNDUP(IF(E70="N/A", 0, E70)+IF(E71="N/A", 0, E71), 0)=1,(1-BaselineCalc!$B$5*(E67/(E67+E72))),(1-BaselineCalc!$B$5))))</f>
        <v>8373.6227206376552</v>
      </c>
      <c r="F77" s="141">
        <f>BaselineCalc!$B$18*(IF(ROUNDUP(IF(F70="N/A", 0, F70)+IF(F71="N/A", 0, F71), 0)=2, 1,IF(ROUNDUP(IF(F70="N/A", 0, F70)+IF(F71="N/A", 0, F71), 0)=1,(1-BaselineCalc!$B$5/2),(1-BaselineCalc!$B$5))))</f>
        <v>8344.5397929927658</v>
      </c>
      <c r="G77" s="141">
        <f>BaselineCalc!$B$18*(IF(ROUNDUP(IF(G70="N/A", 0, G70)+IF(G71="N/A", 0, G71), 0)=2, 1,IF(ROUNDUP(IF(G70="N/A", 0, G70)+IF(G71="N/A", 0, G71), 0)=1,(1-BaselineCalc!$B$5/2),(1-BaselineCalc!$B$5))))</f>
        <v>8344.5397929927658</v>
      </c>
      <c r="H77" s="139"/>
      <c r="I77" s="139"/>
    </row>
    <row r="78" spans="2:10">
      <c r="B78" s="156" t="s">
        <v>776</v>
      </c>
      <c r="C78" s="140">
        <f>MAX(C73 - C69, 0)</f>
        <v>405.79999999999995</v>
      </c>
      <c r="D78" s="140">
        <f>MAX(D73 - D69, 0)</f>
        <v>450.2</v>
      </c>
      <c r="E78" s="140">
        <f>MAX(E73 - E69, 0)</f>
        <v>508.31666666666661</v>
      </c>
      <c r="F78" s="140">
        <f>MAX(F73 - F69, 0)</f>
        <v>553</v>
      </c>
      <c r="G78" s="140">
        <f>MAX(G73 - G69, 0)</f>
        <v>553</v>
      </c>
      <c r="H78" s="139"/>
      <c r="I78" s="139"/>
    </row>
    <row r="79" spans="2:10">
      <c r="B79" s="154" t="s">
        <v>796</v>
      </c>
      <c r="C79" s="141">
        <f>C78*C77</f>
        <v>3410084.841889692</v>
      </c>
      <c r="D79" s="141">
        <f>D78*D77</f>
        <v>3765782.4051905964</v>
      </c>
      <c r="E79" s="141">
        <f>E78*E77</f>
        <v>4256451.9892787971</v>
      </c>
      <c r="F79" s="141">
        <f>F78*F77</f>
        <v>4614530.5055249995</v>
      </c>
      <c r="G79" s="141">
        <f>G78*G77</f>
        <v>4614530.5055249995</v>
      </c>
      <c r="H79" s="139"/>
      <c r="I79" s="139"/>
      <c r="J79" t="s">
        <v>824</v>
      </c>
    </row>
    <row r="80" spans="2:10">
      <c r="B80" s="156" t="s">
        <v>784</v>
      </c>
      <c r="C80" s="140">
        <f>C69</f>
        <v>0</v>
      </c>
      <c r="D80" s="140">
        <f>D69</f>
        <v>16.666666666666686</v>
      </c>
      <c r="E80" s="140">
        <f>E69</f>
        <v>17</v>
      </c>
      <c r="F80" s="140">
        <f t="shared" ref="F80:G80" si="8">F69</f>
        <v>50</v>
      </c>
      <c r="G80" s="140">
        <f t="shared" si="8"/>
        <v>0</v>
      </c>
      <c r="H80" s="139"/>
      <c r="I80" s="139"/>
    </row>
    <row r="81" spans="2:10">
      <c r="B81" s="157" t="s">
        <v>832</v>
      </c>
      <c r="C81" s="142">
        <f>Parameters_Public!$C$43</f>
        <v>0.6</v>
      </c>
      <c r="D81" s="142">
        <f>Parameters_Public!$C$43</f>
        <v>0.6</v>
      </c>
      <c r="E81" s="142">
        <f>Parameters_Public!$C$43</f>
        <v>0.6</v>
      </c>
      <c r="F81" s="142">
        <f>Parameters_Public!$C$43</f>
        <v>0.6</v>
      </c>
      <c r="G81" s="142">
        <f>Parameters_Public!$C$43</f>
        <v>0.6</v>
      </c>
      <c r="H81" s="139" t="s">
        <v>703</v>
      </c>
      <c r="I81" s="139"/>
      <c r="J81" t="s">
        <v>836</v>
      </c>
    </row>
    <row r="82" spans="2:10">
      <c r="B82" s="156" t="s">
        <v>833</v>
      </c>
      <c r="C82" s="141">
        <f>IFERROR((C77*C81), "N/A")</f>
        <v>5042.0180018083174</v>
      </c>
      <c r="D82" s="141">
        <f>IFERROR((D77*D81), "N/A")</f>
        <v>5018.812623532559</v>
      </c>
      <c r="E82" s="141">
        <f>IFERROR((E77*E81), "N/A")</f>
        <v>5024.1736323825926</v>
      </c>
      <c r="F82" s="141">
        <f t="shared" ref="F82:G82" si="9">IFERROR((F77*F81), "N/A")</f>
        <v>5006.7238757956593</v>
      </c>
      <c r="G82" s="141">
        <f t="shared" si="9"/>
        <v>5006.7238757956593</v>
      </c>
      <c r="H82" s="139"/>
      <c r="I82" s="139"/>
      <c r="J82" t="s">
        <v>826</v>
      </c>
    </row>
    <row r="83" spans="2:10">
      <c r="B83" s="156" t="s">
        <v>827</v>
      </c>
      <c r="C83" s="141" t="str">
        <f>"$"&amp;YearMap!$E$2*Parameters_Public!$C$47&amp;"/student"</f>
        <v>$200/student</v>
      </c>
      <c r="D83" s="141" t="str">
        <f>"$"&amp;YearMap!$E$2*Parameters_Public!$C$47&amp;"/student"</f>
        <v>$200/student</v>
      </c>
      <c r="E83" s="141" t="str">
        <f>"$"&amp;YearMap!$E$2*Parameters_Public!$C$47&amp;"/student"</f>
        <v>$200/student</v>
      </c>
      <c r="F83" s="141" t="str">
        <f>"$"&amp;YearMap!$E$2*Parameters_Public!$C$47&amp;"/student"</f>
        <v>$200/student</v>
      </c>
      <c r="G83" s="141" t="str">
        <f>"$"&amp;YearMap!$E$2*Parameters_Public!$C$47&amp;"/student"</f>
        <v>$200/student</v>
      </c>
      <c r="H83" s="139"/>
      <c r="I83" s="139"/>
      <c r="J83" t="s">
        <v>828</v>
      </c>
    </row>
    <row r="84" spans="2:10">
      <c r="B84" s="156" t="s">
        <v>797</v>
      </c>
      <c r="C84" s="143">
        <f>BaselineCalc!$B$18 * (1 - BaselineCalc!$B$5) * Parameters_Public!$C$43
         + YearMap!$Q$2</f>
        <v>5206.7238757956593</v>
      </c>
      <c r="D84" s="143">
        <f>BaselineCalc!$B$18 * (1 - BaselineCalc!$B$5) * Parameters_Public!$C$43
         + YearMap!$Q$2</f>
        <v>5206.7238757956593</v>
      </c>
      <c r="E84" s="143">
        <f>BaselineCalc!$B$18 * (1 - BaselineCalc!$B$5) * Parameters_Public!$C$43
         + YearMap!$Q$2</f>
        <v>5206.7238757956593</v>
      </c>
      <c r="F84" s="143">
        <f>BaselineCalc!$B$18 * (1 - BaselineCalc!$B$5) * Parameters_Public!$C$43
         + YearMap!$Q$2</f>
        <v>5206.7238757956593</v>
      </c>
      <c r="G84" s="143">
        <f>BaselineCalc!$B$18 * (1 - BaselineCalc!$B$5) * Parameters_Public!$C$43
         + YearMap!$Q$2</f>
        <v>5206.7238757956593</v>
      </c>
      <c r="H84" s="139"/>
      <c r="I84" s="139"/>
    </row>
    <row r="85" spans="2:10">
      <c r="B85" s="154" t="s">
        <v>798</v>
      </c>
      <c r="C85" s="141" t="str">
        <f>IF(C84*C69=0, "N/A", C84*C69)</f>
        <v>N/A</v>
      </c>
      <c r="D85" s="141">
        <f>IF(D84*D69=0, "N/A", D84*D69)</f>
        <v>86778.731263261085</v>
      </c>
      <c r="E85" s="141">
        <f>IF(E84*E69=0, "N/A", E84*E69)</f>
        <v>88514.305888526214</v>
      </c>
      <c r="F85" s="141">
        <f>IF(F84*F69=0, "N/A", F84*F69)</f>
        <v>260336.19378978296</v>
      </c>
      <c r="G85" s="141" t="str">
        <f t="shared" ref="G85" si="10">IF(G84*G69=0, "N/A", G84*G69)</f>
        <v>N/A</v>
      </c>
      <c r="H85" s="139"/>
      <c r="I85" s="139"/>
    </row>
    <row r="86" spans="2:10">
      <c r="B86" s="154" t="s">
        <v>829</v>
      </c>
      <c r="C86" s="143">
        <f>IF(C85="N/A", 0, C85)+C79</f>
        <v>3410084.841889692</v>
      </c>
      <c r="D86" s="143">
        <f>IF(D85="N/A", 0, D85)+D79</f>
        <v>3852561.1364538576</v>
      </c>
      <c r="E86" s="143">
        <f>IF(E85="N/A", 0, E85)+E79</f>
        <v>4344966.2951673232</v>
      </c>
      <c r="F86" s="143">
        <f>IF(F85="N/A", 0, F85)+F79</f>
        <v>4874866.6993147824</v>
      </c>
      <c r="G86" s="143">
        <f t="shared" ref="G86" si="11">IF(G85="N/A", 0, G85)+G79</f>
        <v>4614530.5055249995</v>
      </c>
      <c r="H86" s="139"/>
      <c r="I86" s="139"/>
    </row>
    <row r="87" spans="2:10">
      <c r="B87" s="155" t="s">
        <v>799</v>
      </c>
      <c r="C87" s="142" t="str">
        <f>"$"&amp;YearMap!$E$2&amp;"/student"</f>
        <v>$1000/student</v>
      </c>
      <c r="D87" s="142" t="str">
        <f>"$"&amp;YearMap!$E$2&amp;"/student"</f>
        <v>$1000/student</v>
      </c>
      <c r="E87" s="142" t="str">
        <f>"$"&amp;YearMap!$E$2&amp;"/student"</f>
        <v>$1000/student</v>
      </c>
      <c r="F87" s="139" t="str">
        <f t="shared" si="6"/>
        <v>N/A</v>
      </c>
      <c r="G87" s="139" t="str">
        <f t="shared" si="6"/>
        <v>N/A</v>
      </c>
      <c r="H87" s="139" t="s">
        <v>703</v>
      </c>
      <c r="I87" s="139"/>
      <c r="J87" t="s">
        <v>830</v>
      </c>
    </row>
    <row r="88" spans="2:10">
      <c r="B88" s="154" t="s">
        <v>800</v>
      </c>
      <c r="C88" s="141">
        <f>YearMap!$E$2*C72</f>
        <v>405799.99999999994</v>
      </c>
      <c r="D88" s="141">
        <f>YearMap!$E$2*D72</f>
        <v>154200</v>
      </c>
      <c r="E88" s="141">
        <f>YearMap!$E$2*E72</f>
        <v>251316.66666666666</v>
      </c>
      <c r="F88" s="139" t="str">
        <f t="shared" si="6"/>
        <v>N/A</v>
      </c>
      <c r="G88" s="139" t="str">
        <f t="shared" si="6"/>
        <v>N/A</v>
      </c>
      <c r="H88" s="139"/>
      <c r="I88" s="139"/>
    </row>
    <row r="89" spans="2:10">
      <c r="B89" s="154" t="s">
        <v>781</v>
      </c>
      <c r="C89" s="143">
        <f>C86+IF(C88="N/A", 0, C88)</f>
        <v>3815884.841889692</v>
      </c>
      <c r="D89" s="143">
        <f>D86+IF(D88="N/A", 0, D88)</f>
        <v>4006761.1364538576</v>
      </c>
      <c r="E89" s="143">
        <f>E86+IF(E88="N/A", 0, E88)</f>
        <v>4596282.9618339902</v>
      </c>
      <c r="F89" s="143">
        <f>F86+IF(F88="N/A", 0, F88)</f>
        <v>4874866.6993147824</v>
      </c>
      <c r="G89" s="143">
        <f>G86+IF(G88="N/A", 0, G88)</f>
        <v>4614530.5055249995</v>
      </c>
      <c r="H89" s="139"/>
      <c r="I89" s="139"/>
    </row>
    <row r="90" spans="2:10">
      <c r="B90" s="150" t="s">
        <v>792</v>
      </c>
      <c r="C90" s="151">
        <f>BaselineCalc!$B$19+BaselineCalc!$B$20</f>
        <v>1921874.9999999998</v>
      </c>
      <c r="D90" s="151">
        <f>BaselineCalc!$B$20</f>
        <v>999374.99999999988</v>
      </c>
      <c r="E90" s="151">
        <f>BaselineCalc!$B$19</f>
        <v>922499.99999999988</v>
      </c>
      <c r="F90" s="151">
        <f>BaselineCalc!$B$19+BaselineCalc!$B$20</f>
        <v>1921874.9999999998</v>
      </c>
      <c r="G90" s="151">
        <f>BaselineCalc!$B$19+BaselineCalc!$B$20</f>
        <v>1921874.9999999998</v>
      </c>
      <c r="H90" s="139" t="s">
        <v>727</v>
      </c>
      <c r="I90" s="139"/>
    </row>
    <row r="91" spans="2:10">
      <c r="B91" s="159" t="s">
        <v>801</v>
      </c>
      <c r="C91" s="152">
        <f>YearMap!$F$2</f>
        <v>0.2</v>
      </c>
      <c r="D91" s="152">
        <f>YearMap!$F$2</f>
        <v>0.2</v>
      </c>
      <c r="E91" s="152">
        <f>YearMap!$F$2</f>
        <v>0.2</v>
      </c>
      <c r="F91" s="153" t="str">
        <f t="shared" si="6"/>
        <v>N/A</v>
      </c>
      <c r="G91" s="153" t="str">
        <f t="shared" si="6"/>
        <v>N/A</v>
      </c>
      <c r="H91" s="139" t="s">
        <v>703</v>
      </c>
      <c r="I91" s="139"/>
    </row>
    <row r="92" spans="2:10">
      <c r="B92" s="158" t="s">
        <v>802</v>
      </c>
      <c r="C92" s="151">
        <f>IFERROR(C90*(C91), C90)*(1-BaselineCalc!$B$5)</f>
        <v>381684.375</v>
      </c>
      <c r="D92" s="151">
        <f>(BaselineCalc!$B$20+IFERROR(BaselineCalc!$B$19*(D91), BaselineCalc!$B$19))*(1-BaselineCalc!$B$5)</f>
        <v>1175587.875</v>
      </c>
      <c r="E92" s="151">
        <f>(BaselineCalc!$B$19+IFERROR(BaselineCalc!$B$20*(D91), BaselineCalc!$B$20))*(1-BaselineCalc!$B$5)</f>
        <v>1114518.375</v>
      </c>
      <c r="F92" s="151">
        <f>IFERROR(F90*(F91), F90)*(1-BaselineCalc!$B$5)</f>
        <v>1908421.8749999998</v>
      </c>
      <c r="G92" s="151">
        <f>IFERROR(G90*(G91), G90)*(1-BaselineCalc!$B$5)</f>
        <v>1908421.8749999998</v>
      </c>
      <c r="H92" s="139"/>
      <c r="I92" s="139"/>
    </row>
    <row r="93" spans="2:10" ht="15" thickBot="1">
      <c r="B93" s="137" t="s">
        <v>791</v>
      </c>
      <c r="C93" s="143">
        <f>C92+C89</f>
        <v>4197569.2168896925</v>
      </c>
      <c r="D93" s="143">
        <f>D92+D89</f>
        <v>5182349.0114538576</v>
      </c>
      <c r="E93" s="143">
        <f>E92+E89</f>
        <v>5710801.3368339902</v>
      </c>
      <c r="F93" s="143">
        <f>F92+F89</f>
        <v>6783288.5743147824</v>
      </c>
      <c r="G93" s="143">
        <f>G92+G89</f>
        <v>6522952.3805249995</v>
      </c>
      <c r="H93" s="139"/>
      <c r="I93" s="139"/>
    </row>
    <row r="94" spans="2:10" ht="15" thickBot="1">
      <c r="B94" s="162" t="s">
        <v>803</v>
      </c>
      <c r="C94" s="160">
        <f>C75-C93</f>
        <v>252007.49311030656</v>
      </c>
      <c r="D94" s="160">
        <f>D75-D93</f>
        <v>-76179.354787190445</v>
      </c>
      <c r="E94" s="160">
        <f>E75-E93</f>
        <v>36009.647332676686</v>
      </c>
      <c r="F94" s="160">
        <f>F75-F93</f>
        <v>-210423.72431478184</v>
      </c>
      <c r="G94" s="161">
        <f>G75-G93</f>
        <v>-459335.03052499983</v>
      </c>
      <c r="H94" s="139"/>
      <c r="I94" s="139"/>
    </row>
    <row r="96" spans="2:10" ht="15" thickBot="1"/>
    <row r="97" spans="2:10" ht="15" thickBot="1">
      <c r="B97" s="165" t="s">
        <v>847</v>
      </c>
      <c r="C97" s="166">
        <f>Capital_Summary!$B$77</f>
        <v>2314479.9999999995</v>
      </c>
      <c r="D97" s="166">
        <f>Capital_Summary!$B$79</f>
        <v>1600000</v>
      </c>
      <c r="E97" s="166">
        <f>Capital_Summary!B142</f>
        <v>0</v>
      </c>
      <c r="F97" s="166">
        <f>Capital_Summary!B135</f>
        <v>0</v>
      </c>
      <c r="G97" s="167">
        <f>Capital_Summary!B144</f>
        <v>0</v>
      </c>
    </row>
    <row r="98" spans="2:10">
      <c r="B98" s="164"/>
      <c r="C98" s="168"/>
      <c r="D98" s="168"/>
      <c r="E98" s="168"/>
      <c r="F98" s="168"/>
      <c r="G98" s="168"/>
    </row>
    <row r="99" spans="2:10">
      <c r="B99" s="164"/>
      <c r="C99" s="168"/>
      <c r="D99" s="168"/>
      <c r="E99" s="168"/>
      <c r="F99" s="168"/>
      <c r="G99" s="168"/>
    </row>
    <row r="100" spans="2:10">
      <c r="B100" s="164"/>
      <c r="C100" s="168"/>
      <c r="D100" s="168"/>
      <c r="E100" s="168"/>
      <c r="F100" s="168"/>
      <c r="G100" s="168"/>
    </row>
    <row r="101" spans="2:10">
      <c r="B101" s="100" t="s">
        <v>15</v>
      </c>
      <c r="C101" s="146" t="s">
        <v>807</v>
      </c>
      <c r="D101" s="146" t="s">
        <v>808</v>
      </c>
      <c r="E101" s="146" t="s">
        <v>809</v>
      </c>
      <c r="F101" s="146" t="s">
        <v>810</v>
      </c>
      <c r="G101" s="146" t="s">
        <v>811</v>
      </c>
    </row>
    <row r="102" spans="2:10" ht="39">
      <c r="B102" s="137"/>
      <c r="C102" s="149" t="s">
        <v>813</v>
      </c>
      <c r="D102" s="149" t="s">
        <v>814</v>
      </c>
      <c r="E102" s="149" t="s">
        <v>815</v>
      </c>
      <c r="F102" s="149" t="s">
        <v>816</v>
      </c>
      <c r="G102" s="149" t="s">
        <v>817</v>
      </c>
      <c r="H102" s="138" t="s">
        <v>701</v>
      </c>
      <c r="I102" s="138" t="s">
        <v>831</v>
      </c>
      <c r="J102" s="149" t="s">
        <v>729</v>
      </c>
    </row>
    <row r="103" spans="2:10">
      <c r="B103" s="155" t="s">
        <v>769</v>
      </c>
      <c r="C103" s="139">
        <f>Parameters_Public!$C$10</f>
        <v>257</v>
      </c>
      <c r="D103" s="139">
        <f>Parameters_Public!$C$10</f>
        <v>257</v>
      </c>
      <c r="E103" s="139">
        <f>Parameters_Public!$C$10</f>
        <v>257</v>
      </c>
      <c r="F103" s="139">
        <f>Parameters_Public!$C$10</f>
        <v>257</v>
      </c>
      <c r="G103" s="139">
        <f>Parameters_Public!$C$10</f>
        <v>257</v>
      </c>
      <c r="H103" s="139" t="s">
        <v>728</v>
      </c>
      <c r="I103" s="139"/>
    </row>
    <row r="104" spans="2:10">
      <c r="B104" s="156" t="s">
        <v>770</v>
      </c>
      <c r="C104" s="139">
        <f>Parameters_Public!$C$11</f>
        <v>296</v>
      </c>
      <c r="D104" s="139">
        <f>Parameters_Public!$C$11</f>
        <v>296</v>
      </c>
      <c r="E104" s="139">
        <f>Parameters_Public!$C$11</f>
        <v>296</v>
      </c>
      <c r="F104" s="139">
        <f>Parameters_Public!$C$11</f>
        <v>296</v>
      </c>
      <c r="G104" s="139">
        <f>Parameters_Public!$C$11</f>
        <v>296</v>
      </c>
      <c r="H104" s="139"/>
      <c r="I104" s="139"/>
    </row>
    <row r="105" spans="2:10">
      <c r="B105" s="156" t="s">
        <v>838</v>
      </c>
      <c r="C105" s="139">
        <v>0</v>
      </c>
      <c r="D105" s="140">
        <f>MultiYear_ProForma!$AB$42</f>
        <v>16.666666666666686</v>
      </c>
      <c r="E105" s="140">
        <f>MultiYear_ProForma!$AB$52</f>
        <v>17</v>
      </c>
      <c r="F105" s="140">
        <f>MultiYear_ProForma!$AB$17</f>
        <v>50</v>
      </c>
      <c r="G105" s="139">
        <v>0</v>
      </c>
      <c r="H105" s="139"/>
      <c r="I105" s="139"/>
    </row>
    <row r="106" spans="2:10">
      <c r="B106" s="155" t="s">
        <v>818</v>
      </c>
      <c r="C106" s="139">
        <f>Parameters_Public!$C$23</f>
        <v>0.6</v>
      </c>
      <c r="D106" s="139">
        <f>Parameters_Public!$C$23</f>
        <v>0.6</v>
      </c>
      <c r="E106" s="139" t="str">
        <f>"N/A"</f>
        <v>N/A</v>
      </c>
      <c r="F106" s="139" t="str">
        <f>"N/A"</f>
        <v>N/A</v>
      </c>
      <c r="G106" s="139" t="str">
        <f>"N/A"</f>
        <v>N/A</v>
      </c>
      <c r="H106" s="139" t="s">
        <v>727</v>
      </c>
      <c r="I106" s="139"/>
    </row>
    <row r="107" spans="2:10">
      <c r="B107" s="155" t="s">
        <v>819</v>
      </c>
      <c r="C107" s="139">
        <f>Parameters_Public!$C$24</f>
        <v>0.85</v>
      </c>
      <c r="D107" s="139" t="str">
        <f t="shared" ref="D107:G127" si="12">"N/A"</f>
        <v>N/A</v>
      </c>
      <c r="E107" s="139">
        <f>Parameters_Public!$C$24</f>
        <v>0.85</v>
      </c>
      <c r="F107" s="139" t="str">
        <f t="shared" si="12"/>
        <v>N/A</v>
      </c>
      <c r="G107" s="139" t="str">
        <f t="shared" si="12"/>
        <v>N/A</v>
      </c>
      <c r="H107" s="139" t="s">
        <v>703</v>
      </c>
      <c r="I107" s="139"/>
    </row>
    <row r="108" spans="2:10">
      <c r="B108" s="156" t="s">
        <v>750</v>
      </c>
      <c r="C108" s="140">
        <f>MultiYear_ProForma!$O$32</f>
        <v>405.79999999999995</v>
      </c>
      <c r="D108" s="140">
        <f>MultiYear_ProForma!$O$42</f>
        <v>154.19999999999999</v>
      </c>
      <c r="E108" s="140">
        <f>MultiYear_ProForma!$O$52</f>
        <v>251.31666666666666</v>
      </c>
      <c r="F108" s="139" t="str">
        <f t="shared" si="12"/>
        <v>N/A</v>
      </c>
      <c r="G108" s="139" t="str">
        <f t="shared" si="12"/>
        <v>N/A</v>
      </c>
      <c r="H108" s="139"/>
      <c r="I108" s="139"/>
    </row>
    <row r="109" spans="2:10">
      <c r="B109" s="156" t="s">
        <v>839</v>
      </c>
      <c r="C109" s="140">
        <f>C108+C105</f>
        <v>405.79999999999995</v>
      </c>
      <c r="D109" s="140">
        <f>D104+D108+D105</f>
        <v>466.86666666666667</v>
      </c>
      <c r="E109" s="140">
        <f>E108+E103+E105</f>
        <v>525.31666666666661</v>
      </c>
      <c r="F109" s="139">
        <f>F105+F104+F103</f>
        <v>603</v>
      </c>
      <c r="G109" s="139">
        <f>G104+G103+G105</f>
        <v>553</v>
      </c>
      <c r="H109" s="139"/>
      <c r="I109" s="139"/>
    </row>
    <row r="110" spans="2:10">
      <c r="B110" s="154" t="s">
        <v>820</v>
      </c>
      <c r="C110" s="141">
        <f>MultiYear_ProForma!$AD$32/Dashboard!C109</f>
        <v>10964.949999999999</v>
      </c>
      <c r="D110" s="141">
        <f>MultiYear_ProForma!$AD$42/Dashboard!D109</f>
        <v>10937.104790803942</v>
      </c>
      <c r="E110" s="141">
        <f>MultiYear_ProForma!$AD$52/Dashboard!E109</f>
        <v>10939.708082426474</v>
      </c>
      <c r="F110" s="141">
        <f>MultiYear_ProForma!$AD$17/Dashboard!F109</f>
        <v>10900.273383084577</v>
      </c>
      <c r="G110" s="141">
        <f>MultiYear_ProForma!$AD$62/Dashboard!G109</f>
        <v>10964.949999999999</v>
      </c>
      <c r="H110" s="139"/>
      <c r="I110" s="139"/>
      <c r="J110" t="s">
        <v>821</v>
      </c>
    </row>
    <row r="111" spans="2:10">
      <c r="B111" s="137" t="s">
        <v>795</v>
      </c>
      <c r="C111" s="141">
        <f>C110*C109</f>
        <v>4449576.709999999</v>
      </c>
      <c r="D111" s="141">
        <f>D110*D109</f>
        <v>5106169.6566666672</v>
      </c>
      <c r="E111" s="141">
        <f>E110*E109</f>
        <v>5746810.9841666669</v>
      </c>
      <c r="F111" s="141">
        <f t="shared" ref="F111:G111" si="13">F110*F109</f>
        <v>6572864.8500000006</v>
      </c>
      <c r="G111" s="141">
        <f t="shared" si="13"/>
        <v>6063617.3499999996</v>
      </c>
      <c r="H111" s="139"/>
      <c r="I111" s="139"/>
    </row>
    <row r="112" spans="2:10">
      <c r="B112" s="156" t="s">
        <v>822</v>
      </c>
      <c r="C112" s="141">
        <f>Parameters_Public!$C$14</f>
        <v>11589</v>
      </c>
      <c r="D112" s="141">
        <f>Parameters_Public!$C$14</f>
        <v>11589</v>
      </c>
      <c r="E112" s="141">
        <f>Parameters_Public!$C$14</f>
        <v>11589</v>
      </c>
      <c r="F112" s="141">
        <f>Parameters_Public!$C$14</f>
        <v>11589</v>
      </c>
      <c r="G112" s="141">
        <f>Parameters_Public!$C$14</f>
        <v>11589</v>
      </c>
      <c r="H112" s="139"/>
      <c r="I112" s="139"/>
      <c r="J112" t="s">
        <v>825</v>
      </c>
    </row>
    <row r="113" spans="2:10">
      <c r="B113" s="156" t="s">
        <v>823</v>
      </c>
      <c r="C113" s="141">
        <f>BaselineCalc!$B$18*(IF(ROUNDUP(IF(C106="N/A", 0, C106)+IF(C107="N/A", 0, C107), 0)=2, 1,IF(ROUNDUP(IF(C106="N/A", 0, C106)+IF(C107="N/A", 0, C107), 0)=1,(1-BaselineCalc!$B$5/2),(1-BaselineCalc!$B$5))))</f>
        <v>8403.3633363471963</v>
      </c>
      <c r="D113" s="141">
        <f>BaselineCalc!$B$18*(IF(ROUNDUP(IF(D106="N/A", 0, D106)+IF(D107="N/A", 0, D107), 0)=2, 1,IF(ROUNDUP(IF(D106="N/A", 0, D106)+IF(D107="N/A", 0, D107), 0)=1,(1-BaselineCalc!$B$5*(D104/(D104+D108))),(1-BaselineCalc!$B$5))))</f>
        <v>8364.687705887598</v>
      </c>
      <c r="E113" s="141">
        <f>BaselineCalc!$B$18*(IF(ROUNDUP(IF(E106="N/A", 0, E106)+IF(E107="N/A", 0, E107), 0)=2, 1,IF(ROUNDUP(IF(E106="N/A", 0, E106)+IF(E107="N/A", 0, E107), 0)=1,(1-BaselineCalc!$B$5*(E103/(E103+E108))),(1-BaselineCalc!$B$5))))</f>
        <v>8373.6227206376552</v>
      </c>
      <c r="F113" s="141">
        <f>BaselineCalc!$B$18*(IF(ROUNDUP(IF(F106="N/A", 0, F106)+IF(F107="N/A", 0, F107), 0)=2, 1,IF(ROUNDUP(IF(F106="N/A", 0, F106)+IF(F107="N/A", 0, F107), 0)=1,(1-BaselineCalc!$B$5/2),(1-BaselineCalc!$B$5))))</f>
        <v>8344.5397929927658</v>
      </c>
      <c r="G113" s="141">
        <f>BaselineCalc!$B$18*(IF(ROUNDUP(IF(G106="N/A", 0, G106)+IF(G107="N/A", 0, G107), 0)=2, 1,IF(ROUNDUP(IF(G106="N/A", 0, G106)+IF(G107="N/A", 0, G107), 0)=1,(1-BaselineCalc!$B$5/2),(1-BaselineCalc!$B$5))))</f>
        <v>8344.5397929927658</v>
      </c>
      <c r="H113" s="139"/>
      <c r="I113" s="139"/>
    </row>
    <row r="114" spans="2:10">
      <c r="B114" s="156" t="s">
        <v>776</v>
      </c>
      <c r="C114" s="140">
        <f>MAX(C109 - C105, 0)</f>
        <v>405.79999999999995</v>
      </c>
      <c r="D114" s="140">
        <f>MAX(D109 - D105, 0)</f>
        <v>450.2</v>
      </c>
      <c r="E114" s="140">
        <f>MAX(E109 - E105, 0)</f>
        <v>508.31666666666661</v>
      </c>
      <c r="F114" s="140">
        <f>MAX(F109 - F105, 0)</f>
        <v>553</v>
      </c>
      <c r="G114" s="140">
        <f>MAX(G109 - G105, 0)</f>
        <v>553</v>
      </c>
      <c r="H114" s="139"/>
      <c r="I114" s="139"/>
    </row>
    <row r="115" spans="2:10">
      <c r="B115" s="154" t="s">
        <v>796</v>
      </c>
      <c r="C115" s="141">
        <f>C114*C113</f>
        <v>3410084.841889692</v>
      </c>
      <c r="D115" s="141">
        <f>D114*D113</f>
        <v>3765782.4051905964</v>
      </c>
      <c r="E115" s="141">
        <f>E114*E113</f>
        <v>4256451.9892787971</v>
      </c>
      <c r="F115" s="141">
        <f>F114*F113</f>
        <v>4614530.5055249995</v>
      </c>
      <c r="G115" s="141">
        <f>G114*G113</f>
        <v>4614530.5055249995</v>
      </c>
      <c r="H115" s="139"/>
      <c r="I115" s="139"/>
      <c r="J115" t="s">
        <v>824</v>
      </c>
    </row>
    <row r="116" spans="2:10">
      <c r="B116" s="156" t="s">
        <v>784</v>
      </c>
      <c r="C116" s="140">
        <f>C105</f>
        <v>0</v>
      </c>
      <c r="D116" s="140">
        <f>D105</f>
        <v>16.666666666666686</v>
      </c>
      <c r="E116" s="140">
        <f>E105</f>
        <v>17</v>
      </c>
      <c r="F116" s="140">
        <f t="shared" ref="F116:G116" si="14">F105</f>
        <v>50</v>
      </c>
      <c r="G116" s="140">
        <f t="shared" si="14"/>
        <v>0</v>
      </c>
      <c r="H116" s="139"/>
      <c r="I116" s="139"/>
    </row>
    <row r="117" spans="2:10">
      <c r="B117" s="157" t="s">
        <v>832</v>
      </c>
      <c r="C117" s="142">
        <f>Parameters_Public!$C$43</f>
        <v>0.6</v>
      </c>
      <c r="D117" s="142">
        <f>Parameters_Public!$C$43</f>
        <v>0.6</v>
      </c>
      <c r="E117" s="142">
        <f>Parameters_Public!$C$43</f>
        <v>0.6</v>
      </c>
      <c r="F117" s="142">
        <f>Parameters_Public!$C$43</f>
        <v>0.6</v>
      </c>
      <c r="G117" s="142">
        <f>Parameters_Public!$C$43</f>
        <v>0.6</v>
      </c>
      <c r="H117" s="139" t="s">
        <v>703</v>
      </c>
      <c r="I117" s="139"/>
      <c r="J117" t="s">
        <v>836</v>
      </c>
    </row>
    <row r="118" spans="2:10">
      <c r="B118" s="156" t="s">
        <v>833</v>
      </c>
      <c r="C118" s="141">
        <f>IFERROR((C113*C117), "N/A")</f>
        <v>5042.0180018083174</v>
      </c>
      <c r="D118" s="141">
        <f>IFERROR((D113*D117), "N/A")</f>
        <v>5018.812623532559</v>
      </c>
      <c r="E118" s="141">
        <f>IFERROR((E113*E117), "N/A")</f>
        <v>5024.1736323825926</v>
      </c>
      <c r="F118" s="141">
        <f t="shared" ref="F118:G118" si="15">IFERROR((F113*F117), "N/A")</f>
        <v>5006.7238757956593</v>
      </c>
      <c r="G118" s="141">
        <f t="shared" si="15"/>
        <v>5006.7238757956593</v>
      </c>
      <c r="H118" s="139"/>
      <c r="I118" s="139"/>
      <c r="J118" t="s">
        <v>826</v>
      </c>
    </row>
    <row r="119" spans="2:10">
      <c r="B119" s="156" t="s">
        <v>827</v>
      </c>
      <c r="C119" s="141" t="str">
        <f>"$"&amp;YearMap!$E$2*Parameters_Public!$C$47&amp;"/student"</f>
        <v>$200/student</v>
      </c>
      <c r="D119" s="141" t="str">
        <f>"$"&amp;YearMap!$E$2*Parameters_Public!$C$47&amp;"/student"</f>
        <v>$200/student</v>
      </c>
      <c r="E119" s="141" t="str">
        <f>"$"&amp;YearMap!$E$2*Parameters_Public!$C$47&amp;"/student"</f>
        <v>$200/student</v>
      </c>
      <c r="F119" s="141" t="str">
        <f>"$"&amp;YearMap!$E$2*Parameters_Public!$C$47&amp;"/student"</f>
        <v>$200/student</v>
      </c>
      <c r="G119" s="141" t="str">
        <f>"$"&amp;YearMap!$E$2*Parameters_Public!$C$47&amp;"/student"</f>
        <v>$200/student</v>
      </c>
      <c r="H119" s="139"/>
      <c r="I119" s="139"/>
      <c r="J119" t="s">
        <v>828</v>
      </c>
    </row>
    <row r="120" spans="2:10">
      <c r="B120" s="156" t="s">
        <v>797</v>
      </c>
      <c r="C120" s="143">
        <f>BaselineCalc!$B$18 * (1 - BaselineCalc!$B$5) * Parameters_Public!$C$43
         + YearMap!$Q$2</f>
        <v>5206.7238757956593</v>
      </c>
      <c r="D120" s="143">
        <f>BaselineCalc!$B$18 * (1 - BaselineCalc!$B$5) * Parameters_Public!$C$43
         + YearMap!$Q$2</f>
        <v>5206.7238757956593</v>
      </c>
      <c r="E120" s="143">
        <f>BaselineCalc!$B$18 * (1 - BaselineCalc!$B$5) * Parameters_Public!$C$43
         + YearMap!$Q$2</f>
        <v>5206.7238757956593</v>
      </c>
      <c r="F120" s="143">
        <f>BaselineCalc!$B$18 * (1 - BaselineCalc!$B$5) * Parameters_Public!$C$43
         + YearMap!$Q$2</f>
        <v>5206.7238757956593</v>
      </c>
      <c r="G120" s="143">
        <f>BaselineCalc!$B$18 * (1 - BaselineCalc!$B$5) * Parameters_Public!$C$43
         + YearMap!$Q$2</f>
        <v>5206.7238757956593</v>
      </c>
      <c r="H120" s="139"/>
      <c r="I120" s="139"/>
    </row>
    <row r="121" spans="2:10">
      <c r="B121" s="154" t="s">
        <v>798</v>
      </c>
      <c r="C121" s="141" t="str">
        <f>IF(C120*C105=0, "N/A", C120*C105)</f>
        <v>N/A</v>
      </c>
      <c r="D121" s="141">
        <f>IF(D120*D105=0, "N/A", D120*D105)</f>
        <v>86778.731263261085</v>
      </c>
      <c r="E121" s="141">
        <f>IF(E120*E105=0, "N/A", E120*E105)</f>
        <v>88514.305888526214</v>
      </c>
      <c r="F121" s="141">
        <f>IF(F120*F105=0, "N/A", F120*F105)</f>
        <v>260336.19378978296</v>
      </c>
      <c r="G121" s="141" t="str">
        <f t="shared" ref="G121" si="16">IF(G120*G105=0, "N/A", G120*G105)</f>
        <v>N/A</v>
      </c>
      <c r="H121" s="139"/>
      <c r="I121" s="139"/>
    </row>
    <row r="122" spans="2:10">
      <c r="B122" s="154" t="s">
        <v>829</v>
      </c>
      <c r="C122" s="143">
        <f>IF(C121="N/A", 0, C121)+C115</f>
        <v>3410084.841889692</v>
      </c>
      <c r="D122" s="143">
        <f>IF(D121="N/A", 0, D121)+D115</f>
        <v>3852561.1364538576</v>
      </c>
      <c r="E122" s="143">
        <f>IF(E121="N/A", 0, E121)+E115</f>
        <v>4344966.2951673232</v>
      </c>
      <c r="F122" s="143">
        <f>IF(F121="N/A", 0, F121)+F115</f>
        <v>4874866.6993147824</v>
      </c>
      <c r="G122" s="143">
        <f t="shared" ref="G122" si="17">IF(G121="N/A", 0, G121)+G115</f>
        <v>4614530.5055249995</v>
      </c>
      <c r="H122" s="139"/>
      <c r="I122" s="139"/>
    </row>
    <row r="123" spans="2:10">
      <c r="B123" s="155" t="s">
        <v>840</v>
      </c>
      <c r="C123" s="142" t="str">
        <f>"$"&amp;YearMap!$E$2&amp;"/student"</f>
        <v>$1000/student</v>
      </c>
      <c r="D123" s="142" t="str">
        <f>"$"&amp;YearMap!$E$2&amp;"/student"</f>
        <v>$1000/student</v>
      </c>
      <c r="E123" s="142" t="str">
        <f>"$"&amp;YearMap!$E$2&amp;"/student"</f>
        <v>$1000/student</v>
      </c>
      <c r="F123" s="139" t="str">
        <f t="shared" si="12"/>
        <v>N/A</v>
      </c>
      <c r="G123" s="139" t="str">
        <f t="shared" si="12"/>
        <v>N/A</v>
      </c>
      <c r="H123" s="139" t="s">
        <v>703</v>
      </c>
      <c r="I123" s="139"/>
      <c r="J123" t="s">
        <v>830</v>
      </c>
    </row>
    <row r="124" spans="2:10">
      <c r="B124" s="154" t="s">
        <v>841</v>
      </c>
      <c r="C124" s="141">
        <f>YearMap!$E$2*C108</f>
        <v>405799.99999999994</v>
      </c>
      <c r="D124" s="141">
        <f>YearMap!$E$2*D108</f>
        <v>154200</v>
      </c>
      <c r="E124" s="141">
        <f>YearMap!$E$2*E108</f>
        <v>251316.66666666666</v>
      </c>
      <c r="F124" s="139" t="str">
        <f t="shared" si="12"/>
        <v>N/A</v>
      </c>
      <c r="G124" s="139" t="str">
        <f t="shared" si="12"/>
        <v>N/A</v>
      </c>
      <c r="H124" s="139"/>
      <c r="I124" s="139"/>
    </row>
    <row r="125" spans="2:10">
      <c r="B125" s="154" t="s">
        <v>781</v>
      </c>
      <c r="C125" s="143">
        <f>C122+IF(C124="N/A", 0, C124)</f>
        <v>3815884.841889692</v>
      </c>
      <c r="D125" s="143">
        <f>D122+IF(D124="N/A", 0, D124)</f>
        <v>4006761.1364538576</v>
      </c>
      <c r="E125" s="143">
        <f>E122+IF(E124="N/A", 0, E124)</f>
        <v>4596282.9618339902</v>
      </c>
      <c r="F125" s="143">
        <f>F122+IF(F124="N/A", 0, F124)</f>
        <v>4874866.6993147824</v>
      </c>
      <c r="G125" s="143">
        <f>G122+IF(G124="N/A", 0, G124)</f>
        <v>4614530.5055249995</v>
      </c>
      <c r="H125" s="139"/>
      <c r="I125" s="139"/>
    </row>
    <row r="126" spans="2:10">
      <c r="B126" s="150" t="s">
        <v>792</v>
      </c>
      <c r="C126" s="151">
        <f>BaselineCalc!$B$19+BaselineCalc!$B$20</f>
        <v>1921874.9999999998</v>
      </c>
      <c r="D126" s="151">
        <f>BaselineCalc!$B$20</f>
        <v>999374.99999999988</v>
      </c>
      <c r="E126" s="151">
        <f>BaselineCalc!$B$19</f>
        <v>922499.99999999988</v>
      </c>
      <c r="F126" s="151">
        <f>BaselineCalc!$B$19+BaselineCalc!$B$20</f>
        <v>1921874.9999999998</v>
      </c>
      <c r="G126" s="151">
        <f>BaselineCalc!$B$19+BaselineCalc!$B$20</f>
        <v>1921874.9999999998</v>
      </c>
      <c r="H126" s="139" t="s">
        <v>727</v>
      </c>
      <c r="I126" s="139"/>
    </row>
    <row r="127" spans="2:10">
      <c r="B127" s="159" t="s">
        <v>801</v>
      </c>
      <c r="C127" s="152">
        <f>YearMap!$F$2</f>
        <v>0.2</v>
      </c>
      <c r="D127" s="152">
        <f>YearMap!$F$2</f>
        <v>0.2</v>
      </c>
      <c r="E127" s="152">
        <f>YearMap!$F$2</f>
        <v>0.2</v>
      </c>
      <c r="F127" s="153" t="str">
        <f t="shared" si="12"/>
        <v>N/A</v>
      </c>
      <c r="G127" s="153" t="str">
        <f t="shared" si="12"/>
        <v>N/A</v>
      </c>
      <c r="H127" s="139" t="s">
        <v>703</v>
      </c>
      <c r="I127" s="139"/>
    </row>
    <row r="128" spans="2:10">
      <c r="B128" s="158" t="s">
        <v>802</v>
      </c>
      <c r="C128" s="151">
        <f>IFERROR(C126*(C127), C126)*(1-BaselineCalc!$B$5)</f>
        <v>381684.375</v>
      </c>
      <c r="D128" s="151">
        <f>(BaselineCalc!$B$20+IFERROR(BaselineCalc!$B$19*(D127), BaselineCalc!$B$19))*(1-BaselineCalc!$B$5)</f>
        <v>1175587.875</v>
      </c>
      <c r="E128" s="151">
        <f>(BaselineCalc!$B$19+IFERROR(BaselineCalc!$B$20*(D127), BaselineCalc!$B$20))*(1-BaselineCalc!$B$5)</f>
        <v>1114518.375</v>
      </c>
      <c r="F128" s="151">
        <f>IFERROR(F126*(F127), F126)*(1-BaselineCalc!$B$5)</f>
        <v>1908421.8749999998</v>
      </c>
      <c r="G128" s="151">
        <f>IFERROR(G126*(G127), G126)*(1-BaselineCalc!$B$5)</f>
        <v>1908421.8749999998</v>
      </c>
      <c r="H128" s="139"/>
      <c r="I128" s="139"/>
    </row>
    <row r="129" spans="2:9" ht="15" thickBot="1">
      <c r="B129" s="137" t="s">
        <v>791</v>
      </c>
      <c r="C129" s="143">
        <f>C128+C125</f>
        <v>4197569.2168896925</v>
      </c>
      <c r="D129" s="143">
        <f>D128+D125</f>
        <v>5182349.0114538576</v>
      </c>
      <c r="E129" s="143">
        <f>E128+E125</f>
        <v>5710801.3368339902</v>
      </c>
      <c r="F129" s="143">
        <f>F128+F125</f>
        <v>6783288.5743147824</v>
      </c>
      <c r="G129" s="143">
        <f>G128+G125</f>
        <v>6522952.3805249995</v>
      </c>
      <c r="H129" s="139"/>
      <c r="I129" s="139"/>
    </row>
    <row r="130" spans="2:9" ht="15" thickBot="1">
      <c r="B130" s="162" t="s">
        <v>842</v>
      </c>
      <c r="C130" s="160">
        <f>C111-C129</f>
        <v>252007.49311030656</v>
      </c>
      <c r="D130" s="160">
        <f>D111-D129</f>
        <v>-76179.354787190445</v>
      </c>
      <c r="E130" s="160">
        <f>E111-E129</f>
        <v>36009.647332676686</v>
      </c>
      <c r="F130" s="160">
        <f>F111-F129</f>
        <v>-210423.72431478184</v>
      </c>
      <c r="G130" s="161">
        <f>G111-G129</f>
        <v>-459335.03052499983</v>
      </c>
      <c r="H130" s="139"/>
      <c r="I130" s="139"/>
    </row>
    <row r="132" spans="2:9" ht="15" thickBot="1"/>
    <row r="133" spans="2:9" ht="15" thickBot="1">
      <c r="B133" s="165" t="s">
        <v>846</v>
      </c>
      <c r="C133" s="166">
        <f>Capital_Summary!$B$77</f>
        <v>2314479.9999999995</v>
      </c>
      <c r="D133" s="166">
        <f>Capital_Summary!$B$79</f>
        <v>1600000</v>
      </c>
      <c r="E133" s="166">
        <f>Capital_Summary!B178</f>
        <v>0</v>
      </c>
      <c r="F133" s="166">
        <f>Capital_Summary!B171</f>
        <v>0</v>
      </c>
      <c r="G133" s="167">
        <f>Capital_Summary!B180</f>
        <v>0</v>
      </c>
    </row>
  </sheetData>
  <conditionalFormatting sqref="C33:G33">
    <cfRule type="colorScale" priority="6">
      <colorScale>
        <cfvo type="min"/>
        <cfvo type="percentile" val="50"/>
        <cfvo type="max"/>
        <color rgb="FFF8696B"/>
        <color rgb="FFFFEB84"/>
        <color rgb="FF63BE7B"/>
      </colorScale>
    </cfRule>
  </conditionalFormatting>
  <conditionalFormatting sqref="C94:G94">
    <cfRule type="colorScale" priority="5">
      <colorScale>
        <cfvo type="min"/>
        <cfvo type="percentile" val="50"/>
        <cfvo type="max"/>
        <color rgb="FFF8696B"/>
        <color rgb="FFFFEB84"/>
        <color rgb="FF63BE7B"/>
      </colorScale>
    </cfRule>
  </conditionalFormatting>
  <conditionalFormatting sqref="C130:G130">
    <cfRule type="colorScale" priority="4">
      <colorScale>
        <cfvo type="min"/>
        <cfvo type="percentile" val="50"/>
        <cfvo type="max"/>
        <color rgb="FFF8696B"/>
        <color rgb="FFFFEB84"/>
        <color rgb="FF63BE7B"/>
      </colorScale>
    </cfRule>
  </conditionalFormatting>
  <conditionalFormatting sqref="C36:G36">
    <cfRule type="colorScale" priority="3">
      <colorScale>
        <cfvo type="min"/>
        <cfvo type="percentile" val="50"/>
        <cfvo type="max"/>
        <color rgb="FF63BE7B"/>
        <color rgb="FFFFEB84"/>
        <color rgb="FFF8696B"/>
      </colorScale>
    </cfRule>
  </conditionalFormatting>
  <conditionalFormatting sqref="C97:G100">
    <cfRule type="colorScale" priority="2">
      <colorScale>
        <cfvo type="min"/>
        <cfvo type="percentile" val="50"/>
        <cfvo type="max"/>
        <color rgb="FF63BE7B"/>
        <color rgb="FFFFEB84"/>
        <color rgb="FFF8696B"/>
      </colorScale>
    </cfRule>
  </conditionalFormatting>
  <conditionalFormatting sqref="C133:G133">
    <cfRule type="colorScale" priority="1">
      <colorScale>
        <cfvo type="min"/>
        <cfvo type="percentile" val="50"/>
        <cfvo type="max"/>
        <color rgb="FF63BE7B"/>
        <color rgb="FFFFEB84"/>
        <color rgb="FFF8696B"/>
      </colorScale>
    </cfRule>
  </conditionalFormatting>
  <dataValidations count="1">
    <dataValidation type="list" allowBlank="1" showInputMessage="1" showErrorMessage="1" sqref="C2" xr:uid="{ADC190F3-8D59-4CA1-9520-BA60E88AF554}">
      <formula1>"2026, 2030, Average 2026-2030"</formula1>
    </dataValidation>
  </dataValidation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3"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00" t="s">
        <v>773</v>
      </c>
    </row>
    <row r="2" spans="2:8" ht="52.5" thickBot="1">
      <c r="C2" s="84" t="s">
        <v>772</v>
      </c>
      <c r="D2" s="84" t="s">
        <v>699</v>
      </c>
      <c r="E2" s="84" t="s">
        <v>745</v>
      </c>
      <c r="F2" s="84" t="s">
        <v>747</v>
      </c>
      <c r="G2" s="84" t="s">
        <v>746</v>
      </c>
      <c r="H2" s="84" t="s">
        <v>701</v>
      </c>
    </row>
    <row r="3" spans="2:8">
      <c r="B3" s="101"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96">
        <f>MultiYear_ProForma!$AB$17</f>
        <v>50</v>
      </c>
      <c r="E5" s="88">
        <v>0</v>
      </c>
      <c r="F5" s="96">
        <f>MultiYear_ProForma!$AB$42</f>
        <v>16.666666666666686</v>
      </c>
      <c r="G5" s="96">
        <f>MultiYear_ProForma!$AB$52</f>
        <v>17</v>
      </c>
      <c r="H5" s="88"/>
    </row>
    <row r="6" spans="2:8">
      <c r="B6" s="102" t="s">
        <v>748</v>
      </c>
      <c r="C6" s="88">
        <f>Parameters_Public!$C$23</f>
        <v>0.6</v>
      </c>
      <c r="D6" s="88" t="str">
        <f>"N/A"</f>
        <v>N/A</v>
      </c>
      <c r="E6" s="88" t="str">
        <f>"N/A"</f>
        <v>N/A</v>
      </c>
      <c r="F6" s="88">
        <f>Parameters_Public!$C$23</f>
        <v>0.6</v>
      </c>
      <c r="G6" s="88" t="str">
        <f>"N/A"</f>
        <v>N/A</v>
      </c>
      <c r="H6" s="88" t="s">
        <v>727</v>
      </c>
    </row>
    <row r="7" spans="2:8">
      <c r="B7" s="101" t="s">
        <v>749</v>
      </c>
      <c r="C7" s="88">
        <f>Parameters_Public!$C$24</f>
        <v>0.85</v>
      </c>
      <c r="D7" s="88" t="str">
        <f t="shared" ref="C7:E50" si="0">"N/A"</f>
        <v>N/A</v>
      </c>
      <c r="E7" s="88" t="str">
        <f t="shared" si="0"/>
        <v>N/A</v>
      </c>
      <c r="F7" s="88" t="s">
        <v>702</v>
      </c>
      <c r="G7" s="88">
        <f>Parameters_Public!$C$24</f>
        <v>0.85</v>
      </c>
      <c r="H7" s="88" t="s">
        <v>703</v>
      </c>
    </row>
    <row r="8" spans="2:8">
      <c r="B8" s="103" t="s">
        <v>750</v>
      </c>
      <c r="C8" s="96">
        <f>Parameters_Public!$C$10*Parameters_Public!$C$23+Parameters_Public!$C$11*Parameters_Public!$C$24</f>
        <v>405.79999999999995</v>
      </c>
      <c r="D8" s="88" t="str">
        <f t="shared" si="0"/>
        <v>N/A</v>
      </c>
      <c r="E8" s="88" t="str">
        <f t="shared" si="0"/>
        <v>N/A</v>
      </c>
      <c r="F8" s="96">
        <f>Parameters_Public!$C$10*Parameters_Public!$C$23</f>
        <v>154.19999999999999</v>
      </c>
      <c r="G8" s="96">
        <f>Parameters_Public!$C$11*Parameters_Public!$C$24</f>
        <v>251.6</v>
      </c>
      <c r="H8" s="88"/>
    </row>
    <row r="9" spans="2:8">
      <c r="B9" s="87" t="s">
        <v>767</v>
      </c>
      <c r="C9" s="96">
        <f>C8+C5</f>
        <v>405.79999999999995</v>
      </c>
      <c r="D9" s="88">
        <f>D5+D4+D3</f>
        <v>603</v>
      </c>
      <c r="E9" s="88">
        <f>E4+E3+E5</f>
        <v>553</v>
      </c>
      <c r="F9" s="96">
        <f>F4+F8+F5</f>
        <v>466.86666666666667</v>
      </c>
      <c r="G9" s="96">
        <f>G8+G3+G5</f>
        <v>525.6</v>
      </c>
      <c r="H9" s="88"/>
    </row>
    <row r="10" spans="2:8">
      <c r="B10" s="87" t="s">
        <v>775</v>
      </c>
      <c r="C10" s="97">
        <f>MultiYear_ProForma!$AD$32/Working_test!C9</f>
        <v>10964.949999999999</v>
      </c>
      <c r="D10" s="97">
        <f>MultiYear_ProForma!$AD$17/Working_test!D9</f>
        <v>10900.273383084577</v>
      </c>
      <c r="E10" s="97">
        <f>MultiYear_ProForma!$AD$62/Working_test!E9</f>
        <v>10964.949999999999</v>
      </c>
      <c r="F10" s="97">
        <f>MultiYear_ProForma!$AD$42/Working_test!F9</f>
        <v>10937.104790803942</v>
      </c>
      <c r="G10" s="97">
        <f>MultiYear_ProForma!$AD$52/Working_test!G9</f>
        <v>10933.810852676306</v>
      </c>
      <c r="H10" s="88"/>
    </row>
    <row r="11" spans="2:8">
      <c r="B11" s="87" t="s">
        <v>768</v>
      </c>
      <c r="C11" s="97">
        <f>C10*C9</f>
        <v>4449576.709999999</v>
      </c>
      <c r="D11" s="97">
        <f t="shared" ref="D11:G11" si="1">D10*D9</f>
        <v>6572864.8500000006</v>
      </c>
      <c r="E11" s="97">
        <f t="shared" si="1"/>
        <v>6063617.3499999996</v>
      </c>
      <c r="F11" s="97">
        <f t="shared" si="1"/>
        <v>5106169.6566666672</v>
      </c>
      <c r="G11" s="97">
        <f t="shared" si="1"/>
        <v>5746810.9841666669</v>
      </c>
      <c r="H11" s="88"/>
    </row>
    <row r="12" spans="2:8">
      <c r="B12" s="87" t="s">
        <v>777</v>
      </c>
      <c r="C12" s="97">
        <f>Parameters_Public!$C$14</f>
        <v>11589</v>
      </c>
      <c r="D12" s="97">
        <f>Parameters_Public!$C$14</f>
        <v>11589</v>
      </c>
      <c r="E12" s="97">
        <f>Parameters_Public!$C$14</f>
        <v>11589</v>
      </c>
      <c r="F12" s="97">
        <f>Parameters_Public!$C$14</f>
        <v>11589</v>
      </c>
      <c r="G12" s="97">
        <f>Parameters_Public!$C$14</f>
        <v>11589</v>
      </c>
      <c r="H12" s="88"/>
    </row>
    <row r="13" spans="2:8">
      <c r="B13" s="87" t="s">
        <v>783</v>
      </c>
      <c r="C13" s="97">
        <f>BaselineCalc!$B$18</f>
        <v>8403.3633363471963</v>
      </c>
      <c r="D13" s="97">
        <f>BaselineCalc!$B$18</f>
        <v>8403.3633363471963</v>
      </c>
      <c r="E13" s="97">
        <f>BaselineCalc!$B$18</f>
        <v>8403.3633363471963</v>
      </c>
      <c r="F13" s="97">
        <f>BaselineCalc!$B$18</f>
        <v>8403.3633363471963</v>
      </c>
      <c r="G13" s="97">
        <f>BaselineCalc!$B$18</f>
        <v>8403.3633363471963</v>
      </c>
    </row>
    <row r="14" spans="2:8">
      <c r="B14" s="87" t="s">
        <v>776</v>
      </c>
      <c r="C14" s="95">
        <f>C8</f>
        <v>405.79999999999995</v>
      </c>
      <c r="D14" s="87">
        <f>D3+D4</f>
        <v>553</v>
      </c>
      <c r="E14" s="87">
        <f>E9</f>
        <v>553</v>
      </c>
      <c r="F14" s="87">
        <f>F3+F4</f>
        <v>553</v>
      </c>
      <c r="G14" s="87">
        <f>G3+G4</f>
        <v>553</v>
      </c>
    </row>
    <row r="15" spans="2:8">
      <c r="B15" s="87" t="s">
        <v>786</v>
      </c>
      <c r="C15" s="97">
        <f>C14*C13</f>
        <v>3410084.841889692</v>
      </c>
      <c r="D15" s="97">
        <f>D14*D13</f>
        <v>4647059.9249999998</v>
      </c>
      <c r="E15" s="97">
        <f>E14*E13</f>
        <v>4647059.9249999998</v>
      </c>
      <c r="F15" s="97">
        <f>F14*F13</f>
        <v>4647059.9249999998</v>
      </c>
      <c r="G15" s="97">
        <f>G14*G13</f>
        <v>4647059.9249999998</v>
      </c>
    </row>
    <row r="16" spans="2:8">
      <c r="B16" s="87" t="s">
        <v>784</v>
      </c>
      <c r="C16" s="96">
        <f>C5</f>
        <v>0</v>
      </c>
      <c r="D16" s="96">
        <f t="shared" ref="D16:G16" si="2">D5</f>
        <v>50</v>
      </c>
      <c r="E16" s="96">
        <f t="shared" si="2"/>
        <v>0</v>
      </c>
      <c r="F16" s="96">
        <f t="shared" si="2"/>
        <v>16.666666666666686</v>
      </c>
      <c r="G16" s="96">
        <f t="shared" si="2"/>
        <v>17</v>
      </c>
    </row>
    <row r="17" spans="2:8" ht="37.5">
      <c r="B17" s="102"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97">
        <f>IFERROR((C13*C17), "N/A")</f>
        <v>5042.0180018083174</v>
      </c>
      <c r="D18" s="97">
        <f t="shared" ref="D18:G18" si="3">IFERROR((D13*D17), "N/A")</f>
        <v>5042.0180018083174</v>
      </c>
      <c r="E18" s="97">
        <f t="shared" si="3"/>
        <v>5042.0180018083174</v>
      </c>
      <c r="F18" s="97">
        <f t="shared" si="3"/>
        <v>5042.0180018083174</v>
      </c>
      <c r="G18" s="97">
        <f t="shared" si="3"/>
        <v>5042.0180018083174</v>
      </c>
    </row>
    <row r="19" spans="2:8">
      <c r="B19" s="87" t="s">
        <v>788</v>
      </c>
      <c r="C19" s="97" t="str">
        <f>IF(C18*C5=0, "N/A", C18*C5)</f>
        <v>N/A</v>
      </c>
      <c r="D19" s="97">
        <f>IF(D18*D5=0, "N/A", D18*D5)</f>
        <v>252100.90009041587</v>
      </c>
      <c r="E19" s="97" t="str">
        <f>IF(E18*E5=0, "N/A", E18*E5)</f>
        <v>N/A</v>
      </c>
      <c r="F19" s="97">
        <f>IF(F18*F5=0, "N/A", F18*F5)</f>
        <v>84033.63336347205</v>
      </c>
      <c r="G19" s="97">
        <f>IF(G18*G5=0, "N/A", G18*G5)</f>
        <v>85714.306030741398</v>
      </c>
    </row>
    <row r="20" spans="2:8">
      <c r="B20" s="87" t="s">
        <v>789</v>
      </c>
      <c r="C20" s="98">
        <f>IF(C19="N/A", 0, C19)+C15</f>
        <v>3410084.841889692</v>
      </c>
      <c r="D20" s="98">
        <f>IF(D19="N/A", 0, D19)+D15</f>
        <v>4899160.8250904158</v>
      </c>
      <c r="E20" s="98">
        <f>IF(E19="N/A", 0, E19)+E15</f>
        <v>4647059.9249999998</v>
      </c>
      <c r="F20" s="98">
        <f>IF(F19="N/A", 0, F19)+F15</f>
        <v>4731093.5583634721</v>
      </c>
      <c r="G20" s="98">
        <f>IF(G19="N/A", 0, G19)+G15</f>
        <v>4732774.2310307408</v>
      </c>
    </row>
    <row r="21" spans="2:8" ht="25">
      <c r="B21" s="102"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03" t="s">
        <v>761</v>
      </c>
      <c r="C22" s="97">
        <f>YearMap!$E$2*C8</f>
        <v>405799.99999999994</v>
      </c>
      <c r="D22" s="88" t="str">
        <f t="shared" si="0"/>
        <v>N/A</v>
      </c>
      <c r="E22" s="88" t="str">
        <f t="shared" si="0"/>
        <v>N/A</v>
      </c>
      <c r="F22" s="97">
        <f>YearMap!$E$2*F8</f>
        <v>154200</v>
      </c>
      <c r="G22" s="97">
        <f>YearMap!$E$2*G8</f>
        <v>251600</v>
      </c>
      <c r="H22" s="88"/>
    </row>
    <row r="23" spans="2:8">
      <c r="B23" s="87" t="s">
        <v>781</v>
      </c>
      <c r="C23" s="98">
        <f>C20+IF(C22="N/A", 0, C22)</f>
        <v>3815884.841889692</v>
      </c>
      <c r="D23" s="98">
        <f>D20+IF(D22="N/A", 0, D22)</f>
        <v>4899160.8250904158</v>
      </c>
      <c r="E23" s="98">
        <f>E20+IF(E22="N/A", 0, E22)</f>
        <v>4647059.9249999998</v>
      </c>
      <c r="F23" s="98">
        <f>F20+IF(F22="N/A", 0, F22)</f>
        <v>4885293.5583634721</v>
      </c>
      <c r="G23" s="98">
        <f>G20+IF(G22="N/A", 0, G22)</f>
        <v>4984374.2310307408</v>
      </c>
    </row>
    <row r="24" spans="2:8">
      <c r="B24" s="87" t="s">
        <v>792</v>
      </c>
      <c r="C24" s="97">
        <f>Site_Fixed!$D$10+Site_Fixed!$D$17</f>
        <v>1875000</v>
      </c>
      <c r="D24" s="97">
        <f>Site_Fixed!$D$10+Site_Fixed!$D$17</f>
        <v>1875000</v>
      </c>
      <c r="E24" s="97">
        <f>Site_Fixed!$D$10+Site_Fixed!$D$17</f>
        <v>1875000</v>
      </c>
      <c r="F24" s="97">
        <f>Site_Fixed!$D$10</f>
        <v>900000</v>
      </c>
      <c r="G24" s="97">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97">
        <f>IFERROR(C24*(C25), C24)</f>
        <v>375000</v>
      </c>
      <c r="D26" s="97">
        <f>IFERROR(D24*(D25), D24)</f>
        <v>1875000</v>
      </c>
      <c r="E26" s="97">
        <f>IFERROR(E24*(E25), E24)</f>
        <v>1875000</v>
      </c>
      <c r="F26" s="97">
        <f>F24+IFERROR(G24*(F25), G24)</f>
        <v>1095000</v>
      </c>
      <c r="G26" s="97">
        <f>F24+IFERROR(F24*(G25), F24)</f>
        <v>1080000</v>
      </c>
    </row>
    <row r="27" spans="2:8">
      <c r="B27" s="107" t="s">
        <v>791</v>
      </c>
      <c r="C27" s="108">
        <f>C26+C23</f>
        <v>4190884.841889692</v>
      </c>
      <c r="D27" s="108">
        <f>D26+D23</f>
        <v>6774160.8250904158</v>
      </c>
      <c r="E27" s="108">
        <f>E26+E23</f>
        <v>6522059.9249999998</v>
      </c>
      <c r="F27" s="108">
        <f>F26+F23</f>
        <v>5980293.5583634721</v>
      </c>
      <c r="G27" s="108">
        <f>G26+G23</f>
        <v>6064374.2310307408</v>
      </c>
    </row>
    <row r="28" spans="2:8">
      <c r="B28" s="107" t="s">
        <v>760</v>
      </c>
      <c r="C28" s="109">
        <f>C11-C27</f>
        <v>258691.86811030703</v>
      </c>
      <c r="D28" s="110">
        <f>D11-D27</f>
        <v>-201295.97509041522</v>
      </c>
      <c r="E28" s="109">
        <f>E11-E27</f>
        <v>-458442.57500000019</v>
      </c>
      <c r="F28" s="110">
        <f>F11-F27</f>
        <v>-874123.90169680491</v>
      </c>
      <c r="G28" s="110">
        <f>G11-G27</f>
        <v>-317563.24686407391</v>
      </c>
    </row>
    <row r="31" spans="2:8">
      <c r="B31" s="87" t="s">
        <v>782</v>
      </c>
      <c r="C31" s="98">
        <f>C23-C26</f>
        <v>3440884.841889692</v>
      </c>
    </row>
    <row r="32" spans="2:8">
      <c r="B32" s="107"/>
      <c r="C32" s="108"/>
      <c r="D32" s="107"/>
      <c r="E32" s="107"/>
      <c r="F32" s="107"/>
      <c r="G32" s="107"/>
      <c r="H32" s="107"/>
    </row>
    <row r="33" spans="2:8">
      <c r="B33" s="104" t="s">
        <v>760</v>
      </c>
      <c r="C33" s="105">
        <f>MultiYear_ProForma!$AF$32</f>
        <v>252007.49311030656</v>
      </c>
      <c r="D33" s="105">
        <f>MultiYear_ProForma!$AF$17</f>
        <v>-210423.72431478277</v>
      </c>
      <c r="E33" s="105">
        <f>MultiYear_ProForma!$AF$62</f>
        <v>-459335.03052499983</v>
      </c>
      <c r="F33" s="105">
        <f>MultiYear_ProForma!$AF$42</f>
        <v>-76179.354787189513</v>
      </c>
      <c r="G33" s="105">
        <f>MultiYear_ProForma!$AF$52</f>
        <v>36009.647332676686</v>
      </c>
      <c r="H33" s="106"/>
    </row>
    <row r="35" spans="2:8">
      <c r="B35" s="87" t="s">
        <v>778</v>
      </c>
      <c r="C35" s="99">
        <f>IFERROR(C26/C9, 0)</f>
        <v>924.10054213898479</v>
      </c>
      <c r="D35" s="99">
        <f>IFERROR(D26/D9, 0)</f>
        <v>3109.4527363184079</v>
      </c>
      <c r="E35" s="99">
        <f>IFERROR(E26/E9, 0)</f>
        <v>3390.5967450271246</v>
      </c>
      <c r="F35" s="99">
        <f>IFERROR(F26/F9, 0)</f>
        <v>2345.4233899757246</v>
      </c>
      <c r="G35" s="99">
        <f>IFERROR(G26/G9, 0)</f>
        <v>2054.794520547945</v>
      </c>
    </row>
    <row r="36" spans="2:8">
      <c r="B36" s="87" t="s">
        <v>779</v>
      </c>
      <c r="C36" s="99">
        <f>C18-C35</f>
        <v>4117.9174596693329</v>
      </c>
    </row>
    <row r="37" spans="2:8" ht="14.5" customHeight="1">
      <c r="B37" s="87" t="s">
        <v>780</v>
      </c>
    </row>
    <row r="39" spans="2:8">
      <c r="B39" s="101" t="s">
        <v>705</v>
      </c>
      <c r="C39" s="88"/>
      <c r="D39" s="88"/>
      <c r="E39" s="88"/>
      <c r="F39" s="88"/>
      <c r="G39" s="88"/>
      <c r="H39" s="88" t="s">
        <v>703</v>
      </c>
    </row>
    <row r="40" spans="2:8" ht="38.5">
      <c r="B40" s="101" t="s">
        <v>706</v>
      </c>
      <c r="C40" s="89" t="s">
        <v>724</v>
      </c>
      <c r="D40" s="89" t="s">
        <v>725</v>
      </c>
      <c r="E40" s="89" t="s">
        <v>726</v>
      </c>
      <c r="F40" s="89" t="s">
        <v>713</v>
      </c>
      <c r="G40" s="89" t="s">
        <v>713</v>
      </c>
      <c r="H40" s="88" t="s">
        <v>703</v>
      </c>
    </row>
    <row r="41" spans="2:8">
      <c r="B41" s="103" t="s">
        <v>752</v>
      </c>
      <c r="C41" s="88" t="s">
        <v>755</v>
      </c>
      <c r="D41" s="88" t="s">
        <v>756</v>
      </c>
      <c r="E41" s="88" t="s">
        <v>754</v>
      </c>
      <c r="F41" s="88" t="s">
        <v>758</v>
      </c>
      <c r="G41" s="88" t="s">
        <v>758</v>
      </c>
      <c r="H41" s="88"/>
    </row>
    <row r="42" spans="2:8">
      <c r="B42" s="103" t="s">
        <v>757</v>
      </c>
      <c r="C42" s="88" t="s">
        <v>754</v>
      </c>
      <c r="D42" s="88" t="s">
        <v>754</v>
      </c>
      <c r="E42" s="88" t="s">
        <v>753</v>
      </c>
      <c r="F42" s="88" t="s">
        <v>758</v>
      </c>
      <c r="G42" s="88" t="s">
        <v>758</v>
      </c>
      <c r="H42" s="88"/>
    </row>
    <row r="44" spans="2:8" ht="25">
      <c r="B44" s="102"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03" t="s">
        <v>764</v>
      </c>
      <c r="C45" s="97">
        <f>YearMap!$E$6*C8</f>
        <v>121739.99999999999</v>
      </c>
      <c r="D45" s="88" t="str">
        <f t="shared" si="0"/>
        <v>N/A</v>
      </c>
      <c r="E45" s="88" t="str">
        <f t="shared" si="0"/>
        <v>N/A</v>
      </c>
      <c r="F45" s="97">
        <f>YearMap!$E$6*F8</f>
        <v>46260</v>
      </c>
      <c r="G45" s="97">
        <f>YearMap!$E$6*G8</f>
        <v>75480</v>
      </c>
    </row>
    <row r="47" spans="2:8" ht="25">
      <c r="B47" s="102" t="s">
        <v>765</v>
      </c>
      <c r="C47" s="85">
        <f>YearMap!$F$6</f>
        <v>0.1</v>
      </c>
      <c r="D47" s="88" t="str">
        <f t="shared" si="0"/>
        <v>N/A</v>
      </c>
      <c r="E47" s="88" t="str">
        <f t="shared" si="0"/>
        <v>N/A</v>
      </c>
      <c r="F47" s="85">
        <f>YearMap!$F$6</f>
        <v>0.1</v>
      </c>
      <c r="G47" s="85">
        <f>YearMap!$F$6</f>
        <v>0.1</v>
      </c>
      <c r="H47" s="88" t="s">
        <v>703</v>
      </c>
    </row>
    <row r="48" spans="2:8">
      <c r="B48" s="103" t="s">
        <v>759</v>
      </c>
      <c r="C48" s="97">
        <f>C24*(1-C47)</f>
        <v>1687500</v>
      </c>
      <c r="D48" s="88" t="str">
        <f t="shared" si="0"/>
        <v>N/A</v>
      </c>
      <c r="E48" s="88" t="str">
        <f t="shared" si="0"/>
        <v>N/A</v>
      </c>
      <c r="F48" s="97">
        <f>F24*(1-F47)</f>
        <v>810000</v>
      </c>
      <c r="G48" s="97">
        <f>G24*(1-G47)</f>
        <v>877500</v>
      </c>
    </row>
    <row r="50" spans="1:8" ht="25">
      <c r="B50" s="102" t="s">
        <v>707</v>
      </c>
      <c r="C50" s="88" t="str">
        <f t="shared" si="0"/>
        <v>N/A</v>
      </c>
      <c r="D50" s="85" t="str">
        <f>"&amp;Scenarios!M6&amp;""students"</f>
        <v>&amp;Scenarios!M6&amp;"students</v>
      </c>
      <c r="E50" s="85" t="s">
        <v>704</v>
      </c>
      <c r="F50" s="88"/>
      <c r="G50" s="88"/>
      <c r="H50" s="88" t="s">
        <v>703</v>
      </c>
    </row>
    <row r="52" spans="1:8">
      <c r="B52" s="103" t="s">
        <v>766</v>
      </c>
      <c r="C52" s="97">
        <f>Summary_Figures!$F$11</f>
        <v>815010.4570824476</v>
      </c>
    </row>
    <row r="53" spans="1:8" ht="25">
      <c r="B53" s="102" t="s">
        <v>708</v>
      </c>
      <c r="C53" s="97">
        <f>Summary_Figures!$G$11</f>
        <v>535102.85993188317</v>
      </c>
      <c r="D53" s="88"/>
      <c r="E53" s="88"/>
      <c r="F53" s="88"/>
      <c r="G53" s="88"/>
      <c r="H53" s="88" t="s">
        <v>703</v>
      </c>
    </row>
    <row r="57" spans="1:8">
      <c r="B57" s="87" t="s">
        <v>735</v>
      </c>
    </row>
    <row r="58" spans="1:8">
      <c r="A58" s="116" t="s">
        <v>720</v>
      </c>
      <c r="B58" s="87" t="s">
        <v>714</v>
      </c>
    </row>
    <row r="59" spans="1:8">
      <c r="A59" s="116"/>
      <c r="B59" s="87" t="s">
        <v>715</v>
      </c>
    </row>
    <row r="60" spans="1:8">
      <c r="A60" s="116"/>
      <c r="B60" s="87" t="s">
        <v>716</v>
      </c>
    </row>
    <row r="61" spans="1:8">
      <c r="A61" s="116"/>
      <c r="B61" s="87" t="s">
        <v>717</v>
      </c>
    </row>
    <row r="62" spans="1:8">
      <c r="A62" s="116" t="s">
        <v>721</v>
      </c>
      <c r="B62" s="87" t="s">
        <v>718</v>
      </c>
    </row>
    <row r="63" spans="1:8">
      <c r="A63" s="116"/>
      <c r="B63" s="87" t="s">
        <v>719</v>
      </c>
    </row>
    <row r="64" spans="1:8">
      <c r="A64" s="116"/>
      <c r="B64" s="87" t="s">
        <v>722</v>
      </c>
    </row>
    <row r="65" spans="1:8">
      <c r="A65" s="116"/>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116" t="s">
        <v>720</v>
      </c>
      <c r="B73" s="87" t="s">
        <v>714</v>
      </c>
    </row>
    <row r="74" spans="1:8">
      <c r="A74" s="116"/>
      <c r="B74" s="87" t="s">
        <v>715</v>
      </c>
    </row>
    <row r="75" spans="1:8">
      <c r="A75" s="116"/>
      <c r="B75" s="87" t="s">
        <v>716</v>
      </c>
    </row>
    <row r="76" spans="1:8">
      <c r="A76" s="116"/>
      <c r="B76" s="87" t="s">
        <v>717</v>
      </c>
    </row>
    <row r="77" spans="1:8">
      <c r="A77" s="116" t="s">
        <v>721</v>
      </c>
      <c r="B77" s="87" t="s">
        <v>718</v>
      </c>
    </row>
    <row r="78" spans="1:8">
      <c r="A78" s="116"/>
      <c r="B78" s="87" t="s">
        <v>719</v>
      </c>
    </row>
    <row r="79" spans="1:8">
      <c r="A79" s="116"/>
      <c r="B79" s="87" t="s">
        <v>722</v>
      </c>
    </row>
    <row r="80" spans="1:8">
      <c r="A80" s="116"/>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118" t="s">
        <v>3</v>
      </c>
      <c r="D3" s="119"/>
      <c r="E3" s="119"/>
      <c r="F3" s="119"/>
      <c r="G3" s="119"/>
      <c r="H3" s="119"/>
      <c r="I3" s="40" t="s">
        <v>4</v>
      </c>
      <c r="J3" s="39"/>
      <c r="K3" s="39"/>
      <c r="L3" s="39"/>
      <c r="M3" s="12"/>
      <c r="N3" s="12"/>
      <c r="O3" s="12"/>
      <c r="P3" s="12"/>
      <c r="Q3" s="12"/>
      <c r="R3" s="12"/>
      <c r="S3" s="12"/>
    </row>
    <row r="4" spans="1:19" ht="30" customHeight="1">
      <c r="A4" s="12"/>
      <c r="B4" s="42" t="s">
        <v>5</v>
      </c>
      <c r="C4" s="123" t="str">
        <f>VLOOKUP($B4,Scenarios!$A$2:$C$15, 2, 0)</f>
        <v>Repurpose both Echo &amp; Pima; lease both properties; fixed cost reduction rate, retention %, and transition cost assumptions are key drivers</v>
      </c>
      <c r="D4" s="124"/>
      <c r="E4" s="124"/>
      <c r="F4" s="124"/>
      <c r="G4" s="124"/>
      <c r="H4" s="124"/>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117" t="str">
        <f>VLOOKUP($B5,Scenarios!$A$2:$C$15, 2, 0)</f>
        <v>Echo &amp; Pima open; no operational or strategic growth actions; enrollment decline trend continues</v>
      </c>
      <c r="D5" s="115"/>
      <c r="E5" s="115"/>
      <c r="F5" s="115"/>
      <c r="G5" s="115"/>
      <c r="H5" s="115"/>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22" t="s">
        <v>7</v>
      </c>
      <c r="C24" s="115"/>
      <c r="D24" s="115"/>
      <c r="E24" s="115"/>
      <c r="F24" s="115"/>
      <c r="G24" s="115"/>
      <c r="H24" s="115"/>
      <c r="I24" s="115"/>
      <c r="J24" s="115"/>
      <c r="K24" s="115"/>
      <c r="L24" s="11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25"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115"/>
      <c r="F44" s="115"/>
      <c r="G44" s="115"/>
      <c r="H44" s="115"/>
      <c r="I44" s="115"/>
      <c r="J44" s="12"/>
      <c r="K44" s="12"/>
      <c r="L44" s="12"/>
      <c r="M44" s="12"/>
      <c r="N44" s="12"/>
      <c r="O44" s="12"/>
      <c r="P44" s="12"/>
      <c r="Q44" s="12"/>
      <c r="R44" s="12"/>
      <c r="S44" s="12"/>
    </row>
    <row r="45" spans="1:19">
      <c r="A45" s="12"/>
      <c r="B45" s="46" t="s">
        <v>27</v>
      </c>
      <c r="C45" s="36">
        <f>SUMIFS(Capital_Summary!$H$4:$H$83, Capital_Summary!$A$4:$A$83, B5, Capital_Summary!$B$4:$B$83, "FY2026")</f>
        <v>0</v>
      </c>
      <c r="D45" s="121"/>
      <c r="E45" s="115"/>
      <c r="F45" s="115"/>
      <c r="G45" s="115"/>
      <c r="H45" s="115"/>
      <c r="I45" s="115"/>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25"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115"/>
      <c r="F47" s="115"/>
      <c r="G47" s="115"/>
      <c r="H47" s="115"/>
      <c r="I47" s="115"/>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21"/>
      <c r="E48" s="115"/>
      <c r="F48" s="115"/>
      <c r="G48" s="115"/>
      <c r="H48" s="115"/>
      <c r="I48" s="115"/>
      <c r="J48" s="12"/>
      <c r="K48" s="12"/>
      <c r="L48" s="12"/>
      <c r="M48" s="12"/>
      <c r="N48" s="12"/>
      <c r="O48" s="12"/>
      <c r="P48" s="12"/>
      <c r="Q48" s="12"/>
      <c r="R48" s="12"/>
      <c r="S48" s="12"/>
    </row>
    <row r="49" spans="1:19">
      <c r="A49" s="12"/>
      <c r="B49" s="35" t="s">
        <v>30</v>
      </c>
      <c r="C49" s="36">
        <f>ROUND(C48-C47, -4)</f>
        <v>-980000</v>
      </c>
      <c r="D49" s="121"/>
      <c r="E49" s="115"/>
      <c r="F49" s="115"/>
      <c r="G49" s="115"/>
      <c r="H49" s="115"/>
      <c r="I49" s="115"/>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25" t="str">
        <f>"By 2030, "&amp;$B$5&amp;" will be $"&amp;TEXT(ABS(ROUND(C54,0)), "#,##0")&amp;" "&amp;IF(C54&lt;0,"MORE COSTLY","LESS COSTLY")&amp;" to operate annually than "&amp;$B$4&amp;""</f>
        <v>By 2030, E1_StatusQuo_Decline will be $1,450,000 MORE COSTLY to operate annually than A2_Repurpose_Both_lease</v>
      </c>
      <c r="E52" s="115"/>
      <c r="F52" s="115"/>
      <c r="G52" s="115"/>
      <c r="H52" s="115"/>
      <c r="I52" s="115"/>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21"/>
      <c r="E53" s="115"/>
      <c r="F53" s="115"/>
      <c r="G53" s="115"/>
      <c r="H53" s="115"/>
      <c r="I53" s="115"/>
      <c r="J53" s="12"/>
      <c r="K53" s="12"/>
      <c r="L53" s="12"/>
      <c r="M53" s="12"/>
      <c r="N53" s="12"/>
      <c r="O53" s="12"/>
      <c r="P53" s="12"/>
      <c r="Q53" s="12"/>
      <c r="R53" s="12"/>
      <c r="S53" s="12"/>
    </row>
    <row r="54" spans="1:19">
      <c r="A54" s="12"/>
      <c r="B54" s="35" t="s">
        <v>33</v>
      </c>
      <c r="C54" s="36">
        <f>ROUND(C53-C52, -4)</f>
        <v>-1450000</v>
      </c>
      <c r="D54" s="121"/>
      <c r="E54" s="115"/>
      <c r="F54" s="115"/>
      <c r="G54" s="115"/>
      <c r="H54" s="115"/>
      <c r="I54" s="115"/>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20" t="str">
        <f>""&amp;$B$5&amp;" will displace "&amp;ROUND(ABS(C57-C56),0)&amp;" "&amp;IF(C57&gt;C56,"MORE STUDENTS","FEWER STUDENTS")&amp;" than "&amp;$B$4&amp;""</f>
        <v>E1_StatusQuo_Decline will displace 553 FEWER STUDENTS than A2_Repurpose_Both_lease</v>
      </c>
      <c r="E56" s="115"/>
      <c r="F56" s="115"/>
      <c r="G56" s="115"/>
      <c r="H56" s="115"/>
      <c r="I56" s="115"/>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21"/>
      <c r="E57" s="115"/>
      <c r="F57" s="115"/>
      <c r="G57" s="115"/>
      <c r="H57" s="115"/>
      <c r="I57" s="115"/>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20" t="str">
        <f>""&amp;$B$5&amp;" will serve "&amp;ROUND(ABS(C60-C59),0)&amp;" "&amp;IF(C60&gt;C59,"MORE STUDENTS","FEWER STUDENTS")&amp;" than "&amp;$B$4&amp;""</f>
        <v>E1_StatusQuo_Decline will serve 104 MORE STUDENTS than A2_Repurpose_Both_lease</v>
      </c>
      <c r="E59" s="115"/>
      <c r="F59" s="115"/>
      <c r="G59" s="115"/>
      <c r="H59" s="115"/>
      <c r="I59" s="115"/>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21"/>
      <c r="E60" s="115"/>
      <c r="F60" s="115"/>
      <c r="G60" s="115"/>
      <c r="H60" s="115"/>
      <c r="I60" s="11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26"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27"/>
      <c r="D11" s="127"/>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-1600000</v>
      </c>
      <c r="D13" s="26">
        <f>SUMIFS(MultiYear_ProForma!$AF$2:$AF$66, MultiYear_ProForma!$B$2:$B$66, B13, MultiYear_ProForma!$C$2:$C$66, "FY2026")</f>
        <v>-76179.354787189513</v>
      </c>
      <c r="E13" s="26">
        <f>SUMIFS(MultiYear_ProForma!$AF$2:$AF$66, MultiYear_ProForma!$B$2:$B$66, B13, MultiYear_ProForma!$C$2:$C$66, "FY2028")</f>
        <v>190408.09696577955</v>
      </c>
      <c r="F13" s="26">
        <f>SUMIFS(MultiYear_ProForma!$AF$2:$AF$66, MultiYear_ProForma!$B$2:$B$66, B13, MultiYear_ProForma!$C$2:$C$66, "FY2030")</f>
        <v>303244.53497219086</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139710.41622982174</v>
      </c>
      <c r="H13" s="11">
        <f>SUMIFS(MultiYear_ProForma!$N$2:$N$66, MultiYear_ProForma!$B$2:$B$66, B13, MultiYear_ProForma!$C$2:$C$66, "FY2026")</f>
        <v>257</v>
      </c>
      <c r="I13" s="11">
        <f>SUMIFS(MultiYear_ProForma!$AC$2:$AC$66, MultiYear_ProForma!$B$2:$B$66, B13, MultiYear_ProForma!$C$2:$C$66, "FY2030")</f>
        <v>500.2</v>
      </c>
      <c r="J13" s="26">
        <f t="shared" si="1"/>
        <v>934438.20083439816</v>
      </c>
      <c r="K13" s="26">
        <f t="shared" si="2"/>
        <v>683781.43425146921</v>
      </c>
    </row>
    <row r="14" spans="1:14">
      <c r="A14" s="31" t="str">
        <f t="shared" si="0"/>
        <v>B1</v>
      </c>
      <c r="B14" t="s">
        <v>69</v>
      </c>
      <c r="C14" s="26">
        <f>SUMIFS(Capital_Summary!$H$4:$H$83, Capital_Summary!$A$4:$A$83, B14, Capital_Summary!$B$4:$B$83, "FY2026")*-1</f>
        <v>-2000000</v>
      </c>
      <c r="D14" s="26">
        <f>SUMIFS(MultiYear_ProForma!$AF$2:$AF$66, MultiYear_ProForma!$B$2:$B$66, B14, MultiYear_ProForma!$C$2:$C$66, "FY2026")</f>
        <v>-305189.97978718951</v>
      </c>
      <c r="E14" s="26">
        <f>SUMIFS(MultiYear_ProForma!$AF$2:$AF$66, MultiYear_ProForma!$B$2:$B$66, B14, MultiYear_ProForma!$C$2:$C$66, "FY2028")</f>
        <v>4044.9203898580745</v>
      </c>
      <c r="F14" s="26">
        <f>SUMIFS(MultiYear_ProForma!$AF$2:$AF$66, MultiYear_ProForma!$B$2:$B$66, B14, MultiYear_ProForma!$C$2:$C$66, "FY2030")</f>
        <v>107446.722582113</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-57091.904410402291</v>
      </c>
      <c r="H14" s="11">
        <f>SUMIFS(MultiYear_ProForma!$N$2:$N$66, MultiYear_ProForma!$B$2:$B$66, B14, MultiYear_ProForma!$C$2:$C$66, "FY2026")</f>
        <v>257</v>
      </c>
      <c r="I14" s="11">
        <f>SUMIFS(MultiYear_ProForma!$AC$2:$AC$66, MultiYear_ProForma!$B$2:$B$66, B14, MultiYear_ProForma!$C$2:$C$66, "FY2030")</f>
        <v>500.2</v>
      </c>
      <c r="J14" s="26">
        <f t="shared" si="1"/>
        <v>738640.3884443203</v>
      </c>
      <c r="K14" s="26">
        <f t="shared" si="2"/>
        <v>486979.11361124518</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28" t="s">
        <v>667</v>
      </c>
      <c r="D1" s="128"/>
      <c r="E1" s="128"/>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29" t="s">
        <v>73</v>
      </c>
      <c r="B1" s="130"/>
      <c r="C1" s="130"/>
      <c r="D1" s="130"/>
      <c r="E1" s="130"/>
      <c r="F1" s="130"/>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29" t="s">
        <v>131</v>
      </c>
      <c r="B12" s="130"/>
      <c r="C12" s="130"/>
      <c r="D12" s="130"/>
      <c r="E12" s="130"/>
      <c r="F12" s="130"/>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115" t="s">
        <v>207</v>
      </c>
      <c r="B29" s="115" t="s">
        <v>208</v>
      </c>
      <c r="C29" s="115" t="s">
        <v>209</v>
      </c>
      <c r="D29" s="115" t="s">
        <v>210</v>
      </c>
      <c r="E29" s="115" t="s">
        <v>211</v>
      </c>
      <c r="F29" s="115"/>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29" t="s">
        <v>679</v>
      </c>
      <c r="B35" s="130"/>
      <c r="C35" s="130"/>
      <c r="D35" s="130"/>
      <c r="E35" s="130"/>
      <c r="F35" s="130"/>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30" t="s">
        <v>239</v>
      </c>
      <c r="B38" s="130" t="s">
        <v>240</v>
      </c>
      <c r="C38" s="130" t="s">
        <v>241</v>
      </c>
      <c r="D38" s="130" t="s">
        <v>242</v>
      </c>
      <c r="E38" s="130" t="s">
        <v>243</v>
      </c>
      <c r="F38" s="130"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29" t="s">
        <v>259</v>
      </c>
      <c r="B43" s="130"/>
      <c r="C43" s="130"/>
      <c r="D43" s="130"/>
      <c r="E43" s="130"/>
      <c r="F43" s="130"/>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29" t="s">
        <v>677</v>
      </c>
      <c r="B50" s="130"/>
      <c r="C50" s="130"/>
      <c r="D50" s="130"/>
      <c r="E50" s="130"/>
      <c r="F50" s="130"/>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I3" activePane="bottomRight" state="frozen"/>
      <selection pane="topRight" activeCell="C1" sqref="C1"/>
      <selection pane="bottomLeft" activeCell="A2" sqref="A2"/>
      <selection pane="bottomRight" activeCell="N11" sqref="N11"/>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31" t="s">
        <v>667</v>
      </c>
      <c r="D1" s="131"/>
      <c r="E1" s="131"/>
      <c r="F1" s="131"/>
      <c r="G1" s="131"/>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844</v>
      </c>
      <c r="C11" s="22">
        <v>50</v>
      </c>
      <c r="D11" s="22">
        <v>1</v>
      </c>
      <c r="E11" s="22">
        <v>0</v>
      </c>
      <c r="F11" s="22">
        <v>0</v>
      </c>
      <c r="G11" s="22">
        <v>0</v>
      </c>
      <c r="H11" t="s">
        <v>340</v>
      </c>
      <c r="I11" s="11">
        <f t="shared" si="0"/>
        <v>16.666666666666668</v>
      </c>
      <c r="J11" s="11">
        <f t="shared" si="1"/>
        <v>33.333333333333336</v>
      </c>
      <c r="K11" s="11">
        <f t="shared" si="2"/>
        <v>50</v>
      </c>
      <c r="L11" s="11">
        <f t="shared" si="3"/>
        <v>50</v>
      </c>
      <c r="M11" s="11">
        <f t="shared" si="4"/>
        <v>50</v>
      </c>
      <c r="N11" t="s">
        <v>337</v>
      </c>
      <c r="O11" t="s">
        <v>331</v>
      </c>
      <c r="P11" t="s">
        <v>335</v>
      </c>
      <c r="Q11">
        <v>0</v>
      </c>
      <c r="R11">
        <v>0</v>
      </c>
    </row>
    <row r="12" spans="1:18">
      <c r="A12" t="s">
        <v>69</v>
      </c>
      <c r="B12" s="72" t="s">
        <v>845</v>
      </c>
      <c r="C12" s="22">
        <v>50</v>
      </c>
      <c r="D12" s="22">
        <v>1</v>
      </c>
      <c r="E12" s="22">
        <v>0</v>
      </c>
      <c r="F12" s="22">
        <v>0</v>
      </c>
      <c r="G12" s="22">
        <v>0</v>
      </c>
      <c r="H12" t="s">
        <v>341</v>
      </c>
      <c r="I12" s="11">
        <f t="shared" si="0"/>
        <v>16.666666666666668</v>
      </c>
      <c r="J12" s="11">
        <f t="shared" si="1"/>
        <v>33.333333333333336</v>
      </c>
      <c r="K12" s="11">
        <f t="shared" si="2"/>
        <v>50</v>
      </c>
      <c r="L12" s="11">
        <f t="shared" si="3"/>
        <v>50</v>
      </c>
      <c r="M12" s="11">
        <f t="shared" si="4"/>
        <v>50</v>
      </c>
      <c r="N12" t="s">
        <v>339</v>
      </c>
      <c r="O12" t="s">
        <v>331</v>
      </c>
      <c r="P12" t="s">
        <v>335</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312.66666666666669</v>
      </c>
      <c r="E68">
        <f t="shared" si="7"/>
        <v>312.66666666666669</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329.33333333333331</v>
      </c>
      <c r="E69">
        <f t="shared" si="7"/>
        <v>329.33333333333331</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346</v>
      </c>
      <c r="E70">
        <f t="shared" si="7"/>
        <v>346</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346</v>
      </c>
      <c r="E71">
        <f t="shared" si="7"/>
        <v>346</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346</v>
      </c>
      <c r="E72">
        <f t="shared" si="7"/>
        <v>346</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312.66666666666669</v>
      </c>
      <c r="E73">
        <f t="shared" si="7"/>
        <v>312.66666666666669</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329.33333333333331</v>
      </c>
      <c r="E74">
        <f t="shared" si="7"/>
        <v>329.33333333333331</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346</v>
      </c>
      <c r="E75">
        <f t="shared" si="7"/>
        <v>346</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346</v>
      </c>
      <c r="E76">
        <f t="shared" si="7"/>
        <v>346</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346</v>
      </c>
      <c r="E77">
        <f t="shared" si="7"/>
        <v>346</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C25" activePane="bottomRight" state="frozen"/>
      <selection activeCell="B2" sqref="B2"/>
      <selection pane="topRight" activeCell="B2" sqref="B2"/>
      <selection pane="bottomLeft" activeCell="B2" sqref="B2"/>
      <selection pane="bottomRight" activeCell="AE17" sqref="AE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312.66666666666669</v>
      </c>
      <c r="F42">
        <f t="shared" si="11"/>
        <v>312.66666666666669</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312.66666666666669</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3784647.316942405</v>
      </c>
      <c r="V42" s="2">
        <f t="shared" si="14"/>
        <v>1449998.6264647376</v>
      </c>
      <c r="W42" s="2">
        <f>U42+V42+IF(Parameters_Public!$C$28=1, T42, 0)</f>
        <v>5234645.9434071425</v>
      </c>
      <c r="X42" s="2">
        <f t="shared" si="15"/>
        <v>11212.293181651739</v>
      </c>
      <c r="Y42" s="2">
        <f>INDEX(YearMap!$I$2:$I$6, MATCH(C42, YearMap!$A$2:$A$6, 0))</f>
        <v>5013</v>
      </c>
      <c r="Z42" s="2">
        <f>W42 - ((Y42 + IF(Parameters_Public!$C$20=1, Parameters_Public!$C$19, 0))*AC42)</f>
        <v>2543182.9534071423</v>
      </c>
      <c r="AA42" s="2">
        <f t="shared" si="16"/>
        <v>5447.3431816517395</v>
      </c>
      <c r="AB42">
        <f>MAX(0, (MAX(0, $D42-BaselineCalc!$B$7) + MAX(0, $E42-BaselineCalc!$B$8)))</f>
        <v>16.666666666666686</v>
      </c>
      <c r="AC42" s="11">
        <f t="shared" si="17"/>
        <v>466.86666666666673</v>
      </c>
      <c r="AD42" s="2">
        <f>( (Y42 + IF(Parameters_Public!$C20=1, INDEX(YearMap!$O$2:$O$6, MATCH(C42, YearMap!$A$2:$A$6, 0)), 0)) * AC42 ) + AC42*INDEX(YearMap!$P$2:$P$6, MATCH(C42, YearMap!$A$2:$A$6, 0)) + AB42*( INDEX(YearMap!$R$2:$R$6, MATCH(C42, YearMap!$A$2:$A$6, 0)) - INDEX(YearMap!$P$2:$P$6, MATCH(C42, YearMap!$A$2:$A$6, 0)) )</f>
        <v>5106169.6566666672</v>
      </c>
      <c r="AE42" s="2">
        <f>(W42 - (1-Parameters_Public!$C$43)*$G42*$AB42*$J42*(1-$K42)) + AB42*INDEX(YearMap!$Q$2:$Q$6, MATCH(C42, YearMap!$A$2:$A$6, 0))</f>
        <v>5182349.0114538567</v>
      </c>
      <c r="AF42" s="2">
        <f t="shared" si="18"/>
        <v>-76179.354787189513</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329.33333333333331</v>
      </c>
      <c r="F43">
        <f t="shared" si="11"/>
        <v>329.33333333333331</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329.33333333333331</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4045699.9716837197</v>
      </c>
      <c r="V43" s="2">
        <f t="shared" si="14"/>
        <v>1451553.592126356</v>
      </c>
      <c r="W43" s="2">
        <f>U43+V43+IF(Parameters_Public!$C$28=1, T43, 0)</f>
        <v>5497253.5638100756</v>
      </c>
      <c r="X43" s="2">
        <f t="shared" si="15"/>
        <v>11368.923680842567</v>
      </c>
      <c r="Y43" s="2">
        <f>INDEX(YearMap!$I$2:$I$6, MATCH(C43, YearMap!$A$2:$A$6, 0))</f>
        <v>5138.3249999999998</v>
      </c>
      <c r="Z43" s="2">
        <f>W43 - ((Y43 + IF(Parameters_Public!$C$20=1, Parameters_Public!$C$19, 0))*AC43)</f>
        <v>2649109.2588100764</v>
      </c>
      <c r="AA43" s="2">
        <f t="shared" si="16"/>
        <v>5478.6486808425689</v>
      </c>
      <c r="AB43">
        <f>MAX(0, (MAX(0, $D43-BaselineCalc!$B$7) + MAX(0, $E43-BaselineCalc!$B$8)))</f>
        <v>33.333333333333314</v>
      </c>
      <c r="AC43" s="11">
        <f t="shared" si="17"/>
        <v>483.53333333333325</v>
      </c>
      <c r="AD43" s="2">
        <f>( (Y43 + IF(Parameters_Public!$C20=1, INDEX(YearMap!$O$2:$O$6, MATCH(C43, YearMap!$A$2:$A$6, 0)), 0)) * AC43 ) + AC43*INDEX(YearMap!$P$2:$P$6, MATCH(C43, YearMap!$A$2:$A$6, 0)) + AB43*( INDEX(YearMap!$R$2:$R$6, MATCH(C43, YearMap!$A$2:$A$6, 0)) - INDEX(YearMap!$P$2:$P$6, MATCH(C43, YearMap!$A$2:$A$6, 0)) )</f>
        <v>5407816.793916665</v>
      </c>
      <c r="AE43" s="2">
        <f>(W43 - (1-Parameters_Public!$C$43)*$G43*$AB43*$J43*(1-$K43)) + AB43*INDEX(YearMap!$Q$2:$Q$6, MATCH(C43, YearMap!$A$2:$A$6, 0))</f>
        <v>5388544.8533058409</v>
      </c>
      <c r="AF43" s="2">
        <f t="shared" si="18"/>
        <v>19271.940610824153</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346</v>
      </c>
      <c r="F44">
        <f t="shared" si="11"/>
        <v>346</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346</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4246368.0454987157</v>
      </c>
      <c r="V44" s="2">
        <f t="shared" si="14"/>
        <v>1453918.4319295147</v>
      </c>
      <c r="W44" s="2">
        <f>U44+V44+IF(Parameters_Public!$C$28=1, T44, 0)</f>
        <v>5700286.4774282305</v>
      </c>
      <c r="X44" s="2">
        <f t="shared" si="15"/>
        <v>11396.014549036847</v>
      </c>
      <c r="Y44" s="2">
        <f>INDEX(YearMap!$I$2:$I$6, MATCH(C44, YearMap!$A$2:$A$6, 0))</f>
        <v>5266.7831249999999</v>
      </c>
      <c r="Z44" s="2">
        <f>W44 - ((Y44 + IF(Parameters_Public!$C$20=1, Parameters_Public!$C$19, 0))*AC44)</f>
        <v>2689716.1683032308</v>
      </c>
      <c r="AA44" s="2">
        <f t="shared" si="16"/>
        <v>5377.2814240368471</v>
      </c>
      <c r="AB44">
        <f>MAX(0, (MAX(0, $D44-BaselineCalc!$B$7) + MAX(0, $E44-BaselineCalc!$B$8)))</f>
        <v>50</v>
      </c>
      <c r="AC44" s="11">
        <f t="shared" si="17"/>
        <v>500.2</v>
      </c>
      <c r="AD44" s="2">
        <f>( (Y44 + IF(Parameters_Public!$C20=1, INDEX(YearMap!$O$2:$O$6, MATCH(C44, YearMap!$A$2:$A$6, 0)), 0)) * AC44 ) + AC44*INDEX(YearMap!$P$2:$P$6, MATCH(C44, YearMap!$A$2:$A$6, 0)) + AB44*( INDEX(YearMap!$R$2:$R$6, MATCH(C44, YearMap!$A$2:$A$6, 0)) - INDEX(YearMap!$P$2:$P$6, MATCH(C44, YearMap!$A$2:$A$6, 0)) )</f>
        <v>5721354.9319937499</v>
      </c>
      <c r="AE44" s="2">
        <f>(W44 - (1-Parameters_Public!$C$43)*$G44*$AB44*$J44*(1-$K44)) + AB44*INDEX(YearMap!$Q$2:$Q$6, MATCH(C44, YearMap!$A$2:$A$6, 0))</f>
        <v>5530946.8350279704</v>
      </c>
      <c r="AF44" s="2">
        <f t="shared" si="18"/>
        <v>190408.09696577955</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346</v>
      </c>
      <c r="F45">
        <f t="shared" si="11"/>
        <v>346</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346</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4304771.6826386042</v>
      </c>
      <c r="V45" s="2">
        <f t="shared" si="14"/>
        <v>1472533.3927277524</v>
      </c>
      <c r="W45" s="2">
        <f>U45+V45+IF(Parameters_Public!$C$28=1, T45, 0)</f>
        <v>5777305.0753663564</v>
      </c>
      <c r="X45" s="2">
        <f t="shared" si="15"/>
        <v>11549.990154670844</v>
      </c>
      <c r="Y45" s="2">
        <f>INDEX(YearMap!$I$2:$I$6, MATCH(C45, YearMap!$A$2:$A$6, 0))</f>
        <v>5398.4527031249991</v>
      </c>
      <c r="Z45" s="2">
        <f>W45 - ((Y45 + IF(Parameters_Public!$C$20=1, Parameters_Public!$C$19, 0))*AC45)</f>
        <v>2700873.643263232</v>
      </c>
      <c r="AA45" s="2">
        <f t="shared" si="16"/>
        <v>5399.5874515458454</v>
      </c>
      <c r="AB45">
        <f>MAX(0, (MAX(0, $D45-BaselineCalc!$B$7) + MAX(0, $E45-BaselineCalc!$B$8)))</f>
        <v>50</v>
      </c>
      <c r="AC45" s="11">
        <f t="shared" si="17"/>
        <v>500.2</v>
      </c>
      <c r="AD45" s="2">
        <f>( (Y45 + IF(Parameters_Public!$C20=1, INDEX(YearMap!$O$2:$O$6, MATCH(C45, YearMap!$A$2:$A$6, 0)), 0)) * AC45 ) + AC45*INDEX(YearMap!$P$2:$P$6, MATCH(C45, YearMap!$A$2:$A$6, 0)) + AB45*( INDEX(YearMap!$R$2:$R$6, MATCH(C45, YearMap!$A$2:$A$6, 0)) - INDEX(YearMap!$P$2:$P$6, MATCH(C45, YearMap!$A$2:$A$6, 0)) )</f>
        <v>5864388.8052935926</v>
      </c>
      <c r="AE45" s="2">
        <f>(W45 - (1-Parameters_Public!$C$43)*$G45*$AB45*$J45*(1-$K45)) + AB45*INDEX(YearMap!$Q$2:$Q$6, MATCH(C45, YearMap!$A$2:$A$6, 0))</f>
        <v>5602581.941906089</v>
      </c>
      <c r="AF45" s="2">
        <f t="shared" si="18"/>
        <v>261806.86338750366</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346</v>
      </c>
      <c r="F46">
        <f t="shared" si="11"/>
        <v>346</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346</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4412390.9747045683</v>
      </c>
      <c r="V46" s="2">
        <f t="shared" si="14"/>
        <v>1476579.2275459461</v>
      </c>
      <c r="W46" s="2">
        <f>U46+V46+IF(Parameters_Public!$C$28=1, T46, 0)</f>
        <v>5888970.2022505142</v>
      </c>
      <c r="X46" s="2">
        <f t="shared" si="15"/>
        <v>11773.231112056206</v>
      </c>
      <c r="Y46" s="2">
        <f>INDEX(YearMap!$I$2:$I$6, MATCH(C46, YearMap!$A$2:$A$6, 0))</f>
        <v>5533.4140207031242</v>
      </c>
      <c r="Z46" s="2">
        <f>W46 - ((Y46 + IF(Parameters_Public!$C$20=1, Parameters_Public!$C$19, 0))*AC46)</f>
        <v>2745031.1190948118</v>
      </c>
      <c r="AA46" s="2">
        <f t="shared" si="16"/>
        <v>5487.8670913530823</v>
      </c>
      <c r="AB46">
        <f>MAX(0, (MAX(0, $D46-BaselineCalc!$B$7) + MAX(0, $E46-BaselineCalc!$B$8)))</f>
        <v>50</v>
      </c>
      <c r="AC46" s="11">
        <f t="shared" si="17"/>
        <v>500.2</v>
      </c>
      <c r="AD46" s="2">
        <f>( (Y46 + IF(Parameters_Public!$C20=1, INDEX(YearMap!$O$2:$O$6, MATCH(C46, YearMap!$A$2:$A$6, 0)), 0)) * AC46 ) + AC46*INDEX(YearMap!$P$2:$P$6, MATCH(C46, YearMap!$A$2:$A$6, 0)) + AB46*( INDEX(YearMap!$R$2:$R$6, MATCH(C46, YearMap!$A$2:$A$6, 0)) - INDEX(YearMap!$P$2:$P$6, MATCH(C46, YearMap!$A$2:$A$6, 0)) )</f>
        <v>6010998.5254259314</v>
      </c>
      <c r="AE46" s="2">
        <f>(W46 - (1-Parameters_Public!$C$43)*$G46*$AB46*$J46*(1-$K46)) + AB46*INDEX(YearMap!$Q$2:$Q$6, MATCH(C46, YearMap!$A$2:$A$6, 0))</f>
        <v>5707753.9904537406</v>
      </c>
      <c r="AF46" s="2">
        <f t="shared" si="18"/>
        <v>303244.53497219086</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312.66666666666669</v>
      </c>
      <c r="F47">
        <f t="shared" si="11"/>
        <v>312.66666666666669</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312.66666666666669</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4013657.9419424045</v>
      </c>
      <c r="V47" s="2">
        <f t="shared" si="14"/>
        <v>1449998.6264647376</v>
      </c>
      <c r="W47" s="2">
        <f>U47+V47+IF(Parameters_Public!$C$28=1, T47, 0)</f>
        <v>5463656.5684071425</v>
      </c>
      <c r="X47" s="2">
        <f t="shared" si="15"/>
        <v>11702.820009439831</v>
      </c>
      <c r="Y47" s="2">
        <f>INDEX(YearMap!$I$2:$I$6, MATCH(C47, YearMap!$A$2:$A$6, 0))</f>
        <v>5013</v>
      </c>
      <c r="Z47" s="2">
        <f>W47 - ((Y47 + IF(Parameters_Public!$C$20=1, Parameters_Public!$C$19, 0))*AC47)</f>
        <v>2772193.5784071423</v>
      </c>
      <c r="AA47" s="2">
        <f t="shared" si="16"/>
        <v>5937.87000943983</v>
      </c>
      <c r="AB47">
        <f>MAX(0, (MAX(0, $D47-BaselineCalc!$B$7) + MAX(0, $E47-BaselineCalc!$B$8)))</f>
        <v>16.666666666666686</v>
      </c>
      <c r="AC47" s="11">
        <f t="shared" si="17"/>
        <v>466.86666666666673</v>
      </c>
      <c r="AD47" s="2">
        <f>( (Y47 + IF(Parameters_Public!$C20=1, INDEX(YearMap!$O$2:$O$6, MATCH(C47, YearMap!$A$2:$A$6, 0)), 0)) * AC47 ) + AC47*INDEX(YearMap!$P$2:$P$6, MATCH(C47, YearMap!$A$2:$A$6, 0)) + AB47*( INDEX(YearMap!$R$2:$R$6, MATCH(C47, YearMap!$A$2:$A$6, 0)) - INDEX(YearMap!$P$2:$P$6, MATCH(C47, YearMap!$A$2:$A$6, 0)) )</f>
        <v>5106169.6566666672</v>
      </c>
      <c r="AE47" s="2">
        <f>(W47 - (1-Parameters_Public!$C$43)*$G47*$AB47*$J47*(1-$K47)) + AB47*INDEX(YearMap!$Q$2:$Q$6, MATCH(C47, YearMap!$A$2:$A$6, 0))</f>
        <v>5411359.6364538567</v>
      </c>
      <c r="AF47" s="2">
        <f t="shared" si="18"/>
        <v>-305189.97978718951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329.33333333333331</v>
      </c>
      <c r="F48">
        <f t="shared" si="11"/>
        <v>329.33333333333331</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329.33333333333331</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4227517.7049285211</v>
      </c>
      <c r="V48" s="2">
        <f t="shared" si="14"/>
        <v>1451553.592126356</v>
      </c>
      <c r="W48" s="2">
        <f>U48+V48+IF(Parameters_Public!$C$28=1, T48, 0)</f>
        <v>5679071.2970548775</v>
      </c>
      <c r="X48" s="2">
        <f t="shared" si="15"/>
        <v>11744.942707269152</v>
      </c>
      <c r="Y48" s="2">
        <f>INDEX(YearMap!$I$2:$I$6, MATCH(C48, YearMap!$A$2:$A$6, 0))</f>
        <v>5138.3249999999998</v>
      </c>
      <c r="Z48" s="2">
        <f>W48 - ((Y48 + IF(Parameters_Public!$C$20=1, Parameters_Public!$C$19, 0))*AC48)</f>
        <v>2830926.9920548783</v>
      </c>
      <c r="AA48" s="2">
        <f t="shared" si="16"/>
        <v>5854.6677072691555</v>
      </c>
      <c r="AB48">
        <f>MAX(0, (MAX(0, $D48-BaselineCalc!$B$7) + MAX(0, $E48-BaselineCalc!$B$8)))</f>
        <v>33.333333333333314</v>
      </c>
      <c r="AC48" s="11">
        <f t="shared" si="17"/>
        <v>483.53333333333325</v>
      </c>
      <c r="AD48" s="2">
        <f>( (Y48 + IF(Parameters_Public!$C20=1, INDEX(YearMap!$O$2:$O$6, MATCH(C48, YearMap!$A$2:$A$6, 0)), 0)) * AC48 ) + AC48*INDEX(YearMap!$P$2:$P$6, MATCH(C48, YearMap!$A$2:$A$6, 0)) + AB48*( INDEX(YearMap!$R$2:$R$6, MATCH(C48, YearMap!$A$2:$A$6, 0)) - INDEX(YearMap!$P$2:$P$6, MATCH(C48, YearMap!$A$2:$A$6, 0)) )</f>
        <v>5407816.793916665</v>
      </c>
      <c r="AE48" s="2">
        <f>(W48 - (1-Parameters_Public!$C$43)*$G48*$AB48*$J48*(1-$K48)) + AB48*INDEX(YearMap!$Q$2:$Q$6, MATCH(C48, YearMap!$A$2:$A$6, 0))</f>
        <v>5570362.5865506427</v>
      </c>
      <c r="AF48" s="2">
        <f t="shared" si="18"/>
        <v>-162545.79263397772</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346</v>
      </c>
      <c r="F49">
        <f t="shared" si="11"/>
        <v>346</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346</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4432731.2220746372</v>
      </c>
      <c r="V49" s="2">
        <f t="shared" si="14"/>
        <v>1453918.4319295147</v>
      </c>
      <c r="W49" s="2">
        <f>U49+V49+IF(Parameters_Public!$C$28=1, T49, 0)</f>
        <v>5886649.6540041519</v>
      </c>
      <c r="X49" s="2">
        <f t="shared" si="15"/>
        <v>11768.5918712598</v>
      </c>
      <c r="Y49" s="2">
        <f>INDEX(YearMap!$I$2:$I$6, MATCH(C49, YearMap!$A$2:$A$6, 0))</f>
        <v>5266.7831249999999</v>
      </c>
      <c r="Z49" s="2">
        <f>W49 - ((Y49 + IF(Parameters_Public!$C$20=1, Parameters_Public!$C$19, 0))*AC49)</f>
        <v>2876079.3448791523</v>
      </c>
      <c r="AA49" s="2">
        <f t="shared" si="16"/>
        <v>5749.8587462598007</v>
      </c>
      <c r="AB49">
        <f>MAX(0, (MAX(0, $D49-BaselineCalc!$B$7) + MAX(0, $E49-BaselineCalc!$B$8)))</f>
        <v>50</v>
      </c>
      <c r="AC49" s="11">
        <f t="shared" si="17"/>
        <v>500.2</v>
      </c>
      <c r="AD49" s="2">
        <f>( (Y49 + IF(Parameters_Public!$C20=1, INDEX(YearMap!$O$2:$O$6, MATCH(C49, YearMap!$A$2:$A$6, 0)), 0)) * AC49 ) + AC49*INDEX(YearMap!$P$2:$P$6, MATCH(C49, YearMap!$A$2:$A$6, 0)) + AB49*( INDEX(YearMap!$R$2:$R$6, MATCH(C49, YearMap!$A$2:$A$6, 0)) - INDEX(YearMap!$P$2:$P$6, MATCH(C49, YearMap!$A$2:$A$6, 0)) )</f>
        <v>5721354.9319937499</v>
      </c>
      <c r="AE49" s="2">
        <f>(W49 - (1-Parameters_Public!$C$43)*$G49*$AB49*$J49*(1-$K49)) + AB49*INDEX(YearMap!$Q$2:$Q$6, MATCH(C49, YearMap!$A$2:$A$6, 0))</f>
        <v>5717310.0116038918</v>
      </c>
      <c r="AF49" s="2">
        <f t="shared" si="18"/>
        <v>4044.9203898580745</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346</v>
      </c>
      <c r="F50">
        <f t="shared" si="11"/>
        <v>346</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346</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4495793.9386289231</v>
      </c>
      <c r="V50" s="2">
        <f t="shared" si="14"/>
        <v>1472533.3927277524</v>
      </c>
      <c r="W50" s="2">
        <f>U50+V50+IF(Parameters_Public!$C$28=1, T50, 0)</f>
        <v>5968327.3313566754</v>
      </c>
      <c r="X50" s="2">
        <f t="shared" si="15"/>
        <v>11931.881909949372</v>
      </c>
      <c r="Y50" s="2">
        <f>INDEX(YearMap!$I$2:$I$6, MATCH(C50, YearMap!$A$2:$A$6, 0))</f>
        <v>5398.4527031249991</v>
      </c>
      <c r="Z50" s="2">
        <f>W50 - ((Y50 + IF(Parameters_Public!$C$20=1, Parameters_Public!$C$19, 0))*AC50)</f>
        <v>2891895.8992535509</v>
      </c>
      <c r="AA50" s="2">
        <f t="shared" si="16"/>
        <v>5781.4792068243723</v>
      </c>
      <c r="AB50">
        <f>MAX(0, (MAX(0, $D50-BaselineCalc!$B$7) + MAX(0, $E50-BaselineCalc!$B$8)))</f>
        <v>50</v>
      </c>
      <c r="AC50" s="11">
        <f t="shared" si="17"/>
        <v>500.2</v>
      </c>
      <c r="AD50" s="2">
        <f>( (Y50 + IF(Parameters_Public!$C20=1, INDEX(YearMap!$O$2:$O$6, MATCH(C50, YearMap!$A$2:$A$6, 0)), 0)) * AC50 ) + AC50*INDEX(YearMap!$P$2:$P$6, MATCH(C50, YearMap!$A$2:$A$6, 0)) + AB50*( INDEX(YearMap!$R$2:$R$6, MATCH(C50, YearMap!$A$2:$A$6, 0)) - INDEX(YearMap!$P$2:$P$6, MATCH(C50, YearMap!$A$2:$A$6, 0)) )</f>
        <v>5864388.8052935926</v>
      </c>
      <c r="AE50" s="2">
        <f>(W50 - (1-Parameters_Public!$C$43)*$G50*$AB50*$J50*(1-$K50)) + AB50*INDEX(YearMap!$Q$2:$Q$6, MATCH(C50, YearMap!$A$2:$A$6, 0))</f>
        <v>5793604.1978964079</v>
      </c>
      <c r="AF50" s="2">
        <f t="shared" si="18"/>
        <v>70784.607397184707</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346</v>
      </c>
      <c r="F51">
        <f t="shared" si="11"/>
        <v>346</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346</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4608188.7870946461</v>
      </c>
      <c r="V51" s="2">
        <f t="shared" si="14"/>
        <v>1476579.2275459461</v>
      </c>
      <c r="W51" s="2">
        <f>U51+V51+IF(Parameters_Public!$C$28=1, T51, 0)</f>
        <v>6084768.014640592</v>
      </c>
      <c r="X51" s="2">
        <f t="shared" si="15"/>
        <v>12164.670161216698</v>
      </c>
      <c r="Y51" s="2">
        <f>INDEX(YearMap!$I$2:$I$6, MATCH(C51, YearMap!$A$2:$A$6, 0))</f>
        <v>5533.4140207031242</v>
      </c>
      <c r="Z51" s="2">
        <f>W51 - ((Y51 + IF(Parameters_Public!$C$20=1, Parameters_Public!$C$19, 0))*AC51)</f>
        <v>2940828.9314848897</v>
      </c>
      <c r="AA51" s="2">
        <f t="shared" si="16"/>
        <v>5879.3061405135741</v>
      </c>
      <c r="AB51">
        <f>MAX(0, (MAX(0, $D51-BaselineCalc!$B$7) + MAX(0, $E51-BaselineCalc!$B$8)))</f>
        <v>50</v>
      </c>
      <c r="AC51" s="11">
        <f t="shared" si="17"/>
        <v>500.2</v>
      </c>
      <c r="AD51" s="2">
        <f>( (Y51 + IF(Parameters_Public!$C20=1, INDEX(YearMap!$O$2:$O$6, MATCH(C51, YearMap!$A$2:$A$6, 0)), 0)) * AC51 ) + AC51*INDEX(YearMap!$P$2:$P$6, MATCH(C51, YearMap!$A$2:$A$6, 0)) + AB51*( INDEX(YearMap!$R$2:$R$6, MATCH(C51, YearMap!$A$2:$A$6, 0)) - INDEX(YearMap!$P$2:$P$6, MATCH(C51, YearMap!$A$2:$A$6, 0)) )</f>
        <v>6010998.5254259314</v>
      </c>
      <c r="AE51" s="2">
        <f>(W51 - (1-Parameters_Public!$C$43)*$G51*$AB51*$J51*(1-$K51)) + AB51*INDEX(YearMap!$Q$2:$Q$6, MATCH(C51, YearMap!$A$2:$A$6, 0))</f>
        <v>5903551.8028438184</v>
      </c>
      <c r="AF51" s="2">
        <f t="shared" si="18"/>
        <v>107446.722582113</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64"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115" t="s">
        <v>374</v>
      </c>
      <c r="B1" s="115"/>
      <c r="C1" s="115"/>
      <c r="D1" s="115"/>
      <c r="E1" s="115"/>
      <c r="F1" s="115"/>
      <c r="G1" s="115"/>
      <c r="H1" s="115"/>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800000</v>
      </c>
      <c r="G44">
        <f>IF($B44="FY2026", INDEX(Receiving_Capacity!$L:$L, MATCH($A44, Receiving_Capacity!$A:$A, 0)), 0)</f>
        <v>0</v>
      </c>
      <c r="H44">
        <f t="shared" si="1"/>
        <v>1600000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800000</v>
      </c>
      <c r="G49">
        <f>IF($B49="FY2026", INDEX(Receiving_Capacity!$L:$L, MATCH($A49, Receiving_Capacity!$A:$A, 0)), 0)</f>
        <v>0</v>
      </c>
      <c r="H49">
        <f t="shared" si="1"/>
        <v>2000000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1600000</v>
      </c>
    </row>
    <row r="80" spans="1:8">
      <c r="A80" t="str">
        <v>B1_Repurpose_Echo_ops_PimaTargets</v>
      </c>
      <c r="B80" s="29">
        <f t="shared" si="3"/>
        <v>2000000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115" t="s">
        <v>382</v>
      </c>
      <c r="B1" s="115"/>
      <c r="C1" s="115"/>
      <c r="D1" s="115"/>
      <c r="E1" s="115"/>
      <c r="F1" s="115"/>
      <c r="G1" s="115"/>
      <c r="H1" s="115"/>
      <c r="I1" s="115"/>
      <c r="J1" s="115"/>
      <c r="K1" s="115"/>
      <c r="L1" s="115"/>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32" t="s">
        <v>463</v>
      </c>
      <c r="D5" s="133"/>
      <c r="E5" s="133"/>
      <c r="F5" s="133"/>
      <c r="G5" s="134"/>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794</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Q2" sqref="Q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35" t="s">
        <v>731</v>
      </c>
      <c r="C3" s="135"/>
      <c r="D3" s="135"/>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35" t="s">
        <v>730</v>
      </c>
      <c r="C19" s="135"/>
      <c r="D19" s="135"/>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2025-11-08T18:05:35Z</dcterms:modified>
</cp:coreProperties>
</file>