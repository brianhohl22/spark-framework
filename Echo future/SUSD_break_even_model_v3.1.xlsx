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7b1534c68434be/Desktop/3.Emi^0Irie/8.Echo Canyon/Echo future/"/>
    </mc:Choice>
  </mc:AlternateContent>
  <xr:revisionPtr revIDLastSave="7" documentId="11_B8A97A339F7432E4CFA2ADA0ADE10EAB08ACCD90" xr6:coauthVersionLast="47" xr6:coauthVersionMax="47" xr10:uidLastSave="{372FC5F0-8AB5-4BED-97BB-94DCA4853C79}"/>
  <bookViews>
    <workbookView xWindow="-110" yWindow="-110" windowWidth="19420" windowHeight="10300" activeTab="2" xr2:uid="{00000000-000D-0000-FFFF-FFFF00000000}"/>
  </bookViews>
  <sheets>
    <sheet name="BaselineCalc" sheetId="1" r:id="rId1"/>
    <sheet name="YearMap" sheetId="2" r:id="rId2"/>
    <sheet name="Scenarios" sheetId="3" r:id="rId3"/>
    <sheet name="MultiYear_ProForma" sheetId="4" r:id="rId4"/>
    <sheet name="Notes" sheetId="5" r:id="rId5"/>
    <sheet name="Summary_Cost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6" l="1"/>
  <c r="A8" i="6"/>
  <c r="A7" i="6"/>
  <c r="A6" i="6"/>
  <c r="A5" i="6"/>
  <c r="A4" i="6"/>
  <c r="A3" i="6"/>
  <c r="A2" i="6"/>
  <c r="S61" i="4"/>
  <c r="P61" i="4"/>
  <c r="O61" i="4"/>
  <c r="I61" i="4"/>
  <c r="S60" i="4"/>
  <c r="P60" i="4"/>
  <c r="O60" i="4"/>
  <c r="I60" i="4"/>
  <c r="S59" i="4"/>
  <c r="P59" i="4"/>
  <c r="O59" i="4"/>
  <c r="I59" i="4"/>
  <c r="S58" i="4"/>
  <c r="P58" i="4"/>
  <c r="O58" i="4"/>
  <c r="I58" i="4"/>
  <c r="P57" i="4"/>
  <c r="O57" i="4"/>
  <c r="I57" i="4"/>
  <c r="S56" i="4"/>
  <c r="P56" i="4"/>
  <c r="O56" i="4"/>
  <c r="I56" i="4"/>
  <c r="S55" i="4"/>
  <c r="P55" i="4"/>
  <c r="O55" i="4"/>
  <c r="I55" i="4"/>
  <c r="S54" i="4"/>
  <c r="P54" i="4"/>
  <c r="O54" i="4"/>
  <c r="I54" i="4"/>
  <c r="S53" i="4"/>
  <c r="P53" i="4"/>
  <c r="O53" i="4"/>
  <c r="I53" i="4"/>
  <c r="P52" i="4"/>
  <c r="O52" i="4"/>
  <c r="I52" i="4"/>
  <c r="S51" i="4"/>
  <c r="P51" i="4"/>
  <c r="O51" i="4"/>
  <c r="I51" i="4"/>
  <c r="S50" i="4"/>
  <c r="P50" i="4"/>
  <c r="O50" i="4"/>
  <c r="I50" i="4"/>
  <c r="S49" i="4"/>
  <c r="P49" i="4"/>
  <c r="O49" i="4"/>
  <c r="I49" i="4"/>
  <c r="S48" i="4"/>
  <c r="P48" i="4"/>
  <c r="O48" i="4"/>
  <c r="I48" i="4"/>
  <c r="P47" i="4"/>
  <c r="O47" i="4"/>
  <c r="I47" i="4"/>
  <c r="S46" i="4"/>
  <c r="P46" i="4"/>
  <c r="O46" i="4"/>
  <c r="I46" i="4"/>
  <c r="S45" i="4"/>
  <c r="P45" i="4"/>
  <c r="O45" i="4"/>
  <c r="I45" i="4"/>
  <c r="S44" i="4"/>
  <c r="P44" i="4"/>
  <c r="O44" i="4"/>
  <c r="I44" i="4"/>
  <c r="S43" i="4"/>
  <c r="P43" i="4"/>
  <c r="O43" i="4"/>
  <c r="I43" i="4"/>
  <c r="P42" i="4"/>
  <c r="O42" i="4"/>
  <c r="I42" i="4"/>
  <c r="S41" i="4"/>
  <c r="P41" i="4"/>
  <c r="O41" i="4"/>
  <c r="L41" i="4"/>
  <c r="D41" i="4" s="1"/>
  <c r="K41" i="4"/>
  <c r="C41" i="4" s="1"/>
  <c r="J41" i="4"/>
  <c r="I41" i="4"/>
  <c r="A41" i="4"/>
  <c r="X41" i="4" s="1"/>
  <c r="S40" i="4"/>
  <c r="P40" i="4"/>
  <c r="O40" i="4"/>
  <c r="J40" i="4"/>
  <c r="I40" i="4"/>
  <c r="A40" i="4"/>
  <c r="X40" i="4" s="1"/>
  <c r="S39" i="4"/>
  <c r="P39" i="4"/>
  <c r="O39" i="4"/>
  <c r="J39" i="4"/>
  <c r="I39" i="4"/>
  <c r="A39" i="4"/>
  <c r="X39" i="4" s="1"/>
  <c r="S38" i="4"/>
  <c r="P38" i="4"/>
  <c r="O38" i="4"/>
  <c r="J38" i="4"/>
  <c r="I38" i="4"/>
  <c r="A38" i="4"/>
  <c r="X38" i="4" s="1"/>
  <c r="S37" i="4"/>
  <c r="P37" i="4"/>
  <c r="O37" i="4"/>
  <c r="J37" i="4"/>
  <c r="I37" i="4"/>
  <c r="A37" i="4"/>
  <c r="X37" i="4" s="1"/>
  <c r="S36" i="4"/>
  <c r="P36" i="4"/>
  <c r="O36" i="4"/>
  <c r="L36" i="4"/>
  <c r="K36" i="4"/>
  <c r="J36" i="4"/>
  <c r="I36" i="4"/>
  <c r="D36" i="4"/>
  <c r="C36" i="4"/>
  <c r="A36" i="4"/>
  <c r="X36" i="4" s="1"/>
  <c r="S35" i="4"/>
  <c r="P35" i="4"/>
  <c r="O35" i="4"/>
  <c r="J35" i="4"/>
  <c r="I35" i="4"/>
  <c r="D35" i="4"/>
  <c r="C35" i="4"/>
  <c r="A35" i="4"/>
  <c r="X35" i="4" s="1"/>
  <c r="S34" i="4"/>
  <c r="P34" i="4"/>
  <c r="O34" i="4"/>
  <c r="J34" i="4"/>
  <c r="I34" i="4"/>
  <c r="D34" i="4"/>
  <c r="C34" i="4"/>
  <c r="A34" i="4"/>
  <c r="X34" i="4" s="1"/>
  <c r="S33" i="4"/>
  <c r="P33" i="4"/>
  <c r="O33" i="4"/>
  <c r="J33" i="4"/>
  <c r="I33" i="4"/>
  <c r="D33" i="4"/>
  <c r="C33" i="4"/>
  <c r="A33" i="4"/>
  <c r="X33" i="4" s="1"/>
  <c r="S32" i="4"/>
  <c r="P32" i="4"/>
  <c r="O32" i="4"/>
  <c r="J32" i="4"/>
  <c r="I32" i="4"/>
  <c r="D32" i="4"/>
  <c r="C32" i="4"/>
  <c r="A32" i="4"/>
  <c r="X32" i="4" s="1"/>
  <c r="S31" i="4"/>
  <c r="P31" i="4"/>
  <c r="O31" i="4"/>
  <c r="L31" i="4"/>
  <c r="D31" i="4" s="1"/>
  <c r="K31" i="4"/>
  <c r="C31" i="4" s="1"/>
  <c r="J31" i="4"/>
  <c r="I31" i="4"/>
  <c r="A31" i="4"/>
  <c r="X31" i="4" s="1"/>
  <c r="S30" i="4"/>
  <c r="P30" i="4"/>
  <c r="O30" i="4"/>
  <c r="J30" i="4"/>
  <c r="I30" i="4"/>
  <c r="A30" i="4"/>
  <c r="X30" i="4" s="1"/>
  <c r="S29" i="4"/>
  <c r="P29" i="4"/>
  <c r="O29" i="4"/>
  <c r="J29" i="4"/>
  <c r="I29" i="4"/>
  <c r="A29" i="4"/>
  <c r="X29" i="4" s="1"/>
  <c r="S28" i="4"/>
  <c r="P28" i="4"/>
  <c r="O28" i="4"/>
  <c r="J28" i="4"/>
  <c r="I28" i="4"/>
  <c r="A28" i="4"/>
  <c r="X28" i="4" s="1"/>
  <c r="S27" i="4"/>
  <c r="P27" i="4"/>
  <c r="O27" i="4"/>
  <c r="J27" i="4"/>
  <c r="I27" i="4"/>
  <c r="A27" i="4"/>
  <c r="X27" i="4" s="1"/>
  <c r="S26" i="4"/>
  <c r="P26" i="4"/>
  <c r="O26" i="4"/>
  <c r="L26" i="4"/>
  <c r="D26" i="4" s="1"/>
  <c r="K26" i="4"/>
  <c r="C26" i="4" s="1"/>
  <c r="J26" i="4"/>
  <c r="I26" i="4"/>
  <c r="A26" i="4"/>
  <c r="X26" i="4" s="1"/>
  <c r="S25" i="4"/>
  <c r="P25" i="4"/>
  <c r="O25" i="4"/>
  <c r="J25" i="4"/>
  <c r="I25" i="4"/>
  <c r="A25" i="4"/>
  <c r="X25" i="4" s="1"/>
  <c r="S24" i="4"/>
  <c r="P24" i="4"/>
  <c r="O24" i="4"/>
  <c r="J24" i="4"/>
  <c r="I24" i="4"/>
  <c r="A24" i="4"/>
  <c r="X24" i="4" s="1"/>
  <c r="S23" i="4"/>
  <c r="P23" i="4"/>
  <c r="O23" i="4"/>
  <c r="J23" i="4"/>
  <c r="I23" i="4"/>
  <c r="A23" i="4"/>
  <c r="X23" i="4" s="1"/>
  <c r="S22" i="4"/>
  <c r="P22" i="4"/>
  <c r="O22" i="4"/>
  <c r="J22" i="4"/>
  <c r="I22" i="4"/>
  <c r="A22" i="4"/>
  <c r="X22" i="4" s="1"/>
  <c r="S21" i="4"/>
  <c r="P21" i="4"/>
  <c r="O21" i="4"/>
  <c r="L21" i="4"/>
  <c r="D21" i="4" s="1"/>
  <c r="K21" i="4"/>
  <c r="J21" i="4"/>
  <c r="I21" i="4"/>
  <c r="A21" i="4"/>
  <c r="X21" i="4" s="1"/>
  <c r="S20" i="4"/>
  <c r="P20" i="4"/>
  <c r="O20" i="4"/>
  <c r="J20" i="4"/>
  <c r="I20" i="4"/>
  <c r="A20" i="4"/>
  <c r="X20" i="4" s="1"/>
  <c r="S19" i="4"/>
  <c r="P19" i="4"/>
  <c r="O19" i="4"/>
  <c r="J19" i="4"/>
  <c r="I19" i="4"/>
  <c r="A19" i="4"/>
  <c r="X19" i="4" s="1"/>
  <c r="S18" i="4"/>
  <c r="P18" i="4"/>
  <c r="O18" i="4"/>
  <c r="J18" i="4"/>
  <c r="I18" i="4"/>
  <c r="A18" i="4"/>
  <c r="X18" i="4" s="1"/>
  <c r="S17" i="4"/>
  <c r="P17" i="4"/>
  <c r="O17" i="4"/>
  <c r="J17" i="4"/>
  <c r="I17" i="4"/>
  <c r="A17" i="4"/>
  <c r="X17" i="4" s="1"/>
  <c r="S16" i="4"/>
  <c r="P16" i="4"/>
  <c r="O16" i="4"/>
  <c r="L16" i="4"/>
  <c r="D16" i="4" s="1"/>
  <c r="K16" i="4"/>
  <c r="C16" i="4" s="1"/>
  <c r="J16" i="4"/>
  <c r="I16" i="4"/>
  <c r="A16" i="4"/>
  <c r="X16" i="4" s="1"/>
  <c r="S15" i="4"/>
  <c r="P15" i="4"/>
  <c r="O15" i="4"/>
  <c r="J15" i="4"/>
  <c r="I15" i="4"/>
  <c r="A15" i="4"/>
  <c r="X15" i="4" s="1"/>
  <c r="S14" i="4"/>
  <c r="P14" i="4"/>
  <c r="O14" i="4"/>
  <c r="J14" i="4"/>
  <c r="I14" i="4"/>
  <c r="A14" i="4"/>
  <c r="X14" i="4" s="1"/>
  <c r="S13" i="4"/>
  <c r="P13" i="4"/>
  <c r="O13" i="4"/>
  <c r="J13" i="4"/>
  <c r="I13" i="4"/>
  <c r="A13" i="4"/>
  <c r="X13" i="4" s="1"/>
  <c r="S12" i="4"/>
  <c r="P12" i="4"/>
  <c r="O12" i="4"/>
  <c r="J12" i="4"/>
  <c r="I12" i="4"/>
  <c r="A12" i="4"/>
  <c r="X12" i="4" s="1"/>
  <c r="S11" i="4"/>
  <c r="P11" i="4"/>
  <c r="O11" i="4"/>
  <c r="L11" i="4"/>
  <c r="D11" i="4" s="1"/>
  <c r="K11" i="4"/>
  <c r="C11" i="4" s="1"/>
  <c r="J11" i="4"/>
  <c r="I11" i="4"/>
  <c r="A11" i="4"/>
  <c r="X11" i="4" s="1"/>
  <c r="S10" i="4"/>
  <c r="P10" i="4"/>
  <c r="O10" i="4"/>
  <c r="J10" i="4"/>
  <c r="I10" i="4"/>
  <c r="A10" i="4"/>
  <c r="X10" i="4" s="1"/>
  <c r="S9" i="4"/>
  <c r="P9" i="4"/>
  <c r="O9" i="4"/>
  <c r="J9" i="4"/>
  <c r="I9" i="4"/>
  <c r="A9" i="4"/>
  <c r="X9" i="4" s="1"/>
  <c r="S8" i="4"/>
  <c r="P8" i="4"/>
  <c r="O8" i="4"/>
  <c r="J8" i="4"/>
  <c r="I8" i="4"/>
  <c r="A8" i="4"/>
  <c r="X8" i="4" s="1"/>
  <c r="S7" i="4"/>
  <c r="P7" i="4"/>
  <c r="O7" i="4"/>
  <c r="J7" i="4"/>
  <c r="I7" i="4"/>
  <c r="A7" i="4"/>
  <c r="X7" i="4" s="1"/>
  <c r="S6" i="4"/>
  <c r="P6" i="4"/>
  <c r="O6" i="4"/>
  <c r="L6" i="4"/>
  <c r="D6" i="4" s="1"/>
  <c r="K6" i="4"/>
  <c r="C6" i="4" s="1"/>
  <c r="J6" i="4"/>
  <c r="I6" i="4"/>
  <c r="A6" i="4"/>
  <c r="X6" i="4" s="1"/>
  <c r="S5" i="4"/>
  <c r="P5" i="4"/>
  <c r="O5" i="4"/>
  <c r="J5" i="4"/>
  <c r="I5" i="4"/>
  <c r="A5" i="4"/>
  <c r="X5" i="4" s="1"/>
  <c r="S4" i="4"/>
  <c r="P4" i="4"/>
  <c r="O4" i="4"/>
  <c r="J4" i="4"/>
  <c r="I4" i="4"/>
  <c r="A4" i="4"/>
  <c r="X4" i="4" s="1"/>
  <c r="S3" i="4"/>
  <c r="P3" i="4"/>
  <c r="O3" i="4"/>
  <c r="J3" i="4"/>
  <c r="I3" i="4"/>
  <c r="A3" i="4"/>
  <c r="X3" i="4" s="1"/>
  <c r="S2" i="4"/>
  <c r="P2" i="4"/>
  <c r="O2" i="4"/>
  <c r="J2" i="4"/>
  <c r="I2" i="4"/>
  <c r="A2" i="4"/>
  <c r="X2" i="4" s="1"/>
  <c r="F68" i="3"/>
  <c r="F67" i="3"/>
  <c r="G63" i="3"/>
  <c r="F58" i="3"/>
  <c r="A55" i="3"/>
  <c r="I55" i="3" s="1"/>
  <c r="A54" i="3"/>
  <c r="I54" i="3" s="1"/>
  <c r="A53" i="3"/>
  <c r="I53" i="3" s="1"/>
  <c r="A52" i="3"/>
  <c r="I52" i="3" s="1"/>
  <c r="D51" i="3"/>
  <c r="C51" i="3"/>
  <c r="A51" i="3"/>
  <c r="I51" i="3" s="1"/>
  <c r="D50" i="3"/>
  <c r="C50" i="3"/>
  <c r="A50" i="3"/>
  <c r="I50" i="3" s="1"/>
  <c r="D49" i="3"/>
  <c r="C49" i="3"/>
  <c r="A49" i="3"/>
  <c r="I49" i="3" s="1"/>
  <c r="D48" i="3"/>
  <c r="C48" i="3"/>
  <c r="A48" i="3"/>
  <c r="I48" i="3" s="1"/>
  <c r="D47" i="3"/>
  <c r="C47" i="3"/>
  <c r="A47" i="3"/>
  <c r="I47" i="3" s="1"/>
  <c r="D46" i="3"/>
  <c r="C46" i="3"/>
  <c r="E46" i="3" s="1"/>
  <c r="A46" i="3"/>
  <c r="I46" i="3" s="1"/>
  <c r="A39" i="3"/>
  <c r="I39" i="3" s="1"/>
  <c r="A38" i="3"/>
  <c r="I38" i="3" s="1"/>
  <c r="A37" i="3"/>
  <c r="I37" i="3" s="1"/>
  <c r="A36" i="3"/>
  <c r="I36" i="3" s="1"/>
  <c r="A35" i="3"/>
  <c r="I35" i="3" s="1"/>
  <c r="A34" i="3"/>
  <c r="I34" i="3" s="1"/>
  <c r="A33" i="3"/>
  <c r="I33" i="3" s="1"/>
  <c r="A32" i="3"/>
  <c r="I32" i="3" s="1"/>
  <c r="A31" i="3"/>
  <c r="I31" i="3" s="1"/>
  <c r="A30" i="3"/>
  <c r="I30" i="3" s="1"/>
  <c r="A29" i="3"/>
  <c r="I29" i="3" s="1"/>
  <c r="A28" i="3"/>
  <c r="I28" i="3" s="1"/>
  <c r="A27" i="3"/>
  <c r="I27" i="3" s="1"/>
  <c r="A26" i="3"/>
  <c r="I26" i="3" s="1"/>
  <c r="A25" i="3"/>
  <c r="I25" i="3" s="1"/>
  <c r="A24" i="3"/>
  <c r="I24" i="3" s="1"/>
  <c r="A23" i="3"/>
  <c r="I23" i="3" s="1"/>
  <c r="A22" i="3"/>
  <c r="I22" i="3" s="1"/>
  <c r="A21" i="3"/>
  <c r="I21" i="3" s="1"/>
  <c r="A20" i="3"/>
  <c r="I20" i="3" s="1"/>
  <c r="A19" i="3"/>
  <c r="I19" i="3" s="1"/>
  <c r="A18" i="3"/>
  <c r="I18" i="3" s="1"/>
  <c r="A17" i="3"/>
  <c r="I17" i="3" s="1"/>
  <c r="A16" i="3"/>
  <c r="I16" i="3" s="1"/>
  <c r="A15" i="3"/>
  <c r="I15" i="3" s="1"/>
  <c r="A14" i="3"/>
  <c r="I14" i="3" s="1"/>
  <c r="A13" i="3"/>
  <c r="I13" i="3" s="1"/>
  <c r="A12" i="3"/>
  <c r="I12" i="3" s="1"/>
  <c r="F11" i="3"/>
  <c r="A11" i="3"/>
  <c r="I11" i="3" s="1"/>
  <c r="A10" i="3"/>
  <c r="I10" i="3" s="1"/>
  <c r="M9" i="3"/>
  <c r="L9" i="3"/>
  <c r="K9" i="3"/>
  <c r="J9" i="3"/>
  <c r="M8" i="3"/>
  <c r="L8" i="3"/>
  <c r="K8" i="3"/>
  <c r="J8" i="3"/>
  <c r="L32" i="4" s="1"/>
  <c r="I8" i="3"/>
  <c r="M7" i="3"/>
  <c r="L7" i="3"/>
  <c r="D38" i="3" s="1"/>
  <c r="I7" i="3"/>
  <c r="D35" i="3" s="1"/>
  <c r="M6" i="3"/>
  <c r="L6" i="3"/>
  <c r="K6" i="3"/>
  <c r="K23" i="4" s="1"/>
  <c r="J6" i="3"/>
  <c r="I6" i="3"/>
  <c r="C30" i="3" s="1"/>
  <c r="M5" i="3"/>
  <c r="D29" i="3" s="1"/>
  <c r="L5" i="3"/>
  <c r="K5" i="3"/>
  <c r="J5" i="3"/>
  <c r="I5" i="3"/>
  <c r="D25" i="3" s="1"/>
  <c r="M4" i="3"/>
  <c r="L4" i="3"/>
  <c r="K4" i="3"/>
  <c r="D22" i="3" s="1"/>
  <c r="J4" i="3"/>
  <c r="L12" i="4" s="1"/>
  <c r="D12" i="4" s="1"/>
  <c r="I4" i="3"/>
  <c r="M3" i="3"/>
  <c r="L3" i="3"/>
  <c r="K3" i="3"/>
  <c r="J3" i="3"/>
  <c r="I3" i="3"/>
  <c r="M2" i="3"/>
  <c r="K5" i="4" s="1"/>
  <c r="L2" i="3"/>
  <c r="L4" i="4" s="1"/>
  <c r="D4" i="4" s="1"/>
  <c r="K2" i="3"/>
  <c r="J2" i="3"/>
  <c r="I2" i="3"/>
  <c r="D10" i="3" s="1"/>
  <c r="B6" i="2"/>
  <c r="B5" i="2"/>
  <c r="B4" i="2"/>
  <c r="F73" i="3" s="1"/>
  <c r="B3" i="2"/>
  <c r="F57" i="3" s="1"/>
  <c r="B2" i="2"/>
  <c r="D22" i="1"/>
  <c r="F19" i="1"/>
  <c r="C6" i="2" s="1"/>
  <c r="E19" i="1"/>
  <c r="C5" i="2" s="1"/>
  <c r="G59" i="3" s="1"/>
  <c r="D19" i="1"/>
  <c r="C4" i="2" s="1"/>
  <c r="C19" i="1"/>
  <c r="C3" i="2" s="1"/>
  <c r="B19" i="1"/>
  <c r="C2" i="2" s="1"/>
  <c r="F17" i="1"/>
  <c r="E17" i="1"/>
  <c r="D17" i="1"/>
  <c r="D21" i="1" s="1"/>
  <c r="C17" i="1"/>
  <c r="C22" i="1" s="1"/>
  <c r="B17" i="1"/>
  <c r="F16" i="1"/>
  <c r="B16" i="1"/>
  <c r="F15" i="1"/>
  <c r="E15" i="1"/>
  <c r="D15" i="1"/>
  <c r="C15" i="1"/>
  <c r="B15" i="1"/>
  <c r="F20" i="1" s="1"/>
  <c r="D6" i="2" s="1"/>
  <c r="B9" i="1"/>
  <c r="E48" i="3" l="1"/>
  <c r="E11" i="4"/>
  <c r="E33" i="4"/>
  <c r="C29" i="3"/>
  <c r="E47" i="3"/>
  <c r="E35" i="4"/>
  <c r="E50" i="3"/>
  <c r="C38" i="3"/>
  <c r="E38" i="3" s="1"/>
  <c r="L5" i="4"/>
  <c r="D5" i="4" s="1"/>
  <c r="E6" i="4"/>
  <c r="E49" i="3"/>
  <c r="M11" i="4"/>
  <c r="N11" i="4" s="1"/>
  <c r="C22" i="3"/>
  <c r="E22" i="3" s="1"/>
  <c r="E51" i="3"/>
  <c r="E41" i="4"/>
  <c r="E29" i="3"/>
  <c r="E16" i="4"/>
  <c r="M16" i="4"/>
  <c r="N16" i="4" s="1"/>
  <c r="D13" i="3"/>
  <c r="Q58" i="4" s="1"/>
  <c r="D30" i="3"/>
  <c r="E30" i="3" s="1"/>
  <c r="E34" i="4"/>
  <c r="E36" i="4"/>
  <c r="C14" i="3"/>
  <c r="J7" i="3"/>
  <c r="K7" i="3" s="1"/>
  <c r="D14" i="3"/>
  <c r="C21" i="3"/>
  <c r="D21" i="3"/>
  <c r="C21" i="4"/>
  <c r="E21" i="4" s="1"/>
  <c r="E32" i="4"/>
  <c r="H41" i="4"/>
  <c r="R41" i="4" s="1"/>
  <c r="H51" i="4"/>
  <c r="H61" i="4"/>
  <c r="H46" i="4"/>
  <c r="H31" i="4"/>
  <c r="R31" i="4" s="1"/>
  <c r="H56" i="4"/>
  <c r="H21" i="4"/>
  <c r="R21" i="4" s="1"/>
  <c r="H6" i="4"/>
  <c r="R6" i="4" s="1"/>
  <c r="H16" i="4"/>
  <c r="R16" i="4" s="1"/>
  <c r="H36" i="4"/>
  <c r="H75" i="3"/>
  <c r="H70" i="3"/>
  <c r="H65" i="3"/>
  <c r="H11" i="4"/>
  <c r="R11" i="4" s="1"/>
  <c r="H39" i="3"/>
  <c r="H34" i="3"/>
  <c r="H60" i="3"/>
  <c r="H50" i="3"/>
  <c r="H24" i="3"/>
  <c r="H19" i="3"/>
  <c r="H26" i="4"/>
  <c r="R26" i="4" s="1"/>
  <c r="H14" i="3"/>
  <c r="H55" i="3"/>
  <c r="H29" i="3"/>
  <c r="G56" i="4"/>
  <c r="G41" i="4"/>
  <c r="Q41" i="4" s="1"/>
  <c r="G26" i="4"/>
  <c r="Q26" i="4" s="1"/>
  <c r="G51" i="4"/>
  <c r="G61" i="4"/>
  <c r="G46" i="4"/>
  <c r="G11" i="4"/>
  <c r="Q11" i="4" s="1"/>
  <c r="G21" i="4"/>
  <c r="Q21" i="4" s="1"/>
  <c r="G6" i="4"/>
  <c r="Q6" i="4" s="1"/>
  <c r="G16" i="4"/>
  <c r="Q16" i="4" s="1"/>
  <c r="G36" i="4"/>
  <c r="G31" i="4"/>
  <c r="Q31" i="4" s="1"/>
  <c r="G60" i="3"/>
  <c r="G65" i="3"/>
  <c r="G55" i="3"/>
  <c r="G50" i="3"/>
  <c r="G39" i="3"/>
  <c r="G34" i="3"/>
  <c r="G29" i="3"/>
  <c r="G24" i="3"/>
  <c r="G19" i="3"/>
  <c r="G14" i="3"/>
  <c r="G75" i="3"/>
  <c r="G70" i="3"/>
  <c r="G57" i="4"/>
  <c r="G42" i="4"/>
  <c r="G52" i="4"/>
  <c r="G47" i="4"/>
  <c r="G12" i="4"/>
  <c r="Q12" i="4" s="1"/>
  <c r="G27" i="4"/>
  <c r="Q27" i="4" s="1"/>
  <c r="G32" i="4"/>
  <c r="G22" i="4"/>
  <c r="Q22" i="4" s="1"/>
  <c r="G7" i="4"/>
  <c r="Q7" i="4" s="1"/>
  <c r="G37" i="4"/>
  <c r="Q37" i="4" s="1"/>
  <c r="G17" i="4"/>
  <c r="Q17" i="4" s="1"/>
  <c r="G66" i="3"/>
  <c r="G61" i="3"/>
  <c r="G56" i="3"/>
  <c r="G51" i="3"/>
  <c r="G46" i="3"/>
  <c r="G35" i="3"/>
  <c r="G30" i="3"/>
  <c r="G25" i="3"/>
  <c r="G20" i="3"/>
  <c r="G15" i="3"/>
  <c r="G10" i="3"/>
  <c r="G71" i="3"/>
  <c r="G2" i="4"/>
  <c r="Q2" i="4" s="1"/>
  <c r="G48" i="4"/>
  <c r="G58" i="4"/>
  <c r="G43" i="4"/>
  <c r="G53" i="4"/>
  <c r="G38" i="4"/>
  <c r="Q38" i="4" s="1"/>
  <c r="G33" i="4"/>
  <c r="Q33" i="4" s="1"/>
  <c r="G28" i="4"/>
  <c r="Q28" i="4" s="1"/>
  <c r="G3" i="4"/>
  <c r="Q3" i="4" s="1"/>
  <c r="G13" i="4"/>
  <c r="Q13" i="4" s="1"/>
  <c r="G23" i="4"/>
  <c r="Q23" i="4" s="1"/>
  <c r="G11" i="3"/>
  <c r="G8" i="4"/>
  <c r="Q8" i="4" s="1"/>
  <c r="G72" i="3"/>
  <c r="G67" i="3"/>
  <c r="G57" i="3"/>
  <c r="G52" i="3"/>
  <c r="G47" i="3"/>
  <c r="G36" i="3"/>
  <c r="G31" i="3"/>
  <c r="G26" i="3"/>
  <c r="G21" i="3"/>
  <c r="G16" i="3"/>
  <c r="G62" i="3"/>
  <c r="G18" i="4"/>
  <c r="Q18" i="4" s="1"/>
  <c r="F55" i="4"/>
  <c r="F40" i="4"/>
  <c r="F50" i="4"/>
  <c r="F60" i="4"/>
  <c r="F45" i="4"/>
  <c r="F10" i="4"/>
  <c r="F35" i="4"/>
  <c r="F20" i="4"/>
  <c r="F30" i="4"/>
  <c r="F5" i="4"/>
  <c r="F15" i="4"/>
  <c r="F59" i="3"/>
  <c r="F74" i="3"/>
  <c r="F69" i="3"/>
  <c r="F13" i="3"/>
  <c r="F64" i="3"/>
  <c r="F25" i="4"/>
  <c r="F54" i="3"/>
  <c r="F49" i="3"/>
  <c r="F38" i="3"/>
  <c r="F33" i="3"/>
  <c r="F28" i="3"/>
  <c r="F23" i="3"/>
  <c r="F18" i="3"/>
  <c r="F47" i="4"/>
  <c r="F57" i="4"/>
  <c r="F52" i="4"/>
  <c r="F37" i="4"/>
  <c r="F2" i="4"/>
  <c r="F12" i="4"/>
  <c r="F27" i="4"/>
  <c r="F32" i="4"/>
  <c r="F22" i="4"/>
  <c r="F42" i="4"/>
  <c r="F71" i="3"/>
  <c r="F66" i="3"/>
  <c r="F61" i="3"/>
  <c r="F17" i="4"/>
  <c r="F7" i="4"/>
  <c r="F56" i="3"/>
  <c r="F51" i="3"/>
  <c r="F46" i="3"/>
  <c r="F35" i="3"/>
  <c r="F30" i="3"/>
  <c r="F25" i="3"/>
  <c r="F20" i="3"/>
  <c r="F15" i="3"/>
  <c r="F10" i="3"/>
  <c r="C56" i="3" s="1"/>
  <c r="F56" i="4"/>
  <c r="F41" i="4"/>
  <c r="F51" i="4"/>
  <c r="F61" i="4"/>
  <c r="F46" i="4"/>
  <c r="F26" i="4"/>
  <c r="F75" i="3"/>
  <c r="F11" i="4"/>
  <c r="F21" i="4"/>
  <c r="F6" i="4"/>
  <c r="F16" i="4"/>
  <c r="F60" i="3"/>
  <c r="F36" i="4"/>
  <c r="F70" i="3"/>
  <c r="F31" i="4"/>
  <c r="F65" i="3"/>
  <c r="F55" i="3"/>
  <c r="F50" i="3"/>
  <c r="F39" i="3"/>
  <c r="F34" i="3"/>
  <c r="F29" i="3"/>
  <c r="F24" i="3"/>
  <c r="F19" i="3"/>
  <c r="F14" i="3"/>
  <c r="K7" i="4"/>
  <c r="D16" i="3"/>
  <c r="C16" i="3"/>
  <c r="K15" i="4"/>
  <c r="D24" i="3"/>
  <c r="L15" i="4"/>
  <c r="D15" i="4" s="1"/>
  <c r="C24" i="3"/>
  <c r="E20" i="1"/>
  <c r="D5" i="2" s="1"/>
  <c r="D15" i="3"/>
  <c r="C15" i="3"/>
  <c r="B20" i="1"/>
  <c r="D2" i="2" s="1"/>
  <c r="Q42" i="4"/>
  <c r="Q43" i="4"/>
  <c r="Q46" i="4"/>
  <c r="E31" i="4"/>
  <c r="M31" i="4"/>
  <c r="N31" i="4" s="1"/>
  <c r="U31" i="4" s="1"/>
  <c r="C21" i="1"/>
  <c r="L2" i="4"/>
  <c r="D2" i="4" s="1"/>
  <c r="K2" i="4"/>
  <c r="C11" i="3"/>
  <c r="L10" i="4"/>
  <c r="D10" i="4" s="1"/>
  <c r="K10" i="4"/>
  <c r="D19" i="3"/>
  <c r="C19" i="3"/>
  <c r="L18" i="4"/>
  <c r="D18" i="4" s="1"/>
  <c r="K18" i="4"/>
  <c r="D27" i="3"/>
  <c r="C27" i="3"/>
  <c r="L35" i="4"/>
  <c r="K35" i="4"/>
  <c r="L7" i="4"/>
  <c r="D7" i="4" s="1"/>
  <c r="L14" i="4"/>
  <c r="D14" i="4" s="1"/>
  <c r="D23" i="3"/>
  <c r="K14" i="4"/>
  <c r="C23" i="3"/>
  <c r="D16" i="1"/>
  <c r="F22" i="1"/>
  <c r="E22" i="1"/>
  <c r="F21" i="1"/>
  <c r="E16" i="1"/>
  <c r="L3" i="4"/>
  <c r="D3" i="4" s="1"/>
  <c r="K3" i="4"/>
  <c r="D12" i="3"/>
  <c r="C12" i="3"/>
  <c r="D20" i="3"/>
  <c r="C20" i="3"/>
  <c r="L19" i="4"/>
  <c r="D19" i="4" s="1"/>
  <c r="K19" i="4"/>
  <c r="D28" i="3"/>
  <c r="C28" i="3"/>
  <c r="L27" i="4"/>
  <c r="D27" i="4" s="1"/>
  <c r="L22" i="4"/>
  <c r="D22" i="4" s="1"/>
  <c r="D31" i="3"/>
  <c r="C31" i="3"/>
  <c r="K22" i="4"/>
  <c r="D20" i="1"/>
  <c r="D4" i="2" s="1"/>
  <c r="C20" i="1"/>
  <c r="D3" i="2" s="1"/>
  <c r="G49" i="4"/>
  <c r="G34" i="4"/>
  <c r="G59" i="4"/>
  <c r="G44" i="4"/>
  <c r="Q44" i="4" s="1"/>
  <c r="G54" i="4"/>
  <c r="G39" i="4"/>
  <c r="Q39" i="4" s="1"/>
  <c r="G19" i="4"/>
  <c r="Q19" i="4" s="1"/>
  <c r="G4" i="4"/>
  <c r="Q4" i="4" s="1"/>
  <c r="G14" i="4"/>
  <c r="Q14" i="4" s="1"/>
  <c r="G29" i="4"/>
  <c r="Q29" i="4" s="1"/>
  <c r="G24" i="4"/>
  <c r="Q24" i="4" s="1"/>
  <c r="G9" i="4"/>
  <c r="Q9" i="4" s="1"/>
  <c r="G73" i="3"/>
  <c r="G53" i="3"/>
  <c r="G48" i="3"/>
  <c r="G37" i="3"/>
  <c r="G32" i="3"/>
  <c r="G27" i="3"/>
  <c r="G22" i="3"/>
  <c r="G17" i="3"/>
  <c r="G12" i="3"/>
  <c r="G68" i="3"/>
  <c r="G58" i="3"/>
  <c r="E21" i="1"/>
  <c r="B21" i="1"/>
  <c r="B22" i="1"/>
  <c r="C16" i="1"/>
  <c r="G40" i="4"/>
  <c r="Q40" i="4" s="1"/>
  <c r="G50" i="4"/>
  <c r="G60" i="4"/>
  <c r="G45" i="4"/>
  <c r="Q45" i="4" s="1"/>
  <c r="G30" i="4"/>
  <c r="Q30" i="4" s="1"/>
  <c r="G55" i="4"/>
  <c r="G35" i="4"/>
  <c r="Q35" i="4" s="1"/>
  <c r="G20" i="4"/>
  <c r="Q20" i="4" s="1"/>
  <c r="G5" i="4"/>
  <c r="Q5" i="4" s="1"/>
  <c r="G15" i="4"/>
  <c r="Q15" i="4" s="1"/>
  <c r="G25" i="4"/>
  <c r="Q25" i="4" s="1"/>
  <c r="G74" i="3"/>
  <c r="G69" i="3"/>
  <c r="G13" i="3"/>
  <c r="G64" i="3"/>
  <c r="G10" i="4"/>
  <c r="Q10" i="4" s="1"/>
  <c r="G54" i="3"/>
  <c r="G49" i="3"/>
  <c r="G38" i="3"/>
  <c r="G33" i="3"/>
  <c r="G28" i="3"/>
  <c r="G23" i="3"/>
  <c r="G18" i="3"/>
  <c r="K30" i="4"/>
  <c r="D39" i="3"/>
  <c r="C39" i="3"/>
  <c r="L30" i="4"/>
  <c r="D30" i="4" s="1"/>
  <c r="L39" i="4"/>
  <c r="D39" i="4" s="1"/>
  <c r="K39" i="4"/>
  <c r="D54" i="3"/>
  <c r="C54" i="3"/>
  <c r="D11" i="3"/>
  <c r="L20" i="4"/>
  <c r="D20" i="4" s="1"/>
  <c r="K20" i="4"/>
  <c r="L37" i="4"/>
  <c r="D37" i="4" s="1"/>
  <c r="K37" i="4"/>
  <c r="A51" i="4"/>
  <c r="X51" i="4" s="1"/>
  <c r="A47" i="4"/>
  <c r="X47" i="4" s="1"/>
  <c r="A48" i="4"/>
  <c r="X48" i="4" s="1"/>
  <c r="A11" i="6"/>
  <c r="A49" i="4"/>
  <c r="X49" i="4" s="1"/>
  <c r="A50" i="4"/>
  <c r="X50" i="4" s="1"/>
  <c r="A65" i="3"/>
  <c r="I65" i="3" s="1"/>
  <c r="A64" i="3"/>
  <c r="I64" i="3" s="1"/>
  <c r="A63" i="3"/>
  <c r="I63" i="3" s="1"/>
  <c r="A62" i="3"/>
  <c r="I62" i="3" s="1"/>
  <c r="A61" i="3"/>
  <c r="I61" i="3" s="1"/>
  <c r="F12" i="3"/>
  <c r="A59" i="4"/>
  <c r="X59" i="4" s="1"/>
  <c r="A60" i="4"/>
  <c r="X60" i="4" s="1"/>
  <c r="A61" i="4"/>
  <c r="X61" i="4" s="1"/>
  <c r="A13" i="6"/>
  <c r="A57" i="4"/>
  <c r="X57" i="4" s="1"/>
  <c r="A58" i="4"/>
  <c r="X58" i="4" s="1"/>
  <c r="A75" i="3"/>
  <c r="I75" i="3" s="1"/>
  <c r="A74" i="3"/>
  <c r="I74" i="3" s="1"/>
  <c r="A73" i="3"/>
  <c r="I73" i="3" s="1"/>
  <c r="A72" i="3"/>
  <c r="I72" i="3" s="1"/>
  <c r="A71" i="3"/>
  <c r="I71" i="3" s="1"/>
  <c r="F16" i="3"/>
  <c r="F17" i="3"/>
  <c r="F21" i="3"/>
  <c r="F22" i="3"/>
  <c r="F26" i="3"/>
  <c r="F27" i="3"/>
  <c r="F31" i="3"/>
  <c r="F32" i="3"/>
  <c r="F36" i="3"/>
  <c r="F37" i="3"/>
  <c r="F47" i="3"/>
  <c r="F48" i="3"/>
  <c r="F52" i="3"/>
  <c r="F53" i="3"/>
  <c r="K4" i="4"/>
  <c r="M6" i="4"/>
  <c r="N6" i="4" s="1"/>
  <c r="U6" i="4" s="1"/>
  <c r="L23" i="4"/>
  <c r="D23" i="4" s="1"/>
  <c r="F48" i="4"/>
  <c r="F33" i="4"/>
  <c r="F58" i="4"/>
  <c r="F43" i="4"/>
  <c r="F53" i="4"/>
  <c r="F38" i="4"/>
  <c r="F18" i="4"/>
  <c r="F28" i="4"/>
  <c r="F3" i="4"/>
  <c r="F13" i="4"/>
  <c r="F23" i="4"/>
  <c r="F8" i="4"/>
  <c r="C5" i="4"/>
  <c r="L13" i="4"/>
  <c r="D13" i="4" s="1"/>
  <c r="K13" i="4"/>
  <c r="L29" i="4"/>
  <c r="D29" i="4" s="1"/>
  <c r="K29" i="4"/>
  <c r="L38" i="4"/>
  <c r="D38" i="4" s="1"/>
  <c r="K38" i="4"/>
  <c r="C13" i="3"/>
  <c r="F62" i="3"/>
  <c r="E26" i="4"/>
  <c r="C23" i="4"/>
  <c r="L40" i="4"/>
  <c r="D40" i="4" s="1"/>
  <c r="K40" i="4"/>
  <c r="F72" i="3"/>
  <c r="F39" i="4"/>
  <c r="F49" i="4"/>
  <c r="F59" i="4"/>
  <c r="F44" i="4"/>
  <c r="F29" i="4"/>
  <c r="F54" i="4"/>
  <c r="F19" i="4"/>
  <c r="F4" i="4"/>
  <c r="F14" i="4"/>
  <c r="F34" i="4"/>
  <c r="F24" i="4"/>
  <c r="L8" i="4"/>
  <c r="D8" i="4" s="1"/>
  <c r="K8" i="4"/>
  <c r="L24" i="4"/>
  <c r="D24" i="4" s="1"/>
  <c r="K24" i="4"/>
  <c r="A43" i="4"/>
  <c r="X43" i="4" s="1"/>
  <c r="A44" i="4"/>
  <c r="X44" i="4" s="1"/>
  <c r="A45" i="4"/>
  <c r="X45" i="4" s="1"/>
  <c r="A10" i="6"/>
  <c r="A46" i="4"/>
  <c r="X46" i="4" s="1"/>
  <c r="A42" i="4"/>
  <c r="X42" i="4" s="1"/>
  <c r="A60" i="3"/>
  <c r="I60" i="3" s="1"/>
  <c r="A59" i="3"/>
  <c r="I59" i="3" s="1"/>
  <c r="A58" i="3"/>
  <c r="I58" i="3" s="1"/>
  <c r="L51" i="4"/>
  <c r="K51" i="4"/>
  <c r="A12" i="6"/>
  <c r="A52" i="4"/>
  <c r="X52" i="4" s="1"/>
  <c r="A53" i="4"/>
  <c r="X53" i="4" s="1"/>
  <c r="A54" i="4"/>
  <c r="X54" i="4" s="1"/>
  <c r="A55" i="4"/>
  <c r="X55" i="4" s="1"/>
  <c r="A56" i="4"/>
  <c r="X56" i="4" s="1"/>
  <c r="A70" i="3"/>
  <c r="I70" i="3" s="1"/>
  <c r="A69" i="3"/>
  <c r="I69" i="3" s="1"/>
  <c r="A68" i="3"/>
  <c r="I68" i="3" s="1"/>
  <c r="A67" i="3"/>
  <c r="I67" i="3" s="1"/>
  <c r="A66" i="3"/>
  <c r="I66" i="3" s="1"/>
  <c r="A56" i="3"/>
  <c r="I56" i="3" s="1"/>
  <c r="A57" i="3"/>
  <c r="I57" i="3" s="1"/>
  <c r="U11" i="4"/>
  <c r="K12" i="4"/>
  <c r="K32" i="4"/>
  <c r="M32" i="4" s="1"/>
  <c r="N32" i="4" s="1"/>
  <c r="U32" i="4" s="1"/>
  <c r="L9" i="4"/>
  <c r="D9" i="4" s="1"/>
  <c r="K9" i="4"/>
  <c r="L17" i="4"/>
  <c r="D17" i="4" s="1"/>
  <c r="K17" i="4"/>
  <c r="L25" i="4"/>
  <c r="D25" i="4" s="1"/>
  <c r="K25" i="4"/>
  <c r="L33" i="4"/>
  <c r="K33" i="4"/>
  <c r="C10" i="3"/>
  <c r="C17" i="3"/>
  <c r="C18" i="3"/>
  <c r="C25" i="3"/>
  <c r="E25" i="3" s="1"/>
  <c r="C26" i="3"/>
  <c r="C32" i="3"/>
  <c r="E32" i="3" s="1"/>
  <c r="C33" i="3"/>
  <c r="C34" i="3"/>
  <c r="C35" i="3"/>
  <c r="E35" i="3" s="1"/>
  <c r="C52" i="3"/>
  <c r="C53" i="3"/>
  <c r="C55" i="3"/>
  <c r="K34" i="4"/>
  <c r="L34" i="4"/>
  <c r="D17" i="3"/>
  <c r="D18" i="3"/>
  <c r="D26" i="3"/>
  <c r="D32" i="3"/>
  <c r="D33" i="3"/>
  <c r="D34" i="3"/>
  <c r="D52" i="3"/>
  <c r="D53" i="3"/>
  <c r="D55" i="3"/>
  <c r="F63" i="3"/>
  <c r="F9" i="4"/>
  <c r="Q36" i="4"/>
  <c r="R36" i="4"/>
  <c r="Q34" i="4"/>
  <c r="Q32" i="4"/>
  <c r="M41" i="4"/>
  <c r="N41" i="4" s="1"/>
  <c r="U41" i="4" s="1"/>
  <c r="M26" i="4"/>
  <c r="N26" i="4" s="1"/>
  <c r="U26" i="4" s="1"/>
  <c r="M36" i="4"/>
  <c r="N36" i="4" s="1"/>
  <c r="U36" i="4" s="1"/>
  <c r="T21" i="4" l="1"/>
  <c r="D36" i="3"/>
  <c r="E36" i="3" s="1"/>
  <c r="E23" i="4"/>
  <c r="E16" i="3"/>
  <c r="E5" i="4"/>
  <c r="C36" i="3"/>
  <c r="K27" i="4"/>
  <c r="C27" i="4" s="1"/>
  <c r="E27" i="4" s="1"/>
  <c r="E21" i="3"/>
  <c r="E34" i="3"/>
  <c r="M33" i="4"/>
  <c r="N33" i="4" s="1"/>
  <c r="U33" i="4" s="1"/>
  <c r="Q59" i="4"/>
  <c r="E19" i="3"/>
  <c r="M21" i="4"/>
  <c r="N21" i="4" s="1"/>
  <c r="U21" i="4" s="1"/>
  <c r="E54" i="3"/>
  <c r="E20" i="3"/>
  <c r="M35" i="4"/>
  <c r="N35" i="4" s="1"/>
  <c r="U35" i="4" s="1"/>
  <c r="C71" i="3"/>
  <c r="U16" i="4"/>
  <c r="M34" i="4"/>
  <c r="N34" i="4" s="1"/>
  <c r="U34" i="4" s="1"/>
  <c r="E26" i="3"/>
  <c r="Q57" i="4"/>
  <c r="E14" i="3"/>
  <c r="Q61" i="4"/>
  <c r="Q60" i="4"/>
  <c r="E23" i="3"/>
  <c r="E39" i="3"/>
  <c r="E28" i="3"/>
  <c r="L10" i="3"/>
  <c r="K10" i="3"/>
  <c r="J10" i="3"/>
  <c r="M10" i="3"/>
  <c r="E10" i="3"/>
  <c r="Q50" i="4"/>
  <c r="Q51" i="4"/>
  <c r="Q47" i="4"/>
  <c r="Q48" i="4"/>
  <c r="C51" i="4"/>
  <c r="Q49" i="4"/>
  <c r="C61" i="3"/>
  <c r="C30" i="4"/>
  <c r="E30" i="4" s="1"/>
  <c r="C3" i="4"/>
  <c r="E3" i="4" s="1"/>
  <c r="C14" i="4"/>
  <c r="E14" i="4" s="1"/>
  <c r="C2" i="4"/>
  <c r="E2" i="4" s="1"/>
  <c r="H50" i="4"/>
  <c r="H35" i="4"/>
  <c r="R35" i="4" s="1"/>
  <c r="T35" i="4" s="1"/>
  <c r="H60" i="4"/>
  <c r="H45" i="4"/>
  <c r="H55" i="4"/>
  <c r="H40" i="4"/>
  <c r="R40" i="4" s="1"/>
  <c r="T40" i="4" s="1"/>
  <c r="H20" i="4"/>
  <c r="R20" i="4" s="1"/>
  <c r="H5" i="4"/>
  <c r="R5" i="4" s="1"/>
  <c r="T5" i="4" s="1"/>
  <c r="H30" i="4"/>
  <c r="R30" i="4" s="1"/>
  <c r="H15" i="4"/>
  <c r="R15" i="4" s="1"/>
  <c r="H25" i="4"/>
  <c r="R25" i="4" s="1"/>
  <c r="H10" i="4"/>
  <c r="R10" i="4" s="1"/>
  <c r="H74" i="3"/>
  <c r="H69" i="3"/>
  <c r="H64" i="3"/>
  <c r="H13" i="3"/>
  <c r="H59" i="3"/>
  <c r="H54" i="3"/>
  <c r="H49" i="3"/>
  <c r="H23" i="3"/>
  <c r="H18" i="3"/>
  <c r="H33" i="3"/>
  <c r="H28" i="3"/>
  <c r="H38" i="3"/>
  <c r="L46" i="4"/>
  <c r="K46" i="4"/>
  <c r="E33" i="3"/>
  <c r="W41" i="4"/>
  <c r="C9" i="6" s="1"/>
  <c r="C13" i="4"/>
  <c r="E13" i="4" s="1"/>
  <c r="C18" i="4"/>
  <c r="E18" i="4" s="1"/>
  <c r="E24" i="3"/>
  <c r="L61" i="4"/>
  <c r="K61" i="4"/>
  <c r="T11" i="4"/>
  <c r="V11" i="4" s="1"/>
  <c r="W11" i="4" s="1"/>
  <c r="C3" i="6" s="1"/>
  <c r="J59" i="4"/>
  <c r="J60" i="4"/>
  <c r="J61" i="4"/>
  <c r="J57" i="4"/>
  <c r="J58" i="4"/>
  <c r="C19" i="4"/>
  <c r="E19" i="4" s="1"/>
  <c r="J43" i="4"/>
  <c r="J44" i="4"/>
  <c r="J45" i="4"/>
  <c r="J46" i="4"/>
  <c r="J42" i="4"/>
  <c r="C25" i="4"/>
  <c r="E25" i="4" s="1"/>
  <c r="T25" i="4" s="1"/>
  <c r="T36" i="4"/>
  <c r="V36" i="4" s="1"/>
  <c r="C12" i="4"/>
  <c r="E12" i="4" s="1"/>
  <c r="L56" i="4"/>
  <c r="K56" i="4"/>
  <c r="C56" i="4" s="1"/>
  <c r="C37" i="4"/>
  <c r="E37" i="4" s="1"/>
  <c r="C39" i="4"/>
  <c r="E39" i="4" s="1"/>
  <c r="W36" i="4"/>
  <c r="C8" i="6" s="1"/>
  <c r="L28" i="4"/>
  <c r="D28" i="4" s="1"/>
  <c r="K28" i="4"/>
  <c r="D37" i="3"/>
  <c r="C37" i="3"/>
  <c r="E55" i="3"/>
  <c r="C17" i="4"/>
  <c r="E17" i="4" s="1"/>
  <c r="M13" i="3"/>
  <c r="E13" i="3"/>
  <c r="K13" i="3"/>
  <c r="J13" i="3"/>
  <c r="L13" i="3"/>
  <c r="M5" i="4"/>
  <c r="N5" i="4" s="1"/>
  <c r="U5" i="4" s="1"/>
  <c r="H58" i="4"/>
  <c r="H43" i="4"/>
  <c r="H53" i="4"/>
  <c r="H48" i="4"/>
  <c r="H13" i="4"/>
  <c r="R13" i="4" s="1"/>
  <c r="H38" i="4"/>
  <c r="R38" i="4" s="1"/>
  <c r="H23" i="4"/>
  <c r="R23" i="4" s="1"/>
  <c r="H8" i="4"/>
  <c r="R8" i="4" s="1"/>
  <c r="H18" i="4"/>
  <c r="R18" i="4" s="1"/>
  <c r="H72" i="3"/>
  <c r="H67" i="3"/>
  <c r="H62" i="3"/>
  <c r="H11" i="3"/>
  <c r="H33" i="4"/>
  <c r="R33" i="4" s="1"/>
  <c r="T33" i="4" s="1"/>
  <c r="H28" i="4"/>
  <c r="R28" i="4" s="1"/>
  <c r="H3" i="4"/>
  <c r="R3" i="4" s="1"/>
  <c r="H57" i="3"/>
  <c r="H16" i="3"/>
  <c r="H52" i="3"/>
  <c r="H21" i="3"/>
  <c r="H36" i="3"/>
  <c r="H31" i="3"/>
  <c r="H26" i="3"/>
  <c r="H47" i="3"/>
  <c r="C15" i="4"/>
  <c r="E15" i="4" s="1"/>
  <c r="T31" i="4"/>
  <c r="V31" i="4" s="1"/>
  <c r="W31" i="4" s="1"/>
  <c r="C7" i="6" s="1"/>
  <c r="E53" i="3"/>
  <c r="E18" i="3"/>
  <c r="C24" i="4"/>
  <c r="E24" i="4" s="1"/>
  <c r="C40" i="4"/>
  <c r="E40" i="4" s="1"/>
  <c r="C38" i="4"/>
  <c r="E38" i="4" s="1"/>
  <c r="C4" i="4"/>
  <c r="E4" i="4" s="1"/>
  <c r="C20" i="4"/>
  <c r="E20" i="4" s="1"/>
  <c r="T20" i="4" s="1"/>
  <c r="H49" i="4"/>
  <c r="H59" i="4"/>
  <c r="H44" i="4"/>
  <c r="H54" i="4"/>
  <c r="H39" i="4"/>
  <c r="R39" i="4" s="1"/>
  <c r="H4" i="4"/>
  <c r="R4" i="4" s="1"/>
  <c r="H14" i="4"/>
  <c r="R14" i="4" s="1"/>
  <c r="T14" i="4" s="1"/>
  <c r="H34" i="4"/>
  <c r="R34" i="4" s="1"/>
  <c r="T34" i="4" s="1"/>
  <c r="V34" i="4" s="1"/>
  <c r="W34" i="4" s="1"/>
  <c r="B8" i="6" s="1"/>
  <c r="H29" i="4"/>
  <c r="R29" i="4" s="1"/>
  <c r="H24" i="4"/>
  <c r="R24" i="4" s="1"/>
  <c r="H73" i="3"/>
  <c r="H68" i="3"/>
  <c r="H63" i="3"/>
  <c r="H19" i="4"/>
  <c r="R19" i="4" s="1"/>
  <c r="T19" i="4" s="1"/>
  <c r="H58" i="3"/>
  <c r="H9" i="4"/>
  <c r="R9" i="4" s="1"/>
  <c r="H12" i="3"/>
  <c r="H48" i="3"/>
  <c r="H37" i="3"/>
  <c r="H22" i="3"/>
  <c r="H17" i="3"/>
  <c r="H32" i="3"/>
  <c r="H53" i="3"/>
  <c r="H27" i="3"/>
  <c r="C10" i="4"/>
  <c r="E10" i="4" s="1"/>
  <c r="H57" i="4"/>
  <c r="H42" i="4"/>
  <c r="H27" i="4"/>
  <c r="R27" i="4" s="1"/>
  <c r="H52" i="4"/>
  <c r="H47" i="4"/>
  <c r="H12" i="4"/>
  <c r="R12" i="4" s="1"/>
  <c r="T12" i="4" s="1"/>
  <c r="H32" i="4"/>
  <c r="R32" i="4" s="1"/>
  <c r="T32" i="4" s="1"/>
  <c r="V32" i="4" s="1"/>
  <c r="W32" i="4" s="1"/>
  <c r="H22" i="4"/>
  <c r="R22" i="4" s="1"/>
  <c r="H7" i="4"/>
  <c r="R7" i="4" s="1"/>
  <c r="H37" i="4"/>
  <c r="R37" i="4" s="1"/>
  <c r="T37" i="4" s="1"/>
  <c r="H17" i="4"/>
  <c r="R17" i="4" s="1"/>
  <c r="H2" i="4"/>
  <c r="R2" i="4" s="1"/>
  <c r="H71" i="3"/>
  <c r="H66" i="3"/>
  <c r="H61" i="3"/>
  <c r="H56" i="3"/>
  <c r="H46" i="3"/>
  <c r="H35" i="3"/>
  <c r="H15" i="3"/>
  <c r="H30" i="3"/>
  <c r="H10" i="3"/>
  <c r="H20" i="3"/>
  <c r="H51" i="3"/>
  <c r="H25" i="3"/>
  <c r="J51" i="4"/>
  <c r="J47" i="4"/>
  <c r="J48" i="4"/>
  <c r="J49" i="4"/>
  <c r="J50" i="4"/>
  <c r="T26" i="4"/>
  <c r="V26" i="4" s="1"/>
  <c r="W26" i="4" s="1"/>
  <c r="C6" i="6" s="1"/>
  <c r="E52" i="3"/>
  <c r="E17" i="3"/>
  <c r="C9" i="4"/>
  <c r="E9" i="4" s="1"/>
  <c r="C22" i="4"/>
  <c r="E22" i="4" s="1"/>
  <c r="L12" i="3"/>
  <c r="C69" i="3" s="1"/>
  <c r="K12" i="3"/>
  <c r="C68" i="3" s="1"/>
  <c r="J12" i="3"/>
  <c r="M12" i="3"/>
  <c r="E12" i="3"/>
  <c r="E15" i="3"/>
  <c r="T23" i="4"/>
  <c r="T16" i="4"/>
  <c r="V16" i="4" s="1"/>
  <c r="W16" i="4" s="1"/>
  <c r="C4" i="6" s="1"/>
  <c r="T41" i="4"/>
  <c r="V41" i="4" s="1"/>
  <c r="C8" i="4"/>
  <c r="E8" i="4" s="1"/>
  <c r="M8" i="4"/>
  <c r="N8" i="4" s="1"/>
  <c r="U8" i="4" s="1"/>
  <c r="M23" i="4"/>
  <c r="N23" i="4" s="1"/>
  <c r="U23" i="4" s="1"/>
  <c r="C29" i="4"/>
  <c r="E29" i="4" s="1"/>
  <c r="J52" i="4"/>
  <c r="J53" i="4"/>
  <c r="J54" i="4"/>
  <c r="J55" i="4"/>
  <c r="J56" i="4"/>
  <c r="E31" i="3"/>
  <c r="Q52" i="4"/>
  <c r="Q53" i="4"/>
  <c r="Q54" i="4"/>
  <c r="Q55" i="4"/>
  <c r="Q56" i="4"/>
  <c r="C66" i="3"/>
  <c r="E27" i="3"/>
  <c r="M11" i="3"/>
  <c r="C65" i="3" s="1"/>
  <c r="E11" i="3"/>
  <c r="K11" i="3"/>
  <c r="C63" i="3" s="1"/>
  <c r="J11" i="3"/>
  <c r="L11" i="3"/>
  <c r="C7" i="4"/>
  <c r="E7" i="4" s="1"/>
  <c r="T6" i="4"/>
  <c r="V6" i="4" s="1"/>
  <c r="W6" i="4" s="1"/>
  <c r="V21" i="4" l="1"/>
  <c r="W21" i="4" s="1"/>
  <c r="C5" i="6" s="1"/>
  <c r="T7" i="4"/>
  <c r="M7" i="4"/>
  <c r="N7" i="4" s="1"/>
  <c r="U7" i="4" s="1"/>
  <c r="T22" i="4"/>
  <c r="T3" i="4"/>
  <c r="V35" i="4"/>
  <c r="W35" i="4" s="1"/>
  <c r="T9" i="4"/>
  <c r="T30" i="4"/>
  <c r="M37" i="4"/>
  <c r="N37" i="4" s="1"/>
  <c r="U37" i="4" s="1"/>
  <c r="V33" i="4"/>
  <c r="W33" i="4" s="1"/>
  <c r="T17" i="4"/>
  <c r="M18" i="4"/>
  <c r="N18" i="4" s="1"/>
  <c r="U18" i="4" s="1"/>
  <c r="V5" i="4"/>
  <c r="W5" i="4" s="1"/>
  <c r="T15" i="4"/>
  <c r="T18" i="4"/>
  <c r="V18" i="4" s="1"/>
  <c r="W18" i="4" s="1"/>
  <c r="M17" i="4"/>
  <c r="N17" i="4" s="1"/>
  <c r="U17" i="4" s="1"/>
  <c r="T13" i="4"/>
  <c r="T29" i="4"/>
  <c r="M22" i="4"/>
  <c r="N22" i="4" s="1"/>
  <c r="U22" i="4" s="1"/>
  <c r="M2" i="4"/>
  <c r="N2" i="4" s="1"/>
  <c r="U2" i="4" s="1"/>
  <c r="T2" i="4"/>
  <c r="T4" i="4"/>
  <c r="M12" i="4"/>
  <c r="N12" i="4" s="1"/>
  <c r="U12" i="4" s="1"/>
  <c r="V12" i="4" s="1"/>
  <c r="W12" i="4" s="1"/>
  <c r="T8" i="4"/>
  <c r="V8" i="4" s="1"/>
  <c r="W8" i="4" s="1"/>
  <c r="T39" i="4"/>
  <c r="T10" i="4"/>
  <c r="T27" i="4"/>
  <c r="T24" i="4"/>
  <c r="M40" i="4"/>
  <c r="N40" i="4" s="1"/>
  <c r="U40" i="4" s="1"/>
  <c r="V40" i="4" s="1"/>
  <c r="M25" i="4"/>
  <c r="N25" i="4" s="1"/>
  <c r="U25" i="4" s="1"/>
  <c r="M30" i="4"/>
  <c r="N30" i="4" s="1"/>
  <c r="U30" i="4" s="1"/>
  <c r="M27" i="4"/>
  <c r="N27" i="4" s="1"/>
  <c r="U27" i="4" s="1"/>
  <c r="M24" i="4"/>
  <c r="N24" i="4" s="1"/>
  <c r="U24" i="4" s="1"/>
  <c r="T38" i="4"/>
  <c r="E37" i="3"/>
  <c r="C11" i="6"/>
  <c r="C13" i="6"/>
  <c r="C12" i="6"/>
  <c r="C2" i="6"/>
  <c r="C10" i="6"/>
  <c r="D8" i="6"/>
  <c r="E8" i="6"/>
  <c r="L47" i="4"/>
  <c r="D47" i="4" s="1"/>
  <c r="K47" i="4"/>
  <c r="L48" i="4"/>
  <c r="D48" i="4" s="1"/>
  <c r="K48" i="4"/>
  <c r="L55" i="4"/>
  <c r="D55" i="4" s="1"/>
  <c r="K55" i="4"/>
  <c r="M10" i="4"/>
  <c r="N10" i="4" s="1"/>
  <c r="U10" i="4" s="1"/>
  <c r="M38" i="4"/>
  <c r="N38" i="4" s="1"/>
  <c r="U38" i="4" s="1"/>
  <c r="L57" i="4"/>
  <c r="D57" i="4" s="1"/>
  <c r="K57" i="4"/>
  <c r="C72" i="3"/>
  <c r="L42" i="4"/>
  <c r="K42" i="4"/>
  <c r="C57" i="3"/>
  <c r="R52" i="4"/>
  <c r="R53" i="4"/>
  <c r="D56" i="4"/>
  <c r="E56" i="4" s="1"/>
  <c r="R54" i="4"/>
  <c r="R55" i="4"/>
  <c r="R56" i="4"/>
  <c r="D68" i="3"/>
  <c r="E68" i="3" s="1"/>
  <c r="D66" i="3"/>
  <c r="E66" i="3" s="1"/>
  <c r="D69" i="3"/>
  <c r="E69" i="3" s="1"/>
  <c r="D67" i="3"/>
  <c r="D70" i="3"/>
  <c r="L45" i="4"/>
  <c r="K45" i="4"/>
  <c r="C60" i="3"/>
  <c r="R51" i="4"/>
  <c r="R47" i="4"/>
  <c r="R48" i="4"/>
  <c r="D51" i="4"/>
  <c r="M51" i="4" s="1"/>
  <c r="N51" i="4" s="1"/>
  <c r="U51" i="4" s="1"/>
  <c r="R49" i="4"/>
  <c r="R50" i="4"/>
  <c r="D63" i="3"/>
  <c r="E63" i="3" s="1"/>
  <c r="D62" i="3"/>
  <c r="D61" i="3"/>
  <c r="E61" i="3" s="1"/>
  <c r="D65" i="3"/>
  <c r="E65" i="3" s="1"/>
  <c r="D64" i="3"/>
  <c r="K52" i="4"/>
  <c r="L52" i="4"/>
  <c r="D52" i="4" s="1"/>
  <c r="W40" i="4"/>
  <c r="M15" i="4"/>
  <c r="N15" i="4" s="1"/>
  <c r="U15" i="4" s="1"/>
  <c r="V15" i="4" s="1"/>
  <c r="L58" i="4"/>
  <c r="D58" i="4" s="1"/>
  <c r="K58" i="4"/>
  <c r="C73" i="3"/>
  <c r="M19" i="4"/>
  <c r="N19" i="4" s="1"/>
  <c r="U19" i="4" s="1"/>
  <c r="V19" i="4" s="1"/>
  <c r="S47" i="4"/>
  <c r="L43" i="4"/>
  <c r="D43" i="4" s="1"/>
  <c r="K43" i="4"/>
  <c r="C58" i="3"/>
  <c r="C61" i="4"/>
  <c r="S52" i="4"/>
  <c r="V37" i="4"/>
  <c r="L54" i="4"/>
  <c r="D54" i="4" s="1"/>
  <c r="K54" i="4"/>
  <c r="K60" i="4"/>
  <c r="L60" i="4"/>
  <c r="D60" i="4" s="1"/>
  <c r="C75" i="3"/>
  <c r="M39" i="4"/>
  <c r="N39" i="4" s="1"/>
  <c r="U39" i="4" s="1"/>
  <c r="L50" i="4"/>
  <c r="D50" i="4" s="1"/>
  <c r="K50" i="4"/>
  <c r="L53" i="4"/>
  <c r="D53" i="4" s="1"/>
  <c r="K53" i="4"/>
  <c r="D61" i="4"/>
  <c r="R59" i="4"/>
  <c r="R60" i="4"/>
  <c r="R61" i="4"/>
  <c r="R57" i="4"/>
  <c r="R58" i="4"/>
  <c r="D75" i="3"/>
  <c r="D71" i="3"/>
  <c r="E71" i="3" s="1"/>
  <c r="D74" i="3"/>
  <c r="D73" i="3"/>
  <c r="D72" i="3"/>
  <c r="S57" i="4"/>
  <c r="K44" i="4"/>
  <c r="L44" i="4"/>
  <c r="D44" i="4" s="1"/>
  <c r="C59" i="3"/>
  <c r="C70" i="3"/>
  <c r="M29" i="4"/>
  <c r="N29" i="4" s="1"/>
  <c r="U29" i="4" s="1"/>
  <c r="V23" i="4"/>
  <c r="W23" i="4" s="1"/>
  <c r="M9" i="4"/>
  <c r="N9" i="4" s="1"/>
  <c r="U9" i="4" s="1"/>
  <c r="M20" i="4"/>
  <c r="N20" i="4" s="1"/>
  <c r="U20" i="4" s="1"/>
  <c r="V20" i="4" s="1"/>
  <c r="W37" i="4"/>
  <c r="M13" i="4"/>
  <c r="N13" i="4" s="1"/>
  <c r="U13" i="4" s="1"/>
  <c r="V13" i="4" s="1"/>
  <c r="M14" i="4"/>
  <c r="N14" i="4" s="1"/>
  <c r="U14" i="4" s="1"/>
  <c r="V14" i="4" s="1"/>
  <c r="C62" i="3"/>
  <c r="C28" i="4"/>
  <c r="E28" i="4" s="1"/>
  <c r="L59" i="4"/>
  <c r="D59" i="4" s="1"/>
  <c r="K59" i="4"/>
  <c r="C74" i="3"/>
  <c r="V25" i="4"/>
  <c r="W25" i="4" s="1"/>
  <c r="L49" i="4"/>
  <c r="D49" i="4" s="1"/>
  <c r="K49" i="4"/>
  <c r="C67" i="3"/>
  <c r="M4" i="4"/>
  <c r="N4" i="4" s="1"/>
  <c r="U4" i="4" s="1"/>
  <c r="V4" i="4" s="1"/>
  <c r="C46" i="4"/>
  <c r="M3" i="4"/>
  <c r="N3" i="4" s="1"/>
  <c r="U3" i="4" s="1"/>
  <c r="V3" i="4" s="1"/>
  <c r="W3" i="4" s="1"/>
  <c r="C64" i="3"/>
  <c r="D45" i="4"/>
  <c r="R43" i="4"/>
  <c r="D46" i="4"/>
  <c r="R44" i="4"/>
  <c r="R45" i="4"/>
  <c r="R46" i="4"/>
  <c r="D42" i="4"/>
  <c r="R42" i="4"/>
  <c r="D57" i="3"/>
  <c r="D56" i="3"/>
  <c r="E56" i="3" s="1"/>
  <c r="D58" i="3"/>
  <c r="D59" i="3"/>
  <c r="D60" i="3"/>
  <c r="S42" i="4"/>
  <c r="M61" i="4" l="1"/>
  <c r="N61" i="4" s="1"/>
  <c r="U61" i="4" s="1"/>
  <c r="V30" i="4"/>
  <c r="W30" i="4" s="1"/>
  <c r="V9" i="4"/>
  <c r="V22" i="4"/>
  <c r="W22" i="4" s="1"/>
  <c r="V7" i="4"/>
  <c r="W7" i="4" s="1"/>
  <c r="D3" i="6" s="1"/>
  <c r="V39" i="4"/>
  <c r="V17" i="4"/>
  <c r="W17" i="4" s="1"/>
  <c r="E64" i="3"/>
  <c r="M46" i="4"/>
  <c r="N46" i="4" s="1"/>
  <c r="U46" i="4" s="1"/>
  <c r="V38" i="4"/>
  <c r="V10" i="4"/>
  <c r="W10" i="4" s="1"/>
  <c r="W38" i="4"/>
  <c r="M28" i="4"/>
  <c r="N28" i="4" s="1"/>
  <c r="U28" i="4" s="1"/>
  <c r="E74" i="3"/>
  <c r="E62" i="3"/>
  <c r="V29" i="4"/>
  <c r="W29" i="4" s="1"/>
  <c r="B7" i="6" s="1"/>
  <c r="M56" i="4"/>
  <c r="N56" i="4" s="1"/>
  <c r="U56" i="4" s="1"/>
  <c r="E51" i="4"/>
  <c r="V24" i="4"/>
  <c r="W24" i="4" s="1"/>
  <c r="B6" i="6" s="1"/>
  <c r="V2" i="4"/>
  <c r="W2" i="4" s="1"/>
  <c r="D11" i="6" s="1"/>
  <c r="E70" i="3"/>
  <c r="V27" i="4"/>
  <c r="W27" i="4" s="1"/>
  <c r="T56" i="4"/>
  <c r="E59" i="3"/>
  <c r="E6" i="6"/>
  <c r="D6" i="6"/>
  <c r="C60" i="4"/>
  <c r="E60" i="4" s="1"/>
  <c r="T60" i="4" s="1"/>
  <c r="C50" i="4"/>
  <c r="E50" i="4" s="1"/>
  <c r="W13" i="4"/>
  <c r="W15" i="4"/>
  <c r="E4" i="6"/>
  <c r="D4" i="6"/>
  <c r="C52" i="4"/>
  <c r="E52" i="4" s="1"/>
  <c r="C42" i="4"/>
  <c r="E42" i="4" s="1"/>
  <c r="T42" i="4" s="1"/>
  <c r="C55" i="4"/>
  <c r="E55" i="4" s="1"/>
  <c r="E58" i="3"/>
  <c r="E73" i="3"/>
  <c r="E60" i="3"/>
  <c r="C57" i="4"/>
  <c r="E57" i="4" s="1"/>
  <c r="C44" i="4"/>
  <c r="E44" i="4" s="1"/>
  <c r="E75" i="3"/>
  <c r="C43" i="4"/>
  <c r="E43" i="4" s="1"/>
  <c r="T43" i="4" s="1"/>
  <c r="C58" i="4"/>
  <c r="E58" i="4" s="1"/>
  <c r="T58" i="4" s="1"/>
  <c r="C45" i="4"/>
  <c r="E45" i="4" s="1"/>
  <c r="W19" i="4"/>
  <c r="B5" i="6" s="1"/>
  <c r="W4" i="4"/>
  <c r="E72" i="3"/>
  <c r="C48" i="4"/>
  <c r="E48" i="4" s="1"/>
  <c r="E9" i="6"/>
  <c r="D9" i="6"/>
  <c r="C53" i="4"/>
  <c r="E53" i="4" s="1"/>
  <c r="W20" i="4"/>
  <c r="C47" i="4"/>
  <c r="E47" i="4" s="1"/>
  <c r="E67" i="3"/>
  <c r="C59" i="4"/>
  <c r="E59" i="4" s="1"/>
  <c r="T28" i="4"/>
  <c r="D5" i="6"/>
  <c r="E5" i="6"/>
  <c r="W9" i="4"/>
  <c r="B3" i="6" s="1"/>
  <c r="D12" i="6"/>
  <c r="D10" i="6"/>
  <c r="E2" i="6"/>
  <c r="E13" i="6"/>
  <c r="E11" i="6"/>
  <c r="D2" i="6"/>
  <c r="T57" i="4"/>
  <c r="E61" i="4"/>
  <c r="W61" i="4" s="1"/>
  <c r="E46" i="4"/>
  <c r="C49" i="4"/>
  <c r="E49" i="4" s="1"/>
  <c r="E3" i="6"/>
  <c r="W14" i="4"/>
  <c r="B4" i="6" s="1"/>
  <c r="C54" i="4"/>
  <c r="E54" i="4" s="1"/>
  <c r="W39" i="4"/>
  <c r="B9" i="6" s="1"/>
  <c r="E57" i="3"/>
  <c r="W46" i="4" l="1"/>
  <c r="V28" i="4"/>
  <c r="W28" i="4" s="1"/>
  <c r="M48" i="4"/>
  <c r="N48" i="4" s="1"/>
  <c r="U48" i="4" s="1"/>
  <c r="M49" i="4"/>
  <c r="N49" i="4" s="1"/>
  <c r="U49" i="4" s="1"/>
  <c r="D7" i="6"/>
  <c r="E7" i="6"/>
  <c r="E10" i="6"/>
  <c r="D13" i="6"/>
  <c r="E12" i="6"/>
  <c r="M47" i="4"/>
  <c r="N47" i="4" s="1"/>
  <c r="U47" i="4" s="1"/>
  <c r="W51" i="4"/>
  <c r="T51" i="4"/>
  <c r="V51" i="4" s="1"/>
  <c r="T46" i="4"/>
  <c r="V46" i="4" s="1"/>
  <c r="V56" i="4"/>
  <c r="W56" i="4"/>
  <c r="M43" i="4"/>
  <c r="N43" i="4" s="1"/>
  <c r="U43" i="4" s="1"/>
  <c r="V43" i="4" s="1"/>
  <c r="M55" i="4"/>
  <c r="N55" i="4" s="1"/>
  <c r="U55" i="4" s="1"/>
  <c r="T48" i="4"/>
  <c r="B11" i="6"/>
  <c r="B12" i="6"/>
  <c r="B13" i="6"/>
  <c r="B10" i="6"/>
  <c r="B2" i="6"/>
  <c r="T50" i="4"/>
  <c r="M59" i="4"/>
  <c r="N59" i="4" s="1"/>
  <c r="U59" i="4" s="1"/>
  <c r="M57" i="4"/>
  <c r="N57" i="4" s="1"/>
  <c r="U57" i="4" s="1"/>
  <c r="V57" i="4" s="1"/>
  <c r="W57" i="4" s="1"/>
  <c r="T49" i="4"/>
  <c r="V49" i="4" s="1"/>
  <c r="W49" i="4" s="1"/>
  <c r="M42" i="4"/>
  <c r="N42" i="4" s="1"/>
  <c r="U42" i="4" s="1"/>
  <c r="V42" i="4" s="1"/>
  <c r="M50" i="4"/>
  <c r="N50" i="4" s="1"/>
  <c r="U50" i="4" s="1"/>
  <c r="T52" i="4"/>
  <c r="T59" i="4"/>
  <c r="M45" i="4"/>
  <c r="N45" i="4" s="1"/>
  <c r="U45" i="4" s="1"/>
  <c r="M44" i="4"/>
  <c r="N44" i="4" s="1"/>
  <c r="U44" i="4" s="1"/>
  <c r="T61" i="4"/>
  <c r="V61" i="4" s="1"/>
  <c r="M52" i="4"/>
  <c r="N52" i="4" s="1"/>
  <c r="U52" i="4" s="1"/>
  <c r="M60" i="4"/>
  <c r="N60" i="4" s="1"/>
  <c r="U60" i="4" s="1"/>
  <c r="V60" i="4" s="1"/>
  <c r="T54" i="4"/>
  <c r="T44" i="4"/>
  <c r="T47" i="4"/>
  <c r="T53" i="4"/>
  <c r="M54" i="4"/>
  <c r="N54" i="4" s="1"/>
  <c r="U54" i="4" s="1"/>
  <c r="M53" i="4"/>
  <c r="N53" i="4" s="1"/>
  <c r="U53" i="4" s="1"/>
  <c r="M58" i="4"/>
  <c r="N58" i="4" s="1"/>
  <c r="U58" i="4" s="1"/>
  <c r="V58" i="4" s="1"/>
  <c r="W58" i="4" s="1"/>
  <c r="T45" i="4"/>
  <c r="T55" i="4"/>
  <c r="V48" i="4" l="1"/>
  <c r="W48" i="4" s="1"/>
  <c r="V47" i="4"/>
  <c r="W47" i="4" s="1"/>
  <c r="V45" i="4"/>
  <c r="W45" i="4" s="1"/>
  <c r="V53" i="4"/>
  <c r="W53" i="4" s="1"/>
  <c r="V59" i="4"/>
  <c r="W59" i="4" s="1"/>
  <c r="V44" i="4"/>
  <c r="W44" i="4" s="1"/>
  <c r="V50" i="4"/>
  <c r="W50" i="4" s="1"/>
  <c r="W43" i="4"/>
  <c r="W42" i="4"/>
  <c r="V55" i="4"/>
  <c r="W55" i="4" s="1"/>
  <c r="V54" i="4"/>
  <c r="W54" i="4" s="1"/>
  <c r="W60" i="4"/>
  <c r="V52" i="4"/>
  <c r="W52" i="4" s="1"/>
</calcChain>
</file>

<file path=xl/sharedStrings.xml><?xml version="1.0" encoding="utf-8"?>
<sst xmlns="http://schemas.openxmlformats.org/spreadsheetml/2006/main" count="271" uniqueCount="119">
  <si>
    <t>Parameter</t>
  </si>
  <si>
    <t>Value</t>
  </si>
  <si>
    <t>Notes</t>
  </si>
  <si>
    <t>MO inflation</t>
  </si>
  <si>
    <t>Annual inflation factor.</t>
  </si>
  <si>
    <t>Base MO per ADM (FY25)</t>
  </si>
  <si>
    <t>Working base for FY25.</t>
  </si>
  <si>
    <t>Fixed share of MO</t>
  </si>
  <si>
    <t>Share treated as semi‑fixed (plant/insurance).</t>
  </si>
  <si>
    <t>Ops savings (keep‑open)</t>
  </si>
  <si>
    <t>Light discipline if sites remain open (not used here).</t>
  </si>
  <si>
    <t>Extra savings (Co‑location)</t>
  </si>
  <si>
    <t>Incremental savings for co‑location (not used here).</t>
  </si>
  <si>
    <t>Echo base ADM</t>
  </si>
  <si>
    <t>Pima base ADM</t>
  </si>
  <si>
    <t>Total base ADM</t>
  </si>
  <si>
    <t>Echo base ADM + Pima base ADM</t>
  </si>
  <si>
    <t>Repurpose TI per closed site (FY26)</t>
  </si>
  <si>
    <t>Retention r (central)</t>
  </si>
  <si>
    <t>Helper / Derivation</t>
  </si>
  <si>
    <t>FY26</t>
  </si>
  <si>
    <t>FY27</t>
  </si>
  <si>
    <t>FY28</t>
  </si>
  <si>
    <t>FY29</t>
  </si>
  <si>
    <t>FY30</t>
  </si>
  <si>
    <t>Base total MO (FY25)</t>
  </si>
  <si>
    <t>Total ADM × Base MO/ADM</t>
  </si>
  <si>
    <t>B13 = B9*B3 (Base total MO, FY25)</t>
  </si>
  <si>
    <t>Fixed MO (FY25)</t>
  </si>
  <si>
    <t>Fixed = Base total × Fixed share</t>
  </si>
  <si>
    <t>B14 = B13*B4 (Fixed MO, FY25)</t>
  </si>
  <si>
    <t>Var per student (FY25)</t>
  </si>
  <si>
    <t>Variable = (Base total − Fixed)/Total ADM</t>
  </si>
  <si>
    <t>B15 = (B13–B14)/B9 (Variable $/student, FY25)</t>
  </si>
  <si>
    <t>Fixed total ($)</t>
  </si>
  <si>
    <t>Var unit ($/student)</t>
  </si>
  <si>
    <t>Echo fixed ($)</t>
  </si>
  <si>
    <t>Pima fixed ($)</t>
  </si>
  <si>
    <t>All formulas are same‑sheet and reference the Parameter cells above.</t>
  </si>
  <si>
    <t>Year</t>
  </si>
  <si>
    <t>VarUnit$</t>
  </si>
  <si>
    <t>EchoFixed$</t>
  </si>
  <si>
    <t>PimaFixed$</t>
  </si>
  <si>
    <t>h</t>
  </si>
  <si>
    <t>f_lease</t>
  </si>
  <si>
    <t>f_ops</t>
  </si>
  <si>
    <t>YearIdx</t>
  </si>
  <si>
    <t>FY2026</t>
  </si>
  <si>
    <t>FY2027</t>
  </si>
  <si>
    <t>FY2028</t>
  </si>
  <si>
    <t>FY2029</t>
  </si>
  <si>
    <t>FY2030</t>
  </si>
  <si>
    <t>ScenarioKey</t>
  </si>
  <si>
    <t>Label</t>
  </si>
  <si>
    <t>Overlay</t>
  </si>
  <si>
    <t>CloseEcho</t>
  </si>
  <si>
    <t>ClosePima</t>
  </si>
  <si>
    <t>EchoShareDist</t>
  </si>
  <si>
    <t>ExtraSave</t>
  </si>
  <si>
    <t>Overlay_FY26</t>
  </si>
  <si>
    <t>Overlay_FY27</t>
  </si>
  <si>
    <t>Overlay_FY28</t>
  </si>
  <si>
    <t>Overlay_FY29</t>
  </si>
  <si>
    <t>Overlay_FY30</t>
  </si>
  <si>
    <t>Carry</t>
  </si>
  <si>
    <t>D_Grow_Both_0</t>
  </si>
  <si>
    <t>D. Grow Both (Overlay 0)</t>
  </si>
  <si>
    <t>Baseline + outreach; no closures</t>
  </si>
  <si>
    <t>E_StatusQuo_Targets_0</t>
  </si>
  <si>
    <t>E. Status‑Quo + Targets (0)</t>
  </si>
  <si>
    <t>Baseline + targets; no closures</t>
  </si>
  <si>
    <t>F_CoLocation_Echo_0</t>
  </si>
  <si>
    <t>F. Co‑Location @ Echo (0)</t>
  </si>
  <si>
    <t>Shared‑use efficiencies later (no closure)</t>
  </si>
  <si>
    <t>D_Grow_Both_100</t>
  </si>
  <si>
    <t>D. Grow Both (Overlay 100)</t>
  </si>
  <si>
    <t>Baseline +100 overlay</t>
  </si>
  <si>
    <t>D_Grow_Both_150</t>
  </si>
  <si>
    <t>D. Grow Both (Overlay 150)</t>
  </si>
  <si>
    <t>Baseline +150 overlay</t>
  </si>
  <si>
    <t>G_DHub_EchoRamp</t>
  </si>
  <si>
    <t>G. D‑Hub @ Echo (Ramp 50→100→150)</t>
  </si>
  <si>
    <t>Time‑phased ramp (+50,+100,+150 years 1–3)</t>
  </si>
  <si>
    <t>A_Repurpose_Both_lease</t>
  </si>
  <si>
    <t>A. Repurpose BOTH (lease)</t>
  </si>
  <si>
    <t>Repurpose both; lease/sale glide</t>
  </si>
  <si>
    <t>lease</t>
  </si>
  <si>
    <t>Echo_ADM</t>
  </si>
  <si>
    <t>Pima_ADM</t>
  </si>
  <si>
    <t>Total_ADM</t>
  </si>
  <si>
    <t>Key</t>
  </si>
  <si>
    <t>ops</t>
  </si>
  <si>
    <t>OpsFactor</t>
  </si>
  <si>
    <t>EchoPotential_ADM</t>
  </si>
  <si>
    <t>PimaPotential_ADM</t>
  </si>
  <si>
    <t>Displaced_ADM</t>
  </si>
  <si>
    <t>Retained_ADM</t>
  </si>
  <si>
    <t>CarryFrac</t>
  </si>
  <si>
    <t>EchoFixedEff$</t>
  </si>
  <si>
    <t>PimaFixedEff$</t>
  </si>
  <si>
    <t>TI_adds$</t>
  </si>
  <si>
    <t>SiteCost$</t>
  </si>
  <si>
    <t>RetainedSvc$</t>
  </si>
  <si>
    <t>Comparable_MO$</t>
  </si>
  <si>
    <t>Comparable_per_Student$</t>
  </si>
  <si>
    <t>FAQs</t>
  </si>
  <si>
    <t>Why “Fixed share of M&amp;O = 0.30”?</t>
  </si>
  <si>
    <t>District M&amp;O typically has a sizable semi‑fixed component (plant ops/custodial/insurance/admin overhead). Without site‑level detail yet, 30% is a conservative placeholder in the middle of the 25–40% range many K‑12 systems sit in. We will replace it with SUSD plant ops + insurance shares when available.</t>
  </si>
  <si>
    <t>Why “Ops savings (keep‑open) = 0.007 (0.7%)”?</t>
  </si>
  <si>
    <t>This represents “light discipline” (utilities/purchasing tweaks, route smoothing) that does not depend on closing a site. I set it very low on purpose so it doesn’t drive results. We’ll calibrate with SUSD data (e.g., last year’s utility audits) if provided.</t>
  </si>
  <si>
    <t>Why “Extra savings (co‑location) = 0.015 (1.5%)”?</t>
  </si>
  <si>
    <t>This reflects incremental savings from consolidating some services on one campus (custodial/grounds/partial routing). Again kept small and conservative; we’ll swap in real custodial (sq‑ft), grounds and route deltas when we get them.</t>
  </si>
  <si>
    <t>Why “Repurpose TI per closed site (FY26) = $1.2M”? What is “one‑time carry/TI”?</t>
  </si>
  <si>
    <t>“TI” = tenant improvements / transition investments needed to convert a K‑8 to a different use (early learning, admin consolidation) and carry costs in year one (e.g., abatement, doors/security, low‑voltage re‑work, furniture, swing space). A light‑touch repurpose can easily run $10–$20/sq‑ft; Echo’s plant is ~77k sq ft, so $1.2M is a reasonable placeholder (we are not assuming a gut remodel). We’ll replace this with SUSD’s scope/estimate if they have one.</t>
  </si>
  <si>
    <t>Definitions</t>
  </si>
  <si>
    <t>FY2028 Comparable $/Student</t>
  </si>
  <si>
    <t>FY2030 Comparable $/Student</t>
  </si>
  <si>
    <t>3‑yr Avg Comparable (FY26–FY28)</t>
  </si>
  <si>
    <t>5‑yr Avg Comparable (FY26–FY30)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</si>
</sst>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0" fontId="2" fillId="0" borderId="0" xfId="0" applyFont="1"/>
    <xf numFmtId="0" fontId="0" fillId="3" borderId="0" xfId="0" applyFill="1"/>
    <xf numFmtId="0" fontId="1" fillId="0" borderId="0" xfId="0" applyFont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zoomScale="90" zoomScaleNormal="90" workbookViewId="0">
      <pane ySplit="1" topLeftCell="A2" activePane="bottomLeft" state="frozen"/>
      <selection pane="bottomLeft" activeCell="C16" sqref="C16"/>
    </sheetView>
  </sheetViews>
  <sheetFormatPr defaultRowHeight="14.5" x14ac:dyDescent="0.35"/>
  <cols>
    <col min="1" max="1" width="25.1796875" customWidth="1"/>
    <col min="2" max="2" width="10" bestFit="1" customWidth="1"/>
    <col min="3" max="3" width="11" customWidth="1"/>
    <col min="4" max="6" width="10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</row>
    <row r="2" spans="1:11" x14ac:dyDescent="0.35">
      <c r="A2" t="s">
        <v>3</v>
      </c>
      <c r="B2" s="4">
        <v>2.5000000000000001E-2</v>
      </c>
      <c r="C2" s="6" t="s">
        <v>4</v>
      </c>
    </row>
    <row r="3" spans="1:11" x14ac:dyDescent="0.35">
      <c r="A3" t="s">
        <v>5</v>
      </c>
      <c r="B3" s="4">
        <v>9936</v>
      </c>
      <c r="C3" s="6" t="s">
        <v>6</v>
      </c>
    </row>
    <row r="4" spans="1:11" x14ac:dyDescent="0.35">
      <c r="A4" t="s">
        <v>7</v>
      </c>
      <c r="B4" s="4">
        <v>0.3</v>
      </c>
      <c r="C4" s="6" t="s">
        <v>8</v>
      </c>
    </row>
    <row r="5" spans="1:11" x14ac:dyDescent="0.35">
      <c r="A5" t="s">
        <v>9</v>
      </c>
      <c r="B5" s="4">
        <v>7.0000000000000001E-3</v>
      </c>
      <c r="C5" s="6" t="s">
        <v>10</v>
      </c>
    </row>
    <row r="6" spans="1:11" x14ac:dyDescent="0.35">
      <c r="A6" t="s">
        <v>11</v>
      </c>
      <c r="B6" s="4">
        <v>1.4999999999999999E-2</v>
      </c>
      <c r="C6" s="6" t="s">
        <v>12</v>
      </c>
    </row>
    <row r="7" spans="1:11" x14ac:dyDescent="0.35">
      <c r="A7" t="s">
        <v>13</v>
      </c>
      <c r="B7" s="4">
        <v>257</v>
      </c>
    </row>
    <row r="8" spans="1:11" x14ac:dyDescent="0.35">
      <c r="A8" t="s">
        <v>14</v>
      </c>
      <c r="B8" s="4">
        <v>296</v>
      </c>
    </row>
    <row r="9" spans="1:11" x14ac:dyDescent="0.35">
      <c r="A9" t="s">
        <v>15</v>
      </c>
      <c r="B9">
        <f>B7+B8</f>
        <v>553</v>
      </c>
      <c r="C9" t="s">
        <v>16</v>
      </c>
    </row>
    <row r="10" spans="1:11" x14ac:dyDescent="0.35">
      <c r="A10" t="s">
        <v>17</v>
      </c>
      <c r="B10" s="4">
        <v>1200000</v>
      </c>
    </row>
    <row r="11" spans="1:11" x14ac:dyDescent="0.35">
      <c r="A11" t="s">
        <v>18</v>
      </c>
      <c r="B11" s="4">
        <v>0.75</v>
      </c>
    </row>
    <row r="14" spans="1:11" x14ac:dyDescent="0.35">
      <c r="A14" s="1" t="s">
        <v>19</v>
      </c>
      <c r="B14" s="1" t="s">
        <v>20</v>
      </c>
      <c r="C14" s="1" t="s">
        <v>21</v>
      </c>
      <c r="D14" s="1" t="s">
        <v>22</v>
      </c>
      <c r="E14" s="1" t="s">
        <v>23</v>
      </c>
      <c r="F14" s="1" t="s">
        <v>24</v>
      </c>
      <c r="G14" s="1" t="s">
        <v>2</v>
      </c>
    </row>
    <row r="15" spans="1:11" x14ac:dyDescent="0.35">
      <c r="A15" t="s">
        <v>25</v>
      </c>
      <c r="B15" s="2">
        <f>B9*B3</f>
        <v>5494608</v>
      </c>
      <c r="C15" s="2" t="e">
        <f>C14/$B$4</f>
        <v>#VALUE!</v>
      </c>
      <c r="D15" s="2" t="e">
        <f>D14/$B$4</f>
        <v>#VALUE!</v>
      </c>
      <c r="E15" s="2" t="e">
        <f>E14/$B$4</f>
        <v>#VALUE!</v>
      </c>
      <c r="F15" s="2" t="e">
        <f>F14/$B$4</f>
        <v>#VALUE!</v>
      </c>
      <c r="G15" t="s">
        <v>26</v>
      </c>
      <c r="K15" t="s">
        <v>27</v>
      </c>
    </row>
    <row r="16" spans="1:11" x14ac:dyDescent="0.35">
      <c r="A16" t="s">
        <v>28</v>
      </c>
      <c r="B16" s="2">
        <f>B13*B4</f>
        <v>0</v>
      </c>
      <c r="C16" s="2" t="e">
        <f t="shared" ref="C16:F17" si="0">B17</f>
        <v>#VALUE!</v>
      </c>
      <c r="D16" s="2">
        <f t="shared" si="0"/>
        <v>0</v>
      </c>
      <c r="E16" s="2">
        <f t="shared" si="0"/>
        <v>0</v>
      </c>
      <c r="F16" s="2">
        <f t="shared" si="0"/>
        <v>0</v>
      </c>
      <c r="G16" t="s">
        <v>29</v>
      </c>
      <c r="K16" t="s">
        <v>30</v>
      </c>
    </row>
    <row r="17" spans="1:11" x14ac:dyDescent="0.35">
      <c r="A17" t="s">
        <v>31</v>
      </c>
      <c r="B17" s="2" t="e">
        <f>(B13-B14)/B9</f>
        <v>#VALUE!</v>
      </c>
      <c r="C17" s="2">
        <f t="shared" si="0"/>
        <v>0</v>
      </c>
      <c r="D17" s="2">
        <f t="shared" si="0"/>
        <v>0</v>
      </c>
      <c r="E17" s="2">
        <f t="shared" si="0"/>
        <v>0</v>
      </c>
      <c r="F17" s="2">
        <f t="shared" si="0"/>
        <v>0</v>
      </c>
      <c r="G17" t="s">
        <v>32</v>
      </c>
      <c r="K17" t="s">
        <v>33</v>
      </c>
    </row>
    <row r="19" spans="1:11" x14ac:dyDescent="0.35">
      <c r="A19" t="s">
        <v>34</v>
      </c>
      <c r="B19" s="2" t="e">
        <f>$B$14*(1+$B$2)^1</f>
        <v>#VALUE!</v>
      </c>
      <c r="C19" s="2" t="e">
        <f>$B$14*(1+$B$2)^2</f>
        <v>#VALUE!</v>
      </c>
      <c r="D19" s="2" t="e">
        <f>$B$14*(1+$B$2)^3</f>
        <v>#VALUE!</v>
      </c>
      <c r="E19" s="2" t="e">
        <f>$B$14*(1+$B$2)^4</f>
        <v>#VALUE!</v>
      </c>
      <c r="F19" s="2" t="e">
        <f>$B$14*(1+$B$2)^5</f>
        <v>#VALUE!</v>
      </c>
    </row>
    <row r="20" spans="1:11" x14ac:dyDescent="0.35">
      <c r="A20" t="s">
        <v>35</v>
      </c>
      <c r="B20" s="2">
        <f>$B$15*(1+$B$2)^1</f>
        <v>5631973.1999999993</v>
      </c>
      <c r="C20" s="2">
        <f>$B$15*(1+$B$2)^2</f>
        <v>5772772.5299999993</v>
      </c>
      <c r="D20" s="2">
        <f>$B$15*(1+$B$2)^3</f>
        <v>5917091.843249999</v>
      </c>
      <c r="E20" s="2">
        <f>$B$15*(1+$B$2)^4</f>
        <v>6065019.1393312486</v>
      </c>
      <c r="F20" s="2">
        <f>$B$15*(1+$B$2)^5</f>
        <v>6216644.6178145297</v>
      </c>
    </row>
    <row r="21" spans="1:11" x14ac:dyDescent="0.35">
      <c r="A21" t="s">
        <v>36</v>
      </c>
      <c r="B21" s="2" t="e">
        <f>B17*($B$7/$B$9)</f>
        <v>#VALUE!</v>
      </c>
      <c r="C21" s="2">
        <f>C17*($B$7/$B$9)</f>
        <v>0</v>
      </c>
      <c r="D21" s="2">
        <f>D17*($B$7/$B$9)</f>
        <v>0</v>
      </c>
      <c r="E21" s="2">
        <f>E17*($B$7/$B$9)</f>
        <v>0</v>
      </c>
      <c r="F21" s="2">
        <f>F17*($B$7/$B$9)</f>
        <v>0</v>
      </c>
    </row>
    <row r="22" spans="1:11" x14ac:dyDescent="0.35">
      <c r="A22" t="s">
        <v>37</v>
      </c>
      <c r="B22" s="2" t="e">
        <f>B17*($B$8/$B$9)</f>
        <v>#VALUE!</v>
      </c>
      <c r="C22" s="2">
        <f>C17*($B$8/$B$9)</f>
        <v>0</v>
      </c>
      <c r="D22" s="2">
        <f>D17*($B$8/$B$9)</f>
        <v>0</v>
      </c>
      <c r="E22" s="2">
        <f>E17*($B$8/$B$9)</f>
        <v>0</v>
      </c>
      <c r="F22" s="2">
        <f>F17*($B$8/$B$9)</f>
        <v>0</v>
      </c>
    </row>
    <row r="24" spans="1:11" x14ac:dyDescent="0.35">
      <c r="A24" s="1" t="s">
        <v>2</v>
      </c>
    </row>
    <row r="25" spans="1:11" x14ac:dyDescent="0.35">
      <c r="A25" s="3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zoomScale="90" zoomScaleNormal="90" workbookViewId="0">
      <selection activeCell="D10" sqref="D10"/>
    </sheetView>
  </sheetViews>
  <sheetFormatPr defaultRowHeight="14.5" x14ac:dyDescent="0.35"/>
  <cols>
    <col min="1" max="1" width="6.7265625" bestFit="1" customWidth="1"/>
    <col min="2" max="4" width="11.81640625" bestFit="1" customWidth="1"/>
    <col min="5" max="5" width="4.81640625" bestFit="1" customWidth="1"/>
    <col min="6" max="6" width="7.08984375" bestFit="1" customWidth="1"/>
    <col min="7" max="7" width="5.54296875" bestFit="1" customWidth="1"/>
  </cols>
  <sheetData>
    <row r="1" spans="1:8" x14ac:dyDescent="0.3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t="s">
        <v>46</v>
      </c>
    </row>
    <row r="2" spans="1:8" x14ac:dyDescent="0.35">
      <c r="A2" t="s">
        <v>47</v>
      </c>
      <c r="B2" s="2">
        <f>BaselineCalc!B18</f>
        <v>0</v>
      </c>
      <c r="C2" s="2" t="e">
        <f>BaselineCalc!B19</f>
        <v>#VALUE!</v>
      </c>
      <c r="D2" s="2">
        <f>BaselineCalc!B20</f>
        <v>5631973.1999999993</v>
      </c>
      <c r="E2" s="4">
        <v>1000</v>
      </c>
      <c r="F2" s="4">
        <v>0.4</v>
      </c>
      <c r="G2" s="4">
        <v>0.4</v>
      </c>
      <c r="H2">
        <v>1</v>
      </c>
    </row>
    <row r="3" spans="1:8" x14ac:dyDescent="0.35">
      <c r="A3" t="s">
        <v>48</v>
      </c>
      <c r="B3" s="2">
        <f>BaselineCalc!C18</f>
        <v>0</v>
      </c>
      <c r="C3" s="2" t="e">
        <f>BaselineCalc!C19</f>
        <v>#VALUE!</v>
      </c>
      <c r="D3" s="2">
        <f>BaselineCalc!C20</f>
        <v>5772772.5299999993</v>
      </c>
      <c r="E3" s="4">
        <v>800</v>
      </c>
      <c r="F3" s="4">
        <v>0.3</v>
      </c>
      <c r="G3" s="4">
        <v>0.35</v>
      </c>
      <c r="H3">
        <v>2</v>
      </c>
    </row>
    <row r="4" spans="1:8" x14ac:dyDescent="0.35">
      <c r="A4" t="s">
        <v>49</v>
      </c>
      <c r="B4" s="2">
        <f>BaselineCalc!D18</f>
        <v>0</v>
      </c>
      <c r="C4" s="2" t="e">
        <f>BaselineCalc!D19</f>
        <v>#VALUE!</v>
      </c>
      <c r="D4" s="2">
        <f>BaselineCalc!D20</f>
        <v>5917091.843249999</v>
      </c>
      <c r="E4" s="4">
        <v>600</v>
      </c>
      <c r="F4" s="4">
        <v>0.2</v>
      </c>
      <c r="G4" s="4">
        <v>0.3</v>
      </c>
      <c r="H4">
        <v>3</v>
      </c>
    </row>
    <row r="5" spans="1:8" x14ac:dyDescent="0.35">
      <c r="A5" t="s">
        <v>50</v>
      </c>
      <c r="B5" s="2">
        <f>BaselineCalc!E18</f>
        <v>0</v>
      </c>
      <c r="C5" s="2" t="e">
        <f>BaselineCalc!E19</f>
        <v>#VALUE!</v>
      </c>
      <c r="D5" s="2">
        <f>BaselineCalc!E20</f>
        <v>6065019.1393312486</v>
      </c>
      <c r="E5" s="4">
        <v>400</v>
      </c>
      <c r="F5" s="4">
        <v>0.1</v>
      </c>
      <c r="G5" s="4">
        <v>0.25</v>
      </c>
      <c r="H5">
        <v>4</v>
      </c>
    </row>
    <row r="6" spans="1:8" x14ac:dyDescent="0.35">
      <c r="A6" t="s">
        <v>51</v>
      </c>
      <c r="B6" s="2">
        <f>BaselineCalc!F18</f>
        <v>0</v>
      </c>
      <c r="C6" s="2" t="e">
        <f>BaselineCalc!F19</f>
        <v>#VALUE!</v>
      </c>
      <c r="D6" s="2">
        <f>BaselineCalc!F20</f>
        <v>6216644.6178145297</v>
      </c>
      <c r="E6" s="4">
        <v>300</v>
      </c>
      <c r="F6" s="4">
        <v>0</v>
      </c>
      <c r="G6" s="4">
        <v>0.2</v>
      </c>
      <c r="H6">
        <v>5</v>
      </c>
    </row>
  </sheetData>
  <pageMargins left="0.75" right="0.75" top="1" bottom="1" header="0.5" footer="0.5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1"/>
  <sheetViews>
    <sheetView tabSelected="1" topLeftCell="A53" zoomScale="75" zoomScaleNormal="75" workbookViewId="0">
      <selection activeCell="C46" sqref="C46:D75"/>
    </sheetView>
  </sheetViews>
  <sheetFormatPr defaultRowHeight="14.5" x14ac:dyDescent="0.35"/>
  <cols>
    <col min="1" max="1" width="21" bestFit="1" customWidth="1"/>
    <col min="2" max="2" width="23.26953125" bestFit="1" customWidth="1"/>
    <col min="3" max="3" width="10" bestFit="1" customWidth="1"/>
    <col min="4" max="5" width="10.1796875" bestFit="1" customWidth="1"/>
    <col min="6" max="6" width="13.08984375" bestFit="1" customWidth="1"/>
    <col min="7" max="7" width="11.81640625" bestFit="1" customWidth="1"/>
    <col min="8" max="8" width="36.54296875" bestFit="1" customWidth="1"/>
    <col min="9" max="9" width="13.1796875" customWidth="1"/>
    <col min="10" max="13" width="12.54296875" bestFit="1" customWidth="1"/>
  </cols>
  <sheetData>
    <row r="1" spans="1:14" x14ac:dyDescent="0.35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2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</row>
    <row r="2" spans="1:14" x14ac:dyDescent="0.35">
      <c r="A2" t="s">
        <v>65</v>
      </c>
      <c r="B2" t="s">
        <v>66</v>
      </c>
      <c r="C2" s="4">
        <v>0</v>
      </c>
      <c r="D2" s="4">
        <v>0</v>
      </c>
      <c r="E2" s="4">
        <v>0</v>
      </c>
      <c r="F2" s="4">
        <v>0.5</v>
      </c>
      <c r="G2" s="4">
        <v>0</v>
      </c>
      <c r="H2" t="s">
        <v>67</v>
      </c>
      <c r="I2">
        <f t="shared" ref="I2:M6" si="0">$C2</f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</row>
    <row r="3" spans="1:14" x14ac:dyDescent="0.35">
      <c r="A3" t="s">
        <v>68</v>
      </c>
      <c r="B3" t="s">
        <v>69</v>
      </c>
      <c r="C3" s="4">
        <v>0</v>
      </c>
      <c r="D3" s="4">
        <v>0</v>
      </c>
      <c r="E3" s="4">
        <v>0</v>
      </c>
      <c r="F3" s="4">
        <v>0.5</v>
      </c>
      <c r="G3" s="4">
        <v>0</v>
      </c>
      <c r="H3" t="s">
        <v>70</v>
      </c>
      <c r="I3">
        <f t="shared" si="0"/>
        <v>0</v>
      </c>
      <c r="J3">
        <f t="shared" si="0"/>
        <v>0</v>
      </c>
      <c r="K3">
        <f t="shared" si="0"/>
        <v>0</v>
      </c>
      <c r="L3">
        <f t="shared" si="0"/>
        <v>0</v>
      </c>
      <c r="M3">
        <f t="shared" si="0"/>
        <v>0</v>
      </c>
    </row>
    <row r="4" spans="1:14" x14ac:dyDescent="0.35">
      <c r="A4" t="s">
        <v>71</v>
      </c>
      <c r="B4" t="s">
        <v>72</v>
      </c>
      <c r="C4" s="4">
        <v>0</v>
      </c>
      <c r="D4" s="4">
        <v>0</v>
      </c>
      <c r="E4" s="4">
        <v>0</v>
      </c>
      <c r="F4" s="4">
        <v>0.7</v>
      </c>
      <c r="G4" s="4">
        <v>1.4999999999999999E-2</v>
      </c>
      <c r="H4" t="s">
        <v>73</v>
      </c>
      <c r="I4">
        <f t="shared" si="0"/>
        <v>0</v>
      </c>
      <c r="J4">
        <f t="shared" si="0"/>
        <v>0</v>
      </c>
      <c r="K4">
        <f t="shared" si="0"/>
        <v>0</v>
      </c>
      <c r="L4">
        <f t="shared" si="0"/>
        <v>0</v>
      </c>
      <c r="M4">
        <f t="shared" si="0"/>
        <v>0</v>
      </c>
    </row>
    <row r="5" spans="1:14" x14ac:dyDescent="0.35">
      <c r="A5" t="s">
        <v>74</v>
      </c>
      <c r="B5" t="s">
        <v>75</v>
      </c>
      <c r="C5" s="4">
        <v>100</v>
      </c>
      <c r="D5" s="4">
        <v>0</v>
      </c>
      <c r="E5" s="4">
        <v>0</v>
      </c>
      <c r="F5" s="4">
        <v>0.5</v>
      </c>
      <c r="G5" s="4">
        <v>0</v>
      </c>
      <c r="H5" t="s">
        <v>76</v>
      </c>
      <c r="I5">
        <f t="shared" si="0"/>
        <v>100</v>
      </c>
      <c r="J5">
        <f t="shared" si="0"/>
        <v>100</v>
      </c>
      <c r="K5">
        <f t="shared" si="0"/>
        <v>100</v>
      </c>
      <c r="L5">
        <f t="shared" si="0"/>
        <v>100</v>
      </c>
      <c r="M5">
        <f t="shared" si="0"/>
        <v>100</v>
      </c>
    </row>
    <row r="6" spans="1:14" x14ac:dyDescent="0.35">
      <c r="A6" t="s">
        <v>77</v>
      </c>
      <c r="B6" t="s">
        <v>78</v>
      </c>
      <c r="C6" s="4">
        <v>150</v>
      </c>
      <c r="D6" s="4">
        <v>0</v>
      </c>
      <c r="E6" s="4">
        <v>0</v>
      </c>
      <c r="F6" s="4">
        <v>0.5</v>
      </c>
      <c r="G6" s="4">
        <v>0</v>
      </c>
      <c r="H6" t="s">
        <v>79</v>
      </c>
      <c r="I6">
        <f t="shared" si="0"/>
        <v>150</v>
      </c>
      <c r="J6">
        <f t="shared" si="0"/>
        <v>150</v>
      </c>
      <c r="K6">
        <f t="shared" si="0"/>
        <v>150</v>
      </c>
      <c r="L6">
        <f t="shared" si="0"/>
        <v>150</v>
      </c>
      <c r="M6">
        <f t="shared" si="0"/>
        <v>150</v>
      </c>
    </row>
    <row r="7" spans="1:14" x14ac:dyDescent="0.35">
      <c r="A7" t="s">
        <v>80</v>
      </c>
      <c r="B7" t="s">
        <v>81</v>
      </c>
      <c r="C7" s="4">
        <v>150</v>
      </c>
      <c r="D7" s="4">
        <v>0</v>
      </c>
      <c r="E7" s="4">
        <v>0</v>
      </c>
      <c r="F7" s="4">
        <v>0.7</v>
      </c>
      <c r="G7" s="4">
        <v>0</v>
      </c>
      <c r="H7" t="s">
        <v>82</v>
      </c>
      <c r="I7">
        <f>C7/3</f>
        <v>50</v>
      </c>
      <c r="J7">
        <f>I7+C7/3</f>
        <v>100</v>
      </c>
      <c r="K7">
        <f>J7+C7/3</f>
        <v>150</v>
      </c>
      <c r="L7">
        <f>C7</f>
        <v>150</v>
      </c>
      <c r="M7">
        <f>C7</f>
        <v>150</v>
      </c>
    </row>
    <row r="8" spans="1:14" x14ac:dyDescent="0.35">
      <c r="A8" t="s">
        <v>83</v>
      </c>
      <c r="B8" t="s">
        <v>84</v>
      </c>
      <c r="C8" s="4">
        <v>0</v>
      </c>
      <c r="D8" s="4">
        <v>1</v>
      </c>
      <c r="E8" s="4">
        <v>1</v>
      </c>
      <c r="F8" s="4">
        <v>0.5</v>
      </c>
      <c r="G8" s="4">
        <v>0</v>
      </c>
      <c r="H8" t="s">
        <v>85</v>
      </c>
      <c r="I8">
        <f>$C8</f>
        <v>0</v>
      </c>
      <c r="J8">
        <f>$C8</f>
        <v>0</v>
      </c>
      <c r="K8">
        <f>$C8</f>
        <v>0</v>
      </c>
      <c r="L8">
        <f>$C8</f>
        <v>0</v>
      </c>
      <c r="M8">
        <f>$C8</f>
        <v>0</v>
      </c>
      <c r="N8" t="s">
        <v>86</v>
      </c>
    </row>
    <row r="9" spans="1:14" x14ac:dyDescent="0.35">
      <c r="A9" t="s">
        <v>52</v>
      </c>
      <c r="B9" t="s">
        <v>39</v>
      </c>
      <c r="C9" s="4" t="s">
        <v>87</v>
      </c>
      <c r="D9" s="4" t="s">
        <v>88</v>
      </c>
      <c r="E9" s="4" t="s">
        <v>89</v>
      </c>
      <c r="F9" s="4" t="s">
        <v>40</v>
      </c>
      <c r="G9" s="4" t="s">
        <v>41</v>
      </c>
      <c r="H9" t="s">
        <v>42</v>
      </c>
      <c r="I9" t="s">
        <v>90</v>
      </c>
      <c r="J9" t="str">
        <f t="shared" ref="J9:M13" si="1">$C9</f>
        <v>Echo_ADM</v>
      </c>
      <c r="K9" t="str">
        <f t="shared" si="1"/>
        <v>Echo_ADM</v>
      </c>
      <c r="L9" t="str">
        <f t="shared" si="1"/>
        <v>Echo_ADM</v>
      </c>
      <c r="M9" t="str">
        <f t="shared" si="1"/>
        <v>Echo_ADM</v>
      </c>
      <c r="N9" t="s">
        <v>91</v>
      </c>
    </row>
    <row r="10" spans="1:14" x14ac:dyDescent="0.35">
      <c r="A10" t="str">
        <f>A2</f>
        <v>D_Grow_Both_0</v>
      </c>
      <c r="B10" t="s">
        <v>47</v>
      </c>
      <c r="C10" s="4">
        <f>IF(D2=1,0, BaselineCalc!$B$7 + ROUND(I2*F2,0))</f>
        <v>257</v>
      </c>
      <c r="D10" s="4">
        <f>IF(E2=1,0, BaselineCalc!$B$8 + I2 - ROUND(I2*F2,0))</f>
        <v>296</v>
      </c>
      <c r="E10" s="4">
        <f t="shared" ref="E10:E47" si="2">C10+D10</f>
        <v>553</v>
      </c>
      <c r="F10" s="4">
        <f>YearMap!B2</f>
        <v>0</v>
      </c>
      <c r="G10" s="4" t="e">
        <f>YearMap!C2</f>
        <v>#VALUE!</v>
      </c>
      <c r="H10">
        <f>YearMap!D2</f>
        <v>5631973.1999999993</v>
      </c>
      <c r="I10" t="str">
        <f t="shared" ref="I10:I47" si="3">A10&amp;"|"&amp;B10</f>
        <v>D_Grow_Both_0|FY2026</v>
      </c>
      <c r="J10">
        <f t="shared" si="1"/>
        <v>257</v>
      </c>
      <c r="K10">
        <f t="shared" si="1"/>
        <v>257</v>
      </c>
      <c r="L10">
        <f t="shared" si="1"/>
        <v>257</v>
      </c>
      <c r="M10">
        <f t="shared" si="1"/>
        <v>257</v>
      </c>
      <c r="N10" t="s">
        <v>86</v>
      </c>
    </row>
    <row r="11" spans="1:14" x14ac:dyDescent="0.35">
      <c r="A11" t="str">
        <f>A2</f>
        <v>D_Grow_Both_0</v>
      </c>
      <c r="B11" t="s">
        <v>48</v>
      </c>
      <c r="C11" s="4">
        <f>IF(D2=1,0, BaselineCalc!$B$7 + ROUND(J2*F2,0))</f>
        <v>257</v>
      </c>
      <c r="D11" s="4">
        <f>IF(E2=1,0, BaselineCalc!$B$8 + J2 - ROUND(J2*F2,0))</f>
        <v>296</v>
      </c>
      <c r="E11" s="4">
        <f t="shared" si="2"/>
        <v>553</v>
      </c>
      <c r="F11" s="4">
        <f>YearMap!B3</f>
        <v>0</v>
      </c>
      <c r="G11" s="4" t="e">
        <f>YearMap!C3</f>
        <v>#VALUE!</v>
      </c>
      <c r="H11">
        <f>YearMap!D3</f>
        <v>5772772.5299999993</v>
      </c>
      <c r="I11" t="str">
        <f t="shared" si="3"/>
        <v>D_Grow_Both_0|FY2027</v>
      </c>
      <c r="J11">
        <f t="shared" si="1"/>
        <v>257</v>
      </c>
      <c r="K11">
        <f t="shared" si="1"/>
        <v>257</v>
      </c>
      <c r="L11">
        <f t="shared" si="1"/>
        <v>257</v>
      </c>
      <c r="M11">
        <f t="shared" si="1"/>
        <v>257</v>
      </c>
      <c r="N11" t="s">
        <v>91</v>
      </c>
    </row>
    <row r="12" spans="1:14" x14ac:dyDescent="0.35">
      <c r="A12" t="str">
        <f>A2</f>
        <v>D_Grow_Both_0</v>
      </c>
      <c r="B12" t="s">
        <v>49</v>
      </c>
      <c r="C12" s="4">
        <f>IF(D2=1,0, BaselineCalc!$B$7 + ROUND(K2*F2,0))</f>
        <v>257</v>
      </c>
      <c r="D12" s="4">
        <f>IF(E2=1,0, BaselineCalc!$B$8 + K2 - ROUND(K2*F2,0))</f>
        <v>296</v>
      </c>
      <c r="E12" s="4">
        <f t="shared" si="2"/>
        <v>553</v>
      </c>
      <c r="F12" s="4">
        <f>YearMap!B4</f>
        <v>0</v>
      </c>
      <c r="G12" s="4" t="e">
        <f>YearMap!C4</f>
        <v>#VALUE!</v>
      </c>
      <c r="H12">
        <f>YearMap!D4</f>
        <v>5917091.843249999</v>
      </c>
      <c r="I12" t="str">
        <f t="shared" si="3"/>
        <v>D_Grow_Both_0|FY2028</v>
      </c>
      <c r="J12">
        <f t="shared" si="1"/>
        <v>257</v>
      </c>
      <c r="K12">
        <f t="shared" si="1"/>
        <v>257</v>
      </c>
      <c r="L12">
        <f t="shared" si="1"/>
        <v>257</v>
      </c>
      <c r="M12">
        <f t="shared" si="1"/>
        <v>257</v>
      </c>
      <c r="N12" t="s">
        <v>86</v>
      </c>
    </row>
    <row r="13" spans="1:14" x14ac:dyDescent="0.35">
      <c r="A13" t="str">
        <f>A2</f>
        <v>D_Grow_Both_0</v>
      </c>
      <c r="B13" t="s">
        <v>50</v>
      </c>
      <c r="C13" s="4">
        <f>IF(D2=1,0, BaselineCalc!$B$7 + ROUND(L2*F2,0))</f>
        <v>257</v>
      </c>
      <c r="D13" s="4">
        <f>IF(E2=1,0, BaselineCalc!$B$8 + L2 - ROUND(L2*F2,0))</f>
        <v>296</v>
      </c>
      <c r="E13" s="4">
        <f t="shared" si="2"/>
        <v>553</v>
      </c>
      <c r="F13" s="4">
        <f>YearMap!B5</f>
        <v>0</v>
      </c>
      <c r="G13" s="4" t="e">
        <f>YearMap!C5</f>
        <v>#VALUE!</v>
      </c>
      <c r="H13">
        <f>YearMap!D5</f>
        <v>6065019.1393312486</v>
      </c>
      <c r="I13" t="str">
        <f t="shared" si="3"/>
        <v>D_Grow_Both_0|FY2029</v>
      </c>
      <c r="J13">
        <f t="shared" si="1"/>
        <v>257</v>
      </c>
      <c r="K13">
        <f t="shared" si="1"/>
        <v>257</v>
      </c>
      <c r="L13">
        <f t="shared" si="1"/>
        <v>257</v>
      </c>
      <c r="M13">
        <f t="shared" si="1"/>
        <v>257</v>
      </c>
      <c r="N13" t="s">
        <v>91</v>
      </c>
    </row>
    <row r="14" spans="1:14" x14ac:dyDescent="0.35">
      <c r="A14" t="str">
        <f>A2</f>
        <v>D_Grow_Both_0</v>
      </c>
      <c r="B14" t="s">
        <v>51</v>
      </c>
      <c r="C14">
        <f>IF(D2=1,0, BaselineCalc!$B$7 + ROUND(M2*F2,0))</f>
        <v>257</v>
      </c>
      <c r="D14">
        <f>IF(E2=1,0, BaselineCalc!$B$8 + M2 - ROUND(M2*F2,0))</f>
        <v>296</v>
      </c>
      <c r="E14">
        <f t="shared" si="2"/>
        <v>553</v>
      </c>
      <c r="F14">
        <f>YearMap!B6</f>
        <v>0</v>
      </c>
      <c r="G14" t="e">
        <f>YearMap!C6</f>
        <v>#VALUE!</v>
      </c>
      <c r="H14">
        <f>YearMap!D6</f>
        <v>6216644.6178145297</v>
      </c>
      <c r="I14" t="str">
        <f t="shared" si="3"/>
        <v>D_Grow_Both_0|FY2030</v>
      </c>
    </row>
    <row r="15" spans="1:14" x14ac:dyDescent="0.35">
      <c r="A15" s="1" t="str">
        <f>A3</f>
        <v>E_StatusQuo_Targets_0</v>
      </c>
      <c r="B15" s="1" t="s">
        <v>47</v>
      </c>
      <c r="C15" s="1">
        <f>IF(D3=1,0, BaselineCalc!$B$7 + ROUND(I3*F3,0))</f>
        <v>257</v>
      </c>
      <c r="D15" s="1">
        <f>IF(E3=1,0, BaselineCalc!$B$8 + I3 - ROUND(I3*F3,0))</f>
        <v>296</v>
      </c>
      <c r="E15" s="1">
        <f t="shared" si="2"/>
        <v>553</v>
      </c>
      <c r="F15" s="1">
        <f>YearMap!B2</f>
        <v>0</v>
      </c>
      <c r="G15" s="1" t="e">
        <f>YearMap!C2</f>
        <v>#VALUE!</v>
      </c>
      <c r="H15" s="1">
        <f>YearMap!D2</f>
        <v>5631973.1999999993</v>
      </c>
      <c r="I15" s="1" t="str">
        <f t="shared" si="3"/>
        <v>E_StatusQuo_Targets_0|FY2026</v>
      </c>
    </row>
    <row r="16" spans="1:14" x14ac:dyDescent="0.35">
      <c r="A16" t="str">
        <f>A3</f>
        <v>E_StatusQuo_Targets_0</v>
      </c>
      <c r="B16" t="s">
        <v>48</v>
      </c>
      <c r="C16">
        <f>IF(D3=1,0, BaselineCalc!$B$7 + ROUND(J3*F3,0))</f>
        <v>257</v>
      </c>
      <c r="D16">
        <f>IF(E3=1,0, BaselineCalc!$B$8 + J3 - ROUND(J3*F3,0))</f>
        <v>296</v>
      </c>
      <c r="E16">
        <f t="shared" si="2"/>
        <v>553</v>
      </c>
      <c r="F16" s="2">
        <f>YearMap!B3</f>
        <v>0</v>
      </c>
      <c r="G16" s="2" t="e">
        <f>YearMap!C3</f>
        <v>#VALUE!</v>
      </c>
      <c r="H16" s="2">
        <f>YearMap!D3</f>
        <v>5772772.5299999993</v>
      </c>
      <c r="I16" t="str">
        <f t="shared" si="3"/>
        <v>E_StatusQuo_Targets_0|FY2027</v>
      </c>
    </row>
    <row r="17" spans="1:9" x14ac:dyDescent="0.35">
      <c r="A17" t="str">
        <f>A3</f>
        <v>E_StatusQuo_Targets_0</v>
      </c>
      <c r="B17" t="s">
        <v>49</v>
      </c>
      <c r="C17">
        <f>IF(D3=1,0, BaselineCalc!$B$7 + ROUND(K3*F3,0))</f>
        <v>257</v>
      </c>
      <c r="D17">
        <f>IF(E3=1,0, BaselineCalc!$B$8 + K3 - ROUND(K3*F3,0))</f>
        <v>296</v>
      </c>
      <c r="E17">
        <f t="shared" si="2"/>
        <v>553</v>
      </c>
      <c r="F17" s="2">
        <f>YearMap!B4</f>
        <v>0</v>
      </c>
      <c r="G17" s="2" t="e">
        <f>YearMap!C4</f>
        <v>#VALUE!</v>
      </c>
      <c r="H17" s="2">
        <f>YearMap!D4</f>
        <v>5917091.843249999</v>
      </c>
      <c r="I17" t="str">
        <f t="shared" si="3"/>
        <v>E_StatusQuo_Targets_0|FY2028</v>
      </c>
    </row>
    <row r="18" spans="1:9" x14ac:dyDescent="0.35">
      <c r="A18" t="str">
        <f>A3</f>
        <v>E_StatusQuo_Targets_0</v>
      </c>
      <c r="B18" t="s">
        <v>50</v>
      </c>
      <c r="C18">
        <f>IF(D3=1,0, BaselineCalc!$B$7 + ROUND(L3*F3,0))</f>
        <v>257</v>
      </c>
      <c r="D18">
        <f>IF(E3=1,0, BaselineCalc!$B$8 + L3 - ROUND(L3*F3,0))</f>
        <v>296</v>
      </c>
      <c r="E18">
        <f t="shared" si="2"/>
        <v>553</v>
      </c>
      <c r="F18" s="2">
        <f>YearMap!B5</f>
        <v>0</v>
      </c>
      <c r="G18" s="2" t="e">
        <f>YearMap!C5</f>
        <v>#VALUE!</v>
      </c>
      <c r="H18" s="2">
        <f>YearMap!D5</f>
        <v>6065019.1393312486</v>
      </c>
      <c r="I18" t="str">
        <f t="shared" si="3"/>
        <v>E_StatusQuo_Targets_0|FY2029</v>
      </c>
    </row>
    <row r="19" spans="1:9" x14ac:dyDescent="0.35">
      <c r="A19" t="str">
        <f>A3</f>
        <v>E_StatusQuo_Targets_0</v>
      </c>
      <c r="B19" t="s">
        <v>51</v>
      </c>
      <c r="C19">
        <f>IF(D3=1,0, BaselineCalc!$B$7 + ROUND(M3*F3,0))</f>
        <v>257</v>
      </c>
      <c r="D19">
        <f>IF(E3=1,0, BaselineCalc!$B$8 + M3 - ROUND(M3*F3,0))</f>
        <v>296</v>
      </c>
      <c r="E19">
        <f t="shared" si="2"/>
        <v>553</v>
      </c>
      <c r="F19" s="2">
        <f>YearMap!B6</f>
        <v>0</v>
      </c>
      <c r="G19" s="2" t="e">
        <f>YearMap!C6</f>
        <v>#VALUE!</v>
      </c>
      <c r="H19" s="2">
        <f>YearMap!D6</f>
        <v>6216644.6178145297</v>
      </c>
      <c r="I19" t="str">
        <f t="shared" si="3"/>
        <v>E_StatusQuo_Targets_0|FY2030</v>
      </c>
    </row>
    <row r="20" spans="1:9" x14ac:dyDescent="0.35">
      <c r="A20" t="str">
        <f>A4</f>
        <v>F_CoLocation_Echo_0</v>
      </c>
      <c r="B20" t="s">
        <v>47</v>
      </c>
      <c r="C20">
        <f>IF(D4=1,0, BaselineCalc!$B$7 + ROUND(I4*F4,0))</f>
        <v>257</v>
      </c>
      <c r="D20">
        <f>IF(E4=1,0, BaselineCalc!$B$8 + I4 - ROUND(I4*F4,0))</f>
        <v>296</v>
      </c>
      <c r="E20">
        <f t="shared" si="2"/>
        <v>553</v>
      </c>
      <c r="F20" s="2">
        <f>YearMap!B2</f>
        <v>0</v>
      </c>
      <c r="G20" s="2" t="e">
        <f>YearMap!C2</f>
        <v>#VALUE!</v>
      </c>
      <c r="H20" s="2">
        <f>YearMap!D2</f>
        <v>5631973.1999999993</v>
      </c>
      <c r="I20" t="str">
        <f t="shared" si="3"/>
        <v>F_CoLocation_Echo_0|FY2026</v>
      </c>
    </row>
    <row r="21" spans="1:9" x14ac:dyDescent="0.35">
      <c r="A21" t="str">
        <f>A4</f>
        <v>F_CoLocation_Echo_0</v>
      </c>
      <c r="B21" t="s">
        <v>48</v>
      </c>
      <c r="C21">
        <f>IF(D4=1,0, BaselineCalc!$B$7 + ROUND(J4*F4,0))</f>
        <v>257</v>
      </c>
      <c r="D21">
        <f>IF(E4=1,0, BaselineCalc!$B$8 + J4 - ROUND(J4*F4,0))</f>
        <v>296</v>
      </c>
      <c r="E21">
        <f t="shared" si="2"/>
        <v>553</v>
      </c>
      <c r="F21" s="2">
        <f>YearMap!B3</f>
        <v>0</v>
      </c>
      <c r="G21" s="2" t="e">
        <f>YearMap!C3</f>
        <v>#VALUE!</v>
      </c>
      <c r="H21" s="2">
        <f>YearMap!D3</f>
        <v>5772772.5299999993</v>
      </c>
      <c r="I21" t="str">
        <f t="shared" si="3"/>
        <v>F_CoLocation_Echo_0|FY2027</v>
      </c>
    </row>
    <row r="22" spans="1:9" x14ac:dyDescent="0.35">
      <c r="A22" t="str">
        <f>A4</f>
        <v>F_CoLocation_Echo_0</v>
      </c>
      <c r="B22" t="s">
        <v>49</v>
      </c>
      <c r="C22">
        <f>IF(D4=1,0, BaselineCalc!$B$7 + ROUND(K4*F4,0))</f>
        <v>257</v>
      </c>
      <c r="D22">
        <f>IF(E4=1,0, BaselineCalc!$B$8 + K4 - ROUND(K4*F4,0))</f>
        <v>296</v>
      </c>
      <c r="E22">
        <f t="shared" si="2"/>
        <v>553</v>
      </c>
      <c r="F22" s="2">
        <f>YearMap!B4</f>
        <v>0</v>
      </c>
      <c r="G22" s="2" t="e">
        <f>YearMap!C4</f>
        <v>#VALUE!</v>
      </c>
      <c r="H22" s="2">
        <f>YearMap!D4</f>
        <v>5917091.843249999</v>
      </c>
      <c r="I22" t="str">
        <f t="shared" si="3"/>
        <v>F_CoLocation_Echo_0|FY2028</v>
      </c>
    </row>
    <row r="23" spans="1:9" x14ac:dyDescent="0.35">
      <c r="A23" t="str">
        <f>A4</f>
        <v>F_CoLocation_Echo_0</v>
      </c>
      <c r="B23" t="s">
        <v>50</v>
      </c>
      <c r="C23">
        <f>IF(D4=1,0, BaselineCalc!$B$7 + ROUND(L4*F4,0))</f>
        <v>257</v>
      </c>
      <c r="D23">
        <f>IF(E4=1,0, BaselineCalc!$B$8 + L4 - ROUND(L4*F4,0))</f>
        <v>296</v>
      </c>
      <c r="E23">
        <f t="shared" si="2"/>
        <v>553</v>
      </c>
      <c r="F23" s="2">
        <f>YearMap!B5</f>
        <v>0</v>
      </c>
      <c r="G23" s="2" t="e">
        <f>YearMap!C5</f>
        <v>#VALUE!</v>
      </c>
      <c r="H23" s="2">
        <f>YearMap!D5</f>
        <v>6065019.1393312486</v>
      </c>
      <c r="I23" t="str">
        <f t="shared" si="3"/>
        <v>F_CoLocation_Echo_0|FY2029</v>
      </c>
    </row>
    <row r="24" spans="1:9" x14ac:dyDescent="0.35">
      <c r="A24" t="str">
        <f>A4</f>
        <v>F_CoLocation_Echo_0</v>
      </c>
      <c r="B24" t="s">
        <v>51</v>
      </c>
      <c r="C24">
        <f>IF(D4=1,0, BaselineCalc!$B$7 + ROUND(M4*F4,0))</f>
        <v>257</v>
      </c>
      <c r="D24">
        <f>IF(E4=1,0, BaselineCalc!$B$8 + M4 - ROUND(M4*F4,0))</f>
        <v>296</v>
      </c>
      <c r="E24">
        <f t="shared" si="2"/>
        <v>553</v>
      </c>
      <c r="F24" s="2">
        <f>YearMap!B6</f>
        <v>0</v>
      </c>
      <c r="G24" s="2" t="e">
        <f>YearMap!C6</f>
        <v>#VALUE!</v>
      </c>
      <c r="H24" s="2">
        <f>YearMap!D6</f>
        <v>6216644.6178145297</v>
      </c>
      <c r="I24" t="str">
        <f t="shared" si="3"/>
        <v>F_CoLocation_Echo_0|FY2030</v>
      </c>
    </row>
    <row r="25" spans="1:9" x14ac:dyDescent="0.35">
      <c r="A25" t="str">
        <f>A5</f>
        <v>D_Grow_Both_100</v>
      </c>
      <c r="B25" t="s">
        <v>47</v>
      </c>
      <c r="C25">
        <f>IF(D5=1,0, BaselineCalc!$B$7 + ROUND(I5*F5,0))</f>
        <v>307</v>
      </c>
      <c r="D25">
        <f>IF(E5=1,0, BaselineCalc!$B$8 + I5 - ROUND(I5*F5,0))</f>
        <v>346</v>
      </c>
      <c r="E25">
        <f t="shared" si="2"/>
        <v>653</v>
      </c>
      <c r="F25" s="2">
        <f>YearMap!B2</f>
        <v>0</v>
      </c>
      <c r="G25" s="2" t="e">
        <f>YearMap!C2</f>
        <v>#VALUE!</v>
      </c>
      <c r="H25" s="2">
        <f>YearMap!D2</f>
        <v>5631973.1999999993</v>
      </c>
      <c r="I25" t="str">
        <f t="shared" si="3"/>
        <v>D_Grow_Both_100|FY2026</v>
      </c>
    </row>
    <row r="26" spans="1:9" x14ac:dyDescent="0.35">
      <c r="A26" t="str">
        <f>A5</f>
        <v>D_Grow_Both_100</v>
      </c>
      <c r="B26" t="s">
        <v>48</v>
      </c>
      <c r="C26">
        <f>IF(D5=1,0, BaselineCalc!$B$7 + ROUND(J5*F5,0))</f>
        <v>307</v>
      </c>
      <c r="D26">
        <f>IF(E5=1,0, BaselineCalc!$B$8 + J5 - ROUND(J5*F5,0))</f>
        <v>346</v>
      </c>
      <c r="E26">
        <f t="shared" si="2"/>
        <v>653</v>
      </c>
      <c r="F26" s="2">
        <f>YearMap!B3</f>
        <v>0</v>
      </c>
      <c r="G26" s="2" t="e">
        <f>YearMap!C3</f>
        <v>#VALUE!</v>
      </c>
      <c r="H26" s="2">
        <f>YearMap!D3</f>
        <v>5772772.5299999993</v>
      </c>
      <c r="I26" t="str">
        <f t="shared" si="3"/>
        <v>D_Grow_Both_100|FY2027</v>
      </c>
    </row>
    <row r="27" spans="1:9" x14ac:dyDescent="0.35">
      <c r="A27" t="str">
        <f>A5</f>
        <v>D_Grow_Both_100</v>
      </c>
      <c r="B27" t="s">
        <v>49</v>
      </c>
      <c r="C27">
        <f>IF(D5=1,0, BaselineCalc!$B$7 + ROUND(K5*F5,0))</f>
        <v>307</v>
      </c>
      <c r="D27">
        <f>IF(E5=1,0, BaselineCalc!$B$8 + K5 - ROUND(K5*F5,0))</f>
        <v>346</v>
      </c>
      <c r="E27">
        <f t="shared" si="2"/>
        <v>653</v>
      </c>
      <c r="F27" s="2">
        <f>YearMap!B4</f>
        <v>0</v>
      </c>
      <c r="G27" s="2" t="e">
        <f>YearMap!C4</f>
        <v>#VALUE!</v>
      </c>
      <c r="H27" s="2">
        <f>YearMap!D4</f>
        <v>5917091.843249999</v>
      </c>
      <c r="I27" t="str">
        <f t="shared" si="3"/>
        <v>D_Grow_Both_100|FY2028</v>
      </c>
    </row>
    <row r="28" spans="1:9" x14ac:dyDescent="0.35">
      <c r="A28" t="str">
        <f>A5</f>
        <v>D_Grow_Both_100</v>
      </c>
      <c r="B28" t="s">
        <v>50</v>
      </c>
      <c r="C28">
        <f>IF(D5=1,0, BaselineCalc!$B$7 + ROUND(L5*F5,0))</f>
        <v>307</v>
      </c>
      <c r="D28">
        <f>IF(E5=1,0, BaselineCalc!$B$8 + L5 - ROUND(L5*F5,0))</f>
        <v>346</v>
      </c>
      <c r="E28">
        <f t="shared" si="2"/>
        <v>653</v>
      </c>
      <c r="F28" s="2">
        <f>YearMap!B5</f>
        <v>0</v>
      </c>
      <c r="G28" s="2" t="e">
        <f>YearMap!C5</f>
        <v>#VALUE!</v>
      </c>
      <c r="H28" s="2">
        <f>YearMap!D5</f>
        <v>6065019.1393312486</v>
      </c>
      <c r="I28" t="str">
        <f t="shared" si="3"/>
        <v>D_Grow_Both_100|FY2029</v>
      </c>
    </row>
    <row r="29" spans="1:9" x14ac:dyDescent="0.35">
      <c r="A29" t="str">
        <f>A5</f>
        <v>D_Grow_Both_100</v>
      </c>
      <c r="B29" t="s">
        <v>51</v>
      </c>
      <c r="C29">
        <f>IF(D5=1,0, BaselineCalc!$B$7 + ROUND(M5*F5,0))</f>
        <v>307</v>
      </c>
      <c r="D29">
        <f>IF(E5=1,0, BaselineCalc!$B$8 + M5 - ROUND(M5*F5,0))</f>
        <v>346</v>
      </c>
      <c r="E29">
        <f t="shared" si="2"/>
        <v>653</v>
      </c>
      <c r="F29" s="2">
        <f>YearMap!B6</f>
        <v>0</v>
      </c>
      <c r="G29" s="2" t="e">
        <f>YearMap!C6</f>
        <v>#VALUE!</v>
      </c>
      <c r="H29" s="2">
        <f>YearMap!D6</f>
        <v>6216644.6178145297</v>
      </c>
      <c r="I29" t="str">
        <f t="shared" si="3"/>
        <v>D_Grow_Both_100|FY2030</v>
      </c>
    </row>
    <row r="30" spans="1:9" x14ac:dyDescent="0.35">
      <c r="A30" t="str">
        <f>A6</f>
        <v>D_Grow_Both_150</v>
      </c>
      <c r="B30" t="s">
        <v>47</v>
      </c>
      <c r="C30">
        <f>IF(D6=1,0, BaselineCalc!$B$7 + ROUND(I6*F6,0))</f>
        <v>332</v>
      </c>
      <c r="D30">
        <f>IF(E6=1,0, BaselineCalc!$B$8 + I6 - ROUND(I6*F6,0))</f>
        <v>371</v>
      </c>
      <c r="E30">
        <f t="shared" si="2"/>
        <v>703</v>
      </c>
      <c r="F30" s="2">
        <f>YearMap!B2</f>
        <v>0</v>
      </c>
      <c r="G30" s="2" t="e">
        <f>YearMap!C2</f>
        <v>#VALUE!</v>
      </c>
      <c r="H30" s="2">
        <f>YearMap!D2</f>
        <v>5631973.1999999993</v>
      </c>
      <c r="I30" t="str">
        <f t="shared" si="3"/>
        <v>D_Grow_Both_150|FY2026</v>
      </c>
    </row>
    <row r="31" spans="1:9" x14ac:dyDescent="0.35">
      <c r="A31" t="str">
        <f>A6</f>
        <v>D_Grow_Both_150</v>
      </c>
      <c r="B31" t="s">
        <v>48</v>
      </c>
      <c r="C31">
        <f>IF(D6=1,0, BaselineCalc!$B$7 + ROUND(J6*F6,0))</f>
        <v>332</v>
      </c>
      <c r="D31">
        <f>IF(E6=1,0, BaselineCalc!$B$8 + J6 - ROUND(J6*F6,0))</f>
        <v>371</v>
      </c>
      <c r="E31">
        <f t="shared" si="2"/>
        <v>703</v>
      </c>
      <c r="F31" s="2">
        <f>YearMap!B3</f>
        <v>0</v>
      </c>
      <c r="G31" s="2" t="e">
        <f>YearMap!C3</f>
        <v>#VALUE!</v>
      </c>
      <c r="H31" s="2">
        <f>YearMap!D3</f>
        <v>5772772.5299999993</v>
      </c>
      <c r="I31" t="str">
        <f t="shared" si="3"/>
        <v>D_Grow_Both_150|FY2027</v>
      </c>
    </row>
    <row r="32" spans="1:9" x14ac:dyDescent="0.35">
      <c r="A32" t="str">
        <f>A6</f>
        <v>D_Grow_Both_150</v>
      </c>
      <c r="B32" t="s">
        <v>49</v>
      </c>
      <c r="C32">
        <f>IF(D6=1,0, BaselineCalc!$B$7 + ROUND(K6*F6,0))</f>
        <v>332</v>
      </c>
      <c r="D32">
        <f>IF(E6=1,0, BaselineCalc!$B$8 + K6 - ROUND(K6*F6,0))</f>
        <v>371</v>
      </c>
      <c r="E32">
        <f t="shared" si="2"/>
        <v>703</v>
      </c>
      <c r="F32" s="2">
        <f>YearMap!B4</f>
        <v>0</v>
      </c>
      <c r="G32" s="2" t="e">
        <f>YearMap!C4</f>
        <v>#VALUE!</v>
      </c>
      <c r="H32" s="2">
        <f>YearMap!D4</f>
        <v>5917091.843249999</v>
      </c>
      <c r="I32" t="str">
        <f t="shared" si="3"/>
        <v>D_Grow_Both_150|FY2028</v>
      </c>
    </row>
    <row r="33" spans="1:9" x14ac:dyDescent="0.35">
      <c r="A33" t="str">
        <f>A6</f>
        <v>D_Grow_Both_150</v>
      </c>
      <c r="B33" t="s">
        <v>50</v>
      </c>
      <c r="C33">
        <f>IF(D6=1,0, BaselineCalc!$B$7 + ROUND(L6*F6,0))</f>
        <v>332</v>
      </c>
      <c r="D33">
        <f>IF(E6=1,0, BaselineCalc!$B$8 + L6 - ROUND(L6*F6,0))</f>
        <v>371</v>
      </c>
      <c r="E33">
        <f t="shared" si="2"/>
        <v>703</v>
      </c>
      <c r="F33" s="2">
        <f>YearMap!B5</f>
        <v>0</v>
      </c>
      <c r="G33" s="2" t="e">
        <f>YearMap!C5</f>
        <v>#VALUE!</v>
      </c>
      <c r="H33" s="2">
        <f>YearMap!D5</f>
        <v>6065019.1393312486</v>
      </c>
      <c r="I33" t="str">
        <f t="shared" si="3"/>
        <v>D_Grow_Both_150|FY2029</v>
      </c>
    </row>
    <row r="34" spans="1:9" x14ac:dyDescent="0.35">
      <c r="A34" t="str">
        <f>A6</f>
        <v>D_Grow_Both_150</v>
      </c>
      <c r="B34" t="s">
        <v>51</v>
      </c>
      <c r="C34">
        <f>IF(D6=1,0, BaselineCalc!$B$7 + ROUND(M6*F6,0))</f>
        <v>332</v>
      </c>
      <c r="D34">
        <f>IF(E6=1,0, BaselineCalc!$B$8 + M6 - ROUND(M6*F6,0))</f>
        <v>371</v>
      </c>
      <c r="E34">
        <f t="shared" si="2"/>
        <v>703</v>
      </c>
      <c r="F34" s="2">
        <f>YearMap!B6</f>
        <v>0</v>
      </c>
      <c r="G34" s="2" t="e">
        <f>YearMap!C6</f>
        <v>#VALUE!</v>
      </c>
      <c r="H34" s="2">
        <f>YearMap!D6</f>
        <v>6216644.6178145297</v>
      </c>
      <c r="I34" t="str">
        <f t="shared" si="3"/>
        <v>D_Grow_Both_150|FY2030</v>
      </c>
    </row>
    <row r="35" spans="1:9" x14ac:dyDescent="0.35">
      <c r="A35" t="str">
        <f>A7</f>
        <v>G_DHub_EchoRamp</v>
      </c>
      <c r="B35" t="s">
        <v>47</v>
      </c>
      <c r="C35">
        <f>IF(D7=1,0, BaselineCalc!$B$7 + ROUND(I7*F7,0))</f>
        <v>292</v>
      </c>
      <c r="D35">
        <f>IF(E7=1,0, BaselineCalc!$B$8 + I7 - ROUND(I7*F7,0))</f>
        <v>311</v>
      </c>
      <c r="E35">
        <f t="shared" si="2"/>
        <v>603</v>
      </c>
      <c r="F35" s="2">
        <f>YearMap!B2</f>
        <v>0</v>
      </c>
      <c r="G35" s="2" t="e">
        <f>YearMap!C2</f>
        <v>#VALUE!</v>
      </c>
      <c r="H35" s="2">
        <f>YearMap!D2</f>
        <v>5631973.1999999993</v>
      </c>
      <c r="I35" t="str">
        <f t="shared" si="3"/>
        <v>G_DHub_EchoRamp|FY2026</v>
      </c>
    </row>
    <row r="36" spans="1:9" x14ac:dyDescent="0.35">
      <c r="A36" t="str">
        <f>A7</f>
        <v>G_DHub_EchoRamp</v>
      </c>
      <c r="B36" t="s">
        <v>48</v>
      </c>
      <c r="C36">
        <f>IF(D7=1,0, BaselineCalc!$B$7 + ROUND(J7*F7,0))</f>
        <v>327</v>
      </c>
      <c r="D36">
        <f>IF(E7=1,0, BaselineCalc!$B$8 + J7 - ROUND(J7*F7,0))</f>
        <v>326</v>
      </c>
      <c r="E36">
        <f t="shared" si="2"/>
        <v>653</v>
      </c>
      <c r="F36" s="2">
        <f>YearMap!B3</f>
        <v>0</v>
      </c>
      <c r="G36" s="2" t="e">
        <f>YearMap!C3</f>
        <v>#VALUE!</v>
      </c>
      <c r="H36" s="2">
        <f>YearMap!D3</f>
        <v>5772772.5299999993</v>
      </c>
      <c r="I36" t="str">
        <f t="shared" si="3"/>
        <v>G_DHub_EchoRamp|FY2027</v>
      </c>
    </row>
    <row r="37" spans="1:9" x14ac:dyDescent="0.35">
      <c r="A37" t="str">
        <f>A7</f>
        <v>G_DHub_EchoRamp</v>
      </c>
      <c r="B37" t="s">
        <v>49</v>
      </c>
      <c r="C37">
        <f>IF(D7=1,0, BaselineCalc!$B$7 + ROUND(K7*F7,0))</f>
        <v>362</v>
      </c>
      <c r="D37">
        <f>IF(E7=1,0, BaselineCalc!$B$8 + K7 - ROUND(K7*F7,0))</f>
        <v>341</v>
      </c>
      <c r="E37">
        <f t="shared" si="2"/>
        <v>703</v>
      </c>
      <c r="F37" s="2">
        <f>YearMap!B4</f>
        <v>0</v>
      </c>
      <c r="G37" s="2" t="e">
        <f>YearMap!C4</f>
        <v>#VALUE!</v>
      </c>
      <c r="H37" s="2">
        <f>YearMap!D4</f>
        <v>5917091.843249999</v>
      </c>
      <c r="I37" t="str">
        <f t="shared" si="3"/>
        <v>G_DHub_EchoRamp|FY2028</v>
      </c>
    </row>
    <row r="38" spans="1:9" x14ac:dyDescent="0.35">
      <c r="A38" t="str">
        <f>A7</f>
        <v>G_DHub_EchoRamp</v>
      </c>
      <c r="B38" t="s">
        <v>50</v>
      </c>
      <c r="C38">
        <f>IF(D7=1,0, BaselineCalc!$B$7 + ROUND(L7*F7,0))</f>
        <v>362</v>
      </c>
      <c r="D38">
        <f>IF(E7=1,0, BaselineCalc!$B$8 + L7 - ROUND(L7*F7,0))</f>
        <v>341</v>
      </c>
      <c r="E38">
        <f t="shared" si="2"/>
        <v>703</v>
      </c>
      <c r="F38" s="2">
        <f>YearMap!B5</f>
        <v>0</v>
      </c>
      <c r="G38" s="2" t="e">
        <f>YearMap!C5</f>
        <v>#VALUE!</v>
      </c>
      <c r="H38" s="2">
        <f>YearMap!D5</f>
        <v>6065019.1393312486</v>
      </c>
      <c r="I38" t="str">
        <f t="shared" si="3"/>
        <v>G_DHub_EchoRamp|FY2029</v>
      </c>
    </row>
    <row r="39" spans="1:9" x14ac:dyDescent="0.35">
      <c r="A39" t="str">
        <f>A7</f>
        <v>G_DHub_EchoRamp</v>
      </c>
      <c r="B39" t="s">
        <v>51</v>
      </c>
      <c r="C39">
        <f>IF(D7=1,0, BaselineCalc!$B$7 + ROUND(M7*F7,0))</f>
        <v>362</v>
      </c>
      <c r="D39">
        <f>IF(E7=1,0, BaselineCalc!$B$8 + M7 - ROUND(M7*F7,0))</f>
        <v>341</v>
      </c>
      <c r="E39">
        <f t="shared" si="2"/>
        <v>703</v>
      </c>
      <c r="F39" s="2">
        <f>YearMap!B6</f>
        <v>0</v>
      </c>
      <c r="G39" s="2" t="e">
        <f>YearMap!C6</f>
        <v>#VALUE!</v>
      </c>
      <c r="H39" s="2">
        <f>YearMap!D6</f>
        <v>6216644.6178145297</v>
      </c>
      <c r="I39" t="str">
        <f t="shared" si="3"/>
        <v>G_DHub_EchoRamp|FY2030</v>
      </c>
    </row>
    <row r="40" spans="1:9" x14ac:dyDescent="0.35">
      <c r="F40" s="2"/>
      <c r="G40" s="2"/>
      <c r="H40" s="2"/>
    </row>
    <row r="41" spans="1:9" x14ac:dyDescent="0.35">
      <c r="F41" s="2"/>
      <c r="G41" s="2"/>
      <c r="H41" s="2"/>
    </row>
    <row r="42" spans="1:9" x14ac:dyDescent="0.35">
      <c r="F42" s="2"/>
      <c r="G42" s="2"/>
      <c r="H42" s="2"/>
    </row>
    <row r="43" spans="1:9" x14ac:dyDescent="0.35">
      <c r="F43" s="2"/>
      <c r="G43" s="2"/>
      <c r="H43" s="2"/>
    </row>
    <row r="44" spans="1:9" x14ac:dyDescent="0.35">
      <c r="F44" s="2"/>
      <c r="G44" s="2"/>
      <c r="H44" s="2"/>
    </row>
    <row r="45" spans="1:9" x14ac:dyDescent="0.35">
      <c r="F45" s="2"/>
      <c r="G45" s="2"/>
      <c r="H45" s="2"/>
    </row>
    <row r="46" spans="1:9" x14ac:dyDescent="0.35">
      <c r="A46" t="str">
        <f>A8</f>
        <v>A_Repurpose_Both_lease</v>
      </c>
      <c r="B46" t="s">
        <v>47</v>
      </c>
      <c r="C46">
        <f>IF(D8=1,0, BaselineCalc!$B$7 + ROUND(I8*F8,0))</f>
        <v>0</v>
      </c>
      <c r="D46">
        <f>IF(E8=1,0, BaselineCalc!$B$8 + I8 - ROUND(I8*F8,0))</f>
        <v>0</v>
      </c>
      <c r="E46">
        <f t="shared" si="2"/>
        <v>0</v>
      </c>
      <c r="F46" s="2">
        <f>YearMap!B2</f>
        <v>0</v>
      </c>
      <c r="G46" s="2" t="e">
        <f>YearMap!C2</f>
        <v>#VALUE!</v>
      </c>
      <c r="H46" s="2">
        <f>YearMap!D2</f>
        <v>5631973.1999999993</v>
      </c>
      <c r="I46" t="str">
        <f t="shared" si="3"/>
        <v>A_Repurpose_Both_lease|FY2026</v>
      </c>
    </row>
    <row r="47" spans="1:9" x14ac:dyDescent="0.35">
      <c r="A47" t="str">
        <f>A8</f>
        <v>A_Repurpose_Both_lease</v>
      </c>
      <c r="B47" t="s">
        <v>48</v>
      </c>
      <c r="C47">
        <f>IF(D8=1,0, BaselineCalc!$B$7 + ROUND(J8*F8,0))</f>
        <v>0</v>
      </c>
      <c r="D47">
        <f>IF(E8=1,0, BaselineCalc!$B$8 + J8 - ROUND(J8*F8,0))</f>
        <v>0</v>
      </c>
      <c r="E47">
        <f t="shared" si="2"/>
        <v>0</v>
      </c>
      <c r="F47" s="2">
        <f>YearMap!B3</f>
        <v>0</v>
      </c>
      <c r="G47" s="2" t="e">
        <f>YearMap!C3</f>
        <v>#VALUE!</v>
      </c>
      <c r="H47" s="2">
        <f>YearMap!D3</f>
        <v>5772772.5299999993</v>
      </c>
      <c r="I47" t="str">
        <f t="shared" si="3"/>
        <v>A_Repurpose_Both_lease|FY2027</v>
      </c>
    </row>
    <row r="48" spans="1:9" x14ac:dyDescent="0.35">
      <c r="A48" t="str">
        <f>A8</f>
        <v>A_Repurpose_Both_lease</v>
      </c>
      <c r="B48" t="s">
        <v>49</v>
      </c>
      <c r="C48">
        <f>IF(D8=1,0, BaselineCalc!$B$7 + ROUND(K8*F8,0))</f>
        <v>0</v>
      </c>
      <c r="D48">
        <f>IF(E8=1,0, BaselineCalc!$B$8 + K8 - ROUND(K8*F8,0))</f>
        <v>0</v>
      </c>
      <c r="E48">
        <f t="shared" ref="E48:E79" si="4">C48+D48</f>
        <v>0</v>
      </c>
      <c r="F48" s="2">
        <f>YearMap!B4</f>
        <v>0</v>
      </c>
      <c r="G48" s="2" t="e">
        <f>YearMap!C4</f>
        <v>#VALUE!</v>
      </c>
      <c r="H48" s="2">
        <f>YearMap!D4</f>
        <v>5917091.843249999</v>
      </c>
      <c r="I48" t="str">
        <f t="shared" ref="I48:I75" si="5">A48&amp;"|"&amp;B48</f>
        <v>A_Repurpose_Both_lease|FY2028</v>
      </c>
    </row>
    <row r="49" spans="1:9" x14ac:dyDescent="0.35">
      <c r="A49" t="str">
        <f>A8</f>
        <v>A_Repurpose_Both_lease</v>
      </c>
      <c r="B49" t="s">
        <v>50</v>
      </c>
      <c r="C49">
        <f>IF(D8=1,0, BaselineCalc!$B$7 + ROUND(L8*F8,0))</f>
        <v>0</v>
      </c>
      <c r="D49">
        <f>IF(E8=1,0, BaselineCalc!$B$8 + L8 - ROUND(L8*F8,0))</f>
        <v>0</v>
      </c>
      <c r="E49">
        <f t="shared" si="4"/>
        <v>0</v>
      </c>
      <c r="F49" s="2">
        <f>YearMap!B5</f>
        <v>0</v>
      </c>
      <c r="G49" s="2" t="e">
        <f>YearMap!C5</f>
        <v>#VALUE!</v>
      </c>
      <c r="H49" s="2">
        <f>YearMap!D5</f>
        <v>6065019.1393312486</v>
      </c>
      <c r="I49" t="str">
        <f t="shared" si="5"/>
        <v>A_Repurpose_Both_lease|FY2029</v>
      </c>
    </row>
    <row r="50" spans="1:9" x14ac:dyDescent="0.35">
      <c r="A50" t="str">
        <f>A8</f>
        <v>A_Repurpose_Both_lease</v>
      </c>
      <c r="B50" t="s">
        <v>51</v>
      </c>
      <c r="C50">
        <f>IF(D8=1,0, BaselineCalc!$B$7 + ROUND(M8*F8,0))</f>
        <v>0</v>
      </c>
      <c r="D50">
        <f>IF(E8=1,0, BaselineCalc!$B$8 + M8 - ROUND(M8*F8,0))</f>
        <v>0</v>
      </c>
      <c r="E50">
        <f t="shared" si="4"/>
        <v>0</v>
      </c>
      <c r="F50" s="2">
        <f>YearMap!B6</f>
        <v>0</v>
      </c>
      <c r="G50" s="2" t="e">
        <f>YearMap!C6</f>
        <v>#VALUE!</v>
      </c>
      <c r="H50" s="2">
        <f>YearMap!D6</f>
        <v>6216644.6178145297</v>
      </c>
      <c r="I50" t="str">
        <f t="shared" si="5"/>
        <v>A_Repurpose_Both_lease|FY2030</v>
      </c>
    </row>
    <row r="51" spans="1:9" x14ac:dyDescent="0.35">
      <c r="A51" t="str">
        <f>A9</f>
        <v>ScenarioKey</v>
      </c>
      <c r="B51" t="s">
        <v>47</v>
      </c>
      <c r="C51" t="e">
        <f>IF(D9=1,0, BaselineCalc!$B$7 + ROUND(I9*F9,0))</f>
        <v>#VALUE!</v>
      </c>
      <c r="D51" t="e">
        <f>IF(E9=1,0, BaselineCalc!$B$8 + I9 - ROUND(I9*F9,0))</f>
        <v>#VALUE!</v>
      </c>
      <c r="E51" t="e">
        <f t="shared" si="4"/>
        <v>#VALUE!</v>
      </c>
      <c r="F51" s="2">
        <f>YearMap!B2</f>
        <v>0</v>
      </c>
      <c r="G51" s="2" t="e">
        <f>YearMap!C2</f>
        <v>#VALUE!</v>
      </c>
      <c r="H51" s="2">
        <f>YearMap!D2</f>
        <v>5631973.1999999993</v>
      </c>
      <c r="I51" t="str">
        <f t="shared" si="5"/>
        <v>ScenarioKey|FY2026</v>
      </c>
    </row>
    <row r="52" spans="1:9" x14ac:dyDescent="0.35">
      <c r="A52" t="str">
        <f>A9</f>
        <v>ScenarioKey</v>
      </c>
      <c r="B52" t="s">
        <v>48</v>
      </c>
      <c r="C52" t="e">
        <f>IF(D9=1,0, BaselineCalc!$B$7 + ROUND(J9*F9,0))</f>
        <v>#VALUE!</v>
      </c>
      <c r="D52" t="e">
        <f>IF(E9=1,0, BaselineCalc!$B$8 + J9 - ROUND(J9*F9,0))</f>
        <v>#VALUE!</v>
      </c>
      <c r="E52" t="e">
        <f t="shared" si="4"/>
        <v>#VALUE!</v>
      </c>
      <c r="F52" s="2">
        <f>YearMap!B3</f>
        <v>0</v>
      </c>
      <c r="G52" s="2" t="e">
        <f>YearMap!C3</f>
        <v>#VALUE!</v>
      </c>
      <c r="H52" s="2">
        <f>YearMap!D3</f>
        <v>5772772.5299999993</v>
      </c>
      <c r="I52" t="str">
        <f t="shared" si="5"/>
        <v>ScenarioKey|FY2027</v>
      </c>
    </row>
    <row r="53" spans="1:9" x14ac:dyDescent="0.35">
      <c r="A53" t="str">
        <f>A9</f>
        <v>ScenarioKey</v>
      </c>
      <c r="B53" t="s">
        <v>49</v>
      </c>
      <c r="C53" t="e">
        <f>IF(D9=1,0, BaselineCalc!$B$7 + ROUND(K9*F9,0))</f>
        <v>#VALUE!</v>
      </c>
      <c r="D53" t="e">
        <f>IF(E9=1,0, BaselineCalc!$B$8 + K9 - ROUND(K9*F9,0))</f>
        <v>#VALUE!</v>
      </c>
      <c r="E53" t="e">
        <f t="shared" si="4"/>
        <v>#VALUE!</v>
      </c>
      <c r="F53" s="2">
        <f>YearMap!B4</f>
        <v>0</v>
      </c>
      <c r="G53" s="2" t="e">
        <f>YearMap!C4</f>
        <v>#VALUE!</v>
      </c>
      <c r="H53" s="2">
        <f>YearMap!D4</f>
        <v>5917091.843249999</v>
      </c>
      <c r="I53" t="str">
        <f t="shared" si="5"/>
        <v>ScenarioKey|FY2028</v>
      </c>
    </row>
    <row r="54" spans="1:9" x14ac:dyDescent="0.35">
      <c r="A54" t="str">
        <f>A9</f>
        <v>ScenarioKey</v>
      </c>
      <c r="B54" t="s">
        <v>50</v>
      </c>
      <c r="C54" t="e">
        <f>IF(D9=1,0, BaselineCalc!$B$7 + ROUND(L9*F9,0))</f>
        <v>#VALUE!</v>
      </c>
      <c r="D54" t="e">
        <f>IF(E9=1,0, BaselineCalc!$B$8 + L9 - ROUND(L9*F9,0))</f>
        <v>#VALUE!</v>
      </c>
      <c r="E54" t="e">
        <f t="shared" si="4"/>
        <v>#VALUE!</v>
      </c>
      <c r="F54" s="2">
        <f>YearMap!B5</f>
        <v>0</v>
      </c>
      <c r="G54" s="2" t="e">
        <f>YearMap!C5</f>
        <v>#VALUE!</v>
      </c>
      <c r="H54" s="2">
        <f>YearMap!D5</f>
        <v>6065019.1393312486</v>
      </c>
      <c r="I54" t="str">
        <f t="shared" si="5"/>
        <v>ScenarioKey|FY2029</v>
      </c>
    </row>
    <row r="55" spans="1:9" x14ac:dyDescent="0.35">
      <c r="A55" t="str">
        <f>A9</f>
        <v>ScenarioKey</v>
      </c>
      <c r="B55" t="s">
        <v>51</v>
      </c>
      <c r="C55" t="e">
        <f>IF(D9=1,0, BaselineCalc!$B$7 + ROUND(M9*F9,0))</f>
        <v>#VALUE!</v>
      </c>
      <c r="D55" t="e">
        <f>IF(E9=1,0, BaselineCalc!$B$8 + M9 - ROUND(M9*F9,0))</f>
        <v>#VALUE!</v>
      </c>
      <c r="E55" t="e">
        <f t="shared" si="4"/>
        <v>#VALUE!</v>
      </c>
      <c r="F55" s="2">
        <f>YearMap!B6</f>
        <v>0</v>
      </c>
      <c r="G55" s="2" t="e">
        <f>YearMap!C6</f>
        <v>#VALUE!</v>
      </c>
      <c r="H55" s="2">
        <f>YearMap!D6</f>
        <v>6216644.6178145297</v>
      </c>
      <c r="I55" t="str">
        <f t="shared" si="5"/>
        <v>ScenarioKey|FY2030</v>
      </c>
    </row>
    <row r="56" spans="1:9" x14ac:dyDescent="0.35">
      <c r="A56" t="str">
        <f>A10</f>
        <v>D_Grow_Both_0</v>
      </c>
      <c r="B56" t="s">
        <v>47</v>
      </c>
      <c r="C56" t="e">
        <f>IF(D10=1,0, BaselineCalc!$B$7 + ROUND(I10*F10,0))</f>
        <v>#VALUE!</v>
      </c>
      <c r="D56" t="e">
        <f>IF(E10=1,0, BaselineCalc!$B$8 + I10 - ROUND(I10*F10,0))</f>
        <v>#VALUE!</v>
      </c>
      <c r="E56" t="e">
        <f t="shared" si="4"/>
        <v>#VALUE!</v>
      </c>
      <c r="F56" s="2">
        <f>YearMap!B2</f>
        <v>0</v>
      </c>
      <c r="G56" s="2" t="e">
        <f>YearMap!C2</f>
        <v>#VALUE!</v>
      </c>
      <c r="H56" s="2">
        <f>YearMap!D2</f>
        <v>5631973.1999999993</v>
      </c>
      <c r="I56" t="str">
        <f t="shared" si="5"/>
        <v>D_Grow_Both_0|FY2026</v>
      </c>
    </row>
    <row r="57" spans="1:9" x14ac:dyDescent="0.35">
      <c r="A57" t="str">
        <f>A10</f>
        <v>D_Grow_Both_0</v>
      </c>
      <c r="B57" t="s">
        <v>48</v>
      </c>
      <c r="C57">
        <f>IF(D10=1,0, BaselineCalc!$B$7 + ROUND(J10*F10,0))</f>
        <v>257</v>
      </c>
      <c r="D57">
        <f>IF(E10=1,0, BaselineCalc!$B$8 + J10 - ROUND(J10*F10,0))</f>
        <v>553</v>
      </c>
      <c r="E57">
        <f t="shared" si="4"/>
        <v>810</v>
      </c>
      <c r="F57" s="2">
        <f>YearMap!B3</f>
        <v>0</v>
      </c>
      <c r="G57" s="2" t="e">
        <f>YearMap!C3</f>
        <v>#VALUE!</v>
      </c>
      <c r="H57" s="2">
        <f>YearMap!D3</f>
        <v>5772772.5299999993</v>
      </c>
      <c r="I57" t="str">
        <f t="shared" si="5"/>
        <v>D_Grow_Both_0|FY2027</v>
      </c>
    </row>
    <row r="58" spans="1:9" x14ac:dyDescent="0.35">
      <c r="A58" t="str">
        <f>A10</f>
        <v>D_Grow_Both_0</v>
      </c>
      <c r="B58" t="s">
        <v>49</v>
      </c>
      <c r="C58">
        <f>IF(D10=1,0, BaselineCalc!$B$7 + ROUND(K10*F10,0))</f>
        <v>257</v>
      </c>
      <c r="D58">
        <f>IF(E10=1,0, BaselineCalc!$B$8 + K10 - ROUND(K10*F10,0))</f>
        <v>553</v>
      </c>
      <c r="E58">
        <f t="shared" si="4"/>
        <v>810</v>
      </c>
      <c r="F58" s="2">
        <f>YearMap!B4</f>
        <v>0</v>
      </c>
      <c r="G58" s="2" t="e">
        <f>YearMap!C4</f>
        <v>#VALUE!</v>
      </c>
      <c r="H58" s="2">
        <f>YearMap!D4</f>
        <v>5917091.843249999</v>
      </c>
      <c r="I58" t="str">
        <f t="shared" si="5"/>
        <v>D_Grow_Both_0|FY2028</v>
      </c>
    </row>
    <row r="59" spans="1:9" x14ac:dyDescent="0.35">
      <c r="A59" t="str">
        <f>A10</f>
        <v>D_Grow_Both_0</v>
      </c>
      <c r="B59" t="s">
        <v>50</v>
      </c>
      <c r="C59">
        <f>IF(D10=1,0, BaselineCalc!$B$7 + ROUND(L10*F10,0))</f>
        <v>257</v>
      </c>
      <c r="D59">
        <f>IF(E10=1,0, BaselineCalc!$B$8 + L10 - ROUND(L10*F10,0))</f>
        <v>553</v>
      </c>
      <c r="E59">
        <f t="shared" si="4"/>
        <v>810</v>
      </c>
      <c r="F59" s="2">
        <f>YearMap!B5</f>
        <v>0</v>
      </c>
      <c r="G59" s="2" t="e">
        <f>YearMap!C5</f>
        <v>#VALUE!</v>
      </c>
      <c r="H59" s="2">
        <f>YearMap!D5</f>
        <v>6065019.1393312486</v>
      </c>
      <c r="I59" t="str">
        <f t="shared" si="5"/>
        <v>D_Grow_Both_0|FY2029</v>
      </c>
    </row>
    <row r="60" spans="1:9" x14ac:dyDescent="0.35">
      <c r="A60" t="str">
        <f>A10</f>
        <v>D_Grow_Both_0</v>
      </c>
      <c r="B60" t="s">
        <v>51</v>
      </c>
      <c r="C60">
        <f>IF(D10=1,0, BaselineCalc!$B$7 + ROUND(M10*F10,0))</f>
        <v>257</v>
      </c>
      <c r="D60">
        <f>IF(E10=1,0, BaselineCalc!$B$8 + M10 - ROUND(M10*F10,0))</f>
        <v>553</v>
      </c>
      <c r="E60">
        <f t="shared" si="4"/>
        <v>810</v>
      </c>
      <c r="F60" s="2">
        <f>YearMap!B6</f>
        <v>0</v>
      </c>
      <c r="G60" s="2" t="e">
        <f>YearMap!C6</f>
        <v>#VALUE!</v>
      </c>
      <c r="H60" s="2">
        <f>YearMap!D6</f>
        <v>6216644.6178145297</v>
      </c>
      <c r="I60" t="str">
        <f t="shared" si="5"/>
        <v>D_Grow_Both_0|FY2030</v>
      </c>
    </row>
    <row r="61" spans="1:9" x14ac:dyDescent="0.35">
      <c r="A61" t="str">
        <f>A11</f>
        <v>D_Grow_Both_0</v>
      </c>
      <c r="B61" t="s">
        <v>47</v>
      </c>
      <c r="C61" t="e">
        <f>IF(D11=1,0, BaselineCalc!$B$7 + ROUND(I11*F11,0))</f>
        <v>#VALUE!</v>
      </c>
      <c r="D61" t="e">
        <f>IF(E11=1,0, BaselineCalc!$B$8 + I11 - ROUND(I11*F11,0))</f>
        <v>#VALUE!</v>
      </c>
      <c r="E61" t="e">
        <f t="shared" si="4"/>
        <v>#VALUE!</v>
      </c>
      <c r="F61" s="2">
        <f>YearMap!B2</f>
        <v>0</v>
      </c>
      <c r="G61" s="2" t="e">
        <f>YearMap!C2</f>
        <v>#VALUE!</v>
      </c>
      <c r="H61" s="2">
        <f>YearMap!D2</f>
        <v>5631973.1999999993</v>
      </c>
      <c r="I61" t="str">
        <f t="shared" si="5"/>
        <v>D_Grow_Both_0|FY2026</v>
      </c>
    </row>
    <row r="62" spans="1:9" x14ac:dyDescent="0.35">
      <c r="A62" t="str">
        <f>A11</f>
        <v>D_Grow_Both_0</v>
      </c>
      <c r="B62" t="s">
        <v>48</v>
      </c>
      <c r="C62">
        <f>IF(D11=1,0, BaselineCalc!$B$7 + ROUND(J11*F11,0))</f>
        <v>257</v>
      </c>
      <c r="D62">
        <f>IF(E11=1,0, BaselineCalc!$B$8 + J11 - ROUND(J11*F11,0))</f>
        <v>553</v>
      </c>
      <c r="E62">
        <f t="shared" si="4"/>
        <v>810</v>
      </c>
      <c r="F62" s="2">
        <f>YearMap!B3</f>
        <v>0</v>
      </c>
      <c r="G62" s="2" t="e">
        <f>YearMap!C3</f>
        <v>#VALUE!</v>
      </c>
      <c r="H62" s="2">
        <f>YearMap!D3</f>
        <v>5772772.5299999993</v>
      </c>
      <c r="I62" t="str">
        <f t="shared" si="5"/>
        <v>D_Grow_Both_0|FY2027</v>
      </c>
    </row>
    <row r="63" spans="1:9" x14ac:dyDescent="0.35">
      <c r="A63" t="str">
        <f>A11</f>
        <v>D_Grow_Both_0</v>
      </c>
      <c r="B63" t="s">
        <v>49</v>
      </c>
      <c r="C63">
        <f>IF(D11=1,0, BaselineCalc!$B$7 + ROUND(K11*F11,0))</f>
        <v>257</v>
      </c>
      <c r="D63">
        <f>IF(E11=1,0, BaselineCalc!$B$8 + K11 - ROUND(K11*F11,0))</f>
        <v>553</v>
      </c>
      <c r="E63">
        <f t="shared" si="4"/>
        <v>810</v>
      </c>
      <c r="F63" s="2">
        <f>YearMap!B4</f>
        <v>0</v>
      </c>
      <c r="G63" s="2" t="e">
        <f>YearMap!C4</f>
        <v>#VALUE!</v>
      </c>
      <c r="H63" s="2">
        <f>YearMap!D4</f>
        <v>5917091.843249999</v>
      </c>
      <c r="I63" t="str">
        <f t="shared" si="5"/>
        <v>D_Grow_Both_0|FY2028</v>
      </c>
    </row>
    <row r="64" spans="1:9" x14ac:dyDescent="0.35">
      <c r="A64" t="str">
        <f>A11</f>
        <v>D_Grow_Both_0</v>
      </c>
      <c r="B64" t="s">
        <v>50</v>
      </c>
      <c r="C64">
        <f>IF(D11=1,0, BaselineCalc!$B$7 + ROUND(L11*F11,0))</f>
        <v>257</v>
      </c>
      <c r="D64">
        <f>IF(E11=1,0, BaselineCalc!$B$8 + L11 - ROUND(L11*F11,0))</f>
        <v>553</v>
      </c>
      <c r="E64">
        <f t="shared" si="4"/>
        <v>810</v>
      </c>
      <c r="F64" s="2">
        <f>YearMap!B5</f>
        <v>0</v>
      </c>
      <c r="G64" s="2" t="e">
        <f>YearMap!C5</f>
        <v>#VALUE!</v>
      </c>
      <c r="H64" s="2">
        <f>YearMap!D5</f>
        <v>6065019.1393312486</v>
      </c>
      <c r="I64" t="str">
        <f t="shared" si="5"/>
        <v>D_Grow_Both_0|FY2029</v>
      </c>
    </row>
    <row r="65" spans="1:9" x14ac:dyDescent="0.35">
      <c r="A65" t="str">
        <f>A11</f>
        <v>D_Grow_Both_0</v>
      </c>
      <c r="B65" t="s">
        <v>51</v>
      </c>
      <c r="C65">
        <f>IF(D11=1,0, BaselineCalc!$B$7 + ROUND(M11*F11,0))</f>
        <v>257</v>
      </c>
      <c r="D65">
        <f>IF(E11=1,0, BaselineCalc!$B$8 + M11 - ROUND(M11*F11,0))</f>
        <v>553</v>
      </c>
      <c r="E65">
        <f t="shared" si="4"/>
        <v>810</v>
      </c>
      <c r="F65" s="2">
        <f>YearMap!B6</f>
        <v>0</v>
      </c>
      <c r="G65" s="2" t="e">
        <f>YearMap!C6</f>
        <v>#VALUE!</v>
      </c>
      <c r="H65" s="2">
        <f>YearMap!D6</f>
        <v>6216644.6178145297</v>
      </c>
      <c r="I65" t="str">
        <f t="shared" si="5"/>
        <v>D_Grow_Both_0|FY2030</v>
      </c>
    </row>
    <row r="66" spans="1:9" x14ac:dyDescent="0.35">
      <c r="A66" t="str">
        <f>A12</f>
        <v>D_Grow_Both_0</v>
      </c>
      <c r="B66" t="s">
        <v>47</v>
      </c>
      <c r="C66" t="e">
        <f>IF(D12=1,0, BaselineCalc!$B$7 + ROUND(I12*F12,0))</f>
        <v>#VALUE!</v>
      </c>
      <c r="D66" t="e">
        <f>IF(E12=1,0, BaselineCalc!$B$8 + I12 - ROUND(I12*F12,0))</f>
        <v>#VALUE!</v>
      </c>
      <c r="E66" t="e">
        <f t="shared" si="4"/>
        <v>#VALUE!</v>
      </c>
      <c r="F66" s="2">
        <f>YearMap!B2</f>
        <v>0</v>
      </c>
      <c r="G66" s="2" t="e">
        <f>YearMap!C2</f>
        <v>#VALUE!</v>
      </c>
      <c r="H66" s="2">
        <f>YearMap!D2</f>
        <v>5631973.1999999993</v>
      </c>
      <c r="I66" t="str">
        <f t="shared" si="5"/>
        <v>D_Grow_Both_0|FY2026</v>
      </c>
    </row>
    <row r="67" spans="1:9" x14ac:dyDescent="0.35">
      <c r="A67" t="str">
        <f>A12</f>
        <v>D_Grow_Both_0</v>
      </c>
      <c r="B67" t="s">
        <v>48</v>
      </c>
      <c r="C67">
        <f>IF(D12=1,0, BaselineCalc!$B$7 + ROUND(J12*F12,0))</f>
        <v>257</v>
      </c>
      <c r="D67">
        <f>IF(E12=1,0, BaselineCalc!$B$8 + J12 - ROUND(J12*F12,0))</f>
        <v>553</v>
      </c>
      <c r="E67">
        <f t="shared" si="4"/>
        <v>810</v>
      </c>
      <c r="F67" s="2">
        <f>YearMap!B3</f>
        <v>0</v>
      </c>
      <c r="G67" s="2" t="e">
        <f>YearMap!C3</f>
        <v>#VALUE!</v>
      </c>
      <c r="H67" s="2">
        <f>YearMap!D3</f>
        <v>5772772.5299999993</v>
      </c>
      <c r="I67" t="str">
        <f t="shared" si="5"/>
        <v>D_Grow_Both_0|FY2027</v>
      </c>
    </row>
    <row r="68" spans="1:9" x14ac:dyDescent="0.35">
      <c r="A68" t="str">
        <f>A12</f>
        <v>D_Grow_Both_0</v>
      </c>
      <c r="B68" t="s">
        <v>49</v>
      </c>
      <c r="C68">
        <f>IF(D12=1,0, BaselineCalc!$B$7 + ROUND(K12*F12,0))</f>
        <v>257</v>
      </c>
      <c r="D68">
        <f>IF(E12=1,0, BaselineCalc!$B$8 + K12 - ROUND(K12*F12,0))</f>
        <v>553</v>
      </c>
      <c r="E68">
        <f t="shared" si="4"/>
        <v>810</v>
      </c>
      <c r="F68" s="2">
        <f>YearMap!B4</f>
        <v>0</v>
      </c>
      <c r="G68" s="2" t="e">
        <f>YearMap!C4</f>
        <v>#VALUE!</v>
      </c>
      <c r="H68" s="2">
        <f>YearMap!D4</f>
        <v>5917091.843249999</v>
      </c>
      <c r="I68" t="str">
        <f t="shared" si="5"/>
        <v>D_Grow_Both_0|FY2028</v>
      </c>
    </row>
    <row r="69" spans="1:9" x14ac:dyDescent="0.35">
      <c r="A69" t="str">
        <f>A12</f>
        <v>D_Grow_Both_0</v>
      </c>
      <c r="B69" t="s">
        <v>50</v>
      </c>
      <c r="C69">
        <f>IF(D12=1,0, BaselineCalc!$B$7 + ROUND(L12*F12,0))</f>
        <v>257</v>
      </c>
      <c r="D69">
        <f>IF(E12=1,0, BaselineCalc!$B$8 + L12 - ROUND(L12*F12,0))</f>
        <v>553</v>
      </c>
      <c r="E69">
        <f t="shared" si="4"/>
        <v>810</v>
      </c>
      <c r="F69" s="2">
        <f>YearMap!B5</f>
        <v>0</v>
      </c>
      <c r="G69" s="2" t="e">
        <f>YearMap!C5</f>
        <v>#VALUE!</v>
      </c>
      <c r="H69" s="2">
        <f>YearMap!D5</f>
        <v>6065019.1393312486</v>
      </c>
      <c r="I69" t="str">
        <f t="shared" si="5"/>
        <v>D_Grow_Both_0|FY2029</v>
      </c>
    </row>
    <row r="70" spans="1:9" x14ac:dyDescent="0.35">
      <c r="A70" t="str">
        <f>A12</f>
        <v>D_Grow_Both_0</v>
      </c>
      <c r="B70" t="s">
        <v>51</v>
      </c>
      <c r="C70">
        <f>IF(D12=1,0, BaselineCalc!$B$7 + ROUND(M12*F12,0))</f>
        <v>257</v>
      </c>
      <c r="D70">
        <f>IF(E12=1,0, BaselineCalc!$B$8 + M12 - ROUND(M12*F12,0))</f>
        <v>553</v>
      </c>
      <c r="E70">
        <f t="shared" si="4"/>
        <v>810</v>
      </c>
      <c r="F70" s="2">
        <f>YearMap!B6</f>
        <v>0</v>
      </c>
      <c r="G70" s="2" t="e">
        <f>YearMap!C6</f>
        <v>#VALUE!</v>
      </c>
      <c r="H70" s="2">
        <f>YearMap!D6</f>
        <v>6216644.6178145297</v>
      </c>
      <c r="I70" t="str">
        <f t="shared" si="5"/>
        <v>D_Grow_Both_0|FY2030</v>
      </c>
    </row>
    <row r="71" spans="1:9" x14ac:dyDescent="0.35">
      <c r="A71" t="str">
        <f>A13</f>
        <v>D_Grow_Both_0</v>
      </c>
      <c r="B71" t="s">
        <v>47</v>
      </c>
      <c r="C71" t="e">
        <f>IF(D13=1,0, BaselineCalc!$B$7 + ROUND(I13*F13,0))</f>
        <v>#VALUE!</v>
      </c>
      <c r="D71" t="e">
        <f>IF(E13=1,0, BaselineCalc!$B$8 + I13 - ROUND(I13*F13,0))</f>
        <v>#VALUE!</v>
      </c>
      <c r="E71" t="e">
        <f t="shared" si="4"/>
        <v>#VALUE!</v>
      </c>
      <c r="F71" s="2">
        <f>YearMap!B2</f>
        <v>0</v>
      </c>
      <c r="G71" s="2" t="e">
        <f>YearMap!C2</f>
        <v>#VALUE!</v>
      </c>
      <c r="H71" s="2">
        <f>YearMap!D2</f>
        <v>5631973.1999999993</v>
      </c>
      <c r="I71" t="str">
        <f t="shared" si="5"/>
        <v>D_Grow_Both_0|FY2026</v>
      </c>
    </row>
    <row r="72" spans="1:9" x14ac:dyDescent="0.35">
      <c r="A72" t="str">
        <f>A13</f>
        <v>D_Grow_Both_0</v>
      </c>
      <c r="B72" t="s">
        <v>48</v>
      </c>
      <c r="C72">
        <f>IF(D13=1,0, BaselineCalc!$B$7 + ROUND(J13*F13,0))</f>
        <v>257</v>
      </c>
      <c r="D72">
        <f>IF(E13=1,0, BaselineCalc!$B$8 + J13 - ROUND(J13*F13,0))</f>
        <v>553</v>
      </c>
      <c r="E72">
        <f t="shared" si="4"/>
        <v>810</v>
      </c>
      <c r="F72" s="2">
        <f>YearMap!B3</f>
        <v>0</v>
      </c>
      <c r="G72" s="2" t="e">
        <f>YearMap!C3</f>
        <v>#VALUE!</v>
      </c>
      <c r="H72" s="2">
        <f>YearMap!D3</f>
        <v>5772772.5299999993</v>
      </c>
      <c r="I72" t="str">
        <f t="shared" si="5"/>
        <v>D_Grow_Both_0|FY2027</v>
      </c>
    </row>
    <row r="73" spans="1:9" x14ac:dyDescent="0.35">
      <c r="A73" t="str">
        <f>A13</f>
        <v>D_Grow_Both_0</v>
      </c>
      <c r="B73" t="s">
        <v>49</v>
      </c>
      <c r="C73">
        <f>IF(D13=1,0, BaselineCalc!$B$7 + ROUND(K13*F13,0))</f>
        <v>257</v>
      </c>
      <c r="D73">
        <f>IF(E13=1,0, BaselineCalc!$B$8 + K13 - ROUND(K13*F13,0))</f>
        <v>553</v>
      </c>
      <c r="E73">
        <f t="shared" si="4"/>
        <v>810</v>
      </c>
      <c r="F73" s="2">
        <f>YearMap!B4</f>
        <v>0</v>
      </c>
      <c r="G73" s="2" t="e">
        <f>YearMap!C4</f>
        <v>#VALUE!</v>
      </c>
      <c r="H73" s="2">
        <f>YearMap!D4</f>
        <v>5917091.843249999</v>
      </c>
      <c r="I73" t="str">
        <f t="shared" si="5"/>
        <v>D_Grow_Both_0|FY2028</v>
      </c>
    </row>
    <row r="74" spans="1:9" x14ac:dyDescent="0.35">
      <c r="A74" t="str">
        <f>A13</f>
        <v>D_Grow_Both_0</v>
      </c>
      <c r="B74" t="s">
        <v>50</v>
      </c>
      <c r="C74">
        <f>IF(D13=1,0, BaselineCalc!$B$7 + ROUND(L13*F13,0))</f>
        <v>257</v>
      </c>
      <c r="D74">
        <f>IF(E13=1,0, BaselineCalc!$B$8 + L13 - ROUND(L13*F13,0))</f>
        <v>553</v>
      </c>
      <c r="E74">
        <f t="shared" si="4"/>
        <v>810</v>
      </c>
      <c r="F74" s="2">
        <f>YearMap!B5</f>
        <v>0</v>
      </c>
      <c r="G74" s="2" t="e">
        <f>YearMap!C5</f>
        <v>#VALUE!</v>
      </c>
      <c r="H74" s="2">
        <f>YearMap!D5</f>
        <v>6065019.1393312486</v>
      </c>
      <c r="I74" t="str">
        <f t="shared" si="5"/>
        <v>D_Grow_Both_0|FY2029</v>
      </c>
    </row>
    <row r="75" spans="1:9" x14ac:dyDescent="0.35">
      <c r="A75" t="str">
        <f>A13</f>
        <v>D_Grow_Both_0</v>
      </c>
      <c r="B75" t="s">
        <v>51</v>
      </c>
      <c r="C75">
        <f>IF(D13=1,0, BaselineCalc!$B$7 + ROUND(M13*F13,0))</f>
        <v>257</v>
      </c>
      <c r="D75">
        <f>IF(E13=1,0, BaselineCalc!$B$8 + M13 - ROUND(M13*F13,0))</f>
        <v>553</v>
      </c>
      <c r="E75">
        <f t="shared" si="4"/>
        <v>810</v>
      </c>
      <c r="F75" s="2">
        <f>YearMap!B6</f>
        <v>0</v>
      </c>
      <c r="G75" s="2" t="e">
        <f>YearMap!C6</f>
        <v>#VALUE!</v>
      </c>
      <c r="H75" s="2">
        <f>YearMap!D6</f>
        <v>6216644.6178145297</v>
      </c>
      <c r="I75" t="str">
        <f t="shared" si="5"/>
        <v>D_Grow_Both_0|FY2030</v>
      </c>
    </row>
    <row r="76" spans="1:9" x14ac:dyDescent="0.35">
      <c r="F76" s="2"/>
      <c r="G76" s="2"/>
      <c r="H76" s="2"/>
    </row>
    <row r="77" spans="1:9" x14ac:dyDescent="0.35">
      <c r="F77" s="2"/>
      <c r="G77" s="2"/>
      <c r="H77" s="2"/>
    </row>
    <row r="78" spans="1:9" x14ac:dyDescent="0.35">
      <c r="F78" s="2"/>
      <c r="G78" s="2"/>
      <c r="H78" s="2"/>
    </row>
    <row r="79" spans="1:9" x14ac:dyDescent="0.35">
      <c r="F79" s="2"/>
      <c r="G79" s="2"/>
      <c r="H79" s="2"/>
    </row>
    <row r="80" spans="1:9" x14ac:dyDescent="0.35">
      <c r="F80" s="2"/>
      <c r="G80" s="2"/>
      <c r="H80" s="2"/>
    </row>
    <row r="81" spans="6:8" x14ac:dyDescent="0.35">
      <c r="F81" s="2"/>
      <c r="G81" s="2"/>
      <c r="H81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61"/>
  <sheetViews>
    <sheetView topLeftCell="A19" zoomScale="75" zoomScaleNormal="75" workbookViewId="0">
      <selection activeCell="J40" sqref="J40"/>
    </sheetView>
  </sheetViews>
  <sheetFormatPr defaultRowHeight="14.5" x14ac:dyDescent="0.35"/>
  <cols>
    <col min="1" max="1" width="22.81640625" bestFit="1" customWidth="1"/>
    <col min="3" max="3" width="10.26953125" bestFit="1" customWidth="1"/>
    <col min="4" max="5" width="10.54296875" bestFit="1" customWidth="1"/>
    <col min="6" max="8" width="13.08984375" bestFit="1" customWidth="1"/>
    <col min="9" max="9" width="9.6328125" bestFit="1" customWidth="1"/>
    <col min="10" max="10" width="9.1796875" bestFit="1" customWidth="1"/>
    <col min="11" max="11" width="18" bestFit="1" customWidth="1"/>
    <col min="12" max="12" width="18.26953125" bestFit="1" customWidth="1"/>
    <col min="13" max="13" width="14.36328125" bestFit="1" customWidth="1"/>
    <col min="14" max="14" width="13.6328125" bestFit="1" customWidth="1"/>
    <col min="15" max="15" width="5.453125" bestFit="1" customWidth="1"/>
    <col min="16" max="16" width="9.08984375" bestFit="1" customWidth="1"/>
    <col min="17" max="18" width="13.08984375" bestFit="1" customWidth="1"/>
    <col min="20" max="21" width="13.08984375" bestFit="1" customWidth="1"/>
    <col min="22" max="22" width="16.54296875" bestFit="1" customWidth="1"/>
    <col min="23" max="23" width="24.453125" bestFit="1" customWidth="1"/>
  </cols>
  <sheetData>
    <row r="1" spans="1:24" x14ac:dyDescent="0.35">
      <c r="A1" s="1" t="s">
        <v>52</v>
      </c>
      <c r="B1" s="1" t="s">
        <v>39</v>
      </c>
      <c r="C1" s="1" t="s">
        <v>87</v>
      </c>
      <c r="D1" s="1" t="s">
        <v>88</v>
      </c>
      <c r="E1" s="1" t="s">
        <v>89</v>
      </c>
      <c r="F1" s="1" t="s">
        <v>40</v>
      </c>
      <c r="G1" s="1" t="s">
        <v>41</v>
      </c>
      <c r="H1" s="1" t="s">
        <v>42</v>
      </c>
      <c r="I1" s="1" t="s">
        <v>92</v>
      </c>
      <c r="J1" s="1" t="s">
        <v>58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43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90</v>
      </c>
    </row>
    <row r="2" spans="1:24" x14ac:dyDescent="0.35">
      <c r="A2" t="str">
        <f>Scenarios!A2</f>
        <v>D_Grow_Both_0</v>
      </c>
      <c r="B2" t="s">
        <v>47</v>
      </c>
      <c r="C2">
        <f>IF(Scenarios!D2=1,0, K2)</f>
        <v>257</v>
      </c>
      <c r="D2">
        <f>IF(Scenarios!E2=1,0, L2)</f>
        <v>296</v>
      </c>
      <c r="E2">
        <f t="shared" ref="E2:E33" si="0">C2+D2</f>
        <v>553</v>
      </c>
      <c r="F2" s="2">
        <f>YearMap!B2</f>
        <v>0</v>
      </c>
      <c r="G2" s="2" t="e">
        <f>YearMap!C2</f>
        <v>#VALUE!</v>
      </c>
      <c r="H2" s="2">
        <f>YearMap!D2</f>
        <v>5631973.1999999993</v>
      </c>
      <c r="I2">
        <f>1-BaselineCalc!$B$5</f>
        <v>0.99299999999999999</v>
      </c>
      <c r="J2">
        <f>Scenarios!G2</f>
        <v>0</v>
      </c>
      <c r="K2">
        <f>BaselineCalc!$B$7 + ROUND(Scenarios!J2*Scenarios!F2,0)</f>
        <v>257</v>
      </c>
      <c r="L2">
        <f>BaselineCalc!$B$8 + Scenarios!J2 - ROUND(Scenarios!J2*Scenarios!F2,0)</f>
        <v>296</v>
      </c>
      <c r="M2">
        <f t="shared" ref="M2:M33" si="1">(K2-C2) + (L2-D2)</f>
        <v>0</v>
      </c>
      <c r="N2">
        <f>BaselineCalc!$B$11 * M2</f>
        <v>0</v>
      </c>
      <c r="O2">
        <f>YearMap!E2</f>
        <v>1000</v>
      </c>
      <c r="P2">
        <f>IF(Scenarios!N2="lease", YearMap!F2, YearMap!G2)</f>
        <v>0.4</v>
      </c>
      <c r="Q2" s="2" t="e">
        <f>IF(Scenarios!D2=1, P2*G2, G2)</f>
        <v>#VALUE!</v>
      </c>
      <c r="R2" s="2">
        <f>IF(Scenarios!E2=1, P2*H2, H2)</f>
        <v>5631973.1999999993</v>
      </c>
      <c r="S2" s="2">
        <f>IF(B2="FY2026", (Scenarios!D2+Scenarios!E2)*BaselineCalc!$B$10, 0)</f>
        <v>0</v>
      </c>
      <c r="T2" s="2" t="e">
        <f t="shared" ref="T2:T33" si="2">(Q2+R2+F2*E2)*I2*(1-J2)</f>
        <v>#VALUE!</v>
      </c>
      <c r="U2" s="2">
        <f t="shared" ref="U2:U33" si="3">N2*(F2+O2)</f>
        <v>0</v>
      </c>
      <c r="V2" s="2" t="e">
        <f t="shared" ref="V2:V33" si="4">T2+U2+S2</f>
        <v>#VALUE!</v>
      </c>
      <c r="W2" s="2" t="e">
        <f t="shared" ref="W2:W33" si="5">IF(E2+N2&gt;0, V2/(E2+N2),"")</f>
        <v>#VALUE!</v>
      </c>
      <c r="X2" t="str">
        <f t="shared" ref="X2:X33" si="6">A2&amp;"|"&amp;B2</f>
        <v>D_Grow_Both_0|FY2026</v>
      </c>
    </row>
    <row r="3" spans="1:24" x14ac:dyDescent="0.35">
      <c r="A3" t="str">
        <f>Scenarios!A2</f>
        <v>D_Grow_Both_0</v>
      </c>
      <c r="B3" t="s">
        <v>48</v>
      </c>
      <c r="C3">
        <f>IF(Scenarios!D2=1,0, K3)</f>
        <v>257</v>
      </c>
      <c r="D3">
        <f>IF(Scenarios!E2=1,0, L3)</f>
        <v>296</v>
      </c>
      <c r="E3">
        <f t="shared" si="0"/>
        <v>553</v>
      </c>
      <c r="F3" s="2">
        <f>YearMap!B3</f>
        <v>0</v>
      </c>
      <c r="G3" s="2" t="e">
        <f>YearMap!C3</f>
        <v>#VALUE!</v>
      </c>
      <c r="H3" s="2">
        <f>YearMap!D3</f>
        <v>5772772.5299999993</v>
      </c>
      <c r="I3">
        <f>1-BaselineCalc!$B$5</f>
        <v>0.99299999999999999</v>
      </c>
      <c r="J3">
        <f>Scenarios!G2</f>
        <v>0</v>
      </c>
      <c r="K3">
        <f>BaselineCalc!$B$7 + ROUND(Scenarios!K2*Scenarios!F2,0)</f>
        <v>257</v>
      </c>
      <c r="L3">
        <f>BaselineCalc!$B$8 + Scenarios!K2 - ROUND(Scenarios!K2*Scenarios!F2,0)</f>
        <v>296</v>
      </c>
      <c r="M3">
        <f t="shared" si="1"/>
        <v>0</v>
      </c>
      <c r="N3">
        <f>BaselineCalc!$B$11 * M3</f>
        <v>0</v>
      </c>
      <c r="O3">
        <f>YearMap!E3</f>
        <v>800</v>
      </c>
      <c r="P3">
        <f>IF(Scenarios!N2="lease", YearMap!F3, YearMap!G3)</f>
        <v>0.35</v>
      </c>
      <c r="Q3" s="2" t="e">
        <f>IF(Scenarios!D2=1, P3*G3, G3)</f>
        <v>#VALUE!</v>
      </c>
      <c r="R3" s="2">
        <f>IF(Scenarios!E2=1, P3*H3, H3)</f>
        <v>5772772.5299999993</v>
      </c>
      <c r="S3" s="2">
        <f>IF(B3="FY2026", (Scenarios!D2+Scenarios!E2)*BaselineCalc!$B$10, 0)</f>
        <v>0</v>
      </c>
      <c r="T3" s="2" t="e">
        <f t="shared" si="2"/>
        <v>#VALUE!</v>
      </c>
      <c r="U3" s="2">
        <f t="shared" si="3"/>
        <v>0</v>
      </c>
      <c r="V3" s="2" t="e">
        <f t="shared" si="4"/>
        <v>#VALUE!</v>
      </c>
      <c r="W3" s="2" t="e">
        <f t="shared" si="5"/>
        <v>#VALUE!</v>
      </c>
      <c r="X3" t="str">
        <f t="shared" si="6"/>
        <v>D_Grow_Both_0|FY2027</v>
      </c>
    </row>
    <row r="4" spans="1:24" x14ac:dyDescent="0.35">
      <c r="A4" t="str">
        <f>Scenarios!A2</f>
        <v>D_Grow_Both_0</v>
      </c>
      <c r="B4" t="s">
        <v>49</v>
      </c>
      <c r="C4">
        <f>IF(Scenarios!D2=1,0, K4)</f>
        <v>257</v>
      </c>
      <c r="D4">
        <f>IF(Scenarios!E2=1,0, L4)</f>
        <v>296</v>
      </c>
      <c r="E4">
        <f t="shared" si="0"/>
        <v>553</v>
      </c>
      <c r="F4" s="2">
        <f>YearMap!B4</f>
        <v>0</v>
      </c>
      <c r="G4" s="2" t="e">
        <f>YearMap!C4</f>
        <v>#VALUE!</v>
      </c>
      <c r="H4" s="2">
        <f>YearMap!D4</f>
        <v>5917091.843249999</v>
      </c>
      <c r="I4">
        <f>1-BaselineCalc!$B$5</f>
        <v>0.99299999999999999</v>
      </c>
      <c r="J4">
        <f>Scenarios!G2</f>
        <v>0</v>
      </c>
      <c r="K4">
        <f>BaselineCalc!$B$7 + ROUND(Scenarios!L2*Scenarios!F2,0)</f>
        <v>257</v>
      </c>
      <c r="L4">
        <f>BaselineCalc!$B$8 + Scenarios!L2 - ROUND(Scenarios!L2*Scenarios!F2,0)</f>
        <v>296</v>
      </c>
      <c r="M4">
        <f t="shared" si="1"/>
        <v>0</v>
      </c>
      <c r="N4">
        <f>BaselineCalc!$B$11 * M4</f>
        <v>0</v>
      </c>
      <c r="O4">
        <f>YearMap!E4</f>
        <v>600</v>
      </c>
      <c r="P4">
        <f>IF(Scenarios!N2="lease", YearMap!F4, YearMap!G4)</f>
        <v>0.3</v>
      </c>
      <c r="Q4" s="2" t="e">
        <f>IF(Scenarios!D2=1, P4*G4, G4)</f>
        <v>#VALUE!</v>
      </c>
      <c r="R4" s="2">
        <f>IF(Scenarios!E2=1, P4*H4, H4)</f>
        <v>5917091.843249999</v>
      </c>
      <c r="S4" s="2">
        <f>IF(B4="FY2026", (Scenarios!D2+Scenarios!E2)*BaselineCalc!$B$10, 0)</f>
        <v>0</v>
      </c>
      <c r="T4" s="2" t="e">
        <f t="shared" si="2"/>
        <v>#VALUE!</v>
      </c>
      <c r="U4" s="2">
        <f t="shared" si="3"/>
        <v>0</v>
      </c>
      <c r="V4" s="2" t="e">
        <f t="shared" si="4"/>
        <v>#VALUE!</v>
      </c>
      <c r="W4" s="2" t="e">
        <f t="shared" si="5"/>
        <v>#VALUE!</v>
      </c>
      <c r="X4" t="str">
        <f t="shared" si="6"/>
        <v>D_Grow_Both_0|FY2028</v>
      </c>
    </row>
    <row r="5" spans="1:24" x14ac:dyDescent="0.35">
      <c r="A5" t="str">
        <f>Scenarios!A2</f>
        <v>D_Grow_Both_0</v>
      </c>
      <c r="B5" t="s">
        <v>50</v>
      </c>
      <c r="C5">
        <f>IF(Scenarios!D2=1,0, K5)</f>
        <v>257</v>
      </c>
      <c r="D5">
        <f>IF(Scenarios!E2=1,0, L5)</f>
        <v>296</v>
      </c>
      <c r="E5">
        <f t="shared" si="0"/>
        <v>553</v>
      </c>
      <c r="F5" s="2">
        <f>YearMap!B5</f>
        <v>0</v>
      </c>
      <c r="G5" s="2" t="e">
        <f>YearMap!C5</f>
        <v>#VALUE!</v>
      </c>
      <c r="H5" s="2">
        <f>YearMap!D5</f>
        <v>6065019.1393312486</v>
      </c>
      <c r="I5">
        <f>1-BaselineCalc!$B$5</f>
        <v>0.99299999999999999</v>
      </c>
      <c r="J5">
        <f>Scenarios!G2</f>
        <v>0</v>
      </c>
      <c r="K5">
        <f>BaselineCalc!$B$7 + ROUND(Scenarios!M2*Scenarios!F2,0)</f>
        <v>257</v>
      </c>
      <c r="L5">
        <f>BaselineCalc!$B$8 + Scenarios!M2 - ROUND(Scenarios!M2*Scenarios!F2,0)</f>
        <v>296</v>
      </c>
      <c r="M5">
        <f t="shared" si="1"/>
        <v>0</v>
      </c>
      <c r="N5">
        <f>BaselineCalc!$B$11 * M5</f>
        <v>0</v>
      </c>
      <c r="O5">
        <f>YearMap!E5</f>
        <v>400</v>
      </c>
      <c r="P5">
        <f>IF(Scenarios!N2="lease", YearMap!F5, YearMap!G5)</f>
        <v>0.25</v>
      </c>
      <c r="Q5" s="2" t="e">
        <f>IF(Scenarios!D2=1, P5*G5, G5)</f>
        <v>#VALUE!</v>
      </c>
      <c r="R5" s="2">
        <f>IF(Scenarios!E2=1, P5*H5, H5)</f>
        <v>6065019.1393312486</v>
      </c>
      <c r="S5" s="2">
        <f>IF(B5="FY2026", (Scenarios!D2+Scenarios!E2)*BaselineCalc!$B$10, 0)</f>
        <v>0</v>
      </c>
      <c r="T5" s="2" t="e">
        <f t="shared" si="2"/>
        <v>#VALUE!</v>
      </c>
      <c r="U5" s="2">
        <f t="shared" si="3"/>
        <v>0</v>
      </c>
      <c r="V5" s="2" t="e">
        <f t="shared" si="4"/>
        <v>#VALUE!</v>
      </c>
      <c r="W5" s="2" t="e">
        <f t="shared" si="5"/>
        <v>#VALUE!</v>
      </c>
      <c r="X5" t="str">
        <f t="shared" si="6"/>
        <v>D_Grow_Both_0|FY2029</v>
      </c>
    </row>
    <row r="6" spans="1:24" x14ac:dyDescent="0.35">
      <c r="A6" t="str">
        <f>Scenarios!A2</f>
        <v>D_Grow_Both_0</v>
      </c>
      <c r="B6" t="s">
        <v>51</v>
      </c>
      <c r="C6">
        <f>IF(Scenarios!D2=1,0, K6)</f>
        <v>257</v>
      </c>
      <c r="D6">
        <f>IF(Scenarios!E2=1,0, L6)</f>
        <v>296</v>
      </c>
      <c r="E6">
        <f t="shared" si="0"/>
        <v>553</v>
      </c>
      <c r="F6" s="2">
        <f>YearMap!B6</f>
        <v>0</v>
      </c>
      <c r="G6" s="2" t="e">
        <f>YearMap!C6</f>
        <v>#VALUE!</v>
      </c>
      <c r="H6" s="2">
        <f>YearMap!D6</f>
        <v>6216644.6178145297</v>
      </c>
      <c r="I6">
        <f>1-BaselineCalc!$B$5</f>
        <v>0.99299999999999999</v>
      </c>
      <c r="J6">
        <f>Scenarios!G2</f>
        <v>0</v>
      </c>
      <c r="K6">
        <f>BaselineCalc!$B$7 + ROUND(Scenarios!N2*Scenarios!F2,0)</f>
        <v>257</v>
      </c>
      <c r="L6">
        <f>BaselineCalc!$B$8 + Scenarios!N2 - ROUND(Scenarios!N2*Scenarios!F2,0)</f>
        <v>296</v>
      </c>
      <c r="M6">
        <f t="shared" si="1"/>
        <v>0</v>
      </c>
      <c r="N6">
        <f>BaselineCalc!$B$11 * M6</f>
        <v>0</v>
      </c>
      <c r="O6">
        <f>YearMap!E6</f>
        <v>300</v>
      </c>
      <c r="P6">
        <f>IF(Scenarios!N2="lease", YearMap!F6, YearMap!G6)</f>
        <v>0.2</v>
      </c>
      <c r="Q6" s="2" t="e">
        <f>IF(Scenarios!D2=1, P6*G6, G6)</f>
        <v>#VALUE!</v>
      </c>
      <c r="R6" s="2">
        <f>IF(Scenarios!E2=1, P6*H6, H6)</f>
        <v>6216644.6178145297</v>
      </c>
      <c r="S6" s="2">
        <f>IF(B6="FY2026", (Scenarios!D2+Scenarios!E2)*BaselineCalc!$B$10, 0)</f>
        <v>0</v>
      </c>
      <c r="T6" s="2" t="e">
        <f t="shared" si="2"/>
        <v>#VALUE!</v>
      </c>
      <c r="U6" s="2">
        <f t="shared" si="3"/>
        <v>0</v>
      </c>
      <c r="V6" s="2" t="e">
        <f t="shared" si="4"/>
        <v>#VALUE!</v>
      </c>
      <c r="W6" s="2" t="e">
        <f t="shared" si="5"/>
        <v>#VALUE!</v>
      </c>
      <c r="X6" t="str">
        <f t="shared" si="6"/>
        <v>D_Grow_Both_0|FY2030</v>
      </c>
    </row>
    <row r="7" spans="1:24" x14ac:dyDescent="0.35">
      <c r="A7" t="str">
        <f>Scenarios!A3</f>
        <v>E_StatusQuo_Targets_0</v>
      </c>
      <c r="B7" t="s">
        <v>47</v>
      </c>
      <c r="C7">
        <f>IF(Scenarios!D3=1,0, K7)</f>
        <v>257</v>
      </c>
      <c r="D7">
        <f>IF(Scenarios!E3=1,0, L7)</f>
        <v>296</v>
      </c>
      <c r="E7">
        <f t="shared" si="0"/>
        <v>553</v>
      </c>
      <c r="F7" s="2">
        <f>YearMap!B2</f>
        <v>0</v>
      </c>
      <c r="G7" s="2" t="e">
        <f>YearMap!C2</f>
        <v>#VALUE!</v>
      </c>
      <c r="H7" s="2">
        <f>YearMap!D2</f>
        <v>5631973.1999999993</v>
      </c>
      <c r="I7">
        <f>1-BaselineCalc!$B$5</f>
        <v>0.99299999999999999</v>
      </c>
      <c r="J7">
        <f>Scenarios!G3</f>
        <v>0</v>
      </c>
      <c r="K7">
        <f>BaselineCalc!$B$7 + ROUND(Scenarios!J3*Scenarios!F3,0)</f>
        <v>257</v>
      </c>
      <c r="L7">
        <f>BaselineCalc!$B$8 + Scenarios!J3 - ROUND(Scenarios!J3*Scenarios!F3,0)</f>
        <v>296</v>
      </c>
      <c r="M7">
        <f t="shared" si="1"/>
        <v>0</v>
      </c>
      <c r="N7">
        <f>BaselineCalc!$B$11 * M7</f>
        <v>0</v>
      </c>
      <c r="O7">
        <f>YearMap!E2</f>
        <v>1000</v>
      </c>
      <c r="P7">
        <f>IF(Scenarios!N3="lease", YearMap!F2, YearMap!G2)</f>
        <v>0.4</v>
      </c>
      <c r="Q7" s="2" t="e">
        <f>IF(Scenarios!D3=1, P7*G7, G7)</f>
        <v>#VALUE!</v>
      </c>
      <c r="R7" s="2">
        <f>IF(Scenarios!E3=1, P7*H7, H7)</f>
        <v>5631973.1999999993</v>
      </c>
      <c r="S7" s="2">
        <f>IF(B7="FY2026", (Scenarios!D3+Scenarios!E3)*BaselineCalc!$B$10, 0)</f>
        <v>0</v>
      </c>
      <c r="T7" s="2" t="e">
        <f t="shared" si="2"/>
        <v>#VALUE!</v>
      </c>
      <c r="U7" s="2">
        <f t="shared" si="3"/>
        <v>0</v>
      </c>
      <c r="V7" s="2" t="e">
        <f t="shared" si="4"/>
        <v>#VALUE!</v>
      </c>
      <c r="W7" s="2" t="e">
        <f t="shared" si="5"/>
        <v>#VALUE!</v>
      </c>
      <c r="X7" t="str">
        <f t="shared" si="6"/>
        <v>E_StatusQuo_Targets_0|FY2026</v>
      </c>
    </row>
    <row r="8" spans="1:24" x14ac:dyDescent="0.35">
      <c r="A8" t="str">
        <f>Scenarios!A3</f>
        <v>E_StatusQuo_Targets_0</v>
      </c>
      <c r="B8" t="s">
        <v>48</v>
      </c>
      <c r="C8">
        <f>IF(Scenarios!D3=1,0, K8)</f>
        <v>257</v>
      </c>
      <c r="D8">
        <f>IF(Scenarios!E3=1,0, L8)</f>
        <v>296</v>
      </c>
      <c r="E8">
        <f t="shared" si="0"/>
        <v>553</v>
      </c>
      <c r="F8" s="2">
        <f>YearMap!B3</f>
        <v>0</v>
      </c>
      <c r="G8" s="2" t="e">
        <f>YearMap!C3</f>
        <v>#VALUE!</v>
      </c>
      <c r="H8" s="2">
        <f>YearMap!D3</f>
        <v>5772772.5299999993</v>
      </c>
      <c r="I8">
        <f>1-BaselineCalc!$B$5</f>
        <v>0.99299999999999999</v>
      </c>
      <c r="J8">
        <f>Scenarios!G3</f>
        <v>0</v>
      </c>
      <c r="K8">
        <f>BaselineCalc!$B$7 + ROUND(Scenarios!K3*Scenarios!F3,0)</f>
        <v>257</v>
      </c>
      <c r="L8">
        <f>BaselineCalc!$B$8 + Scenarios!K3 - ROUND(Scenarios!K3*Scenarios!F3,0)</f>
        <v>296</v>
      </c>
      <c r="M8">
        <f t="shared" si="1"/>
        <v>0</v>
      </c>
      <c r="N8">
        <f>BaselineCalc!$B$11 * M8</f>
        <v>0</v>
      </c>
      <c r="O8">
        <f>YearMap!E3</f>
        <v>800</v>
      </c>
      <c r="P8">
        <f>IF(Scenarios!N3="lease", YearMap!F3, YearMap!G3)</f>
        <v>0.35</v>
      </c>
      <c r="Q8" s="2" t="e">
        <f>IF(Scenarios!D3=1, P8*G8, G8)</f>
        <v>#VALUE!</v>
      </c>
      <c r="R8" s="2">
        <f>IF(Scenarios!E3=1, P8*H8, H8)</f>
        <v>5772772.5299999993</v>
      </c>
      <c r="S8" s="2">
        <f>IF(B8="FY2026", (Scenarios!D3+Scenarios!E3)*BaselineCalc!$B$10, 0)</f>
        <v>0</v>
      </c>
      <c r="T8" s="2" t="e">
        <f t="shared" si="2"/>
        <v>#VALUE!</v>
      </c>
      <c r="U8" s="2">
        <f t="shared" si="3"/>
        <v>0</v>
      </c>
      <c r="V8" s="2" t="e">
        <f t="shared" si="4"/>
        <v>#VALUE!</v>
      </c>
      <c r="W8" s="2" t="e">
        <f t="shared" si="5"/>
        <v>#VALUE!</v>
      </c>
      <c r="X8" t="str">
        <f t="shared" si="6"/>
        <v>E_StatusQuo_Targets_0|FY2027</v>
      </c>
    </row>
    <row r="9" spans="1:24" x14ac:dyDescent="0.35">
      <c r="A9" t="str">
        <f>Scenarios!A3</f>
        <v>E_StatusQuo_Targets_0</v>
      </c>
      <c r="B9" t="s">
        <v>49</v>
      </c>
      <c r="C9">
        <f>IF(Scenarios!D3=1,0, K9)</f>
        <v>257</v>
      </c>
      <c r="D9">
        <f>IF(Scenarios!E3=1,0, L9)</f>
        <v>296</v>
      </c>
      <c r="E9">
        <f t="shared" si="0"/>
        <v>553</v>
      </c>
      <c r="F9" s="2">
        <f>YearMap!B4</f>
        <v>0</v>
      </c>
      <c r="G9" s="2" t="e">
        <f>YearMap!C4</f>
        <v>#VALUE!</v>
      </c>
      <c r="H9" s="2">
        <f>YearMap!D4</f>
        <v>5917091.843249999</v>
      </c>
      <c r="I9">
        <f>1-BaselineCalc!$B$5</f>
        <v>0.99299999999999999</v>
      </c>
      <c r="J9">
        <f>Scenarios!G3</f>
        <v>0</v>
      </c>
      <c r="K9">
        <f>BaselineCalc!$B$7 + ROUND(Scenarios!L3*Scenarios!F3,0)</f>
        <v>257</v>
      </c>
      <c r="L9">
        <f>BaselineCalc!$B$8 + Scenarios!L3 - ROUND(Scenarios!L3*Scenarios!F3,0)</f>
        <v>296</v>
      </c>
      <c r="M9">
        <f t="shared" si="1"/>
        <v>0</v>
      </c>
      <c r="N9">
        <f>BaselineCalc!$B$11 * M9</f>
        <v>0</v>
      </c>
      <c r="O9">
        <f>YearMap!E4</f>
        <v>600</v>
      </c>
      <c r="P9">
        <f>IF(Scenarios!N3="lease", YearMap!F4, YearMap!G4)</f>
        <v>0.3</v>
      </c>
      <c r="Q9" s="2" t="e">
        <f>IF(Scenarios!D3=1, P9*G9, G9)</f>
        <v>#VALUE!</v>
      </c>
      <c r="R9" s="2">
        <f>IF(Scenarios!E3=1, P9*H9, H9)</f>
        <v>5917091.843249999</v>
      </c>
      <c r="S9" s="2">
        <f>IF(B9="FY2026", (Scenarios!D3+Scenarios!E3)*BaselineCalc!$B$10, 0)</f>
        <v>0</v>
      </c>
      <c r="T9" s="2" t="e">
        <f t="shared" si="2"/>
        <v>#VALUE!</v>
      </c>
      <c r="U9" s="2">
        <f t="shared" si="3"/>
        <v>0</v>
      </c>
      <c r="V9" s="2" t="e">
        <f t="shared" si="4"/>
        <v>#VALUE!</v>
      </c>
      <c r="W9" s="2" t="e">
        <f t="shared" si="5"/>
        <v>#VALUE!</v>
      </c>
      <c r="X9" t="str">
        <f t="shared" si="6"/>
        <v>E_StatusQuo_Targets_0|FY2028</v>
      </c>
    </row>
    <row r="10" spans="1:24" x14ac:dyDescent="0.35">
      <c r="A10" t="str">
        <f>Scenarios!A3</f>
        <v>E_StatusQuo_Targets_0</v>
      </c>
      <c r="B10" t="s">
        <v>50</v>
      </c>
      <c r="C10">
        <f>IF(Scenarios!D3=1,0, K10)</f>
        <v>257</v>
      </c>
      <c r="D10">
        <f>IF(Scenarios!E3=1,0, L10)</f>
        <v>296</v>
      </c>
      <c r="E10">
        <f t="shared" si="0"/>
        <v>553</v>
      </c>
      <c r="F10" s="2">
        <f>YearMap!B5</f>
        <v>0</v>
      </c>
      <c r="G10" s="2" t="e">
        <f>YearMap!C5</f>
        <v>#VALUE!</v>
      </c>
      <c r="H10" s="2">
        <f>YearMap!D5</f>
        <v>6065019.1393312486</v>
      </c>
      <c r="I10">
        <f>1-BaselineCalc!$B$5</f>
        <v>0.99299999999999999</v>
      </c>
      <c r="J10">
        <f>Scenarios!G3</f>
        <v>0</v>
      </c>
      <c r="K10">
        <f>BaselineCalc!$B$7 + ROUND(Scenarios!M3*Scenarios!F3,0)</f>
        <v>257</v>
      </c>
      <c r="L10">
        <f>BaselineCalc!$B$8 + Scenarios!M3 - ROUND(Scenarios!M3*Scenarios!F3,0)</f>
        <v>296</v>
      </c>
      <c r="M10">
        <f t="shared" si="1"/>
        <v>0</v>
      </c>
      <c r="N10">
        <f>BaselineCalc!$B$11 * M10</f>
        <v>0</v>
      </c>
      <c r="O10">
        <f>YearMap!E5</f>
        <v>400</v>
      </c>
      <c r="P10">
        <f>IF(Scenarios!N3="lease", YearMap!F5, YearMap!G5)</f>
        <v>0.25</v>
      </c>
      <c r="Q10" s="2" t="e">
        <f>IF(Scenarios!D3=1, P10*G10, G10)</f>
        <v>#VALUE!</v>
      </c>
      <c r="R10" s="2">
        <f>IF(Scenarios!E3=1, P10*H10, H10)</f>
        <v>6065019.1393312486</v>
      </c>
      <c r="S10" s="2">
        <f>IF(B10="FY2026", (Scenarios!D3+Scenarios!E3)*BaselineCalc!$B$10, 0)</f>
        <v>0</v>
      </c>
      <c r="T10" s="2" t="e">
        <f t="shared" si="2"/>
        <v>#VALUE!</v>
      </c>
      <c r="U10" s="2">
        <f t="shared" si="3"/>
        <v>0</v>
      </c>
      <c r="V10" s="2" t="e">
        <f t="shared" si="4"/>
        <v>#VALUE!</v>
      </c>
      <c r="W10" s="2" t="e">
        <f t="shared" si="5"/>
        <v>#VALUE!</v>
      </c>
      <c r="X10" t="str">
        <f t="shared" si="6"/>
        <v>E_StatusQuo_Targets_0|FY2029</v>
      </c>
    </row>
    <row r="11" spans="1:24" x14ac:dyDescent="0.35">
      <c r="A11" t="str">
        <f>Scenarios!A3</f>
        <v>E_StatusQuo_Targets_0</v>
      </c>
      <c r="B11" t="s">
        <v>51</v>
      </c>
      <c r="C11">
        <f>IF(Scenarios!D3=1,0, K11)</f>
        <v>257</v>
      </c>
      <c r="D11">
        <f>IF(Scenarios!E3=1,0, L11)</f>
        <v>296</v>
      </c>
      <c r="E11">
        <f t="shared" si="0"/>
        <v>553</v>
      </c>
      <c r="F11" s="2">
        <f>YearMap!B6</f>
        <v>0</v>
      </c>
      <c r="G11" s="2" t="e">
        <f>YearMap!C6</f>
        <v>#VALUE!</v>
      </c>
      <c r="H11" s="2">
        <f>YearMap!D6</f>
        <v>6216644.6178145297</v>
      </c>
      <c r="I11">
        <f>1-BaselineCalc!$B$5</f>
        <v>0.99299999999999999</v>
      </c>
      <c r="J11">
        <f>Scenarios!G3</f>
        <v>0</v>
      </c>
      <c r="K11">
        <f>BaselineCalc!$B$7 + ROUND(Scenarios!N3*Scenarios!F3,0)</f>
        <v>257</v>
      </c>
      <c r="L11">
        <f>BaselineCalc!$B$8 + Scenarios!N3 - ROUND(Scenarios!N3*Scenarios!F3,0)</f>
        <v>296</v>
      </c>
      <c r="M11">
        <f t="shared" si="1"/>
        <v>0</v>
      </c>
      <c r="N11">
        <f>BaselineCalc!$B$11 * M11</f>
        <v>0</v>
      </c>
      <c r="O11">
        <f>YearMap!E6</f>
        <v>300</v>
      </c>
      <c r="P11">
        <f>IF(Scenarios!N3="lease", YearMap!F6, YearMap!G6)</f>
        <v>0.2</v>
      </c>
      <c r="Q11" s="2" t="e">
        <f>IF(Scenarios!D3=1, P11*G11, G11)</f>
        <v>#VALUE!</v>
      </c>
      <c r="R11" s="2">
        <f>IF(Scenarios!E3=1, P11*H11, H11)</f>
        <v>6216644.6178145297</v>
      </c>
      <c r="S11" s="2">
        <f>IF(B11="FY2026", (Scenarios!D3+Scenarios!E3)*BaselineCalc!$B$10, 0)</f>
        <v>0</v>
      </c>
      <c r="T11" s="2" t="e">
        <f t="shared" si="2"/>
        <v>#VALUE!</v>
      </c>
      <c r="U11" s="2">
        <f t="shared" si="3"/>
        <v>0</v>
      </c>
      <c r="V11" s="2" t="e">
        <f t="shared" si="4"/>
        <v>#VALUE!</v>
      </c>
      <c r="W11" s="2" t="e">
        <f t="shared" si="5"/>
        <v>#VALUE!</v>
      </c>
      <c r="X11" t="str">
        <f t="shared" si="6"/>
        <v>E_StatusQuo_Targets_0|FY2030</v>
      </c>
    </row>
    <row r="12" spans="1:24" x14ac:dyDescent="0.35">
      <c r="A12" t="str">
        <f>Scenarios!A4</f>
        <v>F_CoLocation_Echo_0</v>
      </c>
      <c r="B12" t="s">
        <v>47</v>
      </c>
      <c r="C12">
        <f>IF(Scenarios!D4=1,0, K12)</f>
        <v>257</v>
      </c>
      <c r="D12">
        <f>IF(Scenarios!E4=1,0, L12)</f>
        <v>296</v>
      </c>
      <c r="E12">
        <f t="shared" si="0"/>
        <v>553</v>
      </c>
      <c r="F12" s="2">
        <f>YearMap!B2</f>
        <v>0</v>
      </c>
      <c r="G12" s="2" t="e">
        <f>YearMap!C2</f>
        <v>#VALUE!</v>
      </c>
      <c r="H12" s="2">
        <f>YearMap!D2</f>
        <v>5631973.1999999993</v>
      </c>
      <c r="I12">
        <f>1-BaselineCalc!$B$5</f>
        <v>0.99299999999999999</v>
      </c>
      <c r="J12">
        <f>Scenarios!G4</f>
        <v>1.4999999999999999E-2</v>
      </c>
      <c r="K12">
        <f>BaselineCalc!$B$7 + ROUND(Scenarios!J4*Scenarios!F4,0)</f>
        <v>257</v>
      </c>
      <c r="L12">
        <f>BaselineCalc!$B$8 + Scenarios!J4 - ROUND(Scenarios!J4*Scenarios!F4,0)</f>
        <v>296</v>
      </c>
      <c r="M12">
        <f t="shared" si="1"/>
        <v>0</v>
      </c>
      <c r="N12">
        <f>BaselineCalc!$B$11 * M12</f>
        <v>0</v>
      </c>
      <c r="O12">
        <f>YearMap!E2</f>
        <v>1000</v>
      </c>
      <c r="P12">
        <f>IF(Scenarios!N4="lease", YearMap!F2, YearMap!G2)</f>
        <v>0.4</v>
      </c>
      <c r="Q12" s="2" t="e">
        <f>IF(Scenarios!D4=1, P12*G12, G12)</f>
        <v>#VALUE!</v>
      </c>
      <c r="R12" s="2">
        <f>IF(Scenarios!E4=1, P12*H12, H12)</f>
        <v>5631973.1999999993</v>
      </c>
      <c r="S12" s="2">
        <f>IF(B12="FY2026", (Scenarios!D4+Scenarios!E4)*BaselineCalc!$B$10, 0)</f>
        <v>0</v>
      </c>
      <c r="T12" s="2" t="e">
        <f t="shared" si="2"/>
        <v>#VALUE!</v>
      </c>
      <c r="U12" s="2">
        <f t="shared" si="3"/>
        <v>0</v>
      </c>
      <c r="V12" s="2" t="e">
        <f t="shared" si="4"/>
        <v>#VALUE!</v>
      </c>
      <c r="W12" s="2" t="e">
        <f t="shared" si="5"/>
        <v>#VALUE!</v>
      </c>
      <c r="X12" t="str">
        <f t="shared" si="6"/>
        <v>F_CoLocation_Echo_0|FY2026</v>
      </c>
    </row>
    <row r="13" spans="1:24" x14ac:dyDescent="0.35">
      <c r="A13" t="str">
        <f>Scenarios!A4</f>
        <v>F_CoLocation_Echo_0</v>
      </c>
      <c r="B13" t="s">
        <v>48</v>
      </c>
      <c r="C13">
        <f>IF(Scenarios!D4=1,0, K13)</f>
        <v>257</v>
      </c>
      <c r="D13">
        <f>IF(Scenarios!E4=1,0, L13)</f>
        <v>296</v>
      </c>
      <c r="E13">
        <f t="shared" si="0"/>
        <v>553</v>
      </c>
      <c r="F13" s="2">
        <f>YearMap!B3</f>
        <v>0</v>
      </c>
      <c r="G13" s="2" t="e">
        <f>YearMap!C3</f>
        <v>#VALUE!</v>
      </c>
      <c r="H13" s="2">
        <f>YearMap!D3</f>
        <v>5772772.5299999993</v>
      </c>
      <c r="I13">
        <f>1-BaselineCalc!$B$5</f>
        <v>0.99299999999999999</v>
      </c>
      <c r="J13">
        <f>Scenarios!G4</f>
        <v>1.4999999999999999E-2</v>
      </c>
      <c r="K13">
        <f>BaselineCalc!$B$7 + ROUND(Scenarios!K4*Scenarios!F4,0)</f>
        <v>257</v>
      </c>
      <c r="L13">
        <f>BaselineCalc!$B$8 + Scenarios!K4 - ROUND(Scenarios!K4*Scenarios!F4,0)</f>
        <v>296</v>
      </c>
      <c r="M13">
        <f t="shared" si="1"/>
        <v>0</v>
      </c>
      <c r="N13">
        <f>BaselineCalc!$B$11 * M13</f>
        <v>0</v>
      </c>
      <c r="O13">
        <f>YearMap!E3</f>
        <v>800</v>
      </c>
      <c r="P13">
        <f>IF(Scenarios!N4="lease", YearMap!F3, YearMap!G3)</f>
        <v>0.35</v>
      </c>
      <c r="Q13" s="2" t="e">
        <f>IF(Scenarios!D4=1, P13*G13, G13)</f>
        <v>#VALUE!</v>
      </c>
      <c r="R13" s="2">
        <f>IF(Scenarios!E4=1, P13*H13, H13)</f>
        <v>5772772.5299999993</v>
      </c>
      <c r="S13" s="2">
        <f>IF(B13="FY2026", (Scenarios!D4+Scenarios!E4)*BaselineCalc!$B$10, 0)</f>
        <v>0</v>
      </c>
      <c r="T13" s="2" t="e">
        <f t="shared" si="2"/>
        <v>#VALUE!</v>
      </c>
      <c r="U13" s="2">
        <f t="shared" si="3"/>
        <v>0</v>
      </c>
      <c r="V13" s="2" t="e">
        <f t="shared" si="4"/>
        <v>#VALUE!</v>
      </c>
      <c r="W13" s="2" t="e">
        <f t="shared" si="5"/>
        <v>#VALUE!</v>
      </c>
      <c r="X13" t="str">
        <f t="shared" si="6"/>
        <v>F_CoLocation_Echo_0|FY2027</v>
      </c>
    </row>
    <row r="14" spans="1:24" x14ac:dyDescent="0.35">
      <c r="A14" t="str">
        <f>Scenarios!A4</f>
        <v>F_CoLocation_Echo_0</v>
      </c>
      <c r="B14" t="s">
        <v>49</v>
      </c>
      <c r="C14">
        <f>IF(Scenarios!D4=1,0, K14)</f>
        <v>257</v>
      </c>
      <c r="D14">
        <f>IF(Scenarios!E4=1,0, L14)</f>
        <v>296</v>
      </c>
      <c r="E14">
        <f t="shared" si="0"/>
        <v>553</v>
      </c>
      <c r="F14" s="2">
        <f>YearMap!B4</f>
        <v>0</v>
      </c>
      <c r="G14" s="2" t="e">
        <f>YearMap!C4</f>
        <v>#VALUE!</v>
      </c>
      <c r="H14" s="2">
        <f>YearMap!D4</f>
        <v>5917091.843249999</v>
      </c>
      <c r="I14">
        <f>1-BaselineCalc!$B$5</f>
        <v>0.99299999999999999</v>
      </c>
      <c r="J14">
        <f>Scenarios!G4</f>
        <v>1.4999999999999999E-2</v>
      </c>
      <c r="K14">
        <f>BaselineCalc!$B$7 + ROUND(Scenarios!L4*Scenarios!F4,0)</f>
        <v>257</v>
      </c>
      <c r="L14">
        <f>BaselineCalc!$B$8 + Scenarios!L4 - ROUND(Scenarios!L4*Scenarios!F4,0)</f>
        <v>296</v>
      </c>
      <c r="M14">
        <f t="shared" si="1"/>
        <v>0</v>
      </c>
      <c r="N14">
        <f>BaselineCalc!$B$11 * M14</f>
        <v>0</v>
      </c>
      <c r="O14">
        <f>YearMap!E4</f>
        <v>600</v>
      </c>
      <c r="P14">
        <f>IF(Scenarios!N4="lease", YearMap!F4, YearMap!G4)</f>
        <v>0.3</v>
      </c>
      <c r="Q14" s="2" t="e">
        <f>IF(Scenarios!D4=1, P14*G14, G14)</f>
        <v>#VALUE!</v>
      </c>
      <c r="R14" s="2">
        <f>IF(Scenarios!E4=1, P14*H14, H14)</f>
        <v>5917091.843249999</v>
      </c>
      <c r="S14" s="2">
        <f>IF(B14="FY2026", (Scenarios!D4+Scenarios!E4)*BaselineCalc!$B$10, 0)</f>
        <v>0</v>
      </c>
      <c r="T14" s="2" t="e">
        <f t="shared" si="2"/>
        <v>#VALUE!</v>
      </c>
      <c r="U14" s="2">
        <f t="shared" si="3"/>
        <v>0</v>
      </c>
      <c r="V14" s="2" t="e">
        <f t="shared" si="4"/>
        <v>#VALUE!</v>
      </c>
      <c r="W14" s="2" t="e">
        <f t="shared" si="5"/>
        <v>#VALUE!</v>
      </c>
      <c r="X14" t="str">
        <f t="shared" si="6"/>
        <v>F_CoLocation_Echo_0|FY2028</v>
      </c>
    </row>
    <row r="15" spans="1:24" x14ac:dyDescent="0.35">
      <c r="A15" t="str">
        <f>Scenarios!A4</f>
        <v>F_CoLocation_Echo_0</v>
      </c>
      <c r="B15" t="s">
        <v>50</v>
      </c>
      <c r="C15">
        <f>IF(Scenarios!D4=1,0, K15)</f>
        <v>257</v>
      </c>
      <c r="D15">
        <f>IF(Scenarios!E4=1,0, L15)</f>
        <v>296</v>
      </c>
      <c r="E15">
        <f t="shared" si="0"/>
        <v>553</v>
      </c>
      <c r="F15" s="2">
        <f>YearMap!B5</f>
        <v>0</v>
      </c>
      <c r="G15" s="2" t="e">
        <f>YearMap!C5</f>
        <v>#VALUE!</v>
      </c>
      <c r="H15" s="2">
        <f>YearMap!D5</f>
        <v>6065019.1393312486</v>
      </c>
      <c r="I15">
        <f>1-BaselineCalc!$B$5</f>
        <v>0.99299999999999999</v>
      </c>
      <c r="J15">
        <f>Scenarios!G4</f>
        <v>1.4999999999999999E-2</v>
      </c>
      <c r="K15">
        <f>BaselineCalc!$B$7 + ROUND(Scenarios!M4*Scenarios!F4,0)</f>
        <v>257</v>
      </c>
      <c r="L15">
        <f>BaselineCalc!$B$8 + Scenarios!M4 - ROUND(Scenarios!M4*Scenarios!F4,0)</f>
        <v>296</v>
      </c>
      <c r="M15">
        <f t="shared" si="1"/>
        <v>0</v>
      </c>
      <c r="N15">
        <f>BaselineCalc!$B$11 * M15</f>
        <v>0</v>
      </c>
      <c r="O15">
        <f>YearMap!E5</f>
        <v>400</v>
      </c>
      <c r="P15">
        <f>IF(Scenarios!N4="lease", YearMap!F5, YearMap!G5)</f>
        <v>0.25</v>
      </c>
      <c r="Q15" s="2" t="e">
        <f>IF(Scenarios!D4=1, P15*G15, G15)</f>
        <v>#VALUE!</v>
      </c>
      <c r="R15" s="2">
        <f>IF(Scenarios!E4=1, P15*H15, H15)</f>
        <v>6065019.1393312486</v>
      </c>
      <c r="S15" s="2">
        <f>IF(B15="FY2026", (Scenarios!D4+Scenarios!E4)*BaselineCalc!$B$10, 0)</f>
        <v>0</v>
      </c>
      <c r="T15" s="2" t="e">
        <f t="shared" si="2"/>
        <v>#VALUE!</v>
      </c>
      <c r="U15" s="2">
        <f t="shared" si="3"/>
        <v>0</v>
      </c>
      <c r="V15" s="2" t="e">
        <f t="shared" si="4"/>
        <v>#VALUE!</v>
      </c>
      <c r="W15" s="2" t="e">
        <f t="shared" si="5"/>
        <v>#VALUE!</v>
      </c>
      <c r="X15" t="str">
        <f t="shared" si="6"/>
        <v>F_CoLocation_Echo_0|FY2029</v>
      </c>
    </row>
    <row r="16" spans="1:24" x14ac:dyDescent="0.35">
      <c r="A16" t="str">
        <f>Scenarios!A4</f>
        <v>F_CoLocation_Echo_0</v>
      </c>
      <c r="B16" t="s">
        <v>51</v>
      </c>
      <c r="C16">
        <f>IF(Scenarios!D4=1,0, K16)</f>
        <v>257</v>
      </c>
      <c r="D16">
        <f>IF(Scenarios!E4=1,0, L16)</f>
        <v>296</v>
      </c>
      <c r="E16">
        <f t="shared" si="0"/>
        <v>553</v>
      </c>
      <c r="F16" s="2">
        <f>YearMap!B6</f>
        <v>0</v>
      </c>
      <c r="G16" s="2" t="e">
        <f>YearMap!C6</f>
        <v>#VALUE!</v>
      </c>
      <c r="H16" s="2">
        <f>YearMap!D6</f>
        <v>6216644.6178145297</v>
      </c>
      <c r="I16">
        <f>1-BaselineCalc!$B$5</f>
        <v>0.99299999999999999</v>
      </c>
      <c r="J16">
        <f>Scenarios!G4</f>
        <v>1.4999999999999999E-2</v>
      </c>
      <c r="K16">
        <f>BaselineCalc!$B$7 + ROUND(Scenarios!N4*Scenarios!F4,0)</f>
        <v>257</v>
      </c>
      <c r="L16">
        <f>BaselineCalc!$B$8 + Scenarios!N4 - ROUND(Scenarios!N4*Scenarios!F4,0)</f>
        <v>296</v>
      </c>
      <c r="M16">
        <f t="shared" si="1"/>
        <v>0</v>
      </c>
      <c r="N16">
        <f>BaselineCalc!$B$11 * M16</f>
        <v>0</v>
      </c>
      <c r="O16">
        <f>YearMap!E6</f>
        <v>300</v>
      </c>
      <c r="P16">
        <f>IF(Scenarios!N4="lease", YearMap!F6, YearMap!G6)</f>
        <v>0.2</v>
      </c>
      <c r="Q16" s="2" t="e">
        <f>IF(Scenarios!D4=1, P16*G16, G16)</f>
        <v>#VALUE!</v>
      </c>
      <c r="R16" s="2">
        <f>IF(Scenarios!E4=1, P16*H16, H16)</f>
        <v>6216644.6178145297</v>
      </c>
      <c r="S16" s="2">
        <f>IF(B16="FY2026", (Scenarios!D4+Scenarios!E4)*BaselineCalc!$B$10, 0)</f>
        <v>0</v>
      </c>
      <c r="T16" s="2" t="e">
        <f t="shared" si="2"/>
        <v>#VALUE!</v>
      </c>
      <c r="U16" s="2">
        <f t="shared" si="3"/>
        <v>0</v>
      </c>
      <c r="V16" s="2" t="e">
        <f t="shared" si="4"/>
        <v>#VALUE!</v>
      </c>
      <c r="W16" s="2" t="e">
        <f t="shared" si="5"/>
        <v>#VALUE!</v>
      </c>
      <c r="X16" t="str">
        <f t="shared" si="6"/>
        <v>F_CoLocation_Echo_0|FY2030</v>
      </c>
    </row>
    <row r="17" spans="1:24" x14ac:dyDescent="0.35">
      <c r="A17" t="str">
        <f>Scenarios!A5</f>
        <v>D_Grow_Both_100</v>
      </c>
      <c r="B17" t="s">
        <v>47</v>
      </c>
      <c r="C17">
        <f>IF(Scenarios!D5=1,0, K17)</f>
        <v>307</v>
      </c>
      <c r="D17">
        <f>IF(Scenarios!E5=1,0, L17)</f>
        <v>346</v>
      </c>
      <c r="E17">
        <f t="shared" si="0"/>
        <v>653</v>
      </c>
      <c r="F17" s="2">
        <f>YearMap!B2</f>
        <v>0</v>
      </c>
      <c r="G17" s="2" t="e">
        <f>YearMap!C2</f>
        <v>#VALUE!</v>
      </c>
      <c r="H17" s="2">
        <f>YearMap!D2</f>
        <v>5631973.1999999993</v>
      </c>
      <c r="I17">
        <f>1-BaselineCalc!$B$5</f>
        <v>0.99299999999999999</v>
      </c>
      <c r="J17">
        <f>Scenarios!G5</f>
        <v>0</v>
      </c>
      <c r="K17">
        <f>BaselineCalc!$B$7 + ROUND(Scenarios!J5*Scenarios!F5,0)</f>
        <v>307</v>
      </c>
      <c r="L17">
        <f>BaselineCalc!$B$8 + Scenarios!J5 - ROUND(Scenarios!J5*Scenarios!F5,0)</f>
        <v>346</v>
      </c>
      <c r="M17">
        <f t="shared" si="1"/>
        <v>0</v>
      </c>
      <c r="N17">
        <f>BaselineCalc!$B$11 * M17</f>
        <v>0</v>
      </c>
      <c r="O17">
        <f>YearMap!E2</f>
        <v>1000</v>
      </c>
      <c r="P17">
        <f>IF(Scenarios!N5="lease", YearMap!F2, YearMap!G2)</f>
        <v>0.4</v>
      </c>
      <c r="Q17" s="2" t="e">
        <f>IF(Scenarios!D5=1, P17*G17, G17)</f>
        <v>#VALUE!</v>
      </c>
      <c r="R17" s="2">
        <f>IF(Scenarios!E5=1, P17*H17, H17)</f>
        <v>5631973.1999999993</v>
      </c>
      <c r="S17" s="2">
        <f>IF(B17="FY2026", (Scenarios!D5+Scenarios!E5)*BaselineCalc!$B$10, 0)</f>
        <v>0</v>
      </c>
      <c r="T17" s="2" t="e">
        <f t="shared" si="2"/>
        <v>#VALUE!</v>
      </c>
      <c r="U17" s="2">
        <f t="shared" si="3"/>
        <v>0</v>
      </c>
      <c r="V17" s="2" t="e">
        <f t="shared" si="4"/>
        <v>#VALUE!</v>
      </c>
      <c r="W17" s="2" t="e">
        <f t="shared" si="5"/>
        <v>#VALUE!</v>
      </c>
      <c r="X17" t="str">
        <f t="shared" si="6"/>
        <v>D_Grow_Both_100|FY2026</v>
      </c>
    </row>
    <row r="18" spans="1:24" x14ac:dyDescent="0.35">
      <c r="A18" t="str">
        <f>Scenarios!A5</f>
        <v>D_Grow_Both_100</v>
      </c>
      <c r="B18" t="s">
        <v>48</v>
      </c>
      <c r="C18">
        <f>IF(Scenarios!D5=1,0, K18)</f>
        <v>307</v>
      </c>
      <c r="D18">
        <f>IF(Scenarios!E5=1,0, L18)</f>
        <v>346</v>
      </c>
      <c r="E18">
        <f t="shared" si="0"/>
        <v>653</v>
      </c>
      <c r="F18" s="2">
        <f>YearMap!B3</f>
        <v>0</v>
      </c>
      <c r="G18" s="2" t="e">
        <f>YearMap!C3</f>
        <v>#VALUE!</v>
      </c>
      <c r="H18" s="2">
        <f>YearMap!D3</f>
        <v>5772772.5299999993</v>
      </c>
      <c r="I18">
        <f>1-BaselineCalc!$B$5</f>
        <v>0.99299999999999999</v>
      </c>
      <c r="J18">
        <f>Scenarios!G5</f>
        <v>0</v>
      </c>
      <c r="K18">
        <f>BaselineCalc!$B$7 + ROUND(Scenarios!K5*Scenarios!F5,0)</f>
        <v>307</v>
      </c>
      <c r="L18">
        <f>BaselineCalc!$B$8 + Scenarios!K5 - ROUND(Scenarios!K5*Scenarios!F5,0)</f>
        <v>346</v>
      </c>
      <c r="M18">
        <f t="shared" si="1"/>
        <v>0</v>
      </c>
      <c r="N18">
        <f>BaselineCalc!$B$11 * M18</f>
        <v>0</v>
      </c>
      <c r="O18">
        <f>YearMap!E3</f>
        <v>800</v>
      </c>
      <c r="P18">
        <f>IF(Scenarios!N5="lease", YearMap!F3, YearMap!G3)</f>
        <v>0.35</v>
      </c>
      <c r="Q18" s="2" t="e">
        <f>IF(Scenarios!D5=1, P18*G18, G18)</f>
        <v>#VALUE!</v>
      </c>
      <c r="R18" s="2">
        <f>IF(Scenarios!E5=1, P18*H18, H18)</f>
        <v>5772772.5299999993</v>
      </c>
      <c r="S18" s="2">
        <f>IF(B18="FY2026", (Scenarios!D5+Scenarios!E5)*BaselineCalc!$B$10, 0)</f>
        <v>0</v>
      </c>
      <c r="T18" s="2" t="e">
        <f t="shared" si="2"/>
        <v>#VALUE!</v>
      </c>
      <c r="U18" s="2">
        <f t="shared" si="3"/>
        <v>0</v>
      </c>
      <c r="V18" s="2" t="e">
        <f t="shared" si="4"/>
        <v>#VALUE!</v>
      </c>
      <c r="W18" s="2" t="e">
        <f t="shared" si="5"/>
        <v>#VALUE!</v>
      </c>
      <c r="X18" t="str">
        <f t="shared" si="6"/>
        <v>D_Grow_Both_100|FY2027</v>
      </c>
    </row>
    <row r="19" spans="1:24" x14ac:dyDescent="0.35">
      <c r="A19" t="str">
        <f>Scenarios!A5</f>
        <v>D_Grow_Both_100</v>
      </c>
      <c r="B19" t="s">
        <v>49</v>
      </c>
      <c r="C19">
        <f>IF(Scenarios!D5=1,0, K19)</f>
        <v>307</v>
      </c>
      <c r="D19">
        <f>IF(Scenarios!E5=1,0, L19)</f>
        <v>346</v>
      </c>
      <c r="E19">
        <f t="shared" si="0"/>
        <v>653</v>
      </c>
      <c r="F19" s="2">
        <f>YearMap!B4</f>
        <v>0</v>
      </c>
      <c r="G19" s="2" t="e">
        <f>YearMap!C4</f>
        <v>#VALUE!</v>
      </c>
      <c r="H19" s="2">
        <f>YearMap!D4</f>
        <v>5917091.843249999</v>
      </c>
      <c r="I19">
        <f>1-BaselineCalc!$B$5</f>
        <v>0.99299999999999999</v>
      </c>
      <c r="J19">
        <f>Scenarios!G5</f>
        <v>0</v>
      </c>
      <c r="K19">
        <f>BaselineCalc!$B$7 + ROUND(Scenarios!L5*Scenarios!F5,0)</f>
        <v>307</v>
      </c>
      <c r="L19">
        <f>BaselineCalc!$B$8 + Scenarios!L5 - ROUND(Scenarios!L5*Scenarios!F5,0)</f>
        <v>346</v>
      </c>
      <c r="M19">
        <f t="shared" si="1"/>
        <v>0</v>
      </c>
      <c r="N19">
        <f>BaselineCalc!$B$11 * M19</f>
        <v>0</v>
      </c>
      <c r="O19">
        <f>YearMap!E4</f>
        <v>600</v>
      </c>
      <c r="P19">
        <f>IF(Scenarios!N5="lease", YearMap!F4, YearMap!G4)</f>
        <v>0.3</v>
      </c>
      <c r="Q19" s="2" t="e">
        <f>IF(Scenarios!D5=1, P19*G19, G19)</f>
        <v>#VALUE!</v>
      </c>
      <c r="R19" s="2">
        <f>IF(Scenarios!E5=1, P19*H19, H19)</f>
        <v>5917091.843249999</v>
      </c>
      <c r="S19" s="2">
        <f>IF(B19="FY2026", (Scenarios!D5+Scenarios!E5)*BaselineCalc!$B$10, 0)</f>
        <v>0</v>
      </c>
      <c r="T19" s="2" t="e">
        <f t="shared" si="2"/>
        <v>#VALUE!</v>
      </c>
      <c r="U19" s="2">
        <f t="shared" si="3"/>
        <v>0</v>
      </c>
      <c r="V19" s="2" t="e">
        <f t="shared" si="4"/>
        <v>#VALUE!</v>
      </c>
      <c r="W19" s="2" t="e">
        <f t="shared" si="5"/>
        <v>#VALUE!</v>
      </c>
      <c r="X19" t="str">
        <f t="shared" si="6"/>
        <v>D_Grow_Both_100|FY2028</v>
      </c>
    </row>
    <row r="20" spans="1:24" x14ac:dyDescent="0.35">
      <c r="A20" t="str">
        <f>Scenarios!A5</f>
        <v>D_Grow_Both_100</v>
      </c>
      <c r="B20" t="s">
        <v>50</v>
      </c>
      <c r="C20">
        <f>IF(Scenarios!D5=1,0, K20)</f>
        <v>307</v>
      </c>
      <c r="D20">
        <f>IF(Scenarios!E5=1,0, L20)</f>
        <v>346</v>
      </c>
      <c r="E20">
        <f t="shared" si="0"/>
        <v>653</v>
      </c>
      <c r="F20" s="2">
        <f>YearMap!B5</f>
        <v>0</v>
      </c>
      <c r="G20" s="2" t="e">
        <f>YearMap!C5</f>
        <v>#VALUE!</v>
      </c>
      <c r="H20" s="2">
        <f>YearMap!D5</f>
        <v>6065019.1393312486</v>
      </c>
      <c r="I20">
        <f>1-BaselineCalc!$B$5</f>
        <v>0.99299999999999999</v>
      </c>
      <c r="J20">
        <f>Scenarios!G5</f>
        <v>0</v>
      </c>
      <c r="K20">
        <f>BaselineCalc!$B$7 + ROUND(Scenarios!M5*Scenarios!F5,0)</f>
        <v>307</v>
      </c>
      <c r="L20">
        <f>BaselineCalc!$B$8 + Scenarios!M5 - ROUND(Scenarios!M5*Scenarios!F5,0)</f>
        <v>346</v>
      </c>
      <c r="M20">
        <f t="shared" si="1"/>
        <v>0</v>
      </c>
      <c r="N20">
        <f>BaselineCalc!$B$11 * M20</f>
        <v>0</v>
      </c>
      <c r="O20">
        <f>YearMap!E5</f>
        <v>400</v>
      </c>
      <c r="P20">
        <f>IF(Scenarios!N5="lease", YearMap!F5, YearMap!G5)</f>
        <v>0.25</v>
      </c>
      <c r="Q20" s="2" t="e">
        <f>IF(Scenarios!D5=1, P20*G20, G20)</f>
        <v>#VALUE!</v>
      </c>
      <c r="R20" s="2">
        <f>IF(Scenarios!E5=1, P20*H20, H20)</f>
        <v>6065019.1393312486</v>
      </c>
      <c r="S20" s="2">
        <f>IF(B20="FY2026", (Scenarios!D5+Scenarios!E5)*BaselineCalc!$B$10, 0)</f>
        <v>0</v>
      </c>
      <c r="T20" s="2" t="e">
        <f t="shared" si="2"/>
        <v>#VALUE!</v>
      </c>
      <c r="U20" s="2">
        <f t="shared" si="3"/>
        <v>0</v>
      </c>
      <c r="V20" s="2" t="e">
        <f t="shared" si="4"/>
        <v>#VALUE!</v>
      </c>
      <c r="W20" s="2" t="e">
        <f t="shared" si="5"/>
        <v>#VALUE!</v>
      </c>
      <c r="X20" t="str">
        <f t="shared" si="6"/>
        <v>D_Grow_Both_100|FY2029</v>
      </c>
    </row>
    <row r="21" spans="1:24" x14ac:dyDescent="0.35">
      <c r="A21" t="str">
        <f>Scenarios!A5</f>
        <v>D_Grow_Both_100</v>
      </c>
      <c r="B21" t="s">
        <v>51</v>
      </c>
      <c r="C21">
        <f>IF(Scenarios!D5=1,0, K21)</f>
        <v>257</v>
      </c>
      <c r="D21">
        <f>IF(Scenarios!E5=1,0, L21)</f>
        <v>296</v>
      </c>
      <c r="E21">
        <f t="shared" si="0"/>
        <v>553</v>
      </c>
      <c r="F21" s="2">
        <f>YearMap!B6</f>
        <v>0</v>
      </c>
      <c r="G21" s="2" t="e">
        <f>YearMap!C6</f>
        <v>#VALUE!</v>
      </c>
      <c r="H21" s="2">
        <f>YearMap!D6</f>
        <v>6216644.6178145297</v>
      </c>
      <c r="I21">
        <f>1-BaselineCalc!$B$5</f>
        <v>0.99299999999999999</v>
      </c>
      <c r="J21">
        <f>Scenarios!G5</f>
        <v>0</v>
      </c>
      <c r="K21">
        <f>BaselineCalc!$B$7 + ROUND(Scenarios!N5*Scenarios!F5,0)</f>
        <v>257</v>
      </c>
      <c r="L21">
        <f>BaselineCalc!$B$8 + Scenarios!N5 - ROUND(Scenarios!N5*Scenarios!F5,0)</f>
        <v>296</v>
      </c>
      <c r="M21">
        <f t="shared" si="1"/>
        <v>0</v>
      </c>
      <c r="N21">
        <f>BaselineCalc!$B$11 * M21</f>
        <v>0</v>
      </c>
      <c r="O21">
        <f>YearMap!E6</f>
        <v>300</v>
      </c>
      <c r="P21">
        <f>IF(Scenarios!N5="lease", YearMap!F6, YearMap!G6)</f>
        <v>0.2</v>
      </c>
      <c r="Q21" s="2" t="e">
        <f>IF(Scenarios!D5=1, P21*G21, G21)</f>
        <v>#VALUE!</v>
      </c>
      <c r="R21" s="2">
        <f>IF(Scenarios!E5=1, P21*H21, H21)</f>
        <v>6216644.6178145297</v>
      </c>
      <c r="S21" s="2">
        <f>IF(B21="FY2026", (Scenarios!D5+Scenarios!E5)*BaselineCalc!$B$10, 0)</f>
        <v>0</v>
      </c>
      <c r="T21" s="2" t="e">
        <f t="shared" si="2"/>
        <v>#VALUE!</v>
      </c>
      <c r="U21" s="2">
        <f t="shared" si="3"/>
        <v>0</v>
      </c>
      <c r="V21" s="2" t="e">
        <f t="shared" si="4"/>
        <v>#VALUE!</v>
      </c>
      <c r="W21" s="2" t="e">
        <f t="shared" si="5"/>
        <v>#VALUE!</v>
      </c>
      <c r="X21" t="str">
        <f t="shared" si="6"/>
        <v>D_Grow_Both_100|FY2030</v>
      </c>
    </row>
    <row r="22" spans="1:24" x14ac:dyDescent="0.35">
      <c r="A22" t="str">
        <f>Scenarios!A6</f>
        <v>D_Grow_Both_150</v>
      </c>
      <c r="B22" t="s">
        <v>47</v>
      </c>
      <c r="C22">
        <f>IF(Scenarios!D6=1,0, K22)</f>
        <v>332</v>
      </c>
      <c r="D22">
        <f>IF(Scenarios!E6=1,0, L22)</f>
        <v>371</v>
      </c>
      <c r="E22">
        <f t="shared" si="0"/>
        <v>703</v>
      </c>
      <c r="F22" s="2">
        <f>YearMap!B2</f>
        <v>0</v>
      </c>
      <c r="G22" s="2" t="e">
        <f>YearMap!C2</f>
        <v>#VALUE!</v>
      </c>
      <c r="H22" s="2">
        <f>YearMap!D2</f>
        <v>5631973.1999999993</v>
      </c>
      <c r="I22">
        <f>1-BaselineCalc!$B$5</f>
        <v>0.99299999999999999</v>
      </c>
      <c r="J22">
        <f>Scenarios!G6</f>
        <v>0</v>
      </c>
      <c r="K22">
        <f>BaselineCalc!$B$7 + ROUND(Scenarios!J6*Scenarios!F6,0)</f>
        <v>332</v>
      </c>
      <c r="L22">
        <f>BaselineCalc!$B$8 + Scenarios!J6 - ROUND(Scenarios!J6*Scenarios!F6,0)</f>
        <v>371</v>
      </c>
      <c r="M22">
        <f t="shared" si="1"/>
        <v>0</v>
      </c>
      <c r="N22">
        <f>BaselineCalc!$B$11 * M22</f>
        <v>0</v>
      </c>
      <c r="O22">
        <f>YearMap!E2</f>
        <v>1000</v>
      </c>
      <c r="P22">
        <f>IF(Scenarios!N6="lease", YearMap!F2, YearMap!G2)</f>
        <v>0.4</v>
      </c>
      <c r="Q22" s="2" t="e">
        <f>IF(Scenarios!D6=1, P22*G22, G22)</f>
        <v>#VALUE!</v>
      </c>
      <c r="R22" s="2">
        <f>IF(Scenarios!E6=1, P22*H22, H22)</f>
        <v>5631973.1999999993</v>
      </c>
      <c r="S22" s="2">
        <f>IF(B22="FY2026", (Scenarios!D6+Scenarios!E6)*BaselineCalc!$B$10, 0)</f>
        <v>0</v>
      </c>
      <c r="T22" s="2" t="e">
        <f t="shared" si="2"/>
        <v>#VALUE!</v>
      </c>
      <c r="U22" s="2">
        <f t="shared" si="3"/>
        <v>0</v>
      </c>
      <c r="V22" s="2" t="e">
        <f t="shared" si="4"/>
        <v>#VALUE!</v>
      </c>
      <c r="W22" s="2" t="e">
        <f t="shared" si="5"/>
        <v>#VALUE!</v>
      </c>
      <c r="X22" t="str">
        <f t="shared" si="6"/>
        <v>D_Grow_Both_150|FY2026</v>
      </c>
    </row>
    <row r="23" spans="1:24" x14ac:dyDescent="0.35">
      <c r="A23" t="str">
        <f>Scenarios!A6</f>
        <v>D_Grow_Both_150</v>
      </c>
      <c r="B23" t="s">
        <v>48</v>
      </c>
      <c r="C23">
        <f>IF(Scenarios!D6=1,0, K23)</f>
        <v>332</v>
      </c>
      <c r="D23">
        <f>IF(Scenarios!E6=1,0, L23)</f>
        <v>371</v>
      </c>
      <c r="E23">
        <f t="shared" si="0"/>
        <v>703</v>
      </c>
      <c r="F23" s="2">
        <f>YearMap!B3</f>
        <v>0</v>
      </c>
      <c r="G23" s="2" t="e">
        <f>YearMap!C3</f>
        <v>#VALUE!</v>
      </c>
      <c r="H23" s="2">
        <f>YearMap!D3</f>
        <v>5772772.5299999993</v>
      </c>
      <c r="I23">
        <f>1-BaselineCalc!$B$5</f>
        <v>0.99299999999999999</v>
      </c>
      <c r="J23">
        <f>Scenarios!G6</f>
        <v>0</v>
      </c>
      <c r="K23">
        <f>BaselineCalc!$B$7 + ROUND(Scenarios!K6*Scenarios!F6,0)</f>
        <v>332</v>
      </c>
      <c r="L23">
        <f>BaselineCalc!$B$8 + Scenarios!K6 - ROUND(Scenarios!K6*Scenarios!F6,0)</f>
        <v>371</v>
      </c>
      <c r="M23">
        <f t="shared" si="1"/>
        <v>0</v>
      </c>
      <c r="N23">
        <f>BaselineCalc!$B$11 * M23</f>
        <v>0</v>
      </c>
      <c r="O23">
        <f>YearMap!E3</f>
        <v>800</v>
      </c>
      <c r="P23">
        <f>IF(Scenarios!N6="lease", YearMap!F3, YearMap!G3)</f>
        <v>0.35</v>
      </c>
      <c r="Q23" s="2" t="e">
        <f>IF(Scenarios!D6=1, P23*G23, G23)</f>
        <v>#VALUE!</v>
      </c>
      <c r="R23" s="2">
        <f>IF(Scenarios!E6=1, P23*H23, H23)</f>
        <v>5772772.5299999993</v>
      </c>
      <c r="S23" s="2">
        <f>IF(B23="FY2026", (Scenarios!D6+Scenarios!E6)*BaselineCalc!$B$10, 0)</f>
        <v>0</v>
      </c>
      <c r="T23" s="2" t="e">
        <f t="shared" si="2"/>
        <v>#VALUE!</v>
      </c>
      <c r="U23" s="2">
        <f t="shared" si="3"/>
        <v>0</v>
      </c>
      <c r="V23" s="2" t="e">
        <f t="shared" si="4"/>
        <v>#VALUE!</v>
      </c>
      <c r="W23" s="2" t="e">
        <f t="shared" si="5"/>
        <v>#VALUE!</v>
      </c>
      <c r="X23" t="str">
        <f t="shared" si="6"/>
        <v>D_Grow_Both_150|FY2027</v>
      </c>
    </row>
    <row r="24" spans="1:24" x14ac:dyDescent="0.35">
      <c r="A24" t="str">
        <f>Scenarios!A6</f>
        <v>D_Grow_Both_150</v>
      </c>
      <c r="B24" t="s">
        <v>49</v>
      </c>
      <c r="C24">
        <f>IF(Scenarios!D6=1,0, K24)</f>
        <v>332</v>
      </c>
      <c r="D24">
        <f>IF(Scenarios!E6=1,0, L24)</f>
        <v>371</v>
      </c>
      <c r="E24">
        <f t="shared" si="0"/>
        <v>703</v>
      </c>
      <c r="F24" s="2">
        <f>YearMap!B4</f>
        <v>0</v>
      </c>
      <c r="G24" s="2" t="e">
        <f>YearMap!C4</f>
        <v>#VALUE!</v>
      </c>
      <c r="H24" s="2">
        <f>YearMap!D4</f>
        <v>5917091.843249999</v>
      </c>
      <c r="I24">
        <f>1-BaselineCalc!$B$5</f>
        <v>0.99299999999999999</v>
      </c>
      <c r="J24">
        <f>Scenarios!G6</f>
        <v>0</v>
      </c>
      <c r="K24">
        <f>BaselineCalc!$B$7 + ROUND(Scenarios!L6*Scenarios!F6,0)</f>
        <v>332</v>
      </c>
      <c r="L24">
        <f>BaselineCalc!$B$8 + Scenarios!L6 - ROUND(Scenarios!L6*Scenarios!F6,0)</f>
        <v>371</v>
      </c>
      <c r="M24">
        <f t="shared" si="1"/>
        <v>0</v>
      </c>
      <c r="N24">
        <f>BaselineCalc!$B$11 * M24</f>
        <v>0</v>
      </c>
      <c r="O24">
        <f>YearMap!E4</f>
        <v>600</v>
      </c>
      <c r="P24">
        <f>IF(Scenarios!N6="lease", YearMap!F4, YearMap!G4)</f>
        <v>0.3</v>
      </c>
      <c r="Q24" s="2" t="e">
        <f>IF(Scenarios!D6=1, P24*G24, G24)</f>
        <v>#VALUE!</v>
      </c>
      <c r="R24" s="2">
        <f>IF(Scenarios!E6=1, P24*H24, H24)</f>
        <v>5917091.843249999</v>
      </c>
      <c r="S24" s="2">
        <f>IF(B24="FY2026", (Scenarios!D6+Scenarios!E6)*BaselineCalc!$B$10, 0)</f>
        <v>0</v>
      </c>
      <c r="T24" s="2" t="e">
        <f t="shared" si="2"/>
        <v>#VALUE!</v>
      </c>
      <c r="U24" s="2">
        <f t="shared" si="3"/>
        <v>0</v>
      </c>
      <c r="V24" s="2" t="e">
        <f t="shared" si="4"/>
        <v>#VALUE!</v>
      </c>
      <c r="W24" s="2" t="e">
        <f t="shared" si="5"/>
        <v>#VALUE!</v>
      </c>
      <c r="X24" t="str">
        <f t="shared" si="6"/>
        <v>D_Grow_Both_150|FY2028</v>
      </c>
    </row>
    <row r="25" spans="1:24" x14ac:dyDescent="0.35">
      <c r="A25" t="str">
        <f>Scenarios!A6</f>
        <v>D_Grow_Both_150</v>
      </c>
      <c r="B25" t="s">
        <v>50</v>
      </c>
      <c r="C25">
        <f>IF(Scenarios!D6=1,0, K25)</f>
        <v>332</v>
      </c>
      <c r="D25">
        <f>IF(Scenarios!E6=1,0, L25)</f>
        <v>371</v>
      </c>
      <c r="E25">
        <f t="shared" si="0"/>
        <v>703</v>
      </c>
      <c r="F25" s="2">
        <f>YearMap!B5</f>
        <v>0</v>
      </c>
      <c r="G25" s="2" t="e">
        <f>YearMap!C5</f>
        <v>#VALUE!</v>
      </c>
      <c r="H25" s="2">
        <f>YearMap!D5</f>
        <v>6065019.1393312486</v>
      </c>
      <c r="I25">
        <f>1-BaselineCalc!$B$5</f>
        <v>0.99299999999999999</v>
      </c>
      <c r="J25">
        <f>Scenarios!G6</f>
        <v>0</v>
      </c>
      <c r="K25">
        <f>BaselineCalc!$B$7 + ROUND(Scenarios!M6*Scenarios!F6,0)</f>
        <v>332</v>
      </c>
      <c r="L25">
        <f>BaselineCalc!$B$8 + Scenarios!M6 - ROUND(Scenarios!M6*Scenarios!F6,0)</f>
        <v>371</v>
      </c>
      <c r="M25">
        <f t="shared" si="1"/>
        <v>0</v>
      </c>
      <c r="N25">
        <f>BaselineCalc!$B$11 * M25</f>
        <v>0</v>
      </c>
      <c r="O25">
        <f>YearMap!E5</f>
        <v>400</v>
      </c>
      <c r="P25">
        <f>IF(Scenarios!N6="lease", YearMap!F5, YearMap!G5)</f>
        <v>0.25</v>
      </c>
      <c r="Q25" s="2" t="e">
        <f>IF(Scenarios!D6=1, P25*G25, G25)</f>
        <v>#VALUE!</v>
      </c>
      <c r="R25" s="2">
        <f>IF(Scenarios!E6=1, P25*H25, H25)</f>
        <v>6065019.1393312486</v>
      </c>
      <c r="S25" s="2">
        <f>IF(B25="FY2026", (Scenarios!D6+Scenarios!E6)*BaselineCalc!$B$10, 0)</f>
        <v>0</v>
      </c>
      <c r="T25" s="2" t="e">
        <f t="shared" si="2"/>
        <v>#VALUE!</v>
      </c>
      <c r="U25" s="2">
        <f t="shared" si="3"/>
        <v>0</v>
      </c>
      <c r="V25" s="2" t="e">
        <f t="shared" si="4"/>
        <v>#VALUE!</v>
      </c>
      <c r="W25" s="2" t="e">
        <f t="shared" si="5"/>
        <v>#VALUE!</v>
      </c>
      <c r="X25" t="str">
        <f t="shared" si="6"/>
        <v>D_Grow_Both_150|FY2029</v>
      </c>
    </row>
    <row r="26" spans="1:24" x14ac:dyDescent="0.35">
      <c r="A26" t="str">
        <f>Scenarios!A6</f>
        <v>D_Grow_Both_150</v>
      </c>
      <c r="B26" t="s">
        <v>51</v>
      </c>
      <c r="C26">
        <f>IF(Scenarios!D6=1,0, K26)</f>
        <v>257</v>
      </c>
      <c r="D26">
        <f>IF(Scenarios!E6=1,0, L26)</f>
        <v>296</v>
      </c>
      <c r="E26">
        <f t="shared" si="0"/>
        <v>553</v>
      </c>
      <c r="F26" s="2">
        <f>YearMap!B6</f>
        <v>0</v>
      </c>
      <c r="G26" s="2" t="e">
        <f>YearMap!C6</f>
        <v>#VALUE!</v>
      </c>
      <c r="H26" s="2">
        <f>YearMap!D6</f>
        <v>6216644.6178145297</v>
      </c>
      <c r="I26">
        <f>1-BaselineCalc!$B$5</f>
        <v>0.99299999999999999</v>
      </c>
      <c r="J26">
        <f>Scenarios!G6</f>
        <v>0</v>
      </c>
      <c r="K26">
        <f>BaselineCalc!$B$7 + ROUND(Scenarios!N6*Scenarios!F6,0)</f>
        <v>257</v>
      </c>
      <c r="L26">
        <f>BaselineCalc!$B$8 + Scenarios!N6 - ROUND(Scenarios!N6*Scenarios!F6,0)</f>
        <v>296</v>
      </c>
      <c r="M26">
        <f t="shared" si="1"/>
        <v>0</v>
      </c>
      <c r="N26">
        <f>BaselineCalc!$B$11 * M26</f>
        <v>0</v>
      </c>
      <c r="O26">
        <f>YearMap!E6</f>
        <v>300</v>
      </c>
      <c r="P26">
        <f>IF(Scenarios!N6="lease", YearMap!F6, YearMap!G6)</f>
        <v>0.2</v>
      </c>
      <c r="Q26" s="2" t="e">
        <f>IF(Scenarios!D6=1, P26*G26, G26)</f>
        <v>#VALUE!</v>
      </c>
      <c r="R26" s="2">
        <f>IF(Scenarios!E6=1, P26*H26, H26)</f>
        <v>6216644.6178145297</v>
      </c>
      <c r="S26" s="2">
        <f>IF(B26="FY2026", (Scenarios!D6+Scenarios!E6)*BaselineCalc!$B$10, 0)</f>
        <v>0</v>
      </c>
      <c r="T26" s="2" t="e">
        <f t="shared" si="2"/>
        <v>#VALUE!</v>
      </c>
      <c r="U26" s="2">
        <f t="shared" si="3"/>
        <v>0</v>
      </c>
      <c r="V26" s="2" t="e">
        <f t="shared" si="4"/>
        <v>#VALUE!</v>
      </c>
      <c r="W26" s="2" t="e">
        <f t="shared" si="5"/>
        <v>#VALUE!</v>
      </c>
      <c r="X26" t="str">
        <f t="shared" si="6"/>
        <v>D_Grow_Both_150|FY2030</v>
      </c>
    </row>
    <row r="27" spans="1:24" x14ac:dyDescent="0.35">
      <c r="A27" t="str">
        <f>Scenarios!A7</f>
        <v>G_DHub_EchoRamp</v>
      </c>
      <c r="B27" t="s">
        <v>47</v>
      </c>
      <c r="C27">
        <f>IF(Scenarios!D7=1,0, K27)</f>
        <v>327</v>
      </c>
      <c r="D27">
        <f>IF(Scenarios!E7=1,0, L27)</f>
        <v>326</v>
      </c>
      <c r="E27">
        <f t="shared" si="0"/>
        <v>653</v>
      </c>
      <c r="F27" s="2">
        <f>YearMap!B2</f>
        <v>0</v>
      </c>
      <c r="G27" s="2" t="e">
        <f>YearMap!C2</f>
        <v>#VALUE!</v>
      </c>
      <c r="H27" s="2">
        <f>YearMap!D2</f>
        <v>5631973.1999999993</v>
      </c>
      <c r="I27">
        <f>1-BaselineCalc!$B$5</f>
        <v>0.99299999999999999</v>
      </c>
      <c r="J27">
        <f>Scenarios!G7</f>
        <v>0</v>
      </c>
      <c r="K27">
        <f>BaselineCalc!$B$7 + ROUND(Scenarios!J7*Scenarios!F7,0)</f>
        <v>327</v>
      </c>
      <c r="L27">
        <f>BaselineCalc!$B$8 + Scenarios!J7 - ROUND(Scenarios!J7*Scenarios!F7,0)</f>
        <v>326</v>
      </c>
      <c r="M27">
        <f t="shared" si="1"/>
        <v>0</v>
      </c>
      <c r="N27">
        <f>BaselineCalc!$B$11 * M27</f>
        <v>0</v>
      </c>
      <c r="O27">
        <f>YearMap!E2</f>
        <v>1000</v>
      </c>
      <c r="P27">
        <f>IF(Scenarios!N7="lease", YearMap!F2, YearMap!G2)</f>
        <v>0.4</v>
      </c>
      <c r="Q27" s="2" t="e">
        <f>IF(Scenarios!D7=1, P27*G27, G27)</f>
        <v>#VALUE!</v>
      </c>
      <c r="R27" s="2">
        <f>IF(Scenarios!E7=1, P27*H27, H27)</f>
        <v>5631973.1999999993</v>
      </c>
      <c r="S27" s="2">
        <f>IF(B27="FY2026", (Scenarios!D7+Scenarios!E7)*BaselineCalc!$B$10, 0)</f>
        <v>0</v>
      </c>
      <c r="T27" s="2" t="e">
        <f t="shared" si="2"/>
        <v>#VALUE!</v>
      </c>
      <c r="U27" s="2">
        <f t="shared" si="3"/>
        <v>0</v>
      </c>
      <c r="V27" s="2" t="e">
        <f t="shared" si="4"/>
        <v>#VALUE!</v>
      </c>
      <c r="W27" s="2" t="e">
        <f t="shared" si="5"/>
        <v>#VALUE!</v>
      </c>
      <c r="X27" t="str">
        <f t="shared" si="6"/>
        <v>G_DHub_EchoRamp|FY2026</v>
      </c>
    </row>
    <row r="28" spans="1:24" x14ac:dyDescent="0.35">
      <c r="A28" t="str">
        <f>Scenarios!A7</f>
        <v>G_DHub_EchoRamp</v>
      </c>
      <c r="B28" t="s">
        <v>48</v>
      </c>
      <c r="C28">
        <f>IF(Scenarios!D7=1,0, K28)</f>
        <v>362</v>
      </c>
      <c r="D28">
        <f>IF(Scenarios!E7=1,0, L28)</f>
        <v>341</v>
      </c>
      <c r="E28">
        <f t="shared" si="0"/>
        <v>703</v>
      </c>
      <c r="F28" s="2">
        <f>YearMap!B3</f>
        <v>0</v>
      </c>
      <c r="G28" s="2" t="e">
        <f>YearMap!C3</f>
        <v>#VALUE!</v>
      </c>
      <c r="H28" s="2">
        <f>YearMap!D3</f>
        <v>5772772.5299999993</v>
      </c>
      <c r="I28">
        <f>1-BaselineCalc!$B$5</f>
        <v>0.99299999999999999</v>
      </c>
      <c r="J28">
        <f>Scenarios!G7</f>
        <v>0</v>
      </c>
      <c r="K28">
        <f>BaselineCalc!$B$7 + ROUND(Scenarios!K7*Scenarios!F7,0)</f>
        <v>362</v>
      </c>
      <c r="L28">
        <f>BaselineCalc!$B$8 + Scenarios!K7 - ROUND(Scenarios!K7*Scenarios!F7,0)</f>
        <v>341</v>
      </c>
      <c r="M28">
        <f t="shared" si="1"/>
        <v>0</v>
      </c>
      <c r="N28">
        <f>BaselineCalc!$B$11 * M28</f>
        <v>0</v>
      </c>
      <c r="O28">
        <f>YearMap!E3</f>
        <v>800</v>
      </c>
      <c r="P28">
        <f>IF(Scenarios!N7="lease", YearMap!F3, YearMap!G3)</f>
        <v>0.35</v>
      </c>
      <c r="Q28" s="2" t="e">
        <f>IF(Scenarios!D7=1, P28*G28, G28)</f>
        <v>#VALUE!</v>
      </c>
      <c r="R28" s="2">
        <f>IF(Scenarios!E7=1, P28*H28, H28)</f>
        <v>5772772.5299999993</v>
      </c>
      <c r="S28" s="2">
        <f>IF(B28="FY2026", (Scenarios!D7+Scenarios!E7)*BaselineCalc!$B$10, 0)</f>
        <v>0</v>
      </c>
      <c r="T28" s="2" t="e">
        <f t="shared" si="2"/>
        <v>#VALUE!</v>
      </c>
      <c r="U28" s="2">
        <f t="shared" si="3"/>
        <v>0</v>
      </c>
      <c r="V28" s="2" t="e">
        <f t="shared" si="4"/>
        <v>#VALUE!</v>
      </c>
      <c r="W28" s="2" t="e">
        <f t="shared" si="5"/>
        <v>#VALUE!</v>
      </c>
      <c r="X28" t="str">
        <f t="shared" si="6"/>
        <v>G_DHub_EchoRamp|FY2027</v>
      </c>
    </row>
    <row r="29" spans="1:24" x14ac:dyDescent="0.35">
      <c r="A29" t="str">
        <f>Scenarios!A7</f>
        <v>G_DHub_EchoRamp</v>
      </c>
      <c r="B29" t="s">
        <v>49</v>
      </c>
      <c r="C29">
        <f>IF(Scenarios!D7=1,0, K29)</f>
        <v>362</v>
      </c>
      <c r="D29">
        <f>IF(Scenarios!E7=1,0, L29)</f>
        <v>341</v>
      </c>
      <c r="E29">
        <f t="shared" si="0"/>
        <v>703</v>
      </c>
      <c r="F29" s="2">
        <f>YearMap!B4</f>
        <v>0</v>
      </c>
      <c r="G29" s="2" t="e">
        <f>YearMap!C4</f>
        <v>#VALUE!</v>
      </c>
      <c r="H29" s="2">
        <f>YearMap!D4</f>
        <v>5917091.843249999</v>
      </c>
      <c r="I29">
        <f>1-BaselineCalc!$B$5</f>
        <v>0.99299999999999999</v>
      </c>
      <c r="J29">
        <f>Scenarios!G7</f>
        <v>0</v>
      </c>
      <c r="K29">
        <f>BaselineCalc!$B$7 + ROUND(Scenarios!L7*Scenarios!F7,0)</f>
        <v>362</v>
      </c>
      <c r="L29">
        <f>BaselineCalc!$B$8 + Scenarios!L7 - ROUND(Scenarios!L7*Scenarios!F7,0)</f>
        <v>341</v>
      </c>
      <c r="M29">
        <f t="shared" si="1"/>
        <v>0</v>
      </c>
      <c r="N29">
        <f>BaselineCalc!$B$11 * M29</f>
        <v>0</v>
      </c>
      <c r="O29">
        <f>YearMap!E4</f>
        <v>600</v>
      </c>
      <c r="P29">
        <f>IF(Scenarios!N7="lease", YearMap!F4, YearMap!G4)</f>
        <v>0.3</v>
      </c>
      <c r="Q29" s="2" t="e">
        <f>IF(Scenarios!D7=1, P29*G29, G29)</f>
        <v>#VALUE!</v>
      </c>
      <c r="R29" s="2">
        <f>IF(Scenarios!E7=1, P29*H29, H29)</f>
        <v>5917091.843249999</v>
      </c>
      <c r="S29" s="2">
        <f>IF(B29="FY2026", (Scenarios!D7+Scenarios!E7)*BaselineCalc!$B$10, 0)</f>
        <v>0</v>
      </c>
      <c r="T29" s="2" t="e">
        <f t="shared" si="2"/>
        <v>#VALUE!</v>
      </c>
      <c r="U29" s="2">
        <f t="shared" si="3"/>
        <v>0</v>
      </c>
      <c r="V29" s="2" t="e">
        <f t="shared" si="4"/>
        <v>#VALUE!</v>
      </c>
      <c r="W29" s="2" t="e">
        <f t="shared" si="5"/>
        <v>#VALUE!</v>
      </c>
      <c r="X29" t="str">
        <f t="shared" si="6"/>
        <v>G_DHub_EchoRamp|FY2028</v>
      </c>
    </row>
    <row r="30" spans="1:24" x14ac:dyDescent="0.35">
      <c r="A30" t="str">
        <f>Scenarios!A7</f>
        <v>G_DHub_EchoRamp</v>
      </c>
      <c r="B30" t="s">
        <v>50</v>
      </c>
      <c r="C30">
        <f>IF(Scenarios!D7=1,0, K30)</f>
        <v>362</v>
      </c>
      <c r="D30">
        <f>IF(Scenarios!E7=1,0, L30)</f>
        <v>341</v>
      </c>
      <c r="E30">
        <f t="shared" si="0"/>
        <v>703</v>
      </c>
      <c r="F30" s="2">
        <f>YearMap!B5</f>
        <v>0</v>
      </c>
      <c r="G30" s="2" t="e">
        <f>YearMap!C5</f>
        <v>#VALUE!</v>
      </c>
      <c r="H30" s="2">
        <f>YearMap!D5</f>
        <v>6065019.1393312486</v>
      </c>
      <c r="I30">
        <f>1-BaselineCalc!$B$5</f>
        <v>0.99299999999999999</v>
      </c>
      <c r="J30">
        <f>Scenarios!G7</f>
        <v>0</v>
      </c>
      <c r="K30">
        <f>BaselineCalc!$B$7 + ROUND(Scenarios!M7*Scenarios!F7,0)</f>
        <v>362</v>
      </c>
      <c r="L30">
        <f>BaselineCalc!$B$8 + Scenarios!M7 - ROUND(Scenarios!M7*Scenarios!F7,0)</f>
        <v>341</v>
      </c>
      <c r="M30">
        <f t="shared" si="1"/>
        <v>0</v>
      </c>
      <c r="N30">
        <f>BaselineCalc!$B$11 * M30</f>
        <v>0</v>
      </c>
      <c r="O30">
        <f>YearMap!E5</f>
        <v>400</v>
      </c>
      <c r="P30">
        <f>IF(Scenarios!N7="lease", YearMap!F5, YearMap!G5)</f>
        <v>0.25</v>
      </c>
      <c r="Q30" s="2" t="e">
        <f>IF(Scenarios!D7=1, P30*G30, G30)</f>
        <v>#VALUE!</v>
      </c>
      <c r="R30" s="2">
        <f>IF(Scenarios!E7=1, P30*H30, H30)</f>
        <v>6065019.1393312486</v>
      </c>
      <c r="S30" s="2">
        <f>IF(B30="FY2026", (Scenarios!D7+Scenarios!E7)*BaselineCalc!$B$10, 0)</f>
        <v>0</v>
      </c>
      <c r="T30" s="2" t="e">
        <f t="shared" si="2"/>
        <v>#VALUE!</v>
      </c>
      <c r="U30" s="2">
        <f t="shared" si="3"/>
        <v>0</v>
      </c>
      <c r="V30" s="2" t="e">
        <f t="shared" si="4"/>
        <v>#VALUE!</v>
      </c>
      <c r="W30" s="2" t="e">
        <f t="shared" si="5"/>
        <v>#VALUE!</v>
      </c>
      <c r="X30" t="str">
        <f t="shared" si="6"/>
        <v>G_DHub_EchoRamp|FY2029</v>
      </c>
    </row>
    <row r="31" spans="1:24" x14ac:dyDescent="0.35">
      <c r="A31" t="str">
        <f>Scenarios!A7</f>
        <v>G_DHub_EchoRamp</v>
      </c>
      <c r="B31" t="s">
        <v>51</v>
      </c>
      <c r="C31">
        <f>IF(Scenarios!D7=1,0, K31)</f>
        <v>257</v>
      </c>
      <c r="D31">
        <f>IF(Scenarios!E7=1,0, L31)</f>
        <v>296</v>
      </c>
      <c r="E31">
        <f t="shared" si="0"/>
        <v>553</v>
      </c>
      <c r="F31" s="2">
        <f>YearMap!B6</f>
        <v>0</v>
      </c>
      <c r="G31" s="2" t="e">
        <f>YearMap!C6</f>
        <v>#VALUE!</v>
      </c>
      <c r="H31" s="2">
        <f>YearMap!D6</f>
        <v>6216644.6178145297</v>
      </c>
      <c r="I31">
        <f>1-BaselineCalc!$B$5</f>
        <v>0.99299999999999999</v>
      </c>
      <c r="J31">
        <f>Scenarios!G7</f>
        <v>0</v>
      </c>
      <c r="K31">
        <f>BaselineCalc!$B$7 + ROUND(Scenarios!N7*Scenarios!F7,0)</f>
        <v>257</v>
      </c>
      <c r="L31">
        <f>BaselineCalc!$B$8 + Scenarios!N7 - ROUND(Scenarios!N7*Scenarios!F7,0)</f>
        <v>296</v>
      </c>
      <c r="M31">
        <f t="shared" si="1"/>
        <v>0</v>
      </c>
      <c r="N31">
        <f>BaselineCalc!$B$11 * M31</f>
        <v>0</v>
      </c>
      <c r="O31">
        <f>YearMap!E6</f>
        <v>300</v>
      </c>
      <c r="P31">
        <f>IF(Scenarios!N7="lease", YearMap!F6, YearMap!G6)</f>
        <v>0.2</v>
      </c>
      <c r="Q31" s="2" t="e">
        <f>IF(Scenarios!D7=1, P31*G31, G31)</f>
        <v>#VALUE!</v>
      </c>
      <c r="R31" s="2">
        <f>IF(Scenarios!E7=1, P31*H31, H31)</f>
        <v>6216644.6178145297</v>
      </c>
      <c r="S31" s="2">
        <f>IF(B31="FY2026", (Scenarios!D7+Scenarios!E7)*BaselineCalc!$B$10, 0)</f>
        <v>0</v>
      </c>
      <c r="T31" s="2" t="e">
        <f t="shared" si="2"/>
        <v>#VALUE!</v>
      </c>
      <c r="U31" s="2">
        <f t="shared" si="3"/>
        <v>0</v>
      </c>
      <c r="V31" s="2" t="e">
        <f t="shared" si="4"/>
        <v>#VALUE!</v>
      </c>
      <c r="W31" s="2" t="e">
        <f t="shared" si="5"/>
        <v>#VALUE!</v>
      </c>
      <c r="X31" t="str">
        <f t="shared" si="6"/>
        <v>G_DHub_EchoRamp|FY2030</v>
      </c>
    </row>
    <row r="32" spans="1:24" x14ac:dyDescent="0.35">
      <c r="A32" t="str">
        <f>Scenarios!A8</f>
        <v>A_Repurpose_Both_lease</v>
      </c>
      <c r="B32" t="s">
        <v>47</v>
      </c>
      <c r="C32">
        <f>IF(Scenarios!D8=1,0, K32)</f>
        <v>0</v>
      </c>
      <c r="D32">
        <f>IF(Scenarios!E8=1,0, L32)</f>
        <v>0</v>
      </c>
      <c r="E32">
        <f t="shared" si="0"/>
        <v>0</v>
      </c>
      <c r="F32" s="2">
        <f>YearMap!B2</f>
        <v>0</v>
      </c>
      <c r="G32" s="2" t="e">
        <f>YearMap!C2</f>
        <v>#VALUE!</v>
      </c>
      <c r="H32" s="2">
        <f>YearMap!D2</f>
        <v>5631973.1999999993</v>
      </c>
      <c r="I32">
        <f>1-BaselineCalc!$B$5</f>
        <v>0.99299999999999999</v>
      </c>
      <c r="J32">
        <f>Scenarios!G8</f>
        <v>0</v>
      </c>
      <c r="K32">
        <f>BaselineCalc!$B$7 + ROUND(Scenarios!J8*Scenarios!F8,0)</f>
        <v>257</v>
      </c>
      <c r="L32">
        <f>BaselineCalc!$B$8 + Scenarios!J8 - ROUND(Scenarios!J8*Scenarios!F8,0)</f>
        <v>296</v>
      </c>
      <c r="M32">
        <f t="shared" si="1"/>
        <v>553</v>
      </c>
      <c r="N32">
        <f>BaselineCalc!$B$11 * M32</f>
        <v>414.75</v>
      </c>
      <c r="O32">
        <f>YearMap!E2</f>
        <v>1000</v>
      </c>
      <c r="P32">
        <f>IF(Scenarios!N8="lease", YearMap!F2, YearMap!G2)</f>
        <v>0.4</v>
      </c>
      <c r="Q32" s="2" t="e">
        <f>IF(Scenarios!D8=1, P32*G32, G32)</f>
        <v>#VALUE!</v>
      </c>
      <c r="R32" s="2">
        <f>IF(Scenarios!E8=1, P32*H32, H32)</f>
        <v>2252789.2799999998</v>
      </c>
      <c r="S32" s="2">
        <f>IF(B32="FY2026", (Scenarios!D8+Scenarios!E8)*BaselineCalc!$B$10, 0)</f>
        <v>2400000</v>
      </c>
      <c r="T32" s="2" t="e">
        <f t="shared" si="2"/>
        <v>#VALUE!</v>
      </c>
      <c r="U32" s="2">
        <f t="shared" si="3"/>
        <v>414750</v>
      </c>
      <c r="V32" s="2" t="e">
        <f t="shared" si="4"/>
        <v>#VALUE!</v>
      </c>
      <c r="W32" s="2" t="e">
        <f t="shared" si="5"/>
        <v>#VALUE!</v>
      </c>
      <c r="X32" t="str">
        <f t="shared" si="6"/>
        <v>A_Repurpose_Both_lease|FY2026</v>
      </c>
    </row>
    <row r="33" spans="1:24" x14ac:dyDescent="0.35">
      <c r="A33" t="str">
        <f>Scenarios!A8</f>
        <v>A_Repurpose_Both_lease</v>
      </c>
      <c r="B33" t="s">
        <v>48</v>
      </c>
      <c r="C33">
        <f>IF(Scenarios!D8=1,0, K33)</f>
        <v>0</v>
      </c>
      <c r="D33">
        <f>IF(Scenarios!E8=1,0, L33)</f>
        <v>0</v>
      </c>
      <c r="E33">
        <f t="shared" si="0"/>
        <v>0</v>
      </c>
      <c r="F33" s="2">
        <f>YearMap!B3</f>
        <v>0</v>
      </c>
      <c r="G33" s="2" t="e">
        <f>YearMap!C3</f>
        <v>#VALUE!</v>
      </c>
      <c r="H33" s="2">
        <f>YearMap!D3</f>
        <v>5772772.5299999993</v>
      </c>
      <c r="I33">
        <f>1-BaselineCalc!$B$5</f>
        <v>0.99299999999999999</v>
      </c>
      <c r="J33">
        <f>Scenarios!G8</f>
        <v>0</v>
      </c>
      <c r="K33">
        <f>BaselineCalc!$B$7 + ROUND(Scenarios!K8*Scenarios!F8,0)</f>
        <v>257</v>
      </c>
      <c r="L33">
        <f>BaselineCalc!$B$8 + Scenarios!K8 - ROUND(Scenarios!K8*Scenarios!F8,0)</f>
        <v>296</v>
      </c>
      <c r="M33">
        <f t="shared" si="1"/>
        <v>553</v>
      </c>
      <c r="N33">
        <f>BaselineCalc!$B$11 * M33</f>
        <v>414.75</v>
      </c>
      <c r="O33">
        <f>YearMap!E3</f>
        <v>800</v>
      </c>
      <c r="P33">
        <f>IF(Scenarios!N8="lease", YearMap!F3, YearMap!G3)</f>
        <v>0.3</v>
      </c>
      <c r="Q33" s="2" t="e">
        <f>IF(Scenarios!D8=1, P33*G33, G33)</f>
        <v>#VALUE!</v>
      </c>
      <c r="R33" s="2">
        <f>IF(Scenarios!E8=1, P33*H33, H33)</f>
        <v>1731831.7589999998</v>
      </c>
      <c r="S33" s="2">
        <f>IF(B33="FY2026", (Scenarios!D8+Scenarios!E8)*BaselineCalc!$B$10, 0)</f>
        <v>0</v>
      </c>
      <c r="T33" s="2" t="e">
        <f t="shared" si="2"/>
        <v>#VALUE!</v>
      </c>
      <c r="U33" s="2">
        <f t="shared" si="3"/>
        <v>331800</v>
      </c>
      <c r="V33" s="2" t="e">
        <f t="shared" si="4"/>
        <v>#VALUE!</v>
      </c>
      <c r="W33" s="2" t="e">
        <f t="shared" si="5"/>
        <v>#VALUE!</v>
      </c>
      <c r="X33" t="str">
        <f t="shared" si="6"/>
        <v>A_Repurpose_Both_lease|FY2027</v>
      </c>
    </row>
    <row r="34" spans="1:24" x14ac:dyDescent="0.35">
      <c r="A34" t="str">
        <f>Scenarios!A8</f>
        <v>A_Repurpose_Both_lease</v>
      </c>
      <c r="B34" t="s">
        <v>49</v>
      </c>
      <c r="C34">
        <f>IF(Scenarios!D8=1,0, K34)</f>
        <v>0</v>
      </c>
      <c r="D34">
        <f>IF(Scenarios!E8=1,0, L34)</f>
        <v>0</v>
      </c>
      <c r="E34">
        <f t="shared" ref="E34:E65" si="7">C34+D34</f>
        <v>0</v>
      </c>
      <c r="F34" s="2">
        <f>YearMap!B4</f>
        <v>0</v>
      </c>
      <c r="G34" s="2" t="e">
        <f>YearMap!C4</f>
        <v>#VALUE!</v>
      </c>
      <c r="H34" s="2">
        <f>YearMap!D4</f>
        <v>5917091.843249999</v>
      </c>
      <c r="I34">
        <f>1-BaselineCalc!$B$5</f>
        <v>0.99299999999999999</v>
      </c>
      <c r="J34">
        <f>Scenarios!G8</f>
        <v>0</v>
      </c>
      <c r="K34">
        <f>BaselineCalc!$B$7 + ROUND(Scenarios!L8*Scenarios!F8,0)</f>
        <v>257</v>
      </c>
      <c r="L34">
        <f>BaselineCalc!$B$8 + Scenarios!L8 - ROUND(Scenarios!L8*Scenarios!F8,0)</f>
        <v>296</v>
      </c>
      <c r="M34">
        <f t="shared" ref="M34:M65" si="8">(K34-C34) + (L34-D34)</f>
        <v>553</v>
      </c>
      <c r="N34">
        <f>BaselineCalc!$B$11 * M34</f>
        <v>414.75</v>
      </c>
      <c r="O34">
        <f>YearMap!E4</f>
        <v>600</v>
      </c>
      <c r="P34">
        <f>IF(Scenarios!N8="lease", YearMap!F4, YearMap!G4)</f>
        <v>0.2</v>
      </c>
      <c r="Q34" s="2" t="e">
        <f>IF(Scenarios!D8=1, P34*G34, G34)</f>
        <v>#VALUE!</v>
      </c>
      <c r="R34" s="2">
        <f>IF(Scenarios!E8=1, P34*H34, H34)</f>
        <v>1183418.3686499998</v>
      </c>
      <c r="S34" s="2">
        <f>IF(B34="FY2026", (Scenarios!D8+Scenarios!E8)*BaselineCalc!$B$10, 0)</f>
        <v>0</v>
      </c>
      <c r="T34" s="2" t="e">
        <f t="shared" ref="T34:T61" si="9">(Q34+R34+F34*E34)*I34*(1-J34)</f>
        <v>#VALUE!</v>
      </c>
      <c r="U34" s="2">
        <f t="shared" ref="U34:U61" si="10">N34*(F34+O34)</f>
        <v>248850</v>
      </c>
      <c r="V34" s="2" t="e">
        <f t="shared" ref="V34:V65" si="11">T34+U34+S34</f>
        <v>#VALUE!</v>
      </c>
      <c r="W34" s="2" t="e">
        <f t="shared" ref="W34:W65" si="12">IF(E34+N34&gt;0, V34/(E34+N34),"")</f>
        <v>#VALUE!</v>
      </c>
      <c r="X34" t="str">
        <f t="shared" ref="X34:X61" si="13">A34&amp;"|"&amp;B34</f>
        <v>A_Repurpose_Both_lease|FY2028</v>
      </c>
    </row>
    <row r="35" spans="1:24" x14ac:dyDescent="0.35">
      <c r="A35" t="str">
        <f>Scenarios!A8</f>
        <v>A_Repurpose_Both_lease</v>
      </c>
      <c r="B35" t="s">
        <v>50</v>
      </c>
      <c r="C35">
        <f>IF(Scenarios!D8=1,0, K35)</f>
        <v>0</v>
      </c>
      <c r="D35">
        <f>IF(Scenarios!E8=1,0, L35)</f>
        <v>0</v>
      </c>
      <c r="E35">
        <f t="shared" si="7"/>
        <v>0</v>
      </c>
      <c r="F35" s="2">
        <f>YearMap!B5</f>
        <v>0</v>
      </c>
      <c r="G35" s="2" t="e">
        <f>YearMap!C5</f>
        <v>#VALUE!</v>
      </c>
      <c r="H35" s="2">
        <f>YearMap!D5</f>
        <v>6065019.1393312486</v>
      </c>
      <c r="I35">
        <f>1-BaselineCalc!$B$5</f>
        <v>0.99299999999999999</v>
      </c>
      <c r="J35">
        <f>Scenarios!G8</f>
        <v>0</v>
      </c>
      <c r="K35">
        <f>BaselineCalc!$B$7 + ROUND(Scenarios!M8*Scenarios!F8,0)</f>
        <v>257</v>
      </c>
      <c r="L35">
        <f>BaselineCalc!$B$8 + Scenarios!M8 - ROUND(Scenarios!M8*Scenarios!F8,0)</f>
        <v>296</v>
      </c>
      <c r="M35">
        <f t="shared" si="8"/>
        <v>553</v>
      </c>
      <c r="N35">
        <f>BaselineCalc!$B$11 * M35</f>
        <v>414.75</v>
      </c>
      <c r="O35">
        <f>YearMap!E5</f>
        <v>400</v>
      </c>
      <c r="P35">
        <f>IF(Scenarios!N8="lease", YearMap!F5, YearMap!G5)</f>
        <v>0.1</v>
      </c>
      <c r="Q35" s="2" t="e">
        <f>IF(Scenarios!D8=1, P35*G35, G35)</f>
        <v>#VALUE!</v>
      </c>
      <c r="R35" s="2">
        <f>IF(Scenarios!E8=1, P35*H35, H35)</f>
        <v>606501.91393312486</v>
      </c>
      <c r="S35" s="2">
        <f>IF(B35="FY2026", (Scenarios!D8+Scenarios!E8)*BaselineCalc!$B$10, 0)</f>
        <v>0</v>
      </c>
      <c r="T35" s="2" t="e">
        <f t="shared" si="9"/>
        <v>#VALUE!</v>
      </c>
      <c r="U35" s="2">
        <f t="shared" si="10"/>
        <v>165900</v>
      </c>
      <c r="V35" s="2" t="e">
        <f t="shared" si="11"/>
        <v>#VALUE!</v>
      </c>
      <c r="W35" s="2" t="e">
        <f t="shared" si="12"/>
        <v>#VALUE!</v>
      </c>
      <c r="X35" t="str">
        <f t="shared" si="13"/>
        <v>A_Repurpose_Both_lease|FY2029</v>
      </c>
    </row>
    <row r="36" spans="1:24" x14ac:dyDescent="0.35">
      <c r="A36" t="str">
        <f>Scenarios!A8</f>
        <v>A_Repurpose_Both_lease</v>
      </c>
      <c r="B36" t="s">
        <v>51</v>
      </c>
      <c r="C36">
        <f>IF(Scenarios!D8=1,0, K36)</f>
        <v>0</v>
      </c>
      <c r="D36">
        <f>IF(Scenarios!E8=1,0, L36)</f>
        <v>0</v>
      </c>
      <c r="E36">
        <f t="shared" si="7"/>
        <v>0</v>
      </c>
      <c r="F36" s="2">
        <f>YearMap!B6</f>
        <v>0</v>
      </c>
      <c r="G36" s="2" t="e">
        <f>YearMap!C6</f>
        <v>#VALUE!</v>
      </c>
      <c r="H36" s="2">
        <f>YearMap!D6</f>
        <v>6216644.6178145297</v>
      </c>
      <c r="I36">
        <f>1-BaselineCalc!$B$5</f>
        <v>0.99299999999999999</v>
      </c>
      <c r="J36">
        <f>Scenarios!G8</f>
        <v>0</v>
      </c>
      <c r="K36" t="e">
        <f>BaselineCalc!$B$7 + ROUND(Scenarios!N8*Scenarios!F8,0)</f>
        <v>#VALUE!</v>
      </c>
      <c r="L36" t="e">
        <f>BaselineCalc!$B$8 + Scenarios!N8 - ROUND(Scenarios!N8*Scenarios!F8,0)</f>
        <v>#VALUE!</v>
      </c>
      <c r="M36" t="e">
        <f t="shared" si="8"/>
        <v>#VALUE!</v>
      </c>
      <c r="N36" t="e">
        <f>BaselineCalc!$B$11 * M36</f>
        <v>#VALUE!</v>
      </c>
      <c r="O36">
        <f>YearMap!E6</f>
        <v>300</v>
      </c>
      <c r="P36">
        <f>IF(Scenarios!N8="lease", YearMap!F6, YearMap!G6)</f>
        <v>0</v>
      </c>
      <c r="Q36" s="2" t="e">
        <f>IF(Scenarios!D8=1, P36*G36, G36)</f>
        <v>#VALUE!</v>
      </c>
      <c r="R36" s="2">
        <f>IF(Scenarios!E8=1, P36*H36, H36)</f>
        <v>0</v>
      </c>
      <c r="S36" s="2">
        <f>IF(B36="FY2026", (Scenarios!D8+Scenarios!E8)*BaselineCalc!$B$10, 0)</f>
        <v>0</v>
      </c>
      <c r="T36" s="2" t="e">
        <f t="shared" si="9"/>
        <v>#VALUE!</v>
      </c>
      <c r="U36" s="2" t="e">
        <f t="shared" si="10"/>
        <v>#VALUE!</v>
      </c>
      <c r="V36" s="2" t="e">
        <f t="shared" si="11"/>
        <v>#VALUE!</v>
      </c>
      <c r="W36" s="2" t="e">
        <f t="shared" si="12"/>
        <v>#VALUE!</v>
      </c>
      <c r="X36" t="str">
        <f t="shared" si="13"/>
        <v>A_Repurpose_Both_lease|FY2030</v>
      </c>
    </row>
    <row r="37" spans="1:24" x14ac:dyDescent="0.35">
      <c r="A37" t="str">
        <f>Scenarios!A9</f>
        <v>ScenarioKey</v>
      </c>
      <c r="B37" t="s">
        <v>47</v>
      </c>
      <c r="C37" t="e">
        <f>IF(Scenarios!D9=1,0, K37)</f>
        <v>#VALUE!</v>
      </c>
      <c r="D37" t="e">
        <f>IF(Scenarios!E9=1,0, L37)</f>
        <v>#VALUE!</v>
      </c>
      <c r="E37" t="e">
        <f t="shared" si="7"/>
        <v>#VALUE!</v>
      </c>
      <c r="F37" s="2">
        <f>YearMap!B2</f>
        <v>0</v>
      </c>
      <c r="G37" s="2" t="e">
        <f>YearMap!C2</f>
        <v>#VALUE!</v>
      </c>
      <c r="H37" s="2">
        <f>YearMap!D2</f>
        <v>5631973.1999999993</v>
      </c>
      <c r="I37">
        <f>1-BaselineCalc!$B$5</f>
        <v>0.99299999999999999</v>
      </c>
      <c r="J37" t="str">
        <f>Scenarios!G9</f>
        <v>EchoFixed$</v>
      </c>
      <c r="K37" t="e">
        <f>BaselineCalc!$B$7 + ROUND(Scenarios!J9*Scenarios!F9,0)</f>
        <v>#VALUE!</v>
      </c>
      <c r="L37" t="e">
        <f>BaselineCalc!$B$8 + Scenarios!J9 - ROUND(Scenarios!J9*Scenarios!F9,0)</f>
        <v>#VALUE!</v>
      </c>
      <c r="M37" t="e">
        <f t="shared" si="8"/>
        <v>#VALUE!</v>
      </c>
      <c r="N37" t="e">
        <f>BaselineCalc!$B$11 * M37</f>
        <v>#VALUE!</v>
      </c>
      <c r="O37">
        <f>YearMap!E2</f>
        <v>1000</v>
      </c>
      <c r="P37">
        <f>IF(Scenarios!N9="lease", YearMap!F2, YearMap!G2)</f>
        <v>0.4</v>
      </c>
      <c r="Q37" s="2" t="e">
        <f>IF(Scenarios!D9=1, P37*G37, G37)</f>
        <v>#VALUE!</v>
      </c>
      <c r="R37" s="2">
        <f>IF(Scenarios!E9=1, P37*H37, H37)</f>
        <v>5631973.1999999993</v>
      </c>
      <c r="S37" s="2" t="e">
        <f>IF(B37="FY2026", (Scenarios!D9+Scenarios!E9)*BaselineCalc!$B$10, 0)</f>
        <v>#VALUE!</v>
      </c>
      <c r="T37" s="2" t="e">
        <f t="shared" si="9"/>
        <v>#VALUE!</v>
      </c>
      <c r="U37" s="2" t="e">
        <f t="shared" si="10"/>
        <v>#VALUE!</v>
      </c>
      <c r="V37" s="2" t="e">
        <f t="shared" si="11"/>
        <v>#VALUE!</v>
      </c>
      <c r="W37" s="2" t="e">
        <f t="shared" si="12"/>
        <v>#VALUE!</v>
      </c>
      <c r="X37" t="str">
        <f t="shared" si="13"/>
        <v>ScenarioKey|FY2026</v>
      </c>
    </row>
    <row r="38" spans="1:24" x14ac:dyDescent="0.35">
      <c r="A38" t="str">
        <f>Scenarios!A9</f>
        <v>ScenarioKey</v>
      </c>
      <c r="B38" t="s">
        <v>48</v>
      </c>
      <c r="C38" t="e">
        <f>IF(Scenarios!D9=1,0, K38)</f>
        <v>#VALUE!</v>
      </c>
      <c r="D38" t="e">
        <f>IF(Scenarios!E9=1,0, L38)</f>
        <v>#VALUE!</v>
      </c>
      <c r="E38" t="e">
        <f t="shared" si="7"/>
        <v>#VALUE!</v>
      </c>
      <c r="F38" s="2">
        <f>YearMap!B3</f>
        <v>0</v>
      </c>
      <c r="G38" s="2" t="e">
        <f>YearMap!C3</f>
        <v>#VALUE!</v>
      </c>
      <c r="H38" s="2">
        <f>YearMap!D3</f>
        <v>5772772.5299999993</v>
      </c>
      <c r="I38">
        <f>1-BaselineCalc!$B$5</f>
        <v>0.99299999999999999</v>
      </c>
      <c r="J38" t="str">
        <f>Scenarios!G9</f>
        <v>EchoFixed$</v>
      </c>
      <c r="K38" t="e">
        <f>BaselineCalc!$B$7 + ROUND(Scenarios!K9*Scenarios!F9,0)</f>
        <v>#VALUE!</v>
      </c>
      <c r="L38" t="e">
        <f>BaselineCalc!$B$8 + Scenarios!K9 - ROUND(Scenarios!K9*Scenarios!F9,0)</f>
        <v>#VALUE!</v>
      </c>
      <c r="M38" t="e">
        <f t="shared" si="8"/>
        <v>#VALUE!</v>
      </c>
      <c r="N38" t="e">
        <f>BaselineCalc!$B$11 * M38</f>
        <v>#VALUE!</v>
      </c>
      <c r="O38">
        <f>YearMap!E3</f>
        <v>800</v>
      </c>
      <c r="P38">
        <f>IF(Scenarios!N9="lease", YearMap!F3, YearMap!G3)</f>
        <v>0.35</v>
      </c>
      <c r="Q38" s="2" t="e">
        <f>IF(Scenarios!D9=1, P38*G38, G38)</f>
        <v>#VALUE!</v>
      </c>
      <c r="R38" s="2">
        <f>IF(Scenarios!E9=1, P38*H38, H38)</f>
        <v>5772772.5299999993</v>
      </c>
      <c r="S38" s="2">
        <f>IF(B38="FY2026", (Scenarios!D9+Scenarios!E9)*BaselineCalc!$B$10, 0)</f>
        <v>0</v>
      </c>
      <c r="T38" s="2" t="e">
        <f t="shared" si="9"/>
        <v>#VALUE!</v>
      </c>
      <c r="U38" s="2" t="e">
        <f t="shared" si="10"/>
        <v>#VALUE!</v>
      </c>
      <c r="V38" s="2" t="e">
        <f t="shared" si="11"/>
        <v>#VALUE!</v>
      </c>
      <c r="W38" s="2" t="e">
        <f t="shared" si="12"/>
        <v>#VALUE!</v>
      </c>
      <c r="X38" t="str">
        <f t="shared" si="13"/>
        <v>ScenarioKey|FY2027</v>
      </c>
    </row>
    <row r="39" spans="1:24" x14ac:dyDescent="0.35">
      <c r="A39" t="str">
        <f>Scenarios!A9</f>
        <v>ScenarioKey</v>
      </c>
      <c r="B39" t="s">
        <v>49</v>
      </c>
      <c r="C39" t="e">
        <f>IF(Scenarios!D9=1,0, K39)</f>
        <v>#VALUE!</v>
      </c>
      <c r="D39" t="e">
        <f>IF(Scenarios!E9=1,0, L39)</f>
        <v>#VALUE!</v>
      </c>
      <c r="E39" t="e">
        <f t="shared" si="7"/>
        <v>#VALUE!</v>
      </c>
      <c r="F39" s="2">
        <f>YearMap!B4</f>
        <v>0</v>
      </c>
      <c r="G39" s="2" t="e">
        <f>YearMap!C4</f>
        <v>#VALUE!</v>
      </c>
      <c r="H39" s="2">
        <f>YearMap!D4</f>
        <v>5917091.843249999</v>
      </c>
      <c r="I39">
        <f>1-BaselineCalc!$B$5</f>
        <v>0.99299999999999999</v>
      </c>
      <c r="J39" t="str">
        <f>Scenarios!G9</f>
        <v>EchoFixed$</v>
      </c>
      <c r="K39" t="e">
        <f>BaselineCalc!$B$7 + ROUND(Scenarios!L9*Scenarios!F9,0)</f>
        <v>#VALUE!</v>
      </c>
      <c r="L39" t="e">
        <f>BaselineCalc!$B$8 + Scenarios!L9 - ROUND(Scenarios!L9*Scenarios!F9,0)</f>
        <v>#VALUE!</v>
      </c>
      <c r="M39" t="e">
        <f t="shared" si="8"/>
        <v>#VALUE!</v>
      </c>
      <c r="N39" t="e">
        <f>BaselineCalc!$B$11 * M39</f>
        <v>#VALUE!</v>
      </c>
      <c r="O39">
        <f>YearMap!E4</f>
        <v>600</v>
      </c>
      <c r="P39">
        <f>IF(Scenarios!N9="lease", YearMap!F4, YearMap!G4)</f>
        <v>0.3</v>
      </c>
      <c r="Q39" s="2" t="e">
        <f>IF(Scenarios!D9=1, P39*G39, G39)</f>
        <v>#VALUE!</v>
      </c>
      <c r="R39" s="2">
        <f>IF(Scenarios!E9=1, P39*H39, H39)</f>
        <v>5917091.843249999</v>
      </c>
      <c r="S39" s="2">
        <f>IF(B39="FY2026", (Scenarios!D9+Scenarios!E9)*BaselineCalc!$B$10, 0)</f>
        <v>0</v>
      </c>
      <c r="T39" s="2" t="e">
        <f t="shared" si="9"/>
        <v>#VALUE!</v>
      </c>
      <c r="U39" s="2" t="e">
        <f t="shared" si="10"/>
        <v>#VALUE!</v>
      </c>
      <c r="V39" s="2" t="e">
        <f t="shared" si="11"/>
        <v>#VALUE!</v>
      </c>
      <c r="W39" s="2" t="e">
        <f t="shared" si="12"/>
        <v>#VALUE!</v>
      </c>
      <c r="X39" t="str">
        <f t="shared" si="13"/>
        <v>ScenarioKey|FY2028</v>
      </c>
    </row>
    <row r="40" spans="1:24" x14ac:dyDescent="0.35">
      <c r="A40" t="str">
        <f>Scenarios!A9</f>
        <v>ScenarioKey</v>
      </c>
      <c r="B40" t="s">
        <v>50</v>
      </c>
      <c r="C40" t="e">
        <f>IF(Scenarios!D9=1,0, K40)</f>
        <v>#VALUE!</v>
      </c>
      <c r="D40" t="e">
        <f>IF(Scenarios!E9=1,0, L40)</f>
        <v>#VALUE!</v>
      </c>
      <c r="E40" t="e">
        <f t="shared" si="7"/>
        <v>#VALUE!</v>
      </c>
      <c r="F40" s="2">
        <f>YearMap!B5</f>
        <v>0</v>
      </c>
      <c r="G40" s="2" t="e">
        <f>YearMap!C5</f>
        <v>#VALUE!</v>
      </c>
      <c r="H40" s="2">
        <f>YearMap!D5</f>
        <v>6065019.1393312486</v>
      </c>
      <c r="I40">
        <f>1-BaselineCalc!$B$5</f>
        <v>0.99299999999999999</v>
      </c>
      <c r="J40" t="str">
        <f>Scenarios!G9</f>
        <v>EchoFixed$</v>
      </c>
      <c r="K40" t="e">
        <f>BaselineCalc!$B$7 + ROUND(Scenarios!M9*Scenarios!F9,0)</f>
        <v>#VALUE!</v>
      </c>
      <c r="L40" t="e">
        <f>BaselineCalc!$B$8 + Scenarios!M9 - ROUND(Scenarios!M9*Scenarios!F9,0)</f>
        <v>#VALUE!</v>
      </c>
      <c r="M40" t="e">
        <f t="shared" si="8"/>
        <v>#VALUE!</v>
      </c>
      <c r="N40" t="e">
        <f>BaselineCalc!$B$11 * M40</f>
        <v>#VALUE!</v>
      </c>
      <c r="O40">
        <f>YearMap!E5</f>
        <v>400</v>
      </c>
      <c r="P40">
        <f>IF(Scenarios!N9="lease", YearMap!F5, YearMap!G5)</f>
        <v>0.25</v>
      </c>
      <c r="Q40" s="2" t="e">
        <f>IF(Scenarios!D9=1, P40*G40, G40)</f>
        <v>#VALUE!</v>
      </c>
      <c r="R40" s="2">
        <f>IF(Scenarios!E9=1, P40*H40, H40)</f>
        <v>6065019.1393312486</v>
      </c>
      <c r="S40" s="2">
        <f>IF(B40="FY2026", (Scenarios!D9+Scenarios!E9)*BaselineCalc!$B$10, 0)</f>
        <v>0</v>
      </c>
      <c r="T40" s="2" t="e">
        <f t="shared" si="9"/>
        <v>#VALUE!</v>
      </c>
      <c r="U40" s="2" t="e">
        <f t="shared" si="10"/>
        <v>#VALUE!</v>
      </c>
      <c r="V40" s="2" t="e">
        <f t="shared" si="11"/>
        <v>#VALUE!</v>
      </c>
      <c r="W40" s="2" t="e">
        <f t="shared" si="12"/>
        <v>#VALUE!</v>
      </c>
      <c r="X40" t="str">
        <f t="shared" si="13"/>
        <v>ScenarioKey|FY2029</v>
      </c>
    </row>
    <row r="41" spans="1:24" x14ac:dyDescent="0.35">
      <c r="A41" t="str">
        <f>Scenarios!A9</f>
        <v>ScenarioKey</v>
      </c>
      <c r="B41" t="s">
        <v>51</v>
      </c>
      <c r="C41" t="e">
        <f>IF(Scenarios!D9=1,0, K41)</f>
        <v>#VALUE!</v>
      </c>
      <c r="D41" t="e">
        <f>IF(Scenarios!E9=1,0, L41)</f>
        <v>#VALUE!</v>
      </c>
      <c r="E41" t="e">
        <f t="shared" si="7"/>
        <v>#VALUE!</v>
      </c>
      <c r="F41" s="2">
        <f>YearMap!B6</f>
        <v>0</v>
      </c>
      <c r="G41" s="2" t="e">
        <f>YearMap!C6</f>
        <v>#VALUE!</v>
      </c>
      <c r="H41" s="2">
        <f>YearMap!D6</f>
        <v>6216644.6178145297</v>
      </c>
      <c r="I41">
        <f>1-BaselineCalc!$B$5</f>
        <v>0.99299999999999999</v>
      </c>
      <c r="J41" t="str">
        <f>Scenarios!G9</f>
        <v>EchoFixed$</v>
      </c>
      <c r="K41" t="e">
        <f>BaselineCalc!$B$7 + ROUND(Scenarios!N9*Scenarios!F9,0)</f>
        <v>#VALUE!</v>
      </c>
      <c r="L41" t="e">
        <f>BaselineCalc!$B$8 + Scenarios!N9 - ROUND(Scenarios!N9*Scenarios!F9,0)</f>
        <v>#VALUE!</v>
      </c>
      <c r="M41" t="e">
        <f t="shared" si="8"/>
        <v>#VALUE!</v>
      </c>
      <c r="N41" t="e">
        <f>BaselineCalc!$B$11 * M41</f>
        <v>#VALUE!</v>
      </c>
      <c r="O41">
        <f>YearMap!E6</f>
        <v>300</v>
      </c>
      <c r="P41">
        <f>IF(Scenarios!N9="lease", YearMap!F6, YearMap!G6)</f>
        <v>0.2</v>
      </c>
      <c r="Q41" s="2" t="e">
        <f>IF(Scenarios!D9=1, P41*G41, G41)</f>
        <v>#VALUE!</v>
      </c>
      <c r="R41" s="2">
        <f>IF(Scenarios!E9=1, P41*H41, H41)</f>
        <v>6216644.6178145297</v>
      </c>
      <c r="S41" s="2">
        <f>IF(B41="FY2026", (Scenarios!D9+Scenarios!E9)*BaselineCalc!$B$10, 0)</f>
        <v>0</v>
      </c>
      <c r="T41" s="2" t="e">
        <f t="shared" si="9"/>
        <v>#VALUE!</v>
      </c>
      <c r="U41" s="2" t="e">
        <f t="shared" si="10"/>
        <v>#VALUE!</v>
      </c>
      <c r="V41" s="2" t="e">
        <f t="shared" si="11"/>
        <v>#VALUE!</v>
      </c>
      <c r="W41" s="2" t="e">
        <f t="shared" si="12"/>
        <v>#VALUE!</v>
      </c>
      <c r="X41" t="str">
        <f t="shared" si="13"/>
        <v>ScenarioKey|FY2030</v>
      </c>
    </row>
    <row r="42" spans="1:24" x14ac:dyDescent="0.35">
      <c r="A42" t="str">
        <f>Scenarios!A10</f>
        <v>D_Grow_Both_0</v>
      </c>
      <c r="B42" t="s">
        <v>47</v>
      </c>
      <c r="C42">
        <f>IF(Scenarios!D10=1,0, K42)</f>
        <v>257</v>
      </c>
      <c r="D42">
        <f>IF(Scenarios!E10=1,0, L42)</f>
        <v>553</v>
      </c>
      <c r="E42">
        <f t="shared" si="7"/>
        <v>810</v>
      </c>
      <c r="F42" s="2">
        <f>YearMap!B2</f>
        <v>0</v>
      </c>
      <c r="G42" s="2" t="e">
        <f>YearMap!C2</f>
        <v>#VALUE!</v>
      </c>
      <c r="H42" s="2">
        <f>YearMap!D2</f>
        <v>5631973.1999999993</v>
      </c>
      <c r="I42">
        <f>1-BaselineCalc!$B$5</f>
        <v>0.99299999999999999</v>
      </c>
      <c r="J42" t="e">
        <f>Scenarios!G10</f>
        <v>#VALUE!</v>
      </c>
      <c r="K42">
        <f>BaselineCalc!$B$7 + ROUND(Scenarios!J10*Scenarios!F10,0)</f>
        <v>257</v>
      </c>
      <c r="L42">
        <f>BaselineCalc!$B$8 + Scenarios!J10 - ROUND(Scenarios!J10*Scenarios!F10,0)</f>
        <v>553</v>
      </c>
      <c r="M42">
        <f t="shared" si="8"/>
        <v>0</v>
      </c>
      <c r="N42">
        <f>BaselineCalc!$B$11 * M42</f>
        <v>0</v>
      </c>
      <c r="O42">
        <f>YearMap!E2</f>
        <v>1000</v>
      </c>
      <c r="P42">
        <f>IF(Scenarios!N10="lease", YearMap!F2, YearMap!G2)</f>
        <v>0.4</v>
      </c>
      <c r="Q42" s="2" t="e">
        <f>IF(Scenarios!D10=1, P42*G42, G42)</f>
        <v>#VALUE!</v>
      </c>
      <c r="R42" s="2">
        <f>IF(Scenarios!E10=1, P42*H42, H42)</f>
        <v>5631973.1999999993</v>
      </c>
      <c r="S42" s="2">
        <f>IF(B42="FY2026", (Scenarios!D10+Scenarios!E10)*BaselineCalc!$B$10, 0)</f>
        <v>1018800000</v>
      </c>
      <c r="T42" s="2" t="e">
        <f t="shared" si="9"/>
        <v>#VALUE!</v>
      </c>
      <c r="U42" s="2">
        <f t="shared" si="10"/>
        <v>0</v>
      </c>
      <c r="V42" s="2" t="e">
        <f t="shared" si="11"/>
        <v>#VALUE!</v>
      </c>
      <c r="W42" s="2" t="e">
        <f t="shared" si="12"/>
        <v>#VALUE!</v>
      </c>
      <c r="X42" t="str">
        <f t="shared" si="13"/>
        <v>D_Grow_Both_0|FY2026</v>
      </c>
    </row>
    <row r="43" spans="1:24" x14ac:dyDescent="0.35">
      <c r="A43" t="str">
        <f>Scenarios!A10</f>
        <v>D_Grow_Both_0</v>
      </c>
      <c r="B43" t="s">
        <v>48</v>
      </c>
      <c r="C43">
        <f>IF(Scenarios!D10=1,0, K43)</f>
        <v>257</v>
      </c>
      <c r="D43">
        <f>IF(Scenarios!E10=1,0, L43)</f>
        <v>553</v>
      </c>
      <c r="E43">
        <f t="shared" si="7"/>
        <v>810</v>
      </c>
      <c r="F43" s="2">
        <f>YearMap!B3</f>
        <v>0</v>
      </c>
      <c r="G43" s="2" t="e">
        <f>YearMap!C3</f>
        <v>#VALUE!</v>
      </c>
      <c r="H43" s="2">
        <f>YearMap!D3</f>
        <v>5772772.5299999993</v>
      </c>
      <c r="I43">
        <f>1-BaselineCalc!$B$5</f>
        <v>0.99299999999999999</v>
      </c>
      <c r="J43" t="e">
        <f>Scenarios!G10</f>
        <v>#VALUE!</v>
      </c>
      <c r="K43">
        <f>BaselineCalc!$B$7 + ROUND(Scenarios!K10*Scenarios!F10,0)</f>
        <v>257</v>
      </c>
      <c r="L43">
        <f>BaselineCalc!$B$8 + Scenarios!K10 - ROUND(Scenarios!K10*Scenarios!F10,0)</f>
        <v>553</v>
      </c>
      <c r="M43">
        <f t="shared" si="8"/>
        <v>0</v>
      </c>
      <c r="N43">
        <f>BaselineCalc!$B$11 * M43</f>
        <v>0</v>
      </c>
      <c r="O43">
        <f>YearMap!E3</f>
        <v>800</v>
      </c>
      <c r="P43">
        <f>IF(Scenarios!N10="lease", YearMap!F3, YearMap!G3)</f>
        <v>0.3</v>
      </c>
      <c r="Q43" s="2" t="e">
        <f>IF(Scenarios!D10=1, P43*G43, G43)</f>
        <v>#VALUE!</v>
      </c>
      <c r="R43" s="2">
        <f>IF(Scenarios!E10=1, P43*H43, H43)</f>
        <v>5772772.5299999993</v>
      </c>
      <c r="S43" s="2">
        <f>IF(B43="FY2026", (Scenarios!D10+Scenarios!E10)*BaselineCalc!$B$10, 0)</f>
        <v>0</v>
      </c>
      <c r="T43" s="2" t="e">
        <f t="shared" si="9"/>
        <v>#VALUE!</v>
      </c>
      <c r="U43" s="2">
        <f t="shared" si="10"/>
        <v>0</v>
      </c>
      <c r="V43" s="2" t="e">
        <f t="shared" si="11"/>
        <v>#VALUE!</v>
      </c>
      <c r="W43" s="2" t="e">
        <f t="shared" si="12"/>
        <v>#VALUE!</v>
      </c>
      <c r="X43" t="str">
        <f t="shared" si="13"/>
        <v>D_Grow_Both_0|FY2027</v>
      </c>
    </row>
    <row r="44" spans="1:24" x14ac:dyDescent="0.35">
      <c r="A44" t="str">
        <f>Scenarios!A10</f>
        <v>D_Grow_Both_0</v>
      </c>
      <c r="B44" t="s">
        <v>49</v>
      </c>
      <c r="C44">
        <f>IF(Scenarios!D10=1,0, K44)</f>
        <v>257</v>
      </c>
      <c r="D44">
        <f>IF(Scenarios!E10=1,0, L44)</f>
        <v>553</v>
      </c>
      <c r="E44">
        <f t="shared" si="7"/>
        <v>810</v>
      </c>
      <c r="F44" s="2">
        <f>YearMap!B4</f>
        <v>0</v>
      </c>
      <c r="G44" s="2" t="e">
        <f>YearMap!C4</f>
        <v>#VALUE!</v>
      </c>
      <c r="H44" s="2">
        <f>YearMap!D4</f>
        <v>5917091.843249999</v>
      </c>
      <c r="I44">
        <f>1-BaselineCalc!$B$5</f>
        <v>0.99299999999999999</v>
      </c>
      <c r="J44" t="e">
        <f>Scenarios!G10</f>
        <v>#VALUE!</v>
      </c>
      <c r="K44">
        <f>BaselineCalc!$B$7 + ROUND(Scenarios!L10*Scenarios!F10,0)</f>
        <v>257</v>
      </c>
      <c r="L44">
        <f>BaselineCalc!$B$8 + Scenarios!L10 - ROUND(Scenarios!L10*Scenarios!F10,0)</f>
        <v>553</v>
      </c>
      <c r="M44">
        <f t="shared" si="8"/>
        <v>0</v>
      </c>
      <c r="N44">
        <f>BaselineCalc!$B$11 * M44</f>
        <v>0</v>
      </c>
      <c r="O44">
        <f>YearMap!E4</f>
        <v>600</v>
      </c>
      <c r="P44">
        <f>IF(Scenarios!N10="lease", YearMap!F4, YearMap!G4)</f>
        <v>0.2</v>
      </c>
      <c r="Q44" s="2" t="e">
        <f>IF(Scenarios!D10=1, P44*G44, G44)</f>
        <v>#VALUE!</v>
      </c>
      <c r="R44" s="2">
        <f>IF(Scenarios!E10=1, P44*H44, H44)</f>
        <v>5917091.843249999</v>
      </c>
      <c r="S44" s="2">
        <f>IF(B44="FY2026", (Scenarios!D10+Scenarios!E10)*BaselineCalc!$B$10, 0)</f>
        <v>0</v>
      </c>
      <c r="T44" s="2" t="e">
        <f t="shared" si="9"/>
        <v>#VALUE!</v>
      </c>
      <c r="U44" s="2">
        <f t="shared" si="10"/>
        <v>0</v>
      </c>
      <c r="V44" s="2" t="e">
        <f t="shared" si="11"/>
        <v>#VALUE!</v>
      </c>
      <c r="W44" s="2" t="e">
        <f t="shared" si="12"/>
        <v>#VALUE!</v>
      </c>
      <c r="X44" t="str">
        <f t="shared" si="13"/>
        <v>D_Grow_Both_0|FY2028</v>
      </c>
    </row>
    <row r="45" spans="1:24" x14ac:dyDescent="0.35">
      <c r="A45" t="str">
        <f>Scenarios!A10</f>
        <v>D_Grow_Both_0</v>
      </c>
      <c r="B45" t="s">
        <v>50</v>
      </c>
      <c r="C45">
        <f>IF(Scenarios!D10=1,0, K45)</f>
        <v>257</v>
      </c>
      <c r="D45">
        <f>IF(Scenarios!E10=1,0, L45)</f>
        <v>553</v>
      </c>
      <c r="E45">
        <f t="shared" si="7"/>
        <v>810</v>
      </c>
      <c r="F45" s="2">
        <f>YearMap!B5</f>
        <v>0</v>
      </c>
      <c r="G45" s="2" t="e">
        <f>YearMap!C5</f>
        <v>#VALUE!</v>
      </c>
      <c r="H45" s="2">
        <f>YearMap!D5</f>
        <v>6065019.1393312486</v>
      </c>
      <c r="I45">
        <f>1-BaselineCalc!$B$5</f>
        <v>0.99299999999999999</v>
      </c>
      <c r="J45" t="e">
        <f>Scenarios!G10</f>
        <v>#VALUE!</v>
      </c>
      <c r="K45">
        <f>BaselineCalc!$B$7 + ROUND(Scenarios!M10*Scenarios!F10,0)</f>
        <v>257</v>
      </c>
      <c r="L45">
        <f>BaselineCalc!$B$8 + Scenarios!M10 - ROUND(Scenarios!M10*Scenarios!F10,0)</f>
        <v>553</v>
      </c>
      <c r="M45">
        <f t="shared" si="8"/>
        <v>0</v>
      </c>
      <c r="N45">
        <f>BaselineCalc!$B$11 * M45</f>
        <v>0</v>
      </c>
      <c r="O45">
        <f>YearMap!E5</f>
        <v>400</v>
      </c>
      <c r="P45">
        <f>IF(Scenarios!N10="lease", YearMap!F5, YearMap!G5)</f>
        <v>0.1</v>
      </c>
      <c r="Q45" s="2" t="e">
        <f>IF(Scenarios!D10=1, P45*G45, G45)</f>
        <v>#VALUE!</v>
      </c>
      <c r="R45" s="2">
        <f>IF(Scenarios!E10=1, P45*H45, H45)</f>
        <v>6065019.1393312486</v>
      </c>
      <c r="S45" s="2">
        <f>IF(B45="FY2026", (Scenarios!D10+Scenarios!E10)*BaselineCalc!$B$10, 0)</f>
        <v>0</v>
      </c>
      <c r="T45" s="2" t="e">
        <f t="shared" si="9"/>
        <v>#VALUE!</v>
      </c>
      <c r="U45" s="2">
        <f t="shared" si="10"/>
        <v>0</v>
      </c>
      <c r="V45" s="2" t="e">
        <f t="shared" si="11"/>
        <v>#VALUE!</v>
      </c>
      <c r="W45" s="2" t="e">
        <f t="shared" si="12"/>
        <v>#VALUE!</v>
      </c>
      <c r="X45" t="str">
        <f t="shared" si="13"/>
        <v>D_Grow_Both_0|FY2029</v>
      </c>
    </row>
    <row r="46" spans="1:24" x14ac:dyDescent="0.35">
      <c r="A46" t="str">
        <f>Scenarios!A10</f>
        <v>D_Grow_Both_0</v>
      </c>
      <c r="B46" t="s">
        <v>51</v>
      </c>
      <c r="C46" t="e">
        <f>IF(Scenarios!D10=1,0, K46)</f>
        <v>#VALUE!</v>
      </c>
      <c r="D46" t="e">
        <f>IF(Scenarios!E10=1,0, L46)</f>
        <v>#VALUE!</v>
      </c>
      <c r="E46" t="e">
        <f t="shared" si="7"/>
        <v>#VALUE!</v>
      </c>
      <c r="F46" s="2">
        <f>YearMap!B6</f>
        <v>0</v>
      </c>
      <c r="G46" s="2" t="e">
        <f>YearMap!C6</f>
        <v>#VALUE!</v>
      </c>
      <c r="H46" s="2">
        <f>YearMap!D6</f>
        <v>6216644.6178145297</v>
      </c>
      <c r="I46">
        <f>1-BaselineCalc!$B$5</f>
        <v>0.99299999999999999</v>
      </c>
      <c r="J46" t="e">
        <f>Scenarios!G10</f>
        <v>#VALUE!</v>
      </c>
      <c r="K46" t="e">
        <f>BaselineCalc!$B$7 + ROUND(Scenarios!N10*Scenarios!F10,0)</f>
        <v>#VALUE!</v>
      </c>
      <c r="L46" t="e">
        <f>BaselineCalc!$B$8 + Scenarios!N10 - ROUND(Scenarios!N10*Scenarios!F10,0)</f>
        <v>#VALUE!</v>
      </c>
      <c r="M46" t="e">
        <f t="shared" si="8"/>
        <v>#VALUE!</v>
      </c>
      <c r="N46" t="e">
        <f>BaselineCalc!$B$11 * M46</f>
        <v>#VALUE!</v>
      </c>
      <c r="O46">
        <f>YearMap!E6</f>
        <v>300</v>
      </c>
      <c r="P46">
        <f>IF(Scenarios!N10="lease", YearMap!F6, YearMap!G6)</f>
        <v>0</v>
      </c>
      <c r="Q46" s="2" t="e">
        <f>IF(Scenarios!D10=1, P46*G46, G46)</f>
        <v>#VALUE!</v>
      </c>
      <c r="R46" s="2">
        <f>IF(Scenarios!E10=1, P46*H46, H46)</f>
        <v>6216644.6178145297</v>
      </c>
      <c r="S46" s="2">
        <f>IF(B46="FY2026", (Scenarios!D10+Scenarios!E10)*BaselineCalc!$B$10, 0)</f>
        <v>0</v>
      </c>
      <c r="T46" s="2" t="e">
        <f t="shared" si="9"/>
        <v>#VALUE!</v>
      </c>
      <c r="U46" s="2" t="e">
        <f t="shared" si="10"/>
        <v>#VALUE!</v>
      </c>
      <c r="V46" s="2" t="e">
        <f t="shared" si="11"/>
        <v>#VALUE!</v>
      </c>
      <c r="W46" s="2" t="e">
        <f t="shared" si="12"/>
        <v>#VALUE!</v>
      </c>
      <c r="X46" t="str">
        <f t="shared" si="13"/>
        <v>D_Grow_Both_0|FY2030</v>
      </c>
    </row>
    <row r="47" spans="1:24" x14ac:dyDescent="0.35">
      <c r="A47" t="str">
        <f>Scenarios!A11</f>
        <v>D_Grow_Both_0</v>
      </c>
      <c r="B47" t="s">
        <v>47</v>
      </c>
      <c r="C47">
        <f>IF(Scenarios!D11=1,0, K47)</f>
        <v>257</v>
      </c>
      <c r="D47">
        <f>IF(Scenarios!E11=1,0, L47)</f>
        <v>553</v>
      </c>
      <c r="E47">
        <f t="shared" si="7"/>
        <v>810</v>
      </c>
      <c r="F47" s="2">
        <f>YearMap!B2</f>
        <v>0</v>
      </c>
      <c r="G47" s="2" t="e">
        <f>YearMap!C2</f>
        <v>#VALUE!</v>
      </c>
      <c r="H47" s="2">
        <f>YearMap!D2</f>
        <v>5631973.1999999993</v>
      </c>
      <c r="I47">
        <f>1-BaselineCalc!$B$5</f>
        <v>0.99299999999999999</v>
      </c>
      <c r="J47" t="e">
        <f>Scenarios!G11</f>
        <v>#VALUE!</v>
      </c>
      <c r="K47">
        <f>BaselineCalc!$B$7 + ROUND(Scenarios!J11*Scenarios!F11,0)</f>
        <v>257</v>
      </c>
      <c r="L47">
        <f>BaselineCalc!$B$8 + Scenarios!J11 - ROUND(Scenarios!J11*Scenarios!F11,0)</f>
        <v>553</v>
      </c>
      <c r="M47">
        <f t="shared" si="8"/>
        <v>0</v>
      </c>
      <c r="N47">
        <f>BaselineCalc!$B$11 * M47</f>
        <v>0</v>
      </c>
      <c r="O47">
        <f>YearMap!E2</f>
        <v>1000</v>
      </c>
      <c r="P47">
        <f>IF(Scenarios!N11="lease", YearMap!F2, YearMap!G2)</f>
        <v>0.4</v>
      </c>
      <c r="Q47" s="2" t="e">
        <f>IF(Scenarios!D11=1, P47*G47, G47)</f>
        <v>#VALUE!</v>
      </c>
      <c r="R47" s="2">
        <f>IF(Scenarios!E11=1, P47*H47, H47)</f>
        <v>5631973.1999999993</v>
      </c>
      <c r="S47" s="2">
        <f>IF(B47="FY2026", (Scenarios!D11+Scenarios!E11)*BaselineCalc!$B$10, 0)</f>
        <v>1018800000</v>
      </c>
      <c r="T47" s="2" t="e">
        <f t="shared" si="9"/>
        <v>#VALUE!</v>
      </c>
      <c r="U47" s="2">
        <f t="shared" si="10"/>
        <v>0</v>
      </c>
      <c r="V47" s="2" t="e">
        <f t="shared" si="11"/>
        <v>#VALUE!</v>
      </c>
      <c r="W47" s="2" t="e">
        <f t="shared" si="12"/>
        <v>#VALUE!</v>
      </c>
      <c r="X47" t="str">
        <f t="shared" si="13"/>
        <v>D_Grow_Both_0|FY2026</v>
      </c>
    </row>
    <row r="48" spans="1:24" x14ac:dyDescent="0.35">
      <c r="A48" t="str">
        <f>Scenarios!A11</f>
        <v>D_Grow_Both_0</v>
      </c>
      <c r="B48" t="s">
        <v>48</v>
      </c>
      <c r="C48">
        <f>IF(Scenarios!D11=1,0, K48)</f>
        <v>257</v>
      </c>
      <c r="D48">
        <f>IF(Scenarios!E11=1,0, L48)</f>
        <v>553</v>
      </c>
      <c r="E48">
        <f t="shared" si="7"/>
        <v>810</v>
      </c>
      <c r="F48" s="2">
        <f>YearMap!B3</f>
        <v>0</v>
      </c>
      <c r="G48" s="2" t="e">
        <f>YearMap!C3</f>
        <v>#VALUE!</v>
      </c>
      <c r="H48" s="2">
        <f>YearMap!D3</f>
        <v>5772772.5299999993</v>
      </c>
      <c r="I48">
        <f>1-BaselineCalc!$B$5</f>
        <v>0.99299999999999999</v>
      </c>
      <c r="J48" t="e">
        <f>Scenarios!G11</f>
        <v>#VALUE!</v>
      </c>
      <c r="K48">
        <f>BaselineCalc!$B$7 + ROUND(Scenarios!K11*Scenarios!F11,0)</f>
        <v>257</v>
      </c>
      <c r="L48">
        <f>BaselineCalc!$B$8 + Scenarios!K11 - ROUND(Scenarios!K11*Scenarios!F11,0)</f>
        <v>553</v>
      </c>
      <c r="M48">
        <f t="shared" si="8"/>
        <v>0</v>
      </c>
      <c r="N48">
        <f>BaselineCalc!$B$11 * M48</f>
        <v>0</v>
      </c>
      <c r="O48">
        <f>YearMap!E3</f>
        <v>800</v>
      </c>
      <c r="P48">
        <f>IF(Scenarios!N11="lease", YearMap!F3, YearMap!G3)</f>
        <v>0.35</v>
      </c>
      <c r="Q48" s="2" t="e">
        <f>IF(Scenarios!D11=1, P48*G48, G48)</f>
        <v>#VALUE!</v>
      </c>
      <c r="R48" s="2">
        <f>IF(Scenarios!E11=1, P48*H48, H48)</f>
        <v>5772772.5299999993</v>
      </c>
      <c r="S48" s="2">
        <f>IF(B48="FY2026", (Scenarios!D11+Scenarios!E11)*BaselineCalc!$B$10, 0)</f>
        <v>0</v>
      </c>
      <c r="T48" s="2" t="e">
        <f t="shared" si="9"/>
        <v>#VALUE!</v>
      </c>
      <c r="U48" s="2">
        <f t="shared" si="10"/>
        <v>0</v>
      </c>
      <c r="V48" s="2" t="e">
        <f t="shared" si="11"/>
        <v>#VALUE!</v>
      </c>
      <c r="W48" s="2" t="e">
        <f t="shared" si="12"/>
        <v>#VALUE!</v>
      </c>
      <c r="X48" t="str">
        <f t="shared" si="13"/>
        <v>D_Grow_Both_0|FY2027</v>
      </c>
    </row>
    <row r="49" spans="1:24" x14ac:dyDescent="0.35">
      <c r="A49" t="str">
        <f>Scenarios!A11</f>
        <v>D_Grow_Both_0</v>
      </c>
      <c r="B49" t="s">
        <v>49</v>
      </c>
      <c r="C49">
        <f>IF(Scenarios!D11=1,0, K49)</f>
        <v>257</v>
      </c>
      <c r="D49">
        <f>IF(Scenarios!E11=1,0, L49)</f>
        <v>553</v>
      </c>
      <c r="E49">
        <f t="shared" si="7"/>
        <v>810</v>
      </c>
      <c r="F49" s="2">
        <f>YearMap!B4</f>
        <v>0</v>
      </c>
      <c r="G49" s="2" t="e">
        <f>YearMap!C4</f>
        <v>#VALUE!</v>
      </c>
      <c r="H49" s="2">
        <f>YearMap!D4</f>
        <v>5917091.843249999</v>
      </c>
      <c r="I49">
        <f>1-BaselineCalc!$B$5</f>
        <v>0.99299999999999999</v>
      </c>
      <c r="J49" t="e">
        <f>Scenarios!G11</f>
        <v>#VALUE!</v>
      </c>
      <c r="K49">
        <f>BaselineCalc!$B$7 + ROUND(Scenarios!L11*Scenarios!F11,0)</f>
        <v>257</v>
      </c>
      <c r="L49">
        <f>BaselineCalc!$B$8 + Scenarios!L11 - ROUND(Scenarios!L11*Scenarios!F11,0)</f>
        <v>553</v>
      </c>
      <c r="M49">
        <f t="shared" si="8"/>
        <v>0</v>
      </c>
      <c r="N49">
        <f>BaselineCalc!$B$11 * M49</f>
        <v>0</v>
      </c>
      <c r="O49">
        <f>YearMap!E4</f>
        <v>600</v>
      </c>
      <c r="P49">
        <f>IF(Scenarios!N11="lease", YearMap!F4, YearMap!G4)</f>
        <v>0.3</v>
      </c>
      <c r="Q49" s="2" t="e">
        <f>IF(Scenarios!D11=1, P49*G49, G49)</f>
        <v>#VALUE!</v>
      </c>
      <c r="R49" s="2">
        <f>IF(Scenarios!E11=1, P49*H49, H49)</f>
        <v>5917091.843249999</v>
      </c>
      <c r="S49" s="2">
        <f>IF(B49="FY2026", (Scenarios!D11+Scenarios!E11)*BaselineCalc!$B$10, 0)</f>
        <v>0</v>
      </c>
      <c r="T49" s="2" t="e">
        <f t="shared" si="9"/>
        <v>#VALUE!</v>
      </c>
      <c r="U49" s="2">
        <f t="shared" si="10"/>
        <v>0</v>
      </c>
      <c r="V49" s="2" t="e">
        <f t="shared" si="11"/>
        <v>#VALUE!</v>
      </c>
      <c r="W49" s="2" t="e">
        <f t="shared" si="12"/>
        <v>#VALUE!</v>
      </c>
      <c r="X49" t="str">
        <f t="shared" si="13"/>
        <v>D_Grow_Both_0|FY2028</v>
      </c>
    </row>
    <row r="50" spans="1:24" x14ac:dyDescent="0.35">
      <c r="A50" t="str">
        <f>Scenarios!A11</f>
        <v>D_Grow_Both_0</v>
      </c>
      <c r="B50" t="s">
        <v>50</v>
      </c>
      <c r="C50">
        <f>IF(Scenarios!D11=1,0, K50)</f>
        <v>257</v>
      </c>
      <c r="D50">
        <f>IF(Scenarios!E11=1,0, L50)</f>
        <v>553</v>
      </c>
      <c r="E50">
        <f t="shared" si="7"/>
        <v>810</v>
      </c>
      <c r="F50" s="2">
        <f>YearMap!B5</f>
        <v>0</v>
      </c>
      <c r="G50" s="2" t="e">
        <f>YearMap!C5</f>
        <v>#VALUE!</v>
      </c>
      <c r="H50" s="2">
        <f>YearMap!D5</f>
        <v>6065019.1393312486</v>
      </c>
      <c r="I50">
        <f>1-BaselineCalc!$B$5</f>
        <v>0.99299999999999999</v>
      </c>
      <c r="J50" t="e">
        <f>Scenarios!G11</f>
        <v>#VALUE!</v>
      </c>
      <c r="K50">
        <f>BaselineCalc!$B$7 + ROUND(Scenarios!M11*Scenarios!F11,0)</f>
        <v>257</v>
      </c>
      <c r="L50">
        <f>BaselineCalc!$B$8 + Scenarios!M11 - ROUND(Scenarios!M11*Scenarios!F11,0)</f>
        <v>553</v>
      </c>
      <c r="M50">
        <f t="shared" si="8"/>
        <v>0</v>
      </c>
      <c r="N50">
        <f>BaselineCalc!$B$11 * M50</f>
        <v>0</v>
      </c>
      <c r="O50">
        <f>YearMap!E5</f>
        <v>400</v>
      </c>
      <c r="P50">
        <f>IF(Scenarios!N11="lease", YearMap!F5, YearMap!G5)</f>
        <v>0.25</v>
      </c>
      <c r="Q50" s="2" t="e">
        <f>IF(Scenarios!D11=1, P50*G50, G50)</f>
        <v>#VALUE!</v>
      </c>
      <c r="R50" s="2">
        <f>IF(Scenarios!E11=1, P50*H50, H50)</f>
        <v>6065019.1393312486</v>
      </c>
      <c r="S50" s="2">
        <f>IF(B50="FY2026", (Scenarios!D11+Scenarios!E11)*BaselineCalc!$B$10, 0)</f>
        <v>0</v>
      </c>
      <c r="T50" s="2" t="e">
        <f t="shared" si="9"/>
        <v>#VALUE!</v>
      </c>
      <c r="U50" s="2">
        <f t="shared" si="10"/>
        <v>0</v>
      </c>
      <c r="V50" s="2" t="e">
        <f t="shared" si="11"/>
        <v>#VALUE!</v>
      </c>
      <c r="W50" s="2" t="e">
        <f t="shared" si="12"/>
        <v>#VALUE!</v>
      </c>
      <c r="X50" t="str">
        <f t="shared" si="13"/>
        <v>D_Grow_Both_0|FY2029</v>
      </c>
    </row>
    <row r="51" spans="1:24" x14ac:dyDescent="0.35">
      <c r="A51" t="str">
        <f>Scenarios!A11</f>
        <v>D_Grow_Both_0</v>
      </c>
      <c r="B51" t="s">
        <v>51</v>
      </c>
      <c r="C51" t="e">
        <f>IF(Scenarios!D11=1,0, K51)</f>
        <v>#VALUE!</v>
      </c>
      <c r="D51" t="e">
        <f>IF(Scenarios!E11=1,0, L51)</f>
        <v>#VALUE!</v>
      </c>
      <c r="E51" t="e">
        <f t="shared" si="7"/>
        <v>#VALUE!</v>
      </c>
      <c r="F51" s="2">
        <f>YearMap!B6</f>
        <v>0</v>
      </c>
      <c r="G51" s="2" t="e">
        <f>YearMap!C6</f>
        <v>#VALUE!</v>
      </c>
      <c r="H51" s="2">
        <f>YearMap!D6</f>
        <v>6216644.6178145297</v>
      </c>
      <c r="I51">
        <f>1-BaselineCalc!$B$5</f>
        <v>0.99299999999999999</v>
      </c>
      <c r="J51" t="e">
        <f>Scenarios!G11</f>
        <v>#VALUE!</v>
      </c>
      <c r="K51" t="e">
        <f>BaselineCalc!$B$7 + ROUND(Scenarios!N11*Scenarios!F11,0)</f>
        <v>#VALUE!</v>
      </c>
      <c r="L51" t="e">
        <f>BaselineCalc!$B$8 + Scenarios!N11 - ROUND(Scenarios!N11*Scenarios!F11,0)</f>
        <v>#VALUE!</v>
      </c>
      <c r="M51" t="e">
        <f t="shared" si="8"/>
        <v>#VALUE!</v>
      </c>
      <c r="N51" t="e">
        <f>BaselineCalc!$B$11 * M51</f>
        <v>#VALUE!</v>
      </c>
      <c r="O51">
        <f>YearMap!E6</f>
        <v>300</v>
      </c>
      <c r="P51">
        <f>IF(Scenarios!N11="lease", YearMap!F6, YearMap!G6)</f>
        <v>0.2</v>
      </c>
      <c r="Q51" s="2" t="e">
        <f>IF(Scenarios!D11=1, P51*G51, G51)</f>
        <v>#VALUE!</v>
      </c>
      <c r="R51" s="2">
        <f>IF(Scenarios!E11=1, P51*H51, H51)</f>
        <v>6216644.6178145297</v>
      </c>
      <c r="S51" s="2">
        <f>IF(B51="FY2026", (Scenarios!D11+Scenarios!E11)*BaselineCalc!$B$10, 0)</f>
        <v>0</v>
      </c>
      <c r="T51" s="2" t="e">
        <f t="shared" si="9"/>
        <v>#VALUE!</v>
      </c>
      <c r="U51" s="2" t="e">
        <f t="shared" si="10"/>
        <v>#VALUE!</v>
      </c>
      <c r="V51" s="2" t="e">
        <f t="shared" si="11"/>
        <v>#VALUE!</v>
      </c>
      <c r="W51" s="2" t="e">
        <f t="shared" si="12"/>
        <v>#VALUE!</v>
      </c>
      <c r="X51" t="str">
        <f t="shared" si="13"/>
        <v>D_Grow_Both_0|FY2030</v>
      </c>
    </row>
    <row r="52" spans="1:24" x14ac:dyDescent="0.35">
      <c r="A52" t="str">
        <f>Scenarios!A12</f>
        <v>D_Grow_Both_0</v>
      </c>
      <c r="B52" t="s">
        <v>47</v>
      </c>
      <c r="C52">
        <f>IF(Scenarios!D12=1,0, K52)</f>
        <v>257</v>
      </c>
      <c r="D52">
        <f>IF(Scenarios!E12=1,0, L52)</f>
        <v>553</v>
      </c>
      <c r="E52">
        <f t="shared" si="7"/>
        <v>810</v>
      </c>
      <c r="F52" s="2">
        <f>YearMap!B2</f>
        <v>0</v>
      </c>
      <c r="G52" s="2" t="e">
        <f>YearMap!C2</f>
        <v>#VALUE!</v>
      </c>
      <c r="H52" s="2">
        <f>YearMap!D2</f>
        <v>5631973.1999999993</v>
      </c>
      <c r="I52">
        <f>1-BaselineCalc!$B$5</f>
        <v>0.99299999999999999</v>
      </c>
      <c r="J52" t="e">
        <f>Scenarios!G12</f>
        <v>#VALUE!</v>
      </c>
      <c r="K52">
        <f>BaselineCalc!$B$7 + ROUND(Scenarios!J12*Scenarios!F12,0)</f>
        <v>257</v>
      </c>
      <c r="L52">
        <f>BaselineCalc!$B$8 + Scenarios!J12 - ROUND(Scenarios!J12*Scenarios!F12,0)</f>
        <v>553</v>
      </c>
      <c r="M52">
        <f t="shared" si="8"/>
        <v>0</v>
      </c>
      <c r="N52">
        <f>BaselineCalc!$B$11 * M52</f>
        <v>0</v>
      </c>
      <c r="O52">
        <f>YearMap!E2</f>
        <v>1000</v>
      </c>
      <c r="P52">
        <f>IF(Scenarios!N12="lease", YearMap!F2, YearMap!G2)</f>
        <v>0.4</v>
      </c>
      <c r="Q52" s="2" t="e">
        <f>IF(Scenarios!D12=1, P52*G52, G52)</f>
        <v>#VALUE!</v>
      </c>
      <c r="R52" s="2">
        <f>IF(Scenarios!E12=1, P52*H52, H52)</f>
        <v>5631973.1999999993</v>
      </c>
      <c r="S52" s="2">
        <f>IF(B52="FY2026", (Scenarios!D12+Scenarios!E12)*BaselineCalc!$B$10, 0)</f>
        <v>1018800000</v>
      </c>
      <c r="T52" s="2" t="e">
        <f t="shared" si="9"/>
        <v>#VALUE!</v>
      </c>
      <c r="U52" s="2">
        <f t="shared" si="10"/>
        <v>0</v>
      </c>
      <c r="V52" s="2" t="e">
        <f t="shared" si="11"/>
        <v>#VALUE!</v>
      </c>
      <c r="W52" s="2" t="e">
        <f t="shared" si="12"/>
        <v>#VALUE!</v>
      </c>
      <c r="X52" t="str">
        <f t="shared" si="13"/>
        <v>D_Grow_Both_0|FY2026</v>
      </c>
    </row>
    <row r="53" spans="1:24" x14ac:dyDescent="0.35">
      <c r="A53" t="str">
        <f>Scenarios!A12</f>
        <v>D_Grow_Both_0</v>
      </c>
      <c r="B53" t="s">
        <v>48</v>
      </c>
      <c r="C53">
        <f>IF(Scenarios!D12=1,0, K53)</f>
        <v>257</v>
      </c>
      <c r="D53">
        <f>IF(Scenarios!E12=1,0, L53)</f>
        <v>553</v>
      </c>
      <c r="E53">
        <f t="shared" si="7"/>
        <v>810</v>
      </c>
      <c r="F53" s="2">
        <f>YearMap!B3</f>
        <v>0</v>
      </c>
      <c r="G53" s="2" t="e">
        <f>YearMap!C3</f>
        <v>#VALUE!</v>
      </c>
      <c r="H53" s="2">
        <f>YearMap!D3</f>
        <v>5772772.5299999993</v>
      </c>
      <c r="I53">
        <f>1-BaselineCalc!$B$5</f>
        <v>0.99299999999999999</v>
      </c>
      <c r="J53" t="e">
        <f>Scenarios!G12</f>
        <v>#VALUE!</v>
      </c>
      <c r="K53">
        <f>BaselineCalc!$B$7 + ROUND(Scenarios!K12*Scenarios!F12,0)</f>
        <v>257</v>
      </c>
      <c r="L53">
        <f>BaselineCalc!$B$8 + Scenarios!K12 - ROUND(Scenarios!K12*Scenarios!F12,0)</f>
        <v>553</v>
      </c>
      <c r="M53">
        <f t="shared" si="8"/>
        <v>0</v>
      </c>
      <c r="N53">
        <f>BaselineCalc!$B$11 * M53</f>
        <v>0</v>
      </c>
      <c r="O53">
        <f>YearMap!E3</f>
        <v>800</v>
      </c>
      <c r="P53">
        <f>IF(Scenarios!N12="lease", YearMap!F3, YearMap!G3)</f>
        <v>0.3</v>
      </c>
      <c r="Q53" s="2" t="e">
        <f>IF(Scenarios!D12=1, P53*G53, G53)</f>
        <v>#VALUE!</v>
      </c>
      <c r="R53" s="2">
        <f>IF(Scenarios!E12=1, P53*H53, H53)</f>
        <v>5772772.5299999993</v>
      </c>
      <c r="S53" s="2">
        <f>IF(B53="FY2026", (Scenarios!D12+Scenarios!E12)*BaselineCalc!$B$10, 0)</f>
        <v>0</v>
      </c>
      <c r="T53" s="2" t="e">
        <f t="shared" si="9"/>
        <v>#VALUE!</v>
      </c>
      <c r="U53" s="2">
        <f t="shared" si="10"/>
        <v>0</v>
      </c>
      <c r="V53" s="2" t="e">
        <f t="shared" si="11"/>
        <v>#VALUE!</v>
      </c>
      <c r="W53" s="2" t="e">
        <f t="shared" si="12"/>
        <v>#VALUE!</v>
      </c>
      <c r="X53" t="str">
        <f t="shared" si="13"/>
        <v>D_Grow_Both_0|FY2027</v>
      </c>
    </row>
    <row r="54" spans="1:24" x14ac:dyDescent="0.35">
      <c r="A54" t="str">
        <f>Scenarios!A12</f>
        <v>D_Grow_Both_0</v>
      </c>
      <c r="B54" t="s">
        <v>49</v>
      </c>
      <c r="C54">
        <f>IF(Scenarios!D12=1,0, K54)</f>
        <v>257</v>
      </c>
      <c r="D54">
        <f>IF(Scenarios!E12=1,0, L54)</f>
        <v>553</v>
      </c>
      <c r="E54">
        <f t="shared" si="7"/>
        <v>810</v>
      </c>
      <c r="F54" s="2">
        <f>YearMap!B4</f>
        <v>0</v>
      </c>
      <c r="G54" s="2" t="e">
        <f>YearMap!C4</f>
        <v>#VALUE!</v>
      </c>
      <c r="H54" s="2">
        <f>YearMap!D4</f>
        <v>5917091.843249999</v>
      </c>
      <c r="I54">
        <f>1-BaselineCalc!$B$5</f>
        <v>0.99299999999999999</v>
      </c>
      <c r="J54" t="e">
        <f>Scenarios!G12</f>
        <v>#VALUE!</v>
      </c>
      <c r="K54">
        <f>BaselineCalc!$B$7 + ROUND(Scenarios!L12*Scenarios!F12,0)</f>
        <v>257</v>
      </c>
      <c r="L54">
        <f>BaselineCalc!$B$8 + Scenarios!L12 - ROUND(Scenarios!L12*Scenarios!F12,0)</f>
        <v>553</v>
      </c>
      <c r="M54">
        <f t="shared" si="8"/>
        <v>0</v>
      </c>
      <c r="N54">
        <f>BaselineCalc!$B$11 * M54</f>
        <v>0</v>
      </c>
      <c r="O54">
        <f>YearMap!E4</f>
        <v>600</v>
      </c>
      <c r="P54">
        <f>IF(Scenarios!N12="lease", YearMap!F4, YearMap!G4)</f>
        <v>0.2</v>
      </c>
      <c r="Q54" s="2" t="e">
        <f>IF(Scenarios!D12=1, P54*G54, G54)</f>
        <v>#VALUE!</v>
      </c>
      <c r="R54" s="2">
        <f>IF(Scenarios!E12=1, P54*H54, H54)</f>
        <v>5917091.843249999</v>
      </c>
      <c r="S54" s="2">
        <f>IF(B54="FY2026", (Scenarios!D12+Scenarios!E12)*BaselineCalc!$B$10, 0)</f>
        <v>0</v>
      </c>
      <c r="T54" s="2" t="e">
        <f t="shared" si="9"/>
        <v>#VALUE!</v>
      </c>
      <c r="U54" s="2">
        <f t="shared" si="10"/>
        <v>0</v>
      </c>
      <c r="V54" s="2" t="e">
        <f t="shared" si="11"/>
        <v>#VALUE!</v>
      </c>
      <c r="W54" s="2" t="e">
        <f t="shared" si="12"/>
        <v>#VALUE!</v>
      </c>
      <c r="X54" t="str">
        <f t="shared" si="13"/>
        <v>D_Grow_Both_0|FY2028</v>
      </c>
    </row>
    <row r="55" spans="1:24" x14ac:dyDescent="0.35">
      <c r="A55" t="str">
        <f>Scenarios!A12</f>
        <v>D_Grow_Both_0</v>
      </c>
      <c r="B55" t="s">
        <v>50</v>
      </c>
      <c r="C55">
        <f>IF(Scenarios!D12=1,0, K55)</f>
        <v>257</v>
      </c>
      <c r="D55">
        <f>IF(Scenarios!E12=1,0, L55)</f>
        <v>553</v>
      </c>
      <c r="E55">
        <f t="shared" si="7"/>
        <v>810</v>
      </c>
      <c r="F55" s="2">
        <f>YearMap!B5</f>
        <v>0</v>
      </c>
      <c r="G55" s="2" t="e">
        <f>YearMap!C5</f>
        <v>#VALUE!</v>
      </c>
      <c r="H55" s="2">
        <f>YearMap!D5</f>
        <v>6065019.1393312486</v>
      </c>
      <c r="I55">
        <f>1-BaselineCalc!$B$5</f>
        <v>0.99299999999999999</v>
      </c>
      <c r="J55" t="e">
        <f>Scenarios!G12</f>
        <v>#VALUE!</v>
      </c>
      <c r="K55">
        <f>BaselineCalc!$B$7 + ROUND(Scenarios!M12*Scenarios!F12,0)</f>
        <v>257</v>
      </c>
      <c r="L55">
        <f>BaselineCalc!$B$8 + Scenarios!M12 - ROUND(Scenarios!M12*Scenarios!F12,0)</f>
        <v>553</v>
      </c>
      <c r="M55">
        <f t="shared" si="8"/>
        <v>0</v>
      </c>
      <c r="N55">
        <f>BaselineCalc!$B$11 * M55</f>
        <v>0</v>
      </c>
      <c r="O55">
        <f>YearMap!E5</f>
        <v>400</v>
      </c>
      <c r="P55">
        <f>IF(Scenarios!N12="lease", YearMap!F5, YearMap!G5)</f>
        <v>0.1</v>
      </c>
      <c r="Q55" s="2" t="e">
        <f>IF(Scenarios!D12=1, P55*G55, G55)</f>
        <v>#VALUE!</v>
      </c>
      <c r="R55" s="2">
        <f>IF(Scenarios!E12=1, P55*H55, H55)</f>
        <v>6065019.1393312486</v>
      </c>
      <c r="S55" s="2">
        <f>IF(B55="FY2026", (Scenarios!D12+Scenarios!E12)*BaselineCalc!$B$10, 0)</f>
        <v>0</v>
      </c>
      <c r="T55" s="2" t="e">
        <f t="shared" si="9"/>
        <v>#VALUE!</v>
      </c>
      <c r="U55" s="2">
        <f t="shared" si="10"/>
        <v>0</v>
      </c>
      <c r="V55" s="2" t="e">
        <f t="shared" si="11"/>
        <v>#VALUE!</v>
      </c>
      <c r="W55" s="2" t="e">
        <f t="shared" si="12"/>
        <v>#VALUE!</v>
      </c>
      <c r="X55" t="str">
        <f t="shared" si="13"/>
        <v>D_Grow_Both_0|FY2029</v>
      </c>
    </row>
    <row r="56" spans="1:24" x14ac:dyDescent="0.35">
      <c r="A56" t="str">
        <f>Scenarios!A12</f>
        <v>D_Grow_Both_0</v>
      </c>
      <c r="B56" t="s">
        <v>51</v>
      </c>
      <c r="C56" t="e">
        <f>IF(Scenarios!D12=1,0, K56)</f>
        <v>#VALUE!</v>
      </c>
      <c r="D56" t="e">
        <f>IF(Scenarios!E12=1,0, L56)</f>
        <v>#VALUE!</v>
      </c>
      <c r="E56" t="e">
        <f t="shared" si="7"/>
        <v>#VALUE!</v>
      </c>
      <c r="F56" s="2">
        <f>YearMap!B6</f>
        <v>0</v>
      </c>
      <c r="G56" s="2" t="e">
        <f>YearMap!C6</f>
        <v>#VALUE!</v>
      </c>
      <c r="H56" s="2">
        <f>YearMap!D6</f>
        <v>6216644.6178145297</v>
      </c>
      <c r="I56">
        <f>1-BaselineCalc!$B$5</f>
        <v>0.99299999999999999</v>
      </c>
      <c r="J56" t="e">
        <f>Scenarios!G12</f>
        <v>#VALUE!</v>
      </c>
      <c r="K56" t="e">
        <f>BaselineCalc!$B$7 + ROUND(Scenarios!N12*Scenarios!F12,0)</f>
        <v>#VALUE!</v>
      </c>
      <c r="L56" t="e">
        <f>BaselineCalc!$B$8 + Scenarios!N12 - ROUND(Scenarios!N12*Scenarios!F12,0)</f>
        <v>#VALUE!</v>
      </c>
      <c r="M56" t="e">
        <f t="shared" si="8"/>
        <v>#VALUE!</v>
      </c>
      <c r="N56" t="e">
        <f>BaselineCalc!$B$11 * M56</f>
        <v>#VALUE!</v>
      </c>
      <c r="O56">
        <f>YearMap!E6</f>
        <v>300</v>
      </c>
      <c r="P56">
        <f>IF(Scenarios!N12="lease", YearMap!F6, YearMap!G6)</f>
        <v>0</v>
      </c>
      <c r="Q56" s="2" t="e">
        <f>IF(Scenarios!D12=1, P56*G56, G56)</f>
        <v>#VALUE!</v>
      </c>
      <c r="R56" s="2">
        <f>IF(Scenarios!E12=1, P56*H56, H56)</f>
        <v>6216644.6178145297</v>
      </c>
      <c r="S56" s="2">
        <f>IF(B56="FY2026", (Scenarios!D12+Scenarios!E12)*BaselineCalc!$B$10, 0)</f>
        <v>0</v>
      </c>
      <c r="T56" s="2" t="e">
        <f t="shared" si="9"/>
        <v>#VALUE!</v>
      </c>
      <c r="U56" s="2" t="e">
        <f t="shared" si="10"/>
        <v>#VALUE!</v>
      </c>
      <c r="V56" s="2" t="e">
        <f t="shared" si="11"/>
        <v>#VALUE!</v>
      </c>
      <c r="W56" s="2" t="e">
        <f t="shared" si="12"/>
        <v>#VALUE!</v>
      </c>
      <c r="X56" t="str">
        <f t="shared" si="13"/>
        <v>D_Grow_Both_0|FY2030</v>
      </c>
    </row>
    <row r="57" spans="1:24" x14ac:dyDescent="0.35">
      <c r="A57" t="str">
        <f>Scenarios!A13</f>
        <v>D_Grow_Both_0</v>
      </c>
      <c r="B57" t="s">
        <v>47</v>
      </c>
      <c r="C57">
        <f>IF(Scenarios!D13=1,0, K57)</f>
        <v>257</v>
      </c>
      <c r="D57">
        <f>IF(Scenarios!E13=1,0, L57)</f>
        <v>553</v>
      </c>
      <c r="E57">
        <f t="shared" si="7"/>
        <v>810</v>
      </c>
      <c r="F57" s="2">
        <f>YearMap!B2</f>
        <v>0</v>
      </c>
      <c r="G57" s="2" t="e">
        <f>YearMap!C2</f>
        <v>#VALUE!</v>
      </c>
      <c r="H57" s="2">
        <f>YearMap!D2</f>
        <v>5631973.1999999993</v>
      </c>
      <c r="I57">
        <f>1-BaselineCalc!$B$5</f>
        <v>0.99299999999999999</v>
      </c>
      <c r="J57" t="e">
        <f>Scenarios!G13</f>
        <v>#VALUE!</v>
      </c>
      <c r="K57">
        <f>BaselineCalc!$B$7 + ROUND(Scenarios!J13*Scenarios!F13,0)</f>
        <v>257</v>
      </c>
      <c r="L57">
        <f>BaselineCalc!$B$8 + Scenarios!J13 - ROUND(Scenarios!J13*Scenarios!F13,0)</f>
        <v>553</v>
      </c>
      <c r="M57">
        <f t="shared" si="8"/>
        <v>0</v>
      </c>
      <c r="N57">
        <f>BaselineCalc!$B$11 * M57</f>
        <v>0</v>
      </c>
      <c r="O57">
        <f>YearMap!E2</f>
        <v>1000</v>
      </c>
      <c r="P57">
        <f>IF(Scenarios!N13="lease", YearMap!F2, YearMap!G2)</f>
        <v>0.4</v>
      </c>
      <c r="Q57" s="2" t="e">
        <f>IF(Scenarios!D13=1, P57*G57, G57)</f>
        <v>#VALUE!</v>
      </c>
      <c r="R57" s="2">
        <f>IF(Scenarios!E13=1, P57*H57, H57)</f>
        <v>5631973.1999999993</v>
      </c>
      <c r="S57" s="2">
        <f>IF(B57="FY2026", (Scenarios!D13+Scenarios!E13)*BaselineCalc!$B$10, 0)</f>
        <v>1018800000</v>
      </c>
      <c r="T57" s="2" t="e">
        <f t="shared" si="9"/>
        <v>#VALUE!</v>
      </c>
      <c r="U57" s="2">
        <f t="shared" si="10"/>
        <v>0</v>
      </c>
      <c r="V57" s="2" t="e">
        <f t="shared" si="11"/>
        <v>#VALUE!</v>
      </c>
      <c r="W57" s="2" t="e">
        <f t="shared" si="12"/>
        <v>#VALUE!</v>
      </c>
      <c r="X57" t="str">
        <f t="shared" si="13"/>
        <v>D_Grow_Both_0|FY2026</v>
      </c>
    </row>
    <row r="58" spans="1:24" x14ac:dyDescent="0.35">
      <c r="A58" t="str">
        <f>Scenarios!A13</f>
        <v>D_Grow_Both_0</v>
      </c>
      <c r="B58" t="s">
        <v>48</v>
      </c>
      <c r="C58">
        <f>IF(Scenarios!D13=1,0, K58)</f>
        <v>257</v>
      </c>
      <c r="D58">
        <f>IF(Scenarios!E13=1,0, L58)</f>
        <v>553</v>
      </c>
      <c r="E58">
        <f t="shared" si="7"/>
        <v>810</v>
      </c>
      <c r="F58" s="2">
        <f>YearMap!B3</f>
        <v>0</v>
      </c>
      <c r="G58" s="2" t="e">
        <f>YearMap!C3</f>
        <v>#VALUE!</v>
      </c>
      <c r="H58" s="2">
        <f>YearMap!D3</f>
        <v>5772772.5299999993</v>
      </c>
      <c r="I58">
        <f>1-BaselineCalc!$B$5</f>
        <v>0.99299999999999999</v>
      </c>
      <c r="J58" t="e">
        <f>Scenarios!G13</f>
        <v>#VALUE!</v>
      </c>
      <c r="K58">
        <f>BaselineCalc!$B$7 + ROUND(Scenarios!K13*Scenarios!F13,0)</f>
        <v>257</v>
      </c>
      <c r="L58">
        <f>BaselineCalc!$B$8 + Scenarios!K13 - ROUND(Scenarios!K13*Scenarios!F13,0)</f>
        <v>553</v>
      </c>
      <c r="M58">
        <f t="shared" si="8"/>
        <v>0</v>
      </c>
      <c r="N58">
        <f>BaselineCalc!$B$11 * M58</f>
        <v>0</v>
      </c>
      <c r="O58">
        <f>YearMap!E3</f>
        <v>800</v>
      </c>
      <c r="P58">
        <f>IF(Scenarios!N13="lease", YearMap!F3, YearMap!G3)</f>
        <v>0.35</v>
      </c>
      <c r="Q58" s="2" t="e">
        <f>IF(Scenarios!D13=1, P58*G58, G58)</f>
        <v>#VALUE!</v>
      </c>
      <c r="R58" s="2">
        <f>IF(Scenarios!E13=1, P58*H58, H58)</f>
        <v>5772772.5299999993</v>
      </c>
      <c r="S58" s="2">
        <f>IF(B58="FY2026", (Scenarios!D13+Scenarios!E13)*BaselineCalc!$B$10, 0)</f>
        <v>0</v>
      </c>
      <c r="T58" s="2" t="e">
        <f t="shared" si="9"/>
        <v>#VALUE!</v>
      </c>
      <c r="U58" s="2">
        <f t="shared" si="10"/>
        <v>0</v>
      </c>
      <c r="V58" s="2" t="e">
        <f t="shared" si="11"/>
        <v>#VALUE!</v>
      </c>
      <c r="W58" s="2" t="e">
        <f t="shared" si="12"/>
        <v>#VALUE!</v>
      </c>
      <c r="X58" t="str">
        <f t="shared" si="13"/>
        <v>D_Grow_Both_0|FY2027</v>
      </c>
    </row>
    <row r="59" spans="1:24" x14ac:dyDescent="0.35">
      <c r="A59" t="str">
        <f>Scenarios!A13</f>
        <v>D_Grow_Both_0</v>
      </c>
      <c r="B59" t="s">
        <v>49</v>
      </c>
      <c r="C59">
        <f>IF(Scenarios!D13=1,0, K59)</f>
        <v>257</v>
      </c>
      <c r="D59">
        <f>IF(Scenarios!E13=1,0, L59)</f>
        <v>553</v>
      </c>
      <c r="E59">
        <f t="shared" si="7"/>
        <v>810</v>
      </c>
      <c r="F59" s="2">
        <f>YearMap!B4</f>
        <v>0</v>
      </c>
      <c r="G59" s="2" t="e">
        <f>YearMap!C4</f>
        <v>#VALUE!</v>
      </c>
      <c r="H59" s="2">
        <f>YearMap!D4</f>
        <v>5917091.843249999</v>
      </c>
      <c r="I59">
        <f>1-BaselineCalc!$B$5</f>
        <v>0.99299999999999999</v>
      </c>
      <c r="J59" t="e">
        <f>Scenarios!G13</f>
        <v>#VALUE!</v>
      </c>
      <c r="K59">
        <f>BaselineCalc!$B$7 + ROUND(Scenarios!L13*Scenarios!F13,0)</f>
        <v>257</v>
      </c>
      <c r="L59">
        <f>BaselineCalc!$B$8 + Scenarios!L13 - ROUND(Scenarios!L13*Scenarios!F13,0)</f>
        <v>553</v>
      </c>
      <c r="M59">
        <f t="shared" si="8"/>
        <v>0</v>
      </c>
      <c r="N59">
        <f>BaselineCalc!$B$11 * M59</f>
        <v>0</v>
      </c>
      <c r="O59">
        <f>YearMap!E4</f>
        <v>600</v>
      </c>
      <c r="P59">
        <f>IF(Scenarios!N13="lease", YearMap!F4, YearMap!G4)</f>
        <v>0.3</v>
      </c>
      <c r="Q59" s="2" t="e">
        <f>IF(Scenarios!D13=1, P59*G59, G59)</f>
        <v>#VALUE!</v>
      </c>
      <c r="R59" s="2">
        <f>IF(Scenarios!E13=1, P59*H59, H59)</f>
        <v>5917091.843249999</v>
      </c>
      <c r="S59" s="2">
        <f>IF(B59="FY2026", (Scenarios!D13+Scenarios!E13)*BaselineCalc!$B$10, 0)</f>
        <v>0</v>
      </c>
      <c r="T59" s="2" t="e">
        <f t="shared" si="9"/>
        <v>#VALUE!</v>
      </c>
      <c r="U59" s="2">
        <f t="shared" si="10"/>
        <v>0</v>
      </c>
      <c r="V59" s="2" t="e">
        <f t="shared" si="11"/>
        <v>#VALUE!</v>
      </c>
      <c r="W59" s="2" t="e">
        <f t="shared" si="12"/>
        <v>#VALUE!</v>
      </c>
      <c r="X59" t="str">
        <f t="shared" si="13"/>
        <v>D_Grow_Both_0|FY2028</v>
      </c>
    </row>
    <row r="60" spans="1:24" x14ac:dyDescent="0.35">
      <c r="A60" t="str">
        <f>Scenarios!A13</f>
        <v>D_Grow_Both_0</v>
      </c>
      <c r="B60" t="s">
        <v>50</v>
      </c>
      <c r="C60">
        <f>IF(Scenarios!D13=1,0, K60)</f>
        <v>257</v>
      </c>
      <c r="D60">
        <f>IF(Scenarios!E13=1,0, L60)</f>
        <v>553</v>
      </c>
      <c r="E60">
        <f t="shared" si="7"/>
        <v>810</v>
      </c>
      <c r="F60" s="2">
        <f>YearMap!B5</f>
        <v>0</v>
      </c>
      <c r="G60" s="2" t="e">
        <f>YearMap!C5</f>
        <v>#VALUE!</v>
      </c>
      <c r="H60" s="2">
        <f>YearMap!D5</f>
        <v>6065019.1393312486</v>
      </c>
      <c r="I60">
        <f>1-BaselineCalc!$B$5</f>
        <v>0.99299999999999999</v>
      </c>
      <c r="J60" t="e">
        <f>Scenarios!G13</f>
        <v>#VALUE!</v>
      </c>
      <c r="K60">
        <f>BaselineCalc!$B$7 + ROUND(Scenarios!M13*Scenarios!F13,0)</f>
        <v>257</v>
      </c>
      <c r="L60">
        <f>BaselineCalc!$B$8 + Scenarios!M13 - ROUND(Scenarios!M13*Scenarios!F13,0)</f>
        <v>553</v>
      </c>
      <c r="M60">
        <f t="shared" si="8"/>
        <v>0</v>
      </c>
      <c r="N60">
        <f>BaselineCalc!$B$11 * M60</f>
        <v>0</v>
      </c>
      <c r="O60">
        <f>YearMap!E5</f>
        <v>400</v>
      </c>
      <c r="P60">
        <f>IF(Scenarios!N13="lease", YearMap!F5, YearMap!G5)</f>
        <v>0.25</v>
      </c>
      <c r="Q60" s="2" t="e">
        <f>IF(Scenarios!D13=1, P60*G60, G60)</f>
        <v>#VALUE!</v>
      </c>
      <c r="R60" s="2">
        <f>IF(Scenarios!E13=1, P60*H60, H60)</f>
        <v>6065019.1393312486</v>
      </c>
      <c r="S60" s="2">
        <f>IF(B60="FY2026", (Scenarios!D13+Scenarios!E13)*BaselineCalc!$B$10, 0)</f>
        <v>0</v>
      </c>
      <c r="T60" s="2" t="e">
        <f t="shared" si="9"/>
        <v>#VALUE!</v>
      </c>
      <c r="U60" s="2">
        <f t="shared" si="10"/>
        <v>0</v>
      </c>
      <c r="V60" s="2" t="e">
        <f t="shared" si="11"/>
        <v>#VALUE!</v>
      </c>
      <c r="W60" s="2" t="e">
        <f t="shared" si="12"/>
        <v>#VALUE!</v>
      </c>
      <c r="X60" t="str">
        <f t="shared" si="13"/>
        <v>D_Grow_Both_0|FY2029</v>
      </c>
    </row>
    <row r="61" spans="1:24" x14ac:dyDescent="0.35">
      <c r="A61" t="str">
        <f>Scenarios!A13</f>
        <v>D_Grow_Both_0</v>
      </c>
      <c r="B61" t="s">
        <v>51</v>
      </c>
      <c r="C61" t="e">
        <f>IF(Scenarios!D13=1,0, K61)</f>
        <v>#VALUE!</v>
      </c>
      <c r="D61" t="e">
        <f>IF(Scenarios!E13=1,0, L61)</f>
        <v>#VALUE!</v>
      </c>
      <c r="E61" t="e">
        <f t="shared" si="7"/>
        <v>#VALUE!</v>
      </c>
      <c r="F61" s="2">
        <f>YearMap!B6</f>
        <v>0</v>
      </c>
      <c r="G61" s="2" t="e">
        <f>YearMap!C6</f>
        <v>#VALUE!</v>
      </c>
      <c r="H61" s="2">
        <f>YearMap!D6</f>
        <v>6216644.6178145297</v>
      </c>
      <c r="I61">
        <f>1-BaselineCalc!$B$5</f>
        <v>0.99299999999999999</v>
      </c>
      <c r="J61" t="e">
        <f>Scenarios!G13</f>
        <v>#VALUE!</v>
      </c>
      <c r="K61" t="e">
        <f>BaselineCalc!$B$7 + ROUND(Scenarios!N13*Scenarios!F13,0)</f>
        <v>#VALUE!</v>
      </c>
      <c r="L61" t="e">
        <f>BaselineCalc!$B$8 + Scenarios!N13 - ROUND(Scenarios!N13*Scenarios!F13,0)</f>
        <v>#VALUE!</v>
      </c>
      <c r="M61" t="e">
        <f t="shared" si="8"/>
        <v>#VALUE!</v>
      </c>
      <c r="N61" t="e">
        <f>BaselineCalc!$B$11 * M61</f>
        <v>#VALUE!</v>
      </c>
      <c r="O61">
        <f>YearMap!E6</f>
        <v>300</v>
      </c>
      <c r="P61">
        <f>IF(Scenarios!N13="lease", YearMap!F6, YearMap!G6)</f>
        <v>0.2</v>
      </c>
      <c r="Q61" s="2" t="e">
        <f>IF(Scenarios!D13=1, P61*G61, G61)</f>
        <v>#VALUE!</v>
      </c>
      <c r="R61" s="2">
        <f>IF(Scenarios!E13=1, P61*H61, H61)</f>
        <v>6216644.6178145297</v>
      </c>
      <c r="S61" s="2">
        <f>IF(B61="FY2026", (Scenarios!D13+Scenarios!E13)*BaselineCalc!$B$10, 0)</f>
        <v>0</v>
      </c>
      <c r="T61" s="2" t="e">
        <f t="shared" si="9"/>
        <v>#VALUE!</v>
      </c>
      <c r="U61" s="2" t="e">
        <f t="shared" si="10"/>
        <v>#VALUE!</v>
      </c>
      <c r="V61" s="2" t="e">
        <f t="shared" si="11"/>
        <v>#VALUE!</v>
      </c>
      <c r="W61" s="2" t="e">
        <f t="shared" si="12"/>
        <v>#VALUE!</v>
      </c>
      <c r="X61" t="str">
        <f t="shared" si="13"/>
        <v>D_Grow_Both_0|FY2030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5"/>
  <sheetViews>
    <sheetView zoomScale="90" zoomScaleNormal="90" workbookViewId="0">
      <selection activeCell="A17" sqref="A17"/>
    </sheetView>
  </sheetViews>
  <sheetFormatPr defaultRowHeight="14.5" x14ac:dyDescent="0.35"/>
  <sheetData>
    <row r="1" spans="1:2" x14ac:dyDescent="0.35">
      <c r="A1" s="5" t="s">
        <v>105</v>
      </c>
    </row>
    <row r="2" spans="1:2" x14ac:dyDescent="0.35">
      <c r="B2" s="5" t="s">
        <v>106</v>
      </c>
    </row>
    <row r="3" spans="1:2" x14ac:dyDescent="0.35">
      <c r="B3" t="s">
        <v>107</v>
      </c>
    </row>
    <row r="5" spans="1:2" x14ac:dyDescent="0.35">
      <c r="B5" s="5" t="s">
        <v>108</v>
      </c>
    </row>
    <row r="6" spans="1:2" x14ac:dyDescent="0.35">
      <c r="B6" t="s">
        <v>109</v>
      </c>
    </row>
    <row r="8" spans="1:2" x14ac:dyDescent="0.35">
      <c r="B8" s="5" t="s">
        <v>110</v>
      </c>
    </row>
    <row r="9" spans="1:2" x14ac:dyDescent="0.35">
      <c r="B9" t="s">
        <v>111</v>
      </c>
    </row>
    <row r="11" spans="1:2" x14ac:dyDescent="0.35">
      <c r="B11" s="5" t="s">
        <v>112</v>
      </c>
    </row>
    <row r="12" spans="1:2" x14ac:dyDescent="0.35">
      <c r="B12" t="s">
        <v>113</v>
      </c>
    </row>
    <row r="17" spans="1:2" x14ac:dyDescent="0.35">
      <c r="A17" s="5" t="s">
        <v>114</v>
      </c>
    </row>
    <row r="18" spans="1:2" x14ac:dyDescent="0.35">
      <c r="B18" t="s">
        <v>3</v>
      </c>
    </row>
    <row r="19" spans="1:2" x14ac:dyDescent="0.35">
      <c r="B19" t="s">
        <v>5</v>
      </c>
    </row>
    <row r="20" spans="1:2" x14ac:dyDescent="0.35">
      <c r="B20" t="s">
        <v>7</v>
      </c>
    </row>
    <row r="21" spans="1:2" x14ac:dyDescent="0.35">
      <c r="B21" t="s">
        <v>9</v>
      </c>
    </row>
    <row r="22" spans="1:2" x14ac:dyDescent="0.35">
      <c r="B22" t="s">
        <v>11</v>
      </c>
    </row>
    <row r="23" spans="1:2" x14ac:dyDescent="0.35">
      <c r="B23" t="s">
        <v>13</v>
      </c>
    </row>
    <row r="24" spans="1:2" x14ac:dyDescent="0.35">
      <c r="B24" t="s">
        <v>14</v>
      </c>
    </row>
    <row r="25" spans="1:2" x14ac:dyDescent="0.35">
      <c r="B25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"/>
  <sheetViews>
    <sheetView workbookViewId="0"/>
  </sheetViews>
  <sheetFormatPr defaultRowHeight="14.5" x14ac:dyDescent="0.35"/>
  <sheetData>
    <row r="1" spans="1:5" x14ac:dyDescent="0.35">
      <c r="A1" t="s">
        <v>52</v>
      </c>
      <c r="B1" t="s">
        <v>115</v>
      </c>
      <c r="C1" t="s">
        <v>116</v>
      </c>
      <c r="D1" t="s">
        <v>117</v>
      </c>
      <c r="E1" t="s">
        <v>118</v>
      </c>
    </row>
    <row r="2" spans="1:5" x14ac:dyDescent="0.35">
      <c r="A2" t="str">
        <f>Scenarios!A2</f>
        <v>D_Grow_Both_0</v>
      </c>
      <c r="B2" t="e">
        <f>INDEX(MultiYear_ProForma!$W$2:$W$61, MATCH(Scenarios!A2&amp;"|FY2028", MultiYear_ProForma!$X$2:$X$61, 0))</f>
        <v>#VALUE!</v>
      </c>
      <c r="C2" t="e">
        <f>INDEX(MultiYear_ProForma!$W$2:$W$61, MATCH(Scenarios!A2&amp;"|FY2030", MultiYear_ProForma!$X$2:$X$61, 0))</f>
        <v>#VALUE!</v>
      </c>
      <c r="D2" t="e">
        <f>AVERAGE(INDEX(MultiYear_ProForma!$W$2:$W$61, MATCH(Scenarios!A2&amp;"|FY2026", MultiYear_ProForma!$X$2:$X$61, 0)),INDEX(MultiYear_ProForma!$W$2:$W$61, MATCH(Scenarios!A2&amp;"|FY2027", MultiYear_ProForma!$X$2:$X$61, 0)),INDEX(MultiYear_ProForma!$W$2:$W$61, MATCH(Scenarios!A2&amp;"|FY2028", MultiYear_ProForma!$X$2:$X$61, 0)))</f>
        <v>#VALUE!</v>
      </c>
      <c r="E2" t="e">
        <f>AVERAGE(INDEX(MultiYear_ProForma!$W$2:$W$61, MATCH(Scenarios!A2&amp;"|FY2026", MultiYear_ProForma!$X$2:$X$61, 0)),INDEX(MultiYear_ProForma!$W$2:$W$61, MATCH(Scenarios!A2&amp;"|FY2027", MultiYear_ProForma!$X$2:$X$61, 0)),INDEX(MultiYear_ProForma!$W$2:$W$61, MATCH(Scenarios!A2&amp;"|FY2028", MultiYear_ProForma!$X$2:$X$61, 0)),INDEX(MultiYear_ProForma!$W$2:$W$61, MATCH(Scenarios!A2&amp;"|FY2029", MultiYear_ProForma!$X$2:$X$61, 0)),INDEX(MultiYear_ProForma!$W$2:$W$61, MATCH(Scenarios!A2&amp;"|FY2030", MultiYear_ProForma!$X$2:$X$61, 0)))</f>
        <v>#VALUE!</v>
      </c>
    </row>
    <row r="3" spans="1:5" x14ac:dyDescent="0.35">
      <c r="A3" t="str">
        <f>Scenarios!A3</f>
        <v>E_StatusQuo_Targets_0</v>
      </c>
      <c r="B3" t="e">
        <f>INDEX(MultiYear_ProForma!$W$2:$W$61, MATCH(Scenarios!A3&amp;"|FY2028", MultiYear_ProForma!$X$2:$X$61, 0))</f>
        <v>#VALUE!</v>
      </c>
      <c r="C3" t="e">
        <f>INDEX(MultiYear_ProForma!$W$2:$W$61, MATCH(Scenarios!A3&amp;"|FY2030", MultiYear_ProForma!$X$2:$X$61, 0))</f>
        <v>#VALUE!</v>
      </c>
      <c r="D3" t="e">
        <f>AVERAGE(INDEX(MultiYear_ProForma!$W$2:$W$61, MATCH(Scenarios!A3&amp;"|FY2026", MultiYear_ProForma!$X$2:$X$61, 0)),INDEX(MultiYear_ProForma!$W$2:$W$61, MATCH(Scenarios!A3&amp;"|FY2027", MultiYear_ProForma!$X$2:$X$61, 0)),INDEX(MultiYear_ProForma!$W$2:$W$61, MATCH(Scenarios!A3&amp;"|FY2028", MultiYear_ProForma!$X$2:$X$61, 0)))</f>
        <v>#VALUE!</v>
      </c>
      <c r="E3" t="e">
        <f>AVERAGE(INDEX(MultiYear_ProForma!$W$2:$W$61, MATCH(Scenarios!A3&amp;"|FY2026", MultiYear_ProForma!$X$2:$X$61, 0)),INDEX(MultiYear_ProForma!$W$2:$W$61, MATCH(Scenarios!A3&amp;"|FY2027", MultiYear_ProForma!$X$2:$X$61, 0)),INDEX(MultiYear_ProForma!$W$2:$W$61, MATCH(Scenarios!A3&amp;"|FY2028", MultiYear_ProForma!$X$2:$X$61, 0)),INDEX(MultiYear_ProForma!$W$2:$W$61, MATCH(Scenarios!A3&amp;"|FY2029", MultiYear_ProForma!$X$2:$X$61, 0)),INDEX(MultiYear_ProForma!$W$2:$W$61, MATCH(Scenarios!A3&amp;"|FY2030", MultiYear_ProForma!$X$2:$X$61, 0)))</f>
        <v>#VALUE!</v>
      </c>
    </row>
    <row r="4" spans="1:5" x14ac:dyDescent="0.35">
      <c r="A4" t="str">
        <f>Scenarios!A4</f>
        <v>F_CoLocation_Echo_0</v>
      </c>
      <c r="B4" t="e">
        <f>INDEX(MultiYear_ProForma!$W$2:$W$61, MATCH(Scenarios!A4&amp;"|FY2028", MultiYear_ProForma!$X$2:$X$61, 0))</f>
        <v>#VALUE!</v>
      </c>
      <c r="C4" t="e">
        <f>INDEX(MultiYear_ProForma!$W$2:$W$61, MATCH(Scenarios!A4&amp;"|FY2030", MultiYear_ProForma!$X$2:$X$61, 0))</f>
        <v>#VALUE!</v>
      </c>
      <c r="D4" t="e">
        <f>AVERAGE(INDEX(MultiYear_ProForma!$W$2:$W$61, MATCH(Scenarios!A4&amp;"|FY2026", MultiYear_ProForma!$X$2:$X$61, 0)),INDEX(MultiYear_ProForma!$W$2:$W$61, MATCH(Scenarios!A4&amp;"|FY2027", MultiYear_ProForma!$X$2:$X$61, 0)),INDEX(MultiYear_ProForma!$W$2:$W$61, MATCH(Scenarios!A4&amp;"|FY2028", MultiYear_ProForma!$X$2:$X$61, 0)))</f>
        <v>#VALUE!</v>
      </c>
      <c r="E4" t="e">
        <f>AVERAGE(INDEX(MultiYear_ProForma!$W$2:$W$61, MATCH(Scenarios!A4&amp;"|FY2026", MultiYear_ProForma!$X$2:$X$61, 0)),INDEX(MultiYear_ProForma!$W$2:$W$61, MATCH(Scenarios!A4&amp;"|FY2027", MultiYear_ProForma!$X$2:$X$61, 0)),INDEX(MultiYear_ProForma!$W$2:$W$61, MATCH(Scenarios!A4&amp;"|FY2028", MultiYear_ProForma!$X$2:$X$61, 0)),INDEX(MultiYear_ProForma!$W$2:$W$61, MATCH(Scenarios!A4&amp;"|FY2029", MultiYear_ProForma!$X$2:$X$61, 0)),INDEX(MultiYear_ProForma!$W$2:$W$61, MATCH(Scenarios!A4&amp;"|FY2030", MultiYear_ProForma!$X$2:$X$61, 0)))</f>
        <v>#VALUE!</v>
      </c>
    </row>
    <row r="5" spans="1:5" x14ac:dyDescent="0.35">
      <c r="A5" t="str">
        <f>Scenarios!A5</f>
        <v>D_Grow_Both_100</v>
      </c>
      <c r="B5" t="e">
        <f>INDEX(MultiYear_ProForma!$W$2:$W$61, MATCH(Scenarios!A5&amp;"|FY2028", MultiYear_ProForma!$X$2:$X$61, 0))</f>
        <v>#VALUE!</v>
      </c>
      <c r="C5" t="e">
        <f>INDEX(MultiYear_ProForma!$W$2:$W$61, MATCH(Scenarios!A5&amp;"|FY2030", MultiYear_ProForma!$X$2:$X$61, 0))</f>
        <v>#VALUE!</v>
      </c>
      <c r="D5" t="e">
        <f>AVERAGE(INDEX(MultiYear_ProForma!$W$2:$W$61, MATCH(Scenarios!A5&amp;"|FY2026", MultiYear_ProForma!$X$2:$X$61, 0)),INDEX(MultiYear_ProForma!$W$2:$W$61, MATCH(Scenarios!A5&amp;"|FY2027", MultiYear_ProForma!$X$2:$X$61, 0)),INDEX(MultiYear_ProForma!$W$2:$W$61, MATCH(Scenarios!A5&amp;"|FY2028", MultiYear_ProForma!$X$2:$X$61, 0)))</f>
        <v>#VALUE!</v>
      </c>
      <c r="E5" t="e">
        <f>AVERAGE(INDEX(MultiYear_ProForma!$W$2:$W$61, MATCH(Scenarios!A5&amp;"|FY2026", MultiYear_ProForma!$X$2:$X$61, 0)),INDEX(MultiYear_ProForma!$W$2:$W$61, MATCH(Scenarios!A5&amp;"|FY2027", MultiYear_ProForma!$X$2:$X$61, 0)),INDEX(MultiYear_ProForma!$W$2:$W$61, MATCH(Scenarios!A5&amp;"|FY2028", MultiYear_ProForma!$X$2:$X$61, 0)),INDEX(MultiYear_ProForma!$W$2:$W$61, MATCH(Scenarios!A5&amp;"|FY2029", MultiYear_ProForma!$X$2:$X$61, 0)),INDEX(MultiYear_ProForma!$W$2:$W$61, MATCH(Scenarios!A5&amp;"|FY2030", MultiYear_ProForma!$X$2:$X$61, 0)))</f>
        <v>#VALUE!</v>
      </c>
    </row>
    <row r="6" spans="1:5" x14ac:dyDescent="0.35">
      <c r="A6" t="str">
        <f>Scenarios!A6</f>
        <v>D_Grow_Both_150</v>
      </c>
      <c r="B6" t="e">
        <f>INDEX(MultiYear_ProForma!$W$2:$W$61, MATCH(Scenarios!A6&amp;"|FY2028", MultiYear_ProForma!$X$2:$X$61, 0))</f>
        <v>#VALUE!</v>
      </c>
      <c r="C6" t="e">
        <f>INDEX(MultiYear_ProForma!$W$2:$W$61, MATCH(Scenarios!A6&amp;"|FY2030", MultiYear_ProForma!$X$2:$X$61, 0))</f>
        <v>#VALUE!</v>
      </c>
      <c r="D6" t="e">
        <f>AVERAGE(INDEX(MultiYear_ProForma!$W$2:$W$61, MATCH(Scenarios!A6&amp;"|FY2026", MultiYear_ProForma!$X$2:$X$61, 0)),INDEX(MultiYear_ProForma!$W$2:$W$61, MATCH(Scenarios!A6&amp;"|FY2027", MultiYear_ProForma!$X$2:$X$61, 0)),INDEX(MultiYear_ProForma!$W$2:$W$61, MATCH(Scenarios!A6&amp;"|FY2028", MultiYear_ProForma!$X$2:$X$61, 0)))</f>
        <v>#VALUE!</v>
      </c>
      <c r="E6" t="e">
        <f>AVERAGE(INDEX(MultiYear_ProForma!$W$2:$W$61, MATCH(Scenarios!A6&amp;"|FY2026", MultiYear_ProForma!$X$2:$X$61, 0)),INDEX(MultiYear_ProForma!$W$2:$W$61, MATCH(Scenarios!A6&amp;"|FY2027", MultiYear_ProForma!$X$2:$X$61, 0)),INDEX(MultiYear_ProForma!$W$2:$W$61, MATCH(Scenarios!A6&amp;"|FY2028", MultiYear_ProForma!$X$2:$X$61, 0)),INDEX(MultiYear_ProForma!$W$2:$W$61, MATCH(Scenarios!A6&amp;"|FY2029", MultiYear_ProForma!$X$2:$X$61, 0)),INDEX(MultiYear_ProForma!$W$2:$W$61, MATCH(Scenarios!A6&amp;"|FY2030", MultiYear_ProForma!$X$2:$X$61, 0)))</f>
        <v>#VALUE!</v>
      </c>
    </row>
    <row r="7" spans="1:5" x14ac:dyDescent="0.35">
      <c r="A7" t="str">
        <f>Scenarios!A7</f>
        <v>G_DHub_EchoRamp</v>
      </c>
      <c r="B7" t="e">
        <f>INDEX(MultiYear_ProForma!$W$2:$W$61, MATCH(Scenarios!A7&amp;"|FY2028", MultiYear_ProForma!$X$2:$X$61, 0))</f>
        <v>#VALUE!</v>
      </c>
      <c r="C7" t="e">
        <f>INDEX(MultiYear_ProForma!$W$2:$W$61, MATCH(Scenarios!A7&amp;"|FY2030", MultiYear_ProForma!$X$2:$X$61, 0))</f>
        <v>#VALUE!</v>
      </c>
      <c r="D7" t="e">
        <f>AVERAGE(INDEX(MultiYear_ProForma!$W$2:$W$61, MATCH(Scenarios!A7&amp;"|FY2026", MultiYear_ProForma!$X$2:$X$61, 0)),INDEX(MultiYear_ProForma!$W$2:$W$61, MATCH(Scenarios!A7&amp;"|FY2027", MultiYear_ProForma!$X$2:$X$61, 0)),INDEX(MultiYear_ProForma!$W$2:$W$61, MATCH(Scenarios!A7&amp;"|FY2028", MultiYear_ProForma!$X$2:$X$61, 0)))</f>
        <v>#VALUE!</v>
      </c>
      <c r="E7" t="e">
        <f>AVERAGE(INDEX(MultiYear_ProForma!$W$2:$W$61, MATCH(Scenarios!A7&amp;"|FY2026", MultiYear_ProForma!$X$2:$X$61, 0)),INDEX(MultiYear_ProForma!$W$2:$W$61, MATCH(Scenarios!A7&amp;"|FY2027", MultiYear_ProForma!$X$2:$X$61, 0)),INDEX(MultiYear_ProForma!$W$2:$W$61, MATCH(Scenarios!A7&amp;"|FY2028", MultiYear_ProForma!$X$2:$X$61, 0)),INDEX(MultiYear_ProForma!$W$2:$W$61, MATCH(Scenarios!A7&amp;"|FY2029", MultiYear_ProForma!$X$2:$X$61, 0)),INDEX(MultiYear_ProForma!$W$2:$W$61, MATCH(Scenarios!A7&amp;"|FY2030", MultiYear_ProForma!$X$2:$X$61, 0)))</f>
        <v>#VALUE!</v>
      </c>
    </row>
    <row r="8" spans="1:5" x14ac:dyDescent="0.35">
      <c r="A8" t="str">
        <f>Scenarios!A8</f>
        <v>A_Repurpose_Both_lease</v>
      </c>
      <c r="B8" t="e">
        <f>INDEX(MultiYear_ProForma!$W$2:$W$61, MATCH(Scenarios!A8&amp;"|FY2028", MultiYear_ProForma!$X$2:$X$61, 0))</f>
        <v>#VALUE!</v>
      </c>
      <c r="C8" t="e">
        <f>INDEX(MultiYear_ProForma!$W$2:$W$61, MATCH(Scenarios!A8&amp;"|FY2030", MultiYear_ProForma!$X$2:$X$61, 0))</f>
        <v>#VALUE!</v>
      </c>
      <c r="D8" t="e">
        <f>AVERAGE(INDEX(MultiYear_ProForma!$W$2:$W$61, MATCH(Scenarios!A8&amp;"|FY2026", MultiYear_ProForma!$X$2:$X$61, 0)),INDEX(MultiYear_ProForma!$W$2:$W$61, MATCH(Scenarios!A8&amp;"|FY2027", MultiYear_ProForma!$X$2:$X$61, 0)),INDEX(MultiYear_ProForma!$W$2:$W$61, MATCH(Scenarios!A8&amp;"|FY2028", MultiYear_ProForma!$X$2:$X$61, 0)))</f>
        <v>#VALUE!</v>
      </c>
      <c r="E8" t="e">
        <f>AVERAGE(INDEX(MultiYear_ProForma!$W$2:$W$61, MATCH(Scenarios!A8&amp;"|FY2026", MultiYear_ProForma!$X$2:$X$61, 0)),INDEX(MultiYear_ProForma!$W$2:$W$61, MATCH(Scenarios!A8&amp;"|FY2027", MultiYear_ProForma!$X$2:$X$61, 0)),INDEX(MultiYear_ProForma!$W$2:$W$61, MATCH(Scenarios!A8&amp;"|FY2028", MultiYear_ProForma!$X$2:$X$61, 0)),INDEX(MultiYear_ProForma!$W$2:$W$61, MATCH(Scenarios!A8&amp;"|FY2029", MultiYear_ProForma!$X$2:$X$61, 0)),INDEX(MultiYear_ProForma!$W$2:$W$61, MATCH(Scenarios!A8&amp;"|FY2030", MultiYear_ProForma!$X$2:$X$61, 0)))</f>
        <v>#VALUE!</v>
      </c>
    </row>
    <row r="9" spans="1:5" x14ac:dyDescent="0.35">
      <c r="A9" t="str">
        <f>Scenarios!A9</f>
        <v>ScenarioKey</v>
      </c>
      <c r="B9" t="e">
        <f>INDEX(MultiYear_ProForma!$W$2:$W$61, MATCH(Scenarios!A9&amp;"|FY2028", MultiYear_ProForma!$X$2:$X$61, 0))</f>
        <v>#VALUE!</v>
      </c>
      <c r="C9" t="e">
        <f>INDEX(MultiYear_ProForma!$W$2:$W$61, MATCH(Scenarios!A9&amp;"|FY2030", MultiYear_ProForma!$X$2:$X$61, 0))</f>
        <v>#VALUE!</v>
      </c>
      <c r="D9" t="e">
        <f>AVERAGE(INDEX(MultiYear_ProForma!$W$2:$W$61, MATCH(Scenarios!A9&amp;"|FY2026", MultiYear_ProForma!$X$2:$X$61, 0)),INDEX(MultiYear_ProForma!$W$2:$W$61, MATCH(Scenarios!A9&amp;"|FY2027", MultiYear_ProForma!$X$2:$X$61, 0)),INDEX(MultiYear_ProForma!$W$2:$W$61, MATCH(Scenarios!A9&amp;"|FY2028", MultiYear_ProForma!$X$2:$X$61, 0)))</f>
        <v>#VALUE!</v>
      </c>
      <c r="E9" t="e">
        <f>AVERAGE(INDEX(MultiYear_ProForma!$W$2:$W$61, MATCH(Scenarios!A9&amp;"|FY2026", MultiYear_ProForma!$X$2:$X$61, 0)),INDEX(MultiYear_ProForma!$W$2:$W$61, MATCH(Scenarios!A9&amp;"|FY2027", MultiYear_ProForma!$X$2:$X$61, 0)),INDEX(MultiYear_ProForma!$W$2:$W$61, MATCH(Scenarios!A9&amp;"|FY2028", MultiYear_ProForma!$X$2:$X$61, 0)),INDEX(MultiYear_ProForma!$W$2:$W$61, MATCH(Scenarios!A9&amp;"|FY2029", MultiYear_ProForma!$X$2:$X$61, 0)),INDEX(MultiYear_ProForma!$W$2:$W$61, MATCH(Scenarios!A9&amp;"|FY2030", MultiYear_ProForma!$X$2:$X$61, 0)))</f>
        <v>#VALUE!</v>
      </c>
    </row>
    <row r="10" spans="1:5" x14ac:dyDescent="0.35">
      <c r="A10" t="str">
        <f>Scenarios!A10</f>
        <v>D_Grow_Both_0</v>
      </c>
      <c r="B10" t="e">
        <f>INDEX(MultiYear_ProForma!$W$2:$W$61, MATCH(Scenarios!A10&amp;"|FY2028", MultiYear_ProForma!$X$2:$X$61, 0))</f>
        <v>#VALUE!</v>
      </c>
      <c r="C10" t="e">
        <f>INDEX(MultiYear_ProForma!$W$2:$W$61, MATCH(Scenarios!A10&amp;"|FY2030", MultiYear_ProForma!$X$2:$X$61, 0))</f>
        <v>#VALUE!</v>
      </c>
      <c r="D10" t="e">
        <f>AVERAGE(INDEX(MultiYear_ProForma!$W$2:$W$61, MATCH(Scenarios!A10&amp;"|FY2026", MultiYear_ProForma!$X$2:$X$61, 0)),INDEX(MultiYear_ProForma!$W$2:$W$61, MATCH(Scenarios!A10&amp;"|FY2027", MultiYear_ProForma!$X$2:$X$61, 0)),INDEX(MultiYear_ProForma!$W$2:$W$61, MATCH(Scenarios!A10&amp;"|FY2028", MultiYear_ProForma!$X$2:$X$61, 0)))</f>
        <v>#VALUE!</v>
      </c>
      <c r="E10" t="e">
        <f>AVERAGE(INDEX(MultiYear_ProForma!$W$2:$W$61, MATCH(Scenarios!A10&amp;"|FY2026", MultiYear_ProForma!$X$2:$X$61, 0)),INDEX(MultiYear_ProForma!$W$2:$W$61, MATCH(Scenarios!A10&amp;"|FY2027", MultiYear_ProForma!$X$2:$X$61, 0)),INDEX(MultiYear_ProForma!$W$2:$W$61, MATCH(Scenarios!A10&amp;"|FY2028", MultiYear_ProForma!$X$2:$X$61, 0)),INDEX(MultiYear_ProForma!$W$2:$W$61, MATCH(Scenarios!A10&amp;"|FY2029", MultiYear_ProForma!$X$2:$X$61, 0)),INDEX(MultiYear_ProForma!$W$2:$W$61, MATCH(Scenarios!A10&amp;"|FY2030", MultiYear_ProForma!$X$2:$X$61, 0)))</f>
        <v>#VALUE!</v>
      </c>
    </row>
    <row r="11" spans="1:5" x14ac:dyDescent="0.35">
      <c r="A11" t="str">
        <f>Scenarios!A11</f>
        <v>D_Grow_Both_0</v>
      </c>
      <c r="B11" t="e">
        <f>INDEX(MultiYear_ProForma!$W$2:$W$61, MATCH(Scenarios!A11&amp;"|FY2028", MultiYear_ProForma!$X$2:$X$61, 0))</f>
        <v>#VALUE!</v>
      </c>
      <c r="C11" t="e">
        <f>INDEX(MultiYear_ProForma!$W$2:$W$61, MATCH(Scenarios!A11&amp;"|FY2030", MultiYear_ProForma!$X$2:$X$61, 0))</f>
        <v>#VALUE!</v>
      </c>
      <c r="D11" t="e">
        <f>AVERAGE(INDEX(MultiYear_ProForma!$W$2:$W$61, MATCH(Scenarios!A11&amp;"|FY2026", MultiYear_ProForma!$X$2:$X$61, 0)),INDEX(MultiYear_ProForma!$W$2:$W$61, MATCH(Scenarios!A11&amp;"|FY2027", MultiYear_ProForma!$X$2:$X$61, 0)),INDEX(MultiYear_ProForma!$W$2:$W$61, MATCH(Scenarios!A11&amp;"|FY2028", MultiYear_ProForma!$X$2:$X$61, 0)))</f>
        <v>#VALUE!</v>
      </c>
      <c r="E11" t="e">
        <f>AVERAGE(INDEX(MultiYear_ProForma!$W$2:$W$61, MATCH(Scenarios!A11&amp;"|FY2026", MultiYear_ProForma!$X$2:$X$61, 0)),INDEX(MultiYear_ProForma!$W$2:$W$61, MATCH(Scenarios!A11&amp;"|FY2027", MultiYear_ProForma!$X$2:$X$61, 0)),INDEX(MultiYear_ProForma!$W$2:$W$61, MATCH(Scenarios!A11&amp;"|FY2028", MultiYear_ProForma!$X$2:$X$61, 0)),INDEX(MultiYear_ProForma!$W$2:$W$61, MATCH(Scenarios!A11&amp;"|FY2029", MultiYear_ProForma!$X$2:$X$61, 0)),INDEX(MultiYear_ProForma!$W$2:$W$61, MATCH(Scenarios!A11&amp;"|FY2030", MultiYear_ProForma!$X$2:$X$61, 0)))</f>
        <v>#VALUE!</v>
      </c>
    </row>
    <row r="12" spans="1:5" x14ac:dyDescent="0.35">
      <c r="A12" t="str">
        <f>Scenarios!A12</f>
        <v>D_Grow_Both_0</v>
      </c>
      <c r="B12" t="e">
        <f>INDEX(MultiYear_ProForma!$W$2:$W$61, MATCH(Scenarios!A12&amp;"|FY2028", MultiYear_ProForma!$X$2:$X$61, 0))</f>
        <v>#VALUE!</v>
      </c>
      <c r="C12" t="e">
        <f>INDEX(MultiYear_ProForma!$W$2:$W$61, MATCH(Scenarios!A12&amp;"|FY2030", MultiYear_ProForma!$X$2:$X$61, 0))</f>
        <v>#VALUE!</v>
      </c>
      <c r="D12" t="e">
        <f>AVERAGE(INDEX(MultiYear_ProForma!$W$2:$W$61, MATCH(Scenarios!A12&amp;"|FY2026", MultiYear_ProForma!$X$2:$X$61, 0)),INDEX(MultiYear_ProForma!$W$2:$W$61, MATCH(Scenarios!A12&amp;"|FY2027", MultiYear_ProForma!$X$2:$X$61, 0)),INDEX(MultiYear_ProForma!$W$2:$W$61, MATCH(Scenarios!A12&amp;"|FY2028", MultiYear_ProForma!$X$2:$X$61, 0)))</f>
        <v>#VALUE!</v>
      </c>
      <c r="E12" t="e">
        <f>AVERAGE(INDEX(MultiYear_ProForma!$W$2:$W$61, MATCH(Scenarios!A12&amp;"|FY2026", MultiYear_ProForma!$X$2:$X$61, 0)),INDEX(MultiYear_ProForma!$W$2:$W$61, MATCH(Scenarios!A12&amp;"|FY2027", MultiYear_ProForma!$X$2:$X$61, 0)),INDEX(MultiYear_ProForma!$W$2:$W$61, MATCH(Scenarios!A12&amp;"|FY2028", MultiYear_ProForma!$X$2:$X$61, 0)),INDEX(MultiYear_ProForma!$W$2:$W$61, MATCH(Scenarios!A12&amp;"|FY2029", MultiYear_ProForma!$X$2:$X$61, 0)),INDEX(MultiYear_ProForma!$W$2:$W$61, MATCH(Scenarios!A12&amp;"|FY2030", MultiYear_ProForma!$X$2:$X$61, 0)))</f>
        <v>#VALUE!</v>
      </c>
    </row>
    <row r="13" spans="1:5" x14ac:dyDescent="0.35">
      <c r="A13" t="str">
        <f>Scenarios!A13</f>
        <v>D_Grow_Both_0</v>
      </c>
      <c r="B13" t="e">
        <f>INDEX(MultiYear_ProForma!$W$2:$W$61, MATCH(Scenarios!A13&amp;"|FY2028", MultiYear_ProForma!$X$2:$X$61, 0))</f>
        <v>#VALUE!</v>
      </c>
      <c r="C13" t="e">
        <f>INDEX(MultiYear_ProForma!$W$2:$W$61, MATCH(Scenarios!A13&amp;"|FY2030", MultiYear_ProForma!$X$2:$X$61, 0))</f>
        <v>#VALUE!</v>
      </c>
      <c r="D13" t="e">
        <f>AVERAGE(INDEX(MultiYear_ProForma!$W$2:$W$61, MATCH(Scenarios!A13&amp;"|FY2026", MultiYear_ProForma!$X$2:$X$61, 0)),INDEX(MultiYear_ProForma!$W$2:$W$61, MATCH(Scenarios!A13&amp;"|FY2027", MultiYear_ProForma!$X$2:$X$61, 0)),INDEX(MultiYear_ProForma!$W$2:$W$61, MATCH(Scenarios!A13&amp;"|FY2028", MultiYear_ProForma!$X$2:$X$61, 0)))</f>
        <v>#VALUE!</v>
      </c>
      <c r="E13" t="e">
        <f>AVERAGE(INDEX(MultiYear_ProForma!$W$2:$W$61, MATCH(Scenarios!A13&amp;"|FY2026", MultiYear_ProForma!$X$2:$X$61, 0)),INDEX(MultiYear_ProForma!$W$2:$W$61, MATCH(Scenarios!A13&amp;"|FY2027", MultiYear_ProForma!$X$2:$X$61, 0)),INDEX(MultiYear_ProForma!$W$2:$W$61, MATCH(Scenarios!A13&amp;"|FY2028", MultiYear_ProForma!$X$2:$X$61, 0)),INDEX(MultiYear_ProForma!$W$2:$W$61, MATCH(Scenarios!A13&amp;"|FY2029", MultiYear_ProForma!$X$2:$X$61, 0)),INDEX(MultiYear_ProForma!$W$2:$W$61, MATCH(Scenarios!A13&amp;"|FY2030", MultiYear_ProForma!$X$2:$X$61, 0)))</f>
        <v>#VALUE!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BaselineCalc</vt:lpstr>
      <vt:lpstr>YearMap</vt:lpstr>
      <vt:lpstr>Scenarios</vt:lpstr>
      <vt:lpstr>MultiYear_ProForma</vt:lpstr>
      <vt:lpstr>Notes</vt:lpstr>
      <vt:lpstr>Summary_Costs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Hohl</dc:creator>
  <cp:lastModifiedBy>Brian Hohl</cp:lastModifiedBy>
  <dcterms:created xsi:type="dcterms:W3CDTF">2025-10-21T22:31:51Z</dcterms:created>
  <dcterms:modified xsi:type="dcterms:W3CDTF">2025-10-22T16:15:10Z</dcterms:modified>
</cp:coreProperties>
</file>