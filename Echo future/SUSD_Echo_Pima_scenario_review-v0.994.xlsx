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11" documentId="8_{EEECFE2A-1630-4803-9156-F24DCA40F646}" xr6:coauthVersionLast="47" xr6:coauthVersionMax="47" xr10:uidLastSave="{7D630C70-BE6C-48CE-B409-74EF6B1EE604}"/>
  <bookViews>
    <workbookView xWindow="-110" yWindow="-110" windowWidth="19420" windowHeight="10300" firstSheet="2" activeTab="2" xr2:uid="{00000000-000D-0000-FFFF-FFFF00000000}"/>
  </bookViews>
  <sheets>
    <sheet name="Workbook_Purpose_Overview" sheetId="1" r:id="rId1"/>
    <sheet name="How_To_Use_The_Workbook" sheetId="2" r:id="rId2"/>
    <sheet name="Dashboard" sheetId="22" r:id="rId3"/>
    <sheet name="Working_test" sheetId="23" r:id="rId4"/>
    <sheet name="Scenario_Comparison" sheetId="3" r:id="rId5"/>
    <sheet name="Budget_Neutral_Calculator" sheetId="4" r:id="rId6"/>
    <sheet name="Summary_Figures" sheetId="5" r:id="rId7"/>
    <sheet name="What_Is_The_$900K-$1M_Savings" sheetId="21" r:id="rId8"/>
    <sheet name="Parameters_Public" sheetId="11" r:id="rId9"/>
    <sheet name="Inputs_Definitions_Sources" sheetId="6" r:id="rId10"/>
    <sheet name="Scenarios" sheetId="7" r:id="rId11"/>
    <sheet name="MultiYear_ProForma" sheetId="8" r:id="rId12"/>
    <sheet name="Capital_Summary" sheetId="9" r:id="rId13"/>
    <sheet name="Receiving_Capacity" sheetId="10" r:id="rId14"/>
    <sheet name="Control_Center" sheetId="12" r:id="rId15"/>
    <sheet name="BaselineCalc" sheetId="13" r:id="rId16"/>
    <sheet name="YearMap" sheetId="14" r:id="rId17"/>
    <sheet name="Site_Fixed" sheetId="15" r:id="rId18"/>
    <sheet name="QA_Checks" sheetId="19" r:id="rId19"/>
    <sheet name="Parameters_Map" sheetId="20" r:id="rId20"/>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22" l="1"/>
  <c r="G18" i="22" s="1"/>
  <c r="F13" i="22"/>
  <c r="F18" i="22" s="1"/>
  <c r="E13" i="22"/>
  <c r="D13" i="22"/>
  <c r="D18" i="22" s="1"/>
  <c r="C13" i="22"/>
  <c r="C18" i="22"/>
  <c r="G28" i="22"/>
  <c r="F28" i="22"/>
  <c r="F26" i="22"/>
  <c r="G26" i="22"/>
  <c r="E26" i="22"/>
  <c r="D26" i="22"/>
  <c r="C26" i="22"/>
  <c r="E18" i="22"/>
  <c r="C19" i="22"/>
  <c r="G19" i="22"/>
  <c r="F19" i="22"/>
  <c r="E19" i="22"/>
  <c r="D19" i="22"/>
  <c r="Q2" i="14"/>
  <c r="AE66" i="8"/>
  <c r="AE65" i="8"/>
  <c r="AE64" i="8"/>
  <c r="AE63" i="8"/>
  <c r="AE62" i="8"/>
  <c r="AE61" i="8"/>
  <c r="AE60" i="8"/>
  <c r="AE59" i="8"/>
  <c r="AE58" i="8"/>
  <c r="AE57" i="8"/>
  <c r="AE56" i="8"/>
  <c r="AE55" i="8"/>
  <c r="AE54" i="8"/>
  <c r="AE53" i="8"/>
  <c r="AE52" i="8"/>
  <c r="AE51" i="8"/>
  <c r="AE50" i="8"/>
  <c r="AE49" i="8"/>
  <c r="AE48" i="8"/>
  <c r="AE47" i="8"/>
  <c r="AE46" i="8"/>
  <c r="AE45" i="8"/>
  <c r="AE44" i="8"/>
  <c r="AE43" i="8"/>
  <c r="AE42" i="8"/>
  <c r="AE41" i="8"/>
  <c r="AE40" i="8"/>
  <c r="AE39" i="8"/>
  <c r="AE38" i="8"/>
  <c r="AE37" i="8"/>
  <c r="AE36" i="8"/>
  <c r="AE35" i="8"/>
  <c r="AE34" i="8"/>
  <c r="AE33" i="8"/>
  <c r="AE32" i="8"/>
  <c r="AE31" i="8"/>
  <c r="AE30" i="8"/>
  <c r="AE29" i="8"/>
  <c r="AE28" i="8"/>
  <c r="AE27" i="8"/>
  <c r="AE26" i="8"/>
  <c r="AE25" i="8"/>
  <c r="AE24" i="8"/>
  <c r="AE23" i="8"/>
  <c r="AE22" i="8"/>
  <c r="AE21" i="8"/>
  <c r="AE20" i="8"/>
  <c r="AE19" i="8"/>
  <c r="AE18" i="8"/>
  <c r="AE17" i="8"/>
  <c r="AE16" i="8"/>
  <c r="AE15" i="8"/>
  <c r="AE14" i="8"/>
  <c r="AE13" i="8"/>
  <c r="AE12" i="8"/>
  <c r="AE11" i="8"/>
  <c r="AE10" i="8"/>
  <c r="AE9" i="8"/>
  <c r="AE8" i="8"/>
  <c r="AE7" i="8"/>
  <c r="AE6" i="8"/>
  <c r="AE5" i="8"/>
  <c r="AE4" i="8"/>
  <c r="AE3" i="8"/>
  <c r="AE2" i="8"/>
  <c r="D50" i="23"/>
  <c r="C50" i="23"/>
  <c r="G48" i="23"/>
  <c r="E48" i="23"/>
  <c r="D48" i="23"/>
  <c r="G47" i="23"/>
  <c r="F47" i="23"/>
  <c r="E47" i="23"/>
  <c r="D47" i="23"/>
  <c r="C47" i="23"/>
  <c r="G45" i="23"/>
  <c r="F45" i="23"/>
  <c r="E45" i="23"/>
  <c r="D45" i="23"/>
  <c r="G44" i="23"/>
  <c r="F44" i="23"/>
  <c r="E44" i="23"/>
  <c r="D44" i="23"/>
  <c r="C44" i="23"/>
  <c r="G26" i="23"/>
  <c r="F26" i="23"/>
  <c r="G25" i="23"/>
  <c r="F25" i="23"/>
  <c r="E25" i="23"/>
  <c r="D25" i="23"/>
  <c r="C25" i="23"/>
  <c r="G24" i="23"/>
  <c r="F24" i="23"/>
  <c r="F48" i="23" s="1"/>
  <c r="E24" i="23"/>
  <c r="E26" i="23" s="1"/>
  <c r="D24" i="23"/>
  <c r="D26" i="23" s="1"/>
  <c r="C24" i="23"/>
  <c r="C48" i="23" s="1"/>
  <c r="F22" i="23"/>
  <c r="E22" i="23"/>
  <c r="D22" i="23"/>
  <c r="G21" i="23"/>
  <c r="F21" i="23"/>
  <c r="E21" i="23"/>
  <c r="D21" i="23"/>
  <c r="C21" i="23"/>
  <c r="E19" i="23"/>
  <c r="F18" i="23"/>
  <c r="F19" i="23" s="1"/>
  <c r="E18" i="23"/>
  <c r="G17" i="23"/>
  <c r="F17" i="23"/>
  <c r="E17" i="23"/>
  <c r="D17" i="23"/>
  <c r="C17" i="23"/>
  <c r="E16" i="23"/>
  <c r="C16" i="23"/>
  <c r="G13" i="23"/>
  <c r="G18" i="23" s="1"/>
  <c r="G19" i="23" s="1"/>
  <c r="G20" i="23" s="1"/>
  <c r="F13" i="23"/>
  <c r="E13" i="23"/>
  <c r="D13" i="23"/>
  <c r="D18" i="23" s="1"/>
  <c r="D19" i="23" s="1"/>
  <c r="D20" i="23" s="1"/>
  <c r="D23" i="23" s="1"/>
  <c r="C13" i="23"/>
  <c r="C18" i="23" s="1"/>
  <c r="G12" i="23"/>
  <c r="F12" i="23"/>
  <c r="E12" i="23"/>
  <c r="D12" i="23"/>
  <c r="C12" i="23"/>
  <c r="C9" i="23"/>
  <c r="C10" i="23" s="1"/>
  <c r="C11" i="23" s="1"/>
  <c r="G8" i="23"/>
  <c r="G22" i="23" s="1"/>
  <c r="F8" i="23"/>
  <c r="E8" i="23"/>
  <c r="D8" i="23"/>
  <c r="C8" i="23"/>
  <c r="C45" i="23" s="1"/>
  <c r="G7" i="23"/>
  <c r="E7" i="23"/>
  <c r="D7" i="23"/>
  <c r="C7" i="23"/>
  <c r="G6" i="23"/>
  <c r="F6" i="23"/>
  <c r="E6" i="23"/>
  <c r="D6" i="23"/>
  <c r="C6" i="23"/>
  <c r="G5" i="23"/>
  <c r="G16" i="23" s="1"/>
  <c r="F5" i="23"/>
  <c r="F16" i="23" s="1"/>
  <c r="D5" i="23"/>
  <c r="D16" i="23" s="1"/>
  <c r="G4" i="23"/>
  <c r="F4" i="23"/>
  <c r="E4" i="23"/>
  <c r="E9" i="23" s="1"/>
  <c r="D4" i="23"/>
  <c r="D9" i="23" s="1"/>
  <c r="D10" i="23" s="1"/>
  <c r="D11" i="23" s="1"/>
  <c r="C4" i="23"/>
  <c r="G3" i="23"/>
  <c r="G14" i="23" s="1"/>
  <c r="G15" i="23" s="1"/>
  <c r="F3" i="23"/>
  <c r="F14" i="23" s="1"/>
  <c r="F15" i="23" s="1"/>
  <c r="E3" i="23"/>
  <c r="D3" i="23"/>
  <c r="D14" i="23" s="1"/>
  <c r="D15" i="23" s="1"/>
  <c r="C3" i="23"/>
  <c r="AB42" i="8"/>
  <c r="C23" i="22"/>
  <c r="E16" i="22"/>
  <c r="C16" i="22"/>
  <c r="G17" i="22"/>
  <c r="F17" i="22"/>
  <c r="E17" i="22"/>
  <c r="C17" i="22"/>
  <c r="G12" i="22"/>
  <c r="F12" i="22"/>
  <c r="E12" i="22"/>
  <c r="D12" i="22"/>
  <c r="C12" i="22"/>
  <c r="B13" i="13"/>
  <c r="B15" i="13"/>
  <c r="AC52" i="8"/>
  <c r="G5" i="22"/>
  <c r="G16" i="22" s="1"/>
  <c r="D5" i="22"/>
  <c r="D16" i="22" s="1"/>
  <c r="G4" i="22"/>
  <c r="F4" i="22"/>
  <c r="E4" i="22"/>
  <c r="D4" i="22"/>
  <c r="G3" i="22"/>
  <c r="F3" i="22"/>
  <c r="E3" i="22"/>
  <c r="D3" i="22"/>
  <c r="C4" i="22"/>
  <c r="C3" i="22"/>
  <c r="D6" i="5"/>
  <c r="E24" i="22"/>
  <c r="D24" i="22"/>
  <c r="G27" i="22"/>
  <c r="F27" i="22"/>
  <c r="C27" i="22"/>
  <c r="G8" i="22"/>
  <c r="G24" i="22" s="1"/>
  <c r="F8" i="22"/>
  <c r="F24" i="22" s="1"/>
  <c r="C8" i="22"/>
  <c r="C24" i="22" s="1"/>
  <c r="D17" i="22"/>
  <c r="E27" i="22"/>
  <c r="D27" i="22"/>
  <c r="E8" i="22"/>
  <c r="D8" i="22"/>
  <c r="G23" i="22"/>
  <c r="F23" i="22"/>
  <c r="E23" i="22"/>
  <c r="D23" i="22"/>
  <c r="E7" i="22"/>
  <c r="D7" i="22"/>
  <c r="G7" i="22"/>
  <c r="C7" i="22"/>
  <c r="G6" i="22"/>
  <c r="F6" i="22"/>
  <c r="E6" i="22"/>
  <c r="D6" i="22"/>
  <c r="C6" i="22"/>
  <c r="B14" i="13"/>
  <c r="D10" i="15"/>
  <c r="D17" i="15"/>
  <c r="AD32" i="8"/>
  <c r="E5" i="10"/>
  <c r="E6" i="10"/>
  <c r="E7" i="10"/>
  <c r="E8" i="10"/>
  <c r="E9" i="10"/>
  <c r="E10" i="10"/>
  <c r="E11" i="10"/>
  <c r="E12" i="10"/>
  <c r="E13" i="10"/>
  <c r="E14" i="10"/>
  <c r="E15" i="10"/>
  <c r="E16" i="10"/>
  <c r="E4" i="10"/>
  <c r="D5" i="10"/>
  <c r="D6" i="10"/>
  <c r="D7" i="10"/>
  <c r="D8" i="10"/>
  <c r="D9" i="10"/>
  <c r="D10" i="10"/>
  <c r="D11" i="10"/>
  <c r="D12" i="10"/>
  <c r="D13" i="10"/>
  <c r="D14" i="10"/>
  <c r="D15" i="10"/>
  <c r="D16" i="10"/>
  <c r="D4" i="10"/>
  <c r="J4" i="10" s="1"/>
  <c r="B4" i="10"/>
  <c r="H5" i="10"/>
  <c r="H6" i="10"/>
  <c r="H7" i="10"/>
  <c r="H8" i="10"/>
  <c r="H9" i="10"/>
  <c r="H10" i="10"/>
  <c r="H11" i="10"/>
  <c r="H12" i="10"/>
  <c r="H13" i="10"/>
  <c r="H14" i="10"/>
  <c r="H15" i="10"/>
  <c r="H16" i="10"/>
  <c r="H4" i="10"/>
  <c r="G5" i="10"/>
  <c r="G6" i="10"/>
  <c r="G7" i="10"/>
  <c r="G8" i="10"/>
  <c r="G9" i="10"/>
  <c r="G10" i="10"/>
  <c r="G11" i="10"/>
  <c r="G12" i="10"/>
  <c r="G13" i="10"/>
  <c r="G14" i="10"/>
  <c r="G15" i="10"/>
  <c r="G16" i="10"/>
  <c r="G4" i="10"/>
  <c r="D18" i="10"/>
  <c r="C15" i="22" l="1"/>
  <c r="C28" i="22"/>
  <c r="F20" i="23"/>
  <c r="F23" i="23" s="1"/>
  <c r="E10" i="23"/>
  <c r="E11" i="23" s="1"/>
  <c r="E14" i="23"/>
  <c r="E15" i="23" s="1"/>
  <c r="E20" i="23" s="1"/>
  <c r="E23" i="23" s="1"/>
  <c r="E27" i="23" s="1"/>
  <c r="C19" i="23"/>
  <c r="D27" i="23"/>
  <c r="D28" i="23" s="1"/>
  <c r="D35" i="23"/>
  <c r="E35" i="23"/>
  <c r="F35" i="23"/>
  <c r="G23" i="23"/>
  <c r="G27" i="23" s="1"/>
  <c r="C14" i="23"/>
  <c r="C15" i="23" s="1"/>
  <c r="C22" i="23"/>
  <c r="F9" i="23"/>
  <c r="F10" i="23" s="1"/>
  <c r="F11" i="23" s="1"/>
  <c r="F28" i="23" s="1"/>
  <c r="G9" i="23"/>
  <c r="G10" i="23" s="1"/>
  <c r="G11" i="23" s="1"/>
  <c r="C26" i="23"/>
  <c r="F27" i="23"/>
  <c r="D20" i="22"/>
  <c r="D21" i="22" s="1"/>
  <c r="E20" i="22"/>
  <c r="E21" i="22" s="1"/>
  <c r="G20" i="22"/>
  <c r="G21" i="22" s="1"/>
  <c r="E28" i="22"/>
  <c r="E9" i="22"/>
  <c r="C20" i="22"/>
  <c r="C21" i="22" s="1"/>
  <c r="F20" i="22"/>
  <c r="D28" i="22"/>
  <c r="F5" i="22"/>
  <c r="F16" i="22" s="1"/>
  <c r="G9" i="22"/>
  <c r="C9" i="22"/>
  <c r="D9" i="22"/>
  <c r="D14" i="22" s="1"/>
  <c r="D15" i="22" s="1"/>
  <c r="Q6" i="14"/>
  <c r="P6" i="14"/>
  <c r="R6" i="14" s="1"/>
  <c r="G6" i="14"/>
  <c r="F6" i="14"/>
  <c r="E6" i="14"/>
  <c r="R5" i="14"/>
  <c r="P5" i="14"/>
  <c r="G5" i="14"/>
  <c r="F5" i="14"/>
  <c r="E5" i="14"/>
  <c r="Q5" i="14" s="1"/>
  <c r="Q4" i="14"/>
  <c r="P4" i="14"/>
  <c r="R4" i="14" s="1"/>
  <c r="I4" i="14"/>
  <c r="O4" i="14" s="1"/>
  <c r="G4" i="14"/>
  <c r="F4" i="14"/>
  <c r="E4" i="14"/>
  <c r="Q3" i="14"/>
  <c r="P3" i="14"/>
  <c r="R3" i="14" s="1"/>
  <c r="G3" i="14"/>
  <c r="F3" i="14"/>
  <c r="E3" i="14"/>
  <c r="P2" i="14"/>
  <c r="R2" i="14" s="1"/>
  <c r="I2" i="14"/>
  <c r="O2" i="14" s="1"/>
  <c r="G2" i="14"/>
  <c r="F2" i="14"/>
  <c r="E2" i="14"/>
  <c r="B28" i="13"/>
  <c r="B27" i="13"/>
  <c r="B23" i="13"/>
  <c r="B22" i="13"/>
  <c r="T62" i="8" s="1"/>
  <c r="B7" i="13"/>
  <c r="B6" i="13"/>
  <c r="B5" i="13"/>
  <c r="B4" i="13"/>
  <c r="B3" i="13"/>
  <c r="B2" i="13"/>
  <c r="C17" i="12"/>
  <c r="C14" i="12"/>
  <c r="C29" i="11"/>
  <c r="C19" i="11"/>
  <c r="C11" i="11"/>
  <c r="B8" i="13" s="1"/>
  <c r="C10" i="11"/>
  <c r="A16" i="10"/>
  <c r="C16" i="10" s="1"/>
  <c r="A15" i="10"/>
  <c r="A14" i="10"/>
  <c r="A13" i="10"/>
  <c r="A12" i="10"/>
  <c r="A11" i="10"/>
  <c r="A10" i="10"/>
  <c r="A9" i="10"/>
  <c r="A8" i="10"/>
  <c r="A7" i="10"/>
  <c r="A6" i="10"/>
  <c r="A5" i="10"/>
  <c r="A4" i="10"/>
  <c r="G68" i="9"/>
  <c r="F68" i="9"/>
  <c r="E68" i="9"/>
  <c r="D68" i="9"/>
  <c r="A68" i="9"/>
  <c r="C68" i="9" s="1"/>
  <c r="G67" i="9"/>
  <c r="F67" i="9"/>
  <c r="E67" i="9"/>
  <c r="D67" i="9"/>
  <c r="A67" i="9"/>
  <c r="C67" i="9" s="1"/>
  <c r="G66" i="9"/>
  <c r="F66" i="9"/>
  <c r="E66" i="9"/>
  <c r="D66" i="9"/>
  <c r="A66" i="9"/>
  <c r="C66" i="9" s="1"/>
  <c r="G65" i="9"/>
  <c r="F65" i="9"/>
  <c r="E65" i="9"/>
  <c r="D65" i="9"/>
  <c r="A65" i="9"/>
  <c r="C65" i="9" s="1"/>
  <c r="A64" i="9"/>
  <c r="F64" i="9" s="1"/>
  <c r="G63" i="9"/>
  <c r="F63" i="9"/>
  <c r="E63" i="9"/>
  <c r="D63" i="9"/>
  <c r="A63" i="9"/>
  <c r="G62" i="9"/>
  <c r="F62" i="9"/>
  <c r="E62" i="9"/>
  <c r="D62" i="9"/>
  <c r="A62" i="9"/>
  <c r="G61" i="9"/>
  <c r="F61" i="9"/>
  <c r="E61" i="9"/>
  <c r="D61" i="9"/>
  <c r="A61" i="9"/>
  <c r="G60" i="9"/>
  <c r="F60" i="9"/>
  <c r="E60" i="9"/>
  <c r="D60" i="9"/>
  <c r="A60" i="9"/>
  <c r="A59" i="9"/>
  <c r="G58" i="9"/>
  <c r="F58" i="9"/>
  <c r="E58" i="9"/>
  <c r="D58" i="9"/>
  <c r="A58" i="9"/>
  <c r="G57" i="9"/>
  <c r="F57" i="9"/>
  <c r="E57" i="9"/>
  <c r="D57" i="9"/>
  <c r="A57" i="9"/>
  <c r="G56" i="9"/>
  <c r="F56" i="9"/>
  <c r="E56" i="9"/>
  <c r="D56" i="9"/>
  <c r="A56" i="9"/>
  <c r="G55" i="9"/>
  <c r="F55" i="9"/>
  <c r="E55" i="9"/>
  <c r="D55" i="9"/>
  <c r="A55" i="9"/>
  <c r="A54" i="9"/>
  <c r="G53" i="9"/>
  <c r="F53" i="9"/>
  <c r="E53" i="9"/>
  <c r="D53" i="9"/>
  <c r="A53" i="9"/>
  <c r="G52" i="9"/>
  <c r="F52" i="9"/>
  <c r="E52" i="9"/>
  <c r="D52" i="9"/>
  <c r="A52" i="9"/>
  <c r="C52" i="9" s="1"/>
  <c r="G51" i="9"/>
  <c r="F51" i="9"/>
  <c r="E51" i="9"/>
  <c r="D51" i="9"/>
  <c r="A51" i="9"/>
  <c r="G50" i="9"/>
  <c r="F50" i="9"/>
  <c r="E50" i="9"/>
  <c r="D50" i="9"/>
  <c r="A50" i="9"/>
  <c r="A49" i="9"/>
  <c r="G48" i="9"/>
  <c r="F48" i="9"/>
  <c r="E48" i="9"/>
  <c r="D48" i="9"/>
  <c r="A48" i="9"/>
  <c r="G47" i="9"/>
  <c r="F47" i="9"/>
  <c r="E47" i="9"/>
  <c r="D47" i="9"/>
  <c r="A47" i="9"/>
  <c r="G46" i="9"/>
  <c r="F46" i="9"/>
  <c r="E46" i="9"/>
  <c r="D46" i="9"/>
  <c r="A46" i="9"/>
  <c r="G45" i="9"/>
  <c r="F45" i="9"/>
  <c r="E45" i="9"/>
  <c r="D45" i="9"/>
  <c r="A45" i="9"/>
  <c r="A44" i="9"/>
  <c r="G43" i="9"/>
  <c r="F43" i="9"/>
  <c r="E43" i="9"/>
  <c r="D43" i="9"/>
  <c r="A43" i="9"/>
  <c r="G42" i="9"/>
  <c r="F42" i="9"/>
  <c r="E42" i="9"/>
  <c r="D42" i="9"/>
  <c r="A42" i="9"/>
  <c r="G41" i="9"/>
  <c r="F41" i="9"/>
  <c r="E41" i="9"/>
  <c r="D41" i="9"/>
  <c r="A41" i="9"/>
  <c r="G40" i="9"/>
  <c r="F40" i="9"/>
  <c r="E40" i="9"/>
  <c r="D40" i="9"/>
  <c r="A40" i="9"/>
  <c r="A39" i="9"/>
  <c r="G38" i="9"/>
  <c r="F38" i="9"/>
  <c r="E38" i="9"/>
  <c r="D38" i="9"/>
  <c r="A38" i="9"/>
  <c r="G37" i="9"/>
  <c r="F37" i="9"/>
  <c r="E37" i="9"/>
  <c r="D37" i="9"/>
  <c r="A37" i="9"/>
  <c r="G36" i="9"/>
  <c r="F36" i="9"/>
  <c r="E36" i="9"/>
  <c r="D36" i="9"/>
  <c r="A36" i="9"/>
  <c r="G35" i="9"/>
  <c r="F35" i="9"/>
  <c r="E35" i="9"/>
  <c r="D35" i="9"/>
  <c r="A35" i="9"/>
  <c r="A34" i="9"/>
  <c r="G33" i="9"/>
  <c r="F33" i="9"/>
  <c r="E33" i="9"/>
  <c r="D33" i="9"/>
  <c r="A33" i="9"/>
  <c r="G32" i="9"/>
  <c r="F32" i="9"/>
  <c r="E32" i="9"/>
  <c r="D32" i="9"/>
  <c r="A32" i="9"/>
  <c r="G31" i="9"/>
  <c r="F31" i="9"/>
  <c r="E31" i="9"/>
  <c r="D31" i="9"/>
  <c r="A31" i="9"/>
  <c r="G30" i="9"/>
  <c r="F30" i="9"/>
  <c r="E30" i="9"/>
  <c r="D30" i="9"/>
  <c r="A30" i="9"/>
  <c r="A29" i="9"/>
  <c r="G28" i="9"/>
  <c r="F28" i="9"/>
  <c r="E28" i="9"/>
  <c r="D28" i="9"/>
  <c r="A28" i="9"/>
  <c r="G27" i="9"/>
  <c r="F27" i="9"/>
  <c r="E27" i="9"/>
  <c r="D27" i="9"/>
  <c r="A27" i="9"/>
  <c r="G26" i="9"/>
  <c r="F26" i="9"/>
  <c r="E26" i="9"/>
  <c r="D26" i="9"/>
  <c r="A26" i="9"/>
  <c r="G25" i="9"/>
  <c r="F25" i="9"/>
  <c r="E25" i="9"/>
  <c r="D25" i="9"/>
  <c r="A25" i="9"/>
  <c r="A24" i="9"/>
  <c r="G23" i="9"/>
  <c r="F23" i="9"/>
  <c r="E23" i="9"/>
  <c r="D23" i="9"/>
  <c r="A23" i="9"/>
  <c r="G22" i="9"/>
  <c r="F22" i="9"/>
  <c r="E22" i="9"/>
  <c r="D22" i="9"/>
  <c r="A22" i="9"/>
  <c r="G21" i="9"/>
  <c r="F21" i="9"/>
  <c r="E21" i="9"/>
  <c r="D21" i="9"/>
  <c r="A21" i="9"/>
  <c r="G20" i="9"/>
  <c r="F20" i="9"/>
  <c r="E20" i="9"/>
  <c r="D20" i="9"/>
  <c r="A20" i="9"/>
  <c r="A19" i="9"/>
  <c r="G18" i="9"/>
  <c r="F18" i="9"/>
  <c r="E18" i="9"/>
  <c r="D18" i="9"/>
  <c r="A18" i="9"/>
  <c r="G17" i="9"/>
  <c r="F17" i="9"/>
  <c r="E17" i="9"/>
  <c r="D17" i="9"/>
  <c r="A17" i="9"/>
  <c r="G16" i="9"/>
  <c r="F16" i="9"/>
  <c r="E16" i="9"/>
  <c r="D16" i="9"/>
  <c r="A16" i="9"/>
  <c r="G15" i="9"/>
  <c r="F15" i="9"/>
  <c r="E15" i="9"/>
  <c r="D15" i="9"/>
  <c r="A15" i="9"/>
  <c r="A14" i="9"/>
  <c r="G13" i="9"/>
  <c r="F13" i="9"/>
  <c r="E13" i="9"/>
  <c r="D13" i="9"/>
  <c r="A13" i="9"/>
  <c r="G12" i="9"/>
  <c r="F12" i="9"/>
  <c r="E12" i="9"/>
  <c r="D12" i="9"/>
  <c r="A12" i="9"/>
  <c r="G11" i="9"/>
  <c r="F11" i="9"/>
  <c r="E11" i="9"/>
  <c r="D11" i="9"/>
  <c r="A11" i="9"/>
  <c r="G10" i="9"/>
  <c r="F10" i="9"/>
  <c r="E10" i="9"/>
  <c r="D10" i="9"/>
  <c r="A10" i="9"/>
  <c r="A9" i="9"/>
  <c r="G8" i="9"/>
  <c r="F8" i="9"/>
  <c r="E8" i="9"/>
  <c r="D8" i="9"/>
  <c r="A8" i="9"/>
  <c r="G7" i="9"/>
  <c r="F7" i="9"/>
  <c r="E7" i="9"/>
  <c r="D7" i="9"/>
  <c r="A7" i="9"/>
  <c r="G6" i="9"/>
  <c r="F6" i="9"/>
  <c r="E6" i="9"/>
  <c r="D6" i="9"/>
  <c r="A6" i="9"/>
  <c r="G5" i="9"/>
  <c r="F5" i="9"/>
  <c r="E5" i="9"/>
  <c r="D5" i="9"/>
  <c r="A5" i="9"/>
  <c r="A4" i="9"/>
  <c r="T66" i="8"/>
  <c r="Q66" i="8"/>
  <c r="P66" i="8"/>
  <c r="K66" i="8"/>
  <c r="J66" i="8"/>
  <c r="B66" i="8"/>
  <c r="AG66" i="8" s="1"/>
  <c r="A66" i="8" s="1"/>
  <c r="T65" i="8"/>
  <c r="Q65" i="8"/>
  <c r="P65" i="8"/>
  <c r="K65" i="8"/>
  <c r="J65" i="8"/>
  <c r="B65" i="8"/>
  <c r="AG65" i="8" s="1"/>
  <c r="A65" i="8" s="1"/>
  <c r="Y64" i="8"/>
  <c r="T64" i="8"/>
  <c r="Q64" i="8"/>
  <c r="P64" i="8"/>
  <c r="K64" i="8"/>
  <c r="J64" i="8"/>
  <c r="B64" i="8"/>
  <c r="AG64" i="8" s="1"/>
  <c r="A64" i="8" s="1"/>
  <c r="T63" i="8"/>
  <c r="Q63" i="8"/>
  <c r="P63" i="8"/>
  <c r="K63" i="8"/>
  <c r="J63" i="8"/>
  <c r="B63" i="8"/>
  <c r="AG63" i="8" s="1"/>
  <c r="A63" i="8" s="1"/>
  <c r="Y62" i="8"/>
  <c r="Q62" i="8"/>
  <c r="P62" i="8"/>
  <c r="K62" i="8"/>
  <c r="J62" i="8"/>
  <c r="B62" i="8"/>
  <c r="AG62" i="8" s="1"/>
  <c r="A62" i="8"/>
  <c r="T61" i="8"/>
  <c r="Q61" i="8"/>
  <c r="P61" i="8"/>
  <c r="J61" i="8"/>
  <c r="B61" i="8"/>
  <c r="AG61" i="8" s="1"/>
  <c r="A61" i="8" s="1"/>
  <c r="T60" i="8"/>
  <c r="Q60" i="8"/>
  <c r="P60" i="8"/>
  <c r="J60" i="8"/>
  <c r="B60" i="8"/>
  <c r="AG60" i="8" s="1"/>
  <c r="A60" i="8" s="1"/>
  <c r="Y59" i="8"/>
  <c r="T59" i="8"/>
  <c r="Q59" i="8"/>
  <c r="P59" i="8"/>
  <c r="J59" i="8"/>
  <c r="B59" i="8"/>
  <c r="AG59" i="8" s="1"/>
  <c r="A59" i="8" s="1"/>
  <c r="T58" i="8"/>
  <c r="Q58" i="8"/>
  <c r="P58" i="8"/>
  <c r="J58" i="8"/>
  <c r="B58" i="8"/>
  <c r="AG58" i="8" s="1"/>
  <c r="A58" i="8" s="1"/>
  <c r="Y57" i="8"/>
  <c r="Q57" i="8"/>
  <c r="P57" i="8"/>
  <c r="J57" i="8"/>
  <c r="B57" i="8"/>
  <c r="AG57" i="8" s="1"/>
  <c r="A57" i="8" s="1"/>
  <c r="T56" i="8"/>
  <c r="Q56" i="8"/>
  <c r="P56" i="8"/>
  <c r="J56" i="8"/>
  <c r="B56" i="8"/>
  <c r="AG56" i="8" s="1"/>
  <c r="A56" i="8" s="1"/>
  <c r="T55" i="8"/>
  <c r="Q55" i="8"/>
  <c r="P55" i="8"/>
  <c r="J55" i="8"/>
  <c r="B55" i="8"/>
  <c r="AG55" i="8" s="1"/>
  <c r="A55" i="8" s="1"/>
  <c r="Y54" i="8"/>
  <c r="T54" i="8"/>
  <c r="Q54" i="8"/>
  <c r="P54" i="8"/>
  <c r="J54" i="8"/>
  <c r="B54" i="8"/>
  <c r="AG54" i="8" s="1"/>
  <c r="A54" i="8" s="1"/>
  <c r="T53" i="8"/>
  <c r="Q53" i="8"/>
  <c r="P53" i="8"/>
  <c r="J53" i="8"/>
  <c r="B53" i="8"/>
  <c r="AG53" i="8" s="1"/>
  <c r="A53" i="8" s="1"/>
  <c r="Y52" i="8"/>
  <c r="Q52" i="8"/>
  <c r="P52" i="8"/>
  <c r="J52" i="8"/>
  <c r="B52" i="8"/>
  <c r="AG52" i="8" s="1"/>
  <c r="A52" i="8" s="1"/>
  <c r="T51" i="8"/>
  <c r="Q51" i="8"/>
  <c r="P51" i="8"/>
  <c r="J51" i="8"/>
  <c r="B51" i="8"/>
  <c r="AG51" i="8" s="1"/>
  <c r="A51" i="8" s="1"/>
  <c r="T50" i="8"/>
  <c r="Q50" i="8"/>
  <c r="P50" i="8"/>
  <c r="J50" i="8"/>
  <c r="B50" i="8"/>
  <c r="AG50" i="8" s="1"/>
  <c r="A50" i="8" s="1"/>
  <c r="Y49" i="8"/>
  <c r="T49" i="8"/>
  <c r="Q49" i="8"/>
  <c r="P49" i="8"/>
  <c r="J49" i="8"/>
  <c r="B49" i="8"/>
  <c r="AG49" i="8" s="1"/>
  <c r="A49" i="8" s="1"/>
  <c r="T48" i="8"/>
  <c r="Q48" i="8"/>
  <c r="P48" i="8"/>
  <c r="J48" i="8"/>
  <c r="B48" i="8"/>
  <c r="AG48" i="8" s="1"/>
  <c r="A48" i="8" s="1"/>
  <c r="Y47" i="8"/>
  <c r="Q47" i="8"/>
  <c r="P47" i="8"/>
  <c r="J47" i="8"/>
  <c r="B47" i="8"/>
  <c r="AG47" i="8" s="1"/>
  <c r="A47" i="8" s="1"/>
  <c r="T46" i="8"/>
  <c r="Q46" i="8"/>
  <c r="P46" i="8"/>
  <c r="J46" i="8"/>
  <c r="B46" i="8"/>
  <c r="AG46" i="8" s="1"/>
  <c r="A46" i="8" s="1"/>
  <c r="T45" i="8"/>
  <c r="Q45" i="8"/>
  <c r="P45" i="8"/>
  <c r="J45" i="8"/>
  <c r="B45" i="8"/>
  <c r="AG45" i="8" s="1"/>
  <c r="A45" i="8" s="1"/>
  <c r="Y44" i="8"/>
  <c r="T44" i="8"/>
  <c r="Q44" i="8"/>
  <c r="P44" i="8"/>
  <c r="J44" i="8"/>
  <c r="B44" i="8"/>
  <c r="AG44" i="8" s="1"/>
  <c r="A44" i="8" s="1"/>
  <c r="T43" i="8"/>
  <c r="Q43" i="8"/>
  <c r="P43" i="8"/>
  <c r="J43" i="8"/>
  <c r="B43" i="8"/>
  <c r="AG43" i="8" s="1"/>
  <c r="A43" i="8" s="1"/>
  <c r="Y42" i="8"/>
  <c r="Q42" i="8"/>
  <c r="P42" i="8"/>
  <c r="J42" i="8"/>
  <c r="B42" i="8"/>
  <c r="AG42" i="8" s="1"/>
  <c r="A42" i="8" s="1"/>
  <c r="T41" i="8"/>
  <c r="Q41" i="8"/>
  <c r="P41" i="8"/>
  <c r="J41" i="8"/>
  <c r="B41" i="8"/>
  <c r="AG41" i="8" s="1"/>
  <c r="A41" i="8" s="1"/>
  <c r="T40" i="8"/>
  <c r="Q40" i="8"/>
  <c r="P40" i="8"/>
  <c r="J40" i="8"/>
  <c r="B40" i="8"/>
  <c r="AG40" i="8" s="1"/>
  <c r="A40" i="8" s="1"/>
  <c r="Y39" i="8"/>
  <c r="T39" i="8"/>
  <c r="Q39" i="8"/>
  <c r="P39" i="8"/>
  <c r="J39" i="8"/>
  <c r="B39" i="8"/>
  <c r="AG39" i="8" s="1"/>
  <c r="A39" i="8" s="1"/>
  <c r="T38" i="8"/>
  <c r="Q38" i="8"/>
  <c r="P38" i="8"/>
  <c r="J38" i="8"/>
  <c r="B38" i="8"/>
  <c r="AG38" i="8" s="1"/>
  <c r="A38" i="8" s="1"/>
  <c r="Y37" i="8"/>
  <c r="Q37" i="8"/>
  <c r="P37" i="8"/>
  <c r="J37" i="8"/>
  <c r="B37" i="8"/>
  <c r="AG37" i="8" s="1"/>
  <c r="A37" i="8" s="1"/>
  <c r="T36" i="8"/>
  <c r="Q36" i="8"/>
  <c r="P36" i="8"/>
  <c r="J36" i="8"/>
  <c r="B36" i="8"/>
  <c r="AG36" i="8" s="1"/>
  <c r="A36" i="8" s="1"/>
  <c r="T35" i="8"/>
  <c r="Q35" i="8"/>
  <c r="P35" i="8"/>
  <c r="J35" i="8"/>
  <c r="B35" i="8"/>
  <c r="AG35" i="8" s="1"/>
  <c r="A35" i="8" s="1"/>
  <c r="Y34" i="8"/>
  <c r="T34" i="8"/>
  <c r="Q34" i="8"/>
  <c r="P34" i="8"/>
  <c r="J34" i="8"/>
  <c r="B34" i="8"/>
  <c r="AG34" i="8" s="1"/>
  <c r="A34" i="8" s="1"/>
  <c r="T33" i="8"/>
  <c r="Q33" i="8"/>
  <c r="P33" i="8"/>
  <c r="J33" i="8"/>
  <c r="B33" i="8"/>
  <c r="AG33" i="8" s="1"/>
  <c r="A33" i="8" s="1"/>
  <c r="Y32" i="8"/>
  <c r="Q32" i="8"/>
  <c r="P32" i="8"/>
  <c r="J32" i="8"/>
  <c r="B32" i="8"/>
  <c r="AG32" i="8" s="1"/>
  <c r="A32" i="8" s="1"/>
  <c r="T31" i="8"/>
  <c r="Q31" i="8"/>
  <c r="P31" i="8"/>
  <c r="J31" i="8"/>
  <c r="B31" i="8"/>
  <c r="AG31" i="8" s="1"/>
  <c r="A31" i="8" s="1"/>
  <c r="T30" i="8"/>
  <c r="Q30" i="8"/>
  <c r="P30" i="8"/>
  <c r="J30" i="8"/>
  <c r="B30" i="8"/>
  <c r="AG30" i="8" s="1"/>
  <c r="A30" i="8" s="1"/>
  <c r="Y29" i="8"/>
  <c r="T29" i="8"/>
  <c r="Q29" i="8"/>
  <c r="P29" i="8"/>
  <c r="J29" i="8"/>
  <c r="B29" i="8"/>
  <c r="AG29" i="8" s="1"/>
  <c r="A29" i="8" s="1"/>
  <c r="T28" i="8"/>
  <c r="Q28" i="8"/>
  <c r="P28" i="8"/>
  <c r="J28" i="8"/>
  <c r="B28" i="8"/>
  <c r="AG28" i="8" s="1"/>
  <c r="A28" i="8" s="1"/>
  <c r="Y27" i="8"/>
  <c r="Q27" i="8"/>
  <c r="P27" i="8"/>
  <c r="J27" i="8"/>
  <c r="B27" i="8"/>
  <c r="AG27" i="8" s="1"/>
  <c r="A27" i="8" s="1"/>
  <c r="T26" i="8"/>
  <c r="Q26" i="8"/>
  <c r="P26" i="8"/>
  <c r="J26" i="8"/>
  <c r="B26" i="8"/>
  <c r="AG26" i="8" s="1"/>
  <c r="A26" i="8" s="1"/>
  <c r="T25" i="8"/>
  <c r="Q25" i="8"/>
  <c r="P25" i="8"/>
  <c r="J25" i="8"/>
  <c r="B25" i="8"/>
  <c r="AG25" i="8" s="1"/>
  <c r="A25" i="8" s="1"/>
  <c r="Y24" i="8"/>
  <c r="T24" i="8"/>
  <c r="Q24" i="8"/>
  <c r="P24" i="8"/>
  <c r="J24" i="8"/>
  <c r="B24" i="8"/>
  <c r="AG24" i="8" s="1"/>
  <c r="A24" i="8" s="1"/>
  <c r="T23" i="8"/>
  <c r="Q23" i="8"/>
  <c r="P23" i="8"/>
  <c r="J23" i="8"/>
  <c r="B23" i="8"/>
  <c r="AG23" i="8" s="1"/>
  <c r="A23" i="8" s="1"/>
  <c r="Y22" i="8"/>
  <c r="Q22" i="8"/>
  <c r="P22" i="8"/>
  <c r="J22" i="8"/>
  <c r="B22" i="8"/>
  <c r="AG22" i="8" s="1"/>
  <c r="A22" i="8" s="1"/>
  <c r="T21" i="8"/>
  <c r="Q21" i="8"/>
  <c r="P21" i="8"/>
  <c r="J21" i="8"/>
  <c r="B21" i="8"/>
  <c r="AG21" i="8" s="1"/>
  <c r="A21" i="8" s="1"/>
  <c r="T20" i="8"/>
  <c r="Q20" i="8"/>
  <c r="P20" i="8"/>
  <c r="J20" i="8"/>
  <c r="B20" i="8"/>
  <c r="AG20" i="8" s="1"/>
  <c r="A20" i="8" s="1"/>
  <c r="Y19" i="8"/>
  <c r="T19" i="8"/>
  <c r="Q19" i="8"/>
  <c r="P19" i="8"/>
  <c r="J19" i="8"/>
  <c r="B19" i="8"/>
  <c r="AG19" i="8" s="1"/>
  <c r="A19" i="8" s="1"/>
  <c r="T18" i="8"/>
  <c r="Q18" i="8"/>
  <c r="P18" i="8"/>
  <c r="J18" i="8"/>
  <c r="B18" i="8"/>
  <c r="AG18" i="8" s="1"/>
  <c r="A18" i="8" s="1"/>
  <c r="Y17" i="8"/>
  <c r="Q17" i="8"/>
  <c r="P17" i="8"/>
  <c r="J17" i="8"/>
  <c r="B17" i="8"/>
  <c r="AG17" i="8" s="1"/>
  <c r="A17" i="8" s="1"/>
  <c r="T16" i="8"/>
  <c r="Q16" i="8"/>
  <c r="P16" i="8"/>
  <c r="J16" i="8"/>
  <c r="B16" i="8"/>
  <c r="AG16" i="8" s="1"/>
  <c r="A16" i="8" s="1"/>
  <c r="T15" i="8"/>
  <c r="Q15" i="8"/>
  <c r="P15" i="8"/>
  <c r="J15" i="8"/>
  <c r="B15" i="8"/>
  <c r="AG15" i="8" s="1"/>
  <c r="A15" i="8" s="1"/>
  <c r="Y14" i="8"/>
  <c r="T14" i="8"/>
  <c r="Q14" i="8"/>
  <c r="P14" i="8"/>
  <c r="J14" i="8"/>
  <c r="B14" i="8"/>
  <c r="AG14" i="8" s="1"/>
  <c r="A14" i="8" s="1"/>
  <c r="T13" i="8"/>
  <c r="Q13" i="8"/>
  <c r="P13" i="8"/>
  <c r="J13" i="8"/>
  <c r="B13" i="8"/>
  <c r="AG13" i="8" s="1"/>
  <c r="A13" i="8" s="1"/>
  <c r="Y12" i="8"/>
  <c r="Q12" i="8"/>
  <c r="P12" i="8"/>
  <c r="J12" i="8"/>
  <c r="B12" i="8"/>
  <c r="AG12" i="8" s="1"/>
  <c r="A12" i="8" s="1"/>
  <c r="T11" i="8"/>
  <c r="Q11" i="8"/>
  <c r="P11" i="8"/>
  <c r="J11" i="8"/>
  <c r="B11" i="8"/>
  <c r="AG11" i="8" s="1"/>
  <c r="A11" i="8" s="1"/>
  <c r="T10" i="8"/>
  <c r="Q10" i="8"/>
  <c r="P10" i="8"/>
  <c r="J10" i="8"/>
  <c r="B10" i="8"/>
  <c r="AG10" i="8" s="1"/>
  <c r="A10" i="8" s="1"/>
  <c r="Y9" i="8"/>
  <c r="T9" i="8"/>
  <c r="Q9" i="8"/>
  <c r="P9" i="8"/>
  <c r="J9" i="8"/>
  <c r="B9" i="8"/>
  <c r="AG9" i="8" s="1"/>
  <c r="A9" i="8" s="1"/>
  <c r="T8" i="8"/>
  <c r="Q8" i="8"/>
  <c r="P8" i="8"/>
  <c r="J8" i="8"/>
  <c r="B8" i="8"/>
  <c r="AG8" i="8" s="1"/>
  <c r="A8" i="8" s="1"/>
  <c r="Y7" i="8"/>
  <c r="Q7" i="8"/>
  <c r="P7" i="8"/>
  <c r="J7" i="8"/>
  <c r="B7" i="8"/>
  <c r="AG7" i="8" s="1"/>
  <c r="A7" i="8" s="1"/>
  <c r="T6" i="8"/>
  <c r="Q6" i="8"/>
  <c r="P6" i="8"/>
  <c r="J6" i="8"/>
  <c r="B6" i="8"/>
  <c r="AG6" i="8" s="1"/>
  <c r="A6" i="8" s="1"/>
  <c r="T5" i="8"/>
  <c r="Q5" i="8"/>
  <c r="P5" i="8"/>
  <c r="J5" i="8"/>
  <c r="B5" i="8"/>
  <c r="AG5" i="8" s="1"/>
  <c r="A5" i="8" s="1"/>
  <c r="Y4" i="8"/>
  <c r="T4" i="8"/>
  <c r="Q4" i="8"/>
  <c r="P4" i="8"/>
  <c r="J4" i="8"/>
  <c r="B4" i="8"/>
  <c r="AG4" i="8" s="1"/>
  <c r="A4" i="8" s="1"/>
  <c r="T3" i="8"/>
  <c r="Q3" i="8"/>
  <c r="P3" i="8"/>
  <c r="J3" i="8"/>
  <c r="B3" i="8"/>
  <c r="AG3" i="8" s="1"/>
  <c r="A3" i="8" s="1"/>
  <c r="Y2" i="8"/>
  <c r="Q2" i="8"/>
  <c r="P2" i="8"/>
  <c r="J2" i="8"/>
  <c r="B2" i="8"/>
  <c r="AG2" i="8" s="1"/>
  <c r="A2" i="8" s="1"/>
  <c r="A1" i="8"/>
  <c r="A87" i="7"/>
  <c r="I87" i="7" s="1"/>
  <c r="A86" i="7"/>
  <c r="I86" i="7" s="1"/>
  <c r="A85" i="7"/>
  <c r="I85" i="7" s="1"/>
  <c r="A84" i="7"/>
  <c r="I84" i="7" s="1"/>
  <c r="A83" i="7"/>
  <c r="I83" i="7" s="1"/>
  <c r="A82" i="7"/>
  <c r="I82" i="7" s="1"/>
  <c r="A81" i="7"/>
  <c r="I81" i="7" s="1"/>
  <c r="A80" i="7"/>
  <c r="I80" i="7" s="1"/>
  <c r="A79" i="7"/>
  <c r="I79" i="7" s="1"/>
  <c r="A78" i="7"/>
  <c r="I78" i="7" s="1"/>
  <c r="A77" i="7"/>
  <c r="I77" i="7" s="1"/>
  <c r="A76" i="7"/>
  <c r="I76" i="7" s="1"/>
  <c r="C75" i="7"/>
  <c r="A75" i="7"/>
  <c r="I75" i="7" s="1"/>
  <c r="C74" i="7"/>
  <c r="A74" i="7"/>
  <c r="I74" i="7" s="1"/>
  <c r="C73" i="7"/>
  <c r="A73" i="7"/>
  <c r="I73" i="7" s="1"/>
  <c r="C72" i="7"/>
  <c r="A72" i="7"/>
  <c r="I72" i="7" s="1"/>
  <c r="A71" i="7"/>
  <c r="I71" i="7" s="1"/>
  <c r="A70" i="7"/>
  <c r="I70" i="7" s="1"/>
  <c r="C69" i="7"/>
  <c r="A69" i="7"/>
  <c r="I69" i="7" s="1"/>
  <c r="C68" i="7"/>
  <c r="A68" i="7"/>
  <c r="I68" i="7" s="1"/>
  <c r="C67" i="7"/>
  <c r="A67" i="7"/>
  <c r="I67" i="7" s="1"/>
  <c r="C66" i="7"/>
  <c r="A66" i="7"/>
  <c r="I66" i="7" s="1"/>
  <c r="C65" i="7"/>
  <c r="A65" i="7"/>
  <c r="I65" i="7" s="1"/>
  <c r="C64" i="7"/>
  <c r="A64" i="7"/>
  <c r="I64" i="7" s="1"/>
  <c r="C63" i="7"/>
  <c r="A63" i="7"/>
  <c r="I63" i="7" s="1"/>
  <c r="A62" i="7"/>
  <c r="I62" i="7" s="1"/>
  <c r="C61" i="7"/>
  <c r="A61" i="7"/>
  <c r="I61" i="7" s="1"/>
  <c r="C60" i="7"/>
  <c r="A60" i="7"/>
  <c r="I60" i="7" s="1"/>
  <c r="A59" i="7"/>
  <c r="I59" i="7" s="1"/>
  <c r="A58" i="7"/>
  <c r="I58" i="7" s="1"/>
  <c r="A57" i="7"/>
  <c r="I57" i="7" s="1"/>
  <c r="A56" i="7"/>
  <c r="I56" i="7" s="1"/>
  <c r="A55" i="7"/>
  <c r="I55" i="7" s="1"/>
  <c r="A54" i="7"/>
  <c r="I54" i="7" s="1"/>
  <c r="A53" i="7"/>
  <c r="I53" i="7" s="1"/>
  <c r="A52" i="7"/>
  <c r="I52" i="7" s="1"/>
  <c r="A51" i="7"/>
  <c r="I51" i="7" s="1"/>
  <c r="A50" i="7"/>
  <c r="I50" i="7" s="1"/>
  <c r="A49" i="7"/>
  <c r="I49" i="7" s="1"/>
  <c r="A48" i="7"/>
  <c r="I48" i="7" s="1"/>
  <c r="A47" i="7"/>
  <c r="I47" i="7" s="1"/>
  <c r="A46" i="7"/>
  <c r="I46" i="7" s="1"/>
  <c r="A45" i="7"/>
  <c r="I45" i="7" s="1"/>
  <c r="A44" i="7"/>
  <c r="I44" i="7" s="1"/>
  <c r="A43" i="7"/>
  <c r="I43" i="7" s="1"/>
  <c r="A42" i="7"/>
  <c r="I42" i="7" s="1"/>
  <c r="A41" i="7"/>
  <c r="I41" i="7" s="1"/>
  <c r="A40" i="7"/>
  <c r="I40" i="7" s="1"/>
  <c r="A39" i="7"/>
  <c r="I39" i="7" s="1"/>
  <c r="A38" i="7"/>
  <c r="I38" i="7" s="1"/>
  <c r="A37" i="7"/>
  <c r="I37" i="7" s="1"/>
  <c r="A36" i="7"/>
  <c r="I36" i="7" s="1"/>
  <c r="A35" i="7"/>
  <c r="I35" i="7" s="1"/>
  <c r="A34" i="7"/>
  <c r="I34" i="7" s="1"/>
  <c r="A33" i="7"/>
  <c r="I33" i="7" s="1"/>
  <c r="A32" i="7"/>
  <c r="I32" i="7" s="1"/>
  <c r="A31" i="7"/>
  <c r="I31" i="7" s="1"/>
  <c r="A30" i="7"/>
  <c r="I30" i="7" s="1"/>
  <c r="A29" i="7"/>
  <c r="I29" i="7" s="1"/>
  <c r="A28" i="7"/>
  <c r="I28" i="7" s="1"/>
  <c r="M15" i="7"/>
  <c r="M66" i="8" s="1"/>
  <c r="E66" i="8" s="1"/>
  <c r="L15" i="7"/>
  <c r="M65" i="8" s="1"/>
  <c r="E65" i="8" s="1"/>
  <c r="I15" i="7"/>
  <c r="M62" i="8" s="1"/>
  <c r="E62" i="8" s="1"/>
  <c r="L14" i="7"/>
  <c r="M60" i="8" s="1"/>
  <c r="K59" i="8"/>
  <c r="M13" i="7"/>
  <c r="I13" i="7"/>
  <c r="L13" i="7"/>
  <c r="I12" i="7"/>
  <c r="M12" i="7"/>
  <c r="M11" i="7"/>
  <c r="L11" i="7"/>
  <c r="C70" i="7"/>
  <c r="I11" i="7"/>
  <c r="D37" i="8"/>
  <c r="M10" i="7"/>
  <c r="M9" i="7"/>
  <c r="I9" i="7"/>
  <c r="J9" i="7" s="1"/>
  <c r="K32" i="8"/>
  <c r="D62" i="7"/>
  <c r="C62" i="7"/>
  <c r="L9" i="7"/>
  <c r="M8" i="7"/>
  <c r="L8" i="7"/>
  <c r="C56" i="7" s="1"/>
  <c r="I8" i="7"/>
  <c r="C53" i="7" s="1"/>
  <c r="M7" i="7"/>
  <c r="C52" i="7" s="1"/>
  <c r="I7" i="7"/>
  <c r="L7" i="7"/>
  <c r="L6" i="7"/>
  <c r="M5" i="7"/>
  <c r="I5" i="7"/>
  <c r="L5" i="7"/>
  <c r="C41" i="7" s="1"/>
  <c r="L4" i="7"/>
  <c r="M10" i="8" s="1"/>
  <c r="I4" i="7"/>
  <c r="J4" i="7" s="1"/>
  <c r="C34" i="7" s="1"/>
  <c r="M4" i="7"/>
  <c r="C37" i="7" s="1"/>
  <c r="M3" i="7"/>
  <c r="A17" i="5"/>
  <c r="A16" i="5"/>
  <c r="A15" i="5"/>
  <c r="A14" i="5"/>
  <c r="A13" i="5"/>
  <c r="A12" i="5"/>
  <c r="A11" i="5"/>
  <c r="A10" i="5"/>
  <c r="A9" i="5"/>
  <c r="A8" i="5"/>
  <c r="A7" i="5"/>
  <c r="A6" i="5"/>
  <c r="A5" i="5"/>
  <c r="N3" i="5"/>
  <c r="N2" i="5"/>
  <c r="C40" i="3"/>
  <c r="C39" i="3"/>
  <c r="C38" i="3"/>
  <c r="C37" i="3"/>
  <c r="C36" i="3"/>
  <c r="C35" i="3"/>
  <c r="C34" i="3"/>
  <c r="C5" i="3"/>
  <c r="C4" i="3"/>
  <c r="D22" i="22" l="1"/>
  <c r="D25" i="22" s="1"/>
  <c r="D29" i="22" s="1"/>
  <c r="E10" i="22"/>
  <c r="E11" i="22" s="1"/>
  <c r="E14" i="22"/>
  <c r="C10" i="22"/>
  <c r="C11" i="22" s="1"/>
  <c r="C14" i="22"/>
  <c r="C22" i="22" s="1"/>
  <c r="G10" i="22"/>
  <c r="G11" i="22" s="1"/>
  <c r="G14" i="22"/>
  <c r="G15" i="22" s="1"/>
  <c r="G22" i="22" s="1"/>
  <c r="G25" i="22" s="1"/>
  <c r="G29" i="22" s="1"/>
  <c r="G30" i="22" s="1"/>
  <c r="G35" i="22" s="1"/>
  <c r="G36" i="22" s="1"/>
  <c r="F21" i="22"/>
  <c r="G35" i="23"/>
  <c r="C20" i="23"/>
  <c r="C23" i="23" s="1"/>
  <c r="C31" i="23" s="1"/>
  <c r="C35" i="23"/>
  <c r="C36" i="23" s="1"/>
  <c r="E28" i="23"/>
  <c r="G28" i="23"/>
  <c r="E15" i="22"/>
  <c r="F9" i="22"/>
  <c r="F14" i="22" s="1"/>
  <c r="F15" i="22" s="1"/>
  <c r="D10" i="22"/>
  <c r="D11" i="22" s="1"/>
  <c r="H42" i="9"/>
  <c r="C33" i="7"/>
  <c r="E62" i="7"/>
  <c r="H58" i="9"/>
  <c r="H25" i="9"/>
  <c r="J16" i="10"/>
  <c r="H43" i="9"/>
  <c r="C64" i="9"/>
  <c r="D64" i="9" s="1"/>
  <c r="F6" i="5"/>
  <c r="H61" i="9"/>
  <c r="E64" i="9"/>
  <c r="E6" i="5"/>
  <c r="H21" i="9"/>
  <c r="G6" i="5"/>
  <c r="H12" i="9"/>
  <c r="H20" i="9"/>
  <c r="H50" i="9"/>
  <c r="H6" i="5"/>
  <c r="H33" i="9"/>
  <c r="I6" i="5"/>
  <c r="H26" i="9"/>
  <c r="H45" i="9"/>
  <c r="H60" i="9"/>
  <c r="H7" i="9"/>
  <c r="H11" i="9"/>
  <c r="K16" i="10"/>
  <c r="H10" i="9"/>
  <c r="H35" i="9"/>
  <c r="H37" i="9"/>
  <c r="H51" i="9"/>
  <c r="H53" i="9"/>
  <c r="H68" i="9"/>
  <c r="H23" i="9"/>
  <c r="H28" i="9"/>
  <c r="H56" i="9"/>
  <c r="H67" i="9"/>
  <c r="H5" i="9"/>
  <c r="H41" i="9"/>
  <c r="H18" i="9"/>
  <c r="H27" i="9"/>
  <c r="H63" i="9"/>
  <c r="H36" i="9"/>
  <c r="H52" i="9"/>
  <c r="H55" i="9"/>
  <c r="H13" i="9"/>
  <c r="M6" i="8"/>
  <c r="E6" i="8" s="1"/>
  <c r="L6" i="8"/>
  <c r="M20" i="8"/>
  <c r="E20" i="8" s="1"/>
  <c r="L20" i="8"/>
  <c r="D20" i="8" s="1"/>
  <c r="C46" i="7"/>
  <c r="M11" i="8"/>
  <c r="E11" i="8" s="1"/>
  <c r="L11" i="8"/>
  <c r="M30" i="8"/>
  <c r="E30" i="8" s="1"/>
  <c r="L30" i="8"/>
  <c r="D30" i="8" s="1"/>
  <c r="M32" i="8"/>
  <c r="L32" i="8"/>
  <c r="K48" i="8"/>
  <c r="K51" i="8"/>
  <c r="K50" i="8"/>
  <c r="K47" i="8"/>
  <c r="K49" i="8"/>
  <c r="M15" i="8"/>
  <c r="E15" i="8" s="1"/>
  <c r="L15" i="8"/>
  <c r="I6" i="7"/>
  <c r="D43" i="7" s="1"/>
  <c r="M6" i="7"/>
  <c r="D47" i="7" s="1"/>
  <c r="M31" i="8"/>
  <c r="E31" i="8" s="1"/>
  <c r="L31" i="8"/>
  <c r="M33" i="8"/>
  <c r="L33" i="8"/>
  <c r="K41" i="8"/>
  <c r="K40" i="8"/>
  <c r="K39" i="8"/>
  <c r="K38" i="8"/>
  <c r="K37" i="8"/>
  <c r="M45" i="8"/>
  <c r="E45" i="8" s="1"/>
  <c r="L45" i="8"/>
  <c r="M47" i="8"/>
  <c r="E47" i="8" s="1"/>
  <c r="L47" i="8"/>
  <c r="C57" i="7"/>
  <c r="C5" i="10"/>
  <c r="F9" i="9"/>
  <c r="E10" i="8"/>
  <c r="D37" i="7"/>
  <c r="E37" i="7" s="1"/>
  <c r="D36" i="7"/>
  <c r="D34" i="7"/>
  <c r="E34" i="7" s="1"/>
  <c r="D33" i="7"/>
  <c r="E33" i="7" s="1"/>
  <c r="B6" i="10"/>
  <c r="C18" i="9"/>
  <c r="C16" i="9"/>
  <c r="C14" i="9"/>
  <c r="D14" i="9" s="1"/>
  <c r="M25" i="8"/>
  <c r="L25" i="8"/>
  <c r="D25" i="8" s="1"/>
  <c r="K9" i="7"/>
  <c r="L46" i="8"/>
  <c r="M46" i="8"/>
  <c r="E46" i="8" s="1"/>
  <c r="J12" i="7"/>
  <c r="D74" i="7" s="1"/>
  <c r="E74" i="7" s="1"/>
  <c r="I3" i="7"/>
  <c r="C28" i="7" s="1"/>
  <c r="C6" i="10"/>
  <c r="D42" i="7"/>
  <c r="D41" i="7"/>
  <c r="E41" i="7" s="1"/>
  <c r="D38" i="7"/>
  <c r="F19" i="9"/>
  <c r="D46" i="7"/>
  <c r="M27" i="8"/>
  <c r="E27" i="8" s="1"/>
  <c r="L27" i="8"/>
  <c r="D27" i="8" s="1"/>
  <c r="J8" i="7"/>
  <c r="D54" i="7" s="1"/>
  <c r="M35" i="8"/>
  <c r="L35" i="8"/>
  <c r="M36" i="8"/>
  <c r="L36" i="8"/>
  <c r="M42" i="8"/>
  <c r="E42" i="8" s="1"/>
  <c r="L42" i="8"/>
  <c r="J11" i="7"/>
  <c r="D69" i="7" s="1"/>
  <c r="E69" i="7" s="1"/>
  <c r="C38" i="7"/>
  <c r="C42" i="7"/>
  <c r="C58" i="7"/>
  <c r="T12" i="8"/>
  <c r="K11" i="8"/>
  <c r="K10" i="8"/>
  <c r="K9" i="8"/>
  <c r="K8" i="8"/>
  <c r="K7" i="8"/>
  <c r="K9" i="10"/>
  <c r="C29" i="9"/>
  <c r="D29" i="9" s="1"/>
  <c r="J9" i="10"/>
  <c r="B9" i="10"/>
  <c r="C32" i="9"/>
  <c r="T27" i="8"/>
  <c r="C38" i="9"/>
  <c r="E34" i="9"/>
  <c r="C37" i="9"/>
  <c r="C36" i="9"/>
  <c r="D35" i="8"/>
  <c r="D34" i="8"/>
  <c r="D33" i="8"/>
  <c r="D32" i="8"/>
  <c r="T32" i="8"/>
  <c r="D36" i="8"/>
  <c r="J12" i="10"/>
  <c r="K12" i="10"/>
  <c r="C48" i="9"/>
  <c r="D43" i="8"/>
  <c r="C44" i="9"/>
  <c r="D44" i="9" s="1"/>
  <c r="T42" i="8"/>
  <c r="D42" i="8"/>
  <c r="D46" i="8"/>
  <c r="D45" i="8"/>
  <c r="D44" i="8"/>
  <c r="M51" i="8"/>
  <c r="E51" i="8" s="1"/>
  <c r="L51" i="8"/>
  <c r="M55" i="8"/>
  <c r="I14" i="7"/>
  <c r="L57" i="8" s="1"/>
  <c r="D57" i="8" s="1"/>
  <c r="M14" i="7"/>
  <c r="M61" i="8" s="1"/>
  <c r="L10" i="8"/>
  <c r="L3" i="7"/>
  <c r="D31" i="7" s="1"/>
  <c r="M7" i="8"/>
  <c r="E7" i="8" s="1"/>
  <c r="L7" i="8"/>
  <c r="C9" i="10"/>
  <c r="F29" i="9"/>
  <c r="D57" i="7"/>
  <c r="D56" i="7"/>
  <c r="D53" i="7"/>
  <c r="E53" i="7" s="1"/>
  <c r="M41" i="8"/>
  <c r="L41" i="8"/>
  <c r="C54" i="9"/>
  <c r="D54" i="9" s="1"/>
  <c r="T52" i="8"/>
  <c r="E54" i="9"/>
  <c r="C56" i="9"/>
  <c r="C81" i="7"/>
  <c r="C82" i="7"/>
  <c r="C78" i="7"/>
  <c r="C51" i="7"/>
  <c r="C59" i="7"/>
  <c r="C71" i="7"/>
  <c r="M8" i="8"/>
  <c r="E8" i="8" s="1"/>
  <c r="L8" i="8"/>
  <c r="K4" i="7"/>
  <c r="D35" i="7" s="1"/>
  <c r="M12" i="8"/>
  <c r="E12" i="8" s="1"/>
  <c r="L12" i="8"/>
  <c r="J5" i="7"/>
  <c r="C39" i="7" s="1"/>
  <c r="K25" i="8"/>
  <c r="K24" i="8"/>
  <c r="K23" i="8"/>
  <c r="K22" i="8"/>
  <c r="K26" i="8"/>
  <c r="E55" i="8"/>
  <c r="E54" i="8"/>
  <c r="E53" i="8"/>
  <c r="E56" i="8"/>
  <c r="E52" i="8"/>
  <c r="D82" i="7"/>
  <c r="D81" i="7"/>
  <c r="D80" i="7"/>
  <c r="D79" i="7"/>
  <c r="D78" i="7"/>
  <c r="K4" i="10"/>
  <c r="L4" i="10" s="1"/>
  <c r="C6" i="9"/>
  <c r="E4" i="9"/>
  <c r="C8" i="9"/>
  <c r="T2" i="8"/>
  <c r="L16" i="8"/>
  <c r="M16" i="8"/>
  <c r="E16" i="8" s="1"/>
  <c r="M22" i="8"/>
  <c r="E22" i="8" s="1"/>
  <c r="L22" i="8"/>
  <c r="D22" i="8" s="1"/>
  <c r="J7" i="7"/>
  <c r="K31" i="8"/>
  <c r="K29" i="8"/>
  <c r="K27" i="8"/>
  <c r="K28" i="8"/>
  <c r="K30" i="8"/>
  <c r="E41" i="8"/>
  <c r="E40" i="8"/>
  <c r="E39" i="8"/>
  <c r="E38" i="8"/>
  <c r="E37" i="8"/>
  <c r="F37" i="8" s="1"/>
  <c r="D67" i="7"/>
  <c r="E67" i="7" s="1"/>
  <c r="D66" i="7"/>
  <c r="E66" i="7" s="1"/>
  <c r="D65" i="7"/>
  <c r="E65" i="7" s="1"/>
  <c r="D64" i="7"/>
  <c r="E64" i="7" s="1"/>
  <c r="D63" i="7"/>
  <c r="E63" i="7" s="1"/>
  <c r="C32" i="7"/>
  <c r="C36" i="7"/>
  <c r="C48" i="7"/>
  <c r="E56" i="7"/>
  <c r="M56" i="8"/>
  <c r="C76" i="7"/>
  <c r="K34" i="8"/>
  <c r="K16" i="8"/>
  <c r="K15" i="8"/>
  <c r="K14" i="8"/>
  <c r="K13" i="8"/>
  <c r="K12" i="8"/>
  <c r="C21" i="9"/>
  <c r="C23" i="9"/>
  <c r="T17" i="8"/>
  <c r="I10" i="7"/>
  <c r="K54" i="8"/>
  <c r="K52" i="8"/>
  <c r="K55" i="8"/>
  <c r="K53" i="8"/>
  <c r="K56" i="8"/>
  <c r="T57" i="8"/>
  <c r="C60" i="9"/>
  <c r="D28" i="7"/>
  <c r="D32" i="7"/>
  <c r="D48" i="7"/>
  <c r="D51" i="7"/>
  <c r="D52" i="7"/>
  <c r="E52" i="7" s="1"/>
  <c r="D58" i="7"/>
  <c r="D59" i="7"/>
  <c r="D60" i="7"/>
  <c r="E60" i="7" s="1"/>
  <c r="D61" i="7"/>
  <c r="E61" i="7" s="1"/>
  <c r="D68" i="7"/>
  <c r="E68" i="7" s="1"/>
  <c r="D71" i="7"/>
  <c r="D72" i="7"/>
  <c r="E72" i="7" s="1"/>
  <c r="D73" i="7"/>
  <c r="E73" i="7" s="1"/>
  <c r="C87" i="7"/>
  <c r="L12" i="7"/>
  <c r="M52" i="8"/>
  <c r="L52" i="8"/>
  <c r="E58" i="8"/>
  <c r="E59" i="8"/>
  <c r="E57" i="8"/>
  <c r="E61" i="8"/>
  <c r="E60" i="8"/>
  <c r="D87" i="7"/>
  <c r="D86" i="7"/>
  <c r="D85" i="7"/>
  <c r="D84" i="7"/>
  <c r="D83" i="7"/>
  <c r="K6" i="8"/>
  <c r="K5" i="8"/>
  <c r="K4" i="8"/>
  <c r="K3" i="8"/>
  <c r="K2" i="8"/>
  <c r="C10" i="9"/>
  <c r="K5" i="10"/>
  <c r="B5" i="10"/>
  <c r="E9" i="9"/>
  <c r="C13" i="9"/>
  <c r="J5" i="10"/>
  <c r="L5" i="10" s="1"/>
  <c r="F34" i="9"/>
  <c r="E36" i="8"/>
  <c r="E35" i="8"/>
  <c r="E34" i="8"/>
  <c r="E33" i="8"/>
  <c r="E32" i="8"/>
  <c r="K45" i="8"/>
  <c r="K44" i="8"/>
  <c r="K43" i="8"/>
  <c r="K42" i="8"/>
  <c r="K46" i="8"/>
  <c r="K13" i="10"/>
  <c r="J13" i="10"/>
  <c r="L13" i="10" s="1"/>
  <c r="B13" i="10"/>
  <c r="C53" i="9"/>
  <c r="E49" i="9"/>
  <c r="D51" i="8"/>
  <c r="D50" i="8"/>
  <c r="D47" i="8"/>
  <c r="T47" i="8"/>
  <c r="D48" i="8"/>
  <c r="D49" i="8"/>
  <c r="J13" i="7"/>
  <c r="J15" i="7"/>
  <c r="C86" i="7"/>
  <c r="K21" i="8"/>
  <c r="K20" i="8"/>
  <c r="K19" i="8"/>
  <c r="K18" i="8"/>
  <c r="K17" i="8"/>
  <c r="K8" i="10"/>
  <c r="J8" i="10"/>
  <c r="C24" i="9"/>
  <c r="D24" i="9" s="1"/>
  <c r="C28" i="9"/>
  <c r="C26" i="9"/>
  <c r="E24" i="9"/>
  <c r="M26" i="8"/>
  <c r="E26" i="8" s="1"/>
  <c r="L26" i="8"/>
  <c r="D26" i="8" s="1"/>
  <c r="L10" i="7"/>
  <c r="C13" i="10"/>
  <c r="F49" i="9"/>
  <c r="D77" i="7"/>
  <c r="K58" i="8"/>
  <c r="K57" i="8"/>
  <c r="K61" i="8"/>
  <c r="K60" i="8"/>
  <c r="D11" i="8"/>
  <c r="T22" i="8"/>
  <c r="F24" i="9"/>
  <c r="E25" i="8"/>
  <c r="K36" i="8"/>
  <c r="K35" i="8"/>
  <c r="K33" i="8"/>
  <c r="C39" i="9"/>
  <c r="D39" i="9" s="1"/>
  <c r="D40" i="8"/>
  <c r="C40" i="9"/>
  <c r="D38" i="8"/>
  <c r="D41" i="8"/>
  <c r="D39" i="8"/>
  <c r="T37" i="8"/>
  <c r="C77" i="7"/>
  <c r="T7" i="8"/>
  <c r="B5" i="19"/>
  <c r="B4" i="19"/>
  <c r="B3" i="19"/>
  <c r="B2" i="19"/>
  <c r="C17" i="9"/>
  <c r="C30" i="9"/>
  <c r="C63" i="9"/>
  <c r="C20" i="9"/>
  <c r="C46" i="9"/>
  <c r="C62" i="9"/>
  <c r="C27" i="9"/>
  <c r="C7" i="9"/>
  <c r="F14" i="9"/>
  <c r="E14" i="9"/>
  <c r="H17" i="9"/>
  <c r="H66" i="9"/>
  <c r="F4" i="9"/>
  <c r="A71" i="9" a="1"/>
  <c r="C45" i="9"/>
  <c r="C51" i="9"/>
  <c r="H57" i="9"/>
  <c r="K11" i="10"/>
  <c r="J11" i="10"/>
  <c r="L11" i="10" s="1"/>
  <c r="C11" i="10"/>
  <c r="B11" i="10"/>
  <c r="C4" i="9"/>
  <c r="D4" i="9" s="1"/>
  <c r="C25" i="9"/>
  <c r="C42" i="9"/>
  <c r="E59" i="9"/>
  <c r="C59" i="9"/>
  <c r="D59" i="9" s="1"/>
  <c r="F59" i="9"/>
  <c r="C22" i="9"/>
  <c r="C31" i="9"/>
  <c r="C50" i="9"/>
  <c r="C61" i="9"/>
  <c r="C12" i="9"/>
  <c r="C15" i="9"/>
  <c r="H22" i="9"/>
  <c r="H31" i="9"/>
  <c r="C34" i="9"/>
  <c r="D34" i="9" s="1"/>
  <c r="E39" i="9"/>
  <c r="F39" i="9"/>
  <c r="H48" i="9"/>
  <c r="C55" i="9"/>
  <c r="C58" i="9"/>
  <c r="C5" i="9"/>
  <c r="C47" i="9"/>
  <c r="C8" i="10"/>
  <c r="K10" i="10"/>
  <c r="J10" i="10"/>
  <c r="C10" i="10"/>
  <c r="C11" i="9"/>
  <c r="H15" i="9"/>
  <c r="C35" i="9"/>
  <c r="F44" i="9"/>
  <c r="E44" i="9"/>
  <c r="H47" i="9"/>
  <c r="B10" i="10"/>
  <c r="H38" i="9"/>
  <c r="B9" i="13"/>
  <c r="L66" i="8"/>
  <c r="L65" i="8"/>
  <c r="L63" i="8"/>
  <c r="L62" i="8"/>
  <c r="L61" i="8"/>
  <c r="D61" i="8" s="1"/>
  <c r="L60" i="8"/>
  <c r="L56" i="8"/>
  <c r="L55" i="8"/>
  <c r="D55" i="8" s="1"/>
  <c r="H8" i="9"/>
  <c r="H32" i="9"/>
  <c r="H40" i="9"/>
  <c r="C43" i="9"/>
  <c r="K14" i="10"/>
  <c r="J14" i="10"/>
  <c r="K15" i="10"/>
  <c r="J15" i="10"/>
  <c r="C15" i="10"/>
  <c r="B15" i="10"/>
  <c r="B14" i="10"/>
  <c r="I6" i="14"/>
  <c r="I3" i="14"/>
  <c r="I5" i="14"/>
  <c r="C14" i="10"/>
  <c r="H6" i="9"/>
  <c r="H16" i="9"/>
  <c r="H30" i="9"/>
  <c r="H46" i="9"/>
  <c r="C49" i="9"/>
  <c r="D49" i="9" s="1"/>
  <c r="F54" i="9"/>
  <c r="C57" i="9"/>
  <c r="H62" i="9"/>
  <c r="H65" i="9"/>
  <c r="C12" i="10"/>
  <c r="C9" i="9"/>
  <c r="D9" i="9" s="1"/>
  <c r="E19" i="9"/>
  <c r="C19" i="9"/>
  <c r="D19" i="9" s="1"/>
  <c r="E29" i="9"/>
  <c r="C33" i="9"/>
  <c r="C41" i="9"/>
  <c r="K6" i="10"/>
  <c r="J6" i="10"/>
  <c r="K7" i="10"/>
  <c r="J7" i="10"/>
  <c r="L7" i="10" s="1"/>
  <c r="C7" i="10"/>
  <c r="B7" i="10"/>
  <c r="B8" i="10"/>
  <c r="B12" i="10"/>
  <c r="B16" i="10"/>
  <c r="C4" i="10"/>
  <c r="C25" i="22" l="1"/>
  <c r="F22" i="22"/>
  <c r="F25" i="22" s="1"/>
  <c r="F29" i="22" s="1"/>
  <c r="E22" i="22"/>
  <c r="E25" i="22" s="1"/>
  <c r="E29" i="22" s="1"/>
  <c r="E30" i="22" s="1"/>
  <c r="E35" i="22" s="1"/>
  <c r="E36" i="22" s="1"/>
  <c r="C27" i="23"/>
  <c r="C28" i="23" s="1"/>
  <c r="D30" i="22"/>
  <c r="D35" i="22" s="1"/>
  <c r="D36" i="22" s="1"/>
  <c r="L9" i="10"/>
  <c r="L6" i="10"/>
  <c r="G14" i="9" s="1"/>
  <c r="H14" i="9" s="1"/>
  <c r="L15" i="10"/>
  <c r="L14" i="10"/>
  <c r="L10" i="10"/>
  <c r="G34" i="9" s="1"/>
  <c r="L16" i="10"/>
  <c r="G64" i="9" s="1"/>
  <c r="H64" i="9" s="1"/>
  <c r="L12" i="10"/>
  <c r="G44" i="9" s="1"/>
  <c r="H44" i="9" s="1"/>
  <c r="L8" i="10"/>
  <c r="E77" i="7"/>
  <c r="G4" i="9"/>
  <c r="H4" i="9" s="1"/>
  <c r="G24" i="9"/>
  <c r="H24" i="9" s="1"/>
  <c r="G9" i="9"/>
  <c r="H9" i="9" s="1"/>
  <c r="C83" i="7"/>
  <c r="E83" i="7" s="1"/>
  <c r="E36" i="7"/>
  <c r="G59" i="9"/>
  <c r="H59" i="9" s="1"/>
  <c r="E58" i="7"/>
  <c r="E42" i="7"/>
  <c r="AB37" i="8"/>
  <c r="H34" i="9"/>
  <c r="E48" i="7"/>
  <c r="E51" i="7"/>
  <c r="D39" i="7"/>
  <c r="E39" i="7" s="1"/>
  <c r="AB57" i="8"/>
  <c r="F57" i="8"/>
  <c r="AB55" i="8"/>
  <c r="F55" i="8"/>
  <c r="F26" i="8"/>
  <c r="AB26" i="8"/>
  <c r="E86" i="7"/>
  <c r="O35" i="8"/>
  <c r="N35" i="8"/>
  <c r="D62" i="8"/>
  <c r="O62" i="8" s="1"/>
  <c r="AB40" i="8"/>
  <c r="F40" i="8"/>
  <c r="F36" i="8"/>
  <c r="AB36" i="8"/>
  <c r="D63" i="8"/>
  <c r="F35" i="8"/>
  <c r="AB35" i="8"/>
  <c r="O11" i="8"/>
  <c r="N11" i="8"/>
  <c r="O5" i="14"/>
  <c r="Y50" i="8"/>
  <c r="Y65" i="8"/>
  <c r="Y45" i="8"/>
  <c r="Y40" i="8"/>
  <c r="Y55" i="8"/>
  <c r="Y60" i="8"/>
  <c r="Y30" i="8"/>
  <c r="Y25" i="8"/>
  <c r="Y35" i="8"/>
  <c r="Y20" i="8"/>
  <c r="Y5" i="8"/>
  <c r="Y15" i="8"/>
  <c r="Y10" i="8"/>
  <c r="G54" i="9"/>
  <c r="H54" i="9" s="1"/>
  <c r="AB39" i="8"/>
  <c r="F39" i="8"/>
  <c r="D7" i="8"/>
  <c r="N7" i="8" s="1"/>
  <c r="M63" i="8"/>
  <c r="E63" i="8" s="1"/>
  <c r="K15" i="7"/>
  <c r="O22" i="8"/>
  <c r="N22" i="8"/>
  <c r="H9" i="5" s="1"/>
  <c r="M5" i="8"/>
  <c r="E5" i="8" s="1"/>
  <c r="L5" i="8"/>
  <c r="AB45" i="8"/>
  <c r="F45" i="8"/>
  <c r="E38" i="7"/>
  <c r="N46" i="8"/>
  <c r="O46" i="8"/>
  <c r="E57" i="7"/>
  <c r="G19" i="9"/>
  <c r="H19" i="9" s="1"/>
  <c r="AB51" i="8"/>
  <c r="F51" i="8"/>
  <c r="L23" i="8"/>
  <c r="M23" i="8"/>
  <c r="E23" i="8" s="1"/>
  <c r="C49" i="7"/>
  <c r="K7" i="7"/>
  <c r="D65" i="8"/>
  <c r="O65" i="8" s="1"/>
  <c r="AB41" i="8"/>
  <c r="F41" i="8"/>
  <c r="M53" i="8"/>
  <c r="L53" i="8"/>
  <c r="K13" i="7"/>
  <c r="E32" i="7"/>
  <c r="C79" i="7"/>
  <c r="E79" i="7" s="1"/>
  <c r="AB46" i="8"/>
  <c r="F46" i="8"/>
  <c r="D31" i="8"/>
  <c r="M28" i="8"/>
  <c r="E28" i="8" s="1"/>
  <c r="L28" i="8"/>
  <c r="K8" i="7"/>
  <c r="M34" i="8"/>
  <c r="L34" i="8"/>
  <c r="M21" i="8"/>
  <c r="E21" i="8" s="1"/>
  <c r="L21" i="8"/>
  <c r="C47" i="7"/>
  <c r="E47" i="7" s="1"/>
  <c r="E46" i="7"/>
  <c r="O45" i="8"/>
  <c r="N45" i="8"/>
  <c r="F11" i="8"/>
  <c r="AB11" i="8"/>
  <c r="O3" i="14"/>
  <c r="Y63" i="8"/>
  <c r="Y53" i="8"/>
  <c r="Y48" i="8"/>
  <c r="Y58" i="8"/>
  <c r="Y43" i="8"/>
  <c r="Y28" i="8"/>
  <c r="Y23" i="8"/>
  <c r="Y33" i="8"/>
  <c r="Y38" i="8"/>
  <c r="Y18" i="8"/>
  <c r="Y8" i="8"/>
  <c r="Y13" i="8"/>
  <c r="Y3" i="8"/>
  <c r="Y56" i="8"/>
  <c r="Y51" i="8"/>
  <c r="Y46" i="8"/>
  <c r="O6" i="14"/>
  <c r="Y66" i="8"/>
  <c r="Y41" i="8"/>
  <c r="Y61" i="8"/>
  <c r="Y26" i="8"/>
  <c r="Y36" i="8"/>
  <c r="Y16" i="8"/>
  <c r="Y31" i="8"/>
  <c r="Y21" i="8"/>
  <c r="Y6" i="8"/>
  <c r="Y11" i="8"/>
  <c r="D66" i="8"/>
  <c r="M40" i="8"/>
  <c r="L40" i="8"/>
  <c r="F20" i="8"/>
  <c r="AB20" i="8"/>
  <c r="F22" i="8"/>
  <c r="AB22" i="8"/>
  <c r="E28" i="7"/>
  <c r="M13" i="8"/>
  <c r="E13" i="8" s="1"/>
  <c r="L13" i="8"/>
  <c r="K5" i="7"/>
  <c r="E71" i="7"/>
  <c r="E78" i="7"/>
  <c r="D56" i="8"/>
  <c r="F42" i="8"/>
  <c r="G29" i="9"/>
  <c r="H29" i="9" s="1"/>
  <c r="M43" i="8"/>
  <c r="E43" i="8" s="1"/>
  <c r="AB43" i="8" s="1"/>
  <c r="L43" i="8"/>
  <c r="K11" i="7"/>
  <c r="O27" i="8"/>
  <c r="N27" i="8"/>
  <c r="H10" i="5" s="1"/>
  <c r="O25" i="8"/>
  <c r="N25" i="8"/>
  <c r="L17" i="8"/>
  <c r="M17" i="8"/>
  <c r="E17" i="8" s="1"/>
  <c r="J6" i="7"/>
  <c r="C43" i="7"/>
  <c r="E43" i="7" s="1"/>
  <c r="O20" i="8"/>
  <c r="N20" i="8"/>
  <c r="AC20" i="8" s="1"/>
  <c r="F34" i="8"/>
  <c r="AB34" i="8"/>
  <c r="AB25" i="8"/>
  <c r="F25" i="8"/>
  <c r="A83" i="9"/>
  <c r="A75" i="9"/>
  <c r="A82" i="9"/>
  <c r="A74" i="9"/>
  <c r="A81" i="9"/>
  <c r="A73" i="9"/>
  <c r="A80" i="9"/>
  <c r="A72" i="9"/>
  <c r="A77" i="9"/>
  <c r="A76" i="9"/>
  <c r="A78" i="9"/>
  <c r="A71" i="9"/>
  <c r="A79" i="9"/>
  <c r="F38" i="8"/>
  <c r="AB38" i="8"/>
  <c r="O26" i="8"/>
  <c r="N26" i="8"/>
  <c r="G49" i="9"/>
  <c r="H49" i="9" s="1"/>
  <c r="E82" i="7"/>
  <c r="O41" i="8"/>
  <c r="N41" i="8"/>
  <c r="M57" i="8"/>
  <c r="J14" i="7"/>
  <c r="O42" i="8"/>
  <c r="N42" i="8"/>
  <c r="H13" i="5" s="1"/>
  <c r="O32" i="8"/>
  <c r="N32" i="8"/>
  <c r="F61" i="8"/>
  <c r="AB61" i="8"/>
  <c r="M37" i="8"/>
  <c r="L37" i="8"/>
  <c r="J10" i="7"/>
  <c r="L48" i="8"/>
  <c r="M48" i="8"/>
  <c r="E48" i="8" s="1"/>
  <c r="AB48" i="8" s="1"/>
  <c r="K12" i="7"/>
  <c r="O55" i="8"/>
  <c r="N55" i="8"/>
  <c r="M50" i="8"/>
  <c r="E50" i="8" s="1"/>
  <c r="AB50" i="8" s="1"/>
  <c r="L50" i="8"/>
  <c r="D76" i="7"/>
  <c r="E76" i="7" s="1"/>
  <c r="D49" i="7"/>
  <c r="D8" i="8"/>
  <c r="E81" i="7"/>
  <c r="F32" i="8"/>
  <c r="AB32" i="8"/>
  <c r="D12" i="8"/>
  <c r="N12" i="8" s="1"/>
  <c r="D15" i="8"/>
  <c r="O15" i="8" s="1"/>
  <c r="O47" i="8"/>
  <c r="N47" i="8"/>
  <c r="H14" i="5" s="1"/>
  <c r="C54" i="7"/>
  <c r="E54" i="7" s="1"/>
  <c r="N61" i="8"/>
  <c r="O61" i="8"/>
  <c r="G39" i="9"/>
  <c r="H39" i="9" s="1"/>
  <c r="F47" i="8"/>
  <c r="AB47" i="8"/>
  <c r="E87" i="7"/>
  <c r="D60" i="8"/>
  <c r="N60" i="8" s="1"/>
  <c r="D6" i="8"/>
  <c r="O6" i="8" s="1"/>
  <c r="M9" i="8"/>
  <c r="E9" i="8" s="1"/>
  <c r="L9" i="8"/>
  <c r="C35" i="7"/>
  <c r="E35" i="7" s="1"/>
  <c r="E59" i="7"/>
  <c r="D52" i="8"/>
  <c r="O51" i="8"/>
  <c r="N51" i="8"/>
  <c r="F33" i="8"/>
  <c r="AB33" i="8"/>
  <c r="AB27" i="8"/>
  <c r="F27" i="8"/>
  <c r="F30" i="8"/>
  <c r="AB30" i="8"/>
  <c r="O36" i="8"/>
  <c r="N36" i="8"/>
  <c r="M2" i="8"/>
  <c r="E2" i="8" s="1"/>
  <c r="J3" i="7"/>
  <c r="L2" i="8"/>
  <c r="D16" i="8"/>
  <c r="O16" i="8" s="1"/>
  <c r="O33" i="8"/>
  <c r="N33" i="8"/>
  <c r="AC33" i="8" s="1"/>
  <c r="D10" i="8"/>
  <c r="O30" i="8"/>
  <c r="N30" i="8"/>
  <c r="C31" i="7"/>
  <c r="E31" i="7" s="1"/>
  <c r="C29" i="22" l="1"/>
  <c r="C30" i="22" s="1"/>
  <c r="C35" i="22" s="1"/>
  <c r="C36" i="22" s="1"/>
  <c r="AC55" i="8"/>
  <c r="AD55" i="8" s="1"/>
  <c r="AC26" i="8"/>
  <c r="AC22" i="8"/>
  <c r="AC51" i="8"/>
  <c r="B77" i="9"/>
  <c r="C11" i="5" s="1"/>
  <c r="B83" i="9"/>
  <c r="C17" i="5" s="1"/>
  <c r="AC25" i="8"/>
  <c r="AD25" i="8" s="1"/>
  <c r="O63" i="8"/>
  <c r="AC47" i="8"/>
  <c r="AC36" i="8"/>
  <c r="C59" i="3" s="1"/>
  <c r="AC45" i="8"/>
  <c r="AD45" i="8" s="1"/>
  <c r="AC35" i="8"/>
  <c r="AC46" i="8"/>
  <c r="I13" i="5" s="1"/>
  <c r="B72" i="9"/>
  <c r="B73" i="9"/>
  <c r="C7" i="5" s="1"/>
  <c r="AC41" i="8"/>
  <c r="I12" i="5" s="1"/>
  <c r="AC27" i="8"/>
  <c r="B74" i="9"/>
  <c r="N6" i="8"/>
  <c r="AC6" i="8" s="1"/>
  <c r="I5" i="5" s="1"/>
  <c r="F50" i="8"/>
  <c r="N15" i="8"/>
  <c r="AC15" i="8" s="1"/>
  <c r="B75" i="9"/>
  <c r="C9" i="5" s="1"/>
  <c r="AC11" i="8"/>
  <c r="AD11" i="8" s="1"/>
  <c r="I14" i="5"/>
  <c r="H7" i="5"/>
  <c r="M58" i="8"/>
  <c r="C84" i="7"/>
  <c r="E84" i="7" s="1"/>
  <c r="K14" i="7"/>
  <c r="L58" i="8"/>
  <c r="F66" i="8"/>
  <c r="AB66" i="8"/>
  <c r="F65" i="8"/>
  <c r="AB65" i="8"/>
  <c r="AB8" i="8"/>
  <c r="F8" i="8"/>
  <c r="N16" i="8"/>
  <c r="AC16" i="8" s="1"/>
  <c r="C44" i="3"/>
  <c r="N66" i="8"/>
  <c r="AD26" i="8"/>
  <c r="N57" i="8"/>
  <c r="H16" i="5" s="1"/>
  <c r="AD33" i="8"/>
  <c r="AB31" i="8"/>
  <c r="F31" i="8"/>
  <c r="M54" i="8"/>
  <c r="C80" i="7"/>
  <c r="E80" i="7" s="1"/>
  <c r="L54" i="8"/>
  <c r="N65" i="8"/>
  <c r="AC65" i="8" s="1"/>
  <c r="F7" i="8"/>
  <c r="AB7" i="8"/>
  <c r="O7" i="8"/>
  <c r="AC7" i="8" s="1"/>
  <c r="AB52" i="8"/>
  <c r="F52" i="8"/>
  <c r="O52" i="8"/>
  <c r="F43" i="8"/>
  <c r="D9" i="8"/>
  <c r="O9" i="8" s="1"/>
  <c r="B80" i="9"/>
  <c r="C14" i="5" s="1"/>
  <c r="O57" i="8"/>
  <c r="D21" i="8"/>
  <c r="O21" i="8" s="1"/>
  <c r="D53" i="8"/>
  <c r="N53" i="8" s="1"/>
  <c r="D5" i="8"/>
  <c r="O5" i="8" s="1"/>
  <c r="N31" i="8"/>
  <c r="N8" i="8"/>
  <c r="F62" i="8"/>
  <c r="AB62" i="8"/>
  <c r="B76" i="9"/>
  <c r="C10" i="5" s="1"/>
  <c r="D28" i="8"/>
  <c r="O28" i="8" s="1"/>
  <c r="M64" i="8"/>
  <c r="E64" i="8" s="1"/>
  <c r="L64" i="8"/>
  <c r="F10" i="8"/>
  <c r="AB10" i="8"/>
  <c r="AD47" i="8"/>
  <c r="O37" i="8"/>
  <c r="N37" i="8"/>
  <c r="H12" i="5" s="1"/>
  <c r="AB15" i="8"/>
  <c r="F15" i="8"/>
  <c r="B79" i="9"/>
  <c r="C13" i="5" s="1"/>
  <c r="B81" i="9"/>
  <c r="C15" i="5" s="1"/>
  <c r="L18" i="8"/>
  <c r="M18" i="8"/>
  <c r="E18" i="8" s="1"/>
  <c r="C44" i="7"/>
  <c r="K6" i="7"/>
  <c r="D44" i="7"/>
  <c r="O34" i="8"/>
  <c r="N34" i="8"/>
  <c r="N10" i="8"/>
  <c r="E49" i="7"/>
  <c r="AD22" i="8"/>
  <c r="AD20" i="8"/>
  <c r="O31" i="8"/>
  <c r="F63" i="8"/>
  <c r="AB63" i="8"/>
  <c r="O8" i="8"/>
  <c r="N62" i="8"/>
  <c r="M38" i="8"/>
  <c r="L38" i="8"/>
  <c r="K10" i="7"/>
  <c r="I9" i="5"/>
  <c r="AD51" i="8"/>
  <c r="AB56" i="8"/>
  <c r="F56" i="8"/>
  <c r="AC42" i="8"/>
  <c r="AC30" i="8"/>
  <c r="H11" i="5"/>
  <c r="C56" i="3"/>
  <c r="F48" i="8"/>
  <c r="B71" i="9"/>
  <c r="C5" i="5" s="1"/>
  <c r="C6" i="5"/>
  <c r="M44" i="8"/>
  <c r="E44" i="8" s="1"/>
  <c r="L44" i="8"/>
  <c r="D70" i="7"/>
  <c r="E70" i="7" s="1"/>
  <c r="O10" i="8"/>
  <c r="N56" i="8"/>
  <c r="AD35" i="8"/>
  <c r="N63" i="8"/>
  <c r="D13" i="8"/>
  <c r="O13" i="8" s="1"/>
  <c r="AD27" i="8"/>
  <c r="O40" i="8"/>
  <c r="N40" i="8"/>
  <c r="L24" i="8"/>
  <c r="M24" i="8"/>
  <c r="E24" i="8" s="1"/>
  <c r="C50" i="7"/>
  <c r="D50" i="7"/>
  <c r="AB16" i="8"/>
  <c r="F16" i="8"/>
  <c r="F6" i="8"/>
  <c r="AB6" i="8"/>
  <c r="AC61" i="8"/>
  <c r="AD61" i="8" s="1"/>
  <c r="AB12" i="8"/>
  <c r="F12" i="8"/>
  <c r="O50" i="8"/>
  <c r="N50" i="8"/>
  <c r="L49" i="8"/>
  <c r="M49" i="8"/>
  <c r="E49" i="8" s="1"/>
  <c r="D75" i="7"/>
  <c r="E75" i="7" s="1"/>
  <c r="D2" i="8"/>
  <c r="O2" i="8" s="1"/>
  <c r="M3" i="8"/>
  <c r="E3" i="8" s="1"/>
  <c r="K3" i="7"/>
  <c r="L3" i="8"/>
  <c r="C29" i="7"/>
  <c r="D29" i="7"/>
  <c r="F60" i="8"/>
  <c r="AB60" i="8"/>
  <c r="C8" i="5"/>
  <c r="O60" i="8"/>
  <c r="N48" i="8"/>
  <c r="O48" i="8"/>
  <c r="AC32" i="8"/>
  <c r="O12" i="8"/>
  <c r="AC12" i="8" s="1"/>
  <c r="B78" i="9"/>
  <c r="C12" i="5" s="1"/>
  <c r="B82" i="9"/>
  <c r="C16" i="5" s="1"/>
  <c r="D17" i="8"/>
  <c r="O17" i="8" s="1"/>
  <c r="O43" i="8"/>
  <c r="N43" i="8"/>
  <c r="M14" i="8"/>
  <c r="E14" i="8" s="1"/>
  <c r="L14" i="8"/>
  <c r="C40" i="7"/>
  <c r="D40" i="7"/>
  <c r="N52" i="8"/>
  <c r="O66" i="8"/>
  <c r="AD46" i="8"/>
  <c r="M29" i="8"/>
  <c r="E29" i="8" s="1"/>
  <c r="L29" i="8"/>
  <c r="C55" i="7"/>
  <c r="D55" i="7"/>
  <c r="D23" i="8"/>
  <c r="O23" i="8" s="1"/>
  <c r="O56" i="8"/>
  <c r="C45" i="3" l="1"/>
  <c r="D44" i="3" s="1"/>
  <c r="AD16" i="8"/>
  <c r="AC63" i="8"/>
  <c r="AD6" i="8"/>
  <c r="J4" i="3"/>
  <c r="AD36" i="8"/>
  <c r="I11" i="5"/>
  <c r="AD65" i="8"/>
  <c r="AC48" i="8"/>
  <c r="AD48" i="8" s="1"/>
  <c r="E50" i="7"/>
  <c r="AC56" i="8"/>
  <c r="I15" i="5" s="1"/>
  <c r="AC40" i="8"/>
  <c r="AD15" i="8"/>
  <c r="AC50" i="8"/>
  <c r="AD50" i="8" s="1"/>
  <c r="AC34" i="8"/>
  <c r="AD34" i="8" s="1"/>
  <c r="AD41" i="8"/>
  <c r="AC43" i="8"/>
  <c r="AD43" i="8" s="1"/>
  <c r="N21" i="8"/>
  <c r="AC21" i="8" s="1"/>
  <c r="AC66" i="8"/>
  <c r="I17" i="5" s="1"/>
  <c r="AC31" i="8"/>
  <c r="AD31" i="8" s="1"/>
  <c r="E40" i="7"/>
  <c r="E55" i="7"/>
  <c r="AC10" i="8"/>
  <c r="AD10" i="8" s="1"/>
  <c r="AD63" i="8"/>
  <c r="AD7" i="8"/>
  <c r="AD40" i="8"/>
  <c r="AC60" i="8"/>
  <c r="AD42" i="8"/>
  <c r="F10" i="22" s="1"/>
  <c r="F11" i="22" s="1"/>
  <c r="F30" i="22" s="1"/>
  <c r="F35" i="22" s="1"/>
  <c r="F36" i="22" s="1"/>
  <c r="H17" i="5"/>
  <c r="C57" i="3"/>
  <c r="D56" i="3" s="1"/>
  <c r="AC62" i="8"/>
  <c r="E44" i="7"/>
  <c r="N9" i="8"/>
  <c r="AC9" i="8" s="1"/>
  <c r="AD12" i="8"/>
  <c r="F53" i="8"/>
  <c r="AB53" i="8"/>
  <c r="C60" i="3"/>
  <c r="D59" i="3" s="1"/>
  <c r="J5" i="3"/>
  <c r="M4" i="8"/>
  <c r="E4" i="8" s="1"/>
  <c r="L4" i="8"/>
  <c r="C30" i="7"/>
  <c r="D30" i="7"/>
  <c r="O53" i="8"/>
  <c r="D58" i="8"/>
  <c r="O58" i="8" s="1"/>
  <c r="D14" i="8"/>
  <c r="O14" i="8" s="1"/>
  <c r="D24" i="8"/>
  <c r="O24" i="8" s="1"/>
  <c r="F28" i="8"/>
  <c r="AB28" i="8"/>
  <c r="AC57" i="8"/>
  <c r="AB2" i="8"/>
  <c r="F2" i="8"/>
  <c r="AD30" i="8"/>
  <c r="D18" i="8"/>
  <c r="AC8" i="8"/>
  <c r="F5" i="8"/>
  <c r="AB5" i="8"/>
  <c r="N2" i="8"/>
  <c r="AD66" i="8"/>
  <c r="D17" i="13"/>
  <c r="C17" i="13"/>
  <c r="B17" i="13"/>
  <c r="F17" i="13"/>
  <c r="E17" i="13"/>
  <c r="N28" i="8"/>
  <c r="AC28" i="8" s="1"/>
  <c r="N5" i="8"/>
  <c r="AC5" i="8" s="1"/>
  <c r="F21" i="8"/>
  <c r="AB21" i="8"/>
  <c r="I7" i="5"/>
  <c r="M59" i="8"/>
  <c r="C85" i="7"/>
  <c r="E85" i="7" s="1"/>
  <c r="L59" i="8"/>
  <c r="F23" i="8"/>
  <c r="AB23" i="8"/>
  <c r="AB49" i="8"/>
  <c r="F49" i="8"/>
  <c r="D64" i="8"/>
  <c r="O64" i="8" s="1"/>
  <c r="AB9" i="8"/>
  <c r="F9" i="8"/>
  <c r="O49" i="8"/>
  <c r="N49" i="8"/>
  <c r="N23" i="8"/>
  <c r="AC23" i="8" s="1"/>
  <c r="M39" i="8"/>
  <c r="L39" i="8"/>
  <c r="F18" i="13"/>
  <c r="B6" i="14" s="1"/>
  <c r="E18" i="13"/>
  <c r="D18" i="13"/>
  <c r="C18" i="13"/>
  <c r="B18" i="13"/>
  <c r="D3" i="8"/>
  <c r="N3" i="8" s="1"/>
  <c r="I16" i="5"/>
  <c r="D54" i="8"/>
  <c r="M19" i="8"/>
  <c r="E19" i="8" s="1"/>
  <c r="L19" i="8"/>
  <c r="C45" i="7"/>
  <c r="D45" i="7"/>
  <c r="AC37" i="8"/>
  <c r="H15" i="5"/>
  <c r="F17" i="8"/>
  <c r="AB17" i="8"/>
  <c r="AB13" i="8"/>
  <c r="F13" i="8"/>
  <c r="O44" i="8"/>
  <c r="N44" i="8"/>
  <c r="D29" i="8"/>
  <c r="O29" i="8" s="1"/>
  <c r="N17" i="8"/>
  <c r="E29" i="7"/>
  <c r="N13" i="8"/>
  <c r="AC13" i="8" s="1"/>
  <c r="F44" i="8"/>
  <c r="AB44" i="8"/>
  <c r="O38" i="8"/>
  <c r="N38" i="8"/>
  <c r="I10" i="5" l="1"/>
  <c r="AD56" i="8"/>
  <c r="AC49" i="8"/>
  <c r="O3" i="8"/>
  <c r="AC3" i="8" s="1"/>
  <c r="N64" i="8"/>
  <c r="AC64" i="8" s="1"/>
  <c r="E30" i="7"/>
  <c r="AC38" i="8"/>
  <c r="AD38" i="8" s="1"/>
  <c r="AC44" i="8"/>
  <c r="AD44" i="8" s="1"/>
  <c r="N24" i="8"/>
  <c r="AC24" i="8" s="1"/>
  <c r="AD49" i="8"/>
  <c r="AD9" i="8"/>
  <c r="B4" i="14"/>
  <c r="E15" i="13"/>
  <c r="AB54" i="8"/>
  <c r="F54" i="8"/>
  <c r="D20" i="13"/>
  <c r="D4" i="14" s="1"/>
  <c r="E14" i="13"/>
  <c r="E13" i="13" s="1"/>
  <c r="D19" i="13"/>
  <c r="C4" i="14" s="1"/>
  <c r="F18" i="8"/>
  <c r="AB18" i="8"/>
  <c r="AB14" i="8"/>
  <c r="F14" i="8"/>
  <c r="AD13" i="8"/>
  <c r="AD37" i="8"/>
  <c r="O54" i="8"/>
  <c r="N14" i="8"/>
  <c r="AC14" i="8" s="1"/>
  <c r="AD5" i="8"/>
  <c r="N18" i="8"/>
  <c r="H8" i="5"/>
  <c r="AC17" i="8"/>
  <c r="E45" i="7"/>
  <c r="B5" i="14"/>
  <c r="F15" i="13"/>
  <c r="AD28" i="8"/>
  <c r="O18" i="8"/>
  <c r="F24" i="8"/>
  <c r="AB24" i="8"/>
  <c r="D15" i="13"/>
  <c r="B3" i="14"/>
  <c r="AB29" i="8"/>
  <c r="F29" i="8"/>
  <c r="AD23" i="8"/>
  <c r="D19" i="8"/>
  <c r="G61" i="8"/>
  <c r="V61" i="8" s="1"/>
  <c r="G56" i="8"/>
  <c r="V56" i="8" s="1"/>
  <c r="G66" i="8"/>
  <c r="V66" i="8" s="1"/>
  <c r="G46" i="8"/>
  <c r="V46" i="8" s="1"/>
  <c r="G41" i="8"/>
  <c r="V41" i="8" s="1"/>
  <c r="G36" i="8"/>
  <c r="V36" i="8" s="1"/>
  <c r="G31" i="8"/>
  <c r="V31" i="8" s="1"/>
  <c r="G26" i="8"/>
  <c r="V26" i="8" s="1"/>
  <c r="G21" i="8"/>
  <c r="V21" i="8" s="1"/>
  <c r="F87" i="7"/>
  <c r="F82" i="7"/>
  <c r="F77" i="7"/>
  <c r="G16" i="8"/>
  <c r="V16" i="8" s="1"/>
  <c r="G51" i="8"/>
  <c r="V51" i="8" s="1"/>
  <c r="G11" i="8"/>
  <c r="V11" i="8" s="1"/>
  <c r="G6" i="8"/>
  <c r="V6" i="8" s="1"/>
  <c r="F72" i="7"/>
  <c r="F67" i="7"/>
  <c r="F62" i="7"/>
  <c r="F57" i="7"/>
  <c r="F52" i="7"/>
  <c r="F47" i="7"/>
  <c r="F42" i="7"/>
  <c r="F37" i="7"/>
  <c r="F32" i="7"/>
  <c r="D6" i="4"/>
  <c r="E20" i="13"/>
  <c r="D5" i="14" s="1"/>
  <c r="F14" i="13"/>
  <c r="F13" i="13" s="1"/>
  <c r="E19" i="13"/>
  <c r="C5" i="14" s="1"/>
  <c r="AD57" i="8"/>
  <c r="N29" i="8"/>
  <c r="AC29" i="8" s="1"/>
  <c r="F20" i="13"/>
  <c r="D6" i="14" s="1"/>
  <c r="F19" i="13"/>
  <c r="C6" i="14" s="1"/>
  <c r="D4" i="8"/>
  <c r="N4" i="8" s="1"/>
  <c r="AD60" i="8"/>
  <c r="N54" i="8"/>
  <c r="B2" i="14"/>
  <c r="C15" i="13"/>
  <c r="F58" i="8"/>
  <c r="AB58" i="8"/>
  <c r="I8" i="5"/>
  <c r="AD21" i="8"/>
  <c r="N58" i="8"/>
  <c r="AC58" i="8" s="1"/>
  <c r="AD52" i="8"/>
  <c r="F3" i="8"/>
  <c r="AB3" i="8"/>
  <c r="F64" i="8"/>
  <c r="AB64" i="8"/>
  <c r="B20" i="13"/>
  <c r="D2" i="14" s="1"/>
  <c r="C14" i="13"/>
  <c r="C13" i="13" s="1"/>
  <c r="B19" i="13"/>
  <c r="C2" i="14" s="1"/>
  <c r="H5" i="5"/>
  <c r="AC2" i="8"/>
  <c r="AD8" i="8"/>
  <c r="AD62" i="8"/>
  <c r="AC53" i="8"/>
  <c r="O39" i="8"/>
  <c r="N39" i="8"/>
  <c r="D59" i="8"/>
  <c r="N59" i="8" s="1"/>
  <c r="C20" i="13"/>
  <c r="D3" i="14" s="1"/>
  <c r="D14" i="13"/>
  <c r="D13" i="13" s="1"/>
  <c r="C19" i="13"/>
  <c r="C3" i="14" s="1"/>
  <c r="AD3" i="8" l="1"/>
  <c r="AC54" i="8"/>
  <c r="AC39" i="8"/>
  <c r="AD39" i="8" s="1"/>
  <c r="AD24" i="8"/>
  <c r="AD58" i="8"/>
  <c r="I56" i="8"/>
  <c r="S56" i="8" s="1"/>
  <c r="I51" i="8"/>
  <c r="S51" i="8" s="1"/>
  <c r="I46" i="8"/>
  <c r="S46" i="8" s="1"/>
  <c r="I66" i="8"/>
  <c r="S66" i="8" s="1"/>
  <c r="I41" i="8"/>
  <c r="S41" i="8" s="1"/>
  <c r="I61" i="8"/>
  <c r="S61" i="8" s="1"/>
  <c r="I36" i="8"/>
  <c r="S36" i="8" s="1"/>
  <c r="I31" i="8"/>
  <c r="S31" i="8" s="1"/>
  <c r="I26" i="8"/>
  <c r="S26" i="8" s="1"/>
  <c r="I16" i="8"/>
  <c r="S16" i="8" s="1"/>
  <c r="H72" i="7"/>
  <c r="H67" i="7"/>
  <c r="H62" i="7"/>
  <c r="H57" i="7"/>
  <c r="H52" i="7"/>
  <c r="H47" i="7"/>
  <c r="H42" i="7"/>
  <c r="H37" i="7"/>
  <c r="H32" i="7"/>
  <c r="I6" i="8"/>
  <c r="S6" i="8" s="1"/>
  <c r="H87" i="7"/>
  <c r="I21" i="8"/>
  <c r="S21" i="8" s="1"/>
  <c r="H82" i="7"/>
  <c r="I11" i="8"/>
  <c r="S11" i="8" s="1"/>
  <c r="H77" i="7"/>
  <c r="AD17" i="8"/>
  <c r="H63" i="8"/>
  <c r="R63" i="8" s="1"/>
  <c r="H58" i="8"/>
  <c r="R58" i="8" s="1"/>
  <c r="H48" i="8"/>
  <c r="R48" i="8" s="1"/>
  <c r="H38" i="8"/>
  <c r="R38" i="8" s="1"/>
  <c r="H23" i="8"/>
  <c r="R23" i="8" s="1"/>
  <c r="H18" i="8"/>
  <c r="R18" i="8" s="1"/>
  <c r="H53" i="8"/>
  <c r="R53" i="8" s="1"/>
  <c r="H43" i="8"/>
  <c r="R43" i="8" s="1"/>
  <c r="H33" i="8"/>
  <c r="R33" i="8" s="1"/>
  <c r="H28" i="8"/>
  <c r="R28" i="8" s="1"/>
  <c r="H3" i="8"/>
  <c r="R3" i="8" s="1"/>
  <c r="G69" i="7"/>
  <c r="G64" i="7"/>
  <c r="G59" i="7"/>
  <c r="G54" i="7"/>
  <c r="G49" i="7"/>
  <c r="G44" i="7"/>
  <c r="G39" i="7"/>
  <c r="G34" i="7"/>
  <c r="G29" i="7"/>
  <c r="G79" i="7"/>
  <c r="G74" i="7"/>
  <c r="G84" i="7"/>
  <c r="H8" i="8"/>
  <c r="R8" i="8" s="1"/>
  <c r="H13" i="8"/>
  <c r="R13" i="8" s="1"/>
  <c r="AB19" i="8"/>
  <c r="F19" i="8"/>
  <c r="I52" i="8"/>
  <c r="S52" i="8" s="1"/>
  <c r="I47" i="8"/>
  <c r="S47" i="8" s="1"/>
  <c r="I57" i="8"/>
  <c r="S57" i="8" s="1"/>
  <c r="I42" i="8"/>
  <c r="S42" i="8" s="1"/>
  <c r="I62" i="8"/>
  <c r="S62" i="8" s="1"/>
  <c r="I27" i="8"/>
  <c r="S27" i="8" s="1"/>
  <c r="I32" i="8"/>
  <c r="S32" i="8" s="1"/>
  <c r="I17" i="8"/>
  <c r="S17" i="8" s="1"/>
  <c r="I37" i="8"/>
  <c r="S37" i="8" s="1"/>
  <c r="I22" i="8"/>
  <c r="S22" i="8" s="1"/>
  <c r="I2" i="8"/>
  <c r="S2" i="8" s="1"/>
  <c r="H73" i="7"/>
  <c r="H68" i="7"/>
  <c r="H63" i="7"/>
  <c r="H58" i="7"/>
  <c r="H53" i="7"/>
  <c r="H48" i="7"/>
  <c r="H43" i="7"/>
  <c r="H38" i="7"/>
  <c r="H33" i="7"/>
  <c r="H28" i="7"/>
  <c r="H83" i="7"/>
  <c r="I12" i="8"/>
  <c r="S12" i="8" s="1"/>
  <c r="H78" i="7"/>
  <c r="I7" i="8"/>
  <c r="S7" i="8" s="1"/>
  <c r="N19" i="8"/>
  <c r="AC18" i="8"/>
  <c r="AD64" i="8"/>
  <c r="H61" i="8"/>
  <c r="R61" i="8" s="1"/>
  <c r="H56" i="8"/>
  <c r="R56" i="8" s="1"/>
  <c r="H66" i="8"/>
  <c r="R66" i="8" s="1"/>
  <c r="H51" i="8"/>
  <c r="R51" i="8" s="1"/>
  <c r="H21" i="8"/>
  <c r="R21" i="8" s="1"/>
  <c r="H16" i="8"/>
  <c r="R16" i="8" s="1"/>
  <c r="H46" i="8"/>
  <c r="R46" i="8" s="1"/>
  <c r="H36" i="8"/>
  <c r="R36" i="8" s="1"/>
  <c r="H41" i="8"/>
  <c r="R41" i="8" s="1"/>
  <c r="H31" i="8"/>
  <c r="R31" i="8" s="1"/>
  <c r="H26" i="8"/>
  <c r="R26" i="8" s="1"/>
  <c r="G82" i="7"/>
  <c r="G72" i="7"/>
  <c r="G67" i="7"/>
  <c r="G62" i="7"/>
  <c r="G57" i="7"/>
  <c r="G52" i="7"/>
  <c r="G47" i="7"/>
  <c r="G42" i="7"/>
  <c r="G37" i="7"/>
  <c r="G32" i="7"/>
  <c r="H6" i="8"/>
  <c r="R6" i="8" s="1"/>
  <c r="G87" i="7"/>
  <c r="H11" i="8"/>
  <c r="R11" i="8" s="1"/>
  <c r="G77" i="7"/>
  <c r="AB4" i="8"/>
  <c r="F4" i="8"/>
  <c r="H59" i="8"/>
  <c r="R59" i="8" s="1"/>
  <c r="H49" i="8"/>
  <c r="R49" i="8" s="1"/>
  <c r="H54" i="8"/>
  <c r="R54" i="8" s="1"/>
  <c r="H64" i="8"/>
  <c r="R64" i="8" s="1"/>
  <c r="H24" i="8"/>
  <c r="R24" i="8" s="1"/>
  <c r="H19" i="8"/>
  <c r="R19" i="8" s="1"/>
  <c r="H39" i="8"/>
  <c r="R39" i="8" s="1"/>
  <c r="H29" i="8"/>
  <c r="R29" i="8" s="1"/>
  <c r="H44" i="8"/>
  <c r="R44" i="8" s="1"/>
  <c r="H34" i="8"/>
  <c r="R34" i="8" s="1"/>
  <c r="G70" i="7"/>
  <c r="G65" i="7"/>
  <c r="G60" i="7"/>
  <c r="G55" i="7"/>
  <c r="G50" i="7"/>
  <c r="G45" i="7"/>
  <c r="G40" i="7"/>
  <c r="G35" i="7"/>
  <c r="G30" i="7"/>
  <c r="H9" i="8"/>
  <c r="R9" i="8" s="1"/>
  <c r="G75" i="7"/>
  <c r="H4" i="8"/>
  <c r="R4" i="8" s="1"/>
  <c r="G80" i="7"/>
  <c r="G85" i="7"/>
  <c r="H14" i="8"/>
  <c r="R14" i="8" s="1"/>
  <c r="AD53" i="8"/>
  <c r="G62" i="8"/>
  <c r="V62" i="8" s="1"/>
  <c r="G57" i="8"/>
  <c r="V57" i="8" s="1"/>
  <c r="G52" i="8"/>
  <c r="V52" i="8" s="1"/>
  <c r="G42" i="8"/>
  <c r="V42" i="8" s="1"/>
  <c r="G37" i="8"/>
  <c r="V37" i="8" s="1"/>
  <c r="G32" i="8"/>
  <c r="V32" i="8" s="1"/>
  <c r="G27" i="8"/>
  <c r="V27" i="8" s="1"/>
  <c r="G22" i="8"/>
  <c r="V22" i="8" s="1"/>
  <c r="G17" i="8"/>
  <c r="V17" i="8" s="1"/>
  <c r="G47" i="8"/>
  <c r="V47" i="8" s="1"/>
  <c r="F83" i="7"/>
  <c r="F78" i="7"/>
  <c r="G12" i="8"/>
  <c r="V12" i="8" s="1"/>
  <c r="G7" i="8"/>
  <c r="V7" i="8" s="1"/>
  <c r="G2" i="8"/>
  <c r="V2" i="8" s="1"/>
  <c r="F73" i="7"/>
  <c r="F68" i="7"/>
  <c r="F63" i="7"/>
  <c r="F58" i="7"/>
  <c r="F53" i="7"/>
  <c r="F48" i="7"/>
  <c r="F43" i="7"/>
  <c r="F38" i="7"/>
  <c r="F33" i="7"/>
  <c r="F28" i="7"/>
  <c r="C6" i="4"/>
  <c r="O4" i="8"/>
  <c r="AC4" i="8" s="1"/>
  <c r="AD29" i="8"/>
  <c r="H60" i="8"/>
  <c r="R60" i="8" s="1"/>
  <c r="H65" i="8"/>
  <c r="R65" i="8" s="1"/>
  <c r="H50" i="8"/>
  <c r="R50" i="8" s="1"/>
  <c r="H20" i="8"/>
  <c r="R20" i="8" s="1"/>
  <c r="H45" i="8"/>
  <c r="R45" i="8" s="1"/>
  <c r="H25" i="8"/>
  <c r="R25" i="8" s="1"/>
  <c r="H55" i="8"/>
  <c r="R55" i="8" s="1"/>
  <c r="H40" i="8"/>
  <c r="R40" i="8" s="1"/>
  <c r="H35" i="8"/>
  <c r="R35" i="8" s="1"/>
  <c r="H30" i="8"/>
  <c r="R30" i="8" s="1"/>
  <c r="G86" i="7"/>
  <c r="H10" i="8"/>
  <c r="R10" i="8" s="1"/>
  <c r="G71" i="7"/>
  <c r="G66" i="7"/>
  <c r="G61" i="7"/>
  <c r="G56" i="7"/>
  <c r="G51" i="7"/>
  <c r="G46" i="7"/>
  <c r="G41" i="7"/>
  <c r="G36" i="7"/>
  <c r="G31" i="7"/>
  <c r="G76" i="7"/>
  <c r="H15" i="8"/>
  <c r="R15" i="8" s="1"/>
  <c r="H5" i="8"/>
  <c r="R5" i="8" s="1"/>
  <c r="G81" i="7"/>
  <c r="O19" i="8"/>
  <c r="G63" i="8"/>
  <c r="V63" i="8" s="1"/>
  <c r="G53" i="8"/>
  <c r="V53" i="8" s="1"/>
  <c r="G48" i="8"/>
  <c r="V48" i="8" s="1"/>
  <c r="G43" i="8"/>
  <c r="V43" i="8" s="1"/>
  <c r="G38" i="8"/>
  <c r="V38" i="8" s="1"/>
  <c r="G33" i="8"/>
  <c r="V33" i="8" s="1"/>
  <c r="G28" i="8"/>
  <c r="V28" i="8" s="1"/>
  <c r="G58" i="8"/>
  <c r="V58" i="8" s="1"/>
  <c r="G23" i="8"/>
  <c r="V23" i="8" s="1"/>
  <c r="G18" i="8"/>
  <c r="V18" i="8" s="1"/>
  <c r="F84" i="7"/>
  <c r="F79" i="7"/>
  <c r="F74" i="7"/>
  <c r="G13" i="8"/>
  <c r="V13" i="8" s="1"/>
  <c r="G8" i="8"/>
  <c r="V8" i="8" s="1"/>
  <c r="G3" i="8"/>
  <c r="V3" i="8" s="1"/>
  <c r="F69" i="7"/>
  <c r="F64" i="7"/>
  <c r="F59" i="7"/>
  <c r="F54" i="7"/>
  <c r="F49" i="7"/>
  <c r="F44" i="7"/>
  <c r="F39" i="7"/>
  <c r="F34" i="7"/>
  <c r="F29" i="7"/>
  <c r="I59" i="8"/>
  <c r="S59" i="8" s="1"/>
  <c r="I49" i="8"/>
  <c r="S49" i="8" s="1"/>
  <c r="I44" i="8"/>
  <c r="S44" i="8" s="1"/>
  <c r="I54" i="8"/>
  <c r="S54" i="8" s="1"/>
  <c r="I64" i="8"/>
  <c r="S64" i="8" s="1"/>
  <c r="I24" i="8"/>
  <c r="S24" i="8" s="1"/>
  <c r="I39" i="8"/>
  <c r="S39" i="8" s="1"/>
  <c r="I29" i="8"/>
  <c r="S29" i="8" s="1"/>
  <c r="I34" i="8"/>
  <c r="S34" i="8" s="1"/>
  <c r="H70" i="7"/>
  <c r="H65" i="7"/>
  <c r="H60" i="7"/>
  <c r="H55" i="7"/>
  <c r="H50" i="7"/>
  <c r="H45" i="7"/>
  <c r="H40" i="7"/>
  <c r="H35" i="7"/>
  <c r="H30" i="7"/>
  <c r="I9" i="8"/>
  <c r="S9" i="8" s="1"/>
  <c r="H75" i="7"/>
  <c r="I4" i="8"/>
  <c r="S4" i="8" s="1"/>
  <c r="H80" i="7"/>
  <c r="I19" i="8"/>
  <c r="S19" i="8" s="1"/>
  <c r="H85" i="7"/>
  <c r="I14" i="8"/>
  <c r="S14" i="8" s="1"/>
  <c r="G64" i="8"/>
  <c r="V64" i="8" s="1"/>
  <c r="G59" i="8"/>
  <c r="G49" i="8"/>
  <c r="V49" i="8" s="1"/>
  <c r="G44" i="8"/>
  <c r="V44" i="8" s="1"/>
  <c r="G39" i="8"/>
  <c r="V39" i="8" s="1"/>
  <c r="G34" i="8"/>
  <c r="V34" i="8" s="1"/>
  <c r="G29" i="8"/>
  <c r="V29" i="8" s="1"/>
  <c r="G24" i="8"/>
  <c r="V24" i="8" s="1"/>
  <c r="G19" i="8"/>
  <c r="F85" i="7"/>
  <c r="F80" i="7"/>
  <c r="F75" i="7"/>
  <c r="G54" i="8"/>
  <c r="V54" i="8" s="1"/>
  <c r="G14" i="8"/>
  <c r="V14" i="8" s="1"/>
  <c r="G9" i="8"/>
  <c r="V9" i="8" s="1"/>
  <c r="G4" i="8"/>
  <c r="F70" i="7"/>
  <c r="F65" i="7"/>
  <c r="F60" i="7"/>
  <c r="F55" i="7"/>
  <c r="F50" i="7"/>
  <c r="F45" i="7"/>
  <c r="F40" i="7"/>
  <c r="F35" i="7"/>
  <c r="F30" i="7"/>
  <c r="I53" i="8"/>
  <c r="S53" i="8" s="1"/>
  <c r="I48" i="8"/>
  <c r="S48" i="8" s="1"/>
  <c r="I63" i="8"/>
  <c r="S63" i="8" s="1"/>
  <c r="I43" i="8"/>
  <c r="S43" i="8" s="1"/>
  <c r="I58" i="8"/>
  <c r="S58" i="8" s="1"/>
  <c r="I23" i="8"/>
  <c r="S23" i="8" s="1"/>
  <c r="I33" i="8"/>
  <c r="S33" i="8" s="1"/>
  <c r="I28" i="8"/>
  <c r="S28" i="8" s="1"/>
  <c r="I38" i="8"/>
  <c r="S38" i="8" s="1"/>
  <c r="I18" i="8"/>
  <c r="S18" i="8" s="1"/>
  <c r="I3" i="8"/>
  <c r="S3" i="8" s="1"/>
  <c r="H69" i="7"/>
  <c r="H64" i="7"/>
  <c r="H59" i="7"/>
  <c r="H54" i="7"/>
  <c r="H49" i="7"/>
  <c r="H44" i="7"/>
  <c r="H39" i="7"/>
  <c r="H34" i="7"/>
  <c r="H29" i="7"/>
  <c r="H79" i="7"/>
  <c r="H74" i="7"/>
  <c r="H84" i="7"/>
  <c r="I13" i="8"/>
  <c r="S13" i="8" s="1"/>
  <c r="I8" i="8"/>
  <c r="S8" i="8" s="1"/>
  <c r="AD2" i="8"/>
  <c r="F59" i="8"/>
  <c r="AB59" i="8"/>
  <c r="O59" i="8"/>
  <c r="AC59" i="8" s="1"/>
  <c r="AD54" i="8"/>
  <c r="G55" i="8"/>
  <c r="V55" i="8" s="1"/>
  <c r="G65" i="8"/>
  <c r="V65" i="8" s="1"/>
  <c r="G45" i="8"/>
  <c r="V45" i="8" s="1"/>
  <c r="G40" i="8"/>
  <c r="V40" i="8" s="1"/>
  <c r="G35" i="8"/>
  <c r="V35" i="8" s="1"/>
  <c r="G30" i="8"/>
  <c r="V30" i="8" s="1"/>
  <c r="G25" i="8"/>
  <c r="V25" i="8" s="1"/>
  <c r="G60" i="8"/>
  <c r="V60" i="8" s="1"/>
  <c r="G50" i="8"/>
  <c r="V50" i="8" s="1"/>
  <c r="G20" i="8"/>
  <c r="V20" i="8" s="1"/>
  <c r="F86" i="7"/>
  <c r="F81" i="7"/>
  <c r="F76" i="7"/>
  <c r="G15" i="8"/>
  <c r="V15" i="8" s="1"/>
  <c r="G10" i="8"/>
  <c r="V10" i="8" s="1"/>
  <c r="G5" i="8"/>
  <c r="V5" i="8" s="1"/>
  <c r="F71" i="7"/>
  <c r="F66" i="7"/>
  <c r="F61" i="7"/>
  <c r="F56" i="7"/>
  <c r="F51" i="7"/>
  <c r="F46" i="7"/>
  <c r="F41" i="7"/>
  <c r="F36" i="7"/>
  <c r="F31" i="7"/>
  <c r="H57" i="8"/>
  <c r="R57" i="8" s="1"/>
  <c r="H52" i="8"/>
  <c r="R52" i="8" s="1"/>
  <c r="H62" i="8"/>
  <c r="R62" i="8" s="1"/>
  <c r="H47" i="8"/>
  <c r="R47" i="8" s="1"/>
  <c r="H42" i="8"/>
  <c r="R42" i="8" s="1"/>
  <c r="H22" i="8"/>
  <c r="R22" i="8" s="1"/>
  <c r="H17" i="8"/>
  <c r="R17" i="8" s="1"/>
  <c r="H27" i="8"/>
  <c r="R27" i="8" s="1"/>
  <c r="H37" i="8"/>
  <c r="R37" i="8" s="1"/>
  <c r="G78" i="7"/>
  <c r="H2" i="8"/>
  <c r="R2" i="8" s="1"/>
  <c r="G73" i="7"/>
  <c r="G68" i="7"/>
  <c r="G63" i="7"/>
  <c r="G58" i="7"/>
  <c r="G53" i="7"/>
  <c r="G48" i="7"/>
  <c r="G43" i="7"/>
  <c r="G38" i="7"/>
  <c r="G33" i="7"/>
  <c r="G28" i="7"/>
  <c r="G83" i="7"/>
  <c r="H7" i="8"/>
  <c r="R7" i="8" s="1"/>
  <c r="H12" i="8"/>
  <c r="R12" i="8" s="1"/>
  <c r="H32" i="8"/>
  <c r="R32" i="8" s="1"/>
  <c r="I60" i="8"/>
  <c r="S60" i="8" s="1"/>
  <c r="I50" i="8"/>
  <c r="S50" i="8" s="1"/>
  <c r="I65" i="8"/>
  <c r="S65" i="8" s="1"/>
  <c r="I45" i="8"/>
  <c r="S45" i="8" s="1"/>
  <c r="I40" i="8"/>
  <c r="S40" i="8" s="1"/>
  <c r="I55" i="8"/>
  <c r="S55" i="8" s="1"/>
  <c r="I25" i="8"/>
  <c r="S25" i="8" s="1"/>
  <c r="I35" i="8"/>
  <c r="S35" i="8" s="1"/>
  <c r="I30" i="8"/>
  <c r="S30" i="8" s="1"/>
  <c r="I20" i="8"/>
  <c r="S20" i="8" s="1"/>
  <c r="I10" i="8"/>
  <c r="S10" i="8" s="1"/>
  <c r="H71" i="7"/>
  <c r="H66" i="7"/>
  <c r="H61" i="7"/>
  <c r="H56" i="7"/>
  <c r="H51" i="7"/>
  <c r="H46" i="7"/>
  <c r="H41" i="7"/>
  <c r="H36" i="7"/>
  <c r="H31" i="7"/>
  <c r="H76" i="7"/>
  <c r="H86" i="7"/>
  <c r="I5" i="8"/>
  <c r="S5" i="8" s="1"/>
  <c r="H81" i="7"/>
  <c r="I15" i="8"/>
  <c r="S15" i="8" s="1"/>
  <c r="AD14" i="8"/>
  <c r="U32" i="8" l="1"/>
  <c r="W32" i="8" s="1"/>
  <c r="U47" i="8"/>
  <c r="W47" i="8" s="1"/>
  <c r="Z47" i="8" s="1"/>
  <c r="AA47" i="8" s="1"/>
  <c r="U11" i="8"/>
  <c r="W11" i="8" s="1"/>
  <c r="U2" i="8"/>
  <c r="W2" i="8" s="1"/>
  <c r="AF2" i="8" s="1"/>
  <c r="V19" i="8"/>
  <c r="U31" i="8"/>
  <c r="U36" i="8"/>
  <c r="U22" i="8"/>
  <c r="U57" i="8"/>
  <c r="U26" i="8"/>
  <c r="U42" i="8"/>
  <c r="W42" i="8" s="1"/>
  <c r="U56" i="8"/>
  <c r="U52" i="8"/>
  <c r="U37" i="8"/>
  <c r="U62" i="8"/>
  <c r="U30" i="8"/>
  <c r="U66" i="8"/>
  <c r="U46" i="8"/>
  <c r="U65" i="8"/>
  <c r="U5" i="8"/>
  <c r="U41" i="8"/>
  <c r="U13" i="8"/>
  <c r="U33" i="8"/>
  <c r="U63" i="8"/>
  <c r="U54" i="8"/>
  <c r="U6" i="8"/>
  <c r="U16" i="8"/>
  <c r="U43" i="8"/>
  <c r="U34" i="8"/>
  <c r="U49" i="8"/>
  <c r="U14" i="8"/>
  <c r="U51" i="8"/>
  <c r="AD4" i="8"/>
  <c r="AD59" i="8"/>
  <c r="U53" i="8"/>
  <c r="W53" i="8" s="1"/>
  <c r="U12" i="8"/>
  <c r="W12" i="8" s="1"/>
  <c r="U27" i="8"/>
  <c r="W27" i="8" s="1"/>
  <c r="U15" i="8"/>
  <c r="W15" i="8" s="1"/>
  <c r="U55" i="8"/>
  <c r="W55" i="8" s="1"/>
  <c r="U29" i="8"/>
  <c r="W29" i="8" s="1"/>
  <c r="U21" i="8"/>
  <c r="W21" i="8" s="1"/>
  <c r="AD18" i="8"/>
  <c r="U18" i="8"/>
  <c r="W18" i="8" s="1"/>
  <c r="U40" i="8"/>
  <c r="W40" i="8" s="1"/>
  <c r="U44" i="8"/>
  <c r="W44" i="8" s="1"/>
  <c r="U59" i="8"/>
  <c r="U17" i="8"/>
  <c r="W17" i="8" s="1"/>
  <c r="U25" i="8"/>
  <c r="W25" i="8" s="1"/>
  <c r="V4" i="8"/>
  <c r="U39" i="8"/>
  <c r="W39" i="8" s="1"/>
  <c r="AC19" i="8"/>
  <c r="U23" i="8"/>
  <c r="W23" i="8" s="1"/>
  <c r="V59" i="8"/>
  <c r="U60" i="8"/>
  <c r="W60" i="8" s="1"/>
  <c r="U8" i="8"/>
  <c r="W8" i="8" s="1"/>
  <c r="U7" i="8"/>
  <c r="W7" i="8" s="1"/>
  <c r="U45" i="8"/>
  <c r="W45" i="8" s="1"/>
  <c r="U4" i="8"/>
  <c r="U19" i="8"/>
  <c r="U38" i="8"/>
  <c r="W38" i="8" s="1"/>
  <c r="U10" i="8"/>
  <c r="W10" i="8" s="1"/>
  <c r="U20" i="8"/>
  <c r="W20" i="8" s="1"/>
  <c r="U24" i="8"/>
  <c r="W24" i="8" s="1"/>
  <c r="U3" i="8"/>
  <c r="W3" i="8" s="1"/>
  <c r="U48" i="8"/>
  <c r="W48" i="8" s="1"/>
  <c r="Z11" i="8"/>
  <c r="AA11" i="8" s="1"/>
  <c r="AF11" i="8"/>
  <c r="X11" i="8"/>
  <c r="U35" i="8"/>
  <c r="W35" i="8" s="1"/>
  <c r="U50" i="8"/>
  <c r="W50" i="8" s="1"/>
  <c r="U9" i="8"/>
  <c r="W9" i="8" s="1"/>
  <c r="U64" i="8"/>
  <c r="W64" i="8" s="1"/>
  <c r="U61" i="8"/>
  <c r="W61" i="8" s="1"/>
  <c r="U28" i="8"/>
  <c r="W28" i="8" s="1"/>
  <c r="U58" i="8"/>
  <c r="W58" i="8" s="1"/>
  <c r="W4" i="8" l="1"/>
  <c r="Z4" i="8" s="1"/>
  <c r="AA4" i="8" s="1"/>
  <c r="W59" i="8"/>
  <c r="W13" i="8"/>
  <c r="Z13" i="8" s="1"/>
  <c r="AA13" i="8" s="1"/>
  <c r="W22" i="8"/>
  <c r="Z22" i="8" s="1"/>
  <c r="AA22" i="8" s="1"/>
  <c r="W34" i="8"/>
  <c r="AF34" i="8" s="1"/>
  <c r="W52" i="8"/>
  <c r="Z52" i="8" s="1"/>
  <c r="AA52" i="8" s="1"/>
  <c r="W5" i="8"/>
  <c r="Z5" i="8" s="1"/>
  <c r="AA5" i="8" s="1"/>
  <c r="W31" i="8"/>
  <c r="Z31" i="8" s="1"/>
  <c r="AA31" i="8" s="1"/>
  <c r="W19" i="8"/>
  <c r="X19" i="8" s="1"/>
  <c r="W16" i="8"/>
  <c r="AF16" i="8" s="1"/>
  <c r="F7" i="5" s="1"/>
  <c r="W65" i="8"/>
  <c r="Z65" i="8" s="1"/>
  <c r="AA65" i="8" s="1"/>
  <c r="W49" i="8"/>
  <c r="Z49" i="8" s="1"/>
  <c r="AA49" i="8" s="1"/>
  <c r="W37" i="8"/>
  <c r="AF37" i="8" s="1"/>
  <c r="D12" i="5" s="1"/>
  <c r="W41" i="8"/>
  <c r="Z41" i="8" s="1"/>
  <c r="AA41" i="8" s="1"/>
  <c r="W43" i="8"/>
  <c r="Z43" i="8" s="1"/>
  <c r="AA43" i="8" s="1"/>
  <c r="W6" i="8"/>
  <c r="Z6" i="8" s="1"/>
  <c r="AA6" i="8" s="1"/>
  <c r="W46" i="8"/>
  <c r="Z46" i="8" s="1"/>
  <c r="AA46" i="8" s="1"/>
  <c r="W26" i="8"/>
  <c r="AF26" i="8" s="1"/>
  <c r="W36" i="8"/>
  <c r="AF36" i="8" s="1"/>
  <c r="W56" i="8"/>
  <c r="Z56" i="8" s="1"/>
  <c r="AA56" i="8" s="1"/>
  <c r="W54" i="8"/>
  <c r="Z54" i="8" s="1"/>
  <c r="AA54" i="8" s="1"/>
  <c r="W66" i="8"/>
  <c r="AF66" i="8" s="1"/>
  <c r="W57" i="8"/>
  <c r="Z57" i="8" s="1"/>
  <c r="AA57" i="8" s="1"/>
  <c r="W51" i="8"/>
  <c r="X51" i="8" s="1"/>
  <c r="W63" i="8"/>
  <c r="AF63" i="8" s="1"/>
  <c r="W30" i="8"/>
  <c r="Z30" i="8" s="1"/>
  <c r="AA30" i="8" s="1"/>
  <c r="W14" i="8"/>
  <c r="X14" i="8" s="1"/>
  <c r="W33" i="8"/>
  <c r="AF33" i="8" s="1"/>
  <c r="C28" i="3" s="1"/>
  <c r="W62" i="8"/>
  <c r="X62" i="8" s="1"/>
  <c r="AF32" i="8"/>
  <c r="X47" i="8"/>
  <c r="X2" i="8"/>
  <c r="AF47" i="8"/>
  <c r="D14" i="5" s="1"/>
  <c r="Z2" i="8"/>
  <c r="AA2" i="8" s="1"/>
  <c r="X13" i="8"/>
  <c r="AF13" i="8"/>
  <c r="Z42" i="8"/>
  <c r="AA42" i="8" s="1"/>
  <c r="X42" i="8"/>
  <c r="X65" i="8"/>
  <c r="AF42" i="8"/>
  <c r="F33" i="23" s="1"/>
  <c r="AF14" i="8"/>
  <c r="E7" i="5" s="1"/>
  <c r="Z14" i="8"/>
  <c r="AA14" i="8" s="1"/>
  <c r="X59" i="8"/>
  <c r="D5" i="5"/>
  <c r="AF38" i="8"/>
  <c r="Z38" i="8"/>
  <c r="AA38" i="8" s="1"/>
  <c r="X38" i="8"/>
  <c r="AF4" i="8"/>
  <c r="E5" i="5" s="1"/>
  <c r="AF55" i="8"/>
  <c r="Z55" i="8"/>
  <c r="AA55" i="8" s="1"/>
  <c r="X55" i="8"/>
  <c r="Z53" i="8"/>
  <c r="AA53" i="8" s="1"/>
  <c r="AF53" i="8"/>
  <c r="X53" i="8"/>
  <c r="AF28" i="8"/>
  <c r="Z28" i="8"/>
  <c r="AA28" i="8" s="1"/>
  <c r="X28" i="8"/>
  <c r="Z45" i="8"/>
  <c r="AA45" i="8" s="1"/>
  <c r="AF45" i="8"/>
  <c r="X45" i="8"/>
  <c r="AF23" i="8"/>
  <c r="Z23" i="8"/>
  <c r="AA23" i="8" s="1"/>
  <c r="X23" i="8"/>
  <c r="AF25" i="8"/>
  <c r="Z25" i="8"/>
  <c r="AA25" i="8" s="1"/>
  <c r="X25" i="8"/>
  <c r="AF15" i="8"/>
  <c r="Z15" i="8"/>
  <c r="AA15" i="8" s="1"/>
  <c r="X15" i="8"/>
  <c r="AF64" i="8"/>
  <c r="Z64" i="8"/>
  <c r="AA64" i="8" s="1"/>
  <c r="X64" i="8"/>
  <c r="AF58" i="8"/>
  <c r="Z58" i="8"/>
  <c r="AA58" i="8" s="1"/>
  <c r="X58" i="8"/>
  <c r="Z50" i="8"/>
  <c r="AA50" i="8" s="1"/>
  <c r="AF50" i="8"/>
  <c r="X50" i="8"/>
  <c r="Z32" i="8"/>
  <c r="AA32" i="8" s="1"/>
  <c r="Z61" i="8"/>
  <c r="AA61" i="8" s="1"/>
  <c r="AF61" i="8"/>
  <c r="X61" i="8"/>
  <c r="Z8" i="8"/>
  <c r="AA8" i="8" s="1"/>
  <c r="AF8" i="8"/>
  <c r="X8" i="8"/>
  <c r="AF18" i="8"/>
  <c r="Z18" i="8"/>
  <c r="AA18" i="8" s="1"/>
  <c r="X18" i="8"/>
  <c r="Z12" i="8"/>
  <c r="AA12" i="8" s="1"/>
  <c r="AF12" i="8"/>
  <c r="D7" i="5" s="1"/>
  <c r="X12" i="8"/>
  <c r="AD19" i="8"/>
  <c r="AF17" i="8"/>
  <c r="Z17" i="8"/>
  <c r="AA17" i="8" s="1"/>
  <c r="X17" i="8"/>
  <c r="AF27" i="8"/>
  <c r="D10" i="5" s="1"/>
  <c r="Z27" i="8"/>
  <c r="AA27" i="8" s="1"/>
  <c r="X27" i="8"/>
  <c r="AF35" i="8"/>
  <c r="C30" i="3" s="1"/>
  <c r="Z35" i="8"/>
  <c r="AA35" i="8" s="1"/>
  <c r="X35" i="8"/>
  <c r="Z48" i="8"/>
  <c r="AA48" i="8" s="1"/>
  <c r="AF48" i="8"/>
  <c r="X48" i="8"/>
  <c r="AF24" i="8"/>
  <c r="E9" i="5" s="1"/>
  <c r="Z24" i="8"/>
  <c r="AA24" i="8" s="1"/>
  <c r="X24" i="8"/>
  <c r="AF3" i="8"/>
  <c r="Z3" i="8"/>
  <c r="AA3" i="8" s="1"/>
  <c r="X3" i="8"/>
  <c r="AF20" i="8"/>
  <c r="Z20" i="8"/>
  <c r="AA20" i="8" s="1"/>
  <c r="X20" i="8"/>
  <c r="Z7" i="8"/>
  <c r="AA7" i="8" s="1"/>
  <c r="AF7" i="8"/>
  <c r="X7" i="8"/>
  <c r="Z44" i="8"/>
  <c r="AA44" i="8" s="1"/>
  <c r="AF44" i="8"/>
  <c r="E13" i="5" s="1"/>
  <c r="X44" i="8"/>
  <c r="AF21" i="8"/>
  <c r="Z21" i="8"/>
  <c r="AA21" i="8" s="1"/>
  <c r="X21" i="8"/>
  <c r="Z10" i="8"/>
  <c r="AA10" i="8" s="1"/>
  <c r="AF10" i="8"/>
  <c r="X10" i="8"/>
  <c r="AF60" i="8"/>
  <c r="Z60" i="8"/>
  <c r="AA60" i="8" s="1"/>
  <c r="X60" i="8"/>
  <c r="AF40" i="8"/>
  <c r="Z40" i="8"/>
  <c r="AA40" i="8" s="1"/>
  <c r="X40" i="8"/>
  <c r="Z9" i="8"/>
  <c r="AA9" i="8" s="1"/>
  <c r="AF9" i="8"/>
  <c r="X9" i="8"/>
  <c r="AF39" i="8"/>
  <c r="E12" i="5" s="1"/>
  <c r="Z39" i="8"/>
  <c r="AA39" i="8" s="1"/>
  <c r="X39" i="8"/>
  <c r="AF29" i="8"/>
  <c r="E10" i="5" s="1"/>
  <c r="Z29" i="8"/>
  <c r="AA29" i="8" s="1"/>
  <c r="X29" i="8"/>
  <c r="C33" i="23" l="1"/>
  <c r="C33" i="22"/>
  <c r="D11" i="5"/>
  <c r="D33" i="22"/>
  <c r="D8" i="5"/>
  <c r="D33" i="23"/>
  <c r="D13" i="5"/>
  <c r="F33" i="22"/>
  <c r="Z37" i="8"/>
  <c r="AA37" i="8" s="1"/>
  <c r="X37" i="8"/>
  <c r="Z34" i="8"/>
  <c r="AA34" i="8" s="1"/>
  <c r="X34" i="8"/>
  <c r="AF22" i="8"/>
  <c r="D9" i="5" s="1"/>
  <c r="X22" i="8"/>
  <c r="X33" i="8"/>
  <c r="AF56" i="8"/>
  <c r="F15" i="5" s="1"/>
  <c r="X56" i="8"/>
  <c r="Z63" i="8"/>
  <c r="AA63" i="8" s="1"/>
  <c r="Z19" i="8"/>
  <c r="AA19" i="8" s="1"/>
  <c r="X63" i="8"/>
  <c r="Z51" i="8"/>
  <c r="AA51" i="8" s="1"/>
  <c r="AF51" i="8"/>
  <c r="Z62" i="8"/>
  <c r="AA62" i="8" s="1"/>
  <c r="AF31" i="8"/>
  <c r="X57" i="8"/>
  <c r="AF62" i="8"/>
  <c r="X43" i="8"/>
  <c r="X31" i="8"/>
  <c r="E11" i="5"/>
  <c r="C29" i="3"/>
  <c r="X54" i="8"/>
  <c r="X6" i="8"/>
  <c r="AF6" i="8"/>
  <c r="F5" i="5" s="1"/>
  <c r="Z33" i="8"/>
  <c r="AA33" i="8" s="1"/>
  <c r="AF46" i="8"/>
  <c r="AF49" i="8"/>
  <c r="E14" i="5" s="1"/>
  <c r="X49" i="8"/>
  <c r="AF54" i="8"/>
  <c r="E15" i="5" s="1"/>
  <c r="AF5" i="8"/>
  <c r="D28" i="3"/>
  <c r="X46" i="8"/>
  <c r="X5" i="8"/>
  <c r="AF65" i="8"/>
  <c r="F9" i="5"/>
  <c r="F11" i="5"/>
  <c r="C52" i="23" s="1"/>
  <c r="C31" i="3"/>
  <c r="C52" i="3"/>
  <c r="D7" i="4"/>
  <c r="D8" i="4" s="1"/>
  <c r="B11" i="4" s="1"/>
  <c r="C53" i="3"/>
  <c r="F17" i="5"/>
  <c r="J7" i="5" s="1"/>
  <c r="X41" i="8"/>
  <c r="Z26" i="8"/>
  <c r="AA26" i="8" s="1"/>
  <c r="X30" i="8"/>
  <c r="AF30" i="8"/>
  <c r="X26" i="8"/>
  <c r="AF57" i="8"/>
  <c r="D16" i="5" s="1"/>
  <c r="X16" i="8"/>
  <c r="AF41" i="8"/>
  <c r="Z16" i="8"/>
  <c r="AA16" i="8" s="1"/>
  <c r="AF52" i="8"/>
  <c r="X52" i="8"/>
  <c r="Z36" i="8"/>
  <c r="AA36" i="8" s="1"/>
  <c r="Z66" i="8"/>
  <c r="AA66" i="8" s="1"/>
  <c r="X66" i="8"/>
  <c r="X36" i="8"/>
  <c r="X32" i="8"/>
  <c r="AF43" i="8"/>
  <c r="X4" i="8"/>
  <c r="D31" i="3"/>
  <c r="Z59" i="8"/>
  <c r="AA59" i="8" s="1"/>
  <c r="AF59" i="8"/>
  <c r="E16" i="5" s="1"/>
  <c r="G10" i="5"/>
  <c r="G7" i="5"/>
  <c r="F8" i="5"/>
  <c r="F16" i="5"/>
  <c r="AF19" i="8"/>
  <c r="E8" i="5" s="1"/>
  <c r="G9" i="5"/>
  <c r="C27" i="3"/>
  <c r="G11" i="5"/>
  <c r="C53" i="23" s="1"/>
  <c r="C47" i="3"/>
  <c r="E17" i="5"/>
  <c r="D29" i="3"/>
  <c r="G33" i="22" l="1"/>
  <c r="G33" i="23"/>
  <c r="C7" i="4"/>
  <c r="C8" i="4" s="1"/>
  <c r="D17" i="5"/>
  <c r="E33" i="23"/>
  <c r="E33" i="22"/>
  <c r="G15" i="5"/>
  <c r="D15" i="5"/>
  <c r="D27" i="3"/>
  <c r="C48" i="3"/>
  <c r="C49" i="3" s="1"/>
  <c r="D47" i="3" s="1"/>
  <c r="G13" i="5"/>
  <c r="C54" i="3"/>
  <c r="D52" i="3" s="1"/>
  <c r="J17" i="5"/>
  <c r="J11" i="5"/>
  <c r="J8" i="5"/>
  <c r="J6" i="5"/>
  <c r="F10" i="5"/>
  <c r="J10" i="5" s="1"/>
  <c r="J16" i="5"/>
  <c r="J9" i="5"/>
  <c r="D30" i="3"/>
  <c r="G17" i="5"/>
  <c r="K17" i="5" s="1"/>
  <c r="F14" i="5"/>
  <c r="J14" i="5" s="1"/>
  <c r="J5" i="5"/>
  <c r="J15" i="5"/>
  <c r="G12" i="5"/>
  <c r="F13" i="5"/>
  <c r="J13" i="5" s="1"/>
  <c r="G5" i="5"/>
  <c r="F12" i="5"/>
  <c r="J12" i="5" s="1"/>
  <c r="G14" i="5"/>
  <c r="G16" i="5"/>
  <c r="G8" i="5"/>
  <c r="K14" i="5" l="1"/>
  <c r="K5" i="5"/>
  <c r="K8" i="5"/>
  <c r="K16" i="5"/>
  <c r="K12" i="5"/>
  <c r="K7" i="5"/>
  <c r="K9" i="5"/>
  <c r="K15" i="5"/>
  <c r="K10" i="5"/>
  <c r="K13" i="5"/>
  <c r="K11" i="5"/>
  <c r="K6" i="5"/>
</calcChain>
</file>

<file path=xl/sharedStrings.xml><?xml version="1.0" encoding="utf-8"?>
<sst xmlns="http://schemas.openxmlformats.org/spreadsheetml/2006/main" count="1406" uniqueCount="805">
  <si>
    <t>What</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</si>
  <si>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</si>
  <si>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</si>
  <si>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</si>
  <si>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</si>
  <si>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</si>
  <si>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</si>
  <si>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</si>
  <si>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</si>
  <si>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</si>
  <si>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</si>
  <si>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</si>
  <si>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</si>
  <si>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</si>
  <si>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</si>
  <si>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</si>
  <si>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</si>
  <si>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</si>
  <si>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</si>
  <si>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</si>
  <si>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</si>
  <si>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</si>
  <si>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</si>
  <si>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</si>
  <si>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</si>
  <si>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</si>
  <si>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</si>
  <si>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</si>
  <si>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</si>
  <si>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</si>
  <si>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</si>
  <si>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</si>
  <si>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</si>
  <si>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</si>
  <si>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</si>
  <si>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</si>
  <si>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</si>
  <si>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</si>
  <si>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</si>
  <si>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</si>
  <si>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</si>
  <si>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</si>
  <si>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</si>
  <si>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</si>
  <si>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</si>
  <si>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</si>
  <si>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</si>
  <si>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Chart titles</t>
  </si>
  <si>
    <t>Net = (M&amp;O operating) − (Aid + Override + Uplift). Capital is excluded. Uplift is indexed to Aid growth.</t>
  </si>
  <si>
    <t>Students: Displaced = FY2026; Served = FY2030 (open + retained).</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</si>
  <si>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</si>
  <si>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</si>
  <si>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</si>
  <si>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</si>
  <si>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</si>
  <si>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</si>
  <si>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</si>
  <si>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</si>
  <si>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</si>
  <si>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</si>
  <si>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</si>
  <si>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</si>
  <si>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</si>
  <si>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</si>
  <si>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</si>
  <si>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</si>
  <si>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</si>
  <si>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</si>
  <si>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</si>
  <si>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</si>
  <si>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</si>
  <si>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</si>
  <si>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</si>
  <si>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</si>
  <si>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</si>
  <si>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</si>
  <si>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</si>
  <si>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</si>
  <si>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</si>
  <si>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</si>
  <si>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</si>
  <si>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</si>
  <si>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</si>
  <si>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</si>
  <si>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</si>
  <si>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</si>
  <si>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</si>
  <si>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</si>
  <si>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</si>
  <si>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</si>
  <si>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</si>
  <si>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</si>
  <si>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</si>
  <si>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</si>
  <si>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</si>
  <si>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</si>
  <si>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</si>
  <si>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</si>
  <si>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</si>
  <si>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</si>
  <si>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</si>
  <si>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</si>
  <si>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</si>
  <si>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</si>
  <si>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</si>
  <si>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</si>
  <si>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</si>
  <si>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</si>
  <si>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</si>
  <si>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</si>
  <si>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</si>
  <si>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</si>
  <si>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</si>
  <si>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</si>
  <si>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</si>
  <si>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</si>
  <si>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</si>
  <si>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</si>
  <si>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</si>
  <si>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</si>
  <si>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</si>
  <si>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</si>
  <si>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</si>
  <si>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</si>
  <si>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</si>
  <si>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</si>
  <si>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</si>
  <si>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</si>
  <si>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</si>
  <si>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</si>
  <si>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</si>
  <si>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</si>
  <si>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</si>
  <si>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</si>
  <si>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</si>
  <si>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</si>
  <si>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Notes</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</si>
  <si>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</si>
  <si>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</si>
  <si>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</si>
  <si>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</si>
  <si>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</si>
  <si>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</si>
  <si>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</si>
  <si>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</si>
  <si>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</si>
  <si>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</si>
  <si>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</si>
  <si>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</si>
  <si>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</si>
  <si>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</si>
  <si>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</si>
  <si>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</si>
  <si>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</si>
  <si>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</si>
  <si>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</si>
  <si>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</si>
  <si>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</si>
  <si>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</si>
  <si>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</si>
  <si>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</si>
  <si>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</si>
  <si>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</si>
  <si>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</si>
  <si>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</si>
  <si>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</si>
  <si>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</si>
  <si>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</si>
  <si>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</si>
  <si>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</si>
  <si>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</si>
  <si>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</si>
  <si>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</si>
  <si>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</si>
  <si>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</si>
  <si>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</si>
  <si>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</si>
  <si>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</si>
  <si>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</si>
  <si>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</si>
  <si>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</si>
  <si>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</si>
  <si>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</si>
  <si>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</si>
  <si>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</si>
  <si>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</si>
  <si>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</si>
  <si>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</si>
  <si>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</si>
  <si>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</si>
  <si>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</si>
  <si>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</si>
  <si>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</si>
  <si>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</si>
  <si>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</si>
  <si>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</si>
  <si>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</si>
  <si>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</si>
  <si>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</si>
  <si>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</si>
  <si>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</si>
  <si>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</si>
  <si>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</si>
  <si>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</si>
  <si>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</si>
  <si>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</si>
  <si>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</si>
  <si>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</si>
  <si>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 per served student covering incremental staffing, aides, supplies, and a small transport slice; indexed by MO inflation.</t>
  </si>
  <si>
    <t>YearMap; Revenue$/Adj_MO$</t>
  </si>
  <si>
    <t>MO inflation; baseline unit cost</t>
  </si>
  <si>
    <t>Used in mᵗ = revenues − VarUnit$ − g.</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</si>
  <si>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</si>
  <si>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</si>
  <si>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</si>
  <si>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</si>
  <si>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</si>
  <si>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</si>
  <si>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</si>
  <si>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</si>
  <si>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</si>
  <si>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</si>
  <si>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</si>
  <si>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</si>
  <si>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</si>
  <si>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</si>
  <si>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</si>
  <si>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</si>
  <si>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</si>
  <si>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</si>
  <si>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</si>
  <si>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</si>
  <si>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</si>
  <si>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</si>
  <si>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</si>
  <si>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</si>
  <si>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</si>
  <si>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</si>
  <si>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</si>
  <si>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</si>
  <si>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Receiving schools must meet program‑quality threshold.</t>
  </si>
  <si>
    <t>Define threshold.</t>
  </si>
  <si>
    <t>TBD (outside model)</t>
  </si>
  <si>
    <t>Narrative tie‑in.</t>
  </si>
  <si>
    <t>Academics</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</si>
  <si>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</si>
  <si>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</si>
  <si>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</si>
  <si>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</si>
  <si>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</si>
  <si>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</si>
  <si>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</si>
  <si>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</si>
  <si>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</si>
  <si>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</si>
  <si>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</si>
  <si>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</si>
  <si>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</si>
  <si>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</si>
  <si>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</si>
  <si>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</si>
  <si>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</si>
  <si>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</si>
  <si>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</si>
  <si>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</si>
  <si>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</si>
  <si>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Pima—site‑fixed (Fund 001 by function)</t>
  </si>
  <si>
    <t>Echo/Pima 40th/100th (FY2025)</t>
  </si>
  <si>
    <t>AzEDS SDADMS72/75 export</t>
  </si>
  <si>
    <t>Transport cost unit anchors</t>
  </si>
  <si>
    <t>Drafted</t>
  </si>
  <si>
    <t>City of Scottsdale audit</t>
  </si>
  <si>
    <t>Control_Center (h₀; α)</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</si>
  <si>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</si>
  <si>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</si>
  <si>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</si>
  <si>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</si>
  <si>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</si>
  <si>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</si>
  <si>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</si>
  <si>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</si>
  <si>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Echo Canyon base ADM (≈257)</t>
  </si>
  <si>
    <t>Baseline students “served” in keep‑open scenarios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</si>
  <si>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</si>
  <si>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</si>
  <si>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</si>
  <si>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</si>
  <si>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</si>
  <si>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</si>
  <si>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</si>
  <si>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</si>
  <si>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</si>
  <si>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Not an official district term; just using in this spreadsheet</t>
  </si>
  <si>
    <t>$ per student applied to “served ADM,” plus marginal‑cost factor on overlay seats</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</si>
  <si>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</si>
  <si>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</si>
  <si>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</si>
  <si>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</si>
  <si>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Retention rate “r” (central 0.75; sensitivities 0.65–0.85)</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</si>
  <si>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</si>
  <si>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</si>
  <si>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</si>
  <si>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</si>
  <si>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</si>
  <si>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Extra cost savings for co-location scenario</t>
  </si>
  <si>
    <t>Ops savings (for keep-open scenarios)</t>
  </si>
  <si>
    <t>K–8 capacity / square footage</t>
  </si>
  <si>
    <t>Context for “utilization” and whether overlay targets are feasible</t>
  </si>
  <si>
    <t>Pre‑K contribution</t>
  </si>
  <si>
    <t>Excluded from ADM and revenue in the model (unless tuition/lease modeled)</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</si>
  <si>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</si>
  <si>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</si>
  <si>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</si>
  <si>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</si>
  <si>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</si>
  <si>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ScenarioKey</t>
  </si>
  <si>
    <t>Label</t>
  </si>
  <si>
    <t>CloseEcho</t>
  </si>
  <si>
    <t>ClosePima</t>
  </si>
  <si>
    <t>ExtraSave</t>
  </si>
  <si>
    <t>Overlay_FY26</t>
  </si>
  <si>
    <t>Overlay_FY27</t>
  </si>
  <si>
    <t>Overlay_FY28</t>
  </si>
  <si>
    <t>Overlay_FY29</t>
  </si>
  <si>
    <t>Overlay_FY30</t>
  </si>
  <si>
    <t>Carry</t>
  </si>
  <si>
    <t>Growth_Echo</t>
  </si>
  <si>
    <t>Growth_Pima</t>
  </si>
  <si>
    <t>Apply_Echo_Trend</t>
  </si>
  <si>
    <t>Apply_Pima_Trend</t>
  </si>
  <si>
    <t>Baseline + outreach; no closures</t>
  </si>
  <si>
    <t>None</t>
  </si>
  <si>
    <t>D4_StatusQuo_Targets</t>
  </si>
  <si>
    <t>Baseline + targets; no closures</t>
  </si>
  <si>
    <t>Innov</t>
  </si>
  <si>
    <t>Arts</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</si>
  <si>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</si>
  <si>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</si>
  <si>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</si>
  <si>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</si>
  <si>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</si>
  <si>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</si>
  <si>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</si>
  <si>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</si>
  <si>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</si>
  <si>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</si>
  <si>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</si>
  <si>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</si>
  <si>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</si>
  <si>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</si>
  <si>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</si>
  <si>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</si>
  <si>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</si>
  <si>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</si>
  <si>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</si>
  <si>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</si>
  <si>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</si>
  <si>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</si>
  <si>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</si>
  <si>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</si>
  <si>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</si>
  <si>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</si>
  <si>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</si>
  <si>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</si>
  <si>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</si>
  <si>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</si>
  <si>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</si>
  <si>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</si>
  <si>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</si>
  <si>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</si>
  <si>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</si>
  <si>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</si>
  <si>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</si>
  <si>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</si>
  <si>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</si>
  <si>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</si>
  <si>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</si>
  <si>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</si>
  <si>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</si>
  <si>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</si>
  <si>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</si>
  <si>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</si>
  <si>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</si>
  <si>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</si>
  <si>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</si>
  <si>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</si>
  <si>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</si>
  <si>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</si>
  <si>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</si>
  <si>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</si>
  <si>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</si>
  <si>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</si>
  <si>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</si>
  <si>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</si>
  <si>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</si>
  <si>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</si>
  <si>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</si>
  <si>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</si>
  <si>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</si>
  <si>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</si>
  <si>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</si>
  <si>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</si>
  <si>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</si>
  <si>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</si>
  <si>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</si>
  <si>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</si>
  <si>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</si>
  <si>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</si>
  <si>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</si>
  <si>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</si>
  <si>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</si>
  <si>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</si>
  <si>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</si>
  <si>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</si>
  <si>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</si>
  <si>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</si>
  <si>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</si>
  <si>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</si>
  <si>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</si>
  <si>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</si>
  <si>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</si>
  <si>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</si>
  <si>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</si>
  <si>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</si>
  <si>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</si>
  <si>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</si>
  <si>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</si>
  <si>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</si>
  <si>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</si>
  <si>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</si>
  <si>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</si>
  <si>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</si>
  <si>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</si>
  <si>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</si>
  <si>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</si>
  <si>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</si>
  <si>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</si>
  <si>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</si>
  <si>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</si>
  <si>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</si>
  <si>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</si>
  <si>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</si>
  <si>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</si>
  <si>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</si>
  <si>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</si>
  <si>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</si>
  <si>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</si>
  <si>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</si>
  <si>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</si>
  <si>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</si>
  <si>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</si>
  <si>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</si>
  <si>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</si>
  <si>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</si>
  <si>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</si>
  <si>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</si>
  <si>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</si>
  <si>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</si>
  <si>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</si>
  <si>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</si>
  <si>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</si>
  <si>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</si>
  <si>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</si>
  <si>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</si>
  <si>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</si>
  <si>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</si>
  <si>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</si>
  <si>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</si>
  <si>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</si>
  <si>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</si>
  <si>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</si>
  <si>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</si>
  <si>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</si>
  <si>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</si>
  <si>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</si>
  <si>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</si>
  <si>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</si>
  <si>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</si>
  <si>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</si>
  <si>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</si>
  <si>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</si>
  <si>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</si>
  <si>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</si>
  <si>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</si>
  <si>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</si>
  <si>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</si>
  <si>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</si>
  <si>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</si>
  <si>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</si>
  <si>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</si>
  <si>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</si>
  <si>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</si>
  <si>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</si>
  <si>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</si>
  <si>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</si>
  <si>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</si>
  <si>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</si>
  <si>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</si>
  <si>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</si>
  <si>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</si>
  <si>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</si>
  <si>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</si>
  <si>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</si>
  <si>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</si>
  <si>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</si>
  <si>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</si>
  <si>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</si>
  <si>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</si>
  <si>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</si>
  <si>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</si>
  <si>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</si>
  <si>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</si>
  <si>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</si>
  <si>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</si>
  <si>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</si>
  <si>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</si>
  <si>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</si>
  <si>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</si>
  <si>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</si>
  <si>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</si>
  <si>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</si>
  <si>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</si>
  <si>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</si>
  <si>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</si>
  <si>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</si>
  <si>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</si>
  <si>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</si>
  <si>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</si>
  <si>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</si>
  <si>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</si>
  <si>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</si>
  <si>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</si>
  <si>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</si>
  <si>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</si>
  <si>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</si>
  <si>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</si>
  <si>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</si>
  <si>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</si>
  <si>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</si>
  <si>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</si>
  <si>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</si>
  <si>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</si>
  <si>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</si>
  <si>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</si>
  <si>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</si>
  <si>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</si>
  <si>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</si>
  <si>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</si>
  <si>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</si>
  <si>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</si>
  <si>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</si>
  <si>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</si>
  <si>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</si>
  <si>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</si>
  <si>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</si>
  <si>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</si>
  <si>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</si>
  <si>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</si>
  <si>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</si>
  <si>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</si>
  <si>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</si>
  <si>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</si>
  <si>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</si>
  <si>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</si>
  <si>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</si>
  <si>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</si>
  <si>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</si>
  <si>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</si>
  <si>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</si>
  <si>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</si>
  <si>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</si>
  <si>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</si>
  <si>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</si>
  <si>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</si>
  <si>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</si>
  <si>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</si>
  <si>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</si>
  <si>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</si>
  <si>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</si>
  <si>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</si>
  <si>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</si>
  <si>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</si>
  <si>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</si>
  <si>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</si>
  <si>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</si>
  <si>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</si>
  <si>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</si>
  <si>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</si>
  <si>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</si>
  <si>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</si>
  <si>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</si>
  <si>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</si>
  <si>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BaselineCalc</t>
  </si>
  <si>
    <t>Item</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</si>
  <si>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</si>
  <si>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</si>
  <si>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</si>
  <si>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</si>
  <si>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</si>
  <si>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</si>
  <si>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</si>
  <si>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</si>
  <si>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</si>
  <si>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</si>
  <si>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</si>
  <si>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</si>
  <si>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</si>
  <si>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</si>
  <si>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</si>
  <si>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</si>
  <si>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</si>
  <si>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</si>
  <si>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</si>
  <si>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</si>
  <si>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</si>
  <si>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</si>
  <si>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</si>
  <si>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</si>
  <si>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</si>
  <si>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</si>
  <si>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</si>
  <si>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</si>
  <si>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</si>
  <si>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</si>
  <si>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</si>
  <si>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</si>
  <si>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</si>
  <si>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</si>
  <si>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</si>
  <si>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</si>
  <si>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</si>
  <si>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</si>
  <si>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</si>
  <si>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</si>
  <si>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</si>
  <si>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</si>
  <si>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</si>
  <si>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</si>
  <si>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</si>
  <si>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</si>
  <si>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</si>
  <si>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</si>
  <si>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</si>
  <si>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</si>
  <si>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</si>
  <si>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</si>
  <si>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</si>
  <si>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</si>
  <si>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</si>
  <si>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</si>
  <si>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</si>
  <si>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</si>
  <si>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</si>
  <si>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</si>
  <si>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</si>
  <si>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</si>
  <si>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</si>
  <si>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</si>
  <si>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Baseline steady enrollment</t>
  </si>
  <si>
    <t>Time‑phased ramp over years 1-3</t>
  </si>
  <si>
    <t>Baseline + growth initiatives</t>
  </si>
  <si>
    <t>Enrollment add over 3 years</t>
  </si>
  <si>
    <t>CloseEcho (0 = no; 1 = yes)</t>
  </si>
  <si>
    <t>ClosePima (0 = no; 1 = yes)</t>
  </si>
  <si>
    <t>EchoShareDist (share of enrollment adds)</t>
  </si>
  <si>
    <t>ExtraSave (cost efficiency assumption)</t>
  </si>
  <si>
    <t>Shared‑use efficiencies (no closure)</t>
  </si>
  <si>
    <t>Yellow fields are editable</t>
  </si>
  <si>
    <t xml:space="preserve">Choose base scenario (for comparison):  </t>
  </si>
  <si>
    <r>
      <t>Check capacity gates</t>
    </r>
    <r>
      <rPr>
        <sz val="11"/>
        <color theme="1"/>
        <rFont val="Calibri"/>
        <family val="2"/>
        <scheme val="minor"/>
      </rPr>
      <t xml:space="preserve"> (receiving bands).</t>
    </r>
  </si>
  <si>
    <r>
      <t xml:space="preserve">Look at </t>
    </r>
    <r>
      <rPr>
        <b/>
        <sz val="10"/>
        <color theme="1"/>
        <rFont val="Arial Unicode MS"/>
      </rPr>
      <t>Summary_Figures</t>
    </r>
    <r>
      <rPr>
        <sz val="11"/>
        <color theme="1"/>
        <rFont val="Calibri"/>
        <family val="2"/>
        <scheme val="minor"/>
      </rPr>
      <t xml:space="preserve"> to scan all scenarios with the same signals.</t>
    </r>
  </si>
  <si>
    <r>
      <t xml:space="preserve">Open </t>
    </r>
    <r>
      <rPr>
        <b/>
        <sz val="10"/>
        <color theme="1"/>
        <rFont val="Arial Unicode MS"/>
      </rPr>
      <t>Budget_Neutral_Calculator</t>
    </r>
    <r>
      <rPr>
        <sz val="11"/>
        <color theme="1"/>
        <rFont val="Calibri"/>
        <family val="2"/>
        <scheme val="minor"/>
      </rPr>
      <t xml:space="preserve"> if you’re considering a non‑repurpose plan: it shows </t>
    </r>
    <r>
      <rPr>
        <b/>
        <sz val="11"/>
        <color theme="1"/>
        <rFont val="Calibri"/>
        <family val="2"/>
        <scheme val="minor"/>
      </rPr>
      <t>N⁰</t>
    </r>
    <r>
      <rPr>
        <sz val="11"/>
        <color theme="1"/>
        <rFont val="Calibri"/>
        <family val="2"/>
        <scheme val="minor"/>
      </rPr>
      <t xml:space="preserve">—how many students are needed to be </t>
    </r>
    <r>
      <rPr>
        <b/>
        <sz val="11"/>
        <color theme="1"/>
        <rFont val="Calibri"/>
        <family val="2"/>
        <scheme val="minor"/>
      </rPr>
      <t>Net ≥ 0</t>
    </r>
    <r>
      <rPr>
        <sz val="11"/>
        <color theme="1"/>
        <rFont val="Calibri"/>
        <family val="2"/>
        <scheme val="minor"/>
      </rPr>
      <t>.</t>
    </r>
  </si>
  <si>
    <r>
      <t xml:space="preserve">Use </t>
    </r>
    <r>
      <rPr>
        <sz val="10"/>
        <color theme="1"/>
        <rFont val="Arial Unicode MS"/>
      </rPr>
      <t>Inputs_Definitions_Sources</t>
    </r>
    <r>
      <rPr>
        <sz val="11"/>
        <color theme="1"/>
        <rFont val="Calibri"/>
        <family val="2"/>
        <scheme val="minor"/>
      </rPr>
      <t xml:space="preserve"> for terms, references, and what’s still </t>
    </r>
    <r>
      <rPr>
        <b/>
        <sz val="11"/>
        <color theme="1"/>
        <rFont val="Calibri"/>
        <family val="2"/>
        <scheme val="minor"/>
      </rPr>
      <t>awaiting audited paste</t>
    </r>
    <r>
      <rPr>
        <sz val="11"/>
        <color theme="1"/>
        <rFont val="Calibri"/>
        <family val="2"/>
        <scheme val="minor"/>
      </rPr>
      <t>.</t>
    </r>
  </si>
  <si>
    <r>
      <t xml:space="preserve">Start on </t>
    </r>
    <r>
      <rPr>
        <b/>
        <sz val="10"/>
        <color theme="1"/>
        <rFont val="Arial Unicode MS"/>
      </rPr>
      <t>Scenario_Comparison</t>
    </r>
    <r>
      <rPr>
        <sz val="11"/>
        <color theme="1"/>
        <rFont val="Calibri"/>
        <family val="2"/>
        <scheme val="minor"/>
      </rPr>
      <t xml:space="preserve">: choose </t>
    </r>
    <r>
      <rPr>
        <b/>
        <sz val="11"/>
        <color theme="1"/>
        <rFont val="Calibri"/>
        <family val="2"/>
        <scheme val="minor"/>
      </rPr>
      <t>two scenarios to compare</t>
    </r>
    <r>
      <rPr>
        <sz val="11"/>
        <color theme="1"/>
        <rFont val="Calibri"/>
        <family val="2"/>
        <scheme val="minor"/>
      </rPr>
      <t>; review the operational, capital, and student-related results.</t>
    </r>
  </si>
  <si>
    <r>
      <t>Test assumptions</t>
    </r>
    <r>
      <rPr>
        <sz val="11"/>
        <color theme="1"/>
        <rFont val="Calibri"/>
        <family val="2"/>
        <scheme val="minor"/>
      </rPr>
      <t xml:space="preserve"> (override switch, retention r, trend flags) only if you would like to check sensitivity.</t>
    </r>
  </si>
  <si>
    <t>Check What_Is_$900K_Savings if you are curious xxxxxx</t>
  </si>
  <si>
    <t>How to use the workbook</t>
  </si>
  <si>
    <t>Other items / additional descriptions</t>
  </si>
  <si>
    <t>Detail</t>
  </si>
  <si>
    <t>Repurpose-related pathway parameters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</si>
  <si>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</si>
  <si>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“Fixed‑like” share of M&amp;O (used conservative placeholder)</t>
  </si>
  <si>
    <t>To be anchored to SFB (AZ School Facilities Board) capacity files and SUSD construction docs.  SUSD/SFB: design capacity and current utilization for Echo &amp; Pima (post‑rebuild specs for Pima).</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</si>
  <si>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</si>
  <si>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</si>
  <si>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</si>
  <si>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</si>
  <si>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</si>
  <si>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</si>
  <si>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</si>
  <si>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If SUSD intends district‑operated tuition Pre‑K on site, can request pro forma for net contribution (tuition – staffing – TI).</t>
  </si>
  <si>
    <t>Share of displaced Echo+Pima students who remain in SUSD (the rest leave choose other options)</t>
  </si>
  <si>
    <t>Can tighten with SUSD’s teacher‑section &amp; aide staffing rules, average class sizes, and any marginal staffing adders at K–8 (arts, specialists).</t>
  </si>
  <si>
    <t>Marginal‑cost factor for overlay seats</t>
  </si>
  <si>
    <t>Using this term in the spreadsheet to mean addition of new students (growth)</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</si>
  <si>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</si>
  <si>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</si>
  <si>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If we get class‑size/FTE trigger rules, we can upgrade this to step‑functions (sections) by grade.</t>
  </si>
  <si>
    <t>Scenario A2 (Repurpose Lease)</t>
  </si>
  <si>
    <t>Scenario D1 (Grow Both)</t>
  </si>
  <si>
    <t>Scenario E1 (Decline)</t>
  </si>
  <si>
    <t>Source / Confidence Level</t>
  </si>
  <si>
    <t>N/A</t>
  </si>
  <si>
    <t>**</t>
  </si>
  <si>
    <t>-43 students</t>
  </si>
  <si>
    <t>FY26 Capital Cost</t>
  </si>
  <si>
    <t>Execution Feasibility</t>
  </si>
  <si>
    <t>Change in ADM over 5 years</t>
  </si>
  <si>
    <t>Average net operating $ / year FY26-FY30</t>
  </si>
  <si>
    <t>change in number of students to yield budget-neutral</t>
  </si>
  <si>
    <t>average retention rate required to yield budget-neutral</t>
  </si>
  <si>
    <t>Scenario E2 (Repurpose Echo lease; Grow Pima)</t>
  </si>
  <si>
    <t>Scenario D2
(Repurpose Pima; Grow Echo)</t>
  </si>
  <si>
    <t>MEDIUM RISK</t>
  </si>
  <si>
    <t>10% less than assumed</t>
  </si>
  <si>
    <t>20% less than assumed</t>
  </si>
  <si>
    <t>10% more than assumed</t>
  </si>
  <si>
    <t>20% more than assumed</t>
  </si>
  <si>
    <t>slightly more conservative (xx)</t>
  </si>
  <si>
    <t>moderately more conservative (yy)</t>
  </si>
  <si>
    <t>Average net operating $ / year FY26-FY30 if site fixed savings are…</t>
  </si>
  <si>
    <t>Average net operating $ / year FY26-FY30 if f_lease savings glidepath is…</t>
  </si>
  <si>
    <t>slightly less conservative (zz)</t>
  </si>
  <si>
    <t>moderately less conservative (aa)</t>
  </si>
  <si>
    <r>
      <t>HIGH RISK</t>
    </r>
    <r>
      <rPr>
        <sz val="10"/>
        <color rgb="FF1B1C1D"/>
        <rFont val="Arial"/>
        <family val="2"/>
      </rPr>
      <t> (Logistics / Community)</t>
    </r>
  </si>
  <si>
    <r>
      <t>HIGH RISK</t>
    </r>
    <r>
      <rPr>
        <sz val="10"/>
        <color rgb="FF1B1C1D"/>
        <rFont val="Arial"/>
        <family val="2"/>
      </rPr>
      <t> (Marketing / Enrollment)</t>
    </r>
  </si>
  <si>
    <r>
      <t>LOW RISK</t>
    </r>
    <r>
      <rPr>
        <sz val="10"/>
        <color rgb="FF1B1C1D"/>
        <rFont val="Arial"/>
        <family val="2"/>
      </rPr>
      <t> (Passive)</t>
    </r>
  </si>
  <si>
    <t>*</t>
  </si>
  <si>
    <t>***</t>
  </si>
  <si>
    <t>Note</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</si>
  <si>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</si>
  <si>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Figures below are not from audited district sources (unable to find); They are estimated* based on SUSD’s FY26 budget function totals and campus square footage, and they are similar to the board‑discussed savings band (~$1.0M/site).</t>
  </si>
  <si>
    <t>SUM(C5:C9)</t>
  </si>
  <si>
    <t>SUM(C12:C16)</t>
  </si>
  <si>
    <t>Share treated as semi‑fixed (plant/insurance).  Used only if site_fixed figures and not populated in site_fixed tab</t>
  </si>
  <si>
    <t>how solid is the repurpose savings estimate?</t>
  </si>
  <si>
    <t>retention</t>
  </si>
  <si>
    <t>Assuming marginal cost (as a function of standard variable cost per student) of new students from growth (assuming there is available capacity in Echo and Pima; ideally, this would be a step function)</t>
  </si>
  <si>
    <t>Using estimated figures in site_fixed tab for now</t>
  </si>
  <si>
    <t>Site_fixed tab</t>
  </si>
  <si>
    <r>
      <t xml:space="preserve">Utilities are </t>
    </r>
    <r>
      <rPr>
        <b/>
        <sz val="11"/>
        <color theme="1"/>
        <rFont val="Calibri"/>
        <family val="2"/>
        <scheme val="minor"/>
      </rPr>
      <t>included</t>
    </r>
    <r>
      <rPr>
        <sz val="11"/>
        <color theme="1"/>
        <rFont val="Calibri"/>
        <family val="2"/>
        <scheme val="minor"/>
      </rPr>
      <t xml:space="preserve"> in plant ops sub-cateogry for now, as an educated estimate was made from district budget information that does not de-couple utilities from plant ops.</t>
    </r>
  </si>
  <si>
    <t>To be replaced with audited data when available.</t>
  </si>
  <si>
    <t>Utilities are included in plant ops sub-cateogry for now, as an educated estimate was made from district budget information that does not de-couple utilities from plant ops.</t>
  </si>
  <si>
    <t>what does it take to achieve budget-neutral on the keep-open scenarios?</t>
  </si>
  <si>
    <t>what if the input assumptions were adjusted as follows (CHOOSE):</t>
  </si>
  <si>
    <t>Scenario E1 (Continued Decline)</t>
  </si>
  <si>
    <t>Scenario C2
(Repurpose Pima Lease; Grow Echo)</t>
  </si>
  <si>
    <t>Scenario B2 (Repurpose Echo Lease; Grow Pima)</t>
  </si>
  <si>
    <r>
      <t>r_e</t>
    </r>
    <r>
      <rPr>
        <sz val="10"/>
        <color rgb="FF1B1C1D"/>
        <rFont val="Arial"/>
        <family val="2"/>
      </rPr>
      <t xml:space="preserve"> (Echo retention ratio)</t>
    </r>
  </si>
  <si>
    <t>r_p (Pima retention ratio)</t>
  </si>
  <si>
    <t>Number of students transitioning</t>
  </si>
  <si>
    <t>Echo &amp; Pima open; growth initiative Echo (e.g. arts); no growth initiative Pima; uplift warm handoff effort (intra-SUSD); initiate cross-district marketing</t>
  </si>
  <si>
    <t>Distinctiveness / reputation impact</t>
  </si>
  <si>
    <t>Negative</t>
  </si>
  <si>
    <t>Positive</t>
  </si>
  <si>
    <t>Very negative</t>
  </si>
  <si>
    <t>Very positive</t>
  </si>
  <si>
    <t>District financial 'health' impact</t>
  </si>
  <si>
    <t>Neutral to positive</t>
  </si>
  <si>
    <t>Implied actual fixed cost savings FY30</t>
  </si>
  <si>
    <t>Net operating $ / year FY26</t>
  </si>
  <si>
    <t>Implied total transition cost FY26</t>
  </si>
  <si>
    <r>
      <t>h</t>
    </r>
    <r>
      <rPr>
        <sz val="10"/>
        <color rgb="FF1B1C1D"/>
        <rFont val="Arial"/>
        <family val="2"/>
      </rPr>
      <t xml:space="preserve"> (Transition cost (routing, transportation, etc.) FY26)</t>
    </r>
  </si>
  <si>
    <r>
      <t>h</t>
    </r>
    <r>
      <rPr>
        <sz val="10"/>
        <color rgb="FF1B1C1D"/>
        <rFont val="Arial"/>
        <family val="2"/>
      </rPr>
      <t xml:space="preserve"> (Transition cost (routing, transportation, etc.) FY30)</t>
    </r>
  </si>
  <si>
    <t>Implied total transition cost FY30</t>
  </si>
  <si>
    <r>
      <t>f_lease</t>
    </r>
    <r>
      <rPr>
        <sz val="10"/>
        <color rgb="FF1B1C1D"/>
        <rFont val="Arial"/>
        <family val="2"/>
      </rPr>
      <t xml:space="preserve"> (Proportion of fixed cost carried FY30)</t>
    </r>
  </si>
  <si>
    <t>Net operating $ / year FY30</t>
  </si>
  <si>
    <t>Students served FY26</t>
  </si>
  <si>
    <t>Implied total 'revenue'</t>
  </si>
  <si>
    <t>Baseline ADM Echo</t>
  </si>
  <si>
    <t>Baseline ADM Pima</t>
  </si>
  <si>
    <t>GeneralFund_uplift_per_ADM</t>
  </si>
  <si>
    <t>Scenario A2 (Repurpose Both Lease)</t>
  </si>
  <si>
    <t>FY26 simulated P&amp;L by scenario</t>
  </si>
  <si>
    <t>ADM change FY26</t>
  </si>
  <si>
    <t>Funding/student (base+override;  to be conservative, small adjustment down for new students)</t>
  </si>
  <si>
    <t>Non-new students</t>
  </si>
  <si>
    <t>Districtwide gross Maintenance &amp; Operations cost per non-new ADM</t>
  </si>
  <si>
    <t>Implied fixed cost savings / student</t>
  </si>
  <si>
    <t>Net cost / student</t>
  </si>
  <si>
    <t>Total net cost</t>
  </si>
  <si>
    <t>Total gross M&amp;O + transition cost</t>
  </si>
  <si>
    <t>Net cost</t>
  </si>
  <si>
    <t>Variable cost / non-new ADM after discounting estimated fixed, adjusting for inflation</t>
  </si>
  <si>
    <t>New students</t>
  </si>
  <si>
    <t>Marginal variable cost to add new students (as proportion of full cost)</t>
  </si>
  <si>
    <t>Implied total variable gross cost of non-new students</t>
  </si>
  <si>
    <t>Implied variable gross M&amp;O / new student</t>
  </si>
  <si>
    <t>Implied total variable gross cost of new students</t>
  </si>
  <si>
    <t>Total variable gross M&amp;O</t>
  </si>
  <si>
    <t>Net fixed total</t>
  </si>
  <si>
    <t>Net total cost</t>
  </si>
  <si>
    <t>Base open site fixed total</t>
  </si>
  <si>
    <t>Estimated repurpose site fixed carry ratio</t>
  </si>
  <si>
    <t>REAL Net operating $ / year FY26</t>
  </si>
  <si>
    <t>DASHBOARD CALCULATED Net operating $ / year FY26</t>
  </si>
  <si>
    <t>FY30 simulated P&amp;L by scenario</t>
  </si>
  <si>
    <t>Sensitivity analysis</t>
  </si>
  <si>
    <t>Incremental overhead per new student (estiamted as proportion of repurpose transition cost)</t>
  </si>
  <si>
    <t xml:space="preserve">Implied variable gross M&amp;O + growth overhead / new student </t>
  </si>
  <si>
    <t>difference in real net vs. dashboard net</t>
  </si>
  <si>
    <t>%difference in real net vs. dashboard net</t>
  </si>
  <si>
    <t>Per‑served revenue ($/ADM) &lt;base+override;  to be conservative, small adjustment down for new students&gt;</t>
  </si>
  <si>
    <t>Light discipline if sites remain open.</t>
  </si>
  <si>
    <t>Variable cost / non-new ADM &lt;after discounting estimated fixed, adjusting for inflation&gt;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</si>
</sst>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7">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0"/>
      <color theme="1"/>
      <name val="Arial Unicode MS"/>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s>
  <fills count="14">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
      <patternFill patternType="solid">
        <fgColor rgb="FF92D050"/>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thin">
        <color auto="1"/>
      </left>
      <right style="thin">
        <color auto="1"/>
      </right>
      <top style="thin">
        <color auto="1"/>
      </top>
      <bottom/>
      <diagonal/>
    </border>
  </borders>
  <cellStyleXfs count="5">
    <xf numFmtId="0" fontId="0" fillId="0" borderId="0"/>
    <xf numFmtId="44" fontId="3" fillId="0" borderId="0"/>
    <xf numFmtId="0" fontId="9" fillId="0" borderId="0"/>
    <xf numFmtId="0" fontId="11" fillId="0" borderId="0"/>
    <xf numFmtId="9" fontId="3" fillId="0" borderId="0" applyFont="0" applyFill="0" applyBorder="0" applyAlignment="0" applyProtection="0"/>
  </cellStyleXfs>
  <cellXfs count="144">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5" fillId="4" borderId="0" xfId="0" applyFont="1" applyFill="1" applyAlignment="1">
      <alignment vertical="center" wrapText="1"/>
    </xf>
    <xf numFmtId="0" fontId="0" fillId="3" borderId="0" xfId="0" applyFill="1"/>
    <xf numFmtId="0" fontId="13" fillId="0" borderId="0" xfId="0" applyFont="1"/>
    <xf numFmtId="0" fontId="14" fillId="2" borderId="1" xfId="0" applyFont="1" applyFill="1" applyBorder="1"/>
    <xf numFmtId="0" fontId="14" fillId="0" borderId="0" xfId="0" applyFont="1"/>
    <xf numFmtId="166" fontId="0" fillId="0" borderId="0" xfId="0" applyNumberFormat="1"/>
    <xf numFmtId="0" fontId="3" fillId="0" borderId="0" xfId="0" applyFont="1"/>
    <xf numFmtId="0" fontId="15" fillId="2" borderId="1" xfId="0" applyFont="1" applyFill="1" applyBorder="1"/>
    <xf numFmtId="165" fontId="3" fillId="0" borderId="0" xfId="1" applyNumberFormat="1"/>
    <xf numFmtId="0" fontId="1" fillId="3" borderId="0" xfId="0" applyFont="1" applyFill="1"/>
    <xf numFmtId="0" fontId="17" fillId="0" borderId="0" xfId="0" applyFont="1"/>
    <xf numFmtId="0" fontId="13" fillId="2" borderId="1" xfId="0" applyFont="1" applyFill="1" applyBorder="1"/>
    <xf numFmtId="0" fontId="1" fillId="6" borderId="0" xfId="0" applyFont="1" applyFill="1"/>
    <xf numFmtId="0" fontId="14" fillId="6" borderId="0" xfId="0" applyFont="1" applyFill="1"/>
    <xf numFmtId="0" fontId="13"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6"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8" fillId="0" borderId="5" xfId="0" applyFont="1" applyBorder="1" applyAlignment="1">
      <alignment horizontal="center" vertical="center"/>
    </xf>
    <xf numFmtId="0" fontId="13" fillId="8" borderId="0" xfId="0" applyFont="1" applyFill="1"/>
    <xf numFmtId="0" fontId="13" fillId="9" borderId="0" xfId="0" applyFont="1" applyFill="1"/>
    <xf numFmtId="0" fontId="5" fillId="6" borderId="0" xfId="0" applyFont="1" applyFill="1"/>
    <xf numFmtId="0" fontId="20"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1" fillId="0" borderId="0" xfId="0" applyFont="1"/>
    <xf numFmtId="0" fontId="20" fillId="0" borderId="0" xfId="0" applyFont="1"/>
    <xf numFmtId="0" fontId="0" fillId="6" borderId="0" xfId="0" applyFill="1" applyAlignment="1">
      <alignment horizontal="left"/>
    </xf>
    <xf numFmtId="0" fontId="1" fillId="6" borderId="0" xfId="0" applyFont="1" applyFill="1" applyAlignment="1">
      <alignment horizontal="left"/>
    </xf>
    <xf numFmtId="0" fontId="22" fillId="11" borderId="0" xfId="0" applyFont="1" applyFill="1"/>
    <xf numFmtId="0" fontId="22" fillId="11" borderId="0" xfId="0" applyFont="1" applyFill="1" applyAlignment="1">
      <alignment horizontal="center" vertical="center"/>
    </xf>
    <xf numFmtId="0" fontId="23" fillId="11" borderId="0" xfId="0" applyFont="1" applyFill="1" applyAlignment="1">
      <alignment horizontal="left"/>
    </xf>
    <xf numFmtId="167" fontId="23"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9" fillId="11" borderId="0" xfId="0" applyFont="1" applyFill="1"/>
    <xf numFmtId="0" fontId="0" fillId="11" borderId="0" xfId="0" applyFill="1"/>
    <xf numFmtId="0" fontId="24" fillId="0" borderId="0" xfId="0" applyFont="1"/>
    <xf numFmtId="0" fontId="1" fillId="2" borderId="1" xfId="0" applyFont="1" applyFill="1" applyBorder="1" applyAlignment="1">
      <alignment wrapText="1"/>
    </xf>
    <xf numFmtId="0" fontId="0" fillId="0" borderId="0" xfId="0" applyAlignment="1">
      <alignment wrapText="1"/>
    </xf>
    <xf numFmtId="0" fontId="25" fillId="0" borderId="0" xfId="3" applyFont="1"/>
    <xf numFmtId="0" fontId="26"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8"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30" fillId="6" borderId="0" xfId="0" applyFont="1" applyFill="1"/>
    <xf numFmtId="0" fontId="8" fillId="6" borderId="0" xfId="0" applyFont="1" applyFill="1"/>
    <xf numFmtId="0" fontId="0" fillId="4" borderId="0" xfId="0" applyFill="1" applyAlignment="1">
      <alignment vertical="center" wrapText="1"/>
    </xf>
    <xf numFmtId="0" fontId="9" fillId="4" borderId="0" xfId="2" applyFill="1"/>
    <xf numFmtId="0" fontId="31" fillId="0" borderId="8" xfId="0" applyFont="1" applyBorder="1" applyAlignment="1">
      <alignment vertical="center" wrapText="1" readingOrder="1"/>
    </xf>
    <xf numFmtId="0" fontId="33" fillId="0" borderId="0" xfId="0" applyFont="1" applyAlignment="1">
      <alignment horizontal="center" vertical="center" wrapText="1" readingOrder="1"/>
    </xf>
    <xf numFmtId="0" fontId="32" fillId="0" borderId="9" xfId="0" applyFont="1" applyBorder="1" applyAlignment="1">
      <alignment vertical="center" wrapText="1" readingOrder="1"/>
    </xf>
    <xf numFmtId="0" fontId="34" fillId="0" borderId="0" xfId="0" applyFont="1"/>
    <xf numFmtId="0" fontId="34" fillId="0" borderId="0" xfId="0" applyFont="1" applyAlignment="1">
      <alignment horizontal="center" vertical="center"/>
    </xf>
    <xf numFmtId="0" fontId="31"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64" fontId="0" fillId="4" borderId="0" xfId="0" applyNumberFormat="1" applyFill="1"/>
    <xf numFmtId="1" fontId="34" fillId="0" borderId="0" xfId="0" applyNumberFormat="1" applyFont="1"/>
    <xf numFmtId="1" fontId="34" fillId="0" borderId="0" xfId="0" applyNumberFormat="1" applyFont="1" applyAlignment="1">
      <alignment horizontal="center" vertical="center"/>
    </xf>
    <xf numFmtId="5" fontId="33" fillId="0" borderId="0" xfId="0" applyNumberFormat="1" applyFont="1" applyAlignment="1">
      <alignment horizontal="center" vertical="center" wrapText="1" readingOrder="1"/>
    </xf>
    <xf numFmtId="5" fontId="34" fillId="0" borderId="0" xfId="0" applyNumberFormat="1" applyFont="1"/>
    <xf numFmtId="7" fontId="34" fillId="0" borderId="0" xfId="0" applyNumberFormat="1" applyFont="1"/>
    <xf numFmtId="0" fontId="36" fillId="0" borderId="0" xfId="0" applyFont="1"/>
    <xf numFmtId="0" fontId="33" fillId="0" borderId="1" xfId="0" applyFont="1" applyBorder="1" applyAlignment="1">
      <alignment vertical="center" wrapText="1" readingOrder="1"/>
    </xf>
    <xf numFmtId="0" fontId="35" fillId="0" borderId="1" xfId="0" applyFont="1" applyBorder="1" applyAlignment="1">
      <alignment vertical="center" wrapText="1" readingOrder="1"/>
    </xf>
    <xf numFmtId="0" fontId="34" fillId="0" borderId="1" xfId="0" applyFont="1" applyBorder="1"/>
    <xf numFmtId="0" fontId="34" fillId="3" borderId="1" xfId="0" applyFont="1" applyFill="1" applyBorder="1"/>
    <xf numFmtId="5" fontId="33" fillId="3" borderId="0" xfId="0" applyNumberFormat="1" applyFont="1" applyFill="1" applyAlignment="1">
      <alignment horizontal="center" vertical="center" wrapText="1" readingOrder="1"/>
    </xf>
    <xf numFmtId="0" fontId="34" fillId="3" borderId="0" xfId="0" applyFont="1" applyFill="1"/>
    <xf numFmtId="0" fontId="34" fillId="4" borderId="0" xfId="0" applyFont="1" applyFill="1"/>
    <xf numFmtId="5" fontId="34" fillId="4" borderId="0" xfId="0" applyNumberFormat="1" applyFont="1" applyFill="1"/>
    <xf numFmtId="5" fontId="34" fillId="3" borderId="0" xfId="0" applyNumberFormat="1" applyFont="1" applyFill="1"/>
    <xf numFmtId="5" fontId="34" fillId="7" borderId="0" xfId="0" applyNumberFormat="1" applyFont="1" applyFill="1"/>
    <xf numFmtId="0" fontId="33" fillId="0" borderId="0" xfId="0" applyFont="1" applyAlignment="1">
      <alignment vertical="center" wrapText="1" readingOrder="1"/>
    </xf>
    <xf numFmtId="0" fontId="31" fillId="0" borderId="0" xfId="0" applyFont="1" applyAlignment="1">
      <alignment horizontal="center" vertical="center" wrapText="1"/>
    </xf>
    <xf numFmtId="0" fontId="35" fillId="0" borderId="0" xfId="0" applyFont="1" applyAlignment="1">
      <alignment vertical="center" wrapText="1" readingOrder="1"/>
    </xf>
    <xf numFmtId="0" fontId="31" fillId="0" borderId="0" xfId="0" applyFont="1" applyAlignment="1">
      <alignment vertical="center" wrapText="1" readingOrder="1"/>
    </xf>
    <xf numFmtId="0" fontId="32" fillId="0" borderId="0" xfId="0" applyFont="1" applyAlignment="1">
      <alignment vertical="center" wrapText="1" readingOrder="1"/>
    </xf>
    <xf numFmtId="0" fontId="34" fillId="13" borderId="10" xfId="0" applyFont="1" applyFill="1" applyBorder="1"/>
    <xf numFmtId="5" fontId="33" fillId="13" borderId="0" xfId="0" applyNumberFormat="1" applyFont="1" applyFill="1" applyAlignment="1">
      <alignment horizontal="center" vertical="center" wrapText="1" readingOrder="1"/>
    </xf>
    <xf numFmtId="5" fontId="34" fillId="0" borderId="0" xfId="0" applyNumberFormat="1" applyFont="1" applyAlignment="1">
      <alignment horizontal="center" vertical="center"/>
    </xf>
    <xf numFmtId="5" fontId="34" fillId="4" borderId="0" xfId="0" applyNumberFormat="1" applyFont="1" applyFill="1" applyAlignment="1">
      <alignment horizontal="center" vertical="center"/>
    </xf>
    <xf numFmtId="5" fontId="34" fillId="3" borderId="0" xfId="0" applyNumberFormat="1" applyFont="1" applyFill="1" applyAlignment="1">
      <alignment horizontal="center" vertical="center"/>
    </xf>
    <xf numFmtId="0" fontId="34" fillId="13" borderId="0" xfId="0" applyFont="1" applyFill="1" applyAlignment="1">
      <alignment horizontal="center" vertical="center"/>
    </xf>
    <xf numFmtId="9" fontId="34" fillId="0" borderId="0" xfId="4" applyFont="1" applyFill="1" applyBorder="1" applyAlignment="1">
      <alignment horizontal="center" vertical="center"/>
    </xf>
    <xf numFmtId="0" fontId="0" fillId="0" borderId="0" xfId="0"/>
    <xf numFmtId="0" fontId="34" fillId="0" borderId="0" xfId="0" applyFont="1" applyAlignment="1">
      <alignment horizontal="center" vertical="center" wrapText="1"/>
    </xf>
    <xf numFmtId="0" fontId="5" fillId="11" borderId="0" xfId="0" applyFont="1" applyFill="1" applyAlignment="1">
      <alignment horizontal="left" vertical="center" wrapText="1"/>
    </xf>
    <xf numFmtId="0" fontId="18"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7" fillId="3" borderId="0" xfId="0" applyFont="1" applyFill="1" applyAlignment="1">
      <alignment horizontal="center"/>
    </xf>
    <xf numFmtId="0" fontId="20" fillId="10" borderId="0" xfId="0" applyFont="1" applyFill="1"/>
    <xf numFmtId="0" fontId="5" fillId="0" borderId="0" xfId="0" applyFont="1"/>
    <xf numFmtId="0" fontId="16"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cellXfs>
  <cellStyles count="5">
    <cellStyle name="Currency" xfId="1" builtinId="4"/>
    <cellStyle name="Hyperlink" xfId="2" builtinId="8"/>
    <cellStyle name="Normal" xfId="0" builtinId="0"/>
    <cellStyle name="Percent" xfId="4" builtinId="5"/>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CAC-4D5C-B9D6-56AE99E42A7C}"/>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CAC-4D5C-B9D6-56AE99E42A7C}"/>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8CAC-4D5C-B9D6-56AE99E42A7C}"/>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A7EE-4D04-A355-6BF1EEE7C954}"/>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A7EE-4D04-A355-6BF1EEE7C954}"/>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540000</c:v>
                </c:pt>
                <c:pt idx="1">
                  <c:v>-440000</c:v>
                </c:pt>
              </c:numCache>
            </c:numRef>
          </c:val>
          <c:extLst>
            <c:ext xmlns:c16="http://schemas.microsoft.com/office/drawing/2014/chart" uri="{C3380CC4-5D6E-409C-BE32-E72D297353CC}">
              <c16:uniqueId val="{00000004-A7EE-4D04-A355-6BF1EEE7C95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252007.49311030656</c:v>
                </c:pt>
                <c:pt idx="1">
                  <c:v>349612.68043806497</c:v>
                </c:pt>
                <c:pt idx="2">
                  <c:v>547880.78407011135</c:v>
                </c:pt>
                <c:pt idx="3">
                  <c:v>711002.88495848514</c:v>
                </c:pt>
                <c:pt idx="4">
                  <c:v>815010.4570824476</c:v>
                </c:pt>
              </c:numCache>
            </c:numRef>
          </c:val>
          <c:smooth val="0"/>
          <c:extLst>
            <c:ext xmlns:c16="http://schemas.microsoft.com/office/drawing/2014/chart" uri="{C3380CC4-5D6E-409C-BE32-E72D297353CC}">
              <c16:uniqueId val="{00000000-1EDB-43D1-81AD-E7324ACF82AE}"/>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1EDB-43D1-81AD-E7324ACF82AE}"/>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124173.73805308528</c:v>
                </c:pt>
                <c:pt idx="1">
                  <c:v>631193.6658622073</c:v>
                </c:pt>
                <c:pt idx="2">
                  <c:v>780785.53738906514</c:v>
                </c:pt>
                <c:pt idx="3">
                  <c:v>972542.65002326854</c:v>
                </c:pt>
                <c:pt idx="4">
                  <c:v>124173.73805308528</c:v>
                </c:pt>
                <c:pt idx="5">
                  <c:v>831147.83136157133</c:v>
                </c:pt>
                <c:pt idx="6">
                  <c:v>1446204.1229446549</c:v>
                </c:pt>
                <c:pt idx="7">
                  <c:v>1024895.9896695083</c:v>
                </c:pt>
                <c:pt idx="8">
                  <c:v>860912.8951303158</c:v>
                </c:pt>
                <c:pt idx="9">
                  <c:v>665115.08274023887</c:v>
                </c:pt>
                <c:pt idx="10">
                  <c:v>1201518.9348101299</c:v>
                </c:pt>
                <c:pt idx="11">
                  <c:v>976008.61392506119</c:v>
                </c:pt>
                <c:pt idx="12">
                  <c:v>0</c:v>
                </c:pt>
              </c:numCache>
            </c:numRef>
          </c:val>
          <c:extLst>
            <c:ext xmlns:c16="http://schemas.microsoft.com/office/drawing/2014/chart" uri="{C3380CC4-5D6E-409C-BE32-E72D297353CC}">
              <c16:uniqueId val="{00000000-BC82-423F-AAB1-57F7B895A297}"/>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61187.854186840763</c:v>
                </c:pt>
                <c:pt idx="1">
                  <c:v>544071.01802164747</c:v>
                </c:pt>
                <c:pt idx="2">
                  <c:v>630127.39262777462</c:v>
                </c:pt>
                <c:pt idx="3">
                  <c:v>707500.2430399477</c:v>
                </c:pt>
                <c:pt idx="4">
                  <c:v>61187.854186840763</c:v>
                </c:pt>
                <c:pt idx="5">
                  <c:v>599781.51156443008</c:v>
                </c:pt>
                <c:pt idx="6">
                  <c:v>1079173.8779535308</c:v>
                </c:pt>
                <c:pt idx="7">
                  <c:v>658837.96634732967</c:v>
                </c:pt>
                <c:pt idx="8">
                  <c:v>627767.69388419983</c:v>
                </c:pt>
                <c:pt idx="9">
                  <c:v>430965.37324397586</c:v>
                </c:pt>
                <c:pt idx="10">
                  <c:v>887458.88899520657</c:v>
                </c:pt>
                <c:pt idx="11">
                  <c:v>663925.29802922928</c:v>
                </c:pt>
                <c:pt idx="12">
                  <c:v>0</c:v>
                </c:pt>
              </c:numCache>
            </c:numRef>
          </c:val>
          <c:extLst>
            <c:ext xmlns:c16="http://schemas.microsoft.com/office/drawing/2014/chart" uri="{C3380CC4-5D6E-409C-BE32-E72D297353CC}">
              <c16:uniqueId val="{00000001-BC82-423F-AAB1-57F7B895A297}"/>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-2314479.9999999995</c:v>
                </c:pt>
                <c:pt idx="7">
                  <c:v>-3114479.9999999995</c:v>
                </c:pt>
                <c:pt idx="8">
                  <c:v>-800000</c:v>
                </c:pt>
                <c:pt idx="9">
                  <c:v>-1200000</c:v>
                </c:pt>
                <c:pt idx="10">
                  <c:v>-1600000</c:v>
                </c:pt>
                <c:pt idx="11">
                  <c:v>-2000000</c:v>
                </c:pt>
                <c:pt idx="12">
                  <c:v>0</c:v>
                </c:pt>
              </c:numCache>
            </c:numRef>
          </c:val>
          <c:extLst>
            <c:ext xmlns:c16="http://schemas.microsoft.com/office/drawing/2014/chart" uri="{C3380CC4-5D6E-409C-BE32-E72D297353CC}">
              <c16:uniqueId val="{00000000-C247-45CC-83EC-4140CB3225A4}"/>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-482883.16383480671</c:v>
                </c:pt>
                <c:pt idx="1">
                  <c:v>0</c:v>
                </c:pt>
                <c:pt idx="2">
                  <c:v>86056.374606127109</c:v>
                </c:pt>
                <c:pt idx="3">
                  <c:v>163429.22501830029</c:v>
                </c:pt>
                <c:pt idx="4">
                  <c:v>-482883.16383480671</c:v>
                </c:pt>
                <c:pt idx="5">
                  <c:v>55710.493542782591</c:v>
                </c:pt>
                <c:pt idx="6">
                  <c:v>535102.85993188317</c:v>
                </c:pt>
                <c:pt idx="7">
                  <c:v>114766.94832568224</c:v>
                </c:pt>
                <c:pt idx="8">
                  <c:v>83696.675862552409</c:v>
                </c:pt>
                <c:pt idx="9">
                  <c:v>-113105.64477767162</c:v>
                </c:pt>
                <c:pt idx="10">
                  <c:v>343387.8709735591</c:v>
                </c:pt>
                <c:pt idx="11">
                  <c:v>119854.28000758178</c:v>
                </c:pt>
                <c:pt idx="12">
                  <c:v>-544071.01802164747</c:v>
                </c:pt>
              </c:numCache>
            </c:numRef>
          </c:val>
          <c:extLst>
            <c:ext xmlns:c16="http://schemas.microsoft.com/office/drawing/2014/chart" uri="{C3380CC4-5D6E-409C-BE32-E72D297353CC}">
              <c16:uniqueId val="{00000001-C247-45CC-83EC-4140CB3225A4}"/>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127000</xdr:colOff>
      <xdr:row>29</xdr:row>
      <xdr:rowOff>172357</xdr:rowOff>
    </xdr:to>
    <xdr:sp macro="" textlink="">
      <xdr:nvSpPr>
        <xdr:cNvPr id="2" name="Rectangle 1">
          <a:extLst>
            <a:ext uri="{FF2B5EF4-FFF2-40B4-BE49-F238E27FC236}">
              <a16:creationId xmlns:a16="http://schemas.microsoft.com/office/drawing/2014/main" id="{F6AE3E6B-13D7-4330-BD9A-DF6B7215C517}"/>
            </a:ext>
          </a:extLst>
        </xdr:cNvPr>
        <xdr:cNvSpPr/>
      </xdr:nvSpPr>
      <xdr:spPr>
        <a:xfrm>
          <a:off x="607786" y="181429"/>
          <a:ext cx="11067143" cy="16600714"/>
        </a:xfrm>
        <a:prstGeom prst="rect">
          <a:avLst/>
        </a:prstGeom>
        <a:solidFill>
          <a:schemeClr val="bg1">
            <a:lumMod val="9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u="sng">
              <a:solidFill>
                <a:sysClr val="windowText" lastClr="000000"/>
              </a:solidFill>
            </a:rPr>
            <a:t>Headline</a:t>
          </a:r>
          <a:endParaRPr lang="en-US" sz="1100" b="0" i="0" u="none">
            <a:solidFill>
              <a:sysClr val="windowText" lastClr="000000"/>
            </a:solidFill>
          </a:endParaRPr>
        </a:p>
        <a:p>
          <a:r>
            <a:rPr lang="en-US" sz="1100" b="1" i="0" u="none">
              <a:solidFill>
                <a:sysClr val="windowText" lastClr="000000"/>
              </a:solidFill>
            </a:rPr>
            <a:t>Does the question have </a:t>
          </a:r>
          <a:r>
            <a:rPr lang="en-US" sz="1100" b="1" i="0" u="none" baseline="0">
              <a:solidFill>
                <a:sysClr val="windowText" lastClr="000000"/>
              </a:solidFill>
            </a:rPr>
            <a:t>to be</a:t>
          </a:r>
          <a:r>
            <a:rPr lang="en-US" sz="1100" b="1" i="0" u="none">
              <a:solidFill>
                <a:sysClr val="windowText" lastClr="000000"/>
              </a:solidFill>
            </a:rPr>
            <a:t> ‘close or not’ at this point?</a:t>
          </a:r>
          <a:r>
            <a:rPr lang="en-US" sz="1100" b="1" i="0" u="none" baseline="0">
              <a:solidFill>
                <a:sysClr val="windowText" lastClr="000000"/>
              </a:solidFill>
            </a:rPr>
            <a:t> Can it instead be </a:t>
          </a:r>
          <a:r>
            <a:rPr lang="en-US" sz="1100" b="1" i="0" u="none">
              <a:solidFill>
                <a:sysClr val="windowText" lastClr="000000"/>
              </a:solidFill>
            </a:rPr>
            <a:t>how to balance fiscal discipline, program stability, and community impact—with capacity &amp; quality gates?  Large, fast closure waves without consensus or receiving‑school quality can yield negative outcomes; iterative public hearings and clear plan gates can help execution succeed</a:t>
          </a:r>
          <a:r>
            <a:rPr lang="en-US" sz="1100" b="1" i="0" u="none" baseline="0">
              <a:solidFill>
                <a:sysClr val="windowText" lastClr="000000"/>
              </a:solidFill>
            </a:rPr>
            <a:t> and last</a:t>
          </a:r>
          <a:r>
            <a:rPr lang="en-US" sz="1100" b="1" i="0" u="none">
              <a:solidFill>
                <a:sysClr val="windowText" lastClr="000000"/>
              </a:solidFill>
            </a:rPr>
            <a:t>. If gates (ADM by band, retention, capacity/quality) are met, perhaps we</a:t>
          </a:r>
          <a:r>
            <a:rPr lang="en-US" sz="1100" b="1" i="0" u="none" baseline="0">
              <a:solidFill>
                <a:sysClr val="windowText" lastClr="000000"/>
              </a:solidFill>
            </a:rPr>
            <a:t> can </a:t>
          </a:r>
          <a:r>
            <a:rPr lang="en-US" sz="1100" b="1" i="0" u="none">
              <a:solidFill>
                <a:sysClr val="windowText" lastClr="000000"/>
              </a:solidFill>
            </a:rPr>
            <a:t>stay the course and invest. If gates miss, we can shift to repurpose with transparency and community buy-in.</a:t>
          </a:r>
        </a:p>
        <a:p>
          <a:endParaRPr lang="en-US" sz="1100" b="1" i="0" u="sng">
            <a:solidFill>
              <a:sysClr val="windowText" lastClr="000000"/>
            </a:solidFill>
          </a:endParaRPr>
        </a:p>
        <a:p>
          <a:r>
            <a:rPr lang="en-US" sz="1100" b="1" i="0" u="sng">
              <a:solidFill>
                <a:sysClr val="windowText" lastClr="000000"/>
              </a:solidFill>
            </a:rPr>
            <a:t>Context</a:t>
          </a:r>
        </a:p>
        <a:p>
          <a:r>
            <a:rPr lang="en-US" sz="1100" i="0">
              <a:solidFill>
                <a:sysClr val="windowText" lastClr="000000"/>
              </a:solidFill>
            </a:rPr>
            <a:t>Though Scottsdale's population has grown slightly over the past 5+ years, overall school capacity has increased at a faster rate (charters;</a:t>
          </a:r>
          <a:r>
            <a:rPr lang="en-US" sz="1100" i="0" baseline="0">
              <a:solidFill>
                <a:sysClr val="windowText" lastClr="000000"/>
              </a:solidFill>
            </a:rPr>
            <a:t> privates; at-home), and </a:t>
          </a:r>
          <a:r>
            <a:rPr lang="en-US" sz="1100" i="0">
              <a:solidFill>
                <a:sysClr val="windowText" lastClr="000000"/>
              </a:solidFill>
            </a:rPr>
            <a:t>SUSD enrollment has declined.  The decline has been inconsistent across</a:t>
          </a:r>
          <a:r>
            <a:rPr lang="en-US" sz="1100" i="0" baseline="0">
              <a:solidFill>
                <a:sysClr val="windowText" lastClr="000000"/>
              </a:solidFill>
            </a:rPr>
            <a:t> schools in the district, but </a:t>
          </a:r>
          <a:r>
            <a:rPr lang="en-US" sz="1100" i="0">
              <a:solidFill>
                <a:sysClr val="windowText" lastClr="000000"/>
              </a:solidFill>
            </a:rPr>
            <a:t>the</a:t>
          </a:r>
          <a:r>
            <a:rPr lang="en-US" sz="1100" i="0" baseline="0">
              <a:solidFill>
                <a:sysClr val="windowText" lastClr="000000"/>
              </a:solidFill>
            </a:rPr>
            <a:t> result is a notable overall deficit.</a:t>
          </a:r>
          <a:r>
            <a:rPr lang="en-US" sz="1100" i="0">
              <a:solidFill>
                <a:sysClr val="windowText" lastClr="000000"/>
              </a:solidFill>
            </a:rPr>
            <a:t>  The</a:t>
          </a:r>
          <a:r>
            <a:rPr lang="en-US" sz="1100" i="0" baseline="0">
              <a:solidFill>
                <a:sysClr val="windowText" lastClr="000000"/>
              </a:solidFill>
            </a:rPr>
            <a:t> </a:t>
          </a:r>
          <a:r>
            <a:rPr lang="en-US" sz="1100" i="0">
              <a:solidFill>
                <a:sysClr val="windowText" lastClr="000000"/>
              </a:solidFill>
            </a:rPr>
            <a:t>current budget direction is</a:t>
          </a:r>
          <a:r>
            <a:rPr lang="en-US" sz="1100" i="0" baseline="0">
              <a:solidFill>
                <a:sysClr val="windowText" lastClr="000000"/>
              </a:solidFill>
            </a:rPr>
            <a:t> deemed to be unsustainable.  </a:t>
          </a:r>
          <a:endParaRPr lang="en-US" sz="1100" i="0">
            <a:solidFill>
              <a:sysClr val="windowText" lastClr="000000"/>
            </a:solidFill>
          </a:endParaRPr>
        </a:p>
        <a:p>
          <a:endParaRPr lang="en-US" sz="1100" b="1" i="0">
            <a:solidFill>
              <a:sysClr val="windowText" lastClr="000000"/>
            </a:solidFill>
          </a:endParaRPr>
        </a:p>
        <a:p>
          <a:r>
            <a:rPr lang="en-US" sz="1100" b="0" i="0">
              <a:solidFill>
                <a:sysClr val="windowText" lastClr="000000"/>
              </a:solidFill>
            </a:rPr>
            <a:t>SUSD is considering repurposing</a:t>
          </a:r>
          <a:r>
            <a:rPr lang="en-US" sz="1100" b="0" i="0" baseline="0">
              <a:solidFill>
                <a:sysClr val="windowText" lastClr="000000"/>
              </a:solidFill>
            </a:rPr>
            <a:t> / closing Echo Canyon and / or Pima Elementary as a way to 'right-size' and begin to partly address the budget deficit.</a:t>
          </a:r>
          <a:endParaRPr lang="en-US" sz="1100" b="0" i="0">
            <a:solidFill>
              <a:sysClr val="windowText" lastClr="000000"/>
            </a:solidFill>
          </a:endParaRPr>
        </a:p>
        <a:p>
          <a:endParaRPr lang="en-US" sz="1100" b="1" i="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ysClr val="windowText" lastClr="000000"/>
              </a:solidFill>
              <a:effectLst/>
              <a:latin typeface="+mn-lt"/>
              <a:ea typeface="+mn-ea"/>
              <a:cs typeface="+mn-cs"/>
            </a:rPr>
            <a:t>The Board’s decision may not need to be a binary “close vs not”, however. An alternative</a:t>
          </a:r>
          <a:r>
            <a:rPr lang="en-US" sz="1100" i="0" baseline="0">
              <a:solidFill>
                <a:sysClr val="windowText" lastClr="000000"/>
              </a:solidFill>
              <a:effectLst/>
              <a:latin typeface="+mn-lt"/>
              <a:ea typeface="+mn-ea"/>
              <a:cs typeface="+mn-cs"/>
            </a:rPr>
            <a:t> framing would be</a:t>
          </a:r>
          <a:r>
            <a:rPr lang="en-US" sz="1100" i="0">
              <a:solidFill>
                <a:sysClr val="windowText" lastClr="000000"/>
              </a:solidFill>
              <a:effectLst/>
              <a:latin typeface="+mn-lt"/>
              <a:ea typeface="+mn-ea"/>
              <a:cs typeface="+mn-cs"/>
            </a:rPr>
            <a:t> to think of</a:t>
          </a:r>
          <a:r>
            <a:rPr lang="en-US" sz="1100" i="0" baseline="0">
              <a:solidFill>
                <a:sysClr val="windowText" lastClr="000000"/>
              </a:solidFill>
              <a:effectLst/>
              <a:latin typeface="+mn-lt"/>
              <a:ea typeface="+mn-ea"/>
              <a:cs typeface="+mn-cs"/>
            </a:rPr>
            <a:t> it in terms of </a:t>
          </a:r>
          <a:r>
            <a:rPr lang="en-US" sz="1100" i="0">
              <a:solidFill>
                <a:sysClr val="windowText" lastClr="000000"/>
              </a:solidFill>
              <a:effectLst/>
              <a:latin typeface="+mn-lt"/>
              <a:ea typeface="+mn-ea"/>
              <a:cs typeface="+mn-cs"/>
            </a:rPr>
            <a:t>how to balance fiscal discipline, program stability, and community impact under capacity and quality gates.</a:t>
          </a:r>
          <a:endParaRPr lang="en-US" sz="1100" i="0">
            <a:solidFill>
              <a:sysClr val="windowText" lastClr="000000"/>
            </a:solidFill>
            <a:effectLst/>
          </a:endParaRPr>
        </a:p>
        <a:p>
          <a:endParaRPr lang="en-US" sz="1100" b="1">
            <a:solidFill>
              <a:sysClr val="windowText" lastClr="000000"/>
            </a:solidFill>
          </a:endParaRPr>
        </a:p>
        <a:p>
          <a:r>
            <a:rPr lang="en-US" sz="1100" b="1">
              <a:solidFill>
                <a:sysClr val="windowText" lastClr="000000"/>
              </a:solidFill>
            </a:rPr>
            <a:t>This model helps to evaluate potential approaches (or levers), it illuminates key assumptions underpinning each approach (including repurpose),</a:t>
          </a:r>
          <a:r>
            <a:rPr lang="en-US" sz="1100" b="1" baseline="0">
              <a:solidFill>
                <a:sysClr val="windowText" lastClr="000000"/>
              </a:solidFill>
            </a:rPr>
            <a:t> and it enables relevant questions to be asked about those assumptions.  For example:</a:t>
          </a:r>
        </a:p>
        <a:p>
          <a:endParaRPr lang="en-US" sz="1100">
            <a:solidFill>
              <a:sysClr val="windowText" lastClr="000000"/>
            </a:solidFill>
          </a:endParaRPr>
        </a:p>
        <a:p>
          <a:r>
            <a:rPr lang="en-US" sz="1100" b="1">
              <a:solidFill>
                <a:sysClr val="windowText" lastClr="000000"/>
              </a:solidFill>
            </a:rPr>
            <a:t>(1) Repurpose </a:t>
          </a:r>
          <a:r>
            <a:rPr lang="en-US" sz="1100" b="0">
              <a:solidFill>
                <a:sysClr val="windowText" lastClr="000000"/>
              </a:solidFill>
            </a:rPr>
            <a:t>&lt;Scenarios A1; A2; B1; B2; C1; C2&gt;</a:t>
          </a:r>
          <a:r>
            <a:rPr lang="en-US" sz="1100">
              <a:solidFill>
                <a:sysClr val="windowText" lastClr="000000"/>
              </a:solidFill>
            </a:rPr>
            <a:t> — </a:t>
          </a:r>
        </a:p>
        <a:p>
          <a:r>
            <a:rPr lang="en-US" sz="1100">
              <a:solidFill>
                <a:sysClr val="windowText" lastClr="000000"/>
              </a:solidFill>
            </a:rPr>
            <a:t>Do we have a plan that can credibly realize </a:t>
          </a:r>
          <a:r>
            <a:rPr lang="en-US" sz="1100" b="1">
              <a:solidFill>
                <a:sysClr val="windowText" lastClr="000000"/>
              </a:solidFill>
            </a:rPr>
            <a:t>fixed M&amp;O savings</a:t>
          </a:r>
          <a:r>
            <a:rPr lang="en-US" sz="1100">
              <a:solidFill>
                <a:sysClr val="windowText" lastClr="000000"/>
              </a:solidFill>
            </a:rPr>
            <a:t> with a realistic ramp-down?</a:t>
          </a:r>
        </a:p>
        <a:p>
          <a:r>
            <a:rPr lang="en-US" sz="1100">
              <a:solidFill>
                <a:sysClr val="windowText" lastClr="000000"/>
              </a:solidFill>
            </a:rPr>
            <a:t>Which specific schools have the capacity to receive students, and what are the true costs associated with that transition?  </a:t>
          </a:r>
        </a:p>
        <a:p>
          <a:r>
            <a:rPr lang="en-US" sz="1100">
              <a:solidFill>
                <a:sysClr val="windowText" lastClr="000000"/>
              </a:solidFill>
            </a:rPr>
            <a:t>Are our assumptions about retention reasonable</a:t>
          </a:r>
          <a:r>
            <a:rPr lang="en-US" sz="1100" baseline="0">
              <a:solidFill>
                <a:sysClr val="windowText" lastClr="000000"/>
              </a:solidFill>
            </a:rPr>
            <a:t> given that Echo Canyon is a choice school with 50% or more of its families residing outside the district?</a:t>
          </a:r>
        </a:p>
        <a:p>
          <a:r>
            <a:rPr lang="en-US" sz="1100" baseline="0">
              <a:solidFill>
                <a:sysClr val="windowText" lastClr="000000"/>
              </a:solidFill>
            </a:rPr>
            <a:t>Does repurpose / close address the root (or the only root) cause of the budget deficit and trend?  If not, is it possible this will continue happening?  </a:t>
          </a:r>
        </a:p>
        <a:p>
          <a:r>
            <a:rPr lang="en-US" sz="1100" baseline="0">
              <a:solidFill>
                <a:sysClr val="windowText" lastClr="000000"/>
              </a:solidFill>
            </a:rPr>
            <a:t>If our assumptions on these variables turn out to be too ambitious, by how much do our estimated savings decrease?</a:t>
          </a:r>
        </a:p>
        <a:p>
          <a:endParaRPr lang="en-US" sz="1100">
            <a:solidFill>
              <a:sysClr val="windowText" lastClr="000000"/>
            </a:solidFill>
          </a:endParaRPr>
        </a:p>
        <a:p>
          <a:r>
            <a:rPr lang="en-US" sz="1100">
              <a:solidFill>
                <a:sysClr val="windowText" lastClr="000000"/>
              </a:solidFill>
            </a:rPr>
            <a:t>(2) </a:t>
          </a:r>
          <a:r>
            <a:rPr lang="en-US" sz="1100" b="1">
              <a:solidFill>
                <a:sysClr val="windowText" lastClr="000000"/>
              </a:solidFill>
            </a:rPr>
            <a:t>Warm hand‑offs</a:t>
          </a:r>
          <a:r>
            <a:rPr lang="en-US" sz="1100">
              <a:solidFill>
                <a:sysClr val="windowText" lastClr="000000"/>
              </a:solidFill>
            </a:rPr>
            <a:t> &lt;Scenarios D3;</a:t>
          </a:r>
          <a:r>
            <a:rPr lang="en-US" sz="1100" baseline="0">
              <a:solidFill>
                <a:sysClr val="windowText" lastClr="000000"/>
              </a:solidFill>
            </a:rPr>
            <a:t> D4&gt;</a:t>
          </a:r>
          <a:r>
            <a:rPr lang="en-US" sz="1100">
              <a:solidFill>
                <a:sysClr val="windowText" lastClr="000000"/>
              </a:solidFill>
            </a:rPr>
            <a:t>— </a:t>
          </a:r>
        </a:p>
        <a:p>
          <a:r>
            <a:rPr lang="en-US" sz="1100">
              <a:solidFill>
                <a:sysClr val="windowText" lastClr="000000"/>
              </a:solidFill>
            </a:rPr>
            <a:t>Can we do a better job of </a:t>
          </a:r>
          <a:r>
            <a:rPr lang="en-US" sz="1100" b="1">
              <a:solidFill>
                <a:sysClr val="windowText" lastClr="000000"/>
              </a:solidFill>
            </a:rPr>
            <a:t>reducing attrition</a:t>
          </a:r>
          <a:r>
            <a:rPr lang="en-US" sz="1100">
              <a:solidFill>
                <a:sysClr val="windowText" lastClr="000000"/>
              </a:solidFill>
            </a:rPr>
            <a:t> by guiding families from over‑prescribed to under‑capacity sites?  Can we estimate how much that can contribute to</a:t>
          </a:r>
          <a:r>
            <a:rPr lang="en-US" sz="1100" baseline="0">
              <a:solidFill>
                <a:sysClr val="windowText" lastClr="000000"/>
              </a:solidFill>
            </a:rPr>
            <a:t> schools that are at risk, and is that number meaningful enough to make a difference?</a:t>
          </a:r>
          <a:r>
            <a:rPr lang="en-US" sz="1100">
              <a:solidFill>
                <a:sysClr val="windowText" lastClr="000000"/>
              </a:solidFill>
            </a:rPr>
            <a:t>   </a:t>
          </a:r>
        </a:p>
        <a:p>
          <a:endParaRPr lang="en-US" sz="1100">
            <a:solidFill>
              <a:sysClr val="windowText" lastClr="000000"/>
            </a:solidFill>
          </a:endParaRPr>
        </a:p>
        <a:p>
          <a:r>
            <a:rPr lang="en-US" sz="1100" b="1">
              <a:solidFill>
                <a:sysClr val="windowText" lastClr="000000"/>
              </a:solidFill>
            </a:rPr>
            <a:t>(3) Growth</a:t>
          </a:r>
          <a:r>
            <a:rPr lang="en-US" sz="1100">
              <a:solidFill>
                <a:sysClr val="windowText" lastClr="000000"/>
              </a:solidFill>
            </a:rPr>
            <a:t> &lt;Scenarios D1;</a:t>
          </a:r>
          <a:r>
            <a:rPr lang="en-US" sz="1100" baseline="0">
              <a:solidFill>
                <a:sysClr val="windowText" lastClr="000000"/>
              </a:solidFill>
            </a:rPr>
            <a:t> D2&gt;</a:t>
          </a:r>
          <a:r>
            <a:rPr lang="en-US" sz="1100">
              <a:solidFill>
                <a:sysClr val="windowText" lastClr="000000"/>
              </a:solidFill>
            </a:rPr>
            <a:t>— </a:t>
          </a:r>
        </a:p>
        <a:p>
          <a:r>
            <a:rPr lang="en-US" sz="1100" b="1">
              <a:solidFill>
                <a:sysClr val="windowText" lastClr="000000"/>
              </a:solidFill>
            </a:rPr>
            <a:t>Is it realistic</a:t>
          </a:r>
          <a:r>
            <a:rPr lang="en-US" sz="1100">
              <a:solidFill>
                <a:sysClr val="windowText" lastClr="000000"/>
              </a:solidFill>
            </a:rPr>
            <a:t> to imagine earning positive budget contribution where capacity exists (i.e. marginal cost to add a new student is lower) with growth from a </a:t>
          </a:r>
          <a:r>
            <a:rPr lang="en-US" sz="1100" b="1">
              <a:solidFill>
                <a:sysClr val="windowText" lastClr="000000"/>
              </a:solidFill>
            </a:rPr>
            <a:t>credible program</a:t>
          </a:r>
          <a:r>
            <a:rPr lang="en-US" sz="1100">
              <a:solidFill>
                <a:sysClr val="windowText" lastClr="000000"/>
              </a:solidFill>
            </a:rPr>
            <a:t> (innovation/arts hub)? </a:t>
          </a:r>
        </a:p>
        <a:p>
          <a:r>
            <a:rPr lang="en-US" sz="1100">
              <a:solidFill>
                <a:sysClr val="windowText" lastClr="000000"/>
              </a:solidFill>
            </a:rPr>
            <a:t>Could the innovation (and arts)-focused</a:t>
          </a:r>
          <a:r>
            <a:rPr lang="en-US" sz="1100" baseline="0">
              <a:solidFill>
                <a:sysClr val="windowText" lastClr="000000"/>
              </a:solidFill>
            </a:rPr>
            <a:t> capability</a:t>
          </a:r>
          <a:r>
            <a:rPr lang="en-US" sz="1100">
              <a:solidFill>
                <a:sysClr val="windowText" lastClr="000000"/>
              </a:solidFill>
            </a:rPr>
            <a:t> also give us an</a:t>
          </a:r>
          <a:r>
            <a:rPr lang="en-US" sz="1100" baseline="0">
              <a:solidFill>
                <a:sysClr val="windowText" lastClr="000000"/>
              </a:solidFill>
            </a:rPr>
            <a:t> image uplift, make us more nimble as technology and demographic shifts drive pedagogic and Scottsdale-specific change, and generally future-proof the district for that uncertain future? </a:t>
          </a:r>
          <a:r>
            <a:rPr lang="en-US" sz="1100">
              <a:solidFill>
                <a:sysClr val="windowText" lastClr="000000"/>
              </a:solidFill>
            </a:rPr>
            <a:t> </a:t>
          </a:r>
        </a:p>
        <a:p>
          <a:r>
            <a:rPr lang="en-US" sz="1100" b="1">
              <a:solidFill>
                <a:sysClr val="windowText" lastClr="000000"/>
              </a:solidFill>
            </a:rPr>
            <a:t>Is it practical to consider</a:t>
          </a:r>
          <a:r>
            <a:rPr lang="en-US" sz="1100" b="0">
              <a:solidFill>
                <a:sysClr val="windowText" lastClr="000000"/>
              </a:solidFill>
            </a:rPr>
            <a:t> a focused program for </a:t>
          </a:r>
          <a:r>
            <a:rPr lang="en-US" sz="1100" b="1">
              <a:solidFill>
                <a:sysClr val="windowText" lastClr="000000"/>
              </a:solidFill>
            </a:rPr>
            <a:t>regional capture</a:t>
          </a:r>
          <a:r>
            <a:rPr lang="en-US" sz="1100">
              <a:solidFill>
                <a:sysClr val="windowText" lastClr="000000"/>
              </a:solidFill>
            </a:rPr>
            <a:t> of displaced students to help turn</a:t>
          </a:r>
          <a:r>
            <a:rPr lang="en-US" sz="1100" baseline="0">
              <a:solidFill>
                <a:sysClr val="windowText" lastClr="000000"/>
              </a:solidFill>
            </a:rPr>
            <a:t> the keep-open scenarios into budget-neutral or budget-positive options?</a:t>
          </a:r>
        </a:p>
        <a:p>
          <a:endParaRPr lang="en-US" sz="1100" baseline="0">
            <a:solidFill>
              <a:sysClr val="windowText" lastClr="000000"/>
            </a:solidFill>
          </a:endParaRPr>
        </a:p>
        <a:p>
          <a:r>
            <a:rPr lang="en-US" sz="1100" baseline="0">
              <a:solidFill>
                <a:sysClr val="windowText" lastClr="000000"/>
              </a:solidFill>
            </a:rPr>
            <a:t>In general </a:t>
          </a:r>
          <a:r>
            <a:rPr lang="en-US" sz="1100">
              <a:solidFill>
                <a:sysClr val="windowText" lastClr="000000"/>
              </a:solidFill>
              <a:effectLst/>
              <a:latin typeface="+mn-lt"/>
              <a:ea typeface="+mn-ea"/>
              <a:cs typeface="+mn-cs"/>
            </a:rPr>
            <a:t>— as families change schools</a:t>
          </a:r>
          <a:r>
            <a:rPr lang="en-US" sz="1100" baseline="0">
              <a:solidFill>
                <a:sysClr val="windowText" lastClr="000000"/>
              </a:solidFill>
              <a:effectLst/>
              <a:latin typeface="+mn-lt"/>
              <a:ea typeface="+mn-ea"/>
              <a:cs typeface="+mn-cs"/>
            </a:rPr>
            <a:t> (via displacement or other) or new families come to the Valley, will SUSD's 3-5 year plan be clear and stable enough to continue to attract them to Scottsdale?</a:t>
          </a:r>
          <a:endParaRPr lang="en-US" sz="1100">
            <a:solidFill>
              <a:sysClr val="windowText" lastClr="000000"/>
            </a:solidFill>
          </a:endParaRPr>
        </a:p>
        <a:p>
          <a:endParaRPr lang="en-US" sz="1100">
            <a:solidFill>
              <a:sysClr val="windowText" lastClr="000000"/>
            </a:solidFill>
          </a:endParaRPr>
        </a:p>
        <a:p>
          <a:r>
            <a:rPr lang="en-US" sz="1100" b="1" u="sng">
              <a:solidFill>
                <a:sysClr val="windowText" lastClr="000000"/>
              </a:solidFill>
            </a:rPr>
            <a:t>Synthesizing</a:t>
          </a:r>
          <a:r>
            <a:rPr lang="en-US" sz="1100" u="sng">
              <a:solidFill>
                <a:sysClr val="windowText" lastClr="000000"/>
              </a:solidFill>
              <a:effectLst/>
              <a:latin typeface="+mn-lt"/>
              <a:ea typeface="+mn-ea"/>
              <a:cs typeface="+mn-cs"/>
            </a:rPr>
            <a:t>—</a:t>
          </a:r>
          <a:r>
            <a:rPr lang="en-US" sz="1100" b="1" u="sng" baseline="0">
              <a:solidFill>
                <a:sysClr val="windowText" lastClr="000000"/>
              </a:solidFill>
            </a:rPr>
            <a:t>w</a:t>
          </a:r>
          <a:r>
            <a:rPr lang="en-US" sz="1100" b="1" u="sng">
              <a:solidFill>
                <a:sysClr val="windowText" lastClr="000000"/>
              </a:solidFill>
            </a:rPr>
            <a:t>hat</a:t>
          </a:r>
          <a:r>
            <a:rPr lang="en-US" sz="1100" b="1" u="sng" baseline="0">
              <a:solidFill>
                <a:sysClr val="windowText" lastClr="000000"/>
              </a:solidFill>
            </a:rPr>
            <a:t> the model suggests</a:t>
          </a:r>
        </a:p>
        <a:p>
          <a:r>
            <a:rPr lang="en-US" sz="1100" b="0" baseline="0">
              <a:solidFill>
                <a:sysClr val="windowText" lastClr="000000"/>
              </a:solidFill>
            </a:rPr>
            <a:t>Repurpose usually 'wins' on operating net $, as it is assumed that a certain percentage of site‑fixed costs are saved </a:t>
          </a:r>
          <a:r>
            <a:rPr lang="en-US" sz="1100" b="0" i="1" baseline="0">
              <a:solidFill>
                <a:sysClr val="windowText" lastClr="000000"/>
              </a:solidFill>
            </a:rPr>
            <a:t>(the Scenario_Comparison tab allows for one to one comparison of scenarios</a:t>
          </a:r>
          <a:r>
            <a:rPr lang="en-US" sz="1100" b="0" i="0" baseline="0">
              <a:solidFill>
                <a:sysClr val="windowText" lastClr="000000"/>
              </a:solidFill>
            </a:rPr>
            <a:t>)</a:t>
          </a:r>
          <a:r>
            <a:rPr lang="en-US" sz="1100" b="0" i="1" baseline="0">
              <a:solidFill>
                <a:sysClr val="windowText" lastClr="000000"/>
              </a:solidFill>
            </a:rPr>
            <a:t>.</a:t>
          </a:r>
          <a:r>
            <a:rPr lang="en-US" sz="1100" b="0" baseline="0">
              <a:solidFill>
                <a:sysClr val="windowText" lastClr="000000"/>
              </a:solidFill>
            </a:rPr>
            <a:t> However, if the community can put forward a growth track that is budget‑positive, builds new district capabilities/brand, and avoids disruptive displacement, it may merit consideration alongside repurpose.  Additionally, if the repurpose plan is not clear</a:t>
          </a:r>
          <a:r>
            <a:rPr lang="en-US" sz="1100">
              <a:solidFill>
                <a:sysClr val="windowText" lastClr="000000"/>
              </a:solidFill>
              <a:effectLst/>
              <a:latin typeface="+mn-lt"/>
              <a:ea typeface="+mn-ea"/>
              <a:cs typeface="+mn-cs"/>
            </a:rPr>
            <a:t>—</a:t>
          </a:r>
          <a:r>
            <a:rPr lang="en-US" sz="1100" b="0" baseline="0">
              <a:solidFill>
                <a:sysClr val="windowText" lastClr="000000"/>
              </a:solidFill>
            </a:rPr>
            <a:t>or if there is a question as to whether the associated fixed cost ramp-down assumptions can be realized as quickly as expected or whether retention will be as high as expected, repurpose's edge on the budget side also starts to shrink.</a:t>
          </a:r>
        </a:p>
        <a:p>
          <a:endParaRPr lang="en-US" sz="1100" b="0" baseline="0">
            <a:solidFill>
              <a:sysClr val="windowText" lastClr="000000"/>
            </a:solidFill>
          </a:endParaRPr>
        </a:p>
        <a:p>
          <a:r>
            <a:rPr lang="en-US" sz="1100" b="0" baseline="0">
              <a:solidFill>
                <a:sysClr val="windowText" lastClr="000000"/>
              </a:solidFill>
            </a:rPr>
            <a:t>Either case </a:t>
          </a:r>
          <a:r>
            <a:rPr lang="en-US" sz="1100" b="1" baseline="0">
              <a:solidFill>
                <a:sysClr val="windowText" lastClr="000000"/>
              </a:solidFill>
            </a:rPr>
            <a:t>may warrant further discussion</a:t>
          </a:r>
          <a:r>
            <a:rPr lang="en-US" sz="1100" b="0" baseline="0">
              <a:solidFill>
                <a:sysClr val="windowText" lastClr="000000"/>
              </a:solidFill>
            </a:rPr>
            <a:t> and due diligence ahead of a decision this consequential.</a:t>
          </a:r>
        </a:p>
        <a:p>
          <a:endParaRPr lang="en-US" sz="1100" b="0" baseline="0">
            <a:solidFill>
              <a:sysClr val="windowText" lastClr="000000"/>
            </a:solidFill>
          </a:endParaRPr>
        </a:p>
        <a:p>
          <a:r>
            <a:rPr lang="en-US" sz="1100" b="0" baseline="0">
              <a:solidFill>
                <a:sysClr val="windowText" lastClr="000000"/>
              </a:solidFill>
            </a:rPr>
            <a:t>Starting with the district's recent assumed amounts for aid, cost, and uplift per ADM, and assuming a data-backed estimate of variable cost savings per incremental student for Echo and Pima (given they have capacity), we estimate ~$3,500+ incremental margin contribution to budget per additional student.  In reality the incremental variable cost would probably increase in 'steps' as certain physical capacity constraints are hit, but we are assuming for simplicity that there is sufficient space for any reasonable growth scenario we would explore here.  Using $3,500 per ADM, an additional 100 K‑8 students ≈ $0.35M/year and 200 ≈ $0.7M. The revenue capacity is why a growth lane can complement fiscal discipline.</a:t>
          </a:r>
        </a:p>
        <a:p>
          <a:r>
            <a:rPr lang="en-US" sz="1100" b="0" baseline="0">
              <a:solidFill>
                <a:sysClr val="windowText" lastClr="000000"/>
              </a:solidFill>
            </a:rPr>
            <a:t>Is this a better result, from a budget perspective, than repurpose?  Maybe not.  But it might be budget-neutral or better</a:t>
          </a:r>
          <a:r>
            <a:rPr lang="en-US" sz="1100">
              <a:solidFill>
                <a:sysClr val="windowText" lastClr="000000"/>
              </a:solidFill>
              <a:effectLst/>
              <a:latin typeface="+mn-lt"/>
              <a:ea typeface="+mn-ea"/>
              <a:cs typeface="+mn-cs"/>
            </a:rPr>
            <a:t>—</a:t>
          </a:r>
          <a:r>
            <a:rPr lang="en-US" sz="1100" b="0" baseline="0">
              <a:solidFill>
                <a:sysClr val="windowText" lastClr="000000"/>
              </a:solidFill>
            </a:rPr>
            <a:t>the </a:t>
          </a:r>
          <a:r>
            <a:rPr lang="en-US" sz="1100" b="0" i="1" baseline="0">
              <a:solidFill>
                <a:sysClr val="windowText" lastClr="000000"/>
              </a:solidFill>
              <a:effectLst/>
              <a:latin typeface="+mn-lt"/>
              <a:ea typeface="+mn-ea"/>
              <a:cs typeface="+mn-cs"/>
            </a:rPr>
            <a:t>B</a:t>
          </a:r>
          <a:r>
            <a:rPr lang="en-US" sz="1100" i="1">
              <a:solidFill>
                <a:sysClr val="windowText" lastClr="000000"/>
              </a:solidFill>
              <a:effectLst/>
              <a:latin typeface="+mn-lt"/>
              <a:ea typeface="+mn-ea"/>
              <a:cs typeface="+mn-cs"/>
            </a:rPr>
            <a:t>udget_Neutral_Calculator</a:t>
          </a:r>
          <a:r>
            <a:rPr lang="en-US" sz="1100" i="1" baseline="0">
              <a:solidFill>
                <a:sysClr val="windowText" lastClr="000000"/>
              </a:solidFill>
              <a:effectLst/>
              <a:latin typeface="+mn-lt"/>
              <a:ea typeface="+mn-ea"/>
              <a:cs typeface="+mn-cs"/>
            </a:rPr>
            <a:t> </a:t>
          </a:r>
          <a:r>
            <a:rPr lang="en-US" sz="1100" i="1">
              <a:solidFill>
                <a:sysClr val="windowText" lastClr="000000"/>
              </a:solidFill>
              <a:effectLst/>
              <a:latin typeface="+mn-lt"/>
              <a:ea typeface="+mn-ea"/>
              <a:cs typeface="+mn-cs"/>
            </a:rPr>
            <a:t>tab shows what magnitude of students a non‑repurpose plan needs to </a:t>
          </a:r>
          <a:r>
            <a:rPr lang="en-US" sz="1100" b="0" i="1">
              <a:solidFill>
                <a:sysClr val="windowText" lastClr="000000"/>
              </a:solidFill>
              <a:effectLst/>
              <a:latin typeface="+mn-lt"/>
              <a:ea typeface="+mn-ea"/>
              <a:cs typeface="+mn-cs"/>
            </a:rPr>
            <a:t>not cost money</a:t>
          </a:r>
          <a:r>
            <a:rPr lang="en-US" sz="1100">
              <a:solidFill>
                <a:sysClr val="windowText" lastClr="000000"/>
              </a:solidFill>
              <a:effectLst/>
              <a:latin typeface="+mn-lt"/>
              <a:ea typeface="+mn-ea"/>
              <a:cs typeface="+mn-cs"/>
            </a:rPr>
            <a:t>—</a:t>
          </a:r>
          <a:r>
            <a:rPr lang="en-US" sz="1100" b="0" baseline="0">
              <a:solidFill>
                <a:sysClr val="windowText" lastClr="000000"/>
              </a:solidFill>
            </a:rPr>
            <a:t>in which case it may make sense to examine both in light of overall district objectives (and priorities).</a:t>
          </a:r>
        </a:p>
        <a:p>
          <a:endParaRPr lang="en-US" sz="1100" b="0" baseline="0">
            <a:solidFill>
              <a:sysClr val="windowText" lastClr="000000"/>
            </a:solidFill>
          </a:endParaRPr>
        </a:p>
        <a:p>
          <a:r>
            <a:rPr lang="en-US" sz="1100" b="0" baseline="0">
              <a:solidFill>
                <a:sysClr val="windowText" lastClr="000000"/>
              </a:solidFill>
            </a:rPr>
            <a:t>In that light, a </a:t>
          </a:r>
          <a:r>
            <a:rPr lang="en-US" sz="1100" b="1" baseline="0">
              <a:solidFill>
                <a:sysClr val="windowText" lastClr="000000"/>
              </a:solidFill>
            </a:rPr>
            <a:t>conditional approach</a:t>
          </a:r>
          <a:r>
            <a:rPr lang="en-US" sz="1100" b="0" baseline="0">
              <a:solidFill>
                <a:sysClr val="windowText" lastClr="000000"/>
              </a:solidFill>
            </a:rPr>
            <a:t>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a:t>
          </a:r>
        </a:p>
        <a:p>
          <a:r>
            <a:rPr lang="en-US" sz="1100" b="0" baseline="0">
              <a:solidFill>
                <a:sysClr val="windowText" lastClr="000000"/>
              </a:solidFill>
            </a:rPr>
            <a:t>Precedents remind us that caution makes sense: large‑scale closures without strong receiving‑school availability, quality or consensus have shown mixed or negative effects and governance drag; districts that iterated proposals via public hearings navigated better. </a:t>
          </a:r>
        </a:p>
        <a:p>
          <a:endParaRPr lang="en-US" sz="1100" b="0" baseline="0">
            <a:solidFill>
              <a:sysClr val="windowText" lastClr="000000"/>
            </a:solidFill>
          </a:endParaRPr>
        </a:p>
        <a:p>
          <a:r>
            <a:rPr lang="en-US" sz="1100" b="1" u="sng" baseline="0">
              <a:solidFill>
                <a:sysClr val="windowText" lastClr="000000"/>
              </a:solidFill>
            </a:rPr>
            <a:t>Other important context (recent precedents &amp; lessons)</a:t>
          </a:r>
        </a:p>
        <a:p>
          <a:r>
            <a:rPr lang="en-US" sz="1100" b="0" baseline="0">
              <a:solidFill>
                <a:sysClr val="windowText" lastClr="000000"/>
              </a:solidFill>
            </a:rPr>
            <a: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a:t>
          </a:r>
        </a:p>
        <a:p>
          <a:endParaRPr lang="en-US" sz="1100" b="0" baseline="0">
            <a:solidFill>
              <a:sysClr val="windowText" lastClr="000000"/>
            </a:solidFill>
          </a:endParaRPr>
        </a:p>
        <a:p>
          <a:r>
            <a:rPr lang="en-US" sz="1100" b="0" baseline="0">
              <a:solidFill>
                <a:sysClr val="windowText" lastClr="000000"/>
              </a:solidFill>
            </a:rPr>
            <a:t>• Denver (2024–25): after a 2024 closure vote, the board paused further closures until 2030 amid community/legal pushback and governance churn. Lesson: force without consensus begets drag; iterate policy with stakeholders. </a:t>
          </a:r>
        </a:p>
        <a:p>
          <a:endParaRPr lang="en-US" sz="1100" b="0" baseline="0">
            <a:solidFill>
              <a:sysClr val="windowText" lastClr="000000"/>
            </a:solidFill>
          </a:endParaRPr>
        </a:p>
        <a:p>
          <a:r>
            <a:rPr lang="en-US" sz="1100" b="0" baseline="0">
              <a:solidFill>
                <a:sysClr val="windowText" lastClr="000000"/>
              </a:solidFill>
            </a:rPr>
            <a:t>• Kyrene (2025): district scheduled multiple public hearings on consolidation/boundaries and revised proposals after feedback. Lesson: iterate, publish, adjust before the final vote. </a:t>
          </a:r>
        </a:p>
        <a:p>
          <a:endParaRPr lang="en-US" sz="1100" b="0" baseline="0">
            <a:solidFill>
              <a:sysClr val="windowText" lastClr="000000"/>
            </a:solidFill>
          </a:endParaRPr>
        </a:p>
        <a:p>
          <a:r>
            <a:rPr lang="en-US" sz="1100" b="0" baseline="0">
              <a:solidFill>
                <a:sysClr val="windowText" lastClr="000000"/>
              </a:solidFill>
            </a:rPr>
            <a:t>• Innovation hub option (analogy): Campbell School of Innovation (Campbell Union SD, CA) launched a district‑run innovation hub focused on design thinking, grew enrollment, and exported practices across the district. Lesson: a credible hub can strengthen brand and pull.</a:t>
          </a:r>
        </a:p>
        <a:p>
          <a:endParaRPr lang="en-US" sz="1100" b="0" baseline="0">
            <a:solidFill>
              <a:sysClr val="windowText" lastClr="000000"/>
            </a:solidFill>
          </a:endParaRPr>
        </a:p>
        <a:p>
          <a:r>
            <a:rPr lang="en-US" sz="1100" b="1" u="sng" baseline="0">
              <a:solidFill>
                <a:sysClr val="windowText" lastClr="000000"/>
              </a:solidFill>
            </a:rPr>
            <a:t>Decision criteria to consider</a:t>
          </a:r>
          <a:endParaRPr lang="en-US" sz="1100" b="0" u="sng" baseline="0">
            <a:solidFill>
              <a:sysClr val="windowText" lastClr="000000"/>
            </a:solidFill>
          </a:endParaRPr>
        </a:p>
        <a:p>
          <a:r>
            <a:rPr lang="en-US" sz="1100" b="0" baseline="0">
              <a:solidFill>
                <a:sysClr val="windowText" lastClr="000000"/>
              </a:solidFill>
            </a:rPr>
            <a:t>• Operating: </a:t>
          </a:r>
          <a:r>
            <a:rPr lang="el-GR" sz="1100" b="0" baseline="0">
              <a:solidFill>
                <a:sysClr val="windowText" lastClr="000000"/>
              </a:solidFill>
            </a:rPr>
            <a:t>Δ </a:t>
          </a:r>
          <a:r>
            <a:rPr lang="en-US" sz="1100" b="0" baseline="0">
              <a:solidFill>
                <a:sysClr val="windowText" lastClr="000000"/>
              </a:solidFill>
            </a:rPr>
            <a:t>vs Base (FY2030; Avg FY26–30) and marginal contribution sanity check.</a:t>
          </a:r>
        </a:p>
        <a:p>
          <a:endParaRPr lang="en-US" sz="1100" b="0" baseline="0">
            <a:solidFill>
              <a:sysClr val="windowText" lastClr="000000"/>
            </a:solidFill>
          </a:endParaRPr>
        </a:p>
        <a:p>
          <a:r>
            <a:rPr lang="en-US" sz="1100" b="0" baseline="0">
              <a:solidFill>
                <a:sysClr val="windowText" lastClr="000000"/>
              </a:solidFill>
            </a:rPr>
            <a:t>• Capital: FY26 one‑time affordability.</a:t>
          </a:r>
        </a:p>
        <a:p>
          <a:endParaRPr lang="en-US" sz="1100" b="0" baseline="0">
            <a:solidFill>
              <a:sysClr val="windowText" lastClr="000000"/>
            </a:solidFill>
          </a:endParaRPr>
        </a:p>
        <a:p>
          <a:r>
            <a:rPr lang="en-US" sz="1100" b="0" baseline="0">
              <a:solidFill>
                <a:sysClr val="windowText" lastClr="000000"/>
              </a:solidFill>
            </a:rPr>
            <a:t>• People: FY26 displaced and support plan; FY30 served.</a:t>
          </a:r>
        </a:p>
        <a:p>
          <a:endParaRPr lang="en-US" sz="1100" b="0" baseline="0">
            <a:solidFill>
              <a:sysClr val="windowText" lastClr="000000"/>
            </a:solidFill>
          </a:endParaRPr>
        </a:p>
        <a:p>
          <a:r>
            <a:rPr lang="en-US" sz="1100" b="0" baseline="0">
              <a:solidFill>
                <a:sysClr val="windowText" lastClr="000000"/>
              </a:solidFill>
            </a:rPr>
            <a:t>• Capacity &amp; quality: no receiving site over capacity; receiving schools meet program‑quality thresholds</a:t>
          </a:r>
        </a:p>
        <a:p>
          <a:endParaRPr lang="en-US" sz="1100" b="0" baseline="0">
            <a:solidFill>
              <a:sysClr val="windowText" lastClr="000000"/>
            </a:solidFill>
          </a:endParaRPr>
        </a:p>
        <a:p>
          <a:r>
            <a:rPr lang="en-US" sz="1100" b="1" u="sng" baseline="0">
              <a:solidFill>
                <a:sysClr val="windowText" lastClr="000000"/>
              </a:solidFill>
            </a:rPr>
            <a:t>Key data-gathering iniatives</a:t>
          </a:r>
        </a:p>
        <a:p>
          <a:r>
            <a:rPr lang="en-US" sz="1100" b="0" baseline="0">
              <a:solidFill>
                <a:sysClr val="windowText" lastClr="000000"/>
              </a:solidFill>
            </a:rPr>
            <a:t>We tried to use real data or reasonable data-backed assumptions where possible.  However, any growth target is hypothetical, and additional audited or research-backed figures can increase data confidence.  For example:</a:t>
          </a:r>
        </a:p>
        <a:p>
          <a:r>
            <a:rPr lang="en-US" sz="1100" b="0" baseline="0">
              <a:solidFill>
                <a:sysClr val="windowText" lastClr="000000"/>
              </a:solidFill>
            </a:rPr>
            <a:t> </a:t>
          </a:r>
        </a:p>
        <a:p>
          <a:r>
            <a:rPr lang="en-US" sz="1100" b="0" baseline="0">
              <a:solidFill>
                <a:sysClr val="windowText" lastClr="000000"/>
              </a:solidFill>
            </a:rPr>
            <a:t>1. Validate Enrollment Projections: Commission a formal market and feasibility study to assess the realism of the growth targets in the "Invest to Grow" scenarios. </a:t>
          </a:r>
        </a:p>
        <a:p>
          <a:r>
            <a:rPr lang="en-US" sz="1100" b="0" baseline="0">
              <a:solidFill>
                <a:sysClr val="windowText" lastClr="000000"/>
              </a:solidFill>
            </a:rPr>
            <a:t>2. Conduct a System-Wide Capacity Analysis: Aim to move beyond the placeholder numbers and, if not already done, perform a school-by-school audit of available classroom space at potential receiving schools to determine the logistical feasibility and true cost of consolidation. </a:t>
          </a:r>
        </a:p>
        <a:p>
          <a:r>
            <a:rPr lang="en-US" sz="1100" b="0" baseline="0">
              <a:solidFill>
                <a:sysClr val="windowText" lastClr="000000"/>
              </a:solidFill>
            </a:rPr>
            <a:t>3. Refine Site-Level Costs: The finance department may be able to populate the Site_Fixed tab with actual FY25 fixed M&amp;O expenditures for Echo Canyon and Pima. This will replace an assumed cost proxy with hard data. </a:t>
          </a:r>
        </a:p>
        <a:p>
          <a:endParaRPr lang="en-US" sz="1100" b="0" baseline="0">
            <a:solidFill>
              <a:sysClr val="windowText" lastClr="000000"/>
            </a:solidFill>
          </a:endParaRPr>
        </a:p>
        <a:p>
          <a:r>
            <a:rPr lang="en-US" sz="1100" b="1" u="sng" baseline="0">
              <a:solidFill>
                <a:sysClr val="windowText" lastClr="000000"/>
              </a:solidFill>
            </a:rPr>
            <a:t>Sources</a:t>
          </a:r>
        </a:p>
        <a:p>
          <a:r>
            <a:rPr lang="en-US" sz="1100" b="0" i="0" u="sng" strike="noStrike">
              <a:solidFill>
                <a:schemeClr val="lt1"/>
              </a:solidFill>
              <a:effectLst/>
              <a:latin typeface="+mn-lt"/>
              <a:ea typeface="+mn-ea"/>
              <a:cs typeface="+mn-cs"/>
              <a:hlinkClick xmlns:r="http://schemas.openxmlformats.org/officeDocument/2006/relationships" r:id=""/>
            </a:rPr>
            <a:t>AZ base‑level amount (BLA) FY2025 = $5,013.33; equalization base structure (BSL + TSL + DAA). Arizona Legislature</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FY2025 updates (AZED): BLA + TSL growth. Arizona Department of Education</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AZ Auditor General spending profile reference (for plant ops/admin shares; SUSD context page). Auditor General+1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Closures &amp; outcomes (mixed; implementation matters), UChicago Consortium. consortium.uchicago.edu+1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Savings often smaller than projected (Philadelphia example; broader review). National Education Policy Center</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Regional context: Kyrene hearings; DPS pauses further closures to 2030. kyrene.org+1</a:t>
          </a:r>
          <a:r>
            <a:rPr lang="en-US" sz="1100">
              <a:effectLst/>
            </a:rPr>
            <a:t> </a:t>
          </a:r>
        </a:p>
        <a:p>
          <a:endParaRPr lang="en-US" sz="1100" b="1" baseline="0">
            <a:solidFill>
              <a:sysClr val="windowText" lastClr="000000"/>
            </a:solidFill>
          </a:endParaRPr>
        </a:p>
      </xdr:txBody>
    </xdr:sp>
    <xdr:clientData/>
  </xdr:twoCellAnchor>
  <xdr:twoCellAnchor>
    <xdr:from>
      <xdr:col>1</xdr:col>
      <xdr:colOff>36285</xdr:colOff>
      <xdr:row>1</xdr:row>
      <xdr:rowOff>27214</xdr:rowOff>
    </xdr:from>
    <xdr:to>
      <xdr:col>19</xdr:col>
      <xdr:colOff>99785</xdr:colOff>
      <xdr:row>2</xdr:row>
      <xdr:rowOff>625929</xdr:rowOff>
    </xdr:to>
    <xdr:sp macro="" textlink="">
      <xdr:nvSpPr>
        <xdr:cNvPr id="5" name="Rectangle 4">
          <a:extLst>
            <a:ext uri="{FF2B5EF4-FFF2-40B4-BE49-F238E27FC236}">
              <a16:creationId xmlns:a16="http://schemas.microsoft.com/office/drawing/2014/main" id="{C2A43F22-9DBF-B6D5-FE44-D13255CDD4F9}"/>
            </a:ext>
          </a:extLst>
        </xdr:cNvPr>
        <xdr:cNvSpPr/>
      </xdr:nvSpPr>
      <xdr:spPr>
        <a:xfrm>
          <a:off x="644071" y="208643"/>
          <a:ext cx="11003643" cy="780143"/>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 rIns="18288" rtlCol="0" anchor="t"/>
        <a:lstStyle/>
        <a:p>
          <a:pPr algn="l"/>
          <a:r>
            <a:rPr lang="en-US" sz="1100" b="1" u="sng">
              <a:solidFill>
                <a:sysClr val="windowText" lastClr="000000"/>
              </a:solidFill>
            </a:rPr>
            <a:t>Headline</a:t>
          </a:r>
        </a:p>
        <a:p>
          <a:pPr algn="l"/>
          <a:r>
            <a:rPr lang="en-US" sz="1100">
              <a:solidFill>
                <a:sysClr val="windowText" lastClr="000000"/>
              </a:solidFill>
            </a:rPr>
            <a:t>Large, fast closure waves without consensus or receiving‑school capacity / quality can yield negative outcomes; iterative public hearings and clear plan gates can help execution succeed and last. Does the question have to be ‘close or not’ at this point? Can it instead be how to balance fiscal discipline, program stability, and community impact—with capacity &amp; quality gates? If gates (ADM by band, retention, capacity/quality) are met, perhaps we can stay the course and invest. If gates miss, we can shift to repurpose with transparency and community buy-in.</a:t>
          </a:r>
        </a:p>
        <a:p>
          <a:pPr algn="l"/>
          <a:endParaRPr lang="en-US" sz="1100">
            <a:solidFill>
              <a:sysClr val="windowText" lastClr="000000"/>
            </a:solidFill>
          </a:endParaRPr>
        </a:p>
      </xdr:txBody>
    </xdr:sp>
    <xdr:clientData/>
  </xdr:twoCellAnchor>
  <xdr:twoCellAnchor>
    <xdr:from>
      <xdr:col>0</xdr:col>
      <xdr:colOff>224118</xdr:colOff>
      <xdr:row>2</xdr:row>
      <xdr:rowOff>403410</xdr:rowOff>
    </xdr:from>
    <xdr:to>
      <xdr:col>18</xdr:col>
      <xdr:colOff>582705</xdr:colOff>
      <xdr:row>43</xdr:row>
      <xdr:rowOff>164352</xdr:rowOff>
    </xdr:to>
    <mc:AlternateContent xmlns:mc="http://schemas.openxmlformats.org/markup-compatibility/2006" xmlns:a14="http://schemas.microsoft.com/office/drawing/2010/main">
      <mc:Choice Requires="a14">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8" y="776939"/>
              <a:ext cx="11385175" cy="187212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a:solidFill>
                    <a:schemeClr val="lt1"/>
                  </a:solidFill>
                  <a:effectLst/>
                  <a:latin typeface="+mn-lt"/>
                  <a:ea typeface="+mn-ea"/>
                  <a:cs typeface="+mn-cs"/>
                </a:rPr>
                <a:t>-is repurpose stay open an option to consider?  &lt;are there comps for this?&gt;</a:t>
              </a:r>
              <a:r>
                <a:rPr lang="en-US" sz="1200" b="1" i="0" baseline="0">
                  <a:solidFill>
                    <a:schemeClr val="lt1"/>
                  </a:solidFill>
                  <a:effectLst/>
                  <a:latin typeface="+mn-lt"/>
                  <a:ea typeface="+mn-ea"/>
                  <a:cs typeface="+mn-cs"/>
                </a:rPr>
                <a:t>  can we imagine that, with capaity , it would be feasible to renovate for a repurpose while keeping the school open?   </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a:t>
              </a:r>
              <a:r>
                <a:rPr lang="en-US" sz="1100" b="0" i="0">
                  <a:solidFill>
                    <a:schemeClr val="lt1"/>
                  </a:solidFill>
                  <a:effectLst/>
                  <a:latin typeface="+mn-lt"/>
                  <a:ea typeface="+mn-ea"/>
                  <a:cs typeface="+mn-cs"/>
                </a:rPr>
                <a:t>This model is not perfect… we need to confirm certain assumptions and inputs.</a:t>
              </a:r>
              <a:br>
                <a:rPr lang="en-US" sz="1200"/>
              </a:br>
              <a:r>
                <a:rPr lang="en-US" sz="1100" b="0" i="0">
                  <a:solidFill>
                    <a:schemeClr val="lt1"/>
                  </a:solidFill>
                  <a:effectLst/>
                  <a:latin typeface="+mn-lt"/>
                  <a:ea typeface="+mn-ea"/>
                  <a:cs typeface="+mn-cs"/>
                </a:rPr>
                <a:t>But - it does show us that small changes in certain assumptions can notably change the outcome / results.</a:t>
              </a:r>
              <a:br>
                <a:rPr lang="en-US" sz="1200"/>
              </a:br>
              <a:r>
                <a:rPr lang="en-US" sz="1100" b="0" i="0">
                  <a:solidFill>
                    <a:schemeClr val="lt1"/>
                  </a:solidFill>
                  <a:effectLst/>
                  <a:latin typeface="+mn-lt"/>
                  <a:ea typeface="+mn-ea"/>
                  <a:cs typeface="+mn-cs"/>
                </a:rPr>
                <a:t>Repurpose or close probably still looks better.</a:t>
              </a:r>
              <a:br>
                <a:rPr lang="en-US" sz="1200"/>
              </a:br>
              <a:r>
                <a:rPr lang="en-US" sz="1100" b="0" i="0">
                  <a:solidFill>
                    <a:schemeClr val="lt1"/>
                  </a:solidFill>
                  <a:effectLst/>
                  <a:latin typeface="+mn-lt"/>
                  <a:ea typeface="+mn-ea"/>
                  <a:cs typeface="+mn-cs"/>
                </a:rPr>
                <a:t>But maybe not by as much.</a:t>
              </a:r>
              <a:br>
                <a:rPr lang="en-US" sz="1200"/>
              </a:br>
              <a:r>
                <a:rPr lang="en-US" sz="1100" b="0" i="0">
                  <a:solidFill>
                    <a:schemeClr val="lt1"/>
                  </a:solidFill>
                  <a:effectLst/>
                  <a:latin typeface="+mn-lt"/>
                  <a:ea typeface="+mn-ea"/>
                  <a:cs typeface="+mn-cs"/>
                </a:rPr>
                <a:t>If we can credibly develop a small growth strategy, the difference is smalller still…</a:t>
              </a:r>
              <a:br>
                <a:rPr lang="en-US" sz="1200"/>
              </a:br>
              <a:r>
                <a:rPr lang="en-US" sz="1100" b="0" i="0">
                  <a:solidFill>
                    <a:schemeClr val="lt1"/>
                  </a:solidFill>
                  <a:effectLst/>
                  <a:latin typeface="+mn-lt"/>
                  <a:ea typeface="+mn-ea"/>
                  <a:cs typeface="+mn-cs"/>
                </a:rPr>
                <a:t>In any case - it suggests we need to get the numbers - the planning - right before a decision this consequential.</a:t>
              </a:r>
              <a:br>
                <a:rPr lang="en-US" sz="1200"/>
              </a:br>
              <a:r>
                <a:rPr lang="en-US" sz="1100" b="0" i="0">
                  <a:solidFill>
                    <a:schemeClr val="lt1"/>
                  </a:solidFill>
                  <a:effectLst/>
                  <a:latin typeface="+mn-lt"/>
                  <a:ea typeface="+mn-ea"/>
                  <a:cs typeface="+mn-cs"/>
                </a:rPr>
                <a:t>Side note - if the small growth strategy just gets us to budget-neutral, is that maybe enough… at least to buy time for a deeper dive on root cause and potential multi-pronged fiscal discipline + growth strategy going forward (one that new families and other districts can admire and be attracted to)?</a:t>
              </a:r>
              <a:br>
                <a:rPr lang="en-US" sz="1200"/>
              </a:br>
              <a:r>
                <a:rPr lang="en-US" sz="1100" b="0" i="0">
                  <a:solidFill>
                    <a:schemeClr val="lt1"/>
                  </a:solidFill>
                  <a:effectLst/>
                  <a:latin typeface="+mn-lt"/>
                  <a:ea typeface="+mn-ea"/>
                  <a:cs typeface="+mn-cs"/>
                </a:rPr>
                <a:t>—is repurpose keep-open a potential scenario?  Is that effectively what some of our scenarios are?</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Refer to these</a:t>
              </a:r>
              <a:r>
                <a:rPr lang="en-US" sz="1200" b="1" i="0" baseline="0">
                  <a:solidFill>
                    <a:schemeClr val="lt1"/>
                  </a:solidFill>
                  <a:effectLst/>
                  <a:latin typeface="+mn-lt"/>
                  <a:ea typeface="+mn-ea"/>
                  <a:cs typeface="+mn-cs"/>
                </a:rPr>
                <a:t> as known gaps in the model (but suggest we are making what we think are reasonable assumptions instead / ahead of having the correct data)...</a:t>
              </a: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Financial Invalidity:</a:t>
              </a:r>
              <a:r>
                <a:rPr lang="en-US" sz="1200" b="0" i="0">
                  <a:solidFill>
                    <a:schemeClr val="lt1"/>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effectLst/>
              </a:endParaRPr>
            </a:p>
            <a:p>
              <a:r>
                <a:rPr lang="en-US" sz="1200" b="1" i="0">
                  <a:solidFill>
                    <a:schemeClr val="lt1"/>
                  </a:solidFill>
                  <a:effectLst/>
                  <a:latin typeface="+mn-lt"/>
                  <a:ea typeface="+mn-ea"/>
                  <a:cs typeface="+mn-cs"/>
                </a:rPr>
                <a:t>Critical Flaw 2 (Logistical Invalidity):</a:t>
              </a:r>
              <a:r>
                <a:rPr lang="en-US" sz="1200" b="0" i="0">
                  <a:solidFill>
                    <a:schemeClr val="lt1"/>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chemeClr val="lt1"/>
                </a:solidFill>
                <a:effectLst/>
                <a:latin typeface="+mn-lt"/>
                <a:ea typeface="+mn-ea"/>
                <a:cs typeface="+mn-cs"/>
              </a:endParaRPr>
            </a:p>
            <a:p>
              <a:r>
                <a:rPr lang="en-US" sz="1200" b="0" i="0">
                  <a:solidFill>
                    <a:schemeClr val="lt1"/>
                  </a:solidFill>
                  <a:effectLst/>
                  <a:latin typeface="+mn-lt"/>
                  <a:ea typeface="+mn-ea"/>
                  <a:cs typeface="+mn-cs"/>
                </a:rPr>
                <a:t>--emphasize the point that maybe</a:t>
              </a:r>
              <a:r>
                <a:rPr lang="en-US" sz="1200" b="0" i="0" baseline="0">
                  <a:solidFill>
                    <a:schemeClr val="lt1"/>
                  </a:solidFill>
                  <a:effectLst/>
                  <a:latin typeface="+mn-lt"/>
                  <a:ea typeface="+mn-ea"/>
                  <a:cs typeface="+mn-cs"/>
                </a:rPr>
                <a:t> we just need to be budget-neutral or positive... we don't necessarily need to beat repurpose</a:t>
              </a:r>
              <a:endParaRPr lang="en-US" sz="1200">
                <a:effectLst/>
              </a:endParaRPr>
            </a:p>
            <a:p>
              <a:pPr algn="l"/>
              <a:endParaRPr lang="en-US" sz="1200"/>
            </a:p>
            <a:p>
              <a:pPr algn="l"/>
              <a:r>
                <a:rPr lang="en-US" sz="1200"/>
                <a:t>--get</a:t>
              </a:r>
              <a:r>
                <a:rPr lang="en-US" sz="1200" baseline="0"/>
                <a:t> rid of control center tab</a:t>
              </a:r>
            </a:p>
            <a:p>
              <a:pPr algn="l"/>
              <a:endParaRPr lang="en-US" sz="1200" baseline="0"/>
            </a:p>
            <a:p>
              <a:pPr algn="l"/>
              <a:r>
                <a:rPr lang="en-US" sz="1200" baseline="0"/>
                <a:t>--</a:t>
              </a:r>
              <a:r>
                <a:rPr lang="en-US" sz="1100" b="1" i="0">
                  <a:solidFill>
                    <a:schemeClr val="lt1"/>
                  </a:solidFill>
                  <a:effectLst/>
                  <a:latin typeface="+mn-lt"/>
                  <a:ea typeface="+mn-ea"/>
                  <a:cs typeface="+mn-cs"/>
                </a:rPr>
                <a:t>Flag Proxy Savings:</a:t>
              </a:r>
              <a:r>
                <a:rPr lang="en-US" sz="1100" b="0" i="0">
                  <a:solidFill>
                    <a:schemeClr val="lt1"/>
                  </a:solidFill>
                  <a:effectLst/>
                  <a:latin typeface="+mn-lt"/>
                  <a:ea typeface="+mn-ea"/>
                  <a:cs typeface="+mn-cs"/>
                </a:rPr>
                <a:t> Go to MultiYear_ProForma. Add text in an empty top row: "WARNING: EchoFixedEff$ and PimaFixedEff$ (Cols R, S) are based on a district-wide proxy, not actual site ledgers from the (empty) Site_Fixed tab. All Net$ figures for A, B, C scenarios are invalid."</a:t>
              </a:r>
            </a:p>
            <a:p>
              <a:pPr algn="l"/>
              <a:endParaRPr lang="en-US" sz="1100" b="0" i="0">
                <a:solidFill>
                  <a:schemeClr val="lt1"/>
                </a:solidFill>
                <a:effectLst/>
                <a:latin typeface="+mn-lt"/>
                <a:ea typeface="+mn-ea"/>
                <a:cs typeface="+mn-cs"/>
              </a:endParaRPr>
            </a:p>
            <a:p>
              <a:pPr algn="l"/>
              <a:r>
                <a:rPr lang="en-US" sz="1100" b="0" i="0">
                  <a:solidFill>
                    <a:schemeClr val="lt1"/>
                  </a:solidFill>
                  <a:effectLst/>
                  <a:latin typeface="+mn-lt"/>
                  <a:ea typeface="+mn-ea"/>
                  <a:cs typeface="+mn-cs"/>
                </a:rPr>
                <a:t>--</a:t>
              </a:r>
              <a:r>
                <a:rPr lang="en-US" sz="1100" b="1" i="0">
                  <a:solidFill>
                    <a:schemeClr val="lt1"/>
                  </a:solidFill>
                  <a:effectLst/>
                  <a:latin typeface="+mn-lt"/>
                  <a:ea typeface="+mn-ea"/>
                  <a:cs typeface="+mn-cs"/>
                </a:rPr>
                <a:t>Harmonize Conflicting Inputs:</a:t>
              </a:r>
              <a:r>
                <a:rPr lang="en-US" sz="1100" b="0" i="0">
                  <a:solidFill>
                    <a:schemeClr val="lt1"/>
                  </a:solidFill>
                  <a:effectLst/>
                  <a:latin typeface="+mn-lt"/>
                  <a:ea typeface="+mn-ea"/>
                  <a:cs typeface="+mn-cs"/>
                </a:rPr>
                <a:t> In Parameters_Public , change cell C43 (MarginalFactor_for_Overlay) from 0.6 to </a:t>
              </a:r>
              <a:r>
                <a:rPr lang="en-US" sz="1100" b="1" i="0">
                  <a:solidFill>
                    <a:schemeClr val="lt1"/>
                  </a:solidFill>
                  <a:effectLst/>
                  <a:latin typeface="+mn-lt"/>
                  <a:ea typeface="+mn-ea"/>
                  <a:cs typeface="+mn-cs"/>
                </a:rPr>
                <a:t>0.50</a:t>
              </a:r>
              <a:r>
                <a:rPr lang="en-US" sz="1100" b="0" i="0">
                  <a:solidFill>
                    <a:schemeClr val="lt1"/>
                  </a:solidFill>
                  <a:effectLst/>
                  <a:latin typeface="+mn-lt"/>
                  <a:ea typeface="+mn-ea"/>
                  <a:cs typeface="+mn-cs"/>
                </a:rPr>
                <a:t>. This aligns the </a:t>
              </a:r>
              <a:r>
                <a:rPr lang="en-US" sz="1100" b="0" i="1">
                  <a:solidFill>
                    <a:schemeClr val="lt1"/>
                  </a:solidFill>
                  <a:effectLst/>
                  <a:latin typeface="+mn-lt"/>
                  <a:ea typeface="+mn-ea"/>
                  <a:cs typeface="+mn-cs"/>
                </a:rPr>
                <a:t>live model</a:t>
              </a:r>
              <a:r>
                <a:rPr lang="en-US" sz="1100" b="0" i="0">
                  <a:solidFill>
                    <a:schemeClr val="lt1"/>
                  </a:solidFill>
                  <a:effectLst/>
                  <a:latin typeface="+mn-lt"/>
                  <a:ea typeface="+mn-ea"/>
                  <a:cs typeface="+mn-cs"/>
                </a:rPr>
                <a:t> with the </a:t>
              </a:r>
              <a:r>
                <a:rPr lang="en-US" sz="1100" b="0" i="1">
                  <a:solidFill>
                    <a:schemeClr val="lt1"/>
                  </a:solidFill>
                  <a:effectLst/>
                  <a:latin typeface="+mn-lt"/>
                  <a:ea typeface="+mn-ea"/>
                  <a:cs typeface="+mn-cs"/>
                </a:rPr>
                <a:t>documented justification</a:t>
              </a:r>
              <a:r>
                <a:rPr lang="en-US" sz="1100" b="0" i="0">
                  <a:solidFill>
                    <a:schemeClr val="lt1"/>
                  </a:solidFill>
                  <a:effectLst/>
                  <a:latin typeface="+mn-lt"/>
                  <a:ea typeface="+mn-ea"/>
                  <a:cs typeface="+mn-cs"/>
                </a:rPr>
                <a:t> in Definitions_Sources  and makes the "Growth" scenarios more conservative and defensible. -- see info / assumptions tab</a:t>
              </a:r>
            </a:p>
            <a:p>
              <a:pPr algn="l"/>
              <a:endParaRPr lang="en-US" sz="1100" b="0" i="0">
                <a:solidFill>
                  <a:schemeClr val="lt1"/>
                </a:solidFill>
                <a:effectLst/>
                <a:latin typeface="+mn-lt"/>
                <a:ea typeface="+mn-ea"/>
                <a:cs typeface="+mn-cs"/>
              </a:endParaRPr>
            </a:p>
            <a:p>
              <a:pPr rtl="0" eaLnBrk="1" fontAlgn="auto" latinLnBrk="0" hangingPunct="1"/>
              <a:r>
                <a:rPr lang="en-US" sz="1100" b="0" i="0">
                  <a:solidFill>
                    <a:schemeClr val="lt1"/>
                  </a:solidFill>
                  <a:effectLst/>
                  <a:latin typeface="+mn-lt"/>
                  <a:ea typeface="+mn-ea"/>
                  <a:cs typeface="+mn-cs"/>
                </a:rPr>
                <a:t>--</a:t>
              </a: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endParaRPr lang="en-US" sz="12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 -- see parameters_public tab</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the 'why echo makes sense as the innovation hub point'</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 </a:t>
              </a:r>
            </a:p>
            <a:p>
              <a:pPr rtl="0" eaLnBrk="1" fontAlgn="auto" latinLnBrk="0" hangingPunct="1"/>
              <a:endParaRPr lang="en-US" sz="1100" b="0" i="0" baseline="0">
                <a:solidFill>
                  <a:schemeClr val="lt1"/>
                </a:solidFill>
                <a:effectLst/>
                <a:latin typeface="+mn-lt"/>
                <a:ea typeface="+mn-ea"/>
                <a:cs typeface="+mn-cs"/>
              </a:endParaRPr>
            </a:p>
            <a:p>
              <a:r>
                <a:rPr lang="en-US" b="1"/>
                <a:t>Why your repurpose deltas fell when you pasted the estimated Site_Fixed numbers</a:t>
              </a:r>
            </a:p>
            <a:p>
              <a:r>
                <a:rPr lang="en-US" b="1"/>
                <a:t>What changed:</a:t>
              </a:r>
              <a:endParaRPr lang="en-US"/>
            </a:p>
            <a:p>
              <a:r>
                <a:rPr lang="en-US"/>
                <a:t>The </a:t>
              </a:r>
              <a:r>
                <a:rPr lang="en-US" b="1"/>
                <a:t>old proxy</a:t>
              </a:r>
              <a:r>
                <a:rPr lang="en-US"/>
                <a:t> (your “0.46 of total cost” rule) was crediting a </a:t>
              </a:r>
              <a:r>
                <a:rPr lang="en-US" b="1"/>
                <a:t>larger</a:t>
              </a:r>
              <a:r>
                <a:rPr lang="en-US"/>
                <a:t> fixed‑cost base per site.</a:t>
              </a:r>
            </a:p>
            <a:p>
              <a:r>
                <a:rPr lang="en-US"/>
                <a:t>The </a:t>
              </a:r>
              <a:r>
                <a:rPr lang="en-US" b="1"/>
                <a:t>new directional estimates</a:t>
              </a:r>
              <a:r>
                <a:rPr lang="en-US"/>
                <a:t> (plant ops ≈ $8/sf + school‑admin ≈ $350–400k + small insurance/other) came in </a:t>
              </a:r>
              <a:r>
                <a:rPr lang="en-US" b="1"/>
                <a:t>smaller</a:t>
              </a:r>
              <a:r>
                <a:rPr lang="en-US"/>
                <a:t>—on the order of </a:t>
              </a:r>
              <a:r>
                <a:rPr lang="en-US" b="1"/>
                <a:t>$0.90–$0.98M per site</a:t>
              </a:r>
              <a:r>
                <a:rPr lang="en-US"/>
                <a:t>.</a:t>
              </a:r>
            </a:p>
            <a:p>
              <a:r>
                <a:rPr lang="en-US"/>
                <a:t>Because </a:t>
              </a:r>
              <a:r>
                <a:rPr lang="el-GR"/>
                <a:t>Δ</a:t>
              </a:r>
              <a:r>
                <a:rPr lang="en-US"/>
                <a:t>Net (operating) for repurpose is </a:t>
              </a:r>
              <a:r>
                <a:rPr lang="en-US" b="1"/>
                <a:t>driven primarily by credited fixed savings</a:t>
              </a:r>
              <a:r>
                <a:rPr lang="en-US"/>
                <a:t>, a </a:t>
              </a:r>
              <a:r>
                <a:rPr lang="en-US" b="1"/>
                <a:t>smaller fixed base</a:t>
              </a:r>
              <a:r>
                <a:rPr lang="en-US"/>
                <a:t> → </a:t>
              </a:r>
              <a:r>
                <a:rPr lang="en-US" b="1"/>
                <a:t>smaller operating gain</a:t>
              </a:r>
              <a:r>
                <a:rPr lang="en-US"/>
                <a:t>, especially in early years when we still carry </a:t>
              </a:r>
              <a:r>
                <a:rPr lang="en-US" b="1"/>
                <a:t>f_ops/f_lease residuals</a:t>
              </a:r>
              <a:r>
                <a:rPr lang="en-US"/>
                <a:t>.</a:t>
              </a:r>
            </a:p>
            <a:p>
              <a:r>
                <a:rPr lang="en-US"/>
                <a:t>That’s why the repurpose alternatives look less attractive now: you swapped in a </a:t>
              </a:r>
              <a:r>
                <a:rPr lang="en-US" b="1"/>
                <a:t>more conservative</a:t>
              </a:r>
              <a:r>
                <a:rPr lang="en-US"/>
                <a:t> (smaller) fixed base.</a:t>
              </a:r>
            </a:p>
            <a:p>
              <a:br>
                <a:rPr lang="en-US"/>
              </a:br>
              <a:endParaRPr lang="en-US"/>
            </a:p>
            <a:p>
              <a:r>
                <a:rPr lang="en-US" b="1"/>
                <a:t>B) Reconciling with the district’s “~$0.9–$1.0M per school” statement</a:t>
              </a:r>
            </a:p>
            <a:p>
              <a:r>
                <a:rPr lang="en-US"/>
                <a:t>There are </a:t>
              </a:r>
              <a:r>
                <a:rPr lang="en-US" b="1"/>
                <a:t>three</a:t>
              </a:r>
              <a:r>
                <a:rPr lang="en-US"/>
                <a:t> plausible explanations for the gap. Each is testable.</a:t>
              </a:r>
            </a:p>
            <a:p>
              <a:r>
                <a:rPr lang="en-US" b="1"/>
                <a:t>1) The “0.46” proxy was overstating fixed costs (most likely)</a:t>
              </a:r>
            </a:p>
            <a:p>
              <a:r>
                <a:rPr lang="en-US" b="1"/>
                <a:t>What it would mean:</a:t>
              </a:r>
              <a:r>
                <a:rPr lang="en-US"/>
                <a:t> The proxy swept in </a:t>
              </a:r>
              <a:r>
                <a:rPr lang="en-US" b="1"/>
                <a:t>variable</a:t>
              </a:r>
              <a:r>
                <a:rPr lang="en-US"/>
                <a:t> or </a:t>
              </a:r>
              <a:r>
                <a:rPr lang="en-US" b="1"/>
                <a:t>semi‑variable</a:t>
              </a:r>
              <a:r>
                <a:rPr lang="en-US"/>
                <a:t> costs when it labeled “fixed,” inflating the savings credited to repurpose. Your new directional estimate, rooted in </a:t>
              </a:r>
              <a:r>
                <a:rPr lang="en-US" b="1"/>
                <a:t>plant ops per square foot + school‑admin FTE + small insurance/other</a:t>
              </a:r>
              <a:r>
                <a:rPr lang="en-US"/>
                <a:t>, is closer to how </a:t>
              </a:r>
              <a:r>
                <a:rPr lang="en-US" b="1"/>
                <a:t>site‑fixed</a:t>
              </a:r>
              <a:r>
                <a:rPr lang="en-US"/>
                <a:t> is normally defined.</a:t>
              </a:r>
            </a:p>
            <a:p>
              <a:r>
                <a:rPr lang="en-US" b="1"/>
                <a:t>How to validate quickly:</a:t>
              </a:r>
              <a:endParaRPr lang="en-US"/>
            </a:p>
            <a:p>
              <a:pPr lvl="1"/>
              <a:r>
                <a:rPr lang="en-US"/>
                <a:t>Ask for the FY25 </a:t>
              </a:r>
              <a:r>
                <a:rPr lang="en-US" b="1"/>
                <a:t>Fund 001, by school, by function</a:t>
              </a:r>
              <a:r>
                <a:rPr lang="en-US"/>
                <a:t> extract (Echo, Pima). Keep only truly fixed: </a:t>
              </a:r>
              <a:r>
                <a:rPr lang="en-US" b="1"/>
                <a:t>2600 Plant Ops</a:t>
              </a:r>
              <a:r>
                <a:rPr lang="en-US"/>
                <a:t> (utilities, repairs, custodial baseline), </a:t>
              </a:r>
              <a:r>
                <a:rPr lang="en-US" b="1"/>
                <a:t>2400 School Admin</a:t>
              </a:r>
              <a:r>
                <a:rPr lang="en-US"/>
                <a:t>, </a:t>
              </a:r>
              <a:r>
                <a:rPr lang="en-US" b="1"/>
                <a:t>insurance/min‑utilities</a:t>
              </a:r>
              <a:r>
                <a:rPr lang="en-US"/>
                <a:t> that would persist if mothballed/leased; </a:t>
              </a:r>
              <a:r>
                <a:rPr lang="en-US" b="1"/>
                <a:t>exclude</a:t>
              </a:r>
              <a:r>
                <a:rPr lang="en-US"/>
                <a:t> classroom‑linked costs and itinerant FTEs.</a:t>
              </a:r>
            </a:p>
            <a:p>
              <a:pPr lvl="1"/>
              <a:r>
                <a:rPr lang="en-US"/>
                <a:t>Crosswalk the old proxy’s “fixed” bucket to these functions and compare. If the old proxy included 100% of school‑level 2100/2200 (instruction/support) or shared central allocations, it was too rich.</a:t>
              </a:r>
            </a:p>
            <a:p>
              <a:r>
                <a:rPr lang="en-US" b="1"/>
                <a:t>What we expect:</a:t>
              </a:r>
              <a:r>
                <a:rPr lang="en-US"/>
                <a:t> The audited site‑fixed total per school will likely be </a:t>
              </a:r>
              <a:r>
                <a:rPr lang="en-US" b="1"/>
                <a:t>in the $0.9–$1.1M band</a:t>
              </a:r>
              <a:r>
                <a:rPr lang="en-US"/>
                <a:t>, not the larger number implied by “0.46 × total cost.”</a:t>
              </a:r>
            </a:p>
            <a:p>
              <a:r>
                <a:rPr lang="en-US" b="1"/>
                <a:t>Subjective probability:</a:t>
              </a:r>
              <a:r>
                <a:rPr lang="en-US"/>
                <a:t> </a:t>
              </a:r>
              <a:r>
                <a:rPr lang="en-US" b="1"/>
                <a:t>High</a:t>
              </a:r>
              <a:r>
                <a:rPr lang="en-US"/>
                <a:t>.</a:t>
              </a:r>
            </a:p>
            <a:p>
              <a:r>
                <a:rPr lang="en-US" b="1"/>
                <a:t>2) Our directional Site_Fixed placeholders may still be low for these two sites (moderate likelihood)</a:t>
              </a:r>
            </a:p>
            <a:p>
              <a:r>
                <a:rPr lang="en-US" b="1"/>
                <a:t>What it would mean:</a:t>
              </a:r>
              <a:r>
                <a:rPr lang="en-US"/>
                <a:t> Echo/Pima may have </a:t>
              </a:r>
              <a:r>
                <a:rPr lang="en-US" b="1"/>
                <a:t>above‑average plant costs</a:t>
              </a:r>
              <a:r>
                <a:rPr lang="en-US"/>
                <a:t> or </a:t>
              </a:r>
              <a:r>
                <a:rPr lang="en-US" b="1"/>
                <a:t>higher school‑admin load</a:t>
              </a:r>
              <a:r>
                <a:rPr lang="en-US"/>
                <a:t> than the crude anchors (older HV/AC runs, grounds/security, modulars, or an assistant principal coded to 2400).</a:t>
              </a:r>
            </a:p>
            <a:p>
              <a:r>
                <a:rPr lang="en-US" b="1"/>
                <a:t>How to validate:</a:t>
              </a:r>
              <a:r>
                <a:rPr lang="en-US"/>
                <a:t> The same CFO CSV will tell us. As a pre‑check, you can sanity‑test </a:t>
              </a:r>
              <a:r>
                <a:rPr lang="en-US" b="1"/>
                <a:t>plant cost ≈ (kWh + therms + water) × utility rates</a:t>
              </a:r>
              <a:r>
                <a:rPr lang="en-US"/>
                <a:t> if those utility statements are available; often this alone can move the plant subtotal by </a:t>
              </a:r>
              <a:r>
                <a:rPr lang="en-US" b="1"/>
                <a:t>$100–$200k</a:t>
              </a:r>
              <a:r>
                <a:rPr lang="en-US"/>
                <a:t> per site year‑over‑year.</a:t>
              </a:r>
            </a:p>
            <a:p>
              <a:r>
                <a:rPr lang="en-US" b="1"/>
                <a:t>What we expect:</a:t>
              </a:r>
              <a:r>
                <a:rPr lang="en-US"/>
                <a:t> It’s very possible one site sits </a:t>
              </a:r>
              <a:r>
                <a:rPr lang="en-US" b="1"/>
                <a:t>&gt; $1.0M</a:t>
              </a:r>
              <a:r>
                <a:rPr lang="en-US"/>
                <a:t> and the other </a:t>
              </a:r>
              <a:r>
                <a:rPr lang="en-US" b="1"/>
                <a:t>just below</a:t>
              </a:r>
              <a:r>
                <a:rPr lang="en-US"/>
                <a:t>; your </a:t>
              </a:r>
              <a:r>
                <a:rPr lang="en-US" b="1"/>
                <a:t>$0.9–$0.98M</a:t>
              </a:r>
              <a:r>
                <a:rPr lang="en-US"/>
                <a:t> placeholders could be ~</a:t>
              </a:r>
              <a:r>
                <a:rPr lang="en-US" b="1"/>
                <a:t>$100–$200k</a:t>
              </a:r>
              <a:r>
                <a:rPr lang="en-US"/>
                <a:t> light in steady state.</a:t>
              </a:r>
            </a:p>
            <a:p>
              <a:r>
                <a:rPr lang="en-US" b="1"/>
                <a:t>Subjective probability:</a:t>
              </a:r>
              <a:r>
                <a:rPr lang="en-US"/>
                <a:t> </a:t>
              </a:r>
              <a:r>
                <a:rPr lang="en-US" b="1"/>
                <a:t>Medium</a:t>
              </a:r>
              <a:r>
                <a:rPr lang="en-US"/>
                <a:t>.</a:t>
              </a:r>
            </a:p>
            <a:p>
              <a:r>
                <a:rPr lang="en-US" b="1"/>
                <a:t>3) Timing/definition mismatch with the board’s “$0.9–$1.0M” (moderate likelihood)</a:t>
              </a:r>
            </a:p>
            <a:p>
              <a:r>
                <a:rPr lang="en-US" b="1"/>
                <a:t>What it would mean:</a:t>
              </a:r>
              <a:r>
                <a:rPr lang="en-US"/>
                <a:t> The public number may refer to </a:t>
              </a:r>
              <a:r>
                <a:rPr lang="en-US" b="1"/>
                <a:t>steady‑state</a:t>
              </a:r>
              <a:r>
                <a:rPr lang="en-US"/>
                <a:t> (i.e., </a:t>
              </a:r>
              <a:r>
                <a:rPr lang="en-US" b="1"/>
                <a:t>f → 0</a:t>
              </a:r>
              <a:r>
                <a:rPr lang="en-US"/>
                <a:t>), or it may be a </a:t>
              </a:r>
              <a:r>
                <a:rPr lang="en-US" b="1"/>
                <a:t>gross “fixed M&amp;O savings”</a:t>
              </a:r>
              <a:r>
                <a:rPr lang="en-US"/>
                <a:t> number </a:t>
              </a:r>
              <a:r>
                <a:rPr lang="en-US" b="1"/>
                <a:t>before</a:t>
              </a:r>
              <a:r>
                <a:rPr lang="en-US"/>
                <a:t> retention overhead (</a:t>
              </a:r>
              <a:r>
                <a:rPr lang="en-US" b="1"/>
                <a:t>h</a:t>
              </a:r>
              <a:r>
                <a:rPr lang="en-US"/>
                <a:t>) and lost‑student contribution effects, or it may </a:t>
              </a:r>
              <a:r>
                <a:rPr lang="en-US" b="1"/>
                <a:t>include</a:t>
              </a:r>
              <a:r>
                <a:rPr lang="en-US"/>
                <a:t> anticipated </a:t>
              </a:r>
              <a:r>
                <a:rPr lang="en-US" b="1"/>
                <a:t>lease revenue</a:t>
              </a:r>
              <a:r>
                <a:rPr lang="en-US"/>
                <a:t>. We model </a:t>
              </a:r>
              <a:r>
                <a:rPr lang="en-US" b="1"/>
                <a:t>operating Net</a:t>
              </a:r>
              <a:r>
                <a:rPr lang="en-US"/>
                <a:t> (M&amp;O – revenues) and </a:t>
              </a:r>
              <a:r>
                <a:rPr lang="en-US" b="1"/>
                <a:t>charge overhead</a:t>
              </a:r>
              <a:r>
                <a:rPr lang="en-US"/>
                <a:t>; they might have quoted a </a:t>
              </a:r>
              <a:r>
                <a:rPr lang="en-US" b="1"/>
                <a:t>gross, steady‑state savings</a:t>
              </a:r>
              <a:r>
                <a:rPr lang="en-US"/>
                <a:t> with no overhead and no timing residual.</a:t>
              </a:r>
            </a:p>
            <a:p>
              <a:r>
                <a:rPr lang="en-US" b="1"/>
                <a:t>How to validate:</a:t>
              </a:r>
              <a:r>
                <a:rPr lang="en-US"/>
                <a:t> Ask Finance to clarify </a:t>
              </a:r>
              <a:r>
                <a:rPr lang="en-US" b="1"/>
                <a:t>(a)</a:t>
              </a:r>
              <a:r>
                <a:rPr lang="en-US"/>
                <a:t> the </a:t>
              </a:r>
              <a:r>
                <a:rPr lang="en-US" b="1"/>
                <a:t>functions</a:t>
              </a:r>
              <a:r>
                <a:rPr lang="en-US"/>
                <a:t> included, </a:t>
              </a:r>
              <a:r>
                <a:rPr lang="en-US" b="1"/>
                <a:t>(b)</a:t>
              </a:r>
              <a:r>
                <a:rPr lang="en-US"/>
                <a:t> whether it’s </a:t>
              </a:r>
              <a:r>
                <a:rPr lang="en-US" b="1"/>
                <a:t>net of retention overhead</a:t>
              </a:r>
              <a:r>
                <a:rPr lang="en-US"/>
                <a:t>, </a:t>
              </a:r>
              <a:r>
                <a:rPr lang="en-US" b="1"/>
                <a:t>(c)</a:t>
              </a:r>
              <a:r>
                <a:rPr lang="en-US"/>
                <a:t> whether it’s </a:t>
              </a:r>
              <a:r>
                <a:rPr lang="en-US" b="1"/>
                <a:t>first year</a:t>
              </a:r>
              <a:r>
                <a:rPr lang="en-US"/>
                <a:t> or </a:t>
              </a:r>
              <a:r>
                <a:rPr lang="en-US" b="1"/>
                <a:t>steady‑state</a:t>
              </a:r>
              <a:r>
                <a:rPr lang="en-US"/>
                <a:t>, and </a:t>
              </a:r>
              <a:r>
                <a:rPr lang="en-US" b="1"/>
                <a:t>(d)</a:t>
              </a:r>
              <a:r>
                <a:rPr lang="en-US"/>
                <a:t> whether </a:t>
              </a:r>
              <a:r>
                <a:rPr lang="en-US" b="1"/>
                <a:t>lease revenue</a:t>
              </a:r>
              <a:r>
                <a:rPr lang="en-US"/>
                <a:t> is in that figure.</a:t>
              </a:r>
            </a:p>
            <a:p>
              <a:r>
                <a:rPr lang="en-US" b="1"/>
                <a:t>What we expect:</a:t>
              </a:r>
              <a:r>
                <a:rPr lang="en-US"/>
                <a:t> If their figure is </a:t>
              </a:r>
              <a:r>
                <a:rPr lang="en-US" b="1"/>
                <a:t>steady‑state fixed savings</a:t>
              </a:r>
              <a:r>
                <a:rPr lang="en-US"/>
                <a:t>, it should match </a:t>
              </a:r>
              <a:r>
                <a:rPr lang="en-US" b="1"/>
                <a:t>(1 − f_*) × SiteFixed</a:t>
              </a:r>
              <a:r>
                <a:rPr lang="en-US"/>
                <a:t> when </a:t>
              </a:r>
              <a:r>
                <a:rPr lang="en-US" b="1"/>
                <a:t>f_</a:t>
              </a:r>
              <a:r>
                <a:rPr lang="en-US"/>
                <a:t>* is near </a:t>
              </a:r>
              <a:r>
                <a:rPr lang="en-US" b="1"/>
                <a:t>0</a:t>
              </a:r>
              <a:r>
                <a:rPr lang="en-US"/>
                <a:t>. Early‑year model deltas will be smaller because we carry </a:t>
              </a:r>
              <a:r>
                <a:rPr lang="en-US" b="1"/>
                <a:t>f_ops 0.45…0.30</a:t>
              </a:r>
              <a:r>
                <a:rPr lang="en-US"/>
                <a:t> and </a:t>
              </a:r>
              <a:r>
                <a:rPr lang="en-US" b="1"/>
                <a:t>f_lease 0.20…0.10</a:t>
              </a:r>
              <a:r>
                <a:rPr lang="en-US"/>
                <a:t> plus </a:t>
              </a:r>
              <a:r>
                <a:rPr lang="en-US" b="1"/>
                <a:t>h</a:t>
              </a:r>
              <a:r>
                <a:rPr lang="en-US"/>
                <a:t>.</a:t>
              </a:r>
            </a:p>
            <a:p>
              <a:r>
                <a:rPr lang="en-US" b="1"/>
                <a:t>Subjective probability:</a:t>
              </a:r>
              <a:r>
                <a:rPr lang="en-US"/>
                <a:t> </a:t>
              </a:r>
              <a:r>
                <a:rPr lang="en-US" b="1"/>
                <a:t>Medium</a:t>
              </a:r>
              <a:r>
                <a:rPr lang="en-US"/>
                <a:t>.</a:t>
              </a:r>
            </a:p>
            <a:p>
              <a:br>
                <a:rPr lang="en-US"/>
              </a:br>
              <a:endParaRPr lang="en-US"/>
            </a:p>
            <a:p>
              <a:r>
                <a:rPr lang="en-US" b="1"/>
                <a:t>C) A tight way to decide if our placeholders are “wrong” or the old proxy was “wrong”</a:t>
              </a:r>
            </a:p>
            <a:p>
              <a:r>
                <a:rPr lang="en-US"/>
                <a:t>Work the identity backward for a target year (e.g., FY30):</a:t>
              </a:r>
            </a:p>
            <a:p>
              <a:pPr/>
              <a14:m>
                <m:oMathPara xmlns:m="http://schemas.openxmlformats.org/officeDocument/2006/math">
                  <m:oMathParaPr>
                    <m:jc m:val="centerGroup"/>
                  </m:oMathParaPr>
                  <m:oMath xmlns:m="http://schemas.openxmlformats.org/officeDocument/2006/math">
                    <m:r>
                      <m:rPr>
                        <m:sty m:val="p"/>
                      </m:rPr>
                      <a:rPr lang="el-GR" sz="1100">
                        <a:solidFill>
                          <a:schemeClr val="lt1"/>
                        </a:solidFill>
                        <a:latin typeface="Cambria Math" panose="02040503050406030204" pitchFamily="18" charset="0"/>
                        <a:ea typeface="+mn-ea"/>
                        <a:cs typeface="+mn-cs"/>
                      </a:rPr>
                      <m:t>Δ</m:t>
                    </m:r>
                    <m:r>
                      <m:rPr>
                        <m:nor/>
                      </m:rPr>
                      <a:rPr lang="en-US" sz="1100" b="0" i="1">
                        <a:solidFill>
                          <a:schemeClr val="lt1"/>
                        </a:solidFill>
                        <a:latin typeface="+mn-lt"/>
                        <a:ea typeface="+mn-ea"/>
                        <a:cs typeface="+mn-cs"/>
                      </a:rPr>
                      <m:t>Net</m:t>
                    </m:r>
                    <m:r>
                      <a:rPr lang="en-US"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𝑓</m:t>
                            </m:r>
                          </m:e>
                          <m:sub>
                            <m:r>
                              <a:rPr lang="ar-AE" sz="1100" b="0" i="1">
                                <a:solidFill>
                                  <a:schemeClr val="lt1"/>
                                </a:solidFill>
                                <a:latin typeface="Cambria Math" panose="02040503050406030204" pitchFamily="18" charset="0"/>
                                <a:ea typeface="+mn-ea"/>
                                <a:cs typeface="+mn-cs"/>
                              </a:rPr>
                              <m:t>𝑡</m:t>
                            </m:r>
                          </m:sub>
                        </m:sSub>
                      </m:e>
                    </m:d>
                    <m:r>
                      <m:rPr>
                        <m:nor/>
                      </m:rPr>
                      <a:rPr lang="ar-AE" sz="1100" b="0" i="1">
                        <a:solidFill>
                          <a:schemeClr val="lt1"/>
                        </a:solidFill>
                        <a:latin typeface="+mn-lt"/>
                        <a:ea typeface="+mn-ea"/>
                        <a:cs typeface="+mn-cs"/>
                      </a:rPr>
                      <m:t> </m:t>
                    </m:r>
                    <m:limLow>
                      <m:limLowPr>
                        <m:ctrlPr>
                          <a:rPr lang="ar-AE" sz="1100" b="0" i="1">
                            <a:solidFill>
                              <a:schemeClr val="lt1"/>
                            </a:solidFill>
                            <a:latin typeface="Cambria Math" panose="02040503050406030204" pitchFamily="18" charset="0"/>
                            <a:ea typeface="+mn-ea"/>
                            <a:cs typeface="+mn-cs"/>
                          </a:rPr>
                        </m:ctrlPr>
                      </m:limLowPr>
                      <m:e>
                        <m:groupChr>
                          <m:groupChrPr>
                            <m:chr m:val="⏟"/>
                            <m:ctrlPr>
                              <a:rPr lang="ar-AE" sz="1100" b="0" i="1">
                                <a:solidFill>
                                  <a:schemeClr val="lt1"/>
                                </a:solidFill>
                                <a:latin typeface="Cambria Math" panose="02040503050406030204" pitchFamily="18" charset="0"/>
                                <a:ea typeface="+mn-ea"/>
                                <a:cs typeface="+mn-cs"/>
                              </a:rPr>
                            </m:ctrlPr>
                          </m:groupChrPr>
                          <m:e>
                            <m:r>
                              <m:rPr>
                                <m:nor/>
                              </m:rPr>
                              <a:rPr lang="en-US" sz="1100" b="0" i="1">
                                <a:solidFill>
                                  <a:schemeClr val="lt1"/>
                                </a:solidFill>
                                <a:latin typeface="+mn-lt"/>
                                <a:ea typeface="+mn-ea"/>
                                <a:cs typeface="+mn-cs"/>
                              </a:rPr>
                              <m:t>SiteFixed</m:t>
                            </m:r>
                          </m:e>
                        </m:groupChr>
                      </m:e>
                      <m:lim>
                        <m:r>
                          <m:rPr>
                            <m:nor/>
                          </m:rPr>
                          <a:rPr lang="en-US" sz="1100" b="0" i="1">
                            <a:solidFill>
                              <a:schemeClr val="lt1"/>
                            </a:solidFill>
                            <a:latin typeface="+mn-lt"/>
                            <a:ea typeface="+mn-ea"/>
                            <a:cs typeface="+mn-cs"/>
                          </a:rPr>
                          <m:t>Echo</m:t>
                        </m:r>
                        <m:r>
                          <m:rPr>
                            <m:nor/>
                          </m:rPr>
                          <a:rPr lang="en-US" sz="1100" b="0" i="1">
                            <a:solidFill>
                              <a:schemeClr val="lt1"/>
                            </a:solidFill>
                            <a:latin typeface="+mn-lt"/>
                            <a:ea typeface="+mn-ea"/>
                            <a:cs typeface="+mn-cs"/>
                          </a:rPr>
                          <m:t>+</m:t>
                        </m:r>
                        <m:r>
                          <m:rPr>
                            <m:nor/>
                          </m:rPr>
                          <a:rPr lang="en-US" sz="1100" b="0" i="1">
                            <a:solidFill>
                              <a:schemeClr val="lt1"/>
                            </a:solidFill>
                            <a:latin typeface="+mn-lt"/>
                            <a:ea typeface="+mn-ea"/>
                            <a:cs typeface="+mn-cs"/>
                          </a:rPr>
                          <m:t>Pima</m:t>
                        </m:r>
                      </m:lim>
                    </m:limLow>
                    <m:r>
                      <a:rPr lang="ar-AE"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e>
                    </m:d>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𝑚</m:t>
                        </m:r>
                      </m:e>
                      <m:sub>
                        <m:r>
                          <a:rPr lang="ar-AE" sz="1100" b="0" i="1">
                            <a:solidFill>
                              <a:schemeClr val="lt1"/>
                            </a:solidFill>
                            <a:latin typeface="Cambria Math" panose="02040503050406030204" pitchFamily="18" charset="0"/>
                            <a:ea typeface="+mn-ea"/>
                            <a:cs typeface="+mn-cs"/>
                          </a:rPr>
                          <m:t>𝑡</m:t>
                        </m:r>
                      </m:sub>
                    </m:sSub>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h</m:t>
                        </m:r>
                      </m:e>
                      <m:sub>
                        <m:r>
                          <a:rPr lang="ar-AE" sz="1100" b="0" i="1">
                            <a:solidFill>
                              <a:schemeClr val="lt1"/>
                            </a:solidFill>
                            <a:latin typeface="Cambria Math" panose="02040503050406030204" pitchFamily="18" charset="0"/>
                            <a:ea typeface="+mn-ea"/>
                            <a:cs typeface="+mn-cs"/>
                          </a:rPr>
                          <m:t>𝑡</m:t>
                        </m:r>
                      </m:sub>
                    </m:sSub>
                  </m:oMath>
                </m:oMathPara>
              </a14:m>
              <a:endParaRPr lang="ar-AE" b="0"/>
            </a:p>
            <a:p>
              <a:r>
                <a:rPr lang="en-US"/>
                <a:t>If the Board’s </a:t>
              </a:r>
              <a:r>
                <a:rPr lang="en-US" b="1"/>
                <a:t>target </a:t>
              </a:r>
              <a:r>
                <a:rPr lang="el-GR" b="1"/>
                <a:t>Δ</a:t>
              </a:r>
              <a:r>
                <a:rPr lang="en-US" b="1"/>
                <a:t>Net/site</a:t>
              </a:r>
              <a:r>
                <a:rPr lang="en-US"/>
                <a:t> is </a:t>
              </a:r>
              <a:r>
                <a:rPr lang="en-US" b="1"/>
                <a:t>$0.95M</a:t>
              </a:r>
              <a:r>
                <a:rPr lang="en-US"/>
                <a:t> (so </a:t>
              </a:r>
              <a:r>
                <a:rPr lang="en-US" b="1"/>
                <a:t>$1.90M</a:t>
              </a:r>
              <a:r>
                <a:rPr lang="en-US"/>
                <a:t> for both), you can solve for the </a:t>
              </a:r>
              <a:r>
                <a:rPr lang="en-US" b="1"/>
                <a:t>required SiteFixed</a:t>
              </a:r>
              <a:r>
                <a:rPr lang="en-US"/>
                <a:t> that makes your FY30 model hit that total:</a:t>
              </a:r>
            </a:p>
            <a:p>
              <a:pPr/>
              <a14:m>
                <m:oMathPara xmlns:m="http://schemas.openxmlformats.org/officeDocument/2006/math">
                  <m:oMathParaPr>
                    <m:jc m:val="centerGroup"/>
                  </m:oMathParaPr>
                  <m:oMath xmlns:m="http://schemas.openxmlformats.org/officeDocument/2006/math">
                    <m:sSup>
                      <m:sSupPr>
                        <m:ctrlPr>
                          <a:rPr lang="ar-AE" sz="1100" b="0" i="1">
                            <a:solidFill>
                              <a:schemeClr val="lt1"/>
                            </a:solidFill>
                            <a:latin typeface="Cambria Math" panose="02040503050406030204" pitchFamily="18" charset="0"/>
                            <a:ea typeface="+mn-ea"/>
                            <a:cs typeface="+mn-cs"/>
                          </a:rPr>
                        </m:ctrlPr>
                      </m:sSupPr>
                      <m:e>
                        <m:r>
                          <m:rPr>
                            <m:nor/>
                          </m:rPr>
                          <a:rPr lang="en-US" b="0"/>
                          <m:t>SiteFixed</m:t>
                        </m:r>
                      </m:e>
                      <m:sup>
                        <m:r>
                          <a:rPr lang="ar-AE" sz="1100" b="0" i="0">
                            <a:solidFill>
                              <a:schemeClr val="lt1"/>
                            </a:solidFill>
                            <a:latin typeface="Cambria Math" panose="02040503050406030204" pitchFamily="18" charset="0"/>
                            <a:ea typeface="+mn-ea"/>
                            <a:cs typeface="+mn-cs"/>
                          </a:rPr>
                          <m:t>⋆</m:t>
                        </m:r>
                      </m:sup>
                    </m:sSup>
                    <m:r>
                      <m:rPr>
                        <m:nor/>
                      </m:rPr>
                      <a:rPr lang="ar-AE" sz="1100" b="0" i="1">
                        <a:solidFill>
                          <a:schemeClr val="lt1"/>
                        </a:solidFill>
                        <a:latin typeface="+mn-lt"/>
                        <a:ea typeface="+mn-ea"/>
                        <a:cs typeface="+mn-cs"/>
                      </a:rPr>
                      <m:t>  </m:t>
                    </m:r>
                    <m:r>
                      <a:rPr lang="ar-AE" sz="1100" b="0" i="0">
                        <a:solidFill>
                          <a:schemeClr val="lt1"/>
                        </a:solidFill>
                        <a:latin typeface="Cambria Math" panose="02040503050406030204" pitchFamily="18" charset="0"/>
                        <a:ea typeface="+mn-ea"/>
                        <a:cs typeface="+mn-cs"/>
                      </a:rPr>
                      <m:t>=</m:t>
                    </m:r>
                    <m:r>
                      <m:rPr>
                        <m:nor/>
                      </m:rPr>
                      <a:rPr lang="ar-AE" sz="1100" b="0" i="1">
                        <a:solidFill>
                          <a:schemeClr val="lt1"/>
                        </a:solidFill>
                        <a:latin typeface="+mn-lt"/>
                        <a:ea typeface="+mn-ea"/>
                        <a:cs typeface="+mn-cs"/>
                      </a:rPr>
                      <m:t>  </m:t>
                    </m:r>
                    <m:f>
                      <m:fPr>
                        <m:ctrlPr>
                          <a:rPr lang="ar-AE" sz="1100" b="0" i="1">
                            <a:solidFill>
                              <a:schemeClr val="lt1"/>
                            </a:solidFill>
                            <a:latin typeface="Cambria Math" panose="02040503050406030204" pitchFamily="18" charset="0"/>
                            <a:ea typeface="+mn-ea"/>
                            <a:cs typeface="+mn-cs"/>
                          </a:rPr>
                        </m:ctrlPr>
                      </m:fPr>
                      <m:num>
                        <m:r>
                          <m:rPr>
                            <m:sty m:val="p"/>
                          </m:rPr>
                          <a:rPr lang="el-GR" sz="1100" b="0" i="0">
                            <a:solidFill>
                              <a:schemeClr val="lt1"/>
                            </a:solidFill>
                            <a:latin typeface="Cambria Math" panose="02040503050406030204" pitchFamily="18" charset="0"/>
                            <a:ea typeface="+mn-ea"/>
                            <a:cs typeface="+mn-cs"/>
                          </a:rPr>
                          <m:t>Δ</m:t>
                        </m:r>
                        <m:sSub>
                          <m:sSubPr>
                            <m:ctrlPr>
                              <a:rPr lang="ar-AE" sz="1100" b="0" i="1">
                                <a:solidFill>
                                  <a:schemeClr val="lt1"/>
                                </a:solidFill>
                                <a:latin typeface="Cambria Math" panose="02040503050406030204" pitchFamily="18" charset="0"/>
                                <a:ea typeface="+mn-ea"/>
                                <a:cs typeface="+mn-cs"/>
                              </a:rPr>
                            </m:ctrlPr>
                          </m:sSubPr>
                          <m:e>
                            <m:r>
                              <m:rPr>
                                <m:nor/>
                              </m:rPr>
                              <a:rPr lang="en-US" sz="1100" b="0" i="1">
                                <a:solidFill>
                                  <a:schemeClr val="lt1"/>
                                </a:solidFill>
                                <a:latin typeface="+mn-lt"/>
                                <a:ea typeface="+mn-ea"/>
                                <a:cs typeface="+mn-cs"/>
                              </a:rPr>
                              <m:t>Net</m:t>
                            </m:r>
                          </m:e>
                          <m:sub>
                            <m:r>
                              <m:rPr>
                                <m:nor/>
                              </m:rPr>
                              <a:rPr lang="en-US" sz="1100" b="0" i="1">
                                <a:solidFill>
                                  <a:schemeClr val="lt1"/>
                                </a:solidFill>
                                <a:latin typeface="+mn-lt"/>
                                <a:ea typeface="+mn-ea"/>
                                <a:cs typeface="+mn-cs"/>
                              </a:rPr>
                              <m:t>target</m:t>
                            </m:r>
                          </m:sub>
                        </m:sSub>
                        <m:r>
                          <a:rPr lang="ar-AE"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e>
                        </m:d>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𝑚</m:t>
                            </m:r>
                          </m:e>
                          <m:sub>
                            <m:r>
                              <a:rPr lang="ar-AE" sz="1100" b="0" i="1">
                                <a:solidFill>
                                  <a:schemeClr val="lt1"/>
                                </a:solidFill>
                                <a:latin typeface="Cambria Math" panose="02040503050406030204" pitchFamily="18" charset="0"/>
                                <a:ea typeface="+mn-ea"/>
                                <a:cs typeface="+mn-cs"/>
                              </a:rPr>
                              <m:t>𝑡</m:t>
                            </m:r>
                          </m:sub>
                        </m:sSub>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h</m:t>
                            </m:r>
                          </m:e>
                          <m:sub>
                            <m:r>
                              <a:rPr lang="ar-AE" sz="1100" b="0" i="1">
                                <a:solidFill>
                                  <a:schemeClr val="lt1"/>
                                </a:solidFill>
                                <a:latin typeface="Cambria Math" panose="02040503050406030204" pitchFamily="18" charset="0"/>
                                <a:ea typeface="+mn-ea"/>
                                <a:cs typeface="+mn-cs"/>
                              </a:rPr>
                              <m:t>𝑡</m:t>
                            </m:r>
                          </m:sub>
                        </m:sSub>
                      </m:num>
                      <m:den>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𝑓</m:t>
                            </m:r>
                          </m:e>
                          <m:sub>
                            <m:r>
                              <a:rPr lang="ar-AE" sz="1100" b="0" i="1">
                                <a:solidFill>
                                  <a:schemeClr val="lt1"/>
                                </a:solidFill>
                                <a:latin typeface="Cambria Math" panose="02040503050406030204" pitchFamily="18" charset="0"/>
                                <a:ea typeface="+mn-ea"/>
                                <a:cs typeface="+mn-cs"/>
                              </a:rPr>
                              <m:t>𝑡</m:t>
                            </m:r>
                          </m:sub>
                        </m:sSub>
                      </m:den>
                    </m:f>
                  </m:oMath>
                </m:oMathPara>
              </a14:m>
              <a:endParaRPr lang="ar-AE" b="0"/>
            </a:p>
            <a:p>
              <a:r>
                <a:rPr lang="en-US"/>
                <a:t>If </a:t>
              </a:r>
              <a:r>
                <a:rPr lang="en-US" b="1"/>
                <a:t>SiteFixed* ≫</a:t>
              </a:r>
              <a:r>
                <a:rPr lang="en-US"/>
                <a:t> your current placeholder, your placeholders are </a:t>
              </a:r>
              <a:r>
                <a:rPr lang="en-US" b="1"/>
                <a:t>too low</a:t>
              </a:r>
              <a:r>
                <a:rPr lang="en-US"/>
                <a:t> (Explanation #2).</a:t>
              </a:r>
            </a:p>
            <a:p>
              <a:r>
                <a:rPr lang="en-US"/>
                <a:t>If </a:t>
              </a:r>
              <a:r>
                <a:rPr lang="en-US" b="1"/>
                <a:t>SiteFixed* ≪</a:t>
              </a:r>
              <a:r>
                <a:rPr lang="en-US"/>
                <a:t> the old 0.46‑rule result, the old proxy was </a:t>
              </a:r>
              <a:r>
                <a:rPr lang="en-US" b="1"/>
                <a:t>too high</a:t>
              </a:r>
              <a:r>
                <a:rPr lang="en-US"/>
                <a:t> (Explanation #1).</a:t>
              </a:r>
            </a:p>
            <a:p>
              <a:r>
                <a:rPr lang="en-US"/>
                <a:t>If </a:t>
              </a:r>
              <a:r>
                <a:rPr lang="en-US" b="1"/>
                <a:t>SiteFixed*</a:t>
              </a:r>
              <a:r>
                <a:rPr lang="en-US"/>
                <a:t> matches the board target </a:t>
              </a:r>
              <a:r>
                <a:rPr lang="en-US" b="1"/>
                <a:t>only</a:t>
              </a:r>
              <a:r>
                <a:rPr lang="en-US"/>
                <a:t> when </a:t>
              </a:r>
              <a:r>
                <a:rPr lang="en-US" b="1"/>
                <a:t>f_t</a:t>
              </a:r>
              <a:r>
                <a:rPr lang="en-US"/>
                <a:t> is small (e.g., </a:t>
              </a:r>
              <a:r>
                <a:rPr lang="en-US" b="1"/>
                <a:t>0.10</a:t>
              </a:r>
              <a:r>
                <a:rPr lang="en-US"/>
                <a:t>), that points to a </a:t>
              </a:r>
              <a:r>
                <a:rPr lang="en-US" b="1"/>
                <a:t>timing assumption</a:t>
              </a:r>
              <a:r>
                <a:rPr lang="en-US"/>
                <a:t> mismatch (Explanation #3).</a:t>
              </a:r>
            </a:p>
            <a:p>
              <a:r>
                <a:rPr lang="en-US"/>
                <a:t>This is deterministic and uses </a:t>
              </a:r>
              <a:r>
                <a:rPr lang="en-US" b="1"/>
                <a:t>your own r, D, m, h, f</a:t>
              </a:r>
              <a:r>
                <a:rPr lang="en-US"/>
                <a:t> for FY30.</a:t>
              </a:r>
            </a:p>
            <a:p>
              <a:br>
                <a:rPr lang="en-US"/>
              </a:br>
              <a:endParaRPr lang="en-US"/>
            </a:p>
            <a:p>
              <a:r>
                <a:rPr lang="en-US" b="1"/>
                <a:t>D) Quick sensitivity you can quote in the meeting</a:t>
              </a:r>
            </a:p>
            <a:p>
              <a:r>
                <a:rPr lang="en-US" b="1"/>
                <a:t>Per $100k change</a:t>
              </a:r>
              <a:r>
                <a:rPr lang="en-US"/>
                <a:t> in SiteFixed (both schools combined), FY30 </a:t>
              </a:r>
              <a:r>
                <a:rPr lang="el-GR" b="1"/>
                <a:t>Δ</a:t>
              </a:r>
              <a:r>
                <a:rPr lang="en-US" b="1"/>
                <a:t>Net moves by</a:t>
              </a:r>
              <a:r>
                <a:rPr lang="en-US"/>
                <a:t> </a:t>
              </a:r>
              <a:r>
                <a:rPr lang="en-US" b="1"/>
                <a:t>$(1 − f_t) × 100k</a:t>
              </a:r>
              <a:r>
                <a:rPr lang="en-US"/>
                <a:t>.</a:t>
              </a:r>
            </a:p>
            <a:p>
              <a:pPr lvl="1"/>
              <a:r>
                <a:rPr lang="en-US"/>
                <a:t>With </a:t>
              </a:r>
              <a:r>
                <a:rPr lang="en-US" b="1"/>
                <a:t>f_ops FY30 = 0.30</a:t>
              </a:r>
              <a:r>
                <a:rPr lang="en-US"/>
                <a:t>, that’s </a:t>
              </a:r>
              <a:r>
                <a:rPr lang="en-US" b="1"/>
                <a:t>$70k</a:t>
              </a:r>
              <a:r>
                <a:rPr lang="en-US"/>
                <a:t> to </a:t>
              </a:r>
              <a:r>
                <a:rPr lang="el-GR"/>
                <a:t>Δ</a:t>
              </a:r>
              <a:r>
                <a:rPr lang="en-US"/>
                <a:t>Net; with </a:t>
              </a:r>
              <a:r>
                <a:rPr lang="en-US" b="1"/>
                <a:t>f_lease FY30 = 0.10</a:t>
              </a:r>
              <a:r>
                <a:rPr lang="en-US"/>
                <a:t>, that’s </a:t>
              </a:r>
              <a:r>
                <a:rPr lang="en-US" b="1"/>
                <a:t>$90k</a:t>
              </a:r>
              <a:r>
                <a:rPr lang="en-US"/>
                <a:t>.</a:t>
              </a:r>
            </a:p>
            <a:p>
              <a:r>
                <a:rPr lang="en-US" b="1"/>
                <a:t>Per 10‑point change</a:t>
              </a:r>
              <a:r>
                <a:rPr lang="en-US"/>
                <a:t> in </a:t>
              </a:r>
              <a:r>
                <a:rPr lang="en-US" b="1"/>
                <a:t>r</a:t>
              </a:r>
              <a:r>
                <a:rPr lang="en-US"/>
                <a:t> (retention), FY30 </a:t>
              </a:r>
              <a:r>
                <a:rPr lang="el-GR" b="1"/>
                <a:t>Δ</a:t>
              </a:r>
              <a:r>
                <a:rPr lang="en-US" b="1"/>
                <a:t>Net</a:t>
              </a:r>
              <a:r>
                <a:rPr lang="en-US"/>
                <a:t> moves by roughly </a:t>
              </a:r>
              <a:r>
                <a:rPr lang="en-US" b="1"/>
                <a:t>0.10 × D × (m_t − h_t)</a:t>
              </a:r>
              <a:r>
                <a:rPr lang="en-US"/>
                <a:t>.</a:t>
              </a:r>
            </a:p>
            <a:p>
              <a:r>
                <a:rPr lang="en-US" b="1"/>
                <a:t>Per $500 change</a:t>
              </a:r>
              <a:r>
                <a:rPr lang="en-US"/>
                <a:t> in </a:t>
              </a:r>
              <a:r>
                <a:rPr lang="en-US" b="1"/>
                <a:t>m_t</a:t>
              </a:r>
              <a:r>
                <a:rPr lang="en-US"/>
                <a:t>, FY30 </a:t>
              </a:r>
              <a:r>
                <a:rPr lang="el-GR" b="1"/>
                <a:t>Δ</a:t>
              </a:r>
              <a:r>
                <a:rPr lang="en-US" b="1"/>
                <a:t>Net</a:t>
              </a:r>
              <a:r>
                <a:rPr lang="en-US"/>
                <a:t> moves by </a:t>
              </a:r>
              <a:r>
                <a:rPr lang="en-US" b="1"/>
                <a:t>$(1 − r) × D × 500</a:t>
              </a:r>
              <a:r>
                <a:rPr lang="en-US"/>
                <a:t> (lost‑student term).</a:t>
              </a:r>
            </a:p>
            <a:p>
              <a:r>
                <a:rPr lang="en-US"/>
                <a:t>These three levers explain </a:t>
              </a:r>
              <a:r>
                <a:rPr lang="en-US" b="1"/>
                <a:t>most</a:t>
              </a:r>
              <a:r>
                <a:rPr lang="en-US"/>
                <a:t> of the movement you saw when you swapped proxies.</a:t>
              </a:r>
            </a:p>
            <a:p>
              <a:br>
                <a:rPr lang="en-US"/>
              </a:br>
              <a:endParaRPr lang="en-US"/>
            </a:p>
            <a:p>
              <a:r>
                <a:rPr lang="en-US" b="1"/>
                <a:t>E) What to do right now (while we wait on the CFO CSV)</a:t>
              </a:r>
            </a:p>
            <a:p>
              <a:r>
                <a:rPr lang="en-US" b="1"/>
                <a:t>Keep</a:t>
              </a:r>
              <a:r>
                <a:rPr lang="en-US"/>
                <a:t> the directional placeholders you just used (they are </a:t>
              </a:r>
              <a:r>
                <a:rPr lang="en-US" b="1"/>
                <a:t>defensible</a:t>
              </a:r>
              <a:r>
                <a:rPr lang="en-US"/>
                <a:t> and align with public function totals and campus sizes).</a:t>
              </a:r>
            </a:p>
            <a:p>
              <a:r>
                <a:rPr lang="en-US" b="1"/>
                <a:t>Add a one‑line footnote</a:t>
              </a:r>
              <a:r>
                <a:rPr lang="en-US"/>
                <a:t> on </a:t>
              </a:r>
              <a:r>
                <a:rPr lang="en-US" b="1"/>
                <a:t>Scenario_Comparison</a:t>
              </a:r>
              <a:r>
                <a:rPr lang="en-US"/>
                <a:t> or </a:t>
              </a:r>
              <a:r>
                <a:rPr lang="en-US" b="1"/>
                <a:t>Summary_Figures</a:t>
              </a:r>
              <a:r>
                <a:rPr lang="en-US"/>
                <a:t>:</a:t>
              </a:r>
            </a:p>
            <a:p>
              <a:r>
                <a:rPr lang="en-US"/>
                <a:t>“Repurpose fixed M&amp;O savings are using directional placeholders rooted in FY26 function totals and campus sf; audited FY25 site‑level ledgers (Fund 001) will replace these values.”</a:t>
              </a:r>
            </a:p>
            <a:p>
              <a:r>
                <a:rPr lang="en-US" b="1"/>
                <a:t>Run the backward solve once</a:t>
              </a:r>
              <a:r>
                <a:rPr lang="en-US"/>
                <a:t> (per C) for FY30 using your current </a:t>
              </a:r>
              <a:r>
                <a:rPr lang="en-US" b="1"/>
                <a:t>r, D, m, h, f</a:t>
              </a:r>
              <a:r>
                <a:rPr lang="en-US"/>
                <a:t> to see the </a:t>
              </a:r>
              <a:r>
                <a:rPr lang="en-US" b="1"/>
                <a:t>implied SiteFixed*</a:t>
              </a:r>
              <a:r>
                <a:rPr lang="en-US"/>
                <a:t> that would match </a:t>
              </a:r>
              <a:r>
                <a:rPr lang="en-US" b="1"/>
                <a:t>$1.9M</a:t>
              </a:r>
              <a:r>
                <a:rPr lang="en-US"/>
                <a:t> total. If the implied SiteFixed* is </a:t>
              </a:r>
              <a:r>
                <a:rPr lang="en-US" b="1"/>
                <a:t>close</a:t>
              </a:r>
              <a:r>
                <a:rPr lang="en-US"/>
                <a:t> to your placeholders, you’re in the right band; if it’s far, note </a:t>
              </a:r>
              <a:r>
                <a:rPr lang="en-US" b="1"/>
                <a:t>which lever</a:t>
              </a:r>
              <a:r>
                <a:rPr lang="en-US"/>
                <a:t> explains the distance (timing via </a:t>
              </a:r>
              <a:r>
                <a:rPr lang="en-US" b="1"/>
                <a:t>f_t</a:t>
              </a:r>
              <a:r>
                <a:rPr lang="en-US"/>
                <a:t>, or base via </a:t>
              </a:r>
              <a:r>
                <a:rPr lang="en-US" b="1"/>
                <a:t>SiteFixed</a:t>
              </a:r>
              <a:r>
                <a:rPr lang="en-US"/>
                <a:t>).</a:t>
              </a:r>
            </a:p>
            <a:p>
              <a:pPr rtl="0" eaLnBrk="1" fontAlgn="auto" latinLnBrk="0" hangingPunct="1"/>
              <a:endParaRPr lang="en-US" sz="1200">
                <a:effectLst/>
              </a:endParaRPr>
            </a:p>
            <a:p>
              <a:pPr algn="l"/>
              <a:endParaRPr lang="en-US" sz="1200"/>
            </a:p>
          </xdr:txBody>
        </xdr:sp>
      </mc:Choice>
      <mc:Fallback xmlns="">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8" y="776939"/>
              <a:ext cx="11385175" cy="187212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a:solidFill>
                    <a:schemeClr val="lt1"/>
                  </a:solidFill>
                  <a:effectLst/>
                  <a:latin typeface="+mn-lt"/>
                  <a:ea typeface="+mn-ea"/>
                  <a:cs typeface="+mn-cs"/>
                </a:rPr>
                <a:t>-is repurpose stay open an option to consider?  &lt;are there comps for this?&gt;</a:t>
              </a:r>
              <a:r>
                <a:rPr lang="en-US" sz="1200" b="1" i="0" baseline="0">
                  <a:solidFill>
                    <a:schemeClr val="lt1"/>
                  </a:solidFill>
                  <a:effectLst/>
                  <a:latin typeface="+mn-lt"/>
                  <a:ea typeface="+mn-ea"/>
                  <a:cs typeface="+mn-cs"/>
                </a:rPr>
                <a:t>  can we imagine that, with capaity , it would be feasible to renovate for a repurpose while keeping the school open?   </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a:t>
              </a:r>
              <a:r>
                <a:rPr lang="en-US" sz="1100" b="0" i="0">
                  <a:solidFill>
                    <a:schemeClr val="lt1"/>
                  </a:solidFill>
                  <a:effectLst/>
                  <a:latin typeface="+mn-lt"/>
                  <a:ea typeface="+mn-ea"/>
                  <a:cs typeface="+mn-cs"/>
                </a:rPr>
                <a:t>This model is not perfect… we need to confirm certain assumptions and inputs.</a:t>
              </a:r>
              <a:br>
                <a:rPr lang="en-US" sz="1200"/>
              </a:br>
              <a:r>
                <a:rPr lang="en-US" sz="1100" b="0" i="0">
                  <a:solidFill>
                    <a:schemeClr val="lt1"/>
                  </a:solidFill>
                  <a:effectLst/>
                  <a:latin typeface="+mn-lt"/>
                  <a:ea typeface="+mn-ea"/>
                  <a:cs typeface="+mn-cs"/>
                </a:rPr>
                <a:t>But - it does show us that small changes in certain assumptions can notably change the outcome / results.</a:t>
              </a:r>
              <a:br>
                <a:rPr lang="en-US" sz="1200"/>
              </a:br>
              <a:r>
                <a:rPr lang="en-US" sz="1100" b="0" i="0">
                  <a:solidFill>
                    <a:schemeClr val="lt1"/>
                  </a:solidFill>
                  <a:effectLst/>
                  <a:latin typeface="+mn-lt"/>
                  <a:ea typeface="+mn-ea"/>
                  <a:cs typeface="+mn-cs"/>
                </a:rPr>
                <a:t>Repurpose or close probably still looks better.</a:t>
              </a:r>
              <a:br>
                <a:rPr lang="en-US" sz="1200"/>
              </a:br>
              <a:r>
                <a:rPr lang="en-US" sz="1100" b="0" i="0">
                  <a:solidFill>
                    <a:schemeClr val="lt1"/>
                  </a:solidFill>
                  <a:effectLst/>
                  <a:latin typeface="+mn-lt"/>
                  <a:ea typeface="+mn-ea"/>
                  <a:cs typeface="+mn-cs"/>
                </a:rPr>
                <a:t>But maybe not by as much.</a:t>
              </a:r>
              <a:br>
                <a:rPr lang="en-US" sz="1200"/>
              </a:br>
              <a:r>
                <a:rPr lang="en-US" sz="1100" b="0" i="0">
                  <a:solidFill>
                    <a:schemeClr val="lt1"/>
                  </a:solidFill>
                  <a:effectLst/>
                  <a:latin typeface="+mn-lt"/>
                  <a:ea typeface="+mn-ea"/>
                  <a:cs typeface="+mn-cs"/>
                </a:rPr>
                <a:t>If we can credibly develop a small growth strategy, the difference is smalller still…</a:t>
              </a:r>
              <a:br>
                <a:rPr lang="en-US" sz="1200"/>
              </a:br>
              <a:r>
                <a:rPr lang="en-US" sz="1100" b="0" i="0">
                  <a:solidFill>
                    <a:schemeClr val="lt1"/>
                  </a:solidFill>
                  <a:effectLst/>
                  <a:latin typeface="+mn-lt"/>
                  <a:ea typeface="+mn-ea"/>
                  <a:cs typeface="+mn-cs"/>
                </a:rPr>
                <a:t>In any case - it suggests we need to get the numbers - the planning - right before a decision this consequential.</a:t>
              </a:r>
              <a:br>
                <a:rPr lang="en-US" sz="1200"/>
              </a:br>
              <a:r>
                <a:rPr lang="en-US" sz="1100" b="0" i="0">
                  <a:solidFill>
                    <a:schemeClr val="lt1"/>
                  </a:solidFill>
                  <a:effectLst/>
                  <a:latin typeface="+mn-lt"/>
                  <a:ea typeface="+mn-ea"/>
                  <a:cs typeface="+mn-cs"/>
                </a:rPr>
                <a:t>Side note - if the small growth strategy just gets us to budget-neutral, is that maybe enough… at least to buy time for a deeper dive on root cause and potential multi-pronged fiscal discipline + growth strategy going forward (one that new families and other districts can admire and be attracted to)?</a:t>
              </a:r>
              <a:br>
                <a:rPr lang="en-US" sz="1200"/>
              </a:br>
              <a:r>
                <a:rPr lang="en-US" sz="1100" b="0" i="0">
                  <a:solidFill>
                    <a:schemeClr val="lt1"/>
                  </a:solidFill>
                  <a:effectLst/>
                  <a:latin typeface="+mn-lt"/>
                  <a:ea typeface="+mn-ea"/>
                  <a:cs typeface="+mn-cs"/>
                </a:rPr>
                <a:t>—is repurpose keep-open a potential scenario?  Is that effectively what some of our scenarios are?</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Refer to these</a:t>
              </a:r>
              <a:r>
                <a:rPr lang="en-US" sz="1200" b="1" i="0" baseline="0">
                  <a:solidFill>
                    <a:schemeClr val="lt1"/>
                  </a:solidFill>
                  <a:effectLst/>
                  <a:latin typeface="+mn-lt"/>
                  <a:ea typeface="+mn-ea"/>
                  <a:cs typeface="+mn-cs"/>
                </a:rPr>
                <a:t> as known gaps in the model (but suggest we are making what we think are reasonable assumptions instead / ahead of having the correct data)...</a:t>
              </a: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Financial Invalidity:</a:t>
              </a:r>
              <a:r>
                <a:rPr lang="en-US" sz="1200" b="0" i="0">
                  <a:solidFill>
                    <a:schemeClr val="lt1"/>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effectLst/>
              </a:endParaRPr>
            </a:p>
            <a:p>
              <a:r>
                <a:rPr lang="en-US" sz="1200" b="1" i="0">
                  <a:solidFill>
                    <a:schemeClr val="lt1"/>
                  </a:solidFill>
                  <a:effectLst/>
                  <a:latin typeface="+mn-lt"/>
                  <a:ea typeface="+mn-ea"/>
                  <a:cs typeface="+mn-cs"/>
                </a:rPr>
                <a:t>Critical Flaw 2 (Logistical Invalidity):</a:t>
              </a:r>
              <a:r>
                <a:rPr lang="en-US" sz="1200" b="0" i="0">
                  <a:solidFill>
                    <a:schemeClr val="lt1"/>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chemeClr val="lt1"/>
                </a:solidFill>
                <a:effectLst/>
                <a:latin typeface="+mn-lt"/>
                <a:ea typeface="+mn-ea"/>
                <a:cs typeface="+mn-cs"/>
              </a:endParaRPr>
            </a:p>
            <a:p>
              <a:r>
                <a:rPr lang="en-US" sz="1200" b="0" i="0">
                  <a:solidFill>
                    <a:schemeClr val="lt1"/>
                  </a:solidFill>
                  <a:effectLst/>
                  <a:latin typeface="+mn-lt"/>
                  <a:ea typeface="+mn-ea"/>
                  <a:cs typeface="+mn-cs"/>
                </a:rPr>
                <a:t>--emphasize the point that maybe</a:t>
              </a:r>
              <a:r>
                <a:rPr lang="en-US" sz="1200" b="0" i="0" baseline="0">
                  <a:solidFill>
                    <a:schemeClr val="lt1"/>
                  </a:solidFill>
                  <a:effectLst/>
                  <a:latin typeface="+mn-lt"/>
                  <a:ea typeface="+mn-ea"/>
                  <a:cs typeface="+mn-cs"/>
                </a:rPr>
                <a:t> we just need to be budget-neutral or positive... we don't necessarily need to beat repurpose</a:t>
              </a:r>
              <a:endParaRPr lang="en-US" sz="1200">
                <a:effectLst/>
              </a:endParaRPr>
            </a:p>
            <a:p>
              <a:pPr algn="l"/>
              <a:endParaRPr lang="en-US" sz="1200"/>
            </a:p>
            <a:p>
              <a:pPr algn="l"/>
              <a:r>
                <a:rPr lang="en-US" sz="1200"/>
                <a:t>--get</a:t>
              </a:r>
              <a:r>
                <a:rPr lang="en-US" sz="1200" baseline="0"/>
                <a:t> rid of control center tab</a:t>
              </a:r>
            </a:p>
            <a:p>
              <a:pPr algn="l"/>
              <a:endParaRPr lang="en-US" sz="1200" baseline="0"/>
            </a:p>
            <a:p>
              <a:pPr algn="l"/>
              <a:r>
                <a:rPr lang="en-US" sz="1200" baseline="0"/>
                <a:t>--</a:t>
              </a:r>
              <a:r>
                <a:rPr lang="en-US" sz="1100" b="1" i="0">
                  <a:solidFill>
                    <a:schemeClr val="lt1"/>
                  </a:solidFill>
                  <a:effectLst/>
                  <a:latin typeface="+mn-lt"/>
                  <a:ea typeface="+mn-ea"/>
                  <a:cs typeface="+mn-cs"/>
                </a:rPr>
                <a:t>Flag Proxy Savings:</a:t>
              </a:r>
              <a:r>
                <a:rPr lang="en-US" sz="1100" b="0" i="0">
                  <a:solidFill>
                    <a:schemeClr val="lt1"/>
                  </a:solidFill>
                  <a:effectLst/>
                  <a:latin typeface="+mn-lt"/>
                  <a:ea typeface="+mn-ea"/>
                  <a:cs typeface="+mn-cs"/>
                </a:rPr>
                <a:t> Go to MultiYear_ProForma. Add text in an empty top row: "WARNING: EchoFixedEff$ and PimaFixedEff$ (Cols R, S) are based on a district-wide proxy, not actual site ledgers from the (empty) Site_Fixed tab. All Net$ figures for A, B, C scenarios are invalid."</a:t>
              </a:r>
            </a:p>
            <a:p>
              <a:pPr algn="l"/>
              <a:endParaRPr lang="en-US" sz="1100" b="0" i="0">
                <a:solidFill>
                  <a:schemeClr val="lt1"/>
                </a:solidFill>
                <a:effectLst/>
                <a:latin typeface="+mn-lt"/>
                <a:ea typeface="+mn-ea"/>
                <a:cs typeface="+mn-cs"/>
              </a:endParaRPr>
            </a:p>
            <a:p>
              <a:pPr algn="l"/>
              <a:r>
                <a:rPr lang="en-US" sz="1100" b="0" i="0">
                  <a:solidFill>
                    <a:schemeClr val="lt1"/>
                  </a:solidFill>
                  <a:effectLst/>
                  <a:latin typeface="+mn-lt"/>
                  <a:ea typeface="+mn-ea"/>
                  <a:cs typeface="+mn-cs"/>
                </a:rPr>
                <a:t>--</a:t>
              </a:r>
              <a:r>
                <a:rPr lang="en-US" sz="1100" b="1" i="0">
                  <a:solidFill>
                    <a:schemeClr val="lt1"/>
                  </a:solidFill>
                  <a:effectLst/>
                  <a:latin typeface="+mn-lt"/>
                  <a:ea typeface="+mn-ea"/>
                  <a:cs typeface="+mn-cs"/>
                </a:rPr>
                <a:t>Harmonize Conflicting Inputs:</a:t>
              </a:r>
              <a:r>
                <a:rPr lang="en-US" sz="1100" b="0" i="0">
                  <a:solidFill>
                    <a:schemeClr val="lt1"/>
                  </a:solidFill>
                  <a:effectLst/>
                  <a:latin typeface="+mn-lt"/>
                  <a:ea typeface="+mn-ea"/>
                  <a:cs typeface="+mn-cs"/>
                </a:rPr>
                <a:t> In Parameters_Public , change cell C43 (MarginalFactor_for_Overlay) from 0.6 to </a:t>
              </a:r>
              <a:r>
                <a:rPr lang="en-US" sz="1100" b="1" i="0">
                  <a:solidFill>
                    <a:schemeClr val="lt1"/>
                  </a:solidFill>
                  <a:effectLst/>
                  <a:latin typeface="+mn-lt"/>
                  <a:ea typeface="+mn-ea"/>
                  <a:cs typeface="+mn-cs"/>
                </a:rPr>
                <a:t>0.50</a:t>
              </a:r>
              <a:r>
                <a:rPr lang="en-US" sz="1100" b="0" i="0">
                  <a:solidFill>
                    <a:schemeClr val="lt1"/>
                  </a:solidFill>
                  <a:effectLst/>
                  <a:latin typeface="+mn-lt"/>
                  <a:ea typeface="+mn-ea"/>
                  <a:cs typeface="+mn-cs"/>
                </a:rPr>
                <a:t>. This aligns the </a:t>
              </a:r>
              <a:r>
                <a:rPr lang="en-US" sz="1100" b="0" i="1">
                  <a:solidFill>
                    <a:schemeClr val="lt1"/>
                  </a:solidFill>
                  <a:effectLst/>
                  <a:latin typeface="+mn-lt"/>
                  <a:ea typeface="+mn-ea"/>
                  <a:cs typeface="+mn-cs"/>
                </a:rPr>
                <a:t>live model</a:t>
              </a:r>
              <a:r>
                <a:rPr lang="en-US" sz="1100" b="0" i="0">
                  <a:solidFill>
                    <a:schemeClr val="lt1"/>
                  </a:solidFill>
                  <a:effectLst/>
                  <a:latin typeface="+mn-lt"/>
                  <a:ea typeface="+mn-ea"/>
                  <a:cs typeface="+mn-cs"/>
                </a:rPr>
                <a:t> with the </a:t>
              </a:r>
              <a:r>
                <a:rPr lang="en-US" sz="1100" b="0" i="1">
                  <a:solidFill>
                    <a:schemeClr val="lt1"/>
                  </a:solidFill>
                  <a:effectLst/>
                  <a:latin typeface="+mn-lt"/>
                  <a:ea typeface="+mn-ea"/>
                  <a:cs typeface="+mn-cs"/>
                </a:rPr>
                <a:t>documented justification</a:t>
              </a:r>
              <a:r>
                <a:rPr lang="en-US" sz="1100" b="0" i="0">
                  <a:solidFill>
                    <a:schemeClr val="lt1"/>
                  </a:solidFill>
                  <a:effectLst/>
                  <a:latin typeface="+mn-lt"/>
                  <a:ea typeface="+mn-ea"/>
                  <a:cs typeface="+mn-cs"/>
                </a:rPr>
                <a:t> in Definitions_Sources  and makes the "Growth" scenarios more conservative and defensible. -- see info / assumptions tab</a:t>
              </a:r>
            </a:p>
            <a:p>
              <a:pPr algn="l"/>
              <a:endParaRPr lang="en-US" sz="1100" b="0" i="0">
                <a:solidFill>
                  <a:schemeClr val="lt1"/>
                </a:solidFill>
                <a:effectLst/>
                <a:latin typeface="+mn-lt"/>
                <a:ea typeface="+mn-ea"/>
                <a:cs typeface="+mn-cs"/>
              </a:endParaRPr>
            </a:p>
            <a:p>
              <a:pPr rtl="0" eaLnBrk="1" fontAlgn="auto" latinLnBrk="0" hangingPunct="1"/>
              <a:r>
                <a:rPr lang="en-US" sz="1100" b="0" i="0">
                  <a:solidFill>
                    <a:schemeClr val="lt1"/>
                  </a:solidFill>
                  <a:effectLst/>
                  <a:latin typeface="+mn-lt"/>
                  <a:ea typeface="+mn-ea"/>
                  <a:cs typeface="+mn-cs"/>
                </a:rPr>
                <a:t>--</a:t>
              </a: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endParaRPr lang="en-US" sz="12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 -- see parameters_public tab</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the 'why echo makes sense as the innovation hub point'</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 </a:t>
              </a:r>
            </a:p>
            <a:p>
              <a:pPr rtl="0" eaLnBrk="1" fontAlgn="auto" latinLnBrk="0" hangingPunct="1"/>
              <a:endParaRPr lang="en-US" sz="1100" b="0" i="0" baseline="0">
                <a:solidFill>
                  <a:schemeClr val="lt1"/>
                </a:solidFill>
                <a:effectLst/>
                <a:latin typeface="+mn-lt"/>
                <a:ea typeface="+mn-ea"/>
                <a:cs typeface="+mn-cs"/>
              </a:endParaRPr>
            </a:p>
            <a:p>
              <a:r>
                <a:rPr lang="en-US" b="1"/>
                <a:t>Why your repurpose deltas fell when you pasted the estimated Site_Fixed numbers</a:t>
              </a:r>
            </a:p>
            <a:p>
              <a:r>
                <a:rPr lang="en-US" b="1"/>
                <a:t>What changed:</a:t>
              </a:r>
              <a:endParaRPr lang="en-US"/>
            </a:p>
            <a:p>
              <a:r>
                <a:rPr lang="en-US"/>
                <a:t>The </a:t>
              </a:r>
              <a:r>
                <a:rPr lang="en-US" b="1"/>
                <a:t>old proxy</a:t>
              </a:r>
              <a:r>
                <a:rPr lang="en-US"/>
                <a:t> (your “0.46 of total cost” rule) was crediting a </a:t>
              </a:r>
              <a:r>
                <a:rPr lang="en-US" b="1"/>
                <a:t>larger</a:t>
              </a:r>
              <a:r>
                <a:rPr lang="en-US"/>
                <a:t> fixed‑cost base per site.</a:t>
              </a:r>
            </a:p>
            <a:p>
              <a:r>
                <a:rPr lang="en-US"/>
                <a:t>The </a:t>
              </a:r>
              <a:r>
                <a:rPr lang="en-US" b="1"/>
                <a:t>new directional estimates</a:t>
              </a:r>
              <a:r>
                <a:rPr lang="en-US"/>
                <a:t> (plant ops ≈ $8/sf + school‑admin ≈ $350–400k + small insurance/other) came in </a:t>
              </a:r>
              <a:r>
                <a:rPr lang="en-US" b="1"/>
                <a:t>smaller</a:t>
              </a:r>
              <a:r>
                <a:rPr lang="en-US"/>
                <a:t>—on the order of </a:t>
              </a:r>
              <a:r>
                <a:rPr lang="en-US" b="1"/>
                <a:t>$0.90–$0.98M per site</a:t>
              </a:r>
              <a:r>
                <a:rPr lang="en-US"/>
                <a:t>.</a:t>
              </a:r>
            </a:p>
            <a:p>
              <a:r>
                <a:rPr lang="en-US"/>
                <a:t>Because </a:t>
              </a:r>
              <a:r>
                <a:rPr lang="el-GR"/>
                <a:t>Δ</a:t>
              </a:r>
              <a:r>
                <a:rPr lang="en-US"/>
                <a:t>Net (operating) for repurpose is </a:t>
              </a:r>
              <a:r>
                <a:rPr lang="en-US" b="1"/>
                <a:t>driven primarily by credited fixed savings</a:t>
              </a:r>
              <a:r>
                <a:rPr lang="en-US"/>
                <a:t>, a </a:t>
              </a:r>
              <a:r>
                <a:rPr lang="en-US" b="1"/>
                <a:t>smaller fixed base</a:t>
              </a:r>
              <a:r>
                <a:rPr lang="en-US"/>
                <a:t> → </a:t>
              </a:r>
              <a:r>
                <a:rPr lang="en-US" b="1"/>
                <a:t>smaller operating gain</a:t>
              </a:r>
              <a:r>
                <a:rPr lang="en-US"/>
                <a:t>, especially in early years when we still carry </a:t>
              </a:r>
              <a:r>
                <a:rPr lang="en-US" b="1"/>
                <a:t>f_ops/f_lease residuals</a:t>
              </a:r>
              <a:r>
                <a:rPr lang="en-US"/>
                <a:t>.</a:t>
              </a:r>
            </a:p>
            <a:p>
              <a:r>
                <a:rPr lang="en-US"/>
                <a:t>That’s why the repurpose alternatives look less attractive now: you swapped in a </a:t>
              </a:r>
              <a:r>
                <a:rPr lang="en-US" b="1"/>
                <a:t>more conservative</a:t>
              </a:r>
              <a:r>
                <a:rPr lang="en-US"/>
                <a:t> (smaller) fixed base.</a:t>
              </a:r>
            </a:p>
            <a:p>
              <a:br>
                <a:rPr lang="en-US"/>
              </a:br>
              <a:endParaRPr lang="en-US"/>
            </a:p>
            <a:p>
              <a:r>
                <a:rPr lang="en-US" b="1"/>
                <a:t>B) Reconciling with the district’s “~$0.9–$1.0M per school” statement</a:t>
              </a:r>
            </a:p>
            <a:p>
              <a:r>
                <a:rPr lang="en-US"/>
                <a:t>There are </a:t>
              </a:r>
              <a:r>
                <a:rPr lang="en-US" b="1"/>
                <a:t>three</a:t>
              </a:r>
              <a:r>
                <a:rPr lang="en-US"/>
                <a:t> plausible explanations for the gap. Each is testable.</a:t>
              </a:r>
            </a:p>
            <a:p>
              <a:r>
                <a:rPr lang="en-US" b="1"/>
                <a:t>1) The “0.46” proxy was overstating fixed costs (most likely)</a:t>
              </a:r>
            </a:p>
            <a:p>
              <a:r>
                <a:rPr lang="en-US" b="1"/>
                <a:t>What it would mean:</a:t>
              </a:r>
              <a:r>
                <a:rPr lang="en-US"/>
                <a:t> The proxy swept in </a:t>
              </a:r>
              <a:r>
                <a:rPr lang="en-US" b="1"/>
                <a:t>variable</a:t>
              </a:r>
              <a:r>
                <a:rPr lang="en-US"/>
                <a:t> or </a:t>
              </a:r>
              <a:r>
                <a:rPr lang="en-US" b="1"/>
                <a:t>semi‑variable</a:t>
              </a:r>
              <a:r>
                <a:rPr lang="en-US"/>
                <a:t> costs when it labeled “fixed,” inflating the savings credited to repurpose. Your new directional estimate, rooted in </a:t>
              </a:r>
              <a:r>
                <a:rPr lang="en-US" b="1"/>
                <a:t>plant ops per square foot + school‑admin FTE + small insurance/other</a:t>
              </a:r>
              <a:r>
                <a:rPr lang="en-US"/>
                <a:t>, is closer to how </a:t>
              </a:r>
              <a:r>
                <a:rPr lang="en-US" b="1"/>
                <a:t>site‑fixed</a:t>
              </a:r>
              <a:r>
                <a:rPr lang="en-US"/>
                <a:t> is normally defined.</a:t>
              </a:r>
            </a:p>
            <a:p>
              <a:r>
                <a:rPr lang="en-US" b="1"/>
                <a:t>How to validate quickly:</a:t>
              </a:r>
              <a:endParaRPr lang="en-US"/>
            </a:p>
            <a:p>
              <a:pPr lvl="1"/>
              <a:r>
                <a:rPr lang="en-US"/>
                <a:t>Ask for the FY25 </a:t>
              </a:r>
              <a:r>
                <a:rPr lang="en-US" b="1"/>
                <a:t>Fund 001, by school, by function</a:t>
              </a:r>
              <a:r>
                <a:rPr lang="en-US"/>
                <a:t> extract (Echo, Pima). Keep only truly fixed: </a:t>
              </a:r>
              <a:r>
                <a:rPr lang="en-US" b="1"/>
                <a:t>2600 Plant Ops</a:t>
              </a:r>
              <a:r>
                <a:rPr lang="en-US"/>
                <a:t> (utilities, repairs, custodial baseline), </a:t>
              </a:r>
              <a:r>
                <a:rPr lang="en-US" b="1"/>
                <a:t>2400 School Admin</a:t>
              </a:r>
              <a:r>
                <a:rPr lang="en-US"/>
                <a:t>, </a:t>
              </a:r>
              <a:r>
                <a:rPr lang="en-US" b="1"/>
                <a:t>insurance/min‑utilities</a:t>
              </a:r>
              <a:r>
                <a:rPr lang="en-US"/>
                <a:t> that would persist if mothballed/leased; </a:t>
              </a:r>
              <a:r>
                <a:rPr lang="en-US" b="1"/>
                <a:t>exclude</a:t>
              </a:r>
              <a:r>
                <a:rPr lang="en-US"/>
                <a:t> classroom‑linked costs and itinerant FTEs.</a:t>
              </a:r>
            </a:p>
            <a:p>
              <a:pPr lvl="1"/>
              <a:r>
                <a:rPr lang="en-US"/>
                <a:t>Crosswalk the old proxy’s “fixed” bucket to these functions and compare. If the old proxy included 100% of school‑level 2100/2200 (instruction/support) or shared central allocations, it was too rich.</a:t>
              </a:r>
            </a:p>
            <a:p>
              <a:r>
                <a:rPr lang="en-US" b="1"/>
                <a:t>What we expect:</a:t>
              </a:r>
              <a:r>
                <a:rPr lang="en-US"/>
                <a:t> The audited site‑fixed total per school will likely be </a:t>
              </a:r>
              <a:r>
                <a:rPr lang="en-US" b="1"/>
                <a:t>in the $0.9–$1.1M band</a:t>
              </a:r>
              <a:r>
                <a:rPr lang="en-US"/>
                <a:t>, not the larger number implied by “0.46 × total cost.”</a:t>
              </a:r>
            </a:p>
            <a:p>
              <a:r>
                <a:rPr lang="en-US" b="1"/>
                <a:t>Subjective probability:</a:t>
              </a:r>
              <a:r>
                <a:rPr lang="en-US"/>
                <a:t> </a:t>
              </a:r>
              <a:r>
                <a:rPr lang="en-US" b="1"/>
                <a:t>High</a:t>
              </a:r>
              <a:r>
                <a:rPr lang="en-US"/>
                <a:t>.</a:t>
              </a:r>
            </a:p>
            <a:p>
              <a:r>
                <a:rPr lang="en-US" b="1"/>
                <a:t>2) Our directional Site_Fixed placeholders may still be low for these two sites (moderate likelihood)</a:t>
              </a:r>
            </a:p>
            <a:p>
              <a:r>
                <a:rPr lang="en-US" b="1"/>
                <a:t>What it would mean:</a:t>
              </a:r>
              <a:r>
                <a:rPr lang="en-US"/>
                <a:t> Echo/Pima may have </a:t>
              </a:r>
              <a:r>
                <a:rPr lang="en-US" b="1"/>
                <a:t>above‑average plant costs</a:t>
              </a:r>
              <a:r>
                <a:rPr lang="en-US"/>
                <a:t> or </a:t>
              </a:r>
              <a:r>
                <a:rPr lang="en-US" b="1"/>
                <a:t>higher school‑admin load</a:t>
              </a:r>
              <a:r>
                <a:rPr lang="en-US"/>
                <a:t> than the crude anchors (older HV/AC runs, grounds/security, modulars, or an assistant principal coded to 2400).</a:t>
              </a:r>
            </a:p>
            <a:p>
              <a:r>
                <a:rPr lang="en-US" b="1"/>
                <a:t>How to validate:</a:t>
              </a:r>
              <a:r>
                <a:rPr lang="en-US"/>
                <a:t> The same CFO CSV will tell us. As a pre‑check, you can sanity‑test </a:t>
              </a:r>
              <a:r>
                <a:rPr lang="en-US" b="1"/>
                <a:t>plant cost ≈ (kWh + therms + water) × utility rates</a:t>
              </a:r>
              <a:r>
                <a:rPr lang="en-US"/>
                <a:t> if those utility statements are available; often this alone can move the plant subtotal by </a:t>
              </a:r>
              <a:r>
                <a:rPr lang="en-US" b="1"/>
                <a:t>$100–$200k</a:t>
              </a:r>
              <a:r>
                <a:rPr lang="en-US"/>
                <a:t> per site year‑over‑year.</a:t>
              </a:r>
            </a:p>
            <a:p>
              <a:r>
                <a:rPr lang="en-US" b="1"/>
                <a:t>What we expect:</a:t>
              </a:r>
              <a:r>
                <a:rPr lang="en-US"/>
                <a:t> It’s very possible one site sits </a:t>
              </a:r>
              <a:r>
                <a:rPr lang="en-US" b="1"/>
                <a:t>&gt; $1.0M</a:t>
              </a:r>
              <a:r>
                <a:rPr lang="en-US"/>
                <a:t> and the other </a:t>
              </a:r>
              <a:r>
                <a:rPr lang="en-US" b="1"/>
                <a:t>just below</a:t>
              </a:r>
              <a:r>
                <a:rPr lang="en-US"/>
                <a:t>; your </a:t>
              </a:r>
              <a:r>
                <a:rPr lang="en-US" b="1"/>
                <a:t>$0.9–$0.98M</a:t>
              </a:r>
              <a:r>
                <a:rPr lang="en-US"/>
                <a:t> placeholders could be ~</a:t>
              </a:r>
              <a:r>
                <a:rPr lang="en-US" b="1"/>
                <a:t>$100–$200k</a:t>
              </a:r>
              <a:r>
                <a:rPr lang="en-US"/>
                <a:t> light in steady state.</a:t>
              </a:r>
            </a:p>
            <a:p>
              <a:r>
                <a:rPr lang="en-US" b="1"/>
                <a:t>Subjective probability:</a:t>
              </a:r>
              <a:r>
                <a:rPr lang="en-US"/>
                <a:t> </a:t>
              </a:r>
              <a:r>
                <a:rPr lang="en-US" b="1"/>
                <a:t>Medium</a:t>
              </a:r>
              <a:r>
                <a:rPr lang="en-US"/>
                <a:t>.</a:t>
              </a:r>
            </a:p>
            <a:p>
              <a:r>
                <a:rPr lang="en-US" b="1"/>
                <a:t>3) Timing/definition mismatch with the board’s “$0.9–$1.0M” (moderate likelihood)</a:t>
              </a:r>
            </a:p>
            <a:p>
              <a:r>
                <a:rPr lang="en-US" b="1"/>
                <a:t>What it would mean:</a:t>
              </a:r>
              <a:r>
                <a:rPr lang="en-US"/>
                <a:t> The public number may refer to </a:t>
              </a:r>
              <a:r>
                <a:rPr lang="en-US" b="1"/>
                <a:t>steady‑state</a:t>
              </a:r>
              <a:r>
                <a:rPr lang="en-US"/>
                <a:t> (i.e., </a:t>
              </a:r>
              <a:r>
                <a:rPr lang="en-US" b="1"/>
                <a:t>f → 0</a:t>
              </a:r>
              <a:r>
                <a:rPr lang="en-US"/>
                <a:t>), or it may be a </a:t>
              </a:r>
              <a:r>
                <a:rPr lang="en-US" b="1"/>
                <a:t>gross “fixed M&amp;O savings”</a:t>
              </a:r>
              <a:r>
                <a:rPr lang="en-US"/>
                <a:t> number </a:t>
              </a:r>
              <a:r>
                <a:rPr lang="en-US" b="1"/>
                <a:t>before</a:t>
              </a:r>
              <a:r>
                <a:rPr lang="en-US"/>
                <a:t> retention overhead (</a:t>
              </a:r>
              <a:r>
                <a:rPr lang="en-US" b="1"/>
                <a:t>h</a:t>
              </a:r>
              <a:r>
                <a:rPr lang="en-US"/>
                <a:t>) and lost‑student contribution effects, or it may </a:t>
              </a:r>
              <a:r>
                <a:rPr lang="en-US" b="1"/>
                <a:t>include</a:t>
              </a:r>
              <a:r>
                <a:rPr lang="en-US"/>
                <a:t> anticipated </a:t>
              </a:r>
              <a:r>
                <a:rPr lang="en-US" b="1"/>
                <a:t>lease revenue</a:t>
              </a:r>
              <a:r>
                <a:rPr lang="en-US"/>
                <a:t>. We model </a:t>
              </a:r>
              <a:r>
                <a:rPr lang="en-US" b="1"/>
                <a:t>operating Net</a:t>
              </a:r>
              <a:r>
                <a:rPr lang="en-US"/>
                <a:t> (M&amp;O – revenues) and </a:t>
              </a:r>
              <a:r>
                <a:rPr lang="en-US" b="1"/>
                <a:t>charge overhead</a:t>
              </a:r>
              <a:r>
                <a:rPr lang="en-US"/>
                <a:t>; they might have quoted a </a:t>
              </a:r>
              <a:r>
                <a:rPr lang="en-US" b="1"/>
                <a:t>gross, steady‑state savings</a:t>
              </a:r>
              <a:r>
                <a:rPr lang="en-US"/>
                <a:t> with no overhead and no timing residual.</a:t>
              </a:r>
            </a:p>
            <a:p>
              <a:r>
                <a:rPr lang="en-US" b="1"/>
                <a:t>How to validate:</a:t>
              </a:r>
              <a:r>
                <a:rPr lang="en-US"/>
                <a:t> Ask Finance to clarify </a:t>
              </a:r>
              <a:r>
                <a:rPr lang="en-US" b="1"/>
                <a:t>(a)</a:t>
              </a:r>
              <a:r>
                <a:rPr lang="en-US"/>
                <a:t> the </a:t>
              </a:r>
              <a:r>
                <a:rPr lang="en-US" b="1"/>
                <a:t>functions</a:t>
              </a:r>
              <a:r>
                <a:rPr lang="en-US"/>
                <a:t> included, </a:t>
              </a:r>
              <a:r>
                <a:rPr lang="en-US" b="1"/>
                <a:t>(b)</a:t>
              </a:r>
              <a:r>
                <a:rPr lang="en-US"/>
                <a:t> whether it’s </a:t>
              </a:r>
              <a:r>
                <a:rPr lang="en-US" b="1"/>
                <a:t>net of retention overhead</a:t>
              </a:r>
              <a:r>
                <a:rPr lang="en-US"/>
                <a:t>, </a:t>
              </a:r>
              <a:r>
                <a:rPr lang="en-US" b="1"/>
                <a:t>(c)</a:t>
              </a:r>
              <a:r>
                <a:rPr lang="en-US"/>
                <a:t> whether it’s </a:t>
              </a:r>
              <a:r>
                <a:rPr lang="en-US" b="1"/>
                <a:t>first year</a:t>
              </a:r>
              <a:r>
                <a:rPr lang="en-US"/>
                <a:t> or </a:t>
              </a:r>
              <a:r>
                <a:rPr lang="en-US" b="1"/>
                <a:t>steady‑state</a:t>
              </a:r>
              <a:r>
                <a:rPr lang="en-US"/>
                <a:t>, and </a:t>
              </a:r>
              <a:r>
                <a:rPr lang="en-US" b="1"/>
                <a:t>(d)</a:t>
              </a:r>
              <a:r>
                <a:rPr lang="en-US"/>
                <a:t> whether </a:t>
              </a:r>
              <a:r>
                <a:rPr lang="en-US" b="1"/>
                <a:t>lease revenue</a:t>
              </a:r>
              <a:r>
                <a:rPr lang="en-US"/>
                <a:t> is in that figure.</a:t>
              </a:r>
            </a:p>
            <a:p>
              <a:r>
                <a:rPr lang="en-US" b="1"/>
                <a:t>What we expect:</a:t>
              </a:r>
              <a:r>
                <a:rPr lang="en-US"/>
                <a:t> If their figure is </a:t>
              </a:r>
              <a:r>
                <a:rPr lang="en-US" b="1"/>
                <a:t>steady‑state fixed savings</a:t>
              </a:r>
              <a:r>
                <a:rPr lang="en-US"/>
                <a:t>, it should match </a:t>
              </a:r>
              <a:r>
                <a:rPr lang="en-US" b="1"/>
                <a:t>(1 − f_*) × SiteFixed</a:t>
              </a:r>
              <a:r>
                <a:rPr lang="en-US"/>
                <a:t> when </a:t>
              </a:r>
              <a:r>
                <a:rPr lang="en-US" b="1"/>
                <a:t>f_</a:t>
              </a:r>
              <a:r>
                <a:rPr lang="en-US"/>
                <a:t>* is near </a:t>
              </a:r>
              <a:r>
                <a:rPr lang="en-US" b="1"/>
                <a:t>0</a:t>
              </a:r>
              <a:r>
                <a:rPr lang="en-US"/>
                <a:t>. Early‑year model deltas will be smaller because we carry </a:t>
              </a:r>
              <a:r>
                <a:rPr lang="en-US" b="1"/>
                <a:t>f_ops 0.45…0.30</a:t>
              </a:r>
              <a:r>
                <a:rPr lang="en-US"/>
                <a:t> and </a:t>
              </a:r>
              <a:r>
                <a:rPr lang="en-US" b="1"/>
                <a:t>f_lease 0.20…0.10</a:t>
              </a:r>
              <a:r>
                <a:rPr lang="en-US"/>
                <a:t> plus </a:t>
              </a:r>
              <a:r>
                <a:rPr lang="en-US" b="1"/>
                <a:t>h</a:t>
              </a:r>
              <a:r>
                <a:rPr lang="en-US"/>
                <a:t>.</a:t>
              </a:r>
            </a:p>
            <a:p>
              <a:r>
                <a:rPr lang="en-US" b="1"/>
                <a:t>Subjective probability:</a:t>
              </a:r>
              <a:r>
                <a:rPr lang="en-US"/>
                <a:t> </a:t>
              </a:r>
              <a:r>
                <a:rPr lang="en-US" b="1"/>
                <a:t>Medium</a:t>
              </a:r>
              <a:r>
                <a:rPr lang="en-US"/>
                <a:t>.</a:t>
              </a:r>
            </a:p>
            <a:p>
              <a:br>
                <a:rPr lang="en-US"/>
              </a:br>
              <a:endParaRPr lang="en-US"/>
            </a:p>
            <a:p>
              <a:r>
                <a:rPr lang="en-US" b="1"/>
                <a:t>C) A tight way to decide if our placeholders are “wrong” or the old proxy was “wrong”</a:t>
              </a:r>
            </a:p>
            <a:p>
              <a:r>
                <a:rPr lang="en-US"/>
                <a:t>Work the identity backward for a target year (e.g., FY30):</a:t>
              </a:r>
            </a:p>
            <a:p>
              <a:pPr/>
              <a:r>
                <a:rPr lang="el-GR" sz="1100" i="0">
                  <a:solidFill>
                    <a:schemeClr val="lt1"/>
                  </a:solidFill>
                  <a:latin typeface="Cambria Math" panose="02040503050406030204" pitchFamily="18" charset="0"/>
                  <a:ea typeface="+mn-ea"/>
                  <a:cs typeface="+mn-cs"/>
                </a:rPr>
                <a:t>Δ</a:t>
              </a:r>
              <a:r>
                <a:rPr lang="en-US" sz="1100" b="0" i="0">
                  <a:solidFill>
                    <a:schemeClr val="lt1"/>
                  </a:solidFill>
                  <a:latin typeface="Cambria Math" panose="02040503050406030204" pitchFamily="18" charset="0"/>
                  <a:ea typeface="+mn-ea"/>
                  <a:cs typeface="+mn-cs"/>
                </a:rPr>
                <a:t>"Net"≈</a:t>
              </a:r>
              <a:r>
                <a:rPr lang="ar-AE" sz="1100" b="0" i="0">
                  <a:solidFill>
                    <a:schemeClr val="lt1"/>
                  </a:solidFill>
                  <a:latin typeface="Cambria Math" panose="02040503050406030204" pitchFamily="18" charset="0"/>
                  <a:ea typeface="+mn-ea"/>
                  <a:cs typeface="+mn-cs"/>
                </a:rPr>
                <a:t>(1−𝑓_𝑡 )" "  ⏟(</a:t>
              </a:r>
              <a:r>
                <a:rPr lang="en-US" sz="1100" b="0" i="0">
                  <a:solidFill>
                    <a:schemeClr val="lt1"/>
                  </a:solidFill>
                  <a:latin typeface="+mn-lt"/>
                  <a:ea typeface="+mn-ea"/>
                  <a:cs typeface="+mn-cs"/>
                </a:rPr>
                <a:t>"SiteFixed</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mn-lt"/>
                  <a:ea typeface="+mn-ea"/>
                  <a:cs typeface="+mn-cs"/>
                </a:rPr>
                <a:t>"Echo+Pima</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−(1−𝑟)" " 𝐷" " 𝑚_𝑡−𝑟" " 𝐷" " ℎ_𝑡</a:t>
              </a:r>
              <a:endParaRPr lang="ar-AE" b="0"/>
            </a:p>
            <a:p>
              <a:r>
                <a:rPr lang="en-US"/>
                <a:t>If the Board’s </a:t>
              </a:r>
              <a:r>
                <a:rPr lang="en-US" b="1"/>
                <a:t>target </a:t>
              </a:r>
              <a:r>
                <a:rPr lang="el-GR" b="1"/>
                <a:t>Δ</a:t>
              </a:r>
              <a:r>
                <a:rPr lang="en-US" b="1"/>
                <a:t>Net/site</a:t>
              </a:r>
              <a:r>
                <a:rPr lang="en-US"/>
                <a:t> is </a:t>
              </a:r>
              <a:r>
                <a:rPr lang="en-US" b="1"/>
                <a:t>$0.95M</a:t>
              </a:r>
              <a:r>
                <a:rPr lang="en-US"/>
                <a:t> (so </a:t>
              </a:r>
              <a:r>
                <a:rPr lang="en-US" b="1"/>
                <a:t>$1.90M</a:t>
              </a:r>
              <a:r>
                <a:rPr lang="en-US"/>
                <a:t> for both), you can solve for the </a:t>
              </a:r>
              <a:r>
                <a:rPr lang="en-US" b="1"/>
                <a:t>required SiteFixed</a:t>
              </a:r>
              <a:r>
                <a:rPr lang="en-US"/>
                <a:t> that makes your FY30 model hit that total:</a:t>
              </a:r>
            </a:p>
            <a:p>
              <a:pP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Cambria Math" panose="02040503050406030204" pitchFamily="18" charset="0"/>
                  <a:ea typeface="+mn-ea"/>
                  <a:cs typeface="+mn-cs"/>
                </a:rPr>
                <a:t>"</a:t>
              </a:r>
              <a:r>
                <a:rPr lang="en-US" b="0" i="0"/>
                <a:t>SiteFixed</a:t>
              </a:r>
              <a:r>
                <a:rPr lang="en-US" b="0" i="0">
                  <a:latin typeface="Cambria Math" panose="02040503050406030204" pitchFamily="18" charset="0"/>
                </a:rPr>
                <a:t>" </a:t>
              </a:r>
              <a:r>
                <a:rPr lang="ar-AE" sz="1100" b="0" i="0">
                  <a:solidFill>
                    <a:schemeClr val="lt1"/>
                  </a:solidFill>
                  <a:latin typeface="Cambria Math" panose="02040503050406030204" pitchFamily="18" charset="0"/>
                  <a:ea typeface="+mn-ea"/>
                  <a:cs typeface="+mn-cs"/>
                </a:rPr>
                <a:t>〗^⋆</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"  "="  " </a:t>
              </a:r>
              <a:r>
                <a:rPr lang="el-GR"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a:t>
              </a:r>
              <a:r>
                <a:rPr lang="el-GR" sz="1100" b="0" i="0">
                  <a:solidFill>
                    <a:schemeClr val="lt1"/>
                  </a:solidFill>
                  <a:latin typeface="Cambria Math" panose="02040503050406030204" pitchFamily="18" charset="0"/>
                  <a:ea typeface="+mn-ea"/>
                  <a:cs typeface="+mn-cs"/>
                </a:rPr>
                <a:t>Δ</a:t>
              </a: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mn-lt"/>
                  <a:ea typeface="+mn-ea"/>
                  <a:cs typeface="+mn-cs"/>
                </a:rPr>
                <a:t>"Net</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〗_</a:t>
              </a:r>
              <a:r>
                <a:rPr lang="en-US" sz="1100" b="0" i="0">
                  <a:solidFill>
                    <a:schemeClr val="lt1"/>
                  </a:solidFill>
                  <a:latin typeface="+mn-lt"/>
                  <a:ea typeface="+mn-ea"/>
                  <a:cs typeface="+mn-cs"/>
                </a:rPr>
                <a:t>"target</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+(1−𝑟)</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𝐷</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𝑚_𝑡+𝑟</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𝐷</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ℎ_𝑡)/(1−𝑓_𝑡 )</a:t>
              </a:r>
              <a:endParaRPr lang="ar-AE" b="0"/>
            </a:p>
            <a:p>
              <a:r>
                <a:rPr lang="en-US"/>
                <a:t>If </a:t>
              </a:r>
              <a:r>
                <a:rPr lang="en-US" b="1"/>
                <a:t>SiteFixed* ≫</a:t>
              </a:r>
              <a:r>
                <a:rPr lang="en-US"/>
                <a:t> your current placeholder, your placeholders are </a:t>
              </a:r>
              <a:r>
                <a:rPr lang="en-US" b="1"/>
                <a:t>too low</a:t>
              </a:r>
              <a:r>
                <a:rPr lang="en-US"/>
                <a:t> (Explanation #2).</a:t>
              </a:r>
            </a:p>
            <a:p>
              <a:r>
                <a:rPr lang="en-US"/>
                <a:t>If </a:t>
              </a:r>
              <a:r>
                <a:rPr lang="en-US" b="1"/>
                <a:t>SiteFixed* ≪</a:t>
              </a:r>
              <a:r>
                <a:rPr lang="en-US"/>
                <a:t> the old 0.46‑rule result, the old proxy was </a:t>
              </a:r>
              <a:r>
                <a:rPr lang="en-US" b="1"/>
                <a:t>too high</a:t>
              </a:r>
              <a:r>
                <a:rPr lang="en-US"/>
                <a:t> (Explanation #1).</a:t>
              </a:r>
            </a:p>
            <a:p>
              <a:r>
                <a:rPr lang="en-US"/>
                <a:t>If </a:t>
              </a:r>
              <a:r>
                <a:rPr lang="en-US" b="1"/>
                <a:t>SiteFixed*</a:t>
              </a:r>
              <a:r>
                <a:rPr lang="en-US"/>
                <a:t> matches the board target </a:t>
              </a:r>
              <a:r>
                <a:rPr lang="en-US" b="1"/>
                <a:t>only</a:t>
              </a:r>
              <a:r>
                <a:rPr lang="en-US"/>
                <a:t> when </a:t>
              </a:r>
              <a:r>
                <a:rPr lang="en-US" b="1"/>
                <a:t>f_t</a:t>
              </a:r>
              <a:r>
                <a:rPr lang="en-US"/>
                <a:t> is small (e.g., </a:t>
              </a:r>
              <a:r>
                <a:rPr lang="en-US" b="1"/>
                <a:t>0.10</a:t>
              </a:r>
              <a:r>
                <a:rPr lang="en-US"/>
                <a:t>), that points to a </a:t>
              </a:r>
              <a:r>
                <a:rPr lang="en-US" b="1"/>
                <a:t>timing assumption</a:t>
              </a:r>
              <a:r>
                <a:rPr lang="en-US"/>
                <a:t> mismatch (Explanation #3).</a:t>
              </a:r>
            </a:p>
            <a:p>
              <a:r>
                <a:rPr lang="en-US"/>
                <a:t>This is deterministic and uses </a:t>
              </a:r>
              <a:r>
                <a:rPr lang="en-US" b="1"/>
                <a:t>your own r, D, m, h, f</a:t>
              </a:r>
              <a:r>
                <a:rPr lang="en-US"/>
                <a:t> for FY30.</a:t>
              </a:r>
            </a:p>
            <a:p>
              <a:br>
                <a:rPr lang="en-US"/>
              </a:br>
              <a:endParaRPr lang="en-US"/>
            </a:p>
            <a:p>
              <a:r>
                <a:rPr lang="en-US" b="1"/>
                <a:t>D) Quick sensitivity you can quote in the meeting</a:t>
              </a:r>
            </a:p>
            <a:p>
              <a:r>
                <a:rPr lang="en-US" b="1"/>
                <a:t>Per $100k change</a:t>
              </a:r>
              <a:r>
                <a:rPr lang="en-US"/>
                <a:t> in SiteFixed (both schools combined), FY30 </a:t>
              </a:r>
              <a:r>
                <a:rPr lang="el-GR" b="1"/>
                <a:t>Δ</a:t>
              </a:r>
              <a:r>
                <a:rPr lang="en-US" b="1"/>
                <a:t>Net moves by</a:t>
              </a:r>
              <a:r>
                <a:rPr lang="en-US"/>
                <a:t> </a:t>
              </a:r>
              <a:r>
                <a:rPr lang="en-US" b="1"/>
                <a:t>$(1 − f_t) × 100k</a:t>
              </a:r>
              <a:r>
                <a:rPr lang="en-US"/>
                <a:t>.</a:t>
              </a:r>
            </a:p>
            <a:p>
              <a:pPr lvl="1"/>
              <a:r>
                <a:rPr lang="en-US"/>
                <a:t>With </a:t>
              </a:r>
              <a:r>
                <a:rPr lang="en-US" b="1"/>
                <a:t>f_ops FY30 = 0.30</a:t>
              </a:r>
              <a:r>
                <a:rPr lang="en-US"/>
                <a:t>, that’s </a:t>
              </a:r>
              <a:r>
                <a:rPr lang="en-US" b="1"/>
                <a:t>$70k</a:t>
              </a:r>
              <a:r>
                <a:rPr lang="en-US"/>
                <a:t> to </a:t>
              </a:r>
              <a:r>
                <a:rPr lang="el-GR"/>
                <a:t>Δ</a:t>
              </a:r>
              <a:r>
                <a:rPr lang="en-US"/>
                <a:t>Net; with </a:t>
              </a:r>
              <a:r>
                <a:rPr lang="en-US" b="1"/>
                <a:t>f_lease FY30 = 0.10</a:t>
              </a:r>
              <a:r>
                <a:rPr lang="en-US"/>
                <a:t>, that’s </a:t>
              </a:r>
              <a:r>
                <a:rPr lang="en-US" b="1"/>
                <a:t>$90k</a:t>
              </a:r>
              <a:r>
                <a:rPr lang="en-US"/>
                <a:t>.</a:t>
              </a:r>
            </a:p>
            <a:p>
              <a:r>
                <a:rPr lang="en-US" b="1"/>
                <a:t>Per 10‑point change</a:t>
              </a:r>
              <a:r>
                <a:rPr lang="en-US"/>
                <a:t> in </a:t>
              </a:r>
              <a:r>
                <a:rPr lang="en-US" b="1"/>
                <a:t>r</a:t>
              </a:r>
              <a:r>
                <a:rPr lang="en-US"/>
                <a:t> (retention), FY30 </a:t>
              </a:r>
              <a:r>
                <a:rPr lang="el-GR" b="1"/>
                <a:t>Δ</a:t>
              </a:r>
              <a:r>
                <a:rPr lang="en-US" b="1"/>
                <a:t>Net</a:t>
              </a:r>
              <a:r>
                <a:rPr lang="en-US"/>
                <a:t> moves by roughly </a:t>
              </a:r>
              <a:r>
                <a:rPr lang="en-US" b="1"/>
                <a:t>0.10 × D × (m_t − h_t)</a:t>
              </a:r>
              <a:r>
                <a:rPr lang="en-US"/>
                <a:t>.</a:t>
              </a:r>
            </a:p>
            <a:p>
              <a:r>
                <a:rPr lang="en-US" b="1"/>
                <a:t>Per $500 change</a:t>
              </a:r>
              <a:r>
                <a:rPr lang="en-US"/>
                <a:t> in </a:t>
              </a:r>
              <a:r>
                <a:rPr lang="en-US" b="1"/>
                <a:t>m_t</a:t>
              </a:r>
              <a:r>
                <a:rPr lang="en-US"/>
                <a:t>, FY30 </a:t>
              </a:r>
              <a:r>
                <a:rPr lang="el-GR" b="1"/>
                <a:t>Δ</a:t>
              </a:r>
              <a:r>
                <a:rPr lang="en-US" b="1"/>
                <a:t>Net</a:t>
              </a:r>
              <a:r>
                <a:rPr lang="en-US"/>
                <a:t> moves by </a:t>
              </a:r>
              <a:r>
                <a:rPr lang="en-US" b="1"/>
                <a:t>$(1 − r) × D × 500</a:t>
              </a:r>
              <a:r>
                <a:rPr lang="en-US"/>
                <a:t> (lost‑student term).</a:t>
              </a:r>
            </a:p>
            <a:p>
              <a:r>
                <a:rPr lang="en-US"/>
                <a:t>These three levers explain </a:t>
              </a:r>
              <a:r>
                <a:rPr lang="en-US" b="1"/>
                <a:t>most</a:t>
              </a:r>
              <a:r>
                <a:rPr lang="en-US"/>
                <a:t> of the movement you saw when you swapped proxies.</a:t>
              </a:r>
            </a:p>
            <a:p>
              <a:br>
                <a:rPr lang="en-US"/>
              </a:br>
              <a:endParaRPr lang="en-US"/>
            </a:p>
            <a:p>
              <a:r>
                <a:rPr lang="en-US" b="1"/>
                <a:t>E) What to do right now (while we wait on the CFO CSV)</a:t>
              </a:r>
            </a:p>
            <a:p>
              <a:r>
                <a:rPr lang="en-US" b="1"/>
                <a:t>Keep</a:t>
              </a:r>
              <a:r>
                <a:rPr lang="en-US"/>
                <a:t> the directional placeholders you just used (they are </a:t>
              </a:r>
              <a:r>
                <a:rPr lang="en-US" b="1"/>
                <a:t>defensible</a:t>
              </a:r>
              <a:r>
                <a:rPr lang="en-US"/>
                <a:t> and align with public function totals and campus sizes).</a:t>
              </a:r>
            </a:p>
            <a:p>
              <a:r>
                <a:rPr lang="en-US" b="1"/>
                <a:t>Add a one‑line footnote</a:t>
              </a:r>
              <a:r>
                <a:rPr lang="en-US"/>
                <a:t> on </a:t>
              </a:r>
              <a:r>
                <a:rPr lang="en-US" b="1"/>
                <a:t>Scenario_Comparison</a:t>
              </a:r>
              <a:r>
                <a:rPr lang="en-US"/>
                <a:t> or </a:t>
              </a:r>
              <a:r>
                <a:rPr lang="en-US" b="1"/>
                <a:t>Summary_Figures</a:t>
              </a:r>
              <a:r>
                <a:rPr lang="en-US"/>
                <a:t>:</a:t>
              </a:r>
            </a:p>
            <a:p>
              <a:r>
                <a:rPr lang="en-US"/>
                <a:t>“Repurpose fixed M&amp;O savings are using directional placeholders rooted in FY26 function totals and campus sf; audited FY25 site‑level ledgers (Fund 001) will replace these values.”</a:t>
              </a:r>
            </a:p>
            <a:p>
              <a:r>
                <a:rPr lang="en-US" b="1"/>
                <a:t>Run the backward solve once</a:t>
              </a:r>
              <a:r>
                <a:rPr lang="en-US"/>
                <a:t> (per C) for FY30 using your current </a:t>
              </a:r>
              <a:r>
                <a:rPr lang="en-US" b="1"/>
                <a:t>r, D, m, h, f</a:t>
              </a:r>
              <a:r>
                <a:rPr lang="en-US"/>
                <a:t> to see the </a:t>
              </a:r>
              <a:r>
                <a:rPr lang="en-US" b="1"/>
                <a:t>implied SiteFixed*</a:t>
              </a:r>
              <a:r>
                <a:rPr lang="en-US"/>
                <a:t> that would match </a:t>
              </a:r>
              <a:r>
                <a:rPr lang="en-US" b="1"/>
                <a:t>$1.9M</a:t>
              </a:r>
              <a:r>
                <a:rPr lang="en-US"/>
                <a:t> total. If the implied SiteFixed* is </a:t>
              </a:r>
              <a:r>
                <a:rPr lang="en-US" b="1"/>
                <a:t>close</a:t>
              </a:r>
              <a:r>
                <a:rPr lang="en-US"/>
                <a:t> to your placeholders, you’re in the right band; if it’s far, note </a:t>
              </a:r>
              <a:r>
                <a:rPr lang="en-US" b="1"/>
                <a:t>which lever</a:t>
              </a:r>
              <a:r>
                <a:rPr lang="en-US"/>
                <a:t> explains the distance (timing via </a:t>
              </a:r>
              <a:r>
                <a:rPr lang="en-US" b="1"/>
                <a:t>f_t</a:t>
              </a:r>
              <a:r>
                <a:rPr lang="en-US"/>
                <a:t>, or base via </a:t>
              </a:r>
              <a:r>
                <a:rPr lang="en-US" b="1"/>
                <a:t>SiteFixed</a:t>
              </a:r>
              <a:r>
                <a:rPr lang="en-US"/>
                <a:t>).</a:t>
              </a:r>
            </a:p>
            <a:p>
              <a:pPr rtl="0" eaLnBrk="1" fontAlgn="auto" latinLnBrk="0" hangingPunct="1"/>
              <a:endParaRPr lang="en-US" sz="1200">
                <a:effectLst/>
              </a:endParaRPr>
            </a:p>
            <a:p>
              <a:pPr algn="l"/>
              <a:endParaRPr lang="en-US" sz="12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395945</xdr:colOff>
      <xdr:row>1</xdr:row>
      <xdr:rowOff>141938</xdr:rowOff>
    </xdr:from>
    <xdr:to>
      <xdr:col>0</xdr:col>
      <xdr:colOff>578825</xdr:colOff>
      <xdr:row>2</xdr:row>
      <xdr:rowOff>3582</xdr:rowOff>
    </xdr:to>
    <xdr:sp macro="" textlink="">
      <xdr:nvSpPr>
        <xdr:cNvPr id="2" name="Flowchart: Connector 1">
          <a:extLst>
            <a:ext uri="{FF2B5EF4-FFF2-40B4-BE49-F238E27FC236}">
              <a16:creationId xmlns:a16="http://schemas.microsoft.com/office/drawing/2014/main" id="{AE6DBD9F-4598-7AD7-A830-D6612BBE4F0E}"/>
            </a:ext>
          </a:extLst>
        </xdr:cNvPr>
        <xdr:cNvSpPr>
          <a:spLocks noChangeAspect="1"/>
        </xdr:cNvSpPr>
      </xdr:nvSpPr>
      <xdr:spPr>
        <a:xfrm>
          <a:off x="395945" y="515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2</xdr:row>
      <xdr:rowOff>141938</xdr:rowOff>
    </xdr:from>
    <xdr:to>
      <xdr:col>0</xdr:col>
      <xdr:colOff>578825</xdr:colOff>
      <xdr:row>3</xdr:row>
      <xdr:rowOff>3583</xdr:rowOff>
    </xdr:to>
    <xdr:sp macro="" textlink="">
      <xdr:nvSpPr>
        <xdr:cNvPr id="3" name="Flowchart: Connector 2">
          <a:extLst>
            <a:ext uri="{FF2B5EF4-FFF2-40B4-BE49-F238E27FC236}">
              <a16:creationId xmlns:a16="http://schemas.microsoft.com/office/drawing/2014/main" id="{D727CE73-3ED4-F706-643D-796DEA5D6F2F}"/>
            </a:ext>
          </a:extLst>
        </xdr:cNvPr>
        <xdr:cNvSpPr>
          <a:spLocks noChangeAspect="1"/>
        </xdr:cNvSpPr>
      </xdr:nvSpPr>
      <xdr:spPr>
        <a:xfrm>
          <a:off x="395945" y="83670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3</xdr:row>
      <xdr:rowOff>134467</xdr:rowOff>
    </xdr:from>
    <xdr:to>
      <xdr:col>0</xdr:col>
      <xdr:colOff>578825</xdr:colOff>
      <xdr:row>3</xdr:row>
      <xdr:rowOff>317347</xdr:rowOff>
    </xdr:to>
    <xdr:sp macro="" textlink="">
      <xdr:nvSpPr>
        <xdr:cNvPr id="4" name="Flowchart: Connector 3">
          <a:extLst>
            <a:ext uri="{FF2B5EF4-FFF2-40B4-BE49-F238E27FC236}">
              <a16:creationId xmlns:a16="http://schemas.microsoft.com/office/drawing/2014/main" id="{8D86F3EB-4EF7-9B24-6840-7CFA862D03CD}"/>
            </a:ext>
          </a:extLst>
        </xdr:cNvPr>
        <xdr:cNvSpPr>
          <a:spLocks noChangeAspect="1"/>
        </xdr:cNvSpPr>
      </xdr:nvSpPr>
      <xdr:spPr>
        <a:xfrm>
          <a:off x="395945" y="1150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4</xdr:row>
      <xdr:rowOff>149408</xdr:rowOff>
    </xdr:from>
    <xdr:to>
      <xdr:col>0</xdr:col>
      <xdr:colOff>578825</xdr:colOff>
      <xdr:row>5</xdr:row>
      <xdr:rowOff>11052</xdr:rowOff>
    </xdr:to>
    <xdr:sp macro="" textlink="">
      <xdr:nvSpPr>
        <xdr:cNvPr id="5" name="Flowchart: Connector 4">
          <a:extLst>
            <a:ext uri="{FF2B5EF4-FFF2-40B4-BE49-F238E27FC236}">
              <a16:creationId xmlns:a16="http://schemas.microsoft.com/office/drawing/2014/main" id="{4F72175A-8C83-2283-5550-EAFE22C163A3}"/>
            </a:ext>
          </a:extLst>
        </xdr:cNvPr>
        <xdr:cNvSpPr>
          <a:spLocks noChangeAspect="1"/>
        </xdr:cNvSpPr>
      </xdr:nvSpPr>
      <xdr:spPr>
        <a:xfrm>
          <a:off x="395945" y="1486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5</xdr:row>
      <xdr:rowOff>141937</xdr:rowOff>
    </xdr:from>
    <xdr:to>
      <xdr:col>0</xdr:col>
      <xdr:colOff>578825</xdr:colOff>
      <xdr:row>6</xdr:row>
      <xdr:rowOff>3582</xdr:rowOff>
    </xdr:to>
    <xdr:sp macro="" textlink="">
      <xdr:nvSpPr>
        <xdr:cNvPr id="6" name="Flowchart: Connector 5">
          <a:extLst>
            <a:ext uri="{FF2B5EF4-FFF2-40B4-BE49-F238E27FC236}">
              <a16:creationId xmlns:a16="http://schemas.microsoft.com/office/drawing/2014/main" id="{2799EA97-46FE-745D-0CA7-9485164D1DCC}"/>
            </a:ext>
          </a:extLst>
        </xdr:cNvPr>
        <xdr:cNvSpPr>
          <a:spLocks noChangeAspect="1"/>
        </xdr:cNvSpPr>
      </xdr:nvSpPr>
      <xdr:spPr>
        <a:xfrm>
          <a:off x="395945" y="1800408"/>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7</xdr:row>
      <xdr:rowOff>141938</xdr:rowOff>
    </xdr:from>
    <xdr:to>
      <xdr:col>0</xdr:col>
      <xdr:colOff>578825</xdr:colOff>
      <xdr:row>8</xdr:row>
      <xdr:rowOff>3583</xdr:rowOff>
    </xdr:to>
    <xdr:sp macro="" textlink="">
      <xdr:nvSpPr>
        <xdr:cNvPr id="7" name="Flowchart: Connector 6">
          <a:extLst>
            <a:ext uri="{FF2B5EF4-FFF2-40B4-BE49-F238E27FC236}">
              <a16:creationId xmlns:a16="http://schemas.microsoft.com/office/drawing/2014/main" id="{5FB57CF6-786F-4879-114A-6AADFC1FBBDB}"/>
            </a:ext>
          </a:extLst>
        </xdr:cNvPr>
        <xdr:cNvSpPr>
          <a:spLocks noChangeAspect="1"/>
        </xdr:cNvSpPr>
      </xdr:nvSpPr>
      <xdr:spPr>
        <a:xfrm>
          <a:off x="395945" y="2442879"/>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6</xdr:row>
      <xdr:rowOff>141937</xdr:rowOff>
    </xdr:from>
    <xdr:to>
      <xdr:col>0</xdr:col>
      <xdr:colOff>578825</xdr:colOff>
      <xdr:row>7</xdr:row>
      <xdr:rowOff>3582</xdr:rowOff>
    </xdr:to>
    <xdr:sp macro="" textlink="">
      <xdr:nvSpPr>
        <xdr:cNvPr id="8" name="Flowchart: Connector 7">
          <a:extLst>
            <a:ext uri="{FF2B5EF4-FFF2-40B4-BE49-F238E27FC236}">
              <a16:creationId xmlns:a16="http://schemas.microsoft.com/office/drawing/2014/main" id="{DA8A0FAD-F1A4-C178-F308-3608D4060BF0}"/>
            </a:ext>
          </a:extLst>
        </xdr:cNvPr>
        <xdr:cNvSpPr>
          <a:spLocks noChangeAspect="1"/>
        </xdr:cNvSpPr>
      </xdr:nvSpPr>
      <xdr:spPr>
        <a:xfrm>
          <a:off x="395945" y="2121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139822</xdr:colOff>
      <xdr:row>4</xdr:row>
      <xdr:rowOff>105630</xdr:rowOff>
    </xdr:from>
    <xdr:to>
      <xdr:col>21</xdr:col>
      <xdr:colOff>409697</xdr:colOff>
      <xdr:row>15</xdr:row>
      <xdr:rowOff>144707</xdr:rowOff>
    </xdr:to>
    <xdr:sp macro="" textlink="">
      <xdr:nvSpPr>
        <xdr:cNvPr id="2" name="Rectangle 1">
          <a:extLst>
            <a:ext uri="{FF2B5EF4-FFF2-40B4-BE49-F238E27FC236}">
              <a16:creationId xmlns:a16="http://schemas.microsoft.com/office/drawing/2014/main" id="{AF4B5AAB-C4AE-B032-1510-304ED07E83D0}"/>
            </a:ext>
          </a:extLst>
        </xdr:cNvPr>
        <xdr:cNvSpPr/>
      </xdr:nvSpPr>
      <xdr:spPr>
        <a:xfrm>
          <a:off x="18269072" y="1296255"/>
          <a:ext cx="3325813" cy="27537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-you have references</a:t>
          </a:r>
          <a:r>
            <a:rPr lang="en-US" sz="1100" baseline="0"/>
            <a:t> to repurpose echo and grow pima in some places... then repurpose echo and op targets pima elsewhere -- fix this and all related</a:t>
          </a:r>
        </a:p>
        <a:p>
          <a:pPr algn="l"/>
          <a:r>
            <a:rPr lang="en-US" sz="1100" baseline="0"/>
            <a:t>-also make sure growth assumptions are consistent!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139822</xdr:colOff>
      <xdr:row>4</xdr:row>
      <xdr:rowOff>105630</xdr:rowOff>
    </xdr:from>
    <xdr:to>
      <xdr:col>21</xdr:col>
      <xdr:colOff>409697</xdr:colOff>
      <xdr:row>15</xdr:row>
      <xdr:rowOff>144707</xdr:rowOff>
    </xdr:to>
    <xdr:sp macro="" textlink="">
      <xdr:nvSpPr>
        <xdr:cNvPr id="2" name="Rectangle 1">
          <a:extLst>
            <a:ext uri="{FF2B5EF4-FFF2-40B4-BE49-F238E27FC236}">
              <a16:creationId xmlns:a16="http://schemas.microsoft.com/office/drawing/2014/main" id="{BF846F13-5881-485F-8259-30772299BCA7}"/>
            </a:ext>
          </a:extLst>
        </xdr:cNvPr>
        <xdr:cNvSpPr/>
      </xdr:nvSpPr>
      <xdr:spPr>
        <a:xfrm>
          <a:off x="18250022" y="1261330"/>
          <a:ext cx="3317875" cy="17853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-you have references</a:t>
          </a:r>
          <a:r>
            <a:rPr lang="en-US" sz="1100" baseline="0"/>
            <a:t> to repurpose echo and grow pima in some places... then repurpose echo and op targets pima elsewhere -- fix this and all related</a:t>
          </a:r>
        </a:p>
        <a:p>
          <a:pPr algn="l"/>
          <a:r>
            <a:rPr lang="en-US" sz="1100" baseline="0"/>
            <a:t>-also make sure growth assumptions are consistent!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6.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9625CB73-29FF-6FE0-9726-52349A6D49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062" y="151805"/>
          <a:ext cx="13827125" cy="77777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13</xdr:col>
      <xdr:colOff>362857</xdr:colOff>
      <xdr:row>2</xdr:row>
      <xdr:rowOff>145143</xdr:rowOff>
    </xdr:from>
    <xdr:to>
      <xdr:col>20</xdr:col>
      <xdr:colOff>417286</xdr:colOff>
      <xdr:row>17</xdr:row>
      <xdr:rowOff>154215</xdr:rowOff>
    </xdr:to>
    <xdr:sp macro="" textlink="">
      <xdr:nvSpPr>
        <xdr:cNvPr id="2" name="Rectangle 1">
          <a:extLst>
            <a:ext uri="{FF2B5EF4-FFF2-40B4-BE49-F238E27FC236}">
              <a16:creationId xmlns:a16="http://schemas.microsoft.com/office/drawing/2014/main" id="{47263619-DC28-CBC1-AC63-F962FD53E077}"/>
            </a:ext>
          </a:extLst>
        </xdr:cNvPr>
        <xdr:cNvSpPr/>
      </xdr:nvSpPr>
      <xdr:spPr>
        <a:xfrm>
          <a:off x="11538857" y="544286"/>
          <a:ext cx="4308929" cy="2730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a:t>
          </a:r>
          <a:endParaRPr lang="en-US">
            <a:effectLst/>
          </a:endParaRPr>
        </a:p>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328706</xdr:colOff>
      <xdr:row>4</xdr:row>
      <xdr:rowOff>112059</xdr:rowOff>
    </xdr:from>
    <xdr:to>
      <xdr:col>12</xdr:col>
      <xdr:colOff>82176</xdr:colOff>
      <xdr:row>10</xdr:row>
      <xdr:rowOff>52294</xdr:rowOff>
    </xdr:to>
    <xdr:sp macro="" textlink="">
      <xdr:nvSpPr>
        <xdr:cNvPr id="2" name="Rectangle 1">
          <a:extLst>
            <a:ext uri="{FF2B5EF4-FFF2-40B4-BE49-F238E27FC236}">
              <a16:creationId xmlns:a16="http://schemas.microsoft.com/office/drawing/2014/main" id="{E3CEB594-33BF-D859-54F3-1E672138C737}"/>
            </a:ext>
          </a:extLst>
        </xdr:cNvPr>
        <xdr:cNvSpPr/>
      </xdr:nvSpPr>
      <xdr:spPr>
        <a:xfrm>
          <a:off x="5998882" y="859118"/>
          <a:ext cx="3429000" cy="106082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-does this ops savings 0.007 make sense?  is it</a:t>
          </a:r>
          <a:r>
            <a:rPr lang="en-US" sz="1100" baseline="0"/>
            <a:t> useful?  and is it applied appropriately in the model if so?</a:t>
          </a:r>
        </a:p>
        <a:p>
          <a:pPr algn="l"/>
          <a:r>
            <a:rPr lang="en-US" sz="1100" baseline="0"/>
            <a:t>how about co-location extra savings?</a:t>
          </a:r>
        </a:p>
        <a:p>
          <a:pPr algn="l"/>
          <a:r>
            <a:rPr lang="en-US" sz="1100" baseline="0"/>
            <a:t>(should co-location be emphasized more?  need to really reconcile and think through the key scenarios to present)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consortium.uchicago.edu/publications/school-closings-chicago-staff-and-student-experiences-and-academic-outcomes?utm_source=chatgpt.com" TargetMode="External"/><Relationship Id="rId4" Type="http://schemas.openxmlformats.org/officeDocument/2006/relationships/hyperlink" Target="https://legiscan.com/AZ/text/HB2969/2025?utm_source=chatgpt.com"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U3" sqref="U3"/>
    </sheetView>
  </sheetViews>
  <sheetFormatPr defaultRowHeight="14.5"/>
  <sheetData>
    <row r="1" spans="1:3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c r="A3" s="12"/>
      <c r="B3" s="123"/>
      <c r="C3" s="123"/>
      <c r="D3" s="123"/>
      <c r="E3" s="123"/>
      <c r="F3" s="123"/>
      <c r="G3" s="123"/>
      <c r="H3" s="123"/>
      <c r="I3" s="123"/>
      <c r="J3" s="123"/>
      <c r="K3" s="123"/>
      <c r="L3" s="123"/>
      <c r="M3" s="123"/>
      <c r="N3" s="12"/>
      <c r="O3" s="12"/>
      <c r="P3" s="12"/>
      <c r="Q3" s="12"/>
      <c r="R3" s="12"/>
      <c r="S3" s="12"/>
      <c r="T3" s="12"/>
      <c r="U3" s="12"/>
      <c r="V3" s="12"/>
      <c r="W3" s="12"/>
      <c r="X3" s="12"/>
      <c r="Y3" s="12"/>
      <c r="Z3" s="12"/>
      <c r="AA3" s="12"/>
      <c r="AB3" s="12"/>
      <c r="AC3" s="12"/>
      <c r="AD3" s="12"/>
      <c r="AE3" s="12"/>
      <c r="AF3" s="12"/>
      <c r="AG3" s="12"/>
    </row>
    <row r="4" spans="1:3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c r="A6" s="12"/>
      <c r="B6" s="123"/>
      <c r="C6" s="123"/>
      <c r="D6" s="123"/>
      <c r="E6" s="123"/>
      <c r="F6" s="123"/>
      <c r="G6" s="123"/>
      <c r="H6" s="123"/>
      <c r="I6" s="123"/>
      <c r="J6" s="123"/>
      <c r="K6" s="123"/>
      <c r="L6" s="123"/>
      <c r="M6" s="123"/>
      <c r="N6" s="12"/>
      <c r="O6" s="12"/>
      <c r="P6" s="12"/>
      <c r="Q6" s="12"/>
      <c r="R6" s="12"/>
      <c r="S6" s="12"/>
      <c r="T6" s="12"/>
      <c r="U6" s="12"/>
      <c r="V6" s="12"/>
      <c r="W6" s="12"/>
      <c r="X6" s="12"/>
      <c r="Y6" s="12"/>
      <c r="Z6" s="12"/>
      <c r="AA6" s="12"/>
      <c r="AB6" s="12"/>
      <c r="AC6" s="12"/>
      <c r="AD6" s="12"/>
      <c r="AE6" s="12"/>
      <c r="AF6" s="12"/>
      <c r="AG6" s="12"/>
    </row>
    <row r="7" spans="1:33" ht="14.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c r="A9" s="12"/>
      <c r="B9" s="123"/>
      <c r="C9" s="123"/>
      <c r="D9" s="123"/>
      <c r="E9" s="123"/>
      <c r="F9" s="123"/>
      <c r="G9" s="123"/>
      <c r="H9" s="123"/>
      <c r="I9" s="123"/>
      <c r="J9" s="123"/>
      <c r="K9" s="123"/>
      <c r="L9" s="123"/>
      <c r="M9" s="123"/>
      <c r="N9" s="12"/>
      <c r="O9" s="12"/>
      <c r="P9" s="12"/>
      <c r="Q9" s="12"/>
      <c r="R9" s="12"/>
      <c r="S9" s="12"/>
      <c r="T9" s="12"/>
      <c r="U9" s="12"/>
      <c r="V9" s="12"/>
      <c r="W9" s="12"/>
      <c r="X9" s="12"/>
      <c r="Y9" s="12"/>
      <c r="Z9" s="12"/>
      <c r="AA9" s="12"/>
      <c r="AB9" s="12"/>
      <c r="AC9" s="12"/>
      <c r="AD9" s="12"/>
      <c r="AE9" s="12"/>
      <c r="AF9" s="12"/>
      <c r="AG9" s="12"/>
    </row>
    <row r="10" spans="1:3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c r="A12" s="12"/>
      <c r="B12" s="123"/>
      <c r="C12" s="123"/>
      <c r="D12" s="123"/>
      <c r="E12" s="123"/>
      <c r="F12" s="123"/>
      <c r="G12" s="123"/>
      <c r="H12" s="123"/>
      <c r="I12" s="123"/>
      <c r="J12" s="123"/>
      <c r="K12" s="123"/>
      <c r="L12" s="123"/>
      <c r="M12" s="123"/>
      <c r="N12" s="12"/>
      <c r="O12" s="12"/>
      <c r="P12" s="12"/>
      <c r="Q12" s="12"/>
      <c r="R12" s="12"/>
      <c r="S12" s="12"/>
      <c r="T12" s="12"/>
      <c r="U12" s="12"/>
      <c r="V12" s="12"/>
      <c r="W12" s="12"/>
      <c r="X12" s="12"/>
      <c r="Y12" s="12"/>
      <c r="Z12" s="12"/>
      <c r="AA12" s="12"/>
      <c r="AB12" s="12"/>
      <c r="AC12" s="12"/>
      <c r="AD12" s="12"/>
      <c r="AE12" s="12"/>
      <c r="AF12" s="12"/>
      <c r="AG12" s="12"/>
    </row>
    <row r="13" spans="1:33">
      <c r="A13" s="12"/>
      <c r="B13" s="49"/>
      <c r="C13" s="49"/>
      <c r="D13" s="49"/>
      <c r="E13" s="49"/>
      <c r="F13" s="49"/>
      <c r="G13" s="49"/>
      <c r="H13" s="49"/>
      <c r="I13" s="49"/>
      <c r="J13" s="49"/>
      <c r="K13" s="49"/>
      <c r="L13" s="49"/>
      <c r="M13" s="49"/>
      <c r="N13" s="12"/>
      <c r="O13" s="12"/>
      <c r="P13" s="12"/>
      <c r="Q13" s="12"/>
      <c r="R13" s="12"/>
      <c r="S13" s="12"/>
      <c r="T13" s="12"/>
      <c r="U13" s="12"/>
      <c r="V13" s="12"/>
      <c r="W13" s="12"/>
      <c r="X13" s="12"/>
      <c r="Y13" s="12"/>
      <c r="Z13" s="12"/>
      <c r="AA13" s="12"/>
      <c r="AB13" s="12"/>
      <c r="AC13" s="12"/>
      <c r="AD13" s="12"/>
      <c r="AE13" s="12"/>
      <c r="AF13" s="12"/>
      <c r="AG13" s="12"/>
    </row>
    <row r="14" spans="1:33" ht="232" customHeight="1">
      <c r="A14" s="12"/>
      <c r="B14" s="123"/>
      <c r="C14" s="123"/>
      <c r="D14" s="123"/>
      <c r="E14" s="123"/>
      <c r="F14" s="123"/>
      <c r="G14" s="123"/>
      <c r="H14" s="123"/>
      <c r="I14" s="123"/>
      <c r="J14" s="123"/>
      <c r="K14" s="123"/>
      <c r="L14" s="123"/>
      <c r="M14" s="123"/>
      <c r="N14" s="50"/>
      <c r="O14" s="50"/>
      <c r="P14" s="50"/>
      <c r="Q14" s="50"/>
      <c r="R14" s="50"/>
      <c r="S14" s="51"/>
      <c r="T14" s="12"/>
      <c r="U14" s="12"/>
      <c r="V14" s="12"/>
      <c r="W14" s="12"/>
      <c r="X14" s="12"/>
      <c r="Y14" s="12"/>
      <c r="Z14" s="12"/>
      <c r="AA14" s="12"/>
      <c r="AB14" s="12"/>
      <c r="AC14" s="12"/>
      <c r="AD14" s="12"/>
      <c r="AE14" s="12"/>
      <c r="AF14" s="12"/>
      <c r="AG14" s="12"/>
    </row>
    <row r="15" spans="1:3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c r="A17" s="12"/>
      <c r="B17" s="123"/>
      <c r="C17" s="123"/>
      <c r="D17" s="123"/>
      <c r="E17" s="123"/>
      <c r="F17" s="123"/>
      <c r="G17" s="123"/>
      <c r="H17" s="123"/>
      <c r="I17" s="123"/>
      <c r="J17" s="123"/>
      <c r="K17" s="123"/>
      <c r="L17" s="123"/>
      <c r="M17" s="123"/>
      <c r="N17" s="12"/>
      <c r="O17" s="12"/>
      <c r="P17" s="12"/>
      <c r="Q17" s="12"/>
      <c r="R17" s="12"/>
      <c r="S17" s="12"/>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c r="A20" s="12"/>
      <c r="B20" s="123"/>
      <c r="C20" s="123"/>
      <c r="D20" s="123"/>
      <c r="E20" s="123"/>
      <c r="F20" s="123"/>
      <c r="G20" s="123"/>
      <c r="H20" s="123"/>
      <c r="I20" s="123"/>
      <c r="J20" s="123"/>
      <c r="K20" s="123"/>
      <c r="L20" s="123"/>
      <c r="M20" s="123"/>
      <c r="N20" s="12"/>
      <c r="O20" s="12"/>
      <c r="P20" s="12"/>
      <c r="Q20" s="12"/>
      <c r="R20" s="12"/>
      <c r="S20" s="12"/>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cols>
    <col min="2" max="2" width="22.6328125" customWidth="1"/>
    <col min="3" max="3" width="50.26953125" customWidth="1"/>
    <col min="4" max="4" width="36.7265625" customWidth="1"/>
  </cols>
  <sheetData>
    <row r="1" spans="1:24" ht="15.5">
      <c r="A1" s="81"/>
      <c r="B1" s="81" t="s">
        <v>676</v>
      </c>
      <c r="C1" s="12"/>
      <c r="D1" s="12"/>
      <c r="E1" s="12"/>
      <c r="F1" s="12"/>
      <c r="G1" s="12"/>
      <c r="H1" s="12"/>
      <c r="I1" s="12"/>
      <c r="J1" s="12"/>
      <c r="K1" s="12"/>
      <c r="L1" s="12"/>
      <c r="M1" s="12"/>
      <c r="N1" s="12"/>
      <c r="O1" s="12"/>
      <c r="P1" s="12"/>
      <c r="Q1" s="12"/>
      <c r="R1" s="12"/>
      <c r="S1" s="12"/>
      <c r="T1" s="12"/>
      <c r="U1" s="12"/>
      <c r="V1" s="12"/>
      <c r="W1" s="12"/>
      <c r="X1" s="12"/>
    </row>
    <row r="2" spans="1:24" ht="25.5" customHeight="1">
      <c r="A2" s="12"/>
      <c r="B2" s="33" t="s">
        <v>673</v>
      </c>
      <c r="C2" s="49"/>
      <c r="D2" s="78"/>
      <c r="E2" s="12"/>
      <c r="F2" s="12"/>
      <c r="G2" s="12"/>
      <c r="H2" s="12"/>
      <c r="I2" s="12"/>
      <c r="J2" s="12"/>
      <c r="K2" s="12"/>
      <c r="L2" s="12"/>
      <c r="M2" s="12"/>
      <c r="N2" s="12"/>
      <c r="O2" s="12"/>
      <c r="P2" s="12"/>
      <c r="Q2" s="12"/>
      <c r="R2" s="12"/>
      <c r="S2" s="12"/>
      <c r="T2" s="12"/>
      <c r="U2" s="12"/>
      <c r="V2" s="12"/>
      <c r="W2" s="12"/>
      <c r="X2" s="12"/>
    </row>
    <row r="3" spans="1:24" ht="25.5" customHeight="1">
      <c r="A3" s="12"/>
      <c r="B3" s="33" t="s">
        <v>674</v>
      </c>
      <c r="C3" s="49"/>
      <c r="D3" s="78"/>
      <c r="E3" s="12"/>
      <c r="F3" s="12"/>
      <c r="G3" s="12"/>
      <c r="H3" s="12"/>
      <c r="I3" s="12"/>
      <c r="J3" s="12"/>
      <c r="K3" s="12"/>
      <c r="L3" s="12"/>
      <c r="M3" s="12"/>
      <c r="N3" s="12"/>
      <c r="O3" s="12"/>
      <c r="P3" s="12"/>
      <c r="Q3" s="12"/>
      <c r="R3" s="12"/>
      <c r="S3" s="12"/>
      <c r="T3" s="12"/>
      <c r="U3" s="12"/>
      <c r="V3" s="12"/>
      <c r="W3" s="12"/>
      <c r="X3" s="12"/>
    </row>
    <row r="4" spans="1:24" ht="25.5" customHeight="1">
      <c r="A4" s="12"/>
      <c r="B4" s="33" t="s">
        <v>669</v>
      </c>
      <c r="C4" s="49"/>
      <c r="D4" s="78"/>
      <c r="E4" s="12"/>
      <c r="F4" s="12"/>
      <c r="G4" s="12"/>
      <c r="H4" s="12"/>
      <c r="I4" s="12"/>
      <c r="J4" s="12"/>
      <c r="K4" s="12"/>
      <c r="L4" s="12"/>
      <c r="M4" s="12"/>
      <c r="N4" s="12"/>
      <c r="O4" s="12"/>
      <c r="P4" s="12"/>
      <c r="Q4" s="12"/>
      <c r="R4" s="12"/>
      <c r="S4" s="12"/>
      <c r="T4" s="12"/>
      <c r="U4" s="12"/>
      <c r="V4" s="12"/>
      <c r="W4" s="12"/>
      <c r="X4" s="12"/>
    </row>
    <row r="5" spans="1:24" ht="25.5" customHeight="1">
      <c r="A5" s="12"/>
      <c r="B5" s="33" t="s">
        <v>671</v>
      </c>
      <c r="C5" s="49"/>
      <c r="D5" s="78"/>
      <c r="E5" s="12"/>
      <c r="F5" s="12"/>
      <c r="G5" s="12"/>
      <c r="H5" s="12"/>
      <c r="I5" s="12"/>
      <c r="J5" s="12"/>
      <c r="K5" s="12"/>
      <c r="L5" s="12"/>
      <c r="M5" s="12"/>
      <c r="N5" s="12"/>
      <c r="O5" s="12"/>
      <c r="P5" s="12"/>
      <c r="Q5" s="12"/>
      <c r="R5" s="12"/>
      <c r="S5" s="12"/>
      <c r="T5" s="12"/>
      <c r="U5" s="12"/>
      <c r="V5" s="12"/>
      <c r="W5" s="12"/>
      <c r="X5" s="12"/>
    </row>
    <row r="6" spans="1:24" ht="25.5" customHeight="1">
      <c r="A6" s="12"/>
      <c r="B6" s="33" t="s">
        <v>670</v>
      </c>
      <c r="C6" s="49"/>
      <c r="D6" s="78"/>
      <c r="E6" s="12"/>
      <c r="F6" s="12"/>
      <c r="G6" s="12"/>
      <c r="H6" s="12"/>
      <c r="I6" s="12"/>
      <c r="J6" s="12"/>
      <c r="K6" s="12"/>
      <c r="L6" s="12"/>
      <c r="M6" s="12"/>
      <c r="N6" s="12"/>
      <c r="O6" s="12"/>
      <c r="P6" s="12"/>
      <c r="Q6" s="12"/>
      <c r="R6" s="12"/>
      <c r="S6" s="12"/>
      <c r="T6" s="12"/>
      <c r="U6" s="12"/>
      <c r="V6" s="12"/>
      <c r="W6" s="12"/>
      <c r="X6" s="12"/>
    </row>
    <row r="7" spans="1:24" ht="25.5" customHeight="1">
      <c r="A7" s="12"/>
      <c r="B7" s="12" t="s">
        <v>672</v>
      </c>
      <c r="C7" s="49"/>
      <c r="D7" s="78"/>
      <c r="E7" s="12"/>
      <c r="F7" s="12"/>
      <c r="G7" s="12"/>
      <c r="H7" s="12"/>
      <c r="I7" s="12"/>
      <c r="J7" s="12"/>
      <c r="K7" s="12"/>
      <c r="L7" s="12"/>
      <c r="M7" s="12"/>
      <c r="N7" s="12"/>
      <c r="O7" s="12"/>
      <c r="P7" s="12"/>
      <c r="Q7" s="12"/>
      <c r="R7" s="12"/>
      <c r="S7" s="12"/>
      <c r="T7" s="12"/>
      <c r="U7" s="12"/>
      <c r="V7" s="12"/>
      <c r="W7" s="12"/>
      <c r="X7" s="12"/>
    </row>
    <row r="8" spans="1:24" ht="25.5" customHeight="1">
      <c r="A8" s="12"/>
      <c r="B8" s="33" t="s">
        <v>675</v>
      </c>
      <c r="C8" s="49"/>
      <c r="D8" s="78"/>
      <c r="E8" s="12"/>
      <c r="F8" s="12"/>
      <c r="G8" s="12"/>
      <c r="H8" s="12"/>
      <c r="I8" s="12"/>
      <c r="J8" s="12"/>
      <c r="K8" s="12"/>
      <c r="L8" s="12"/>
      <c r="M8" s="12"/>
      <c r="N8" s="12"/>
      <c r="O8" s="12"/>
      <c r="P8" s="12"/>
      <c r="Q8" s="12"/>
      <c r="R8" s="12"/>
      <c r="S8" s="12"/>
      <c r="T8" s="12"/>
      <c r="U8" s="12"/>
      <c r="V8" s="12"/>
      <c r="W8" s="12"/>
      <c r="X8" s="12"/>
    </row>
    <row r="9" spans="1:24">
      <c r="A9" s="12"/>
      <c r="B9" s="33"/>
      <c r="C9" s="49"/>
      <c r="D9" s="78"/>
      <c r="E9" s="12"/>
      <c r="F9" s="12"/>
      <c r="G9" s="12"/>
      <c r="H9" s="12"/>
      <c r="I9" s="12"/>
      <c r="J9" s="12"/>
      <c r="K9" s="12"/>
      <c r="L9" s="12"/>
      <c r="M9" s="12"/>
      <c r="N9" s="12"/>
      <c r="O9" s="12"/>
      <c r="P9" s="12"/>
      <c r="Q9" s="12"/>
      <c r="R9" s="12"/>
      <c r="S9" s="12"/>
      <c r="T9" s="12"/>
      <c r="U9" s="12"/>
      <c r="V9" s="12"/>
      <c r="W9" s="12"/>
      <c r="X9" s="12"/>
    </row>
    <row r="10" spans="1:24">
      <c r="A10" s="12"/>
      <c r="B10" s="33"/>
      <c r="C10" s="49"/>
      <c r="D10" s="78"/>
      <c r="E10" s="12"/>
      <c r="F10" s="12"/>
      <c r="G10" s="12"/>
      <c r="H10" s="12"/>
      <c r="I10" s="12"/>
      <c r="J10" s="12"/>
      <c r="K10" s="12"/>
      <c r="L10" s="12"/>
      <c r="M10" s="12"/>
      <c r="N10" s="12"/>
      <c r="O10" s="12"/>
      <c r="P10" s="12"/>
      <c r="Q10" s="12"/>
      <c r="R10" s="12"/>
      <c r="S10" s="12"/>
      <c r="T10" s="12"/>
      <c r="U10" s="12"/>
      <c r="V10" s="12"/>
      <c r="W10" s="12"/>
      <c r="X10" s="12"/>
    </row>
    <row r="11" spans="1:24">
      <c r="A11" s="12"/>
      <c r="B11" s="33"/>
      <c r="C11" s="49"/>
      <c r="D11" s="78"/>
      <c r="E11" s="12"/>
      <c r="F11" s="12"/>
      <c r="G11" s="12"/>
      <c r="H11" s="12"/>
      <c r="I11" s="12"/>
      <c r="J11" s="12"/>
      <c r="K11" s="12"/>
      <c r="L11" s="12"/>
      <c r="M11" s="12"/>
      <c r="N11" s="12"/>
      <c r="O11" s="12"/>
      <c r="P11" s="12"/>
      <c r="Q11" s="12"/>
      <c r="R11" s="12"/>
      <c r="S11" s="12"/>
      <c r="T11" s="12"/>
      <c r="U11" s="12"/>
      <c r="V11" s="12"/>
      <c r="W11" s="12"/>
      <c r="X11" s="12"/>
    </row>
    <row r="12" spans="1:24">
      <c r="A12" s="12"/>
      <c r="B12" s="33"/>
      <c r="C12" s="12"/>
      <c r="D12" s="12"/>
      <c r="E12" s="12"/>
      <c r="F12" s="12"/>
      <c r="G12" s="12"/>
      <c r="H12" s="12"/>
      <c r="I12" s="12"/>
      <c r="J12" s="12"/>
      <c r="K12" s="12"/>
      <c r="L12" s="12"/>
      <c r="M12" s="12"/>
      <c r="N12" s="12"/>
      <c r="O12" s="12"/>
      <c r="P12" s="12"/>
      <c r="Q12" s="12"/>
      <c r="R12" s="12"/>
      <c r="S12" s="12"/>
      <c r="T12" s="12"/>
      <c r="U12" s="12"/>
      <c r="V12" s="12"/>
      <c r="W12" s="12"/>
      <c r="X12" s="12"/>
    </row>
    <row r="13" spans="1:24">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c r="A14" s="12"/>
      <c r="B14" s="33"/>
      <c r="C14" s="12"/>
      <c r="D14" s="12"/>
      <c r="E14" s="12"/>
      <c r="F14" s="12"/>
      <c r="G14" s="12"/>
      <c r="H14" s="12"/>
      <c r="I14" s="12"/>
      <c r="J14" s="12"/>
      <c r="K14" s="12"/>
      <c r="L14" s="12"/>
      <c r="M14" s="12"/>
      <c r="N14" s="12"/>
      <c r="O14" s="12"/>
      <c r="P14" s="12"/>
      <c r="Q14" s="12"/>
      <c r="R14" s="12"/>
      <c r="S14" s="12"/>
      <c r="T14" s="12"/>
      <c r="U14" s="12"/>
      <c r="V14" s="12"/>
      <c r="W14" s="12"/>
      <c r="X14" s="12"/>
    </row>
    <row r="15" spans="1:24">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c r="A16" s="12"/>
      <c r="B16" s="33"/>
      <c r="C16" s="12"/>
      <c r="D16" s="12"/>
      <c r="E16" s="12"/>
      <c r="F16" s="12"/>
      <c r="G16" s="12"/>
      <c r="H16" s="12"/>
      <c r="I16" s="12"/>
      <c r="J16" s="12"/>
      <c r="K16" s="12"/>
      <c r="L16" s="12"/>
      <c r="M16" s="12"/>
      <c r="N16" s="12"/>
      <c r="O16" s="12"/>
      <c r="P16" s="12"/>
      <c r="Q16" s="12"/>
      <c r="R16" s="12"/>
      <c r="S16" s="12"/>
      <c r="T16" s="12"/>
      <c r="U16" s="12"/>
      <c r="V16" s="12"/>
      <c r="W16" s="12"/>
      <c r="X16" s="12"/>
    </row>
    <row r="17" spans="1:24">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c r="A18" s="12"/>
      <c r="B18" s="33"/>
      <c r="C18" s="12"/>
      <c r="D18" s="12"/>
      <c r="E18" s="12"/>
      <c r="F18" s="12"/>
      <c r="G18" s="12"/>
      <c r="H18" s="12"/>
      <c r="I18" s="12"/>
      <c r="J18" s="12"/>
      <c r="K18" s="12"/>
      <c r="L18" s="12"/>
      <c r="M18" s="12"/>
      <c r="N18" s="12"/>
      <c r="O18" s="12"/>
      <c r="P18" s="12"/>
      <c r="Q18" s="12"/>
      <c r="R18" s="12"/>
      <c r="S18" s="12"/>
      <c r="T18" s="12"/>
      <c r="U18" s="12"/>
      <c r="V18" s="12"/>
      <c r="W18" s="12"/>
      <c r="X18" s="12"/>
    </row>
    <row r="19" spans="1:24">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c r="A20" s="12"/>
      <c r="B20" s="33"/>
      <c r="C20" s="12"/>
      <c r="D20" s="12"/>
      <c r="E20" s="12"/>
      <c r="F20" s="12"/>
      <c r="G20" s="12"/>
      <c r="H20" s="12"/>
      <c r="I20" s="12"/>
      <c r="J20" s="12"/>
      <c r="K20" s="12"/>
      <c r="L20" s="12"/>
      <c r="M20" s="12"/>
      <c r="N20" s="12"/>
      <c r="O20" s="12"/>
      <c r="P20" s="12"/>
      <c r="Q20" s="12"/>
      <c r="R20" s="12"/>
      <c r="S20" s="12"/>
      <c r="T20" s="12"/>
      <c r="U20" s="12"/>
      <c r="V20" s="12"/>
      <c r="W20" s="12"/>
      <c r="X20" s="12"/>
    </row>
    <row r="21" spans="1:24">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c r="A24" s="12"/>
      <c r="B24" s="79"/>
      <c r="C24" s="49"/>
      <c r="D24" s="12"/>
      <c r="E24" s="12"/>
      <c r="F24" s="12"/>
      <c r="G24" s="12"/>
      <c r="H24" s="12"/>
      <c r="I24" s="12"/>
      <c r="J24" s="12"/>
      <c r="K24" s="12"/>
      <c r="L24" s="12"/>
      <c r="M24" s="12"/>
      <c r="N24" s="12"/>
      <c r="O24" s="12"/>
      <c r="P24" s="12"/>
      <c r="Q24" s="12"/>
      <c r="R24" s="12"/>
      <c r="S24" s="12"/>
      <c r="T24" s="12"/>
      <c r="U24" s="12"/>
      <c r="V24" s="12"/>
      <c r="W24" s="12"/>
      <c r="X24" s="12"/>
    </row>
    <row r="25" spans="1:24">
      <c r="A25" s="12"/>
      <c r="B25" s="79"/>
      <c r="C25" s="49"/>
      <c r="D25" s="12"/>
      <c r="E25" s="12"/>
      <c r="F25" s="12"/>
      <c r="G25" s="12"/>
      <c r="H25" s="12"/>
      <c r="I25" s="12"/>
      <c r="J25" s="12"/>
      <c r="K25" s="12"/>
      <c r="L25" s="12"/>
      <c r="M25" s="12"/>
      <c r="N25" s="12"/>
      <c r="O25" s="12"/>
      <c r="P25" s="12"/>
      <c r="Q25" s="12"/>
      <c r="R25" s="12"/>
      <c r="S25" s="12"/>
      <c r="T25" s="12"/>
      <c r="U25" s="12"/>
      <c r="V25" s="12"/>
      <c r="W25" s="12"/>
      <c r="X25" s="12"/>
    </row>
    <row r="26" spans="1:24">
      <c r="A26" s="12"/>
      <c r="B26" s="79"/>
      <c r="C26" s="49"/>
      <c r="D26" s="12"/>
      <c r="E26" s="12"/>
      <c r="F26" s="12"/>
      <c r="G26" s="12"/>
      <c r="H26" s="12"/>
      <c r="I26" s="12"/>
      <c r="J26" s="12"/>
      <c r="K26" s="12"/>
      <c r="L26" s="12"/>
      <c r="M26" s="12"/>
      <c r="N26" s="12"/>
      <c r="O26" s="12"/>
      <c r="P26" s="12"/>
      <c r="Q26" s="12"/>
      <c r="R26" s="12"/>
      <c r="S26" s="12"/>
      <c r="T26" s="12"/>
      <c r="U26" s="12"/>
      <c r="V26" s="12"/>
      <c r="W26" s="12"/>
      <c r="X26" s="12"/>
    </row>
    <row r="27" spans="1:24">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6081-4035-49CB-9BC3-17747C5EE10D}">
  <dimension ref="A1:H83"/>
  <sheetViews>
    <sheetView tabSelected="1" zoomScale="80" zoomScaleNormal="80" workbookViewId="0">
      <pane ySplit="2" topLeftCell="A15" activePane="bottomLeft" state="frozen"/>
      <selection activeCell="B1" sqref="B1"/>
      <selection pane="bottomLeft" activeCell="D13" sqref="D13:G13"/>
    </sheetView>
  </sheetViews>
  <sheetFormatPr defaultRowHeight="12.5" outlineLevelRow="1"/>
  <cols>
    <col min="1" max="1" width="4.26953125" style="87" customWidth="1"/>
    <col min="2" max="2" width="49.453125" style="87" customWidth="1"/>
    <col min="3" max="8" width="14.6328125" style="87" customWidth="1"/>
    <col min="9" max="9" width="8.7265625" style="87"/>
    <col min="10" max="10" width="26.81640625" style="87" customWidth="1"/>
    <col min="11" max="16" width="14.6328125" style="87" customWidth="1"/>
    <col min="17" max="16384" width="8.7265625" style="87"/>
  </cols>
  <sheetData>
    <row r="1" spans="2:8" ht="13.5" thickBot="1">
      <c r="B1" s="100" t="s">
        <v>773</v>
      </c>
    </row>
    <row r="2" spans="2:8" ht="52.5" thickBot="1">
      <c r="C2" s="84" t="s">
        <v>772</v>
      </c>
      <c r="D2" s="84" t="s">
        <v>699</v>
      </c>
      <c r="E2" s="84" t="s">
        <v>745</v>
      </c>
      <c r="F2" s="84" t="s">
        <v>747</v>
      </c>
      <c r="G2" s="84" t="s">
        <v>746</v>
      </c>
      <c r="H2" s="84" t="s">
        <v>701</v>
      </c>
    </row>
    <row r="3" spans="2:8" outlineLevel="1">
      <c r="B3" s="101" t="s">
        <v>769</v>
      </c>
      <c r="C3" s="88">
        <f>Parameters_Public!$C$10</f>
        <v>257</v>
      </c>
      <c r="D3" s="88">
        <f>Parameters_Public!$C$10</f>
        <v>257</v>
      </c>
      <c r="E3" s="88">
        <f>Parameters_Public!$C$10</f>
        <v>257</v>
      </c>
      <c r="F3" s="88">
        <f>Parameters_Public!$C$10</f>
        <v>257</v>
      </c>
      <c r="G3" s="88">
        <f>Parameters_Public!$C$10</f>
        <v>257</v>
      </c>
      <c r="H3" s="88" t="s">
        <v>728</v>
      </c>
    </row>
    <row r="4" spans="2:8" outlineLevel="1">
      <c r="B4" s="87" t="s">
        <v>770</v>
      </c>
      <c r="C4" s="88">
        <f>Parameters_Public!$C$11</f>
        <v>296</v>
      </c>
      <c r="D4" s="88">
        <f>Parameters_Public!$C$11</f>
        <v>296</v>
      </c>
      <c r="E4" s="88">
        <f>Parameters_Public!$C$11</f>
        <v>296</v>
      </c>
      <c r="F4" s="88">
        <f>Parameters_Public!$C$11</f>
        <v>296</v>
      </c>
      <c r="G4" s="88">
        <f>Parameters_Public!$C$11</f>
        <v>296</v>
      </c>
      <c r="H4" s="88"/>
    </row>
    <row r="5" spans="2:8" outlineLevel="1">
      <c r="B5" s="87" t="s">
        <v>774</v>
      </c>
      <c r="C5" s="88">
        <v>0</v>
      </c>
      <c r="D5" s="96">
        <f>MultiYear_ProForma!$AB$17</f>
        <v>50</v>
      </c>
      <c r="E5" s="88">
        <v>0</v>
      </c>
      <c r="F5" s="96">
        <f>MultiYear_ProForma!$AB$42</f>
        <v>12.333333333333314</v>
      </c>
      <c r="G5" s="96">
        <f>MultiYear_ProForma!$AB$52</f>
        <v>17</v>
      </c>
      <c r="H5" s="88"/>
    </row>
    <row r="6" spans="2:8" outlineLevel="1">
      <c r="B6" s="102" t="s">
        <v>748</v>
      </c>
      <c r="C6" s="88">
        <f>Parameters_Public!$C$23</f>
        <v>0.6</v>
      </c>
      <c r="D6" s="88" t="str">
        <f>"N/A"</f>
        <v>N/A</v>
      </c>
      <c r="E6" s="88" t="str">
        <f>"N/A"</f>
        <v>N/A</v>
      </c>
      <c r="F6" s="88">
        <f>Parameters_Public!$C$23</f>
        <v>0.6</v>
      </c>
      <c r="G6" s="88" t="str">
        <f>"N/A"</f>
        <v>N/A</v>
      </c>
      <c r="H6" s="88" t="s">
        <v>727</v>
      </c>
    </row>
    <row r="7" spans="2:8" outlineLevel="1">
      <c r="B7" s="101" t="s">
        <v>749</v>
      </c>
      <c r="C7" s="88">
        <f>Parameters_Public!$C$24</f>
        <v>0.85</v>
      </c>
      <c r="D7" s="88" t="str">
        <f t="shared" ref="D7:E27" si="0">"N/A"</f>
        <v>N/A</v>
      </c>
      <c r="E7" s="88" t="str">
        <f t="shared" si="0"/>
        <v>N/A</v>
      </c>
      <c r="F7" s="88" t="s">
        <v>702</v>
      </c>
      <c r="G7" s="88">
        <f>Parameters_Public!$C$24</f>
        <v>0.85</v>
      </c>
      <c r="H7" s="88" t="s">
        <v>703</v>
      </c>
    </row>
    <row r="8" spans="2:8" outlineLevel="1">
      <c r="B8" s="103" t="s">
        <v>750</v>
      </c>
      <c r="C8" s="96">
        <f>Parameters_Public!$C$10*Parameters_Public!$C$23+Parameters_Public!$C$11*Parameters_Public!$C$24</f>
        <v>405.79999999999995</v>
      </c>
      <c r="D8" s="88" t="str">
        <f t="shared" si="0"/>
        <v>N/A</v>
      </c>
      <c r="E8" s="88" t="str">
        <f t="shared" si="0"/>
        <v>N/A</v>
      </c>
      <c r="F8" s="96">
        <f>Parameters_Public!$C$10*Parameters_Public!$C$23</f>
        <v>154.19999999999999</v>
      </c>
      <c r="G8" s="96">
        <f>Parameters_Public!$C$11*Parameters_Public!$C$24</f>
        <v>251.6</v>
      </c>
      <c r="H8" s="88"/>
    </row>
    <row r="9" spans="2:8" outlineLevel="1">
      <c r="B9" s="87" t="s">
        <v>767</v>
      </c>
      <c r="C9" s="96">
        <f>C8+C5</f>
        <v>405.79999999999995</v>
      </c>
      <c r="D9" s="88">
        <f>D5+D4+D3</f>
        <v>603</v>
      </c>
      <c r="E9" s="88">
        <f>E4+E3+E5</f>
        <v>553</v>
      </c>
      <c r="F9" s="96">
        <f>F4+F8+F5</f>
        <v>462.5333333333333</v>
      </c>
      <c r="G9" s="96">
        <f>G8+G3+G5</f>
        <v>525.6</v>
      </c>
      <c r="H9" s="88"/>
    </row>
    <row r="10" spans="2:8" outlineLevel="1">
      <c r="B10" s="87" t="s">
        <v>802</v>
      </c>
      <c r="C10" s="97">
        <f>MultiYear_ProForma!$AD$32/Dashboard!C9</f>
        <v>10964.949999999999</v>
      </c>
      <c r="D10" s="97">
        <f>MultiYear_ProForma!$AD$17/Dashboard!D9</f>
        <v>10900.273383084577</v>
      </c>
      <c r="E10" s="97">
        <f>MultiYear_ProForma!$AD$62/Dashboard!E9</f>
        <v>10964.949999999999</v>
      </c>
      <c r="F10" s="97">
        <f>MultiYear_ProForma!$AD$42/Dashboard!F9</f>
        <v>10944.151498991065</v>
      </c>
      <c r="G10" s="97">
        <f>MultiYear_ProForma!$AD$52/Dashboard!G9</f>
        <v>10933.810852676306</v>
      </c>
      <c r="H10" s="88"/>
    </row>
    <row r="11" spans="2:8">
      <c r="B11" s="87" t="s">
        <v>768</v>
      </c>
      <c r="C11" s="97">
        <f>C10*C9</f>
        <v>4449576.709999999</v>
      </c>
      <c r="D11" s="97">
        <f t="shared" ref="D11:G11" si="1">D10*D9</f>
        <v>6572864.8500000006</v>
      </c>
      <c r="E11" s="97">
        <f t="shared" si="1"/>
        <v>6063617.3499999996</v>
      </c>
      <c r="F11" s="97">
        <f t="shared" si="1"/>
        <v>5062034.8733333331</v>
      </c>
      <c r="G11" s="97">
        <f t="shared" si="1"/>
        <v>5746810.9841666669</v>
      </c>
      <c r="H11" s="88"/>
    </row>
    <row r="12" spans="2:8" outlineLevel="1">
      <c r="B12" s="87" t="s">
        <v>777</v>
      </c>
      <c r="C12" s="97">
        <f>Parameters_Public!$C$14</f>
        <v>11589</v>
      </c>
      <c r="D12" s="97">
        <f>Parameters_Public!$C$14</f>
        <v>11589</v>
      </c>
      <c r="E12" s="97">
        <f>Parameters_Public!$C$14</f>
        <v>11589</v>
      </c>
      <c r="F12" s="97">
        <f>Parameters_Public!$C$14</f>
        <v>11589</v>
      </c>
      <c r="G12" s="97">
        <f>Parameters_Public!$C$14</f>
        <v>11589</v>
      </c>
      <c r="H12" s="88"/>
    </row>
    <row r="13" spans="2:8" outlineLevel="1">
      <c r="B13" s="87" t="s">
        <v>804</v>
      </c>
      <c r="C13" s="97">
        <f>BaselineCalc!$B$18*IF(ISNUMBER(C$24), 1,(1-BaselineCalc!$B$5))</f>
        <v>8403.3633363471963</v>
      </c>
      <c r="D13" s="97">
        <f>BaselineCalc!$B$18*IF(ISNUMBER(D$24), 1,(1-BaselineCalc!$B$5))</f>
        <v>8344.5397929927658</v>
      </c>
      <c r="E13" s="97">
        <f>BaselineCalc!$B$18*IF(ISNUMBER(E$24), 1,(1-BaselineCalc!$B$5))</f>
        <v>8344.5397929927658</v>
      </c>
      <c r="F13" s="97">
        <f>BaselineCalc!$B$18*IF(ISNUMBER(F$24), 1,(1-BaselineCalc!$B$5))</f>
        <v>8403.3633363471963</v>
      </c>
      <c r="G13" s="97">
        <f>BaselineCalc!$B$18*IF(ISNUMBER(G$24), 1,(1-BaselineCalc!$B$5))</f>
        <v>8403.3633363471963</v>
      </c>
      <c r="H13" s="88"/>
    </row>
    <row r="14" spans="2:8" outlineLevel="1">
      <c r="B14" s="87" t="s">
        <v>776</v>
      </c>
      <c r="C14" s="96">
        <f>MAX(C9 - C5, 0)</f>
        <v>405.79999999999995</v>
      </c>
      <c r="D14" s="96">
        <f>MAX(D9 - D5, 0)</f>
        <v>553</v>
      </c>
      <c r="E14" s="96">
        <f>MAX(E9 - E5, 0)</f>
        <v>553</v>
      </c>
      <c r="F14" s="96">
        <f>MAX(F9 - F5, 0)</f>
        <v>450.2</v>
      </c>
      <c r="G14" s="96">
        <f>MAX(G9 - G5, 0)</f>
        <v>508.6</v>
      </c>
      <c r="H14" s="88"/>
    </row>
    <row r="15" spans="2:8">
      <c r="B15" s="87" t="s">
        <v>786</v>
      </c>
      <c r="C15" s="97">
        <f>C14*C13</f>
        <v>3410084.841889692</v>
      </c>
      <c r="D15" s="97">
        <f>D14*D13</f>
        <v>4614530.5055249995</v>
      </c>
      <c r="E15" s="97">
        <f>E14*E13</f>
        <v>4614530.5055249995</v>
      </c>
      <c r="F15" s="97">
        <f>F14*F13</f>
        <v>3783194.1740235076</v>
      </c>
      <c r="G15" s="97">
        <f>G14*G13</f>
        <v>4273950.5928661842</v>
      </c>
      <c r="H15" s="88"/>
    </row>
    <row r="16" spans="2:8" outlineLevel="1">
      <c r="B16" s="87" t="s">
        <v>784</v>
      </c>
      <c r="C16" s="96">
        <f>C5</f>
        <v>0</v>
      </c>
      <c r="D16" s="96">
        <f t="shared" ref="D16:G16" si="2">D5</f>
        <v>50</v>
      </c>
      <c r="E16" s="96">
        <f t="shared" si="2"/>
        <v>0</v>
      </c>
      <c r="F16" s="96">
        <f t="shared" si="2"/>
        <v>12.333333333333314</v>
      </c>
      <c r="G16" s="96">
        <f t="shared" si="2"/>
        <v>17</v>
      </c>
      <c r="H16" s="88"/>
    </row>
    <row r="17" spans="2:8" ht="25" outlineLevel="1">
      <c r="B17" s="102" t="s">
        <v>785</v>
      </c>
      <c r="C17" s="85">
        <f>Parameters_Public!$C$43</f>
        <v>0.6</v>
      </c>
      <c r="D17" s="85">
        <f>Parameters_Public!$C$43</f>
        <v>0.6</v>
      </c>
      <c r="E17" s="85">
        <f>Parameters_Public!$C$43</f>
        <v>0.6</v>
      </c>
      <c r="F17" s="85">
        <f>Parameters_Public!$C$43</f>
        <v>0.6</v>
      </c>
      <c r="G17" s="85">
        <f>Parameters_Public!$C$43</f>
        <v>0.6</v>
      </c>
      <c r="H17" s="88" t="s">
        <v>703</v>
      </c>
    </row>
    <row r="18" spans="2:8" outlineLevel="1">
      <c r="B18" s="87" t="s">
        <v>787</v>
      </c>
      <c r="C18" s="97">
        <f>IFERROR((C13*C17), "N/A")</f>
        <v>5042.0180018083174</v>
      </c>
      <c r="D18" s="97">
        <f t="shared" ref="D18:G18" si="3">IFERROR((D13*D17), "N/A")</f>
        <v>5006.7238757956593</v>
      </c>
      <c r="E18" s="97">
        <f t="shared" si="3"/>
        <v>5006.7238757956593</v>
      </c>
      <c r="F18" s="97">
        <f t="shared" si="3"/>
        <v>5042.0180018083174</v>
      </c>
      <c r="G18" s="97">
        <f t="shared" si="3"/>
        <v>5042.0180018083174</v>
      </c>
      <c r="H18" s="88"/>
    </row>
    <row r="19" spans="2:8" outlineLevel="1">
      <c r="B19" s="87" t="s">
        <v>798</v>
      </c>
      <c r="C19" s="97" t="str">
        <f>"$"&amp;YearMap!$E$2*Parameters_Public!$C$47&amp;"/student"</f>
        <v>$200/student</v>
      </c>
      <c r="D19" s="97" t="str">
        <f>"$"&amp;YearMap!$E$2*Parameters_Public!$C$47&amp;"/student"</f>
        <v>$200/student</v>
      </c>
      <c r="E19" s="97" t="str">
        <f>"$"&amp;YearMap!$E$2*Parameters_Public!$C$47&amp;"/student"</f>
        <v>$200/student</v>
      </c>
      <c r="F19" s="97" t="str">
        <f>"$"&amp;YearMap!$E$2*Parameters_Public!$C$47&amp;"/student"</f>
        <v>$200/student</v>
      </c>
      <c r="G19" s="97" t="str">
        <f>"$"&amp;YearMap!$E$2*Parameters_Public!$C$47&amp;"/student"</f>
        <v>$200/student</v>
      </c>
      <c r="H19" s="88"/>
    </row>
    <row r="20" spans="2:8">
      <c r="B20" s="87" t="s">
        <v>799</v>
      </c>
      <c r="C20" s="97">
        <f>C18+YearMap!$E$2*Parameters_Public!$C$47</f>
        <v>5242.0180018083174</v>
      </c>
      <c r="D20" s="97">
        <f>D18+YearMap!$E$2*Parameters_Public!$C$47</f>
        <v>5206.7238757956593</v>
      </c>
      <c r="E20" s="97">
        <f>E18+YearMap!$E$2*Parameters_Public!$C$47</f>
        <v>5206.7238757956593</v>
      </c>
      <c r="F20" s="97">
        <f>F18+YearMap!$E$2*Parameters_Public!$C$47</f>
        <v>5242.0180018083174</v>
      </c>
      <c r="G20" s="97">
        <f>G18+YearMap!$E$2*Parameters_Public!$C$47</f>
        <v>5242.0180018083174</v>
      </c>
      <c r="H20" s="88"/>
    </row>
    <row r="21" spans="2:8">
      <c r="B21" s="87" t="s">
        <v>788</v>
      </c>
      <c r="C21" s="97" t="str">
        <f>IF(C20*C5=0, "N/A", C20*C5)</f>
        <v>N/A</v>
      </c>
      <c r="D21" s="97">
        <f>IF(D20*D5=0, "N/A", D20*D5)</f>
        <v>260336.19378978296</v>
      </c>
      <c r="E21" s="97" t="str">
        <f t="shared" ref="E21:G21" si="4">IF(E20*E5=0, "N/A", E20*E5)</f>
        <v>N/A</v>
      </c>
      <c r="F21" s="97">
        <f>IF(F20*F5=0, "N/A", F20*F5)</f>
        <v>64651.555355635814</v>
      </c>
      <c r="G21" s="97">
        <f t="shared" si="4"/>
        <v>89114.306030741398</v>
      </c>
      <c r="H21" s="88"/>
    </row>
    <row r="22" spans="2:8" outlineLevel="1">
      <c r="B22" s="87" t="s">
        <v>789</v>
      </c>
      <c r="C22" s="118">
        <f>IF(C21="N/A", 0, C21)+C15</f>
        <v>3410084.841889692</v>
      </c>
      <c r="D22" s="118">
        <f>IF(D21="N/A", 0, D21)+D15</f>
        <v>4874866.6993147824</v>
      </c>
      <c r="E22" s="118">
        <f t="shared" ref="E22:G22" si="5">IF(E21="N/A", 0, E21)+E15</f>
        <v>4614530.5055249995</v>
      </c>
      <c r="F22" s="118">
        <f>IF(F21="N/A", 0, F21)+F15</f>
        <v>3847845.7293791436</v>
      </c>
      <c r="G22" s="118">
        <f t="shared" si="5"/>
        <v>4363064.8988969252</v>
      </c>
      <c r="H22" s="88"/>
    </row>
    <row r="23" spans="2:8">
      <c r="B23" s="102" t="s">
        <v>762</v>
      </c>
      <c r="C23" s="85" t="str">
        <f>"$"&amp;YearMap!$E$2&amp;"/student"</f>
        <v>$1000/student</v>
      </c>
      <c r="D23" s="88" t="str">
        <f t="shared" si="0"/>
        <v>N/A</v>
      </c>
      <c r="E23" s="88" t="str">
        <f t="shared" si="0"/>
        <v>N/A</v>
      </c>
      <c r="F23" s="85" t="str">
        <f>"$"&amp;YearMap!$E$2&amp;"/student"</f>
        <v>$1000/student</v>
      </c>
      <c r="G23" s="85" t="str">
        <f>"$"&amp;YearMap!$E$2&amp;"/student"</f>
        <v>$1000/student</v>
      </c>
      <c r="H23" s="88" t="s">
        <v>703</v>
      </c>
    </row>
    <row r="24" spans="2:8">
      <c r="B24" s="103" t="s">
        <v>761</v>
      </c>
      <c r="C24" s="97">
        <f>YearMap!$E$2*C8</f>
        <v>405799.99999999994</v>
      </c>
      <c r="D24" s="88" t="str">
        <f t="shared" si="0"/>
        <v>N/A</v>
      </c>
      <c r="E24" s="88" t="str">
        <f t="shared" si="0"/>
        <v>N/A</v>
      </c>
      <c r="F24" s="97">
        <f>YearMap!$E$2*F8</f>
        <v>154200</v>
      </c>
      <c r="G24" s="97">
        <f>YearMap!$E$2*G8</f>
        <v>251600</v>
      </c>
      <c r="H24" s="88"/>
    </row>
    <row r="25" spans="2:8">
      <c r="B25" s="87" t="s">
        <v>781</v>
      </c>
      <c r="C25" s="118">
        <f>C22+IF(C24="N/A", 0, C24)</f>
        <v>3815884.841889692</v>
      </c>
      <c r="D25" s="118">
        <f>D22+IF(D24="N/A", 0, D24)</f>
        <v>4874866.6993147824</v>
      </c>
      <c r="E25" s="118">
        <f>E22+IF(E24="N/A", 0, E24)</f>
        <v>4614530.5055249995</v>
      </c>
      <c r="F25" s="118">
        <f>F22+IF(F24="N/A", 0, F24)</f>
        <v>4002045.7293791436</v>
      </c>
      <c r="G25" s="118">
        <f>G22+IF(G24="N/A", 0, G24)</f>
        <v>4614664.8988969252</v>
      </c>
      <c r="H25" s="88"/>
    </row>
    <row r="26" spans="2:8" outlineLevel="1">
      <c r="B26" s="87" t="s">
        <v>792</v>
      </c>
      <c r="C26" s="97">
        <f>BaselineCalc!$B$19+BaselineCalc!$B$20</f>
        <v>1921874.9999999998</v>
      </c>
      <c r="D26" s="97">
        <f>BaselineCalc!$B$19+BaselineCalc!$B$20</f>
        <v>1921874.9999999998</v>
      </c>
      <c r="E26" s="97">
        <f>BaselineCalc!$B$19+BaselineCalc!$B$20</f>
        <v>1921874.9999999998</v>
      </c>
      <c r="F26" s="97">
        <f>BaselineCalc!$B$20</f>
        <v>999374.99999999988</v>
      </c>
      <c r="G26" s="97">
        <f>BaselineCalc!$B$19</f>
        <v>922499.99999999988</v>
      </c>
      <c r="H26" s="88" t="s">
        <v>727</v>
      </c>
    </row>
    <row r="27" spans="2:8">
      <c r="B27" s="87" t="s">
        <v>793</v>
      </c>
      <c r="C27" s="85">
        <f>YearMap!$F$2</f>
        <v>0.2</v>
      </c>
      <c r="D27" s="88" t="str">
        <f t="shared" si="0"/>
        <v>N/A</v>
      </c>
      <c r="E27" s="88" t="str">
        <f t="shared" si="0"/>
        <v>N/A</v>
      </c>
      <c r="F27" s="85">
        <f>YearMap!$F$2</f>
        <v>0.2</v>
      </c>
      <c r="G27" s="85">
        <f>YearMap!$F$2</f>
        <v>0.2</v>
      </c>
      <c r="H27" s="88" t="s">
        <v>703</v>
      </c>
    </row>
    <row r="28" spans="2:8">
      <c r="B28" s="87" t="s">
        <v>790</v>
      </c>
      <c r="C28" s="97">
        <f>IFERROR(C26*(C27), C26)</f>
        <v>384375</v>
      </c>
      <c r="D28" s="97">
        <f>IFERROR(D26*(D27), D26)</f>
        <v>1921874.9999999998</v>
      </c>
      <c r="E28" s="97">
        <f>IFERROR(E26*(E27), E26)</f>
        <v>1921874.9999999998</v>
      </c>
      <c r="F28" s="97">
        <f>BaselineCalc!$B$20+IFERROR(BaselineCalc!$B$19*(F27), BaselineCalc!$B$19)</f>
        <v>1183875</v>
      </c>
      <c r="G28" s="97">
        <f>BaselineCalc!$B$19+IFERROR(BaselineCalc!$B$20*(F27), BaselineCalc!$B$20)</f>
        <v>1122375</v>
      </c>
      <c r="H28" s="88"/>
    </row>
    <row r="29" spans="2:8">
      <c r="B29" s="107" t="s">
        <v>791</v>
      </c>
      <c r="C29" s="119">
        <f>C28+C25</f>
        <v>4200259.8418896925</v>
      </c>
      <c r="D29" s="119">
        <f>D28+D25</f>
        <v>6796741.6993147824</v>
      </c>
      <c r="E29" s="119">
        <f>E28+E25</f>
        <v>6536405.5055249995</v>
      </c>
      <c r="F29" s="119">
        <f>F28+F25</f>
        <v>5185920.7293791436</v>
      </c>
      <c r="G29" s="119">
        <f>G28+G25</f>
        <v>5737039.8988969252</v>
      </c>
      <c r="H29" s="88"/>
    </row>
    <row r="30" spans="2:8">
      <c r="B30" s="107" t="s">
        <v>795</v>
      </c>
      <c r="C30" s="120">
        <f>C11-C29</f>
        <v>249316.86811030656</v>
      </c>
      <c r="D30" s="120">
        <f>D11-D29</f>
        <v>-223876.84931478184</v>
      </c>
      <c r="E30" s="120">
        <f>E11-E29</f>
        <v>-472788.15552499983</v>
      </c>
      <c r="F30" s="120">
        <f>F11-F29</f>
        <v>-123885.85604581051</v>
      </c>
      <c r="G30" s="120">
        <f>G11-G29</f>
        <v>9771.085269741714</v>
      </c>
      <c r="H30" s="88"/>
    </row>
    <row r="31" spans="2:8">
      <c r="C31" s="88"/>
      <c r="D31" s="88"/>
      <c r="E31" s="88"/>
      <c r="F31" s="88"/>
      <c r="G31" s="88"/>
      <c r="H31" s="88"/>
    </row>
    <row r="32" spans="2:8">
      <c r="C32" s="88"/>
      <c r="D32" s="88"/>
      <c r="E32" s="88"/>
      <c r="F32" s="88"/>
      <c r="G32" s="88"/>
      <c r="H32" s="88"/>
    </row>
    <row r="33" spans="2:8">
      <c r="B33" s="116" t="s">
        <v>794</v>
      </c>
      <c r="C33" s="117">
        <f>MultiYear_ProForma!$AF$32</f>
        <v>252007.49311030656</v>
      </c>
      <c r="D33" s="117">
        <f>MultiYear_ProForma!$AF$17</f>
        <v>-210423.72431478277</v>
      </c>
      <c r="E33" s="117">
        <f>MultiYear_ProForma!$AF$62</f>
        <v>-459335.03052499983</v>
      </c>
      <c r="F33" s="117">
        <f>MultiYear_ProForma!$AF$42</f>
        <v>-97751.667992075905</v>
      </c>
      <c r="G33" s="117">
        <f>MultiYear_ProForma!$AF$52</f>
        <v>36009.647332676686</v>
      </c>
      <c r="H33" s="121"/>
    </row>
    <row r="34" spans="2:8">
      <c r="C34" s="118"/>
      <c r="D34" s="88"/>
      <c r="E34" s="88"/>
      <c r="F34" s="88"/>
      <c r="G34" s="88"/>
      <c r="H34" s="88"/>
    </row>
    <row r="35" spans="2:8">
      <c r="B35" s="87" t="s">
        <v>800</v>
      </c>
      <c r="C35" s="118">
        <f>C33-C30</f>
        <v>2690.625</v>
      </c>
      <c r="D35" s="118">
        <f t="shared" ref="D35:G35" si="6">D33-D30</f>
        <v>13453.124999999069</v>
      </c>
      <c r="E35" s="118">
        <f t="shared" si="6"/>
        <v>13453.125</v>
      </c>
      <c r="F35" s="118">
        <f t="shared" si="6"/>
        <v>26134.188053734601</v>
      </c>
      <c r="G35" s="118">
        <f t="shared" si="6"/>
        <v>26238.562062934972</v>
      </c>
      <c r="H35" s="88"/>
    </row>
    <row r="36" spans="2:8">
      <c r="B36" s="87" t="s">
        <v>801</v>
      </c>
      <c r="C36" s="122">
        <f>C35/C33</f>
        <v>1.0676765864347862E-2</v>
      </c>
      <c r="D36" s="122">
        <f t="shared" ref="D36:G36" si="7">D35/D33</f>
        <v>-6.3933499151806211E-2</v>
      </c>
      <c r="E36" s="122">
        <f t="shared" si="7"/>
        <v>-2.9288262610024901E-2</v>
      </c>
      <c r="F36" s="122">
        <f t="shared" si="7"/>
        <v>-0.26735286047347173</v>
      </c>
      <c r="G36" s="122">
        <f t="shared" si="7"/>
        <v>0.72865368051313806</v>
      </c>
      <c r="H36" s="88"/>
    </row>
    <row r="37" spans="2:8">
      <c r="C37" s="98"/>
      <c r="D37" s="98"/>
      <c r="E37" s="98"/>
      <c r="F37" s="98"/>
      <c r="G37" s="98"/>
    </row>
    <row r="38" spans="2:8" ht="13">
      <c r="B38" s="100" t="s">
        <v>796</v>
      </c>
    </row>
    <row r="39" spans="2:8">
      <c r="C39" s="99"/>
      <c r="D39" s="99"/>
      <c r="E39" s="99"/>
      <c r="F39" s="99"/>
      <c r="G39" s="99"/>
    </row>
    <row r="40" spans="2:8" ht="14.5" customHeight="1">
      <c r="B40" s="100" t="s">
        <v>797</v>
      </c>
      <c r="C40" s="99"/>
    </row>
    <row r="42" spans="2:8">
      <c r="B42" s="111"/>
      <c r="C42" s="88"/>
      <c r="D42" s="88"/>
      <c r="E42" s="88"/>
      <c r="F42" s="88"/>
      <c r="G42" s="88"/>
      <c r="H42" s="88"/>
    </row>
    <row r="43" spans="2:8" ht="13">
      <c r="B43" s="111"/>
      <c r="C43" s="112"/>
      <c r="D43" s="112"/>
      <c r="E43" s="112"/>
      <c r="F43" s="112"/>
      <c r="G43" s="112"/>
      <c r="H43" s="88"/>
    </row>
    <row r="44" spans="2:8">
      <c r="C44" s="88"/>
      <c r="D44" s="88"/>
      <c r="E44" s="88"/>
      <c r="F44" s="88"/>
      <c r="G44" s="88"/>
      <c r="H44" s="88"/>
    </row>
    <row r="45" spans="2:8">
      <c r="C45" s="88"/>
      <c r="D45" s="88"/>
      <c r="E45" s="88"/>
      <c r="F45" s="88"/>
      <c r="G45" s="88"/>
      <c r="H45" s="88"/>
    </row>
    <row r="47" spans="2:8">
      <c r="B47" s="113"/>
      <c r="D47" s="88"/>
      <c r="E47" s="88"/>
    </row>
    <row r="48" spans="2:8">
      <c r="C48" s="97"/>
      <c r="D48" s="88"/>
      <c r="E48" s="88"/>
      <c r="F48" s="97"/>
      <c r="G48" s="97"/>
    </row>
    <row r="50" spans="1:8">
      <c r="B50" s="113"/>
      <c r="C50" s="85"/>
      <c r="D50" s="88"/>
      <c r="E50" s="88"/>
      <c r="F50" s="85"/>
      <c r="G50" s="85"/>
      <c r="H50" s="88"/>
    </row>
    <row r="51" spans="1:8">
      <c r="C51" s="97"/>
      <c r="D51" s="88"/>
      <c r="E51" s="88"/>
      <c r="F51" s="97"/>
      <c r="G51" s="97"/>
    </row>
    <row r="53" spans="1:8">
      <c r="B53" s="113"/>
      <c r="C53" s="88"/>
      <c r="D53" s="85"/>
      <c r="E53" s="85"/>
      <c r="F53" s="88"/>
      <c r="G53" s="88"/>
      <c r="H53" s="88"/>
    </row>
    <row r="55" spans="1:8">
      <c r="C55" s="97"/>
    </row>
    <row r="56" spans="1:8">
      <c r="B56" s="113"/>
      <c r="C56" s="97"/>
      <c r="D56" s="88"/>
      <c r="E56" s="88"/>
      <c r="F56" s="88"/>
      <c r="G56" s="88"/>
      <c r="H56" s="88"/>
    </row>
    <row r="61" spans="1:8">
      <c r="A61" s="124"/>
    </row>
    <row r="62" spans="1:8">
      <c r="A62" s="124"/>
    </row>
    <row r="63" spans="1:8">
      <c r="A63" s="124"/>
    </row>
    <row r="64" spans="1:8">
      <c r="A64" s="124"/>
    </row>
    <row r="65" spans="1:8">
      <c r="A65" s="124"/>
    </row>
    <row r="66" spans="1:8">
      <c r="A66" s="124"/>
    </row>
    <row r="67" spans="1:8">
      <c r="A67" s="124"/>
    </row>
    <row r="68" spans="1:8">
      <c r="A68" s="124"/>
    </row>
    <row r="73" spans="1:8" ht="13">
      <c r="C73" s="114"/>
      <c r="D73" s="114"/>
      <c r="E73" s="114"/>
      <c r="F73" s="114"/>
      <c r="G73" s="114"/>
      <c r="H73" s="114"/>
    </row>
    <row r="74" spans="1:8" ht="13">
      <c r="B74" s="114"/>
    </row>
    <row r="75" spans="1:8" ht="13">
      <c r="B75" s="115"/>
    </row>
    <row r="76" spans="1:8">
      <c r="A76" s="124"/>
    </row>
    <row r="77" spans="1:8">
      <c r="A77" s="124"/>
    </row>
    <row r="78" spans="1:8">
      <c r="A78" s="124"/>
    </row>
    <row r="79" spans="1:8">
      <c r="A79" s="124"/>
    </row>
    <row r="80" spans="1:8">
      <c r="A80" s="124"/>
    </row>
    <row r="81" spans="1:1">
      <c r="A81" s="124"/>
    </row>
    <row r="82" spans="1:1">
      <c r="A82" s="124"/>
    </row>
    <row r="83" spans="1:1">
      <c r="A83" s="124"/>
    </row>
  </sheetData>
  <mergeCells count="4">
    <mergeCell ref="A76:A79"/>
    <mergeCell ref="A80:A83"/>
    <mergeCell ref="A61:A64"/>
    <mergeCell ref="A65:A68"/>
  </mergeCells>
  <pageMargins left="0.7" right="0.7" top="0.75" bottom="0.75" header="0.3" footer="0.3"/>
  <pageSetup paperSize="0" orientation="portrait" horizontalDpi="0" verticalDpi="0" copie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D4B8-A008-4757-AD91-77D886CBA6D6}">
  <dimension ref="A1:H83"/>
  <sheetViews>
    <sheetView zoomScale="80" zoomScaleNormal="80" workbookViewId="0">
      <pane ySplit="2" topLeftCell="A9" activePane="bottomLeft" state="frozen"/>
      <selection activeCell="B1" sqref="B1"/>
      <selection pane="bottomLeft" activeCell="C19" sqref="C19"/>
    </sheetView>
  </sheetViews>
  <sheetFormatPr defaultRowHeight="12.5"/>
  <cols>
    <col min="1" max="1" width="21.26953125" style="87" customWidth="1"/>
    <col min="2" max="2" width="26.81640625" style="87" customWidth="1"/>
    <col min="3" max="8" width="14.6328125" style="87" customWidth="1"/>
    <col min="9" max="9" width="8.7265625" style="87"/>
    <col min="10" max="10" width="26.81640625" style="87" customWidth="1"/>
    <col min="11" max="16" width="14.6328125" style="87" customWidth="1"/>
    <col min="17" max="16384" width="8.7265625" style="87"/>
  </cols>
  <sheetData>
    <row r="1" spans="2:8" ht="13.5" thickBot="1">
      <c r="B1" s="100" t="s">
        <v>773</v>
      </c>
    </row>
    <row r="2" spans="2:8" ht="52.5" thickBot="1">
      <c r="C2" s="84" t="s">
        <v>772</v>
      </c>
      <c r="D2" s="84" t="s">
        <v>699</v>
      </c>
      <c r="E2" s="84" t="s">
        <v>745</v>
      </c>
      <c r="F2" s="84" t="s">
        <v>747</v>
      </c>
      <c r="G2" s="84" t="s">
        <v>746</v>
      </c>
      <c r="H2" s="84" t="s">
        <v>701</v>
      </c>
    </row>
    <row r="3" spans="2:8">
      <c r="B3" s="101" t="s">
        <v>769</v>
      </c>
      <c r="C3" s="88">
        <f>Parameters_Public!$C$10</f>
        <v>257</v>
      </c>
      <c r="D3" s="88">
        <f>Parameters_Public!$C$10</f>
        <v>257</v>
      </c>
      <c r="E3" s="88">
        <f>Parameters_Public!$C$10</f>
        <v>257</v>
      </c>
      <c r="F3" s="88">
        <f>Parameters_Public!$C$10</f>
        <v>257</v>
      </c>
      <c r="G3" s="88">
        <f>Parameters_Public!$C$10</f>
        <v>257</v>
      </c>
      <c r="H3" s="88" t="s">
        <v>728</v>
      </c>
    </row>
    <row r="4" spans="2:8">
      <c r="B4" s="87" t="s">
        <v>770</v>
      </c>
      <c r="C4" s="88">
        <f>Parameters_Public!$C$11</f>
        <v>296</v>
      </c>
      <c r="D4" s="88">
        <f>Parameters_Public!$C$11</f>
        <v>296</v>
      </c>
      <c r="E4" s="88">
        <f>Parameters_Public!$C$11</f>
        <v>296</v>
      </c>
      <c r="F4" s="88">
        <f>Parameters_Public!$C$11</f>
        <v>296</v>
      </c>
      <c r="G4" s="88">
        <f>Parameters_Public!$C$11</f>
        <v>296</v>
      </c>
      <c r="H4" s="88"/>
    </row>
    <row r="5" spans="2:8">
      <c r="B5" s="87" t="s">
        <v>774</v>
      </c>
      <c r="C5" s="88">
        <v>0</v>
      </c>
      <c r="D5" s="96">
        <f>MultiYear_ProForma!$AB$17</f>
        <v>50</v>
      </c>
      <c r="E5" s="88">
        <v>0</v>
      </c>
      <c r="F5" s="96">
        <f>MultiYear_ProForma!$AB$42</f>
        <v>12.333333333333314</v>
      </c>
      <c r="G5" s="96">
        <f>MultiYear_ProForma!$AB$52</f>
        <v>17</v>
      </c>
      <c r="H5" s="88"/>
    </row>
    <row r="6" spans="2:8">
      <c r="B6" s="102" t="s">
        <v>748</v>
      </c>
      <c r="C6" s="88">
        <f>Parameters_Public!$C$23</f>
        <v>0.6</v>
      </c>
      <c r="D6" s="88" t="str">
        <f>"N/A"</f>
        <v>N/A</v>
      </c>
      <c r="E6" s="88" t="str">
        <f>"N/A"</f>
        <v>N/A</v>
      </c>
      <c r="F6" s="88">
        <f>Parameters_Public!$C$23</f>
        <v>0.6</v>
      </c>
      <c r="G6" s="88" t="str">
        <f>"N/A"</f>
        <v>N/A</v>
      </c>
      <c r="H6" s="88" t="s">
        <v>727</v>
      </c>
    </row>
    <row r="7" spans="2:8">
      <c r="B7" s="101" t="s">
        <v>749</v>
      </c>
      <c r="C7" s="88">
        <f>Parameters_Public!$C$24</f>
        <v>0.85</v>
      </c>
      <c r="D7" s="88" t="str">
        <f t="shared" ref="C7:E50" si="0">"N/A"</f>
        <v>N/A</v>
      </c>
      <c r="E7" s="88" t="str">
        <f t="shared" si="0"/>
        <v>N/A</v>
      </c>
      <c r="F7" s="88" t="s">
        <v>702</v>
      </c>
      <c r="G7" s="88">
        <f>Parameters_Public!$C$24</f>
        <v>0.85</v>
      </c>
      <c r="H7" s="88" t="s">
        <v>703</v>
      </c>
    </row>
    <row r="8" spans="2:8">
      <c r="B8" s="103" t="s">
        <v>750</v>
      </c>
      <c r="C8" s="96">
        <f>Parameters_Public!$C$10*Parameters_Public!$C$23+Parameters_Public!$C$11*Parameters_Public!$C$24</f>
        <v>405.79999999999995</v>
      </c>
      <c r="D8" s="88" t="str">
        <f t="shared" si="0"/>
        <v>N/A</v>
      </c>
      <c r="E8" s="88" t="str">
        <f t="shared" si="0"/>
        <v>N/A</v>
      </c>
      <c r="F8" s="96">
        <f>Parameters_Public!$C$10*Parameters_Public!$C$23</f>
        <v>154.19999999999999</v>
      </c>
      <c r="G8" s="96">
        <f>Parameters_Public!$C$11*Parameters_Public!$C$24</f>
        <v>251.6</v>
      </c>
      <c r="H8" s="88"/>
    </row>
    <row r="9" spans="2:8">
      <c r="B9" s="87" t="s">
        <v>767</v>
      </c>
      <c r="C9" s="96">
        <f>C8+C5</f>
        <v>405.79999999999995</v>
      </c>
      <c r="D9" s="88">
        <f>D5+D4+D3</f>
        <v>603</v>
      </c>
      <c r="E9" s="88">
        <f>E4+E3+E5</f>
        <v>553</v>
      </c>
      <c r="F9" s="96">
        <f>F4+F8+F5</f>
        <v>462.5333333333333</v>
      </c>
      <c r="G9" s="96">
        <f>G8+G3+G5</f>
        <v>525.6</v>
      </c>
      <c r="H9" s="88"/>
    </row>
    <row r="10" spans="2:8">
      <c r="B10" s="87" t="s">
        <v>775</v>
      </c>
      <c r="C10" s="97">
        <f>MultiYear_ProForma!$AD$32/Working_test!C9</f>
        <v>10964.949999999999</v>
      </c>
      <c r="D10" s="97">
        <f>MultiYear_ProForma!$AD$17/Working_test!D9</f>
        <v>10900.273383084577</v>
      </c>
      <c r="E10" s="97">
        <f>MultiYear_ProForma!$AD$62/Working_test!E9</f>
        <v>10964.949999999999</v>
      </c>
      <c r="F10" s="97">
        <f>MultiYear_ProForma!$AD$42/Working_test!F9</f>
        <v>10944.151498991065</v>
      </c>
      <c r="G10" s="97">
        <f>MultiYear_ProForma!$AD$52/Working_test!G9</f>
        <v>10933.810852676306</v>
      </c>
      <c r="H10" s="88"/>
    </row>
    <row r="11" spans="2:8">
      <c r="B11" s="87" t="s">
        <v>768</v>
      </c>
      <c r="C11" s="97">
        <f>C10*C9</f>
        <v>4449576.709999999</v>
      </c>
      <c r="D11" s="97">
        <f t="shared" ref="D11:G11" si="1">D10*D9</f>
        <v>6572864.8500000006</v>
      </c>
      <c r="E11" s="97">
        <f t="shared" si="1"/>
        <v>6063617.3499999996</v>
      </c>
      <c r="F11" s="97">
        <f t="shared" si="1"/>
        <v>5062034.8733333331</v>
      </c>
      <c r="G11" s="97">
        <f t="shared" si="1"/>
        <v>5746810.9841666669</v>
      </c>
      <c r="H11" s="88"/>
    </row>
    <row r="12" spans="2:8">
      <c r="B12" s="87" t="s">
        <v>777</v>
      </c>
      <c r="C12" s="97">
        <f>Parameters_Public!$C$14</f>
        <v>11589</v>
      </c>
      <c r="D12" s="97">
        <f>Parameters_Public!$C$14</f>
        <v>11589</v>
      </c>
      <c r="E12" s="97">
        <f>Parameters_Public!$C$14</f>
        <v>11589</v>
      </c>
      <c r="F12" s="97">
        <f>Parameters_Public!$C$14</f>
        <v>11589</v>
      </c>
      <c r="G12" s="97">
        <f>Parameters_Public!$C$14</f>
        <v>11589</v>
      </c>
      <c r="H12" s="88"/>
    </row>
    <row r="13" spans="2:8">
      <c r="B13" s="87" t="s">
        <v>783</v>
      </c>
      <c r="C13" s="97">
        <f>BaselineCalc!$B$18</f>
        <v>8403.3633363471963</v>
      </c>
      <c r="D13" s="97">
        <f>BaselineCalc!$B$18</f>
        <v>8403.3633363471963</v>
      </c>
      <c r="E13" s="97">
        <f>BaselineCalc!$B$18</f>
        <v>8403.3633363471963</v>
      </c>
      <c r="F13" s="97">
        <f>BaselineCalc!$B$18</f>
        <v>8403.3633363471963</v>
      </c>
      <c r="G13" s="97">
        <f>BaselineCalc!$B$18</f>
        <v>8403.3633363471963</v>
      </c>
    </row>
    <row r="14" spans="2:8">
      <c r="B14" s="87" t="s">
        <v>776</v>
      </c>
      <c r="C14" s="95">
        <f>C8</f>
        <v>405.79999999999995</v>
      </c>
      <c r="D14" s="87">
        <f>D3+D4</f>
        <v>553</v>
      </c>
      <c r="E14" s="87">
        <f>E9</f>
        <v>553</v>
      </c>
      <c r="F14" s="87">
        <f>F3+F4</f>
        <v>553</v>
      </c>
      <c r="G14" s="87">
        <f>G3+G4</f>
        <v>553</v>
      </c>
    </row>
    <row r="15" spans="2:8">
      <c r="B15" s="87" t="s">
        <v>786</v>
      </c>
      <c r="C15" s="97">
        <f>C14*C13</f>
        <v>3410084.841889692</v>
      </c>
      <c r="D15" s="97">
        <f>D14*D13</f>
        <v>4647059.9249999998</v>
      </c>
      <c r="E15" s="97">
        <f>E14*E13</f>
        <v>4647059.9249999998</v>
      </c>
      <c r="F15" s="97">
        <f>F14*F13</f>
        <v>4647059.9249999998</v>
      </c>
      <c r="G15" s="97">
        <f>G14*G13</f>
        <v>4647059.9249999998</v>
      </c>
    </row>
    <row r="16" spans="2:8">
      <c r="B16" s="87" t="s">
        <v>784</v>
      </c>
      <c r="C16" s="96">
        <f>C5</f>
        <v>0</v>
      </c>
      <c r="D16" s="96">
        <f t="shared" ref="D16:G16" si="2">D5</f>
        <v>50</v>
      </c>
      <c r="E16" s="96">
        <f t="shared" si="2"/>
        <v>0</v>
      </c>
      <c r="F16" s="96">
        <f t="shared" si="2"/>
        <v>12.333333333333314</v>
      </c>
      <c r="G16" s="96">
        <f t="shared" si="2"/>
        <v>17</v>
      </c>
    </row>
    <row r="17" spans="2:8" ht="37.5">
      <c r="B17" s="102" t="s">
        <v>785</v>
      </c>
      <c r="C17" s="85">
        <f>Parameters_Public!$C$43</f>
        <v>0.6</v>
      </c>
      <c r="D17" s="85">
        <f>Parameters_Public!$C$43</f>
        <v>0.6</v>
      </c>
      <c r="E17" s="85">
        <f>Parameters_Public!$C$43</f>
        <v>0.6</v>
      </c>
      <c r="F17" s="85">
        <f>Parameters_Public!$C$43</f>
        <v>0.6</v>
      </c>
      <c r="G17" s="85">
        <f>Parameters_Public!$C$43</f>
        <v>0.6</v>
      </c>
      <c r="H17" s="88" t="s">
        <v>703</v>
      </c>
    </row>
    <row r="18" spans="2:8">
      <c r="B18" s="87" t="s">
        <v>787</v>
      </c>
      <c r="C18" s="97">
        <f>IFERROR((C13*C17), "N/A")</f>
        <v>5042.0180018083174</v>
      </c>
      <c r="D18" s="97">
        <f t="shared" ref="D18:G18" si="3">IFERROR((D13*D17), "N/A")</f>
        <v>5042.0180018083174</v>
      </c>
      <c r="E18" s="97">
        <f t="shared" si="3"/>
        <v>5042.0180018083174</v>
      </c>
      <c r="F18" s="97">
        <f t="shared" si="3"/>
        <v>5042.0180018083174</v>
      </c>
      <c r="G18" s="97">
        <f t="shared" si="3"/>
        <v>5042.0180018083174</v>
      </c>
    </row>
    <row r="19" spans="2:8">
      <c r="B19" s="87" t="s">
        <v>788</v>
      </c>
      <c r="C19" s="97" t="str">
        <f>IF(C18*C5=0, "N/A", C18*C5)</f>
        <v>N/A</v>
      </c>
      <c r="D19" s="97">
        <f>IF(D18*D5=0, "N/A", D18*D5)</f>
        <v>252100.90009041587</v>
      </c>
      <c r="E19" s="97" t="str">
        <f>IF(E18*E5=0, "N/A", E18*E5)</f>
        <v>N/A</v>
      </c>
      <c r="F19" s="97">
        <f>IF(F18*F5=0, "N/A", F18*F5)</f>
        <v>62184.888688969149</v>
      </c>
      <c r="G19" s="97">
        <f>IF(G18*G5=0, "N/A", G18*G5)</f>
        <v>85714.306030741398</v>
      </c>
    </row>
    <row r="20" spans="2:8">
      <c r="B20" s="87" t="s">
        <v>789</v>
      </c>
      <c r="C20" s="98">
        <f>IF(C19="N/A", 0, C19)+C15</f>
        <v>3410084.841889692</v>
      </c>
      <c r="D20" s="98">
        <f>IF(D19="N/A", 0, D19)+D15</f>
        <v>4899160.8250904158</v>
      </c>
      <c r="E20" s="98">
        <f>IF(E19="N/A", 0, E19)+E15</f>
        <v>4647059.9249999998</v>
      </c>
      <c r="F20" s="98">
        <f>IF(F19="N/A", 0, F19)+F15</f>
        <v>4709244.8136889692</v>
      </c>
      <c r="G20" s="98">
        <f>IF(G19="N/A", 0, G19)+G15</f>
        <v>4732774.2310307408</v>
      </c>
    </row>
    <row r="21" spans="2:8" ht="25">
      <c r="B21" s="102" t="s">
        <v>762</v>
      </c>
      <c r="C21" s="85" t="str">
        <f>"$"&amp;YearMap!$E$2&amp;"/student"</f>
        <v>$1000/student</v>
      </c>
      <c r="D21" s="88" t="str">
        <f t="shared" si="0"/>
        <v>N/A</v>
      </c>
      <c r="E21" s="88" t="str">
        <f t="shared" si="0"/>
        <v>N/A</v>
      </c>
      <c r="F21" s="85" t="str">
        <f>"$"&amp;YearMap!$E$2&amp;"/student"</f>
        <v>$1000/student</v>
      </c>
      <c r="G21" s="85" t="str">
        <f>"$"&amp;YearMap!$E$2&amp;"/student"</f>
        <v>$1000/student</v>
      </c>
      <c r="H21" s="88" t="s">
        <v>703</v>
      </c>
    </row>
    <row r="22" spans="2:8">
      <c r="B22" s="103" t="s">
        <v>761</v>
      </c>
      <c r="C22" s="97">
        <f>YearMap!$E$2*C8</f>
        <v>405799.99999999994</v>
      </c>
      <c r="D22" s="88" t="str">
        <f t="shared" si="0"/>
        <v>N/A</v>
      </c>
      <c r="E22" s="88" t="str">
        <f t="shared" si="0"/>
        <v>N/A</v>
      </c>
      <c r="F22" s="97">
        <f>YearMap!$E$2*F8</f>
        <v>154200</v>
      </c>
      <c r="G22" s="97">
        <f>YearMap!$E$2*G8</f>
        <v>251600</v>
      </c>
      <c r="H22" s="88"/>
    </row>
    <row r="23" spans="2:8">
      <c r="B23" s="87" t="s">
        <v>781</v>
      </c>
      <c r="C23" s="98">
        <f>C20+IF(C22="N/A", 0, C22)</f>
        <v>3815884.841889692</v>
      </c>
      <c r="D23" s="98">
        <f>D20+IF(D22="N/A", 0, D22)</f>
        <v>4899160.8250904158</v>
      </c>
      <c r="E23" s="98">
        <f>E20+IF(E22="N/A", 0, E22)</f>
        <v>4647059.9249999998</v>
      </c>
      <c r="F23" s="98">
        <f>F20+IF(F22="N/A", 0, F22)</f>
        <v>4863444.8136889692</v>
      </c>
      <c r="G23" s="98">
        <f>G20+IF(G22="N/A", 0, G22)</f>
        <v>4984374.2310307408</v>
      </c>
    </row>
    <row r="24" spans="2:8">
      <c r="B24" s="87" t="s">
        <v>792</v>
      </c>
      <c r="C24" s="97">
        <f>Site_Fixed!$D$10+Site_Fixed!$D$17</f>
        <v>1875000</v>
      </c>
      <c r="D24" s="97">
        <f>Site_Fixed!$D$10+Site_Fixed!$D$17</f>
        <v>1875000</v>
      </c>
      <c r="E24" s="97">
        <f>Site_Fixed!$D$10+Site_Fixed!$D$17</f>
        <v>1875000</v>
      </c>
      <c r="F24" s="97">
        <f>Site_Fixed!$D$10</f>
        <v>900000</v>
      </c>
      <c r="G24" s="97">
        <f>Site_Fixed!$D$17</f>
        <v>975000</v>
      </c>
      <c r="H24" s="88" t="s">
        <v>727</v>
      </c>
    </row>
    <row r="25" spans="2:8">
      <c r="B25" s="87" t="s">
        <v>793</v>
      </c>
      <c r="C25" s="85">
        <f>YearMap!$F$2</f>
        <v>0.2</v>
      </c>
      <c r="D25" s="88" t="str">
        <f t="shared" si="0"/>
        <v>N/A</v>
      </c>
      <c r="E25" s="88" t="str">
        <f t="shared" si="0"/>
        <v>N/A</v>
      </c>
      <c r="F25" s="85">
        <f>YearMap!$F$2</f>
        <v>0.2</v>
      </c>
      <c r="G25" s="85">
        <f>YearMap!$F$2</f>
        <v>0.2</v>
      </c>
      <c r="H25" s="88" t="s">
        <v>703</v>
      </c>
    </row>
    <row r="26" spans="2:8">
      <c r="B26" s="87" t="s">
        <v>790</v>
      </c>
      <c r="C26" s="97">
        <f>IFERROR(C24*(C25), C24)</f>
        <v>375000</v>
      </c>
      <c r="D26" s="97">
        <f>IFERROR(D24*(D25), D24)</f>
        <v>1875000</v>
      </c>
      <c r="E26" s="97">
        <f>IFERROR(E24*(E25), E24)</f>
        <v>1875000</v>
      </c>
      <c r="F26" s="97">
        <f>F24+IFERROR(G24*(F25), G24)</f>
        <v>1095000</v>
      </c>
      <c r="G26" s="97">
        <f>F24+IFERROR(F24*(G25), F24)</f>
        <v>1080000</v>
      </c>
    </row>
    <row r="27" spans="2:8">
      <c r="B27" s="107" t="s">
        <v>791</v>
      </c>
      <c r="C27" s="108">
        <f>C26+C23</f>
        <v>4190884.841889692</v>
      </c>
      <c r="D27" s="108">
        <f>D26+D23</f>
        <v>6774160.8250904158</v>
      </c>
      <c r="E27" s="108">
        <f>E26+E23</f>
        <v>6522059.9249999998</v>
      </c>
      <c r="F27" s="108">
        <f>F26+F23</f>
        <v>5958444.8136889692</v>
      </c>
      <c r="G27" s="108">
        <f>G26+G23</f>
        <v>6064374.2310307408</v>
      </c>
    </row>
    <row r="28" spans="2:8">
      <c r="B28" s="107" t="s">
        <v>760</v>
      </c>
      <c r="C28" s="109">
        <f>C11-C27</f>
        <v>258691.86811030703</v>
      </c>
      <c r="D28" s="110">
        <f>D11-D27</f>
        <v>-201295.97509041522</v>
      </c>
      <c r="E28" s="109">
        <f>E11-E27</f>
        <v>-458442.57500000019</v>
      </c>
      <c r="F28" s="110">
        <f>F11-F27</f>
        <v>-896409.94035563618</v>
      </c>
      <c r="G28" s="110">
        <f>G11-G27</f>
        <v>-317563.24686407391</v>
      </c>
    </row>
    <row r="31" spans="2:8">
      <c r="B31" s="87" t="s">
        <v>782</v>
      </c>
      <c r="C31" s="98">
        <f>C23-C26</f>
        <v>3440884.841889692</v>
      </c>
    </row>
    <row r="32" spans="2:8">
      <c r="B32" s="107"/>
      <c r="C32" s="108"/>
      <c r="D32" s="107"/>
      <c r="E32" s="107"/>
      <c r="F32" s="107"/>
      <c r="G32" s="107"/>
      <c r="H32" s="107"/>
    </row>
    <row r="33" spans="2:8">
      <c r="B33" s="104" t="s">
        <v>760</v>
      </c>
      <c r="C33" s="105">
        <f>MultiYear_ProForma!$AF$32</f>
        <v>252007.49311030656</v>
      </c>
      <c r="D33" s="105">
        <f>MultiYear_ProForma!$AF$17</f>
        <v>-210423.72431478277</v>
      </c>
      <c r="E33" s="105">
        <f>MultiYear_ProForma!$AF$62</f>
        <v>-459335.03052499983</v>
      </c>
      <c r="F33" s="105">
        <f>MultiYear_ProForma!$AF$42</f>
        <v>-97751.667992075905</v>
      </c>
      <c r="G33" s="105">
        <f>MultiYear_ProForma!$AF$52</f>
        <v>36009.647332676686</v>
      </c>
      <c r="H33" s="106"/>
    </row>
    <row r="35" spans="2:8">
      <c r="B35" s="87" t="s">
        <v>778</v>
      </c>
      <c r="C35" s="99">
        <f>IFERROR(C26/C9, 0)</f>
        <v>924.10054213898479</v>
      </c>
      <c r="D35" s="99">
        <f>IFERROR(D26/D9, 0)</f>
        <v>3109.4527363184079</v>
      </c>
      <c r="E35" s="99">
        <f>IFERROR(E26/E9, 0)</f>
        <v>3390.5967450271246</v>
      </c>
      <c r="F35" s="99">
        <f>IFERROR(F26/F9, 0)</f>
        <v>2367.3969443643705</v>
      </c>
      <c r="G35" s="99">
        <f>IFERROR(G26/G9, 0)</f>
        <v>2054.794520547945</v>
      </c>
    </row>
    <row r="36" spans="2:8">
      <c r="B36" s="87" t="s">
        <v>779</v>
      </c>
      <c r="C36" s="99">
        <f>C18-C35</f>
        <v>4117.9174596693329</v>
      </c>
    </row>
    <row r="37" spans="2:8" ht="14.5" customHeight="1">
      <c r="B37" s="87" t="s">
        <v>780</v>
      </c>
    </row>
    <row r="39" spans="2:8">
      <c r="B39" s="101" t="s">
        <v>705</v>
      </c>
      <c r="C39" s="88"/>
      <c r="D39" s="88"/>
      <c r="E39" s="88"/>
      <c r="F39" s="88"/>
      <c r="G39" s="88"/>
      <c r="H39" s="88" t="s">
        <v>703</v>
      </c>
    </row>
    <row r="40" spans="2:8" ht="38.5">
      <c r="B40" s="101" t="s">
        <v>706</v>
      </c>
      <c r="C40" s="89" t="s">
        <v>724</v>
      </c>
      <c r="D40" s="89" t="s">
        <v>725</v>
      </c>
      <c r="E40" s="89" t="s">
        <v>726</v>
      </c>
      <c r="F40" s="89" t="s">
        <v>713</v>
      </c>
      <c r="G40" s="89" t="s">
        <v>713</v>
      </c>
      <c r="H40" s="88" t="s">
        <v>703</v>
      </c>
    </row>
    <row r="41" spans="2:8">
      <c r="B41" s="103" t="s">
        <v>752</v>
      </c>
      <c r="C41" s="88" t="s">
        <v>755</v>
      </c>
      <c r="D41" s="88" t="s">
        <v>756</v>
      </c>
      <c r="E41" s="88" t="s">
        <v>754</v>
      </c>
      <c r="F41" s="88" t="s">
        <v>758</v>
      </c>
      <c r="G41" s="88" t="s">
        <v>758</v>
      </c>
      <c r="H41" s="88"/>
    </row>
    <row r="42" spans="2:8">
      <c r="B42" s="103" t="s">
        <v>757</v>
      </c>
      <c r="C42" s="88" t="s">
        <v>754</v>
      </c>
      <c r="D42" s="88" t="s">
        <v>754</v>
      </c>
      <c r="E42" s="88" t="s">
        <v>753</v>
      </c>
      <c r="F42" s="88" t="s">
        <v>758</v>
      </c>
      <c r="G42" s="88" t="s">
        <v>758</v>
      </c>
      <c r="H42" s="88"/>
    </row>
    <row r="44" spans="2:8" ht="25">
      <c r="B44" s="102" t="s">
        <v>763</v>
      </c>
      <c r="C44" s="87" t="str">
        <f>"$"&amp;YearMap!$E$6&amp;"/student"</f>
        <v>$300/student</v>
      </c>
      <c r="D44" s="88" t="str">
        <f t="shared" si="0"/>
        <v>N/A</v>
      </c>
      <c r="E44" s="88" t="str">
        <f t="shared" si="0"/>
        <v>N/A</v>
      </c>
      <c r="F44" s="87" t="str">
        <f>"$"&amp;YearMap!$E$6&amp;"/student"</f>
        <v>$300/student</v>
      </c>
      <c r="G44" s="87" t="str">
        <f>"$"&amp;YearMap!$E$6&amp;"/student"</f>
        <v>$300/student</v>
      </c>
    </row>
    <row r="45" spans="2:8">
      <c r="B45" s="103" t="s">
        <v>764</v>
      </c>
      <c r="C45" s="97">
        <f>YearMap!$E$6*C8</f>
        <v>121739.99999999999</v>
      </c>
      <c r="D45" s="88" t="str">
        <f t="shared" si="0"/>
        <v>N/A</v>
      </c>
      <c r="E45" s="88" t="str">
        <f t="shared" si="0"/>
        <v>N/A</v>
      </c>
      <c r="F45" s="97">
        <f>YearMap!$E$6*F8</f>
        <v>46260</v>
      </c>
      <c r="G45" s="97">
        <f>YearMap!$E$6*G8</f>
        <v>75480</v>
      </c>
    </row>
    <row r="47" spans="2:8" ht="25">
      <c r="B47" s="102" t="s">
        <v>765</v>
      </c>
      <c r="C47" s="85">
        <f>YearMap!$F$6</f>
        <v>0.1</v>
      </c>
      <c r="D47" s="88" t="str">
        <f t="shared" si="0"/>
        <v>N/A</v>
      </c>
      <c r="E47" s="88" t="str">
        <f t="shared" si="0"/>
        <v>N/A</v>
      </c>
      <c r="F47" s="85">
        <f>YearMap!$F$6</f>
        <v>0.1</v>
      </c>
      <c r="G47" s="85">
        <f>YearMap!$F$6</f>
        <v>0.1</v>
      </c>
      <c r="H47" s="88" t="s">
        <v>703</v>
      </c>
    </row>
    <row r="48" spans="2:8">
      <c r="B48" s="103" t="s">
        <v>759</v>
      </c>
      <c r="C48" s="97">
        <f>C24*(1-C47)</f>
        <v>1687500</v>
      </c>
      <c r="D48" s="88" t="str">
        <f t="shared" si="0"/>
        <v>N/A</v>
      </c>
      <c r="E48" s="88" t="str">
        <f t="shared" si="0"/>
        <v>N/A</v>
      </c>
      <c r="F48" s="97">
        <f>F24*(1-F47)</f>
        <v>810000</v>
      </c>
      <c r="G48" s="97">
        <f>G24*(1-G47)</f>
        <v>877500</v>
      </c>
    </row>
    <row r="50" spans="1:8" ht="25">
      <c r="B50" s="102" t="s">
        <v>707</v>
      </c>
      <c r="C50" s="88" t="str">
        <f t="shared" si="0"/>
        <v>N/A</v>
      </c>
      <c r="D50" s="85" t="str">
        <f>"&amp;Scenarios!M6&amp;""students"</f>
        <v>&amp;Scenarios!M6&amp;"students</v>
      </c>
      <c r="E50" s="85" t="s">
        <v>704</v>
      </c>
      <c r="F50" s="88"/>
      <c r="G50" s="88"/>
      <c r="H50" s="88" t="s">
        <v>703</v>
      </c>
    </row>
    <row r="52" spans="1:8">
      <c r="B52" s="103" t="s">
        <v>766</v>
      </c>
      <c r="C52" s="97">
        <f>Summary_Figures!$F$11</f>
        <v>815010.4570824476</v>
      </c>
    </row>
    <row r="53" spans="1:8" ht="25">
      <c r="B53" s="102" t="s">
        <v>708</v>
      </c>
      <c r="C53" s="97">
        <f>Summary_Figures!$G$11</f>
        <v>535102.85993188317</v>
      </c>
      <c r="D53" s="88"/>
      <c r="E53" s="88"/>
      <c r="F53" s="88"/>
      <c r="G53" s="88"/>
      <c r="H53" s="88" t="s">
        <v>703</v>
      </c>
    </row>
    <row r="57" spans="1:8">
      <c r="B57" s="87" t="s">
        <v>735</v>
      </c>
    </row>
    <row r="58" spans="1:8">
      <c r="A58" s="124" t="s">
        <v>720</v>
      </c>
      <c r="B58" s="87" t="s">
        <v>714</v>
      </c>
    </row>
    <row r="59" spans="1:8">
      <c r="A59" s="124"/>
      <c r="B59" s="87" t="s">
        <v>715</v>
      </c>
    </row>
    <row r="60" spans="1:8">
      <c r="A60" s="124"/>
      <c r="B60" s="87" t="s">
        <v>716</v>
      </c>
    </row>
    <row r="61" spans="1:8">
      <c r="A61" s="124"/>
      <c r="B61" s="87" t="s">
        <v>717</v>
      </c>
    </row>
    <row r="62" spans="1:8">
      <c r="A62" s="124" t="s">
        <v>721</v>
      </c>
      <c r="B62" s="87" t="s">
        <v>718</v>
      </c>
    </row>
    <row r="63" spans="1:8">
      <c r="A63" s="124"/>
      <c r="B63" s="87" t="s">
        <v>719</v>
      </c>
    </row>
    <row r="64" spans="1:8">
      <c r="A64" s="124"/>
      <c r="B64" s="87" t="s">
        <v>722</v>
      </c>
    </row>
    <row r="65" spans="1:8">
      <c r="A65" s="124"/>
      <c r="B65" s="87" t="s">
        <v>723</v>
      </c>
    </row>
    <row r="66" spans="1:8">
      <c r="B66" s="87" t="s">
        <v>736</v>
      </c>
    </row>
    <row r="69" spans="1:8" ht="13" thickBot="1">
      <c r="B69" s="87" t="s">
        <v>743</v>
      </c>
    </row>
    <row r="70" spans="1:8" ht="52.5" thickBot="1">
      <c r="C70" s="84" t="s">
        <v>698</v>
      </c>
      <c r="D70" s="84" t="s">
        <v>699</v>
      </c>
      <c r="E70" s="84" t="s">
        <v>700</v>
      </c>
      <c r="F70" s="84" t="s">
        <v>711</v>
      </c>
      <c r="G70" s="84" t="s">
        <v>712</v>
      </c>
      <c r="H70" s="84" t="s">
        <v>701</v>
      </c>
    </row>
    <row r="71" spans="1:8" ht="39.5" thickBot="1">
      <c r="B71" s="84" t="s">
        <v>709</v>
      </c>
    </row>
    <row r="72" spans="1:8" ht="39">
      <c r="B72" s="86" t="s">
        <v>710</v>
      </c>
    </row>
    <row r="73" spans="1:8">
      <c r="A73" s="124" t="s">
        <v>720</v>
      </c>
      <c r="B73" s="87" t="s">
        <v>714</v>
      </c>
    </row>
    <row r="74" spans="1:8">
      <c r="A74" s="124"/>
      <c r="B74" s="87" t="s">
        <v>715</v>
      </c>
    </row>
    <row r="75" spans="1:8">
      <c r="A75" s="124"/>
      <c r="B75" s="87" t="s">
        <v>716</v>
      </c>
    </row>
    <row r="76" spans="1:8">
      <c r="A76" s="124"/>
      <c r="B76" s="87" t="s">
        <v>717</v>
      </c>
    </row>
    <row r="77" spans="1:8">
      <c r="A77" s="124" t="s">
        <v>721</v>
      </c>
      <c r="B77" s="87" t="s">
        <v>718</v>
      </c>
    </row>
    <row r="78" spans="1:8">
      <c r="A78" s="124"/>
      <c r="B78" s="87" t="s">
        <v>719</v>
      </c>
    </row>
    <row r="79" spans="1:8">
      <c r="A79" s="124"/>
      <c r="B79" s="87" t="s">
        <v>722</v>
      </c>
    </row>
    <row r="80" spans="1:8">
      <c r="A80" s="124"/>
      <c r="B80" s="87" t="s">
        <v>723</v>
      </c>
    </row>
    <row r="83" spans="2:2">
      <c r="B83" s="87" t="s">
        <v>744</v>
      </c>
    </row>
  </sheetData>
  <mergeCells count="4">
    <mergeCell ref="A58:A61"/>
    <mergeCell ref="A62:A65"/>
    <mergeCell ref="A73:A76"/>
    <mergeCell ref="A77:A80"/>
  </mergeCells>
  <pageMargins left="0.7" right="0.7" top="0.75" bottom="0.75" header="0.3" footer="0.3"/>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8"/>
  <sheetViews>
    <sheetView zoomScale="70" zoomScaleNormal="70" workbookViewId="0">
      <selection activeCell="J4" sqref="J4"/>
    </sheetView>
  </sheetViews>
  <sheetFormatPr defaultRowHeight="14.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80" t="s">
        <v>1</v>
      </c>
      <c r="C1" s="12"/>
      <c r="D1" s="4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44" t="s">
        <v>2</v>
      </c>
      <c r="C3" s="126" t="s">
        <v>3</v>
      </c>
      <c r="D3" s="127"/>
      <c r="E3" s="127"/>
      <c r="F3" s="127"/>
      <c r="G3" s="127"/>
      <c r="H3" s="127"/>
      <c r="I3" s="40" t="s">
        <v>4</v>
      </c>
      <c r="J3" s="39"/>
      <c r="K3" s="39"/>
      <c r="L3" s="39"/>
      <c r="M3" s="12"/>
      <c r="N3" s="12"/>
      <c r="O3" s="12"/>
      <c r="P3" s="12"/>
      <c r="Q3" s="12"/>
      <c r="R3" s="12"/>
      <c r="S3" s="12"/>
    </row>
    <row r="4" spans="1:19" ht="30" customHeight="1">
      <c r="A4" s="12"/>
      <c r="B4" s="42" t="s">
        <v>5</v>
      </c>
      <c r="C4" s="131" t="str">
        <f>VLOOKUP($B4,Scenarios!$A$2:$C$15, 2, 0)</f>
        <v>Repurpose both Echo &amp; Pima; lease both properties; fixed cost reduction rate, retention %, and transition cost assumptions are key drivers</v>
      </c>
      <c r="D4" s="132"/>
      <c r="E4" s="132"/>
      <c r="F4" s="132"/>
      <c r="G4" s="132"/>
      <c r="H4" s="132"/>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69"/>
      <c r="M4" s="12"/>
      <c r="N4" s="12"/>
      <c r="O4" s="12"/>
      <c r="P4" s="12"/>
      <c r="Q4" s="12"/>
      <c r="R4" s="12"/>
      <c r="S4" s="12"/>
    </row>
    <row r="5" spans="1:19" ht="31.5" customHeight="1">
      <c r="A5" s="12"/>
      <c r="B5" s="43" t="s">
        <v>6</v>
      </c>
      <c r="C5" s="125" t="str">
        <f>VLOOKUP($B5,Scenarios!$A$2:$C$15, 2, 0)</f>
        <v>Echo &amp; Pima open; no operational or strategic growth actions; enrollment decline trend continues</v>
      </c>
      <c r="D5" s="123"/>
      <c r="E5" s="123"/>
      <c r="F5" s="123"/>
      <c r="G5" s="123"/>
      <c r="H5" s="123"/>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69"/>
      <c r="M5" s="12"/>
      <c r="N5" s="12"/>
      <c r="O5" s="12"/>
      <c r="P5" s="12"/>
      <c r="Q5" s="12"/>
      <c r="R5" s="12"/>
      <c r="S5" s="12"/>
    </row>
    <row r="6" spans="1:19">
      <c r="A6" s="12"/>
      <c r="B6" s="3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130" t="s">
        <v>7</v>
      </c>
      <c r="C24" s="123"/>
      <c r="D24" s="123"/>
      <c r="E24" s="123"/>
      <c r="F24" s="123"/>
      <c r="G24" s="123"/>
      <c r="H24" s="123"/>
      <c r="I24" s="123"/>
      <c r="J24" s="123"/>
      <c r="K24" s="123"/>
      <c r="L24" s="123"/>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34" t="s">
        <v>8</v>
      </c>
      <c r="C26" s="45" t="s">
        <v>9</v>
      </c>
      <c r="D26" s="46" t="s">
        <v>10</v>
      </c>
      <c r="E26" s="12"/>
      <c r="F26" s="12"/>
      <c r="G26" s="12"/>
      <c r="H26" s="12"/>
      <c r="I26" s="12"/>
      <c r="J26" s="12"/>
      <c r="K26" s="12"/>
      <c r="L26" s="12"/>
      <c r="M26" s="12"/>
      <c r="N26" s="12"/>
      <c r="O26" s="12"/>
      <c r="P26" s="12"/>
      <c r="Q26" s="12"/>
      <c r="R26" s="12"/>
      <c r="S26" s="12"/>
    </row>
    <row r="27" spans="1:19">
      <c r="A27" s="12"/>
      <c r="B27" s="12" t="s">
        <v>11</v>
      </c>
      <c r="C27" s="36">
        <f>SUMIFS(MultiYear_ProForma!$AF$2:$AF$66, MultiYear_ProForma!$B$2:$B$66, $B$4, MultiYear_ProForma!$C$2:$C$66, "FY2026")</f>
        <v>252007.49311030656</v>
      </c>
      <c r="D27" s="36">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c r="A28" s="12"/>
      <c r="B28" s="12" t="s">
        <v>12</v>
      </c>
      <c r="C28" s="36">
        <f>SUMIFS(MultiYear_ProForma!$AF$2:$AF$66, MultiYear_ProForma!$B$2:$B$66, $B$4, MultiYear_ProForma!$C$2:$C$66, "FY2027")</f>
        <v>349612.68043806497</v>
      </c>
      <c r="D28" s="36">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c r="A29" s="12"/>
      <c r="B29" s="12" t="s">
        <v>13</v>
      </c>
      <c r="C29" s="36">
        <f>SUMIFS(MultiYear_ProForma!$AF$2:$AF$66, MultiYear_ProForma!$B$2:$B$66, $B$4, MultiYear_ProForma!$C$2:$C$66, "FY2028")</f>
        <v>547880.78407011135</v>
      </c>
      <c r="D29" s="36">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c r="A30" s="12"/>
      <c r="B30" s="12" t="s">
        <v>14</v>
      </c>
      <c r="C30" s="36">
        <f>SUMIFS(MultiYear_ProForma!$AF$2:$AF$66, MultiYear_ProForma!$B$2:$B$66, $B$4, MultiYear_ProForma!$C$2:$C$66, "FY2029")</f>
        <v>711002.88495848514</v>
      </c>
      <c r="D30" s="36">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c r="A31" s="12"/>
      <c r="B31" s="12" t="s">
        <v>15</v>
      </c>
      <c r="C31" s="36">
        <f>SUMIFS(MultiYear_ProForma!$AF$2:$AF$66, MultiYear_ProForma!$B$2:$B$66, $B$4, MultiYear_ProForma!$C$2:$C$66, "FY2030")</f>
        <v>815010.4570824476</v>
      </c>
      <c r="D31" s="36">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48" t="s">
        <v>16</v>
      </c>
      <c r="C33" s="47"/>
      <c r="D33" s="12"/>
      <c r="E33" s="12"/>
      <c r="F33" s="12"/>
      <c r="G33" s="12"/>
      <c r="H33" s="12"/>
      <c r="I33" s="12"/>
      <c r="J33" s="12"/>
      <c r="K33" s="12"/>
      <c r="L33" s="12"/>
      <c r="M33" s="12"/>
      <c r="N33" s="12"/>
      <c r="O33" s="12"/>
      <c r="P33" s="12"/>
      <c r="Q33" s="12"/>
      <c r="R33" s="12"/>
      <c r="S33" s="12"/>
    </row>
    <row r="34" spans="1:19">
      <c r="A34" s="12"/>
      <c r="B34" s="47" t="s">
        <v>17</v>
      </c>
      <c r="C34" s="47">
        <f>Parameters_Public!C23</f>
        <v>0.6</v>
      </c>
      <c r="D34" s="12"/>
      <c r="E34" s="12"/>
      <c r="F34" s="12"/>
      <c r="G34" s="12"/>
      <c r="H34" s="12"/>
      <c r="I34" s="12"/>
      <c r="J34" s="12"/>
      <c r="K34" s="12"/>
      <c r="L34" s="12"/>
      <c r="M34" s="12"/>
      <c r="N34" s="12"/>
      <c r="O34" s="12"/>
      <c r="P34" s="12"/>
      <c r="Q34" s="12"/>
      <c r="R34" s="12"/>
      <c r="S34" s="12"/>
    </row>
    <row r="35" spans="1:19">
      <c r="A35" s="12"/>
      <c r="B35" s="47" t="s">
        <v>18</v>
      </c>
      <c r="C35" s="47">
        <f>Parameters_Public!C24</f>
        <v>0.85</v>
      </c>
      <c r="D35" s="12"/>
      <c r="E35" s="12"/>
      <c r="F35" s="12"/>
      <c r="G35" s="12"/>
      <c r="H35" s="12"/>
      <c r="I35" s="12"/>
      <c r="J35" s="12"/>
      <c r="K35" s="12"/>
      <c r="L35" s="12"/>
      <c r="M35" s="12"/>
      <c r="N35" s="12"/>
      <c r="O35" s="12"/>
      <c r="P35" s="12"/>
      <c r="Q35" s="12"/>
      <c r="R35" s="12"/>
      <c r="S35" s="12"/>
    </row>
    <row r="36" spans="1:19">
      <c r="A36" s="12"/>
      <c r="B36" s="47" t="s">
        <v>19</v>
      </c>
      <c r="C36" s="47">
        <f>Parameters_Public!C43</f>
        <v>0.6</v>
      </c>
      <c r="D36" s="12"/>
      <c r="E36" s="12"/>
      <c r="F36" s="12"/>
      <c r="G36" s="12"/>
      <c r="H36" s="12"/>
      <c r="I36" s="12"/>
      <c r="J36" s="12"/>
      <c r="K36" s="12"/>
      <c r="L36" s="12"/>
      <c r="M36" s="12"/>
      <c r="N36" s="12"/>
      <c r="O36" s="12"/>
      <c r="P36" s="12"/>
      <c r="Q36" s="12"/>
      <c r="R36" s="12"/>
      <c r="S36" s="12"/>
    </row>
    <row r="37" spans="1:19">
      <c r="A37" s="12"/>
      <c r="B37" s="47" t="s">
        <v>20</v>
      </c>
      <c r="C37" s="47">
        <f>Parameters_Public!C17</f>
        <v>0.15</v>
      </c>
      <c r="D37" s="12"/>
      <c r="E37" s="12"/>
      <c r="F37" s="12"/>
      <c r="G37" s="12"/>
      <c r="H37" s="12"/>
      <c r="I37" s="12"/>
      <c r="J37" s="12"/>
      <c r="K37" s="12"/>
      <c r="L37" s="12"/>
      <c r="M37" s="12"/>
      <c r="N37" s="12"/>
      <c r="O37" s="12"/>
      <c r="P37" s="12"/>
      <c r="Q37" s="12"/>
      <c r="R37" s="12"/>
      <c r="S37" s="12"/>
    </row>
    <row r="38" spans="1:19">
      <c r="A38" s="12"/>
      <c r="B38" s="47" t="s">
        <v>21</v>
      </c>
      <c r="C38" s="47">
        <f>Parameters_Public!C20</f>
        <v>1</v>
      </c>
      <c r="D38" s="12"/>
      <c r="E38" s="12"/>
      <c r="F38" s="12"/>
      <c r="G38" s="12"/>
      <c r="H38" s="12"/>
      <c r="I38" s="12"/>
      <c r="J38" s="12"/>
      <c r="K38" s="12"/>
      <c r="L38" s="12"/>
      <c r="M38" s="12"/>
      <c r="N38" s="12"/>
      <c r="O38" s="12"/>
      <c r="P38" s="12"/>
      <c r="Q38" s="12"/>
      <c r="R38" s="12"/>
      <c r="S38" s="12"/>
    </row>
    <row r="39" spans="1:19">
      <c r="A39" s="12"/>
      <c r="B39" s="47" t="s">
        <v>22</v>
      </c>
      <c r="C39" s="47">
        <f>Control_Center!C10</f>
        <v>7.0000000000000001E-3</v>
      </c>
      <c r="D39" s="12"/>
      <c r="E39" s="12"/>
      <c r="F39" s="12"/>
      <c r="G39" s="12"/>
      <c r="H39" s="12"/>
      <c r="I39" s="12"/>
      <c r="J39" s="12"/>
      <c r="K39" s="12"/>
      <c r="L39" s="12"/>
      <c r="M39" s="12"/>
      <c r="N39" s="12"/>
      <c r="O39" s="12"/>
      <c r="P39" s="12"/>
      <c r="Q39" s="12"/>
      <c r="R39" s="12"/>
      <c r="S39" s="12"/>
    </row>
    <row r="40" spans="1:19">
      <c r="A40" s="12"/>
      <c r="B40" s="47" t="s">
        <v>23</v>
      </c>
      <c r="C40" s="47">
        <f>Control_Center!C11</f>
        <v>1.4999999999999999E-2</v>
      </c>
      <c r="D40" s="12"/>
      <c r="E40" s="12"/>
      <c r="G40" s="12"/>
      <c r="H40" s="12"/>
      <c r="I40" s="12"/>
      <c r="J40" s="12"/>
      <c r="K40" s="12"/>
      <c r="L40" s="12"/>
      <c r="M40" s="12"/>
      <c r="N40" s="12"/>
      <c r="O40" s="12"/>
      <c r="P40" s="12"/>
      <c r="Q40" s="12"/>
      <c r="R40" s="12"/>
      <c r="S40" s="12"/>
    </row>
    <row r="41" spans="1:19">
      <c r="A41" s="12"/>
      <c r="B41" s="47" t="s">
        <v>24</v>
      </c>
      <c r="C41" s="47"/>
      <c r="D41" s="37"/>
      <c r="E41" s="12"/>
      <c r="F41" s="12"/>
      <c r="G41" s="12"/>
      <c r="H41" s="12"/>
      <c r="I41" s="12"/>
      <c r="J41" s="12"/>
      <c r="K41" s="12"/>
      <c r="L41" s="12"/>
      <c r="M41" s="12"/>
      <c r="N41" s="12"/>
      <c r="O41" s="12"/>
      <c r="P41" s="12"/>
      <c r="Q41" s="12"/>
      <c r="R41" s="12"/>
      <c r="S41" s="12"/>
    </row>
    <row r="42" spans="1:19">
      <c r="A42" s="12"/>
      <c r="B42" s="12"/>
      <c r="C42" s="12"/>
      <c r="D42" s="37"/>
      <c r="E42" s="12"/>
      <c r="F42" s="12"/>
      <c r="G42" s="12"/>
      <c r="H42" s="12"/>
      <c r="I42" s="12"/>
      <c r="J42" s="12"/>
      <c r="K42" s="12"/>
      <c r="L42" s="12"/>
      <c r="M42" s="12"/>
      <c r="N42" s="12"/>
      <c r="O42" s="12"/>
      <c r="P42" s="12"/>
      <c r="Q42" s="12"/>
      <c r="R42" s="12"/>
      <c r="S42" s="12"/>
    </row>
    <row r="43" spans="1:19">
      <c r="A43" s="12"/>
      <c r="B43" s="12"/>
      <c r="C43" s="12"/>
      <c r="D43" s="37" t="s">
        <v>25</v>
      </c>
      <c r="E43" s="12"/>
      <c r="F43" s="12"/>
      <c r="G43" s="12"/>
      <c r="H43" s="12"/>
      <c r="I43" s="12"/>
      <c r="J43" s="12"/>
      <c r="K43" s="12"/>
      <c r="L43" s="12"/>
      <c r="M43" s="12"/>
      <c r="N43" s="12"/>
      <c r="O43" s="12"/>
      <c r="P43" s="12"/>
      <c r="Q43" s="12"/>
      <c r="R43" s="12"/>
      <c r="S43" s="12"/>
    </row>
    <row r="44" spans="1:19">
      <c r="A44" s="12"/>
      <c r="B44" s="45" t="s">
        <v>26</v>
      </c>
      <c r="C44" s="36">
        <f>SUMIFS(Capital_Summary!$H$4:$H$83, Capital_Summary!$A$4:$A$83, B4, Capital_Summary!$B$4:$B$83, "FY2026")</f>
        <v>2314479.9999999995</v>
      </c>
      <c r="D44" s="133" t="str">
        <f>""&amp;$B$5&amp;" will be $"&amp;TEXT(ROUND(ABS(C45-C44),0), "#,##0")&amp;" "&amp;IF(C45&gt;C44,"MORE COSTLY","LESS COSTLY")&amp;" than "&amp;$B$4&amp;" in terms of capital investment required "</f>
        <v xml:space="preserve">E1_StatusQuo_Decline will be $2,314,480 LESS COSTLY than A2_Repurpose_Both_lease in terms of capital investment required </v>
      </c>
      <c r="E44" s="123"/>
      <c r="F44" s="123"/>
      <c r="G44" s="123"/>
      <c r="H44" s="123"/>
      <c r="I44" s="123"/>
      <c r="J44" s="12"/>
      <c r="K44" s="12"/>
      <c r="L44" s="12"/>
      <c r="M44" s="12"/>
      <c r="N44" s="12"/>
      <c r="O44" s="12"/>
      <c r="P44" s="12"/>
      <c r="Q44" s="12"/>
      <c r="R44" s="12"/>
      <c r="S44" s="12"/>
    </row>
    <row r="45" spans="1:19">
      <c r="A45" s="12"/>
      <c r="B45" s="46" t="s">
        <v>27</v>
      </c>
      <c r="C45" s="36">
        <f>SUMIFS(Capital_Summary!$H$4:$H$83, Capital_Summary!$A$4:$A$83, B5, Capital_Summary!$B$4:$B$83, "FY2026")</f>
        <v>0</v>
      </c>
      <c r="D45" s="129"/>
      <c r="E45" s="123"/>
      <c r="F45" s="123"/>
      <c r="G45" s="123"/>
      <c r="H45" s="123"/>
      <c r="I45" s="123"/>
      <c r="J45" s="12"/>
      <c r="K45" s="12"/>
      <c r="L45" s="12"/>
      <c r="M45" s="12"/>
      <c r="N45" s="12"/>
      <c r="O45" s="12"/>
      <c r="P45" s="12"/>
      <c r="Q45" s="12"/>
      <c r="R45" s="12"/>
      <c r="S45" s="12"/>
    </row>
    <row r="46" spans="1:19">
      <c r="A46" s="12"/>
      <c r="B46" s="33"/>
      <c r="C46" s="12"/>
      <c r="D46" s="37"/>
      <c r="E46" s="12"/>
      <c r="F46" s="12"/>
      <c r="G46" s="12"/>
      <c r="H46" s="12"/>
      <c r="I46" s="12"/>
      <c r="J46" s="12"/>
      <c r="K46" s="12"/>
      <c r="L46" s="12"/>
      <c r="M46" s="12"/>
      <c r="N46" s="12"/>
      <c r="O46" s="12"/>
      <c r="P46" s="12"/>
      <c r="Q46" s="12"/>
      <c r="R46" s="12"/>
      <c r="S46" s="12"/>
    </row>
    <row r="47" spans="1:19">
      <c r="A47" s="12"/>
      <c r="B47" s="45" t="s">
        <v>28</v>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540000</v>
      </c>
      <c r="D47" s="133" t="str">
        <f>"On average from 2026 through 2030, "&amp;$B$5&amp;" will be $"&amp;TEXT(ABS(ROUND(C49,0)), "#,##0")&amp;" "&amp;IF(C49&lt;0,"MORE COSTLY","LESS COSTLY")&amp;" to operate annually than "&amp;$B$4&amp;""</f>
        <v>On average from 2026 through 2030, E1_StatusQuo_Decline will be $980,000 MORE COSTLY to operate annually than A2_Repurpose_Both_lease</v>
      </c>
      <c r="E47" s="123"/>
      <c r="F47" s="123"/>
      <c r="G47" s="123"/>
      <c r="H47" s="123"/>
      <c r="I47" s="123"/>
      <c r="J47" s="12"/>
      <c r="K47" s="12"/>
      <c r="L47" s="12"/>
      <c r="M47" s="12"/>
      <c r="N47" s="12"/>
      <c r="O47" s="12"/>
      <c r="P47" s="12"/>
      <c r="Q47" s="12"/>
      <c r="R47" s="12"/>
      <c r="S47" s="12"/>
    </row>
    <row r="48" spans="1:19">
      <c r="A48" s="12"/>
      <c r="B48" s="46" t="s">
        <v>29</v>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29"/>
      <c r="E48" s="123"/>
      <c r="F48" s="123"/>
      <c r="G48" s="123"/>
      <c r="H48" s="123"/>
      <c r="I48" s="123"/>
      <c r="J48" s="12"/>
      <c r="K48" s="12"/>
      <c r="L48" s="12"/>
      <c r="M48" s="12"/>
      <c r="N48" s="12"/>
      <c r="O48" s="12"/>
      <c r="P48" s="12"/>
      <c r="Q48" s="12"/>
      <c r="R48" s="12"/>
      <c r="S48" s="12"/>
    </row>
    <row r="49" spans="1:19">
      <c r="A49" s="12"/>
      <c r="B49" s="35" t="s">
        <v>30</v>
      </c>
      <c r="C49" s="36">
        <f>ROUND(C48-C47, -4)</f>
        <v>-980000</v>
      </c>
      <c r="D49" s="129"/>
      <c r="E49" s="123"/>
      <c r="F49" s="123"/>
      <c r="G49" s="123"/>
      <c r="H49" s="123"/>
      <c r="I49" s="123"/>
      <c r="J49" s="12"/>
      <c r="K49" s="12"/>
      <c r="L49" s="12"/>
      <c r="M49" s="12"/>
      <c r="N49" s="12"/>
      <c r="O49" s="12"/>
      <c r="P49" s="12"/>
      <c r="Q49" s="12"/>
      <c r="R49" s="12"/>
      <c r="S49" s="12"/>
    </row>
    <row r="50" spans="1:19">
      <c r="A50" s="12"/>
      <c r="B50" s="33"/>
      <c r="C50" s="12"/>
      <c r="D50" s="37"/>
      <c r="E50" s="12"/>
      <c r="F50" s="12"/>
      <c r="G50" s="12"/>
      <c r="H50" s="12"/>
      <c r="I50" s="12"/>
      <c r="J50" s="12"/>
      <c r="K50" s="12"/>
      <c r="L50" s="12"/>
      <c r="M50" s="12"/>
      <c r="N50" s="12"/>
      <c r="O50" s="12"/>
      <c r="P50" s="12"/>
      <c r="Q50" s="12"/>
      <c r="R50" s="12"/>
      <c r="S50" s="12"/>
    </row>
    <row r="51" spans="1:19">
      <c r="A51" s="12"/>
      <c r="B51" s="33"/>
      <c r="C51" s="12"/>
      <c r="D51" s="37"/>
      <c r="E51" s="12"/>
      <c r="F51" s="12"/>
      <c r="G51" s="12"/>
      <c r="H51" s="12"/>
      <c r="I51" s="12"/>
      <c r="J51" s="12"/>
      <c r="K51" s="12"/>
      <c r="L51" s="12"/>
      <c r="M51" s="12"/>
      <c r="N51" s="12"/>
      <c r="O51" s="12"/>
      <c r="P51" s="12"/>
      <c r="Q51" s="12"/>
      <c r="R51" s="12"/>
      <c r="S51" s="12"/>
    </row>
    <row r="52" spans="1:19" ht="14.5" customHeight="1">
      <c r="A52" s="12"/>
      <c r="B52" s="45" t="s">
        <v>31</v>
      </c>
      <c r="C52" s="36">
        <f>ROUND(SUMIFS(MultiYear_ProForma!$AF$2:$AF$66, MultiYear_ProForma!$B$2:$B$66, $B$4, MultiYear_ProForma!$C$2:$C$66, "FY2030"), -4)</f>
        <v>820000</v>
      </c>
      <c r="D52" s="133" t="str">
        <f>"By 2030, "&amp;$B$5&amp;" will be $"&amp;TEXT(ABS(ROUND(C54,0)), "#,##0")&amp;" "&amp;IF(C54&lt;0,"MORE COSTLY","LESS COSTLY")&amp;" to operate annually than "&amp;$B$4&amp;""</f>
        <v>By 2030, E1_StatusQuo_Decline will be $1,450,000 MORE COSTLY to operate annually than A2_Repurpose_Both_lease</v>
      </c>
      <c r="E52" s="123"/>
      <c r="F52" s="123"/>
      <c r="G52" s="123"/>
      <c r="H52" s="123"/>
      <c r="I52" s="123"/>
      <c r="J52" s="12"/>
      <c r="K52" s="12"/>
      <c r="L52" s="12"/>
      <c r="M52" s="12"/>
      <c r="N52" s="12"/>
      <c r="O52" s="12"/>
      <c r="P52" s="12"/>
      <c r="Q52" s="12"/>
      <c r="R52" s="12"/>
      <c r="S52" s="12"/>
    </row>
    <row r="53" spans="1:19">
      <c r="A53" s="12"/>
      <c r="B53" s="46" t="s">
        <v>32</v>
      </c>
      <c r="C53" s="36">
        <f>ROUND(SUMIFS(MultiYear_ProForma!$AF$2:$AF$66, MultiYear_ProForma!$B$2:$B$66, $B$5, MultiYear_ProForma!$C$2:$C$66, "FY2030"), -4)</f>
        <v>-630000</v>
      </c>
      <c r="D53" s="129"/>
      <c r="E53" s="123"/>
      <c r="F53" s="123"/>
      <c r="G53" s="123"/>
      <c r="H53" s="123"/>
      <c r="I53" s="123"/>
      <c r="J53" s="12"/>
      <c r="K53" s="12"/>
      <c r="L53" s="12"/>
      <c r="M53" s="12"/>
      <c r="N53" s="12"/>
      <c r="O53" s="12"/>
      <c r="P53" s="12"/>
      <c r="Q53" s="12"/>
      <c r="R53" s="12"/>
      <c r="S53" s="12"/>
    </row>
    <row r="54" spans="1:19">
      <c r="A54" s="12"/>
      <c r="B54" s="35" t="s">
        <v>33</v>
      </c>
      <c r="C54" s="36">
        <f>ROUND(C53-C52, -4)</f>
        <v>-1450000</v>
      </c>
      <c r="D54" s="129"/>
      <c r="E54" s="123"/>
      <c r="F54" s="123"/>
      <c r="G54" s="123"/>
      <c r="H54" s="123"/>
      <c r="I54" s="123"/>
      <c r="J54" s="12"/>
      <c r="K54" s="12"/>
      <c r="L54" s="12"/>
      <c r="M54" s="12"/>
      <c r="N54" s="12"/>
      <c r="O54" s="12"/>
      <c r="P54" s="12"/>
      <c r="Q54" s="12"/>
      <c r="R54" s="12"/>
      <c r="S54" s="12"/>
    </row>
    <row r="55" spans="1:19">
      <c r="A55" s="12"/>
      <c r="B55" s="35"/>
      <c r="C55" s="36"/>
      <c r="D55" s="12"/>
      <c r="E55" s="12"/>
      <c r="F55" s="12"/>
      <c r="G55" s="12"/>
      <c r="H55" s="12"/>
      <c r="I55" s="12"/>
      <c r="J55" s="12"/>
      <c r="K55" s="12"/>
      <c r="L55" s="12"/>
      <c r="M55" s="12"/>
      <c r="N55" s="12"/>
      <c r="O55" s="12"/>
      <c r="P55" s="12"/>
      <c r="Q55" s="12"/>
      <c r="R55" s="12"/>
      <c r="S55" s="12"/>
    </row>
    <row r="56" spans="1:19">
      <c r="A56" s="12"/>
      <c r="B56" s="45" t="s">
        <v>34</v>
      </c>
      <c r="C56" s="38">
        <f>SUMIFS(MultiYear_ProForma!$N$2:$N$66, MultiYear_ProForma!$B$2:$B$66, $B$4, MultiYear_ProForma!$C$2:$C$66, "FY2026")</f>
        <v>553</v>
      </c>
      <c r="D56" s="128" t="str">
        <f>""&amp;$B$5&amp;" will displace "&amp;ROUND(ABS(C57-C56),0)&amp;" "&amp;IF(C57&gt;C56,"MORE STUDENTS","FEWER STUDENTS")&amp;" than "&amp;$B$4&amp;""</f>
        <v>E1_StatusQuo_Decline will displace 553 FEWER STUDENTS than A2_Repurpose_Both_lease</v>
      </c>
      <c r="E56" s="123"/>
      <c r="F56" s="123"/>
      <c r="G56" s="123"/>
      <c r="H56" s="123"/>
      <c r="I56" s="123"/>
      <c r="J56" s="12"/>
      <c r="K56" s="12"/>
      <c r="L56" s="12"/>
      <c r="M56" s="12"/>
      <c r="N56" s="12"/>
      <c r="O56" s="12"/>
      <c r="P56" s="12"/>
      <c r="Q56" s="12"/>
      <c r="R56" s="12"/>
      <c r="S56" s="12"/>
    </row>
    <row r="57" spans="1:19" ht="14.5" customHeight="1">
      <c r="A57" s="12"/>
      <c r="B57" s="46" t="s">
        <v>35</v>
      </c>
      <c r="C57" s="38">
        <f>SUMIFS(MultiYear_ProForma!$N$2:$N$66, MultiYear_ProForma!$B$2:$B$66, $B$5, MultiYear_ProForma!$C$2:$C$66, "FY2026")</f>
        <v>0</v>
      </c>
      <c r="D57" s="129"/>
      <c r="E57" s="123"/>
      <c r="F57" s="123"/>
      <c r="G57" s="123"/>
      <c r="H57" s="123"/>
      <c r="I57" s="123"/>
      <c r="J57" s="12"/>
      <c r="K57" s="12"/>
      <c r="L57" s="12"/>
      <c r="M57" s="12"/>
      <c r="N57" s="12"/>
      <c r="O57" s="12"/>
      <c r="P57" s="12"/>
      <c r="Q57" s="12"/>
      <c r="R57" s="12"/>
      <c r="S57" s="12"/>
    </row>
    <row r="58" spans="1:19">
      <c r="A58" s="12"/>
      <c r="B58" s="35"/>
      <c r="C58" s="38"/>
      <c r="D58" s="12"/>
      <c r="E58" s="12"/>
      <c r="F58" s="12"/>
      <c r="G58" s="12"/>
      <c r="H58" s="12"/>
      <c r="I58" s="12"/>
      <c r="J58" s="12"/>
      <c r="K58" s="12"/>
      <c r="L58" s="12"/>
      <c r="M58" s="12"/>
      <c r="N58" s="12"/>
      <c r="O58" s="12"/>
      <c r="P58" s="12"/>
      <c r="Q58" s="12"/>
      <c r="R58" s="12"/>
      <c r="S58" s="12"/>
    </row>
    <row r="59" spans="1:19">
      <c r="A59" s="12"/>
      <c r="B59" s="45" t="s">
        <v>36</v>
      </c>
      <c r="C59" s="38">
        <f>SUMIFS(MultiYear_ProForma!$AC$2:$AC$66, MultiYear_ProForma!$B$2:$B$66, $B$4, MultiYear_ProForma!$C$2:$C$66, "FY2030")</f>
        <v>405.79999999999995</v>
      </c>
      <c r="D59" s="128" t="str">
        <f>""&amp;$B$5&amp;" will serve "&amp;ROUND(ABS(C60-C59),0)&amp;" "&amp;IF(C60&gt;C59,"MORE STUDENTS","FEWER STUDENTS")&amp;" than "&amp;$B$4&amp;""</f>
        <v>E1_StatusQuo_Decline will serve 104 MORE STUDENTS than A2_Repurpose_Both_lease</v>
      </c>
      <c r="E59" s="123"/>
      <c r="F59" s="123"/>
      <c r="G59" s="123"/>
      <c r="H59" s="123"/>
      <c r="I59" s="123"/>
      <c r="J59" s="12"/>
      <c r="K59" s="12"/>
      <c r="L59" s="12"/>
      <c r="M59" s="12"/>
      <c r="N59" s="12"/>
      <c r="O59" s="12"/>
      <c r="P59" s="12"/>
      <c r="Q59" s="12"/>
      <c r="R59" s="12"/>
      <c r="S59" s="12"/>
    </row>
    <row r="60" spans="1:19">
      <c r="A60" s="12"/>
      <c r="B60" s="46" t="s">
        <v>37</v>
      </c>
      <c r="C60" s="38">
        <f>SUMIFS(MultiYear_ProForma!$AC$2:$AC$66, MultiYear_ProForma!$B$2:$B$66, $B$5, MultiYear_ProForma!$C$2:$C$66, "FY2030")</f>
        <v>510.06959247999993</v>
      </c>
      <c r="D60" s="129"/>
      <c r="E60" s="123"/>
      <c r="F60" s="123"/>
      <c r="G60" s="123"/>
      <c r="H60" s="123"/>
      <c r="I60" s="123"/>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3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200-000000000000}">
          <x14:formula1>
            <xm:f>Scenarios!$A$3:$A$15</xm:f>
          </x14:formula1>
          <xm:sqref>B4:B5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2"/>
  <sheetViews>
    <sheetView workbookViewId="0">
      <selection activeCell="B2" sqref="B2"/>
    </sheetView>
  </sheetViews>
  <sheetFormatPr defaultRowHeight="14.5"/>
  <cols>
    <col min="1" max="1" width="3.81640625" customWidth="1"/>
    <col min="2" max="2" width="53.81640625" customWidth="1"/>
    <col min="3" max="3" width="21.1796875" bestFit="1" customWidth="1"/>
    <col min="4" max="4" width="17.81640625" customWidth="1"/>
  </cols>
  <sheetData>
    <row r="1" spans="1:22" ht="15.5">
      <c r="A1" s="12"/>
      <c r="B1" s="80" t="s">
        <v>38</v>
      </c>
      <c r="C1" s="12"/>
      <c r="D1" s="12"/>
      <c r="E1" s="12"/>
      <c r="F1" s="12"/>
      <c r="G1" s="12"/>
      <c r="H1" s="12"/>
      <c r="I1" s="12"/>
      <c r="J1" s="12"/>
      <c r="K1" s="12"/>
      <c r="L1" s="12"/>
      <c r="M1" s="12"/>
      <c r="N1" s="12"/>
      <c r="O1" s="12"/>
      <c r="P1" s="12"/>
      <c r="Q1" s="12"/>
      <c r="R1" s="12"/>
      <c r="S1" s="12"/>
      <c r="T1" s="12"/>
      <c r="U1" s="12"/>
      <c r="V1" s="12"/>
    </row>
    <row r="2" spans="1:22">
      <c r="A2" s="12"/>
      <c r="B2" s="12"/>
      <c r="C2" s="12"/>
      <c r="D2" s="12"/>
      <c r="E2" s="12"/>
      <c r="F2" s="12"/>
      <c r="G2" s="12"/>
      <c r="H2" s="12"/>
      <c r="I2" s="12"/>
      <c r="J2" s="12"/>
      <c r="K2" s="12"/>
      <c r="L2" s="12"/>
      <c r="M2" s="12"/>
      <c r="N2" s="12"/>
      <c r="O2" s="12"/>
      <c r="P2" s="12"/>
      <c r="Q2" s="12"/>
      <c r="R2" s="12"/>
      <c r="S2" s="12"/>
      <c r="T2" s="12"/>
      <c r="U2" s="12"/>
      <c r="V2" s="12"/>
    </row>
    <row r="3" spans="1:22">
      <c r="A3" s="12"/>
      <c r="B3" s="65" t="s">
        <v>39</v>
      </c>
      <c r="C3" s="22" t="s">
        <v>6</v>
      </c>
      <c r="D3" s="12"/>
      <c r="E3" s="12"/>
      <c r="F3" s="12"/>
      <c r="G3" s="12"/>
      <c r="H3" s="12"/>
      <c r="I3" s="12"/>
      <c r="J3" s="12"/>
      <c r="K3" s="12"/>
      <c r="L3" s="12"/>
      <c r="M3" s="12"/>
      <c r="N3" s="12"/>
      <c r="O3" s="12"/>
      <c r="P3" s="12"/>
      <c r="Q3" s="12"/>
      <c r="R3" s="12"/>
      <c r="S3" s="12"/>
      <c r="T3" s="12"/>
      <c r="U3" s="12"/>
      <c r="V3" s="12"/>
    </row>
    <row r="4" spans="1:22">
      <c r="A4" s="12"/>
      <c r="B4" s="12"/>
      <c r="C4" s="12"/>
      <c r="D4" s="12"/>
      <c r="E4" s="12"/>
      <c r="F4" s="12"/>
      <c r="G4" s="12"/>
      <c r="H4" s="12"/>
      <c r="I4" s="12"/>
      <c r="J4" s="12"/>
      <c r="K4" s="12"/>
      <c r="L4" s="12"/>
      <c r="M4" s="12"/>
      <c r="N4" s="12"/>
      <c r="O4" s="12"/>
      <c r="P4" s="12"/>
      <c r="Q4" s="12"/>
      <c r="R4" s="12"/>
      <c r="S4" s="12"/>
      <c r="T4" s="12"/>
      <c r="U4" s="12"/>
      <c r="V4" s="12"/>
    </row>
    <row r="5" spans="1:22">
      <c r="A5" s="12"/>
      <c r="B5" s="56" t="s">
        <v>40</v>
      </c>
      <c r="C5" s="57" t="s">
        <v>11</v>
      </c>
      <c r="D5" s="57" t="s">
        <v>15</v>
      </c>
      <c r="E5" s="12"/>
      <c r="F5" s="12"/>
      <c r="G5" s="12"/>
      <c r="H5" s="12"/>
      <c r="I5" s="12"/>
      <c r="J5" s="12"/>
      <c r="K5" s="12"/>
      <c r="L5" s="12"/>
      <c r="M5" s="12"/>
      <c r="N5" s="12"/>
      <c r="O5" s="12"/>
      <c r="P5" s="12"/>
      <c r="Q5" s="12"/>
      <c r="R5" s="12"/>
      <c r="S5" s="12"/>
      <c r="T5" s="12"/>
      <c r="U5" s="12"/>
      <c r="V5" s="12"/>
    </row>
    <row r="6" spans="1:22">
      <c r="A6" s="12"/>
      <c r="B6" s="58" t="s">
        <v>41</v>
      </c>
      <c r="C6" s="59">
        <f>INDEX(YearMap!$I$2:$I$6, MATCH("FY2026",YearMap!$A$2:$A$6,0))+IF(Override_toggle=1, INDEX(YearMap!$O$2:$O$6, MATCH("FY2026",YearMap!$A$2:$A$6,0)),0)+INDEX(YearMap!$P$2:$P$6, MATCH("FY2026",YearMap!$A$2:$A$6,0))-INDEX(YearMap!$B$2:$B$6, MATCH("FY2026",YearMap!$A$2:$A$6,0))-INDEX(YearMap!$Q$2:$Q$6, MATCH("FY2026",YearMap!$A$2:$A$6,0))</f>
        <v>1609.6366636528037</v>
      </c>
      <c r="D6" s="59">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c r="A7" s="12"/>
      <c r="B7" s="60" t="s">
        <v>42</v>
      </c>
      <c r="C7" s="61">
        <f>SUMIFS(MultiYear_ProForma!$AF$2:$AF$66,MultiYear_ProForma!$B$2:$B$66,$C$3,MultiYear_ProForma!$C$2:$C$66,"FY2026")</f>
        <v>-459335.03052499983</v>
      </c>
      <c r="D7" s="61">
        <f>SUMIFS(MultiYear_ProForma!$AF$2:$AF$66,MultiYear_ProForma!$B$2:$B$66,$C$3,MultiYear_ProForma!$C$2:$C$66,"FY2030")</f>
        <v>-631193.6658622073</v>
      </c>
      <c r="E7" s="12"/>
      <c r="F7" s="12"/>
      <c r="G7" s="12"/>
      <c r="H7" s="12"/>
      <c r="I7" s="12"/>
      <c r="J7" s="12"/>
      <c r="K7" s="12"/>
      <c r="L7" s="12"/>
      <c r="M7" s="12"/>
      <c r="N7" s="12"/>
      <c r="O7" s="12"/>
      <c r="P7" s="12"/>
      <c r="Q7" s="12"/>
      <c r="R7" s="12"/>
      <c r="S7" s="12"/>
      <c r="T7" s="12"/>
      <c r="U7" s="12"/>
      <c r="V7" s="12"/>
    </row>
    <row r="8" spans="1:22">
      <c r="A8" s="12"/>
      <c r="B8" s="62" t="s">
        <v>43</v>
      </c>
      <c r="C8" s="63">
        <f>IFERROR(MAX(0,-$C$7/$C$6),"")</f>
        <v>285.36566101980748</v>
      </c>
      <c r="D8" s="63">
        <f>IFERROR(MAX(0,-$D$7/$D$6),"")</f>
        <v>325.77732940576294</v>
      </c>
      <c r="E8" s="12"/>
      <c r="F8" s="12"/>
      <c r="G8" s="12"/>
      <c r="H8" s="12"/>
      <c r="I8" s="12"/>
      <c r="J8" s="12"/>
      <c r="K8" s="12"/>
      <c r="L8" s="12"/>
      <c r="M8" s="12"/>
      <c r="N8" s="12"/>
      <c r="O8" s="12"/>
      <c r="P8" s="12"/>
      <c r="Q8" s="12"/>
      <c r="R8" s="12"/>
      <c r="S8" s="12"/>
      <c r="T8" s="12"/>
      <c r="U8" s="12"/>
      <c r="V8" s="12"/>
    </row>
    <row r="9" spans="1:22">
      <c r="A9" s="12"/>
      <c r="B9" s="55"/>
      <c r="C9" s="33"/>
      <c r="D9" s="33"/>
      <c r="E9" s="12"/>
      <c r="F9" s="12"/>
      <c r="G9" s="12"/>
      <c r="H9" s="12"/>
      <c r="I9" s="12"/>
      <c r="J9" s="12"/>
      <c r="K9" s="12"/>
      <c r="L9" s="12"/>
      <c r="M9" s="12"/>
      <c r="N9" s="12"/>
      <c r="O9" s="12"/>
      <c r="P9" s="12"/>
      <c r="Q9" s="12"/>
      <c r="R9" s="12"/>
      <c r="S9" s="12"/>
      <c r="T9" s="12"/>
      <c r="U9" s="12"/>
      <c r="V9" s="12"/>
    </row>
    <row r="10" spans="1:22">
      <c r="A10" s="12"/>
      <c r="B10" s="64" t="s">
        <v>25</v>
      </c>
      <c r="C10" s="40"/>
      <c r="D10" s="40"/>
      <c r="E10" s="12"/>
      <c r="F10" s="12"/>
      <c r="G10" s="12"/>
      <c r="H10" s="12"/>
      <c r="I10" s="12"/>
      <c r="J10" s="12"/>
      <c r="K10" s="12"/>
      <c r="L10" s="12"/>
      <c r="M10" s="12"/>
      <c r="N10" s="12"/>
      <c r="O10" s="12"/>
      <c r="P10" s="12"/>
      <c r="Q10" s="12"/>
      <c r="R10" s="12"/>
      <c r="S10" s="12"/>
      <c r="T10" s="12"/>
      <c r="U10" s="12"/>
      <c r="V10" s="12"/>
    </row>
    <row r="11" spans="1:22" ht="31" customHeight="1">
      <c r="A11" s="12"/>
      <c r="B11" s="134"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E1_StatusQuo_Decline scenario requires enrollment of 326 additional students.</v>
      </c>
      <c r="C11" s="135"/>
      <c r="D11" s="135"/>
      <c r="E11" s="12"/>
      <c r="F11" s="12"/>
      <c r="G11" s="12"/>
      <c r="H11" s="12"/>
      <c r="I11" s="12"/>
      <c r="J11" s="12"/>
      <c r="K11" s="12"/>
      <c r="L11" s="12"/>
      <c r="M11" s="12"/>
      <c r="N11" s="12"/>
      <c r="O11" s="12"/>
      <c r="P11" s="12"/>
      <c r="Q11" s="12"/>
      <c r="R11" s="12"/>
      <c r="S11" s="12"/>
      <c r="T11" s="12"/>
      <c r="U11" s="12"/>
      <c r="V11" s="12"/>
    </row>
    <row r="12" spans="1:22">
      <c r="A12" s="12"/>
      <c r="B12" s="55"/>
      <c r="C12" s="33"/>
      <c r="D12" s="33"/>
      <c r="E12" s="12"/>
      <c r="F12" s="12"/>
      <c r="G12" s="12"/>
      <c r="H12" s="12"/>
      <c r="I12" s="12"/>
      <c r="J12" s="12"/>
      <c r="K12" s="12"/>
      <c r="L12" s="12"/>
      <c r="M12" s="12"/>
      <c r="N12" s="12"/>
      <c r="O12" s="12"/>
      <c r="P12" s="12"/>
      <c r="Q12" s="12"/>
      <c r="R12" s="12"/>
      <c r="S12" s="12"/>
      <c r="T12" s="12"/>
      <c r="U12" s="12"/>
      <c r="V12" s="12"/>
    </row>
    <row r="13" spans="1:22">
      <c r="A13" s="12"/>
      <c r="B13" s="54" t="s">
        <v>44</v>
      </c>
      <c r="C13" s="12"/>
      <c r="D13" s="12"/>
      <c r="E13" s="12"/>
      <c r="F13" s="12"/>
      <c r="G13" s="12"/>
      <c r="H13" s="12"/>
      <c r="I13" s="12"/>
      <c r="J13" s="12"/>
      <c r="K13" s="12"/>
      <c r="L13" s="12"/>
      <c r="M13" s="12"/>
      <c r="N13" s="12"/>
      <c r="O13" s="12"/>
      <c r="P13" s="12"/>
      <c r="Q13" s="12"/>
      <c r="R13" s="12"/>
      <c r="S13" s="12"/>
      <c r="T13" s="12"/>
      <c r="U13" s="12"/>
      <c r="V13" s="12"/>
    </row>
    <row r="14" spans="1:22">
      <c r="A14" s="12"/>
      <c r="B14" s="54" t="s">
        <v>45</v>
      </c>
      <c r="C14" s="12"/>
      <c r="D14" s="12"/>
      <c r="E14" s="12"/>
      <c r="F14" s="12"/>
      <c r="G14" s="12"/>
      <c r="H14" s="12"/>
      <c r="I14" s="12"/>
      <c r="J14" s="12"/>
      <c r="K14" s="12"/>
      <c r="L14" s="12"/>
      <c r="M14" s="12"/>
      <c r="N14" s="12"/>
      <c r="O14" s="12"/>
      <c r="P14" s="12"/>
      <c r="Q14" s="12"/>
      <c r="R14" s="12"/>
      <c r="S14" s="12"/>
      <c r="T14" s="12"/>
      <c r="U14" s="12"/>
      <c r="V14" s="12"/>
    </row>
    <row r="15" spans="1:22">
      <c r="A15" s="12"/>
      <c r="B15" s="54" t="s">
        <v>46</v>
      </c>
      <c r="C15" s="12"/>
      <c r="D15" s="12"/>
      <c r="E15" s="12"/>
      <c r="F15" s="12"/>
      <c r="G15" s="12"/>
      <c r="H15" s="12"/>
      <c r="I15" s="12"/>
      <c r="J15" s="12"/>
      <c r="K15" s="12"/>
      <c r="L15" s="12"/>
      <c r="M15" s="12"/>
      <c r="N15" s="12"/>
      <c r="O15" s="12"/>
      <c r="P15" s="12"/>
      <c r="Q15" s="12"/>
      <c r="R15" s="12"/>
      <c r="S15" s="12"/>
      <c r="T15" s="12"/>
      <c r="U15" s="12"/>
      <c r="V15" s="12"/>
    </row>
    <row r="16" spans="1:22">
      <c r="A16" s="12"/>
      <c r="B16" s="12"/>
      <c r="C16" s="12"/>
      <c r="D16" s="12"/>
      <c r="E16" s="12"/>
      <c r="F16" s="12"/>
      <c r="G16" s="12"/>
      <c r="H16" s="12"/>
      <c r="I16" s="12"/>
      <c r="J16" s="12"/>
      <c r="K16" s="12"/>
      <c r="L16" s="12"/>
      <c r="M16" s="12"/>
      <c r="N16" s="12"/>
      <c r="O16" s="12"/>
      <c r="P16" s="12"/>
      <c r="Q16" s="12"/>
      <c r="R16" s="12"/>
      <c r="S16" s="12"/>
      <c r="T16" s="12"/>
      <c r="U16" s="12"/>
      <c r="V16" s="12"/>
    </row>
    <row r="17" spans="1:22">
      <c r="A17" s="12"/>
      <c r="B17" s="12"/>
      <c r="C17" s="12"/>
      <c r="D17" s="12"/>
      <c r="E17" s="12"/>
      <c r="F17" s="12"/>
      <c r="G17" s="12"/>
      <c r="H17" s="12"/>
      <c r="I17" s="12"/>
      <c r="J17" s="12"/>
      <c r="K17" s="12"/>
      <c r="L17" s="12"/>
      <c r="M17" s="12"/>
      <c r="N17" s="12"/>
      <c r="O17" s="12"/>
      <c r="P17" s="12"/>
      <c r="Q17" s="12"/>
      <c r="R17" s="12"/>
      <c r="S17" s="12"/>
      <c r="T17" s="12"/>
      <c r="U17" s="12"/>
      <c r="V17" s="12"/>
    </row>
    <row r="18" spans="1:22">
      <c r="A18" s="12"/>
      <c r="B18" s="12"/>
      <c r="C18" s="12"/>
      <c r="D18" s="12"/>
      <c r="E18" s="12"/>
      <c r="F18" s="12"/>
      <c r="G18" s="12"/>
      <c r="H18" s="12"/>
      <c r="I18" s="12"/>
      <c r="J18" s="12"/>
      <c r="K18" s="12"/>
      <c r="L18" s="12"/>
      <c r="M18" s="12"/>
      <c r="N18" s="12"/>
      <c r="O18" s="12"/>
      <c r="P18" s="12"/>
      <c r="Q18" s="12"/>
      <c r="R18" s="12"/>
      <c r="S18" s="12"/>
      <c r="T18" s="12"/>
      <c r="U18" s="12"/>
      <c r="V18" s="12"/>
    </row>
    <row r="19" spans="1:22">
      <c r="A19" s="12"/>
      <c r="B19" s="12"/>
      <c r="C19" s="12"/>
      <c r="D19" s="12"/>
      <c r="E19" s="12"/>
      <c r="F19" s="12"/>
      <c r="G19" s="12"/>
      <c r="H19" s="12"/>
      <c r="I19" s="12"/>
      <c r="J19" s="12"/>
      <c r="K19" s="12"/>
      <c r="L19" s="12"/>
      <c r="M19" s="12"/>
      <c r="N19" s="12"/>
      <c r="O19" s="12"/>
      <c r="P19" s="12"/>
      <c r="Q19" s="12"/>
      <c r="R19" s="12"/>
      <c r="S19" s="12"/>
      <c r="T19" s="12"/>
      <c r="U19" s="12"/>
      <c r="V19" s="12"/>
    </row>
    <row r="20" spans="1:22">
      <c r="A20" s="12"/>
      <c r="B20" s="12"/>
      <c r="C20" s="12"/>
      <c r="D20" s="12"/>
      <c r="E20" s="12"/>
      <c r="F20" s="12"/>
      <c r="G20" s="12"/>
      <c r="H20" s="12"/>
      <c r="I20" s="12"/>
      <c r="J20" s="12"/>
      <c r="K20" s="12"/>
      <c r="L20" s="12"/>
      <c r="M20" s="12"/>
      <c r="N20" s="12"/>
      <c r="O20" s="12"/>
      <c r="P20" s="12"/>
      <c r="Q20" s="12"/>
      <c r="R20" s="12"/>
      <c r="S20" s="12"/>
      <c r="T20" s="12"/>
      <c r="U20" s="12"/>
      <c r="V20" s="12"/>
    </row>
    <row r="21" spans="1:22">
      <c r="A21" s="12"/>
      <c r="B21" s="12"/>
      <c r="C21" s="12"/>
      <c r="D21" s="12"/>
      <c r="E21" s="12"/>
      <c r="F21" s="12"/>
      <c r="G21" s="12"/>
      <c r="H21" s="12"/>
      <c r="I21" s="12"/>
      <c r="J21" s="12"/>
      <c r="K21" s="12"/>
      <c r="L21" s="12"/>
      <c r="M21" s="12"/>
      <c r="N21" s="12"/>
      <c r="O21" s="12"/>
      <c r="P21" s="12"/>
      <c r="Q21" s="12"/>
      <c r="R21" s="12"/>
      <c r="S21" s="12"/>
      <c r="T21" s="12"/>
      <c r="U21" s="12"/>
      <c r="V21" s="12"/>
    </row>
    <row r="22" spans="1:22">
      <c r="A22" s="12"/>
      <c r="B22" s="12"/>
      <c r="C22" s="12"/>
      <c r="D22" s="12"/>
      <c r="E22" s="12"/>
      <c r="F22" s="12"/>
      <c r="G22" s="12"/>
      <c r="H22" s="12"/>
      <c r="I22" s="12"/>
      <c r="J22" s="12"/>
      <c r="K22" s="12"/>
      <c r="L22" s="12"/>
      <c r="M22" s="12"/>
      <c r="N22" s="12"/>
      <c r="O22" s="12"/>
      <c r="P22" s="12"/>
      <c r="Q22" s="12"/>
      <c r="R22" s="12"/>
      <c r="S22" s="12"/>
      <c r="T22" s="12"/>
      <c r="U22" s="12"/>
      <c r="V22" s="12"/>
    </row>
    <row r="23" spans="1:22">
      <c r="A23" s="12"/>
      <c r="B23" s="12"/>
      <c r="C23" s="12"/>
      <c r="D23" s="12"/>
      <c r="E23" s="12"/>
      <c r="F23" s="12"/>
      <c r="G23" s="12"/>
      <c r="H23" s="12"/>
      <c r="I23" s="12"/>
      <c r="J23" s="12"/>
      <c r="K23" s="12"/>
      <c r="L23" s="12"/>
      <c r="M23" s="12"/>
      <c r="N23" s="12"/>
      <c r="O23" s="12"/>
      <c r="P23" s="12"/>
      <c r="Q23" s="12"/>
      <c r="R23" s="12"/>
      <c r="S23" s="12"/>
      <c r="T23" s="12"/>
      <c r="U23" s="12"/>
      <c r="V23" s="12"/>
    </row>
    <row r="24" spans="1:22">
      <c r="A24" s="12"/>
      <c r="B24" s="12"/>
      <c r="C24" s="12"/>
      <c r="D24" s="12"/>
      <c r="E24" s="12"/>
      <c r="F24" s="12"/>
      <c r="G24" s="12"/>
      <c r="H24" s="12"/>
      <c r="I24" s="12"/>
      <c r="J24" s="12"/>
      <c r="K24" s="12"/>
      <c r="L24" s="12"/>
      <c r="M24" s="12"/>
      <c r="N24" s="12"/>
      <c r="O24" s="12"/>
      <c r="P24" s="12"/>
      <c r="Q24" s="12"/>
      <c r="R24" s="12"/>
      <c r="S24" s="12"/>
      <c r="T24" s="12"/>
      <c r="U24" s="12"/>
      <c r="V24" s="12"/>
    </row>
    <row r="25" spans="1:22">
      <c r="A25" s="12"/>
      <c r="B25" s="12"/>
      <c r="C25" s="12"/>
      <c r="D25" s="12"/>
      <c r="E25" s="12"/>
      <c r="F25" s="12"/>
      <c r="G25" s="12"/>
      <c r="H25" s="12"/>
      <c r="I25" s="12"/>
      <c r="J25" s="12"/>
      <c r="K25" s="12"/>
      <c r="L25" s="12"/>
      <c r="M25" s="12"/>
      <c r="N25" s="12"/>
      <c r="O25" s="12"/>
      <c r="P25" s="12"/>
      <c r="Q25" s="12"/>
      <c r="R25" s="12"/>
      <c r="S25" s="12"/>
      <c r="T25" s="12"/>
      <c r="U25" s="12"/>
      <c r="V25" s="12"/>
    </row>
    <row r="26" spans="1:22">
      <c r="A26" s="12"/>
      <c r="B26" s="12"/>
      <c r="C26" s="12"/>
      <c r="D26" s="12"/>
      <c r="E26" s="12"/>
      <c r="F26" s="12"/>
      <c r="G26" s="12"/>
      <c r="H26" s="12"/>
      <c r="I26" s="12"/>
      <c r="J26" s="12"/>
      <c r="K26" s="12"/>
      <c r="L26" s="12"/>
      <c r="M26" s="12"/>
      <c r="N26" s="12"/>
      <c r="O26" s="12"/>
      <c r="P26" s="12"/>
      <c r="Q26" s="12"/>
      <c r="R26" s="12"/>
      <c r="S26" s="12"/>
      <c r="T26" s="12"/>
      <c r="U26" s="12"/>
      <c r="V26" s="12"/>
    </row>
    <row r="27" spans="1:22">
      <c r="A27" s="12"/>
      <c r="B27" s="12"/>
      <c r="C27" s="12"/>
      <c r="D27" s="12"/>
      <c r="E27" s="12"/>
      <c r="F27" s="12"/>
      <c r="G27" s="12"/>
      <c r="H27" s="12"/>
      <c r="I27" s="12"/>
      <c r="J27" s="12"/>
      <c r="K27" s="12"/>
      <c r="L27" s="12"/>
      <c r="M27" s="12"/>
      <c r="N27" s="12"/>
      <c r="O27" s="12"/>
      <c r="P27" s="12"/>
      <c r="Q27" s="12"/>
      <c r="R27" s="12"/>
      <c r="S27" s="12"/>
      <c r="T27" s="12"/>
      <c r="U27" s="12"/>
      <c r="V27" s="12"/>
    </row>
    <row r="28" spans="1:22">
      <c r="A28" s="12"/>
      <c r="B28" s="12"/>
      <c r="C28" s="12"/>
      <c r="D28" s="12"/>
      <c r="E28" s="12"/>
      <c r="F28" s="12"/>
      <c r="G28" s="12"/>
      <c r="H28" s="12"/>
      <c r="I28" s="12"/>
      <c r="J28" s="12"/>
      <c r="K28" s="12"/>
      <c r="L28" s="12"/>
      <c r="M28" s="12"/>
      <c r="N28" s="12"/>
      <c r="O28" s="12"/>
      <c r="P28" s="12"/>
      <c r="Q28" s="12"/>
      <c r="R28" s="12"/>
      <c r="S28" s="12"/>
      <c r="T28" s="12"/>
      <c r="U28" s="12"/>
      <c r="V28" s="12"/>
    </row>
    <row r="29" spans="1:22">
      <c r="A29" s="12"/>
      <c r="B29" s="12"/>
      <c r="C29" s="12"/>
      <c r="D29" s="12"/>
      <c r="E29" s="12"/>
      <c r="F29" s="12"/>
      <c r="G29" s="12"/>
      <c r="H29" s="12"/>
      <c r="I29" s="12"/>
      <c r="J29" s="12"/>
      <c r="K29" s="12"/>
      <c r="L29" s="12"/>
      <c r="M29" s="12"/>
      <c r="N29" s="12"/>
      <c r="O29" s="12"/>
      <c r="P29" s="12"/>
      <c r="Q29" s="12"/>
      <c r="R29" s="12"/>
      <c r="S29" s="12"/>
      <c r="T29" s="12"/>
      <c r="U29" s="12"/>
      <c r="V29" s="12"/>
    </row>
    <row r="30" spans="1:22">
      <c r="A30" s="12"/>
      <c r="B30" s="12"/>
      <c r="C30" s="12"/>
      <c r="D30" s="12"/>
      <c r="E30" s="12"/>
      <c r="F30" s="12"/>
      <c r="G30" s="12"/>
      <c r="H30" s="12"/>
      <c r="I30" s="12"/>
      <c r="J30" s="12"/>
      <c r="K30" s="12"/>
      <c r="L30" s="12"/>
      <c r="M30" s="12"/>
      <c r="N30" s="12"/>
      <c r="O30" s="12"/>
      <c r="P30" s="12"/>
      <c r="Q30" s="12"/>
      <c r="R30" s="12"/>
      <c r="S30" s="12"/>
      <c r="T30" s="12"/>
      <c r="U30" s="12"/>
      <c r="V30" s="12"/>
    </row>
    <row r="31" spans="1:22">
      <c r="A31" s="12"/>
      <c r="B31" s="12"/>
      <c r="C31" s="12"/>
      <c r="D31" s="12"/>
      <c r="E31" s="12"/>
      <c r="F31" s="12"/>
      <c r="G31" s="12"/>
      <c r="H31" s="12"/>
      <c r="I31" s="12"/>
      <c r="J31" s="12"/>
      <c r="K31" s="12"/>
      <c r="L31" s="12"/>
      <c r="M31" s="12"/>
      <c r="N31" s="12"/>
      <c r="O31" s="12"/>
      <c r="P31" s="12"/>
      <c r="Q31" s="12"/>
      <c r="R31" s="12"/>
      <c r="S31" s="12"/>
      <c r="T31" s="12"/>
      <c r="U31" s="12"/>
      <c r="V31" s="12"/>
    </row>
    <row r="32" spans="1:22">
      <c r="A32" s="12"/>
    </row>
  </sheetData>
  <mergeCells count="1">
    <mergeCell ref="B11:D11"/>
  </mergeCells>
  <dataValidations count="1">
    <dataValidation type="list" showInputMessage="1" showErrorMessage="1" sqref="C4" xr:uid="{00000000-0002-0000-03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1000000}">
          <x14:formula1>
            <xm:f>Scenarios!$A$3:$A$15</xm:f>
          </x14:formula1>
          <xm:sqref>C3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zoomScale="80" zoomScaleNormal="80" workbookViewId="0">
      <pane xSplit="2" ySplit="4" topLeftCell="C5" activePane="bottomRight" state="frozen"/>
      <selection pane="topRight"/>
      <selection pane="bottomLeft"/>
      <selection pane="bottomRight" activeCell="D11" sqref="D1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65" t="s">
        <v>668</v>
      </c>
      <c r="C1" s="30" t="s">
        <v>6</v>
      </c>
      <c r="N1" s="4" t="s">
        <v>47</v>
      </c>
    </row>
    <row r="2" spans="1:14">
      <c r="A2" t="s">
        <v>48</v>
      </c>
      <c r="N2" s="22" t="str">
        <f>"(Comparison) Change in ops net $ by scenario compared to "&amp;C1&amp;" (Positive = savings)"</f>
        <v>(Comparison) Change in ops net $ by scenario compared to E1_StatusQuo_Decline (Positive = savings)</v>
      </c>
    </row>
    <row r="3" spans="1:14">
      <c r="A3" t="s">
        <v>49</v>
      </c>
      <c r="N3" s="22" t="str">
        <f>"(Nominal) One-time capital (FY26) &amp; Average 5-yr net ops $ by scenario"</f>
        <v>(Nominal) One-time capital (FY26) &amp; Average 5-yr net ops $ by scenario</v>
      </c>
    </row>
    <row r="4" spans="1:14">
      <c r="A4" s="31" t="s">
        <v>50</v>
      </c>
      <c r="B4" s="24" t="s">
        <v>51</v>
      </c>
      <c r="C4" s="28" t="s">
        <v>52</v>
      </c>
      <c r="D4" s="32" t="s">
        <v>53</v>
      </c>
      <c r="E4" s="32" t="s">
        <v>54</v>
      </c>
      <c r="F4" s="32" t="s">
        <v>55</v>
      </c>
      <c r="G4" s="32" t="s">
        <v>56</v>
      </c>
      <c r="H4" s="32" t="s">
        <v>57</v>
      </c>
      <c r="I4" s="32" t="s">
        <v>58</v>
      </c>
      <c r="J4" s="24" t="s">
        <v>59</v>
      </c>
      <c r="K4" s="24" t="s">
        <v>60</v>
      </c>
      <c r="L4" s="25"/>
      <c r="M4" s="25"/>
      <c r="N4" s="25"/>
    </row>
    <row r="5" spans="1:14">
      <c r="A5" s="31" t="str">
        <f t="shared" ref="A5:A17" si="0">LEFT(B5, 2)</f>
        <v>F1</v>
      </c>
      <c r="B5" t="s">
        <v>61</v>
      </c>
      <c r="C5" s="26">
        <f>SUMIFS(Capital_Summary!$H$4:$H$83, Capital_Summary!$A$4:$A$83, B5, Capital_Summary!$B$4:$B$83, "FY2026")*-1</f>
        <v>0</v>
      </c>
      <c r="D5" s="26">
        <f>SUMIFS(MultiYear_ProForma!$AF$2:$AF$66, MultiYear_ProForma!$B$2:$B$66, B5, MultiYear_ProForma!$C$2:$C$66, "FY2026")</f>
        <v>-459335.03052499983</v>
      </c>
      <c r="E5" s="26">
        <f>SUMIFS(MultiYear_ProForma!$AF$2:$AF$66, MultiYear_ProForma!$B$2:$B$66, B5, MultiYear_ProForma!$C$2:$C$66, "FY2028")</f>
        <v>-482588.86644532718</v>
      </c>
      <c r="F5" s="26">
        <f>SUMIFS(MultiYear_ProForma!$AF$2:$AF$66, MultiYear_ProForma!$B$2:$B$66, B5, MultiYear_ProForma!$C$2:$C$66, "FY2030")</f>
        <v>-507019.92780912202</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11">
        <f>SUMIFS(MultiYear_ProForma!$N$2:$N$66, MultiYear_ProForma!$B$2:$B$66, B5, MultiYear_ProForma!$C$2:$C$66, "FY2026")</f>
        <v>0</v>
      </c>
      <c r="I5" s="11">
        <f>SUMIFS(MultiYear_ProForma!$AC$2:$AC$66, MultiYear_ProForma!$B$2:$B$66, B5, MultiYear_ProForma!$C$2:$C$66, "FY2030")</f>
        <v>553</v>
      </c>
      <c r="J5" s="26">
        <f t="shared" ref="J5:J17" si="1">F5-(VLOOKUP($C$1,$B$5:$G$17,5, 0))</f>
        <v>124173.73805308528</v>
      </c>
      <c r="K5" s="26">
        <f t="shared" ref="K5:K17" si="2">G5-(VLOOKUP($C$1,$B$5:$I$17,6, 0))</f>
        <v>61187.854186840763</v>
      </c>
    </row>
    <row r="6" spans="1:14">
      <c r="A6" s="31" t="str">
        <f t="shared" si="0"/>
        <v>E3</v>
      </c>
      <c r="B6" t="s">
        <v>62</v>
      </c>
      <c r="C6" s="26">
        <f>SUMIFS(Capital_Summary!$H$4:$H$83, Capital_Summary!$A$4:$A$83, B6, Capital_Summary!$B$4:$B$83, "FY2026")*-1</f>
        <v>0</v>
      </c>
      <c r="D6" s="26">
        <f>SUMIFS(MultiYear_ProForma!$AF$2:$AF$66, MultiYear_ProForma!$B$2:$B$66, B6, MultiYear_ProForma!$C$2:$C$66, "FY2026")</f>
        <v>0</v>
      </c>
      <c r="E6" s="26">
        <f>SUMIFS(MultiYear_ProForma!$AF$2:$AF$66, MultiYear_ProForma!$B$2:$B$66, B6, MultiYear_ProForma!$C$2:$C$66, "FY2028")</f>
        <v>0</v>
      </c>
      <c r="F6" s="26">
        <f>SUMIFS(MultiYear_ProForma!$AF$2:$AF$66, MultiYear_ProForma!$B$2:$B$66, B6, MultiYear_ProForma!$C$2:$C$66, "FY2030")</f>
        <v>0</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0</v>
      </c>
      <c r="H6" s="11">
        <f>SUMIFS(MultiYear_ProForma!$N$2:$N$66, MultiYear_ProForma!$B$2:$B$66, B6, MultiYear_ProForma!$C$2:$C$66, "FY2026")</f>
        <v>0</v>
      </c>
      <c r="I6" s="11">
        <f>SUMIFS(MultiYear_ProForma!$AC$2:$AC$66, MultiYear_ProForma!$B$2:$B$66, B6, MultiYear_ProForma!$C$2:$C$66, "FY2030")</f>
        <v>0</v>
      </c>
      <c r="J6" s="26">
        <f t="shared" si="1"/>
        <v>631193.6658622073</v>
      </c>
      <c r="K6" s="26">
        <f t="shared" si="2"/>
        <v>544071.01802164747</v>
      </c>
    </row>
    <row r="7" spans="1:14">
      <c r="A7" s="31" t="str">
        <f t="shared" si="0"/>
        <v>D3</v>
      </c>
      <c r="B7" t="s">
        <v>63</v>
      </c>
      <c r="C7" s="26">
        <f>SUMIFS(Capital_Summary!$H$4:$H$83, Capital_Summary!$A$4:$A$83, B7, Capital_Summary!$B$4:$B$83, "FY2026")*-1</f>
        <v>0</v>
      </c>
      <c r="D7" s="26">
        <f>SUMIFS(MultiYear_ProForma!$AF$2:$AF$66, MultiYear_ProForma!$B$2:$B$66, B7, MultiYear_ProForma!$C$2:$C$66, "FY2026")</f>
        <v>-46044.706198846921</v>
      </c>
      <c r="E7" s="26">
        <f>SUMIFS(MultiYear_ProForma!$AF$2:$AF$66, MultiYear_ProForma!$B$2:$B$66, B7, MultiYear_ProForma!$C$2:$C$66, "FY2028")</f>
        <v>139239.14006125554</v>
      </c>
      <c r="F7" s="26">
        <f>SUMIFS(MultiYear_ProForma!$AF$2:$AF$66, MultiYear_ProForma!$B$2:$B$66, B7, MultiYear_ProForma!$C$2:$C$66, "FY2030")</f>
        <v>149591.87152685784</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11">
        <f>SUMIFS(MultiYear_ProForma!$N$2:$N$66, MultiYear_ProForma!$B$2:$B$66, B7, MultiYear_ProForma!$C$2:$C$66, "FY2026")</f>
        <v>0</v>
      </c>
      <c r="I7" s="11">
        <f>SUMIFS(MultiYear_ProForma!$AC$2:$AC$66, MultiYear_ProForma!$B$2:$B$66, B7, MultiYear_ProForma!$C$2:$C$66, "FY2030")</f>
        <v>603</v>
      </c>
      <c r="J7" s="26">
        <f t="shared" si="1"/>
        <v>780785.53738906514</v>
      </c>
      <c r="K7" s="26">
        <f t="shared" si="2"/>
        <v>630127.39262777462</v>
      </c>
    </row>
    <row r="8" spans="1:14">
      <c r="A8" s="31" t="str">
        <f t="shared" si="0"/>
        <v>D1</v>
      </c>
      <c r="B8" t="s">
        <v>64</v>
      </c>
      <c r="C8" s="26">
        <f>SUMIFS(Capital_Summary!$H$4:$H$83, Capital_Summary!$A$4:$A$83, B8, Capital_Summary!$B$4:$B$83, "FY2026")*-1</f>
        <v>-2000000</v>
      </c>
      <c r="D8" s="26">
        <f>SUMIFS(MultiYear_ProForma!$AF$2:$AF$66, MultiYear_ProForma!$B$2:$B$66, B8, MultiYear_ProForma!$C$2:$C$66, "FY2026")</f>
        <v>-210423.72431478277</v>
      </c>
      <c r="E8" s="26">
        <f>SUMIFS(MultiYear_ProForma!$AF$2:$AF$66, MultiYear_ProForma!$B$2:$B$66, B8, MultiYear_ProForma!$C$2:$C$66, "FY2028")</f>
        <v>315467.2068160018</v>
      </c>
      <c r="F8" s="26">
        <f>SUMIFS(MultiYear_ProForma!$AF$2:$AF$66, MultiYear_ProForma!$B$2:$B$66, B8, MultiYear_ProForma!$C$2:$C$66, "FY2030")</f>
        <v>341348.98416106123</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163429.22501830029</v>
      </c>
      <c r="H8" s="11">
        <f>SUMIFS(MultiYear_ProForma!$N$2:$N$66, MultiYear_ProForma!$B$2:$B$66, B8, MultiYear_ProForma!$C$2:$C$66, "FY2026")</f>
        <v>0</v>
      </c>
      <c r="I8" s="11">
        <f>SUMIFS(MultiYear_ProForma!$AC$2:$AC$66, MultiYear_ProForma!$B$2:$B$66, B8, MultiYear_ProForma!$C$2:$C$66, "FY2030")</f>
        <v>703</v>
      </c>
      <c r="J8" s="26">
        <f t="shared" si="1"/>
        <v>972542.65002326854</v>
      </c>
      <c r="K8" s="26">
        <f t="shared" si="2"/>
        <v>707500.2430399477</v>
      </c>
    </row>
    <row r="9" spans="1:14">
      <c r="A9" s="31" t="str">
        <f t="shared" si="0"/>
        <v>E2</v>
      </c>
      <c r="B9" t="s">
        <v>65</v>
      </c>
      <c r="C9" s="26">
        <f>SUMIFS(Capital_Summary!$H$4:$H$83, Capital_Summary!$A$4:$A$83, B9, Capital_Summary!$B$4:$B$83, "FY2026")*-1</f>
        <v>0</v>
      </c>
      <c r="D9" s="26">
        <f>SUMIFS(MultiYear_ProForma!$AF$2:$AF$66, MultiYear_ProForma!$B$2:$B$66, B9, MultiYear_ProForma!$C$2:$C$66, "FY2026")</f>
        <v>-459335.03052499983</v>
      </c>
      <c r="E9" s="26">
        <f>SUMIFS(MultiYear_ProForma!$AF$2:$AF$66, MultiYear_ProForma!$B$2:$B$66, B9, MultiYear_ProForma!$C$2:$C$66, "FY2028")</f>
        <v>-482588.86644532718</v>
      </c>
      <c r="F9" s="26">
        <f>SUMIFS(MultiYear_ProForma!$AF$2:$AF$66, MultiYear_ProForma!$B$2:$B$66, B9, MultiYear_ProForma!$C$2:$C$66, "FY2030")</f>
        <v>-507019.92780912202</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11">
        <f>SUMIFS(MultiYear_ProForma!$N$2:$N$66, MultiYear_ProForma!$B$2:$B$66, B9, MultiYear_ProForma!$C$2:$C$66, "FY2026")</f>
        <v>0</v>
      </c>
      <c r="I9" s="11">
        <f>SUMIFS(MultiYear_ProForma!$AC$2:$AC$66, MultiYear_ProForma!$B$2:$B$66, B9, MultiYear_ProForma!$C$2:$C$66, "FY2030")</f>
        <v>553</v>
      </c>
      <c r="J9" s="26">
        <f t="shared" si="1"/>
        <v>124173.73805308528</v>
      </c>
      <c r="K9" s="26">
        <f t="shared" si="2"/>
        <v>61187.854186840763</v>
      </c>
    </row>
    <row r="10" spans="1:14">
      <c r="A10" s="31" t="str">
        <f t="shared" si="0"/>
        <v>D2</v>
      </c>
      <c r="B10" t="s">
        <v>66</v>
      </c>
      <c r="C10" s="26">
        <f>SUMIFS(Capital_Summary!$H$4:$H$83, Capital_Summary!$A$4:$A$83, B10, Capital_Summary!$B$4:$B$83, "FY2026")*-1</f>
        <v>-800000</v>
      </c>
      <c r="D10" s="26">
        <f>SUMIFS(MultiYear_ProForma!$AF$2:$AF$66, MultiYear_ProForma!$B$2:$B$66, B10, MultiYear_ProForma!$C$2:$C$66, "FY2026")</f>
        <v>-251908.94201648422</v>
      </c>
      <c r="E10" s="26">
        <f>SUMIFS(MultiYear_ProForma!$AF$2:$AF$66, MultiYear_ProForma!$B$2:$B$66, B10, MultiYear_ProForma!$C$2:$C$66, "FY2028")</f>
        <v>182457.86127244681</v>
      </c>
      <c r="F10" s="26">
        <f>SUMIFS(MultiYear_ProForma!$AF$2:$AF$66, MultiYear_ProForma!$B$2:$B$66, B10, MultiYear_ProForma!$C$2:$C$66, "FY2030")</f>
        <v>199954.16549936403</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11">
        <f>SUMIFS(MultiYear_ProForma!$N$2:$N$66, MultiYear_ProForma!$B$2:$B$66, B10, MultiYear_ProForma!$C$2:$C$66, "FY2026")</f>
        <v>0</v>
      </c>
      <c r="I10" s="11">
        <f>SUMIFS(MultiYear_ProForma!$AC$2:$AC$66, MultiYear_ProForma!$B$2:$B$66, B10, MultiYear_ProForma!$C$2:$C$66, "FY2030")</f>
        <v>678</v>
      </c>
      <c r="J10" s="26">
        <f t="shared" si="1"/>
        <v>831147.83136157133</v>
      </c>
      <c r="K10" s="26">
        <f t="shared" si="2"/>
        <v>599781.51156443008</v>
      </c>
    </row>
    <row r="11" spans="1:14">
      <c r="A11" s="31" t="str">
        <f t="shared" si="0"/>
        <v>A2</v>
      </c>
      <c r="B11" t="s">
        <v>5</v>
      </c>
      <c r="C11" s="26">
        <f>SUMIFS(Capital_Summary!$H$4:$H$83, Capital_Summary!$A$4:$A$83, B11, Capital_Summary!$B$4:$B$83, "FY2026")*-1</f>
        <v>-2314479.9999999995</v>
      </c>
      <c r="D11" s="26">
        <f>SUMIFS(MultiYear_ProForma!$AF$2:$AF$66, MultiYear_ProForma!$B$2:$B$66, B11, MultiYear_ProForma!$C$2:$C$66, "FY2026")</f>
        <v>252007.49311030656</v>
      </c>
      <c r="E11" s="26">
        <f>SUMIFS(MultiYear_ProForma!$AF$2:$AF$66, MultiYear_ProForma!$B$2:$B$66, B11, MultiYear_ProForma!$C$2:$C$66, "FY2028")</f>
        <v>547880.78407011135</v>
      </c>
      <c r="F11" s="26">
        <f>SUMIFS(MultiYear_ProForma!$AF$2:$AF$66, MultiYear_ProForma!$B$2:$B$66, B11, MultiYear_ProForma!$C$2:$C$66, "FY2030")</f>
        <v>815010.4570824476</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535102.85993188317</v>
      </c>
      <c r="H11" s="11">
        <f>SUMIFS(MultiYear_ProForma!$N$2:$N$66, MultiYear_ProForma!$B$2:$B$66, B11, MultiYear_ProForma!$C$2:$C$66, "FY2026")</f>
        <v>553</v>
      </c>
      <c r="I11" s="11">
        <f>SUMIFS(MultiYear_ProForma!$AC$2:$AC$66, MultiYear_ProForma!$B$2:$B$66, B11, MultiYear_ProForma!$C$2:$C$66, "FY2030")</f>
        <v>405.79999999999995</v>
      </c>
      <c r="J11" s="26">
        <f t="shared" si="1"/>
        <v>1446204.1229446549</v>
      </c>
      <c r="K11" s="26">
        <f t="shared" si="2"/>
        <v>1079173.8779535308</v>
      </c>
    </row>
    <row r="12" spans="1:14">
      <c r="A12" s="31" t="str">
        <f t="shared" si="0"/>
        <v>A1</v>
      </c>
      <c r="B12" t="s">
        <v>67</v>
      </c>
      <c r="C12" s="26">
        <f>SUMIFS(Capital_Summary!$H$4:$H$83, Capital_Summary!$A$4:$A$83, B12, Capital_Summary!$B$4:$B$83, "FY2026")*-1</f>
        <v>-3114479.9999999995</v>
      </c>
      <c r="D12" s="26">
        <f>SUMIFS(MultiYear_ProForma!$AF$2:$AF$66, MultiYear_ProForma!$B$2:$B$66, B12, MultiYear_ProForma!$C$2:$C$66, "FY2026")</f>
        <v>-225097.97563969251</v>
      </c>
      <c r="E12" s="26">
        <f>SUMIFS(MultiYear_ProForma!$AF$2:$AF$66, MultiYear_ProForma!$B$2:$B$66, B12, MultiYear_ProForma!$C$2:$C$66, "FY2028")</f>
        <v>146873.63758573681</v>
      </c>
      <c r="F12" s="26">
        <f>SUMIFS(MultiYear_ProForma!$AF$2:$AF$66, MultiYear_ProForma!$B$2:$B$66, B12, MultiYear_ProForma!$C$2:$C$66, "FY2030")</f>
        <v>393702.323807301</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114766.94832568224</v>
      </c>
      <c r="H12" s="11">
        <f>SUMIFS(MultiYear_ProForma!$N$2:$N$66, MultiYear_ProForma!$B$2:$B$66, B12, MultiYear_ProForma!$C$2:$C$66, "FY2026")</f>
        <v>553</v>
      </c>
      <c r="I12" s="11">
        <f>SUMIFS(MultiYear_ProForma!$AC$2:$AC$66, MultiYear_ProForma!$B$2:$B$66, B12, MultiYear_ProForma!$C$2:$C$66, "FY2030")</f>
        <v>405.79999999999995</v>
      </c>
      <c r="J12" s="26">
        <f t="shared" si="1"/>
        <v>1024895.9896695083</v>
      </c>
      <c r="K12" s="26">
        <f t="shared" si="2"/>
        <v>658837.96634732967</v>
      </c>
    </row>
    <row r="13" spans="1:14">
      <c r="A13" s="31" t="str">
        <f t="shared" si="0"/>
        <v>B2</v>
      </c>
      <c r="B13" t="s">
        <v>68</v>
      </c>
      <c r="C13" s="26">
        <f>SUMIFS(Capital_Summary!$H$4:$H$83, Capital_Summary!$A$4:$A$83, B13, Capital_Summary!$B$4:$B$83, "FY2026")*-1</f>
        <v>-800000</v>
      </c>
      <c r="D13" s="26">
        <f>SUMIFS(MultiYear_ProForma!$AF$2:$AF$66, MultiYear_ProForma!$B$2:$B$66, B13, MultiYear_ProForma!$C$2:$C$66, "FY2026")</f>
        <v>-97751.667992075905</v>
      </c>
      <c r="E13" s="26">
        <f>SUMIFS(MultiYear_ProForma!$AF$2:$AF$66, MultiYear_ProForma!$B$2:$B$66, B13, MultiYear_ProForma!$C$2:$C$66, "FY2028")</f>
        <v>121243.23728313111</v>
      </c>
      <c r="F13" s="26">
        <f>SUMIFS(MultiYear_ProForma!$AF$2:$AF$66, MultiYear_ProForma!$B$2:$B$66, B13, MultiYear_ProForma!$C$2:$C$66, "FY2030")</f>
        <v>229719.22926810849</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83696.675862552409</v>
      </c>
      <c r="H13" s="11">
        <f>SUMIFS(MultiYear_ProForma!$N$2:$N$66, MultiYear_ProForma!$B$2:$B$66, B13, MultiYear_ProForma!$C$2:$C$66, "FY2026")</f>
        <v>257</v>
      </c>
      <c r="I13" s="11">
        <f>SUMIFS(MultiYear_ProForma!$AC$2:$AC$66, MultiYear_ProForma!$B$2:$B$66, B13, MultiYear_ProForma!$C$2:$C$66, "FY2030")</f>
        <v>487.2</v>
      </c>
      <c r="J13" s="26">
        <f t="shared" si="1"/>
        <v>860912.8951303158</v>
      </c>
      <c r="K13" s="26">
        <f t="shared" si="2"/>
        <v>627767.69388419983</v>
      </c>
    </row>
    <row r="14" spans="1:14">
      <c r="A14" s="31" t="str">
        <f t="shared" si="0"/>
        <v>B1</v>
      </c>
      <c r="B14" t="s">
        <v>69</v>
      </c>
      <c r="C14" s="26">
        <f>SUMIFS(Capital_Summary!$H$4:$H$83, Capital_Summary!$A$4:$A$83, B14, Capital_Summary!$B$4:$B$83, "FY2026")*-1</f>
        <v>-1200000</v>
      </c>
      <c r="D14" s="26">
        <f>SUMIFS(MultiYear_ProForma!$AF$2:$AF$66, MultiYear_ProForma!$B$2:$B$66, B14, MultiYear_ProForma!$C$2:$C$66, "FY2026")</f>
        <v>-326762.29299207591</v>
      </c>
      <c r="E14" s="26">
        <f>SUMIFS(MultiYear_ProForma!$AF$2:$AF$66, MultiYear_ProForma!$B$2:$B$66, B14, MultiYear_ProForma!$C$2:$C$66, "FY2028")</f>
        <v>-65119.939292790368</v>
      </c>
      <c r="F14" s="26">
        <f>SUMIFS(MultiYear_ProForma!$AF$2:$AF$66, MultiYear_ProForma!$B$2:$B$66, B14, MultiYear_ProForma!$C$2:$C$66, "FY2030")</f>
        <v>33921.416878031567</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-113105.64477767162</v>
      </c>
      <c r="H14" s="11">
        <f>SUMIFS(MultiYear_ProForma!$N$2:$N$66, MultiYear_ProForma!$B$2:$B$66, B14, MultiYear_ProForma!$C$2:$C$66, "FY2026")</f>
        <v>257</v>
      </c>
      <c r="I14" s="11">
        <f>SUMIFS(MultiYear_ProForma!$AC$2:$AC$66, MultiYear_ProForma!$B$2:$B$66, B14, MultiYear_ProForma!$C$2:$C$66, "FY2030")</f>
        <v>487.2</v>
      </c>
      <c r="J14" s="26">
        <f t="shared" si="1"/>
        <v>665115.08274023887</v>
      </c>
      <c r="K14" s="26">
        <f t="shared" si="2"/>
        <v>430965.37324397586</v>
      </c>
    </row>
    <row r="15" spans="1:14">
      <c r="A15" s="31" t="str">
        <f t="shared" si="0"/>
        <v>C2</v>
      </c>
      <c r="B15" t="s">
        <v>70</v>
      </c>
      <c r="C15" s="26">
        <f>SUMIFS(Capital_Summary!$H$4:$H$83, Capital_Summary!$A$4:$A$83, B15, Capital_Summary!$B$4:$B$83, "FY2026")*-1</f>
        <v>-1600000</v>
      </c>
      <c r="D15" s="26">
        <f>SUMIFS(MultiYear_ProForma!$AF$2:$AF$66, MultiYear_ProForma!$B$2:$B$66, B15, MultiYear_ProForma!$C$2:$C$66, "FY2026")</f>
        <v>36009.647332676686</v>
      </c>
      <c r="E15" s="26">
        <f>SUMIFS(MultiYear_ProForma!$AF$2:$AF$66, MultiYear_ProForma!$B$2:$B$66, B15, MultiYear_ProForma!$C$2:$C$66, "FY2028")</f>
        <v>406921.20283322502</v>
      </c>
      <c r="F15" s="26">
        <f>SUMIFS(MultiYear_ProForma!$AF$2:$AF$66, MultiYear_ProForma!$B$2:$B$66, B15, MultiYear_ProForma!$C$2:$C$66, "FY2030")</f>
        <v>570325.26894792262</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343387.8709735591</v>
      </c>
      <c r="H15" s="11">
        <f>SUMIFS(MultiYear_ProForma!$N$2:$N$66, MultiYear_ProForma!$B$2:$B$66, B15, MultiYear_ProForma!$C$2:$C$66, "FY2026")</f>
        <v>295.66666666666669</v>
      </c>
      <c r="I15" s="11">
        <f>SUMIFS(MultiYear_ProForma!$AC$2:$AC$66, MultiYear_ProForma!$B$2:$B$66, B15, MultiYear_ProForma!$C$2:$C$66, "FY2030")</f>
        <v>558.6</v>
      </c>
      <c r="J15" s="26">
        <f t="shared" si="1"/>
        <v>1201518.9348101299</v>
      </c>
      <c r="K15" s="26">
        <f t="shared" si="2"/>
        <v>887458.88899520657</v>
      </c>
    </row>
    <row r="16" spans="1:14">
      <c r="A16" s="31" t="str">
        <f t="shared" si="0"/>
        <v>C1</v>
      </c>
      <c r="B16" t="s">
        <v>71</v>
      </c>
      <c r="C16" s="26">
        <f>SUMIFS(Capital_Summary!$H$4:$H$83, Capital_Summary!$A$4:$A$83, B16, Capital_Summary!$B$4:$B$83, "FY2026")*-1</f>
        <v>-2000000</v>
      </c>
      <c r="D16" s="26">
        <f>SUMIFS(MultiYear_ProForma!$AF$2:$AF$66, MultiYear_ProForma!$B$2:$B$66, B16, MultiYear_ProForma!$C$2:$C$66, "FY2026")</f>
        <v>-212085.19641732331</v>
      </c>
      <c r="E16" s="26">
        <f>SUMIFS(MultiYear_ProForma!$AF$2:$AF$66, MultiYear_ProForma!$B$2:$B$66, B16, MultiYear_ProForma!$C$2:$C$66, "FY2028")</f>
        <v>192277.23292477056</v>
      </c>
      <c r="F16" s="26">
        <f>SUMIFS(MultiYear_ProForma!$AF$2:$AF$66, MultiYear_ProForma!$B$2:$B$66, B16, MultiYear_ProForma!$C$2:$C$66, "FY2030")</f>
        <v>344814.94806285389</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119854.28000758178</v>
      </c>
      <c r="H16" s="11">
        <f>SUMIFS(MultiYear_ProForma!$N$2:$N$66, MultiYear_ProForma!$B$2:$B$66, B16, MultiYear_ProForma!$C$2:$C$66, "FY2026")</f>
        <v>295.66666666666669</v>
      </c>
      <c r="I16" s="11">
        <f>SUMIFS(MultiYear_ProForma!$AC$2:$AC$66, MultiYear_ProForma!$B$2:$B$66, B16, MultiYear_ProForma!$C$2:$C$66, "FY2030")</f>
        <v>558.6</v>
      </c>
      <c r="J16" s="26">
        <f t="shared" si="1"/>
        <v>976008.61392506119</v>
      </c>
      <c r="K16" s="26">
        <f t="shared" si="2"/>
        <v>663925.29802922928</v>
      </c>
    </row>
    <row r="17" spans="1:11">
      <c r="A17" s="31" t="str">
        <f t="shared" si="0"/>
        <v>E1</v>
      </c>
      <c r="B17" t="s">
        <v>6</v>
      </c>
      <c r="C17" s="26">
        <f>SUMIFS(Capital_Summary!$H$4:$H$83, Capital_Summary!$A$4:$A$83, B17, Capital_Summary!$B$4:$B$83, "FY2026")*-1</f>
        <v>0</v>
      </c>
      <c r="D17" s="26">
        <f>SUMIFS(MultiYear_ProForma!$AF$2:$AF$66, MultiYear_ProForma!$B$2:$B$66, B17, MultiYear_ProForma!$C$2:$C$66, "FY2026")</f>
        <v>-459335.03052499983</v>
      </c>
      <c r="E17" s="26">
        <f>SUMIFS(MultiYear_ProForma!$AF$2:$AF$66, MultiYear_ProForma!$B$2:$B$66, B17, MultiYear_ProForma!$C$2:$C$66, "FY2028")</f>
        <v>-542877.76233799849</v>
      </c>
      <c r="F17" s="26">
        <f>SUMIFS(MultiYear_ProForma!$AF$2:$AF$66, MultiYear_ProForma!$B$2:$B$66, B17, MultiYear_ProForma!$C$2:$C$66, "FY2030")</f>
        <v>-631193.6658622073</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11">
        <f>SUMIFS(MultiYear_ProForma!$N$2:$N$66, MultiYear_ProForma!$B$2:$B$66, B17, MultiYear_ProForma!$C$2:$C$66, "FY2026")</f>
        <v>0</v>
      </c>
      <c r="I17" s="11">
        <f>SUMIFS(MultiYear_ProForma!$AC$2:$AC$66, MultiYear_ProForma!$B$2:$B$66, B17, MultiYear_ProForma!$C$2:$C$66, "FY2030")</f>
        <v>510.06959247999993</v>
      </c>
      <c r="J17" s="26">
        <f t="shared" si="1"/>
        <v>0</v>
      </c>
      <c r="K17" s="26">
        <f t="shared" si="2"/>
        <v>0</v>
      </c>
    </row>
    <row r="19" spans="1:11">
      <c r="B19" s="4" t="s">
        <v>72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400-000000000000}">
          <x14:formula1>
            <xm:f>Scenarios!$A$3:$A$15</xm:f>
          </x14:formula1>
          <xm:sqref>C1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A4B0-A643-4385-8CF3-C4FF7A81EC3C}">
  <dimension ref="A1:AH65"/>
  <sheetViews>
    <sheetView zoomScale="80" zoomScaleNormal="80" workbookViewId="0">
      <selection activeCell="B2" sqref="B2"/>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 r="A2" s="12"/>
      <c r="B2" s="7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3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75"/>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76"/>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7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7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75"/>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7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3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75"/>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75"/>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75"/>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75"/>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3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75"/>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7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75"/>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7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75"/>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75"/>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75"/>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7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75"/>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75"/>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75"/>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7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75"/>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75"/>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3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7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7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7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7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75"/>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7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7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75"/>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75"/>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7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9"/>
  <sheetViews>
    <sheetView zoomScale="70" zoomScaleNormal="70" workbookViewId="0">
      <pane xSplit="1" ySplit="1" topLeftCell="B32" activePane="bottomRight" state="frozen"/>
      <selection pane="topRight" activeCell="B1" sqref="B1"/>
      <selection pane="bottomLeft" activeCell="A2" sqref="A2"/>
      <selection pane="bottomRight" activeCell="C43" sqref="C43"/>
    </sheetView>
  </sheetViews>
  <sheetFormatPr defaultRowHeight="14.5"/>
  <cols>
    <col min="2" max="2" width="52.81640625" bestFit="1" customWidth="1"/>
    <col min="3" max="3" width="9.54296875" bestFit="1" customWidth="1"/>
    <col min="4" max="4" width="10.453125" customWidth="1"/>
  </cols>
  <sheetData>
    <row r="1" spans="1:9" ht="17">
      <c r="A1" s="73" t="s">
        <v>389</v>
      </c>
      <c r="B1" s="74"/>
      <c r="C1" s="136" t="s">
        <v>667</v>
      </c>
      <c r="D1" s="136"/>
      <c r="E1" s="136"/>
      <c r="F1" s="74"/>
    </row>
    <row r="3" spans="1:9">
      <c r="A3" t="s">
        <v>390</v>
      </c>
      <c r="C3" t="s">
        <v>391</v>
      </c>
      <c r="E3" t="s">
        <v>136</v>
      </c>
      <c r="I3" t="s">
        <v>392</v>
      </c>
    </row>
    <row r="4" spans="1:9">
      <c r="B4" t="s">
        <v>393</v>
      </c>
      <c r="C4" s="22">
        <v>257</v>
      </c>
      <c r="E4" t="s">
        <v>394</v>
      </c>
    </row>
    <row r="5" spans="1:9">
      <c r="B5" t="s">
        <v>395</v>
      </c>
      <c r="C5" s="22">
        <v>257</v>
      </c>
      <c r="E5" t="s">
        <v>396</v>
      </c>
    </row>
    <row r="6" spans="1:9">
      <c r="B6" t="s">
        <v>397</v>
      </c>
      <c r="C6" s="22">
        <v>296</v>
      </c>
      <c r="E6" t="s">
        <v>398</v>
      </c>
    </row>
    <row r="7" spans="1:9">
      <c r="B7" t="s">
        <v>399</v>
      </c>
      <c r="C7" s="22">
        <v>296</v>
      </c>
      <c r="E7" t="s">
        <v>400</v>
      </c>
    </row>
    <row r="8" spans="1:9">
      <c r="B8" t="s">
        <v>401</v>
      </c>
      <c r="C8" s="22">
        <v>40</v>
      </c>
      <c r="E8" t="s">
        <v>402</v>
      </c>
    </row>
    <row r="10" spans="1:9">
      <c r="B10" t="s">
        <v>403</v>
      </c>
      <c r="C10">
        <f>IF(C8=40,C4,C5)</f>
        <v>257</v>
      </c>
      <c r="E10" t="s">
        <v>404</v>
      </c>
    </row>
    <row r="11" spans="1:9">
      <c r="B11" t="s">
        <v>405</v>
      </c>
      <c r="C11">
        <f>IF(C8=40,C6,C7)</f>
        <v>296</v>
      </c>
      <c r="E11" t="s">
        <v>406</v>
      </c>
    </row>
    <row r="13" spans="1:9">
      <c r="A13" t="s">
        <v>407</v>
      </c>
    </row>
    <row r="14" spans="1:9">
      <c r="B14" t="s">
        <v>408</v>
      </c>
      <c r="C14" s="22">
        <v>11589</v>
      </c>
      <c r="E14" t="s">
        <v>409</v>
      </c>
    </row>
    <row r="16" spans="1:9">
      <c r="A16" t="s">
        <v>410</v>
      </c>
    </row>
    <row r="17" spans="1:9">
      <c r="B17" t="s">
        <v>411</v>
      </c>
      <c r="C17" s="22">
        <v>0.15</v>
      </c>
      <c r="E17" t="s">
        <v>412</v>
      </c>
    </row>
    <row r="18" spans="1:9">
      <c r="B18" t="s">
        <v>413</v>
      </c>
      <c r="C18" s="22">
        <v>5013</v>
      </c>
      <c r="E18" t="s">
        <v>414</v>
      </c>
    </row>
    <row r="19" spans="1:9">
      <c r="B19" t="s">
        <v>415</v>
      </c>
      <c r="C19">
        <f>C17*C18</f>
        <v>751.94999999999993</v>
      </c>
      <c r="E19" t="s">
        <v>416</v>
      </c>
    </row>
    <row r="20" spans="1:9">
      <c r="B20" t="s">
        <v>417</v>
      </c>
      <c r="C20" s="22">
        <v>1</v>
      </c>
      <c r="E20" t="s">
        <v>418</v>
      </c>
    </row>
    <row r="21" spans="1:9">
      <c r="B21" t="s">
        <v>419</v>
      </c>
      <c r="C21" s="22">
        <v>5200</v>
      </c>
      <c r="E21" t="s">
        <v>420</v>
      </c>
      <c r="I21" t="s">
        <v>421</v>
      </c>
    </row>
    <row r="22" spans="1:9">
      <c r="B22" t="s">
        <v>422</v>
      </c>
      <c r="C22" s="22">
        <v>2.5000000000000001E-2</v>
      </c>
      <c r="E22" t="s">
        <v>423</v>
      </c>
    </row>
    <row r="23" spans="1:9">
      <c r="B23" t="s">
        <v>424</v>
      </c>
      <c r="C23" s="22">
        <v>0.6</v>
      </c>
      <c r="E23" t="s">
        <v>425</v>
      </c>
    </row>
    <row r="24" spans="1:9">
      <c r="B24" t="s">
        <v>426</v>
      </c>
      <c r="C24" s="22">
        <v>0.85</v>
      </c>
      <c r="E24" t="s">
        <v>427</v>
      </c>
    </row>
    <row r="26" spans="1:9">
      <c r="A26" s="27" t="s">
        <v>428</v>
      </c>
    </row>
    <row r="28" spans="1:9">
      <c r="B28" t="s">
        <v>429</v>
      </c>
      <c r="C28" s="22">
        <v>0</v>
      </c>
      <c r="E28" t="s">
        <v>430</v>
      </c>
    </row>
    <row r="29" spans="1:9">
      <c r="B29" t="s">
        <v>431</v>
      </c>
      <c r="C29">
        <f>BaselineCalc!$B$22</f>
        <v>1200000</v>
      </c>
      <c r="E29" t="s">
        <v>432</v>
      </c>
    </row>
    <row r="30" spans="1:9">
      <c r="B30" t="s">
        <v>433</v>
      </c>
      <c r="C30" s="22">
        <v>800000</v>
      </c>
      <c r="E30" t="s">
        <v>434</v>
      </c>
    </row>
    <row r="31" spans="1:9">
      <c r="B31" t="s">
        <v>435</v>
      </c>
      <c r="C31" s="22">
        <v>1200000</v>
      </c>
      <c r="E31" t="s">
        <v>436</v>
      </c>
    </row>
    <row r="32" spans="1:9">
      <c r="B32" t="s">
        <v>437</v>
      </c>
      <c r="C32" s="22">
        <v>0</v>
      </c>
      <c r="E32" t="s">
        <v>438</v>
      </c>
    </row>
    <row r="33" spans="2:5">
      <c r="B33" t="s">
        <v>439</v>
      </c>
      <c r="C33" s="22">
        <v>800000</v>
      </c>
      <c r="E33" t="s">
        <v>440</v>
      </c>
    </row>
    <row r="34" spans="2:5">
      <c r="B34" t="s">
        <v>441</v>
      </c>
      <c r="C34" s="22">
        <v>12000</v>
      </c>
      <c r="E34" t="s">
        <v>442</v>
      </c>
    </row>
    <row r="35" spans="2:5">
      <c r="B35" t="s">
        <v>443</v>
      </c>
      <c r="C35" s="22">
        <v>300</v>
      </c>
      <c r="E35" t="s">
        <v>444</v>
      </c>
    </row>
    <row r="36" spans="2:5">
      <c r="B36" t="s">
        <v>445</v>
      </c>
      <c r="C36" s="22">
        <v>100</v>
      </c>
      <c r="E36" t="s">
        <v>446</v>
      </c>
    </row>
    <row r="38" spans="2:5">
      <c r="B38" t="s">
        <v>447</v>
      </c>
      <c r="C38" s="22">
        <v>0.7</v>
      </c>
      <c r="E38" t="s">
        <v>448</v>
      </c>
    </row>
    <row r="39" spans="2:5">
      <c r="B39" t="s">
        <v>449</v>
      </c>
      <c r="C39" s="22">
        <v>0.3</v>
      </c>
    </row>
    <row r="40" spans="2:5">
      <c r="B40" t="s">
        <v>450</v>
      </c>
      <c r="C40" s="22">
        <v>1</v>
      </c>
    </row>
    <row r="41" spans="2:5">
      <c r="B41" t="s">
        <v>451</v>
      </c>
      <c r="C41" s="22">
        <v>0</v>
      </c>
    </row>
    <row r="43" spans="2:5">
      <c r="B43" t="s">
        <v>452</v>
      </c>
      <c r="C43" s="22">
        <v>0.6</v>
      </c>
      <c r="E43" t="s">
        <v>737</v>
      </c>
    </row>
    <row r="44" spans="2:5">
      <c r="B44" t="s">
        <v>453</v>
      </c>
      <c r="C44" s="22">
        <v>-0.02</v>
      </c>
      <c r="E44" t="s">
        <v>454</v>
      </c>
    </row>
    <row r="45" spans="2:5">
      <c r="B45" t="s">
        <v>455</v>
      </c>
      <c r="C45" s="22">
        <v>-0.02</v>
      </c>
      <c r="E45" t="s">
        <v>454</v>
      </c>
    </row>
    <row r="47" spans="2:5">
      <c r="B47" t="s">
        <v>456</v>
      </c>
      <c r="C47" s="22">
        <v>0.2</v>
      </c>
      <c r="E47" t="s">
        <v>457</v>
      </c>
    </row>
    <row r="49" spans="2:5">
      <c r="B49" t="s">
        <v>458</v>
      </c>
      <c r="C49" s="22">
        <v>0.85</v>
      </c>
      <c r="E49" t="s">
        <v>459</v>
      </c>
    </row>
  </sheetData>
  <mergeCells count="1">
    <mergeCell ref="C1:E1"/>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2"/>
  <sheetViews>
    <sheetView topLeftCell="A66" zoomScale="70" zoomScaleNormal="70" workbookViewId="0">
      <pane xSplit="1" topLeftCell="B1" activePane="topRight" state="frozen"/>
      <selection pane="topRight" activeCell="B73" sqref="B73"/>
    </sheetView>
  </sheetViews>
  <sheetFormatPr defaultRowHeight="1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7" width="8.7265625" style="7" customWidth="1"/>
    <col min="8" max="16384" width="8.7265625" style="7"/>
  </cols>
  <sheetData>
    <row r="1" spans="1:7">
      <c r="A1" s="137" t="s">
        <v>73</v>
      </c>
      <c r="B1" s="138"/>
      <c r="C1" s="138"/>
      <c r="D1" s="138"/>
      <c r="E1" s="138"/>
      <c r="F1" s="138"/>
    </row>
    <row r="2" spans="1:7" ht="14.5">
      <c r="A2" s="53" t="s">
        <v>74</v>
      </c>
      <c r="B2" s="53" t="s">
        <v>75</v>
      </c>
      <c r="C2" s="53" t="s">
        <v>76</v>
      </c>
      <c r="D2" s="53" t="s">
        <v>77</v>
      </c>
      <c r="E2" s="53" t="s">
        <v>78</v>
      </c>
      <c r="F2" s="53" t="s">
        <v>79</v>
      </c>
      <c r="G2" s="70" t="s">
        <v>80</v>
      </c>
    </row>
    <row r="3" spans="1:7" ht="14.5">
      <c r="A3" s="7" t="s">
        <v>81</v>
      </c>
      <c r="B3" s="7" t="s">
        <v>82</v>
      </c>
      <c r="C3" s="7" t="s">
        <v>83</v>
      </c>
      <c r="D3" s="7" t="s">
        <v>84</v>
      </c>
      <c r="E3" s="7" t="s">
        <v>85</v>
      </c>
      <c r="F3" s="7" t="s">
        <v>86</v>
      </c>
      <c r="G3" t="s">
        <v>87</v>
      </c>
    </row>
    <row r="4" spans="1:7" ht="14.5">
      <c r="A4" s="7" t="s">
        <v>88</v>
      </c>
      <c r="B4" s="7" t="s">
        <v>89</v>
      </c>
      <c r="C4" s="7" t="s">
        <v>90</v>
      </c>
      <c r="D4" s="7" t="s">
        <v>91</v>
      </c>
      <c r="E4" s="7" t="s">
        <v>85</v>
      </c>
      <c r="F4" s="7" t="s">
        <v>92</v>
      </c>
      <c r="G4" t="s">
        <v>93</v>
      </c>
    </row>
    <row r="5" spans="1:7">
      <c r="A5" s="7" t="s">
        <v>94</v>
      </c>
      <c r="B5" s="7" t="s">
        <v>95</v>
      </c>
      <c r="C5" s="7" t="s">
        <v>96</v>
      </c>
      <c r="D5" s="7" t="s">
        <v>97</v>
      </c>
      <c r="E5" s="7" t="s">
        <v>98</v>
      </c>
      <c r="F5" s="7" t="s">
        <v>99</v>
      </c>
    </row>
    <row r="6" spans="1:7">
      <c r="A6" s="7" t="s">
        <v>100</v>
      </c>
      <c r="B6" s="7" t="s">
        <v>101</v>
      </c>
      <c r="C6" s="7" t="s">
        <v>102</v>
      </c>
      <c r="D6" s="7" t="s">
        <v>103</v>
      </c>
      <c r="E6" s="7" t="s">
        <v>85</v>
      </c>
      <c r="F6" s="7" t="s">
        <v>104</v>
      </c>
    </row>
    <row r="7" spans="1:7" ht="14.5">
      <c r="A7" s="7" t="s">
        <v>105</v>
      </c>
      <c r="B7" s="7" t="s">
        <v>106</v>
      </c>
      <c r="C7" s="7" t="s">
        <v>107</v>
      </c>
      <c r="D7" s="7" t="s">
        <v>108</v>
      </c>
      <c r="E7" s="7" t="s">
        <v>85</v>
      </c>
      <c r="F7" s="7" t="s">
        <v>109</v>
      </c>
      <c r="G7" t="s">
        <v>110</v>
      </c>
    </row>
    <row r="8" spans="1:7" ht="14.5">
      <c r="A8" s="7" t="s">
        <v>111</v>
      </c>
      <c r="B8" s="7" t="s">
        <v>112</v>
      </c>
      <c r="C8" s="7" t="s">
        <v>113</v>
      </c>
      <c r="D8" s="7" t="s">
        <v>114</v>
      </c>
      <c r="E8" s="7" t="s">
        <v>115</v>
      </c>
      <c r="F8" s="7" t="s">
        <v>116</v>
      </c>
      <c r="G8" t="s">
        <v>117</v>
      </c>
    </row>
    <row r="9" spans="1:7" ht="14.5">
      <c r="A9" s="7" t="s">
        <v>118</v>
      </c>
      <c r="B9" s="7" t="s">
        <v>119</v>
      </c>
      <c r="C9" s="7" t="s">
        <v>120</v>
      </c>
      <c r="D9" s="7" t="s">
        <v>121</v>
      </c>
      <c r="E9" s="7" t="s">
        <v>122</v>
      </c>
      <c r="F9" s="7" t="s">
        <v>123</v>
      </c>
      <c r="G9" t="s">
        <v>124</v>
      </c>
    </row>
    <row r="10" spans="1:7" ht="14.5">
      <c r="A10" s="7" t="s">
        <v>125</v>
      </c>
      <c r="B10" s="7" t="s">
        <v>126</v>
      </c>
      <c r="C10" s="7" t="s">
        <v>127</v>
      </c>
      <c r="D10" s="7" t="s">
        <v>128</v>
      </c>
      <c r="E10" s="7" t="s">
        <v>85</v>
      </c>
      <c r="F10" s="7" t="s">
        <v>129</v>
      </c>
      <c r="G10" t="s">
        <v>130</v>
      </c>
    </row>
    <row r="12" spans="1:7">
      <c r="A12" s="137" t="s">
        <v>131</v>
      </c>
      <c r="B12" s="138"/>
      <c r="C12" s="138"/>
      <c r="D12" s="138"/>
      <c r="E12" s="138"/>
      <c r="F12" s="138"/>
    </row>
    <row r="13" spans="1:7">
      <c r="A13" s="53" t="s">
        <v>132</v>
      </c>
      <c r="B13" s="53" t="s">
        <v>133</v>
      </c>
      <c r="C13" s="53" t="s">
        <v>134</v>
      </c>
      <c r="D13" s="53" t="s">
        <v>135</v>
      </c>
      <c r="E13" s="53" t="s">
        <v>136</v>
      </c>
      <c r="F13" s="53" t="s">
        <v>137</v>
      </c>
    </row>
    <row r="14" spans="1:7">
      <c r="A14" s="7" t="s">
        <v>138</v>
      </c>
      <c r="B14" s="7" t="s">
        <v>139</v>
      </c>
      <c r="C14" s="7" t="s">
        <v>140</v>
      </c>
      <c r="D14" s="7" t="s">
        <v>141</v>
      </c>
      <c r="E14" s="7" t="s">
        <v>142</v>
      </c>
    </row>
    <row r="15" spans="1:7">
      <c r="A15" s="7" t="s">
        <v>143</v>
      </c>
      <c r="B15" s="7" t="s">
        <v>144</v>
      </c>
      <c r="C15" s="7" t="s">
        <v>145</v>
      </c>
      <c r="D15" s="7" t="s">
        <v>146</v>
      </c>
    </row>
    <row r="16" spans="1:7">
      <c r="A16" s="7" t="s">
        <v>147</v>
      </c>
      <c r="B16" s="7" t="s">
        <v>148</v>
      </c>
      <c r="C16" s="7" t="s">
        <v>145</v>
      </c>
      <c r="D16" s="7" t="s">
        <v>149</v>
      </c>
    </row>
    <row r="17" spans="1:6">
      <c r="A17" s="7" t="s">
        <v>150</v>
      </c>
      <c r="B17" s="7" t="s">
        <v>151</v>
      </c>
      <c r="C17" s="7" t="s">
        <v>145</v>
      </c>
      <c r="D17" s="7" t="s">
        <v>152</v>
      </c>
    </row>
    <row r="18" spans="1:6">
      <c r="A18" s="7" t="s">
        <v>153</v>
      </c>
      <c r="B18" s="7" t="s">
        <v>154</v>
      </c>
      <c r="C18" s="7" t="s">
        <v>145</v>
      </c>
      <c r="D18" s="7" t="s">
        <v>155</v>
      </c>
    </row>
    <row r="19" spans="1:6">
      <c r="A19" s="7" t="s">
        <v>156</v>
      </c>
      <c r="B19" s="7" t="s">
        <v>157</v>
      </c>
      <c r="C19" s="7" t="s">
        <v>158</v>
      </c>
      <c r="D19" s="7" t="s">
        <v>159</v>
      </c>
      <c r="E19" s="7" t="s">
        <v>160</v>
      </c>
    </row>
    <row r="20" spans="1:6">
      <c r="A20" s="7" t="s">
        <v>161</v>
      </c>
      <c r="B20" s="7" t="s">
        <v>162</v>
      </c>
      <c r="C20" s="7" t="s">
        <v>163</v>
      </c>
      <c r="D20" s="7" t="s">
        <v>164</v>
      </c>
      <c r="E20" s="7" t="s">
        <v>165</v>
      </c>
    </row>
    <row r="21" spans="1:6">
      <c r="A21" s="7" t="s">
        <v>166</v>
      </c>
      <c r="B21" s="7" t="s">
        <v>167</v>
      </c>
      <c r="C21" s="7" t="s">
        <v>163</v>
      </c>
      <c r="D21" s="7" t="s">
        <v>168</v>
      </c>
      <c r="E21" s="7" t="s">
        <v>169</v>
      </c>
    </row>
    <row r="22" spans="1:6">
      <c r="A22" s="7" t="s">
        <v>170</v>
      </c>
      <c r="B22" s="7" t="s">
        <v>171</v>
      </c>
      <c r="C22" s="7" t="s">
        <v>172</v>
      </c>
      <c r="D22" s="7" t="s">
        <v>173</v>
      </c>
      <c r="F22" s="7" t="s">
        <v>174</v>
      </c>
    </row>
    <row r="23" spans="1:6">
      <c r="A23" s="7" t="s">
        <v>175</v>
      </c>
      <c r="B23" s="7" t="s">
        <v>176</v>
      </c>
      <c r="C23" s="7" t="s">
        <v>177</v>
      </c>
      <c r="D23" s="7" t="s">
        <v>178</v>
      </c>
      <c r="E23" s="7" t="s">
        <v>179</v>
      </c>
      <c r="F23" s="7" t="s">
        <v>178</v>
      </c>
    </row>
    <row r="24" spans="1:6">
      <c r="A24" s="7" t="s">
        <v>180</v>
      </c>
      <c r="B24" s="7" t="s">
        <v>181</v>
      </c>
      <c r="C24" s="7" t="s">
        <v>182</v>
      </c>
      <c r="D24" s="7" t="s">
        <v>183</v>
      </c>
      <c r="E24" s="7" t="s">
        <v>184</v>
      </c>
      <c r="F24" s="7" t="s">
        <v>183</v>
      </c>
    </row>
    <row r="25" spans="1:6">
      <c r="A25" s="7" t="s">
        <v>185</v>
      </c>
      <c r="B25" s="7" t="s">
        <v>186</v>
      </c>
      <c r="C25" s="7" t="s">
        <v>187</v>
      </c>
      <c r="D25" s="7" t="s">
        <v>188</v>
      </c>
      <c r="E25" s="7" t="s">
        <v>189</v>
      </c>
      <c r="F25" s="7" t="s">
        <v>190</v>
      </c>
    </row>
    <row r="26" spans="1:6">
      <c r="A26" s="7" t="s">
        <v>191</v>
      </c>
      <c r="B26" s="7" t="s">
        <v>192</v>
      </c>
      <c r="C26" s="7" t="s">
        <v>193</v>
      </c>
      <c r="D26" s="7" t="s">
        <v>194</v>
      </c>
      <c r="E26" s="7" t="s">
        <v>195</v>
      </c>
      <c r="F26" s="7" t="s">
        <v>196</v>
      </c>
    </row>
    <row r="27" spans="1:6">
      <c r="A27" s="7" t="s">
        <v>197</v>
      </c>
      <c r="B27" s="7" t="s">
        <v>198</v>
      </c>
      <c r="C27" s="7" t="s">
        <v>199</v>
      </c>
      <c r="D27" s="7" t="s">
        <v>200</v>
      </c>
      <c r="E27" s="7" t="s">
        <v>201</v>
      </c>
    </row>
    <row r="28" spans="1:6" ht="14.5">
      <c r="A28" t="s">
        <v>202</v>
      </c>
      <c r="B28" t="s">
        <v>203</v>
      </c>
      <c r="C28" t="s">
        <v>204</v>
      </c>
      <c r="D28" t="s">
        <v>205</v>
      </c>
      <c r="E28" t="s">
        <v>206</v>
      </c>
      <c r="F28"/>
    </row>
    <row r="29" spans="1:6" ht="14.5">
      <c r="A29" s="123" t="s">
        <v>207</v>
      </c>
      <c r="B29" s="123" t="s">
        <v>208</v>
      </c>
      <c r="C29" s="123" t="s">
        <v>209</v>
      </c>
      <c r="D29" s="123" t="s">
        <v>210</v>
      </c>
      <c r="E29" s="123" t="s">
        <v>211</v>
      </c>
      <c r="F29" s="123"/>
    </row>
    <row r="30" spans="1:6" ht="14.5">
      <c r="A30" t="s">
        <v>212</v>
      </c>
      <c r="B30" t="s">
        <v>213</v>
      </c>
      <c r="C30" t="s">
        <v>214</v>
      </c>
      <c r="D30" t="s">
        <v>215</v>
      </c>
      <c r="E30" t="s">
        <v>216</v>
      </c>
      <c r="F30"/>
    </row>
    <row r="31" spans="1:6" ht="14.5">
      <c r="A31" t="s">
        <v>217</v>
      </c>
      <c r="B31" t="s">
        <v>218</v>
      </c>
      <c r="C31" t="s">
        <v>219</v>
      </c>
      <c r="D31" t="s">
        <v>220</v>
      </c>
      <c r="E31" t="s">
        <v>221</v>
      </c>
      <c r="F31"/>
    </row>
    <row r="32" spans="1:6" ht="14.5">
      <c r="A32" t="s">
        <v>222</v>
      </c>
      <c r="B32" t="s">
        <v>223</v>
      </c>
      <c r="C32" t="s">
        <v>219</v>
      </c>
      <c r="D32" t="s">
        <v>224</v>
      </c>
      <c r="E32" t="s">
        <v>225</v>
      </c>
      <c r="F32"/>
    </row>
    <row r="33" spans="1:6" ht="14.5">
      <c r="A33" t="s">
        <v>226</v>
      </c>
      <c r="B33" t="s">
        <v>227</v>
      </c>
      <c r="C33" t="s">
        <v>219</v>
      </c>
      <c r="D33" t="s">
        <v>228</v>
      </c>
      <c r="E33" t="s">
        <v>229</v>
      </c>
      <c r="F33"/>
    </row>
    <row r="34" spans="1:6" ht="14.5">
      <c r="A34"/>
      <c r="B34"/>
      <c r="C34"/>
      <c r="D34"/>
      <c r="E34"/>
      <c r="F34"/>
    </row>
    <row r="35" spans="1:6">
      <c r="A35" s="137" t="s">
        <v>679</v>
      </c>
      <c r="B35" s="138"/>
      <c r="C35" s="138"/>
      <c r="D35" s="138"/>
      <c r="E35" s="138"/>
      <c r="F35" s="138"/>
    </row>
    <row r="36" spans="1:6">
      <c r="A36" s="53" t="s">
        <v>230</v>
      </c>
      <c r="B36" s="53" t="s">
        <v>231</v>
      </c>
      <c r="C36" s="53" t="s">
        <v>232</v>
      </c>
      <c r="D36" s="53" t="s">
        <v>233</v>
      </c>
      <c r="E36" s="53" t="s">
        <v>136</v>
      </c>
      <c r="F36" s="53" t="s">
        <v>78</v>
      </c>
    </row>
    <row r="37" spans="1:6">
      <c r="A37" s="7" t="s">
        <v>234</v>
      </c>
      <c r="B37" s="7" t="s">
        <v>235</v>
      </c>
      <c r="C37" s="7" t="s">
        <v>236</v>
      </c>
      <c r="D37" s="7" t="s">
        <v>237</v>
      </c>
      <c r="F37" s="7" t="s">
        <v>238</v>
      </c>
    </row>
    <row r="38" spans="1:6">
      <c r="A38" s="138" t="s">
        <v>239</v>
      </c>
      <c r="B38" s="138" t="s">
        <v>240</v>
      </c>
      <c r="C38" s="138" t="s">
        <v>241</v>
      </c>
      <c r="D38" s="138" t="s">
        <v>242</v>
      </c>
      <c r="E38" s="138" t="s">
        <v>243</v>
      </c>
      <c r="F38" s="138" t="s">
        <v>244</v>
      </c>
    </row>
    <row r="39" spans="1:6">
      <c r="A39" s="7" t="s">
        <v>245</v>
      </c>
      <c r="B39" s="7" t="s">
        <v>246</v>
      </c>
      <c r="C39" s="7" t="s">
        <v>247</v>
      </c>
      <c r="D39" s="7" t="s">
        <v>248</v>
      </c>
      <c r="E39" s="7" t="s">
        <v>249</v>
      </c>
      <c r="F39" s="7" t="s">
        <v>250</v>
      </c>
    </row>
    <row r="40" spans="1:6">
      <c r="A40" s="7" t="s">
        <v>251</v>
      </c>
      <c r="B40" s="7" t="s">
        <v>252</v>
      </c>
      <c r="C40" s="7" t="s">
        <v>253</v>
      </c>
      <c r="D40" s="7" t="s">
        <v>163</v>
      </c>
      <c r="E40" s="7" t="s">
        <v>254</v>
      </c>
      <c r="F40" s="7" t="s">
        <v>85</v>
      </c>
    </row>
    <row r="41" spans="1:6">
      <c r="A41" s="7" t="s">
        <v>191</v>
      </c>
      <c r="B41" s="7" t="s">
        <v>255</v>
      </c>
      <c r="C41" s="7" t="s">
        <v>256</v>
      </c>
      <c r="D41" s="7" t="s">
        <v>257</v>
      </c>
      <c r="F41" s="7" t="s">
        <v>258</v>
      </c>
    </row>
    <row r="43" spans="1:6">
      <c r="A43" s="137" t="s">
        <v>259</v>
      </c>
      <c r="B43" s="138"/>
      <c r="C43" s="138"/>
      <c r="D43" s="138"/>
      <c r="E43" s="138"/>
      <c r="F43" s="138"/>
    </row>
    <row r="44" spans="1:6">
      <c r="A44" s="53" t="s">
        <v>260</v>
      </c>
      <c r="B44" s="53" t="s">
        <v>261</v>
      </c>
      <c r="C44" s="53" t="s">
        <v>262</v>
      </c>
      <c r="D44" s="53" t="s">
        <v>79</v>
      </c>
      <c r="E44" s="53" t="s">
        <v>729</v>
      </c>
      <c r="F44" s="53"/>
    </row>
    <row r="45" spans="1:6">
      <c r="A45" s="7" t="s">
        <v>263</v>
      </c>
      <c r="B45" s="7" t="s">
        <v>264</v>
      </c>
      <c r="C45" s="7" t="s">
        <v>265</v>
      </c>
      <c r="D45" s="7" t="s">
        <v>129</v>
      </c>
      <c r="E45" s="7" t="s">
        <v>738</v>
      </c>
    </row>
    <row r="46" spans="1:6">
      <c r="A46" s="7" t="s">
        <v>266</v>
      </c>
      <c r="B46" s="7" t="s">
        <v>264</v>
      </c>
      <c r="C46" s="7" t="s">
        <v>265</v>
      </c>
      <c r="D46" s="7" t="s">
        <v>129</v>
      </c>
      <c r="E46" s="7" t="s">
        <v>738</v>
      </c>
    </row>
    <row r="47" spans="1:6">
      <c r="A47" s="7" t="s">
        <v>267</v>
      </c>
      <c r="B47" s="7" t="s">
        <v>264</v>
      </c>
      <c r="C47" s="7" t="s">
        <v>268</v>
      </c>
      <c r="D47" s="7" t="s">
        <v>123</v>
      </c>
    </row>
    <row r="48" spans="1:6">
      <c r="A48" s="7" t="s">
        <v>269</v>
      </c>
      <c r="B48" s="7" t="s">
        <v>270</v>
      </c>
      <c r="C48" s="7" t="s">
        <v>271</v>
      </c>
      <c r="D48" s="7" t="s">
        <v>272</v>
      </c>
    </row>
    <row r="50" spans="1:6">
      <c r="A50" s="137" t="s">
        <v>677</v>
      </c>
      <c r="B50" s="138"/>
      <c r="C50" s="138"/>
      <c r="D50" s="138"/>
      <c r="E50" s="138"/>
      <c r="F50" s="138"/>
    </row>
    <row r="51" spans="1:6">
      <c r="A51" s="53" t="s">
        <v>593</v>
      </c>
      <c r="B51" s="53" t="s">
        <v>0</v>
      </c>
      <c r="C51" s="53" t="s">
        <v>678</v>
      </c>
    </row>
    <row r="52" spans="1:6" ht="182">
      <c r="A52" s="19" t="s">
        <v>273</v>
      </c>
      <c r="B52" s="19" t="s">
        <v>274</v>
      </c>
      <c r="C52" s="19" t="s">
        <v>275</v>
      </c>
      <c r="D52" s="19"/>
      <c r="E52" s="19"/>
    </row>
    <row r="53" spans="1:6" ht="156">
      <c r="A53" s="19" t="s">
        <v>276</v>
      </c>
      <c r="B53" s="19" t="s">
        <v>277</v>
      </c>
      <c r="C53" s="19" t="s">
        <v>278</v>
      </c>
      <c r="D53" s="19"/>
      <c r="E53" s="19"/>
    </row>
    <row r="54" spans="1:6" ht="169">
      <c r="A54" s="19" t="s">
        <v>279</v>
      </c>
      <c r="B54" s="19" t="s">
        <v>280</v>
      </c>
      <c r="C54" s="19" t="s">
        <v>696</v>
      </c>
      <c r="D54" s="19"/>
    </row>
    <row r="55" spans="1:6" ht="104">
      <c r="A55" s="19" t="s">
        <v>281</v>
      </c>
      <c r="B55" s="19" t="s">
        <v>282</v>
      </c>
      <c r="C55" s="19" t="s">
        <v>680</v>
      </c>
      <c r="D55" s="19"/>
    </row>
    <row r="56" spans="1:6" ht="78" customHeight="1">
      <c r="A56" s="19" t="s">
        <v>283</v>
      </c>
      <c r="B56" s="19" t="s">
        <v>282</v>
      </c>
      <c r="C56" s="19" t="s">
        <v>284</v>
      </c>
      <c r="D56" s="19"/>
    </row>
    <row r="57" spans="1:6" ht="104">
      <c r="A57" s="19" t="s">
        <v>285</v>
      </c>
      <c r="B57" s="19" t="s">
        <v>286</v>
      </c>
      <c r="C57" s="19" t="s">
        <v>288</v>
      </c>
      <c r="D57" s="20" t="s">
        <v>287</v>
      </c>
      <c r="E57" s="20"/>
    </row>
    <row r="58" spans="1:6" ht="130.5">
      <c r="A58" s="82" t="s">
        <v>681</v>
      </c>
      <c r="B58" s="82" t="s">
        <v>289</v>
      </c>
      <c r="C58" s="21" t="s">
        <v>695</v>
      </c>
      <c r="D58" s="18" t="s">
        <v>290</v>
      </c>
      <c r="E58" s="18"/>
    </row>
    <row r="59" spans="1:6" ht="26">
      <c r="A59" s="19" t="s">
        <v>291</v>
      </c>
      <c r="B59" s="19" t="s">
        <v>694</v>
      </c>
      <c r="C59" s="19" t="s">
        <v>292</v>
      </c>
      <c r="D59" s="19"/>
    </row>
    <row r="60" spans="1:6" ht="91">
      <c r="A60" s="19" t="s">
        <v>207</v>
      </c>
      <c r="B60" s="19" t="s">
        <v>293</v>
      </c>
      <c r="C60" s="19" t="s">
        <v>684</v>
      </c>
      <c r="D60" s="19"/>
    </row>
    <row r="61" spans="1:6" ht="65" customHeight="1">
      <c r="A61" s="19" t="s">
        <v>693</v>
      </c>
      <c r="B61" s="19" t="s">
        <v>294</v>
      </c>
      <c r="C61" s="19" t="s">
        <v>692</v>
      </c>
      <c r="D61" s="20" t="s">
        <v>295</v>
      </c>
      <c r="E61" s="20"/>
    </row>
    <row r="62" spans="1:6" ht="104">
      <c r="A62" s="19" t="s">
        <v>296</v>
      </c>
      <c r="B62" s="19" t="s">
        <v>297</v>
      </c>
      <c r="C62" s="19" t="s">
        <v>683</v>
      </c>
      <c r="D62" s="19"/>
    </row>
    <row r="63" spans="1:6" ht="39" customHeight="1">
      <c r="A63" s="19" t="s">
        <v>298</v>
      </c>
      <c r="B63" s="19" t="s">
        <v>691</v>
      </c>
      <c r="C63" s="19" t="s">
        <v>299</v>
      </c>
      <c r="D63" s="20" t="s">
        <v>685</v>
      </c>
      <c r="E63" s="20"/>
    </row>
    <row r="64" spans="1:6" ht="39" customHeight="1">
      <c r="A64" s="19" t="s">
        <v>300</v>
      </c>
      <c r="B64" s="19" t="s">
        <v>301</v>
      </c>
      <c r="C64" s="19" t="s">
        <v>302</v>
      </c>
      <c r="D64" s="19"/>
    </row>
    <row r="65" spans="1:5" ht="117">
      <c r="A65" s="19" t="s">
        <v>303</v>
      </c>
      <c r="B65" s="19" t="s">
        <v>686</v>
      </c>
      <c r="C65" s="19" t="s">
        <v>687</v>
      </c>
      <c r="D65" s="19"/>
    </row>
    <row r="66" spans="1:5" ht="52" customHeight="1">
      <c r="A66" s="19" t="s">
        <v>304</v>
      </c>
      <c r="B66" s="19" t="s">
        <v>688</v>
      </c>
      <c r="C66" s="19"/>
      <c r="D66" s="19"/>
    </row>
    <row r="67" spans="1:5" ht="65">
      <c r="A67" s="19" t="s">
        <v>305</v>
      </c>
      <c r="B67" s="19" t="s">
        <v>689</v>
      </c>
      <c r="C67" s="19"/>
      <c r="D67" s="19"/>
    </row>
    <row r="68" spans="1:5" ht="52">
      <c r="A68" s="19" t="s">
        <v>306</v>
      </c>
      <c r="B68" s="19" t="s">
        <v>307</v>
      </c>
      <c r="C68" s="19" t="s">
        <v>682</v>
      </c>
      <c r="D68" s="19"/>
    </row>
    <row r="69" spans="1:5" ht="52">
      <c r="A69" s="19" t="s">
        <v>308</v>
      </c>
      <c r="B69" s="19" t="s">
        <v>309</v>
      </c>
      <c r="C69" s="19" t="s">
        <v>690</v>
      </c>
      <c r="D69" s="20" t="s">
        <v>310</v>
      </c>
      <c r="E69" s="20"/>
    </row>
    <row r="70" spans="1:5" ht="65">
      <c r="A70" s="19" t="s">
        <v>311</v>
      </c>
      <c r="B70" s="19" t="s">
        <v>312</v>
      </c>
      <c r="C70" s="19" t="s">
        <v>314</v>
      </c>
      <c r="D70" s="20" t="s">
        <v>313</v>
      </c>
      <c r="E70" s="20"/>
    </row>
    <row r="71" spans="1:5" ht="58">
      <c r="A71" s="82" t="s">
        <v>19</v>
      </c>
      <c r="B71" s="82" t="s">
        <v>594</v>
      </c>
      <c r="C71" s="82" t="s">
        <v>595</v>
      </c>
      <c r="D71" s="83" t="s">
        <v>596</v>
      </c>
      <c r="E71" s="82" t="s">
        <v>697</v>
      </c>
    </row>
    <row r="72" spans="1:5" ht="43.5">
      <c r="A72" s="7" t="s">
        <v>739</v>
      </c>
      <c r="B72" s="19" t="s">
        <v>740</v>
      </c>
      <c r="C72" s="7" t="s">
        <v>741</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500-000000000000}"/>
    <hyperlink ref="C53" r:id="rId2" tooltip="sdspending.azauditor.gov" display="https://sdspending.azauditor.gov/" xr:uid="{00000000-0004-0000-0500-000001000000}"/>
    <hyperlink ref="C56" r:id="rId3" tooltip="List Of Groups - Sun Devil Central - Arizona State University" display="https://sundevilcentral.eoss.asu.edu/club_signup?category_tags=6551555&amp;group_type=&amp;view=all&amp;utm_source=chatgpt.com" xr:uid="{00000000-0004-0000-0500-000002000000}"/>
    <hyperlink ref="C66" r:id="rId4" tooltip="Bill Text: AZ HB2969 | 2025 | Fifty-seventh Legislature 1st ..." display="https://legiscan.com/AZ/text/HB2969/2025?utm_source=chatgpt.com" xr:uid="{00000000-0004-0000-0500-000005000000}"/>
    <hyperlink ref="D58" r:id="rId5" tooltip="School Closings in Chicago" display="https://consortium.uchicago.edu/publications/school-closings-chicago-staff-and-student-experiences-and-academic-outcomes?utm_source=chatgpt.com" xr:uid="{2E0C5377-73F1-46FF-A228-C9F5B13BECB6}"/>
    <hyperlink ref="D71" r:id="rId6" tooltip="HOW TO CALCULATE OPERATIONAL AND ..." display="https://www.azauditor.gov/sites/default/files/2023-09/HowToCalculateOperational-NonoperationalSpending.pdf?utm_source=chatgpt.com" xr:uid="{5994CFF3-F97E-49BD-812E-9667169FE507}"/>
  </hyperlinks>
  <pageMargins left="0.75" right="0.75" top="1" bottom="1"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87"/>
  <sheetViews>
    <sheetView zoomScale="70" zoomScaleNormal="70" workbookViewId="0">
      <pane xSplit="2" ySplit="2" topLeftCell="C3" activePane="bottomRight" state="frozen"/>
      <selection pane="topRight" activeCell="C1" sqref="C1"/>
      <selection pane="bottomLeft" activeCell="A2" sqref="A2"/>
      <selection pane="bottomRight" activeCell="C13" sqref="C13"/>
    </sheetView>
  </sheetViews>
  <sheetFormatPr defaultRowHeight="14.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C1" s="139" t="s">
        <v>667</v>
      </c>
      <c r="D1" s="139"/>
      <c r="E1" s="139"/>
      <c r="F1" s="139"/>
      <c r="G1" s="139"/>
    </row>
    <row r="2" spans="1:18" ht="58">
      <c r="A2" s="1" t="s">
        <v>315</v>
      </c>
      <c r="B2" s="1" t="s">
        <v>316</v>
      </c>
      <c r="C2" s="71" t="s">
        <v>661</v>
      </c>
      <c r="D2" s="71" t="s">
        <v>662</v>
      </c>
      <c r="E2" s="71" t="s">
        <v>663</v>
      </c>
      <c r="F2" s="71" t="s">
        <v>664</v>
      </c>
      <c r="G2" s="71" t="s">
        <v>665</v>
      </c>
      <c r="H2" s="1" t="s">
        <v>136</v>
      </c>
      <c r="I2" t="s">
        <v>320</v>
      </c>
      <c r="J2" t="s">
        <v>321</v>
      </c>
      <c r="K2" t="s">
        <v>322</v>
      </c>
      <c r="L2" t="s">
        <v>323</v>
      </c>
      <c r="M2" t="s">
        <v>324</v>
      </c>
      <c r="N2" t="s">
        <v>325</v>
      </c>
      <c r="O2" t="s">
        <v>326</v>
      </c>
      <c r="P2" t="s">
        <v>327</v>
      </c>
      <c r="Q2" t="s">
        <v>328</v>
      </c>
      <c r="R2" t="s">
        <v>329</v>
      </c>
    </row>
    <row r="3" spans="1:18">
      <c r="A3" t="s">
        <v>61</v>
      </c>
      <c r="B3" s="72" t="s">
        <v>502</v>
      </c>
      <c r="C3" s="22">
        <v>0</v>
      </c>
      <c r="D3" s="22">
        <v>0</v>
      </c>
      <c r="E3" s="22">
        <v>0</v>
      </c>
      <c r="F3" s="22">
        <v>0.5</v>
      </c>
      <c r="G3" s="22">
        <v>0</v>
      </c>
      <c r="H3" t="s">
        <v>330</v>
      </c>
      <c r="I3" s="11">
        <f t="shared" ref="I3:I15" si="0">C3/3</f>
        <v>0</v>
      </c>
      <c r="J3" s="11">
        <f t="shared" ref="J3:J15" si="1">I3+C3/3</f>
        <v>0</v>
      </c>
      <c r="K3" s="11">
        <f t="shared" ref="K3:K15" si="2">J3+C3/3</f>
        <v>0</v>
      </c>
      <c r="L3" s="11">
        <f t="shared" ref="L3:L15" si="3">C3</f>
        <v>0</v>
      </c>
      <c r="M3" s="11">
        <f t="shared" ref="M3:M15" si="4">C3</f>
        <v>0</v>
      </c>
      <c r="O3" t="s">
        <v>331</v>
      </c>
      <c r="P3" t="s">
        <v>331</v>
      </c>
      <c r="Q3">
        <v>0</v>
      </c>
      <c r="R3">
        <v>0</v>
      </c>
    </row>
    <row r="4" spans="1:18">
      <c r="A4" t="s">
        <v>332</v>
      </c>
      <c r="B4" s="72" t="s">
        <v>504</v>
      </c>
      <c r="C4" s="22">
        <v>75</v>
      </c>
      <c r="D4" s="22">
        <v>0</v>
      </c>
      <c r="E4" s="22">
        <v>0</v>
      </c>
      <c r="F4" s="22">
        <v>0.5</v>
      </c>
      <c r="G4" s="22">
        <v>0</v>
      </c>
      <c r="H4" t="s">
        <v>333</v>
      </c>
      <c r="I4" s="11">
        <f t="shared" si="0"/>
        <v>25</v>
      </c>
      <c r="J4" s="11">
        <f t="shared" si="1"/>
        <v>50</v>
      </c>
      <c r="K4" s="11">
        <f t="shared" si="2"/>
        <v>75</v>
      </c>
      <c r="L4" s="11">
        <f t="shared" si="3"/>
        <v>75</v>
      </c>
      <c r="M4" s="11">
        <f t="shared" si="4"/>
        <v>75</v>
      </c>
      <c r="O4" t="s">
        <v>331</v>
      </c>
      <c r="P4" t="s">
        <v>331</v>
      </c>
      <c r="Q4">
        <v>0</v>
      </c>
      <c r="R4">
        <v>0</v>
      </c>
    </row>
    <row r="5" spans="1:18" ht="29">
      <c r="A5" t="s">
        <v>63</v>
      </c>
      <c r="B5" s="72" t="s">
        <v>507</v>
      </c>
      <c r="C5" s="22">
        <v>50</v>
      </c>
      <c r="D5" s="22">
        <v>0</v>
      </c>
      <c r="E5" s="22">
        <v>0</v>
      </c>
      <c r="F5" s="22">
        <v>0.5</v>
      </c>
      <c r="G5" s="22">
        <v>0.05</v>
      </c>
      <c r="H5" t="s">
        <v>666</v>
      </c>
      <c r="I5" s="11">
        <f t="shared" si="0"/>
        <v>16.666666666666668</v>
      </c>
      <c r="J5" s="11">
        <f t="shared" si="1"/>
        <v>33.333333333333336</v>
      </c>
      <c r="K5" s="11">
        <f t="shared" si="2"/>
        <v>50</v>
      </c>
      <c r="L5" s="11">
        <f t="shared" si="3"/>
        <v>50</v>
      </c>
      <c r="M5" s="11">
        <f t="shared" si="4"/>
        <v>50</v>
      </c>
      <c r="O5" t="s">
        <v>331</v>
      </c>
      <c r="P5" t="s">
        <v>331</v>
      </c>
      <c r="Q5">
        <v>0</v>
      </c>
      <c r="R5">
        <v>0</v>
      </c>
    </row>
    <row r="6" spans="1:18" ht="29">
      <c r="A6" t="s">
        <v>64</v>
      </c>
      <c r="B6" s="72" t="s">
        <v>510</v>
      </c>
      <c r="C6" s="22">
        <v>150</v>
      </c>
      <c r="D6" s="22">
        <v>0</v>
      </c>
      <c r="E6" s="22">
        <v>0</v>
      </c>
      <c r="F6" s="22">
        <v>0.5</v>
      </c>
      <c r="G6" s="22">
        <v>0</v>
      </c>
      <c r="H6" t="s">
        <v>660</v>
      </c>
      <c r="I6" s="11">
        <f t="shared" si="0"/>
        <v>50</v>
      </c>
      <c r="J6" s="11">
        <f t="shared" si="1"/>
        <v>100</v>
      </c>
      <c r="K6" s="11">
        <f t="shared" si="2"/>
        <v>150</v>
      </c>
      <c r="L6" s="11">
        <f t="shared" si="3"/>
        <v>150</v>
      </c>
      <c r="M6" s="11">
        <f t="shared" si="4"/>
        <v>150</v>
      </c>
      <c r="O6" t="s">
        <v>334</v>
      </c>
      <c r="P6" t="s">
        <v>335</v>
      </c>
      <c r="Q6">
        <v>0</v>
      </c>
      <c r="R6">
        <v>0</v>
      </c>
    </row>
    <row r="7" spans="1:18">
      <c r="A7" t="s">
        <v>65</v>
      </c>
      <c r="B7" s="72" t="s">
        <v>513</v>
      </c>
      <c r="C7" s="22">
        <v>0</v>
      </c>
      <c r="D7" s="22">
        <v>0</v>
      </c>
      <c r="E7" s="22">
        <v>0</v>
      </c>
      <c r="F7" s="22">
        <v>0.5</v>
      </c>
      <c r="G7" s="22">
        <v>0</v>
      </c>
      <c r="H7" t="s">
        <v>658</v>
      </c>
      <c r="I7" s="11">
        <f t="shared" si="0"/>
        <v>0</v>
      </c>
      <c r="J7" s="11">
        <f t="shared" si="1"/>
        <v>0</v>
      </c>
      <c r="K7" s="11">
        <f t="shared" si="2"/>
        <v>0</v>
      </c>
      <c r="L7" s="11">
        <f t="shared" si="3"/>
        <v>0</v>
      </c>
      <c r="M7" s="11">
        <f t="shared" si="4"/>
        <v>0</v>
      </c>
      <c r="O7" t="s">
        <v>331</v>
      </c>
      <c r="P7" t="s">
        <v>331</v>
      </c>
      <c r="Q7">
        <v>0</v>
      </c>
      <c r="R7">
        <v>0</v>
      </c>
    </row>
    <row r="8" spans="1:18" ht="29">
      <c r="A8" t="s">
        <v>66</v>
      </c>
      <c r="B8" s="72" t="s">
        <v>751</v>
      </c>
      <c r="C8" s="22">
        <v>125</v>
      </c>
      <c r="D8" s="22">
        <v>0</v>
      </c>
      <c r="E8" s="22">
        <v>0</v>
      </c>
      <c r="F8" s="22">
        <v>0.7</v>
      </c>
      <c r="G8" s="22">
        <v>0</v>
      </c>
      <c r="H8" t="s">
        <v>659</v>
      </c>
      <c r="I8" s="11">
        <f t="shared" si="0"/>
        <v>41.666666666666664</v>
      </c>
      <c r="J8" s="11">
        <f t="shared" si="1"/>
        <v>83.333333333333329</v>
      </c>
      <c r="K8" s="11">
        <f t="shared" si="2"/>
        <v>125</v>
      </c>
      <c r="L8" s="11">
        <f t="shared" si="3"/>
        <v>125</v>
      </c>
      <c r="M8" s="11">
        <f t="shared" si="4"/>
        <v>125</v>
      </c>
      <c r="O8" t="s">
        <v>335</v>
      </c>
      <c r="P8" t="s">
        <v>331</v>
      </c>
      <c r="Q8">
        <v>0</v>
      </c>
      <c r="R8">
        <v>0</v>
      </c>
    </row>
    <row r="9" spans="1:18" ht="29">
      <c r="A9" t="s">
        <v>5</v>
      </c>
      <c r="B9" s="72" t="s">
        <v>519</v>
      </c>
      <c r="C9" s="22">
        <v>0</v>
      </c>
      <c r="D9" s="22">
        <v>1</v>
      </c>
      <c r="E9" s="22">
        <v>1</v>
      </c>
      <c r="F9" s="22">
        <v>0.5</v>
      </c>
      <c r="G9" s="22">
        <v>0</v>
      </c>
      <c r="H9" t="s">
        <v>336</v>
      </c>
      <c r="I9" s="11">
        <f t="shared" si="0"/>
        <v>0</v>
      </c>
      <c r="J9" s="11">
        <f t="shared" si="1"/>
        <v>0</v>
      </c>
      <c r="K9" s="11">
        <f t="shared" si="2"/>
        <v>0</v>
      </c>
      <c r="L9" s="11">
        <f t="shared" si="3"/>
        <v>0</v>
      </c>
      <c r="M9" s="11">
        <f t="shared" si="4"/>
        <v>0</v>
      </c>
      <c r="N9" t="s">
        <v>337</v>
      </c>
      <c r="O9" t="s">
        <v>331</v>
      </c>
      <c r="P9" t="s">
        <v>331</v>
      </c>
      <c r="Q9">
        <v>0</v>
      </c>
      <c r="R9">
        <v>0</v>
      </c>
    </row>
    <row r="10" spans="1:18" ht="43.5">
      <c r="A10" t="s">
        <v>67</v>
      </c>
      <c r="B10" s="72" t="s">
        <v>522</v>
      </c>
      <c r="C10" s="22">
        <v>0</v>
      </c>
      <c r="D10" s="22">
        <v>1</v>
      </c>
      <c r="E10" s="22">
        <v>1</v>
      </c>
      <c r="F10" s="22">
        <v>0.5</v>
      </c>
      <c r="G10" s="22">
        <v>0</v>
      </c>
      <c r="H10" t="s">
        <v>338</v>
      </c>
      <c r="I10" s="11">
        <f t="shared" si="0"/>
        <v>0</v>
      </c>
      <c r="J10" s="11">
        <f t="shared" si="1"/>
        <v>0</v>
      </c>
      <c r="K10" s="11">
        <f t="shared" si="2"/>
        <v>0</v>
      </c>
      <c r="L10" s="11">
        <f t="shared" si="3"/>
        <v>0</v>
      </c>
      <c r="M10" s="11">
        <f t="shared" si="4"/>
        <v>0</v>
      </c>
      <c r="N10" t="s">
        <v>339</v>
      </c>
      <c r="O10" t="s">
        <v>331</v>
      </c>
      <c r="P10" t="s">
        <v>331</v>
      </c>
      <c r="Q10">
        <v>0</v>
      </c>
      <c r="R10">
        <v>0</v>
      </c>
    </row>
    <row r="11" spans="1:18">
      <c r="A11" t="s">
        <v>68</v>
      </c>
      <c r="B11" s="72" t="s">
        <v>525</v>
      </c>
      <c r="C11" s="22">
        <v>37</v>
      </c>
      <c r="D11" s="22">
        <v>1</v>
      </c>
      <c r="E11" s="22">
        <v>0</v>
      </c>
      <c r="F11" s="22">
        <v>0</v>
      </c>
      <c r="G11" s="22">
        <v>0</v>
      </c>
      <c r="H11" t="s">
        <v>340</v>
      </c>
      <c r="I11" s="11">
        <f t="shared" si="0"/>
        <v>12.333333333333334</v>
      </c>
      <c r="J11" s="11">
        <f t="shared" si="1"/>
        <v>24.666666666666668</v>
      </c>
      <c r="K11" s="11">
        <f t="shared" si="2"/>
        <v>37</v>
      </c>
      <c r="L11" s="11">
        <f t="shared" si="3"/>
        <v>37</v>
      </c>
      <c r="M11" s="11">
        <f t="shared" si="4"/>
        <v>37</v>
      </c>
      <c r="N11" t="s">
        <v>337</v>
      </c>
      <c r="O11" t="s">
        <v>331</v>
      </c>
      <c r="P11" t="s">
        <v>331</v>
      </c>
      <c r="Q11">
        <v>0</v>
      </c>
      <c r="R11">
        <v>0</v>
      </c>
    </row>
    <row r="12" spans="1:18">
      <c r="A12" t="s">
        <v>69</v>
      </c>
      <c r="B12" s="72" t="s">
        <v>527</v>
      </c>
      <c r="C12" s="22">
        <v>37</v>
      </c>
      <c r="D12" s="22">
        <v>1</v>
      </c>
      <c r="E12" s="22">
        <v>0</v>
      </c>
      <c r="F12" s="22">
        <v>0</v>
      </c>
      <c r="G12" s="22">
        <v>0</v>
      </c>
      <c r="H12" t="s">
        <v>341</v>
      </c>
      <c r="I12" s="11">
        <f t="shared" si="0"/>
        <v>12.333333333333334</v>
      </c>
      <c r="J12" s="11">
        <f t="shared" si="1"/>
        <v>24.666666666666668</v>
      </c>
      <c r="K12" s="11">
        <f t="shared" si="2"/>
        <v>37</v>
      </c>
      <c r="L12" s="11">
        <f t="shared" si="3"/>
        <v>37</v>
      </c>
      <c r="M12" s="11">
        <f t="shared" si="4"/>
        <v>37</v>
      </c>
      <c r="N12" t="s">
        <v>339</v>
      </c>
      <c r="O12" t="s">
        <v>331</v>
      </c>
      <c r="P12" t="s">
        <v>331</v>
      </c>
      <c r="Q12">
        <v>0</v>
      </c>
      <c r="R12">
        <v>0</v>
      </c>
    </row>
    <row r="13" spans="1:18">
      <c r="A13" t="s">
        <v>70</v>
      </c>
      <c r="B13" s="72" t="s">
        <v>529</v>
      </c>
      <c r="C13" s="22">
        <v>50</v>
      </c>
      <c r="D13" s="22">
        <v>0</v>
      </c>
      <c r="E13" s="22">
        <v>1</v>
      </c>
      <c r="F13" s="22">
        <v>1</v>
      </c>
      <c r="G13" s="22">
        <v>0</v>
      </c>
      <c r="H13" t="s">
        <v>342</v>
      </c>
      <c r="I13" s="11">
        <f t="shared" si="0"/>
        <v>16.666666666666668</v>
      </c>
      <c r="J13" s="11">
        <f t="shared" si="1"/>
        <v>33.333333333333336</v>
      </c>
      <c r="K13" s="11">
        <f t="shared" si="2"/>
        <v>50</v>
      </c>
      <c r="L13" s="11">
        <f t="shared" si="3"/>
        <v>50</v>
      </c>
      <c r="M13" s="11">
        <f t="shared" si="4"/>
        <v>50</v>
      </c>
      <c r="N13" t="s">
        <v>337</v>
      </c>
      <c r="O13" t="s">
        <v>335</v>
      </c>
      <c r="P13" t="s">
        <v>331</v>
      </c>
      <c r="Q13">
        <v>0</v>
      </c>
      <c r="R13">
        <v>0</v>
      </c>
    </row>
    <row r="14" spans="1:18">
      <c r="A14" t="s">
        <v>71</v>
      </c>
      <c r="B14" s="72" t="s">
        <v>531</v>
      </c>
      <c r="C14" s="22">
        <v>50</v>
      </c>
      <c r="D14" s="22">
        <v>0</v>
      </c>
      <c r="E14" s="22">
        <v>1</v>
      </c>
      <c r="F14" s="22">
        <v>1</v>
      </c>
      <c r="G14" s="22">
        <v>0</v>
      </c>
      <c r="H14" t="s">
        <v>343</v>
      </c>
      <c r="I14" s="11">
        <f t="shared" si="0"/>
        <v>16.666666666666668</v>
      </c>
      <c r="J14" s="11">
        <f t="shared" si="1"/>
        <v>33.333333333333336</v>
      </c>
      <c r="K14" s="11">
        <f t="shared" si="2"/>
        <v>50</v>
      </c>
      <c r="L14" s="11">
        <f t="shared" si="3"/>
        <v>50</v>
      </c>
      <c r="M14" s="11">
        <f t="shared" si="4"/>
        <v>50</v>
      </c>
      <c r="N14" t="s">
        <v>339</v>
      </c>
      <c r="O14" t="s">
        <v>335</v>
      </c>
      <c r="P14" t="s">
        <v>331</v>
      </c>
      <c r="Q14">
        <v>0</v>
      </c>
      <c r="R14">
        <v>0</v>
      </c>
    </row>
    <row r="15" spans="1:18" ht="29">
      <c r="A15" t="s">
        <v>6</v>
      </c>
      <c r="B15" s="72" t="s">
        <v>344</v>
      </c>
      <c r="C15" s="22">
        <v>0</v>
      </c>
      <c r="D15" s="22">
        <v>0</v>
      </c>
      <c r="E15" s="22">
        <v>0</v>
      </c>
      <c r="F15" s="22">
        <v>0</v>
      </c>
      <c r="G15" s="22">
        <v>0</v>
      </c>
      <c r="H15" t="s">
        <v>345</v>
      </c>
      <c r="I15" s="11">
        <f t="shared" si="0"/>
        <v>0</v>
      </c>
      <c r="J15" s="11">
        <f t="shared" si="1"/>
        <v>0</v>
      </c>
      <c r="K15" s="11">
        <f t="shared" si="2"/>
        <v>0</v>
      </c>
      <c r="L15" s="11">
        <f t="shared" si="3"/>
        <v>0</v>
      </c>
      <c r="M15" s="11">
        <f t="shared" si="4"/>
        <v>0</v>
      </c>
      <c r="O15" t="s">
        <v>331</v>
      </c>
      <c r="P15" t="s">
        <v>331</v>
      </c>
      <c r="Q15">
        <v>1</v>
      </c>
      <c r="R15">
        <v>1</v>
      </c>
    </row>
    <row r="27" spans="1:16">
      <c r="A27" s="1" t="s">
        <v>315</v>
      </c>
      <c r="B27" s="1" t="s">
        <v>8</v>
      </c>
      <c r="C27" s="1" t="s">
        <v>346</v>
      </c>
      <c r="D27" s="1" t="s">
        <v>347</v>
      </c>
      <c r="E27" s="1" t="s">
        <v>348</v>
      </c>
      <c r="F27" s="1" t="s">
        <v>349</v>
      </c>
      <c r="G27" s="1" t="s">
        <v>350</v>
      </c>
      <c r="H27" s="1" t="s">
        <v>351</v>
      </c>
      <c r="I27" s="1" t="s">
        <v>352</v>
      </c>
      <c r="O27" t="s">
        <v>331</v>
      </c>
      <c r="P27" t="s">
        <v>331</v>
      </c>
    </row>
    <row r="28" spans="1:16">
      <c r="A28" t="str">
        <f>A3</f>
        <v>F1_CUSTOM1</v>
      </c>
      <c r="B28" t="s">
        <v>11</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331</v>
      </c>
      <c r="P28" t="s">
        <v>331</v>
      </c>
    </row>
    <row r="29" spans="1:16">
      <c r="A29" t="str">
        <f>A3</f>
        <v>F1_CUSTOM1</v>
      </c>
      <c r="B29" t="s">
        <v>12</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331</v>
      </c>
      <c r="P29" t="s">
        <v>331</v>
      </c>
    </row>
    <row r="30" spans="1:16">
      <c r="A30" t="str">
        <f>A3</f>
        <v>F1_CUSTOM1</v>
      </c>
      <c r="B30" t="s">
        <v>13</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331</v>
      </c>
      <c r="P30" t="s">
        <v>331</v>
      </c>
    </row>
    <row r="31" spans="1:16">
      <c r="A31" t="str">
        <f>A3</f>
        <v>F1_CUSTOM1</v>
      </c>
      <c r="B31" t="s">
        <v>14</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331</v>
      </c>
      <c r="P31" t="s">
        <v>331</v>
      </c>
    </row>
    <row r="32" spans="1:16">
      <c r="A32" t="str">
        <f>A3</f>
        <v>F1_CUSTOM1</v>
      </c>
      <c r="B32" t="s">
        <v>15</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331</v>
      </c>
      <c r="P32" t="s">
        <v>331</v>
      </c>
    </row>
    <row r="33" spans="1:16">
      <c r="A33" t="str">
        <f>A4</f>
        <v>D4_StatusQuo_Targets</v>
      </c>
      <c r="B33" t="s">
        <v>11</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D4_StatusQuo_Targets|FY2026</v>
      </c>
      <c r="O33" t="s">
        <v>331</v>
      </c>
      <c r="P33" t="s">
        <v>331</v>
      </c>
    </row>
    <row r="34" spans="1:16">
      <c r="A34" t="str">
        <f>A4</f>
        <v>D4_StatusQuo_Targets</v>
      </c>
      <c r="B34" t="s">
        <v>12</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D4_StatusQuo_Targets|FY2027</v>
      </c>
      <c r="O34" t="s">
        <v>331</v>
      </c>
      <c r="P34" t="s">
        <v>331</v>
      </c>
    </row>
    <row r="35" spans="1:16">
      <c r="A35" t="str">
        <f>A4</f>
        <v>D4_StatusQuo_Targets</v>
      </c>
      <c r="B35" t="s">
        <v>13</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D4_StatusQuo_Targets|FY2028</v>
      </c>
      <c r="O35" t="s">
        <v>331</v>
      </c>
      <c r="P35" t="s">
        <v>331</v>
      </c>
    </row>
    <row r="36" spans="1:16">
      <c r="A36" t="str">
        <f>A4</f>
        <v>D4_StatusQuo_Targets</v>
      </c>
      <c r="B36" t="s">
        <v>14</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D4_StatusQuo_Targets|FY2029</v>
      </c>
      <c r="O36" t="s">
        <v>331</v>
      </c>
      <c r="P36" t="s">
        <v>331</v>
      </c>
    </row>
    <row r="37" spans="1:16">
      <c r="A37" t="str">
        <f>A4</f>
        <v>D4_StatusQuo_Targets</v>
      </c>
      <c r="B37" t="s">
        <v>15</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D4_StatusQuo_Targets|FY2030</v>
      </c>
      <c r="O37" t="s">
        <v>331</v>
      </c>
      <c r="P37" t="s">
        <v>331</v>
      </c>
    </row>
    <row r="38" spans="1:16">
      <c r="A38" t="str">
        <f>A5</f>
        <v>D3_CoLocation_Echo_Targets</v>
      </c>
      <c r="B38" t="s">
        <v>11</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D3_CoLocation_Echo_Targets|FY2026</v>
      </c>
      <c r="O38" t="s">
        <v>331</v>
      </c>
      <c r="P38" t="s">
        <v>331</v>
      </c>
    </row>
    <row r="39" spans="1:16">
      <c r="A39" t="str">
        <f>A5</f>
        <v>D3_CoLocation_Echo_Targets</v>
      </c>
      <c r="B39" t="s">
        <v>12</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D3_CoLocation_Echo_Targets|FY2027</v>
      </c>
      <c r="O39" t="s">
        <v>331</v>
      </c>
      <c r="P39" t="s">
        <v>331</v>
      </c>
    </row>
    <row r="40" spans="1:16">
      <c r="A40" t="str">
        <f>A5</f>
        <v>D3_CoLocation_Echo_Targets</v>
      </c>
      <c r="B40" t="s">
        <v>13</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D3_CoLocation_Echo_Targets|FY2028</v>
      </c>
      <c r="O40" t="s">
        <v>331</v>
      </c>
      <c r="P40" t="s">
        <v>331</v>
      </c>
    </row>
    <row r="41" spans="1:16">
      <c r="A41" t="str">
        <f>A5</f>
        <v>D3_CoLocation_Echo_Targets</v>
      </c>
      <c r="B41" t="s">
        <v>14</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D3_CoLocation_Echo_Targets|FY2029</v>
      </c>
      <c r="O41" t="s">
        <v>331</v>
      </c>
      <c r="P41" t="s">
        <v>331</v>
      </c>
    </row>
    <row r="42" spans="1:16">
      <c r="A42" t="str">
        <f>A5</f>
        <v>D3_CoLocation_Echo_Targets</v>
      </c>
      <c r="B42" t="s">
        <v>15</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D3_CoLocation_Echo_Targets|FY2030</v>
      </c>
      <c r="O42" t="s">
        <v>331</v>
      </c>
      <c r="P42" t="s">
        <v>331</v>
      </c>
    </row>
    <row r="43" spans="1:16">
      <c r="A43" t="str">
        <f>A6</f>
        <v>D1_Grow_Both_Targets</v>
      </c>
      <c r="B43" t="s">
        <v>11</v>
      </c>
      <c r="C43">
        <f>IF(D6=1,0, BaselineCalc!$B$7 + ROUND(I6*F6,0))</f>
        <v>282</v>
      </c>
      <c r="D43">
        <f>IF(E6=1,0, BaselineCalc!$B$8 + I6 - ROUND(I6*F6,0))</f>
        <v>321</v>
      </c>
      <c r="E43">
        <f t="shared" si="5"/>
        <v>603</v>
      </c>
      <c r="F43" s="2">
        <f>YearMap!B2</f>
        <v>8403.3633363471963</v>
      </c>
      <c r="G43" s="2">
        <f>YearMap!C2</f>
        <v>922499.99999999988</v>
      </c>
      <c r="H43" s="2">
        <f>YearMap!D2</f>
        <v>999374.99999999988</v>
      </c>
      <c r="I43" t="str">
        <f t="shared" si="6"/>
        <v>D1_Grow_Both_Targets|FY2026</v>
      </c>
      <c r="O43" t="s">
        <v>331</v>
      </c>
      <c r="P43" t="s">
        <v>331</v>
      </c>
    </row>
    <row r="44" spans="1:16">
      <c r="A44" t="str">
        <f>A6</f>
        <v>D1_Grow_Both_Targets</v>
      </c>
      <c r="B44" t="s">
        <v>12</v>
      </c>
      <c r="C44">
        <f>IF(D6=1,0, BaselineCalc!$B$7 + ROUND(J6*F6,0))</f>
        <v>307</v>
      </c>
      <c r="D44">
        <f>IF(E6=1,0, BaselineCalc!$B$8 + J6 - ROUND(J6*F6,0))</f>
        <v>346</v>
      </c>
      <c r="E44">
        <f t="shared" si="5"/>
        <v>653</v>
      </c>
      <c r="F44" s="2">
        <f>YearMap!B3</f>
        <v>8613.4474197558757</v>
      </c>
      <c r="G44" s="2">
        <f>YearMap!C3</f>
        <v>915497.14624773955</v>
      </c>
      <c r="H44" s="2">
        <f>YearMap!D3</f>
        <v>1054424.7287522603</v>
      </c>
      <c r="I44" t="str">
        <f t="shared" si="6"/>
        <v>D1_Grow_Both_Targets|FY2027</v>
      </c>
      <c r="O44" t="s">
        <v>331</v>
      </c>
      <c r="P44" t="s">
        <v>331</v>
      </c>
    </row>
    <row r="45" spans="1:16">
      <c r="A45" t="str">
        <f>A6</f>
        <v>D1_Grow_Both_Targets</v>
      </c>
      <c r="B45" t="s">
        <v>13</v>
      </c>
      <c r="C45">
        <f>IF(D6=1,0, BaselineCalc!$B$7 + ROUND(K6*F6,0))</f>
        <v>332</v>
      </c>
      <c r="D45">
        <f>IF(E6=1,0, BaselineCalc!$B$8 + K6 - ROUND(K6*F6,0))</f>
        <v>371</v>
      </c>
      <c r="E45">
        <f t="shared" si="5"/>
        <v>703</v>
      </c>
      <c r="F45" s="2">
        <f>YearMap!B4</f>
        <v>8828.7836052497714</v>
      </c>
      <c r="G45" s="2">
        <f>YearMap!C4</f>
        <v>938384.57490393298</v>
      </c>
      <c r="H45" s="2">
        <f>YearMap!D4</f>
        <v>1080785.3469710669</v>
      </c>
      <c r="I45" t="str">
        <f t="shared" si="6"/>
        <v>D1_Grow_Both_Targets|FY2028</v>
      </c>
      <c r="O45" t="s">
        <v>331</v>
      </c>
      <c r="P45" t="s">
        <v>331</v>
      </c>
    </row>
    <row r="46" spans="1:16">
      <c r="A46" t="str">
        <f>A6</f>
        <v>D1_Grow_Both_Targets</v>
      </c>
      <c r="B46" t="s">
        <v>14</v>
      </c>
      <c r="C46">
        <f>IF(D6=1,0, BaselineCalc!$B$7 + ROUND(L6*F6,0))</f>
        <v>332</v>
      </c>
      <c r="D46">
        <f>IF(E6=1,0, BaselineCalc!$B$8 + L6 - ROUND(L6*F6,0))</f>
        <v>371</v>
      </c>
      <c r="E46">
        <f t="shared" si="5"/>
        <v>703</v>
      </c>
      <c r="F46" s="2">
        <f>YearMap!B5</f>
        <v>9049.5031953810158</v>
      </c>
      <c r="G46" s="2">
        <f>YearMap!C5</f>
        <v>961844.18927653122</v>
      </c>
      <c r="H46" s="2">
        <f>YearMap!D5</f>
        <v>1107804.9806453434</v>
      </c>
      <c r="I46" t="str">
        <f t="shared" si="6"/>
        <v>D1_Grow_Both_Targets|FY2029</v>
      </c>
      <c r="O46" t="s">
        <v>331</v>
      </c>
      <c r="P46" t="s">
        <v>331</v>
      </c>
    </row>
    <row r="47" spans="1:16">
      <c r="A47" t="str">
        <f>A6</f>
        <v>D1_Grow_Both_Targets</v>
      </c>
      <c r="B47" t="s">
        <v>15</v>
      </c>
      <c r="C47">
        <f>IF(D6=1,0, BaselineCalc!$B$7 + ROUND(M6*F6,0))</f>
        <v>332</v>
      </c>
      <c r="D47">
        <f>IF(E6=1,0, BaselineCalc!$B$8 + M6 - ROUND(M6*F6,0))</f>
        <v>371</v>
      </c>
      <c r="E47">
        <f t="shared" si="5"/>
        <v>703</v>
      </c>
      <c r="F47" s="2">
        <f>YearMap!B6</f>
        <v>9275.7407752655399</v>
      </c>
      <c r="G47" s="2">
        <f>YearMap!C6</f>
        <v>985890.29400844453</v>
      </c>
      <c r="H47" s="2">
        <f>YearMap!D6</f>
        <v>1135500.1051614769</v>
      </c>
      <c r="I47" t="str">
        <f t="shared" si="6"/>
        <v>D1_Grow_Both_Targets|FY2030</v>
      </c>
      <c r="O47" t="s">
        <v>331</v>
      </c>
      <c r="P47" t="s">
        <v>331</v>
      </c>
    </row>
    <row r="48" spans="1:16">
      <c r="A48" t="str">
        <f>A7</f>
        <v>E2_StatusQuo_Steady</v>
      </c>
      <c r="B48" t="s">
        <v>11</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E2_StatusQuo_Steady|FY2026</v>
      </c>
      <c r="O48" t="s">
        <v>331</v>
      </c>
      <c r="P48" t="s">
        <v>331</v>
      </c>
    </row>
    <row r="49" spans="1:16">
      <c r="A49" t="str">
        <f>A7</f>
        <v>E2_StatusQuo_Steady</v>
      </c>
      <c r="B49" t="s">
        <v>12</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E2_StatusQuo_Steady|FY2027</v>
      </c>
      <c r="O49" t="s">
        <v>331</v>
      </c>
      <c r="P49" t="s">
        <v>331</v>
      </c>
    </row>
    <row r="50" spans="1:16">
      <c r="A50" t="str">
        <f>A7</f>
        <v>E2_StatusQuo_Steady</v>
      </c>
      <c r="B50" t="s">
        <v>13</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E2_StatusQuo_Steady|FY2028</v>
      </c>
      <c r="O50" t="s">
        <v>331</v>
      </c>
      <c r="P50" t="s">
        <v>331</v>
      </c>
    </row>
    <row r="51" spans="1:16">
      <c r="A51" t="str">
        <f>A7</f>
        <v>E2_StatusQuo_Steady</v>
      </c>
      <c r="B51" t="s">
        <v>14</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E2_StatusQuo_Steady|FY2029</v>
      </c>
      <c r="O51" t="s">
        <v>331</v>
      </c>
      <c r="P51" t="s">
        <v>331</v>
      </c>
    </row>
    <row r="52" spans="1:16">
      <c r="A52" t="str">
        <f>A7</f>
        <v>E2_StatusQuo_Steady</v>
      </c>
      <c r="B52" t="s">
        <v>15</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E2_StatusQuo_Steady|FY2030</v>
      </c>
      <c r="O52" t="s">
        <v>331</v>
      </c>
      <c r="P52" t="s">
        <v>331</v>
      </c>
    </row>
    <row r="53" spans="1:16">
      <c r="A53" t="str">
        <f>A8</f>
        <v>D2_EchoGHubRamp_PimaTargets</v>
      </c>
      <c r="B53" t="s">
        <v>11</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D2_EchoGHubRamp_PimaTargets|FY2026</v>
      </c>
      <c r="O53" t="s">
        <v>331</v>
      </c>
      <c r="P53" t="s">
        <v>331</v>
      </c>
    </row>
    <row r="54" spans="1:16">
      <c r="A54" t="str">
        <f>A8</f>
        <v>D2_EchoGHubRamp_PimaTargets</v>
      </c>
      <c r="B54" t="s">
        <v>12</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D2_EchoGHubRamp_PimaTargets|FY2027</v>
      </c>
      <c r="O54" t="s">
        <v>331</v>
      </c>
      <c r="P54" t="s">
        <v>331</v>
      </c>
    </row>
    <row r="55" spans="1:16">
      <c r="A55" t="str">
        <f>A8</f>
        <v>D2_EchoGHubRamp_PimaTargets</v>
      </c>
      <c r="B55" t="s">
        <v>13</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D2_EchoGHubRamp_PimaTargets|FY2028</v>
      </c>
      <c r="O55" t="s">
        <v>331</v>
      </c>
      <c r="P55" t="s">
        <v>331</v>
      </c>
    </row>
    <row r="56" spans="1:16">
      <c r="A56" t="str">
        <f>A8</f>
        <v>D2_EchoGHubRamp_PimaTargets</v>
      </c>
      <c r="B56" t="s">
        <v>14</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D2_EchoGHubRamp_PimaTargets|FY2029</v>
      </c>
      <c r="O56" t="s">
        <v>331</v>
      </c>
      <c r="P56" t="s">
        <v>331</v>
      </c>
    </row>
    <row r="57" spans="1:16">
      <c r="A57" t="str">
        <f>A8</f>
        <v>D2_EchoGHubRamp_PimaTargets</v>
      </c>
      <c r="B57" t="s">
        <v>15</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D2_EchoGHubRamp_PimaTargets|FY2030</v>
      </c>
      <c r="O57" t="s">
        <v>331</v>
      </c>
      <c r="P57" t="s">
        <v>331</v>
      </c>
    </row>
    <row r="58" spans="1:16">
      <c r="A58" t="str">
        <f>A9</f>
        <v>A2_Repurpose_Both_lease</v>
      </c>
      <c r="B58" t="s">
        <v>11</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A2_Repurpose_Both_lease|FY2026</v>
      </c>
      <c r="O58" t="s">
        <v>331</v>
      </c>
      <c r="P58" t="s">
        <v>331</v>
      </c>
    </row>
    <row r="59" spans="1:16">
      <c r="A59" t="str">
        <f>A9</f>
        <v>A2_Repurpose_Both_lease</v>
      </c>
      <c r="B59" t="s">
        <v>12</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A2_Repurpose_Both_lease|FY2027</v>
      </c>
      <c r="O59" t="s">
        <v>331</v>
      </c>
      <c r="P59" t="s">
        <v>331</v>
      </c>
    </row>
    <row r="60" spans="1:16">
      <c r="A60" t="str">
        <f>A9</f>
        <v>A2_Repurpose_Both_lease</v>
      </c>
      <c r="B60" t="s">
        <v>13</v>
      </c>
      <c r="C60">
        <f>IF(D9=1,0, BaselineCalc!$B$7 + ROUND(K9*F9,0))</f>
        <v>0</v>
      </c>
      <c r="D60">
        <f>IF(E9=1,0, BaselineCalc!$B$8 + K9 - ROUND(K9*F9,0))</f>
        <v>0</v>
      </c>
      <c r="E60">
        <f t="shared" ref="E60:E87" si="7">C60+D60</f>
        <v>0</v>
      </c>
      <c r="F60" s="2">
        <f>YearMap!B4</f>
        <v>8828.7836052497714</v>
      </c>
      <c r="G60" s="2">
        <f>YearMap!C4</f>
        <v>938384.57490393298</v>
      </c>
      <c r="H60" s="2">
        <f>YearMap!D4</f>
        <v>1080785.3469710669</v>
      </c>
      <c r="I60" t="str">
        <f t="shared" ref="I60:I87" si="8">A60&amp;"|"&amp;B60</f>
        <v>A2_Repurpose_Both_lease|FY2028</v>
      </c>
      <c r="O60" t="s">
        <v>331</v>
      </c>
      <c r="P60" t="s">
        <v>331</v>
      </c>
    </row>
    <row r="61" spans="1:16">
      <c r="A61" t="str">
        <f>A9</f>
        <v>A2_Repurpose_Both_lease</v>
      </c>
      <c r="B61" t="s">
        <v>14</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A2_Repurpose_Both_lease|FY2029</v>
      </c>
      <c r="O61" t="s">
        <v>331</v>
      </c>
      <c r="P61" t="s">
        <v>331</v>
      </c>
    </row>
    <row r="62" spans="1:16">
      <c r="A62" t="str">
        <f>A9</f>
        <v>A2_Repurpose_Both_lease</v>
      </c>
      <c r="B62" t="s">
        <v>15</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A2_Repurpose_Both_lease|FY2030</v>
      </c>
      <c r="O62" t="s">
        <v>331</v>
      </c>
      <c r="P62" t="s">
        <v>331</v>
      </c>
    </row>
    <row r="63" spans="1:16">
      <c r="A63" t="str">
        <f>A10</f>
        <v>A1_Repurpose_Both_ops</v>
      </c>
      <c r="B63" t="s">
        <v>11</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A1_Repurpose_Both_ops|FY2026</v>
      </c>
      <c r="O63" t="s">
        <v>331</v>
      </c>
      <c r="P63" t="s">
        <v>331</v>
      </c>
    </row>
    <row r="64" spans="1:16">
      <c r="A64" t="str">
        <f>A10</f>
        <v>A1_Repurpose_Both_ops</v>
      </c>
      <c r="B64" t="s">
        <v>12</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A1_Repurpose_Both_ops|FY2027</v>
      </c>
      <c r="O64" t="s">
        <v>331</v>
      </c>
      <c r="P64" t="s">
        <v>331</v>
      </c>
    </row>
    <row r="65" spans="1:16">
      <c r="A65" t="str">
        <f>A10</f>
        <v>A1_Repurpose_Both_ops</v>
      </c>
      <c r="B65" t="s">
        <v>13</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A1_Repurpose_Both_ops|FY2028</v>
      </c>
      <c r="O65" t="s">
        <v>331</v>
      </c>
      <c r="P65" t="s">
        <v>331</v>
      </c>
    </row>
    <row r="66" spans="1:16">
      <c r="A66" t="str">
        <f>A10</f>
        <v>A1_Repurpose_Both_ops</v>
      </c>
      <c r="B66" t="s">
        <v>14</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A1_Repurpose_Both_ops|FY2029</v>
      </c>
      <c r="O66" t="s">
        <v>331</v>
      </c>
      <c r="P66" t="s">
        <v>331</v>
      </c>
    </row>
    <row r="67" spans="1:16">
      <c r="A67" t="str">
        <f>A10</f>
        <v>A1_Repurpose_Both_ops</v>
      </c>
      <c r="B67" t="s">
        <v>15</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A1_Repurpose_Both_ops|FY2030</v>
      </c>
      <c r="O67" t="s">
        <v>331</v>
      </c>
      <c r="P67" t="s">
        <v>331</v>
      </c>
    </row>
    <row r="68" spans="1:16">
      <c r="A68" t="str">
        <f>A11</f>
        <v>B2_Repurpose_Echo_lease_PimaTargets</v>
      </c>
      <c r="B68" t="s">
        <v>11</v>
      </c>
      <c r="C68">
        <f>IF(D11=1,0, BaselineCalc!$B$7 + ROUND(I11*F11,0))</f>
        <v>0</v>
      </c>
      <c r="D68">
        <f>IF(E11=1,0, BaselineCalc!$B$8 + I11 - ROUND(I11*F11,0))</f>
        <v>308.33333333333331</v>
      </c>
      <c r="E68">
        <f t="shared" si="7"/>
        <v>308.33333333333331</v>
      </c>
      <c r="F68" s="2">
        <f>YearMap!B2</f>
        <v>8403.3633363471963</v>
      </c>
      <c r="G68" s="2">
        <f>YearMap!C2</f>
        <v>922499.99999999988</v>
      </c>
      <c r="H68" s="2">
        <f>YearMap!D2</f>
        <v>999374.99999999988</v>
      </c>
      <c r="I68" t="str">
        <f t="shared" si="8"/>
        <v>B2_Repurpose_Echo_lease_PimaTargets|FY2026</v>
      </c>
      <c r="O68" t="s">
        <v>331</v>
      </c>
      <c r="P68" t="s">
        <v>331</v>
      </c>
    </row>
    <row r="69" spans="1:16">
      <c r="A69" t="str">
        <f>A11</f>
        <v>B2_Repurpose_Echo_lease_PimaTargets</v>
      </c>
      <c r="B69" t="s">
        <v>12</v>
      </c>
      <c r="C69">
        <f>IF(D11=1,0, BaselineCalc!$B$7 + ROUND(J11*F11,0))</f>
        <v>0</v>
      </c>
      <c r="D69">
        <f>IF(E11=1,0, BaselineCalc!$B$8 + J11 - ROUND(J11*F11,0))</f>
        <v>320.66666666666669</v>
      </c>
      <c r="E69">
        <f t="shared" si="7"/>
        <v>320.66666666666669</v>
      </c>
      <c r="F69" s="2">
        <f>YearMap!B3</f>
        <v>8613.4474197558757</v>
      </c>
      <c r="G69" s="2">
        <f>YearMap!C3</f>
        <v>915497.14624773955</v>
      </c>
      <c r="H69" s="2">
        <f>YearMap!D3</f>
        <v>1054424.7287522603</v>
      </c>
      <c r="I69" t="str">
        <f t="shared" si="8"/>
        <v>B2_Repurpose_Echo_lease_PimaTargets|FY2027</v>
      </c>
      <c r="O69" t="s">
        <v>331</v>
      </c>
      <c r="P69" t="s">
        <v>331</v>
      </c>
    </row>
    <row r="70" spans="1:16">
      <c r="A70" t="str">
        <f>A11</f>
        <v>B2_Repurpose_Echo_lease_PimaTargets</v>
      </c>
      <c r="B70" t="s">
        <v>13</v>
      </c>
      <c r="C70">
        <f>IF(D11=1,0, BaselineCalc!$B$7 + ROUND(K11*F11,0))</f>
        <v>0</v>
      </c>
      <c r="D70">
        <f>IF(E11=1,0, BaselineCalc!$B$8 + K11 - ROUND(K11*F11,0))</f>
        <v>333</v>
      </c>
      <c r="E70">
        <f t="shared" si="7"/>
        <v>333</v>
      </c>
      <c r="F70" s="2">
        <f>YearMap!B4</f>
        <v>8828.7836052497714</v>
      </c>
      <c r="G70" s="2">
        <f>YearMap!C4</f>
        <v>938384.57490393298</v>
      </c>
      <c r="H70" s="2">
        <f>YearMap!D4</f>
        <v>1080785.3469710669</v>
      </c>
      <c r="I70" t="str">
        <f t="shared" si="8"/>
        <v>B2_Repurpose_Echo_lease_PimaTargets|FY2028</v>
      </c>
      <c r="O70" t="s">
        <v>331</v>
      </c>
      <c r="P70" t="s">
        <v>331</v>
      </c>
    </row>
    <row r="71" spans="1:16">
      <c r="A71" t="str">
        <f>A11</f>
        <v>B2_Repurpose_Echo_lease_PimaTargets</v>
      </c>
      <c r="B71" t="s">
        <v>14</v>
      </c>
      <c r="C71">
        <f>IF(D11=1,0, BaselineCalc!$B$7 + ROUND(L11*F11,0))</f>
        <v>0</v>
      </c>
      <c r="D71">
        <f>IF(E11=1,0, BaselineCalc!$B$8 + L11 - ROUND(L11*F11,0))</f>
        <v>333</v>
      </c>
      <c r="E71">
        <f t="shared" si="7"/>
        <v>333</v>
      </c>
      <c r="F71" s="2">
        <f>YearMap!B5</f>
        <v>9049.5031953810158</v>
      </c>
      <c r="G71" s="2">
        <f>YearMap!C5</f>
        <v>961844.18927653122</v>
      </c>
      <c r="H71" s="2">
        <f>YearMap!D5</f>
        <v>1107804.9806453434</v>
      </c>
      <c r="I71" t="str">
        <f t="shared" si="8"/>
        <v>B2_Repurpose_Echo_lease_PimaTargets|FY2029</v>
      </c>
      <c r="O71" t="s">
        <v>331</v>
      </c>
      <c r="P71" t="s">
        <v>331</v>
      </c>
    </row>
    <row r="72" spans="1:16">
      <c r="A72" t="str">
        <f>A11</f>
        <v>B2_Repurpose_Echo_lease_PimaTargets</v>
      </c>
      <c r="B72" t="s">
        <v>15</v>
      </c>
      <c r="C72">
        <f>IF(D11=1,0, BaselineCalc!$B$7 + ROUND(M11*F11,0))</f>
        <v>0</v>
      </c>
      <c r="D72">
        <f>IF(E11=1,0, BaselineCalc!$B$8 + M11 - ROUND(M11*F11,0))</f>
        <v>333</v>
      </c>
      <c r="E72">
        <f t="shared" si="7"/>
        <v>333</v>
      </c>
      <c r="F72" s="2">
        <f>YearMap!B6</f>
        <v>9275.7407752655399</v>
      </c>
      <c r="G72" s="2">
        <f>YearMap!C6</f>
        <v>985890.29400844453</v>
      </c>
      <c r="H72" s="2">
        <f>YearMap!D6</f>
        <v>1135500.1051614769</v>
      </c>
      <c r="I72" t="str">
        <f t="shared" si="8"/>
        <v>B2_Repurpose_Echo_lease_PimaTargets|FY2030</v>
      </c>
      <c r="O72" t="s">
        <v>331</v>
      </c>
      <c r="P72" t="s">
        <v>331</v>
      </c>
    </row>
    <row r="73" spans="1:16">
      <c r="A73" t="str">
        <f>A12</f>
        <v>B1_Repurpose_Echo_ops_PimaTargets</v>
      </c>
      <c r="B73" t="s">
        <v>11</v>
      </c>
      <c r="C73">
        <f>IF(D12=1,0, BaselineCalc!$B$7 + ROUND(I12*F12,0))</f>
        <v>0</v>
      </c>
      <c r="D73">
        <f>IF(E12=1,0, BaselineCalc!$B$8 + I12 - ROUND(I12*F12,0))</f>
        <v>308.33333333333331</v>
      </c>
      <c r="E73">
        <f t="shared" si="7"/>
        <v>308.33333333333331</v>
      </c>
      <c r="F73" s="2">
        <f>YearMap!B2</f>
        <v>8403.3633363471963</v>
      </c>
      <c r="G73" s="2">
        <f>YearMap!C2</f>
        <v>922499.99999999988</v>
      </c>
      <c r="H73" s="2">
        <f>YearMap!D2</f>
        <v>999374.99999999988</v>
      </c>
      <c r="I73" t="str">
        <f t="shared" si="8"/>
        <v>B1_Repurpose_Echo_ops_PimaTargets|FY2026</v>
      </c>
      <c r="O73" t="s">
        <v>331</v>
      </c>
      <c r="P73" t="s">
        <v>331</v>
      </c>
    </row>
    <row r="74" spans="1:16">
      <c r="A74" t="str">
        <f>A12</f>
        <v>B1_Repurpose_Echo_ops_PimaTargets</v>
      </c>
      <c r="B74" t="s">
        <v>12</v>
      </c>
      <c r="C74">
        <f>IF(D12=1,0, BaselineCalc!$B$7 + ROUND(J12*F12,0))</f>
        <v>0</v>
      </c>
      <c r="D74">
        <f>IF(E12=1,0, BaselineCalc!$B$8 + J12 - ROUND(J12*F12,0))</f>
        <v>320.66666666666669</v>
      </c>
      <c r="E74">
        <f t="shared" si="7"/>
        <v>320.66666666666669</v>
      </c>
      <c r="F74" s="2">
        <f>YearMap!B3</f>
        <v>8613.4474197558757</v>
      </c>
      <c r="G74" s="2">
        <f>YearMap!C3</f>
        <v>915497.14624773955</v>
      </c>
      <c r="H74" s="2">
        <f>YearMap!D3</f>
        <v>1054424.7287522603</v>
      </c>
      <c r="I74" t="str">
        <f t="shared" si="8"/>
        <v>B1_Repurpose_Echo_ops_PimaTargets|FY2027</v>
      </c>
      <c r="O74" t="s">
        <v>331</v>
      </c>
      <c r="P74" t="s">
        <v>331</v>
      </c>
    </row>
    <row r="75" spans="1:16">
      <c r="A75" t="str">
        <f>A12</f>
        <v>B1_Repurpose_Echo_ops_PimaTargets</v>
      </c>
      <c r="B75" t="s">
        <v>13</v>
      </c>
      <c r="C75">
        <f>IF(D12=1,0, BaselineCalc!$B$7 + ROUND(K12*F12,0))</f>
        <v>0</v>
      </c>
      <c r="D75">
        <f>IF(E12=1,0, BaselineCalc!$B$8 + K12 - ROUND(K12*F12,0))</f>
        <v>333</v>
      </c>
      <c r="E75">
        <f t="shared" si="7"/>
        <v>333</v>
      </c>
      <c r="F75" s="2">
        <f>YearMap!B4</f>
        <v>8828.7836052497714</v>
      </c>
      <c r="G75" s="2">
        <f>YearMap!C4</f>
        <v>938384.57490393298</v>
      </c>
      <c r="H75" s="2">
        <f>YearMap!D4</f>
        <v>1080785.3469710669</v>
      </c>
      <c r="I75" t="str">
        <f t="shared" si="8"/>
        <v>B1_Repurpose_Echo_ops_PimaTargets|FY2028</v>
      </c>
      <c r="O75" t="s">
        <v>331</v>
      </c>
      <c r="P75" t="s">
        <v>331</v>
      </c>
    </row>
    <row r="76" spans="1:16">
      <c r="A76" t="str">
        <f>A12</f>
        <v>B1_Repurpose_Echo_ops_PimaTargets</v>
      </c>
      <c r="B76" t="s">
        <v>14</v>
      </c>
      <c r="C76">
        <f>IF(D12=1,0, BaselineCalc!$B$7 + ROUND(L12*F12,0))</f>
        <v>0</v>
      </c>
      <c r="D76">
        <f>IF(E12=1,0, BaselineCalc!$B$8 + L12 - ROUND(L12*F12,0))</f>
        <v>333</v>
      </c>
      <c r="E76">
        <f t="shared" si="7"/>
        <v>333</v>
      </c>
      <c r="F76" s="2">
        <f>YearMap!B5</f>
        <v>9049.5031953810158</v>
      </c>
      <c r="G76" s="2">
        <f>YearMap!C5</f>
        <v>961844.18927653122</v>
      </c>
      <c r="H76" s="2">
        <f>YearMap!D5</f>
        <v>1107804.9806453434</v>
      </c>
      <c r="I76" t="str">
        <f t="shared" si="8"/>
        <v>B1_Repurpose_Echo_ops_PimaTargets|FY2029</v>
      </c>
      <c r="O76" t="s">
        <v>331</v>
      </c>
      <c r="P76" t="s">
        <v>331</v>
      </c>
    </row>
    <row r="77" spans="1:16">
      <c r="A77" t="str">
        <f>A12</f>
        <v>B1_Repurpose_Echo_ops_PimaTargets</v>
      </c>
      <c r="B77" t="s">
        <v>15</v>
      </c>
      <c r="C77">
        <f>IF(D12=1,0, BaselineCalc!$B$7 + ROUND(M12*F12,0))</f>
        <v>0</v>
      </c>
      <c r="D77">
        <f>IF(E12=1,0, BaselineCalc!$B$8 + M12 - ROUND(M12*F12,0))</f>
        <v>333</v>
      </c>
      <c r="E77">
        <f t="shared" si="7"/>
        <v>333</v>
      </c>
      <c r="F77" s="2">
        <f>YearMap!B6</f>
        <v>9275.7407752655399</v>
      </c>
      <c r="G77" s="2">
        <f>YearMap!C6</f>
        <v>985890.29400844453</v>
      </c>
      <c r="H77" s="2">
        <f>YearMap!D6</f>
        <v>1135500.1051614769</v>
      </c>
      <c r="I77" t="str">
        <f t="shared" si="8"/>
        <v>B1_Repurpose_Echo_ops_PimaTargets|FY2030</v>
      </c>
      <c r="O77" t="s">
        <v>331</v>
      </c>
      <c r="P77" t="s">
        <v>331</v>
      </c>
    </row>
    <row r="78" spans="1:16">
      <c r="A78" t="str">
        <f>A13</f>
        <v>C2_Repurpose_Pima_lease_EchoGHub_EchoTargets</v>
      </c>
      <c r="B78" t="s">
        <v>11</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C2_Repurpose_Pima_lease_EchoGHub_EchoTargets|FY2026</v>
      </c>
      <c r="O78" t="s">
        <v>331</v>
      </c>
      <c r="P78" t="s">
        <v>331</v>
      </c>
    </row>
    <row r="79" spans="1:16">
      <c r="A79" t="str">
        <f>A13</f>
        <v>C2_Repurpose_Pima_lease_EchoGHub_EchoTargets</v>
      </c>
      <c r="B79" t="s">
        <v>12</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C2_Repurpose_Pima_lease_EchoGHub_EchoTargets|FY2027</v>
      </c>
      <c r="O79" t="s">
        <v>331</v>
      </c>
      <c r="P79" t="s">
        <v>331</v>
      </c>
    </row>
    <row r="80" spans="1:16">
      <c r="A80" t="str">
        <f>A13</f>
        <v>C2_Repurpose_Pima_lease_EchoGHub_EchoTargets</v>
      </c>
      <c r="B80" t="s">
        <v>13</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C2_Repurpose_Pima_lease_EchoGHub_EchoTargets|FY2028</v>
      </c>
      <c r="O80" t="s">
        <v>331</v>
      </c>
      <c r="P80" t="s">
        <v>331</v>
      </c>
    </row>
    <row r="81" spans="1:16">
      <c r="A81" t="str">
        <f>A13</f>
        <v>C2_Repurpose_Pima_lease_EchoGHub_EchoTargets</v>
      </c>
      <c r="B81" t="s">
        <v>14</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C2_Repurpose_Pima_lease_EchoGHub_EchoTargets|FY2029</v>
      </c>
      <c r="O81" t="s">
        <v>331</v>
      </c>
      <c r="P81" t="s">
        <v>331</v>
      </c>
    </row>
    <row r="82" spans="1:16">
      <c r="A82" t="str">
        <f>A13</f>
        <v>C2_Repurpose_Pima_lease_EchoGHub_EchoTargets</v>
      </c>
      <c r="B82" t="s">
        <v>15</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C2_Repurpose_Pima_lease_EchoGHub_EchoTargets|FY2030</v>
      </c>
      <c r="O82" t="s">
        <v>331</v>
      </c>
      <c r="P82" t="s">
        <v>331</v>
      </c>
    </row>
    <row r="83" spans="1:16">
      <c r="A83" t="str">
        <f>A14</f>
        <v>C1_Repurpose_Pima_ops_EchoGHub_EchoTargets</v>
      </c>
      <c r="B83" t="s">
        <v>11</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C1_Repurpose_Pima_ops_EchoGHub_EchoTargets|FY2026</v>
      </c>
      <c r="O83" t="s">
        <v>331</v>
      </c>
      <c r="P83" t="s">
        <v>331</v>
      </c>
    </row>
    <row r="84" spans="1:16">
      <c r="A84" t="str">
        <f>A14</f>
        <v>C1_Repurpose_Pima_ops_EchoGHub_EchoTargets</v>
      </c>
      <c r="B84" t="s">
        <v>12</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C1_Repurpose_Pima_ops_EchoGHub_EchoTargets|FY2027</v>
      </c>
      <c r="O84" t="s">
        <v>331</v>
      </c>
      <c r="P84" t="s">
        <v>331</v>
      </c>
    </row>
    <row r="85" spans="1:16">
      <c r="A85" t="str">
        <f>A14</f>
        <v>C1_Repurpose_Pima_ops_EchoGHub_EchoTargets</v>
      </c>
      <c r="B85" t="s">
        <v>13</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C1_Repurpose_Pima_ops_EchoGHub_EchoTargets|FY2028</v>
      </c>
      <c r="O85" t="s">
        <v>331</v>
      </c>
      <c r="P85" t="s">
        <v>331</v>
      </c>
    </row>
    <row r="86" spans="1:16">
      <c r="A86" t="str">
        <f>A14</f>
        <v>C1_Repurpose_Pima_ops_EchoGHub_EchoTargets</v>
      </c>
      <c r="B86" t="s">
        <v>14</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C1_Repurpose_Pima_ops_EchoGHub_EchoTargets|FY2029</v>
      </c>
      <c r="O86" t="s">
        <v>331</v>
      </c>
      <c r="P86" t="s">
        <v>331</v>
      </c>
    </row>
    <row r="87" spans="1:16">
      <c r="A87" t="str">
        <f>A14</f>
        <v>C1_Repurpose_Pima_ops_EchoGHub_EchoTargets</v>
      </c>
      <c r="B87" t="s">
        <v>15</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C1_Repurpose_Pima_ops_EchoGHub_EchoTargets|FY2030</v>
      </c>
      <c r="O87" t="s">
        <v>331</v>
      </c>
      <c r="P87" t="s">
        <v>331</v>
      </c>
    </row>
  </sheetData>
  <mergeCells count="1">
    <mergeCell ref="C1:G1"/>
  </mergeCells>
  <dataValidations count="1">
    <dataValidation type="list" allowBlank="1" showInputMessage="1" showErrorMessage="1" sqref="O3:P15" xr:uid="{00000000-0002-0000-0600-000000000000}">
      <formula1>"None, Arts, Innov"</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6"/>
  <sheetViews>
    <sheetView zoomScale="70" zoomScaleNormal="70" workbookViewId="0">
      <pane xSplit="2" ySplit="1" topLeftCell="S6" activePane="bottomRight" state="frozen"/>
      <selection activeCell="B2" sqref="B2"/>
      <selection pane="topRight" activeCell="B2" sqref="B2"/>
      <selection pane="bottomLeft" activeCell="B2" sqref="B2"/>
      <selection pane="bottomRight" activeCell="AE17" sqref="AE17"/>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315</v>
      </c>
      <c r="C1" s="1" t="s">
        <v>8</v>
      </c>
      <c r="D1" s="1" t="s">
        <v>346</v>
      </c>
      <c r="E1" s="1" t="s">
        <v>347</v>
      </c>
      <c r="F1" s="1" t="s">
        <v>348</v>
      </c>
      <c r="G1" s="1" t="s">
        <v>349</v>
      </c>
      <c r="H1" s="1" t="s">
        <v>350</v>
      </c>
      <c r="I1" s="1" t="s">
        <v>351</v>
      </c>
      <c r="J1" s="1" t="s">
        <v>353</v>
      </c>
      <c r="K1" s="1" t="s">
        <v>319</v>
      </c>
      <c r="L1" s="1" t="s">
        <v>354</v>
      </c>
      <c r="M1" s="1" t="s">
        <v>355</v>
      </c>
      <c r="N1" s="1" t="s">
        <v>356</v>
      </c>
      <c r="O1" s="1" t="s">
        <v>357</v>
      </c>
      <c r="P1" s="1" t="s">
        <v>358</v>
      </c>
      <c r="Q1" s="1" t="s">
        <v>359</v>
      </c>
      <c r="R1" s="1" t="s">
        <v>360</v>
      </c>
      <c r="S1" s="1" t="s">
        <v>361</v>
      </c>
      <c r="T1" s="1" t="s">
        <v>362</v>
      </c>
      <c r="U1" s="1" t="s">
        <v>363</v>
      </c>
      <c r="V1" s="1" t="s">
        <v>364</v>
      </c>
      <c r="W1" s="1" t="s">
        <v>365</v>
      </c>
      <c r="X1" s="1" t="s">
        <v>366</v>
      </c>
      <c r="Y1" t="s">
        <v>367</v>
      </c>
      <c r="Z1" t="s">
        <v>368</v>
      </c>
      <c r="AA1" t="s">
        <v>369</v>
      </c>
      <c r="AB1" t="s">
        <v>370</v>
      </c>
      <c r="AC1" t="s">
        <v>371</v>
      </c>
      <c r="AD1" t="s">
        <v>372</v>
      </c>
      <c r="AE1" t="s">
        <v>373</v>
      </c>
      <c r="AF1" t="s">
        <v>146</v>
      </c>
      <c r="AG1" s="1" t="s">
        <v>352</v>
      </c>
    </row>
    <row r="2" spans="1:33">
      <c r="A2" t="str">
        <f t="shared" si="0"/>
        <v>F1_CUSTOM1|FY2026</v>
      </c>
      <c r="B2" t="str">
        <f>Scenarios!A3</f>
        <v>F1_CUSTOM1</v>
      </c>
      <c r="C2" t="s">
        <v>11</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c r="A3" t="str">
        <f t="shared" si="0"/>
        <v>F1_CUSTOM1|FY2027</v>
      </c>
      <c r="B3" t="str">
        <f>Scenarios!A3</f>
        <v>F1_CUSTOM1</v>
      </c>
      <c r="C3" t="s">
        <v>12</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c r="A4" t="str">
        <f t="shared" si="0"/>
        <v>F1_CUSTOM1|FY2028</v>
      </c>
      <c r="B4" t="str">
        <f>Scenarios!A3</f>
        <v>F1_CUSTOM1</v>
      </c>
      <c r="C4" t="s">
        <v>13</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c r="A5" t="str">
        <f t="shared" si="0"/>
        <v>F1_CUSTOM1|FY2029</v>
      </c>
      <c r="B5" t="str">
        <f>Scenarios!A3</f>
        <v>F1_CUSTOM1</v>
      </c>
      <c r="C5" t="s">
        <v>14</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c r="A6" t="str">
        <f t="shared" si="0"/>
        <v>F1_CUSTOM1|FY2030</v>
      </c>
      <c r="B6" t="str">
        <f>Scenarios!A3</f>
        <v>F1_CUSTOM1</v>
      </c>
      <c r="C6" t="s">
        <v>15</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0.3</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c r="A7" t="str">
        <f t="shared" si="0"/>
        <v>D4_StatusQuo_Targets|FY2026</v>
      </c>
      <c r="B7" t="str">
        <f>Scenarios!A4</f>
        <v>D4_StatusQuo_Targets</v>
      </c>
      <c r="C7" t="s">
        <v>11</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D4_StatusQuo_Targets|FY2026</v>
      </c>
    </row>
    <row r="8" spans="1:33">
      <c r="A8" t="str">
        <f t="shared" si="0"/>
        <v>D4_StatusQuo_Targets|FY2027</v>
      </c>
      <c r="B8" t="str">
        <f>Scenarios!A4</f>
        <v>D4_StatusQuo_Targets</v>
      </c>
      <c r="C8" t="s">
        <v>12</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D4_StatusQuo_Targets|FY2027</v>
      </c>
    </row>
    <row r="9" spans="1:33">
      <c r="A9" t="str">
        <f t="shared" si="0"/>
        <v>D4_StatusQuo_Targets|FY2028</v>
      </c>
      <c r="B9" t="str">
        <f>Scenarios!A4</f>
        <v>D4_StatusQuo_Targets</v>
      </c>
      <c r="C9" t="s">
        <v>13</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D4_StatusQuo_Targets|FY2028</v>
      </c>
    </row>
    <row r="10" spans="1:33">
      <c r="A10" t="str">
        <f t="shared" si="0"/>
        <v>D4_StatusQuo_Targets|FY2029</v>
      </c>
      <c r="B10" t="str">
        <f>Scenarios!A4</f>
        <v>D4_StatusQuo_Targets</v>
      </c>
      <c r="C10" t="s">
        <v>14</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D4_StatusQuo_Targets|FY2029</v>
      </c>
    </row>
    <row r="11" spans="1:33">
      <c r="A11" t="str">
        <f t="shared" si="0"/>
        <v>D4_StatusQuo_Targets|FY2030</v>
      </c>
      <c r="B11" t="str">
        <f>Scenarios!A4</f>
        <v>D4_StatusQuo_Targets</v>
      </c>
      <c r="C11" t="s">
        <v>15</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0.3</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D4_StatusQuo_Targets|FY2030</v>
      </c>
    </row>
    <row r="12" spans="1:33">
      <c r="A12" t="str">
        <f t="shared" si="0"/>
        <v>D3_CoLocation_Echo_Targets|FY2026</v>
      </c>
      <c r="B12" t="str">
        <f>Scenarios!A5</f>
        <v>D3_CoLocation_Echo_Targets</v>
      </c>
      <c r="C12" t="s">
        <v>11</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D3_CoLocation_Echo_Targets|FY2026</v>
      </c>
    </row>
    <row r="13" spans="1:33">
      <c r="A13" t="str">
        <f t="shared" si="0"/>
        <v>D3_CoLocation_Echo_Targets|FY2027</v>
      </c>
      <c r="B13" t="str">
        <f>Scenarios!A5</f>
        <v>D3_CoLocation_Echo_Targets</v>
      </c>
      <c r="C13" t="s">
        <v>12</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D3_CoLocation_Echo_Targets|FY2027</v>
      </c>
    </row>
    <row r="14" spans="1:33">
      <c r="A14" t="str">
        <f t="shared" si="0"/>
        <v>D3_CoLocation_Echo_Targets|FY2028</v>
      </c>
      <c r="B14" t="str">
        <f>Scenarios!A5</f>
        <v>D3_CoLocation_Echo_Targets</v>
      </c>
      <c r="C14" t="s">
        <v>13</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D3_CoLocation_Echo_Targets|FY2028</v>
      </c>
    </row>
    <row r="15" spans="1:33">
      <c r="A15" t="str">
        <f t="shared" si="0"/>
        <v>D3_CoLocation_Echo_Targets|FY2029</v>
      </c>
      <c r="B15" t="str">
        <f>Scenarios!A5</f>
        <v>D3_CoLocation_Echo_Targets</v>
      </c>
      <c r="C15" t="s">
        <v>14</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D3_CoLocation_Echo_Targets|FY2029</v>
      </c>
    </row>
    <row r="16" spans="1:33">
      <c r="A16" t="str">
        <f t="shared" si="0"/>
        <v>D3_CoLocation_Echo_Targets|FY2030</v>
      </c>
      <c r="B16" t="str">
        <f>Scenarios!A5</f>
        <v>D3_CoLocation_Echo_Targets</v>
      </c>
      <c r="C16" t="s">
        <v>15</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0.3</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D3_CoLocation_Echo_Targets|FY2030</v>
      </c>
    </row>
    <row r="17" spans="1:33">
      <c r="A17" t="str">
        <f t="shared" si="0"/>
        <v>D1_Grow_Both_Targets|FY2026</v>
      </c>
      <c r="B17" t="str">
        <f>Scenarios!A6</f>
        <v>D1_Grow_Both_Targets</v>
      </c>
      <c r="C17" t="s">
        <v>11</v>
      </c>
      <c r="D17">
        <f>IF(Scenarios!D6=1,0, L17)</f>
        <v>282</v>
      </c>
      <c r="E17">
        <f>IF(Scenarios!E6=1,0, M17)</f>
        <v>321</v>
      </c>
      <c r="F17">
        <f t="shared" si="1"/>
        <v>603</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0.45</v>
      </c>
      <c r="R17" s="2">
        <f>IF(Scenarios!D6=1, Q17*H17, H17)</f>
        <v>922499.99999999988</v>
      </c>
      <c r="S17" s="2">
        <f>IF(Scenarios!E6=1, Q17*I17, I17)</f>
        <v>999374.99999999988</v>
      </c>
      <c r="T17" s="2">
        <f>IF(C17="FY2026", (Scenarios!D6+Scenarios!E6)*BaselineCalc!$B$22, 0)</f>
        <v>0</v>
      </c>
      <c r="U17" s="2">
        <f t="shared" si="3"/>
        <v>6940179.370174638</v>
      </c>
      <c r="V17" s="2">
        <f t="shared" si="4"/>
        <v>0</v>
      </c>
      <c r="W17" s="2">
        <f>U17+V17+IF(Parameters_Public!$C$28=1, T17, 0)</f>
        <v>6940179.370174638</v>
      </c>
      <c r="X17" s="2">
        <f t="shared" si="5"/>
        <v>11509.41852433605</v>
      </c>
      <c r="Y17" s="2">
        <f>INDEX(YearMap!$I$2:$I$6, MATCH(C17, YearMap!$A$2:$A$6, 0))</f>
        <v>5013</v>
      </c>
      <c r="Z17" s="2">
        <f>W17 - ((Y17 + IF(Parameters_Public!$C$20=1, Parameters_Public!$C$19, 0))*AC17)</f>
        <v>3463914.5201746379</v>
      </c>
      <c r="AA17" s="2">
        <f t="shared" si="6"/>
        <v>5744.46852433605</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(1-Parameters_Public!$C$43)*$G17*$AB17*$J17*(1-$K17)) + AB17*INDEX(YearMap!$Q$2:$Q$6, MATCH(C17, YearMap!$A$2:$A$6, 0))</f>
        <v>6783288.5743147824</v>
      </c>
      <c r="AF17" s="2">
        <f t="shared" si="8"/>
        <v>-210423.72431478277</v>
      </c>
      <c r="AG17" t="str">
        <f t="shared" si="9"/>
        <v>D1_Grow_Both_Targets|FY2026</v>
      </c>
    </row>
    <row r="18" spans="1:33">
      <c r="A18" t="str">
        <f t="shared" si="0"/>
        <v>D1_Grow_Both_Targets|FY2027</v>
      </c>
      <c r="B18" t="str">
        <f>Scenarios!A6</f>
        <v>D1_Grow_Both_Targets</v>
      </c>
      <c r="C18" t="s">
        <v>12</v>
      </c>
      <c r="D18">
        <f>IF(Scenarios!D6=1,0, L18)</f>
        <v>307</v>
      </c>
      <c r="E18">
        <f>IF(Scenarios!E6=1,0, M18)</f>
        <v>346</v>
      </c>
      <c r="F18">
        <f t="shared" si="1"/>
        <v>653</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0.4</v>
      </c>
      <c r="R18" s="2">
        <f>IF(Scenarios!D6=1, Q18*H18, H18)</f>
        <v>915497.14624773955</v>
      </c>
      <c r="S18" s="2">
        <f>IF(Scenarios!E6=1, Q18*I18, I18)</f>
        <v>1054424.7287522603</v>
      </c>
      <c r="T18" s="2">
        <f>IF(C18="FY2026", (Scenarios!D6+Scenarios!E6)*BaselineCalc!$B$22, 0)</f>
        <v>0</v>
      </c>
      <c r="U18" s="2">
        <f t="shared" si="3"/>
        <v>7541341.5188198825</v>
      </c>
      <c r="V18" s="2">
        <f t="shared" si="4"/>
        <v>0</v>
      </c>
      <c r="W18" s="2">
        <f>U18+V18+IF(Parameters_Public!$C$28=1, T18, 0)</f>
        <v>7541341.5188198825</v>
      </c>
      <c r="X18" s="2">
        <f t="shared" si="5"/>
        <v>11548.761897120799</v>
      </c>
      <c r="Y18" s="2">
        <f>INDEX(YearMap!$I$2:$I$6, MATCH(C18, YearMap!$A$2:$A$6, 0))</f>
        <v>5138.3249999999998</v>
      </c>
      <c r="Z18" s="2">
        <f>W18 - ((Y18 + IF(Parameters_Public!$C$20=1, Parameters_Public!$C$19, 0))*AC18)</f>
        <v>3694991.9438198828</v>
      </c>
      <c r="AA18" s="2">
        <f t="shared" si="6"/>
        <v>5658.4868971208007</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(1-Parameters_Public!$C$43)*$G18*$AB18*$J18*(1-$K18)) + AB18*INDEX(YearMap!$Q$2:$Q$6, MATCH(C18, YearMap!$A$2:$A$6, 0))</f>
        <v>7215215.3873071792</v>
      </c>
      <c r="AF18" s="2">
        <f t="shared" si="8"/>
        <v>43949.771442820318</v>
      </c>
      <c r="AG18" t="str">
        <f t="shared" si="9"/>
        <v>D1_Grow_Both_Targets|FY2027</v>
      </c>
    </row>
    <row r="19" spans="1:33">
      <c r="A19" t="str">
        <f t="shared" si="0"/>
        <v>D1_Grow_Both_Targets|FY2028</v>
      </c>
      <c r="B19" t="str">
        <f>Scenarios!A6</f>
        <v>D1_Grow_Both_Targets</v>
      </c>
      <c r="C19" t="s">
        <v>13</v>
      </c>
      <c r="D19">
        <f>IF(Scenarios!D6=1,0, L19)</f>
        <v>332</v>
      </c>
      <c r="E19">
        <f>IF(Scenarios!E6=1,0, M19)</f>
        <v>371</v>
      </c>
      <c r="F19">
        <f t="shared" si="1"/>
        <v>703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0.35</v>
      </c>
      <c r="R19" s="2">
        <f>IF(Scenarios!D6=1, Q19*H19, H19)</f>
        <v>938384.57490393298</v>
      </c>
      <c r="S19" s="2">
        <f>IF(Scenarios!E6=1, Q19*I19, I19)</f>
        <v>1080785.3469710669</v>
      </c>
      <c r="T19" s="2">
        <f>IF(C19="FY2026", (Scenarios!D6+Scenarios!E6)*BaselineCalc!$B$22, 0)</f>
        <v>0</v>
      </c>
      <c r="U19" s="2">
        <f t="shared" si="3"/>
        <v>8168224.1627910296</v>
      </c>
      <c r="V19" s="2">
        <f t="shared" si="4"/>
        <v>0</v>
      </c>
      <c r="W19" s="2">
        <f>U19+V19+IF(Parameters_Public!$C$28=1, T19, 0)</f>
        <v>8168224.1627910296</v>
      </c>
      <c r="X19" s="2">
        <f t="shared" si="5"/>
        <v>11619.095537398334</v>
      </c>
      <c r="Y19" s="2">
        <f>INDEX(YearMap!$I$2:$I$6, MATCH(C19, YearMap!$A$2:$A$6, 0))</f>
        <v>5266.7831249999999</v>
      </c>
      <c r="Z19" s="2">
        <f>W19 - ((Y19 + IF(Parameters_Public!$C$20=1, Parameters_Public!$C$19, 0))*AC19)</f>
        <v>3937054.7759160297</v>
      </c>
      <c r="AA19" s="2">
        <f t="shared" si="6"/>
        <v>5600.3624123983354</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(1-Parameters_Public!$C$43)*$G19*$AB19*$J19*(1-$K19)) + AB19*INDEX(YearMap!$Q$2:$Q$6, MATCH(C19, YearMap!$A$2:$A$6, 0))</f>
        <v>7660205.2355902484</v>
      </c>
      <c r="AF19" s="2">
        <f t="shared" si="8"/>
        <v>315467.2068160018</v>
      </c>
      <c r="AG19" t="str">
        <f t="shared" si="9"/>
        <v>D1_Grow_Both_Targets|FY2028</v>
      </c>
    </row>
    <row r="20" spans="1:33">
      <c r="A20" t="str">
        <f t="shared" si="0"/>
        <v>D1_Grow_Both_Targets|FY2029</v>
      </c>
      <c r="B20" t="str">
        <f>Scenarios!A6</f>
        <v>D1_Grow_Both_Targets</v>
      </c>
      <c r="C20" t="s">
        <v>14</v>
      </c>
      <c r="D20">
        <f>IF(Scenarios!D6=1,0, L20)</f>
        <v>332</v>
      </c>
      <c r="E20">
        <f>IF(Scenarios!E6=1,0, M20)</f>
        <v>371</v>
      </c>
      <c r="F20">
        <f t="shared" si="1"/>
        <v>703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0.3</v>
      </c>
      <c r="R20" s="2">
        <f>IF(Scenarios!D6=1, Q20*H20, H20)</f>
        <v>961844.18927653122</v>
      </c>
      <c r="S20" s="2">
        <f>IF(Scenarios!E6=1, Q20*I20, I20)</f>
        <v>1107804.9806453434</v>
      </c>
      <c r="T20" s="2">
        <f>IF(C20="FY2026", (Scenarios!D6+Scenarios!E6)*BaselineCalc!$B$22, 0)</f>
        <v>0</v>
      </c>
      <c r="U20" s="2">
        <f t="shared" si="3"/>
        <v>8372429.7668608055</v>
      </c>
      <c r="V20" s="2">
        <f t="shared" si="4"/>
        <v>0</v>
      </c>
      <c r="W20" s="2">
        <f>U20+V20+IF(Parameters_Public!$C$28=1, T20, 0)</f>
        <v>8372429.7668608055</v>
      </c>
      <c r="X20" s="2">
        <f t="shared" si="5"/>
        <v>11909.572925833294</v>
      </c>
      <c r="Y20" s="2">
        <f>INDEX(YearMap!$I$2:$I$6, MATCH(C20, YearMap!$A$2:$A$6, 0))</f>
        <v>5398.4527031249991</v>
      </c>
      <c r="Z20" s="2">
        <f>W20 - ((Y20 + IF(Parameters_Public!$C$20=1, Parameters_Public!$C$19, 0))*AC20)</f>
        <v>4048696.6665639309</v>
      </c>
      <c r="AA20" s="2">
        <f t="shared" si="6"/>
        <v>5759.1702227082942</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(1-Parameters_Public!$C$43)*$G20*$AB20*$J20*(1-$K20)) + AB20*INDEX(YearMap!$Q$2:$Q$6, MATCH(C20, YearMap!$A$2:$A$6, 0))</f>
        <v>7848260.366480004</v>
      </c>
      <c r="AF20" s="2">
        <f t="shared" si="8"/>
        <v>326803.88698640093</v>
      </c>
      <c r="AG20" t="str">
        <f t="shared" si="9"/>
        <v>D1_Grow_Both_Targets|FY2029</v>
      </c>
    </row>
    <row r="21" spans="1:33">
      <c r="A21" t="str">
        <f t="shared" si="0"/>
        <v>D1_Grow_Both_Targets|FY2030</v>
      </c>
      <c r="B21" t="str">
        <f>Scenarios!A6</f>
        <v>D1_Grow_Both_Targets</v>
      </c>
      <c r="C21" t="s">
        <v>15</v>
      </c>
      <c r="D21">
        <f>IF(Scenarios!D6=1,0, L21)</f>
        <v>332</v>
      </c>
      <c r="E21">
        <f>IF(Scenarios!E6=1,0, M21)</f>
        <v>371</v>
      </c>
      <c r="F21">
        <f t="shared" si="1"/>
        <v>703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0.3</v>
      </c>
      <c r="R21" s="2">
        <f>IF(Scenarios!D6=1, Q21*H21, H21)</f>
        <v>985890.29400844453</v>
      </c>
      <c r="S21" s="2">
        <f>IF(Scenarios!E6=1, Q21*I21, I21)</f>
        <v>1135500.1051614769</v>
      </c>
      <c r="T21" s="2">
        <f>IF(C21="FY2026", (Scenarios!D6+Scenarios!E6)*BaselineCalc!$B$22, 0)</f>
        <v>0</v>
      </c>
      <c r="U21" s="2">
        <f t="shared" si="3"/>
        <v>8581740.5110323243</v>
      </c>
      <c r="V21" s="2">
        <f t="shared" si="4"/>
        <v>0</v>
      </c>
      <c r="W21" s="2">
        <f>U21+V21+IF(Parameters_Public!$C$28=1, T21, 0)</f>
        <v>8581740.5110323243</v>
      </c>
      <c r="X21" s="2">
        <f t="shared" si="5"/>
        <v>12207.312248979124</v>
      </c>
      <c r="Y21" s="2">
        <f>INDEX(YearMap!$I$2:$I$6, MATCH(C21, YearMap!$A$2:$A$6, 0))</f>
        <v>5533.4140207031242</v>
      </c>
      <c r="Z21" s="2">
        <f>W21 - ((Y21 + IF(Parameters_Public!$C$20=1, Parameters_Public!$C$19, 0))*AC21)</f>
        <v>4163129.6044780277</v>
      </c>
      <c r="AA21" s="2">
        <f t="shared" si="6"/>
        <v>5921.9482282759991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(1-Parameters_Public!$C$43)*$G21*$AB21*$J21*(1-$K21)) + AB21*INDEX(YearMap!$Q$2:$Q$6, MATCH(C21, YearMap!$A$2:$A$6, 0))</f>
        <v>8038091.8756420035</v>
      </c>
      <c r="AF21" s="2">
        <f t="shared" si="8"/>
        <v>341348.98416106123</v>
      </c>
      <c r="AG21" t="str">
        <f t="shared" si="9"/>
        <v>D1_Grow_Both_Targets|FY2030</v>
      </c>
    </row>
    <row r="22" spans="1:33">
      <c r="A22" t="str">
        <f t="shared" si="0"/>
        <v>E2_StatusQuo_Steady|FY2026</v>
      </c>
      <c r="B22" t="str">
        <f>Scenarios!A7</f>
        <v>E2_StatusQuo_Steady</v>
      </c>
      <c r="C22" t="s">
        <v>11</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E2_StatusQuo_Steady|FY2026</v>
      </c>
    </row>
    <row r="23" spans="1:33">
      <c r="A23" t="str">
        <f t="shared" si="0"/>
        <v>E2_StatusQuo_Steady|FY2027</v>
      </c>
      <c r="B23" t="str">
        <f>Scenarios!A7</f>
        <v>E2_StatusQuo_Steady</v>
      </c>
      <c r="C23" t="s">
        <v>12</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E2_StatusQuo_Steady|FY2027</v>
      </c>
    </row>
    <row r="24" spans="1:33">
      <c r="A24" t="str">
        <f t="shared" si="0"/>
        <v>E2_StatusQuo_Steady|FY2028</v>
      </c>
      <c r="B24" t="str">
        <f>Scenarios!A7</f>
        <v>E2_StatusQuo_Steady</v>
      </c>
      <c r="C24" t="s">
        <v>13</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E2_StatusQuo_Steady|FY2028</v>
      </c>
    </row>
    <row r="25" spans="1:33">
      <c r="A25" t="str">
        <f t="shared" si="0"/>
        <v>E2_StatusQuo_Steady|FY2029</v>
      </c>
      <c r="B25" t="str">
        <f>Scenarios!A7</f>
        <v>E2_StatusQuo_Steady</v>
      </c>
      <c r="C25" t="s">
        <v>14</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Scenarios!A7</f>
        <v>E2_StatusQuo_Steady</v>
      </c>
      <c r="C26" t="s">
        <v>15</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0.3</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Scenarios!A8</f>
        <v>D2_EchoGHubRamp_PimaTargets</v>
      </c>
      <c r="C27" t="s">
        <v>11</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D2_EchoGHubRamp_PimaTargets|FY2026</v>
      </c>
    </row>
    <row r="28" spans="1:33">
      <c r="A28" t="str">
        <f t="shared" si="0"/>
        <v>D2_EchoGHubRamp_PimaTargets|FY2027</v>
      </c>
      <c r="B28" t="str">
        <f>Scenarios!A8</f>
        <v>D2_EchoGHubRamp_PimaTargets</v>
      </c>
      <c r="C28" t="s">
        <v>12</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D2_EchoGHubRamp_PimaTargets|FY2027</v>
      </c>
    </row>
    <row r="29" spans="1:33">
      <c r="A29" t="str">
        <f t="shared" si="0"/>
        <v>D2_EchoGHubRamp_PimaTargets|FY2028</v>
      </c>
      <c r="B29" t="str">
        <f>Scenarios!A8</f>
        <v>D2_EchoGHubRamp_PimaTargets</v>
      </c>
      <c r="C29" t="s">
        <v>13</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D2_EchoGHubRamp_PimaTargets|FY2028</v>
      </c>
    </row>
    <row r="30" spans="1:33">
      <c r="A30" t="str">
        <f t="shared" si="0"/>
        <v>D2_EchoGHubRamp_PimaTargets|FY2029</v>
      </c>
      <c r="B30" t="str">
        <f>Scenarios!A8</f>
        <v>D2_EchoGHubRamp_PimaTargets</v>
      </c>
      <c r="C30" t="s">
        <v>14</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D2_EchoGHubRamp_PimaTargets|FY2029</v>
      </c>
    </row>
    <row r="31" spans="1:33">
      <c r="A31" t="str">
        <f t="shared" si="0"/>
        <v>D2_EchoGHubRamp_PimaTargets|FY2030</v>
      </c>
      <c r="B31" t="str">
        <f>Scenarios!A8</f>
        <v>D2_EchoGHubRamp_PimaTargets</v>
      </c>
      <c r="C31" t="s">
        <v>15</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0.3</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D2_EchoGHubRamp_PimaTargets|FY2030</v>
      </c>
    </row>
    <row r="32" spans="1:33">
      <c r="A32" t="str">
        <f t="shared" si="0"/>
        <v>A2_Repurpose_Both_lease|FY2026</v>
      </c>
      <c r="B32" t="str">
        <f>Scenarios!A9</f>
        <v>A2_Repurpose_Both_lease</v>
      </c>
      <c r="C32" t="s">
        <v>11</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0.2</v>
      </c>
      <c r="R32" s="2">
        <f>IF(Scenarios!D9=1, Q32*H32, H32)</f>
        <v>184500</v>
      </c>
      <c r="S32" s="2">
        <f>IF(Scenarios!E9=1, Q32*I32, I32)</f>
        <v>199875</v>
      </c>
      <c r="T32" s="2">
        <f>IF(C32="FY2026", (Scenarios!D9+Scenarios!E9)*BaselineCalc!$B$22, 0)</f>
        <v>2400000</v>
      </c>
      <c r="U32" s="2">
        <f>(R32+S32+G32*F32)*J32*(1-K32)</f>
        <v>381684.375</v>
      </c>
      <c r="V32" s="2">
        <f>O32*(G32+P32)</f>
        <v>3815884.841889692</v>
      </c>
      <c r="W32" s="2">
        <f>U32+V32+IF(Parameters_Public!$C$28=1, T32, 0)</f>
        <v>4197569.2168896925</v>
      </c>
      <c r="X32" s="2">
        <f t="shared" si="5"/>
        <v>10343.935970649811</v>
      </c>
      <c r="Y32" s="2">
        <f>INDEX(YearMap!$I$2:$I$6, MATCH(C32, YearMap!$A$2:$A$6, 0))</f>
        <v>5013</v>
      </c>
      <c r="Z32" s="2">
        <f>W32 - ((Y32 + IF(Parameters_Public!$C$20=1, Parameters_Public!$C$19, 0))*AC32)</f>
        <v>1858152.506889693</v>
      </c>
      <c r="AA32" s="2">
        <f t="shared" si="6"/>
        <v>4578.985970649811</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(1-Parameters_Public!$C$43)*$G32*$AB32*$J32*(1-$K32)) + AB32*INDEX(YearMap!$Q$2:$Q$6, MATCH(C32, YearMap!$A$2:$A$6, 0))</f>
        <v>4197569.2168896925</v>
      </c>
      <c r="AF32" s="2">
        <f>AD32-AE32</f>
        <v>252007.49311030656</v>
      </c>
      <c r="AG32" t="str">
        <f t="shared" si="9"/>
        <v>A2_Repurpose_Both_lease|FY2026</v>
      </c>
    </row>
    <row r="33" spans="1:33">
      <c r="A33" t="str">
        <f t="shared" ref="A33:A66" si="10">AG33</f>
        <v>A2_Repurpose_Both_lease|FY2027</v>
      </c>
      <c r="B33" t="str">
        <f>Scenarios!A9</f>
        <v>A2_Repurpose_Both_lease</v>
      </c>
      <c r="C33" t="s">
        <v>12</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0.2</v>
      </c>
      <c r="R33" s="2">
        <f>IF(Scenarios!D9=1, Q33*H33, H33)</f>
        <v>183099.42924954792</v>
      </c>
      <c r="S33" s="2">
        <f>IF(Scenarios!E9=1, Q33*I33, I33)</f>
        <v>210884.94575045208</v>
      </c>
      <c r="T33" s="2">
        <f>IF(C33="FY2026", (Scenarios!D9+Scenarios!E9)*BaselineCalc!$B$22, 0)</f>
        <v>0</v>
      </c>
      <c r="U33" s="2">
        <f t="shared" si="3"/>
        <v>391226.484375</v>
      </c>
      <c r="V33" s="2">
        <f t="shared" si="4"/>
        <v>3819976.9629369341</v>
      </c>
      <c r="W33" s="2">
        <f>U33+V33+IF(Parameters_Public!$C$28=1, T33, 0)</f>
        <v>4211203.4473119341</v>
      </c>
      <c r="X33" s="2">
        <f t="shared" si="5"/>
        <v>10377.534369916053</v>
      </c>
      <c r="Y33" s="2">
        <f>INDEX(YearMap!$I$2:$I$6, MATCH(C33, YearMap!$A$2:$A$6, 0))</f>
        <v>5138.3249999999998</v>
      </c>
      <c r="Z33" s="2">
        <f>W33 - ((Y33 + IF(Parameters_Public!$C$20=1, Parameters_Public!$C$19, 0))*AC33)</f>
        <v>1820929.8523119343</v>
      </c>
      <c r="AA33" s="2">
        <f t="shared" si="6"/>
        <v>4487.2593699160534</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(1-Parameters_Public!$C$43)*$G33*$AB33*$J33*(1-$K33)) + AB33*INDEX(YearMap!$Q$2:$Q$6, MATCH(C33, YearMap!$A$2:$A$6, 0))</f>
        <v>4211203.4473119341</v>
      </c>
      <c r="AF33" s="2">
        <f t="shared" si="8"/>
        <v>349612.68043806497</v>
      </c>
      <c r="AG33" t="str">
        <f t="shared" si="9"/>
        <v>A2_Repurpose_Both_lease|FY2027</v>
      </c>
    </row>
    <row r="34" spans="1:33">
      <c r="A34" t="str">
        <f t="shared" si="10"/>
        <v>A2_Repurpose_Both_lease|FY2028</v>
      </c>
      <c r="B34" t="str">
        <f>Scenarios!A9</f>
        <v>A2_Repurpose_Both_lease</v>
      </c>
      <c r="C34" t="s">
        <v>13</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0.15</v>
      </c>
      <c r="R34" s="2">
        <f>IF(Scenarios!D9=1, Q34*H34, H34)</f>
        <v>140757.68623558994</v>
      </c>
      <c r="S34" s="2">
        <f>IF(Scenarios!E9=1, Q34*I34, I34)</f>
        <v>162117.80204566004</v>
      </c>
      <c r="T34" s="2">
        <f>IF(C34="FY2026", (Scenarios!D9+Scenarios!E9)*BaselineCalc!$B$22, 0)</f>
        <v>0</v>
      </c>
      <c r="U34" s="2">
        <f t="shared" ref="U34:U66" si="13">(R34+S34+G34*F34)*J34*(1-K34)</f>
        <v>300755.35986328125</v>
      </c>
      <c r="V34" s="2">
        <f t="shared" ref="V34:V66" si="14">O34*(G34+P34)</f>
        <v>3826200.3870103569</v>
      </c>
      <c r="W34" s="2">
        <f>U34+V34+IF(Parameters_Public!$C$28=1, T34, 0)</f>
        <v>4126955.7468736381</v>
      </c>
      <c r="X34" s="2">
        <f t="shared" ref="X34:X65" si="15">IF(F34+O34&gt;0, W34/(F34+O34),"")</f>
        <v>10169.925448185408</v>
      </c>
      <c r="Y34" s="2">
        <f>INDEX(YearMap!$I$2:$I$6, MATCH(C34, YearMap!$A$2:$A$6, 0))</f>
        <v>5266.7831249999999</v>
      </c>
      <c r="Z34" s="2">
        <f>W34 - ((Y34 + IF(Parameters_Public!$C$20=1, Parameters_Public!$C$19, 0))*AC34)</f>
        <v>1684553.8447486386</v>
      </c>
      <c r="AA34" s="2">
        <f t="shared" ref="AA34:AA66" si="16">IF($AC34&gt;0, $Z34/$AC34, 0)</f>
        <v>4151.1923231854089</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(1-Parameters_Public!$C$43)*$G34*$AB34*$J34*(1-$K34)) + AB34*INDEX(YearMap!$Q$2:$Q$6, MATCH(C34, YearMap!$A$2:$A$6, 0))</f>
        <v>4126955.7468736381</v>
      </c>
      <c r="AF34" s="2">
        <f t="shared" ref="AF34:AF65" si="18">AD34-AE34</f>
        <v>547880.78407011135</v>
      </c>
      <c r="AG34" t="str">
        <f t="shared" ref="AG34:AG66" si="19">B34&amp;"|"&amp;C34</f>
        <v>A2_Repurpose_Both_lease|FY2028</v>
      </c>
    </row>
    <row r="35" spans="1:33">
      <c r="A35" t="str">
        <f t="shared" si="10"/>
        <v>A2_Repurpose_Both_lease|FY2029</v>
      </c>
      <c r="B35" t="str">
        <f>Scenarios!A9</f>
        <v>A2_Repurpose_Both_lease</v>
      </c>
      <c r="C35" t="s">
        <v>14</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0.1</v>
      </c>
      <c r="R35" s="2">
        <f>IF(Scenarios!D9=1, Q35*H35, H35)</f>
        <v>96184.418927653125</v>
      </c>
      <c r="S35" s="2">
        <f>IF(Scenarios!E9=1, Q35*I35, I35)</f>
        <v>110780.49806453435</v>
      </c>
      <c r="T35" s="2">
        <f>IF(C35="FY2026", (Scenarios!D9+Scenarios!E9)*BaselineCalc!$B$22, 0)</f>
        <v>0</v>
      </c>
      <c r="U35" s="2">
        <f t="shared" si="13"/>
        <v>205516.16257324215</v>
      </c>
      <c r="V35" s="2">
        <f t="shared" si="14"/>
        <v>3875188.3966856156</v>
      </c>
      <c r="W35" s="2">
        <f>U35+V35+IF(Parameters_Public!$C$28=1, T35, 0)</f>
        <v>4080704.5592588577</v>
      </c>
      <c r="X35" s="2">
        <f t="shared" si="15"/>
        <v>10055.950121387034</v>
      </c>
      <c r="Y35" s="2">
        <f>INDEX(YearMap!$I$2:$I$6, MATCH(C35, YearMap!$A$2:$A$6, 0))</f>
        <v>5398.4527031249991</v>
      </c>
      <c r="Z35" s="2">
        <f>W35 - ((Y35 + IF(Parameters_Public!$C$20=1, Parameters_Public!$C$19, 0))*AC35)</f>
        <v>1584871.1423307336</v>
      </c>
      <c r="AA35" s="2">
        <f t="shared" si="16"/>
        <v>3905.5474182620351</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(1-Parameters_Public!$C$43)*$G35*$AB35*$J35*(1-$K35)) + AB35*INDEX(YearMap!$Q$2:$Q$6, MATCH(C35, YearMap!$A$2:$A$6, 0))</f>
        <v>4080704.5592588577</v>
      </c>
      <c r="AF35" s="2">
        <f t="shared" si="18"/>
        <v>711002.88495848514</v>
      </c>
      <c r="AG35" t="str">
        <f t="shared" si="19"/>
        <v>A2_Repurpose_Both_lease|FY2029</v>
      </c>
    </row>
    <row r="36" spans="1:33">
      <c r="A36" t="str">
        <f t="shared" si="10"/>
        <v>A2_Repurpose_Both_lease|FY2030</v>
      </c>
      <c r="B36" t="str">
        <f>Scenarios!A9</f>
        <v>A2_Repurpose_Both_lease</v>
      </c>
      <c r="C36" t="s">
        <v>15</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0.1</v>
      </c>
      <c r="R36" s="2">
        <f>IF(Scenarios!D9=1, Q36*H36, H36)</f>
        <v>98589.029400844462</v>
      </c>
      <c r="S36" s="2">
        <f>IF(Scenarios!E9=1, Q36*I36, I36)</f>
        <v>113550.0105161477</v>
      </c>
      <c r="T36" s="2">
        <f>IF(C36="FY2026", (Scenarios!D9+Scenarios!E9)*BaselineCalc!$B$22, 0)</f>
        <v>0</v>
      </c>
      <c r="U36" s="2">
        <f t="shared" si="13"/>
        <v>210654.06663757321</v>
      </c>
      <c r="V36" s="2">
        <f t="shared" si="14"/>
        <v>3885835.6066027558</v>
      </c>
      <c r="W36" s="2">
        <f>U36+V36+IF(Parameters_Public!$C$28=1, T36, 0)</f>
        <v>4096489.6732403291</v>
      </c>
      <c r="X36" s="2">
        <f t="shared" si="15"/>
        <v>10094.848874421708</v>
      </c>
      <c r="Y36" s="2">
        <f>INDEX(YearMap!$I$2:$I$6, MATCH(C36, YearMap!$A$2:$A$6, 0))</f>
        <v>5533.4140207031242</v>
      </c>
      <c r="Z36" s="2">
        <f>W36 - ((Y36 + IF(Parameters_Public!$C$20=1, Parameters_Public!$C$19, 0))*AC36)</f>
        <v>1545888.9536390016</v>
      </c>
      <c r="AA36" s="2">
        <f t="shared" si="16"/>
        <v>3809.4848537185849</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(1-Parameters_Public!$C$43)*$G36*$AB36*$J36*(1-$K36)) + AB36*INDEX(YearMap!$Q$2:$Q$6, MATCH(C36, YearMap!$A$2:$A$6, 0))</f>
        <v>4096489.6732403291</v>
      </c>
      <c r="AF36" s="2">
        <f t="shared" si="18"/>
        <v>815010.4570824476</v>
      </c>
      <c r="AG36" t="str">
        <f t="shared" si="19"/>
        <v>A2_Repurpose_Both_lease|FY2030</v>
      </c>
    </row>
    <row r="37" spans="1:33">
      <c r="A37" t="str">
        <f t="shared" si="10"/>
        <v>A1_Repurpose_Both_ops|FY2026</v>
      </c>
      <c r="B37" t="str">
        <f>Scenarios!A10</f>
        <v>A1_Repurpose_Both_ops</v>
      </c>
      <c r="C37" t="s">
        <v>11</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0.45</v>
      </c>
      <c r="R37" s="2">
        <f>IF(Scenarios!D10=1, Q37*H37, H37)</f>
        <v>415124.99999999994</v>
      </c>
      <c r="S37" s="2">
        <f>IF(Scenarios!E10=1, Q37*I37, I37)</f>
        <v>449718.74999999994</v>
      </c>
      <c r="T37" s="2">
        <f>IF(C37="FY2026", (Scenarios!D10+Scenarios!E10)*BaselineCalc!$B$22, 0)</f>
        <v>2400000</v>
      </c>
      <c r="U37" s="2">
        <f t="shared" si="13"/>
        <v>858789.84374999988</v>
      </c>
      <c r="V37" s="2">
        <f t="shared" si="14"/>
        <v>3815884.841889692</v>
      </c>
      <c r="W37" s="2">
        <f>U37+V37+IF(Parameters_Public!$C$28=1, T37, 0)</f>
        <v>4674674.6856396915</v>
      </c>
      <c r="X37" s="2">
        <f t="shared" si="15"/>
        <v>11519.651763528072</v>
      </c>
      <c r="Y37" s="2">
        <f>INDEX(YearMap!$I$2:$I$6, MATCH(C37, YearMap!$A$2:$A$6, 0))</f>
        <v>5013</v>
      </c>
      <c r="Z37" s="2">
        <f>W37 - ((Y37 + IF(Parameters_Public!$C$20=1, Parameters_Public!$C$19, 0))*AC37)</f>
        <v>2335257.975639692</v>
      </c>
      <c r="AA37" s="2">
        <f t="shared" si="16"/>
        <v>5754.7017635280736</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(1-Parameters_Public!$C$43)*$G37*$AB37*$J37*(1-$K37)) + AB37*INDEX(YearMap!$Q$2:$Q$6, MATCH(C37, YearMap!$A$2:$A$6, 0))</f>
        <v>4674674.6856396915</v>
      </c>
      <c r="AF37" s="2">
        <f t="shared" si="18"/>
        <v>-225097.97563969251</v>
      </c>
      <c r="AG37" t="str">
        <f t="shared" si="19"/>
        <v>A1_Repurpose_Both_ops|FY2026</v>
      </c>
    </row>
    <row r="38" spans="1:33">
      <c r="A38" t="str">
        <f t="shared" si="10"/>
        <v>A1_Repurpose_Both_ops|FY2027</v>
      </c>
      <c r="B38" t="str">
        <f>Scenarios!A10</f>
        <v>A1_Repurpose_Both_ops</v>
      </c>
      <c r="C38" t="s">
        <v>12</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0.4</v>
      </c>
      <c r="R38" s="2">
        <f>IF(Scenarios!D10=1, Q38*H38, H38)</f>
        <v>366198.85849909583</v>
      </c>
      <c r="S38" s="2">
        <f>IF(Scenarios!E10=1, Q38*I38, I38)</f>
        <v>421769.89150090417</v>
      </c>
      <c r="T38" s="2">
        <f>IF(C38="FY2026", (Scenarios!D10+Scenarios!E10)*BaselineCalc!$B$22, 0)</f>
        <v>0</v>
      </c>
      <c r="U38" s="2">
        <f t="shared" si="13"/>
        <v>782452.96875</v>
      </c>
      <c r="V38" s="2">
        <f t="shared" si="14"/>
        <v>3819976.9629369341</v>
      </c>
      <c r="W38" s="2">
        <f>U38+V38+IF(Parameters_Public!$C$28=1, T38, 0)</f>
        <v>4602429.9316869341</v>
      </c>
      <c r="X38" s="2">
        <f t="shared" si="15"/>
        <v>11341.62132007623</v>
      </c>
      <c r="Y38" s="2">
        <f>INDEX(YearMap!$I$2:$I$6, MATCH(C38, YearMap!$A$2:$A$6, 0))</f>
        <v>5138.3249999999998</v>
      </c>
      <c r="Z38" s="2">
        <f>W38 - ((Y38 + IF(Parameters_Public!$C$20=1, Parameters_Public!$C$19, 0))*AC38)</f>
        <v>2212156.3366869343</v>
      </c>
      <c r="AA38" s="2">
        <f t="shared" si="16"/>
        <v>5451.3463200762308</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(1-Parameters_Public!$C$43)*$G38*$AB38*$J38*(1-$K38)) + AB38*INDEX(YearMap!$Q$2:$Q$6, MATCH(C38, YearMap!$A$2:$A$6, 0))</f>
        <v>4602429.9316869341</v>
      </c>
      <c r="AF38" s="2">
        <f t="shared" si="18"/>
        <v>-41613.80393693503</v>
      </c>
      <c r="AG38" t="str">
        <f t="shared" si="19"/>
        <v>A1_Repurpose_Both_ops|FY2027</v>
      </c>
    </row>
    <row r="39" spans="1:33">
      <c r="A39" t="str">
        <f t="shared" si="10"/>
        <v>A1_Repurpose_Both_ops|FY2028</v>
      </c>
      <c r="B39" t="str">
        <f>Scenarios!A10</f>
        <v>A1_Repurpose_Both_ops</v>
      </c>
      <c r="C39" t="s">
        <v>13</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0.35</v>
      </c>
      <c r="R39" s="2">
        <f>IF(Scenarios!D10=1, Q39*H39, H39)</f>
        <v>328434.60121637653</v>
      </c>
      <c r="S39" s="2">
        <f>IF(Scenarios!E10=1, Q39*I39, I39)</f>
        <v>378274.87143987342</v>
      </c>
      <c r="T39" s="2">
        <f>IF(C39="FY2026", (Scenarios!D10+Scenarios!E10)*BaselineCalc!$B$22, 0)</f>
        <v>0</v>
      </c>
      <c r="U39" s="2">
        <f t="shared" si="13"/>
        <v>701762.50634765625</v>
      </c>
      <c r="V39" s="2">
        <f t="shared" si="14"/>
        <v>3826200.3870103569</v>
      </c>
      <c r="W39" s="2">
        <f>U39+V39+IF(Parameters_Public!$C$28=1, T39, 0)</f>
        <v>4527962.8933580127</v>
      </c>
      <c r="X39" s="2">
        <f t="shared" si="15"/>
        <v>11158.114572099588</v>
      </c>
      <c r="Y39" s="2">
        <f>INDEX(YearMap!$I$2:$I$6, MATCH(C39, YearMap!$A$2:$A$6, 0))</f>
        <v>5266.7831249999999</v>
      </c>
      <c r="Z39" s="2">
        <f>W39 - ((Y39 + IF(Parameters_Public!$C$20=1, Parameters_Public!$C$19, 0))*AC39)</f>
        <v>2085560.9912330131</v>
      </c>
      <c r="AA39" s="2">
        <f t="shared" si="16"/>
        <v>5139.3814470995894</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(1-Parameters_Public!$C$43)*$G39*$AB39*$J39*(1-$K39)) + AB39*INDEX(YearMap!$Q$2:$Q$6, MATCH(C39, YearMap!$A$2:$A$6, 0))</f>
        <v>4527962.8933580127</v>
      </c>
      <c r="AF39" s="2">
        <f t="shared" si="18"/>
        <v>146873.63758573681</v>
      </c>
      <c r="AG39" t="str">
        <f t="shared" si="19"/>
        <v>A1_Repurpose_Both_ops|FY2028</v>
      </c>
    </row>
    <row r="40" spans="1:33">
      <c r="A40" t="str">
        <f t="shared" si="10"/>
        <v>A1_Repurpose_Both_ops|FY2029</v>
      </c>
      <c r="B40" t="str">
        <f>Scenarios!A10</f>
        <v>A1_Repurpose_Both_ops</v>
      </c>
      <c r="C40" t="s">
        <v>14</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0.3</v>
      </c>
      <c r="R40" s="2">
        <f>IF(Scenarios!D10=1, Q40*H40, H40)</f>
        <v>288553.25678295933</v>
      </c>
      <c r="S40" s="2">
        <f>IF(Scenarios!E10=1, Q40*I40, I40)</f>
        <v>332341.49419360299</v>
      </c>
      <c r="T40" s="2">
        <f>IF(C40="FY2026", (Scenarios!D10+Scenarios!E10)*BaselineCalc!$B$22, 0)</f>
        <v>0</v>
      </c>
      <c r="U40" s="2">
        <f t="shared" si="13"/>
        <v>616548.48771972628</v>
      </c>
      <c r="V40" s="2">
        <f t="shared" si="14"/>
        <v>3875188.3966856156</v>
      </c>
      <c r="W40" s="2">
        <f>U40+V40+IF(Parameters_Public!$C$28=1, T40, 0)</f>
        <v>4491736.8844053419</v>
      </c>
      <c r="X40" s="2">
        <f t="shared" si="15"/>
        <v>11068.843973399069</v>
      </c>
      <c r="Y40" s="2">
        <f>INDEX(YearMap!$I$2:$I$6, MATCH(C40, YearMap!$A$2:$A$6, 0))</f>
        <v>5398.4527031249991</v>
      </c>
      <c r="Z40" s="2">
        <f>W40 - ((Y40 + IF(Parameters_Public!$C$20=1, Parameters_Public!$C$19, 0))*AC40)</f>
        <v>1995903.4674772178</v>
      </c>
      <c r="AA40" s="2">
        <f t="shared" si="16"/>
        <v>4918.441270274071</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(1-Parameters_Public!$C$43)*$G40*$AB40*$J40*(1-$K40)) + AB40*INDEX(YearMap!$Q$2:$Q$6, MATCH(C40, YearMap!$A$2:$A$6, 0))</f>
        <v>4491736.8844053419</v>
      </c>
      <c r="AF40" s="2">
        <f t="shared" si="18"/>
        <v>299970.55981200095</v>
      </c>
      <c r="AG40" t="str">
        <f t="shared" si="19"/>
        <v>A1_Repurpose_Both_ops|FY2029</v>
      </c>
    </row>
    <row r="41" spans="1:33">
      <c r="A41" t="str">
        <f t="shared" si="10"/>
        <v>A1_Repurpose_Both_ops|FY2030</v>
      </c>
      <c r="B41" t="str">
        <f>Scenarios!A10</f>
        <v>A1_Repurpose_Both_ops</v>
      </c>
      <c r="C41" t="s">
        <v>15</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0.3</v>
      </c>
      <c r="R41" s="2">
        <f>IF(Scenarios!D10=1, Q41*H41, H41)</f>
        <v>295767.08820253337</v>
      </c>
      <c r="S41" s="2">
        <f>IF(Scenarios!E10=1, Q41*I41, I41)</f>
        <v>340650.03154844308</v>
      </c>
      <c r="T41" s="2">
        <f>IF(C41="FY2026", (Scenarios!D10+Scenarios!E10)*BaselineCalc!$B$22, 0)</f>
        <v>0</v>
      </c>
      <c r="U41" s="2">
        <f t="shared" si="13"/>
        <v>631962.19991271966</v>
      </c>
      <c r="V41" s="2">
        <f t="shared" si="14"/>
        <v>3885835.6066027558</v>
      </c>
      <c r="W41" s="2">
        <f>U41+V41+IF(Parameters_Public!$C$28=1, T41, 0)</f>
        <v>4517797.8065154757</v>
      </c>
      <c r="X41" s="2">
        <f t="shared" si="15"/>
        <v>11133.065072734047</v>
      </c>
      <c r="Y41" s="2">
        <f>INDEX(YearMap!$I$2:$I$6, MATCH(C41, YearMap!$A$2:$A$6, 0))</f>
        <v>5533.4140207031242</v>
      </c>
      <c r="Z41" s="2">
        <f>W41 - ((Y41 + IF(Parameters_Public!$C$20=1, Parameters_Public!$C$19, 0))*AC41)</f>
        <v>1967197.0869141482</v>
      </c>
      <c r="AA41" s="2">
        <f t="shared" si="16"/>
        <v>4847.7010520309223</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(1-Parameters_Public!$C$43)*$G41*$AB41*$J41*(1-$K41)) + AB41*INDEX(YearMap!$Q$2:$Q$6, MATCH(C41, YearMap!$A$2:$A$6, 0))</f>
        <v>4517797.8065154757</v>
      </c>
      <c r="AF41" s="2">
        <f t="shared" si="18"/>
        <v>393702.323807301</v>
      </c>
      <c r="AG41" t="str">
        <f t="shared" si="19"/>
        <v>A1_Repurpose_Both_ops|FY2030</v>
      </c>
    </row>
    <row r="42" spans="1:33">
      <c r="A42" t="str">
        <f t="shared" si="10"/>
        <v>B2_Repurpose_Echo_lease_PimaTargets|FY2026</v>
      </c>
      <c r="B42" t="str">
        <f>Scenarios!A11</f>
        <v>B2_Repurpose_Echo_lease_PimaTargets</v>
      </c>
      <c r="C42" t="s">
        <v>11</v>
      </c>
      <c r="D42">
        <f>IF(Scenarios!D11=1,0, L42)</f>
        <v>0</v>
      </c>
      <c r="E42">
        <f>IF(Scenarios!E11=1,0, M42)</f>
        <v>308.33333333333331</v>
      </c>
      <c r="F42">
        <f t="shared" si="11"/>
        <v>308.33333333333331</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308.33333333333331</v>
      </c>
      <c r="N42" s="11">
        <f t="shared" si="12"/>
        <v>257</v>
      </c>
      <c r="O42" s="11">
        <f>(Parameters_Public!$C$23*(L42-D42)+Parameters_Public!$C$24*(M42-E42))</f>
        <v>154.19999999999999</v>
      </c>
      <c r="P42">
        <f>YearMap!E2</f>
        <v>1000</v>
      </c>
      <c r="Q42">
        <f>IF(Scenarios!N11="lease", YearMap!F2, YearMap!G2)</f>
        <v>0.2</v>
      </c>
      <c r="R42" s="2">
        <f>IF(Scenarios!D11=1, Q42*H42, H42)</f>
        <v>184500</v>
      </c>
      <c r="S42" s="2">
        <f>IF(Scenarios!E11=1, Q42*I42, I42)</f>
        <v>999374.99999999988</v>
      </c>
      <c r="T42" s="2">
        <f>IF(C42="FY2026", (Scenarios!D11+Scenarios!E11)*BaselineCalc!$B$22, 0)</f>
        <v>1200000</v>
      </c>
      <c r="U42" s="2">
        <f t="shared" si="13"/>
        <v>3748487.6445061029</v>
      </c>
      <c r="V42" s="2">
        <f t="shared" si="14"/>
        <v>1449998.6264647376</v>
      </c>
      <c r="W42" s="2">
        <f>U42+V42+IF(Parameters_Public!$C$28=1, T42, 0)</f>
        <v>5198486.27097084</v>
      </c>
      <c r="X42" s="2">
        <f t="shared" si="15"/>
        <v>11239.160286042463</v>
      </c>
      <c r="Y42" s="2">
        <f>INDEX(YearMap!$I$2:$I$6, MATCH(C42, YearMap!$A$2:$A$6, 0))</f>
        <v>5013</v>
      </c>
      <c r="Z42" s="2">
        <f>W42 - ((Y42 + IF(Parameters_Public!$C$20=1, Parameters_Public!$C$19, 0))*AC42)</f>
        <v>2532004.7309708404</v>
      </c>
      <c r="AA42" s="2">
        <f t="shared" si="16"/>
        <v>5474.2102860424638</v>
      </c>
      <c r="AB42">
        <f>MAX(0, (MAX(0, $D42-BaselineCalc!$B$7) + MAX(0, $E42-BaselineCalc!$B$8)))</f>
        <v>12.333333333333314</v>
      </c>
      <c r="AC42" s="11">
        <f t="shared" si="17"/>
        <v>462.53333333333325</v>
      </c>
      <c r="AD42" s="2">
        <f>( (Y42 + IF(Parameters_Public!$C20=1, INDEX(YearMap!$O$2:$O$6, MATCH(C42, YearMap!$A$2:$A$6, 0)), 0)) * AC42 ) + AC42*INDEX(YearMap!$P$2:$P$6, MATCH(C42, YearMap!$A$2:$A$6, 0)) + AB42*( INDEX(YearMap!$R$2:$R$6, MATCH(C42, YearMap!$A$2:$A$6, 0)) - INDEX(YearMap!$P$2:$P$6, MATCH(C42, YearMap!$A$2:$A$6, 0)) )</f>
        <v>5062034.8733333331</v>
      </c>
      <c r="AE42" s="2">
        <f>(W42 - (1-Parameters_Public!$C$43)*$G42*$AB42*$J42*(1-$K42)) + AB42*INDEX(YearMap!$Q$2:$Q$6, MATCH(C42, YearMap!$A$2:$A$6, 0))</f>
        <v>5159786.541325409</v>
      </c>
      <c r="AF42" s="2">
        <f t="shared" si="18"/>
        <v>-97751.667992075905</v>
      </c>
      <c r="AG42" t="str">
        <f t="shared" si="19"/>
        <v>B2_Repurpose_Echo_lease_PimaTargets|FY2026</v>
      </c>
    </row>
    <row r="43" spans="1:33">
      <c r="A43" t="str">
        <f t="shared" si="10"/>
        <v>B2_Repurpose_Echo_lease_PimaTargets|FY2027</v>
      </c>
      <c r="B43" t="str">
        <f>Scenarios!A11</f>
        <v>B2_Repurpose_Echo_lease_PimaTargets</v>
      </c>
      <c r="C43" t="s">
        <v>12</v>
      </c>
      <c r="D43">
        <f>IF(Scenarios!D11=1,0, L43)</f>
        <v>0</v>
      </c>
      <c r="E43">
        <f>IF(Scenarios!E11=1,0, M43)</f>
        <v>320.66666666666669</v>
      </c>
      <c r="F43">
        <f t="shared" si="11"/>
        <v>320.66666666666669</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320.66666666666669</v>
      </c>
      <c r="N43" s="11">
        <f t="shared" si="12"/>
        <v>257</v>
      </c>
      <c r="O43" s="11">
        <f>(Parameters_Public!$C$23*(L43-D43)+Parameters_Public!$C$24*(M43-E43))</f>
        <v>154.19999999999999</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3971572.6431893012</v>
      </c>
      <c r="V43" s="2">
        <f t="shared" si="14"/>
        <v>1451553.592126356</v>
      </c>
      <c r="W43" s="2">
        <f>U43+V43+IF(Parameters_Public!$C$28=1, T43, 0)</f>
        <v>5423126.2353156572</v>
      </c>
      <c r="X43" s="2">
        <f t="shared" si="15"/>
        <v>11420.313565876015</v>
      </c>
      <c r="Y43" s="2">
        <f>INDEX(YearMap!$I$2:$I$6, MATCH(C43, YearMap!$A$2:$A$6, 0))</f>
        <v>5138.3249999999998</v>
      </c>
      <c r="Z43" s="2">
        <f>W43 - ((Y43 + IF(Parameters_Public!$C$20=1, Parameters_Public!$C$19, 0))*AC43)</f>
        <v>2626030.9803156569</v>
      </c>
      <c r="AA43" s="2">
        <f t="shared" si="16"/>
        <v>5530.0385658760142</v>
      </c>
      <c r="AB43">
        <f>MAX(0, (MAX(0, $D43-BaselineCalc!$B$7) + MAX(0, $E43-BaselineCalc!$B$8)))</f>
        <v>24.666666666666686</v>
      </c>
      <c r="AC43" s="11">
        <f t="shared" si="17"/>
        <v>474.86666666666673</v>
      </c>
      <c r="AD43" s="2">
        <f>( (Y43 + IF(Parameters_Public!$C20=1, INDEX(YearMap!$O$2:$O$6, MATCH(C43, YearMap!$A$2:$A$6, 0)), 0)) * AC43 ) + AC43*INDEX(YearMap!$P$2:$P$6, MATCH(C43, YearMap!$A$2:$A$6, 0)) + AB43*( INDEX(YearMap!$R$2:$R$6, MATCH(C43, YearMap!$A$2:$A$6, 0)) - INDEX(YearMap!$P$2:$P$6, MATCH(C43, YearMap!$A$2:$A$6, 0)) )</f>
        <v>5317340.4880833328</v>
      </c>
      <c r="AE43" s="2">
        <f>(W43 - (1-Parameters_Public!$C$43)*$G43*$AB43*$J43*(1-$K43)) + AB43*INDEX(YearMap!$Q$2:$Q$6, MATCH(C43, YearMap!$A$2:$A$6, 0))</f>
        <v>5342681.7895425241</v>
      </c>
      <c r="AF43" s="2">
        <f t="shared" si="18"/>
        <v>-25341.301459191367</v>
      </c>
      <c r="AG43" t="str">
        <f t="shared" si="19"/>
        <v>B2_Repurpose_Echo_lease_PimaTargets|FY2027</v>
      </c>
    </row>
    <row r="44" spans="1:33">
      <c r="A44" t="str">
        <f t="shared" si="10"/>
        <v>B2_Repurpose_Echo_lease_PimaTargets|FY2028</v>
      </c>
      <c r="B44" t="str">
        <f>Scenarios!A11</f>
        <v>B2_Repurpose_Echo_lease_PimaTargets</v>
      </c>
      <c r="C44" t="s">
        <v>13</v>
      </c>
      <c r="D44">
        <f>IF(Scenarios!D11=1,0, L44)</f>
        <v>0</v>
      </c>
      <c r="E44">
        <f>IF(Scenarios!E11=1,0, M44)</f>
        <v>333</v>
      </c>
      <c r="F44">
        <f t="shared" si="11"/>
        <v>333</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333</v>
      </c>
      <c r="N44" s="11">
        <f t="shared" si="12"/>
        <v>257</v>
      </c>
      <c r="O44" s="11">
        <f>(Parameters_Public!$C$23*(L44-D44)+Parameters_Public!$C$24*(M44-E44))</f>
        <v>154.19999999999999</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4132397.2779385466</v>
      </c>
      <c r="V44" s="2">
        <f t="shared" si="14"/>
        <v>1453918.4319295147</v>
      </c>
      <c r="W44" s="2">
        <f>U44+V44+IF(Parameters_Public!$C$28=1, T44, 0)</f>
        <v>5586315.7098680614</v>
      </c>
      <c r="X44" s="2">
        <f t="shared" si="15"/>
        <v>11466.165250139698</v>
      </c>
      <c r="Y44" s="2">
        <f>INDEX(YearMap!$I$2:$I$6, MATCH(C44, YearMap!$A$2:$A$6, 0))</f>
        <v>5266.7831249999999</v>
      </c>
      <c r="Z44" s="2">
        <f>W44 - ((Y44 + IF(Parameters_Public!$C$20=1, Parameters_Public!$C$19, 0))*AC44)</f>
        <v>2653988.9313680613</v>
      </c>
      <c r="AA44" s="2">
        <f t="shared" si="16"/>
        <v>5447.4321251396987</v>
      </c>
      <c r="AB44">
        <f>MAX(0, (MAX(0, $D44-BaselineCalc!$B$7) + MAX(0, $E44-BaselineCalc!$B$8)))</f>
        <v>37</v>
      </c>
      <c r="AC44" s="11">
        <f t="shared" si="17"/>
        <v>487.2</v>
      </c>
      <c r="AD44" s="2">
        <f>( (Y44 + IF(Parameters_Public!$C20=1, INDEX(YearMap!$O$2:$O$6, MATCH(C44, YearMap!$A$2:$A$6, 0)), 0)) * AC44 ) + AC44*INDEX(YearMap!$P$2:$P$6, MATCH(C44, YearMap!$A$2:$A$6, 0)) + AB44*( INDEX(YearMap!$R$2:$R$6, MATCH(C44, YearMap!$A$2:$A$6, 0)) - INDEX(YearMap!$P$2:$P$6, MATCH(C44, YearMap!$A$2:$A$6, 0)) )</f>
        <v>5582247.6117749996</v>
      </c>
      <c r="AE44" s="2">
        <f>(W44 - (1-Parameters_Public!$C$43)*$G44*$AB44*$J44*(1-$K44)) + AB44*INDEX(YearMap!$Q$2:$Q$6, MATCH(C44, YearMap!$A$2:$A$6, 0))</f>
        <v>5461004.3744918685</v>
      </c>
      <c r="AF44" s="2">
        <f t="shared" si="18"/>
        <v>121243.23728313111</v>
      </c>
      <c r="AG44" t="str">
        <f t="shared" si="19"/>
        <v>B2_Repurpose_Echo_lease_PimaTargets|FY2028</v>
      </c>
    </row>
    <row r="45" spans="1:33">
      <c r="A45" t="str">
        <f t="shared" si="10"/>
        <v>B2_Repurpose_Echo_lease_PimaTargets|FY2029</v>
      </c>
      <c r="B45" t="str">
        <f>Scenarios!A11</f>
        <v>B2_Repurpose_Echo_lease_PimaTargets</v>
      </c>
      <c r="C45" t="s">
        <v>14</v>
      </c>
      <c r="D45">
        <f>IF(Scenarios!D11=1,0, L45)</f>
        <v>0</v>
      </c>
      <c r="E45">
        <f>IF(Scenarios!E11=1,0, M45)</f>
        <v>333</v>
      </c>
      <c r="F45">
        <f t="shared" si="11"/>
        <v>333</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333</v>
      </c>
      <c r="N45" s="11">
        <f t="shared" si="12"/>
        <v>257</v>
      </c>
      <c r="O45" s="11">
        <f>(Parameters_Public!$C$23*(L45-D45)+Parameters_Public!$C$24*(M45-E45))</f>
        <v>154.19999999999999</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4187951.6458894303</v>
      </c>
      <c r="V45" s="2">
        <f t="shared" si="14"/>
        <v>1472533.3927277524</v>
      </c>
      <c r="W45" s="2">
        <f>U45+V45+IF(Parameters_Public!$C$28=1, T45, 0)</f>
        <v>5660485.0386171825</v>
      </c>
      <c r="X45" s="2">
        <f t="shared" si="15"/>
        <v>11618.401146586992</v>
      </c>
      <c r="Y45" s="2">
        <f>INDEX(YearMap!$I$2:$I$6, MATCH(C45, YearMap!$A$2:$A$6, 0))</f>
        <v>5398.4527031249991</v>
      </c>
      <c r="Z45" s="2">
        <f>W45 - ((Y45 + IF(Parameters_Public!$C$20=1, Parameters_Public!$C$19, 0))*AC45)</f>
        <v>2664008.841654683</v>
      </c>
      <c r="AA45" s="2">
        <f t="shared" si="16"/>
        <v>5467.9984434619928</v>
      </c>
      <c r="AB45">
        <f>MAX(0, (MAX(0, $D45-BaselineCalc!$B$7) + MAX(0, $E45-BaselineCalc!$B$8)))</f>
        <v>37</v>
      </c>
      <c r="AC45" s="11">
        <f t="shared" si="17"/>
        <v>487.2</v>
      </c>
      <c r="AD45" s="2">
        <f>( (Y45 + IF(Parameters_Public!$C20=1, INDEX(YearMap!$O$2:$O$6, MATCH(C45, YearMap!$A$2:$A$6, 0)), 0)) * AC45 ) + AC45*INDEX(YearMap!$P$2:$P$6, MATCH(C45, YearMap!$A$2:$A$6, 0)) + AB45*( INDEX(YearMap!$R$2:$R$6, MATCH(C45, YearMap!$A$2:$A$6, 0)) - INDEX(YearMap!$P$2:$P$6, MATCH(C45, YearMap!$A$2:$A$6, 0)) )</f>
        <v>5721803.8020693744</v>
      </c>
      <c r="AE45" s="2">
        <f>(W45 - (1-Parameters_Public!$C$43)*$G45*$AB45*$J45*(1-$K45)) + AB45*INDEX(YearMap!$Q$2:$Q$6, MATCH(C45, YearMap!$A$2:$A$6, 0))</f>
        <v>5531189.9198565846</v>
      </c>
      <c r="AF45" s="2">
        <f t="shared" si="18"/>
        <v>190613.88221278973</v>
      </c>
      <c r="AG45" t="str">
        <f t="shared" si="19"/>
        <v>B2_Repurpose_Echo_lease_PimaTargets|FY2029</v>
      </c>
    </row>
    <row r="46" spans="1:33">
      <c r="A46" t="str">
        <f t="shared" si="10"/>
        <v>B2_Repurpose_Echo_lease_PimaTargets|FY2030</v>
      </c>
      <c r="B46" t="str">
        <f>Scenarios!A11</f>
        <v>B2_Repurpose_Echo_lease_PimaTargets</v>
      </c>
      <c r="C46" t="s">
        <v>15</v>
      </c>
      <c r="D46">
        <f>IF(Scenarios!D11=1,0, L46)</f>
        <v>0</v>
      </c>
      <c r="E46">
        <f>IF(Scenarios!E11=1,0, M46)</f>
        <v>333</v>
      </c>
      <c r="F46">
        <f t="shared" si="11"/>
        <v>333</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333</v>
      </c>
      <c r="N46" s="11">
        <f t="shared" si="12"/>
        <v>257</v>
      </c>
      <c r="O46" s="11">
        <f>(Parameters_Public!$C$23*(L46-D46)+Parameters_Public!$C$24*(M46-E46))</f>
        <v>154.19999999999999</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4292650.4370366661</v>
      </c>
      <c r="V46" s="2">
        <f t="shared" si="14"/>
        <v>1476579.2275459461</v>
      </c>
      <c r="W46" s="2">
        <f>U46+V46+IF(Parameters_Public!$C$28=1, T46, 0)</f>
        <v>5769229.664582612</v>
      </c>
      <c r="X46" s="2">
        <f t="shared" si="15"/>
        <v>11841.604401852652</v>
      </c>
      <c r="Y46" s="2">
        <f>INDEX(YearMap!$I$2:$I$6, MATCH(C46, YearMap!$A$2:$A$6, 0))</f>
        <v>5533.4140207031242</v>
      </c>
      <c r="Z46" s="2">
        <f>W46 - ((Y46 + IF(Parameters_Public!$C$20=1, Parameters_Public!$C$19, 0))*AC46)</f>
        <v>2707000.3136960501</v>
      </c>
      <c r="AA46" s="2">
        <f t="shared" si="16"/>
        <v>5556.2403811495278</v>
      </c>
      <c r="AB46">
        <f>MAX(0, (MAX(0, $D46-BaselineCalc!$B$7) + MAX(0, $E46-BaselineCalc!$B$8)))</f>
        <v>37</v>
      </c>
      <c r="AC46" s="11">
        <f t="shared" si="17"/>
        <v>487.2</v>
      </c>
      <c r="AD46" s="2">
        <f>( (Y46 + IF(Parameters_Public!$C20=1, INDEX(YearMap!$O$2:$O$6, MATCH(C46, YearMap!$A$2:$A$6, 0)), 0)) * AC46 ) + AC46*INDEX(YearMap!$P$2:$P$6, MATCH(C46, YearMap!$A$2:$A$6, 0)) + AB46*( INDEX(YearMap!$R$2:$R$6, MATCH(C46, YearMap!$A$2:$A$6, 0)) - INDEX(YearMap!$P$2:$P$6, MATCH(C46, YearMap!$A$2:$A$6, 0)) )</f>
        <v>5864848.8971211081</v>
      </c>
      <c r="AE46" s="2">
        <f>(W46 - (1-Parameters_Public!$C$43)*$G46*$AB46*$J46*(1-$K46)) + AB46*INDEX(YearMap!$Q$2:$Q$6, MATCH(C46, YearMap!$A$2:$A$6, 0))</f>
        <v>5635129.6678529996</v>
      </c>
      <c r="AF46" s="2">
        <f t="shared" si="18"/>
        <v>229719.22926810849</v>
      </c>
      <c r="AG46" t="str">
        <f t="shared" si="19"/>
        <v>B2_Repurpose_Echo_lease_PimaTargets|FY2030</v>
      </c>
    </row>
    <row r="47" spans="1:33">
      <c r="A47" t="str">
        <f t="shared" si="10"/>
        <v>B1_Repurpose_Echo_ops_PimaTargets|FY2026</v>
      </c>
      <c r="B47" t="str">
        <f>Scenarios!A12</f>
        <v>B1_Repurpose_Echo_ops_PimaTargets</v>
      </c>
      <c r="C47" t="s">
        <v>11</v>
      </c>
      <c r="D47">
        <f>IF(Scenarios!D12=1,0, L47)</f>
        <v>0</v>
      </c>
      <c r="E47">
        <f>IF(Scenarios!E12=1,0, M47)</f>
        <v>308.33333333333331</v>
      </c>
      <c r="F47">
        <f t="shared" si="11"/>
        <v>308.33333333333331</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308.33333333333331</v>
      </c>
      <c r="N47" s="11">
        <f t="shared" si="12"/>
        <v>257</v>
      </c>
      <c r="O47" s="11">
        <f>(Parameters_Public!$C$23*(L47-D47)+Parameters_Public!$C$24*(M47-E47))</f>
        <v>154.19999999999999</v>
      </c>
      <c r="P47">
        <f>YearMap!E2</f>
        <v>1000</v>
      </c>
      <c r="Q47">
        <f>IF(Scenarios!N12="lease", YearMap!F2, YearMap!G2)</f>
        <v>0.45</v>
      </c>
      <c r="R47" s="2">
        <f>IF(Scenarios!D12=1, Q47*H47, H47)</f>
        <v>415124.99999999994</v>
      </c>
      <c r="S47" s="2">
        <f>IF(Scenarios!E12=1, Q47*I47, I47)</f>
        <v>999374.99999999988</v>
      </c>
      <c r="T47" s="2">
        <f>IF(C47="FY2026", (Scenarios!D12+Scenarios!E12)*BaselineCalc!$B$22, 0)</f>
        <v>1200000</v>
      </c>
      <c r="U47" s="2">
        <f t="shared" si="13"/>
        <v>3977498.2695061024</v>
      </c>
      <c r="V47" s="2">
        <f t="shared" si="14"/>
        <v>1449998.6264647376</v>
      </c>
      <c r="W47" s="2">
        <f>U47+V47+IF(Parameters_Public!$C$28=1, T47, 0)</f>
        <v>5427496.89597084</v>
      </c>
      <c r="X47" s="2">
        <f t="shared" si="15"/>
        <v>11734.282709651572</v>
      </c>
      <c r="Y47" s="2">
        <f>INDEX(YearMap!$I$2:$I$6, MATCH(C47, YearMap!$A$2:$A$6, 0))</f>
        <v>5013</v>
      </c>
      <c r="Z47" s="2">
        <f>W47 - ((Y47 + IF(Parameters_Public!$C$20=1, Parameters_Public!$C$19, 0))*AC47)</f>
        <v>2761015.3559708404</v>
      </c>
      <c r="AA47" s="2">
        <f t="shared" si="16"/>
        <v>5969.3327096515732</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(1-Parameters_Public!$C$43)*$G47*$AB47*$J47*(1-$K47)) + AB47*INDEX(YearMap!$Q$2:$Q$6, MATCH(C47, YearMap!$A$2:$A$6, 0))</f>
        <v>5388797.166325409</v>
      </c>
      <c r="AF47" s="2">
        <f t="shared" si="18"/>
        <v>-326762.29299207591</v>
      </c>
      <c r="AG47" t="str">
        <f t="shared" si="19"/>
        <v>B1_Repurpose_Echo_ops_PimaTargets|FY2026</v>
      </c>
    </row>
    <row r="48" spans="1:33">
      <c r="A48" t="str">
        <f t="shared" si="10"/>
        <v>B1_Repurpose_Echo_ops_PimaTargets|FY2027</v>
      </c>
      <c r="B48" t="str">
        <f>Scenarios!A12</f>
        <v>B1_Repurpose_Echo_ops_PimaTargets</v>
      </c>
      <c r="C48" t="s">
        <v>12</v>
      </c>
      <c r="D48">
        <f>IF(Scenarios!D12=1,0, L48)</f>
        <v>0</v>
      </c>
      <c r="E48">
        <f>IF(Scenarios!E12=1,0, M48)</f>
        <v>320.66666666666669</v>
      </c>
      <c r="F48">
        <f t="shared" si="11"/>
        <v>320.66666666666669</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320.66666666666669</v>
      </c>
      <c r="N48" s="11">
        <f t="shared" si="12"/>
        <v>257</v>
      </c>
      <c r="O48" s="11">
        <f>(Parameters_Public!$C$23*(L48-D48)+Parameters_Public!$C$24*(M48-E48))</f>
        <v>154.19999999999999</v>
      </c>
      <c r="P48">
        <f>YearMap!E3</f>
        <v>800</v>
      </c>
      <c r="Q48">
        <f>IF(Scenarios!N12="lease", YearMap!F3, YearMap!G3)</f>
        <v>0.4</v>
      </c>
      <c r="R48" s="2">
        <f>IF(Scenarios!D12=1, Q48*H48, H48)</f>
        <v>366198.85849909583</v>
      </c>
      <c r="S48" s="2">
        <f>IF(Scenarios!E12=1, Q48*I48, I48)</f>
        <v>1054424.7287522603</v>
      </c>
      <c r="T48" s="2">
        <f>IF(C48="FY2026", (Scenarios!D12+Scenarios!E12)*BaselineCalc!$B$22, 0)</f>
        <v>0</v>
      </c>
      <c r="U48" s="2">
        <f t="shared" si="13"/>
        <v>4153390.3764341027</v>
      </c>
      <c r="V48" s="2">
        <f t="shared" si="14"/>
        <v>1451553.592126356</v>
      </c>
      <c r="W48" s="2">
        <f>U48+V48+IF(Parameters_Public!$C$28=1, T48, 0)</f>
        <v>5604943.9685604591</v>
      </c>
      <c r="X48" s="2">
        <f t="shared" si="15"/>
        <v>11803.195216679333</v>
      </c>
      <c r="Y48" s="2">
        <f>INDEX(YearMap!$I$2:$I$6, MATCH(C48, YearMap!$A$2:$A$6, 0))</f>
        <v>5138.3249999999998</v>
      </c>
      <c r="Z48" s="2">
        <f>W48 - ((Y48 + IF(Parameters_Public!$C$20=1, Parameters_Public!$C$19, 0))*AC48)</f>
        <v>2807848.7135604587</v>
      </c>
      <c r="AA48" s="2">
        <f t="shared" si="16"/>
        <v>5912.9202166793311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(1-Parameters_Public!$C$43)*$G48*$AB48*$J48*(1-$K48)) + AB48*INDEX(YearMap!$Q$2:$Q$6, MATCH(C48, YearMap!$A$2:$A$6, 0))</f>
        <v>5524499.522787326</v>
      </c>
      <c r="AF48" s="2">
        <f t="shared" si="18"/>
        <v>-207159.03470399324</v>
      </c>
      <c r="AG48" t="str">
        <f t="shared" si="19"/>
        <v>B1_Repurpose_Echo_ops_PimaTargets|FY2027</v>
      </c>
    </row>
    <row r="49" spans="1:33">
      <c r="A49" t="str">
        <f t="shared" si="10"/>
        <v>B1_Repurpose_Echo_ops_PimaTargets|FY2028</v>
      </c>
      <c r="B49" t="str">
        <f>Scenarios!A12</f>
        <v>B1_Repurpose_Echo_ops_PimaTargets</v>
      </c>
      <c r="C49" t="s">
        <v>13</v>
      </c>
      <c r="D49">
        <f>IF(Scenarios!D12=1,0, L49)</f>
        <v>0</v>
      </c>
      <c r="E49">
        <f>IF(Scenarios!E12=1,0, M49)</f>
        <v>333</v>
      </c>
      <c r="F49">
        <f t="shared" si="11"/>
        <v>333</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333</v>
      </c>
      <c r="N49" s="11">
        <f t="shared" si="12"/>
        <v>257</v>
      </c>
      <c r="O49" s="11">
        <f>(Parameters_Public!$C$23*(L49-D49)+Parameters_Public!$C$24*(M49-E49))</f>
        <v>154.19999999999999</v>
      </c>
      <c r="P49">
        <f>YearMap!E4</f>
        <v>600</v>
      </c>
      <c r="Q49">
        <f>IF(Scenarios!N12="lease", YearMap!F4, YearMap!G4)</f>
        <v>0.35</v>
      </c>
      <c r="R49" s="2">
        <f>IF(Scenarios!D12=1, Q49*H49, H49)</f>
        <v>328434.60121637653</v>
      </c>
      <c r="S49" s="2">
        <f>IF(Scenarios!E12=1, Q49*I49, I49)</f>
        <v>1080785.3469710669</v>
      </c>
      <c r="T49" s="2">
        <f>IF(C49="FY2026", (Scenarios!D12+Scenarios!E12)*BaselineCalc!$B$22, 0)</f>
        <v>0</v>
      </c>
      <c r="U49" s="2">
        <f t="shared" si="13"/>
        <v>4318760.4545144681</v>
      </c>
      <c r="V49" s="2">
        <f t="shared" si="14"/>
        <v>1453918.4319295147</v>
      </c>
      <c r="W49" s="2">
        <f>U49+V49+IF(Parameters_Public!$C$28=1, T49, 0)</f>
        <v>5772678.8864439828</v>
      </c>
      <c r="X49" s="2">
        <f t="shared" si="15"/>
        <v>11848.684085476156</v>
      </c>
      <c r="Y49" s="2">
        <f>INDEX(YearMap!$I$2:$I$6, MATCH(C49, YearMap!$A$2:$A$6, 0))</f>
        <v>5266.7831249999999</v>
      </c>
      <c r="Z49" s="2">
        <f>W49 - ((Y49 + IF(Parameters_Public!$C$20=1, Parameters_Public!$C$19, 0))*AC49)</f>
        <v>2840352.1079439828</v>
      </c>
      <c r="AA49" s="2">
        <f t="shared" si="16"/>
        <v>5829.9509604761552</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(1-Parameters_Public!$C$43)*$G49*$AB49*$J49*(1-$K49)) + AB49*INDEX(YearMap!$Q$2:$Q$6, MATCH(C49, YearMap!$A$2:$A$6, 0))</f>
        <v>5647367.55106779</v>
      </c>
      <c r="AF49" s="2">
        <f t="shared" si="18"/>
        <v>-65119.939292790368</v>
      </c>
      <c r="AG49" t="str">
        <f t="shared" si="19"/>
        <v>B1_Repurpose_Echo_ops_PimaTargets|FY2028</v>
      </c>
    </row>
    <row r="50" spans="1:33">
      <c r="A50" t="str">
        <f t="shared" si="10"/>
        <v>B1_Repurpose_Echo_ops_PimaTargets|FY2029</v>
      </c>
      <c r="B50" t="str">
        <f>Scenarios!A12</f>
        <v>B1_Repurpose_Echo_ops_PimaTargets</v>
      </c>
      <c r="C50" t="s">
        <v>14</v>
      </c>
      <c r="D50">
        <f>IF(Scenarios!D12=1,0, L50)</f>
        <v>0</v>
      </c>
      <c r="E50">
        <f>IF(Scenarios!E12=1,0, M50)</f>
        <v>333</v>
      </c>
      <c r="F50">
        <f t="shared" si="11"/>
        <v>333</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333</v>
      </c>
      <c r="N50" s="11">
        <f t="shared" si="12"/>
        <v>257</v>
      </c>
      <c r="O50" s="11">
        <f>(Parameters_Public!$C$23*(L50-D50)+Parameters_Public!$C$24*(M50-E50))</f>
        <v>154.19999999999999</v>
      </c>
      <c r="P50">
        <f>YearMap!E5</f>
        <v>500</v>
      </c>
      <c r="Q50">
        <f>IF(Scenarios!N12="lease", YearMap!F5, YearMap!G5)</f>
        <v>0.3</v>
      </c>
      <c r="R50" s="2">
        <f>IF(Scenarios!D12=1, Q50*H50, H50)</f>
        <v>288553.25678295933</v>
      </c>
      <c r="S50" s="2">
        <f>IF(Scenarios!E12=1, Q50*I50, I50)</f>
        <v>1107804.9806453434</v>
      </c>
      <c r="T50" s="2">
        <f>IF(C50="FY2026", (Scenarios!D12+Scenarios!E12)*BaselineCalc!$B$22, 0)</f>
        <v>0</v>
      </c>
      <c r="U50" s="2">
        <f t="shared" si="13"/>
        <v>4378973.9018797502</v>
      </c>
      <c r="V50" s="2">
        <f t="shared" si="14"/>
        <v>1472533.3927277524</v>
      </c>
      <c r="W50" s="2">
        <f>U50+V50+IF(Parameters_Public!$C$28=1, T50, 0)</f>
        <v>5851507.2946075024</v>
      </c>
      <c r="X50" s="2">
        <f t="shared" si="15"/>
        <v>12010.48295280686</v>
      </c>
      <c r="Y50" s="2">
        <f>INDEX(YearMap!$I$2:$I$6, MATCH(C50, YearMap!$A$2:$A$6, 0))</f>
        <v>5398.4527031249991</v>
      </c>
      <c r="Z50" s="2">
        <f>W50 - ((Y50 + IF(Parameters_Public!$C$20=1, Parameters_Public!$C$19, 0))*AC50)</f>
        <v>2855031.0976450029</v>
      </c>
      <c r="AA50" s="2">
        <f t="shared" si="16"/>
        <v>5860.0802496818615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(1-Parameters_Public!$C$43)*$G50*$AB50*$J50*(1-$K50)) + AB50*INDEX(YearMap!$Q$2:$Q$6, MATCH(C50, YearMap!$A$2:$A$6, 0))</f>
        <v>5722212.1758469045</v>
      </c>
      <c r="AF50" s="2">
        <f t="shared" si="18"/>
        <v>-408.37377753015608</v>
      </c>
      <c r="AG50" t="str">
        <f t="shared" si="19"/>
        <v>B1_Repurpose_Echo_ops_PimaTargets|FY2029</v>
      </c>
    </row>
    <row r="51" spans="1:33">
      <c r="A51" t="str">
        <f t="shared" si="10"/>
        <v>B1_Repurpose_Echo_ops_PimaTargets|FY2030</v>
      </c>
      <c r="B51" t="str">
        <f>Scenarios!A12</f>
        <v>B1_Repurpose_Echo_ops_PimaTargets</v>
      </c>
      <c r="C51" t="s">
        <v>15</v>
      </c>
      <c r="D51">
        <f>IF(Scenarios!D12=1,0, L51)</f>
        <v>0</v>
      </c>
      <c r="E51">
        <f>IF(Scenarios!E12=1,0, M51)</f>
        <v>333</v>
      </c>
      <c r="F51">
        <f t="shared" si="11"/>
        <v>333</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333</v>
      </c>
      <c r="N51" s="11">
        <f t="shared" si="12"/>
        <v>257</v>
      </c>
      <c r="O51" s="11">
        <f>(Parameters_Public!$C$23*(L51-D51)+Parameters_Public!$C$24*(M51-E51))</f>
        <v>154.19999999999999</v>
      </c>
      <c r="P51">
        <f>YearMap!E6</f>
        <v>300</v>
      </c>
      <c r="Q51">
        <f>IF(Scenarios!N12="lease", YearMap!F6, YearMap!G6)</f>
        <v>0.3</v>
      </c>
      <c r="R51" s="2">
        <f>IF(Scenarios!D12=1, Q51*H51, H51)</f>
        <v>295767.08820253337</v>
      </c>
      <c r="S51" s="2">
        <f>IF(Scenarios!E12=1, Q51*I51, I51)</f>
        <v>1135500.1051614769</v>
      </c>
      <c r="T51" s="2">
        <f>IF(C51="FY2026", (Scenarios!D12+Scenarios!E12)*BaselineCalc!$B$22, 0)</f>
        <v>0</v>
      </c>
      <c r="U51" s="2">
        <f t="shared" si="13"/>
        <v>4488448.249426743</v>
      </c>
      <c r="V51" s="2">
        <f t="shared" si="14"/>
        <v>1476579.2275459461</v>
      </c>
      <c r="W51" s="2">
        <f>U51+V51+IF(Parameters_Public!$C$28=1, T51, 0)</f>
        <v>5965027.4769726889</v>
      </c>
      <c r="X51" s="2">
        <f t="shared" si="15"/>
        <v>12243.488253228015</v>
      </c>
      <c r="Y51" s="2">
        <f>INDEX(YearMap!$I$2:$I$6, MATCH(C51, YearMap!$A$2:$A$6, 0))</f>
        <v>5533.4140207031242</v>
      </c>
      <c r="Z51" s="2">
        <f>W51 - ((Y51 + IF(Parameters_Public!$C$20=1, Parameters_Public!$C$19, 0))*AC51)</f>
        <v>2902798.126086127</v>
      </c>
      <c r="AA51" s="2">
        <f t="shared" si="16"/>
        <v>5958.1242325248913</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(1-Parameters_Public!$C$43)*$G51*$AB51*$J51*(1-$K51)) + AB51*INDEX(YearMap!$Q$2:$Q$6, MATCH(C51, YearMap!$A$2:$A$6, 0))</f>
        <v>5830927.4802430766</v>
      </c>
      <c r="AF51" s="2">
        <f t="shared" si="18"/>
        <v>33921.416878031567</v>
      </c>
      <c r="AG51" t="str">
        <f t="shared" si="19"/>
        <v>B1_Repurpose_Echo_ops_PimaTargets|FY2030</v>
      </c>
    </row>
    <row r="52" spans="1:33">
      <c r="A52" t="str">
        <f t="shared" si="10"/>
        <v>C2_Repurpose_Pima_lease_EchoGHub_EchoTargets|FY2026</v>
      </c>
      <c r="B52" t="str">
        <f>Scenarios!A13</f>
        <v>C2_Repurpose_Pima_lease_EchoGHub_EchoTargets</v>
      </c>
      <c r="C52" t="s">
        <v>11</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251.31666666666666</v>
      </c>
      <c r="P52">
        <f>YearMap!E2</f>
        <v>1000</v>
      </c>
      <c r="Q52">
        <f>IF(Scenarios!N13="lease", YearMap!F2, YearMap!G2)</f>
        <v>0.2</v>
      </c>
      <c r="R52" s="2">
        <f>IF(Scenarios!D13=1, Q52*H52, H52)</f>
        <v>922499.99999999988</v>
      </c>
      <c r="S52" s="2">
        <f>IF(Scenarios!E13=1, Q52*I52, I52)</f>
        <v>199875</v>
      </c>
      <c r="T52" s="2">
        <f>IF(C52="FY2026", (Scenarios!D13+Scenarios!E13)*BaselineCalc!$B$22, 0)</f>
        <v>1200000</v>
      </c>
      <c r="U52" s="2">
        <f t="shared" si="13"/>
        <v>3400922.2782800179</v>
      </c>
      <c r="V52" s="2">
        <f t="shared" si="14"/>
        <v>2363221.9291463229</v>
      </c>
      <c r="W52" s="2">
        <f>U52+V52+IF(Parameters_Public!$C$28=1, T52, 0)</f>
        <v>5764144.2074263413</v>
      </c>
      <c r="X52" s="2">
        <f t="shared" si="15"/>
        <v>10972.703843573099</v>
      </c>
      <c r="Y52" s="2">
        <f>INDEX(YearMap!$I$2:$I$6, MATCH(C52, YearMap!$A$2:$A$6, 0))</f>
        <v>5013</v>
      </c>
      <c r="Z52" s="2">
        <f>W52 - ((Y52 + IF(Parameters_Public!$C$20=1, Parameters_Public!$C$19, 0))*AC52)</f>
        <v>2735719.8899263409</v>
      </c>
      <c r="AA52" s="2">
        <f t="shared" si="16"/>
        <v>5207.7538435730967</v>
      </c>
      <c r="AB52">
        <f>MAX(0, (MAX(0, $D52-BaselineCalc!$B$7) + MAX(0, $E52-BaselineCalc!$B$8)))</f>
        <v>17</v>
      </c>
      <c r="AC52" s="11">
        <f>L52+M52-N52+O52</f>
        <v>525.31666666666672</v>
      </c>
      <c r="AD52" s="2">
        <f>( (Y52 + IF(Parameters_Public!$C20=1, INDEX(YearMap!$O$2:$O$6, MATCH(C52, YearMap!$A$2:$A$6, 0)), 0)) * AC52 ) + AC52*INDEX(YearMap!$P$2:$P$6, MATCH(C52, YearMap!$A$2:$A$6, 0)) + AB52*( INDEX(YearMap!$R$2:$R$6, MATCH(C52, YearMap!$A$2:$A$6, 0)) - INDEX(YearMap!$P$2:$P$6, MATCH(C52, YearMap!$A$2:$A$6, 0)) )</f>
        <v>5746810.9841666669</v>
      </c>
      <c r="AE52" s="2">
        <f>(W52 - (1-Parameters_Public!$C$43)*$G52*$AB52*$J52*(1-$K52)) + AB52*INDEX(YearMap!$Q$2:$Q$6, MATCH(C52, YearMap!$A$2:$A$6, 0))</f>
        <v>5710801.3368339902</v>
      </c>
      <c r="AF52" s="2">
        <f t="shared" si="18"/>
        <v>36009.647332676686</v>
      </c>
      <c r="AG52" t="str">
        <f t="shared" si="19"/>
        <v>C2_Repurpose_Pima_lease_EchoGHub_EchoTargets|FY2026</v>
      </c>
    </row>
    <row r="53" spans="1:33">
      <c r="A53" t="str">
        <f t="shared" si="10"/>
        <v>C2_Repurpose_Pima_lease_EchoGHub_EchoTargets|FY2027</v>
      </c>
      <c r="B53" t="str">
        <f>Scenarios!A13</f>
        <v>C2_Repurpose_Pima_lease_EchoGHub_EchoTargets</v>
      </c>
      <c r="C53" t="s">
        <v>12</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251.8833333333333</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2371090.5142461755</v>
      </c>
      <c r="W53" s="2">
        <f>U53+V53+IF(Parameters_Public!$C$28=1, T53, 0)</f>
        <v>5970002.3850674797</v>
      </c>
      <c r="X53" s="2">
        <f t="shared" si="15"/>
        <v>11017.136010335827</v>
      </c>
      <c r="Y53" s="2">
        <f>INDEX(YearMap!$I$2:$I$6, MATCH(C53, YearMap!$A$2:$A$6, 0))</f>
        <v>5138.3249999999998</v>
      </c>
      <c r="Z53" s="2">
        <f>W53 - ((Y53 + IF(Parameters_Public!$C$20=1, Parameters_Public!$C$19, 0))*AC53)</f>
        <v>2778160.5338174808</v>
      </c>
      <c r="AA53" s="2">
        <f t="shared" si="16"/>
        <v>5126.8610103358315</v>
      </c>
      <c r="AB53">
        <f>MAX(0, (MAX(0, $D53-BaselineCalc!$B$7) + MAX(0, $E53-BaselineCalc!$B$8)))</f>
        <v>33</v>
      </c>
      <c r="AC53" s="11">
        <f t="shared" si="17"/>
        <v>541.88333333333321</v>
      </c>
      <c r="AD53" s="2">
        <f>( (Y53 + IF(Parameters_Public!$C20=1, INDEX(YearMap!$O$2:$O$6, MATCH(C53, YearMap!$A$2:$A$6, 0)), 0)) * AC53 ) + AC53*INDEX(YearMap!$P$2:$P$6, MATCH(C53, YearMap!$A$2:$A$6, 0)) + AB53*( INDEX(YearMap!$R$2:$R$6, MATCH(C53, YearMap!$A$2:$A$6, 0)) - INDEX(YearMap!$P$2:$P$6, MATCH(C53, YearMap!$A$2:$A$6, 0)) )</f>
        <v>6063883.2472291645</v>
      </c>
      <c r="AE53" s="2">
        <f>(W53 - (1-Parameters_Public!$C$43)*$G53*$AB53*$J53*(1-$K53)) + AB53*INDEX(YearMap!$Q$2:$Q$6, MATCH(C53, YearMap!$A$2:$A$6, 0))</f>
        <v>5862380.7616682872</v>
      </c>
      <c r="AF53" s="2">
        <f t="shared" si="18"/>
        <v>201502.48556087725</v>
      </c>
      <c r="AG53" t="str">
        <f t="shared" si="19"/>
        <v>C2_Repurpose_Pima_lease_EchoGHub_EchoTargets|FY2027</v>
      </c>
    </row>
    <row r="54" spans="1:33">
      <c r="A54" t="str">
        <f t="shared" si="10"/>
        <v>C2_Repurpose_Pima_lease_EchoGHub_EchoTargets|FY2028</v>
      </c>
      <c r="B54" t="str">
        <f>Scenarios!A13</f>
        <v>C2_Repurpose_Pima_lease_EchoGHub_EchoTargets</v>
      </c>
      <c r="C54" t="s">
        <v>13</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2372281.9550808426</v>
      </c>
      <c r="W54" s="2">
        <f>U54+V54+IF(Parameters_Public!$C$28=1, T54, 0)</f>
        <v>6156544.3262357861</v>
      </c>
      <c r="X54" s="2">
        <f t="shared" si="15"/>
        <v>11021.382610518771</v>
      </c>
      <c r="Y54" s="2">
        <f>INDEX(YearMap!$I$2:$I$6, MATCH(C54, YearMap!$A$2:$A$6, 0))</f>
        <v>5266.7831249999999</v>
      </c>
      <c r="Z54" s="2">
        <f>W54 - ((Y54 + IF(Parameters_Public!$C$20=1, Parameters_Public!$C$19, 0))*AC54)</f>
        <v>2794480.0026107859</v>
      </c>
      <c r="AA54" s="2">
        <f t="shared" si="16"/>
        <v>5002.6494855187711</v>
      </c>
      <c r="AB54">
        <f>MAX(0, (MAX(0, $D54-BaselineCalc!$B$7) + MAX(0, $E54-BaselineCalc!$B$8)))</f>
        <v>50</v>
      </c>
      <c r="AC54" s="11">
        <f t="shared" si="17"/>
        <v>558.6</v>
      </c>
      <c r="AD54" s="2">
        <f>( (Y54 + IF(Parameters_Public!$C20=1, INDEX(YearMap!$O$2:$O$6, MATCH(C54, YearMap!$A$2:$A$6, 0)), 0)) * AC54 ) + AC54*INDEX(YearMap!$P$2:$P$6, MATCH(C54, YearMap!$A$2:$A$6, 0)) + AB54*( INDEX(YearMap!$R$2:$R$6, MATCH(C54, YearMap!$A$2:$A$6, 0)) - INDEX(YearMap!$P$2:$P$6, MATCH(C54, YearMap!$A$2:$A$6, 0)) )</f>
        <v>6394125.886668751</v>
      </c>
      <c r="AE54" s="2">
        <f>(W54 - (1-Parameters_Public!$C$43)*$G54*$AB54*$J54*(1-$K54)) + AB54*INDEX(YearMap!$Q$2:$Q$6, MATCH(C54, YearMap!$A$2:$A$6, 0))</f>
        <v>5987204.683835526</v>
      </c>
      <c r="AF54" s="2">
        <f t="shared" si="18"/>
        <v>406921.20283322502</v>
      </c>
      <c r="AG54" t="str">
        <f t="shared" si="19"/>
        <v>C2_Repurpose_Pima_lease_EchoGHub_EchoTargets|FY2028</v>
      </c>
    </row>
    <row r="55" spans="1:33">
      <c r="A55" t="str">
        <f t="shared" si="10"/>
        <v>C2_Repurpose_Pima_lease_EchoGHub_EchoTargets|FY2029</v>
      </c>
      <c r="B55" t="str">
        <f>Scenarios!A13</f>
        <v>C2_Repurpose_Pima_lease_EchoGHub_EchoTargets</v>
      </c>
      <c r="C55" t="s">
        <v>14</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2402655.0039578634</v>
      </c>
      <c r="W55" s="2">
        <f>U55+V55+IF(Parameters_Public!$C$28=1, T55, 0)</f>
        <v>6226521.4171026405</v>
      </c>
      <c r="X55" s="2">
        <f t="shared" si="15"/>
        <v>11146.654882031222</v>
      </c>
      <c r="Y55" s="2">
        <f>INDEX(YearMap!$I$2:$I$6, MATCH(C55, YearMap!$A$2:$A$6, 0))</f>
        <v>5398.4527031249991</v>
      </c>
      <c r="Z55" s="2">
        <f>W55 - ((Y55 + IF(Parameters_Public!$C$20=1, Parameters_Public!$C$19, 0))*AC55)</f>
        <v>2790906.4671370159</v>
      </c>
      <c r="AA55" s="2">
        <f t="shared" si="16"/>
        <v>4996.2521789062221</v>
      </c>
      <c r="AB55">
        <f>MAX(0, (MAX(0, $D55-BaselineCalc!$B$7) + MAX(0, $E55-BaselineCalc!$B$8)))</f>
        <v>50</v>
      </c>
      <c r="AC55" s="11">
        <f t="shared" si="17"/>
        <v>558.6</v>
      </c>
      <c r="AD55" s="2">
        <f>( (Y55 + IF(Parameters_Public!$C20=1, INDEX(YearMap!$O$2:$O$6, MATCH(C55, YearMap!$A$2:$A$6, 0)), 0)) * AC55 ) + AC55*INDEX(YearMap!$P$2:$P$6, MATCH(C55, YearMap!$A$2:$A$6, 0)) + AB55*( INDEX(YearMap!$R$2:$R$6, MATCH(C55, YearMap!$A$2:$A$6, 0)) - INDEX(YearMap!$P$2:$P$6, MATCH(C55, YearMap!$A$2:$A$6, 0)) )</f>
        <v>6553979.0338354679</v>
      </c>
      <c r="AE55" s="2">
        <f>(W55 - (1-Parameters_Public!$C$43)*$G55*$AB55*$J55*(1-$K55)) + AB55*INDEX(YearMap!$Q$2:$Q$6, MATCH(C55, YearMap!$A$2:$A$6, 0))</f>
        <v>6051798.283642374</v>
      </c>
      <c r="AF55" s="2">
        <f t="shared" si="18"/>
        <v>502180.7501930939</v>
      </c>
      <c r="AG55" t="str">
        <f t="shared" si="19"/>
        <v>C2_Repurpose_Pima_lease_EchoGHub_EchoTargets|FY2029</v>
      </c>
    </row>
    <row r="56" spans="1:33">
      <c r="A56" t="str">
        <f t="shared" si="10"/>
        <v>C2_Repurpose_Pima_lease_EchoGHub_EchoTargets|FY2030</v>
      </c>
      <c r="B56" t="str">
        <f>Scenarios!A13</f>
        <v>C2_Repurpose_Pima_lease_EchoGHub_EchoTargets</v>
      </c>
      <c r="C56" t="s">
        <v>15</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2409256.3790568099</v>
      </c>
      <c r="W56" s="2">
        <f>U56+V56+IF(Parameters_Public!$C$28=1, T56, 0)</f>
        <v>6328719.4525302052</v>
      </c>
      <c r="X56" s="2">
        <f t="shared" si="15"/>
        <v>11329.608758557473</v>
      </c>
      <c r="Y56" s="2">
        <f>INDEX(YearMap!$I$2:$I$6, MATCH(C56, YearMap!$A$2:$A$6, 0))</f>
        <v>5533.4140207031242</v>
      </c>
      <c r="Z56" s="2">
        <f>W56 - ((Y56 + IF(Parameters_Public!$C$20=1, Parameters_Public!$C$19, 0))*AC56)</f>
        <v>2817715.1105654403</v>
      </c>
      <c r="AA56" s="2">
        <f t="shared" si="16"/>
        <v>5044.2447378543502</v>
      </c>
      <c r="AB56">
        <f>MAX(0, (MAX(0, $D56-BaselineCalc!$B$7) + MAX(0, $E56-BaselineCalc!$B$8)))</f>
        <v>50</v>
      </c>
      <c r="AC56" s="11">
        <f t="shared" si="17"/>
        <v>558.6</v>
      </c>
      <c r="AD56" s="2">
        <f>( (Y56 + IF(Parameters_Public!$C20=1, INDEX(YearMap!$O$2:$O$6, MATCH(C56, YearMap!$A$2:$A$6, 0)), 0)) * AC56 ) + AC56*INDEX(YearMap!$P$2:$P$6, MATCH(C56, YearMap!$A$2:$A$6, 0)) + AB56*( INDEX(YearMap!$R$2:$R$6, MATCH(C56, YearMap!$A$2:$A$6, 0)) - INDEX(YearMap!$P$2:$P$6, MATCH(C56, YearMap!$A$2:$A$6, 0)) )</f>
        <v>6717828.5096813543</v>
      </c>
      <c r="AE56" s="2">
        <f>(W56 - (1-Parameters_Public!$C$43)*$G56*$AB56*$J56*(1-$K56)) + AB56*INDEX(YearMap!$Q$2:$Q$6, MATCH(C56, YearMap!$A$2:$A$6, 0))</f>
        <v>6147503.2407334317</v>
      </c>
      <c r="AF56" s="2">
        <f t="shared" si="18"/>
        <v>570325.26894792262</v>
      </c>
      <c r="AG56" t="str">
        <f t="shared" si="19"/>
        <v>C2_Repurpose_Pima_lease_EchoGHub_EchoTargets|FY2030</v>
      </c>
    </row>
    <row r="57" spans="1:33">
      <c r="A57" t="str">
        <f t="shared" si="10"/>
        <v>C1_Repurpose_Pima_ops_EchoGHub_EchoTargets|FY2026</v>
      </c>
      <c r="B57" t="str">
        <f>Scenarios!A14</f>
        <v>C1_Repurpose_Pima_ops_EchoGHub_EchoTargets</v>
      </c>
      <c r="C57" t="s">
        <v>11</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0.45</v>
      </c>
      <c r="R57" s="2">
        <f>IF(Scenarios!D14=1, Q57*H57, H57)</f>
        <v>922499.99999999988</v>
      </c>
      <c r="S57" s="2">
        <f>IF(Scenarios!E14=1, Q57*I57, I57)</f>
        <v>449718.74999999994</v>
      </c>
      <c r="T57" s="2">
        <f>IF(C57="FY2026", (Scenarios!D14+Scenarios!E14)*BaselineCalc!$B$22, 0)</f>
        <v>1200000</v>
      </c>
      <c r="U57" s="2">
        <f t="shared" si="13"/>
        <v>3649017.1220300179</v>
      </c>
      <c r="V57" s="2">
        <f t="shared" si="14"/>
        <v>2363221.9291463229</v>
      </c>
      <c r="W57" s="2">
        <f>U57+V57+IF(Parameters_Public!$C$28=1, T57, 0)</f>
        <v>6012239.0511763413</v>
      </c>
      <c r="X57" s="2">
        <f t="shared" si="15"/>
        <v>11444.980585379628</v>
      </c>
      <c r="Y57" s="2">
        <f>INDEX(YearMap!$I$2:$I$6, MATCH(C57, YearMap!$A$2:$A$6, 0))</f>
        <v>5013</v>
      </c>
      <c r="Z57" s="2">
        <f>W57 - ((Y57 + IF(Parameters_Public!$C$20=1, Parameters_Public!$C$19, 0))*AC57)</f>
        <v>2983814.7336763409</v>
      </c>
      <c r="AA57" s="2">
        <f t="shared" si="16"/>
        <v>5680.0305853796262</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(1-Parameters_Public!$C$43)*$G57*$AB57*$J57*(1-$K57)) + AB57*INDEX(YearMap!$Q$2:$Q$6, MATCH(C57, YearMap!$A$2:$A$6, 0))</f>
        <v>5958896.1805839902</v>
      </c>
      <c r="AF57" s="2">
        <f t="shared" si="18"/>
        <v>-212085.19641732331</v>
      </c>
      <c r="AG57" t="str">
        <f t="shared" si="19"/>
        <v>C1_Repurpose_Pima_ops_EchoGHub_EchoTargets|FY2026</v>
      </c>
    </row>
    <row r="58" spans="1:33">
      <c r="A58" t="str">
        <f t="shared" si="10"/>
        <v>C1_Repurpose_Pima_ops_EchoGHub_EchoTargets|FY2027</v>
      </c>
      <c r="B58" t="str">
        <f>Scenarios!A14</f>
        <v>C1_Repurpose_Pima_ops_EchoGHub_EchoTargets</v>
      </c>
      <c r="C58" t="s">
        <v>12</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0.4</v>
      </c>
      <c r="R58" s="2">
        <f>IF(Scenarios!D14=1, Q58*H58, H58)</f>
        <v>915497.14624773955</v>
      </c>
      <c r="S58" s="2">
        <f>IF(Scenarios!E14=1, Q58*I58, I58)</f>
        <v>421769.89150090417</v>
      </c>
      <c r="T58" s="2">
        <f>IF(C58="FY2026", (Scenarios!D14+Scenarios!E14)*BaselineCalc!$B$22, 0)</f>
        <v>0</v>
      </c>
      <c r="U58" s="2">
        <f t="shared" si="13"/>
        <v>3808320.6219515027</v>
      </c>
      <c r="V58" s="2">
        <f t="shared" si="14"/>
        <v>2371090.5142461755</v>
      </c>
      <c r="W58" s="2">
        <f>U58+V58+IF(Parameters_Public!$C$28=1, T58, 0)</f>
        <v>6179411.1361976787</v>
      </c>
      <c r="X58" s="2">
        <f t="shared" si="15"/>
        <v>11403.582203175984</v>
      </c>
      <c r="Y58" s="2">
        <f>INDEX(YearMap!$I$2:$I$6, MATCH(C58, YearMap!$A$2:$A$6, 0))</f>
        <v>5138.3249999999998</v>
      </c>
      <c r="Z58" s="2">
        <f>W58 - ((Y58 + IF(Parameters_Public!$C$20=1, Parameters_Public!$C$19, 0))*AC58)</f>
        <v>2987569.2849476798</v>
      </c>
      <c r="AA58" s="2">
        <f t="shared" si="16"/>
        <v>5513.3072031759857</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(1-Parameters_Public!$C$43)*$G58*$AB58*$J58*(1-$K58)) + AB58*INDEX(YearMap!$Q$2:$Q$6, MATCH(C58, YearMap!$A$2:$A$6, 0))</f>
        <v>6071789.5127984863</v>
      </c>
      <c r="AF58" s="2">
        <f t="shared" si="18"/>
        <v>-7906.2655693218112</v>
      </c>
      <c r="AG58" t="str">
        <f t="shared" si="19"/>
        <v>C1_Repurpose_Pima_ops_EchoGHub_EchoTargets|FY2027</v>
      </c>
    </row>
    <row r="59" spans="1:33">
      <c r="A59" t="str">
        <f t="shared" si="10"/>
        <v>C1_Repurpose_Pima_ops_EchoGHub_EchoTargets|FY2028</v>
      </c>
      <c r="B59" t="str">
        <f>Scenarios!A14</f>
        <v>C1_Repurpose_Pima_ops_EchoGHub_EchoTargets</v>
      </c>
      <c r="C59" t="s">
        <v>13</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0.35</v>
      </c>
      <c r="R59" s="2">
        <f>IF(Scenarios!D14=1, Q59*H59, H59)</f>
        <v>938384.57490393298</v>
      </c>
      <c r="S59" s="2">
        <f>IF(Scenarios!E14=1, Q59*I59, I59)</f>
        <v>378274.87143987342</v>
      </c>
      <c r="T59" s="2">
        <f>IF(C59="FY2026", (Scenarios!D14+Scenarios!E14)*BaselineCalc!$B$22, 0)</f>
        <v>0</v>
      </c>
      <c r="U59" s="2">
        <f t="shared" si="13"/>
        <v>3998906.3410633979</v>
      </c>
      <c r="V59" s="2">
        <f t="shared" si="14"/>
        <v>2372281.9550808426</v>
      </c>
      <c r="W59" s="2">
        <f>U59+V59+IF(Parameters_Public!$C$28=1, T59, 0)</f>
        <v>6371188.2961442405</v>
      </c>
      <c r="X59" s="2">
        <f t="shared" si="15"/>
        <v>11405.636047519227</v>
      </c>
      <c r="Y59" s="2">
        <f>INDEX(YearMap!$I$2:$I$6, MATCH(C59, YearMap!$A$2:$A$6, 0))</f>
        <v>5266.7831249999999</v>
      </c>
      <c r="Z59" s="2">
        <f>W59 - ((Y59 + IF(Parameters_Public!$C$20=1, Parameters_Public!$C$19, 0))*AC59)</f>
        <v>3009123.9725192403</v>
      </c>
      <c r="AA59" s="2">
        <f t="shared" si="16"/>
        <v>5386.9029225192271</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(1-Parameters_Public!$C$43)*$G59*$AB59*$J59*(1-$K59)) + AB59*INDEX(YearMap!$Q$2:$Q$6, MATCH(C59, YearMap!$A$2:$A$6, 0))</f>
        <v>6201848.6537439805</v>
      </c>
      <c r="AF59" s="2">
        <f t="shared" si="18"/>
        <v>192277.23292477056</v>
      </c>
      <c r="AG59" t="str">
        <f t="shared" si="19"/>
        <v>C1_Repurpose_Pima_ops_EchoGHub_EchoTargets|FY2028</v>
      </c>
    </row>
    <row r="60" spans="1:33">
      <c r="A60" t="str">
        <f t="shared" si="10"/>
        <v>C1_Repurpose_Pima_ops_EchoGHub_EchoTargets|FY2029</v>
      </c>
      <c r="B60" t="str">
        <f>Scenarios!A14</f>
        <v>C1_Repurpose_Pima_ops_EchoGHub_EchoTargets</v>
      </c>
      <c r="C60" t="s">
        <v>14</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0.3</v>
      </c>
      <c r="R60" s="2">
        <f>IF(Scenarios!D14=1, Q60*H60, H60)</f>
        <v>961844.18927653122</v>
      </c>
      <c r="S60" s="2">
        <f>IF(Scenarios!E14=1, Q60*I60, I60)</f>
        <v>332341.49419360299</v>
      </c>
      <c r="T60" s="2">
        <f>IF(C60="FY2026", (Scenarios!D14+Scenarios!E14)*BaselineCalc!$B$22, 0)</f>
        <v>0</v>
      </c>
      <c r="U60" s="2">
        <f t="shared" si="13"/>
        <v>4043876.4823009414</v>
      </c>
      <c r="V60" s="2">
        <f t="shared" si="14"/>
        <v>2402655.0039578634</v>
      </c>
      <c r="W60" s="2">
        <f>U60+V60+IF(Parameters_Public!$C$28=1, T60, 0)</f>
        <v>6446531.4862588048</v>
      </c>
      <c r="X60" s="2">
        <f t="shared" si="15"/>
        <v>11540.514654956685</v>
      </c>
      <c r="Y60" s="2">
        <f>INDEX(YearMap!$I$2:$I$6, MATCH(C60, YearMap!$A$2:$A$6, 0))</f>
        <v>5398.4527031249991</v>
      </c>
      <c r="Z60" s="2">
        <f>W60 - ((Y60 + IF(Parameters_Public!$C$20=1, Parameters_Public!$C$19, 0))*AC60)</f>
        <v>3010916.5362931802</v>
      </c>
      <c r="AA60" s="2">
        <f t="shared" si="16"/>
        <v>5390.1119518316864</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(1-Parameters_Public!$C$43)*$G60*$AB60*$J60*(1-$K60)) + AB60*INDEX(YearMap!$Q$2:$Q$6, MATCH(C60, YearMap!$A$2:$A$6, 0))</f>
        <v>6271808.3527985383</v>
      </c>
      <c r="AF60" s="2">
        <f t="shared" si="18"/>
        <v>282170.6810369296</v>
      </c>
      <c r="AG60" t="str">
        <f t="shared" si="19"/>
        <v>C1_Repurpose_Pima_ops_EchoGHub_EchoTargets|FY2029</v>
      </c>
    </row>
    <row r="61" spans="1:33">
      <c r="A61" t="str">
        <f t="shared" si="10"/>
        <v>C1_Repurpose_Pima_ops_EchoGHub_EchoTargets|FY2030</v>
      </c>
      <c r="B61" t="str">
        <f>Scenarios!A14</f>
        <v>C1_Repurpose_Pima_ops_EchoGHub_EchoTargets</v>
      </c>
      <c r="C61" t="s">
        <v>15</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0.3</v>
      </c>
      <c r="R61" s="2">
        <f>IF(Scenarios!D14=1, Q61*H61, H61)</f>
        <v>985890.29400844453</v>
      </c>
      <c r="S61" s="2">
        <f>IF(Scenarios!E14=1, Q61*I61, I61)</f>
        <v>340650.03154844308</v>
      </c>
      <c r="T61" s="2">
        <f>IF(C61="FY2026", (Scenarios!D14+Scenarios!E14)*BaselineCalc!$B$22, 0)</f>
        <v>0</v>
      </c>
      <c r="U61" s="2">
        <f t="shared" si="13"/>
        <v>4144973.3943584641</v>
      </c>
      <c r="V61" s="2">
        <f t="shared" si="14"/>
        <v>2409256.3790568099</v>
      </c>
      <c r="W61" s="2">
        <f>U61+V61+IF(Parameters_Public!$C$28=1, T61, 0)</f>
        <v>6554229.773415274</v>
      </c>
      <c r="X61" s="2">
        <f t="shared" si="15"/>
        <v>11733.315025806076</v>
      </c>
      <c r="Y61" s="2">
        <f>INDEX(YearMap!$I$2:$I$6, MATCH(C61, YearMap!$A$2:$A$6, 0))</f>
        <v>5533.4140207031242</v>
      </c>
      <c r="Z61" s="2">
        <f>W61 - ((Y61 + IF(Parameters_Public!$C$20=1, Parameters_Public!$C$19, 0))*AC61)</f>
        <v>3043225.431450509</v>
      </c>
      <c r="AA61" s="2">
        <f t="shared" si="16"/>
        <v>5447.951005102952</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(1-Parameters_Public!$C$43)*$G61*$AB61*$J61*(1-$K61)) + AB61*INDEX(YearMap!$Q$2:$Q$6, MATCH(C61, YearMap!$A$2:$A$6, 0))</f>
        <v>6373013.5616185004</v>
      </c>
      <c r="AF61" s="2">
        <f t="shared" si="18"/>
        <v>344814.94806285389</v>
      </c>
      <c r="AG61" t="str">
        <f t="shared" si="19"/>
        <v>C1_Repurpose_Pima_ops_EchoGHub_EchoTargets|FY2030</v>
      </c>
    </row>
    <row r="62" spans="1:33">
      <c r="A62" t="str">
        <f t="shared" si="10"/>
        <v>E1_StatusQuo_Decline|FY2026</v>
      </c>
      <c r="B62" t="str">
        <f>Scenarios!A15</f>
        <v>E1_StatusQuo_Decline</v>
      </c>
      <c r="C62" t="s">
        <v>11</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E1_StatusQuo_Decline|FY2026</v>
      </c>
    </row>
    <row r="63" spans="1:33">
      <c r="A63" t="str">
        <f t="shared" si="10"/>
        <v>E1_StatusQuo_Decline|FY2027</v>
      </c>
      <c r="B63" t="str">
        <f>Scenarios!A15</f>
        <v>E1_StatusQuo_Decline</v>
      </c>
      <c r="C63" t="s">
        <v>12</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E1_StatusQuo_Decline|FY2027</v>
      </c>
    </row>
    <row r="64" spans="1:33">
      <c r="A64" t="str">
        <f t="shared" si="10"/>
        <v>E1_StatusQuo_Decline|FY2028</v>
      </c>
      <c r="B64" t="str">
        <f>Scenarios!A15</f>
        <v>E1_StatusQuo_Decline</v>
      </c>
      <c r="C64" t="s">
        <v>13</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E1_StatusQuo_Decline|FY2028</v>
      </c>
    </row>
    <row r="65" spans="1:33">
      <c r="A65" t="str">
        <f t="shared" si="10"/>
        <v>E1_StatusQuo_Decline|FY2029</v>
      </c>
      <c r="B65" t="str">
        <f>Scenarios!A15</f>
        <v>E1_StatusQuo_Decline</v>
      </c>
      <c r="C65" t="s">
        <v>14</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E1_StatusQuo_Decline|FY2029</v>
      </c>
    </row>
    <row r="66" spans="1:33">
      <c r="A66" t="str">
        <f t="shared" si="10"/>
        <v>E1_StatusQuo_Decline|FY2030</v>
      </c>
      <c r="B66" t="str">
        <f>Scenarios!A15</f>
        <v>E1_StatusQuo_Decline</v>
      </c>
      <c r="C66" t="s">
        <v>15</v>
      </c>
      <c r="D66" s="11">
        <f>IF(Scenarios!D15=1,0, L66)</f>
        <v>237.04861711999996</v>
      </c>
      <c r="E66" s="11">
        <f>IF(Scenarios!E15=1,0, M66)</f>
        <v>273.02097535999997</v>
      </c>
      <c r="F66" s="11">
        <f t="shared" ref="F66"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 si="21">(L66-D66) + (M66-E66)</f>
        <v>0</v>
      </c>
      <c r="O66" s="11">
        <f>(Parameters_Public!$C$23*(L66-D66)+Parameters_Public!$C$24*(M66-E66))</f>
        <v>0</v>
      </c>
      <c r="P66">
        <f>YearMap!E6</f>
        <v>300</v>
      </c>
      <c r="Q66">
        <f>IF(Scenarios!N15="lease", YearMap!F6, YearMap!G6)</f>
        <v>0.3</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 si="23">AD66-AE66</f>
        <v>-631193.6658622073</v>
      </c>
      <c r="AG66" t="str">
        <f t="shared" si="19"/>
        <v>E1_StatusQuo_Decline|FY2030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3"/>
  <sheetViews>
    <sheetView zoomScale="80" zoomScaleNormal="80" workbookViewId="0">
      <pane xSplit="1" ySplit="3" topLeftCell="B31" activePane="bottomRight" state="frozen"/>
      <selection pane="topRight" activeCell="B1" sqref="B1"/>
      <selection pane="bottomLeft" activeCell="A4" sqref="A4"/>
      <selection pane="bottomRight" activeCell="G35" sqref="G35"/>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123" t="s">
        <v>374</v>
      </c>
      <c r="B1" s="123"/>
      <c r="C1" s="123"/>
      <c r="D1" s="123"/>
      <c r="E1" s="123"/>
      <c r="F1" s="123"/>
      <c r="G1" s="123"/>
      <c r="H1" s="123"/>
    </row>
    <row r="3" spans="1:8">
      <c r="A3" s="4" t="s">
        <v>315</v>
      </c>
      <c r="B3" s="4" t="s">
        <v>8</v>
      </c>
      <c r="C3" s="4" t="s">
        <v>375</v>
      </c>
      <c r="D3" s="4" t="s">
        <v>376</v>
      </c>
      <c r="E3" s="4" t="s">
        <v>377</v>
      </c>
      <c r="F3" s="4" t="s">
        <v>378</v>
      </c>
      <c r="G3" s="4" t="s">
        <v>379</v>
      </c>
      <c r="H3" s="4" t="s">
        <v>380</v>
      </c>
    </row>
    <row r="4" spans="1:8">
      <c r="A4" t="str">
        <f>Scenarios!$A$3</f>
        <v>F1_CUSTOM1</v>
      </c>
      <c r="B4" t="s">
        <v>11</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Scenarios!$A$3</f>
        <v>F1_CUSTOM1</v>
      </c>
      <c r="B5" t="s">
        <v>12</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Scenarios!$A$3</f>
        <v>F1_CUSTOM1</v>
      </c>
      <c r="B6" t="s">
        <v>13</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Scenarios!$A$3</f>
        <v>F1_CUSTOM1</v>
      </c>
      <c r="B7" t="s">
        <v>14</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Scenarios!$A$3</f>
        <v>F1_CUSTOM1</v>
      </c>
      <c r="B8" t="s">
        <v>15</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Scenarios!$A$4</f>
        <v>D4_StatusQuo_Targets</v>
      </c>
      <c r="B9" t="s">
        <v>11</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Scenarios!$A$4</f>
        <v>D4_StatusQuo_Targets</v>
      </c>
      <c r="B10" t="s">
        <v>12</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Scenarios!$A$4</f>
        <v>D4_StatusQuo_Targets</v>
      </c>
      <c r="B11" t="s">
        <v>13</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Scenarios!$A$4</f>
        <v>D4_StatusQuo_Targets</v>
      </c>
      <c r="B12" t="s">
        <v>14</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Scenarios!$A$4</f>
        <v>D4_StatusQuo_Targets</v>
      </c>
      <c r="B13" t="s">
        <v>15</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Scenarios!$A$5</f>
        <v>D3_CoLocation_Echo_Targets</v>
      </c>
      <c r="B14" t="s">
        <v>11</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Scenarios!$A$5</f>
        <v>D3_CoLocation_Echo_Targets</v>
      </c>
      <c r="B15" t="s">
        <v>12</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Scenarios!$A$5</f>
        <v>D3_CoLocation_Echo_Targets</v>
      </c>
      <c r="B16" t="s">
        <v>13</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Scenarios!$A$5</f>
        <v>D3_CoLocation_Echo_Targets</v>
      </c>
      <c r="B17" t="s">
        <v>14</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Scenarios!$A$5</f>
        <v>D3_CoLocation_Echo_Targets</v>
      </c>
      <c r="B18" t="s">
        <v>15</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Scenarios!$A$6</f>
        <v>D1_Grow_Both_Targets</v>
      </c>
      <c r="B19" t="s">
        <v>11</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Scenarios!$A$6</f>
        <v>D1_Grow_Both_Targets</v>
      </c>
      <c r="B20" t="s">
        <v>12</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Scenarios!$A$6</f>
        <v>D1_Grow_Both_Targets</v>
      </c>
      <c r="B21" t="s">
        <v>13</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Scenarios!$A$6</f>
        <v>D1_Grow_Both_Targets</v>
      </c>
      <c r="B22" t="s">
        <v>14</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Scenarios!$A$6</f>
        <v>D1_Grow_Both_Targets</v>
      </c>
      <c r="B23" t="s">
        <v>15</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Scenarios!$A$7</f>
        <v>E2_StatusQuo_Steady</v>
      </c>
      <c r="B24" t="s">
        <v>11</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Scenarios!$A$7</f>
        <v>E2_StatusQuo_Steady</v>
      </c>
      <c r="B25" t="s">
        <v>12</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Scenarios!$A$7</f>
        <v>E2_StatusQuo_Steady</v>
      </c>
      <c r="B26" t="s">
        <v>13</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Scenarios!$A$7</f>
        <v>E2_StatusQuo_Steady</v>
      </c>
      <c r="B27" t="s">
        <v>14</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Scenarios!$A$7</f>
        <v>E2_StatusQuo_Steady</v>
      </c>
      <c r="B28" t="s">
        <v>15</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Scenarios!$A$8</f>
        <v>D2_EchoGHubRamp_PimaTargets</v>
      </c>
      <c r="B29" t="s">
        <v>11</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Scenarios!$A$8</f>
        <v>D2_EchoGHubRamp_PimaTargets</v>
      </c>
      <c r="B30" t="s">
        <v>12</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Scenarios!$A$8</f>
        <v>D2_EchoGHubRamp_PimaTargets</v>
      </c>
      <c r="B31" t="s">
        <v>13</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Scenarios!$A$8</f>
        <v>D2_EchoGHubRamp_PimaTargets</v>
      </c>
      <c r="B32" t="s">
        <v>14</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Scenarios!$A$8</f>
        <v>D2_EchoGHubRamp_PimaTargets</v>
      </c>
      <c r="B33" t="s">
        <v>15</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Scenarios!$A$9</f>
        <v>A2_Repurpose_Both_lease</v>
      </c>
      <c r="B34" t="s">
        <v>11</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2314479.9999999995</v>
      </c>
    </row>
    <row r="35" spans="1:8">
      <c r="A35" t="str">
        <f>Scenarios!$A$9</f>
        <v>A2_Repurpose_Both_lease</v>
      </c>
      <c r="B35" t="s">
        <v>12</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Scenarios!$A$9</f>
        <v>A2_Repurpose_Both_lease</v>
      </c>
      <c r="B36" t="s">
        <v>13</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Scenarios!$A$9</f>
        <v>A2_Repurpose_Both_lease</v>
      </c>
      <c r="B37" t="s">
        <v>14</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Scenarios!$A$9</f>
        <v>A2_Repurpose_Both_lease</v>
      </c>
      <c r="B38" t="s">
        <v>15</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Scenarios!$A$10</f>
        <v>A1_Repurpose_Both_ops</v>
      </c>
      <c r="B39" t="s">
        <v>11</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3114479.9999999995</v>
      </c>
    </row>
    <row r="40" spans="1:8">
      <c r="A40" t="str">
        <f>Scenarios!$A$10</f>
        <v>A1_Repurpose_Both_ops</v>
      </c>
      <c r="B40" t="s">
        <v>12</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Scenarios!$A$10</f>
        <v>A1_Repurpose_Both_ops</v>
      </c>
      <c r="B41" t="s">
        <v>13</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Scenarios!$A$10</f>
        <v>A1_Repurpose_Both_ops</v>
      </c>
      <c r="B42" t="s">
        <v>14</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Scenarios!$A$10</f>
        <v>A1_Repurpose_Both_ops</v>
      </c>
      <c r="B43" t="s">
        <v>15</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Scenarios!$A$11</f>
        <v>B2_Repurpose_Echo_lease_PimaTargets</v>
      </c>
      <c r="B44" t="s">
        <v>11</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Scenarios!$A$11</f>
        <v>B2_Repurpose_Echo_lease_PimaTargets</v>
      </c>
      <c r="B45" t="s">
        <v>12</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Scenarios!$A$11</f>
        <v>B2_Repurpose_Echo_lease_PimaTargets</v>
      </c>
      <c r="B46" t="s">
        <v>13</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Scenarios!$A$11</f>
        <v>B2_Repurpose_Echo_lease_PimaTargets</v>
      </c>
      <c r="B47" t="s">
        <v>14</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Scenarios!$A$11</f>
        <v>B2_Repurpose_Echo_lease_PimaTargets</v>
      </c>
      <c r="B48" t="s">
        <v>15</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Scenarios!$A$12</f>
        <v>B1_Repurpose_Echo_ops_PimaTargets</v>
      </c>
      <c r="B49" t="s">
        <v>11</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Scenarios!$A$12</f>
        <v>B1_Repurpose_Echo_ops_PimaTargets</v>
      </c>
      <c r="B50" t="s">
        <v>12</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Scenarios!$A$12</f>
        <v>B1_Repurpose_Echo_ops_PimaTargets</v>
      </c>
      <c r="B51" t="s">
        <v>13</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Scenarios!$A$12</f>
        <v>B1_Repurpose_Echo_ops_PimaTargets</v>
      </c>
      <c r="B52" t="s">
        <v>14</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Scenarios!$A$12</f>
        <v>B1_Repurpose_Echo_ops_PimaTargets</v>
      </c>
      <c r="B53" t="s">
        <v>15</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Scenarios!$A$13</f>
        <v>C2_Repurpose_Pima_lease_EchoGHub_EchoTargets</v>
      </c>
      <c r="B54" t="s">
        <v>11</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Scenarios!$A$13</f>
        <v>C2_Repurpose_Pima_lease_EchoGHub_EchoTargets</v>
      </c>
      <c r="B55" t="s">
        <v>12</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Scenarios!$A$13</f>
        <v>C2_Repurpose_Pima_lease_EchoGHub_EchoTargets</v>
      </c>
      <c r="B56" t="s">
        <v>13</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Scenarios!$A$13</f>
        <v>C2_Repurpose_Pima_lease_EchoGHub_EchoTargets</v>
      </c>
      <c r="B57" t="s">
        <v>14</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Scenarios!$A$13</f>
        <v>C2_Repurpose_Pima_lease_EchoGHub_EchoTargets</v>
      </c>
      <c r="B58" t="s">
        <v>15</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Scenarios!$A$14</f>
        <v>C1_Repurpose_Pima_ops_EchoGHub_EchoTargets</v>
      </c>
      <c r="B59" t="s">
        <v>11</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Scenarios!$A$14</f>
        <v>C1_Repurpose_Pima_ops_EchoGHub_EchoTargets</v>
      </c>
      <c r="B60" t="s">
        <v>12</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Scenarios!$A$14</f>
        <v>C1_Repurpose_Pima_ops_EchoGHub_EchoTargets</v>
      </c>
      <c r="B61" t="s">
        <v>13</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Scenarios!$A$14</f>
        <v>C1_Repurpose_Pima_ops_EchoGHub_EchoTargets</v>
      </c>
      <c r="B62" t="s">
        <v>14</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Scenarios!$A$14</f>
        <v>C1_Repurpose_Pima_ops_EchoGHub_EchoTargets</v>
      </c>
      <c r="B63" t="s">
        <v>15</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Scenarios!$A$15</f>
        <v>E1_StatusQuo_Decline</v>
      </c>
      <c r="B64" t="s">
        <v>11</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Scenarios!$A$15</f>
        <v>E1_StatusQuo_Decline</v>
      </c>
      <c r="B65" t="s">
        <v>12</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Scenarios!$A$15</f>
        <v>E1_StatusQuo_Decline</v>
      </c>
      <c r="B66" t="s">
        <v>13</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Scenarios!$A$15</f>
        <v>E1_StatusQuo_Decline</v>
      </c>
      <c r="B67" t="s">
        <v>14</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Scenarios!$A$15</f>
        <v>E1_StatusQuo_Decline</v>
      </c>
      <c r="B68" t="s">
        <v>15</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c r="A70" s="4" t="s">
        <v>315</v>
      </c>
      <c r="B70" s="4" t="s">
        <v>381</v>
      </c>
    </row>
    <row r="71" spans="1:8">
      <c r="A71" t="str">
        <f t="array" ref="A71:A83">_xlfn.UNIQUE(A4:A68)</f>
        <v>F1_CUSTOM1</v>
      </c>
      <c r="B71" s="29">
        <f t="shared" ref="B71:B83" si="3">VLOOKUP(A71,A4:H63, 8, 0)</f>
        <v>0</v>
      </c>
    </row>
    <row r="72" spans="1:8">
      <c r="A72" t="str">
        <v>D4_StatusQuo_Targets</v>
      </c>
      <c r="B72" s="29">
        <f t="shared" si="3"/>
        <v>0</v>
      </c>
    </row>
    <row r="73" spans="1:8">
      <c r="A73" t="str">
        <v>D3_CoLocation_Echo_Targets</v>
      </c>
      <c r="B73" s="29">
        <f t="shared" si="3"/>
        <v>0</v>
      </c>
    </row>
    <row r="74" spans="1:8">
      <c r="A74" t="str">
        <v>D1_Grow_Both_Targets</v>
      </c>
      <c r="B74" s="29">
        <f t="shared" si="3"/>
        <v>2000000</v>
      </c>
    </row>
    <row r="75" spans="1:8">
      <c r="A75" t="str">
        <v>E2_StatusQuo_Steady</v>
      </c>
      <c r="B75" s="29">
        <f t="shared" si="3"/>
        <v>0</v>
      </c>
    </row>
    <row r="76" spans="1:8">
      <c r="A76" t="str">
        <v>D2_EchoGHubRamp_PimaTargets</v>
      </c>
      <c r="B76" s="29">
        <f t="shared" si="3"/>
        <v>800000</v>
      </c>
    </row>
    <row r="77" spans="1:8">
      <c r="A77" t="str">
        <v>A2_Repurpose_Both_lease</v>
      </c>
      <c r="B77" s="29">
        <f t="shared" si="3"/>
        <v>2314479.9999999995</v>
      </c>
    </row>
    <row r="78" spans="1:8">
      <c r="A78" t="str">
        <v>A1_Repurpose_Both_ops</v>
      </c>
      <c r="B78" s="29">
        <f t="shared" si="3"/>
        <v>3114479.9999999995</v>
      </c>
    </row>
    <row r="79" spans="1:8">
      <c r="A79" t="str">
        <v>B2_Repurpose_Echo_lease_PimaTargets</v>
      </c>
      <c r="B79" s="29">
        <f t="shared" si="3"/>
        <v>800000</v>
      </c>
    </row>
    <row r="80" spans="1:8">
      <c r="A80" t="str">
        <v>B1_Repurpose_Echo_ops_PimaTargets</v>
      </c>
      <c r="B80" s="29">
        <f t="shared" si="3"/>
        <v>1200000</v>
      </c>
    </row>
    <row r="81" spans="1:2">
      <c r="A81" t="str">
        <v>C2_Repurpose_Pima_lease_EchoGHub_EchoTargets</v>
      </c>
      <c r="B81" s="29">
        <f t="shared" si="3"/>
        <v>1600000</v>
      </c>
    </row>
    <row r="82" spans="1:2">
      <c r="A82" t="str">
        <v>C1_Repurpose_Pima_ops_EchoGHub_EchoTargets</v>
      </c>
      <c r="B82" s="29">
        <f t="shared" si="3"/>
        <v>2000000</v>
      </c>
    </row>
    <row r="83" spans="1:2">
      <c r="A83" t="str">
        <v>E1_StatusQuo_Decline</v>
      </c>
      <c r="B83" s="29">
        <f t="shared" si="3"/>
        <v>0</v>
      </c>
    </row>
  </sheetData>
  <mergeCells count="1">
    <mergeCell ref="A1:H1"/>
  </mergeCells>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8"/>
  <sheetViews>
    <sheetView topLeftCell="A4" zoomScale="80" zoomScaleNormal="80" workbookViewId="0">
      <selection activeCell="L10" sqref="L10"/>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123" t="s">
        <v>382</v>
      </c>
      <c r="B1" s="123"/>
      <c r="C1" s="123"/>
      <c r="D1" s="123"/>
      <c r="E1" s="123"/>
      <c r="F1" s="123"/>
      <c r="G1" s="123"/>
      <c r="H1" s="123"/>
      <c r="I1" s="123"/>
      <c r="J1" s="123"/>
      <c r="K1" s="123"/>
      <c r="L1" s="123"/>
    </row>
    <row r="3" spans="1:12">
      <c r="A3" t="s">
        <v>315</v>
      </c>
      <c r="B3" t="s">
        <v>317</v>
      </c>
      <c r="C3" t="s">
        <v>318</v>
      </c>
      <c r="D3" t="s">
        <v>383</v>
      </c>
      <c r="E3" t="s">
        <v>384</v>
      </c>
      <c r="G3" t="s">
        <v>385</v>
      </c>
      <c r="H3" t="s">
        <v>386</v>
      </c>
      <c r="J3" t="s">
        <v>387</v>
      </c>
      <c r="K3" t="s">
        <v>388</v>
      </c>
      <c r="L3" t="s">
        <v>379</v>
      </c>
    </row>
    <row r="4" spans="1:12">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MAX(0, D4-G4)</f>
        <v>0</v>
      </c>
      <c r="K4" s="11">
        <f t="shared" ref="K4:K16" si="0">MAX(0, E4-H4)</f>
        <v>0</v>
      </c>
      <c r="L4">
        <f>(J4+K4)*Parameters_Public!$C$34</f>
        <v>0</v>
      </c>
    </row>
    <row r="5" spans="1:12">
      <c r="A5" t="str">
        <f>Scenarios!$A$4</f>
        <v>D4_StatusQuo_Targets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ref="J5:J16" si="1">MAX(0, D5-G5)</f>
        <v>0</v>
      </c>
      <c r="K5" s="11">
        <f t="shared" si="0"/>
        <v>0</v>
      </c>
      <c r="L5">
        <f>(J5+K5)*Parameters_Public!$C$34</f>
        <v>0</v>
      </c>
    </row>
    <row r="6" spans="1:12">
      <c r="A6" t="str">
        <f>Scenarios!$A$5</f>
        <v>D3_CoLocation_Echo_Targets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1"/>
        <v>0</v>
      </c>
      <c r="K6" s="11">
        <f t="shared" si="0"/>
        <v>0</v>
      </c>
      <c r="L6">
        <f>(J6+K6)*Parameters_Public!$C$34</f>
        <v>0</v>
      </c>
    </row>
    <row r="7" spans="1:12">
      <c r="A7" t="str">
        <f>Scenarios!$A$6</f>
        <v>D1_Grow_Both_Targets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1"/>
        <v>0</v>
      </c>
      <c r="K7" s="11">
        <f t="shared" si="0"/>
        <v>0</v>
      </c>
      <c r="L7">
        <f>(J7+K7)*Parameters_Public!$C$34</f>
        <v>0</v>
      </c>
    </row>
    <row r="8" spans="1:12">
      <c r="A8" t="str">
        <f>Scenarios!$A$7</f>
        <v>E2_StatusQuo_Steady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1"/>
        <v>0</v>
      </c>
      <c r="K8" s="11">
        <f t="shared" si="0"/>
        <v>0</v>
      </c>
      <c r="L8">
        <f>(J8+K8)*Parameters_Public!$C$34</f>
        <v>0</v>
      </c>
    </row>
    <row r="9" spans="1:12">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1"/>
        <v>0</v>
      </c>
      <c r="K9" s="11">
        <f t="shared" si="0"/>
        <v>0</v>
      </c>
      <c r="L9">
        <f>(J9+K9)*Parameters_Public!$C$34</f>
        <v>0</v>
      </c>
    </row>
    <row r="10" spans="1:12">
      <c r="A10" t="str">
        <f>Scenarios!$A$9</f>
        <v>A2_Repurpose_Both_lease</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1"/>
        <v>59.539999999999964</v>
      </c>
      <c r="K10" s="11">
        <f t="shared" si="0"/>
        <v>0</v>
      </c>
      <c r="L10">
        <f>(J10+K10)*Parameters_Public!$C$34</f>
        <v>714479.99999999953</v>
      </c>
    </row>
    <row r="11" spans="1:12">
      <c r="A11" t="str">
        <f>Scenarios!$A$10</f>
        <v>A1_Repurpose_Both_ops</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1"/>
        <v>59.539999999999964</v>
      </c>
      <c r="K11" s="11">
        <f t="shared" si="0"/>
        <v>0</v>
      </c>
      <c r="L11">
        <f>(J11+K11)*Parameters_Public!$C$34</f>
        <v>714479.99999999953</v>
      </c>
    </row>
    <row r="12" spans="1:12">
      <c r="A12" t="str">
        <f>Scenarios!$A$11</f>
        <v>B2_Repurpose_Echo_lease_PimaTargets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1"/>
        <v>0</v>
      </c>
      <c r="K12" s="11">
        <f t="shared" si="0"/>
        <v>0</v>
      </c>
      <c r="L12">
        <f>(J12+K12)*Parameters_Public!$C$34</f>
        <v>0</v>
      </c>
    </row>
    <row r="13" spans="1:12">
      <c r="A13" t="str">
        <f>Scenarios!$A$12</f>
        <v>B1_Repurpose_Echo_ops_PimaTargets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1"/>
        <v>0</v>
      </c>
      <c r="K13" s="11">
        <f t="shared" si="0"/>
        <v>0</v>
      </c>
      <c r="L13">
        <f>(J13+K13)*Parameters_Public!$C$34</f>
        <v>0</v>
      </c>
    </row>
    <row r="14" spans="1:12">
      <c r="A14" t="str">
        <f>Scenarios!$A$13</f>
        <v>C2_Repurpose_Pima_lease_EchoGHub_EchoTargets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1"/>
        <v>0</v>
      </c>
      <c r="K14" s="11">
        <f t="shared" si="0"/>
        <v>0</v>
      </c>
      <c r="L14">
        <f>(J14+K14)*Parameters_Public!$C$34</f>
        <v>0</v>
      </c>
    </row>
    <row r="15" spans="1:12">
      <c r="A15" t="str">
        <f>Scenarios!$A$14</f>
        <v>C1_Repurpose_Pima_ops_EchoGHub_EchoTargets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1"/>
        <v>0</v>
      </c>
      <c r="K15" s="11">
        <f t="shared" si="0"/>
        <v>0</v>
      </c>
      <c r="L15">
        <f>(J15+K15)*Parameters_Public!$C$34</f>
        <v>0</v>
      </c>
    </row>
    <row r="16" spans="1:12">
      <c r="A16" t="str">
        <f>Scenarios!$A$15</f>
        <v>E1_StatusQuo_Decline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1"/>
        <v>0</v>
      </c>
      <c r="K16" s="11">
        <f t="shared" si="0"/>
        <v>0</v>
      </c>
      <c r="L16">
        <f>(J16+K16)*Parameters_Public!$C$34</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59"/>
  <sheetViews>
    <sheetView zoomScale="80" zoomScaleNormal="80" workbookViewId="0">
      <pane xSplit="2" ySplit="1" topLeftCell="C2"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460</v>
      </c>
    </row>
    <row r="3" spans="1:16">
      <c r="A3" s="4" t="s">
        <v>461</v>
      </c>
      <c r="B3" s="7"/>
    </row>
    <row r="4" spans="1:16">
      <c r="A4" s="4"/>
    </row>
    <row r="5" spans="1:16">
      <c r="B5" s="6" t="s">
        <v>462</v>
      </c>
      <c r="C5" s="140" t="s">
        <v>463</v>
      </c>
      <c r="D5" s="141"/>
      <c r="E5" s="141"/>
      <c r="F5" s="141"/>
      <c r="G5" s="142"/>
      <c r="H5" s="6" t="s">
        <v>136</v>
      </c>
      <c r="J5" s="4"/>
      <c r="K5" s="4"/>
      <c r="L5" s="4"/>
      <c r="M5" s="4"/>
      <c r="N5" s="4"/>
      <c r="O5" s="4"/>
      <c r="P5" s="4"/>
    </row>
    <row r="6" spans="1:16">
      <c r="B6" s="7" t="s">
        <v>464</v>
      </c>
      <c r="C6" s="14">
        <v>2.5000000000000001E-2</v>
      </c>
      <c r="D6" s="7"/>
      <c r="E6" s="7"/>
      <c r="F6" s="7"/>
      <c r="G6" s="7"/>
      <c r="H6" s="8" t="s">
        <v>465</v>
      </c>
    </row>
    <row r="7" spans="1:16">
      <c r="B7" s="7" t="s">
        <v>466</v>
      </c>
      <c r="C7" s="14">
        <v>9936</v>
      </c>
      <c r="D7" s="7"/>
      <c r="E7" s="7"/>
      <c r="F7" s="7"/>
      <c r="G7" s="7"/>
      <c r="H7" s="8" t="s">
        <v>467</v>
      </c>
    </row>
    <row r="8" spans="1:16">
      <c r="B8" s="7" t="s">
        <v>468</v>
      </c>
      <c r="C8" s="14">
        <v>0.46</v>
      </c>
      <c r="D8" s="7"/>
      <c r="E8" s="7"/>
      <c r="F8" s="7"/>
      <c r="G8" s="7"/>
      <c r="H8" s="8" t="s">
        <v>469</v>
      </c>
    </row>
    <row r="9" spans="1:16">
      <c r="B9" s="7" t="s">
        <v>470</v>
      </c>
      <c r="C9" s="14">
        <v>5013</v>
      </c>
      <c r="D9" s="7"/>
      <c r="E9" s="7"/>
      <c r="F9" s="7"/>
      <c r="G9" s="7"/>
      <c r="H9" s="8" t="s">
        <v>471</v>
      </c>
    </row>
    <row r="10" spans="1:16">
      <c r="B10" s="7" t="s">
        <v>472</v>
      </c>
      <c r="C10" s="14">
        <v>7.0000000000000001E-3</v>
      </c>
      <c r="D10" s="7"/>
      <c r="E10" s="7"/>
      <c r="F10" s="7"/>
      <c r="G10" s="7"/>
      <c r="H10" s="8" t="s">
        <v>473</v>
      </c>
    </row>
    <row r="11" spans="1:16">
      <c r="B11" s="7" t="s">
        <v>474</v>
      </c>
      <c r="C11" s="14">
        <v>1.4999999999999999E-2</v>
      </c>
      <c r="D11" s="7"/>
      <c r="E11" s="7"/>
      <c r="F11" s="7"/>
      <c r="G11" s="7"/>
      <c r="H11" s="8" t="s">
        <v>475</v>
      </c>
    </row>
    <row r="12" spans="1:16">
      <c r="B12" s="7" t="s">
        <v>476</v>
      </c>
      <c r="C12" s="14">
        <v>257</v>
      </c>
      <c r="D12" s="7"/>
      <c r="E12" s="7"/>
      <c r="F12" s="7"/>
      <c r="G12" s="7"/>
      <c r="H12" s="8" t="s">
        <v>477</v>
      </c>
    </row>
    <row r="13" spans="1:16">
      <c r="B13" s="7" t="s">
        <v>478</v>
      </c>
      <c r="C13" s="14">
        <v>296</v>
      </c>
      <c r="D13" s="7"/>
      <c r="E13" s="7"/>
      <c r="F13" s="7"/>
      <c r="G13" s="7"/>
      <c r="H13" s="8" t="s">
        <v>479</v>
      </c>
    </row>
    <row r="14" spans="1:16">
      <c r="B14" s="7" t="s">
        <v>480</v>
      </c>
      <c r="C14" s="7">
        <f>C12+C13</f>
        <v>553</v>
      </c>
      <c r="D14" s="7"/>
      <c r="E14" s="7"/>
      <c r="F14" s="7"/>
      <c r="G14" s="7"/>
      <c r="H14" s="8" t="s">
        <v>481</v>
      </c>
    </row>
    <row r="15" spans="1:16">
      <c r="B15" s="7" t="s">
        <v>482</v>
      </c>
      <c r="C15" s="13">
        <v>1200000</v>
      </c>
      <c r="D15" s="7"/>
      <c r="E15" s="7"/>
      <c r="F15" s="7"/>
      <c r="G15" s="7"/>
      <c r="H15" s="8" t="s">
        <v>483</v>
      </c>
    </row>
    <row r="16" spans="1:16">
      <c r="B16" s="7" t="s">
        <v>484</v>
      </c>
      <c r="C16" s="14">
        <v>0.75</v>
      </c>
      <c r="D16" s="7"/>
      <c r="E16" s="7"/>
      <c r="F16" s="7"/>
      <c r="G16" s="7"/>
      <c r="H16" s="8" t="s">
        <v>485</v>
      </c>
    </row>
    <row r="17" spans="1:8">
      <c r="B17" s="7" t="s">
        <v>19</v>
      </c>
      <c r="C17" s="14">
        <f>Parameters_Public!$C41</f>
        <v>0</v>
      </c>
      <c r="D17" s="7"/>
      <c r="E17" s="7"/>
      <c r="F17" s="7"/>
      <c r="G17" s="7"/>
      <c r="H17" s="8" t="s">
        <v>486</v>
      </c>
    </row>
    <row r="18" spans="1:8">
      <c r="B18" s="7"/>
      <c r="C18" s="7"/>
      <c r="D18" s="7"/>
      <c r="E18" s="7"/>
      <c r="F18" s="7"/>
      <c r="G18" s="7"/>
      <c r="H18" s="9"/>
    </row>
    <row r="19" spans="1:8">
      <c r="A19" s="4" t="s">
        <v>487</v>
      </c>
      <c r="B19" s="7"/>
      <c r="C19" s="7"/>
      <c r="D19" s="7"/>
      <c r="E19" s="7"/>
      <c r="F19" s="7"/>
      <c r="G19" s="7"/>
      <c r="H19" s="9"/>
    </row>
    <row r="20" spans="1:8">
      <c r="A20" s="4"/>
      <c r="B20" s="7"/>
      <c r="C20" s="7"/>
      <c r="D20" s="7"/>
      <c r="E20" s="7"/>
      <c r="F20" s="7"/>
      <c r="G20" s="7"/>
      <c r="H20" s="9"/>
    </row>
    <row r="21" spans="1:8">
      <c r="B21" s="6" t="s">
        <v>8</v>
      </c>
      <c r="C21" s="6" t="s">
        <v>358</v>
      </c>
      <c r="D21" s="6" t="s">
        <v>488</v>
      </c>
      <c r="E21" s="6" t="s">
        <v>489</v>
      </c>
      <c r="F21" s="15"/>
      <c r="G21" s="15"/>
      <c r="H21" s="9"/>
    </row>
    <row r="22" spans="1:8">
      <c r="B22" s="7" t="s">
        <v>11</v>
      </c>
      <c r="C22" s="14">
        <v>1000</v>
      </c>
      <c r="D22" s="14">
        <v>0.2</v>
      </c>
      <c r="E22" s="14">
        <v>0.45</v>
      </c>
      <c r="F22" s="7"/>
      <c r="G22" s="7"/>
      <c r="H22" s="8" t="s">
        <v>490</v>
      </c>
    </row>
    <row r="23" spans="1:8">
      <c r="B23" s="7" t="s">
        <v>12</v>
      </c>
      <c r="C23" s="14">
        <v>800</v>
      </c>
      <c r="D23" s="14">
        <v>0.2</v>
      </c>
      <c r="E23" s="14">
        <v>0.4</v>
      </c>
      <c r="F23" s="7"/>
      <c r="G23" s="7"/>
      <c r="H23" s="8" t="s">
        <v>491</v>
      </c>
    </row>
    <row r="24" spans="1:8">
      <c r="B24" s="7" t="s">
        <v>13</v>
      </c>
      <c r="C24" s="14">
        <v>600</v>
      </c>
      <c r="D24" s="14">
        <v>0.15</v>
      </c>
      <c r="E24" s="14">
        <v>0.35</v>
      </c>
      <c r="F24" s="7"/>
      <c r="G24" s="7"/>
      <c r="H24" s="8" t="s">
        <v>492</v>
      </c>
    </row>
    <row r="25" spans="1:8">
      <c r="B25" s="7" t="s">
        <v>14</v>
      </c>
      <c r="C25" s="14">
        <v>500</v>
      </c>
      <c r="D25" s="14">
        <v>0.1</v>
      </c>
      <c r="E25" s="14">
        <v>0.3</v>
      </c>
      <c r="F25" s="7"/>
      <c r="G25" s="7"/>
      <c r="H25" s="9"/>
    </row>
    <row r="26" spans="1:8">
      <c r="B26" s="7" t="s">
        <v>15</v>
      </c>
      <c r="C26" s="14">
        <v>300</v>
      </c>
      <c r="D26" s="14">
        <v>0.1</v>
      </c>
      <c r="E26" s="14">
        <v>0.3</v>
      </c>
      <c r="F26" s="7"/>
      <c r="G26" s="7"/>
      <c r="H26" s="9"/>
    </row>
    <row r="27" spans="1:8">
      <c r="B27" s="7"/>
      <c r="C27" s="7"/>
      <c r="D27" s="7"/>
      <c r="E27" s="7"/>
      <c r="F27" s="7"/>
      <c r="G27" s="7"/>
      <c r="H27" s="9"/>
    </row>
    <row r="28" spans="1:8">
      <c r="A28" s="4" t="s">
        <v>493</v>
      </c>
      <c r="B28" s="7"/>
      <c r="C28" s="7"/>
      <c r="D28" s="7"/>
      <c r="E28" s="7"/>
      <c r="F28" s="7"/>
      <c r="G28" s="7"/>
      <c r="H28" s="9"/>
    </row>
    <row r="29" spans="1:8">
      <c r="A29" s="4"/>
      <c r="B29" s="7"/>
      <c r="C29" s="7"/>
      <c r="D29" s="7"/>
      <c r="E29" s="7"/>
      <c r="F29" s="7"/>
      <c r="G29" s="7"/>
      <c r="H29" s="9"/>
    </row>
    <row r="30" spans="1:8">
      <c r="A30" s="10" t="s">
        <v>494</v>
      </c>
      <c r="B30" s="6" t="s">
        <v>495</v>
      </c>
      <c r="C30" s="6" t="s">
        <v>496</v>
      </c>
      <c r="D30" s="6" t="s">
        <v>497</v>
      </c>
      <c r="E30" s="6" t="s">
        <v>498</v>
      </c>
      <c r="F30" s="6" t="s">
        <v>499</v>
      </c>
      <c r="G30" s="6" t="s">
        <v>500</v>
      </c>
      <c r="H30" s="9"/>
    </row>
    <row r="31" spans="1:8">
      <c r="A31" s="10" t="s">
        <v>501</v>
      </c>
      <c r="B31" s="7" t="s">
        <v>502</v>
      </c>
      <c r="C31" s="14">
        <v>0</v>
      </c>
      <c r="D31" s="14">
        <v>0</v>
      </c>
      <c r="E31" s="14">
        <v>0</v>
      </c>
      <c r="F31" s="14">
        <v>0.5</v>
      </c>
      <c r="G31" s="14">
        <v>0</v>
      </c>
      <c r="H31" s="9"/>
    </row>
    <row r="32" spans="1:8">
      <c r="A32" s="10" t="s">
        <v>503</v>
      </c>
      <c r="B32" s="9" t="s">
        <v>504</v>
      </c>
      <c r="C32" s="14">
        <v>75</v>
      </c>
      <c r="D32" s="14">
        <v>0</v>
      </c>
      <c r="E32" s="14">
        <v>0</v>
      </c>
      <c r="F32" s="14">
        <v>0.5</v>
      </c>
      <c r="G32" s="14">
        <v>0</v>
      </c>
      <c r="H32" s="7" t="s">
        <v>505</v>
      </c>
    </row>
    <row r="33" spans="1:8">
      <c r="A33" s="10" t="s">
        <v>506</v>
      </c>
      <c r="B33" s="9" t="s">
        <v>507</v>
      </c>
      <c r="C33" s="14">
        <v>50</v>
      </c>
      <c r="D33" s="14">
        <v>0</v>
      </c>
      <c r="E33" s="14">
        <v>0</v>
      </c>
      <c r="F33" s="14">
        <v>0.5</v>
      </c>
      <c r="G33" s="14">
        <v>0.05</v>
      </c>
      <c r="H33" s="7" t="s">
        <v>508</v>
      </c>
    </row>
    <row r="34" spans="1:8">
      <c r="A34" s="10" t="s">
        <v>509</v>
      </c>
      <c r="B34" s="9" t="s">
        <v>510</v>
      </c>
      <c r="C34" s="14">
        <v>150</v>
      </c>
      <c r="D34" s="14">
        <v>0</v>
      </c>
      <c r="E34" s="14">
        <v>0</v>
      </c>
      <c r="F34" s="14">
        <v>0.5</v>
      </c>
      <c r="G34" s="14">
        <v>0</v>
      </c>
      <c r="H34" s="7" t="s">
        <v>511</v>
      </c>
    </row>
    <row r="35" spans="1:8">
      <c r="A35" s="10" t="s">
        <v>512</v>
      </c>
      <c r="B35" s="9" t="s">
        <v>513</v>
      </c>
      <c r="C35" s="14">
        <v>0</v>
      </c>
      <c r="D35" s="14">
        <v>0</v>
      </c>
      <c r="E35" s="14">
        <v>0</v>
      </c>
      <c r="F35" s="14">
        <v>0.5</v>
      </c>
      <c r="G35" s="14">
        <v>0</v>
      </c>
      <c r="H35" s="7" t="s">
        <v>514</v>
      </c>
    </row>
    <row r="36" spans="1:8">
      <c r="A36" s="10" t="s">
        <v>515</v>
      </c>
      <c r="B36" s="9" t="s">
        <v>516</v>
      </c>
      <c r="C36" s="14">
        <v>125</v>
      </c>
      <c r="D36" s="14">
        <v>0</v>
      </c>
      <c r="E36" s="14">
        <v>0</v>
      </c>
      <c r="F36" s="14">
        <v>0.7</v>
      </c>
      <c r="G36" s="14">
        <v>0</v>
      </c>
      <c r="H36" s="7" t="s">
        <v>517</v>
      </c>
    </row>
    <row r="37" spans="1:8">
      <c r="A37" s="10" t="s">
        <v>518</v>
      </c>
      <c r="B37" s="7" t="s">
        <v>519</v>
      </c>
      <c r="C37" s="14">
        <v>0</v>
      </c>
      <c r="D37" s="14">
        <v>1</v>
      </c>
      <c r="E37" s="14">
        <v>1</v>
      </c>
      <c r="F37" s="14">
        <v>0.5</v>
      </c>
      <c r="G37" s="14">
        <v>0</v>
      </c>
      <c r="H37" s="7" t="s">
        <v>520</v>
      </c>
    </row>
    <row r="38" spans="1:8">
      <c r="A38" s="10" t="s">
        <v>521</v>
      </c>
      <c r="B38" s="7" t="s">
        <v>522</v>
      </c>
      <c r="C38" s="14">
        <v>0</v>
      </c>
      <c r="D38" s="14">
        <v>1</v>
      </c>
      <c r="E38" s="14">
        <v>1</v>
      </c>
      <c r="F38" s="14">
        <v>0.5</v>
      </c>
      <c r="G38" s="14">
        <v>0</v>
      </c>
      <c r="H38" s="7" t="s">
        <v>523</v>
      </c>
    </row>
    <row r="39" spans="1:8">
      <c r="A39" s="10" t="s">
        <v>524</v>
      </c>
      <c r="B39" s="7" t="s">
        <v>525</v>
      </c>
      <c r="C39" s="14">
        <v>0</v>
      </c>
      <c r="D39" s="14">
        <v>1</v>
      </c>
      <c r="E39" s="14">
        <v>0</v>
      </c>
      <c r="F39" s="14">
        <v>0</v>
      </c>
      <c r="G39" s="14">
        <v>0</v>
      </c>
      <c r="H39" s="7" t="s">
        <v>525</v>
      </c>
    </row>
    <row r="40" spans="1:8">
      <c r="A40" s="10" t="s">
        <v>526</v>
      </c>
      <c r="B40" s="7" t="s">
        <v>527</v>
      </c>
      <c r="C40" s="14">
        <v>37</v>
      </c>
      <c r="D40" s="14">
        <v>1</v>
      </c>
      <c r="E40" s="14">
        <v>0</v>
      </c>
      <c r="F40" s="14">
        <v>0</v>
      </c>
      <c r="G40" s="14">
        <v>0</v>
      </c>
      <c r="H40" s="7" t="s">
        <v>527</v>
      </c>
    </row>
    <row r="41" spans="1:8">
      <c r="A41" s="10" t="s">
        <v>528</v>
      </c>
      <c r="B41" s="7" t="s">
        <v>529</v>
      </c>
      <c r="C41" s="14">
        <v>0</v>
      </c>
      <c r="D41" s="14">
        <v>0</v>
      </c>
      <c r="E41" s="14">
        <v>1</v>
      </c>
      <c r="F41" s="14">
        <v>1</v>
      </c>
      <c r="G41" s="14">
        <v>0</v>
      </c>
      <c r="H41" s="7" t="s">
        <v>529</v>
      </c>
    </row>
    <row r="42" spans="1:8">
      <c r="A42" s="10" t="s">
        <v>530</v>
      </c>
      <c r="B42" s="7" t="s">
        <v>531</v>
      </c>
      <c r="C42" s="14">
        <v>50</v>
      </c>
      <c r="D42" s="14">
        <v>0</v>
      </c>
      <c r="E42" s="14">
        <v>1</v>
      </c>
      <c r="F42" s="14">
        <v>1</v>
      </c>
      <c r="G42" s="14">
        <v>0</v>
      </c>
      <c r="H42" s="7" t="s">
        <v>531</v>
      </c>
    </row>
    <row r="43" spans="1:8">
      <c r="B43" s="7"/>
      <c r="C43" s="7"/>
      <c r="D43" s="7"/>
      <c r="E43" s="7"/>
      <c r="F43" s="7"/>
      <c r="G43" s="7"/>
    </row>
    <row r="44" spans="1:8">
      <c r="A44" s="4" t="s">
        <v>532</v>
      </c>
      <c r="B44" s="7"/>
      <c r="C44" s="7"/>
      <c r="D44" s="7"/>
      <c r="E44" s="7"/>
      <c r="F44" s="7"/>
      <c r="G44" s="7"/>
    </row>
    <row r="45" spans="1:8">
      <c r="B45" s="7"/>
      <c r="C45" s="7"/>
      <c r="D45" s="7"/>
      <c r="E45" s="7"/>
      <c r="F45" s="7"/>
      <c r="G45" s="7"/>
    </row>
    <row r="46" spans="1:8">
      <c r="B46" s="6" t="s">
        <v>495</v>
      </c>
      <c r="C46" s="6" t="s">
        <v>533</v>
      </c>
      <c r="D46" s="6" t="s">
        <v>534</v>
      </c>
      <c r="E46" s="7"/>
      <c r="F46" s="7"/>
      <c r="G46" s="7"/>
      <c r="H46" s="9" t="s">
        <v>535</v>
      </c>
    </row>
    <row r="47" spans="1:8">
      <c r="B47" s="7" t="s">
        <v>536</v>
      </c>
      <c r="C47" s="14" t="s">
        <v>537</v>
      </c>
      <c r="D47" s="14" t="s">
        <v>538</v>
      </c>
      <c r="E47" s="7"/>
      <c r="F47" s="7"/>
      <c r="G47" s="7"/>
      <c r="H47" s="9"/>
    </row>
    <row r="48" spans="1:8">
      <c r="B48" s="7" t="s">
        <v>505</v>
      </c>
      <c r="C48" s="14" t="s">
        <v>539</v>
      </c>
      <c r="D48" s="14" t="s">
        <v>540</v>
      </c>
      <c r="E48" s="7"/>
      <c r="F48" s="7"/>
      <c r="G48" s="7"/>
      <c r="H48" s="9"/>
    </row>
    <row r="49" spans="2:8">
      <c r="B49" s="7" t="s">
        <v>508</v>
      </c>
      <c r="C49" s="16" t="s">
        <v>541</v>
      </c>
      <c r="D49" s="14" t="s">
        <v>538</v>
      </c>
      <c r="E49" s="7"/>
      <c r="F49" s="7"/>
      <c r="G49" s="7"/>
      <c r="H49" s="9"/>
    </row>
    <row r="50" spans="2:8">
      <c r="B50" s="7" t="s">
        <v>511</v>
      </c>
      <c r="C50" s="16" t="s">
        <v>541</v>
      </c>
      <c r="D50" s="14" t="s">
        <v>538</v>
      </c>
      <c r="E50" s="7"/>
      <c r="F50" s="7"/>
      <c r="G50" s="7"/>
      <c r="H50" s="9"/>
    </row>
    <row r="51" spans="2:8">
      <c r="B51" s="7" t="s">
        <v>542</v>
      </c>
      <c r="C51" s="14" t="s">
        <v>537</v>
      </c>
      <c r="D51" s="14" t="s">
        <v>538</v>
      </c>
      <c r="E51" s="7"/>
      <c r="F51" s="7"/>
      <c r="G51" s="7"/>
      <c r="H51" s="9"/>
    </row>
    <row r="52" spans="2:8">
      <c r="B52" s="7" t="s">
        <v>517</v>
      </c>
      <c r="C52" s="16" t="s">
        <v>541</v>
      </c>
      <c r="D52" s="14" t="s">
        <v>538</v>
      </c>
      <c r="E52" s="7"/>
      <c r="F52" s="7"/>
      <c r="G52" s="7"/>
      <c r="H52" s="9"/>
    </row>
    <row r="53" spans="2:8">
      <c r="B53" s="7" t="s">
        <v>520</v>
      </c>
      <c r="C53" s="16" t="s">
        <v>543</v>
      </c>
      <c r="D53" s="14" t="s">
        <v>544</v>
      </c>
      <c r="E53" s="7"/>
      <c r="F53" s="7"/>
      <c r="G53" s="7"/>
      <c r="H53" s="9"/>
    </row>
    <row r="54" spans="2:8">
      <c r="B54" s="7" t="s">
        <v>523</v>
      </c>
      <c r="C54" s="16" t="s">
        <v>545</v>
      </c>
      <c r="D54" s="14" t="s">
        <v>546</v>
      </c>
      <c r="E54" s="7"/>
      <c r="F54" s="7"/>
      <c r="G54" s="7"/>
      <c r="H54" s="9"/>
    </row>
    <row r="55" spans="2:8">
      <c r="B55" s="7" t="s">
        <v>525</v>
      </c>
      <c r="C55" s="16" t="s">
        <v>545</v>
      </c>
      <c r="D55" s="14" t="s">
        <v>546</v>
      </c>
      <c r="E55" s="7"/>
      <c r="F55" s="7"/>
      <c r="G55" s="7"/>
      <c r="H55" s="9"/>
    </row>
    <row r="56" spans="2:8">
      <c r="B56" s="7" t="s">
        <v>527</v>
      </c>
      <c r="C56" s="14" t="s">
        <v>539</v>
      </c>
      <c r="D56" s="14" t="s">
        <v>546</v>
      </c>
      <c r="E56" s="7"/>
      <c r="F56" s="7"/>
      <c r="G56" s="7"/>
      <c r="H56" s="9"/>
    </row>
    <row r="57" spans="2:8">
      <c r="B57" s="7" t="s">
        <v>529</v>
      </c>
      <c r="C57" s="16" t="s">
        <v>545</v>
      </c>
      <c r="D57" s="14" t="s">
        <v>546</v>
      </c>
      <c r="E57" s="7"/>
      <c r="F57" s="7"/>
      <c r="G57" s="7"/>
      <c r="H57" s="9"/>
    </row>
    <row r="58" spans="2:8">
      <c r="B58" s="7" t="s">
        <v>531</v>
      </c>
      <c r="C58" s="14" t="s">
        <v>539</v>
      </c>
      <c r="D58" s="14" t="s">
        <v>546</v>
      </c>
      <c r="E58" s="7"/>
      <c r="F58" s="7"/>
      <c r="G58" s="7"/>
      <c r="H58" s="9"/>
    </row>
    <row r="59" spans="2:8">
      <c r="H59" s="9"/>
    </row>
  </sheetData>
  <mergeCells count="1">
    <mergeCell ref="C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8"/>
  <sheetViews>
    <sheetView zoomScale="85" zoomScaleNormal="85" workbookViewId="0">
      <pane ySplit="1" topLeftCell="A2" activePane="bottomLeft" state="frozen"/>
      <selection activeCell="B2" sqref="B2"/>
      <selection pane="bottomLeft" activeCell="B5" sqref="B5"/>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462</v>
      </c>
      <c r="B1" s="1" t="s">
        <v>463</v>
      </c>
      <c r="C1" s="1" t="s">
        <v>136</v>
      </c>
    </row>
    <row r="2" spans="1:11">
      <c r="A2" t="s">
        <v>464</v>
      </c>
      <c r="B2">
        <f>Control_Center!C6</f>
        <v>2.5000000000000001E-2</v>
      </c>
      <c r="C2" t="s">
        <v>465</v>
      </c>
    </row>
    <row r="3" spans="1:11">
      <c r="A3" t="s">
        <v>466</v>
      </c>
      <c r="B3">
        <f>Parameters_Public!$C$14</f>
        <v>11589</v>
      </c>
      <c r="C3" t="s">
        <v>547</v>
      </c>
    </row>
    <row r="4" spans="1:11">
      <c r="A4" t="s">
        <v>468</v>
      </c>
      <c r="B4">
        <f>Control_Center!C8</f>
        <v>0.46</v>
      </c>
      <c r="C4" t="s">
        <v>734</v>
      </c>
    </row>
    <row r="5" spans="1:11">
      <c r="A5" s="92" t="s">
        <v>472</v>
      </c>
      <c r="B5" s="92">
        <f>Control_Center!C10</f>
        <v>7.0000000000000001E-3</v>
      </c>
      <c r="C5" s="92" t="s">
        <v>803</v>
      </c>
    </row>
    <row r="6" spans="1:11">
      <c r="A6" s="92" t="s">
        <v>474</v>
      </c>
      <c r="B6" s="92">
        <f>Control_Center!C11</f>
        <v>1.4999999999999999E-2</v>
      </c>
      <c r="C6" s="92" t="s">
        <v>475</v>
      </c>
    </row>
    <row r="7" spans="1:11">
      <c r="A7" t="s">
        <v>476</v>
      </c>
      <c r="B7">
        <f>Parameters_Public!$C$10</f>
        <v>257</v>
      </c>
    </row>
    <row r="8" spans="1:11">
      <c r="A8" t="s">
        <v>478</v>
      </c>
      <c r="B8">
        <f>Parameters_Public!$C$11</f>
        <v>296</v>
      </c>
    </row>
    <row r="9" spans="1:11">
      <c r="A9" t="s">
        <v>480</v>
      </c>
      <c r="B9">
        <f>B7+B8</f>
        <v>553</v>
      </c>
      <c r="C9" t="s">
        <v>481</v>
      </c>
    </row>
    <row r="12" spans="1:11">
      <c r="A12" s="1" t="s">
        <v>548</v>
      </c>
      <c r="B12" s="1" t="s">
        <v>549</v>
      </c>
      <c r="C12" s="1" t="s">
        <v>550</v>
      </c>
      <c r="D12" s="1" t="s">
        <v>551</v>
      </c>
      <c r="E12" s="1" t="s">
        <v>552</v>
      </c>
      <c r="F12" s="1" t="s">
        <v>553</v>
      </c>
      <c r="G12" s="1" t="s">
        <v>136</v>
      </c>
    </row>
    <row r="13" spans="1:11">
      <c r="A13" t="s">
        <v>554</v>
      </c>
      <c r="B13" s="2">
        <f>B9*B3</f>
        <v>6408717</v>
      </c>
      <c r="C13" s="2">
        <f>C14/$B$4</f>
        <v>4177989.1304347818</v>
      </c>
      <c r="D13" s="2">
        <f>D14/$B$4</f>
        <v>4282438.8586956514</v>
      </c>
      <c r="E13" s="2">
        <f>E14/$B$4</f>
        <v>4389499.830163043</v>
      </c>
      <c r="F13" s="2">
        <f>F14/$B$4</f>
        <v>4499237.3259171182</v>
      </c>
      <c r="G13" t="s">
        <v>555</v>
      </c>
      <c r="K13" t="s">
        <v>556</v>
      </c>
    </row>
    <row r="14" spans="1:11">
      <c r="A14" t="s">
        <v>557</v>
      </c>
      <c r="B14" s="94">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558</v>
      </c>
      <c r="K14" t="s">
        <v>559</v>
      </c>
    </row>
    <row r="15" spans="1:11">
      <c r="A15" t="s">
        <v>560</v>
      </c>
      <c r="B15" s="2">
        <f>(B13-B14)/B9</f>
        <v>8198.4032549728745</v>
      </c>
      <c r="C15" s="2">
        <f t="shared" si="0"/>
        <v>8403.3633363471963</v>
      </c>
      <c r="D15" s="2">
        <f t="shared" si="0"/>
        <v>8613.4474197558757</v>
      </c>
      <c r="E15" s="2">
        <f t="shared" si="0"/>
        <v>8828.7836052497714</v>
      </c>
      <c r="F15" s="2">
        <f t="shared" si="0"/>
        <v>9049.5031953810158</v>
      </c>
      <c r="G15" t="s">
        <v>561</v>
      </c>
      <c r="K15" t="s">
        <v>562</v>
      </c>
    </row>
    <row r="17" spans="1:6">
      <c r="A17" t="s">
        <v>563</v>
      </c>
      <c r="B17" s="2">
        <f>$B$14*(1+$B$2)^1</f>
        <v>1921874.9999999998</v>
      </c>
      <c r="C17" s="2">
        <f>$B$14*(1+$B$2)^2</f>
        <v>1969921.8749999998</v>
      </c>
      <c r="D17" s="2">
        <f>$B$14*(1+$B$2)^3</f>
        <v>2019169.9218749998</v>
      </c>
      <c r="E17" s="2">
        <f>$B$14*(1+$B$2)^4</f>
        <v>2069649.1699218745</v>
      </c>
      <c r="F17" s="2">
        <f>$B$14*(1+$B$2)^5</f>
        <v>2121390.3991699214</v>
      </c>
    </row>
    <row r="18" spans="1:6">
      <c r="A18" t="s">
        <v>564</v>
      </c>
      <c r="B18" s="2">
        <f>$B$15*(1+$B$2)^1</f>
        <v>8403.3633363471963</v>
      </c>
      <c r="C18" s="2">
        <f>$B$15*(1+$B$2)^2</f>
        <v>8613.4474197558757</v>
      </c>
      <c r="D18" s="2">
        <f>$B$15*(1+$B$2)^3</f>
        <v>8828.7836052497714</v>
      </c>
      <c r="E18" s="2">
        <f>$B$15*(1+$B$2)^4</f>
        <v>9049.5031953810158</v>
      </c>
      <c r="F18" s="2">
        <f>$B$15*(1+$B$2)^5</f>
        <v>9275.7407752655399</v>
      </c>
    </row>
    <row r="19" spans="1:6">
      <c r="A19" t="s">
        <v>565</v>
      </c>
      <c r="B19" s="2">
        <f>IF(Site_Fixed!$D$10&gt;0, Site_Fixed!$D$10*(1+$B$2)^1, B17*($B$7/$B$9))</f>
        <v>922499.99999999988</v>
      </c>
      <c r="C19" s="2">
        <f>C17*($B$7/$B$9)</f>
        <v>915497.14624773955</v>
      </c>
      <c r="D19" s="2">
        <f>D17*($B$7/$B$9)</f>
        <v>938384.57490393298</v>
      </c>
      <c r="E19" s="2">
        <f>E17*($B$7/$B$9)</f>
        <v>961844.18927653122</v>
      </c>
      <c r="F19" s="2">
        <f>F17*($B$7/$B$9)</f>
        <v>985890.29400844453</v>
      </c>
    </row>
    <row r="20" spans="1:6">
      <c r="A20" t="s">
        <v>566</v>
      </c>
      <c r="B20" s="2">
        <f>IF(Site_Fixed!$D$17&gt;0, Site_Fixed!$D$17*(1+$B$2)^1, B17*($B$8/$B$9))</f>
        <v>999374.99999999988</v>
      </c>
      <c r="C20" s="2">
        <f>C17*($B$8/$B$9)</f>
        <v>1054424.7287522603</v>
      </c>
      <c r="D20" s="2">
        <f>D17*($B$8/$B$9)</f>
        <v>1080785.3469710669</v>
      </c>
      <c r="E20" s="2">
        <f>E17*($B$8/$B$9)</f>
        <v>1107804.9806453434</v>
      </c>
      <c r="F20" s="2">
        <f>F17*($B$8/$B$9)</f>
        <v>1135500.1051614769</v>
      </c>
    </row>
    <row r="21" spans="1:6">
      <c r="B21" s="2"/>
      <c r="C21" s="2"/>
      <c r="D21" s="2"/>
      <c r="E21" s="2"/>
      <c r="F21" s="2"/>
    </row>
    <row r="22" spans="1:6">
      <c r="A22" t="s">
        <v>482</v>
      </c>
      <c r="B22">
        <f>Control_Center!C15</f>
        <v>1200000</v>
      </c>
    </row>
    <row r="23" spans="1:6">
      <c r="A23" t="s">
        <v>567</v>
      </c>
      <c r="B23">
        <f>Control_Center!C16</f>
        <v>0.75</v>
      </c>
    </row>
    <row r="25" spans="1:6">
      <c r="A25" s="1" t="s">
        <v>136</v>
      </c>
    </row>
    <row r="26" spans="1:6">
      <c r="A26" s="3" t="s">
        <v>568</v>
      </c>
    </row>
    <row r="27" spans="1:6">
      <c r="A27" t="s">
        <v>470</v>
      </c>
      <c r="B27">
        <f>Parameters_Public!$C18</f>
        <v>5013</v>
      </c>
      <c r="C27" t="s">
        <v>471</v>
      </c>
    </row>
    <row r="28" spans="1:6">
      <c r="A28" t="s">
        <v>569</v>
      </c>
      <c r="B28">
        <f>Parameters_Public!$C22</f>
        <v>2.5000000000000001E-2</v>
      </c>
      <c r="C28" t="s">
        <v>570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6"/>
  <sheetViews>
    <sheetView zoomScale="80" zoomScaleNormal="80" workbookViewId="0">
      <selection activeCell="Q2" sqref="Q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c r="A1" s="1" t="s">
        <v>8</v>
      </c>
      <c r="B1" s="1" t="s">
        <v>349</v>
      </c>
      <c r="C1" s="1" t="s">
        <v>350</v>
      </c>
      <c r="D1" s="1" t="s">
        <v>351</v>
      </c>
      <c r="E1" s="1" t="s">
        <v>358</v>
      </c>
      <c r="F1" s="1" t="s">
        <v>488</v>
      </c>
      <c r="G1" s="1" t="s">
        <v>489</v>
      </c>
      <c r="H1" s="1" t="s">
        <v>571</v>
      </c>
      <c r="I1" s="1" t="s">
        <v>572</v>
      </c>
      <c r="L1" s="1" t="s">
        <v>573</v>
      </c>
      <c r="M1" s="1" t="s">
        <v>574</v>
      </c>
      <c r="N1" s="1" t="s">
        <v>575</v>
      </c>
      <c r="O1" t="s">
        <v>576</v>
      </c>
      <c r="P1" t="s">
        <v>771</v>
      </c>
      <c r="Q1" t="s">
        <v>577</v>
      </c>
      <c r="R1" t="s">
        <v>578</v>
      </c>
    </row>
    <row r="2" spans="1:18">
      <c r="A2" t="s">
        <v>11</v>
      </c>
      <c r="B2" s="2">
        <f>BaselineCalc!B18</f>
        <v>8403.3633363471963</v>
      </c>
      <c r="C2" s="2">
        <f>BaselineCalc!B19</f>
        <v>922499.99999999988</v>
      </c>
      <c r="D2" s="2">
        <f>BaselineCalc!B20</f>
        <v>999374.99999999988</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12</v>
      </c>
      <c r="B3" s="2">
        <f>BaselineCalc!C18</f>
        <v>8613.4474197558757</v>
      </c>
      <c r="C3" s="2">
        <f>BaselineCalc!C19</f>
        <v>915497.14624773955</v>
      </c>
      <c r="D3" s="2">
        <f>BaselineCalc!C20</f>
        <v>1054424.7287522603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13</v>
      </c>
      <c r="B4" s="2">
        <f>BaselineCalc!D18</f>
        <v>8828.7836052497714</v>
      </c>
      <c r="C4" s="2">
        <f>BaselineCalc!D19</f>
        <v>938384.57490393298</v>
      </c>
      <c r="D4" s="2">
        <f>BaselineCalc!D20</f>
        <v>1080785.3469710669</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14</v>
      </c>
      <c r="B5" s="2">
        <f>BaselineCalc!E18</f>
        <v>9049.5031953810158</v>
      </c>
      <c r="C5" s="2">
        <f>BaselineCalc!E19</f>
        <v>961844.18927653122</v>
      </c>
      <c r="D5" s="2">
        <f>BaselineCalc!E20</f>
        <v>1107804.9806453434</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15</v>
      </c>
      <c r="B6" s="2">
        <f>BaselineCalc!F18</f>
        <v>9275.7407752655399</v>
      </c>
      <c r="C6" s="2">
        <f>BaselineCalc!F19</f>
        <v>985890.29400844453</v>
      </c>
      <c r="D6" s="2">
        <f>BaselineCalc!F20</f>
        <v>1135500.1051614769</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A4" zoomScale="85" zoomScaleNormal="85" workbookViewId="0">
      <selection activeCell="F19" sqref="F19"/>
    </sheetView>
  </sheetViews>
  <sheetFormatPr defaultRowHeight="14.5"/>
  <cols>
    <col min="2" max="2" width="59.1796875" bestFit="1" customWidth="1"/>
    <col min="3" max="4" width="7.90625" bestFit="1" customWidth="1"/>
  </cols>
  <sheetData>
    <row r="1" spans="1:5">
      <c r="B1" s="4" t="s">
        <v>579</v>
      </c>
    </row>
    <row r="3" spans="1:5" ht="45" customHeight="1">
      <c r="A3" s="92" t="s">
        <v>729</v>
      </c>
      <c r="B3" s="143" t="s">
        <v>731</v>
      </c>
      <c r="C3" s="143"/>
      <c r="D3" s="143"/>
    </row>
    <row r="4" spans="1:5">
      <c r="E4" s="4" t="s">
        <v>729</v>
      </c>
    </row>
    <row r="5" spans="1:5">
      <c r="B5" t="s">
        <v>580</v>
      </c>
      <c r="C5" s="91">
        <v>505000</v>
      </c>
    </row>
    <row r="6" spans="1:5">
      <c r="B6" t="s">
        <v>581</v>
      </c>
      <c r="C6">
        <v>0</v>
      </c>
      <c r="E6" t="s">
        <v>742</v>
      </c>
    </row>
    <row r="7" spans="1:5">
      <c r="B7" t="s">
        <v>582</v>
      </c>
      <c r="C7" s="91">
        <v>45000</v>
      </c>
    </row>
    <row r="8" spans="1:5">
      <c r="B8" t="s">
        <v>583</v>
      </c>
      <c r="C8" s="91">
        <v>350000</v>
      </c>
    </row>
    <row r="9" spans="1:5">
      <c r="B9" t="s">
        <v>584</v>
      </c>
      <c r="C9">
        <v>0</v>
      </c>
    </row>
    <row r="10" spans="1:5">
      <c r="B10" t="s">
        <v>585</v>
      </c>
      <c r="D10" s="90">
        <f>SUM(C5:C9)</f>
        <v>900000</v>
      </c>
      <c r="E10" t="s">
        <v>732</v>
      </c>
    </row>
    <row r="12" spans="1:5">
      <c r="B12" t="s">
        <v>586</v>
      </c>
      <c r="C12" s="91">
        <v>576000</v>
      </c>
    </row>
    <row r="13" spans="1:5">
      <c r="B13" t="s">
        <v>587</v>
      </c>
      <c r="C13">
        <v>0</v>
      </c>
      <c r="E13" t="s">
        <v>742</v>
      </c>
    </row>
    <row r="14" spans="1:5">
      <c r="B14" t="s">
        <v>588</v>
      </c>
      <c r="C14" s="91">
        <v>49000</v>
      </c>
    </row>
    <row r="15" spans="1:5">
      <c r="B15" t="s">
        <v>589</v>
      </c>
      <c r="C15" s="91">
        <v>350000</v>
      </c>
    </row>
    <row r="16" spans="1:5">
      <c r="B16" t="s">
        <v>590</v>
      </c>
      <c r="C16">
        <v>0</v>
      </c>
    </row>
    <row r="17" spans="1:5">
      <c r="B17" t="s">
        <v>591</v>
      </c>
      <c r="D17" s="90">
        <f>SUM(C12:C16)</f>
        <v>975000</v>
      </c>
      <c r="E17" t="s">
        <v>733</v>
      </c>
    </row>
    <row r="19" spans="1:5" ht="192" customHeight="1">
      <c r="A19" s="93" t="s">
        <v>727</v>
      </c>
      <c r="B19" s="143" t="s">
        <v>730</v>
      </c>
      <c r="C19" s="143"/>
      <c r="D19" s="143"/>
    </row>
  </sheetData>
  <mergeCells count="2">
    <mergeCell ref="B3:D3"/>
    <mergeCell ref="B19:D19"/>
  </mergeCells>
  <pageMargins left="0.75" right="0.75" top="1" bottom="1"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cols>
    <col min="1" max="1" width="44" customWidth="1"/>
    <col min="2" max="2" width="22" customWidth="1"/>
  </cols>
  <sheetData>
    <row r="1" spans="1:2">
      <c r="A1" s="23" t="s">
        <v>597</v>
      </c>
    </row>
    <row r="2" spans="1:2">
      <c r="A2" t="s">
        <v>598</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599</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600</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601</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cols>
    <col min="1" max="1" width="15" bestFit="1" customWidth="1"/>
    <col min="2" max="2" width="16.36328125" bestFit="1" customWidth="1"/>
    <col min="3" max="3" width="9.7265625" bestFit="1" customWidth="1"/>
    <col min="4" max="4" width="20.26953125" bestFit="1" customWidth="1"/>
  </cols>
  <sheetData>
    <row r="1" spans="1:5">
      <c r="A1" s="52" t="s">
        <v>602</v>
      </c>
      <c r="B1" s="52" t="s">
        <v>603</v>
      </c>
      <c r="C1" s="52" t="s">
        <v>604</v>
      </c>
      <c r="D1" s="52" t="s">
        <v>605</v>
      </c>
      <c r="E1" s="52" t="s">
        <v>606</v>
      </c>
    </row>
    <row r="2" spans="1:5">
      <c r="A2" t="s">
        <v>607</v>
      </c>
      <c r="B2" t="s">
        <v>123</v>
      </c>
      <c r="C2" t="s">
        <v>608</v>
      </c>
      <c r="D2" t="s">
        <v>607</v>
      </c>
      <c r="E2" t="s">
        <v>609</v>
      </c>
    </row>
    <row r="3" spans="1:5">
      <c r="A3" t="s">
        <v>610</v>
      </c>
      <c r="B3" t="s">
        <v>116</v>
      </c>
      <c r="C3" t="s">
        <v>611</v>
      </c>
      <c r="D3" t="s">
        <v>610</v>
      </c>
      <c r="E3" t="s">
        <v>612</v>
      </c>
    </row>
    <row r="4" spans="1:5">
      <c r="A4" t="s">
        <v>613</v>
      </c>
      <c r="B4" t="s">
        <v>592</v>
      </c>
      <c r="C4" t="s">
        <v>614</v>
      </c>
      <c r="D4" t="s">
        <v>613</v>
      </c>
      <c r="E4" t="s">
        <v>615</v>
      </c>
    </row>
    <row r="5" spans="1:5">
      <c r="A5" t="s">
        <v>616</v>
      </c>
      <c r="B5" t="s">
        <v>123</v>
      </c>
      <c r="C5" t="s">
        <v>617</v>
      </c>
      <c r="D5" t="s">
        <v>616</v>
      </c>
      <c r="E5" t="s">
        <v>618</v>
      </c>
    </row>
    <row r="6" spans="1:5">
      <c r="A6" t="s">
        <v>619</v>
      </c>
      <c r="B6" t="s">
        <v>123</v>
      </c>
      <c r="C6" t="s">
        <v>620</v>
      </c>
      <c r="D6" t="s">
        <v>619</v>
      </c>
      <c r="E6" t="s">
        <v>621</v>
      </c>
    </row>
    <row r="7" spans="1:5">
      <c r="A7" t="s">
        <v>622</v>
      </c>
      <c r="B7" t="s">
        <v>123</v>
      </c>
      <c r="C7" t="s">
        <v>623</v>
      </c>
      <c r="D7" t="s">
        <v>622</v>
      </c>
      <c r="E7" t="s">
        <v>624</v>
      </c>
    </row>
    <row r="8" spans="1:5">
      <c r="A8" t="s">
        <v>408</v>
      </c>
      <c r="B8" t="s">
        <v>123</v>
      </c>
      <c r="C8" t="s">
        <v>625</v>
      </c>
      <c r="D8" t="s">
        <v>408</v>
      </c>
      <c r="E8" t="s">
        <v>626</v>
      </c>
    </row>
    <row r="9" spans="1:5">
      <c r="A9" t="s">
        <v>174</v>
      </c>
      <c r="B9" t="s">
        <v>123</v>
      </c>
      <c r="C9" t="s">
        <v>627</v>
      </c>
      <c r="D9" t="s">
        <v>174</v>
      </c>
      <c r="E9" t="s">
        <v>628</v>
      </c>
    </row>
    <row r="10" spans="1:5">
      <c r="A10" t="s">
        <v>178</v>
      </c>
      <c r="B10" t="s">
        <v>123</v>
      </c>
      <c r="C10" t="s">
        <v>629</v>
      </c>
      <c r="D10" t="s">
        <v>178</v>
      </c>
      <c r="E10" t="s">
        <v>630</v>
      </c>
    </row>
    <row r="11" spans="1:5">
      <c r="A11" t="s">
        <v>190</v>
      </c>
      <c r="B11" t="s">
        <v>123</v>
      </c>
      <c r="C11" t="s">
        <v>631</v>
      </c>
      <c r="D11" t="s">
        <v>190</v>
      </c>
      <c r="E11" t="s">
        <v>632</v>
      </c>
    </row>
    <row r="12" spans="1:5">
      <c r="A12" t="s">
        <v>633</v>
      </c>
      <c r="B12" t="s">
        <v>123</v>
      </c>
      <c r="C12" t="s">
        <v>634</v>
      </c>
      <c r="D12" t="s">
        <v>633</v>
      </c>
      <c r="E12" t="s">
        <v>635</v>
      </c>
    </row>
    <row r="13" spans="1:5">
      <c r="A13" t="s">
        <v>636</v>
      </c>
      <c r="B13" t="s">
        <v>123</v>
      </c>
      <c r="C13" t="s">
        <v>637</v>
      </c>
      <c r="D13" t="s">
        <v>636</v>
      </c>
      <c r="E13" t="s">
        <v>638</v>
      </c>
    </row>
    <row r="14" spans="1:5">
      <c r="A14" t="s">
        <v>19</v>
      </c>
      <c r="B14" t="s">
        <v>123</v>
      </c>
      <c r="C14" t="s">
        <v>639</v>
      </c>
      <c r="D14" t="s">
        <v>19</v>
      </c>
      <c r="E14" t="s">
        <v>640</v>
      </c>
    </row>
    <row r="15" spans="1:5">
      <c r="A15" t="s">
        <v>641</v>
      </c>
      <c r="B15" t="s">
        <v>123</v>
      </c>
      <c r="C15" t="s">
        <v>642</v>
      </c>
      <c r="D15" t="s">
        <v>641</v>
      </c>
      <c r="E15" t="s">
        <v>643</v>
      </c>
    </row>
    <row r="16" spans="1:5">
      <c r="A16" t="s">
        <v>644</v>
      </c>
      <c r="B16" t="s">
        <v>123</v>
      </c>
      <c r="C16" t="s">
        <v>645</v>
      </c>
      <c r="D16" t="s">
        <v>644</v>
      </c>
      <c r="E16" t="s">
        <v>646</v>
      </c>
    </row>
    <row r="17" spans="1:5">
      <c r="A17" t="s">
        <v>647</v>
      </c>
      <c r="B17" t="s">
        <v>123</v>
      </c>
      <c r="C17" t="s">
        <v>648</v>
      </c>
      <c r="D17" t="s">
        <v>647</v>
      </c>
      <c r="E17" t="s">
        <v>649</v>
      </c>
    </row>
    <row r="18" spans="1:5">
      <c r="A18" t="s">
        <v>183</v>
      </c>
      <c r="B18" t="s">
        <v>116</v>
      </c>
      <c r="C18" t="s">
        <v>650</v>
      </c>
      <c r="D18" t="s">
        <v>183</v>
      </c>
      <c r="E18" t="s">
        <v>651</v>
      </c>
    </row>
    <row r="19" spans="1:5">
      <c r="A19" t="s">
        <v>652</v>
      </c>
      <c r="B19" t="s">
        <v>116</v>
      </c>
      <c r="C19" t="s">
        <v>653</v>
      </c>
      <c r="D19" t="s">
        <v>652</v>
      </c>
      <c r="E19" t="s">
        <v>654</v>
      </c>
    </row>
    <row r="20" spans="1:5">
      <c r="A20" t="s">
        <v>655</v>
      </c>
      <c r="B20" t="s">
        <v>116</v>
      </c>
      <c r="C20" t="s">
        <v>656</v>
      </c>
      <c r="D20" t="s">
        <v>655</v>
      </c>
      <c r="E20" t="s">
        <v>657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30</vt:i4>
      </vt:variant>
    </vt:vector>
  </HeadingPairs>
  <TitlesOfParts>
    <vt:vector size="50" baseType="lpstr">
      <vt:lpstr>Workbook_Purpose_Overview</vt:lpstr>
      <vt:lpstr>How_To_Use_The_Workbook</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2025-11-08T04:16:16Z</dcterms:modified>
</cp:coreProperties>
</file>