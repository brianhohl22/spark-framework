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29" documentId="11_51F7D0BB28EAB792987F5BCC8F23DEF327812CE4" xr6:coauthVersionLast="47" xr6:coauthVersionMax="47" xr10:uidLastSave="{48A21D17-C621-42C6-AFF1-34B3D9640254}"/>
  <bookViews>
    <workbookView xWindow="39420" yWindow="1455" windowWidth="17835" windowHeight="13335" activeTab="3" xr2:uid="{00000000-000D-0000-FFFF-FFFF00000000}"/>
  </bookViews>
  <sheets>
    <sheet name="Parameters" sheetId="1" r:id="rId1"/>
    <sheet name="MultiYear_ProForma" sheetId="2" r:id="rId2"/>
    <sheet name="Summary_Costs" sheetId="3" r:id="rId3"/>
    <sheet name="BreakEven_Calc" sheetId="4" r:id="rId4"/>
    <sheet name="BreakEven_Avera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4" l="1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B27" i="4"/>
  <c r="I26" i="4"/>
  <c r="H26" i="4"/>
  <c r="G26" i="4"/>
  <c r="F26" i="4"/>
  <c r="E26" i="4"/>
  <c r="D26" i="4"/>
  <c r="C26" i="4"/>
  <c r="B26" i="4"/>
  <c r="I25" i="4"/>
  <c r="H25" i="4"/>
  <c r="G25" i="4"/>
  <c r="F25" i="4"/>
  <c r="E25" i="4"/>
  <c r="D25" i="4"/>
  <c r="C25" i="4"/>
  <c r="B25" i="4"/>
  <c r="I24" i="4"/>
  <c r="H24" i="4"/>
  <c r="G24" i="4"/>
  <c r="F24" i="4"/>
  <c r="E24" i="4"/>
  <c r="D24" i="4"/>
  <c r="C24" i="4"/>
  <c r="B24" i="4"/>
  <c r="I23" i="4"/>
  <c r="H23" i="4"/>
  <c r="G23" i="4"/>
  <c r="F23" i="4"/>
  <c r="E23" i="4"/>
  <c r="D23" i="4"/>
  <c r="C23" i="4"/>
  <c r="B23" i="4"/>
  <c r="I22" i="4"/>
  <c r="H22" i="4"/>
  <c r="G22" i="4"/>
  <c r="F22" i="4"/>
  <c r="E22" i="4"/>
  <c r="D22" i="4"/>
  <c r="C22" i="4"/>
  <c r="B22" i="4"/>
  <c r="I21" i="4"/>
  <c r="H21" i="4"/>
  <c r="G21" i="4"/>
  <c r="F21" i="4"/>
  <c r="E21" i="4"/>
  <c r="D21" i="4"/>
  <c r="C21" i="4"/>
  <c r="B21" i="4"/>
  <c r="I20" i="4"/>
  <c r="H20" i="4"/>
  <c r="G20" i="4"/>
  <c r="F20" i="4"/>
  <c r="E20" i="4"/>
  <c r="D20" i="4"/>
  <c r="C20" i="4"/>
  <c r="B20" i="4"/>
  <c r="B16" i="4"/>
  <c r="B13" i="4"/>
</calcChain>
</file>

<file path=xl/sharedStrings.xml><?xml version="1.0" encoding="utf-8"?>
<sst xmlns="http://schemas.openxmlformats.org/spreadsheetml/2006/main" count="471" uniqueCount="92">
  <si>
    <t>Parameter</t>
  </si>
  <si>
    <t>Value</t>
  </si>
  <si>
    <t>MO inflation</t>
  </si>
  <si>
    <t>Base MO per ADM (FY25)</t>
  </si>
  <si>
    <t>Fixed share of MO</t>
  </si>
  <si>
    <t>Echo base ADM</t>
  </si>
  <si>
    <t>Pima base ADM</t>
  </si>
  <si>
    <t>Total base ADM</t>
  </si>
  <si>
    <t>Receiving overhead taper ($)</t>
  </si>
  <si>
    <t>FY2026</t>
  </si>
  <si>
    <t>FY2027</t>
  </si>
  <si>
    <t>FY2028</t>
  </si>
  <si>
    <t>FY2029</t>
  </si>
  <si>
    <t>FY2030</t>
  </si>
  <si>
    <t>h</t>
  </si>
  <si>
    <t>Fixed-carry lease path (f)</t>
  </si>
  <si>
    <t>f_lease</t>
  </si>
  <si>
    <t>Fixed-carry ops path (f)</t>
  </si>
  <si>
    <t>f_ops</t>
  </si>
  <si>
    <t>Scenario</t>
  </si>
  <si>
    <t>Overlay</t>
  </si>
  <si>
    <t>Year</t>
  </si>
  <si>
    <t>Echo_ADM</t>
  </si>
  <si>
    <t>Pima_ADM</t>
  </si>
  <si>
    <t>Total_ADM</t>
  </si>
  <si>
    <t>Total_MO_$</t>
  </si>
  <si>
    <t>MO_per_ADM_$</t>
  </si>
  <si>
    <t>Utilization_%</t>
  </si>
  <si>
    <t>D_Grow_Both</t>
  </si>
  <si>
    <t>E_StatusQuo_Targets</t>
  </si>
  <si>
    <t>F_CoLocation_Echo</t>
  </si>
  <si>
    <t>G_DHub_EchoRamp</t>
  </si>
  <si>
    <t>A_Repurpose_Both_lease</t>
  </si>
  <si>
    <t>A_Repurpose_Both_ops</t>
  </si>
  <si>
    <t>B_Repurpose_Echo_Grow_Pima_lease</t>
  </si>
  <si>
    <t>B_Repurpose_Echo_Grow_Pima_ops</t>
  </si>
  <si>
    <t>C_Repurpose_Pima_Grow_Echo_lease</t>
  </si>
  <si>
    <t>C_Repurpose_Pima_Grow_Echo_ops</t>
  </si>
  <si>
    <t>Key</t>
  </si>
  <si>
    <t>Comparable_$FY2028</t>
  </si>
  <si>
    <t>Comparable_$FY2030</t>
  </si>
  <si>
    <t>Comparable_3yrAvg_$</t>
  </si>
  <si>
    <t>NPV5_MO_$</t>
  </si>
  <si>
    <t>A_Repurpose_Both_lease|0</t>
  </si>
  <si>
    <t>A_Repurpose_Both_ops|0</t>
  </si>
  <si>
    <t>B_Repurpose_Echo_Grow_Pima_lease|0</t>
  </si>
  <si>
    <t>B_Repurpose_Echo_Grow_Pima_lease|100</t>
  </si>
  <si>
    <t>B_Repurpose_Echo_Grow_Pima_lease|150</t>
  </si>
  <si>
    <t>B_Repurpose_Echo_Grow_Pima_ops|0</t>
  </si>
  <si>
    <t>B_Repurpose_Echo_Grow_Pima_ops|100</t>
  </si>
  <si>
    <t>B_Repurpose_Echo_Grow_Pima_ops|150</t>
  </si>
  <si>
    <t>C_Repurpose_Pima_Grow_Echo_lease|0</t>
  </si>
  <si>
    <t>C_Repurpose_Pima_Grow_Echo_lease|100</t>
  </si>
  <si>
    <t>C_Repurpose_Pima_Grow_Echo_lease|150</t>
  </si>
  <si>
    <t>C_Repurpose_Pima_Grow_Echo_ops|0</t>
  </si>
  <si>
    <t>C_Repurpose_Pima_Grow_Echo_ops|100</t>
  </si>
  <si>
    <t>C_Repurpose_Pima_Grow_Echo_ops|150</t>
  </si>
  <si>
    <t>D_Grow_Both|0</t>
  </si>
  <si>
    <t>D_Grow_Both|100</t>
  </si>
  <si>
    <t>D_Grow_Both|150</t>
  </si>
  <si>
    <t>E_StatusQuo_Targets|0</t>
  </si>
  <si>
    <t>E_StatusQuo_Targets|100</t>
  </si>
  <si>
    <t>E_StatusQuo_Targets|150</t>
  </si>
  <si>
    <t>F_CoLocation_Echo|0</t>
  </si>
  <si>
    <t>F_CoLocation_Echo|100</t>
  </si>
  <si>
    <t>F_CoLocation_Echo|150</t>
  </si>
  <si>
    <t>G_DHub_EchoRamp|0</t>
  </si>
  <si>
    <t>G_DHub_EchoRamp|100</t>
  </si>
  <si>
    <t>G_DHub_EchoRamp|150</t>
  </si>
  <si>
    <t>Helper</t>
  </si>
  <si>
    <t>FY28</t>
  </si>
  <si>
    <t>FY30</t>
  </si>
  <si>
    <t>Fixed_total ($)</t>
  </si>
  <si>
    <t>Var_unit ($/student)</t>
  </si>
  <si>
    <t>Select target scenario</t>
  </si>
  <si>
    <t>Select overlay (0/100/150)</t>
  </si>
  <si>
    <t>Select year (2028 or 2030)</t>
  </si>
  <si>
    <t>2030</t>
  </si>
  <si>
    <t>Receiving overhead h ($)</t>
  </si>
  <si>
    <t>Fixed-carry f (fraction)</t>
  </si>
  <si>
    <t>C_target (Comparable $/student)</t>
  </si>
  <si>
    <t>Break‑even retention r*</t>
  </si>
  <si>
    <t>Grid: r* vs f (rows) by h (cols)</t>
  </si>
  <si>
    <t>f \ h</t>
  </si>
  <si>
    <t>Umbrella</t>
  </si>
  <si>
    <t>Target</t>
  </si>
  <si>
    <t>Avg Horizon</t>
  </si>
  <si>
    <t>r* (computed)</t>
  </si>
  <si>
    <t>Lease/Sale</t>
  </si>
  <si>
    <t>3yr (FY26‑28)</t>
  </si>
  <si>
    <t>5yr (FY26‑30)</t>
  </si>
  <si>
    <t>Ops Repurpose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</si>
</sst>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4" sqref="B4"/>
    </sheetView>
  </sheetViews>
  <sheetFormatPr defaultRowHeight="14.5" x14ac:dyDescent="0.35"/>
  <cols>
    <col min="1" max="1" width="25.7265625" bestFit="1" customWidth="1"/>
    <col min="2" max="6" width="6.81640625" bestFit="1" customWidth="1"/>
  </cols>
  <sheetData>
    <row r="1" spans="1:6" x14ac:dyDescent="0.35">
      <c r="A1" s="1" t="s">
        <v>0</v>
      </c>
      <c r="B1" s="1" t="s">
        <v>1</v>
      </c>
    </row>
    <row r="2" spans="1:6" x14ac:dyDescent="0.35">
      <c r="A2" t="s">
        <v>2</v>
      </c>
      <c r="B2">
        <v>2.5000000000000001E-2</v>
      </c>
    </row>
    <row r="3" spans="1:6" x14ac:dyDescent="0.35">
      <c r="A3" t="s">
        <v>3</v>
      </c>
      <c r="B3">
        <v>9936</v>
      </c>
    </row>
    <row r="4" spans="1:6" x14ac:dyDescent="0.35">
      <c r="A4" t="s">
        <v>4</v>
      </c>
      <c r="B4">
        <v>0.3</v>
      </c>
    </row>
    <row r="5" spans="1:6" x14ac:dyDescent="0.35">
      <c r="A5" t="s">
        <v>5</v>
      </c>
      <c r="B5">
        <v>257</v>
      </c>
    </row>
    <row r="6" spans="1:6" x14ac:dyDescent="0.35">
      <c r="A6" t="s">
        <v>6</v>
      </c>
      <c r="B6">
        <v>296</v>
      </c>
    </row>
    <row r="7" spans="1:6" x14ac:dyDescent="0.35">
      <c r="A7" t="s">
        <v>7</v>
      </c>
      <c r="B7">
        <v>553</v>
      </c>
    </row>
    <row r="9" spans="1:6" x14ac:dyDescent="0.3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</row>
    <row r="10" spans="1:6" x14ac:dyDescent="0.35">
      <c r="A10" t="s">
        <v>14</v>
      </c>
      <c r="B10">
        <v>1000</v>
      </c>
      <c r="C10">
        <v>800</v>
      </c>
      <c r="D10">
        <v>600</v>
      </c>
      <c r="E10">
        <v>400</v>
      </c>
      <c r="F10">
        <v>300</v>
      </c>
    </row>
    <row r="12" spans="1:6" x14ac:dyDescent="0.35">
      <c r="A12" s="1" t="s">
        <v>15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</row>
    <row r="13" spans="1:6" x14ac:dyDescent="0.35">
      <c r="A13" t="s">
        <v>16</v>
      </c>
      <c r="B13">
        <v>0.4</v>
      </c>
      <c r="C13">
        <v>0.3</v>
      </c>
      <c r="D13">
        <v>0.2</v>
      </c>
      <c r="E13">
        <v>0.1</v>
      </c>
      <c r="F13">
        <v>0</v>
      </c>
    </row>
    <row r="15" spans="1:6" x14ac:dyDescent="0.35">
      <c r="A15" s="1" t="s">
        <v>17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</row>
    <row r="16" spans="1:6" x14ac:dyDescent="0.35">
      <c r="A16" t="s">
        <v>18</v>
      </c>
      <c r="B16">
        <v>0.4</v>
      </c>
      <c r="C16">
        <v>0.35</v>
      </c>
      <c r="D16">
        <v>0.3</v>
      </c>
      <c r="E16">
        <v>0.25</v>
      </c>
      <c r="F1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zoomScale="85" zoomScaleNormal="8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G17" sqref="G17"/>
    </sheetView>
  </sheetViews>
  <sheetFormatPr defaultRowHeight="14.5" x14ac:dyDescent="0.35"/>
  <cols>
    <col min="1" max="1" width="33.90625" bestFit="1" customWidth="1"/>
    <col min="2" max="2" width="7.453125" bestFit="1" customWidth="1"/>
    <col min="3" max="3" width="6.7265625" bestFit="1" customWidth="1"/>
    <col min="4" max="4" width="10" bestFit="1" customWidth="1"/>
    <col min="5" max="6" width="10.1796875" bestFit="1" customWidth="1"/>
    <col min="7" max="7" width="11.08984375" bestFit="1" customWidth="1"/>
    <col min="8" max="8" width="15" bestFit="1" customWidth="1"/>
    <col min="9" max="9" width="12.08984375" bestFit="1" customWidth="1"/>
  </cols>
  <sheetData>
    <row r="1" spans="1:9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5">
      <c r="A2" t="s">
        <v>28</v>
      </c>
      <c r="B2">
        <v>0</v>
      </c>
      <c r="C2" t="s">
        <v>9</v>
      </c>
      <c r="D2">
        <v>257</v>
      </c>
      <c r="E2">
        <v>296</v>
      </c>
      <c r="F2" s="2">
        <v>553</v>
      </c>
      <c r="G2" s="2">
        <v>5592549</v>
      </c>
      <c r="H2" s="2">
        <v>10113</v>
      </c>
      <c r="I2">
        <v>37.700000000000003</v>
      </c>
    </row>
    <row r="3" spans="1:9" x14ac:dyDescent="0.35">
      <c r="A3" t="s">
        <v>28</v>
      </c>
      <c r="B3">
        <v>0</v>
      </c>
      <c r="C3" t="s">
        <v>10</v>
      </c>
      <c r="D3">
        <v>257</v>
      </c>
      <c r="E3">
        <v>296</v>
      </c>
      <c r="F3" s="2">
        <v>553</v>
      </c>
      <c r="G3" s="2">
        <v>5732363</v>
      </c>
      <c r="H3" s="2">
        <v>10366</v>
      </c>
      <c r="I3">
        <v>37.700000000000003</v>
      </c>
    </row>
    <row r="4" spans="1:9" x14ac:dyDescent="0.35">
      <c r="A4" t="s">
        <v>28</v>
      </c>
      <c r="B4">
        <v>0</v>
      </c>
      <c r="C4" t="s">
        <v>11</v>
      </c>
      <c r="D4">
        <v>257</v>
      </c>
      <c r="E4">
        <v>296</v>
      </c>
      <c r="F4" s="2">
        <v>553</v>
      </c>
      <c r="G4" s="2">
        <v>5875672</v>
      </c>
      <c r="H4" s="2">
        <v>10625</v>
      </c>
      <c r="I4">
        <v>37.700000000000003</v>
      </c>
    </row>
    <row r="5" spans="1:9" x14ac:dyDescent="0.35">
      <c r="A5" t="s">
        <v>28</v>
      </c>
      <c r="B5">
        <v>0</v>
      </c>
      <c r="C5" t="s">
        <v>12</v>
      </c>
      <c r="D5">
        <v>257</v>
      </c>
      <c r="E5">
        <v>296</v>
      </c>
      <c r="F5" s="2">
        <v>553</v>
      </c>
      <c r="G5" s="2">
        <v>6022564</v>
      </c>
      <c r="H5" s="2">
        <v>10891</v>
      </c>
      <c r="I5">
        <v>37.700000000000003</v>
      </c>
    </row>
    <row r="6" spans="1:9" x14ac:dyDescent="0.35">
      <c r="A6" t="s">
        <v>28</v>
      </c>
      <c r="B6">
        <v>0</v>
      </c>
      <c r="C6" t="s">
        <v>13</v>
      </c>
      <c r="D6">
        <v>257</v>
      </c>
      <c r="E6">
        <v>296</v>
      </c>
      <c r="F6" s="2">
        <v>553</v>
      </c>
      <c r="G6" s="2">
        <v>6173128</v>
      </c>
      <c r="H6" s="2">
        <v>11163</v>
      </c>
      <c r="I6">
        <v>37.700000000000003</v>
      </c>
    </row>
    <row r="7" spans="1:9" x14ac:dyDescent="0.35">
      <c r="A7" t="s">
        <v>29</v>
      </c>
      <c r="B7">
        <v>0</v>
      </c>
      <c r="C7" t="s">
        <v>9</v>
      </c>
      <c r="D7">
        <v>257</v>
      </c>
      <c r="E7">
        <v>296</v>
      </c>
      <c r="F7" s="2">
        <v>553</v>
      </c>
      <c r="G7" s="2">
        <v>5592549</v>
      </c>
      <c r="H7" s="2">
        <v>10113</v>
      </c>
      <c r="I7">
        <v>37.700000000000003</v>
      </c>
    </row>
    <row r="8" spans="1:9" x14ac:dyDescent="0.35">
      <c r="A8" t="s">
        <v>29</v>
      </c>
      <c r="B8">
        <v>0</v>
      </c>
      <c r="C8" t="s">
        <v>10</v>
      </c>
      <c r="D8">
        <v>257</v>
      </c>
      <c r="E8">
        <v>296</v>
      </c>
      <c r="F8" s="2">
        <v>553</v>
      </c>
      <c r="G8" s="2">
        <v>5732363</v>
      </c>
      <c r="H8" s="2">
        <v>10366</v>
      </c>
      <c r="I8">
        <v>37.700000000000003</v>
      </c>
    </row>
    <row r="9" spans="1:9" x14ac:dyDescent="0.35">
      <c r="A9" t="s">
        <v>29</v>
      </c>
      <c r="B9">
        <v>0</v>
      </c>
      <c r="C9" t="s">
        <v>11</v>
      </c>
      <c r="D9">
        <v>257</v>
      </c>
      <c r="E9">
        <v>296</v>
      </c>
      <c r="F9" s="2">
        <v>553</v>
      </c>
      <c r="G9" s="2">
        <v>5875672</v>
      </c>
      <c r="H9" s="2">
        <v>10625</v>
      </c>
      <c r="I9">
        <v>37.700000000000003</v>
      </c>
    </row>
    <row r="10" spans="1:9" x14ac:dyDescent="0.35">
      <c r="A10" t="s">
        <v>29</v>
      </c>
      <c r="B10">
        <v>0</v>
      </c>
      <c r="C10" t="s">
        <v>12</v>
      </c>
      <c r="D10">
        <v>257</v>
      </c>
      <c r="E10">
        <v>296</v>
      </c>
      <c r="F10" s="2">
        <v>553</v>
      </c>
      <c r="G10" s="2">
        <v>6022564</v>
      </c>
      <c r="H10" s="2">
        <v>10891</v>
      </c>
      <c r="I10">
        <v>37.700000000000003</v>
      </c>
    </row>
    <row r="11" spans="1:9" x14ac:dyDescent="0.35">
      <c r="A11" t="s">
        <v>29</v>
      </c>
      <c r="B11">
        <v>0</v>
      </c>
      <c r="C11" t="s">
        <v>13</v>
      </c>
      <c r="D11">
        <v>257</v>
      </c>
      <c r="E11">
        <v>296</v>
      </c>
      <c r="F11" s="2">
        <v>553</v>
      </c>
      <c r="G11" s="2">
        <v>6173128</v>
      </c>
      <c r="H11" s="2">
        <v>11163</v>
      </c>
      <c r="I11">
        <v>37.700000000000003</v>
      </c>
    </row>
    <row r="12" spans="1:9" x14ac:dyDescent="0.35">
      <c r="A12" t="s">
        <v>30</v>
      </c>
      <c r="B12">
        <v>0</v>
      </c>
      <c r="C12" t="s">
        <v>9</v>
      </c>
      <c r="D12">
        <v>257</v>
      </c>
      <c r="E12">
        <v>296</v>
      </c>
      <c r="F12" s="2">
        <v>553</v>
      </c>
      <c r="G12" s="2">
        <v>5508661</v>
      </c>
      <c r="H12" s="2">
        <v>9961</v>
      </c>
      <c r="I12">
        <v>37.700000000000003</v>
      </c>
    </row>
    <row r="13" spans="1:9" x14ac:dyDescent="0.35">
      <c r="A13" t="s">
        <v>30</v>
      </c>
      <c r="B13">
        <v>0</v>
      </c>
      <c r="C13" t="s">
        <v>10</v>
      </c>
      <c r="D13">
        <v>257</v>
      </c>
      <c r="E13">
        <v>296</v>
      </c>
      <c r="F13" s="2">
        <v>553</v>
      </c>
      <c r="G13" s="2">
        <v>5646378</v>
      </c>
      <c r="H13" s="2">
        <v>10210</v>
      </c>
      <c r="I13">
        <v>37.700000000000003</v>
      </c>
    </row>
    <row r="14" spans="1:9" x14ac:dyDescent="0.35">
      <c r="A14" t="s">
        <v>30</v>
      </c>
      <c r="B14">
        <v>0</v>
      </c>
      <c r="C14" t="s">
        <v>11</v>
      </c>
      <c r="D14">
        <v>257</v>
      </c>
      <c r="E14">
        <v>296</v>
      </c>
      <c r="F14" s="2">
        <v>553</v>
      </c>
      <c r="G14" s="2">
        <v>5787537</v>
      </c>
      <c r="H14" s="2">
        <v>10466</v>
      </c>
      <c r="I14">
        <v>37.700000000000003</v>
      </c>
    </row>
    <row r="15" spans="1:9" x14ac:dyDescent="0.35">
      <c r="A15" t="s">
        <v>30</v>
      </c>
      <c r="B15">
        <v>0</v>
      </c>
      <c r="C15" t="s">
        <v>12</v>
      </c>
      <c r="D15">
        <v>257</v>
      </c>
      <c r="E15">
        <v>296</v>
      </c>
      <c r="F15" s="2">
        <v>553</v>
      </c>
      <c r="G15" s="2">
        <v>5932226</v>
      </c>
      <c r="H15" s="2">
        <v>10727</v>
      </c>
      <c r="I15">
        <v>37.700000000000003</v>
      </c>
    </row>
    <row r="16" spans="1:9" x14ac:dyDescent="0.35">
      <c r="A16" t="s">
        <v>30</v>
      </c>
      <c r="B16">
        <v>0</v>
      </c>
      <c r="C16" t="s">
        <v>13</v>
      </c>
      <c r="D16">
        <v>257</v>
      </c>
      <c r="E16">
        <v>296</v>
      </c>
      <c r="F16" s="2">
        <v>553</v>
      </c>
      <c r="G16" s="2">
        <v>6080531</v>
      </c>
      <c r="H16" s="2">
        <v>10996</v>
      </c>
      <c r="I16">
        <v>37.700000000000003</v>
      </c>
    </row>
    <row r="17" spans="1:9" x14ac:dyDescent="0.35">
      <c r="A17" t="s">
        <v>31</v>
      </c>
      <c r="B17">
        <v>0</v>
      </c>
      <c r="C17" t="s">
        <v>9</v>
      </c>
      <c r="D17">
        <v>292</v>
      </c>
      <c r="E17">
        <v>311</v>
      </c>
      <c r="F17" s="2">
        <v>603</v>
      </c>
      <c r="G17" s="2">
        <v>5946508</v>
      </c>
      <c r="H17" s="2">
        <v>9862</v>
      </c>
      <c r="I17">
        <v>41.1</v>
      </c>
    </row>
    <row r="18" spans="1:9" x14ac:dyDescent="0.35">
      <c r="A18" t="s">
        <v>31</v>
      </c>
      <c r="B18">
        <v>0</v>
      </c>
      <c r="C18" t="s">
        <v>10</v>
      </c>
      <c r="D18">
        <v>327</v>
      </c>
      <c r="E18">
        <v>326</v>
      </c>
      <c r="F18" s="2">
        <v>653</v>
      </c>
      <c r="G18" s="2">
        <v>6457979</v>
      </c>
      <c r="H18" s="2">
        <v>9890</v>
      </c>
      <c r="I18">
        <v>44.5</v>
      </c>
    </row>
    <row r="19" spans="1:9" x14ac:dyDescent="0.35">
      <c r="A19" t="s">
        <v>31</v>
      </c>
      <c r="B19">
        <v>0</v>
      </c>
      <c r="C19" t="s">
        <v>11</v>
      </c>
      <c r="D19">
        <v>362</v>
      </c>
      <c r="E19">
        <v>341</v>
      </c>
      <c r="F19" s="2">
        <v>703</v>
      </c>
      <c r="G19" s="2">
        <v>6991306</v>
      </c>
      <c r="H19" s="2">
        <v>9945</v>
      </c>
      <c r="I19">
        <v>48</v>
      </c>
    </row>
    <row r="20" spans="1:9" x14ac:dyDescent="0.35">
      <c r="A20" t="s">
        <v>31</v>
      </c>
      <c r="B20">
        <v>0</v>
      </c>
      <c r="C20" t="s">
        <v>12</v>
      </c>
      <c r="D20">
        <v>362</v>
      </c>
      <c r="E20">
        <v>341</v>
      </c>
      <c r="F20" s="2">
        <v>703</v>
      </c>
      <c r="G20" s="2">
        <v>7166089</v>
      </c>
      <c r="H20" s="2">
        <v>10194</v>
      </c>
      <c r="I20">
        <v>48</v>
      </c>
    </row>
    <row r="21" spans="1:9" x14ac:dyDescent="0.35">
      <c r="A21" t="s">
        <v>31</v>
      </c>
      <c r="B21">
        <v>0</v>
      </c>
      <c r="C21" t="s">
        <v>13</v>
      </c>
      <c r="D21">
        <v>362</v>
      </c>
      <c r="E21">
        <v>341</v>
      </c>
      <c r="F21" s="2">
        <v>703</v>
      </c>
      <c r="G21" s="2">
        <v>7345241</v>
      </c>
      <c r="H21" s="2">
        <v>10448</v>
      </c>
      <c r="I21">
        <v>48</v>
      </c>
    </row>
    <row r="22" spans="1:9" x14ac:dyDescent="0.35">
      <c r="A22" t="s">
        <v>28</v>
      </c>
      <c r="B22">
        <v>100</v>
      </c>
      <c r="C22" t="s">
        <v>9</v>
      </c>
      <c r="D22">
        <v>307</v>
      </c>
      <c r="E22">
        <v>346</v>
      </c>
      <c r="F22" s="2">
        <v>653</v>
      </c>
      <c r="G22" s="2">
        <v>6300467</v>
      </c>
      <c r="H22" s="2">
        <v>9648</v>
      </c>
      <c r="I22">
        <v>44.5</v>
      </c>
    </row>
    <row r="23" spans="1:9" x14ac:dyDescent="0.35">
      <c r="A23" t="s">
        <v>28</v>
      </c>
      <c r="B23">
        <v>100</v>
      </c>
      <c r="C23" t="s">
        <v>10</v>
      </c>
      <c r="D23">
        <v>307</v>
      </c>
      <c r="E23">
        <v>346</v>
      </c>
      <c r="F23" s="2">
        <v>653</v>
      </c>
      <c r="G23" s="2">
        <v>6457979</v>
      </c>
      <c r="H23" s="2">
        <v>9890</v>
      </c>
      <c r="I23">
        <v>44.5</v>
      </c>
    </row>
    <row r="24" spans="1:9" x14ac:dyDescent="0.35">
      <c r="A24" t="s">
        <v>28</v>
      </c>
      <c r="B24">
        <v>100</v>
      </c>
      <c r="C24" t="s">
        <v>11</v>
      </c>
      <c r="D24">
        <v>307</v>
      </c>
      <c r="E24">
        <v>346</v>
      </c>
      <c r="F24" s="2">
        <v>653</v>
      </c>
      <c r="G24" s="2">
        <v>6619428</v>
      </c>
      <c r="H24" s="2">
        <v>10137</v>
      </c>
      <c r="I24">
        <v>44.5</v>
      </c>
    </row>
    <row r="25" spans="1:9" x14ac:dyDescent="0.35">
      <c r="A25" t="s">
        <v>28</v>
      </c>
      <c r="B25">
        <v>100</v>
      </c>
      <c r="C25" t="s">
        <v>12</v>
      </c>
      <c r="D25">
        <v>307</v>
      </c>
      <c r="E25">
        <v>346</v>
      </c>
      <c r="F25" s="2">
        <v>653</v>
      </c>
      <c r="G25" s="2">
        <v>6784914</v>
      </c>
      <c r="H25" s="2">
        <v>10390</v>
      </c>
      <c r="I25">
        <v>44.5</v>
      </c>
    </row>
    <row r="26" spans="1:9" x14ac:dyDescent="0.35">
      <c r="A26" t="s">
        <v>28</v>
      </c>
      <c r="B26">
        <v>100</v>
      </c>
      <c r="C26" t="s">
        <v>13</v>
      </c>
      <c r="D26">
        <v>307</v>
      </c>
      <c r="E26">
        <v>346</v>
      </c>
      <c r="F26" s="2">
        <v>653</v>
      </c>
      <c r="G26" s="2">
        <v>6954537</v>
      </c>
      <c r="H26" s="2">
        <v>10650</v>
      </c>
      <c r="I26">
        <v>44.5</v>
      </c>
    </row>
    <row r="27" spans="1:9" x14ac:dyDescent="0.35">
      <c r="A27" t="s">
        <v>29</v>
      </c>
      <c r="B27">
        <v>100</v>
      </c>
      <c r="C27" t="s">
        <v>9</v>
      </c>
      <c r="D27">
        <v>307</v>
      </c>
      <c r="E27">
        <v>346</v>
      </c>
      <c r="F27" s="2">
        <v>653</v>
      </c>
      <c r="G27" s="2">
        <v>6300467</v>
      </c>
      <c r="H27" s="2">
        <v>9648</v>
      </c>
      <c r="I27">
        <v>44.5</v>
      </c>
    </row>
    <row r="28" spans="1:9" x14ac:dyDescent="0.35">
      <c r="A28" t="s">
        <v>29</v>
      </c>
      <c r="B28">
        <v>100</v>
      </c>
      <c r="C28" t="s">
        <v>10</v>
      </c>
      <c r="D28">
        <v>307</v>
      </c>
      <c r="E28">
        <v>346</v>
      </c>
      <c r="F28" s="2">
        <v>653</v>
      </c>
      <c r="G28" s="2">
        <v>6457979</v>
      </c>
      <c r="H28" s="2">
        <v>9890</v>
      </c>
      <c r="I28">
        <v>44.5</v>
      </c>
    </row>
    <row r="29" spans="1:9" x14ac:dyDescent="0.35">
      <c r="A29" t="s">
        <v>29</v>
      </c>
      <c r="B29">
        <v>100</v>
      </c>
      <c r="C29" t="s">
        <v>11</v>
      </c>
      <c r="D29">
        <v>307</v>
      </c>
      <c r="E29">
        <v>346</v>
      </c>
      <c r="F29" s="2">
        <v>653</v>
      </c>
      <c r="G29" s="2">
        <v>6619428</v>
      </c>
      <c r="H29" s="2">
        <v>10137</v>
      </c>
      <c r="I29">
        <v>44.5</v>
      </c>
    </row>
    <row r="30" spans="1:9" x14ac:dyDescent="0.35">
      <c r="A30" t="s">
        <v>29</v>
      </c>
      <c r="B30">
        <v>100</v>
      </c>
      <c r="C30" t="s">
        <v>12</v>
      </c>
      <c r="D30">
        <v>307</v>
      </c>
      <c r="E30">
        <v>346</v>
      </c>
      <c r="F30" s="2">
        <v>653</v>
      </c>
      <c r="G30" s="2">
        <v>6784914</v>
      </c>
      <c r="H30" s="2">
        <v>10390</v>
      </c>
      <c r="I30">
        <v>44.5</v>
      </c>
    </row>
    <row r="31" spans="1:9" x14ac:dyDescent="0.35">
      <c r="A31" t="s">
        <v>29</v>
      </c>
      <c r="B31">
        <v>100</v>
      </c>
      <c r="C31" t="s">
        <v>13</v>
      </c>
      <c r="D31">
        <v>307</v>
      </c>
      <c r="E31">
        <v>346</v>
      </c>
      <c r="F31" s="2">
        <v>653</v>
      </c>
      <c r="G31" s="2">
        <v>6954537</v>
      </c>
      <c r="H31" s="2">
        <v>10650</v>
      </c>
      <c r="I31">
        <v>44.5</v>
      </c>
    </row>
    <row r="32" spans="1:9" x14ac:dyDescent="0.35">
      <c r="A32" t="s">
        <v>30</v>
      </c>
      <c r="B32">
        <v>100</v>
      </c>
      <c r="C32" t="s">
        <v>9</v>
      </c>
      <c r="D32">
        <v>327</v>
      </c>
      <c r="E32">
        <v>326</v>
      </c>
      <c r="F32" s="2">
        <v>653</v>
      </c>
      <c r="G32" s="2">
        <v>6205960</v>
      </c>
      <c r="H32" s="2">
        <v>9504</v>
      </c>
      <c r="I32">
        <v>44.5</v>
      </c>
    </row>
    <row r="33" spans="1:9" x14ac:dyDescent="0.35">
      <c r="A33" t="s">
        <v>30</v>
      </c>
      <c r="B33">
        <v>100</v>
      </c>
      <c r="C33" t="s">
        <v>10</v>
      </c>
      <c r="D33">
        <v>327</v>
      </c>
      <c r="E33">
        <v>326</v>
      </c>
      <c r="F33" s="2">
        <v>653</v>
      </c>
      <c r="G33" s="2">
        <v>6361109</v>
      </c>
      <c r="H33" s="2">
        <v>9741</v>
      </c>
      <c r="I33">
        <v>44.5</v>
      </c>
    </row>
    <row r="34" spans="1:9" x14ac:dyDescent="0.35">
      <c r="A34" t="s">
        <v>30</v>
      </c>
      <c r="B34">
        <v>100</v>
      </c>
      <c r="C34" t="s">
        <v>11</v>
      </c>
      <c r="D34">
        <v>327</v>
      </c>
      <c r="E34">
        <v>326</v>
      </c>
      <c r="F34" s="2">
        <v>653</v>
      </c>
      <c r="G34" s="2">
        <v>6520137</v>
      </c>
      <c r="H34" s="2">
        <v>9985</v>
      </c>
      <c r="I34">
        <v>44.5</v>
      </c>
    </row>
    <row r="35" spans="1:9" x14ac:dyDescent="0.35">
      <c r="A35" t="s">
        <v>30</v>
      </c>
      <c r="B35">
        <v>100</v>
      </c>
      <c r="C35" t="s">
        <v>12</v>
      </c>
      <c r="D35">
        <v>327</v>
      </c>
      <c r="E35">
        <v>326</v>
      </c>
      <c r="F35" s="2">
        <v>653</v>
      </c>
      <c r="G35" s="2">
        <v>6683140</v>
      </c>
      <c r="H35" s="2">
        <v>10235</v>
      </c>
      <c r="I35">
        <v>44.5</v>
      </c>
    </row>
    <row r="36" spans="1:9" x14ac:dyDescent="0.35">
      <c r="A36" t="s">
        <v>30</v>
      </c>
      <c r="B36">
        <v>100</v>
      </c>
      <c r="C36" t="s">
        <v>13</v>
      </c>
      <c r="D36">
        <v>327</v>
      </c>
      <c r="E36">
        <v>326</v>
      </c>
      <c r="F36" s="2">
        <v>653</v>
      </c>
      <c r="G36" s="2">
        <v>6850219</v>
      </c>
      <c r="H36" s="2">
        <v>10490</v>
      </c>
      <c r="I36">
        <v>44.5</v>
      </c>
    </row>
    <row r="37" spans="1:9" x14ac:dyDescent="0.35">
      <c r="A37" t="s">
        <v>31</v>
      </c>
      <c r="B37">
        <v>100</v>
      </c>
      <c r="C37" t="s">
        <v>9</v>
      </c>
      <c r="D37">
        <v>292</v>
      </c>
      <c r="E37">
        <v>311</v>
      </c>
      <c r="F37" s="2">
        <v>603</v>
      </c>
      <c r="G37" s="2">
        <v>5946508</v>
      </c>
      <c r="H37" s="2">
        <v>9862</v>
      </c>
      <c r="I37">
        <v>41.1</v>
      </c>
    </row>
    <row r="38" spans="1:9" x14ac:dyDescent="0.35">
      <c r="A38" t="s">
        <v>31</v>
      </c>
      <c r="B38">
        <v>100</v>
      </c>
      <c r="C38" t="s">
        <v>10</v>
      </c>
      <c r="D38">
        <v>327</v>
      </c>
      <c r="E38">
        <v>326</v>
      </c>
      <c r="F38" s="2">
        <v>653</v>
      </c>
      <c r="G38" s="2">
        <v>6457979</v>
      </c>
      <c r="H38" s="2">
        <v>9890</v>
      </c>
      <c r="I38">
        <v>44.5</v>
      </c>
    </row>
    <row r="39" spans="1:9" x14ac:dyDescent="0.35">
      <c r="A39" t="s">
        <v>31</v>
      </c>
      <c r="B39">
        <v>100</v>
      </c>
      <c r="C39" t="s">
        <v>11</v>
      </c>
      <c r="D39">
        <v>362</v>
      </c>
      <c r="E39">
        <v>341</v>
      </c>
      <c r="F39" s="2">
        <v>703</v>
      </c>
      <c r="G39" s="2">
        <v>6991306</v>
      </c>
      <c r="H39" s="2">
        <v>9945</v>
      </c>
      <c r="I39">
        <v>48</v>
      </c>
    </row>
    <row r="40" spans="1:9" x14ac:dyDescent="0.35">
      <c r="A40" t="s">
        <v>31</v>
      </c>
      <c r="B40">
        <v>100</v>
      </c>
      <c r="C40" t="s">
        <v>12</v>
      </c>
      <c r="D40">
        <v>362</v>
      </c>
      <c r="E40">
        <v>341</v>
      </c>
      <c r="F40" s="2">
        <v>703</v>
      </c>
      <c r="G40" s="2">
        <v>7166089</v>
      </c>
      <c r="H40" s="2">
        <v>10194</v>
      </c>
      <c r="I40">
        <v>48</v>
      </c>
    </row>
    <row r="41" spans="1:9" x14ac:dyDescent="0.35">
      <c r="A41" t="s">
        <v>31</v>
      </c>
      <c r="B41">
        <v>100</v>
      </c>
      <c r="C41" t="s">
        <v>13</v>
      </c>
      <c r="D41">
        <v>362</v>
      </c>
      <c r="E41">
        <v>341</v>
      </c>
      <c r="F41" s="2">
        <v>703</v>
      </c>
      <c r="G41" s="2">
        <v>7345241</v>
      </c>
      <c r="H41" s="2">
        <v>10448</v>
      </c>
      <c r="I41">
        <v>48</v>
      </c>
    </row>
    <row r="42" spans="1:9" x14ac:dyDescent="0.35">
      <c r="A42" t="s">
        <v>28</v>
      </c>
      <c r="B42">
        <v>150</v>
      </c>
      <c r="C42" t="s">
        <v>9</v>
      </c>
      <c r="D42">
        <v>332</v>
      </c>
      <c r="E42">
        <v>371</v>
      </c>
      <c r="F42" s="2">
        <v>703</v>
      </c>
      <c r="G42" s="2">
        <v>6654426</v>
      </c>
      <c r="H42" s="2">
        <v>9466</v>
      </c>
      <c r="I42">
        <v>48</v>
      </c>
    </row>
    <row r="43" spans="1:9" x14ac:dyDescent="0.35">
      <c r="A43" t="s">
        <v>28</v>
      </c>
      <c r="B43">
        <v>150</v>
      </c>
      <c r="C43" t="s">
        <v>10</v>
      </c>
      <c r="D43">
        <v>332</v>
      </c>
      <c r="E43">
        <v>371</v>
      </c>
      <c r="F43" s="2">
        <v>703</v>
      </c>
      <c r="G43" s="2">
        <v>6820786</v>
      </c>
      <c r="H43" s="2">
        <v>9702</v>
      </c>
      <c r="I43">
        <v>48</v>
      </c>
    </row>
    <row r="44" spans="1:9" x14ac:dyDescent="0.35">
      <c r="A44" t="s">
        <v>28</v>
      </c>
      <c r="B44">
        <v>150</v>
      </c>
      <c r="C44" t="s">
        <v>11</v>
      </c>
      <c r="D44">
        <v>332</v>
      </c>
      <c r="E44">
        <v>371</v>
      </c>
      <c r="F44" s="2">
        <v>703</v>
      </c>
      <c r="G44" s="2">
        <v>6991306</v>
      </c>
      <c r="H44" s="2">
        <v>9945</v>
      </c>
      <c r="I44">
        <v>48</v>
      </c>
    </row>
    <row r="45" spans="1:9" x14ac:dyDescent="0.35">
      <c r="A45" t="s">
        <v>28</v>
      </c>
      <c r="B45">
        <v>150</v>
      </c>
      <c r="C45" t="s">
        <v>12</v>
      </c>
      <c r="D45">
        <v>332</v>
      </c>
      <c r="E45">
        <v>371</v>
      </c>
      <c r="F45" s="2">
        <v>703</v>
      </c>
      <c r="G45" s="2">
        <v>7166089</v>
      </c>
      <c r="H45" s="2">
        <v>10194</v>
      </c>
      <c r="I45">
        <v>48</v>
      </c>
    </row>
    <row r="46" spans="1:9" x14ac:dyDescent="0.35">
      <c r="A46" t="s">
        <v>28</v>
      </c>
      <c r="B46">
        <v>150</v>
      </c>
      <c r="C46" t="s">
        <v>13</v>
      </c>
      <c r="D46">
        <v>332</v>
      </c>
      <c r="E46">
        <v>371</v>
      </c>
      <c r="F46" s="2">
        <v>703</v>
      </c>
      <c r="G46" s="2">
        <v>7345241</v>
      </c>
      <c r="H46" s="2">
        <v>10448</v>
      </c>
      <c r="I46">
        <v>48</v>
      </c>
    </row>
    <row r="47" spans="1:9" x14ac:dyDescent="0.35">
      <c r="A47" t="s">
        <v>29</v>
      </c>
      <c r="B47">
        <v>150</v>
      </c>
      <c r="C47" t="s">
        <v>9</v>
      </c>
      <c r="D47">
        <v>332</v>
      </c>
      <c r="E47">
        <v>371</v>
      </c>
      <c r="F47" s="2">
        <v>703</v>
      </c>
      <c r="G47" s="2">
        <v>6654426</v>
      </c>
      <c r="H47" s="2">
        <v>9466</v>
      </c>
      <c r="I47">
        <v>48</v>
      </c>
    </row>
    <row r="48" spans="1:9" x14ac:dyDescent="0.35">
      <c r="A48" t="s">
        <v>29</v>
      </c>
      <c r="B48">
        <v>150</v>
      </c>
      <c r="C48" t="s">
        <v>10</v>
      </c>
      <c r="D48">
        <v>332</v>
      </c>
      <c r="E48">
        <v>371</v>
      </c>
      <c r="F48" s="2">
        <v>703</v>
      </c>
      <c r="G48" s="2">
        <v>6820786</v>
      </c>
      <c r="H48" s="2">
        <v>9702</v>
      </c>
      <c r="I48">
        <v>48</v>
      </c>
    </row>
    <row r="49" spans="1:9" x14ac:dyDescent="0.35">
      <c r="A49" t="s">
        <v>29</v>
      </c>
      <c r="B49">
        <v>150</v>
      </c>
      <c r="C49" t="s">
        <v>11</v>
      </c>
      <c r="D49">
        <v>332</v>
      </c>
      <c r="E49">
        <v>371</v>
      </c>
      <c r="F49" s="2">
        <v>703</v>
      </c>
      <c r="G49" s="2">
        <v>6991306</v>
      </c>
      <c r="H49" s="2">
        <v>9945</v>
      </c>
      <c r="I49">
        <v>48</v>
      </c>
    </row>
    <row r="50" spans="1:9" x14ac:dyDescent="0.35">
      <c r="A50" t="s">
        <v>29</v>
      </c>
      <c r="B50">
        <v>150</v>
      </c>
      <c r="C50" t="s">
        <v>12</v>
      </c>
      <c r="D50">
        <v>332</v>
      </c>
      <c r="E50">
        <v>371</v>
      </c>
      <c r="F50" s="2">
        <v>703</v>
      </c>
      <c r="G50" s="2">
        <v>7166089</v>
      </c>
      <c r="H50" s="2">
        <v>10194</v>
      </c>
      <c r="I50">
        <v>48</v>
      </c>
    </row>
    <row r="51" spans="1:9" x14ac:dyDescent="0.35">
      <c r="A51" t="s">
        <v>29</v>
      </c>
      <c r="B51">
        <v>150</v>
      </c>
      <c r="C51" t="s">
        <v>13</v>
      </c>
      <c r="D51">
        <v>332</v>
      </c>
      <c r="E51">
        <v>371</v>
      </c>
      <c r="F51" s="2">
        <v>703</v>
      </c>
      <c r="G51" s="2">
        <v>7345241</v>
      </c>
      <c r="H51" s="2">
        <v>10448</v>
      </c>
      <c r="I51">
        <v>48</v>
      </c>
    </row>
    <row r="52" spans="1:9" x14ac:dyDescent="0.35">
      <c r="A52" t="s">
        <v>30</v>
      </c>
      <c r="B52">
        <v>150</v>
      </c>
      <c r="C52" t="s">
        <v>9</v>
      </c>
      <c r="D52">
        <v>362</v>
      </c>
      <c r="E52">
        <v>341</v>
      </c>
      <c r="F52" s="2">
        <v>703</v>
      </c>
      <c r="G52" s="2">
        <v>6554609</v>
      </c>
      <c r="H52" s="2">
        <v>9324</v>
      </c>
      <c r="I52">
        <v>48</v>
      </c>
    </row>
    <row r="53" spans="1:9" x14ac:dyDescent="0.35">
      <c r="A53" t="s">
        <v>30</v>
      </c>
      <c r="B53">
        <v>150</v>
      </c>
      <c r="C53" t="s">
        <v>10</v>
      </c>
      <c r="D53">
        <v>362</v>
      </c>
      <c r="E53">
        <v>341</v>
      </c>
      <c r="F53" s="2">
        <v>703</v>
      </c>
      <c r="G53" s="2">
        <v>6718475</v>
      </c>
      <c r="H53" s="2">
        <v>9557</v>
      </c>
      <c r="I53">
        <v>48</v>
      </c>
    </row>
    <row r="54" spans="1:9" x14ac:dyDescent="0.35">
      <c r="A54" t="s">
        <v>30</v>
      </c>
      <c r="B54">
        <v>150</v>
      </c>
      <c r="C54" t="s">
        <v>11</v>
      </c>
      <c r="D54">
        <v>362</v>
      </c>
      <c r="E54">
        <v>341</v>
      </c>
      <c r="F54" s="2">
        <v>703</v>
      </c>
      <c r="G54" s="2">
        <v>6886437</v>
      </c>
      <c r="H54" s="2">
        <v>9796</v>
      </c>
      <c r="I54">
        <v>48</v>
      </c>
    </row>
    <row r="55" spans="1:9" x14ac:dyDescent="0.35">
      <c r="A55" t="s">
        <v>30</v>
      </c>
      <c r="B55">
        <v>150</v>
      </c>
      <c r="C55" t="s">
        <v>12</v>
      </c>
      <c r="D55">
        <v>362</v>
      </c>
      <c r="E55">
        <v>341</v>
      </c>
      <c r="F55" s="2">
        <v>703</v>
      </c>
      <c r="G55" s="2">
        <v>7058597</v>
      </c>
      <c r="H55" s="2">
        <v>10041</v>
      </c>
      <c r="I55">
        <v>48</v>
      </c>
    </row>
    <row r="56" spans="1:9" x14ac:dyDescent="0.35">
      <c r="A56" t="s">
        <v>30</v>
      </c>
      <c r="B56">
        <v>150</v>
      </c>
      <c r="C56" t="s">
        <v>13</v>
      </c>
      <c r="D56">
        <v>362</v>
      </c>
      <c r="E56">
        <v>341</v>
      </c>
      <c r="F56" s="2">
        <v>703</v>
      </c>
      <c r="G56" s="2">
        <v>7235062</v>
      </c>
      <c r="H56" s="2">
        <v>10292</v>
      </c>
      <c r="I56">
        <v>48</v>
      </c>
    </row>
    <row r="57" spans="1:9" x14ac:dyDescent="0.35">
      <c r="A57" t="s">
        <v>31</v>
      </c>
      <c r="B57">
        <v>150</v>
      </c>
      <c r="C57" t="s">
        <v>9</v>
      </c>
      <c r="D57">
        <v>292</v>
      </c>
      <c r="E57">
        <v>311</v>
      </c>
      <c r="F57" s="2">
        <v>603</v>
      </c>
      <c r="G57" s="2">
        <v>5946508</v>
      </c>
      <c r="H57" s="2">
        <v>9862</v>
      </c>
      <c r="I57">
        <v>41.1</v>
      </c>
    </row>
    <row r="58" spans="1:9" x14ac:dyDescent="0.35">
      <c r="A58" t="s">
        <v>31</v>
      </c>
      <c r="B58">
        <v>150</v>
      </c>
      <c r="C58" t="s">
        <v>10</v>
      </c>
      <c r="D58">
        <v>327</v>
      </c>
      <c r="E58">
        <v>326</v>
      </c>
      <c r="F58" s="2">
        <v>653</v>
      </c>
      <c r="G58" s="2">
        <v>6457979</v>
      </c>
      <c r="H58" s="2">
        <v>9890</v>
      </c>
      <c r="I58">
        <v>44.5</v>
      </c>
    </row>
    <row r="59" spans="1:9" x14ac:dyDescent="0.35">
      <c r="A59" t="s">
        <v>31</v>
      </c>
      <c r="B59">
        <v>150</v>
      </c>
      <c r="C59" t="s">
        <v>11</v>
      </c>
      <c r="D59">
        <v>362</v>
      </c>
      <c r="E59">
        <v>341</v>
      </c>
      <c r="F59" s="2">
        <v>703</v>
      </c>
      <c r="G59" s="2">
        <v>6991306</v>
      </c>
      <c r="H59" s="2">
        <v>9945</v>
      </c>
      <c r="I59">
        <v>48</v>
      </c>
    </row>
    <row r="60" spans="1:9" x14ac:dyDescent="0.35">
      <c r="A60" t="s">
        <v>31</v>
      </c>
      <c r="B60">
        <v>150</v>
      </c>
      <c r="C60" t="s">
        <v>12</v>
      </c>
      <c r="D60">
        <v>362</v>
      </c>
      <c r="E60">
        <v>341</v>
      </c>
      <c r="F60" s="2">
        <v>703</v>
      </c>
      <c r="G60" s="2">
        <v>7166089</v>
      </c>
      <c r="H60" s="2">
        <v>10194</v>
      </c>
      <c r="I60">
        <v>48</v>
      </c>
    </row>
    <row r="61" spans="1:9" x14ac:dyDescent="0.35">
      <c r="A61" t="s">
        <v>31</v>
      </c>
      <c r="B61">
        <v>150</v>
      </c>
      <c r="C61" t="s">
        <v>13</v>
      </c>
      <c r="D61">
        <v>362</v>
      </c>
      <c r="E61">
        <v>341</v>
      </c>
      <c r="F61" s="2">
        <v>703</v>
      </c>
      <c r="G61" s="2">
        <v>7345241</v>
      </c>
      <c r="H61" s="2">
        <v>10448</v>
      </c>
      <c r="I61">
        <v>48</v>
      </c>
    </row>
    <row r="62" spans="1:9" x14ac:dyDescent="0.35">
      <c r="A62" t="s">
        <v>32</v>
      </c>
      <c r="B62">
        <v>0</v>
      </c>
      <c r="C62" t="s">
        <v>9</v>
      </c>
      <c r="D62">
        <v>0</v>
      </c>
      <c r="E62">
        <v>0</v>
      </c>
      <c r="F62" s="2">
        <v>0</v>
      </c>
      <c r="G62" s="2">
        <v>3075837</v>
      </c>
      <c r="H62" s="2"/>
      <c r="I62">
        <v>0</v>
      </c>
    </row>
    <row r="63" spans="1:9" x14ac:dyDescent="0.35">
      <c r="A63" t="s">
        <v>32</v>
      </c>
      <c r="B63">
        <v>0</v>
      </c>
      <c r="C63" t="s">
        <v>10</v>
      </c>
      <c r="D63">
        <v>0</v>
      </c>
      <c r="E63">
        <v>0</v>
      </c>
      <c r="F63" s="2">
        <v>0</v>
      </c>
      <c r="G63" s="2">
        <v>519550</v>
      </c>
      <c r="H63" s="2"/>
      <c r="I63">
        <v>0</v>
      </c>
    </row>
    <row r="64" spans="1:9" x14ac:dyDescent="0.35">
      <c r="A64" t="s">
        <v>32</v>
      </c>
      <c r="B64">
        <v>0</v>
      </c>
      <c r="C64" t="s">
        <v>11</v>
      </c>
      <c r="D64">
        <v>0</v>
      </c>
      <c r="E64">
        <v>0</v>
      </c>
      <c r="F64" s="2">
        <v>0</v>
      </c>
      <c r="G64" s="2">
        <v>355026</v>
      </c>
      <c r="H64" s="2"/>
      <c r="I64">
        <v>0</v>
      </c>
    </row>
    <row r="65" spans="1:9" x14ac:dyDescent="0.35">
      <c r="A65" t="s">
        <v>32</v>
      </c>
      <c r="B65">
        <v>0</v>
      </c>
      <c r="C65" t="s">
        <v>12</v>
      </c>
      <c r="D65">
        <v>0</v>
      </c>
      <c r="E65">
        <v>0</v>
      </c>
      <c r="F65" s="2">
        <v>0</v>
      </c>
      <c r="G65" s="2">
        <v>181951</v>
      </c>
      <c r="H65" s="2"/>
      <c r="I65">
        <v>0</v>
      </c>
    </row>
    <row r="66" spans="1:9" x14ac:dyDescent="0.35">
      <c r="A66" t="s">
        <v>32</v>
      </c>
      <c r="B66">
        <v>0</v>
      </c>
      <c r="C66" t="s">
        <v>13</v>
      </c>
      <c r="D66">
        <v>0</v>
      </c>
      <c r="E66">
        <v>0</v>
      </c>
      <c r="F66" s="2">
        <v>0</v>
      </c>
      <c r="G66" s="2">
        <v>0</v>
      </c>
      <c r="H66" s="2"/>
      <c r="I66">
        <v>0</v>
      </c>
    </row>
    <row r="67" spans="1:9" x14ac:dyDescent="0.35">
      <c r="A67" t="s">
        <v>33</v>
      </c>
      <c r="B67">
        <v>0</v>
      </c>
      <c r="C67" t="s">
        <v>9</v>
      </c>
      <c r="D67">
        <v>0</v>
      </c>
      <c r="E67">
        <v>0</v>
      </c>
      <c r="F67" s="2">
        <v>0</v>
      </c>
      <c r="G67" s="2">
        <v>3075837</v>
      </c>
      <c r="H67" s="2"/>
      <c r="I67">
        <v>0</v>
      </c>
    </row>
    <row r="68" spans="1:9" x14ac:dyDescent="0.35">
      <c r="A68" t="s">
        <v>33</v>
      </c>
      <c r="B68">
        <v>0</v>
      </c>
      <c r="C68" t="s">
        <v>10</v>
      </c>
      <c r="D68">
        <v>0</v>
      </c>
      <c r="E68">
        <v>0</v>
      </c>
      <c r="F68" s="2">
        <v>0</v>
      </c>
      <c r="G68" s="2">
        <v>606141</v>
      </c>
      <c r="H68" s="2"/>
      <c r="I68">
        <v>0</v>
      </c>
    </row>
    <row r="69" spans="1:9" x14ac:dyDescent="0.35">
      <c r="A69" t="s">
        <v>33</v>
      </c>
      <c r="B69">
        <v>0</v>
      </c>
      <c r="C69" t="s">
        <v>11</v>
      </c>
      <c r="D69">
        <v>0</v>
      </c>
      <c r="E69">
        <v>0</v>
      </c>
      <c r="F69" s="2">
        <v>0</v>
      </c>
      <c r="G69" s="2">
        <v>532538</v>
      </c>
      <c r="H69" s="2"/>
      <c r="I69">
        <v>0</v>
      </c>
    </row>
    <row r="70" spans="1:9" x14ac:dyDescent="0.35">
      <c r="A70" t="s">
        <v>33</v>
      </c>
      <c r="B70">
        <v>0</v>
      </c>
      <c r="C70" t="s">
        <v>12</v>
      </c>
      <c r="D70">
        <v>0</v>
      </c>
      <c r="E70">
        <v>0</v>
      </c>
      <c r="F70" s="2">
        <v>0</v>
      </c>
      <c r="G70" s="2">
        <v>454876</v>
      </c>
      <c r="H70" s="2"/>
      <c r="I70">
        <v>0</v>
      </c>
    </row>
    <row r="71" spans="1:9" x14ac:dyDescent="0.35">
      <c r="A71" t="s">
        <v>33</v>
      </c>
      <c r="B71">
        <v>0</v>
      </c>
      <c r="C71" t="s">
        <v>13</v>
      </c>
      <c r="D71">
        <v>0</v>
      </c>
      <c r="E71">
        <v>0</v>
      </c>
      <c r="F71" s="2">
        <v>0</v>
      </c>
      <c r="G71" s="2">
        <v>372999</v>
      </c>
      <c r="H71" s="2"/>
      <c r="I71">
        <v>0</v>
      </c>
    </row>
    <row r="72" spans="1:9" x14ac:dyDescent="0.35">
      <c r="A72" t="s">
        <v>34</v>
      </c>
      <c r="B72">
        <v>0</v>
      </c>
      <c r="C72" t="s">
        <v>9</v>
      </c>
      <c r="D72">
        <v>0</v>
      </c>
      <c r="E72">
        <v>296</v>
      </c>
      <c r="F72" s="2">
        <v>296</v>
      </c>
      <c r="G72" s="2">
        <v>4528669</v>
      </c>
      <c r="H72" s="2">
        <v>15300</v>
      </c>
      <c r="I72">
        <v>20.2</v>
      </c>
    </row>
    <row r="73" spans="1:9" x14ac:dyDescent="0.35">
      <c r="A73" t="s">
        <v>34</v>
      </c>
      <c r="B73">
        <v>0</v>
      </c>
      <c r="C73" t="s">
        <v>10</v>
      </c>
      <c r="D73">
        <v>0</v>
      </c>
      <c r="E73">
        <v>296</v>
      </c>
      <c r="F73" s="2">
        <v>296</v>
      </c>
      <c r="G73" s="2">
        <v>3331401</v>
      </c>
      <c r="H73" s="2">
        <v>11255</v>
      </c>
      <c r="I73">
        <v>20.2</v>
      </c>
    </row>
    <row r="74" spans="1:9" x14ac:dyDescent="0.35">
      <c r="A74" t="s">
        <v>34</v>
      </c>
      <c r="B74">
        <v>0</v>
      </c>
      <c r="C74" t="s">
        <v>11</v>
      </c>
      <c r="D74">
        <v>0</v>
      </c>
      <c r="E74">
        <v>296</v>
      </c>
      <c r="F74" s="2">
        <v>296</v>
      </c>
      <c r="G74" s="2">
        <v>3332189</v>
      </c>
      <c r="H74" s="2">
        <v>11257</v>
      </c>
      <c r="I74">
        <v>20.2</v>
      </c>
    </row>
    <row r="75" spans="1:9" x14ac:dyDescent="0.35">
      <c r="A75" t="s">
        <v>34</v>
      </c>
      <c r="B75">
        <v>0</v>
      </c>
      <c r="C75" t="s">
        <v>12</v>
      </c>
      <c r="D75">
        <v>0</v>
      </c>
      <c r="E75">
        <v>296</v>
      </c>
      <c r="F75" s="2">
        <v>296</v>
      </c>
      <c r="G75" s="2">
        <v>3330935</v>
      </c>
      <c r="H75" s="2">
        <v>11253</v>
      </c>
      <c r="I75">
        <v>20.2</v>
      </c>
    </row>
    <row r="76" spans="1:9" x14ac:dyDescent="0.35">
      <c r="A76" t="s">
        <v>34</v>
      </c>
      <c r="B76">
        <v>0</v>
      </c>
      <c r="C76" t="s">
        <v>13</v>
      </c>
      <c r="D76">
        <v>0</v>
      </c>
      <c r="E76">
        <v>296</v>
      </c>
      <c r="F76" s="2">
        <v>296</v>
      </c>
      <c r="G76" s="2">
        <v>3327535</v>
      </c>
      <c r="H76" s="2">
        <v>11242</v>
      </c>
      <c r="I76">
        <v>20.2</v>
      </c>
    </row>
    <row r="77" spans="1:9" x14ac:dyDescent="0.35">
      <c r="A77" t="s">
        <v>35</v>
      </c>
      <c r="B77">
        <v>0</v>
      </c>
      <c r="C77" t="s">
        <v>9</v>
      </c>
      <c r="D77">
        <v>0</v>
      </c>
      <c r="E77">
        <v>296</v>
      </c>
      <c r="F77" s="2">
        <v>296</v>
      </c>
      <c r="G77" s="2">
        <v>4528669</v>
      </c>
      <c r="H77" s="2">
        <v>15300</v>
      </c>
      <c r="I77">
        <v>20.2</v>
      </c>
    </row>
    <row r="78" spans="1:9" x14ac:dyDescent="0.35">
      <c r="A78" t="s">
        <v>35</v>
      </c>
      <c r="B78">
        <v>0</v>
      </c>
      <c r="C78" t="s">
        <v>10</v>
      </c>
      <c r="D78">
        <v>0</v>
      </c>
      <c r="E78">
        <v>296</v>
      </c>
      <c r="F78" s="2">
        <v>296</v>
      </c>
      <c r="G78" s="2">
        <v>3371644</v>
      </c>
      <c r="H78" s="2">
        <v>11391</v>
      </c>
      <c r="I78">
        <v>20.2</v>
      </c>
    </row>
    <row r="79" spans="1:9" x14ac:dyDescent="0.35">
      <c r="A79" t="s">
        <v>35</v>
      </c>
      <c r="B79">
        <v>0</v>
      </c>
      <c r="C79" t="s">
        <v>11</v>
      </c>
      <c r="D79">
        <v>0</v>
      </c>
      <c r="E79">
        <v>296</v>
      </c>
      <c r="F79" s="2">
        <v>296</v>
      </c>
      <c r="G79" s="2">
        <v>3414686</v>
      </c>
      <c r="H79" s="2">
        <v>11536</v>
      </c>
      <c r="I79">
        <v>20.2</v>
      </c>
    </row>
    <row r="80" spans="1:9" x14ac:dyDescent="0.35">
      <c r="A80" t="s">
        <v>35</v>
      </c>
      <c r="B80">
        <v>0</v>
      </c>
      <c r="C80" t="s">
        <v>12</v>
      </c>
      <c r="D80">
        <v>0</v>
      </c>
      <c r="E80">
        <v>296</v>
      </c>
      <c r="F80" s="2">
        <v>296</v>
      </c>
      <c r="G80" s="2">
        <v>3457774</v>
      </c>
      <c r="H80" s="2">
        <v>11682</v>
      </c>
      <c r="I80">
        <v>20.2</v>
      </c>
    </row>
    <row r="81" spans="1:9" x14ac:dyDescent="0.35">
      <c r="A81" t="s">
        <v>35</v>
      </c>
      <c r="B81">
        <v>0</v>
      </c>
      <c r="C81" t="s">
        <v>13</v>
      </c>
      <c r="D81">
        <v>0</v>
      </c>
      <c r="E81">
        <v>296</v>
      </c>
      <c r="F81" s="2">
        <v>296</v>
      </c>
      <c r="G81" s="2">
        <v>3500881</v>
      </c>
      <c r="H81" s="2">
        <v>11827</v>
      </c>
      <c r="I81">
        <v>20.2</v>
      </c>
    </row>
    <row r="82" spans="1:9" x14ac:dyDescent="0.35">
      <c r="A82" t="s">
        <v>36</v>
      </c>
      <c r="B82">
        <v>0</v>
      </c>
      <c r="C82" t="s">
        <v>9</v>
      </c>
      <c r="D82">
        <v>257</v>
      </c>
      <c r="E82">
        <v>0</v>
      </c>
      <c r="F82" s="2">
        <v>257</v>
      </c>
      <c r="G82" s="2">
        <v>4179141</v>
      </c>
      <c r="H82" s="2">
        <v>16261</v>
      </c>
      <c r="I82">
        <v>17.5</v>
      </c>
    </row>
    <row r="83" spans="1:9" x14ac:dyDescent="0.35">
      <c r="A83" t="s">
        <v>36</v>
      </c>
      <c r="B83">
        <v>0</v>
      </c>
      <c r="C83" t="s">
        <v>10</v>
      </c>
      <c r="D83">
        <v>257</v>
      </c>
      <c r="E83">
        <v>0</v>
      </c>
      <c r="F83" s="2">
        <v>257</v>
      </c>
      <c r="G83" s="2">
        <v>2960921</v>
      </c>
      <c r="H83" s="2">
        <v>11521</v>
      </c>
      <c r="I83">
        <v>17.5</v>
      </c>
    </row>
    <row r="84" spans="1:9" x14ac:dyDescent="0.35">
      <c r="A84" t="s">
        <v>36</v>
      </c>
      <c r="B84">
        <v>0</v>
      </c>
      <c r="C84" t="s">
        <v>11</v>
      </c>
      <c r="D84">
        <v>257</v>
      </c>
      <c r="E84">
        <v>0</v>
      </c>
      <c r="F84" s="2">
        <v>257</v>
      </c>
      <c r="G84" s="2">
        <v>2939928</v>
      </c>
      <c r="H84" s="2">
        <v>11439</v>
      </c>
      <c r="I84">
        <v>17.5</v>
      </c>
    </row>
    <row r="85" spans="1:9" x14ac:dyDescent="0.35">
      <c r="A85" t="s">
        <v>36</v>
      </c>
      <c r="B85">
        <v>0</v>
      </c>
      <c r="C85" t="s">
        <v>12</v>
      </c>
      <c r="D85">
        <v>257</v>
      </c>
      <c r="E85">
        <v>0</v>
      </c>
      <c r="F85" s="2">
        <v>257</v>
      </c>
      <c r="G85" s="2">
        <v>2916035</v>
      </c>
      <c r="H85" s="2">
        <v>11346</v>
      </c>
      <c r="I85">
        <v>17.5</v>
      </c>
    </row>
    <row r="86" spans="1:9" x14ac:dyDescent="0.35">
      <c r="A86" t="s">
        <v>36</v>
      </c>
      <c r="B86">
        <v>0</v>
      </c>
      <c r="C86" t="s">
        <v>13</v>
      </c>
      <c r="D86">
        <v>257</v>
      </c>
      <c r="E86">
        <v>0</v>
      </c>
      <c r="F86" s="2">
        <v>257</v>
      </c>
      <c r="G86" s="2">
        <v>2889110</v>
      </c>
      <c r="H86" s="2">
        <v>11242</v>
      </c>
      <c r="I86">
        <v>17.5</v>
      </c>
    </row>
    <row r="87" spans="1:9" x14ac:dyDescent="0.35">
      <c r="A87" t="s">
        <v>37</v>
      </c>
      <c r="B87">
        <v>0</v>
      </c>
      <c r="C87" t="s">
        <v>9</v>
      </c>
      <c r="D87">
        <v>257</v>
      </c>
      <c r="E87">
        <v>0</v>
      </c>
      <c r="F87" s="2">
        <v>257</v>
      </c>
      <c r="G87" s="2">
        <v>4179141</v>
      </c>
      <c r="H87" s="2">
        <v>16261</v>
      </c>
      <c r="I87">
        <v>17.5</v>
      </c>
    </row>
    <row r="88" spans="1:9" x14ac:dyDescent="0.35">
      <c r="A88" t="s">
        <v>37</v>
      </c>
      <c r="B88">
        <v>0</v>
      </c>
      <c r="C88" t="s">
        <v>10</v>
      </c>
      <c r="D88">
        <v>257</v>
      </c>
      <c r="E88">
        <v>0</v>
      </c>
      <c r="F88" s="2">
        <v>257</v>
      </c>
      <c r="G88" s="2">
        <v>3007270</v>
      </c>
      <c r="H88" s="2">
        <v>11701</v>
      </c>
      <c r="I88">
        <v>17.5</v>
      </c>
    </row>
    <row r="89" spans="1:9" x14ac:dyDescent="0.35">
      <c r="A89" t="s">
        <v>37</v>
      </c>
      <c r="B89">
        <v>0</v>
      </c>
      <c r="C89" t="s">
        <v>11</v>
      </c>
      <c r="D89">
        <v>257</v>
      </c>
      <c r="E89">
        <v>0</v>
      </c>
      <c r="F89" s="2">
        <v>257</v>
      </c>
      <c r="G89" s="2">
        <v>3034944</v>
      </c>
      <c r="H89" s="2">
        <v>11809</v>
      </c>
      <c r="I89">
        <v>17.5</v>
      </c>
    </row>
    <row r="90" spans="1:9" x14ac:dyDescent="0.35">
      <c r="A90" t="s">
        <v>37</v>
      </c>
      <c r="B90">
        <v>0</v>
      </c>
      <c r="C90" t="s">
        <v>12</v>
      </c>
      <c r="D90">
        <v>257</v>
      </c>
      <c r="E90">
        <v>0</v>
      </c>
      <c r="F90" s="2">
        <v>257</v>
      </c>
      <c r="G90" s="2">
        <v>3062122</v>
      </c>
      <c r="H90" s="2">
        <v>11915</v>
      </c>
      <c r="I90">
        <v>17.5</v>
      </c>
    </row>
    <row r="91" spans="1:9" x14ac:dyDescent="0.35">
      <c r="A91" t="s">
        <v>37</v>
      </c>
      <c r="B91">
        <v>0</v>
      </c>
      <c r="C91" t="s">
        <v>13</v>
      </c>
      <c r="D91">
        <v>257</v>
      </c>
      <c r="E91">
        <v>0</v>
      </c>
      <c r="F91" s="2">
        <v>257</v>
      </c>
      <c r="G91" s="2">
        <v>3088762</v>
      </c>
      <c r="H91" s="2">
        <v>12019</v>
      </c>
      <c r="I91">
        <v>17.5</v>
      </c>
    </row>
    <row r="92" spans="1:9" x14ac:dyDescent="0.35">
      <c r="A92" t="s">
        <v>32</v>
      </c>
      <c r="B92">
        <v>0</v>
      </c>
      <c r="C92" t="s">
        <v>9</v>
      </c>
      <c r="D92">
        <v>0</v>
      </c>
      <c r="E92">
        <v>0</v>
      </c>
      <c r="F92" s="2">
        <v>0</v>
      </c>
      <c r="G92" s="2">
        <v>3075837</v>
      </c>
      <c r="H92" s="2"/>
      <c r="I92">
        <v>0</v>
      </c>
    </row>
    <row r="93" spans="1:9" x14ac:dyDescent="0.35">
      <c r="A93" t="s">
        <v>32</v>
      </c>
      <c r="B93">
        <v>0</v>
      </c>
      <c r="C93" t="s">
        <v>10</v>
      </c>
      <c r="D93">
        <v>0</v>
      </c>
      <c r="E93">
        <v>0</v>
      </c>
      <c r="F93" s="2">
        <v>0</v>
      </c>
      <c r="G93" s="2">
        <v>519550</v>
      </c>
      <c r="H93" s="2"/>
      <c r="I93">
        <v>0</v>
      </c>
    </row>
    <row r="94" spans="1:9" x14ac:dyDescent="0.35">
      <c r="A94" t="s">
        <v>32</v>
      </c>
      <c r="B94">
        <v>0</v>
      </c>
      <c r="C94" t="s">
        <v>11</v>
      </c>
      <c r="D94">
        <v>0</v>
      </c>
      <c r="E94">
        <v>0</v>
      </c>
      <c r="F94" s="2">
        <v>0</v>
      </c>
      <c r="G94" s="2">
        <v>355026</v>
      </c>
      <c r="H94" s="2"/>
      <c r="I94">
        <v>0</v>
      </c>
    </row>
    <row r="95" spans="1:9" x14ac:dyDescent="0.35">
      <c r="A95" t="s">
        <v>32</v>
      </c>
      <c r="B95">
        <v>0</v>
      </c>
      <c r="C95" t="s">
        <v>12</v>
      </c>
      <c r="D95">
        <v>0</v>
      </c>
      <c r="E95">
        <v>0</v>
      </c>
      <c r="F95" s="2">
        <v>0</v>
      </c>
      <c r="G95" s="2">
        <v>181951</v>
      </c>
      <c r="H95" s="2"/>
      <c r="I95">
        <v>0</v>
      </c>
    </row>
    <row r="96" spans="1:9" x14ac:dyDescent="0.35">
      <c r="A96" t="s">
        <v>32</v>
      </c>
      <c r="B96">
        <v>0</v>
      </c>
      <c r="C96" t="s">
        <v>13</v>
      </c>
      <c r="D96">
        <v>0</v>
      </c>
      <c r="E96">
        <v>0</v>
      </c>
      <c r="F96" s="2">
        <v>0</v>
      </c>
      <c r="G96" s="2">
        <v>0</v>
      </c>
      <c r="H96" s="2"/>
      <c r="I96">
        <v>0</v>
      </c>
    </row>
    <row r="97" spans="1:9" x14ac:dyDescent="0.35">
      <c r="A97" t="s">
        <v>33</v>
      </c>
      <c r="B97">
        <v>0</v>
      </c>
      <c r="C97" t="s">
        <v>9</v>
      </c>
      <c r="D97">
        <v>0</v>
      </c>
      <c r="E97">
        <v>0</v>
      </c>
      <c r="F97" s="2">
        <v>0</v>
      </c>
      <c r="G97" s="2">
        <v>3075837</v>
      </c>
      <c r="H97" s="2"/>
      <c r="I97">
        <v>0</v>
      </c>
    </row>
    <row r="98" spans="1:9" x14ac:dyDescent="0.35">
      <c r="A98" t="s">
        <v>33</v>
      </c>
      <c r="B98">
        <v>0</v>
      </c>
      <c r="C98" t="s">
        <v>10</v>
      </c>
      <c r="D98">
        <v>0</v>
      </c>
      <c r="E98">
        <v>0</v>
      </c>
      <c r="F98" s="2">
        <v>0</v>
      </c>
      <c r="G98" s="2">
        <v>606141</v>
      </c>
      <c r="H98" s="2"/>
      <c r="I98">
        <v>0</v>
      </c>
    </row>
    <row r="99" spans="1:9" x14ac:dyDescent="0.35">
      <c r="A99" t="s">
        <v>33</v>
      </c>
      <c r="B99">
        <v>0</v>
      </c>
      <c r="C99" t="s">
        <v>11</v>
      </c>
      <c r="D99">
        <v>0</v>
      </c>
      <c r="E99">
        <v>0</v>
      </c>
      <c r="F99" s="2">
        <v>0</v>
      </c>
      <c r="G99" s="2">
        <v>532538</v>
      </c>
      <c r="H99" s="2"/>
      <c r="I99">
        <v>0</v>
      </c>
    </row>
    <row r="100" spans="1:9" x14ac:dyDescent="0.35">
      <c r="A100" t="s">
        <v>33</v>
      </c>
      <c r="B100">
        <v>0</v>
      </c>
      <c r="C100" t="s">
        <v>12</v>
      </c>
      <c r="D100">
        <v>0</v>
      </c>
      <c r="E100">
        <v>0</v>
      </c>
      <c r="F100" s="2">
        <v>0</v>
      </c>
      <c r="G100" s="2">
        <v>454876</v>
      </c>
      <c r="H100" s="2"/>
      <c r="I100">
        <v>0</v>
      </c>
    </row>
    <row r="101" spans="1:9" x14ac:dyDescent="0.35">
      <c r="A101" t="s">
        <v>33</v>
      </c>
      <c r="B101">
        <v>0</v>
      </c>
      <c r="C101" t="s">
        <v>13</v>
      </c>
      <c r="D101">
        <v>0</v>
      </c>
      <c r="E101">
        <v>0</v>
      </c>
      <c r="F101" s="2">
        <v>0</v>
      </c>
      <c r="G101" s="2">
        <v>372999</v>
      </c>
      <c r="H101" s="2"/>
      <c r="I101">
        <v>0</v>
      </c>
    </row>
    <row r="102" spans="1:9" x14ac:dyDescent="0.35">
      <c r="A102" t="s">
        <v>34</v>
      </c>
      <c r="B102">
        <v>100</v>
      </c>
      <c r="C102" t="s">
        <v>9</v>
      </c>
      <c r="D102">
        <v>0</v>
      </c>
      <c r="E102">
        <v>396</v>
      </c>
      <c r="F102" s="2">
        <v>396</v>
      </c>
      <c r="G102" s="2">
        <v>5241577</v>
      </c>
      <c r="H102" s="2">
        <v>13236</v>
      </c>
      <c r="I102">
        <v>27</v>
      </c>
    </row>
    <row r="103" spans="1:9" x14ac:dyDescent="0.35">
      <c r="A103" t="s">
        <v>34</v>
      </c>
      <c r="B103">
        <v>100</v>
      </c>
      <c r="C103" t="s">
        <v>10</v>
      </c>
      <c r="D103">
        <v>0</v>
      </c>
      <c r="E103">
        <v>396</v>
      </c>
      <c r="F103" s="2">
        <v>396</v>
      </c>
      <c r="G103" s="2">
        <v>4062132</v>
      </c>
      <c r="H103" s="2">
        <v>10258</v>
      </c>
      <c r="I103">
        <v>27</v>
      </c>
    </row>
    <row r="104" spans="1:9" x14ac:dyDescent="0.35">
      <c r="A104" t="s">
        <v>34</v>
      </c>
      <c r="B104">
        <v>100</v>
      </c>
      <c r="C104" t="s">
        <v>11</v>
      </c>
      <c r="D104">
        <v>0</v>
      </c>
      <c r="E104">
        <v>396</v>
      </c>
      <c r="F104" s="2">
        <v>396</v>
      </c>
      <c r="G104" s="2">
        <v>4081188</v>
      </c>
      <c r="H104" s="2">
        <v>10306</v>
      </c>
      <c r="I104">
        <v>27</v>
      </c>
    </row>
    <row r="105" spans="1:9" x14ac:dyDescent="0.35">
      <c r="A105" t="s">
        <v>34</v>
      </c>
      <c r="B105">
        <v>100</v>
      </c>
      <c r="C105" t="s">
        <v>12</v>
      </c>
      <c r="D105">
        <v>0</v>
      </c>
      <c r="E105">
        <v>396</v>
      </c>
      <c r="F105" s="2">
        <v>396</v>
      </c>
      <c r="G105" s="2">
        <v>4098659</v>
      </c>
      <c r="H105" s="2">
        <v>10350</v>
      </c>
      <c r="I105">
        <v>27</v>
      </c>
    </row>
    <row r="106" spans="1:9" x14ac:dyDescent="0.35">
      <c r="A106" t="s">
        <v>34</v>
      </c>
      <c r="B106">
        <v>100</v>
      </c>
      <c r="C106" t="s">
        <v>13</v>
      </c>
      <c r="D106">
        <v>0</v>
      </c>
      <c r="E106">
        <v>396</v>
      </c>
      <c r="F106" s="2">
        <v>396</v>
      </c>
      <c r="G106" s="2">
        <v>4114452</v>
      </c>
      <c r="H106" s="2">
        <v>10390</v>
      </c>
      <c r="I106">
        <v>27</v>
      </c>
    </row>
    <row r="107" spans="1:9" x14ac:dyDescent="0.35">
      <c r="A107" t="s">
        <v>35</v>
      </c>
      <c r="B107">
        <v>100</v>
      </c>
      <c r="C107" t="s">
        <v>9</v>
      </c>
      <c r="D107">
        <v>0</v>
      </c>
      <c r="E107">
        <v>396</v>
      </c>
      <c r="F107" s="2">
        <v>396</v>
      </c>
      <c r="G107" s="2">
        <v>5241577</v>
      </c>
      <c r="H107" s="2">
        <v>13236</v>
      </c>
      <c r="I107">
        <v>27</v>
      </c>
    </row>
    <row r="108" spans="1:9" x14ac:dyDescent="0.35">
      <c r="A108" t="s">
        <v>35</v>
      </c>
      <c r="B108">
        <v>100</v>
      </c>
      <c r="C108" t="s">
        <v>10</v>
      </c>
      <c r="D108">
        <v>0</v>
      </c>
      <c r="E108">
        <v>396</v>
      </c>
      <c r="F108" s="2">
        <v>396</v>
      </c>
      <c r="G108" s="2">
        <v>4102374</v>
      </c>
      <c r="H108" s="2">
        <v>10360</v>
      </c>
      <c r="I108">
        <v>27</v>
      </c>
    </row>
    <row r="109" spans="1:9" x14ac:dyDescent="0.35">
      <c r="A109" t="s">
        <v>35</v>
      </c>
      <c r="B109">
        <v>100</v>
      </c>
      <c r="C109" t="s">
        <v>11</v>
      </c>
      <c r="D109">
        <v>0</v>
      </c>
      <c r="E109">
        <v>396</v>
      </c>
      <c r="F109" s="2">
        <v>396</v>
      </c>
      <c r="G109" s="2">
        <v>4163685</v>
      </c>
      <c r="H109" s="2">
        <v>10514</v>
      </c>
      <c r="I109">
        <v>27</v>
      </c>
    </row>
    <row r="110" spans="1:9" x14ac:dyDescent="0.35">
      <c r="A110" t="s">
        <v>35</v>
      </c>
      <c r="B110">
        <v>100</v>
      </c>
      <c r="C110" t="s">
        <v>12</v>
      </c>
      <c r="D110">
        <v>0</v>
      </c>
      <c r="E110">
        <v>396</v>
      </c>
      <c r="F110" s="2">
        <v>396</v>
      </c>
      <c r="G110" s="2">
        <v>4225498</v>
      </c>
      <c r="H110" s="2">
        <v>10670</v>
      </c>
      <c r="I110">
        <v>27</v>
      </c>
    </row>
    <row r="111" spans="1:9" x14ac:dyDescent="0.35">
      <c r="A111" t="s">
        <v>35</v>
      </c>
      <c r="B111">
        <v>100</v>
      </c>
      <c r="C111" t="s">
        <v>13</v>
      </c>
      <c r="D111">
        <v>0</v>
      </c>
      <c r="E111">
        <v>396</v>
      </c>
      <c r="F111" s="2">
        <v>396</v>
      </c>
      <c r="G111" s="2">
        <v>4287799</v>
      </c>
      <c r="H111" s="2">
        <v>10828</v>
      </c>
      <c r="I111">
        <v>27</v>
      </c>
    </row>
    <row r="112" spans="1:9" x14ac:dyDescent="0.35">
      <c r="A112" t="s">
        <v>36</v>
      </c>
      <c r="B112">
        <v>100</v>
      </c>
      <c r="C112" t="s">
        <v>9</v>
      </c>
      <c r="D112">
        <v>357</v>
      </c>
      <c r="E112">
        <v>0</v>
      </c>
      <c r="F112" s="2">
        <v>357</v>
      </c>
      <c r="G112" s="2">
        <v>4892049</v>
      </c>
      <c r="H112" s="2">
        <v>13703</v>
      </c>
      <c r="I112">
        <v>24.4</v>
      </c>
    </row>
    <row r="113" spans="1:9" x14ac:dyDescent="0.35">
      <c r="A113" t="s">
        <v>36</v>
      </c>
      <c r="B113">
        <v>100</v>
      </c>
      <c r="C113" t="s">
        <v>10</v>
      </c>
      <c r="D113">
        <v>357</v>
      </c>
      <c r="E113">
        <v>0</v>
      </c>
      <c r="F113" s="2">
        <v>357</v>
      </c>
      <c r="G113" s="2">
        <v>3691651</v>
      </c>
      <c r="H113" s="2">
        <v>10341</v>
      </c>
      <c r="I113">
        <v>24.4</v>
      </c>
    </row>
    <row r="114" spans="1:9" x14ac:dyDescent="0.35">
      <c r="A114" t="s">
        <v>36</v>
      </c>
      <c r="B114">
        <v>100</v>
      </c>
      <c r="C114" t="s">
        <v>11</v>
      </c>
      <c r="D114">
        <v>357</v>
      </c>
      <c r="E114">
        <v>0</v>
      </c>
      <c r="F114" s="2">
        <v>357</v>
      </c>
      <c r="G114" s="2">
        <v>3688927</v>
      </c>
      <c r="H114" s="2">
        <v>10333</v>
      </c>
      <c r="I114">
        <v>24.4</v>
      </c>
    </row>
    <row r="115" spans="1:9" x14ac:dyDescent="0.35">
      <c r="A115" t="s">
        <v>36</v>
      </c>
      <c r="B115">
        <v>100</v>
      </c>
      <c r="C115" t="s">
        <v>12</v>
      </c>
      <c r="D115">
        <v>357</v>
      </c>
      <c r="E115">
        <v>0</v>
      </c>
      <c r="F115" s="2">
        <v>357</v>
      </c>
      <c r="G115" s="2">
        <v>3683759</v>
      </c>
      <c r="H115" s="2">
        <v>10319</v>
      </c>
      <c r="I115">
        <v>24.4</v>
      </c>
    </row>
    <row r="116" spans="1:9" x14ac:dyDescent="0.35">
      <c r="A116" t="s">
        <v>36</v>
      </c>
      <c r="B116">
        <v>100</v>
      </c>
      <c r="C116" t="s">
        <v>13</v>
      </c>
      <c r="D116">
        <v>357</v>
      </c>
      <c r="E116">
        <v>0</v>
      </c>
      <c r="F116" s="2">
        <v>357</v>
      </c>
      <c r="G116" s="2">
        <v>3676027</v>
      </c>
      <c r="H116" s="2">
        <v>10297</v>
      </c>
      <c r="I116">
        <v>24.4</v>
      </c>
    </row>
    <row r="117" spans="1:9" x14ac:dyDescent="0.35">
      <c r="A117" t="s">
        <v>37</v>
      </c>
      <c r="B117">
        <v>100</v>
      </c>
      <c r="C117" t="s">
        <v>9</v>
      </c>
      <c r="D117">
        <v>357</v>
      </c>
      <c r="E117">
        <v>0</v>
      </c>
      <c r="F117" s="2">
        <v>357</v>
      </c>
      <c r="G117" s="2">
        <v>4892049</v>
      </c>
      <c r="H117" s="2">
        <v>13703</v>
      </c>
      <c r="I117">
        <v>24.4</v>
      </c>
    </row>
    <row r="118" spans="1:9" x14ac:dyDescent="0.35">
      <c r="A118" t="s">
        <v>37</v>
      </c>
      <c r="B118">
        <v>100</v>
      </c>
      <c r="C118" t="s">
        <v>10</v>
      </c>
      <c r="D118">
        <v>357</v>
      </c>
      <c r="E118">
        <v>0</v>
      </c>
      <c r="F118" s="2">
        <v>357</v>
      </c>
      <c r="G118" s="2">
        <v>3738001</v>
      </c>
      <c r="H118" s="2">
        <v>10471</v>
      </c>
      <c r="I118">
        <v>24.4</v>
      </c>
    </row>
    <row r="119" spans="1:9" x14ac:dyDescent="0.35">
      <c r="A119" t="s">
        <v>37</v>
      </c>
      <c r="B119">
        <v>100</v>
      </c>
      <c r="C119" t="s">
        <v>11</v>
      </c>
      <c r="D119">
        <v>357</v>
      </c>
      <c r="E119">
        <v>0</v>
      </c>
      <c r="F119" s="2">
        <v>357</v>
      </c>
      <c r="G119" s="2">
        <v>3783943</v>
      </c>
      <c r="H119" s="2">
        <v>10599</v>
      </c>
      <c r="I119">
        <v>24.4</v>
      </c>
    </row>
    <row r="120" spans="1:9" x14ac:dyDescent="0.35">
      <c r="A120" t="s">
        <v>37</v>
      </c>
      <c r="B120">
        <v>100</v>
      </c>
      <c r="C120" t="s">
        <v>12</v>
      </c>
      <c r="D120">
        <v>357</v>
      </c>
      <c r="E120">
        <v>0</v>
      </c>
      <c r="F120" s="2">
        <v>357</v>
      </c>
      <c r="G120" s="2">
        <v>3829846</v>
      </c>
      <c r="H120" s="2">
        <v>10728</v>
      </c>
      <c r="I120">
        <v>24.4</v>
      </c>
    </row>
    <row r="121" spans="1:9" x14ac:dyDescent="0.35">
      <c r="A121" t="s">
        <v>37</v>
      </c>
      <c r="B121">
        <v>100</v>
      </c>
      <c r="C121" t="s">
        <v>13</v>
      </c>
      <c r="D121">
        <v>357</v>
      </c>
      <c r="E121">
        <v>0</v>
      </c>
      <c r="F121" s="2">
        <v>357</v>
      </c>
      <c r="G121" s="2">
        <v>3875679</v>
      </c>
      <c r="H121" s="2">
        <v>10856</v>
      </c>
      <c r="I121">
        <v>24.4</v>
      </c>
    </row>
    <row r="122" spans="1:9" x14ac:dyDescent="0.35">
      <c r="A122" t="s">
        <v>32</v>
      </c>
      <c r="B122">
        <v>0</v>
      </c>
      <c r="C122" t="s">
        <v>9</v>
      </c>
      <c r="D122">
        <v>0</v>
      </c>
      <c r="E122">
        <v>0</v>
      </c>
      <c r="F122" s="2">
        <v>0</v>
      </c>
      <c r="G122" s="2">
        <v>3075837</v>
      </c>
      <c r="H122" s="2"/>
      <c r="I122">
        <v>0</v>
      </c>
    </row>
    <row r="123" spans="1:9" x14ac:dyDescent="0.35">
      <c r="A123" t="s">
        <v>32</v>
      </c>
      <c r="B123">
        <v>0</v>
      </c>
      <c r="C123" t="s">
        <v>10</v>
      </c>
      <c r="D123">
        <v>0</v>
      </c>
      <c r="E123">
        <v>0</v>
      </c>
      <c r="F123" s="2">
        <v>0</v>
      </c>
      <c r="G123" s="2">
        <v>519550</v>
      </c>
      <c r="H123" s="2"/>
      <c r="I123">
        <v>0</v>
      </c>
    </row>
    <row r="124" spans="1:9" x14ac:dyDescent="0.35">
      <c r="A124" t="s">
        <v>32</v>
      </c>
      <c r="B124">
        <v>0</v>
      </c>
      <c r="C124" t="s">
        <v>11</v>
      </c>
      <c r="D124">
        <v>0</v>
      </c>
      <c r="E124">
        <v>0</v>
      </c>
      <c r="F124" s="2">
        <v>0</v>
      </c>
      <c r="G124" s="2">
        <v>355026</v>
      </c>
      <c r="H124" s="2"/>
      <c r="I124">
        <v>0</v>
      </c>
    </row>
    <row r="125" spans="1:9" x14ac:dyDescent="0.35">
      <c r="A125" t="s">
        <v>32</v>
      </c>
      <c r="B125">
        <v>0</v>
      </c>
      <c r="C125" t="s">
        <v>12</v>
      </c>
      <c r="D125">
        <v>0</v>
      </c>
      <c r="E125">
        <v>0</v>
      </c>
      <c r="F125" s="2">
        <v>0</v>
      </c>
      <c r="G125" s="2">
        <v>181951</v>
      </c>
      <c r="H125" s="2"/>
      <c r="I125">
        <v>0</v>
      </c>
    </row>
    <row r="126" spans="1:9" x14ac:dyDescent="0.35">
      <c r="A126" t="s">
        <v>32</v>
      </c>
      <c r="B126">
        <v>0</v>
      </c>
      <c r="C126" t="s">
        <v>13</v>
      </c>
      <c r="D126">
        <v>0</v>
      </c>
      <c r="E126">
        <v>0</v>
      </c>
      <c r="F126" s="2">
        <v>0</v>
      </c>
      <c r="G126" s="2">
        <v>0</v>
      </c>
      <c r="H126" s="2"/>
      <c r="I126">
        <v>0</v>
      </c>
    </row>
    <row r="127" spans="1:9" x14ac:dyDescent="0.35">
      <c r="A127" t="s">
        <v>33</v>
      </c>
      <c r="B127">
        <v>0</v>
      </c>
      <c r="C127" t="s">
        <v>9</v>
      </c>
      <c r="D127">
        <v>0</v>
      </c>
      <c r="E127">
        <v>0</v>
      </c>
      <c r="F127" s="2">
        <v>0</v>
      </c>
      <c r="G127" s="2">
        <v>3075837</v>
      </c>
      <c r="H127" s="2"/>
      <c r="I127">
        <v>0</v>
      </c>
    </row>
    <row r="128" spans="1:9" x14ac:dyDescent="0.35">
      <c r="A128" t="s">
        <v>33</v>
      </c>
      <c r="B128">
        <v>0</v>
      </c>
      <c r="C128" t="s">
        <v>10</v>
      </c>
      <c r="D128">
        <v>0</v>
      </c>
      <c r="E128">
        <v>0</v>
      </c>
      <c r="F128" s="2">
        <v>0</v>
      </c>
      <c r="G128" s="2">
        <v>606141</v>
      </c>
      <c r="H128" s="2"/>
      <c r="I128">
        <v>0</v>
      </c>
    </row>
    <row r="129" spans="1:9" x14ac:dyDescent="0.35">
      <c r="A129" t="s">
        <v>33</v>
      </c>
      <c r="B129">
        <v>0</v>
      </c>
      <c r="C129" t="s">
        <v>11</v>
      </c>
      <c r="D129">
        <v>0</v>
      </c>
      <c r="E129">
        <v>0</v>
      </c>
      <c r="F129" s="2">
        <v>0</v>
      </c>
      <c r="G129" s="2">
        <v>532538</v>
      </c>
      <c r="H129" s="2"/>
      <c r="I129">
        <v>0</v>
      </c>
    </row>
    <row r="130" spans="1:9" x14ac:dyDescent="0.35">
      <c r="A130" t="s">
        <v>33</v>
      </c>
      <c r="B130">
        <v>0</v>
      </c>
      <c r="C130" t="s">
        <v>12</v>
      </c>
      <c r="D130">
        <v>0</v>
      </c>
      <c r="E130">
        <v>0</v>
      </c>
      <c r="F130" s="2">
        <v>0</v>
      </c>
      <c r="G130" s="2">
        <v>454876</v>
      </c>
      <c r="H130" s="2"/>
      <c r="I130">
        <v>0</v>
      </c>
    </row>
    <row r="131" spans="1:9" x14ac:dyDescent="0.35">
      <c r="A131" t="s">
        <v>33</v>
      </c>
      <c r="B131">
        <v>0</v>
      </c>
      <c r="C131" t="s">
        <v>13</v>
      </c>
      <c r="D131">
        <v>0</v>
      </c>
      <c r="E131">
        <v>0</v>
      </c>
      <c r="F131" s="2">
        <v>0</v>
      </c>
      <c r="G131" s="2">
        <v>372999</v>
      </c>
      <c r="H131" s="2"/>
      <c r="I131">
        <v>0</v>
      </c>
    </row>
    <row r="132" spans="1:9" x14ac:dyDescent="0.35">
      <c r="A132" t="s">
        <v>34</v>
      </c>
      <c r="B132">
        <v>150</v>
      </c>
      <c r="C132" t="s">
        <v>9</v>
      </c>
      <c r="D132">
        <v>0</v>
      </c>
      <c r="E132">
        <v>446</v>
      </c>
      <c r="F132" s="2">
        <v>446</v>
      </c>
      <c r="G132" s="2">
        <v>5598031</v>
      </c>
      <c r="H132" s="2">
        <v>12552</v>
      </c>
      <c r="I132">
        <v>30.4</v>
      </c>
    </row>
    <row r="133" spans="1:9" x14ac:dyDescent="0.35">
      <c r="A133" t="s">
        <v>34</v>
      </c>
      <c r="B133">
        <v>150</v>
      </c>
      <c r="C133" t="s">
        <v>10</v>
      </c>
      <c r="D133">
        <v>0</v>
      </c>
      <c r="E133">
        <v>446</v>
      </c>
      <c r="F133" s="2">
        <v>446</v>
      </c>
      <c r="G133" s="2">
        <v>4427497</v>
      </c>
      <c r="H133" s="2">
        <v>9927</v>
      </c>
      <c r="I133">
        <v>30.4</v>
      </c>
    </row>
    <row r="134" spans="1:9" x14ac:dyDescent="0.35">
      <c r="A134" t="s">
        <v>34</v>
      </c>
      <c r="B134">
        <v>150</v>
      </c>
      <c r="C134" t="s">
        <v>11</v>
      </c>
      <c r="D134">
        <v>0</v>
      </c>
      <c r="E134">
        <v>446</v>
      </c>
      <c r="F134" s="2">
        <v>446</v>
      </c>
      <c r="G134" s="2">
        <v>4455688</v>
      </c>
      <c r="H134" s="2">
        <v>9990</v>
      </c>
      <c r="I134">
        <v>30.4</v>
      </c>
    </row>
    <row r="135" spans="1:9" x14ac:dyDescent="0.35">
      <c r="A135" t="s">
        <v>34</v>
      </c>
      <c r="B135">
        <v>150</v>
      </c>
      <c r="C135" t="s">
        <v>12</v>
      </c>
      <c r="D135">
        <v>0</v>
      </c>
      <c r="E135">
        <v>446</v>
      </c>
      <c r="F135" s="2">
        <v>446</v>
      </c>
      <c r="G135" s="2">
        <v>4482521</v>
      </c>
      <c r="H135" s="2">
        <v>10050</v>
      </c>
      <c r="I135">
        <v>30.4</v>
      </c>
    </row>
    <row r="136" spans="1:9" x14ac:dyDescent="0.35">
      <c r="A136" t="s">
        <v>34</v>
      </c>
      <c r="B136">
        <v>150</v>
      </c>
      <c r="C136" t="s">
        <v>13</v>
      </c>
      <c r="D136">
        <v>0</v>
      </c>
      <c r="E136">
        <v>446</v>
      </c>
      <c r="F136" s="2">
        <v>446</v>
      </c>
      <c r="G136" s="2">
        <v>4507910</v>
      </c>
      <c r="H136" s="2">
        <v>10107</v>
      </c>
      <c r="I136">
        <v>30.4</v>
      </c>
    </row>
    <row r="137" spans="1:9" x14ac:dyDescent="0.35">
      <c r="A137" t="s">
        <v>35</v>
      </c>
      <c r="B137">
        <v>150</v>
      </c>
      <c r="C137" t="s">
        <v>9</v>
      </c>
      <c r="D137">
        <v>0</v>
      </c>
      <c r="E137">
        <v>446</v>
      </c>
      <c r="F137" s="2">
        <v>446</v>
      </c>
      <c r="G137" s="2">
        <v>5598031</v>
      </c>
      <c r="H137" s="2">
        <v>12552</v>
      </c>
      <c r="I137">
        <v>30.4</v>
      </c>
    </row>
    <row r="138" spans="1:9" x14ac:dyDescent="0.35">
      <c r="A138" t="s">
        <v>35</v>
      </c>
      <c r="B138">
        <v>150</v>
      </c>
      <c r="C138" t="s">
        <v>10</v>
      </c>
      <c r="D138">
        <v>0</v>
      </c>
      <c r="E138">
        <v>446</v>
      </c>
      <c r="F138" s="2">
        <v>446</v>
      </c>
      <c r="G138" s="2">
        <v>4467740</v>
      </c>
      <c r="H138" s="2">
        <v>10017</v>
      </c>
      <c r="I138">
        <v>30.4</v>
      </c>
    </row>
    <row r="139" spans="1:9" x14ac:dyDescent="0.35">
      <c r="A139" t="s">
        <v>35</v>
      </c>
      <c r="B139">
        <v>150</v>
      </c>
      <c r="C139" t="s">
        <v>11</v>
      </c>
      <c r="D139">
        <v>0</v>
      </c>
      <c r="E139">
        <v>446</v>
      </c>
      <c r="F139" s="2">
        <v>446</v>
      </c>
      <c r="G139" s="2">
        <v>4538185</v>
      </c>
      <c r="H139" s="2">
        <v>10175</v>
      </c>
      <c r="I139">
        <v>30.4</v>
      </c>
    </row>
    <row r="140" spans="1:9" x14ac:dyDescent="0.35">
      <c r="A140" t="s">
        <v>35</v>
      </c>
      <c r="B140">
        <v>150</v>
      </c>
      <c r="C140" t="s">
        <v>12</v>
      </c>
      <c r="D140">
        <v>0</v>
      </c>
      <c r="E140">
        <v>446</v>
      </c>
      <c r="F140" s="2">
        <v>446</v>
      </c>
      <c r="G140" s="2">
        <v>4609360</v>
      </c>
      <c r="H140" s="2">
        <v>10335</v>
      </c>
      <c r="I140">
        <v>30.4</v>
      </c>
    </row>
    <row r="141" spans="1:9" x14ac:dyDescent="0.35">
      <c r="A141" t="s">
        <v>35</v>
      </c>
      <c r="B141">
        <v>150</v>
      </c>
      <c r="C141" t="s">
        <v>13</v>
      </c>
      <c r="D141">
        <v>0</v>
      </c>
      <c r="E141">
        <v>446</v>
      </c>
      <c r="F141" s="2">
        <v>446</v>
      </c>
      <c r="G141" s="2">
        <v>4681257</v>
      </c>
      <c r="H141" s="2">
        <v>10496</v>
      </c>
      <c r="I141">
        <v>30.4</v>
      </c>
    </row>
    <row r="142" spans="1:9" x14ac:dyDescent="0.35">
      <c r="A142" t="s">
        <v>36</v>
      </c>
      <c r="B142">
        <v>150</v>
      </c>
      <c r="C142" t="s">
        <v>9</v>
      </c>
      <c r="D142">
        <v>407</v>
      </c>
      <c r="E142">
        <v>0</v>
      </c>
      <c r="F142" s="2">
        <v>407</v>
      </c>
      <c r="G142" s="2">
        <v>5248503</v>
      </c>
      <c r="H142" s="2">
        <v>12896</v>
      </c>
      <c r="I142">
        <v>27.8</v>
      </c>
    </row>
    <row r="143" spans="1:9" x14ac:dyDescent="0.35">
      <c r="A143" t="s">
        <v>36</v>
      </c>
      <c r="B143">
        <v>150</v>
      </c>
      <c r="C143" t="s">
        <v>10</v>
      </c>
      <c r="D143">
        <v>407</v>
      </c>
      <c r="E143">
        <v>0</v>
      </c>
      <c r="F143" s="2">
        <v>407</v>
      </c>
      <c r="G143" s="2">
        <v>4057017</v>
      </c>
      <c r="H143" s="2">
        <v>9968</v>
      </c>
      <c r="I143">
        <v>27.8</v>
      </c>
    </row>
    <row r="144" spans="1:9" x14ac:dyDescent="0.35">
      <c r="A144" t="s">
        <v>36</v>
      </c>
      <c r="B144">
        <v>150</v>
      </c>
      <c r="C144" t="s">
        <v>11</v>
      </c>
      <c r="D144">
        <v>407</v>
      </c>
      <c r="E144">
        <v>0</v>
      </c>
      <c r="F144" s="2">
        <v>407</v>
      </c>
      <c r="G144" s="2">
        <v>4063426</v>
      </c>
      <c r="H144" s="2">
        <v>9984</v>
      </c>
      <c r="I144">
        <v>27.8</v>
      </c>
    </row>
    <row r="145" spans="1:9" x14ac:dyDescent="0.35">
      <c r="A145" t="s">
        <v>36</v>
      </c>
      <c r="B145">
        <v>150</v>
      </c>
      <c r="C145" t="s">
        <v>12</v>
      </c>
      <c r="D145">
        <v>407</v>
      </c>
      <c r="E145">
        <v>0</v>
      </c>
      <c r="F145" s="2">
        <v>407</v>
      </c>
      <c r="G145" s="2">
        <v>4067621</v>
      </c>
      <c r="H145" s="2">
        <v>9994</v>
      </c>
      <c r="I145">
        <v>27.8</v>
      </c>
    </row>
    <row r="146" spans="1:9" x14ac:dyDescent="0.35">
      <c r="A146" t="s">
        <v>36</v>
      </c>
      <c r="B146">
        <v>150</v>
      </c>
      <c r="C146" t="s">
        <v>13</v>
      </c>
      <c r="D146">
        <v>407</v>
      </c>
      <c r="E146">
        <v>0</v>
      </c>
      <c r="F146" s="2">
        <v>407</v>
      </c>
      <c r="G146" s="2">
        <v>4069485</v>
      </c>
      <c r="H146" s="2">
        <v>9999</v>
      </c>
      <c r="I146">
        <v>27.8</v>
      </c>
    </row>
    <row r="147" spans="1:9" x14ac:dyDescent="0.35">
      <c r="A147" t="s">
        <v>37</v>
      </c>
      <c r="B147">
        <v>150</v>
      </c>
      <c r="C147" t="s">
        <v>9</v>
      </c>
      <c r="D147">
        <v>407</v>
      </c>
      <c r="E147">
        <v>0</v>
      </c>
      <c r="F147" s="2">
        <v>407</v>
      </c>
      <c r="G147" s="2">
        <v>5248503</v>
      </c>
      <c r="H147" s="2">
        <v>12896</v>
      </c>
      <c r="I147">
        <v>27.8</v>
      </c>
    </row>
    <row r="148" spans="1:9" x14ac:dyDescent="0.35">
      <c r="A148" t="s">
        <v>37</v>
      </c>
      <c r="B148">
        <v>150</v>
      </c>
      <c r="C148" t="s">
        <v>10</v>
      </c>
      <c r="D148">
        <v>407</v>
      </c>
      <c r="E148">
        <v>0</v>
      </c>
      <c r="F148" s="2">
        <v>407</v>
      </c>
      <c r="G148" s="2">
        <v>4103366</v>
      </c>
      <c r="H148" s="2">
        <v>10082</v>
      </c>
      <c r="I148">
        <v>27.8</v>
      </c>
    </row>
    <row r="149" spans="1:9" x14ac:dyDescent="0.35">
      <c r="A149" t="s">
        <v>37</v>
      </c>
      <c r="B149">
        <v>150</v>
      </c>
      <c r="C149" t="s">
        <v>11</v>
      </c>
      <c r="D149">
        <v>407</v>
      </c>
      <c r="E149">
        <v>0</v>
      </c>
      <c r="F149" s="2">
        <v>407</v>
      </c>
      <c r="G149" s="2">
        <v>4158442</v>
      </c>
      <c r="H149" s="2">
        <v>10217</v>
      </c>
      <c r="I149">
        <v>27.8</v>
      </c>
    </row>
    <row r="150" spans="1:9" x14ac:dyDescent="0.35">
      <c r="A150" t="s">
        <v>37</v>
      </c>
      <c r="B150">
        <v>150</v>
      </c>
      <c r="C150" t="s">
        <v>12</v>
      </c>
      <c r="D150">
        <v>407</v>
      </c>
      <c r="E150">
        <v>0</v>
      </c>
      <c r="F150" s="2">
        <v>407</v>
      </c>
      <c r="G150" s="2">
        <v>4213708</v>
      </c>
      <c r="H150" s="2">
        <v>10353</v>
      </c>
      <c r="I150">
        <v>27.8</v>
      </c>
    </row>
    <row r="151" spans="1:9" x14ac:dyDescent="0.35">
      <c r="A151" t="s">
        <v>37</v>
      </c>
      <c r="B151">
        <v>150</v>
      </c>
      <c r="C151" t="s">
        <v>13</v>
      </c>
      <c r="D151">
        <v>407</v>
      </c>
      <c r="E151">
        <v>0</v>
      </c>
      <c r="F151" s="2">
        <v>407</v>
      </c>
      <c r="G151" s="2">
        <v>4269137</v>
      </c>
      <c r="H151" s="2">
        <v>10489</v>
      </c>
      <c r="I151">
        <v>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C15" sqref="C15"/>
    </sheetView>
  </sheetViews>
  <sheetFormatPr defaultRowHeight="14.5" x14ac:dyDescent="0.35"/>
  <cols>
    <col min="1" max="1" width="33.90625" bestFit="1" customWidth="1"/>
    <col min="2" max="2" width="7.453125" bestFit="1" customWidth="1"/>
    <col min="3" max="3" width="37.90625" bestFit="1" customWidth="1"/>
    <col min="4" max="5" width="19.08984375" bestFit="1" customWidth="1"/>
    <col min="6" max="6" width="20" bestFit="1" customWidth="1"/>
    <col min="7" max="7" width="11.453125" bestFit="1" customWidth="1"/>
  </cols>
  <sheetData>
    <row r="1" spans="1:7" x14ac:dyDescent="0.35">
      <c r="A1" t="s">
        <v>19</v>
      </c>
      <c r="B1" t="s">
        <v>20</v>
      </c>
      <c r="C1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spans="1:7" x14ac:dyDescent="0.35">
      <c r="A2" t="s">
        <v>32</v>
      </c>
      <c r="B2">
        <v>0</v>
      </c>
      <c r="C2" t="s">
        <v>43</v>
      </c>
      <c r="D2" s="2">
        <v>8945.9896749999971</v>
      </c>
      <c r="E2" s="2">
        <v>8169.1704022968697</v>
      </c>
      <c r="F2" s="2">
        <v>11283.727326466749</v>
      </c>
      <c r="G2" s="2">
        <v>19956325.81404268</v>
      </c>
    </row>
    <row r="3" spans="1:7" x14ac:dyDescent="0.35">
      <c r="A3" t="s">
        <v>33</v>
      </c>
      <c r="B3">
        <v>0</v>
      </c>
      <c r="C3" t="s">
        <v>44</v>
      </c>
      <c r="D3" s="2">
        <v>9373.9872639089772</v>
      </c>
      <c r="E3" s="2">
        <v>9068.5049411757118</v>
      </c>
      <c r="F3" s="2">
        <v>11495.98611690275</v>
      </c>
      <c r="G3" s="2">
        <v>20788886.648868129</v>
      </c>
    </row>
    <row r="4" spans="1:7" x14ac:dyDescent="0.35">
      <c r="A4" t="s">
        <v>34</v>
      </c>
      <c r="B4">
        <v>0</v>
      </c>
      <c r="C4" t="s">
        <v>45</v>
      </c>
      <c r="D4" s="2">
        <v>10008.254751624039</v>
      </c>
      <c r="E4" s="2">
        <v>10029.9592737447</v>
      </c>
      <c r="F4" s="2">
        <v>10831.146192058821</v>
      </c>
      <c r="G4" s="2">
        <v>24286368.424215682</v>
      </c>
    </row>
    <row r="5" spans="1:7" x14ac:dyDescent="0.35">
      <c r="A5" t="s">
        <v>34</v>
      </c>
      <c r="B5">
        <v>100</v>
      </c>
      <c r="C5" t="s">
        <v>46</v>
      </c>
      <c r="D5" s="2">
        <v>9580.524008248407</v>
      </c>
      <c r="E5" s="2">
        <v>9662.9462336182096</v>
      </c>
      <c r="F5" s="2">
        <v>10232.869698007789</v>
      </c>
      <c r="G5" s="2">
        <v>27816469.167946409</v>
      </c>
    </row>
    <row r="6" spans="1:7" x14ac:dyDescent="0.35">
      <c r="A6" t="s">
        <v>34</v>
      </c>
      <c r="B6">
        <v>150</v>
      </c>
      <c r="C6" t="s">
        <v>47</v>
      </c>
      <c r="D6" s="2">
        <v>9416.8822072113489</v>
      </c>
      <c r="E6" s="2">
        <v>9522.532438423048</v>
      </c>
      <c r="F6" s="2">
        <v>10003.979180225049</v>
      </c>
      <c r="G6" s="2">
        <v>29581519.081429299</v>
      </c>
    </row>
    <row r="7" spans="1:7" x14ac:dyDescent="0.35">
      <c r="A7" t="s">
        <v>35</v>
      </c>
      <c r="B7">
        <v>0</v>
      </c>
      <c r="C7" t="s">
        <v>48</v>
      </c>
      <c r="D7" s="2">
        <v>10177.04656748082</v>
      </c>
      <c r="E7" s="2">
        <v>10384.631396506849</v>
      </c>
      <c r="F7" s="2">
        <v>10914.85633698636</v>
      </c>
      <c r="G7" s="2">
        <v>24673291.961456589</v>
      </c>
    </row>
    <row r="8" spans="1:7" x14ac:dyDescent="0.35">
      <c r="A8" t="s">
        <v>35</v>
      </c>
      <c r="B8">
        <v>100</v>
      </c>
      <c r="C8" t="s">
        <v>49</v>
      </c>
      <c r="D8" s="2">
        <v>9720.6463012420372</v>
      </c>
      <c r="E8" s="2">
        <v>9957.3785053804186</v>
      </c>
      <c r="F8" s="2">
        <v>10302.360993124559</v>
      </c>
      <c r="G8" s="2">
        <v>28203392.62280057</v>
      </c>
    </row>
    <row r="9" spans="1:7" x14ac:dyDescent="0.35">
      <c r="A9" t="s">
        <v>35</v>
      </c>
      <c r="B9">
        <v>150</v>
      </c>
      <c r="C9" t="s">
        <v>50</v>
      </c>
      <c r="D9" s="2">
        <v>9546.0360232583153</v>
      </c>
      <c r="E9" s="2">
        <v>9793.9171742351809</v>
      </c>
      <c r="F9" s="2">
        <v>10068.03136548271</v>
      </c>
      <c r="G9" s="2">
        <v>29968443.507157251</v>
      </c>
    </row>
    <row r="10" spans="1:7" x14ac:dyDescent="0.35">
      <c r="A10" t="s">
        <v>36</v>
      </c>
      <c r="B10">
        <v>0</v>
      </c>
      <c r="C10" t="s">
        <v>51</v>
      </c>
      <c r="D10" s="2">
        <v>9887.0682836116903</v>
      </c>
      <c r="E10" s="2">
        <v>9817.6739651563785</v>
      </c>
      <c r="F10" s="2">
        <v>10772.75269439805</v>
      </c>
      <c r="G10" s="2">
        <v>23557749.285766158</v>
      </c>
    </row>
    <row r="11" spans="1:7" x14ac:dyDescent="0.35">
      <c r="A11" t="s">
        <v>36</v>
      </c>
      <c r="B11">
        <v>100</v>
      </c>
      <c r="C11" t="s">
        <v>52</v>
      </c>
      <c r="D11" s="2">
        <v>9473.0651258203798</v>
      </c>
      <c r="E11" s="2">
        <v>9481.1447829186618</v>
      </c>
      <c r="F11" s="2">
        <v>10174.486253223949</v>
      </c>
      <c r="G11" s="2">
        <v>27087849.05862309</v>
      </c>
    </row>
    <row r="12" spans="1:7" x14ac:dyDescent="0.35">
      <c r="A12" t="s">
        <v>36</v>
      </c>
      <c r="B12">
        <v>150</v>
      </c>
      <c r="C12" t="s">
        <v>53</v>
      </c>
      <c r="D12" s="2">
        <v>9315.4271984896659</v>
      </c>
      <c r="E12" s="2">
        <v>9353.0060879330758</v>
      </c>
      <c r="F12" s="2">
        <v>9946.6887238208783</v>
      </c>
      <c r="G12" s="2">
        <v>28852899.000383869</v>
      </c>
    </row>
    <row r="13" spans="1:7" x14ac:dyDescent="0.35">
      <c r="A13" t="s">
        <v>37</v>
      </c>
      <c r="B13">
        <v>0</v>
      </c>
      <c r="C13" t="s">
        <v>54</v>
      </c>
      <c r="D13" s="2">
        <v>10085.431540396659</v>
      </c>
      <c r="E13" s="2">
        <v>10234.483986033199</v>
      </c>
      <c r="F13" s="2">
        <v>10871.12778138483</v>
      </c>
      <c r="G13" s="2">
        <v>24003388.52347501</v>
      </c>
    </row>
    <row r="14" spans="1:7" x14ac:dyDescent="0.35">
      <c r="A14" t="s">
        <v>37</v>
      </c>
      <c r="B14">
        <v>100</v>
      </c>
      <c r="C14" t="s">
        <v>55</v>
      </c>
      <c r="D14" s="2">
        <v>9637.1687527633858</v>
      </c>
      <c r="E14" s="2">
        <v>9825.966889999836</v>
      </c>
      <c r="F14" s="2">
        <v>10255.871400028789</v>
      </c>
      <c r="G14" s="2">
        <v>27533489.26720573</v>
      </c>
    </row>
    <row r="15" spans="1:7" x14ac:dyDescent="0.35">
      <c r="A15" t="s">
        <v>37</v>
      </c>
      <c r="B15">
        <v>150</v>
      </c>
      <c r="C15" t="s">
        <v>56</v>
      </c>
      <c r="D15" s="2">
        <v>9466.4860220190785</v>
      </c>
      <c r="E15" s="2">
        <v>9670.4178526389587</v>
      </c>
      <c r="F15" s="2">
        <v>10021.60393314785</v>
      </c>
      <c r="G15" s="2">
        <v>29298538.238092721</v>
      </c>
    </row>
    <row r="16" spans="1:7" x14ac:dyDescent="0.35">
      <c r="A16" t="s">
        <v>28</v>
      </c>
      <c r="B16">
        <v>0</v>
      </c>
      <c r="C16" t="s">
        <v>57</v>
      </c>
      <c r="D16" s="2">
        <v>10625</v>
      </c>
      <c r="E16" s="2">
        <v>11163</v>
      </c>
      <c r="F16" s="2">
        <v>10368</v>
      </c>
      <c r="G16" s="2">
        <v>27692577.847131811</v>
      </c>
    </row>
    <row r="17" spans="1:7" x14ac:dyDescent="0.35">
      <c r="A17" t="s">
        <v>28</v>
      </c>
      <c r="B17">
        <v>100</v>
      </c>
      <c r="C17" t="s">
        <v>58</v>
      </c>
      <c r="D17" s="2">
        <v>10137</v>
      </c>
      <c r="E17" s="2">
        <v>10650</v>
      </c>
      <c r="F17" s="2">
        <v>9891.6666666666661</v>
      </c>
      <c r="G17" s="2">
        <v>31197968.78315619</v>
      </c>
    </row>
    <row r="18" spans="1:7" x14ac:dyDescent="0.35">
      <c r="A18" t="s">
        <v>28</v>
      </c>
      <c r="B18">
        <v>150</v>
      </c>
      <c r="C18" t="s">
        <v>59</v>
      </c>
      <c r="D18" s="2">
        <v>9945</v>
      </c>
      <c r="E18" s="2">
        <v>10448</v>
      </c>
      <c r="F18" s="2">
        <v>9704.3333333333339</v>
      </c>
      <c r="G18" s="2">
        <v>32950662.836051069</v>
      </c>
    </row>
    <row r="19" spans="1:7" x14ac:dyDescent="0.35">
      <c r="A19" t="s">
        <v>29</v>
      </c>
      <c r="B19">
        <v>0</v>
      </c>
      <c r="C19" t="s">
        <v>60</v>
      </c>
      <c r="D19" s="2">
        <v>10625</v>
      </c>
      <c r="E19" s="2">
        <v>11163</v>
      </c>
      <c r="F19" s="2">
        <v>10368</v>
      </c>
      <c r="G19" s="2">
        <v>27692577.847131811</v>
      </c>
    </row>
    <row r="20" spans="1:7" x14ac:dyDescent="0.35">
      <c r="A20" t="s">
        <v>29</v>
      </c>
      <c r="B20">
        <v>100</v>
      </c>
      <c r="C20" t="s">
        <v>61</v>
      </c>
      <c r="D20" s="2">
        <v>10137</v>
      </c>
      <c r="E20" s="2">
        <v>10650</v>
      </c>
      <c r="F20" s="2">
        <v>9891.6666666666661</v>
      </c>
      <c r="G20" s="2">
        <v>31197968.78315619</v>
      </c>
    </row>
    <row r="21" spans="1:7" x14ac:dyDescent="0.35">
      <c r="A21" t="s">
        <v>29</v>
      </c>
      <c r="B21">
        <v>150</v>
      </c>
      <c r="C21" t="s">
        <v>62</v>
      </c>
      <c r="D21" s="2">
        <v>9945</v>
      </c>
      <c r="E21" s="2">
        <v>10448</v>
      </c>
      <c r="F21" s="2">
        <v>9704.3333333333339</v>
      </c>
      <c r="G21" s="2">
        <v>32950662.836051069</v>
      </c>
    </row>
    <row r="22" spans="1:7" x14ac:dyDescent="0.35">
      <c r="A22" t="s">
        <v>30</v>
      </c>
      <c r="B22">
        <v>0</v>
      </c>
      <c r="C22" t="s">
        <v>63</v>
      </c>
      <c r="D22" s="2">
        <v>10466</v>
      </c>
      <c r="E22" s="2">
        <v>10996</v>
      </c>
      <c r="F22" s="2">
        <v>10212.33333333333</v>
      </c>
      <c r="G22" s="2">
        <v>27277190.271757539</v>
      </c>
    </row>
    <row r="23" spans="1:7" x14ac:dyDescent="0.35">
      <c r="A23" t="s">
        <v>30</v>
      </c>
      <c r="B23">
        <v>100</v>
      </c>
      <c r="C23" t="s">
        <v>64</v>
      </c>
      <c r="D23" s="2">
        <v>9985</v>
      </c>
      <c r="E23" s="2">
        <v>10490</v>
      </c>
      <c r="F23" s="2">
        <v>9743.3333333333339</v>
      </c>
      <c r="G23" s="2">
        <v>30729999.129949588</v>
      </c>
    </row>
    <row r="24" spans="1:7" x14ac:dyDescent="0.35">
      <c r="A24" t="s">
        <v>30</v>
      </c>
      <c r="B24">
        <v>150</v>
      </c>
      <c r="C24" t="s">
        <v>65</v>
      </c>
      <c r="D24" s="2">
        <v>9796</v>
      </c>
      <c r="E24" s="2">
        <v>10292</v>
      </c>
      <c r="F24" s="2">
        <v>9559</v>
      </c>
      <c r="G24" s="2">
        <v>32456402.655995458</v>
      </c>
    </row>
    <row r="25" spans="1:7" x14ac:dyDescent="0.35">
      <c r="A25" t="s">
        <v>31</v>
      </c>
      <c r="B25">
        <v>0</v>
      </c>
      <c r="C25" t="s">
        <v>66</v>
      </c>
      <c r="D25" s="2">
        <v>9945</v>
      </c>
      <c r="E25" s="2">
        <v>10448</v>
      </c>
      <c r="F25" s="2">
        <v>9899</v>
      </c>
      <c r="G25" s="2">
        <v>31890505.030225821</v>
      </c>
    </row>
    <row r="26" spans="1:7" x14ac:dyDescent="0.35">
      <c r="A26" t="s">
        <v>31</v>
      </c>
      <c r="B26">
        <v>100</v>
      </c>
      <c r="C26" t="s">
        <v>67</v>
      </c>
      <c r="D26" s="2">
        <v>9945</v>
      </c>
      <c r="E26" s="2">
        <v>10448</v>
      </c>
      <c r="F26" s="2">
        <v>9899</v>
      </c>
      <c r="G26" s="2">
        <v>31890505.030225821</v>
      </c>
    </row>
    <row r="27" spans="1:7" x14ac:dyDescent="0.35">
      <c r="A27" t="s">
        <v>31</v>
      </c>
      <c r="B27">
        <v>150</v>
      </c>
      <c r="C27" t="s">
        <v>68</v>
      </c>
      <c r="D27" s="2">
        <v>9945</v>
      </c>
      <c r="E27" s="2">
        <v>10448</v>
      </c>
      <c r="F27" s="2">
        <v>9899</v>
      </c>
      <c r="G27" s="2">
        <v>31890505.030225821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tabSelected="1" zoomScale="85" zoomScaleNormal="85" workbookViewId="0">
      <selection activeCell="A25" sqref="A25"/>
    </sheetView>
  </sheetViews>
  <sheetFormatPr defaultRowHeight="14.5" x14ac:dyDescent="0.35"/>
  <cols>
    <col min="1" max="1" width="29.453125" bestFit="1" customWidth="1"/>
    <col min="2" max="2" width="12.6328125" bestFit="1" customWidth="1"/>
    <col min="3" max="3" width="12.453125" bestFit="1" customWidth="1"/>
    <col min="4" max="4" width="18.90625" bestFit="1" customWidth="1"/>
    <col min="5" max="7" width="12.453125" bestFit="1" customWidth="1"/>
    <col min="8" max="8" width="11.453125" bestFit="1" customWidth="1"/>
    <col min="9" max="9" width="12.453125" bestFit="1" customWidth="1"/>
  </cols>
  <sheetData>
    <row r="1" spans="1:4" x14ac:dyDescent="0.35">
      <c r="A1" t="s">
        <v>69</v>
      </c>
      <c r="B1" s="2" t="s">
        <v>70</v>
      </c>
      <c r="C1" s="2" t="s">
        <v>71</v>
      </c>
    </row>
    <row r="2" spans="1:4" x14ac:dyDescent="0.35">
      <c r="A2" t="s">
        <v>72</v>
      </c>
      <c r="B2" s="2">
        <v>1775127.552974999</v>
      </c>
      <c r="C2" s="2">
        <v>1864993.3853443579</v>
      </c>
    </row>
    <row r="3" spans="1:4" x14ac:dyDescent="0.35">
      <c r="A3" t="s">
        <v>73</v>
      </c>
      <c r="B3" s="2">
        <v>7489.9896749999971</v>
      </c>
      <c r="C3" s="2">
        <v>7869.1704022968697</v>
      </c>
    </row>
    <row r="4" spans="1:4" x14ac:dyDescent="0.35">
      <c r="A4" t="s">
        <v>7</v>
      </c>
      <c r="B4">
        <v>553</v>
      </c>
    </row>
    <row r="6" spans="1:4" x14ac:dyDescent="0.35">
      <c r="A6" t="s">
        <v>74</v>
      </c>
      <c r="B6" t="s">
        <v>28</v>
      </c>
      <c r="D6" t="s">
        <v>28</v>
      </c>
    </row>
    <row r="7" spans="1:4" x14ac:dyDescent="0.35">
      <c r="A7" t="s">
        <v>75</v>
      </c>
      <c r="B7">
        <v>150</v>
      </c>
      <c r="D7" t="s">
        <v>29</v>
      </c>
    </row>
    <row r="8" spans="1:4" x14ac:dyDescent="0.35">
      <c r="A8" t="s">
        <v>76</v>
      </c>
      <c r="B8" t="s">
        <v>77</v>
      </c>
      <c r="D8" t="s">
        <v>30</v>
      </c>
    </row>
    <row r="9" spans="1:4" x14ac:dyDescent="0.35">
      <c r="A9" t="s">
        <v>78</v>
      </c>
      <c r="B9">
        <v>300</v>
      </c>
      <c r="D9" t="s">
        <v>31</v>
      </c>
    </row>
    <row r="10" spans="1:4" x14ac:dyDescent="0.35">
      <c r="A10" t="s">
        <v>79</v>
      </c>
      <c r="B10">
        <v>0.2</v>
      </c>
    </row>
    <row r="12" spans="1:4" x14ac:dyDescent="0.35">
      <c r="A12" s="1" t="s">
        <v>80</v>
      </c>
      <c r="B12" s="1"/>
    </row>
    <row r="13" spans="1:4" x14ac:dyDescent="0.35">
      <c r="B13">
        <f>IF($B$8="2028", INDEX(Summary_Costs!$D:$D, MATCH($B$6&amp;"|"&amp;$B$7, Summary_Costs!$C:$C,0)), INDEX(Summary_Costs!$E:$E, MATCH($B$6&amp;"|"&amp;$B$7, Summary_Costs!$C:$C,0)))</f>
        <v>10448</v>
      </c>
    </row>
    <row r="15" spans="1:4" x14ac:dyDescent="0.35">
      <c r="A15" s="1" t="s">
        <v>81</v>
      </c>
      <c r="B15" s="1"/>
    </row>
    <row r="16" spans="1:4" x14ac:dyDescent="0.35">
      <c r="B16">
        <f>IF($B$8="2028", ($B$10*$B$2)/( $B$4 * ($B$12 - ($B$3 + $B$8)) ), ($B$10*$C$2)/( $B$4 * ($B$12 - ($C$3 + $B$8)) ))</f>
        <v>-6.8137055206199157E-2</v>
      </c>
    </row>
    <row r="18" spans="1:9" x14ac:dyDescent="0.35">
      <c r="A18" s="1" t="s">
        <v>82</v>
      </c>
    </row>
    <row r="19" spans="1:9" x14ac:dyDescent="0.35">
      <c r="A19" s="1" t="s">
        <v>83</v>
      </c>
      <c r="B19" s="1">
        <v>200</v>
      </c>
      <c r="C19" s="1">
        <v>300</v>
      </c>
      <c r="D19" s="1">
        <v>400</v>
      </c>
      <c r="E19" s="1">
        <v>600</v>
      </c>
      <c r="F19" s="1">
        <v>800</v>
      </c>
      <c r="G19" s="1">
        <v>1000</v>
      </c>
      <c r="H19" s="1">
        <v>1200</v>
      </c>
      <c r="I19" s="1">
        <v>1500</v>
      </c>
    </row>
    <row r="20" spans="1:9" x14ac:dyDescent="0.35">
      <c r="A20">
        <v>0</v>
      </c>
      <c r="B20">
        <f>IF($B$8="2028", (0*$B$2)/($B$4*($B$12-($B$3+200))), (0*$C$2)/($B$4*($B$12-($C$3+200))))</f>
        <v>0</v>
      </c>
      <c r="C20">
        <f>IF($B$8="2028", (0*$B$2)/($B$4*($B$12-($B$3+300))), (0*$C$2)/($B$4*($B$12-($C$3+300))))</f>
        <v>0</v>
      </c>
      <c r="D20">
        <f>IF($B$8="2028", (0*$B$2)/($B$4*($B$12-($B$3+400))), (0*$C$2)/($B$4*($B$12-($C$3+400))))</f>
        <v>0</v>
      </c>
      <c r="E20">
        <f>IF($B$8="2028", (0*$B$2)/($B$4*($B$12-($B$3+600))), (0*$C$2)/($B$4*($B$12-($C$3+600))))</f>
        <v>0</v>
      </c>
      <c r="F20">
        <f>IF($B$8="2028", (0*$B$2)/($B$4*($B$12-($B$3+800))), (0*$C$2)/($B$4*($B$12-($C$3+800))))</f>
        <v>0</v>
      </c>
      <c r="G20">
        <f>IF($B$8="2028", (0*$B$2)/($B$4*($B$12-($B$3+1000))), (0*$C$2)/($B$4*($B$12-($C$3+1000))))</f>
        <v>0</v>
      </c>
      <c r="H20">
        <f>IF($B$8="2028", (0*$B$2)/($B$4*($B$12-($B$3+1200))), (0*$C$2)/($B$4*($B$12-($C$3+1200))))</f>
        <v>0</v>
      </c>
      <c r="I20">
        <f>IF($B$8="2028", (0*$B$2)/($B$4*($B$12-($B$3+1500))), (0*$C$2)/($B$4*($B$12-($C$3+1500))))</f>
        <v>0</v>
      </c>
    </row>
    <row r="21" spans="1:9" x14ac:dyDescent="0.35">
      <c r="A21">
        <v>0.05</v>
      </c>
      <c r="B21">
        <f>IF($B$8="2028", (0.05*$B$2)/($B$4*($B$12-($B$3+200))), (0.05*$C$2)/($B$4*($B$12-($C$3+200))))</f>
        <v>-2.0897449383547522E-2</v>
      </c>
      <c r="C21">
        <f>IF($B$8="2028", (0.05*$B$2)/($B$4*($B$12-($B$3+300))), (0.05*$C$2)/($B$4*($B$12-($C$3+300))))</f>
        <v>-2.0641640674040472E-2</v>
      </c>
      <c r="D21">
        <f>IF($B$8="2028", (0.05*$B$2)/($B$4*($B$12-($B$3+400))), (0.05*$C$2)/($B$4*($B$12-($C$3+400))))</f>
        <v>-2.0392019011046238E-2</v>
      </c>
      <c r="E21">
        <f>IF($B$8="2028", (0.05*$B$2)/($B$4*($B$12-($B$3+600))), (0.05*$C$2)/($B$4*($B$12-($C$3+600))))</f>
        <v>-1.9910460179604711E-2</v>
      </c>
      <c r="F21">
        <f>IF($B$8="2028", (0.05*$B$2)/($B$4*($B$12-($B$3+800))), (0.05*$C$2)/($B$4*($B$12-($C$3+800))))</f>
        <v>-1.9451120721371673E-2</v>
      </c>
      <c r="G21">
        <f>IF($B$8="2028", (0.05*$B$2)/($B$4*($B$12-($B$3+1000))), (0.05*$C$2)/($B$4*($B$12-($C$3+1000))))</f>
        <v>-1.9012497494190598E-2</v>
      </c>
      <c r="H21">
        <f>IF($B$8="2028", (0.05*$B$2)/($B$4*($B$12-($B$3+1200))), (0.05*$C$2)/($B$4*($B$12-($C$3+1200))))</f>
        <v>-1.8593219949479881E-2</v>
      </c>
      <c r="I21">
        <f>IF($B$8="2028", (0.05*$B$2)/($B$4*($B$12-($B$3+1500))), (0.05*$C$2)/($B$4*($B$12-($C$3+1500))))</f>
        <v>-1.7997866706307306E-2</v>
      </c>
    </row>
    <row r="22" spans="1:9" x14ac:dyDescent="0.35">
      <c r="A22">
        <v>0.1</v>
      </c>
      <c r="B22">
        <f>IF($B$8="2028", (0.1*$B$2)/($B$4*($B$12-($B$3+200))), (0.1*$C$2)/($B$4*($B$12-($C$3+200))))</f>
        <v>-4.1794898767095044E-2</v>
      </c>
      <c r="C22">
        <f>IF($B$8="2028", (0.1*$B$2)/($B$4*($B$12-($B$3+300))), (0.1*$C$2)/($B$4*($B$12-($C$3+300))))</f>
        <v>-4.1283281348080944E-2</v>
      </c>
      <c r="D22">
        <f>IF($B$8="2028", (0.1*$B$2)/($B$4*($B$12-($B$3+400))), (0.1*$C$2)/($B$4*($B$12-($C$3+400))))</f>
        <v>-4.0784038022092475E-2</v>
      </c>
      <c r="E22">
        <f>IF($B$8="2028", (0.1*$B$2)/($B$4*($B$12-($B$3+600))), (0.1*$C$2)/($B$4*($B$12-($C$3+600))))</f>
        <v>-3.9820920359209422E-2</v>
      </c>
      <c r="F22">
        <f>IF($B$8="2028", (0.1*$B$2)/($B$4*($B$12-($B$3+800))), (0.1*$C$2)/($B$4*($B$12-($C$3+800))))</f>
        <v>-3.8902241442743346E-2</v>
      </c>
      <c r="G22">
        <f>IF($B$8="2028", (0.1*$B$2)/($B$4*($B$12-($B$3+1000))), (0.1*$C$2)/($B$4*($B$12-($C$3+1000))))</f>
        <v>-3.8024994988381196E-2</v>
      </c>
      <c r="H22">
        <f>IF($B$8="2028", (0.1*$B$2)/($B$4*($B$12-($B$3+1200))), (0.1*$C$2)/($B$4*($B$12-($C$3+1200))))</f>
        <v>-3.7186439898959762E-2</v>
      </c>
      <c r="I22">
        <f>IF($B$8="2028", (0.1*$B$2)/($B$4*($B$12-($B$3+1500))), (0.1*$C$2)/($B$4*($B$12-($C$3+1500))))</f>
        <v>-3.5995733412614611E-2</v>
      </c>
    </row>
    <row r="23" spans="1:9" x14ac:dyDescent="0.35">
      <c r="A23">
        <v>0.15</v>
      </c>
      <c r="B23">
        <f>IF($B$8="2028", (0.15*$B$2)/($B$4*($B$12-($B$3+200))), (0.15*$C$2)/($B$4*($B$12-($C$3+200))))</f>
        <v>-6.2692348150642563E-2</v>
      </c>
      <c r="C23">
        <f>IF($B$8="2028", (0.15*$B$2)/($B$4*($B$12-($B$3+300))), (0.15*$C$2)/($B$4*($B$12-($C$3+300))))</f>
        <v>-6.1924922022121416E-2</v>
      </c>
      <c r="D23">
        <f>IF($B$8="2028", (0.15*$B$2)/($B$4*($B$12-($B$3+400))), (0.15*$C$2)/($B$4*($B$12-($C$3+400))))</f>
        <v>-6.1176057033138713E-2</v>
      </c>
      <c r="E23">
        <f>IF($B$8="2028", (0.15*$B$2)/($B$4*($B$12-($B$3+600))), (0.15*$C$2)/($B$4*($B$12-($C$3+600))))</f>
        <v>-5.9731380538814133E-2</v>
      </c>
      <c r="F23">
        <f>IF($B$8="2028", (0.15*$B$2)/($B$4*($B$12-($B$3+800))), (0.15*$C$2)/($B$4*($B$12-($C$3+800))))</f>
        <v>-5.8353362164115012E-2</v>
      </c>
      <c r="G23">
        <f>IF($B$8="2028", (0.15*$B$2)/($B$4*($B$12-($B$3+1000))), (0.15*$C$2)/($B$4*($B$12-($C$3+1000))))</f>
        <v>-5.703749248257179E-2</v>
      </c>
      <c r="H23">
        <f>IF($B$8="2028", (0.15*$B$2)/($B$4*($B$12-($B$3+1200))), (0.15*$C$2)/($B$4*($B$12-($C$3+1200))))</f>
        <v>-5.577965984843964E-2</v>
      </c>
      <c r="I23">
        <f>IF($B$8="2028", (0.15*$B$2)/($B$4*($B$12-($B$3+1500))), (0.15*$C$2)/($B$4*($B$12-($C$3+1500))))</f>
        <v>-5.399360011892191E-2</v>
      </c>
    </row>
    <row r="24" spans="1:9" x14ac:dyDescent="0.35">
      <c r="A24">
        <v>0.2</v>
      </c>
      <c r="B24">
        <f>IF($B$8="2028", (0.2*$B$2)/($B$4*($B$12-($B$3+200))), (0.2*$C$2)/($B$4*($B$12-($C$3+200))))</f>
        <v>-8.3589797534190088E-2</v>
      </c>
      <c r="C24">
        <f>IF($B$8="2028", (0.2*$B$2)/($B$4*($B$12-($B$3+300))), (0.2*$C$2)/($B$4*($B$12-($C$3+300))))</f>
        <v>-8.2566562696161888E-2</v>
      </c>
      <c r="D24">
        <f>IF($B$8="2028", (0.2*$B$2)/($B$4*($B$12-($B$3+400))), (0.2*$C$2)/($B$4*($B$12-($C$3+400))))</f>
        <v>-8.1568076044184951E-2</v>
      </c>
      <c r="E24">
        <f>IF($B$8="2028", (0.2*$B$2)/($B$4*($B$12-($B$3+600))), (0.2*$C$2)/($B$4*($B$12-($C$3+600))))</f>
        <v>-7.9641840718418844E-2</v>
      </c>
      <c r="F24">
        <f>IF($B$8="2028", (0.2*$B$2)/($B$4*($B$12-($B$3+800))), (0.2*$C$2)/($B$4*($B$12-($C$3+800))))</f>
        <v>-7.7804482885486692E-2</v>
      </c>
      <c r="G24">
        <f>IF($B$8="2028", (0.2*$B$2)/($B$4*($B$12-($B$3+1000))), (0.2*$C$2)/($B$4*($B$12-($C$3+1000))))</f>
        <v>-7.6049989976762392E-2</v>
      </c>
      <c r="H24">
        <f>IF($B$8="2028", (0.2*$B$2)/($B$4*($B$12-($B$3+1200))), (0.2*$C$2)/($B$4*($B$12-($C$3+1200))))</f>
        <v>-7.4372879797919525E-2</v>
      </c>
      <c r="I24">
        <f>IF($B$8="2028", (0.2*$B$2)/($B$4*($B$12-($B$3+1500))), (0.2*$C$2)/($B$4*($B$12-($C$3+1500))))</f>
        <v>-7.1991466825229222E-2</v>
      </c>
    </row>
    <row r="25" spans="1:9" x14ac:dyDescent="0.35">
      <c r="A25">
        <v>0.25</v>
      </c>
      <c r="B25">
        <f>IF($B$8="2028", (0.25*$B$2)/($B$4*($B$12-($B$3+200))), (0.25*$C$2)/($B$4*($B$12-($C$3+200))))</f>
        <v>-0.10448724691773761</v>
      </c>
      <c r="C25">
        <f>IF($B$8="2028", (0.25*$B$2)/($B$4*($B$12-($B$3+300))), (0.25*$C$2)/($B$4*($B$12-($C$3+300))))</f>
        <v>-0.10320820337020235</v>
      </c>
      <c r="D25">
        <f>IF($B$8="2028", (0.25*$B$2)/($B$4*($B$12-($B$3+400))), (0.25*$C$2)/($B$4*($B$12-($C$3+400))))</f>
        <v>-0.10196009505523118</v>
      </c>
      <c r="E25">
        <f>IF($B$8="2028", (0.25*$B$2)/($B$4*($B$12-($B$3+600))), (0.25*$C$2)/($B$4*($B$12-($C$3+600))))</f>
        <v>-9.9552300898023555E-2</v>
      </c>
      <c r="F25">
        <f>IF($B$8="2028", (0.25*$B$2)/($B$4*($B$12-($B$3+800))), (0.25*$C$2)/($B$4*($B$12-($C$3+800))))</f>
        <v>-9.7255603606858351E-2</v>
      </c>
      <c r="G25">
        <f>IF($B$8="2028", (0.25*$B$2)/($B$4*($B$12-($B$3+1000))), (0.25*$C$2)/($B$4*($B$12-($C$3+1000))))</f>
        <v>-9.5062487470952972E-2</v>
      </c>
      <c r="H25">
        <f>IF($B$8="2028", (0.25*$B$2)/($B$4*($B$12-($B$3+1200))), (0.25*$C$2)/($B$4*($B$12-($C$3+1200))))</f>
        <v>-9.2966099747399403E-2</v>
      </c>
      <c r="I25">
        <f>IF($B$8="2028", (0.25*$B$2)/($B$4*($B$12-($B$3+1500))), (0.25*$C$2)/($B$4*($B$12-($C$3+1500))))</f>
        <v>-8.9989333531536514E-2</v>
      </c>
    </row>
    <row r="26" spans="1:9" x14ac:dyDescent="0.35">
      <c r="A26">
        <v>0.3</v>
      </c>
      <c r="B26">
        <f>IF($B$8="2028", (0.3*$B$2)/($B$4*($B$12-($B$3+200))), (0.3*$C$2)/($B$4*($B$12-($C$3+200))))</f>
        <v>-0.12538469630128513</v>
      </c>
      <c r="C26">
        <f>IF($B$8="2028", (0.3*$B$2)/($B$4*($B$12-($B$3+300))), (0.3*$C$2)/($B$4*($B$12-($C$3+300))))</f>
        <v>-0.12384984404424283</v>
      </c>
      <c r="D26">
        <f>IF($B$8="2028", (0.3*$B$2)/($B$4*($B$12-($B$3+400))), (0.3*$C$2)/($B$4*($B$12-($C$3+400))))</f>
        <v>-0.12235211406627743</v>
      </c>
      <c r="E26">
        <f>IF($B$8="2028", (0.3*$B$2)/($B$4*($B$12-($B$3+600))), (0.3*$C$2)/($B$4*($B$12-($C$3+600))))</f>
        <v>-0.11946276107762827</v>
      </c>
      <c r="F26">
        <f>IF($B$8="2028", (0.3*$B$2)/($B$4*($B$12-($B$3+800))), (0.3*$C$2)/($B$4*($B$12-($C$3+800))))</f>
        <v>-0.11670672432823002</v>
      </c>
      <c r="G26">
        <f>IF($B$8="2028", (0.3*$B$2)/($B$4*($B$12-($B$3+1000))), (0.3*$C$2)/($B$4*($B$12-($C$3+1000))))</f>
        <v>-0.11407498496514358</v>
      </c>
      <c r="H26">
        <f>IF($B$8="2028", (0.3*$B$2)/($B$4*($B$12-($B$3+1200))), (0.3*$C$2)/($B$4*($B$12-($C$3+1200))))</f>
        <v>-0.11155931969687928</v>
      </c>
      <c r="I26">
        <f>IF($B$8="2028", (0.3*$B$2)/($B$4*($B$12-($B$3+1500))), (0.3*$C$2)/($B$4*($B$12-($C$3+1500))))</f>
        <v>-0.10798720023784382</v>
      </c>
    </row>
    <row r="27" spans="1:9" x14ac:dyDescent="0.35">
      <c r="A27">
        <v>0.35</v>
      </c>
      <c r="B27">
        <f>IF($B$8="2028", (0.35*$B$2)/($B$4*($B$12-($B$3+200))), (0.35*$C$2)/($B$4*($B$12-($C$3+200))))</f>
        <v>-0.14628214568483264</v>
      </c>
      <c r="C27">
        <f>IF($B$8="2028", (0.35*$B$2)/($B$4*($B$12-($B$3+300))), (0.35*$C$2)/($B$4*($B$12-($C$3+300))))</f>
        <v>-0.1444914847182833</v>
      </c>
      <c r="D27">
        <f>IF($B$8="2028", (0.35*$B$2)/($B$4*($B$12-($B$3+400))), (0.35*$C$2)/($B$4*($B$12-($C$3+400))))</f>
        <v>-0.14274413307732367</v>
      </c>
      <c r="E27">
        <f>IF($B$8="2028", (0.35*$B$2)/($B$4*($B$12-($B$3+600))), (0.35*$C$2)/($B$4*($B$12-($C$3+600))))</f>
        <v>-0.13937322125723298</v>
      </c>
      <c r="F27">
        <f>IF($B$8="2028", (0.35*$B$2)/($B$4*($B$12-($B$3+800))), (0.35*$C$2)/($B$4*($B$12-($C$3+800))))</f>
        <v>-0.13615784504960168</v>
      </c>
      <c r="G27">
        <f>IF($B$8="2028", (0.35*$B$2)/($B$4*($B$12-($B$3+1000))), (0.35*$C$2)/($B$4*($B$12-($C$3+1000))))</f>
        <v>-0.13308748245933416</v>
      </c>
      <c r="H27">
        <f>IF($B$8="2028", (0.35*$B$2)/($B$4*($B$12-($B$3+1200))), (0.35*$C$2)/($B$4*($B$12-($C$3+1200))))</f>
        <v>-0.13015253964635914</v>
      </c>
      <c r="I27">
        <f>IF($B$8="2028", (0.35*$B$2)/($B$4*($B$12-($B$3+1500))), (0.35*$C$2)/($B$4*($B$12-($C$3+1500))))</f>
        <v>-0.12598506694415113</v>
      </c>
    </row>
    <row r="28" spans="1:9" x14ac:dyDescent="0.35">
      <c r="A28">
        <v>0.4</v>
      </c>
      <c r="B28">
        <f>IF($B$8="2028", (0.4*$B$2)/($B$4*($B$12-($B$3+200))), (0.4*$C$2)/($B$4*($B$12-($C$3+200))))</f>
        <v>-0.16717959506838018</v>
      </c>
      <c r="C28">
        <f>IF($B$8="2028", (0.4*$B$2)/($B$4*($B$12-($B$3+300))), (0.4*$C$2)/($B$4*($B$12-($C$3+300))))</f>
        <v>-0.16513312539232378</v>
      </c>
      <c r="D28">
        <f>IF($B$8="2028", (0.4*$B$2)/($B$4*($B$12-($B$3+400))), (0.4*$C$2)/($B$4*($B$12-($C$3+400))))</f>
        <v>-0.1631361520883699</v>
      </c>
      <c r="E28">
        <f>IF($B$8="2028", (0.4*$B$2)/($B$4*($B$12-($B$3+600))), (0.4*$C$2)/($B$4*($B$12-($C$3+600))))</f>
        <v>-0.15928368143683769</v>
      </c>
      <c r="F28">
        <f>IF($B$8="2028", (0.4*$B$2)/($B$4*($B$12-($B$3+800))), (0.4*$C$2)/($B$4*($B$12-($C$3+800))))</f>
        <v>-0.15560896577097338</v>
      </c>
      <c r="G28">
        <f>IF($B$8="2028", (0.4*$B$2)/($B$4*($B$12-($B$3+1000))), (0.4*$C$2)/($B$4*($B$12-($C$3+1000))))</f>
        <v>-0.15209997995352478</v>
      </c>
      <c r="H28">
        <f>IF($B$8="2028", (0.4*$B$2)/($B$4*($B$12-($B$3+1200))), (0.4*$C$2)/($B$4*($B$12-($C$3+1200))))</f>
        <v>-0.14874575959583905</v>
      </c>
      <c r="I28">
        <f>IF($B$8="2028", (0.4*$B$2)/($B$4*($B$12-($B$3+1500))), (0.4*$C$2)/($B$4*($B$12-($C$3+1500))))</f>
        <v>-0.14398293365045844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E7" sqref="E7"/>
    </sheetView>
  </sheetViews>
  <sheetFormatPr defaultRowHeight="14.5" x14ac:dyDescent="0.35"/>
  <cols>
    <col min="1" max="1" width="13.90625" bestFit="1" customWidth="1"/>
    <col min="2" max="2" width="18.90625" bestFit="1" customWidth="1"/>
    <col min="3" max="3" width="7.453125" bestFit="1" customWidth="1"/>
    <col min="4" max="4" width="11.7265625" bestFit="1" customWidth="1"/>
    <col min="5" max="5" width="13.08984375" bestFit="1" customWidth="1"/>
  </cols>
  <sheetData>
    <row r="1" spans="1:5" x14ac:dyDescent="0.35">
      <c r="A1" s="1" t="s">
        <v>84</v>
      </c>
      <c r="B1" s="1" t="s">
        <v>85</v>
      </c>
      <c r="C1" s="1" t="s">
        <v>20</v>
      </c>
      <c r="D1" s="1" t="s">
        <v>86</v>
      </c>
      <c r="E1" s="1" t="s">
        <v>87</v>
      </c>
    </row>
    <row r="2" spans="1:5" x14ac:dyDescent="0.35">
      <c r="A2" t="s">
        <v>88</v>
      </c>
      <c r="B2" t="s">
        <v>28</v>
      </c>
      <c r="C2">
        <v>150</v>
      </c>
      <c r="D2" t="s">
        <v>89</v>
      </c>
      <c r="E2">
        <v>1.7571706553700841</v>
      </c>
    </row>
    <row r="3" spans="1:5" x14ac:dyDescent="0.35">
      <c r="A3" t="s">
        <v>88</v>
      </c>
      <c r="B3" t="s">
        <v>28</v>
      </c>
      <c r="C3">
        <v>150</v>
      </c>
      <c r="D3" t="s">
        <v>90</v>
      </c>
      <c r="E3">
        <v>1.705831910491481</v>
      </c>
    </row>
    <row r="4" spans="1:5" x14ac:dyDescent="0.35">
      <c r="A4" t="s">
        <v>91</v>
      </c>
      <c r="B4" t="s">
        <v>28</v>
      </c>
      <c r="C4">
        <v>150</v>
      </c>
      <c r="D4" t="s">
        <v>89</v>
      </c>
      <c r="E4">
        <v>2.0564952575414899</v>
      </c>
    </row>
    <row r="5" spans="1:5" x14ac:dyDescent="0.35">
      <c r="A5" t="s">
        <v>91</v>
      </c>
      <c r="B5" t="s">
        <v>28</v>
      </c>
      <c r="C5">
        <v>150</v>
      </c>
      <c r="D5" t="s">
        <v>90</v>
      </c>
      <c r="E5">
        <v>2.601924038118776</v>
      </c>
    </row>
    <row r="6" spans="1:5" x14ac:dyDescent="0.35">
      <c r="A6" t="s">
        <v>88</v>
      </c>
      <c r="B6" t="s">
        <v>29</v>
      </c>
      <c r="C6">
        <v>150</v>
      </c>
      <c r="D6" t="s">
        <v>89</v>
      </c>
      <c r="E6">
        <v>1.7571706553700841</v>
      </c>
    </row>
    <row r="7" spans="1:5" x14ac:dyDescent="0.35">
      <c r="A7" t="s">
        <v>88</v>
      </c>
      <c r="B7" t="s">
        <v>29</v>
      </c>
      <c r="C7">
        <v>150</v>
      </c>
      <c r="D7" t="s">
        <v>90</v>
      </c>
      <c r="E7">
        <v>1.705831910491481</v>
      </c>
    </row>
    <row r="8" spans="1:5" x14ac:dyDescent="0.35">
      <c r="A8" t="s">
        <v>91</v>
      </c>
      <c r="B8" t="s">
        <v>29</v>
      </c>
      <c r="C8">
        <v>150</v>
      </c>
      <c r="D8" t="s">
        <v>89</v>
      </c>
      <c r="E8">
        <v>2.0564952575414899</v>
      </c>
    </row>
    <row r="9" spans="1:5" x14ac:dyDescent="0.35">
      <c r="A9" t="s">
        <v>91</v>
      </c>
      <c r="B9" t="s">
        <v>29</v>
      </c>
      <c r="C9">
        <v>150</v>
      </c>
      <c r="D9" t="s">
        <v>90</v>
      </c>
      <c r="E9">
        <v>2.601924038118776</v>
      </c>
    </row>
    <row r="10" spans="1:5" x14ac:dyDescent="0.35">
      <c r="A10" t="s">
        <v>88</v>
      </c>
      <c r="B10" t="s">
        <v>30</v>
      </c>
      <c r="C10">
        <v>150</v>
      </c>
      <c r="D10" t="s">
        <v>89</v>
      </c>
      <c r="E10">
        <v>1.933266434873441</v>
      </c>
    </row>
    <row r="11" spans="1:5" x14ac:dyDescent="0.35">
      <c r="A11" t="s">
        <v>88</v>
      </c>
      <c r="B11" t="s">
        <v>30</v>
      </c>
      <c r="C11">
        <v>150</v>
      </c>
      <c r="D11" t="s">
        <v>90</v>
      </c>
      <c r="E11">
        <v>1.8564556647011261</v>
      </c>
    </row>
    <row r="12" spans="1:5" x14ac:dyDescent="0.35">
      <c r="A12" t="s">
        <v>91</v>
      </c>
      <c r="B12" t="s">
        <v>30</v>
      </c>
      <c r="C12">
        <v>150</v>
      </c>
      <c r="D12" t="s">
        <v>89</v>
      </c>
      <c r="E12">
        <v>2.2625880091561319</v>
      </c>
    </row>
    <row r="13" spans="1:5" x14ac:dyDescent="0.35">
      <c r="A13" t="s">
        <v>91</v>
      </c>
      <c r="B13" t="s">
        <v>30</v>
      </c>
      <c r="C13">
        <v>150</v>
      </c>
      <c r="D13" t="s">
        <v>90</v>
      </c>
      <c r="E13">
        <v>2.8316720949931788</v>
      </c>
    </row>
    <row r="14" spans="1:5" x14ac:dyDescent="0.35">
      <c r="A14" t="s">
        <v>88</v>
      </c>
      <c r="B14" t="s">
        <v>31</v>
      </c>
      <c r="C14">
        <v>150</v>
      </c>
      <c r="D14" t="s">
        <v>89</v>
      </c>
      <c r="E14">
        <v>1.5660964353704669</v>
      </c>
    </row>
    <row r="15" spans="1:5" x14ac:dyDescent="0.35">
      <c r="A15" t="s">
        <v>88</v>
      </c>
      <c r="B15" t="s">
        <v>31</v>
      </c>
      <c r="C15">
        <v>150</v>
      </c>
      <c r="D15" t="s">
        <v>90</v>
      </c>
      <c r="E15">
        <v>1.6038265800599361</v>
      </c>
    </row>
    <row r="16" spans="1:5" x14ac:dyDescent="0.35">
      <c r="A16" t="s">
        <v>91</v>
      </c>
      <c r="B16" t="s">
        <v>31</v>
      </c>
      <c r="C16">
        <v>150</v>
      </c>
      <c r="D16" t="s">
        <v>89</v>
      </c>
      <c r="E16">
        <v>1.8328725683810609</v>
      </c>
    </row>
    <row r="17" spans="1:5" x14ac:dyDescent="0.35">
      <c r="A17" t="s">
        <v>91</v>
      </c>
      <c r="B17" t="s">
        <v>31</v>
      </c>
      <c r="C17">
        <v>150</v>
      </c>
      <c r="D17" t="s">
        <v>90</v>
      </c>
      <c r="E17">
        <v>2.446334193871099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MultiYear_ProForma</vt:lpstr>
      <vt:lpstr>Summary_Costs</vt:lpstr>
      <vt:lpstr>BreakEven_Calc</vt:lpstr>
      <vt:lpstr>BreakEven_Average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Hohl</cp:lastModifiedBy>
  <dcterms:created xsi:type="dcterms:W3CDTF">2025-10-21T02:54:33Z</dcterms:created>
  <dcterms:modified xsi:type="dcterms:W3CDTF">2025-10-21T17:45:09Z</dcterms:modified>
</cp:coreProperties>
</file>