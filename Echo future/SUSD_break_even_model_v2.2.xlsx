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485" yWindow="2205" windowWidth="15990" windowHeight="12030" tabRatio="600" firstSheet="2" activeTab="4" autoFilterDateGrouping="1"/>
  </bookViews>
  <sheets>
    <sheet xmlns:r="http://schemas.openxmlformats.org/officeDocument/2006/relationships" name="BaselineCalc" sheetId="1" state="visible" r:id="rId1"/>
    <sheet xmlns:r="http://schemas.openxmlformats.org/officeDocument/2006/relationships" name="YearMap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MultiYear_ProForma" sheetId="5" state="visible" r:id="rId5"/>
    <sheet xmlns:r="http://schemas.openxmlformats.org/officeDocument/2006/relationships" name="Summary_Co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1" sqref="A11"/>
    </sheetView>
  </sheetViews>
  <sheetFormatPr baseColWidth="8" defaultRowHeight="14.5"/>
  <cols>
    <col width="25.1796875" customWidth="1" min="1" max="1"/>
    <col width="9.7265625" bestFit="1" customWidth="1" min="2" max="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MO inflation</t>
        </is>
      </c>
      <c r="B2" s="4" t="n">
        <v>0.025</v>
      </c>
      <c r="C2" s="6" t="inlineStr">
        <is>
          <t>Annual inflation factor.</t>
        </is>
      </c>
    </row>
    <row r="3">
      <c r="A3" t="inlineStr">
        <is>
          <t>Base MO per ADM (FY25)</t>
        </is>
      </c>
      <c r="B3" s="4" t="n">
        <v>9936</v>
      </c>
      <c r="C3" s="6" t="inlineStr">
        <is>
          <t>Working base for FY25.</t>
        </is>
      </c>
    </row>
    <row r="4">
      <c r="A4" t="inlineStr">
        <is>
          <t>Fixed share of MO</t>
        </is>
      </c>
      <c r="B4" s="4" t="n">
        <v>0.3</v>
      </c>
      <c r="C4" s="6" t="inlineStr">
        <is>
          <t>Share treated as semi‑fixed (plant/insurance).</t>
        </is>
      </c>
    </row>
    <row r="5">
      <c r="A5" t="inlineStr">
        <is>
          <t>Ops savings (keep‑open)</t>
        </is>
      </c>
      <c r="B5" s="4" t="n">
        <v>0.007</v>
      </c>
      <c r="C5" s="6" t="inlineStr">
        <is>
          <t>Light discipline if sites remain open (not used here).</t>
        </is>
      </c>
    </row>
    <row r="6">
      <c r="A6" t="inlineStr">
        <is>
          <t>Extra savings (Co‑location)</t>
        </is>
      </c>
      <c r="B6" s="4" t="n">
        <v>0.015</v>
      </c>
      <c r="C6" s="6" t="inlineStr">
        <is>
          <t>Incremental savings for co‑location (not used here).</t>
        </is>
      </c>
    </row>
    <row r="7">
      <c r="A7" t="inlineStr">
        <is>
          <t>Echo base ADM</t>
        </is>
      </c>
      <c r="B7" s="4" t="n">
        <v>257</v>
      </c>
    </row>
    <row r="8">
      <c r="A8" t="inlineStr">
        <is>
          <t>Pima base ADM</t>
        </is>
      </c>
      <c r="B8" s="4" t="n">
        <v>296</v>
      </c>
    </row>
    <row r="9">
      <c r="A9" t="inlineStr">
        <is>
          <t>Total base ADM</t>
        </is>
      </c>
      <c r="B9">
        <f>B7+B8</f>
        <v/>
      </c>
      <c r="C9" t="inlineStr">
        <is>
          <t>Echo base ADM + Pima base ADM</t>
        </is>
      </c>
    </row>
    <row r="12">
      <c r="A12" s="1" t="inlineStr">
        <is>
          <t>Helper / Derivation</t>
        </is>
      </c>
      <c r="B12" s="1" t="inlineStr">
        <is>
          <t>FY26</t>
        </is>
      </c>
      <c r="C12" s="1" t="inlineStr">
        <is>
          <t>FY27</t>
        </is>
      </c>
      <c r="D12" s="1" t="inlineStr">
        <is>
          <t>FY28</t>
        </is>
      </c>
      <c r="E12" s="1" t="inlineStr">
        <is>
          <t>FY29</t>
        </is>
      </c>
      <c r="F12" s="1" t="inlineStr">
        <is>
          <t>FY30</t>
        </is>
      </c>
      <c r="G12" s="1" t="inlineStr">
        <is>
          <t>Notes</t>
        </is>
      </c>
    </row>
    <row r="13">
      <c r="A13" t="inlineStr">
        <is>
          <t>Base total MO (FY25)</t>
        </is>
      </c>
      <c r="B13" s="2">
        <f>B9*B3</f>
        <v/>
      </c>
      <c r="C13" s="2">
        <f>C14/$B$4</f>
        <v/>
      </c>
      <c r="D13" s="2">
        <f>D14/$B$4</f>
        <v/>
      </c>
      <c r="E13" s="2">
        <f>E14/$B$4</f>
        <v/>
      </c>
      <c r="F13" s="2">
        <f>F14/$B$4</f>
        <v/>
      </c>
      <c r="G13" t="inlineStr">
        <is>
          <t>Total ADM × Base MO/ADM</t>
        </is>
      </c>
      <c r="K13" t="inlineStr">
        <is>
          <t>B13 = B9*B3 (Base total MO, FY25)</t>
        </is>
      </c>
    </row>
    <row r="14">
      <c r="A14" t="inlineStr">
        <is>
          <t>Fixed MO (FY25)</t>
        </is>
      </c>
      <c r="B14" s="2">
        <f>B13*B4</f>
        <v/>
      </c>
      <c r="C14" s="2">
        <f>B17</f>
        <v/>
      </c>
      <c r="D14" s="2">
        <f>C17</f>
        <v/>
      </c>
      <c r="E14" s="2">
        <f>D17</f>
        <v/>
      </c>
      <c r="F14" s="2">
        <f>E17</f>
        <v/>
      </c>
      <c r="G14" t="inlineStr">
        <is>
          <t>Fixed = Base total × Fixed share</t>
        </is>
      </c>
      <c r="K14" t="inlineStr">
        <is>
          <t>B14 = B13*B4 (Fixed MO, FY25)</t>
        </is>
      </c>
    </row>
    <row r="15">
      <c r="A15" t="inlineStr">
        <is>
          <t>Var per student (FY25)</t>
        </is>
      </c>
      <c r="B15" s="2">
        <f>(B13-B14)/B9</f>
        <v/>
      </c>
      <c r="C15" s="2">
        <f>B18</f>
        <v/>
      </c>
      <c r="D15" s="2">
        <f>C18</f>
        <v/>
      </c>
      <c r="E15" s="2">
        <f>D18</f>
        <v/>
      </c>
      <c r="F15" s="2">
        <f>E18</f>
        <v/>
      </c>
      <c r="G15" t="inlineStr">
        <is>
          <t>Variable = (Base total − Fixed)/Total ADM</t>
        </is>
      </c>
      <c r="K15" t="inlineStr">
        <is>
          <t>B15 = (B13–B14)/B9 (Variable $/student, FY25)</t>
        </is>
      </c>
    </row>
    <row r="17">
      <c r="A17" t="inlineStr">
        <is>
          <t>Fixed total ($)</t>
        </is>
      </c>
      <c r="B17" s="2">
        <f>$B$14*(1+$B$2)^1</f>
        <v/>
      </c>
      <c r="C17" s="2">
        <f>$B$14*(1+$B$2)^2</f>
        <v/>
      </c>
      <c r="D17" s="2">
        <f>$B$14*(1+$B$2)^3</f>
        <v/>
      </c>
      <c r="E17" s="2">
        <f>$B$14*(1+$B$2)^4</f>
        <v/>
      </c>
      <c r="F17" s="2">
        <f>$B$14*(1+$B$2)^5</f>
        <v/>
      </c>
    </row>
    <row r="18">
      <c r="A18" t="inlineStr">
        <is>
          <t>Var unit ($/student)</t>
        </is>
      </c>
      <c r="B18" s="2">
        <f>$B$15*(1+$B$2)^1</f>
        <v/>
      </c>
      <c r="C18" s="2">
        <f>$B$15*(1+$B$2)^2</f>
        <v/>
      </c>
      <c r="D18" s="2">
        <f>$B$15*(1+$B$2)^3</f>
        <v/>
      </c>
      <c r="E18" s="2">
        <f>$B$15*(1+$B$2)^4</f>
        <v/>
      </c>
      <c r="F18" s="2">
        <f>$B$15*(1+$B$2)^5</f>
        <v/>
      </c>
    </row>
    <row r="19">
      <c r="A19" t="inlineStr">
        <is>
          <t>Echo fixed ($)</t>
        </is>
      </c>
      <c r="B19" s="2">
        <f>B17*($B$7/$B$9)</f>
        <v/>
      </c>
      <c r="C19" s="2">
        <f>C17*($B$7/$B$9)</f>
        <v/>
      </c>
      <c r="D19" s="2">
        <f>D17*($B$7/$B$9)</f>
        <v/>
      </c>
      <c r="E19" s="2">
        <f>E17*($B$7/$B$9)</f>
        <v/>
      </c>
      <c r="F19" s="2">
        <f>F17*($B$7/$B$9)</f>
        <v/>
      </c>
    </row>
    <row r="20">
      <c r="A20" t="inlineStr">
        <is>
          <t>Pima fixed ($)</t>
        </is>
      </c>
      <c r="B20" s="2">
        <f>B17*($B$8/$B$9)</f>
        <v/>
      </c>
      <c r="C20" s="2">
        <f>C17*($B$8/$B$9)</f>
        <v/>
      </c>
      <c r="D20" s="2">
        <f>D17*($B$8/$B$9)</f>
        <v/>
      </c>
      <c r="E20" s="2">
        <f>E17*($B$8/$B$9)</f>
        <v/>
      </c>
      <c r="F20" s="2">
        <f>F17*($B$8/$B$9)</f>
        <v/>
      </c>
    </row>
    <row r="22">
      <c r="A22" s="1" t="inlineStr">
        <is>
          <t>Notes</t>
        </is>
      </c>
    </row>
    <row r="23">
      <c r="A23" s="3" t="inlineStr">
        <is>
          <t>All formulas are same‑sheet and reference the Parameter cells above.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5"/>
  <cols>
    <col width="6.7265625" bestFit="1" customWidth="1" min="1" max="1"/>
    <col width="11.81640625" bestFit="1" customWidth="1" min="2" max="4"/>
    <col width="4.81640625" bestFit="1" customWidth="1" min="5" max="5"/>
    <col width="7.08984375" bestFit="1" customWidth="1" min="6" max="6"/>
    <col width="5.54296875" bestFit="1" customWidth="1" min="7" max="7"/>
  </cols>
  <sheetData>
    <row r="1">
      <c r="A1" s="1" t="inlineStr">
        <is>
          <t>Year</t>
        </is>
      </c>
      <c r="B1" s="1" t="inlineStr">
        <is>
          <t>VarUnit$</t>
        </is>
      </c>
      <c r="C1" s="1" t="inlineStr">
        <is>
          <t>EchoFixed$</t>
        </is>
      </c>
      <c r="D1" s="1" t="inlineStr">
        <is>
          <t>PimaFixed$</t>
        </is>
      </c>
      <c r="E1" s="1" t="inlineStr">
        <is>
          <t>h</t>
        </is>
      </c>
      <c r="F1" s="1" t="inlineStr">
        <is>
          <t>f_lease</t>
        </is>
      </c>
      <c r="G1" s="1" t="inlineStr">
        <is>
          <t>f_ops</t>
        </is>
      </c>
    </row>
    <row r="2">
      <c r="A2" t="inlineStr">
        <is>
          <t>FY2026</t>
        </is>
      </c>
      <c r="B2" s="2">
        <f>BaselineCalc!B18</f>
        <v/>
      </c>
      <c r="C2" s="2">
        <f>BaselineCalc!B19</f>
        <v/>
      </c>
      <c r="D2" s="2">
        <f>BaselineCalc!B20</f>
        <v/>
      </c>
      <c r="E2" s="4" t="n">
        <v>1000</v>
      </c>
      <c r="F2" s="4" t="n">
        <v>0.4</v>
      </c>
      <c r="G2" s="4" t="n">
        <v>0.4</v>
      </c>
    </row>
    <row r="3">
      <c r="A3" t="inlineStr">
        <is>
          <t>FY2027</t>
        </is>
      </c>
      <c r="B3" s="2">
        <f>BaselineCalc!C18</f>
        <v/>
      </c>
      <c r="C3" s="2">
        <f>BaselineCalc!C19</f>
        <v/>
      </c>
      <c r="D3" s="2">
        <f>BaselineCalc!C20</f>
        <v/>
      </c>
      <c r="E3" s="4" t="n">
        <v>800</v>
      </c>
      <c r="F3" s="4" t="n">
        <v>0.3</v>
      </c>
      <c r="G3" s="4" t="n">
        <v>0.35</v>
      </c>
    </row>
    <row r="4">
      <c r="A4" t="inlineStr">
        <is>
          <t>FY2028</t>
        </is>
      </c>
      <c r="B4" s="2">
        <f>BaselineCalc!D18</f>
        <v/>
      </c>
      <c r="C4" s="2">
        <f>BaselineCalc!D19</f>
        <v/>
      </c>
      <c r="D4" s="2">
        <f>BaselineCalc!D20</f>
        <v/>
      </c>
      <c r="E4" s="4" t="n">
        <v>600</v>
      </c>
      <c r="F4" s="4" t="n">
        <v>0.2</v>
      </c>
      <c r="G4" s="4" t="n">
        <v>0.3</v>
      </c>
    </row>
    <row r="5">
      <c r="A5" t="inlineStr">
        <is>
          <t>FY2029</t>
        </is>
      </c>
      <c r="B5" s="2">
        <f>BaselineCalc!E18</f>
        <v/>
      </c>
      <c r="C5" s="2">
        <f>BaselineCalc!E19</f>
        <v/>
      </c>
      <c r="D5" s="2">
        <f>BaselineCalc!E20</f>
        <v/>
      </c>
      <c r="E5" s="4" t="n">
        <v>400</v>
      </c>
      <c r="F5" s="4" t="n">
        <v>0.1</v>
      </c>
      <c r="G5" s="4" t="n">
        <v>0.25</v>
      </c>
    </row>
    <row r="6">
      <c r="A6" t="inlineStr">
        <is>
          <t>FY2030</t>
        </is>
      </c>
      <c r="B6" s="2">
        <f>BaselineCalc!F18</f>
        <v/>
      </c>
      <c r="C6" s="2">
        <f>BaselineCalc!F19</f>
        <v/>
      </c>
      <c r="D6" s="2">
        <f>BaselineCalc!F20</f>
        <v/>
      </c>
      <c r="E6" s="4" t="n">
        <v>300</v>
      </c>
      <c r="F6" s="4" t="n">
        <v>0</v>
      </c>
      <c r="G6" s="4" t="n">
        <v>0.2</v>
      </c>
    </row>
  </sheetData>
  <pageMargins left="0.75" right="0.75" top="1" bottom="1" header="0.5" footer="0.5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85" zoomScaleNormal="85" workbookViewId="0">
      <selection activeCell="C2" sqref="C2"/>
    </sheetView>
  </sheetViews>
  <sheetFormatPr baseColWidth="8" defaultRowHeight="14.5"/>
  <cols>
    <col width="21" bestFit="1" customWidth="1" min="1" max="1"/>
    <col width="23.26953125" bestFit="1" customWidth="1" min="2" max="2"/>
    <col width="10" bestFit="1" customWidth="1" min="3" max="3"/>
    <col width="10.1796875" bestFit="1" customWidth="1" min="4" max="5"/>
    <col width="13.08984375" bestFit="1" customWidth="1" min="6" max="6"/>
    <col width="11.81640625" bestFit="1" customWidth="1" min="7" max="7"/>
    <col width="36.54296875" bestFit="1" customWidth="1" min="8" max="8"/>
  </cols>
  <sheetData>
    <row r="1">
      <c r="A1" s="1" t="inlineStr">
        <is>
          <t>ScenarioKey</t>
        </is>
      </c>
      <c r="B1" s="1" t="inlineStr">
        <is>
          <t>Label</t>
        </is>
      </c>
      <c r="C1" s="1" t="inlineStr">
        <is>
          <t>Overlay</t>
        </is>
      </c>
      <c r="D1" s="1" t="inlineStr">
        <is>
          <t>CloseEcho</t>
        </is>
      </c>
      <c r="E1" s="1" t="inlineStr">
        <is>
          <t>ClosePima</t>
        </is>
      </c>
      <c r="F1" s="1" t="inlineStr">
        <is>
          <t>EchoShareDist</t>
        </is>
      </c>
      <c r="G1" s="1" t="inlineStr">
        <is>
          <t>ExtraSave</t>
        </is>
      </c>
      <c r="H1" s="1" t="inlineStr">
        <is>
          <t>Notes</t>
        </is>
      </c>
    </row>
    <row r="2">
      <c r="A2" t="inlineStr">
        <is>
          <t>D_Grow_Both_0</t>
        </is>
      </c>
      <c r="B2" t="inlineStr">
        <is>
          <t>D. Grow Both (Overlay 0)</t>
        </is>
      </c>
      <c r="C2" s="4" t="n">
        <v>0</v>
      </c>
      <c r="D2" s="4" t="n">
        <v>0</v>
      </c>
      <c r="E2" s="4" t="n">
        <v>0</v>
      </c>
      <c r="F2" s="4" t="n">
        <v>0.5</v>
      </c>
      <c r="G2" s="4" t="n">
        <v>0</v>
      </c>
      <c r="H2" t="inlineStr">
        <is>
          <t>Baseline + outreach; no closures</t>
        </is>
      </c>
    </row>
    <row r="3">
      <c r="A3" t="inlineStr">
        <is>
          <t>E_StatusQuo_Targets_0</t>
        </is>
      </c>
      <c r="B3" t="inlineStr">
        <is>
          <t>E. Status‑Quo + Targets (0)</t>
        </is>
      </c>
      <c r="C3" s="4" t="n">
        <v>0</v>
      </c>
      <c r="D3" s="4" t="n">
        <v>0</v>
      </c>
      <c r="E3" s="4" t="n">
        <v>0</v>
      </c>
      <c r="F3" s="4" t="n">
        <v>0.5</v>
      </c>
      <c r="G3" s="4" t="n">
        <v>0</v>
      </c>
      <c r="H3" t="inlineStr">
        <is>
          <t>Baseline + targets; no closures</t>
        </is>
      </c>
    </row>
    <row r="4">
      <c r="A4" t="inlineStr">
        <is>
          <t>F_CoLocation_Echo_0</t>
        </is>
      </c>
      <c r="B4" t="inlineStr">
        <is>
          <t>F. Co‑Location @ Echo (0)</t>
        </is>
      </c>
      <c r="C4" s="4" t="n">
        <v>0</v>
      </c>
      <c r="D4" s="4" t="n">
        <v>0</v>
      </c>
      <c r="E4" s="4" t="n">
        <v>0</v>
      </c>
      <c r="F4" s="4" t="n">
        <v>0.7</v>
      </c>
      <c r="G4" s="4" t="n">
        <v>0.015</v>
      </c>
      <c r="H4" t="inlineStr">
        <is>
          <t>Shared‑use efficiencies later (no closure)</t>
        </is>
      </c>
    </row>
    <row r="5"/>
    <row r="6">
      <c r="A6" s="1" t="inlineStr">
        <is>
          <t>ScenarioKey</t>
        </is>
      </c>
      <c r="B6" s="1" t="inlineStr">
        <is>
          <t>Year</t>
        </is>
      </c>
      <c r="C6" s="1" t="inlineStr">
        <is>
          <t>Echo_ADM</t>
        </is>
      </c>
      <c r="D6" s="1" t="inlineStr">
        <is>
          <t>Pima_ADM</t>
        </is>
      </c>
      <c r="E6" s="1" t="inlineStr">
        <is>
          <t>Total_ADM</t>
        </is>
      </c>
      <c r="F6" s="1" t="inlineStr">
        <is>
          <t>VarUnit$</t>
        </is>
      </c>
      <c r="G6" s="1" t="inlineStr">
        <is>
          <t>EchoFixed$</t>
        </is>
      </c>
      <c r="H6" s="1" t="inlineStr">
        <is>
          <t>PimaFixed$</t>
        </is>
      </c>
      <c r="I6" s="1" t="inlineStr">
        <is>
          <t>Key</t>
        </is>
      </c>
    </row>
    <row r="7">
      <c r="A7">
        <f>A2</f>
        <v/>
      </c>
      <c r="B7" t="inlineStr">
        <is>
          <t>FY2026</t>
        </is>
      </c>
      <c r="C7">
        <f>IF(D2=1,0, BaselineCalc!$B$7 + ROUND(C2*F2,0))</f>
        <v/>
      </c>
      <c r="D7">
        <f>IF(E2=1,0, BaselineCalc!$B$8 + C2 - ROUND(C2*F2,0))</f>
        <v/>
      </c>
      <c r="E7">
        <f>C7+D7</f>
        <v/>
      </c>
      <c r="F7" s="2">
        <f>VLOOKUP(B7,YearMap!$A$2:$B$6,2,FALSE)</f>
        <v/>
      </c>
      <c r="G7" s="2">
        <f>VLOOKUP(B7,YearMap!$A$2:$C$6,3,FALSE)</f>
        <v/>
      </c>
      <c r="H7" s="2">
        <f>VLOOKUP(B7,YearMap!$A$2:$D$6,4,FALSE)</f>
        <v/>
      </c>
      <c r="I7">
        <f>A7&amp;"|"&amp;B7</f>
        <v/>
      </c>
    </row>
    <row r="8">
      <c r="A8">
        <f>A2</f>
        <v/>
      </c>
      <c r="B8" t="inlineStr">
        <is>
          <t>FY2027</t>
        </is>
      </c>
      <c r="C8">
        <f>IF(D2=1,0, BaselineCalc!$B$7 + ROUND(C2*F2,0))</f>
        <v/>
      </c>
      <c r="D8">
        <f>IF(E2=1,0, BaselineCalc!$B$8 + C2 - ROUND(C2*F2,0))</f>
        <v/>
      </c>
      <c r="E8">
        <f>C8+D8</f>
        <v/>
      </c>
      <c r="F8" s="2">
        <f>VLOOKUP(B8,YearMap!$A$2:$B$6,2,FALSE)</f>
        <v/>
      </c>
      <c r="G8" s="2">
        <f>VLOOKUP(B8,YearMap!$A$2:$C$6,3,FALSE)</f>
        <v/>
      </c>
      <c r="H8" s="2">
        <f>VLOOKUP(B8,YearMap!$A$2:$D$6,4,FALSE)</f>
        <v/>
      </c>
      <c r="I8">
        <f>A8&amp;"|"&amp;B8</f>
        <v/>
      </c>
    </row>
    <row r="9">
      <c r="A9">
        <f>A2</f>
        <v/>
      </c>
      <c r="B9" t="inlineStr">
        <is>
          <t>FY2028</t>
        </is>
      </c>
      <c r="C9">
        <f>IF(D2=1,0, BaselineCalc!$B$7 + ROUND(C2*F2,0))</f>
        <v/>
      </c>
      <c r="D9">
        <f>IF(E2=1,0, BaselineCalc!$B$8 + C2 - ROUND(C2*F2,0))</f>
        <v/>
      </c>
      <c r="E9">
        <f>C9+D9</f>
        <v/>
      </c>
      <c r="F9" s="2">
        <f>VLOOKUP(B9,YearMap!$A$2:$B$6,2,FALSE)</f>
        <v/>
      </c>
      <c r="G9" s="2">
        <f>VLOOKUP(B9,YearMap!$A$2:$C$6,3,FALSE)</f>
        <v/>
      </c>
      <c r="H9" s="2">
        <f>VLOOKUP(B9,YearMap!$A$2:$D$6,4,FALSE)</f>
        <v/>
      </c>
      <c r="I9">
        <f>A9&amp;"|"&amp;B9</f>
        <v/>
      </c>
    </row>
    <row r="10">
      <c r="A10">
        <f>A2</f>
        <v/>
      </c>
      <c r="B10" t="inlineStr">
        <is>
          <t>FY2029</t>
        </is>
      </c>
      <c r="C10">
        <f>IF(D2=1,0, BaselineCalc!$B$7 + ROUND(C2*F2,0))</f>
        <v/>
      </c>
      <c r="D10">
        <f>IF(E2=1,0, BaselineCalc!$B$8 + C2 - ROUND(C2*F2,0))</f>
        <v/>
      </c>
      <c r="E10">
        <f>C10+D10</f>
        <v/>
      </c>
      <c r="F10" s="2">
        <f>VLOOKUP(B10,YearMap!$A$2:$B$6,2,FALSE)</f>
        <v/>
      </c>
      <c r="G10" s="2">
        <f>VLOOKUP(B10,YearMap!$A$2:$C$6,3,FALSE)</f>
        <v/>
      </c>
      <c r="H10" s="2">
        <f>VLOOKUP(B10,YearMap!$A$2:$D$6,4,FALSE)</f>
        <v/>
      </c>
      <c r="I10">
        <f>A10&amp;"|"&amp;B10</f>
        <v/>
      </c>
    </row>
    <row r="11">
      <c r="A11">
        <f>A2</f>
        <v/>
      </c>
      <c r="B11" t="inlineStr">
        <is>
          <t>FY2030</t>
        </is>
      </c>
      <c r="C11">
        <f>IF(D2=1,0, BaselineCalc!$B$7 + ROUND(C2*F2,0))</f>
        <v/>
      </c>
      <c r="D11">
        <f>IF(E2=1,0, BaselineCalc!$B$8 + C2 - ROUND(C2*F2,0))</f>
        <v/>
      </c>
      <c r="E11">
        <f>C11+D11</f>
        <v/>
      </c>
      <c r="F11" s="2">
        <f>VLOOKUP(B11,YearMap!$A$2:$B$6,2,FALSE)</f>
        <v/>
      </c>
      <c r="G11" s="2">
        <f>VLOOKUP(B11,YearMap!$A$2:$C$6,3,FALSE)</f>
        <v/>
      </c>
      <c r="H11" s="2">
        <f>VLOOKUP(B11,YearMap!$A$2:$D$6,4,FALSE)</f>
        <v/>
      </c>
      <c r="I11">
        <f>A11&amp;"|"&amp;B11</f>
        <v/>
      </c>
    </row>
    <row r="12">
      <c r="A12">
        <f>A3</f>
        <v/>
      </c>
      <c r="B12" t="inlineStr">
        <is>
          <t>FY2026</t>
        </is>
      </c>
      <c r="C12">
        <f>IF(D3=1,0, BaselineCalc!$B$7 + ROUND(C3*F3,0))</f>
        <v/>
      </c>
      <c r="D12">
        <f>IF(E3=1,0, BaselineCalc!$B$8 + C3 - ROUND(C3*F3,0))</f>
        <v/>
      </c>
      <c r="E12">
        <f>C12+D12</f>
        <v/>
      </c>
      <c r="F12" s="2">
        <f>VLOOKUP(B12,YearMap!$A$2:$B$6,2,FALSE)</f>
        <v/>
      </c>
      <c r="G12" s="2">
        <f>VLOOKUP(B12,YearMap!$A$2:$C$6,3,FALSE)</f>
        <v/>
      </c>
      <c r="H12" s="2">
        <f>VLOOKUP(B12,YearMap!$A$2:$D$6,4,FALSE)</f>
        <v/>
      </c>
      <c r="I12">
        <f>A12&amp;"|"&amp;B12</f>
        <v/>
      </c>
    </row>
    <row r="13">
      <c r="A13">
        <f>A3</f>
        <v/>
      </c>
      <c r="B13" t="inlineStr">
        <is>
          <t>FY2027</t>
        </is>
      </c>
      <c r="C13">
        <f>IF(D3=1,0, BaselineCalc!$B$7 + ROUND(C3*F3,0))</f>
        <v/>
      </c>
      <c r="D13">
        <f>IF(E3=1,0, BaselineCalc!$B$8 + C3 - ROUND(C3*F3,0))</f>
        <v/>
      </c>
      <c r="E13">
        <f>C13+D13</f>
        <v/>
      </c>
      <c r="F13" s="2">
        <f>VLOOKUP(B13,YearMap!$A$2:$B$6,2,FALSE)</f>
        <v/>
      </c>
      <c r="G13" s="2">
        <f>VLOOKUP(B13,YearMap!$A$2:$C$6,3,FALSE)</f>
        <v/>
      </c>
      <c r="H13" s="2">
        <f>VLOOKUP(B13,YearMap!$A$2:$D$6,4,FALSE)</f>
        <v/>
      </c>
      <c r="I13">
        <f>A13&amp;"|"&amp;B13</f>
        <v/>
      </c>
    </row>
    <row r="14">
      <c r="A14">
        <f>A3</f>
        <v/>
      </c>
      <c r="B14" t="inlineStr">
        <is>
          <t>FY2028</t>
        </is>
      </c>
      <c r="C14">
        <f>IF(D3=1,0, BaselineCalc!$B$7 + ROUND(C3*F3,0))</f>
        <v/>
      </c>
      <c r="D14">
        <f>IF(E3=1,0, BaselineCalc!$B$8 + C3 - ROUND(C3*F3,0))</f>
        <v/>
      </c>
      <c r="E14">
        <f>C14+D14</f>
        <v/>
      </c>
      <c r="F14" s="2">
        <f>VLOOKUP(B14,YearMap!$A$2:$B$6,2,FALSE)</f>
        <v/>
      </c>
      <c r="G14" s="2">
        <f>VLOOKUP(B14,YearMap!$A$2:$C$6,3,FALSE)</f>
        <v/>
      </c>
      <c r="H14" s="2">
        <f>VLOOKUP(B14,YearMap!$A$2:$D$6,4,FALSE)</f>
        <v/>
      </c>
      <c r="I14">
        <f>A14&amp;"|"&amp;B14</f>
        <v/>
      </c>
    </row>
    <row r="15">
      <c r="A15">
        <f>A3</f>
        <v/>
      </c>
      <c r="B15" t="inlineStr">
        <is>
          <t>FY2029</t>
        </is>
      </c>
      <c r="C15">
        <f>IF(D3=1,0, BaselineCalc!$B$7 + ROUND(C3*F3,0))</f>
        <v/>
      </c>
      <c r="D15">
        <f>IF(E3=1,0, BaselineCalc!$B$8 + C3 - ROUND(C3*F3,0))</f>
        <v/>
      </c>
      <c r="E15">
        <f>C15+D15</f>
        <v/>
      </c>
      <c r="F15" s="2">
        <f>VLOOKUP(B15,YearMap!$A$2:$B$6,2,FALSE)</f>
        <v/>
      </c>
      <c r="G15" s="2">
        <f>VLOOKUP(B15,YearMap!$A$2:$C$6,3,FALSE)</f>
        <v/>
      </c>
      <c r="H15" s="2">
        <f>VLOOKUP(B15,YearMap!$A$2:$D$6,4,FALSE)</f>
        <v/>
      </c>
      <c r="I15">
        <f>A15&amp;"|"&amp;B15</f>
        <v/>
      </c>
    </row>
    <row r="16">
      <c r="A16">
        <f>A3</f>
        <v/>
      </c>
      <c r="B16" t="inlineStr">
        <is>
          <t>FY2030</t>
        </is>
      </c>
      <c r="C16">
        <f>IF(D3=1,0, BaselineCalc!$B$7 + ROUND(C3*F3,0))</f>
        <v/>
      </c>
      <c r="D16">
        <f>IF(E3=1,0, BaselineCalc!$B$8 + C3 - ROUND(C3*F3,0))</f>
        <v/>
      </c>
      <c r="E16">
        <f>C16+D16</f>
        <v/>
      </c>
      <c r="F16" s="2">
        <f>VLOOKUP(B16,YearMap!$A$2:$B$6,2,FALSE)</f>
        <v/>
      </c>
      <c r="G16" s="2">
        <f>VLOOKUP(B16,YearMap!$A$2:$C$6,3,FALSE)</f>
        <v/>
      </c>
      <c r="H16" s="2">
        <f>VLOOKUP(B16,YearMap!$A$2:$D$6,4,FALSE)</f>
        <v/>
      </c>
      <c r="I16">
        <f>A16&amp;"|"&amp;B16</f>
        <v/>
      </c>
    </row>
    <row r="17">
      <c r="A17">
        <f>A4</f>
        <v/>
      </c>
      <c r="B17" t="inlineStr">
        <is>
          <t>FY2026</t>
        </is>
      </c>
      <c r="C17">
        <f>IF(D4=1,0, BaselineCalc!$B$7 + ROUND(C4*F4,0))</f>
        <v/>
      </c>
      <c r="D17">
        <f>IF(E4=1,0, BaselineCalc!$B$8 + C4 - ROUND(C4*F4,0))</f>
        <v/>
      </c>
      <c r="E17">
        <f>C17+D17</f>
        <v/>
      </c>
      <c r="F17" s="2">
        <f>VLOOKUP(B17,YearMap!$A$2:$B$6,2,FALSE)</f>
        <v/>
      </c>
      <c r="G17" s="2">
        <f>VLOOKUP(B17,YearMap!$A$2:$C$6,3,FALSE)</f>
        <v/>
      </c>
      <c r="H17" s="2">
        <f>VLOOKUP(B17,YearMap!$A$2:$D$6,4,FALSE)</f>
        <v/>
      </c>
      <c r="I17">
        <f>A17&amp;"|"&amp;B17</f>
        <v/>
      </c>
    </row>
    <row r="18">
      <c r="A18">
        <f>A4</f>
        <v/>
      </c>
      <c r="B18" t="inlineStr">
        <is>
          <t>FY2027</t>
        </is>
      </c>
      <c r="C18">
        <f>IF(D4=1,0, BaselineCalc!$B$7 + ROUND(C4*F4,0))</f>
        <v/>
      </c>
      <c r="D18">
        <f>IF(E4=1,0, BaselineCalc!$B$8 + C4 - ROUND(C4*F4,0))</f>
        <v/>
      </c>
      <c r="E18">
        <f>C18+D18</f>
        <v/>
      </c>
      <c r="F18" s="2">
        <f>VLOOKUP(B18,YearMap!$A$2:$B$6,2,FALSE)</f>
        <v/>
      </c>
      <c r="G18" s="2">
        <f>VLOOKUP(B18,YearMap!$A$2:$C$6,3,FALSE)</f>
        <v/>
      </c>
      <c r="H18" s="2">
        <f>VLOOKUP(B18,YearMap!$A$2:$D$6,4,FALSE)</f>
        <v/>
      </c>
      <c r="I18">
        <f>A18&amp;"|"&amp;B18</f>
        <v/>
      </c>
    </row>
    <row r="19">
      <c r="A19">
        <f>A4</f>
        <v/>
      </c>
      <c r="B19" t="inlineStr">
        <is>
          <t>FY2028</t>
        </is>
      </c>
      <c r="C19">
        <f>IF(D4=1,0, BaselineCalc!$B$7 + ROUND(C4*F4,0))</f>
        <v/>
      </c>
      <c r="D19">
        <f>IF(E4=1,0, BaselineCalc!$B$8 + C4 - ROUND(C4*F4,0))</f>
        <v/>
      </c>
      <c r="E19">
        <f>C19+D19</f>
        <v/>
      </c>
      <c r="F19" s="2">
        <f>VLOOKUP(B19,YearMap!$A$2:$B$6,2,FALSE)</f>
        <v/>
      </c>
      <c r="G19" s="2">
        <f>VLOOKUP(B19,YearMap!$A$2:$C$6,3,FALSE)</f>
        <v/>
      </c>
      <c r="H19" s="2">
        <f>VLOOKUP(B19,YearMap!$A$2:$D$6,4,FALSE)</f>
        <v/>
      </c>
      <c r="I19">
        <f>A19&amp;"|"&amp;B19</f>
        <v/>
      </c>
    </row>
    <row r="20">
      <c r="A20">
        <f>A4</f>
        <v/>
      </c>
      <c r="B20" t="inlineStr">
        <is>
          <t>FY2029</t>
        </is>
      </c>
      <c r="C20">
        <f>IF(D4=1,0, BaselineCalc!$B$7 + ROUND(C4*F4,0))</f>
        <v/>
      </c>
      <c r="D20">
        <f>IF(E4=1,0, BaselineCalc!$B$8 + C4 - ROUND(C4*F4,0))</f>
        <v/>
      </c>
      <c r="E20">
        <f>C20+D20</f>
        <v/>
      </c>
      <c r="F20" s="2">
        <f>VLOOKUP(B20,YearMap!$A$2:$B$6,2,FALSE)</f>
        <v/>
      </c>
      <c r="G20" s="2">
        <f>VLOOKUP(B20,YearMap!$A$2:$C$6,3,FALSE)</f>
        <v/>
      </c>
      <c r="H20" s="2">
        <f>VLOOKUP(B20,YearMap!$A$2:$D$6,4,FALSE)</f>
        <v/>
      </c>
      <c r="I20">
        <f>A20&amp;"|"&amp;B20</f>
        <v/>
      </c>
    </row>
    <row r="21">
      <c r="A21">
        <f>A4</f>
        <v/>
      </c>
      <c r="B21" t="inlineStr">
        <is>
          <t>FY2030</t>
        </is>
      </c>
      <c r="C21">
        <f>IF(D4=1,0, BaselineCalc!$B$7 + ROUND(C4*F4,0))</f>
        <v/>
      </c>
      <c r="D21">
        <f>IF(E4=1,0, BaselineCalc!$B$8 + C4 - ROUND(C4*F4,0))</f>
        <v/>
      </c>
      <c r="E21">
        <f>C21+D21</f>
        <v/>
      </c>
      <c r="F21" s="2">
        <f>VLOOKUP(B21,YearMap!$A$2:$B$6,2,FALSE)</f>
        <v/>
      </c>
      <c r="G21" s="2">
        <f>VLOOKUP(B21,YearMap!$A$2:$C$6,3,FALSE)</f>
        <v/>
      </c>
      <c r="H21" s="2">
        <f>VLOOKUP(B21,YearMap!$A$2:$D$6,4,FALSE)</f>
        <v/>
      </c>
      <c r="I21">
        <f>A21&amp;"|"&amp;B21</f>
        <v/>
      </c>
    </row>
    <row r="22">
      <c r="A22" t="inlineStr">
        <is>
          <t>D_Grow_Both_100</t>
        </is>
      </c>
      <c r="B22" t="inlineStr">
        <is>
          <t>D. Grow Both (Overlay 100)</t>
        </is>
      </c>
      <c r="C22" t="n">
        <v>100</v>
      </c>
      <c r="D22" t="n">
        <v>0</v>
      </c>
      <c r="E22" t="n">
        <v>0</v>
      </c>
      <c r="F22" t="n">
        <v>0.5</v>
      </c>
      <c r="G22" t="n">
        <v>0</v>
      </c>
      <c r="H22" t="inlineStr">
        <is>
          <t>Baseline +100 overlay</t>
        </is>
      </c>
    </row>
    <row r="23">
      <c r="A23" t="inlineStr">
        <is>
          <t>D_Grow_Both_150</t>
        </is>
      </c>
      <c r="B23" t="inlineStr">
        <is>
          <t>D. Grow Both (Overlay 150)</t>
        </is>
      </c>
      <c r="C23" t="n">
        <v>150</v>
      </c>
      <c r="D23" t="n">
        <v>0</v>
      </c>
      <c r="E23" t="n">
        <v>0</v>
      </c>
      <c r="F23" t="n">
        <v>0.5</v>
      </c>
      <c r="G23" t="n">
        <v>0</v>
      </c>
      <c r="H23" t="inlineStr">
        <is>
          <t>Baseline +150 overlay</t>
        </is>
      </c>
    </row>
    <row r="24">
      <c r="A24" t="inlineStr">
        <is>
          <t>G_DHub_EchoRamp</t>
        </is>
      </c>
      <c r="B24" t="inlineStr">
        <is>
          <t>G. D‑Hub @ Echo (Ramp 50→100→150)</t>
        </is>
      </c>
      <c r="C24" t="n">
        <v>150</v>
      </c>
      <c r="D24" t="n">
        <v>0</v>
      </c>
      <c r="E24" t="n">
        <v>0</v>
      </c>
      <c r="F24" t="n">
        <v>0.7</v>
      </c>
      <c r="G24" t="n">
        <v>0</v>
      </c>
      <c r="H24" t="inlineStr">
        <is>
          <t>Time‑phased ramp: +50, +100, +150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7" sqref="A17"/>
    </sheetView>
  </sheetViews>
  <sheetFormatPr baseColWidth="8" defaultRowHeight="14.5"/>
  <sheetData>
    <row r="1">
      <c r="A1" s="5" t="inlineStr">
        <is>
          <t>FAQs</t>
        </is>
      </c>
    </row>
    <row r="2">
      <c r="B2" s="5" t="inlineStr">
        <is>
          <t>Why “Fixed share of M&amp;O = 0.30”?</t>
        </is>
      </c>
    </row>
    <row r="3">
      <c r="B3" t="inlineStr">
        <is>
      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      </is>
      </c>
    </row>
    <row r="5">
      <c r="B5" s="5" t="inlineStr">
        <is>
          <t>Why “Ops savings (keep‑open) = 0.007 (0.7%)”?</t>
        </is>
      </c>
    </row>
    <row r="6">
      <c r="B6" t="inlineStr">
        <is>
      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      </is>
      </c>
    </row>
    <row r="8">
      <c r="B8" s="5" t="inlineStr">
        <is>
          <t>Why “Extra savings (co‑location) = 0.015 (1.5%)”?</t>
        </is>
      </c>
    </row>
    <row r="9">
      <c r="B9" t="inlineStr">
        <is>
          <t>This reflects incremental savings from consolidating some services on one campus (custodial/grounds/partial routing). Again kept small and conservative; we’ll swap in real custodial (sq‑ft), grounds and route deltas when we get them.</t>
        </is>
      </c>
    </row>
    <row r="11">
      <c r="B11" s="5" t="inlineStr">
        <is>
          <t>Why “Repurpose TI per closed site (FY26) = $1.2M”? What is “one‑time carry/TI”?</t>
        </is>
      </c>
    </row>
    <row r="12">
      <c r="B12" t="inlineStr">
        <is>
      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      </is>
      </c>
    </row>
    <row r="17">
      <c r="A17" s="5" t="inlineStr">
        <is>
          <t>Definitions</t>
        </is>
      </c>
    </row>
    <row r="18">
      <c r="B18" t="inlineStr">
        <is>
          <t>MO inflation</t>
        </is>
      </c>
    </row>
    <row r="19">
      <c r="B19" t="inlineStr">
        <is>
          <t>Base MO per ADM (FY25)</t>
        </is>
      </c>
    </row>
    <row r="20">
      <c r="B20" t="inlineStr">
        <is>
          <t>Fixed share of MO</t>
        </is>
      </c>
    </row>
    <row r="21">
      <c r="B21" t="inlineStr">
        <is>
          <t>Ops savings (keep‑open)</t>
        </is>
      </c>
    </row>
    <row r="22">
      <c r="B22" t="inlineStr">
        <is>
          <t>Extra savings (Co‑location)</t>
        </is>
      </c>
    </row>
    <row r="23">
      <c r="B23" t="inlineStr">
        <is>
          <t>Echo base ADM</t>
        </is>
      </c>
    </row>
    <row r="24">
      <c r="B24" t="inlineStr">
        <is>
          <t>Pima base ADM</t>
        </is>
      </c>
    </row>
    <row r="25">
      <c r="B25" t="inlineStr">
        <is>
          <t>Total base ADM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ScenarioKey</t>
        </is>
      </c>
      <c r="B1" t="inlineStr">
        <is>
          <t>Year</t>
        </is>
      </c>
      <c r="C1" t="inlineStr">
        <is>
          <t>Echo_ADM</t>
        </is>
      </c>
      <c r="D1" t="inlineStr">
        <is>
          <t>Pima_ADM</t>
        </is>
      </c>
      <c r="E1" t="inlineStr">
        <is>
          <t>Total_ADM</t>
        </is>
      </c>
      <c r="F1" t="inlineStr">
        <is>
          <t>VarUnit$</t>
        </is>
      </c>
      <c r="G1" t="inlineStr">
        <is>
          <t>EchoFixed$</t>
        </is>
      </c>
      <c r="H1" t="inlineStr">
        <is>
          <t>PimaFixed$</t>
        </is>
      </c>
      <c r="I1" t="inlineStr">
        <is>
          <t>OpsFactor</t>
        </is>
      </c>
      <c r="J1" t="inlineStr">
        <is>
          <t>ExtraSave</t>
        </is>
      </c>
      <c r="K1" t="inlineStr">
        <is>
          <t>Total_MO$</t>
        </is>
      </c>
      <c r="L1" t="inlineStr">
        <is>
          <t>MO_per_ADM$</t>
        </is>
      </c>
      <c r="M1" t="inlineStr">
        <is>
          <t>Key</t>
        </is>
      </c>
    </row>
    <row r="2">
      <c r="A2">
        <f>Scenarios!A2</f>
        <v/>
      </c>
      <c r="B2" t="inlineStr">
        <is>
          <t>FY2026</t>
        </is>
      </c>
      <c r="C2">
        <f>IF(Scenarios!D2=1,0, BaselineCalc!$B$7 + ROUND((=IF(ISNUMBER(SEARCH("Ramp",A2)), CHOOSE(MATCH(B2,{"FY2026","FY2027","FY2028","FY2029","FY2030"},0),50,100,150,150,150), Scenarios!C2))*Scenarios!F2,0))</f>
        <v/>
      </c>
      <c r="D2">
        <f>IF(Scenarios!E2=1,0, BaselineCalc!$B$8 + (=IF(ISNUMBER(SEARCH("Ramp",A2)), CHOOSE(MATCH(B2,{"FY2026","FY2027","FY2028","FY2029","FY2030"},0),50,100,150,150,150), Scenarios!C2)) - ROUND((=IF(ISNUMBER(SEARCH("Ramp",A2)), CHOOSE(MATCH(B2,{"FY2026","FY2027","FY2028","FY2029","FY2030"},0),50,100,150,150,150), Scenarios!C2))*Scenarios!F2,0))</f>
        <v/>
      </c>
      <c r="E2">
        <f>C2+D2</f>
        <v/>
      </c>
      <c r="F2">
        <f>VLOOKUP(B2,YearMap!$A$2:$B$6,2,FALSE)</f>
        <v/>
      </c>
      <c r="G2">
        <f>VLOOKUP(B2,YearMap!$A$2:$C$6,3,FALSE)</f>
        <v/>
      </c>
      <c r="H2">
        <f>VLOOKUP(B2,YearMap!$A$2:$D$6,4,FALSE)</f>
        <v/>
      </c>
      <c r="I2">
        <f>1-BaselineCalc!$B$5</f>
        <v/>
      </c>
      <c r="J2">
        <f>Scenarios!G2</f>
        <v/>
      </c>
      <c r="K2">
        <f>(G2+H2+F2*E2)*I2*(1-J2)</f>
        <v/>
      </c>
      <c r="L2">
        <f>IF(E2&gt;0, K2/E2, NA())</f>
        <v/>
      </c>
      <c r="M2">
        <f>A2&amp;"|"&amp;B2</f>
        <v/>
      </c>
    </row>
    <row r="3">
      <c r="A3">
        <f>Scenarios!A2</f>
        <v/>
      </c>
      <c r="B3" t="inlineStr">
        <is>
          <t>FY2027</t>
        </is>
      </c>
      <c r="C3">
        <f>IF(Scenarios!D2=1,0, BaselineCalc!$B$7 + ROUND((=IF(ISNUMBER(SEARCH("Ramp",A3)), CHOOSE(MATCH(B3,{"FY2026","FY2027","FY2028","FY2029","FY2030"},0),50,100,150,150,150), Scenarios!C2))*Scenarios!F2,0))</f>
        <v/>
      </c>
      <c r="D3">
        <f>IF(Scenarios!E2=1,0, BaselineCalc!$B$8 + (=IF(ISNUMBER(SEARCH("Ramp",A3)), CHOOSE(MATCH(B3,{"FY2026","FY2027","FY2028","FY2029","FY2030"},0),50,100,150,150,150), Scenarios!C2)) - ROUND((=IF(ISNUMBER(SEARCH("Ramp",A3)), CHOOSE(MATCH(B3,{"FY2026","FY2027","FY2028","FY2029","FY2030"},0),50,100,150,150,150), Scenarios!C2))*Scenarios!F2,0))</f>
        <v/>
      </c>
      <c r="E3">
        <f>C3+D3</f>
        <v/>
      </c>
      <c r="F3">
        <f>VLOOKUP(B3,YearMap!$A$2:$B$6,2,FALSE)</f>
        <v/>
      </c>
      <c r="G3">
        <f>VLOOKUP(B3,YearMap!$A$2:$C$6,3,FALSE)</f>
        <v/>
      </c>
      <c r="H3">
        <f>VLOOKUP(B3,YearMap!$A$2:$D$6,4,FALSE)</f>
        <v/>
      </c>
      <c r="I3">
        <f>1-BaselineCalc!$B$5</f>
        <v/>
      </c>
      <c r="J3">
        <f>Scenarios!G2</f>
        <v/>
      </c>
      <c r="K3">
        <f>(G3+H3+F3*E3)*I3*(1-J3)</f>
        <v/>
      </c>
      <c r="L3">
        <f>IF(E3&gt;0, K3/E3, NA())</f>
        <v/>
      </c>
      <c r="M3">
        <f>A3&amp;"|"&amp;B3</f>
        <v/>
      </c>
    </row>
    <row r="4">
      <c r="A4">
        <f>Scenarios!A2</f>
        <v/>
      </c>
      <c r="B4" t="inlineStr">
        <is>
          <t>FY2028</t>
        </is>
      </c>
      <c r="C4">
        <f>IF(Scenarios!D2=1,0, BaselineCalc!$B$7 + ROUND((=IF(ISNUMBER(SEARCH("Ramp",A4)), CHOOSE(MATCH(B4,{"FY2026","FY2027","FY2028","FY2029","FY2030"},0),50,100,150,150,150), Scenarios!C2))*Scenarios!F2,0))</f>
        <v/>
      </c>
      <c r="D4">
        <f>IF(Scenarios!E2=1,0, BaselineCalc!$B$8 + (=IF(ISNUMBER(SEARCH("Ramp",A4)), CHOOSE(MATCH(B4,{"FY2026","FY2027","FY2028","FY2029","FY2030"},0),50,100,150,150,150), Scenarios!C2)) - ROUND((=IF(ISNUMBER(SEARCH("Ramp",A4)), CHOOSE(MATCH(B4,{"FY2026","FY2027","FY2028","FY2029","FY2030"},0),50,100,150,150,150), Scenarios!C2))*Scenarios!F2,0))</f>
        <v/>
      </c>
      <c r="E4">
        <f>C4+D4</f>
        <v/>
      </c>
      <c r="F4">
        <f>VLOOKUP(B4,YearMap!$A$2:$B$6,2,FALSE)</f>
        <v/>
      </c>
      <c r="G4">
        <f>VLOOKUP(B4,YearMap!$A$2:$C$6,3,FALSE)</f>
        <v/>
      </c>
      <c r="H4">
        <f>VLOOKUP(B4,YearMap!$A$2:$D$6,4,FALSE)</f>
        <v/>
      </c>
      <c r="I4">
        <f>1-BaselineCalc!$B$5</f>
        <v/>
      </c>
      <c r="J4">
        <f>Scenarios!G2</f>
        <v/>
      </c>
      <c r="K4">
        <f>(G4+H4+F4*E4)*I4*(1-J4)</f>
        <v/>
      </c>
      <c r="L4">
        <f>IF(E4&gt;0, K4/E4, NA())</f>
        <v/>
      </c>
      <c r="M4">
        <f>A4&amp;"|"&amp;B4</f>
        <v/>
      </c>
    </row>
    <row r="5">
      <c r="A5">
        <f>Scenarios!A2</f>
        <v/>
      </c>
      <c r="B5" t="inlineStr">
        <is>
          <t>FY2029</t>
        </is>
      </c>
      <c r="C5">
        <f>IF(Scenarios!D2=1,0, BaselineCalc!$B$7 + ROUND((=IF(ISNUMBER(SEARCH("Ramp",A5)), CHOOSE(MATCH(B5,{"FY2026","FY2027","FY2028","FY2029","FY2030"},0),50,100,150,150,150), Scenarios!C2))*Scenarios!F2,0))</f>
        <v/>
      </c>
      <c r="D5">
        <f>IF(Scenarios!E2=1,0, BaselineCalc!$B$8 + (=IF(ISNUMBER(SEARCH("Ramp",A5)), CHOOSE(MATCH(B5,{"FY2026","FY2027","FY2028","FY2029","FY2030"},0),50,100,150,150,150), Scenarios!C2)) - ROUND((=IF(ISNUMBER(SEARCH("Ramp",A5)), CHOOSE(MATCH(B5,{"FY2026","FY2027","FY2028","FY2029","FY2030"},0),50,100,150,150,150), Scenarios!C2))*Scenarios!F2,0))</f>
        <v/>
      </c>
      <c r="E5">
        <f>C5+D5</f>
        <v/>
      </c>
      <c r="F5">
        <f>VLOOKUP(B5,YearMap!$A$2:$B$6,2,FALSE)</f>
        <v/>
      </c>
      <c r="G5">
        <f>VLOOKUP(B5,YearMap!$A$2:$C$6,3,FALSE)</f>
        <v/>
      </c>
      <c r="H5">
        <f>VLOOKUP(B5,YearMap!$A$2:$D$6,4,FALSE)</f>
        <v/>
      </c>
      <c r="I5">
        <f>1-BaselineCalc!$B$5</f>
        <v/>
      </c>
      <c r="J5">
        <f>Scenarios!G2</f>
        <v/>
      </c>
      <c r="K5">
        <f>(G5+H5+F5*E5)*I5*(1-J5)</f>
        <v/>
      </c>
      <c r="L5">
        <f>IF(E5&gt;0, K5/E5, NA())</f>
        <v/>
      </c>
      <c r="M5">
        <f>A5&amp;"|"&amp;B5</f>
        <v/>
      </c>
    </row>
    <row r="6">
      <c r="A6">
        <f>Scenarios!A2</f>
        <v/>
      </c>
      <c r="B6" t="inlineStr">
        <is>
          <t>FY2030</t>
        </is>
      </c>
      <c r="C6">
        <f>IF(Scenarios!D2=1,0, BaselineCalc!$B$7 + ROUND((=IF(ISNUMBER(SEARCH("Ramp",A6)), CHOOSE(MATCH(B6,{"FY2026","FY2027","FY2028","FY2029","FY2030"},0),50,100,150,150,150), Scenarios!C2))*Scenarios!F2,0))</f>
        <v/>
      </c>
      <c r="D6">
        <f>IF(Scenarios!E2=1,0, BaselineCalc!$B$8 + (=IF(ISNUMBER(SEARCH("Ramp",A6)), CHOOSE(MATCH(B6,{"FY2026","FY2027","FY2028","FY2029","FY2030"},0),50,100,150,150,150), Scenarios!C2)) - ROUND((=IF(ISNUMBER(SEARCH("Ramp",A6)), CHOOSE(MATCH(B6,{"FY2026","FY2027","FY2028","FY2029","FY2030"},0),50,100,150,150,150), Scenarios!C2))*Scenarios!F2,0))</f>
        <v/>
      </c>
      <c r="E6">
        <f>C6+D6</f>
        <v/>
      </c>
      <c r="F6">
        <f>VLOOKUP(B6,YearMap!$A$2:$B$6,2,FALSE)</f>
        <v/>
      </c>
      <c r="G6">
        <f>VLOOKUP(B6,YearMap!$A$2:$C$6,3,FALSE)</f>
        <v/>
      </c>
      <c r="H6">
        <f>VLOOKUP(B6,YearMap!$A$2:$D$6,4,FALSE)</f>
        <v/>
      </c>
      <c r="I6">
        <f>1-BaselineCalc!$B$5</f>
        <v/>
      </c>
      <c r="J6">
        <f>Scenarios!G2</f>
        <v/>
      </c>
      <c r="K6">
        <f>(G6+H6+F6*E6)*I6*(1-J6)</f>
        <v/>
      </c>
      <c r="L6">
        <f>IF(E6&gt;0, K6/E6, NA())</f>
        <v/>
      </c>
      <c r="M6">
        <f>A6&amp;"|"&amp;B6</f>
        <v/>
      </c>
    </row>
    <row r="7">
      <c r="A7">
        <f>Scenarios!A3</f>
        <v/>
      </c>
      <c r="B7" t="inlineStr">
        <is>
          <t>FY2026</t>
        </is>
      </c>
      <c r="C7">
        <f>IF(Scenarios!D3=1,0, BaselineCalc!$B$7 + ROUND((=IF(ISNUMBER(SEARCH("Ramp",A7)), CHOOSE(MATCH(B7,{"FY2026","FY2027","FY2028","FY2029","FY2030"},0),50,100,150,150,150), Scenarios!C3))*Scenarios!F3,0))</f>
        <v/>
      </c>
      <c r="D7">
        <f>IF(Scenarios!E3=1,0, BaselineCalc!$B$8 + (=IF(ISNUMBER(SEARCH("Ramp",A7)), CHOOSE(MATCH(B7,{"FY2026","FY2027","FY2028","FY2029","FY2030"},0),50,100,150,150,150), Scenarios!C3)) - ROUND((=IF(ISNUMBER(SEARCH("Ramp",A7)), CHOOSE(MATCH(B7,{"FY2026","FY2027","FY2028","FY2029","FY2030"},0),50,100,150,150,150), Scenarios!C3))*Scenarios!F3,0))</f>
        <v/>
      </c>
      <c r="E7">
        <f>C7+D7</f>
        <v/>
      </c>
      <c r="F7">
        <f>VLOOKUP(B7,YearMap!$A$2:$B$6,2,FALSE)</f>
        <v/>
      </c>
      <c r="G7">
        <f>VLOOKUP(B7,YearMap!$A$2:$C$6,3,FALSE)</f>
        <v/>
      </c>
      <c r="H7">
        <f>VLOOKUP(B7,YearMap!$A$2:$D$6,4,FALSE)</f>
        <v/>
      </c>
      <c r="I7">
        <f>1-BaselineCalc!$B$5</f>
        <v/>
      </c>
      <c r="J7">
        <f>Scenarios!G3</f>
        <v/>
      </c>
      <c r="K7">
        <f>(G7+H7+F7*E7)*I7*(1-J7)</f>
        <v/>
      </c>
      <c r="L7">
        <f>IF(E7&gt;0, K7/E7, NA())</f>
        <v/>
      </c>
      <c r="M7">
        <f>A7&amp;"|"&amp;B7</f>
        <v/>
      </c>
    </row>
    <row r="8">
      <c r="A8">
        <f>Scenarios!A3</f>
        <v/>
      </c>
      <c r="B8" t="inlineStr">
        <is>
          <t>FY2027</t>
        </is>
      </c>
      <c r="C8">
        <f>IF(Scenarios!D3=1,0, BaselineCalc!$B$7 + ROUND((=IF(ISNUMBER(SEARCH("Ramp",A8)), CHOOSE(MATCH(B8,{"FY2026","FY2027","FY2028","FY2029","FY2030"},0),50,100,150,150,150), Scenarios!C3))*Scenarios!F3,0))</f>
        <v/>
      </c>
      <c r="D8">
        <f>IF(Scenarios!E3=1,0, BaselineCalc!$B$8 + (=IF(ISNUMBER(SEARCH("Ramp",A8)), CHOOSE(MATCH(B8,{"FY2026","FY2027","FY2028","FY2029","FY2030"},0),50,100,150,150,150), Scenarios!C3)) - ROUND((=IF(ISNUMBER(SEARCH("Ramp",A8)), CHOOSE(MATCH(B8,{"FY2026","FY2027","FY2028","FY2029","FY2030"},0),50,100,150,150,150), Scenarios!C3))*Scenarios!F3,0))</f>
        <v/>
      </c>
      <c r="E8">
        <f>C8+D8</f>
        <v/>
      </c>
      <c r="F8">
        <f>VLOOKUP(B8,YearMap!$A$2:$B$6,2,FALSE)</f>
        <v/>
      </c>
      <c r="G8">
        <f>VLOOKUP(B8,YearMap!$A$2:$C$6,3,FALSE)</f>
        <v/>
      </c>
      <c r="H8">
        <f>VLOOKUP(B8,YearMap!$A$2:$D$6,4,FALSE)</f>
        <v/>
      </c>
      <c r="I8">
        <f>1-BaselineCalc!$B$5</f>
        <v/>
      </c>
      <c r="J8">
        <f>Scenarios!G3</f>
        <v/>
      </c>
      <c r="K8">
        <f>(G8+H8+F8*E8)*I8*(1-J8)</f>
        <v/>
      </c>
      <c r="L8">
        <f>IF(E8&gt;0, K8/E8, NA())</f>
        <v/>
      </c>
      <c r="M8">
        <f>A8&amp;"|"&amp;B8</f>
        <v/>
      </c>
    </row>
    <row r="9">
      <c r="A9">
        <f>Scenarios!A3</f>
        <v/>
      </c>
      <c r="B9" t="inlineStr">
        <is>
          <t>FY2028</t>
        </is>
      </c>
      <c r="C9">
        <f>IF(Scenarios!D3=1,0, BaselineCalc!$B$7 + ROUND((=IF(ISNUMBER(SEARCH("Ramp",A9)), CHOOSE(MATCH(B9,{"FY2026","FY2027","FY2028","FY2029","FY2030"},0),50,100,150,150,150), Scenarios!C3))*Scenarios!F3,0))</f>
        <v/>
      </c>
      <c r="D9">
        <f>IF(Scenarios!E3=1,0, BaselineCalc!$B$8 + (=IF(ISNUMBER(SEARCH("Ramp",A9)), CHOOSE(MATCH(B9,{"FY2026","FY2027","FY2028","FY2029","FY2030"},0),50,100,150,150,150), Scenarios!C3)) - ROUND((=IF(ISNUMBER(SEARCH("Ramp",A9)), CHOOSE(MATCH(B9,{"FY2026","FY2027","FY2028","FY2029","FY2030"},0),50,100,150,150,150), Scenarios!C3))*Scenarios!F3,0))</f>
        <v/>
      </c>
      <c r="E9">
        <f>C9+D9</f>
        <v/>
      </c>
      <c r="F9">
        <f>VLOOKUP(B9,YearMap!$A$2:$B$6,2,FALSE)</f>
        <v/>
      </c>
      <c r="G9">
        <f>VLOOKUP(B9,YearMap!$A$2:$C$6,3,FALSE)</f>
        <v/>
      </c>
      <c r="H9">
        <f>VLOOKUP(B9,YearMap!$A$2:$D$6,4,FALSE)</f>
        <v/>
      </c>
      <c r="I9">
        <f>1-BaselineCalc!$B$5</f>
        <v/>
      </c>
      <c r="J9">
        <f>Scenarios!G3</f>
        <v/>
      </c>
      <c r="K9">
        <f>(G9+H9+F9*E9)*I9*(1-J9)</f>
        <v/>
      </c>
      <c r="L9">
        <f>IF(E9&gt;0, K9/E9, NA())</f>
        <v/>
      </c>
      <c r="M9">
        <f>A9&amp;"|"&amp;B9</f>
        <v/>
      </c>
    </row>
    <row r="10">
      <c r="A10">
        <f>Scenarios!A3</f>
        <v/>
      </c>
      <c r="B10" t="inlineStr">
        <is>
          <t>FY2029</t>
        </is>
      </c>
      <c r="C10">
        <f>IF(Scenarios!D3=1,0, BaselineCalc!$B$7 + ROUND((=IF(ISNUMBER(SEARCH("Ramp",A10)), CHOOSE(MATCH(B10,{"FY2026","FY2027","FY2028","FY2029","FY2030"},0),50,100,150,150,150), Scenarios!C3))*Scenarios!F3,0))</f>
        <v/>
      </c>
      <c r="D10">
        <f>IF(Scenarios!E3=1,0, BaselineCalc!$B$8 + (=IF(ISNUMBER(SEARCH("Ramp",A10)), CHOOSE(MATCH(B10,{"FY2026","FY2027","FY2028","FY2029","FY2030"},0),50,100,150,150,150), Scenarios!C3)) - ROUND((=IF(ISNUMBER(SEARCH("Ramp",A10)), CHOOSE(MATCH(B10,{"FY2026","FY2027","FY2028","FY2029","FY2030"},0),50,100,150,150,150), Scenarios!C3))*Scenarios!F3,0))</f>
        <v/>
      </c>
      <c r="E10">
        <f>C10+D10</f>
        <v/>
      </c>
      <c r="F10">
        <f>VLOOKUP(B10,YearMap!$A$2:$B$6,2,FALSE)</f>
        <v/>
      </c>
      <c r="G10">
        <f>VLOOKUP(B10,YearMap!$A$2:$C$6,3,FALSE)</f>
        <v/>
      </c>
      <c r="H10">
        <f>VLOOKUP(B10,YearMap!$A$2:$D$6,4,FALSE)</f>
        <v/>
      </c>
      <c r="I10">
        <f>1-BaselineCalc!$B$5</f>
        <v/>
      </c>
      <c r="J10">
        <f>Scenarios!G3</f>
        <v/>
      </c>
      <c r="K10">
        <f>(G10+H10+F10*E10)*I10*(1-J10)</f>
        <v/>
      </c>
      <c r="L10">
        <f>IF(E10&gt;0, K10/E10, NA())</f>
        <v/>
      </c>
      <c r="M10">
        <f>A10&amp;"|"&amp;B10</f>
        <v/>
      </c>
    </row>
    <row r="11">
      <c r="A11">
        <f>Scenarios!A3</f>
        <v/>
      </c>
      <c r="B11" t="inlineStr">
        <is>
          <t>FY2030</t>
        </is>
      </c>
      <c r="C11">
        <f>IF(Scenarios!D3=1,0, BaselineCalc!$B$7 + ROUND((=IF(ISNUMBER(SEARCH("Ramp",A11)), CHOOSE(MATCH(B11,{"FY2026","FY2027","FY2028","FY2029","FY2030"},0),50,100,150,150,150), Scenarios!C3))*Scenarios!F3,0))</f>
        <v/>
      </c>
      <c r="D11">
        <f>IF(Scenarios!E3=1,0, BaselineCalc!$B$8 + (=IF(ISNUMBER(SEARCH("Ramp",A11)), CHOOSE(MATCH(B11,{"FY2026","FY2027","FY2028","FY2029","FY2030"},0),50,100,150,150,150), Scenarios!C3)) - ROUND((=IF(ISNUMBER(SEARCH("Ramp",A11)), CHOOSE(MATCH(B11,{"FY2026","FY2027","FY2028","FY2029","FY2030"},0),50,100,150,150,150), Scenarios!C3))*Scenarios!F3,0))</f>
        <v/>
      </c>
      <c r="E11">
        <f>C11+D11</f>
        <v/>
      </c>
      <c r="F11">
        <f>VLOOKUP(B11,YearMap!$A$2:$B$6,2,FALSE)</f>
        <v/>
      </c>
      <c r="G11">
        <f>VLOOKUP(B11,YearMap!$A$2:$C$6,3,FALSE)</f>
        <v/>
      </c>
      <c r="H11">
        <f>VLOOKUP(B11,YearMap!$A$2:$D$6,4,FALSE)</f>
        <v/>
      </c>
      <c r="I11">
        <f>1-BaselineCalc!$B$5</f>
        <v/>
      </c>
      <c r="J11">
        <f>Scenarios!G3</f>
        <v/>
      </c>
      <c r="K11">
        <f>(G11+H11+F11*E11)*I11*(1-J11)</f>
        <v/>
      </c>
      <c r="L11">
        <f>IF(E11&gt;0, K11/E11, NA())</f>
        <v/>
      </c>
      <c r="M11">
        <f>A11&amp;"|"&amp;B11</f>
        <v/>
      </c>
    </row>
    <row r="12">
      <c r="A12">
        <f>Scenarios!A4</f>
        <v/>
      </c>
      <c r="B12" t="inlineStr">
        <is>
          <t>FY2026</t>
        </is>
      </c>
      <c r="C12">
        <f>IF(Scenarios!D4=1,0, BaselineCalc!$B$7 + ROUND((=IF(ISNUMBER(SEARCH("Ramp",A12)), CHOOSE(MATCH(B12,{"FY2026","FY2027","FY2028","FY2029","FY2030"},0),50,100,150,150,150), Scenarios!C4))*Scenarios!F4,0))</f>
        <v/>
      </c>
      <c r="D12">
        <f>IF(Scenarios!E4=1,0, BaselineCalc!$B$8 + (=IF(ISNUMBER(SEARCH("Ramp",A12)), CHOOSE(MATCH(B12,{"FY2026","FY2027","FY2028","FY2029","FY2030"},0),50,100,150,150,150), Scenarios!C4)) - ROUND((=IF(ISNUMBER(SEARCH("Ramp",A12)), CHOOSE(MATCH(B12,{"FY2026","FY2027","FY2028","FY2029","FY2030"},0),50,100,150,150,150), Scenarios!C4))*Scenarios!F4,0))</f>
        <v/>
      </c>
      <c r="E12">
        <f>C12+D12</f>
        <v/>
      </c>
      <c r="F12">
        <f>VLOOKUP(B12,YearMap!$A$2:$B$6,2,FALSE)</f>
        <v/>
      </c>
      <c r="G12">
        <f>VLOOKUP(B12,YearMap!$A$2:$C$6,3,FALSE)</f>
        <v/>
      </c>
      <c r="H12">
        <f>VLOOKUP(B12,YearMap!$A$2:$D$6,4,FALSE)</f>
        <v/>
      </c>
      <c r="I12">
        <f>1-BaselineCalc!$B$5</f>
        <v/>
      </c>
      <c r="J12">
        <f>Scenarios!G4</f>
        <v/>
      </c>
      <c r="K12">
        <f>(G12+H12+F12*E12)*I12*(1-J12)</f>
        <v/>
      </c>
      <c r="L12">
        <f>IF(E12&gt;0, K12/E12, NA())</f>
        <v/>
      </c>
      <c r="M12">
        <f>A12&amp;"|"&amp;B12</f>
        <v/>
      </c>
    </row>
    <row r="13">
      <c r="A13">
        <f>Scenarios!A4</f>
        <v/>
      </c>
      <c r="B13" t="inlineStr">
        <is>
          <t>FY2027</t>
        </is>
      </c>
      <c r="C13">
        <f>IF(Scenarios!D4=1,0, BaselineCalc!$B$7 + ROUND((=IF(ISNUMBER(SEARCH("Ramp",A13)), CHOOSE(MATCH(B13,{"FY2026","FY2027","FY2028","FY2029","FY2030"},0),50,100,150,150,150), Scenarios!C4))*Scenarios!F4,0))</f>
        <v/>
      </c>
      <c r="D13">
        <f>IF(Scenarios!E4=1,0, BaselineCalc!$B$8 + (=IF(ISNUMBER(SEARCH("Ramp",A13)), CHOOSE(MATCH(B13,{"FY2026","FY2027","FY2028","FY2029","FY2030"},0),50,100,150,150,150), Scenarios!C4)) - ROUND((=IF(ISNUMBER(SEARCH("Ramp",A13)), CHOOSE(MATCH(B13,{"FY2026","FY2027","FY2028","FY2029","FY2030"},0),50,100,150,150,150), Scenarios!C4))*Scenarios!F4,0))</f>
        <v/>
      </c>
      <c r="E13">
        <f>C13+D13</f>
        <v/>
      </c>
      <c r="F13">
        <f>VLOOKUP(B13,YearMap!$A$2:$B$6,2,FALSE)</f>
        <v/>
      </c>
      <c r="G13">
        <f>VLOOKUP(B13,YearMap!$A$2:$C$6,3,FALSE)</f>
        <v/>
      </c>
      <c r="H13">
        <f>VLOOKUP(B13,YearMap!$A$2:$D$6,4,FALSE)</f>
        <v/>
      </c>
      <c r="I13">
        <f>1-BaselineCalc!$B$5</f>
        <v/>
      </c>
      <c r="J13">
        <f>Scenarios!G4</f>
        <v/>
      </c>
      <c r="K13">
        <f>(G13+H13+F13*E13)*I13*(1-J13)</f>
        <v/>
      </c>
      <c r="L13">
        <f>IF(E13&gt;0, K13/E13, NA())</f>
        <v/>
      </c>
      <c r="M13">
        <f>A13&amp;"|"&amp;B13</f>
        <v/>
      </c>
    </row>
    <row r="14">
      <c r="A14">
        <f>Scenarios!A4</f>
        <v/>
      </c>
      <c r="B14" t="inlineStr">
        <is>
          <t>FY2028</t>
        </is>
      </c>
      <c r="C14">
        <f>IF(Scenarios!D4=1,0, BaselineCalc!$B$7 + ROUND((=IF(ISNUMBER(SEARCH("Ramp",A14)), CHOOSE(MATCH(B14,{"FY2026","FY2027","FY2028","FY2029","FY2030"},0),50,100,150,150,150), Scenarios!C4))*Scenarios!F4,0))</f>
        <v/>
      </c>
      <c r="D14">
        <f>IF(Scenarios!E4=1,0, BaselineCalc!$B$8 + (=IF(ISNUMBER(SEARCH("Ramp",A14)), CHOOSE(MATCH(B14,{"FY2026","FY2027","FY2028","FY2029","FY2030"},0),50,100,150,150,150), Scenarios!C4)) - ROUND((=IF(ISNUMBER(SEARCH("Ramp",A14)), CHOOSE(MATCH(B14,{"FY2026","FY2027","FY2028","FY2029","FY2030"},0),50,100,150,150,150), Scenarios!C4))*Scenarios!F4,0))</f>
        <v/>
      </c>
      <c r="E14">
        <f>C14+D14</f>
        <v/>
      </c>
      <c r="F14">
        <f>VLOOKUP(B14,YearMap!$A$2:$B$6,2,FALSE)</f>
        <v/>
      </c>
      <c r="G14">
        <f>VLOOKUP(B14,YearMap!$A$2:$C$6,3,FALSE)</f>
        <v/>
      </c>
      <c r="H14">
        <f>VLOOKUP(B14,YearMap!$A$2:$D$6,4,FALSE)</f>
        <v/>
      </c>
      <c r="I14">
        <f>1-BaselineCalc!$B$5</f>
        <v/>
      </c>
      <c r="J14">
        <f>Scenarios!G4</f>
        <v/>
      </c>
      <c r="K14">
        <f>(G14+H14+F14*E14)*I14*(1-J14)</f>
        <v/>
      </c>
      <c r="L14">
        <f>IF(E14&gt;0, K14/E14, NA())</f>
        <v/>
      </c>
      <c r="M14">
        <f>A14&amp;"|"&amp;B14</f>
        <v/>
      </c>
    </row>
    <row r="15">
      <c r="A15">
        <f>Scenarios!A4</f>
        <v/>
      </c>
      <c r="B15" t="inlineStr">
        <is>
          <t>FY2029</t>
        </is>
      </c>
      <c r="C15">
        <f>IF(Scenarios!D4=1,0, BaselineCalc!$B$7 + ROUND((=IF(ISNUMBER(SEARCH("Ramp",A15)), CHOOSE(MATCH(B15,{"FY2026","FY2027","FY2028","FY2029","FY2030"},0),50,100,150,150,150), Scenarios!C4))*Scenarios!F4,0))</f>
        <v/>
      </c>
      <c r="D15">
        <f>IF(Scenarios!E4=1,0, BaselineCalc!$B$8 + (=IF(ISNUMBER(SEARCH("Ramp",A15)), CHOOSE(MATCH(B15,{"FY2026","FY2027","FY2028","FY2029","FY2030"},0),50,100,150,150,150), Scenarios!C4)) - ROUND((=IF(ISNUMBER(SEARCH("Ramp",A15)), CHOOSE(MATCH(B15,{"FY2026","FY2027","FY2028","FY2029","FY2030"},0),50,100,150,150,150), Scenarios!C4))*Scenarios!F4,0))</f>
        <v/>
      </c>
      <c r="E15">
        <f>C15+D15</f>
        <v/>
      </c>
      <c r="F15">
        <f>VLOOKUP(B15,YearMap!$A$2:$B$6,2,FALSE)</f>
        <v/>
      </c>
      <c r="G15">
        <f>VLOOKUP(B15,YearMap!$A$2:$C$6,3,FALSE)</f>
        <v/>
      </c>
      <c r="H15">
        <f>VLOOKUP(B15,YearMap!$A$2:$D$6,4,FALSE)</f>
        <v/>
      </c>
      <c r="I15">
        <f>1-BaselineCalc!$B$5</f>
        <v/>
      </c>
      <c r="J15">
        <f>Scenarios!G4</f>
        <v/>
      </c>
      <c r="K15">
        <f>(G15+H15+F15*E15)*I15*(1-J15)</f>
        <v/>
      </c>
      <c r="L15">
        <f>IF(E15&gt;0, K15/E15, NA())</f>
        <v/>
      </c>
      <c r="M15">
        <f>A15&amp;"|"&amp;B15</f>
        <v/>
      </c>
    </row>
    <row r="16">
      <c r="A16">
        <f>Scenarios!A4</f>
        <v/>
      </c>
      <c r="B16" t="inlineStr">
        <is>
          <t>FY2030</t>
        </is>
      </c>
      <c r="C16">
        <f>IF(Scenarios!D4=1,0, BaselineCalc!$B$7 + ROUND((=IF(ISNUMBER(SEARCH("Ramp",A16)), CHOOSE(MATCH(B16,{"FY2026","FY2027","FY2028","FY2029","FY2030"},0),50,100,150,150,150), Scenarios!C4))*Scenarios!F4,0))</f>
        <v/>
      </c>
      <c r="D16">
        <f>IF(Scenarios!E4=1,0, BaselineCalc!$B$8 + (=IF(ISNUMBER(SEARCH("Ramp",A16)), CHOOSE(MATCH(B16,{"FY2026","FY2027","FY2028","FY2029","FY2030"},0),50,100,150,150,150), Scenarios!C4)) - ROUND((=IF(ISNUMBER(SEARCH("Ramp",A16)), CHOOSE(MATCH(B16,{"FY2026","FY2027","FY2028","FY2029","FY2030"},0),50,100,150,150,150), Scenarios!C4))*Scenarios!F4,0))</f>
        <v/>
      </c>
      <c r="E16">
        <f>C16+D16</f>
        <v/>
      </c>
      <c r="F16">
        <f>VLOOKUP(B16,YearMap!$A$2:$B$6,2,FALSE)</f>
        <v/>
      </c>
      <c r="G16">
        <f>VLOOKUP(B16,YearMap!$A$2:$C$6,3,FALSE)</f>
        <v/>
      </c>
      <c r="H16">
        <f>VLOOKUP(B16,YearMap!$A$2:$D$6,4,FALSE)</f>
        <v/>
      </c>
      <c r="I16">
        <f>1-BaselineCalc!$B$5</f>
        <v/>
      </c>
      <c r="J16">
        <f>Scenarios!G4</f>
        <v/>
      </c>
      <c r="K16">
        <f>(G16+H16+F16*E16)*I16*(1-J16)</f>
        <v/>
      </c>
      <c r="L16">
        <f>IF(E16&gt;0, K16/E16, NA())</f>
        <v/>
      </c>
      <c r="M16">
        <f>A16&amp;"|"&amp;B16</f>
        <v/>
      </c>
    </row>
    <row r="17">
      <c r="A17">
        <f>Scenarios!A6</f>
        <v/>
      </c>
      <c r="B17" t="inlineStr">
        <is>
          <t>FY2026</t>
        </is>
      </c>
      <c r="C17">
        <f>IF(Scenarios!D6=1,0, BaselineCalc!$B$7 + ROUND((=IF(ISNUMBER(SEARCH("Ramp",A17)), CHOOSE(MATCH(B17,{"FY2026","FY2027","FY2028","FY2029","FY2030"},0),50,100,150,150,150), Scenarios!C6))*Scenarios!F6,0))</f>
        <v/>
      </c>
      <c r="D17">
        <f>IF(Scenarios!E6=1,0, BaselineCalc!$B$8 + (=IF(ISNUMBER(SEARCH("Ramp",A17)), CHOOSE(MATCH(B17,{"FY2026","FY2027","FY2028","FY2029","FY2030"},0),50,100,150,150,150), Scenarios!C6)) - ROUND((=IF(ISNUMBER(SEARCH("Ramp",A17)), CHOOSE(MATCH(B17,{"FY2026","FY2027","FY2028","FY2029","FY2030"},0),50,100,150,150,150), Scenarios!C6))*Scenarios!F6,0))</f>
        <v/>
      </c>
      <c r="E17">
        <f>C17+D17</f>
        <v/>
      </c>
      <c r="F17">
        <f>VLOOKUP(B17,YearMap!$A$2:$B$6,2,FALSE)</f>
        <v/>
      </c>
      <c r="G17">
        <f>VLOOKUP(B17,YearMap!$A$2:$C$6,3,FALSE)</f>
        <v/>
      </c>
      <c r="H17">
        <f>VLOOKUP(B17,YearMap!$A$2:$D$6,4,FALSE)</f>
        <v/>
      </c>
      <c r="I17">
        <f>1-BaselineCalc!$B$5</f>
        <v/>
      </c>
      <c r="J17">
        <f>Scenarios!G6</f>
        <v/>
      </c>
      <c r="K17">
        <f>(G17+H17+F17*E17)*I17*(1-J17)</f>
        <v/>
      </c>
      <c r="L17">
        <f>IF(E17&gt;0, K17/E17, NA())</f>
        <v/>
      </c>
      <c r="M17">
        <f>A17&amp;"|"&amp;B17</f>
        <v/>
      </c>
    </row>
    <row r="18">
      <c r="A18">
        <f>Scenarios!A6</f>
        <v/>
      </c>
      <c r="B18" t="inlineStr">
        <is>
          <t>FY2027</t>
        </is>
      </c>
      <c r="C18">
        <f>IF(Scenarios!D6=1,0, BaselineCalc!$B$7 + ROUND((=IF(ISNUMBER(SEARCH("Ramp",A18)), CHOOSE(MATCH(B18,{"FY2026","FY2027","FY2028","FY2029","FY2030"},0),50,100,150,150,150), Scenarios!C6))*Scenarios!F6,0))</f>
        <v/>
      </c>
      <c r="D18">
        <f>IF(Scenarios!E6=1,0, BaselineCalc!$B$8 + (=IF(ISNUMBER(SEARCH("Ramp",A18)), CHOOSE(MATCH(B18,{"FY2026","FY2027","FY2028","FY2029","FY2030"},0),50,100,150,150,150), Scenarios!C6)) - ROUND((=IF(ISNUMBER(SEARCH("Ramp",A18)), CHOOSE(MATCH(B18,{"FY2026","FY2027","FY2028","FY2029","FY2030"},0),50,100,150,150,150), Scenarios!C6))*Scenarios!F6,0))</f>
        <v/>
      </c>
      <c r="E18">
        <f>C18+D18</f>
        <v/>
      </c>
      <c r="F18">
        <f>VLOOKUP(B18,YearMap!$A$2:$B$6,2,FALSE)</f>
        <v/>
      </c>
      <c r="G18">
        <f>VLOOKUP(B18,YearMap!$A$2:$C$6,3,FALSE)</f>
        <v/>
      </c>
      <c r="H18">
        <f>VLOOKUP(B18,YearMap!$A$2:$D$6,4,FALSE)</f>
        <v/>
      </c>
      <c r="I18">
        <f>1-BaselineCalc!$B$5</f>
        <v/>
      </c>
      <c r="J18">
        <f>Scenarios!G6</f>
        <v/>
      </c>
      <c r="K18">
        <f>(G18+H18+F18*E18)*I18*(1-J18)</f>
        <v/>
      </c>
      <c r="L18">
        <f>IF(E18&gt;0, K18/E18, NA())</f>
        <v/>
      </c>
      <c r="M18">
        <f>A18&amp;"|"&amp;B18</f>
        <v/>
      </c>
    </row>
    <row r="19">
      <c r="A19">
        <f>Scenarios!A6</f>
        <v/>
      </c>
      <c r="B19" t="inlineStr">
        <is>
          <t>FY2028</t>
        </is>
      </c>
      <c r="C19">
        <f>IF(Scenarios!D6=1,0, BaselineCalc!$B$7 + ROUND((=IF(ISNUMBER(SEARCH("Ramp",A19)), CHOOSE(MATCH(B19,{"FY2026","FY2027","FY2028","FY2029","FY2030"},0),50,100,150,150,150), Scenarios!C6))*Scenarios!F6,0))</f>
        <v/>
      </c>
      <c r="D19">
        <f>IF(Scenarios!E6=1,0, BaselineCalc!$B$8 + (=IF(ISNUMBER(SEARCH("Ramp",A19)), CHOOSE(MATCH(B19,{"FY2026","FY2027","FY2028","FY2029","FY2030"},0),50,100,150,150,150), Scenarios!C6)) - ROUND((=IF(ISNUMBER(SEARCH("Ramp",A19)), CHOOSE(MATCH(B19,{"FY2026","FY2027","FY2028","FY2029","FY2030"},0),50,100,150,150,150), Scenarios!C6))*Scenarios!F6,0))</f>
        <v/>
      </c>
      <c r="E19">
        <f>C19+D19</f>
        <v/>
      </c>
      <c r="F19">
        <f>VLOOKUP(B19,YearMap!$A$2:$B$6,2,FALSE)</f>
        <v/>
      </c>
      <c r="G19">
        <f>VLOOKUP(B19,YearMap!$A$2:$C$6,3,FALSE)</f>
        <v/>
      </c>
      <c r="H19">
        <f>VLOOKUP(B19,YearMap!$A$2:$D$6,4,FALSE)</f>
        <v/>
      </c>
      <c r="I19">
        <f>1-BaselineCalc!$B$5</f>
        <v/>
      </c>
      <c r="J19">
        <f>Scenarios!G6</f>
        <v/>
      </c>
      <c r="K19">
        <f>(G19+H19+F19*E19)*I19*(1-J19)</f>
        <v/>
      </c>
      <c r="L19">
        <f>IF(E19&gt;0, K19/E19, NA())</f>
        <v/>
      </c>
      <c r="M19">
        <f>A19&amp;"|"&amp;B19</f>
        <v/>
      </c>
    </row>
    <row r="20">
      <c r="A20">
        <f>Scenarios!A6</f>
        <v/>
      </c>
      <c r="B20" t="inlineStr">
        <is>
          <t>FY2029</t>
        </is>
      </c>
      <c r="C20">
        <f>IF(Scenarios!D6=1,0, BaselineCalc!$B$7 + ROUND((=IF(ISNUMBER(SEARCH("Ramp",A20)), CHOOSE(MATCH(B20,{"FY2026","FY2027","FY2028","FY2029","FY2030"},0),50,100,150,150,150), Scenarios!C6))*Scenarios!F6,0))</f>
        <v/>
      </c>
      <c r="D20">
        <f>IF(Scenarios!E6=1,0, BaselineCalc!$B$8 + (=IF(ISNUMBER(SEARCH("Ramp",A20)), CHOOSE(MATCH(B20,{"FY2026","FY2027","FY2028","FY2029","FY2030"},0),50,100,150,150,150), Scenarios!C6)) - ROUND((=IF(ISNUMBER(SEARCH("Ramp",A20)), CHOOSE(MATCH(B20,{"FY2026","FY2027","FY2028","FY2029","FY2030"},0),50,100,150,150,150), Scenarios!C6))*Scenarios!F6,0))</f>
        <v/>
      </c>
      <c r="E20">
        <f>C20+D20</f>
        <v/>
      </c>
      <c r="F20">
        <f>VLOOKUP(B20,YearMap!$A$2:$B$6,2,FALSE)</f>
        <v/>
      </c>
      <c r="G20">
        <f>VLOOKUP(B20,YearMap!$A$2:$C$6,3,FALSE)</f>
        <v/>
      </c>
      <c r="H20">
        <f>VLOOKUP(B20,YearMap!$A$2:$D$6,4,FALSE)</f>
        <v/>
      </c>
      <c r="I20">
        <f>1-BaselineCalc!$B$5</f>
        <v/>
      </c>
      <c r="J20">
        <f>Scenarios!G6</f>
        <v/>
      </c>
      <c r="K20">
        <f>(G20+H20+F20*E20)*I20*(1-J20)</f>
        <v/>
      </c>
      <c r="L20">
        <f>IF(E20&gt;0, K20/E20, NA())</f>
        <v/>
      </c>
      <c r="M20">
        <f>A20&amp;"|"&amp;B20</f>
        <v/>
      </c>
    </row>
    <row r="21">
      <c r="A21">
        <f>Scenarios!A6</f>
        <v/>
      </c>
      <c r="B21" t="inlineStr">
        <is>
          <t>FY2030</t>
        </is>
      </c>
      <c r="C21">
        <f>IF(Scenarios!D6=1,0, BaselineCalc!$B$7 + ROUND((=IF(ISNUMBER(SEARCH("Ramp",A21)), CHOOSE(MATCH(B21,{"FY2026","FY2027","FY2028","FY2029","FY2030"},0),50,100,150,150,150), Scenarios!C6))*Scenarios!F6,0))</f>
        <v/>
      </c>
      <c r="D21">
        <f>IF(Scenarios!E6=1,0, BaselineCalc!$B$8 + (=IF(ISNUMBER(SEARCH("Ramp",A21)), CHOOSE(MATCH(B21,{"FY2026","FY2027","FY2028","FY2029","FY2030"},0),50,100,150,150,150), Scenarios!C6)) - ROUND((=IF(ISNUMBER(SEARCH("Ramp",A21)), CHOOSE(MATCH(B21,{"FY2026","FY2027","FY2028","FY2029","FY2030"},0),50,100,150,150,150), Scenarios!C6))*Scenarios!F6,0))</f>
        <v/>
      </c>
      <c r="E21">
        <f>C21+D21</f>
        <v/>
      </c>
      <c r="F21">
        <f>VLOOKUP(B21,YearMap!$A$2:$B$6,2,FALSE)</f>
        <v/>
      </c>
      <c r="G21">
        <f>VLOOKUP(B21,YearMap!$A$2:$C$6,3,FALSE)</f>
        <v/>
      </c>
      <c r="H21">
        <f>VLOOKUP(B21,YearMap!$A$2:$D$6,4,FALSE)</f>
        <v/>
      </c>
      <c r="I21">
        <f>1-BaselineCalc!$B$5</f>
        <v/>
      </c>
      <c r="J21">
        <f>Scenarios!G6</f>
        <v/>
      </c>
      <c r="K21">
        <f>(G21+H21+F21*E21)*I21*(1-J21)</f>
        <v/>
      </c>
      <c r="L21">
        <f>IF(E21&gt;0, K21/E21, NA())</f>
        <v/>
      </c>
      <c r="M21">
        <f>A21&amp;"|"&amp;B21</f>
        <v/>
      </c>
    </row>
    <row r="22">
      <c r="A22">
        <f>Scenarios!A7</f>
        <v/>
      </c>
      <c r="B22" t="inlineStr">
        <is>
          <t>FY2026</t>
        </is>
      </c>
      <c r="C22">
        <f>IF(Scenarios!D7=1,0, BaselineCalc!$B$7 + ROUND((=IF(ISNUMBER(SEARCH("Ramp",A22)), CHOOSE(MATCH(B22,{"FY2026","FY2027","FY2028","FY2029","FY2030"},0),50,100,150,150,150), Scenarios!C7))*Scenarios!F7,0))</f>
        <v/>
      </c>
      <c r="D22">
        <f>IF(Scenarios!E7=1,0, BaselineCalc!$B$8 + (=IF(ISNUMBER(SEARCH("Ramp",A22)), CHOOSE(MATCH(B22,{"FY2026","FY2027","FY2028","FY2029","FY2030"},0),50,100,150,150,150), Scenarios!C7)) - ROUND((=IF(ISNUMBER(SEARCH("Ramp",A22)), CHOOSE(MATCH(B22,{"FY2026","FY2027","FY2028","FY2029","FY2030"},0),50,100,150,150,150), Scenarios!C7))*Scenarios!F7,0))</f>
        <v/>
      </c>
      <c r="E22">
        <f>C22+D22</f>
        <v/>
      </c>
      <c r="F22">
        <f>VLOOKUP(B22,YearMap!$A$2:$B$6,2,FALSE)</f>
        <v/>
      </c>
      <c r="G22">
        <f>VLOOKUP(B22,YearMap!$A$2:$C$6,3,FALSE)</f>
        <v/>
      </c>
      <c r="H22">
        <f>VLOOKUP(B22,YearMap!$A$2:$D$6,4,FALSE)</f>
        <v/>
      </c>
      <c r="I22">
        <f>1-BaselineCalc!$B$5</f>
        <v/>
      </c>
      <c r="J22">
        <f>Scenarios!G7</f>
        <v/>
      </c>
      <c r="K22">
        <f>(G22+H22+F22*E22)*I22*(1-J22)</f>
        <v/>
      </c>
      <c r="L22">
        <f>IF(E22&gt;0, K22/E22, NA())</f>
        <v/>
      </c>
      <c r="M22">
        <f>A22&amp;"|"&amp;B22</f>
        <v/>
      </c>
    </row>
    <row r="23">
      <c r="A23">
        <f>Scenarios!A7</f>
        <v/>
      </c>
      <c r="B23" t="inlineStr">
        <is>
          <t>FY2027</t>
        </is>
      </c>
      <c r="C23">
        <f>IF(Scenarios!D7=1,0, BaselineCalc!$B$7 + ROUND((=IF(ISNUMBER(SEARCH("Ramp",A23)), CHOOSE(MATCH(B23,{"FY2026","FY2027","FY2028","FY2029","FY2030"},0),50,100,150,150,150), Scenarios!C7))*Scenarios!F7,0))</f>
        <v/>
      </c>
      <c r="D23">
        <f>IF(Scenarios!E7=1,0, BaselineCalc!$B$8 + (=IF(ISNUMBER(SEARCH("Ramp",A23)), CHOOSE(MATCH(B23,{"FY2026","FY2027","FY2028","FY2029","FY2030"},0),50,100,150,150,150), Scenarios!C7)) - ROUND((=IF(ISNUMBER(SEARCH("Ramp",A23)), CHOOSE(MATCH(B23,{"FY2026","FY2027","FY2028","FY2029","FY2030"},0),50,100,150,150,150), Scenarios!C7))*Scenarios!F7,0))</f>
        <v/>
      </c>
      <c r="E23">
        <f>C23+D23</f>
        <v/>
      </c>
      <c r="F23">
        <f>VLOOKUP(B23,YearMap!$A$2:$B$6,2,FALSE)</f>
        <v/>
      </c>
      <c r="G23">
        <f>VLOOKUP(B23,YearMap!$A$2:$C$6,3,FALSE)</f>
        <v/>
      </c>
      <c r="H23">
        <f>VLOOKUP(B23,YearMap!$A$2:$D$6,4,FALSE)</f>
        <v/>
      </c>
      <c r="I23">
        <f>1-BaselineCalc!$B$5</f>
        <v/>
      </c>
      <c r="J23">
        <f>Scenarios!G7</f>
        <v/>
      </c>
      <c r="K23">
        <f>(G23+H23+F23*E23)*I23*(1-J23)</f>
        <v/>
      </c>
      <c r="L23">
        <f>IF(E23&gt;0, K23/E23, NA())</f>
        <v/>
      </c>
      <c r="M23">
        <f>A23&amp;"|"&amp;B23</f>
        <v/>
      </c>
    </row>
    <row r="24">
      <c r="A24">
        <f>Scenarios!A7</f>
        <v/>
      </c>
      <c r="B24" t="inlineStr">
        <is>
          <t>FY2028</t>
        </is>
      </c>
      <c r="C24">
        <f>IF(Scenarios!D7=1,0, BaselineCalc!$B$7 + ROUND((=IF(ISNUMBER(SEARCH("Ramp",A24)), CHOOSE(MATCH(B24,{"FY2026","FY2027","FY2028","FY2029","FY2030"},0),50,100,150,150,150), Scenarios!C7))*Scenarios!F7,0))</f>
        <v/>
      </c>
      <c r="D24">
        <f>IF(Scenarios!E7=1,0, BaselineCalc!$B$8 + (=IF(ISNUMBER(SEARCH("Ramp",A24)), CHOOSE(MATCH(B24,{"FY2026","FY2027","FY2028","FY2029","FY2030"},0),50,100,150,150,150), Scenarios!C7)) - ROUND((=IF(ISNUMBER(SEARCH("Ramp",A24)), CHOOSE(MATCH(B24,{"FY2026","FY2027","FY2028","FY2029","FY2030"},0),50,100,150,150,150), Scenarios!C7))*Scenarios!F7,0))</f>
        <v/>
      </c>
      <c r="E24">
        <f>C24+D24</f>
        <v/>
      </c>
      <c r="F24">
        <f>VLOOKUP(B24,YearMap!$A$2:$B$6,2,FALSE)</f>
        <v/>
      </c>
      <c r="G24">
        <f>VLOOKUP(B24,YearMap!$A$2:$C$6,3,FALSE)</f>
        <v/>
      </c>
      <c r="H24">
        <f>VLOOKUP(B24,YearMap!$A$2:$D$6,4,FALSE)</f>
        <v/>
      </c>
      <c r="I24">
        <f>1-BaselineCalc!$B$5</f>
        <v/>
      </c>
      <c r="J24">
        <f>Scenarios!G7</f>
        <v/>
      </c>
      <c r="K24">
        <f>(G24+H24+F24*E24)*I24*(1-J24)</f>
        <v/>
      </c>
      <c r="L24">
        <f>IF(E24&gt;0, K24/E24, NA())</f>
        <v/>
      </c>
      <c r="M24">
        <f>A24&amp;"|"&amp;B24</f>
        <v/>
      </c>
    </row>
    <row r="25">
      <c r="A25">
        <f>Scenarios!A7</f>
        <v/>
      </c>
      <c r="B25" t="inlineStr">
        <is>
          <t>FY2029</t>
        </is>
      </c>
      <c r="C25">
        <f>IF(Scenarios!D7=1,0, BaselineCalc!$B$7 + ROUND((=IF(ISNUMBER(SEARCH("Ramp",A25)), CHOOSE(MATCH(B25,{"FY2026","FY2027","FY2028","FY2029","FY2030"},0),50,100,150,150,150), Scenarios!C7))*Scenarios!F7,0))</f>
        <v/>
      </c>
      <c r="D25">
        <f>IF(Scenarios!E7=1,0, BaselineCalc!$B$8 + (=IF(ISNUMBER(SEARCH("Ramp",A25)), CHOOSE(MATCH(B25,{"FY2026","FY2027","FY2028","FY2029","FY2030"},0),50,100,150,150,150), Scenarios!C7)) - ROUND((=IF(ISNUMBER(SEARCH("Ramp",A25)), CHOOSE(MATCH(B25,{"FY2026","FY2027","FY2028","FY2029","FY2030"},0),50,100,150,150,150), Scenarios!C7))*Scenarios!F7,0))</f>
        <v/>
      </c>
      <c r="E25">
        <f>C25+D25</f>
        <v/>
      </c>
      <c r="F25">
        <f>VLOOKUP(B25,YearMap!$A$2:$B$6,2,FALSE)</f>
        <v/>
      </c>
      <c r="G25">
        <f>VLOOKUP(B25,YearMap!$A$2:$C$6,3,FALSE)</f>
        <v/>
      </c>
      <c r="H25">
        <f>VLOOKUP(B25,YearMap!$A$2:$D$6,4,FALSE)</f>
        <v/>
      </c>
      <c r="I25">
        <f>1-BaselineCalc!$B$5</f>
        <v/>
      </c>
      <c r="J25">
        <f>Scenarios!G7</f>
        <v/>
      </c>
      <c r="K25">
        <f>(G25+H25+F25*E25)*I25*(1-J25)</f>
        <v/>
      </c>
      <c r="L25">
        <f>IF(E25&gt;0, K25/E25, NA())</f>
        <v/>
      </c>
      <c r="M25">
        <f>A25&amp;"|"&amp;B25</f>
        <v/>
      </c>
    </row>
    <row r="26">
      <c r="A26">
        <f>Scenarios!A7</f>
        <v/>
      </c>
      <c r="B26" t="inlineStr">
        <is>
          <t>FY2030</t>
        </is>
      </c>
      <c r="C26">
        <f>IF(Scenarios!D7=1,0, BaselineCalc!$B$7 + ROUND((=IF(ISNUMBER(SEARCH("Ramp",A26)), CHOOSE(MATCH(B26,{"FY2026","FY2027","FY2028","FY2029","FY2030"},0),50,100,150,150,150), Scenarios!C7))*Scenarios!F7,0))</f>
        <v/>
      </c>
      <c r="D26">
        <f>IF(Scenarios!E7=1,0, BaselineCalc!$B$8 + (=IF(ISNUMBER(SEARCH("Ramp",A26)), CHOOSE(MATCH(B26,{"FY2026","FY2027","FY2028","FY2029","FY2030"},0),50,100,150,150,150), Scenarios!C7)) - ROUND((=IF(ISNUMBER(SEARCH("Ramp",A26)), CHOOSE(MATCH(B26,{"FY2026","FY2027","FY2028","FY2029","FY2030"},0),50,100,150,150,150), Scenarios!C7))*Scenarios!F7,0))</f>
        <v/>
      </c>
      <c r="E26">
        <f>C26+D26</f>
        <v/>
      </c>
      <c r="F26">
        <f>VLOOKUP(B26,YearMap!$A$2:$B$6,2,FALSE)</f>
        <v/>
      </c>
      <c r="G26">
        <f>VLOOKUP(B26,YearMap!$A$2:$C$6,3,FALSE)</f>
        <v/>
      </c>
      <c r="H26">
        <f>VLOOKUP(B26,YearMap!$A$2:$D$6,4,FALSE)</f>
        <v/>
      </c>
      <c r="I26">
        <f>1-BaselineCalc!$B$5</f>
        <v/>
      </c>
      <c r="J26">
        <f>Scenarios!G7</f>
        <v/>
      </c>
      <c r="K26">
        <f>(G26+H26+F26*E26)*I26*(1-J26)</f>
        <v/>
      </c>
      <c r="L26">
        <f>IF(E26&gt;0, K26/E26, NA())</f>
        <v/>
      </c>
      <c r="M26">
        <f>A26&amp;"|"&amp;B26</f>
        <v/>
      </c>
    </row>
    <row r="27">
      <c r="A27">
        <f>Scenarios!A8</f>
        <v/>
      </c>
      <c r="B27" t="inlineStr">
        <is>
          <t>FY2026</t>
        </is>
      </c>
      <c r="C27">
        <f>IF(Scenarios!D8=1,0, BaselineCalc!$B$7 + ROUND((=IF(ISNUMBER(SEARCH("Ramp",A27)), CHOOSE(MATCH(B27,{"FY2026","FY2027","FY2028","FY2029","FY2030"},0),50,100,150,150,150), Scenarios!C8))*Scenarios!F8,0))</f>
        <v/>
      </c>
      <c r="D27">
        <f>IF(Scenarios!E8=1,0, BaselineCalc!$B$8 + (=IF(ISNUMBER(SEARCH("Ramp",A27)), CHOOSE(MATCH(B27,{"FY2026","FY2027","FY2028","FY2029","FY2030"},0),50,100,150,150,150), Scenarios!C8)) - ROUND((=IF(ISNUMBER(SEARCH("Ramp",A27)), CHOOSE(MATCH(B27,{"FY2026","FY2027","FY2028","FY2029","FY2030"},0),50,100,150,150,150), Scenarios!C8))*Scenarios!F8,0))</f>
        <v/>
      </c>
      <c r="E27">
        <f>C27+D27</f>
        <v/>
      </c>
      <c r="F27">
        <f>VLOOKUP(B27,YearMap!$A$2:$B$6,2,FALSE)</f>
        <v/>
      </c>
      <c r="G27">
        <f>VLOOKUP(B27,YearMap!$A$2:$C$6,3,FALSE)</f>
        <v/>
      </c>
      <c r="H27">
        <f>VLOOKUP(B27,YearMap!$A$2:$D$6,4,FALSE)</f>
        <v/>
      </c>
      <c r="I27">
        <f>1-BaselineCalc!$B$5</f>
        <v/>
      </c>
      <c r="J27">
        <f>Scenarios!G8</f>
        <v/>
      </c>
      <c r="K27">
        <f>(G27+H27+F27*E27)*I27*(1-J27)</f>
        <v/>
      </c>
      <c r="L27">
        <f>IF(E27&gt;0, K27/E27, NA())</f>
        <v/>
      </c>
      <c r="M27">
        <f>A27&amp;"|"&amp;B27</f>
        <v/>
      </c>
    </row>
    <row r="28">
      <c r="A28">
        <f>Scenarios!A8</f>
        <v/>
      </c>
      <c r="B28" t="inlineStr">
        <is>
          <t>FY2027</t>
        </is>
      </c>
      <c r="C28">
        <f>IF(Scenarios!D8=1,0, BaselineCalc!$B$7 + ROUND((=IF(ISNUMBER(SEARCH("Ramp",A28)), CHOOSE(MATCH(B28,{"FY2026","FY2027","FY2028","FY2029","FY2030"},0),50,100,150,150,150), Scenarios!C8))*Scenarios!F8,0))</f>
        <v/>
      </c>
      <c r="D28">
        <f>IF(Scenarios!E8=1,0, BaselineCalc!$B$8 + (=IF(ISNUMBER(SEARCH("Ramp",A28)), CHOOSE(MATCH(B28,{"FY2026","FY2027","FY2028","FY2029","FY2030"},0),50,100,150,150,150), Scenarios!C8)) - ROUND((=IF(ISNUMBER(SEARCH("Ramp",A28)), CHOOSE(MATCH(B28,{"FY2026","FY2027","FY2028","FY2029","FY2030"},0),50,100,150,150,150), Scenarios!C8))*Scenarios!F8,0))</f>
        <v/>
      </c>
      <c r="E28">
        <f>C28+D28</f>
        <v/>
      </c>
      <c r="F28">
        <f>VLOOKUP(B28,YearMap!$A$2:$B$6,2,FALSE)</f>
        <v/>
      </c>
      <c r="G28">
        <f>VLOOKUP(B28,YearMap!$A$2:$C$6,3,FALSE)</f>
        <v/>
      </c>
      <c r="H28">
        <f>VLOOKUP(B28,YearMap!$A$2:$D$6,4,FALSE)</f>
        <v/>
      </c>
      <c r="I28">
        <f>1-BaselineCalc!$B$5</f>
        <v/>
      </c>
      <c r="J28">
        <f>Scenarios!G8</f>
        <v/>
      </c>
      <c r="K28">
        <f>(G28+H28+F28*E28)*I28*(1-J28)</f>
        <v/>
      </c>
      <c r="L28">
        <f>IF(E28&gt;0, K28/E28, NA())</f>
        <v/>
      </c>
      <c r="M28">
        <f>A28&amp;"|"&amp;B28</f>
        <v/>
      </c>
    </row>
    <row r="29">
      <c r="A29">
        <f>Scenarios!A8</f>
        <v/>
      </c>
      <c r="B29" t="inlineStr">
        <is>
          <t>FY2028</t>
        </is>
      </c>
      <c r="C29">
        <f>IF(Scenarios!D8=1,0, BaselineCalc!$B$7 + ROUND((=IF(ISNUMBER(SEARCH("Ramp",A29)), CHOOSE(MATCH(B29,{"FY2026","FY2027","FY2028","FY2029","FY2030"},0),50,100,150,150,150), Scenarios!C8))*Scenarios!F8,0))</f>
        <v/>
      </c>
      <c r="D29">
        <f>IF(Scenarios!E8=1,0, BaselineCalc!$B$8 + (=IF(ISNUMBER(SEARCH("Ramp",A29)), CHOOSE(MATCH(B29,{"FY2026","FY2027","FY2028","FY2029","FY2030"},0),50,100,150,150,150), Scenarios!C8)) - ROUND((=IF(ISNUMBER(SEARCH("Ramp",A29)), CHOOSE(MATCH(B29,{"FY2026","FY2027","FY2028","FY2029","FY2030"},0),50,100,150,150,150), Scenarios!C8))*Scenarios!F8,0))</f>
        <v/>
      </c>
      <c r="E29">
        <f>C29+D29</f>
        <v/>
      </c>
      <c r="F29">
        <f>VLOOKUP(B29,YearMap!$A$2:$B$6,2,FALSE)</f>
        <v/>
      </c>
      <c r="G29">
        <f>VLOOKUP(B29,YearMap!$A$2:$C$6,3,FALSE)</f>
        <v/>
      </c>
      <c r="H29">
        <f>VLOOKUP(B29,YearMap!$A$2:$D$6,4,FALSE)</f>
        <v/>
      </c>
      <c r="I29">
        <f>1-BaselineCalc!$B$5</f>
        <v/>
      </c>
      <c r="J29">
        <f>Scenarios!G8</f>
        <v/>
      </c>
      <c r="K29">
        <f>(G29+H29+F29*E29)*I29*(1-J29)</f>
        <v/>
      </c>
      <c r="L29">
        <f>IF(E29&gt;0, K29/E29, NA())</f>
        <v/>
      </c>
      <c r="M29">
        <f>A29&amp;"|"&amp;B29</f>
        <v/>
      </c>
    </row>
    <row r="30">
      <c r="A30">
        <f>Scenarios!A8</f>
        <v/>
      </c>
      <c r="B30" t="inlineStr">
        <is>
          <t>FY2029</t>
        </is>
      </c>
      <c r="C30">
        <f>IF(Scenarios!D8=1,0, BaselineCalc!$B$7 + ROUND((=IF(ISNUMBER(SEARCH("Ramp",A30)), CHOOSE(MATCH(B30,{"FY2026","FY2027","FY2028","FY2029","FY2030"},0),50,100,150,150,150), Scenarios!C8))*Scenarios!F8,0))</f>
        <v/>
      </c>
      <c r="D30">
        <f>IF(Scenarios!E8=1,0, BaselineCalc!$B$8 + (=IF(ISNUMBER(SEARCH("Ramp",A30)), CHOOSE(MATCH(B30,{"FY2026","FY2027","FY2028","FY2029","FY2030"},0),50,100,150,150,150), Scenarios!C8)) - ROUND((=IF(ISNUMBER(SEARCH("Ramp",A30)), CHOOSE(MATCH(B30,{"FY2026","FY2027","FY2028","FY2029","FY2030"},0),50,100,150,150,150), Scenarios!C8))*Scenarios!F8,0))</f>
        <v/>
      </c>
      <c r="E30">
        <f>C30+D30</f>
        <v/>
      </c>
      <c r="F30">
        <f>VLOOKUP(B30,YearMap!$A$2:$B$6,2,FALSE)</f>
        <v/>
      </c>
      <c r="G30">
        <f>VLOOKUP(B30,YearMap!$A$2:$C$6,3,FALSE)</f>
        <v/>
      </c>
      <c r="H30">
        <f>VLOOKUP(B30,YearMap!$A$2:$D$6,4,FALSE)</f>
        <v/>
      </c>
      <c r="I30">
        <f>1-BaselineCalc!$B$5</f>
        <v/>
      </c>
      <c r="J30">
        <f>Scenarios!G8</f>
        <v/>
      </c>
      <c r="K30">
        <f>(G30+H30+F30*E30)*I30*(1-J30)</f>
        <v/>
      </c>
      <c r="L30">
        <f>IF(E30&gt;0, K30/E30, NA())</f>
        <v/>
      </c>
      <c r="M30">
        <f>A30&amp;"|"&amp;B30</f>
        <v/>
      </c>
    </row>
    <row r="31">
      <c r="A31">
        <f>Scenarios!A8</f>
        <v/>
      </c>
      <c r="B31" t="inlineStr">
        <is>
          <t>FY2030</t>
        </is>
      </c>
      <c r="C31">
        <f>IF(Scenarios!D8=1,0, BaselineCalc!$B$7 + ROUND((=IF(ISNUMBER(SEARCH("Ramp",A31)), CHOOSE(MATCH(B31,{"FY2026","FY2027","FY2028","FY2029","FY2030"},0),50,100,150,150,150), Scenarios!C8))*Scenarios!F8,0))</f>
        <v/>
      </c>
      <c r="D31">
        <f>IF(Scenarios!E8=1,0, BaselineCalc!$B$8 + (=IF(ISNUMBER(SEARCH("Ramp",A31)), CHOOSE(MATCH(B31,{"FY2026","FY2027","FY2028","FY2029","FY2030"},0),50,100,150,150,150), Scenarios!C8)) - ROUND((=IF(ISNUMBER(SEARCH("Ramp",A31)), CHOOSE(MATCH(B31,{"FY2026","FY2027","FY2028","FY2029","FY2030"},0),50,100,150,150,150), Scenarios!C8))*Scenarios!F8,0))</f>
        <v/>
      </c>
      <c r="E31">
        <f>C31+D31</f>
        <v/>
      </c>
      <c r="F31">
        <f>VLOOKUP(B31,YearMap!$A$2:$B$6,2,FALSE)</f>
        <v/>
      </c>
      <c r="G31">
        <f>VLOOKUP(B31,YearMap!$A$2:$C$6,3,FALSE)</f>
        <v/>
      </c>
      <c r="H31">
        <f>VLOOKUP(B31,YearMap!$A$2:$D$6,4,FALSE)</f>
        <v/>
      </c>
      <c r="I31">
        <f>1-BaselineCalc!$B$5</f>
        <v/>
      </c>
      <c r="J31">
        <f>Scenarios!G8</f>
        <v/>
      </c>
      <c r="K31">
        <f>(G31+H31+F31*E31)*I31*(1-J31)</f>
        <v/>
      </c>
      <c r="L31">
        <f>IF(E31&gt;0, K31/E31, NA())</f>
        <v/>
      </c>
      <c r="M31">
        <f>A31&amp;"|"&amp;B31</f>
        <v/>
      </c>
    </row>
    <row r="32">
      <c r="A32">
        <f>Scenarios!A9</f>
        <v/>
      </c>
      <c r="B32" t="inlineStr">
        <is>
          <t>FY2026</t>
        </is>
      </c>
      <c r="C32">
        <f>IF(Scenarios!D9=1,0, BaselineCalc!$B$7 + ROUND((=IF(ISNUMBER(SEARCH("Ramp",A32)), CHOOSE(MATCH(B32,{"FY2026","FY2027","FY2028","FY2029","FY2030"},0),50,100,150,150,150), Scenarios!C9))*Scenarios!F9,0))</f>
        <v/>
      </c>
      <c r="D32">
        <f>IF(Scenarios!E9=1,0, BaselineCalc!$B$8 + (=IF(ISNUMBER(SEARCH("Ramp",A32)), CHOOSE(MATCH(B32,{"FY2026","FY2027","FY2028","FY2029","FY2030"},0),50,100,150,150,150), Scenarios!C9)) - ROUND((=IF(ISNUMBER(SEARCH("Ramp",A32)), CHOOSE(MATCH(B32,{"FY2026","FY2027","FY2028","FY2029","FY2030"},0),50,100,150,150,150), Scenarios!C9))*Scenarios!F9,0))</f>
        <v/>
      </c>
      <c r="E32">
        <f>C32+D32</f>
        <v/>
      </c>
      <c r="F32">
        <f>VLOOKUP(B32,YearMap!$A$2:$B$6,2,FALSE)</f>
        <v/>
      </c>
      <c r="G32">
        <f>VLOOKUP(B32,YearMap!$A$2:$C$6,3,FALSE)</f>
        <v/>
      </c>
      <c r="H32">
        <f>VLOOKUP(B32,YearMap!$A$2:$D$6,4,FALSE)</f>
        <v/>
      </c>
      <c r="I32">
        <f>1-BaselineCalc!$B$5</f>
        <v/>
      </c>
      <c r="J32">
        <f>Scenarios!G9</f>
        <v/>
      </c>
      <c r="K32">
        <f>(G32+H32+F32*E32)*I32*(1-J32)</f>
        <v/>
      </c>
      <c r="L32">
        <f>IF(E32&gt;0, K32/E32, NA())</f>
        <v/>
      </c>
      <c r="M32">
        <f>A32&amp;"|"&amp;B32</f>
        <v/>
      </c>
    </row>
    <row r="33">
      <c r="A33">
        <f>Scenarios!A9</f>
        <v/>
      </c>
      <c r="B33" t="inlineStr">
        <is>
          <t>FY2027</t>
        </is>
      </c>
      <c r="C33">
        <f>IF(Scenarios!D9=1,0, BaselineCalc!$B$7 + ROUND((=IF(ISNUMBER(SEARCH("Ramp",A33)), CHOOSE(MATCH(B33,{"FY2026","FY2027","FY2028","FY2029","FY2030"},0),50,100,150,150,150), Scenarios!C9))*Scenarios!F9,0))</f>
        <v/>
      </c>
      <c r="D33">
        <f>IF(Scenarios!E9=1,0, BaselineCalc!$B$8 + (=IF(ISNUMBER(SEARCH("Ramp",A33)), CHOOSE(MATCH(B33,{"FY2026","FY2027","FY2028","FY2029","FY2030"},0),50,100,150,150,150), Scenarios!C9)) - ROUND((=IF(ISNUMBER(SEARCH("Ramp",A33)), CHOOSE(MATCH(B33,{"FY2026","FY2027","FY2028","FY2029","FY2030"},0),50,100,150,150,150), Scenarios!C9))*Scenarios!F9,0))</f>
        <v/>
      </c>
      <c r="E33">
        <f>C33+D33</f>
        <v/>
      </c>
      <c r="F33">
        <f>VLOOKUP(B33,YearMap!$A$2:$B$6,2,FALSE)</f>
        <v/>
      </c>
      <c r="G33">
        <f>VLOOKUP(B33,YearMap!$A$2:$C$6,3,FALSE)</f>
        <v/>
      </c>
      <c r="H33">
        <f>VLOOKUP(B33,YearMap!$A$2:$D$6,4,FALSE)</f>
        <v/>
      </c>
      <c r="I33">
        <f>1-BaselineCalc!$B$5</f>
        <v/>
      </c>
      <c r="J33">
        <f>Scenarios!G9</f>
        <v/>
      </c>
      <c r="K33">
        <f>(G33+H33+F33*E33)*I33*(1-J33)</f>
        <v/>
      </c>
      <c r="L33">
        <f>IF(E33&gt;0, K33/E33, NA())</f>
        <v/>
      </c>
      <c r="M33">
        <f>A33&amp;"|"&amp;B33</f>
        <v/>
      </c>
    </row>
    <row r="34">
      <c r="A34">
        <f>Scenarios!A9</f>
        <v/>
      </c>
      <c r="B34" t="inlineStr">
        <is>
          <t>FY2028</t>
        </is>
      </c>
      <c r="C34">
        <f>IF(Scenarios!D9=1,0, BaselineCalc!$B$7 + ROUND((=IF(ISNUMBER(SEARCH("Ramp",A34)), CHOOSE(MATCH(B34,{"FY2026","FY2027","FY2028","FY2029","FY2030"},0),50,100,150,150,150), Scenarios!C9))*Scenarios!F9,0))</f>
        <v/>
      </c>
      <c r="D34">
        <f>IF(Scenarios!E9=1,0, BaselineCalc!$B$8 + (=IF(ISNUMBER(SEARCH("Ramp",A34)), CHOOSE(MATCH(B34,{"FY2026","FY2027","FY2028","FY2029","FY2030"},0),50,100,150,150,150), Scenarios!C9)) - ROUND((=IF(ISNUMBER(SEARCH("Ramp",A34)), CHOOSE(MATCH(B34,{"FY2026","FY2027","FY2028","FY2029","FY2030"},0),50,100,150,150,150), Scenarios!C9))*Scenarios!F9,0))</f>
        <v/>
      </c>
      <c r="E34">
        <f>C34+D34</f>
        <v/>
      </c>
      <c r="F34">
        <f>VLOOKUP(B34,YearMap!$A$2:$B$6,2,FALSE)</f>
        <v/>
      </c>
      <c r="G34">
        <f>VLOOKUP(B34,YearMap!$A$2:$C$6,3,FALSE)</f>
        <v/>
      </c>
      <c r="H34">
        <f>VLOOKUP(B34,YearMap!$A$2:$D$6,4,FALSE)</f>
        <v/>
      </c>
      <c r="I34">
        <f>1-BaselineCalc!$B$5</f>
        <v/>
      </c>
      <c r="J34">
        <f>Scenarios!G9</f>
        <v/>
      </c>
      <c r="K34">
        <f>(G34+H34+F34*E34)*I34*(1-J34)</f>
        <v/>
      </c>
      <c r="L34">
        <f>IF(E34&gt;0, K34/E34, NA())</f>
        <v/>
      </c>
      <c r="M34">
        <f>A34&amp;"|"&amp;B34</f>
        <v/>
      </c>
    </row>
    <row r="35">
      <c r="A35">
        <f>Scenarios!A9</f>
        <v/>
      </c>
      <c r="B35" t="inlineStr">
        <is>
          <t>FY2029</t>
        </is>
      </c>
      <c r="C35">
        <f>IF(Scenarios!D9=1,0, BaselineCalc!$B$7 + ROUND((=IF(ISNUMBER(SEARCH("Ramp",A35)), CHOOSE(MATCH(B35,{"FY2026","FY2027","FY2028","FY2029","FY2030"},0),50,100,150,150,150), Scenarios!C9))*Scenarios!F9,0))</f>
        <v/>
      </c>
      <c r="D35">
        <f>IF(Scenarios!E9=1,0, BaselineCalc!$B$8 + (=IF(ISNUMBER(SEARCH("Ramp",A35)), CHOOSE(MATCH(B35,{"FY2026","FY2027","FY2028","FY2029","FY2030"},0),50,100,150,150,150), Scenarios!C9)) - ROUND((=IF(ISNUMBER(SEARCH("Ramp",A35)), CHOOSE(MATCH(B35,{"FY2026","FY2027","FY2028","FY2029","FY2030"},0),50,100,150,150,150), Scenarios!C9))*Scenarios!F9,0))</f>
        <v/>
      </c>
      <c r="E35">
        <f>C35+D35</f>
        <v/>
      </c>
      <c r="F35">
        <f>VLOOKUP(B35,YearMap!$A$2:$B$6,2,FALSE)</f>
        <v/>
      </c>
      <c r="G35">
        <f>VLOOKUP(B35,YearMap!$A$2:$C$6,3,FALSE)</f>
        <v/>
      </c>
      <c r="H35">
        <f>VLOOKUP(B35,YearMap!$A$2:$D$6,4,FALSE)</f>
        <v/>
      </c>
      <c r="I35">
        <f>1-BaselineCalc!$B$5</f>
        <v/>
      </c>
      <c r="J35">
        <f>Scenarios!G9</f>
        <v/>
      </c>
      <c r="K35">
        <f>(G35+H35+F35*E35)*I35*(1-J35)</f>
        <v/>
      </c>
      <c r="L35">
        <f>IF(E35&gt;0, K35/E35, NA())</f>
        <v/>
      </c>
      <c r="M35">
        <f>A35&amp;"|"&amp;B35</f>
        <v/>
      </c>
    </row>
    <row r="36">
      <c r="A36">
        <f>Scenarios!A9</f>
        <v/>
      </c>
      <c r="B36" t="inlineStr">
        <is>
          <t>FY2030</t>
        </is>
      </c>
      <c r="C36">
        <f>IF(Scenarios!D9=1,0, BaselineCalc!$B$7 + ROUND((=IF(ISNUMBER(SEARCH("Ramp",A36)), CHOOSE(MATCH(B36,{"FY2026","FY2027","FY2028","FY2029","FY2030"},0),50,100,150,150,150), Scenarios!C9))*Scenarios!F9,0))</f>
        <v/>
      </c>
      <c r="D36">
        <f>IF(Scenarios!E9=1,0, BaselineCalc!$B$8 + (=IF(ISNUMBER(SEARCH("Ramp",A36)), CHOOSE(MATCH(B36,{"FY2026","FY2027","FY2028","FY2029","FY2030"},0),50,100,150,150,150), Scenarios!C9)) - ROUND((=IF(ISNUMBER(SEARCH("Ramp",A36)), CHOOSE(MATCH(B36,{"FY2026","FY2027","FY2028","FY2029","FY2030"},0),50,100,150,150,150), Scenarios!C9))*Scenarios!F9,0))</f>
        <v/>
      </c>
      <c r="E36">
        <f>C36+D36</f>
        <v/>
      </c>
      <c r="F36">
        <f>VLOOKUP(B36,YearMap!$A$2:$B$6,2,FALSE)</f>
        <v/>
      </c>
      <c r="G36">
        <f>VLOOKUP(B36,YearMap!$A$2:$C$6,3,FALSE)</f>
        <v/>
      </c>
      <c r="H36">
        <f>VLOOKUP(B36,YearMap!$A$2:$D$6,4,FALSE)</f>
        <v/>
      </c>
      <c r="I36">
        <f>1-BaselineCalc!$B$5</f>
        <v/>
      </c>
      <c r="J36">
        <f>Scenarios!G9</f>
        <v/>
      </c>
      <c r="K36">
        <f>(G36+H36+F36*E36)*I36*(1-J36)</f>
        <v/>
      </c>
      <c r="L36">
        <f>IF(E36&gt;0, K36/E36, NA())</f>
        <v/>
      </c>
      <c r="M36">
        <f>A36&amp;"|"&amp;B36</f>
        <v/>
      </c>
    </row>
    <row r="37">
      <c r="A37">
        <f>Scenarios!A10</f>
        <v/>
      </c>
      <c r="B37" t="inlineStr">
        <is>
          <t>FY2026</t>
        </is>
      </c>
      <c r="C37">
        <f>IF(Scenarios!D10=1,0, BaselineCalc!$B$7 + ROUND((=IF(ISNUMBER(SEARCH("Ramp",A37)), CHOOSE(MATCH(B37,{"FY2026","FY2027","FY2028","FY2029","FY2030"},0),50,100,150,150,150), Scenarios!C10))*Scenarios!F10,0))</f>
        <v/>
      </c>
      <c r="D37">
        <f>IF(Scenarios!E10=1,0, BaselineCalc!$B$8 + (=IF(ISNUMBER(SEARCH("Ramp",A37)), CHOOSE(MATCH(B37,{"FY2026","FY2027","FY2028","FY2029","FY2030"},0),50,100,150,150,150), Scenarios!C10)) - ROUND((=IF(ISNUMBER(SEARCH("Ramp",A37)), CHOOSE(MATCH(B37,{"FY2026","FY2027","FY2028","FY2029","FY2030"},0),50,100,150,150,150), Scenarios!C10))*Scenarios!F10,0))</f>
        <v/>
      </c>
      <c r="E37">
        <f>C37+D37</f>
        <v/>
      </c>
      <c r="F37">
        <f>VLOOKUP(B37,YearMap!$A$2:$B$6,2,FALSE)</f>
        <v/>
      </c>
      <c r="G37">
        <f>VLOOKUP(B37,YearMap!$A$2:$C$6,3,FALSE)</f>
        <v/>
      </c>
      <c r="H37">
        <f>VLOOKUP(B37,YearMap!$A$2:$D$6,4,FALSE)</f>
        <v/>
      </c>
      <c r="I37">
        <f>1-BaselineCalc!$B$5</f>
        <v/>
      </c>
      <c r="J37">
        <f>Scenarios!G10</f>
        <v/>
      </c>
      <c r="K37">
        <f>(G37+H37+F37*E37)*I37*(1-J37)</f>
        <v/>
      </c>
      <c r="L37">
        <f>IF(E37&gt;0, K37/E37, NA())</f>
        <v/>
      </c>
      <c r="M37">
        <f>A37&amp;"|"&amp;B37</f>
        <v/>
      </c>
    </row>
    <row r="38">
      <c r="A38">
        <f>Scenarios!A10</f>
        <v/>
      </c>
      <c r="B38" t="inlineStr">
        <is>
          <t>FY2027</t>
        </is>
      </c>
      <c r="C38">
        <f>IF(Scenarios!D10=1,0, BaselineCalc!$B$7 + ROUND((=IF(ISNUMBER(SEARCH("Ramp",A38)), CHOOSE(MATCH(B38,{"FY2026","FY2027","FY2028","FY2029","FY2030"},0),50,100,150,150,150), Scenarios!C10))*Scenarios!F10,0))</f>
        <v/>
      </c>
      <c r="D38">
        <f>IF(Scenarios!E10=1,0, BaselineCalc!$B$8 + (=IF(ISNUMBER(SEARCH("Ramp",A38)), CHOOSE(MATCH(B38,{"FY2026","FY2027","FY2028","FY2029","FY2030"},0),50,100,150,150,150), Scenarios!C10)) - ROUND((=IF(ISNUMBER(SEARCH("Ramp",A38)), CHOOSE(MATCH(B38,{"FY2026","FY2027","FY2028","FY2029","FY2030"},0),50,100,150,150,150), Scenarios!C10))*Scenarios!F10,0))</f>
        <v/>
      </c>
      <c r="E38">
        <f>C38+D38</f>
        <v/>
      </c>
      <c r="F38">
        <f>VLOOKUP(B38,YearMap!$A$2:$B$6,2,FALSE)</f>
        <v/>
      </c>
      <c r="G38">
        <f>VLOOKUP(B38,YearMap!$A$2:$C$6,3,FALSE)</f>
        <v/>
      </c>
      <c r="H38">
        <f>VLOOKUP(B38,YearMap!$A$2:$D$6,4,FALSE)</f>
        <v/>
      </c>
      <c r="I38">
        <f>1-BaselineCalc!$B$5</f>
        <v/>
      </c>
      <c r="J38">
        <f>Scenarios!G10</f>
        <v/>
      </c>
      <c r="K38">
        <f>(G38+H38+F38*E38)*I38*(1-J38)</f>
        <v/>
      </c>
      <c r="L38">
        <f>IF(E38&gt;0, K38/E38, NA())</f>
        <v/>
      </c>
      <c r="M38">
        <f>A38&amp;"|"&amp;B38</f>
        <v/>
      </c>
    </row>
    <row r="39">
      <c r="A39">
        <f>Scenarios!A10</f>
        <v/>
      </c>
      <c r="B39" t="inlineStr">
        <is>
          <t>FY2028</t>
        </is>
      </c>
      <c r="C39">
        <f>IF(Scenarios!D10=1,0, BaselineCalc!$B$7 + ROUND((=IF(ISNUMBER(SEARCH("Ramp",A39)), CHOOSE(MATCH(B39,{"FY2026","FY2027","FY2028","FY2029","FY2030"},0),50,100,150,150,150), Scenarios!C10))*Scenarios!F10,0))</f>
        <v/>
      </c>
      <c r="D39">
        <f>IF(Scenarios!E10=1,0, BaselineCalc!$B$8 + (=IF(ISNUMBER(SEARCH("Ramp",A39)), CHOOSE(MATCH(B39,{"FY2026","FY2027","FY2028","FY2029","FY2030"},0),50,100,150,150,150), Scenarios!C10)) - ROUND((=IF(ISNUMBER(SEARCH("Ramp",A39)), CHOOSE(MATCH(B39,{"FY2026","FY2027","FY2028","FY2029","FY2030"},0),50,100,150,150,150), Scenarios!C10))*Scenarios!F10,0))</f>
        <v/>
      </c>
      <c r="E39">
        <f>C39+D39</f>
        <v/>
      </c>
      <c r="F39">
        <f>VLOOKUP(B39,YearMap!$A$2:$B$6,2,FALSE)</f>
        <v/>
      </c>
      <c r="G39">
        <f>VLOOKUP(B39,YearMap!$A$2:$C$6,3,FALSE)</f>
        <v/>
      </c>
      <c r="H39">
        <f>VLOOKUP(B39,YearMap!$A$2:$D$6,4,FALSE)</f>
        <v/>
      </c>
      <c r="I39">
        <f>1-BaselineCalc!$B$5</f>
        <v/>
      </c>
      <c r="J39">
        <f>Scenarios!G10</f>
        <v/>
      </c>
      <c r="K39">
        <f>(G39+H39+F39*E39)*I39*(1-J39)</f>
        <v/>
      </c>
      <c r="L39">
        <f>IF(E39&gt;0, K39/E39, NA())</f>
        <v/>
      </c>
      <c r="M39">
        <f>A39&amp;"|"&amp;B39</f>
        <v/>
      </c>
    </row>
    <row r="40">
      <c r="A40">
        <f>Scenarios!A10</f>
        <v/>
      </c>
      <c r="B40" t="inlineStr">
        <is>
          <t>FY2029</t>
        </is>
      </c>
      <c r="C40">
        <f>IF(Scenarios!D10=1,0, BaselineCalc!$B$7 + ROUND((=IF(ISNUMBER(SEARCH("Ramp",A40)), CHOOSE(MATCH(B40,{"FY2026","FY2027","FY2028","FY2029","FY2030"},0),50,100,150,150,150), Scenarios!C10))*Scenarios!F10,0))</f>
        <v/>
      </c>
      <c r="D40">
        <f>IF(Scenarios!E10=1,0, BaselineCalc!$B$8 + (=IF(ISNUMBER(SEARCH("Ramp",A40)), CHOOSE(MATCH(B40,{"FY2026","FY2027","FY2028","FY2029","FY2030"},0),50,100,150,150,150), Scenarios!C10)) - ROUND((=IF(ISNUMBER(SEARCH("Ramp",A40)), CHOOSE(MATCH(B40,{"FY2026","FY2027","FY2028","FY2029","FY2030"},0),50,100,150,150,150), Scenarios!C10))*Scenarios!F10,0))</f>
        <v/>
      </c>
      <c r="E40">
        <f>C40+D40</f>
        <v/>
      </c>
      <c r="F40">
        <f>VLOOKUP(B40,YearMap!$A$2:$B$6,2,FALSE)</f>
        <v/>
      </c>
      <c r="G40">
        <f>VLOOKUP(B40,YearMap!$A$2:$C$6,3,FALSE)</f>
        <v/>
      </c>
      <c r="H40">
        <f>VLOOKUP(B40,YearMap!$A$2:$D$6,4,FALSE)</f>
        <v/>
      </c>
      <c r="I40">
        <f>1-BaselineCalc!$B$5</f>
        <v/>
      </c>
      <c r="J40">
        <f>Scenarios!G10</f>
        <v/>
      </c>
      <c r="K40">
        <f>(G40+H40+F40*E40)*I40*(1-J40)</f>
        <v/>
      </c>
      <c r="L40">
        <f>IF(E40&gt;0, K40/E40, NA())</f>
        <v/>
      </c>
      <c r="M40">
        <f>A40&amp;"|"&amp;B40</f>
        <v/>
      </c>
    </row>
    <row r="41">
      <c r="A41">
        <f>Scenarios!A10</f>
        <v/>
      </c>
      <c r="B41" t="inlineStr">
        <is>
          <t>FY2030</t>
        </is>
      </c>
      <c r="C41">
        <f>IF(Scenarios!D10=1,0, BaselineCalc!$B$7 + ROUND((=IF(ISNUMBER(SEARCH("Ramp",A41)), CHOOSE(MATCH(B41,{"FY2026","FY2027","FY2028","FY2029","FY2030"},0),50,100,150,150,150), Scenarios!C10))*Scenarios!F10,0))</f>
        <v/>
      </c>
      <c r="D41">
        <f>IF(Scenarios!E10=1,0, BaselineCalc!$B$8 + (=IF(ISNUMBER(SEARCH("Ramp",A41)), CHOOSE(MATCH(B41,{"FY2026","FY2027","FY2028","FY2029","FY2030"},0),50,100,150,150,150), Scenarios!C10)) - ROUND((=IF(ISNUMBER(SEARCH("Ramp",A41)), CHOOSE(MATCH(B41,{"FY2026","FY2027","FY2028","FY2029","FY2030"},0),50,100,150,150,150), Scenarios!C10))*Scenarios!F10,0))</f>
        <v/>
      </c>
      <c r="E41">
        <f>C41+D41</f>
        <v/>
      </c>
      <c r="F41">
        <f>VLOOKUP(B41,YearMap!$A$2:$B$6,2,FALSE)</f>
        <v/>
      </c>
      <c r="G41">
        <f>VLOOKUP(B41,YearMap!$A$2:$C$6,3,FALSE)</f>
        <v/>
      </c>
      <c r="H41">
        <f>VLOOKUP(B41,YearMap!$A$2:$D$6,4,FALSE)</f>
        <v/>
      </c>
      <c r="I41">
        <f>1-BaselineCalc!$B$5</f>
        <v/>
      </c>
      <c r="J41">
        <f>Scenarios!G10</f>
        <v/>
      </c>
      <c r="K41">
        <f>(G41+H41+F41*E41)*I41*(1-J41)</f>
        <v/>
      </c>
      <c r="L41">
        <f>IF(E41&gt;0, K41/E41, NA())</f>
        <v/>
      </c>
      <c r="M41">
        <f>A41&amp;"|"&amp;B41</f>
        <v/>
      </c>
    </row>
    <row r="42">
      <c r="A42">
        <f>Scenarios!A11</f>
        <v/>
      </c>
      <c r="B42" t="inlineStr">
        <is>
          <t>FY2026</t>
        </is>
      </c>
      <c r="C42">
        <f>IF(Scenarios!D11=1,0, BaselineCalc!$B$7 + ROUND((=IF(ISNUMBER(SEARCH("Ramp",A42)), CHOOSE(MATCH(B42,{"FY2026","FY2027","FY2028","FY2029","FY2030"},0),50,100,150,150,150), Scenarios!C11))*Scenarios!F11,0))</f>
        <v/>
      </c>
      <c r="D42">
        <f>IF(Scenarios!E11=1,0, BaselineCalc!$B$8 + (=IF(ISNUMBER(SEARCH("Ramp",A42)), CHOOSE(MATCH(B42,{"FY2026","FY2027","FY2028","FY2029","FY2030"},0),50,100,150,150,150), Scenarios!C11)) - ROUND((=IF(ISNUMBER(SEARCH("Ramp",A42)), CHOOSE(MATCH(B42,{"FY2026","FY2027","FY2028","FY2029","FY2030"},0),50,100,150,150,150), Scenarios!C11))*Scenarios!F11,0))</f>
        <v/>
      </c>
      <c r="E42">
        <f>C42+D42</f>
        <v/>
      </c>
      <c r="F42">
        <f>VLOOKUP(B42,YearMap!$A$2:$B$6,2,FALSE)</f>
        <v/>
      </c>
      <c r="G42">
        <f>VLOOKUP(B42,YearMap!$A$2:$C$6,3,FALSE)</f>
        <v/>
      </c>
      <c r="H42">
        <f>VLOOKUP(B42,YearMap!$A$2:$D$6,4,FALSE)</f>
        <v/>
      </c>
      <c r="I42">
        <f>1-BaselineCalc!$B$5</f>
        <v/>
      </c>
      <c r="J42">
        <f>Scenarios!G11</f>
        <v/>
      </c>
      <c r="K42">
        <f>(G42+H42+F42*E42)*I42*(1-J42)</f>
        <v/>
      </c>
      <c r="L42">
        <f>IF(E42&gt;0, K42/E42, NA())</f>
        <v/>
      </c>
      <c r="M42">
        <f>A42&amp;"|"&amp;B42</f>
        <v/>
      </c>
    </row>
    <row r="43">
      <c r="A43">
        <f>Scenarios!A11</f>
        <v/>
      </c>
      <c r="B43" t="inlineStr">
        <is>
          <t>FY2027</t>
        </is>
      </c>
      <c r="C43">
        <f>IF(Scenarios!D11=1,0, BaselineCalc!$B$7 + ROUND((=IF(ISNUMBER(SEARCH("Ramp",A43)), CHOOSE(MATCH(B43,{"FY2026","FY2027","FY2028","FY2029","FY2030"},0),50,100,150,150,150), Scenarios!C11))*Scenarios!F11,0))</f>
        <v/>
      </c>
      <c r="D43">
        <f>IF(Scenarios!E11=1,0, BaselineCalc!$B$8 + (=IF(ISNUMBER(SEARCH("Ramp",A43)), CHOOSE(MATCH(B43,{"FY2026","FY2027","FY2028","FY2029","FY2030"},0),50,100,150,150,150), Scenarios!C11)) - ROUND((=IF(ISNUMBER(SEARCH("Ramp",A43)), CHOOSE(MATCH(B43,{"FY2026","FY2027","FY2028","FY2029","FY2030"},0),50,100,150,150,150), Scenarios!C11))*Scenarios!F11,0))</f>
        <v/>
      </c>
      <c r="E43">
        <f>C43+D43</f>
        <v/>
      </c>
      <c r="F43">
        <f>VLOOKUP(B43,YearMap!$A$2:$B$6,2,FALSE)</f>
        <v/>
      </c>
      <c r="G43">
        <f>VLOOKUP(B43,YearMap!$A$2:$C$6,3,FALSE)</f>
        <v/>
      </c>
      <c r="H43">
        <f>VLOOKUP(B43,YearMap!$A$2:$D$6,4,FALSE)</f>
        <v/>
      </c>
      <c r="I43">
        <f>1-BaselineCalc!$B$5</f>
        <v/>
      </c>
      <c r="J43">
        <f>Scenarios!G11</f>
        <v/>
      </c>
      <c r="K43">
        <f>(G43+H43+F43*E43)*I43*(1-J43)</f>
        <v/>
      </c>
      <c r="L43">
        <f>IF(E43&gt;0, K43/E43, NA())</f>
        <v/>
      </c>
      <c r="M43">
        <f>A43&amp;"|"&amp;B43</f>
        <v/>
      </c>
    </row>
    <row r="44">
      <c r="A44">
        <f>Scenarios!A11</f>
        <v/>
      </c>
      <c r="B44" t="inlineStr">
        <is>
          <t>FY2028</t>
        </is>
      </c>
      <c r="C44">
        <f>IF(Scenarios!D11=1,0, BaselineCalc!$B$7 + ROUND((=IF(ISNUMBER(SEARCH("Ramp",A44)), CHOOSE(MATCH(B44,{"FY2026","FY2027","FY2028","FY2029","FY2030"},0),50,100,150,150,150), Scenarios!C11))*Scenarios!F11,0))</f>
        <v/>
      </c>
      <c r="D44">
        <f>IF(Scenarios!E11=1,0, BaselineCalc!$B$8 + (=IF(ISNUMBER(SEARCH("Ramp",A44)), CHOOSE(MATCH(B44,{"FY2026","FY2027","FY2028","FY2029","FY2030"},0),50,100,150,150,150), Scenarios!C11)) - ROUND((=IF(ISNUMBER(SEARCH("Ramp",A44)), CHOOSE(MATCH(B44,{"FY2026","FY2027","FY2028","FY2029","FY2030"},0),50,100,150,150,150), Scenarios!C11))*Scenarios!F11,0))</f>
        <v/>
      </c>
      <c r="E44">
        <f>C44+D44</f>
        <v/>
      </c>
      <c r="F44">
        <f>VLOOKUP(B44,YearMap!$A$2:$B$6,2,FALSE)</f>
        <v/>
      </c>
      <c r="G44">
        <f>VLOOKUP(B44,YearMap!$A$2:$C$6,3,FALSE)</f>
        <v/>
      </c>
      <c r="H44">
        <f>VLOOKUP(B44,YearMap!$A$2:$D$6,4,FALSE)</f>
        <v/>
      </c>
      <c r="I44">
        <f>1-BaselineCalc!$B$5</f>
        <v/>
      </c>
      <c r="J44">
        <f>Scenarios!G11</f>
        <v/>
      </c>
      <c r="K44">
        <f>(G44+H44+F44*E44)*I44*(1-J44)</f>
        <v/>
      </c>
      <c r="L44">
        <f>IF(E44&gt;0, K44/E44, NA())</f>
        <v/>
      </c>
      <c r="M44">
        <f>A44&amp;"|"&amp;B44</f>
        <v/>
      </c>
    </row>
    <row r="45">
      <c r="A45">
        <f>Scenarios!A11</f>
        <v/>
      </c>
      <c r="B45" t="inlineStr">
        <is>
          <t>FY2029</t>
        </is>
      </c>
      <c r="C45">
        <f>IF(Scenarios!D11=1,0, BaselineCalc!$B$7 + ROUND((=IF(ISNUMBER(SEARCH("Ramp",A45)), CHOOSE(MATCH(B45,{"FY2026","FY2027","FY2028","FY2029","FY2030"},0),50,100,150,150,150), Scenarios!C11))*Scenarios!F11,0))</f>
        <v/>
      </c>
      <c r="D45">
        <f>IF(Scenarios!E11=1,0, BaselineCalc!$B$8 + (=IF(ISNUMBER(SEARCH("Ramp",A45)), CHOOSE(MATCH(B45,{"FY2026","FY2027","FY2028","FY2029","FY2030"},0),50,100,150,150,150), Scenarios!C11)) - ROUND((=IF(ISNUMBER(SEARCH("Ramp",A45)), CHOOSE(MATCH(B45,{"FY2026","FY2027","FY2028","FY2029","FY2030"},0),50,100,150,150,150), Scenarios!C11))*Scenarios!F11,0))</f>
        <v/>
      </c>
      <c r="E45">
        <f>C45+D45</f>
        <v/>
      </c>
      <c r="F45">
        <f>VLOOKUP(B45,YearMap!$A$2:$B$6,2,FALSE)</f>
        <v/>
      </c>
      <c r="G45">
        <f>VLOOKUP(B45,YearMap!$A$2:$C$6,3,FALSE)</f>
        <v/>
      </c>
      <c r="H45">
        <f>VLOOKUP(B45,YearMap!$A$2:$D$6,4,FALSE)</f>
        <v/>
      </c>
      <c r="I45">
        <f>1-BaselineCalc!$B$5</f>
        <v/>
      </c>
      <c r="J45">
        <f>Scenarios!G11</f>
        <v/>
      </c>
      <c r="K45">
        <f>(G45+H45+F45*E45)*I45*(1-J45)</f>
        <v/>
      </c>
      <c r="L45">
        <f>IF(E45&gt;0, K45/E45, NA())</f>
        <v/>
      </c>
      <c r="M45">
        <f>A45&amp;"|"&amp;B45</f>
        <v/>
      </c>
    </row>
    <row r="46">
      <c r="A46">
        <f>Scenarios!A11</f>
        <v/>
      </c>
      <c r="B46" t="inlineStr">
        <is>
          <t>FY2030</t>
        </is>
      </c>
      <c r="C46">
        <f>IF(Scenarios!D11=1,0, BaselineCalc!$B$7 + ROUND((=IF(ISNUMBER(SEARCH("Ramp",A46)), CHOOSE(MATCH(B46,{"FY2026","FY2027","FY2028","FY2029","FY2030"},0),50,100,150,150,150), Scenarios!C11))*Scenarios!F11,0))</f>
        <v/>
      </c>
      <c r="D46">
        <f>IF(Scenarios!E11=1,0, BaselineCalc!$B$8 + (=IF(ISNUMBER(SEARCH("Ramp",A46)), CHOOSE(MATCH(B46,{"FY2026","FY2027","FY2028","FY2029","FY2030"},0),50,100,150,150,150), Scenarios!C11)) - ROUND((=IF(ISNUMBER(SEARCH("Ramp",A46)), CHOOSE(MATCH(B46,{"FY2026","FY2027","FY2028","FY2029","FY2030"},0),50,100,150,150,150), Scenarios!C11))*Scenarios!F11,0))</f>
        <v/>
      </c>
      <c r="E46">
        <f>C46+D46</f>
        <v/>
      </c>
      <c r="F46">
        <f>VLOOKUP(B46,YearMap!$A$2:$B$6,2,FALSE)</f>
        <v/>
      </c>
      <c r="G46">
        <f>VLOOKUP(B46,YearMap!$A$2:$C$6,3,FALSE)</f>
        <v/>
      </c>
      <c r="H46">
        <f>VLOOKUP(B46,YearMap!$A$2:$D$6,4,FALSE)</f>
        <v/>
      </c>
      <c r="I46">
        <f>1-BaselineCalc!$B$5</f>
        <v/>
      </c>
      <c r="J46">
        <f>Scenarios!G11</f>
        <v/>
      </c>
      <c r="K46">
        <f>(G46+H46+F46*E46)*I46*(1-J46)</f>
        <v/>
      </c>
      <c r="L46">
        <f>IF(E46&gt;0, K46/E46, NA())</f>
        <v/>
      </c>
      <c r="M46">
        <f>A46&amp;"|"&amp;B46</f>
        <v/>
      </c>
    </row>
    <row r="47">
      <c r="A47">
        <f>Scenarios!A12</f>
        <v/>
      </c>
      <c r="B47" t="inlineStr">
        <is>
          <t>FY2026</t>
        </is>
      </c>
      <c r="C47">
        <f>IF(Scenarios!D12=1,0, BaselineCalc!$B$7 + ROUND((=IF(ISNUMBER(SEARCH("Ramp",A47)), CHOOSE(MATCH(B47,{"FY2026","FY2027","FY2028","FY2029","FY2030"},0),50,100,150,150,150), Scenarios!C12))*Scenarios!F12,0))</f>
        <v/>
      </c>
      <c r="D47">
        <f>IF(Scenarios!E12=1,0, BaselineCalc!$B$8 + (=IF(ISNUMBER(SEARCH("Ramp",A47)), CHOOSE(MATCH(B47,{"FY2026","FY2027","FY2028","FY2029","FY2030"},0),50,100,150,150,150), Scenarios!C12)) - ROUND((=IF(ISNUMBER(SEARCH("Ramp",A47)), CHOOSE(MATCH(B47,{"FY2026","FY2027","FY2028","FY2029","FY2030"},0),50,100,150,150,150), Scenarios!C12))*Scenarios!F12,0))</f>
        <v/>
      </c>
      <c r="E47">
        <f>C47+D47</f>
        <v/>
      </c>
      <c r="F47">
        <f>VLOOKUP(B47,YearMap!$A$2:$B$6,2,FALSE)</f>
        <v/>
      </c>
      <c r="G47">
        <f>VLOOKUP(B47,YearMap!$A$2:$C$6,3,FALSE)</f>
        <v/>
      </c>
      <c r="H47">
        <f>VLOOKUP(B47,YearMap!$A$2:$D$6,4,FALSE)</f>
        <v/>
      </c>
      <c r="I47">
        <f>1-BaselineCalc!$B$5</f>
        <v/>
      </c>
      <c r="J47">
        <f>Scenarios!G12</f>
        <v/>
      </c>
      <c r="K47">
        <f>(G47+H47+F47*E47)*I47*(1-J47)</f>
        <v/>
      </c>
      <c r="L47">
        <f>IF(E47&gt;0, K47/E47, NA())</f>
        <v/>
      </c>
      <c r="M47">
        <f>A47&amp;"|"&amp;B47</f>
        <v/>
      </c>
    </row>
    <row r="48">
      <c r="A48">
        <f>Scenarios!A12</f>
        <v/>
      </c>
      <c r="B48" t="inlineStr">
        <is>
          <t>FY2027</t>
        </is>
      </c>
      <c r="C48">
        <f>IF(Scenarios!D12=1,0, BaselineCalc!$B$7 + ROUND((=IF(ISNUMBER(SEARCH("Ramp",A48)), CHOOSE(MATCH(B48,{"FY2026","FY2027","FY2028","FY2029","FY2030"},0),50,100,150,150,150), Scenarios!C12))*Scenarios!F12,0))</f>
        <v/>
      </c>
      <c r="D48">
        <f>IF(Scenarios!E12=1,0, BaselineCalc!$B$8 + (=IF(ISNUMBER(SEARCH("Ramp",A48)), CHOOSE(MATCH(B48,{"FY2026","FY2027","FY2028","FY2029","FY2030"},0),50,100,150,150,150), Scenarios!C12)) - ROUND((=IF(ISNUMBER(SEARCH("Ramp",A48)), CHOOSE(MATCH(B48,{"FY2026","FY2027","FY2028","FY2029","FY2030"},0),50,100,150,150,150), Scenarios!C12))*Scenarios!F12,0))</f>
        <v/>
      </c>
      <c r="E48">
        <f>C48+D48</f>
        <v/>
      </c>
      <c r="F48">
        <f>VLOOKUP(B48,YearMap!$A$2:$B$6,2,FALSE)</f>
        <v/>
      </c>
      <c r="G48">
        <f>VLOOKUP(B48,YearMap!$A$2:$C$6,3,FALSE)</f>
        <v/>
      </c>
      <c r="H48">
        <f>VLOOKUP(B48,YearMap!$A$2:$D$6,4,FALSE)</f>
        <v/>
      </c>
      <c r="I48">
        <f>1-BaselineCalc!$B$5</f>
        <v/>
      </c>
      <c r="J48">
        <f>Scenarios!G12</f>
        <v/>
      </c>
      <c r="K48">
        <f>(G48+H48+F48*E48)*I48*(1-J48)</f>
        <v/>
      </c>
      <c r="L48">
        <f>IF(E48&gt;0, K48/E48, NA())</f>
        <v/>
      </c>
      <c r="M48">
        <f>A48&amp;"|"&amp;B48</f>
        <v/>
      </c>
    </row>
    <row r="49">
      <c r="A49">
        <f>Scenarios!A12</f>
        <v/>
      </c>
      <c r="B49" t="inlineStr">
        <is>
          <t>FY2028</t>
        </is>
      </c>
      <c r="C49">
        <f>IF(Scenarios!D12=1,0, BaselineCalc!$B$7 + ROUND((=IF(ISNUMBER(SEARCH("Ramp",A49)), CHOOSE(MATCH(B49,{"FY2026","FY2027","FY2028","FY2029","FY2030"},0),50,100,150,150,150), Scenarios!C12))*Scenarios!F12,0))</f>
        <v/>
      </c>
      <c r="D49">
        <f>IF(Scenarios!E12=1,0, BaselineCalc!$B$8 + (=IF(ISNUMBER(SEARCH("Ramp",A49)), CHOOSE(MATCH(B49,{"FY2026","FY2027","FY2028","FY2029","FY2030"},0),50,100,150,150,150), Scenarios!C12)) - ROUND((=IF(ISNUMBER(SEARCH("Ramp",A49)), CHOOSE(MATCH(B49,{"FY2026","FY2027","FY2028","FY2029","FY2030"},0),50,100,150,150,150), Scenarios!C12))*Scenarios!F12,0))</f>
        <v/>
      </c>
      <c r="E49">
        <f>C49+D49</f>
        <v/>
      </c>
      <c r="F49">
        <f>VLOOKUP(B49,YearMap!$A$2:$B$6,2,FALSE)</f>
        <v/>
      </c>
      <c r="G49">
        <f>VLOOKUP(B49,YearMap!$A$2:$C$6,3,FALSE)</f>
        <v/>
      </c>
      <c r="H49">
        <f>VLOOKUP(B49,YearMap!$A$2:$D$6,4,FALSE)</f>
        <v/>
      </c>
      <c r="I49">
        <f>1-BaselineCalc!$B$5</f>
        <v/>
      </c>
      <c r="J49">
        <f>Scenarios!G12</f>
        <v/>
      </c>
      <c r="K49">
        <f>(G49+H49+F49*E49)*I49*(1-J49)</f>
        <v/>
      </c>
      <c r="L49">
        <f>IF(E49&gt;0, K49/E49, NA())</f>
        <v/>
      </c>
      <c r="M49">
        <f>A49&amp;"|"&amp;B49</f>
        <v/>
      </c>
    </row>
    <row r="50">
      <c r="A50">
        <f>Scenarios!A12</f>
        <v/>
      </c>
      <c r="B50" t="inlineStr">
        <is>
          <t>FY2029</t>
        </is>
      </c>
      <c r="C50">
        <f>IF(Scenarios!D12=1,0, BaselineCalc!$B$7 + ROUND((=IF(ISNUMBER(SEARCH("Ramp",A50)), CHOOSE(MATCH(B50,{"FY2026","FY2027","FY2028","FY2029","FY2030"},0),50,100,150,150,150), Scenarios!C12))*Scenarios!F12,0))</f>
        <v/>
      </c>
      <c r="D50">
        <f>IF(Scenarios!E12=1,0, BaselineCalc!$B$8 + (=IF(ISNUMBER(SEARCH("Ramp",A50)), CHOOSE(MATCH(B50,{"FY2026","FY2027","FY2028","FY2029","FY2030"},0),50,100,150,150,150), Scenarios!C12)) - ROUND((=IF(ISNUMBER(SEARCH("Ramp",A50)), CHOOSE(MATCH(B50,{"FY2026","FY2027","FY2028","FY2029","FY2030"},0),50,100,150,150,150), Scenarios!C12))*Scenarios!F12,0))</f>
        <v/>
      </c>
      <c r="E50">
        <f>C50+D50</f>
        <v/>
      </c>
      <c r="F50">
        <f>VLOOKUP(B50,YearMap!$A$2:$B$6,2,FALSE)</f>
        <v/>
      </c>
      <c r="G50">
        <f>VLOOKUP(B50,YearMap!$A$2:$C$6,3,FALSE)</f>
        <v/>
      </c>
      <c r="H50">
        <f>VLOOKUP(B50,YearMap!$A$2:$D$6,4,FALSE)</f>
        <v/>
      </c>
      <c r="I50">
        <f>1-BaselineCalc!$B$5</f>
        <v/>
      </c>
      <c r="J50">
        <f>Scenarios!G12</f>
        <v/>
      </c>
      <c r="K50">
        <f>(G50+H50+F50*E50)*I50*(1-J50)</f>
        <v/>
      </c>
      <c r="L50">
        <f>IF(E50&gt;0, K50/E50, NA())</f>
        <v/>
      </c>
      <c r="M50">
        <f>A50&amp;"|"&amp;B50</f>
        <v/>
      </c>
    </row>
    <row r="51">
      <c r="A51">
        <f>Scenarios!A12</f>
        <v/>
      </c>
      <c r="B51" t="inlineStr">
        <is>
          <t>FY2030</t>
        </is>
      </c>
      <c r="C51">
        <f>IF(Scenarios!D12=1,0, BaselineCalc!$B$7 + ROUND((=IF(ISNUMBER(SEARCH("Ramp",A51)), CHOOSE(MATCH(B51,{"FY2026","FY2027","FY2028","FY2029","FY2030"},0),50,100,150,150,150), Scenarios!C12))*Scenarios!F12,0))</f>
        <v/>
      </c>
      <c r="D51">
        <f>IF(Scenarios!E12=1,0, BaselineCalc!$B$8 + (=IF(ISNUMBER(SEARCH("Ramp",A51)), CHOOSE(MATCH(B51,{"FY2026","FY2027","FY2028","FY2029","FY2030"},0),50,100,150,150,150), Scenarios!C12)) - ROUND((=IF(ISNUMBER(SEARCH("Ramp",A51)), CHOOSE(MATCH(B51,{"FY2026","FY2027","FY2028","FY2029","FY2030"},0),50,100,150,150,150), Scenarios!C12))*Scenarios!F12,0))</f>
        <v/>
      </c>
      <c r="E51">
        <f>C51+D51</f>
        <v/>
      </c>
      <c r="F51">
        <f>VLOOKUP(B51,YearMap!$A$2:$B$6,2,FALSE)</f>
        <v/>
      </c>
      <c r="G51">
        <f>VLOOKUP(B51,YearMap!$A$2:$C$6,3,FALSE)</f>
        <v/>
      </c>
      <c r="H51">
        <f>VLOOKUP(B51,YearMap!$A$2:$D$6,4,FALSE)</f>
        <v/>
      </c>
      <c r="I51">
        <f>1-BaselineCalc!$B$5</f>
        <v/>
      </c>
      <c r="J51">
        <f>Scenarios!G12</f>
        <v/>
      </c>
      <c r="K51">
        <f>(G51+H51+F51*E51)*I51*(1-J51)</f>
        <v/>
      </c>
      <c r="L51">
        <f>IF(E51&gt;0, K51/E51, NA())</f>
        <v/>
      </c>
      <c r="M51">
        <f>A51&amp;"|"&amp;B51</f>
        <v/>
      </c>
    </row>
    <row r="52">
      <c r="A52">
        <f>Scenarios!A13</f>
        <v/>
      </c>
      <c r="B52" t="inlineStr">
        <is>
          <t>FY2026</t>
        </is>
      </c>
      <c r="C52">
        <f>IF(Scenarios!D13=1,0, BaselineCalc!$B$7 + ROUND((=IF(ISNUMBER(SEARCH("Ramp",A52)), CHOOSE(MATCH(B52,{"FY2026","FY2027","FY2028","FY2029","FY2030"},0),50,100,150,150,150), Scenarios!C13))*Scenarios!F13,0))</f>
        <v/>
      </c>
      <c r="D52">
        <f>IF(Scenarios!E13=1,0, BaselineCalc!$B$8 + (=IF(ISNUMBER(SEARCH("Ramp",A52)), CHOOSE(MATCH(B52,{"FY2026","FY2027","FY2028","FY2029","FY2030"},0),50,100,150,150,150), Scenarios!C13)) - ROUND((=IF(ISNUMBER(SEARCH("Ramp",A52)), CHOOSE(MATCH(B52,{"FY2026","FY2027","FY2028","FY2029","FY2030"},0),50,100,150,150,150), Scenarios!C13))*Scenarios!F13,0))</f>
        <v/>
      </c>
      <c r="E52">
        <f>C52+D52</f>
        <v/>
      </c>
      <c r="F52">
        <f>VLOOKUP(B52,YearMap!$A$2:$B$6,2,FALSE)</f>
        <v/>
      </c>
      <c r="G52">
        <f>VLOOKUP(B52,YearMap!$A$2:$C$6,3,FALSE)</f>
        <v/>
      </c>
      <c r="H52">
        <f>VLOOKUP(B52,YearMap!$A$2:$D$6,4,FALSE)</f>
        <v/>
      </c>
      <c r="I52">
        <f>1-BaselineCalc!$B$5</f>
        <v/>
      </c>
      <c r="J52">
        <f>Scenarios!G13</f>
        <v/>
      </c>
      <c r="K52">
        <f>(G52+H52+F52*E52)*I52*(1-J52)</f>
        <v/>
      </c>
      <c r="L52">
        <f>IF(E52&gt;0, K52/E52, NA())</f>
        <v/>
      </c>
      <c r="M52">
        <f>A52&amp;"|"&amp;B52</f>
        <v/>
      </c>
    </row>
    <row r="53">
      <c r="A53">
        <f>Scenarios!A13</f>
        <v/>
      </c>
      <c r="B53" t="inlineStr">
        <is>
          <t>FY2027</t>
        </is>
      </c>
      <c r="C53">
        <f>IF(Scenarios!D13=1,0, BaselineCalc!$B$7 + ROUND((=IF(ISNUMBER(SEARCH("Ramp",A53)), CHOOSE(MATCH(B53,{"FY2026","FY2027","FY2028","FY2029","FY2030"},0),50,100,150,150,150), Scenarios!C13))*Scenarios!F13,0))</f>
        <v/>
      </c>
      <c r="D53">
        <f>IF(Scenarios!E13=1,0, BaselineCalc!$B$8 + (=IF(ISNUMBER(SEARCH("Ramp",A53)), CHOOSE(MATCH(B53,{"FY2026","FY2027","FY2028","FY2029","FY2030"},0),50,100,150,150,150), Scenarios!C13)) - ROUND((=IF(ISNUMBER(SEARCH("Ramp",A53)), CHOOSE(MATCH(B53,{"FY2026","FY2027","FY2028","FY2029","FY2030"},0),50,100,150,150,150), Scenarios!C13))*Scenarios!F13,0))</f>
        <v/>
      </c>
      <c r="E53">
        <f>C53+D53</f>
        <v/>
      </c>
      <c r="F53">
        <f>VLOOKUP(B53,YearMap!$A$2:$B$6,2,FALSE)</f>
        <v/>
      </c>
      <c r="G53">
        <f>VLOOKUP(B53,YearMap!$A$2:$C$6,3,FALSE)</f>
        <v/>
      </c>
      <c r="H53">
        <f>VLOOKUP(B53,YearMap!$A$2:$D$6,4,FALSE)</f>
        <v/>
      </c>
      <c r="I53">
        <f>1-BaselineCalc!$B$5</f>
        <v/>
      </c>
      <c r="J53">
        <f>Scenarios!G13</f>
        <v/>
      </c>
      <c r="K53">
        <f>(G53+H53+F53*E53)*I53*(1-J53)</f>
        <v/>
      </c>
      <c r="L53">
        <f>IF(E53&gt;0, K53/E53, NA())</f>
        <v/>
      </c>
      <c r="M53">
        <f>A53&amp;"|"&amp;B53</f>
        <v/>
      </c>
    </row>
    <row r="54">
      <c r="A54">
        <f>Scenarios!A13</f>
        <v/>
      </c>
      <c r="B54" t="inlineStr">
        <is>
          <t>FY2028</t>
        </is>
      </c>
      <c r="C54">
        <f>IF(Scenarios!D13=1,0, BaselineCalc!$B$7 + ROUND((=IF(ISNUMBER(SEARCH("Ramp",A54)), CHOOSE(MATCH(B54,{"FY2026","FY2027","FY2028","FY2029","FY2030"},0),50,100,150,150,150), Scenarios!C13))*Scenarios!F13,0))</f>
        <v/>
      </c>
      <c r="D54">
        <f>IF(Scenarios!E13=1,0, BaselineCalc!$B$8 + (=IF(ISNUMBER(SEARCH("Ramp",A54)), CHOOSE(MATCH(B54,{"FY2026","FY2027","FY2028","FY2029","FY2030"},0),50,100,150,150,150), Scenarios!C13)) - ROUND((=IF(ISNUMBER(SEARCH("Ramp",A54)), CHOOSE(MATCH(B54,{"FY2026","FY2027","FY2028","FY2029","FY2030"},0),50,100,150,150,150), Scenarios!C13))*Scenarios!F13,0))</f>
        <v/>
      </c>
      <c r="E54">
        <f>C54+D54</f>
        <v/>
      </c>
      <c r="F54">
        <f>VLOOKUP(B54,YearMap!$A$2:$B$6,2,FALSE)</f>
        <v/>
      </c>
      <c r="G54">
        <f>VLOOKUP(B54,YearMap!$A$2:$C$6,3,FALSE)</f>
        <v/>
      </c>
      <c r="H54">
        <f>VLOOKUP(B54,YearMap!$A$2:$D$6,4,FALSE)</f>
        <v/>
      </c>
      <c r="I54">
        <f>1-BaselineCalc!$B$5</f>
        <v/>
      </c>
      <c r="J54">
        <f>Scenarios!G13</f>
        <v/>
      </c>
      <c r="K54">
        <f>(G54+H54+F54*E54)*I54*(1-J54)</f>
        <v/>
      </c>
      <c r="L54">
        <f>IF(E54&gt;0, K54/E54, NA())</f>
        <v/>
      </c>
      <c r="M54">
        <f>A54&amp;"|"&amp;B54</f>
        <v/>
      </c>
    </row>
    <row r="55">
      <c r="A55">
        <f>Scenarios!A13</f>
        <v/>
      </c>
      <c r="B55" t="inlineStr">
        <is>
          <t>FY2029</t>
        </is>
      </c>
      <c r="C55">
        <f>IF(Scenarios!D13=1,0, BaselineCalc!$B$7 + ROUND((=IF(ISNUMBER(SEARCH("Ramp",A55)), CHOOSE(MATCH(B55,{"FY2026","FY2027","FY2028","FY2029","FY2030"},0),50,100,150,150,150), Scenarios!C13))*Scenarios!F13,0))</f>
        <v/>
      </c>
      <c r="D55">
        <f>IF(Scenarios!E13=1,0, BaselineCalc!$B$8 + (=IF(ISNUMBER(SEARCH("Ramp",A55)), CHOOSE(MATCH(B55,{"FY2026","FY2027","FY2028","FY2029","FY2030"},0),50,100,150,150,150), Scenarios!C13)) - ROUND((=IF(ISNUMBER(SEARCH("Ramp",A55)), CHOOSE(MATCH(B55,{"FY2026","FY2027","FY2028","FY2029","FY2030"},0),50,100,150,150,150), Scenarios!C13))*Scenarios!F13,0))</f>
        <v/>
      </c>
      <c r="E55">
        <f>C55+D55</f>
        <v/>
      </c>
      <c r="F55">
        <f>VLOOKUP(B55,YearMap!$A$2:$B$6,2,FALSE)</f>
        <v/>
      </c>
      <c r="G55">
        <f>VLOOKUP(B55,YearMap!$A$2:$C$6,3,FALSE)</f>
        <v/>
      </c>
      <c r="H55">
        <f>VLOOKUP(B55,YearMap!$A$2:$D$6,4,FALSE)</f>
        <v/>
      </c>
      <c r="I55">
        <f>1-BaselineCalc!$B$5</f>
        <v/>
      </c>
      <c r="J55">
        <f>Scenarios!G13</f>
        <v/>
      </c>
      <c r="K55">
        <f>(G55+H55+F55*E55)*I55*(1-J55)</f>
        <v/>
      </c>
      <c r="L55">
        <f>IF(E55&gt;0, K55/E55, NA())</f>
        <v/>
      </c>
      <c r="M55">
        <f>A55&amp;"|"&amp;B55</f>
        <v/>
      </c>
    </row>
    <row r="56">
      <c r="A56">
        <f>Scenarios!A13</f>
        <v/>
      </c>
      <c r="B56" t="inlineStr">
        <is>
          <t>FY2030</t>
        </is>
      </c>
      <c r="C56">
        <f>IF(Scenarios!D13=1,0, BaselineCalc!$B$7 + ROUND((=IF(ISNUMBER(SEARCH("Ramp",A56)), CHOOSE(MATCH(B56,{"FY2026","FY2027","FY2028","FY2029","FY2030"},0),50,100,150,150,150), Scenarios!C13))*Scenarios!F13,0))</f>
        <v/>
      </c>
      <c r="D56">
        <f>IF(Scenarios!E13=1,0, BaselineCalc!$B$8 + (=IF(ISNUMBER(SEARCH("Ramp",A56)), CHOOSE(MATCH(B56,{"FY2026","FY2027","FY2028","FY2029","FY2030"},0),50,100,150,150,150), Scenarios!C13)) - ROUND((=IF(ISNUMBER(SEARCH("Ramp",A56)), CHOOSE(MATCH(B56,{"FY2026","FY2027","FY2028","FY2029","FY2030"},0),50,100,150,150,150), Scenarios!C13))*Scenarios!F13,0))</f>
        <v/>
      </c>
      <c r="E56">
        <f>C56+D56</f>
        <v/>
      </c>
      <c r="F56">
        <f>VLOOKUP(B56,YearMap!$A$2:$B$6,2,FALSE)</f>
        <v/>
      </c>
      <c r="G56">
        <f>VLOOKUP(B56,YearMap!$A$2:$C$6,3,FALSE)</f>
        <v/>
      </c>
      <c r="H56">
        <f>VLOOKUP(B56,YearMap!$A$2:$D$6,4,FALSE)</f>
        <v/>
      </c>
      <c r="I56">
        <f>1-BaselineCalc!$B$5</f>
        <v/>
      </c>
      <c r="J56">
        <f>Scenarios!G13</f>
        <v/>
      </c>
      <c r="K56">
        <f>(G56+H56+F56*E56)*I56*(1-J56)</f>
        <v/>
      </c>
      <c r="L56">
        <f>IF(E56&gt;0, K56/E56, NA())</f>
        <v/>
      </c>
      <c r="M56">
        <f>A56&amp;"|"&amp;B56</f>
        <v/>
      </c>
    </row>
    <row r="57">
      <c r="A57">
        <f>Scenarios!A14</f>
        <v/>
      </c>
      <c r="B57" t="inlineStr">
        <is>
          <t>FY2026</t>
        </is>
      </c>
      <c r="C57">
        <f>IF(Scenarios!D14=1,0, BaselineCalc!$B$7 + ROUND((=IF(ISNUMBER(SEARCH("Ramp",A57)), CHOOSE(MATCH(B57,{"FY2026","FY2027","FY2028","FY2029","FY2030"},0),50,100,150,150,150), Scenarios!C14))*Scenarios!F14,0))</f>
        <v/>
      </c>
      <c r="D57">
        <f>IF(Scenarios!E14=1,0, BaselineCalc!$B$8 + (=IF(ISNUMBER(SEARCH("Ramp",A57)), CHOOSE(MATCH(B57,{"FY2026","FY2027","FY2028","FY2029","FY2030"},0),50,100,150,150,150), Scenarios!C14)) - ROUND((=IF(ISNUMBER(SEARCH("Ramp",A57)), CHOOSE(MATCH(B57,{"FY2026","FY2027","FY2028","FY2029","FY2030"},0),50,100,150,150,150), Scenarios!C14))*Scenarios!F14,0))</f>
        <v/>
      </c>
      <c r="E57">
        <f>C57+D57</f>
        <v/>
      </c>
      <c r="F57">
        <f>VLOOKUP(B57,YearMap!$A$2:$B$6,2,FALSE)</f>
        <v/>
      </c>
      <c r="G57">
        <f>VLOOKUP(B57,YearMap!$A$2:$C$6,3,FALSE)</f>
        <v/>
      </c>
      <c r="H57">
        <f>VLOOKUP(B57,YearMap!$A$2:$D$6,4,FALSE)</f>
        <v/>
      </c>
      <c r="I57">
        <f>1-BaselineCalc!$B$5</f>
        <v/>
      </c>
      <c r="J57">
        <f>Scenarios!G14</f>
        <v/>
      </c>
      <c r="K57">
        <f>(G57+H57+F57*E57)*I57*(1-J57)</f>
        <v/>
      </c>
      <c r="L57">
        <f>IF(E57&gt;0, K57/E57, NA())</f>
        <v/>
      </c>
      <c r="M57">
        <f>A57&amp;"|"&amp;B57</f>
        <v/>
      </c>
    </row>
    <row r="58">
      <c r="A58">
        <f>Scenarios!A14</f>
        <v/>
      </c>
      <c r="B58" t="inlineStr">
        <is>
          <t>FY2027</t>
        </is>
      </c>
      <c r="C58">
        <f>IF(Scenarios!D14=1,0, BaselineCalc!$B$7 + ROUND((=IF(ISNUMBER(SEARCH("Ramp",A58)), CHOOSE(MATCH(B58,{"FY2026","FY2027","FY2028","FY2029","FY2030"},0),50,100,150,150,150), Scenarios!C14))*Scenarios!F14,0))</f>
        <v/>
      </c>
      <c r="D58">
        <f>IF(Scenarios!E14=1,0, BaselineCalc!$B$8 + (=IF(ISNUMBER(SEARCH("Ramp",A58)), CHOOSE(MATCH(B58,{"FY2026","FY2027","FY2028","FY2029","FY2030"},0),50,100,150,150,150), Scenarios!C14)) - ROUND((=IF(ISNUMBER(SEARCH("Ramp",A58)), CHOOSE(MATCH(B58,{"FY2026","FY2027","FY2028","FY2029","FY2030"},0),50,100,150,150,150), Scenarios!C14))*Scenarios!F14,0))</f>
        <v/>
      </c>
      <c r="E58">
        <f>C58+D58</f>
        <v/>
      </c>
      <c r="F58">
        <f>VLOOKUP(B58,YearMap!$A$2:$B$6,2,FALSE)</f>
        <v/>
      </c>
      <c r="G58">
        <f>VLOOKUP(B58,YearMap!$A$2:$C$6,3,FALSE)</f>
        <v/>
      </c>
      <c r="H58">
        <f>VLOOKUP(B58,YearMap!$A$2:$D$6,4,FALSE)</f>
        <v/>
      </c>
      <c r="I58">
        <f>1-BaselineCalc!$B$5</f>
        <v/>
      </c>
      <c r="J58">
        <f>Scenarios!G14</f>
        <v/>
      </c>
      <c r="K58">
        <f>(G58+H58+F58*E58)*I58*(1-J58)</f>
        <v/>
      </c>
      <c r="L58">
        <f>IF(E58&gt;0, K58/E58, NA())</f>
        <v/>
      </c>
      <c r="M58">
        <f>A58&amp;"|"&amp;B58</f>
        <v/>
      </c>
    </row>
    <row r="59">
      <c r="A59">
        <f>Scenarios!A14</f>
        <v/>
      </c>
      <c r="B59" t="inlineStr">
        <is>
          <t>FY2028</t>
        </is>
      </c>
      <c r="C59">
        <f>IF(Scenarios!D14=1,0, BaselineCalc!$B$7 + ROUND((=IF(ISNUMBER(SEARCH("Ramp",A59)), CHOOSE(MATCH(B59,{"FY2026","FY2027","FY2028","FY2029","FY2030"},0),50,100,150,150,150), Scenarios!C14))*Scenarios!F14,0))</f>
        <v/>
      </c>
      <c r="D59">
        <f>IF(Scenarios!E14=1,0, BaselineCalc!$B$8 + (=IF(ISNUMBER(SEARCH("Ramp",A59)), CHOOSE(MATCH(B59,{"FY2026","FY2027","FY2028","FY2029","FY2030"},0),50,100,150,150,150), Scenarios!C14)) - ROUND((=IF(ISNUMBER(SEARCH("Ramp",A59)), CHOOSE(MATCH(B59,{"FY2026","FY2027","FY2028","FY2029","FY2030"},0),50,100,150,150,150), Scenarios!C14))*Scenarios!F14,0))</f>
        <v/>
      </c>
      <c r="E59">
        <f>C59+D59</f>
        <v/>
      </c>
      <c r="F59">
        <f>VLOOKUP(B59,YearMap!$A$2:$B$6,2,FALSE)</f>
        <v/>
      </c>
      <c r="G59">
        <f>VLOOKUP(B59,YearMap!$A$2:$C$6,3,FALSE)</f>
        <v/>
      </c>
      <c r="H59">
        <f>VLOOKUP(B59,YearMap!$A$2:$D$6,4,FALSE)</f>
        <v/>
      </c>
      <c r="I59">
        <f>1-BaselineCalc!$B$5</f>
        <v/>
      </c>
      <c r="J59">
        <f>Scenarios!G14</f>
        <v/>
      </c>
      <c r="K59">
        <f>(G59+H59+F59*E59)*I59*(1-J59)</f>
        <v/>
      </c>
      <c r="L59">
        <f>IF(E59&gt;0, K59/E59, NA())</f>
        <v/>
      </c>
      <c r="M59">
        <f>A59&amp;"|"&amp;B59</f>
        <v/>
      </c>
    </row>
    <row r="60">
      <c r="A60">
        <f>Scenarios!A14</f>
        <v/>
      </c>
      <c r="B60" t="inlineStr">
        <is>
          <t>FY2029</t>
        </is>
      </c>
      <c r="C60">
        <f>IF(Scenarios!D14=1,0, BaselineCalc!$B$7 + ROUND((=IF(ISNUMBER(SEARCH("Ramp",A60)), CHOOSE(MATCH(B60,{"FY2026","FY2027","FY2028","FY2029","FY2030"},0),50,100,150,150,150), Scenarios!C14))*Scenarios!F14,0))</f>
        <v/>
      </c>
      <c r="D60">
        <f>IF(Scenarios!E14=1,0, BaselineCalc!$B$8 + (=IF(ISNUMBER(SEARCH("Ramp",A60)), CHOOSE(MATCH(B60,{"FY2026","FY2027","FY2028","FY2029","FY2030"},0),50,100,150,150,150), Scenarios!C14)) - ROUND((=IF(ISNUMBER(SEARCH("Ramp",A60)), CHOOSE(MATCH(B60,{"FY2026","FY2027","FY2028","FY2029","FY2030"},0),50,100,150,150,150), Scenarios!C14))*Scenarios!F14,0))</f>
        <v/>
      </c>
      <c r="E60">
        <f>C60+D60</f>
        <v/>
      </c>
      <c r="F60">
        <f>VLOOKUP(B60,YearMap!$A$2:$B$6,2,FALSE)</f>
        <v/>
      </c>
      <c r="G60">
        <f>VLOOKUP(B60,YearMap!$A$2:$C$6,3,FALSE)</f>
        <v/>
      </c>
      <c r="H60">
        <f>VLOOKUP(B60,YearMap!$A$2:$D$6,4,FALSE)</f>
        <v/>
      </c>
      <c r="I60">
        <f>1-BaselineCalc!$B$5</f>
        <v/>
      </c>
      <c r="J60">
        <f>Scenarios!G14</f>
        <v/>
      </c>
      <c r="K60">
        <f>(G60+H60+F60*E60)*I60*(1-J60)</f>
        <v/>
      </c>
      <c r="L60">
        <f>IF(E60&gt;0, K60/E60, NA())</f>
        <v/>
      </c>
      <c r="M60">
        <f>A60&amp;"|"&amp;B60</f>
        <v/>
      </c>
    </row>
    <row r="61">
      <c r="A61">
        <f>Scenarios!A14</f>
        <v/>
      </c>
      <c r="B61" t="inlineStr">
        <is>
          <t>FY2030</t>
        </is>
      </c>
      <c r="C61">
        <f>IF(Scenarios!D14=1,0, BaselineCalc!$B$7 + ROUND((=IF(ISNUMBER(SEARCH("Ramp",A61)), CHOOSE(MATCH(B61,{"FY2026","FY2027","FY2028","FY2029","FY2030"},0),50,100,150,150,150), Scenarios!C14))*Scenarios!F14,0))</f>
        <v/>
      </c>
      <c r="D61">
        <f>IF(Scenarios!E14=1,0, BaselineCalc!$B$8 + (=IF(ISNUMBER(SEARCH("Ramp",A61)), CHOOSE(MATCH(B61,{"FY2026","FY2027","FY2028","FY2029","FY2030"},0),50,100,150,150,150), Scenarios!C14)) - ROUND((=IF(ISNUMBER(SEARCH("Ramp",A61)), CHOOSE(MATCH(B61,{"FY2026","FY2027","FY2028","FY2029","FY2030"},0),50,100,150,150,150), Scenarios!C14))*Scenarios!F14,0))</f>
        <v/>
      </c>
      <c r="E61">
        <f>C61+D61</f>
        <v/>
      </c>
      <c r="F61">
        <f>VLOOKUP(B61,YearMap!$A$2:$B$6,2,FALSE)</f>
        <v/>
      </c>
      <c r="G61">
        <f>VLOOKUP(B61,YearMap!$A$2:$C$6,3,FALSE)</f>
        <v/>
      </c>
      <c r="H61">
        <f>VLOOKUP(B61,YearMap!$A$2:$D$6,4,FALSE)</f>
        <v/>
      </c>
      <c r="I61">
        <f>1-BaselineCalc!$B$5</f>
        <v/>
      </c>
      <c r="J61">
        <f>Scenarios!G14</f>
        <v/>
      </c>
      <c r="K61">
        <f>(G61+H61+F61*E61)*I61*(1-J61)</f>
        <v/>
      </c>
      <c r="L61">
        <f>IF(E61&gt;0, K61/E61, NA())</f>
        <v/>
      </c>
      <c r="M61">
        <f>A61&amp;"|"&amp;B61</f>
        <v/>
      </c>
    </row>
    <row r="62">
      <c r="A62">
        <f>Scenarios!A15</f>
        <v/>
      </c>
      <c r="B62" t="inlineStr">
        <is>
          <t>FY2026</t>
        </is>
      </c>
      <c r="C62">
        <f>IF(Scenarios!D15=1,0, BaselineCalc!$B$7 + ROUND((=IF(ISNUMBER(SEARCH("Ramp",A62)), CHOOSE(MATCH(B62,{"FY2026","FY2027","FY2028","FY2029","FY2030"},0),50,100,150,150,150), Scenarios!C15))*Scenarios!F15,0))</f>
        <v/>
      </c>
      <c r="D62">
        <f>IF(Scenarios!E15=1,0, BaselineCalc!$B$8 + (=IF(ISNUMBER(SEARCH("Ramp",A62)), CHOOSE(MATCH(B62,{"FY2026","FY2027","FY2028","FY2029","FY2030"},0),50,100,150,150,150), Scenarios!C15)) - ROUND((=IF(ISNUMBER(SEARCH("Ramp",A62)), CHOOSE(MATCH(B62,{"FY2026","FY2027","FY2028","FY2029","FY2030"},0),50,100,150,150,150), Scenarios!C15))*Scenarios!F15,0))</f>
        <v/>
      </c>
      <c r="E62">
        <f>C62+D62</f>
        <v/>
      </c>
      <c r="F62">
        <f>VLOOKUP(B62,YearMap!$A$2:$B$6,2,FALSE)</f>
        <v/>
      </c>
      <c r="G62">
        <f>VLOOKUP(B62,YearMap!$A$2:$C$6,3,FALSE)</f>
        <v/>
      </c>
      <c r="H62">
        <f>VLOOKUP(B62,YearMap!$A$2:$D$6,4,FALSE)</f>
        <v/>
      </c>
      <c r="I62">
        <f>1-BaselineCalc!$B$5</f>
        <v/>
      </c>
      <c r="J62">
        <f>Scenarios!G15</f>
        <v/>
      </c>
      <c r="K62">
        <f>(G62+H62+F62*E62)*I62*(1-J62)</f>
        <v/>
      </c>
      <c r="L62">
        <f>IF(E62&gt;0, K62/E62, NA())</f>
        <v/>
      </c>
      <c r="M62">
        <f>A62&amp;"|"&amp;B62</f>
        <v/>
      </c>
    </row>
    <row r="63">
      <c r="A63">
        <f>Scenarios!A15</f>
        <v/>
      </c>
      <c r="B63" t="inlineStr">
        <is>
          <t>FY2027</t>
        </is>
      </c>
      <c r="C63">
        <f>IF(Scenarios!D15=1,0, BaselineCalc!$B$7 + ROUND((=IF(ISNUMBER(SEARCH("Ramp",A63)), CHOOSE(MATCH(B63,{"FY2026","FY2027","FY2028","FY2029","FY2030"},0),50,100,150,150,150), Scenarios!C15))*Scenarios!F15,0))</f>
        <v/>
      </c>
      <c r="D63">
        <f>IF(Scenarios!E15=1,0, BaselineCalc!$B$8 + (=IF(ISNUMBER(SEARCH("Ramp",A63)), CHOOSE(MATCH(B63,{"FY2026","FY2027","FY2028","FY2029","FY2030"},0),50,100,150,150,150), Scenarios!C15)) - ROUND((=IF(ISNUMBER(SEARCH("Ramp",A63)), CHOOSE(MATCH(B63,{"FY2026","FY2027","FY2028","FY2029","FY2030"},0),50,100,150,150,150), Scenarios!C15))*Scenarios!F15,0))</f>
        <v/>
      </c>
      <c r="E63">
        <f>C63+D63</f>
        <v/>
      </c>
      <c r="F63">
        <f>VLOOKUP(B63,YearMap!$A$2:$B$6,2,FALSE)</f>
        <v/>
      </c>
      <c r="G63">
        <f>VLOOKUP(B63,YearMap!$A$2:$C$6,3,FALSE)</f>
        <v/>
      </c>
      <c r="H63">
        <f>VLOOKUP(B63,YearMap!$A$2:$D$6,4,FALSE)</f>
        <v/>
      </c>
      <c r="I63">
        <f>1-BaselineCalc!$B$5</f>
        <v/>
      </c>
      <c r="J63">
        <f>Scenarios!G15</f>
        <v/>
      </c>
      <c r="K63">
        <f>(G63+H63+F63*E63)*I63*(1-J63)</f>
        <v/>
      </c>
      <c r="L63">
        <f>IF(E63&gt;0, K63/E63, NA())</f>
        <v/>
      </c>
      <c r="M63">
        <f>A63&amp;"|"&amp;B63</f>
        <v/>
      </c>
    </row>
    <row r="64">
      <c r="A64">
        <f>Scenarios!A15</f>
        <v/>
      </c>
      <c r="B64" t="inlineStr">
        <is>
          <t>FY2028</t>
        </is>
      </c>
      <c r="C64">
        <f>IF(Scenarios!D15=1,0, BaselineCalc!$B$7 + ROUND((=IF(ISNUMBER(SEARCH("Ramp",A64)), CHOOSE(MATCH(B64,{"FY2026","FY2027","FY2028","FY2029","FY2030"},0),50,100,150,150,150), Scenarios!C15))*Scenarios!F15,0))</f>
        <v/>
      </c>
      <c r="D64">
        <f>IF(Scenarios!E15=1,0, BaselineCalc!$B$8 + (=IF(ISNUMBER(SEARCH("Ramp",A64)), CHOOSE(MATCH(B64,{"FY2026","FY2027","FY2028","FY2029","FY2030"},0),50,100,150,150,150), Scenarios!C15)) - ROUND((=IF(ISNUMBER(SEARCH("Ramp",A64)), CHOOSE(MATCH(B64,{"FY2026","FY2027","FY2028","FY2029","FY2030"},0),50,100,150,150,150), Scenarios!C15))*Scenarios!F15,0))</f>
        <v/>
      </c>
      <c r="E64">
        <f>C64+D64</f>
        <v/>
      </c>
      <c r="F64">
        <f>VLOOKUP(B64,YearMap!$A$2:$B$6,2,FALSE)</f>
        <v/>
      </c>
      <c r="G64">
        <f>VLOOKUP(B64,YearMap!$A$2:$C$6,3,FALSE)</f>
        <v/>
      </c>
      <c r="H64">
        <f>VLOOKUP(B64,YearMap!$A$2:$D$6,4,FALSE)</f>
        <v/>
      </c>
      <c r="I64">
        <f>1-BaselineCalc!$B$5</f>
        <v/>
      </c>
      <c r="J64">
        <f>Scenarios!G15</f>
        <v/>
      </c>
      <c r="K64">
        <f>(G64+H64+F64*E64)*I64*(1-J64)</f>
        <v/>
      </c>
      <c r="L64">
        <f>IF(E64&gt;0, K64/E64, NA())</f>
        <v/>
      </c>
      <c r="M64">
        <f>A64&amp;"|"&amp;B64</f>
        <v/>
      </c>
    </row>
    <row r="65">
      <c r="A65">
        <f>Scenarios!A15</f>
        <v/>
      </c>
      <c r="B65" t="inlineStr">
        <is>
          <t>FY2029</t>
        </is>
      </c>
      <c r="C65">
        <f>IF(Scenarios!D15=1,0, BaselineCalc!$B$7 + ROUND((=IF(ISNUMBER(SEARCH("Ramp",A65)), CHOOSE(MATCH(B65,{"FY2026","FY2027","FY2028","FY2029","FY2030"},0),50,100,150,150,150), Scenarios!C15))*Scenarios!F15,0))</f>
        <v/>
      </c>
      <c r="D65">
        <f>IF(Scenarios!E15=1,0, BaselineCalc!$B$8 + (=IF(ISNUMBER(SEARCH("Ramp",A65)), CHOOSE(MATCH(B65,{"FY2026","FY2027","FY2028","FY2029","FY2030"},0),50,100,150,150,150), Scenarios!C15)) - ROUND((=IF(ISNUMBER(SEARCH("Ramp",A65)), CHOOSE(MATCH(B65,{"FY2026","FY2027","FY2028","FY2029","FY2030"},0),50,100,150,150,150), Scenarios!C15))*Scenarios!F15,0))</f>
        <v/>
      </c>
      <c r="E65">
        <f>C65+D65</f>
        <v/>
      </c>
      <c r="F65">
        <f>VLOOKUP(B65,YearMap!$A$2:$B$6,2,FALSE)</f>
        <v/>
      </c>
      <c r="G65">
        <f>VLOOKUP(B65,YearMap!$A$2:$C$6,3,FALSE)</f>
        <v/>
      </c>
      <c r="H65">
        <f>VLOOKUP(B65,YearMap!$A$2:$D$6,4,FALSE)</f>
        <v/>
      </c>
      <c r="I65">
        <f>1-BaselineCalc!$B$5</f>
        <v/>
      </c>
      <c r="J65">
        <f>Scenarios!G15</f>
        <v/>
      </c>
      <c r="K65">
        <f>(G65+H65+F65*E65)*I65*(1-J65)</f>
        <v/>
      </c>
      <c r="L65">
        <f>IF(E65&gt;0, K65/E65, NA())</f>
        <v/>
      </c>
      <c r="M65">
        <f>A65&amp;"|"&amp;B65</f>
        <v/>
      </c>
    </row>
    <row r="66">
      <c r="A66">
        <f>Scenarios!A15</f>
        <v/>
      </c>
      <c r="B66" t="inlineStr">
        <is>
          <t>FY2030</t>
        </is>
      </c>
      <c r="C66">
        <f>IF(Scenarios!D15=1,0, BaselineCalc!$B$7 + ROUND((=IF(ISNUMBER(SEARCH("Ramp",A66)), CHOOSE(MATCH(B66,{"FY2026","FY2027","FY2028","FY2029","FY2030"},0),50,100,150,150,150), Scenarios!C15))*Scenarios!F15,0))</f>
        <v/>
      </c>
      <c r="D66">
        <f>IF(Scenarios!E15=1,0, BaselineCalc!$B$8 + (=IF(ISNUMBER(SEARCH("Ramp",A66)), CHOOSE(MATCH(B66,{"FY2026","FY2027","FY2028","FY2029","FY2030"},0),50,100,150,150,150), Scenarios!C15)) - ROUND((=IF(ISNUMBER(SEARCH("Ramp",A66)), CHOOSE(MATCH(B66,{"FY2026","FY2027","FY2028","FY2029","FY2030"},0),50,100,150,150,150), Scenarios!C15))*Scenarios!F15,0))</f>
        <v/>
      </c>
      <c r="E66">
        <f>C66+D66</f>
        <v/>
      </c>
      <c r="F66">
        <f>VLOOKUP(B66,YearMap!$A$2:$B$6,2,FALSE)</f>
        <v/>
      </c>
      <c r="G66">
        <f>VLOOKUP(B66,YearMap!$A$2:$C$6,3,FALSE)</f>
        <v/>
      </c>
      <c r="H66">
        <f>VLOOKUP(B66,YearMap!$A$2:$D$6,4,FALSE)</f>
        <v/>
      </c>
      <c r="I66">
        <f>1-BaselineCalc!$B$5</f>
        <v/>
      </c>
      <c r="J66">
        <f>Scenarios!G15</f>
        <v/>
      </c>
      <c r="K66">
        <f>(G66+H66+F66*E66)*I66*(1-J66)</f>
        <v/>
      </c>
      <c r="L66">
        <f>IF(E66&gt;0, K66/E66, NA())</f>
        <v/>
      </c>
      <c r="M66">
        <f>A66&amp;"|"&amp;B66</f>
        <v/>
      </c>
    </row>
    <row r="67">
      <c r="A67">
        <f>Scenarios!A16</f>
        <v/>
      </c>
      <c r="B67" t="inlineStr">
        <is>
          <t>FY2026</t>
        </is>
      </c>
      <c r="C67">
        <f>IF(Scenarios!D16=1,0, BaselineCalc!$B$7 + ROUND((=IF(ISNUMBER(SEARCH("Ramp",A67)), CHOOSE(MATCH(B67,{"FY2026","FY2027","FY2028","FY2029","FY2030"},0),50,100,150,150,150), Scenarios!C16))*Scenarios!F16,0))</f>
        <v/>
      </c>
      <c r="D67">
        <f>IF(Scenarios!E16=1,0, BaselineCalc!$B$8 + (=IF(ISNUMBER(SEARCH("Ramp",A67)), CHOOSE(MATCH(B67,{"FY2026","FY2027","FY2028","FY2029","FY2030"},0),50,100,150,150,150), Scenarios!C16)) - ROUND((=IF(ISNUMBER(SEARCH("Ramp",A67)), CHOOSE(MATCH(B67,{"FY2026","FY2027","FY2028","FY2029","FY2030"},0),50,100,150,150,150), Scenarios!C16))*Scenarios!F16,0))</f>
        <v/>
      </c>
      <c r="E67">
        <f>C67+D67</f>
        <v/>
      </c>
      <c r="F67">
        <f>VLOOKUP(B67,YearMap!$A$2:$B$6,2,FALSE)</f>
        <v/>
      </c>
      <c r="G67">
        <f>VLOOKUP(B67,YearMap!$A$2:$C$6,3,FALSE)</f>
        <v/>
      </c>
      <c r="H67">
        <f>VLOOKUP(B67,YearMap!$A$2:$D$6,4,FALSE)</f>
        <v/>
      </c>
      <c r="I67">
        <f>1-BaselineCalc!$B$5</f>
        <v/>
      </c>
      <c r="J67">
        <f>Scenarios!G16</f>
        <v/>
      </c>
      <c r="K67">
        <f>(G67+H67+F67*E67)*I67*(1-J67)</f>
        <v/>
      </c>
      <c r="L67">
        <f>IF(E67&gt;0, K67/E67, NA())</f>
        <v/>
      </c>
      <c r="M67">
        <f>A67&amp;"|"&amp;B67</f>
        <v/>
      </c>
    </row>
    <row r="68">
      <c r="A68">
        <f>Scenarios!A16</f>
        <v/>
      </c>
      <c r="B68" t="inlineStr">
        <is>
          <t>FY2027</t>
        </is>
      </c>
      <c r="C68">
        <f>IF(Scenarios!D16=1,0, BaselineCalc!$B$7 + ROUND((=IF(ISNUMBER(SEARCH("Ramp",A68)), CHOOSE(MATCH(B68,{"FY2026","FY2027","FY2028","FY2029","FY2030"},0),50,100,150,150,150), Scenarios!C16))*Scenarios!F16,0))</f>
        <v/>
      </c>
      <c r="D68">
        <f>IF(Scenarios!E16=1,0, BaselineCalc!$B$8 + (=IF(ISNUMBER(SEARCH("Ramp",A68)), CHOOSE(MATCH(B68,{"FY2026","FY2027","FY2028","FY2029","FY2030"},0),50,100,150,150,150), Scenarios!C16)) - ROUND((=IF(ISNUMBER(SEARCH("Ramp",A68)), CHOOSE(MATCH(B68,{"FY2026","FY2027","FY2028","FY2029","FY2030"},0),50,100,150,150,150), Scenarios!C16))*Scenarios!F16,0))</f>
        <v/>
      </c>
      <c r="E68">
        <f>C68+D68</f>
        <v/>
      </c>
      <c r="F68">
        <f>VLOOKUP(B68,YearMap!$A$2:$B$6,2,FALSE)</f>
        <v/>
      </c>
      <c r="G68">
        <f>VLOOKUP(B68,YearMap!$A$2:$C$6,3,FALSE)</f>
        <v/>
      </c>
      <c r="H68">
        <f>VLOOKUP(B68,YearMap!$A$2:$D$6,4,FALSE)</f>
        <v/>
      </c>
      <c r="I68">
        <f>1-BaselineCalc!$B$5</f>
        <v/>
      </c>
      <c r="J68">
        <f>Scenarios!G16</f>
        <v/>
      </c>
      <c r="K68">
        <f>(G68+H68+F68*E68)*I68*(1-J68)</f>
        <v/>
      </c>
      <c r="L68">
        <f>IF(E68&gt;0, K68/E68, NA())</f>
        <v/>
      </c>
      <c r="M68">
        <f>A68&amp;"|"&amp;B68</f>
        <v/>
      </c>
    </row>
    <row r="69">
      <c r="A69">
        <f>Scenarios!A16</f>
        <v/>
      </c>
      <c r="B69" t="inlineStr">
        <is>
          <t>FY2028</t>
        </is>
      </c>
      <c r="C69">
        <f>IF(Scenarios!D16=1,0, BaselineCalc!$B$7 + ROUND((=IF(ISNUMBER(SEARCH("Ramp",A69)), CHOOSE(MATCH(B69,{"FY2026","FY2027","FY2028","FY2029","FY2030"},0),50,100,150,150,150), Scenarios!C16))*Scenarios!F16,0))</f>
        <v/>
      </c>
      <c r="D69">
        <f>IF(Scenarios!E16=1,0, BaselineCalc!$B$8 + (=IF(ISNUMBER(SEARCH("Ramp",A69)), CHOOSE(MATCH(B69,{"FY2026","FY2027","FY2028","FY2029","FY2030"},0),50,100,150,150,150), Scenarios!C16)) - ROUND((=IF(ISNUMBER(SEARCH("Ramp",A69)), CHOOSE(MATCH(B69,{"FY2026","FY2027","FY2028","FY2029","FY2030"},0),50,100,150,150,150), Scenarios!C16))*Scenarios!F16,0))</f>
        <v/>
      </c>
      <c r="E69">
        <f>C69+D69</f>
        <v/>
      </c>
      <c r="F69">
        <f>VLOOKUP(B69,YearMap!$A$2:$B$6,2,FALSE)</f>
        <v/>
      </c>
      <c r="G69">
        <f>VLOOKUP(B69,YearMap!$A$2:$C$6,3,FALSE)</f>
        <v/>
      </c>
      <c r="H69">
        <f>VLOOKUP(B69,YearMap!$A$2:$D$6,4,FALSE)</f>
        <v/>
      </c>
      <c r="I69">
        <f>1-BaselineCalc!$B$5</f>
        <v/>
      </c>
      <c r="J69">
        <f>Scenarios!G16</f>
        <v/>
      </c>
      <c r="K69">
        <f>(G69+H69+F69*E69)*I69*(1-J69)</f>
        <v/>
      </c>
      <c r="L69">
        <f>IF(E69&gt;0, K69/E69, NA())</f>
        <v/>
      </c>
      <c r="M69">
        <f>A69&amp;"|"&amp;B69</f>
        <v/>
      </c>
    </row>
    <row r="70">
      <c r="A70">
        <f>Scenarios!A16</f>
        <v/>
      </c>
      <c r="B70" t="inlineStr">
        <is>
          <t>FY2029</t>
        </is>
      </c>
      <c r="C70">
        <f>IF(Scenarios!D16=1,0, BaselineCalc!$B$7 + ROUND((=IF(ISNUMBER(SEARCH("Ramp",A70)), CHOOSE(MATCH(B70,{"FY2026","FY2027","FY2028","FY2029","FY2030"},0),50,100,150,150,150), Scenarios!C16))*Scenarios!F16,0))</f>
        <v/>
      </c>
      <c r="D70">
        <f>IF(Scenarios!E16=1,0, BaselineCalc!$B$8 + (=IF(ISNUMBER(SEARCH("Ramp",A70)), CHOOSE(MATCH(B70,{"FY2026","FY2027","FY2028","FY2029","FY2030"},0),50,100,150,150,150), Scenarios!C16)) - ROUND((=IF(ISNUMBER(SEARCH("Ramp",A70)), CHOOSE(MATCH(B70,{"FY2026","FY2027","FY2028","FY2029","FY2030"},0),50,100,150,150,150), Scenarios!C16))*Scenarios!F16,0))</f>
        <v/>
      </c>
      <c r="E70">
        <f>C70+D70</f>
        <v/>
      </c>
      <c r="F70">
        <f>VLOOKUP(B70,YearMap!$A$2:$B$6,2,FALSE)</f>
        <v/>
      </c>
      <c r="G70">
        <f>VLOOKUP(B70,YearMap!$A$2:$C$6,3,FALSE)</f>
        <v/>
      </c>
      <c r="H70">
        <f>VLOOKUP(B70,YearMap!$A$2:$D$6,4,FALSE)</f>
        <v/>
      </c>
      <c r="I70">
        <f>1-BaselineCalc!$B$5</f>
        <v/>
      </c>
      <c r="J70">
        <f>Scenarios!G16</f>
        <v/>
      </c>
      <c r="K70">
        <f>(G70+H70+F70*E70)*I70*(1-J70)</f>
        <v/>
      </c>
      <c r="L70">
        <f>IF(E70&gt;0, K70/E70, NA())</f>
        <v/>
      </c>
      <c r="M70">
        <f>A70&amp;"|"&amp;B70</f>
        <v/>
      </c>
    </row>
    <row r="71">
      <c r="A71">
        <f>Scenarios!A16</f>
        <v/>
      </c>
      <c r="B71" t="inlineStr">
        <is>
          <t>FY2030</t>
        </is>
      </c>
      <c r="C71">
        <f>IF(Scenarios!D16=1,0, BaselineCalc!$B$7 + ROUND((=IF(ISNUMBER(SEARCH("Ramp",A71)), CHOOSE(MATCH(B71,{"FY2026","FY2027","FY2028","FY2029","FY2030"},0),50,100,150,150,150), Scenarios!C16))*Scenarios!F16,0))</f>
        <v/>
      </c>
      <c r="D71">
        <f>IF(Scenarios!E16=1,0, BaselineCalc!$B$8 + (=IF(ISNUMBER(SEARCH("Ramp",A71)), CHOOSE(MATCH(B71,{"FY2026","FY2027","FY2028","FY2029","FY2030"},0),50,100,150,150,150), Scenarios!C16)) - ROUND((=IF(ISNUMBER(SEARCH("Ramp",A71)), CHOOSE(MATCH(B71,{"FY2026","FY2027","FY2028","FY2029","FY2030"},0),50,100,150,150,150), Scenarios!C16))*Scenarios!F16,0))</f>
        <v/>
      </c>
      <c r="E71">
        <f>C71+D71</f>
        <v/>
      </c>
      <c r="F71">
        <f>VLOOKUP(B71,YearMap!$A$2:$B$6,2,FALSE)</f>
        <v/>
      </c>
      <c r="G71">
        <f>VLOOKUP(B71,YearMap!$A$2:$C$6,3,FALSE)</f>
        <v/>
      </c>
      <c r="H71">
        <f>VLOOKUP(B71,YearMap!$A$2:$D$6,4,FALSE)</f>
        <v/>
      </c>
      <c r="I71">
        <f>1-BaselineCalc!$B$5</f>
        <v/>
      </c>
      <c r="J71">
        <f>Scenarios!G16</f>
        <v/>
      </c>
      <c r="K71">
        <f>(G71+H71+F71*E71)*I71*(1-J71)</f>
        <v/>
      </c>
      <c r="L71">
        <f>IF(E71&gt;0, K71/E71, NA())</f>
        <v/>
      </c>
      <c r="M71">
        <f>A71&amp;"|"&amp;B71</f>
        <v/>
      </c>
    </row>
    <row r="72">
      <c r="A72">
        <f>Scenarios!A17</f>
        <v/>
      </c>
      <c r="B72" t="inlineStr">
        <is>
          <t>FY2026</t>
        </is>
      </c>
      <c r="C72">
        <f>IF(Scenarios!D17=1,0, BaselineCalc!$B$7 + ROUND((=IF(ISNUMBER(SEARCH("Ramp",A72)), CHOOSE(MATCH(B72,{"FY2026","FY2027","FY2028","FY2029","FY2030"},0),50,100,150,150,150), Scenarios!C17))*Scenarios!F17,0))</f>
        <v/>
      </c>
      <c r="D72">
        <f>IF(Scenarios!E17=1,0, BaselineCalc!$B$8 + (=IF(ISNUMBER(SEARCH("Ramp",A72)), CHOOSE(MATCH(B72,{"FY2026","FY2027","FY2028","FY2029","FY2030"},0),50,100,150,150,150), Scenarios!C17)) - ROUND((=IF(ISNUMBER(SEARCH("Ramp",A72)), CHOOSE(MATCH(B72,{"FY2026","FY2027","FY2028","FY2029","FY2030"},0),50,100,150,150,150), Scenarios!C17))*Scenarios!F17,0))</f>
        <v/>
      </c>
      <c r="E72">
        <f>C72+D72</f>
        <v/>
      </c>
      <c r="F72">
        <f>VLOOKUP(B72,YearMap!$A$2:$B$6,2,FALSE)</f>
        <v/>
      </c>
      <c r="G72">
        <f>VLOOKUP(B72,YearMap!$A$2:$C$6,3,FALSE)</f>
        <v/>
      </c>
      <c r="H72">
        <f>VLOOKUP(B72,YearMap!$A$2:$D$6,4,FALSE)</f>
        <v/>
      </c>
      <c r="I72">
        <f>1-BaselineCalc!$B$5</f>
        <v/>
      </c>
      <c r="J72">
        <f>Scenarios!G17</f>
        <v/>
      </c>
      <c r="K72">
        <f>(G72+H72+F72*E72)*I72*(1-J72)</f>
        <v/>
      </c>
      <c r="L72">
        <f>IF(E72&gt;0, K72/E72, NA())</f>
        <v/>
      </c>
      <c r="M72">
        <f>A72&amp;"|"&amp;B72</f>
        <v/>
      </c>
    </row>
    <row r="73">
      <c r="A73">
        <f>Scenarios!A17</f>
        <v/>
      </c>
      <c r="B73" t="inlineStr">
        <is>
          <t>FY2027</t>
        </is>
      </c>
      <c r="C73">
        <f>IF(Scenarios!D17=1,0, BaselineCalc!$B$7 + ROUND((=IF(ISNUMBER(SEARCH("Ramp",A73)), CHOOSE(MATCH(B73,{"FY2026","FY2027","FY2028","FY2029","FY2030"},0),50,100,150,150,150), Scenarios!C17))*Scenarios!F17,0))</f>
        <v/>
      </c>
      <c r="D73">
        <f>IF(Scenarios!E17=1,0, BaselineCalc!$B$8 + (=IF(ISNUMBER(SEARCH("Ramp",A73)), CHOOSE(MATCH(B73,{"FY2026","FY2027","FY2028","FY2029","FY2030"},0),50,100,150,150,150), Scenarios!C17)) - ROUND((=IF(ISNUMBER(SEARCH("Ramp",A73)), CHOOSE(MATCH(B73,{"FY2026","FY2027","FY2028","FY2029","FY2030"},0),50,100,150,150,150), Scenarios!C17))*Scenarios!F17,0))</f>
        <v/>
      </c>
      <c r="E73">
        <f>C73+D73</f>
        <v/>
      </c>
      <c r="F73">
        <f>VLOOKUP(B73,YearMap!$A$2:$B$6,2,FALSE)</f>
        <v/>
      </c>
      <c r="G73">
        <f>VLOOKUP(B73,YearMap!$A$2:$C$6,3,FALSE)</f>
        <v/>
      </c>
      <c r="H73">
        <f>VLOOKUP(B73,YearMap!$A$2:$D$6,4,FALSE)</f>
        <v/>
      </c>
      <c r="I73">
        <f>1-BaselineCalc!$B$5</f>
        <v/>
      </c>
      <c r="J73">
        <f>Scenarios!G17</f>
        <v/>
      </c>
      <c r="K73">
        <f>(G73+H73+F73*E73)*I73*(1-J73)</f>
        <v/>
      </c>
      <c r="L73">
        <f>IF(E73&gt;0, K73/E73, NA())</f>
        <v/>
      </c>
      <c r="M73">
        <f>A73&amp;"|"&amp;B73</f>
        <v/>
      </c>
    </row>
    <row r="74">
      <c r="A74">
        <f>Scenarios!A17</f>
        <v/>
      </c>
      <c r="B74" t="inlineStr">
        <is>
          <t>FY2028</t>
        </is>
      </c>
      <c r="C74">
        <f>IF(Scenarios!D17=1,0, BaselineCalc!$B$7 + ROUND((=IF(ISNUMBER(SEARCH("Ramp",A74)), CHOOSE(MATCH(B74,{"FY2026","FY2027","FY2028","FY2029","FY2030"},0),50,100,150,150,150), Scenarios!C17))*Scenarios!F17,0))</f>
        <v/>
      </c>
      <c r="D74">
        <f>IF(Scenarios!E17=1,0, BaselineCalc!$B$8 + (=IF(ISNUMBER(SEARCH("Ramp",A74)), CHOOSE(MATCH(B74,{"FY2026","FY2027","FY2028","FY2029","FY2030"},0),50,100,150,150,150), Scenarios!C17)) - ROUND((=IF(ISNUMBER(SEARCH("Ramp",A74)), CHOOSE(MATCH(B74,{"FY2026","FY2027","FY2028","FY2029","FY2030"},0),50,100,150,150,150), Scenarios!C17))*Scenarios!F17,0))</f>
        <v/>
      </c>
      <c r="E74">
        <f>C74+D74</f>
        <v/>
      </c>
      <c r="F74">
        <f>VLOOKUP(B74,YearMap!$A$2:$B$6,2,FALSE)</f>
        <v/>
      </c>
      <c r="G74">
        <f>VLOOKUP(B74,YearMap!$A$2:$C$6,3,FALSE)</f>
        <v/>
      </c>
      <c r="H74">
        <f>VLOOKUP(B74,YearMap!$A$2:$D$6,4,FALSE)</f>
        <v/>
      </c>
      <c r="I74">
        <f>1-BaselineCalc!$B$5</f>
        <v/>
      </c>
      <c r="J74">
        <f>Scenarios!G17</f>
        <v/>
      </c>
      <c r="K74">
        <f>(G74+H74+F74*E74)*I74*(1-J74)</f>
        <v/>
      </c>
      <c r="L74">
        <f>IF(E74&gt;0, K74/E74, NA())</f>
        <v/>
      </c>
      <c r="M74">
        <f>A74&amp;"|"&amp;B74</f>
        <v/>
      </c>
    </row>
    <row r="75">
      <c r="A75">
        <f>Scenarios!A17</f>
        <v/>
      </c>
      <c r="B75" t="inlineStr">
        <is>
          <t>FY2029</t>
        </is>
      </c>
      <c r="C75">
        <f>IF(Scenarios!D17=1,0, BaselineCalc!$B$7 + ROUND((=IF(ISNUMBER(SEARCH("Ramp",A75)), CHOOSE(MATCH(B75,{"FY2026","FY2027","FY2028","FY2029","FY2030"},0),50,100,150,150,150), Scenarios!C17))*Scenarios!F17,0))</f>
        <v/>
      </c>
      <c r="D75">
        <f>IF(Scenarios!E17=1,0, BaselineCalc!$B$8 + (=IF(ISNUMBER(SEARCH("Ramp",A75)), CHOOSE(MATCH(B75,{"FY2026","FY2027","FY2028","FY2029","FY2030"},0),50,100,150,150,150), Scenarios!C17)) - ROUND((=IF(ISNUMBER(SEARCH("Ramp",A75)), CHOOSE(MATCH(B75,{"FY2026","FY2027","FY2028","FY2029","FY2030"},0),50,100,150,150,150), Scenarios!C17))*Scenarios!F17,0))</f>
        <v/>
      </c>
      <c r="E75">
        <f>C75+D75</f>
        <v/>
      </c>
      <c r="F75">
        <f>VLOOKUP(B75,YearMap!$A$2:$B$6,2,FALSE)</f>
        <v/>
      </c>
      <c r="G75">
        <f>VLOOKUP(B75,YearMap!$A$2:$C$6,3,FALSE)</f>
        <v/>
      </c>
      <c r="H75">
        <f>VLOOKUP(B75,YearMap!$A$2:$D$6,4,FALSE)</f>
        <v/>
      </c>
      <c r="I75">
        <f>1-BaselineCalc!$B$5</f>
        <v/>
      </c>
      <c r="J75">
        <f>Scenarios!G17</f>
        <v/>
      </c>
      <c r="K75">
        <f>(G75+H75+F75*E75)*I75*(1-J75)</f>
        <v/>
      </c>
      <c r="L75">
        <f>IF(E75&gt;0, K75/E75, NA())</f>
        <v/>
      </c>
      <c r="M75">
        <f>A75&amp;"|"&amp;B75</f>
        <v/>
      </c>
    </row>
    <row r="76">
      <c r="A76">
        <f>Scenarios!A17</f>
        <v/>
      </c>
      <c r="B76" t="inlineStr">
        <is>
          <t>FY2030</t>
        </is>
      </c>
      <c r="C76">
        <f>IF(Scenarios!D17=1,0, BaselineCalc!$B$7 + ROUND((=IF(ISNUMBER(SEARCH("Ramp",A76)), CHOOSE(MATCH(B76,{"FY2026","FY2027","FY2028","FY2029","FY2030"},0),50,100,150,150,150), Scenarios!C17))*Scenarios!F17,0))</f>
        <v/>
      </c>
      <c r="D76">
        <f>IF(Scenarios!E17=1,0, BaselineCalc!$B$8 + (=IF(ISNUMBER(SEARCH("Ramp",A76)), CHOOSE(MATCH(B76,{"FY2026","FY2027","FY2028","FY2029","FY2030"},0),50,100,150,150,150), Scenarios!C17)) - ROUND((=IF(ISNUMBER(SEARCH("Ramp",A76)), CHOOSE(MATCH(B76,{"FY2026","FY2027","FY2028","FY2029","FY2030"},0),50,100,150,150,150), Scenarios!C17))*Scenarios!F17,0))</f>
        <v/>
      </c>
      <c r="E76">
        <f>C76+D76</f>
        <v/>
      </c>
      <c r="F76">
        <f>VLOOKUP(B76,YearMap!$A$2:$B$6,2,FALSE)</f>
        <v/>
      </c>
      <c r="G76">
        <f>VLOOKUP(B76,YearMap!$A$2:$C$6,3,FALSE)</f>
        <v/>
      </c>
      <c r="H76">
        <f>VLOOKUP(B76,YearMap!$A$2:$D$6,4,FALSE)</f>
        <v/>
      </c>
      <c r="I76">
        <f>1-BaselineCalc!$B$5</f>
        <v/>
      </c>
      <c r="J76">
        <f>Scenarios!G17</f>
        <v/>
      </c>
      <c r="K76">
        <f>(G76+H76+F76*E76)*I76*(1-J76)</f>
        <v/>
      </c>
      <c r="L76">
        <f>IF(E76&gt;0, K76/E76, NA())</f>
        <v/>
      </c>
      <c r="M76">
        <f>A76&amp;"|"&amp;B76</f>
        <v/>
      </c>
    </row>
    <row r="77">
      <c r="A77">
        <f>Scenarios!A18</f>
        <v/>
      </c>
      <c r="B77" t="inlineStr">
        <is>
          <t>FY2026</t>
        </is>
      </c>
      <c r="C77">
        <f>IF(Scenarios!D18=1,0, BaselineCalc!$B$7 + ROUND((=IF(ISNUMBER(SEARCH("Ramp",A77)), CHOOSE(MATCH(B77,{"FY2026","FY2027","FY2028","FY2029","FY2030"},0),50,100,150,150,150), Scenarios!C18))*Scenarios!F18,0))</f>
        <v/>
      </c>
      <c r="D77">
        <f>IF(Scenarios!E18=1,0, BaselineCalc!$B$8 + (=IF(ISNUMBER(SEARCH("Ramp",A77)), CHOOSE(MATCH(B77,{"FY2026","FY2027","FY2028","FY2029","FY2030"},0),50,100,150,150,150), Scenarios!C18)) - ROUND((=IF(ISNUMBER(SEARCH("Ramp",A77)), CHOOSE(MATCH(B77,{"FY2026","FY2027","FY2028","FY2029","FY2030"},0),50,100,150,150,150), Scenarios!C18))*Scenarios!F18,0))</f>
        <v/>
      </c>
      <c r="E77">
        <f>C77+D77</f>
        <v/>
      </c>
      <c r="F77">
        <f>VLOOKUP(B77,YearMap!$A$2:$B$6,2,FALSE)</f>
        <v/>
      </c>
      <c r="G77">
        <f>VLOOKUP(B77,YearMap!$A$2:$C$6,3,FALSE)</f>
        <v/>
      </c>
      <c r="H77">
        <f>VLOOKUP(B77,YearMap!$A$2:$D$6,4,FALSE)</f>
        <v/>
      </c>
      <c r="I77">
        <f>1-BaselineCalc!$B$5</f>
        <v/>
      </c>
      <c r="J77">
        <f>Scenarios!G18</f>
        <v/>
      </c>
      <c r="K77">
        <f>(G77+H77+F77*E77)*I77*(1-J77)</f>
        <v/>
      </c>
      <c r="L77">
        <f>IF(E77&gt;0, K77/E77, NA())</f>
        <v/>
      </c>
      <c r="M77">
        <f>A77&amp;"|"&amp;B77</f>
        <v/>
      </c>
    </row>
    <row r="78">
      <c r="A78">
        <f>Scenarios!A18</f>
        <v/>
      </c>
      <c r="B78" t="inlineStr">
        <is>
          <t>FY2027</t>
        </is>
      </c>
      <c r="C78">
        <f>IF(Scenarios!D18=1,0, BaselineCalc!$B$7 + ROUND((=IF(ISNUMBER(SEARCH("Ramp",A78)), CHOOSE(MATCH(B78,{"FY2026","FY2027","FY2028","FY2029","FY2030"},0),50,100,150,150,150), Scenarios!C18))*Scenarios!F18,0))</f>
        <v/>
      </c>
      <c r="D78">
        <f>IF(Scenarios!E18=1,0, BaselineCalc!$B$8 + (=IF(ISNUMBER(SEARCH("Ramp",A78)), CHOOSE(MATCH(B78,{"FY2026","FY2027","FY2028","FY2029","FY2030"},0),50,100,150,150,150), Scenarios!C18)) - ROUND((=IF(ISNUMBER(SEARCH("Ramp",A78)), CHOOSE(MATCH(B78,{"FY2026","FY2027","FY2028","FY2029","FY2030"},0),50,100,150,150,150), Scenarios!C18))*Scenarios!F18,0))</f>
        <v/>
      </c>
      <c r="E78">
        <f>C78+D78</f>
        <v/>
      </c>
      <c r="F78">
        <f>VLOOKUP(B78,YearMap!$A$2:$B$6,2,FALSE)</f>
        <v/>
      </c>
      <c r="G78">
        <f>VLOOKUP(B78,YearMap!$A$2:$C$6,3,FALSE)</f>
        <v/>
      </c>
      <c r="H78">
        <f>VLOOKUP(B78,YearMap!$A$2:$D$6,4,FALSE)</f>
        <v/>
      </c>
      <c r="I78">
        <f>1-BaselineCalc!$B$5</f>
        <v/>
      </c>
      <c r="J78">
        <f>Scenarios!G18</f>
        <v/>
      </c>
      <c r="K78">
        <f>(G78+H78+F78*E78)*I78*(1-J78)</f>
        <v/>
      </c>
      <c r="L78">
        <f>IF(E78&gt;0, K78/E78, NA())</f>
        <v/>
      </c>
      <c r="M78">
        <f>A78&amp;"|"&amp;B78</f>
        <v/>
      </c>
    </row>
    <row r="79">
      <c r="A79">
        <f>Scenarios!A18</f>
        <v/>
      </c>
      <c r="B79" t="inlineStr">
        <is>
          <t>FY2028</t>
        </is>
      </c>
      <c r="C79">
        <f>IF(Scenarios!D18=1,0, BaselineCalc!$B$7 + ROUND((=IF(ISNUMBER(SEARCH("Ramp",A79)), CHOOSE(MATCH(B79,{"FY2026","FY2027","FY2028","FY2029","FY2030"},0),50,100,150,150,150), Scenarios!C18))*Scenarios!F18,0))</f>
        <v/>
      </c>
      <c r="D79">
        <f>IF(Scenarios!E18=1,0, BaselineCalc!$B$8 + (=IF(ISNUMBER(SEARCH("Ramp",A79)), CHOOSE(MATCH(B79,{"FY2026","FY2027","FY2028","FY2029","FY2030"},0),50,100,150,150,150), Scenarios!C18)) - ROUND((=IF(ISNUMBER(SEARCH("Ramp",A79)), CHOOSE(MATCH(B79,{"FY2026","FY2027","FY2028","FY2029","FY2030"},0),50,100,150,150,150), Scenarios!C18))*Scenarios!F18,0))</f>
        <v/>
      </c>
      <c r="E79">
        <f>C79+D79</f>
        <v/>
      </c>
      <c r="F79">
        <f>VLOOKUP(B79,YearMap!$A$2:$B$6,2,FALSE)</f>
        <v/>
      </c>
      <c r="G79">
        <f>VLOOKUP(B79,YearMap!$A$2:$C$6,3,FALSE)</f>
        <v/>
      </c>
      <c r="H79">
        <f>VLOOKUP(B79,YearMap!$A$2:$D$6,4,FALSE)</f>
        <v/>
      </c>
      <c r="I79">
        <f>1-BaselineCalc!$B$5</f>
        <v/>
      </c>
      <c r="J79">
        <f>Scenarios!G18</f>
        <v/>
      </c>
      <c r="K79">
        <f>(G79+H79+F79*E79)*I79*(1-J79)</f>
        <v/>
      </c>
      <c r="L79">
        <f>IF(E79&gt;0, K79/E79, NA())</f>
        <v/>
      </c>
      <c r="M79">
        <f>A79&amp;"|"&amp;B79</f>
        <v/>
      </c>
    </row>
    <row r="80">
      <c r="A80">
        <f>Scenarios!A18</f>
        <v/>
      </c>
      <c r="B80" t="inlineStr">
        <is>
          <t>FY2029</t>
        </is>
      </c>
      <c r="C80">
        <f>IF(Scenarios!D18=1,0, BaselineCalc!$B$7 + ROUND((=IF(ISNUMBER(SEARCH("Ramp",A80)), CHOOSE(MATCH(B80,{"FY2026","FY2027","FY2028","FY2029","FY2030"},0),50,100,150,150,150), Scenarios!C18))*Scenarios!F18,0))</f>
        <v/>
      </c>
      <c r="D80">
        <f>IF(Scenarios!E18=1,0, BaselineCalc!$B$8 + (=IF(ISNUMBER(SEARCH("Ramp",A80)), CHOOSE(MATCH(B80,{"FY2026","FY2027","FY2028","FY2029","FY2030"},0),50,100,150,150,150), Scenarios!C18)) - ROUND((=IF(ISNUMBER(SEARCH("Ramp",A80)), CHOOSE(MATCH(B80,{"FY2026","FY2027","FY2028","FY2029","FY2030"},0),50,100,150,150,150), Scenarios!C18))*Scenarios!F18,0))</f>
        <v/>
      </c>
      <c r="E80">
        <f>C80+D80</f>
        <v/>
      </c>
      <c r="F80">
        <f>VLOOKUP(B80,YearMap!$A$2:$B$6,2,FALSE)</f>
        <v/>
      </c>
      <c r="G80">
        <f>VLOOKUP(B80,YearMap!$A$2:$C$6,3,FALSE)</f>
        <v/>
      </c>
      <c r="H80">
        <f>VLOOKUP(B80,YearMap!$A$2:$D$6,4,FALSE)</f>
        <v/>
      </c>
      <c r="I80">
        <f>1-BaselineCalc!$B$5</f>
        <v/>
      </c>
      <c r="J80">
        <f>Scenarios!G18</f>
        <v/>
      </c>
      <c r="K80">
        <f>(G80+H80+F80*E80)*I80*(1-J80)</f>
        <v/>
      </c>
      <c r="L80">
        <f>IF(E80&gt;0, K80/E80, NA())</f>
        <v/>
      </c>
      <c r="M80">
        <f>A80&amp;"|"&amp;B80</f>
        <v/>
      </c>
    </row>
    <row r="81">
      <c r="A81">
        <f>Scenarios!A18</f>
        <v/>
      </c>
      <c r="B81" t="inlineStr">
        <is>
          <t>FY2030</t>
        </is>
      </c>
      <c r="C81">
        <f>IF(Scenarios!D18=1,0, BaselineCalc!$B$7 + ROUND((=IF(ISNUMBER(SEARCH("Ramp",A81)), CHOOSE(MATCH(B81,{"FY2026","FY2027","FY2028","FY2029","FY2030"},0),50,100,150,150,150), Scenarios!C18))*Scenarios!F18,0))</f>
        <v/>
      </c>
      <c r="D81">
        <f>IF(Scenarios!E18=1,0, BaselineCalc!$B$8 + (=IF(ISNUMBER(SEARCH("Ramp",A81)), CHOOSE(MATCH(B81,{"FY2026","FY2027","FY2028","FY2029","FY2030"},0),50,100,150,150,150), Scenarios!C18)) - ROUND((=IF(ISNUMBER(SEARCH("Ramp",A81)), CHOOSE(MATCH(B81,{"FY2026","FY2027","FY2028","FY2029","FY2030"},0),50,100,150,150,150), Scenarios!C18))*Scenarios!F18,0))</f>
        <v/>
      </c>
      <c r="E81">
        <f>C81+D81</f>
        <v/>
      </c>
      <c r="F81">
        <f>VLOOKUP(B81,YearMap!$A$2:$B$6,2,FALSE)</f>
        <v/>
      </c>
      <c r="G81">
        <f>VLOOKUP(B81,YearMap!$A$2:$C$6,3,FALSE)</f>
        <v/>
      </c>
      <c r="H81">
        <f>VLOOKUP(B81,YearMap!$A$2:$D$6,4,FALSE)</f>
        <v/>
      </c>
      <c r="I81">
        <f>1-BaselineCalc!$B$5</f>
        <v/>
      </c>
      <c r="J81">
        <f>Scenarios!G18</f>
        <v/>
      </c>
      <c r="K81">
        <f>(G81+H81+F81*E81)*I81*(1-J81)</f>
        <v/>
      </c>
      <c r="L81">
        <f>IF(E81&gt;0, K81/E81, NA())</f>
        <v/>
      </c>
      <c r="M81">
        <f>A81&amp;"|"&amp;B81</f>
        <v/>
      </c>
    </row>
    <row r="82">
      <c r="A82">
        <f>Scenarios!A19</f>
        <v/>
      </c>
      <c r="B82" t="inlineStr">
        <is>
          <t>FY2026</t>
        </is>
      </c>
      <c r="C82">
        <f>IF(Scenarios!D19=1,0, BaselineCalc!$B$7 + ROUND((=IF(ISNUMBER(SEARCH("Ramp",A82)), CHOOSE(MATCH(B82,{"FY2026","FY2027","FY2028","FY2029","FY2030"},0),50,100,150,150,150), Scenarios!C19))*Scenarios!F19,0))</f>
        <v/>
      </c>
      <c r="D82">
        <f>IF(Scenarios!E19=1,0, BaselineCalc!$B$8 + (=IF(ISNUMBER(SEARCH("Ramp",A82)), CHOOSE(MATCH(B82,{"FY2026","FY2027","FY2028","FY2029","FY2030"},0),50,100,150,150,150), Scenarios!C19)) - ROUND((=IF(ISNUMBER(SEARCH("Ramp",A82)), CHOOSE(MATCH(B82,{"FY2026","FY2027","FY2028","FY2029","FY2030"},0),50,100,150,150,150), Scenarios!C19))*Scenarios!F19,0))</f>
        <v/>
      </c>
      <c r="E82">
        <f>C82+D82</f>
        <v/>
      </c>
      <c r="F82">
        <f>VLOOKUP(B82,YearMap!$A$2:$B$6,2,FALSE)</f>
        <v/>
      </c>
      <c r="G82">
        <f>VLOOKUP(B82,YearMap!$A$2:$C$6,3,FALSE)</f>
        <v/>
      </c>
      <c r="H82">
        <f>VLOOKUP(B82,YearMap!$A$2:$D$6,4,FALSE)</f>
        <v/>
      </c>
      <c r="I82">
        <f>1-BaselineCalc!$B$5</f>
        <v/>
      </c>
      <c r="J82">
        <f>Scenarios!G19</f>
        <v/>
      </c>
      <c r="K82">
        <f>(G82+H82+F82*E82)*I82*(1-J82)</f>
        <v/>
      </c>
      <c r="L82">
        <f>IF(E82&gt;0, K82/E82, NA())</f>
        <v/>
      </c>
      <c r="M82">
        <f>A82&amp;"|"&amp;B82</f>
        <v/>
      </c>
    </row>
    <row r="83">
      <c r="A83">
        <f>Scenarios!A19</f>
        <v/>
      </c>
      <c r="B83" t="inlineStr">
        <is>
          <t>FY2027</t>
        </is>
      </c>
      <c r="C83">
        <f>IF(Scenarios!D19=1,0, BaselineCalc!$B$7 + ROUND((=IF(ISNUMBER(SEARCH("Ramp",A83)), CHOOSE(MATCH(B83,{"FY2026","FY2027","FY2028","FY2029","FY2030"},0),50,100,150,150,150), Scenarios!C19))*Scenarios!F19,0))</f>
        <v/>
      </c>
      <c r="D83">
        <f>IF(Scenarios!E19=1,0, BaselineCalc!$B$8 + (=IF(ISNUMBER(SEARCH("Ramp",A83)), CHOOSE(MATCH(B83,{"FY2026","FY2027","FY2028","FY2029","FY2030"},0),50,100,150,150,150), Scenarios!C19)) - ROUND((=IF(ISNUMBER(SEARCH("Ramp",A83)), CHOOSE(MATCH(B83,{"FY2026","FY2027","FY2028","FY2029","FY2030"},0),50,100,150,150,150), Scenarios!C19))*Scenarios!F19,0))</f>
        <v/>
      </c>
      <c r="E83">
        <f>C83+D83</f>
        <v/>
      </c>
      <c r="F83">
        <f>VLOOKUP(B83,YearMap!$A$2:$B$6,2,FALSE)</f>
        <v/>
      </c>
      <c r="G83">
        <f>VLOOKUP(B83,YearMap!$A$2:$C$6,3,FALSE)</f>
        <v/>
      </c>
      <c r="H83">
        <f>VLOOKUP(B83,YearMap!$A$2:$D$6,4,FALSE)</f>
        <v/>
      </c>
      <c r="I83">
        <f>1-BaselineCalc!$B$5</f>
        <v/>
      </c>
      <c r="J83">
        <f>Scenarios!G19</f>
        <v/>
      </c>
      <c r="K83">
        <f>(G83+H83+F83*E83)*I83*(1-J83)</f>
        <v/>
      </c>
      <c r="L83">
        <f>IF(E83&gt;0, K83/E83, NA())</f>
        <v/>
      </c>
      <c r="M83">
        <f>A83&amp;"|"&amp;B83</f>
        <v/>
      </c>
    </row>
    <row r="84">
      <c r="A84">
        <f>Scenarios!A19</f>
        <v/>
      </c>
      <c r="B84" t="inlineStr">
        <is>
          <t>FY2028</t>
        </is>
      </c>
      <c r="C84">
        <f>IF(Scenarios!D19=1,0, BaselineCalc!$B$7 + ROUND((=IF(ISNUMBER(SEARCH("Ramp",A84)), CHOOSE(MATCH(B84,{"FY2026","FY2027","FY2028","FY2029","FY2030"},0),50,100,150,150,150), Scenarios!C19))*Scenarios!F19,0))</f>
        <v/>
      </c>
      <c r="D84">
        <f>IF(Scenarios!E19=1,0, BaselineCalc!$B$8 + (=IF(ISNUMBER(SEARCH("Ramp",A84)), CHOOSE(MATCH(B84,{"FY2026","FY2027","FY2028","FY2029","FY2030"},0),50,100,150,150,150), Scenarios!C19)) - ROUND((=IF(ISNUMBER(SEARCH("Ramp",A84)), CHOOSE(MATCH(B84,{"FY2026","FY2027","FY2028","FY2029","FY2030"},0),50,100,150,150,150), Scenarios!C19))*Scenarios!F19,0))</f>
        <v/>
      </c>
      <c r="E84">
        <f>C84+D84</f>
        <v/>
      </c>
      <c r="F84">
        <f>VLOOKUP(B84,YearMap!$A$2:$B$6,2,FALSE)</f>
        <v/>
      </c>
      <c r="G84">
        <f>VLOOKUP(B84,YearMap!$A$2:$C$6,3,FALSE)</f>
        <v/>
      </c>
      <c r="H84">
        <f>VLOOKUP(B84,YearMap!$A$2:$D$6,4,FALSE)</f>
        <v/>
      </c>
      <c r="I84">
        <f>1-BaselineCalc!$B$5</f>
        <v/>
      </c>
      <c r="J84">
        <f>Scenarios!G19</f>
        <v/>
      </c>
      <c r="K84">
        <f>(G84+H84+F84*E84)*I84*(1-J84)</f>
        <v/>
      </c>
      <c r="L84">
        <f>IF(E84&gt;0, K84/E84, NA())</f>
        <v/>
      </c>
      <c r="M84">
        <f>A84&amp;"|"&amp;B84</f>
        <v/>
      </c>
    </row>
    <row r="85">
      <c r="A85">
        <f>Scenarios!A19</f>
        <v/>
      </c>
      <c r="B85" t="inlineStr">
        <is>
          <t>FY2029</t>
        </is>
      </c>
      <c r="C85">
        <f>IF(Scenarios!D19=1,0, BaselineCalc!$B$7 + ROUND((=IF(ISNUMBER(SEARCH("Ramp",A85)), CHOOSE(MATCH(B85,{"FY2026","FY2027","FY2028","FY2029","FY2030"},0),50,100,150,150,150), Scenarios!C19))*Scenarios!F19,0))</f>
        <v/>
      </c>
      <c r="D85">
        <f>IF(Scenarios!E19=1,0, BaselineCalc!$B$8 + (=IF(ISNUMBER(SEARCH("Ramp",A85)), CHOOSE(MATCH(B85,{"FY2026","FY2027","FY2028","FY2029","FY2030"},0),50,100,150,150,150), Scenarios!C19)) - ROUND((=IF(ISNUMBER(SEARCH("Ramp",A85)), CHOOSE(MATCH(B85,{"FY2026","FY2027","FY2028","FY2029","FY2030"},0),50,100,150,150,150), Scenarios!C19))*Scenarios!F19,0))</f>
        <v/>
      </c>
      <c r="E85">
        <f>C85+D85</f>
        <v/>
      </c>
      <c r="F85">
        <f>VLOOKUP(B85,YearMap!$A$2:$B$6,2,FALSE)</f>
        <v/>
      </c>
      <c r="G85">
        <f>VLOOKUP(B85,YearMap!$A$2:$C$6,3,FALSE)</f>
        <v/>
      </c>
      <c r="H85">
        <f>VLOOKUP(B85,YearMap!$A$2:$D$6,4,FALSE)</f>
        <v/>
      </c>
      <c r="I85">
        <f>1-BaselineCalc!$B$5</f>
        <v/>
      </c>
      <c r="J85">
        <f>Scenarios!G19</f>
        <v/>
      </c>
      <c r="K85">
        <f>(G85+H85+F85*E85)*I85*(1-J85)</f>
        <v/>
      </c>
      <c r="L85">
        <f>IF(E85&gt;0, K85/E85, NA())</f>
        <v/>
      </c>
      <c r="M85">
        <f>A85&amp;"|"&amp;B85</f>
        <v/>
      </c>
    </row>
    <row r="86">
      <c r="A86">
        <f>Scenarios!A19</f>
        <v/>
      </c>
      <c r="B86" t="inlineStr">
        <is>
          <t>FY2030</t>
        </is>
      </c>
      <c r="C86">
        <f>IF(Scenarios!D19=1,0, BaselineCalc!$B$7 + ROUND((=IF(ISNUMBER(SEARCH("Ramp",A86)), CHOOSE(MATCH(B86,{"FY2026","FY2027","FY2028","FY2029","FY2030"},0),50,100,150,150,150), Scenarios!C19))*Scenarios!F19,0))</f>
        <v/>
      </c>
      <c r="D86">
        <f>IF(Scenarios!E19=1,0, BaselineCalc!$B$8 + (=IF(ISNUMBER(SEARCH("Ramp",A86)), CHOOSE(MATCH(B86,{"FY2026","FY2027","FY2028","FY2029","FY2030"},0),50,100,150,150,150), Scenarios!C19)) - ROUND((=IF(ISNUMBER(SEARCH("Ramp",A86)), CHOOSE(MATCH(B86,{"FY2026","FY2027","FY2028","FY2029","FY2030"},0),50,100,150,150,150), Scenarios!C19))*Scenarios!F19,0))</f>
        <v/>
      </c>
      <c r="E86">
        <f>C86+D86</f>
        <v/>
      </c>
      <c r="F86">
        <f>VLOOKUP(B86,YearMap!$A$2:$B$6,2,FALSE)</f>
        <v/>
      </c>
      <c r="G86">
        <f>VLOOKUP(B86,YearMap!$A$2:$C$6,3,FALSE)</f>
        <v/>
      </c>
      <c r="H86">
        <f>VLOOKUP(B86,YearMap!$A$2:$D$6,4,FALSE)</f>
        <v/>
      </c>
      <c r="I86">
        <f>1-BaselineCalc!$B$5</f>
        <v/>
      </c>
      <c r="J86">
        <f>Scenarios!G19</f>
        <v/>
      </c>
      <c r="K86">
        <f>(G86+H86+F86*E86)*I86*(1-J86)</f>
        <v/>
      </c>
      <c r="L86">
        <f>IF(E86&gt;0, K86/E86, NA())</f>
        <v/>
      </c>
      <c r="M86">
        <f>A86&amp;"|"&amp;B86</f>
        <v/>
      </c>
    </row>
    <row r="87">
      <c r="A87">
        <f>Scenarios!A20</f>
        <v/>
      </c>
      <c r="B87" t="inlineStr">
        <is>
          <t>FY2026</t>
        </is>
      </c>
      <c r="C87">
        <f>IF(Scenarios!D20=1,0, BaselineCalc!$B$7 + ROUND((=IF(ISNUMBER(SEARCH("Ramp",A87)), CHOOSE(MATCH(B87,{"FY2026","FY2027","FY2028","FY2029","FY2030"},0),50,100,150,150,150), Scenarios!C20))*Scenarios!F20,0))</f>
        <v/>
      </c>
      <c r="D87">
        <f>IF(Scenarios!E20=1,0, BaselineCalc!$B$8 + (=IF(ISNUMBER(SEARCH("Ramp",A87)), CHOOSE(MATCH(B87,{"FY2026","FY2027","FY2028","FY2029","FY2030"},0),50,100,150,150,150), Scenarios!C20)) - ROUND((=IF(ISNUMBER(SEARCH("Ramp",A87)), CHOOSE(MATCH(B87,{"FY2026","FY2027","FY2028","FY2029","FY2030"},0),50,100,150,150,150), Scenarios!C20))*Scenarios!F20,0))</f>
        <v/>
      </c>
      <c r="E87">
        <f>C87+D87</f>
        <v/>
      </c>
      <c r="F87">
        <f>VLOOKUP(B87,YearMap!$A$2:$B$6,2,FALSE)</f>
        <v/>
      </c>
      <c r="G87">
        <f>VLOOKUP(B87,YearMap!$A$2:$C$6,3,FALSE)</f>
        <v/>
      </c>
      <c r="H87">
        <f>VLOOKUP(B87,YearMap!$A$2:$D$6,4,FALSE)</f>
        <v/>
      </c>
      <c r="I87">
        <f>1-BaselineCalc!$B$5</f>
        <v/>
      </c>
      <c r="J87">
        <f>Scenarios!G20</f>
        <v/>
      </c>
      <c r="K87">
        <f>(G87+H87+F87*E87)*I87*(1-J87)</f>
        <v/>
      </c>
      <c r="L87">
        <f>IF(E87&gt;0, K87/E87, NA())</f>
        <v/>
      </c>
      <c r="M87">
        <f>A87&amp;"|"&amp;B87</f>
        <v/>
      </c>
    </row>
    <row r="88">
      <c r="A88">
        <f>Scenarios!A20</f>
        <v/>
      </c>
      <c r="B88" t="inlineStr">
        <is>
          <t>FY2027</t>
        </is>
      </c>
      <c r="C88">
        <f>IF(Scenarios!D20=1,0, BaselineCalc!$B$7 + ROUND((=IF(ISNUMBER(SEARCH("Ramp",A88)), CHOOSE(MATCH(B88,{"FY2026","FY2027","FY2028","FY2029","FY2030"},0),50,100,150,150,150), Scenarios!C20))*Scenarios!F20,0))</f>
        <v/>
      </c>
      <c r="D88">
        <f>IF(Scenarios!E20=1,0, BaselineCalc!$B$8 + (=IF(ISNUMBER(SEARCH("Ramp",A88)), CHOOSE(MATCH(B88,{"FY2026","FY2027","FY2028","FY2029","FY2030"},0),50,100,150,150,150), Scenarios!C20)) - ROUND((=IF(ISNUMBER(SEARCH("Ramp",A88)), CHOOSE(MATCH(B88,{"FY2026","FY2027","FY2028","FY2029","FY2030"},0),50,100,150,150,150), Scenarios!C20))*Scenarios!F20,0))</f>
        <v/>
      </c>
      <c r="E88">
        <f>C88+D88</f>
        <v/>
      </c>
      <c r="F88">
        <f>VLOOKUP(B88,YearMap!$A$2:$B$6,2,FALSE)</f>
        <v/>
      </c>
      <c r="G88">
        <f>VLOOKUP(B88,YearMap!$A$2:$C$6,3,FALSE)</f>
        <v/>
      </c>
      <c r="H88">
        <f>VLOOKUP(B88,YearMap!$A$2:$D$6,4,FALSE)</f>
        <v/>
      </c>
      <c r="I88">
        <f>1-BaselineCalc!$B$5</f>
        <v/>
      </c>
      <c r="J88">
        <f>Scenarios!G20</f>
        <v/>
      </c>
      <c r="K88">
        <f>(G88+H88+F88*E88)*I88*(1-J88)</f>
        <v/>
      </c>
      <c r="L88">
        <f>IF(E88&gt;0, K88/E88, NA())</f>
        <v/>
      </c>
      <c r="M88">
        <f>A88&amp;"|"&amp;B88</f>
        <v/>
      </c>
    </row>
    <row r="89">
      <c r="A89">
        <f>Scenarios!A20</f>
        <v/>
      </c>
      <c r="B89" t="inlineStr">
        <is>
          <t>FY2028</t>
        </is>
      </c>
      <c r="C89">
        <f>IF(Scenarios!D20=1,0, BaselineCalc!$B$7 + ROUND((=IF(ISNUMBER(SEARCH("Ramp",A89)), CHOOSE(MATCH(B89,{"FY2026","FY2027","FY2028","FY2029","FY2030"},0),50,100,150,150,150), Scenarios!C20))*Scenarios!F20,0))</f>
        <v/>
      </c>
      <c r="D89">
        <f>IF(Scenarios!E20=1,0, BaselineCalc!$B$8 + (=IF(ISNUMBER(SEARCH("Ramp",A89)), CHOOSE(MATCH(B89,{"FY2026","FY2027","FY2028","FY2029","FY2030"},0),50,100,150,150,150), Scenarios!C20)) - ROUND((=IF(ISNUMBER(SEARCH("Ramp",A89)), CHOOSE(MATCH(B89,{"FY2026","FY2027","FY2028","FY2029","FY2030"},0),50,100,150,150,150), Scenarios!C20))*Scenarios!F20,0))</f>
        <v/>
      </c>
      <c r="E89">
        <f>C89+D89</f>
        <v/>
      </c>
      <c r="F89">
        <f>VLOOKUP(B89,YearMap!$A$2:$B$6,2,FALSE)</f>
        <v/>
      </c>
      <c r="G89">
        <f>VLOOKUP(B89,YearMap!$A$2:$C$6,3,FALSE)</f>
        <v/>
      </c>
      <c r="H89">
        <f>VLOOKUP(B89,YearMap!$A$2:$D$6,4,FALSE)</f>
        <v/>
      </c>
      <c r="I89">
        <f>1-BaselineCalc!$B$5</f>
        <v/>
      </c>
      <c r="J89">
        <f>Scenarios!G20</f>
        <v/>
      </c>
      <c r="K89">
        <f>(G89+H89+F89*E89)*I89*(1-J89)</f>
        <v/>
      </c>
      <c r="L89">
        <f>IF(E89&gt;0, K89/E89, NA())</f>
        <v/>
      </c>
      <c r="M89">
        <f>A89&amp;"|"&amp;B89</f>
        <v/>
      </c>
    </row>
    <row r="90">
      <c r="A90">
        <f>Scenarios!A20</f>
        <v/>
      </c>
      <c r="B90" t="inlineStr">
        <is>
          <t>FY2029</t>
        </is>
      </c>
      <c r="C90">
        <f>IF(Scenarios!D20=1,0, BaselineCalc!$B$7 + ROUND((=IF(ISNUMBER(SEARCH("Ramp",A90)), CHOOSE(MATCH(B90,{"FY2026","FY2027","FY2028","FY2029","FY2030"},0),50,100,150,150,150), Scenarios!C20))*Scenarios!F20,0))</f>
        <v/>
      </c>
      <c r="D90">
        <f>IF(Scenarios!E20=1,0, BaselineCalc!$B$8 + (=IF(ISNUMBER(SEARCH("Ramp",A90)), CHOOSE(MATCH(B90,{"FY2026","FY2027","FY2028","FY2029","FY2030"},0),50,100,150,150,150), Scenarios!C20)) - ROUND((=IF(ISNUMBER(SEARCH("Ramp",A90)), CHOOSE(MATCH(B90,{"FY2026","FY2027","FY2028","FY2029","FY2030"},0),50,100,150,150,150), Scenarios!C20))*Scenarios!F20,0))</f>
        <v/>
      </c>
      <c r="E90">
        <f>C90+D90</f>
        <v/>
      </c>
      <c r="F90">
        <f>VLOOKUP(B90,YearMap!$A$2:$B$6,2,FALSE)</f>
        <v/>
      </c>
      <c r="G90">
        <f>VLOOKUP(B90,YearMap!$A$2:$C$6,3,FALSE)</f>
        <v/>
      </c>
      <c r="H90">
        <f>VLOOKUP(B90,YearMap!$A$2:$D$6,4,FALSE)</f>
        <v/>
      </c>
      <c r="I90">
        <f>1-BaselineCalc!$B$5</f>
        <v/>
      </c>
      <c r="J90">
        <f>Scenarios!G20</f>
        <v/>
      </c>
      <c r="K90">
        <f>(G90+H90+F90*E90)*I90*(1-J90)</f>
        <v/>
      </c>
      <c r="L90">
        <f>IF(E90&gt;0, K90/E90, NA())</f>
        <v/>
      </c>
      <c r="M90">
        <f>A90&amp;"|"&amp;B90</f>
        <v/>
      </c>
    </row>
    <row r="91">
      <c r="A91">
        <f>Scenarios!A20</f>
        <v/>
      </c>
      <c r="B91" t="inlineStr">
        <is>
          <t>FY2030</t>
        </is>
      </c>
      <c r="C91">
        <f>IF(Scenarios!D20=1,0, BaselineCalc!$B$7 + ROUND((=IF(ISNUMBER(SEARCH("Ramp",A91)), CHOOSE(MATCH(B91,{"FY2026","FY2027","FY2028","FY2029","FY2030"},0),50,100,150,150,150), Scenarios!C20))*Scenarios!F20,0))</f>
        <v/>
      </c>
      <c r="D91">
        <f>IF(Scenarios!E20=1,0, BaselineCalc!$B$8 + (=IF(ISNUMBER(SEARCH("Ramp",A91)), CHOOSE(MATCH(B91,{"FY2026","FY2027","FY2028","FY2029","FY2030"},0),50,100,150,150,150), Scenarios!C20)) - ROUND((=IF(ISNUMBER(SEARCH("Ramp",A91)), CHOOSE(MATCH(B91,{"FY2026","FY2027","FY2028","FY2029","FY2030"},0),50,100,150,150,150), Scenarios!C20))*Scenarios!F20,0))</f>
        <v/>
      </c>
      <c r="E91">
        <f>C91+D91</f>
        <v/>
      </c>
      <c r="F91">
        <f>VLOOKUP(B91,YearMap!$A$2:$B$6,2,FALSE)</f>
        <v/>
      </c>
      <c r="G91">
        <f>VLOOKUP(B91,YearMap!$A$2:$C$6,3,FALSE)</f>
        <v/>
      </c>
      <c r="H91">
        <f>VLOOKUP(B91,YearMap!$A$2:$D$6,4,FALSE)</f>
        <v/>
      </c>
      <c r="I91">
        <f>1-BaselineCalc!$B$5</f>
        <v/>
      </c>
      <c r="J91">
        <f>Scenarios!G20</f>
        <v/>
      </c>
      <c r="K91">
        <f>(G91+H91+F91*E91)*I91*(1-J91)</f>
        <v/>
      </c>
      <c r="L91">
        <f>IF(E91&gt;0, K91/E91, NA())</f>
        <v/>
      </c>
      <c r="M91">
        <f>A91&amp;"|"&amp;B91</f>
        <v/>
      </c>
    </row>
    <row r="92">
      <c r="A92">
        <f>Scenarios!A21</f>
        <v/>
      </c>
      <c r="B92" t="inlineStr">
        <is>
          <t>FY2026</t>
        </is>
      </c>
      <c r="C92">
        <f>IF(Scenarios!D21=1,0, BaselineCalc!$B$7 + ROUND((=IF(ISNUMBER(SEARCH("Ramp",A92)), CHOOSE(MATCH(B92,{"FY2026","FY2027","FY2028","FY2029","FY2030"},0),50,100,150,150,150), Scenarios!C21))*Scenarios!F21,0))</f>
        <v/>
      </c>
      <c r="D92">
        <f>IF(Scenarios!E21=1,0, BaselineCalc!$B$8 + (=IF(ISNUMBER(SEARCH("Ramp",A92)), CHOOSE(MATCH(B92,{"FY2026","FY2027","FY2028","FY2029","FY2030"},0),50,100,150,150,150), Scenarios!C21)) - ROUND((=IF(ISNUMBER(SEARCH("Ramp",A92)), CHOOSE(MATCH(B92,{"FY2026","FY2027","FY2028","FY2029","FY2030"},0),50,100,150,150,150), Scenarios!C21))*Scenarios!F21,0))</f>
        <v/>
      </c>
      <c r="E92">
        <f>C92+D92</f>
        <v/>
      </c>
      <c r="F92">
        <f>VLOOKUP(B92,YearMap!$A$2:$B$6,2,FALSE)</f>
        <v/>
      </c>
      <c r="G92">
        <f>VLOOKUP(B92,YearMap!$A$2:$C$6,3,FALSE)</f>
        <v/>
      </c>
      <c r="H92">
        <f>VLOOKUP(B92,YearMap!$A$2:$D$6,4,FALSE)</f>
        <v/>
      </c>
      <c r="I92">
        <f>1-BaselineCalc!$B$5</f>
        <v/>
      </c>
      <c r="J92">
        <f>Scenarios!G21</f>
        <v/>
      </c>
      <c r="K92">
        <f>(G92+H92+F92*E92)*I92*(1-J92)</f>
        <v/>
      </c>
      <c r="L92">
        <f>IF(E92&gt;0, K92/E92, NA())</f>
        <v/>
      </c>
      <c r="M92">
        <f>A92&amp;"|"&amp;B92</f>
        <v/>
      </c>
    </row>
    <row r="93">
      <c r="A93">
        <f>Scenarios!A21</f>
        <v/>
      </c>
      <c r="B93" t="inlineStr">
        <is>
          <t>FY2027</t>
        </is>
      </c>
      <c r="C93">
        <f>IF(Scenarios!D21=1,0, BaselineCalc!$B$7 + ROUND((=IF(ISNUMBER(SEARCH("Ramp",A93)), CHOOSE(MATCH(B93,{"FY2026","FY2027","FY2028","FY2029","FY2030"},0),50,100,150,150,150), Scenarios!C21))*Scenarios!F21,0))</f>
        <v/>
      </c>
      <c r="D93">
        <f>IF(Scenarios!E21=1,0, BaselineCalc!$B$8 + (=IF(ISNUMBER(SEARCH("Ramp",A93)), CHOOSE(MATCH(B93,{"FY2026","FY2027","FY2028","FY2029","FY2030"},0),50,100,150,150,150), Scenarios!C21)) - ROUND((=IF(ISNUMBER(SEARCH("Ramp",A93)), CHOOSE(MATCH(B93,{"FY2026","FY2027","FY2028","FY2029","FY2030"},0),50,100,150,150,150), Scenarios!C21))*Scenarios!F21,0))</f>
        <v/>
      </c>
      <c r="E93">
        <f>C93+D93</f>
        <v/>
      </c>
      <c r="F93">
        <f>VLOOKUP(B93,YearMap!$A$2:$B$6,2,FALSE)</f>
        <v/>
      </c>
      <c r="G93">
        <f>VLOOKUP(B93,YearMap!$A$2:$C$6,3,FALSE)</f>
        <v/>
      </c>
      <c r="H93">
        <f>VLOOKUP(B93,YearMap!$A$2:$D$6,4,FALSE)</f>
        <v/>
      </c>
      <c r="I93">
        <f>1-BaselineCalc!$B$5</f>
        <v/>
      </c>
      <c r="J93">
        <f>Scenarios!G21</f>
        <v/>
      </c>
      <c r="K93">
        <f>(G93+H93+F93*E93)*I93*(1-J93)</f>
        <v/>
      </c>
      <c r="L93">
        <f>IF(E93&gt;0, K93/E93, NA())</f>
        <v/>
      </c>
      <c r="M93">
        <f>A93&amp;"|"&amp;B93</f>
        <v/>
      </c>
    </row>
    <row r="94">
      <c r="A94">
        <f>Scenarios!A21</f>
        <v/>
      </c>
      <c r="B94" t="inlineStr">
        <is>
          <t>FY2028</t>
        </is>
      </c>
      <c r="C94">
        <f>IF(Scenarios!D21=1,0, BaselineCalc!$B$7 + ROUND((=IF(ISNUMBER(SEARCH("Ramp",A94)), CHOOSE(MATCH(B94,{"FY2026","FY2027","FY2028","FY2029","FY2030"},0),50,100,150,150,150), Scenarios!C21))*Scenarios!F21,0))</f>
        <v/>
      </c>
      <c r="D94">
        <f>IF(Scenarios!E21=1,0, BaselineCalc!$B$8 + (=IF(ISNUMBER(SEARCH("Ramp",A94)), CHOOSE(MATCH(B94,{"FY2026","FY2027","FY2028","FY2029","FY2030"},0),50,100,150,150,150), Scenarios!C21)) - ROUND((=IF(ISNUMBER(SEARCH("Ramp",A94)), CHOOSE(MATCH(B94,{"FY2026","FY2027","FY2028","FY2029","FY2030"},0),50,100,150,150,150), Scenarios!C21))*Scenarios!F21,0))</f>
        <v/>
      </c>
      <c r="E94">
        <f>C94+D94</f>
        <v/>
      </c>
      <c r="F94">
        <f>VLOOKUP(B94,YearMap!$A$2:$B$6,2,FALSE)</f>
        <v/>
      </c>
      <c r="G94">
        <f>VLOOKUP(B94,YearMap!$A$2:$C$6,3,FALSE)</f>
        <v/>
      </c>
      <c r="H94">
        <f>VLOOKUP(B94,YearMap!$A$2:$D$6,4,FALSE)</f>
        <v/>
      </c>
      <c r="I94">
        <f>1-BaselineCalc!$B$5</f>
        <v/>
      </c>
      <c r="J94">
        <f>Scenarios!G21</f>
        <v/>
      </c>
      <c r="K94">
        <f>(G94+H94+F94*E94)*I94*(1-J94)</f>
        <v/>
      </c>
      <c r="L94">
        <f>IF(E94&gt;0, K94/E94, NA())</f>
        <v/>
      </c>
      <c r="M94">
        <f>A94&amp;"|"&amp;B94</f>
        <v/>
      </c>
    </row>
    <row r="95">
      <c r="A95">
        <f>Scenarios!A21</f>
        <v/>
      </c>
      <c r="B95" t="inlineStr">
        <is>
          <t>FY2029</t>
        </is>
      </c>
      <c r="C95">
        <f>IF(Scenarios!D21=1,0, BaselineCalc!$B$7 + ROUND((=IF(ISNUMBER(SEARCH("Ramp",A95)), CHOOSE(MATCH(B95,{"FY2026","FY2027","FY2028","FY2029","FY2030"},0),50,100,150,150,150), Scenarios!C21))*Scenarios!F21,0))</f>
        <v/>
      </c>
      <c r="D95">
        <f>IF(Scenarios!E21=1,0, BaselineCalc!$B$8 + (=IF(ISNUMBER(SEARCH("Ramp",A95)), CHOOSE(MATCH(B95,{"FY2026","FY2027","FY2028","FY2029","FY2030"},0),50,100,150,150,150), Scenarios!C21)) - ROUND((=IF(ISNUMBER(SEARCH("Ramp",A95)), CHOOSE(MATCH(B95,{"FY2026","FY2027","FY2028","FY2029","FY2030"},0),50,100,150,150,150), Scenarios!C21))*Scenarios!F21,0))</f>
        <v/>
      </c>
      <c r="E95">
        <f>C95+D95</f>
        <v/>
      </c>
      <c r="F95">
        <f>VLOOKUP(B95,YearMap!$A$2:$B$6,2,FALSE)</f>
        <v/>
      </c>
      <c r="G95">
        <f>VLOOKUP(B95,YearMap!$A$2:$C$6,3,FALSE)</f>
        <v/>
      </c>
      <c r="H95">
        <f>VLOOKUP(B95,YearMap!$A$2:$D$6,4,FALSE)</f>
        <v/>
      </c>
      <c r="I95">
        <f>1-BaselineCalc!$B$5</f>
        <v/>
      </c>
      <c r="J95">
        <f>Scenarios!G21</f>
        <v/>
      </c>
      <c r="K95">
        <f>(G95+H95+F95*E95)*I95*(1-J95)</f>
        <v/>
      </c>
      <c r="L95">
        <f>IF(E95&gt;0, K95/E95, NA())</f>
        <v/>
      </c>
      <c r="M95">
        <f>A95&amp;"|"&amp;B95</f>
        <v/>
      </c>
    </row>
    <row r="96">
      <c r="A96">
        <f>Scenarios!A21</f>
        <v/>
      </c>
      <c r="B96" t="inlineStr">
        <is>
          <t>FY2030</t>
        </is>
      </c>
      <c r="C96">
        <f>IF(Scenarios!D21=1,0, BaselineCalc!$B$7 + ROUND((=IF(ISNUMBER(SEARCH("Ramp",A96)), CHOOSE(MATCH(B96,{"FY2026","FY2027","FY2028","FY2029","FY2030"},0),50,100,150,150,150), Scenarios!C21))*Scenarios!F21,0))</f>
        <v/>
      </c>
      <c r="D96">
        <f>IF(Scenarios!E21=1,0, BaselineCalc!$B$8 + (=IF(ISNUMBER(SEARCH("Ramp",A96)), CHOOSE(MATCH(B96,{"FY2026","FY2027","FY2028","FY2029","FY2030"},0),50,100,150,150,150), Scenarios!C21)) - ROUND((=IF(ISNUMBER(SEARCH("Ramp",A96)), CHOOSE(MATCH(B96,{"FY2026","FY2027","FY2028","FY2029","FY2030"},0),50,100,150,150,150), Scenarios!C21))*Scenarios!F21,0))</f>
        <v/>
      </c>
      <c r="E96">
        <f>C96+D96</f>
        <v/>
      </c>
      <c r="F96">
        <f>VLOOKUP(B96,YearMap!$A$2:$B$6,2,FALSE)</f>
        <v/>
      </c>
      <c r="G96">
        <f>VLOOKUP(B96,YearMap!$A$2:$C$6,3,FALSE)</f>
        <v/>
      </c>
      <c r="H96">
        <f>VLOOKUP(B96,YearMap!$A$2:$D$6,4,FALSE)</f>
        <v/>
      </c>
      <c r="I96">
        <f>1-BaselineCalc!$B$5</f>
        <v/>
      </c>
      <c r="J96">
        <f>Scenarios!G21</f>
        <v/>
      </c>
      <c r="K96">
        <f>(G96+H96+F96*E96)*I96*(1-J96)</f>
        <v/>
      </c>
      <c r="L96">
        <f>IF(E96&gt;0, K96/E96, NA())</f>
        <v/>
      </c>
      <c r="M96">
        <f>A96&amp;"|"&amp;B96</f>
        <v/>
      </c>
    </row>
    <row r="97">
      <c r="A97">
        <f>Scenarios!A22</f>
        <v/>
      </c>
      <c r="B97" t="inlineStr">
        <is>
          <t>FY2026</t>
        </is>
      </c>
      <c r="C97">
        <f>IF(Scenarios!D22=1,0, BaselineCalc!$B$7 + ROUND((=IF(ISNUMBER(SEARCH("Ramp",A97)), CHOOSE(MATCH(B97,{"FY2026","FY2027","FY2028","FY2029","FY2030"},0),50,100,150,150,150), Scenarios!C22))*Scenarios!F22,0))</f>
        <v/>
      </c>
      <c r="D97">
        <f>IF(Scenarios!E22=1,0, BaselineCalc!$B$8 + (=IF(ISNUMBER(SEARCH("Ramp",A97)), CHOOSE(MATCH(B97,{"FY2026","FY2027","FY2028","FY2029","FY2030"},0),50,100,150,150,150), Scenarios!C22)) - ROUND((=IF(ISNUMBER(SEARCH("Ramp",A97)), CHOOSE(MATCH(B97,{"FY2026","FY2027","FY2028","FY2029","FY2030"},0),50,100,150,150,150), Scenarios!C22))*Scenarios!F22,0))</f>
        <v/>
      </c>
      <c r="E97">
        <f>C97+D97</f>
        <v/>
      </c>
      <c r="F97">
        <f>VLOOKUP(B97,YearMap!$A$2:$B$6,2,FALSE)</f>
        <v/>
      </c>
      <c r="G97">
        <f>VLOOKUP(B97,YearMap!$A$2:$C$6,3,FALSE)</f>
        <v/>
      </c>
      <c r="H97">
        <f>VLOOKUP(B97,YearMap!$A$2:$D$6,4,FALSE)</f>
        <v/>
      </c>
      <c r="I97">
        <f>1-BaselineCalc!$B$5</f>
        <v/>
      </c>
      <c r="J97">
        <f>Scenarios!G22</f>
        <v/>
      </c>
      <c r="K97">
        <f>(G97+H97+F97*E97)*I97*(1-J97)</f>
        <v/>
      </c>
      <c r="L97">
        <f>IF(E97&gt;0, K97/E97, NA())</f>
        <v/>
      </c>
      <c r="M97">
        <f>A97&amp;"|"&amp;B97</f>
        <v/>
      </c>
    </row>
    <row r="98">
      <c r="A98">
        <f>Scenarios!A22</f>
        <v/>
      </c>
      <c r="B98" t="inlineStr">
        <is>
          <t>FY2027</t>
        </is>
      </c>
      <c r="C98">
        <f>IF(Scenarios!D22=1,0, BaselineCalc!$B$7 + ROUND((=IF(ISNUMBER(SEARCH("Ramp",A98)), CHOOSE(MATCH(B98,{"FY2026","FY2027","FY2028","FY2029","FY2030"},0),50,100,150,150,150), Scenarios!C22))*Scenarios!F22,0))</f>
        <v/>
      </c>
      <c r="D98">
        <f>IF(Scenarios!E22=1,0, BaselineCalc!$B$8 + (=IF(ISNUMBER(SEARCH("Ramp",A98)), CHOOSE(MATCH(B98,{"FY2026","FY2027","FY2028","FY2029","FY2030"},0),50,100,150,150,150), Scenarios!C22)) - ROUND((=IF(ISNUMBER(SEARCH("Ramp",A98)), CHOOSE(MATCH(B98,{"FY2026","FY2027","FY2028","FY2029","FY2030"},0),50,100,150,150,150), Scenarios!C22))*Scenarios!F22,0))</f>
        <v/>
      </c>
      <c r="E98">
        <f>C98+D98</f>
        <v/>
      </c>
      <c r="F98">
        <f>VLOOKUP(B98,YearMap!$A$2:$B$6,2,FALSE)</f>
        <v/>
      </c>
      <c r="G98">
        <f>VLOOKUP(B98,YearMap!$A$2:$C$6,3,FALSE)</f>
        <v/>
      </c>
      <c r="H98">
        <f>VLOOKUP(B98,YearMap!$A$2:$D$6,4,FALSE)</f>
        <v/>
      </c>
      <c r="I98">
        <f>1-BaselineCalc!$B$5</f>
        <v/>
      </c>
      <c r="J98">
        <f>Scenarios!G22</f>
        <v/>
      </c>
      <c r="K98">
        <f>(G98+H98+F98*E98)*I98*(1-J98)</f>
        <v/>
      </c>
      <c r="L98">
        <f>IF(E98&gt;0, K98/E98, NA())</f>
        <v/>
      </c>
      <c r="M98">
        <f>A98&amp;"|"&amp;B98</f>
        <v/>
      </c>
    </row>
    <row r="99">
      <c r="A99">
        <f>Scenarios!A22</f>
        <v/>
      </c>
      <c r="B99" t="inlineStr">
        <is>
          <t>FY2028</t>
        </is>
      </c>
      <c r="C99">
        <f>IF(Scenarios!D22=1,0, BaselineCalc!$B$7 + ROUND((=IF(ISNUMBER(SEARCH("Ramp",A99)), CHOOSE(MATCH(B99,{"FY2026","FY2027","FY2028","FY2029","FY2030"},0),50,100,150,150,150), Scenarios!C22))*Scenarios!F22,0))</f>
        <v/>
      </c>
      <c r="D99">
        <f>IF(Scenarios!E22=1,0, BaselineCalc!$B$8 + (=IF(ISNUMBER(SEARCH("Ramp",A99)), CHOOSE(MATCH(B99,{"FY2026","FY2027","FY2028","FY2029","FY2030"},0),50,100,150,150,150), Scenarios!C22)) - ROUND((=IF(ISNUMBER(SEARCH("Ramp",A99)), CHOOSE(MATCH(B99,{"FY2026","FY2027","FY2028","FY2029","FY2030"},0),50,100,150,150,150), Scenarios!C22))*Scenarios!F22,0))</f>
        <v/>
      </c>
      <c r="E99">
        <f>C99+D99</f>
        <v/>
      </c>
      <c r="F99">
        <f>VLOOKUP(B99,YearMap!$A$2:$B$6,2,FALSE)</f>
        <v/>
      </c>
      <c r="G99">
        <f>VLOOKUP(B99,YearMap!$A$2:$C$6,3,FALSE)</f>
        <v/>
      </c>
      <c r="H99">
        <f>VLOOKUP(B99,YearMap!$A$2:$D$6,4,FALSE)</f>
        <v/>
      </c>
      <c r="I99">
        <f>1-BaselineCalc!$B$5</f>
        <v/>
      </c>
      <c r="J99">
        <f>Scenarios!G22</f>
        <v/>
      </c>
      <c r="K99">
        <f>(G99+H99+F99*E99)*I99*(1-J99)</f>
        <v/>
      </c>
      <c r="L99">
        <f>IF(E99&gt;0, K99/E99, NA())</f>
        <v/>
      </c>
      <c r="M99">
        <f>A99&amp;"|"&amp;B99</f>
        <v/>
      </c>
    </row>
    <row r="100">
      <c r="A100">
        <f>Scenarios!A22</f>
        <v/>
      </c>
      <c r="B100" t="inlineStr">
        <is>
          <t>FY2029</t>
        </is>
      </c>
      <c r="C100">
        <f>IF(Scenarios!D22=1,0, BaselineCalc!$B$7 + ROUND((=IF(ISNUMBER(SEARCH("Ramp",A100)), CHOOSE(MATCH(B100,{"FY2026","FY2027","FY2028","FY2029","FY2030"},0),50,100,150,150,150), Scenarios!C22))*Scenarios!F22,0))</f>
        <v/>
      </c>
      <c r="D100">
        <f>IF(Scenarios!E22=1,0, BaselineCalc!$B$8 + (=IF(ISNUMBER(SEARCH("Ramp",A100)), CHOOSE(MATCH(B100,{"FY2026","FY2027","FY2028","FY2029","FY2030"},0),50,100,150,150,150), Scenarios!C22)) - ROUND((=IF(ISNUMBER(SEARCH("Ramp",A100)), CHOOSE(MATCH(B100,{"FY2026","FY2027","FY2028","FY2029","FY2030"},0),50,100,150,150,150), Scenarios!C22))*Scenarios!F22,0))</f>
        <v/>
      </c>
      <c r="E100">
        <f>C100+D100</f>
        <v/>
      </c>
      <c r="F100">
        <f>VLOOKUP(B100,YearMap!$A$2:$B$6,2,FALSE)</f>
        <v/>
      </c>
      <c r="G100">
        <f>VLOOKUP(B100,YearMap!$A$2:$C$6,3,FALSE)</f>
        <v/>
      </c>
      <c r="H100">
        <f>VLOOKUP(B100,YearMap!$A$2:$D$6,4,FALSE)</f>
        <v/>
      </c>
      <c r="I100">
        <f>1-BaselineCalc!$B$5</f>
        <v/>
      </c>
      <c r="J100">
        <f>Scenarios!G22</f>
        <v/>
      </c>
      <c r="K100">
        <f>(G100+H100+F100*E100)*I100*(1-J100)</f>
        <v/>
      </c>
      <c r="L100">
        <f>IF(E100&gt;0, K100/E100, NA())</f>
        <v/>
      </c>
      <c r="M100">
        <f>A100&amp;"|"&amp;B100</f>
        <v/>
      </c>
    </row>
    <row r="101">
      <c r="A101">
        <f>Scenarios!A22</f>
        <v/>
      </c>
      <c r="B101" t="inlineStr">
        <is>
          <t>FY2030</t>
        </is>
      </c>
      <c r="C101">
        <f>IF(Scenarios!D22=1,0, BaselineCalc!$B$7 + ROUND((=IF(ISNUMBER(SEARCH("Ramp",A101)), CHOOSE(MATCH(B101,{"FY2026","FY2027","FY2028","FY2029","FY2030"},0),50,100,150,150,150), Scenarios!C22))*Scenarios!F22,0))</f>
        <v/>
      </c>
      <c r="D101">
        <f>IF(Scenarios!E22=1,0, BaselineCalc!$B$8 + (=IF(ISNUMBER(SEARCH("Ramp",A101)), CHOOSE(MATCH(B101,{"FY2026","FY2027","FY2028","FY2029","FY2030"},0),50,100,150,150,150), Scenarios!C22)) - ROUND((=IF(ISNUMBER(SEARCH("Ramp",A101)), CHOOSE(MATCH(B101,{"FY2026","FY2027","FY2028","FY2029","FY2030"},0),50,100,150,150,150), Scenarios!C22))*Scenarios!F22,0))</f>
        <v/>
      </c>
      <c r="E101">
        <f>C101+D101</f>
        <v/>
      </c>
      <c r="F101">
        <f>VLOOKUP(B101,YearMap!$A$2:$B$6,2,FALSE)</f>
        <v/>
      </c>
      <c r="G101">
        <f>VLOOKUP(B101,YearMap!$A$2:$C$6,3,FALSE)</f>
        <v/>
      </c>
      <c r="H101">
        <f>VLOOKUP(B101,YearMap!$A$2:$D$6,4,FALSE)</f>
        <v/>
      </c>
      <c r="I101">
        <f>1-BaselineCalc!$B$5</f>
        <v/>
      </c>
      <c r="J101">
        <f>Scenarios!G22</f>
        <v/>
      </c>
      <c r="K101">
        <f>(G101+H101+F101*E101)*I101*(1-J101)</f>
        <v/>
      </c>
      <c r="L101">
        <f>IF(E101&gt;0, K101/E101, NA())</f>
        <v/>
      </c>
      <c r="M101">
        <f>A101&amp;"|"&amp;B101</f>
        <v/>
      </c>
    </row>
    <row r="102">
      <c r="A102">
        <f>Scenarios!A23</f>
        <v/>
      </c>
      <c r="B102" t="inlineStr">
        <is>
          <t>FY2026</t>
        </is>
      </c>
      <c r="C102">
        <f>IF(Scenarios!D23=1,0, BaselineCalc!$B$7 + ROUND((=IF(ISNUMBER(SEARCH("Ramp",A102)), CHOOSE(MATCH(B102,{"FY2026","FY2027","FY2028","FY2029","FY2030"},0),50,100,150,150,150), Scenarios!C23))*Scenarios!F23,0))</f>
        <v/>
      </c>
      <c r="D102">
        <f>IF(Scenarios!E23=1,0, BaselineCalc!$B$8 + (=IF(ISNUMBER(SEARCH("Ramp",A102)), CHOOSE(MATCH(B102,{"FY2026","FY2027","FY2028","FY2029","FY2030"},0),50,100,150,150,150), Scenarios!C23)) - ROUND((=IF(ISNUMBER(SEARCH("Ramp",A102)), CHOOSE(MATCH(B102,{"FY2026","FY2027","FY2028","FY2029","FY2030"},0),50,100,150,150,150), Scenarios!C23))*Scenarios!F23,0))</f>
        <v/>
      </c>
      <c r="E102">
        <f>C102+D102</f>
        <v/>
      </c>
      <c r="F102">
        <f>VLOOKUP(B102,YearMap!$A$2:$B$6,2,FALSE)</f>
        <v/>
      </c>
      <c r="G102">
        <f>VLOOKUP(B102,YearMap!$A$2:$C$6,3,FALSE)</f>
        <v/>
      </c>
      <c r="H102">
        <f>VLOOKUP(B102,YearMap!$A$2:$D$6,4,FALSE)</f>
        <v/>
      </c>
      <c r="I102">
        <f>1-BaselineCalc!$B$5</f>
        <v/>
      </c>
      <c r="J102">
        <f>Scenarios!G23</f>
        <v/>
      </c>
      <c r="K102">
        <f>(G102+H102+F102*E102)*I102*(1-J102)</f>
        <v/>
      </c>
      <c r="L102">
        <f>IF(E102&gt;0, K102/E102, NA())</f>
        <v/>
      </c>
      <c r="M102">
        <f>A102&amp;"|"&amp;B102</f>
        <v/>
      </c>
    </row>
    <row r="103">
      <c r="A103">
        <f>Scenarios!A23</f>
        <v/>
      </c>
      <c r="B103" t="inlineStr">
        <is>
          <t>FY2027</t>
        </is>
      </c>
      <c r="C103">
        <f>IF(Scenarios!D23=1,0, BaselineCalc!$B$7 + ROUND((=IF(ISNUMBER(SEARCH("Ramp",A103)), CHOOSE(MATCH(B103,{"FY2026","FY2027","FY2028","FY2029","FY2030"},0),50,100,150,150,150), Scenarios!C23))*Scenarios!F23,0))</f>
        <v/>
      </c>
      <c r="D103">
        <f>IF(Scenarios!E23=1,0, BaselineCalc!$B$8 + (=IF(ISNUMBER(SEARCH("Ramp",A103)), CHOOSE(MATCH(B103,{"FY2026","FY2027","FY2028","FY2029","FY2030"},0),50,100,150,150,150), Scenarios!C23)) - ROUND((=IF(ISNUMBER(SEARCH("Ramp",A103)), CHOOSE(MATCH(B103,{"FY2026","FY2027","FY2028","FY2029","FY2030"},0),50,100,150,150,150), Scenarios!C23))*Scenarios!F23,0))</f>
        <v/>
      </c>
      <c r="E103">
        <f>C103+D103</f>
        <v/>
      </c>
      <c r="F103">
        <f>VLOOKUP(B103,YearMap!$A$2:$B$6,2,FALSE)</f>
        <v/>
      </c>
      <c r="G103">
        <f>VLOOKUP(B103,YearMap!$A$2:$C$6,3,FALSE)</f>
        <v/>
      </c>
      <c r="H103">
        <f>VLOOKUP(B103,YearMap!$A$2:$D$6,4,FALSE)</f>
        <v/>
      </c>
      <c r="I103">
        <f>1-BaselineCalc!$B$5</f>
        <v/>
      </c>
      <c r="J103">
        <f>Scenarios!G23</f>
        <v/>
      </c>
      <c r="K103">
        <f>(G103+H103+F103*E103)*I103*(1-J103)</f>
        <v/>
      </c>
      <c r="L103">
        <f>IF(E103&gt;0, K103/E103, NA())</f>
        <v/>
      </c>
      <c r="M103">
        <f>A103&amp;"|"&amp;B103</f>
        <v/>
      </c>
    </row>
    <row r="104">
      <c r="A104">
        <f>Scenarios!A23</f>
        <v/>
      </c>
      <c r="B104" t="inlineStr">
        <is>
          <t>FY2028</t>
        </is>
      </c>
      <c r="C104">
        <f>IF(Scenarios!D23=1,0, BaselineCalc!$B$7 + ROUND((=IF(ISNUMBER(SEARCH("Ramp",A104)), CHOOSE(MATCH(B104,{"FY2026","FY2027","FY2028","FY2029","FY2030"},0),50,100,150,150,150), Scenarios!C23))*Scenarios!F23,0))</f>
        <v/>
      </c>
      <c r="D104">
        <f>IF(Scenarios!E23=1,0, BaselineCalc!$B$8 + (=IF(ISNUMBER(SEARCH("Ramp",A104)), CHOOSE(MATCH(B104,{"FY2026","FY2027","FY2028","FY2029","FY2030"},0),50,100,150,150,150), Scenarios!C23)) - ROUND((=IF(ISNUMBER(SEARCH("Ramp",A104)), CHOOSE(MATCH(B104,{"FY2026","FY2027","FY2028","FY2029","FY2030"},0),50,100,150,150,150), Scenarios!C23))*Scenarios!F23,0))</f>
        <v/>
      </c>
      <c r="E104">
        <f>C104+D104</f>
        <v/>
      </c>
      <c r="F104">
        <f>VLOOKUP(B104,YearMap!$A$2:$B$6,2,FALSE)</f>
        <v/>
      </c>
      <c r="G104">
        <f>VLOOKUP(B104,YearMap!$A$2:$C$6,3,FALSE)</f>
        <v/>
      </c>
      <c r="H104">
        <f>VLOOKUP(B104,YearMap!$A$2:$D$6,4,FALSE)</f>
        <v/>
      </c>
      <c r="I104">
        <f>1-BaselineCalc!$B$5</f>
        <v/>
      </c>
      <c r="J104">
        <f>Scenarios!G23</f>
        <v/>
      </c>
      <c r="K104">
        <f>(G104+H104+F104*E104)*I104*(1-J104)</f>
        <v/>
      </c>
      <c r="L104">
        <f>IF(E104&gt;0, K104/E104, NA())</f>
        <v/>
      </c>
      <c r="M104">
        <f>A104&amp;"|"&amp;B104</f>
        <v/>
      </c>
    </row>
    <row r="105">
      <c r="A105">
        <f>Scenarios!A23</f>
        <v/>
      </c>
      <c r="B105" t="inlineStr">
        <is>
          <t>FY2029</t>
        </is>
      </c>
      <c r="C105">
        <f>IF(Scenarios!D23=1,0, BaselineCalc!$B$7 + ROUND((=IF(ISNUMBER(SEARCH("Ramp",A105)), CHOOSE(MATCH(B105,{"FY2026","FY2027","FY2028","FY2029","FY2030"},0),50,100,150,150,150), Scenarios!C23))*Scenarios!F23,0))</f>
        <v/>
      </c>
      <c r="D105">
        <f>IF(Scenarios!E23=1,0, BaselineCalc!$B$8 + (=IF(ISNUMBER(SEARCH("Ramp",A105)), CHOOSE(MATCH(B105,{"FY2026","FY2027","FY2028","FY2029","FY2030"},0),50,100,150,150,150), Scenarios!C23)) - ROUND((=IF(ISNUMBER(SEARCH("Ramp",A105)), CHOOSE(MATCH(B105,{"FY2026","FY2027","FY2028","FY2029","FY2030"},0),50,100,150,150,150), Scenarios!C23))*Scenarios!F23,0))</f>
        <v/>
      </c>
      <c r="E105">
        <f>C105+D105</f>
        <v/>
      </c>
      <c r="F105">
        <f>VLOOKUP(B105,YearMap!$A$2:$B$6,2,FALSE)</f>
        <v/>
      </c>
      <c r="G105">
        <f>VLOOKUP(B105,YearMap!$A$2:$C$6,3,FALSE)</f>
        <v/>
      </c>
      <c r="H105">
        <f>VLOOKUP(B105,YearMap!$A$2:$D$6,4,FALSE)</f>
        <v/>
      </c>
      <c r="I105">
        <f>1-BaselineCalc!$B$5</f>
        <v/>
      </c>
      <c r="J105">
        <f>Scenarios!G23</f>
        <v/>
      </c>
      <c r="K105">
        <f>(G105+H105+F105*E105)*I105*(1-J105)</f>
        <v/>
      </c>
      <c r="L105">
        <f>IF(E105&gt;0, K105/E105, NA())</f>
        <v/>
      </c>
      <c r="M105">
        <f>A105&amp;"|"&amp;B105</f>
        <v/>
      </c>
    </row>
    <row r="106">
      <c r="A106">
        <f>Scenarios!A23</f>
        <v/>
      </c>
      <c r="B106" t="inlineStr">
        <is>
          <t>FY2030</t>
        </is>
      </c>
      <c r="C106">
        <f>IF(Scenarios!D23=1,0, BaselineCalc!$B$7 + ROUND((=IF(ISNUMBER(SEARCH("Ramp",A106)), CHOOSE(MATCH(B106,{"FY2026","FY2027","FY2028","FY2029","FY2030"},0),50,100,150,150,150), Scenarios!C23))*Scenarios!F23,0))</f>
        <v/>
      </c>
      <c r="D106">
        <f>IF(Scenarios!E23=1,0, BaselineCalc!$B$8 + (=IF(ISNUMBER(SEARCH("Ramp",A106)), CHOOSE(MATCH(B106,{"FY2026","FY2027","FY2028","FY2029","FY2030"},0),50,100,150,150,150), Scenarios!C23)) - ROUND((=IF(ISNUMBER(SEARCH("Ramp",A106)), CHOOSE(MATCH(B106,{"FY2026","FY2027","FY2028","FY2029","FY2030"},0),50,100,150,150,150), Scenarios!C23))*Scenarios!F23,0))</f>
        <v/>
      </c>
      <c r="E106">
        <f>C106+D106</f>
        <v/>
      </c>
      <c r="F106">
        <f>VLOOKUP(B106,YearMap!$A$2:$B$6,2,FALSE)</f>
        <v/>
      </c>
      <c r="G106">
        <f>VLOOKUP(B106,YearMap!$A$2:$C$6,3,FALSE)</f>
        <v/>
      </c>
      <c r="H106">
        <f>VLOOKUP(B106,YearMap!$A$2:$D$6,4,FALSE)</f>
        <v/>
      </c>
      <c r="I106">
        <f>1-BaselineCalc!$B$5</f>
        <v/>
      </c>
      <c r="J106">
        <f>Scenarios!G23</f>
        <v/>
      </c>
      <c r="K106">
        <f>(G106+H106+F106*E106)*I106*(1-J106)</f>
        <v/>
      </c>
      <c r="L106">
        <f>IF(E106&gt;0, K106/E106, NA())</f>
        <v/>
      </c>
      <c r="M106">
        <f>A106&amp;"|"&amp;B106</f>
        <v/>
      </c>
    </row>
    <row r="107">
      <c r="A107">
        <f>Scenarios!A24</f>
        <v/>
      </c>
      <c r="B107" t="inlineStr">
        <is>
          <t>FY2026</t>
        </is>
      </c>
      <c r="C107">
        <f>IF(Scenarios!D24=1,0, BaselineCalc!$B$7 + ROUND((=IF(ISNUMBER(SEARCH("Ramp",A107)), CHOOSE(MATCH(B107,{"FY2026","FY2027","FY2028","FY2029","FY2030"},0),50,100,150,150,150), Scenarios!C24))*Scenarios!F24,0))</f>
        <v/>
      </c>
      <c r="D107">
        <f>IF(Scenarios!E24=1,0, BaselineCalc!$B$8 + (=IF(ISNUMBER(SEARCH("Ramp",A107)), CHOOSE(MATCH(B107,{"FY2026","FY2027","FY2028","FY2029","FY2030"},0),50,100,150,150,150), Scenarios!C24)) - ROUND((=IF(ISNUMBER(SEARCH("Ramp",A107)), CHOOSE(MATCH(B107,{"FY2026","FY2027","FY2028","FY2029","FY2030"},0),50,100,150,150,150), Scenarios!C24))*Scenarios!F24,0))</f>
        <v/>
      </c>
      <c r="E107">
        <f>C107+D107</f>
        <v/>
      </c>
      <c r="F107">
        <f>VLOOKUP(B107,YearMap!$A$2:$B$6,2,FALSE)</f>
        <v/>
      </c>
      <c r="G107">
        <f>VLOOKUP(B107,YearMap!$A$2:$C$6,3,FALSE)</f>
        <v/>
      </c>
      <c r="H107">
        <f>VLOOKUP(B107,YearMap!$A$2:$D$6,4,FALSE)</f>
        <v/>
      </c>
      <c r="I107">
        <f>1-BaselineCalc!$B$5</f>
        <v/>
      </c>
      <c r="J107">
        <f>Scenarios!G24</f>
        <v/>
      </c>
      <c r="K107">
        <f>(G107+H107+F107*E107)*I107*(1-J107)</f>
        <v/>
      </c>
      <c r="L107">
        <f>IF(E107&gt;0, K107/E107, NA())</f>
        <v/>
      </c>
      <c r="M107">
        <f>A107&amp;"|"&amp;B107</f>
        <v/>
      </c>
    </row>
    <row r="108">
      <c r="A108">
        <f>Scenarios!A24</f>
        <v/>
      </c>
      <c r="B108" t="inlineStr">
        <is>
          <t>FY2027</t>
        </is>
      </c>
      <c r="C108">
        <f>IF(Scenarios!D24=1,0, BaselineCalc!$B$7 + ROUND((=IF(ISNUMBER(SEARCH("Ramp",A108)), CHOOSE(MATCH(B108,{"FY2026","FY2027","FY2028","FY2029","FY2030"},0),50,100,150,150,150), Scenarios!C24))*Scenarios!F24,0))</f>
        <v/>
      </c>
      <c r="D108">
        <f>IF(Scenarios!E24=1,0, BaselineCalc!$B$8 + (=IF(ISNUMBER(SEARCH("Ramp",A108)), CHOOSE(MATCH(B108,{"FY2026","FY2027","FY2028","FY2029","FY2030"},0),50,100,150,150,150), Scenarios!C24)) - ROUND((=IF(ISNUMBER(SEARCH("Ramp",A108)), CHOOSE(MATCH(B108,{"FY2026","FY2027","FY2028","FY2029","FY2030"},0),50,100,150,150,150), Scenarios!C24))*Scenarios!F24,0))</f>
        <v/>
      </c>
      <c r="E108">
        <f>C108+D108</f>
        <v/>
      </c>
      <c r="F108">
        <f>VLOOKUP(B108,YearMap!$A$2:$B$6,2,FALSE)</f>
        <v/>
      </c>
      <c r="G108">
        <f>VLOOKUP(B108,YearMap!$A$2:$C$6,3,FALSE)</f>
        <v/>
      </c>
      <c r="H108">
        <f>VLOOKUP(B108,YearMap!$A$2:$D$6,4,FALSE)</f>
        <v/>
      </c>
      <c r="I108">
        <f>1-BaselineCalc!$B$5</f>
        <v/>
      </c>
      <c r="J108">
        <f>Scenarios!G24</f>
        <v/>
      </c>
      <c r="K108">
        <f>(G108+H108+F108*E108)*I108*(1-J108)</f>
        <v/>
      </c>
      <c r="L108">
        <f>IF(E108&gt;0, K108/E108, NA())</f>
        <v/>
      </c>
      <c r="M108">
        <f>A108&amp;"|"&amp;B108</f>
        <v/>
      </c>
    </row>
    <row r="109">
      <c r="A109">
        <f>Scenarios!A24</f>
        <v/>
      </c>
      <c r="B109" t="inlineStr">
        <is>
          <t>FY2028</t>
        </is>
      </c>
      <c r="C109">
        <f>IF(Scenarios!D24=1,0, BaselineCalc!$B$7 + ROUND((=IF(ISNUMBER(SEARCH("Ramp",A109)), CHOOSE(MATCH(B109,{"FY2026","FY2027","FY2028","FY2029","FY2030"},0),50,100,150,150,150), Scenarios!C24))*Scenarios!F24,0))</f>
        <v/>
      </c>
      <c r="D109">
        <f>IF(Scenarios!E24=1,0, BaselineCalc!$B$8 + (=IF(ISNUMBER(SEARCH("Ramp",A109)), CHOOSE(MATCH(B109,{"FY2026","FY2027","FY2028","FY2029","FY2030"},0),50,100,150,150,150), Scenarios!C24)) - ROUND((=IF(ISNUMBER(SEARCH("Ramp",A109)), CHOOSE(MATCH(B109,{"FY2026","FY2027","FY2028","FY2029","FY2030"},0),50,100,150,150,150), Scenarios!C24))*Scenarios!F24,0))</f>
        <v/>
      </c>
      <c r="E109">
        <f>C109+D109</f>
        <v/>
      </c>
      <c r="F109">
        <f>VLOOKUP(B109,YearMap!$A$2:$B$6,2,FALSE)</f>
        <v/>
      </c>
      <c r="G109">
        <f>VLOOKUP(B109,YearMap!$A$2:$C$6,3,FALSE)</f>
        <v/>
      </c>
      <c r="H109">
        <f>VLOOKUP(B109,YearMap!$A$2:$D$6,4,FALSE)</f>
        <v/>
      </c>
      <c r="I109">
        <f>1-BaselineCalc!$B$5</f>
        <v/>
      </c>
      <c r="J109">
        <f>Scenarios!G24</f>
        <v/>
      </c>
      <c r="K109">
        <f>(G109+H109+F109*E109)*I109*(1-J109)</f>
        <v/>
      </c>
      <c r="L109">
        <f>IF(E109&gt;0, K109/E109, NA())</f>
        <v/>
      </c>
      <c r="M109">
        <f>A109&amp;"|"&amp;B109</f>
        <v/>
      </c>
    </row>
    <row r="110">
      <c r="A110">
        <f>Scenarios!A24</f>
        <v/>
      </c>
      <c r="B110" t="inlineStr">
        <is>
          <t>FY2029</t>
        </is>
      </c>
      <c r="C110">
        <f>IF(Scenarios!D24=1,0, BaselineCalc!$B$7 + ROUND((=IF(ISNUMBER(SEARCH("Ramp",A110)), CHOOSE(MATCH(B110,{"FY2026","FY2027","FY2028","FY2029","FY2030"},0),50,100,150,150,150), Scenarios!C24))*Scenarios!F24,0))</f>
        <v/>
      </c>
      <c r="D110">
        <f>IF(Scenarios!E24=1,0, BaselineCalc!$B$8 + (=IF(ISNUMBER(SEARCH("Ramp",A110)), CHOOSE(MATCH(B110,{"FY2026","FY2027","FY2028","FY2029","FY2030"},0),50,100,150,150,150), Scenarios!C24)) - ROUND((=IF(ISNUMBER(SEARCH("Ramp",A110)), CHOOSE(MATCH(B110,{"FY2026","FY2027","FY2028","FY2029","FY2030"},0),50,100,150,150,150), Scenarios!C24))*Scenarios!F24,0))</f>
        <v/>
      </c>
      <c r="E110">
        <f>C110+D110</f>
        <v/>
      </c>
      <c r="F110">
        <f>VLOOKUP(B110,YearMap!$A$2:$B$6,2,FALSE)</f>
        <v/>
      </c>
      <c r="G110">
        <f>VLOOKUP(B110,YearMap!$A$2:$C$6,3,FALSE)</f>
        <v/>
      </c>
      <c r="H110">
        <f>VLOOKUP(B110,YearMap!$A$2:$D$6,4,FALSE)</f>
        <v/>
      </c>
      <c r="I110">
        <f>1-BaselineCalc!$B$5</f>
        <v/>
      </c>
      <c r="J110">
        <f>Scenarios!G24</f>
        <v/>
      </c>
      <c r="K110">
        <f>(G110+H110+F110*E110)*I110*(1-J110)</f>
        <v/>
      </c>
      <c r="L110">
        <f>IF(E110&gt;0, K110/E110, NA())</f>
        <v/>
      </c>
      <c r="M110">
        <f>A110&amp;"|"&amp;B110</f>
        <v/>
      </c>
    </row>
    <row r="111">
      <c r="A111">
        <f>Scenarios!A24</f>
        <v/>
      </c>
      <c r="B111" t="inlineStr">
        <is>
          <t>FY2030</t>
        </is>
      </c>
      <c r="C111">
        <f>IF(Scenarios!D24=1,0, BaselineCalc!$B$7 + ROUND((=IF(ISNUMBER(SEARCH("Ramp",A111)), CHOOSE(MATCH(B111,{"FY2026","FY2027","FY2028","FY2029","FY2030"},0),50,100,150,150,150), Scenarios!C24))*Scenarios!F24,0))</f>
        <v/>
      </c>
      <c r="D111">
        <f>IF(Scenarios!E24=1,0, BaselineCalc!$B$8 + (=IF(ISNUMBER(SEARCH("Ramp",A111)), CHOOSE(MATCH(B111,{"FY2026","FY2027","FY2028","FY2029","FY2030"},0),50,100,150,150,150), Scenarios!C24)) - ROUND((=IF(ISNUMBER(SEARCH("Ramp",A111)), CHOOSE(MATCH(B111,{"FY2026","FY2027","FY2028","FY2029","FY2030"},0),50,100,150,150,150), Scenarios!C24))*Scenarios!F24,0))</f>
        <v/>
      </c>
      <c r="E111">
        <f>C111+D111</f>
        <v/>
      </c>
      <c r="F111">
        <f>VLOOKUP(B111,YearMap!$A$2:$B$6,2,FALSE)</f>
        <v/>
      </c>
      <c r="G111">
        <f>VLOOKUP(B111,YearMap!$A$2:$C$6,3,FALSE)</f>
        <v/>
      </c>
      <c r="H111">
        <f>VLOOKUP(B111,YearMap!$A$2:$D$6,4,FALSE)</f>
        <v/>
      </c>
      <c r="I111">
        <f>1-BaselineCalc!$B$5</f>
        <v/>
      </c>
      <c r="J111">
        <f>Scenarios!G24</f>
        <v/>
      </c>
      <c r="K111">
        <f>(G111+H111+F111*E111)*I111*(1-J111)</f>
        <v/>
      </c>
      <c r="L111">
        <f>IF(E111&gt;0, K111/E111, NA())</f>
        <v/>
      </c>
      <c r="M111">
        <f>A111&amp;"|"&amp;B111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ScenarioKey</t>
        </is>
      </c>
      <c r="B1" t="inlineStr">
        <is>
          <t>FY2028 MO/ADM</t>
        </is>
      </c>
      <c r="C1" t="inlineStr">
        <is>
          <t>FY2030 MO/ADM</t>
        </is>
      </c>
      <c r="D1" t="inlineStr">
        <is>
          <t>3-yr Avg MO/ADM (FY26–FY28)</t>
        </is>
      </c>
      <c r="E1" t="inlineStr">
        <is>
          <t>5-yr Avg MO/ADM (FY26–FY30)</t>
        </is>
      </c>
    </row>
    <row r="2">
      <c r="A2">
        <f>Scenarios!A2</f>
        <v/>
      </c>
      <c r="B2">
        <f>INDEX(MultiYear_ProForma!$L$2:$L$111, MATCH( Scenarios!A2&amp;"|FY2028", MultiYear_ProForma!$M$2:$M$111, 0))</f>
        <v/>
      </c>
      <c r="C2">
        <f>INDEX(MultiYear_ProForma!$L$2:$L$111, MATCH( Scenarios!A2&amp;"|FY2030", MultiYear_ProForma!$M$2:$M$111, 0))</f>
        <v/>
      </c>
      <c r="D2">
        <f>AVERAGE(INDEX(MultiYear_ProForma!$L$2:$L$111, MATCH(Scenarios!A2&amp;"|FY2026", MultiYear_ProForma!$M$2:$M$111, 0)),INDEX(MultiYear_ProForma!$L$2:$L$111, MATCH(Scenarios!A2&amp;"|FY2027", MultiYear_ProForma!$M$2:$M$111, 0)),INDEX(MultiYear_ProForma!$L$2:$L$111, MATCH(Scenarios!A2&amp;"|FY2028", MultiYear_ProForma!$M$2:$M$111, 0)))</f>
        <v/>
      </c>
      <c r="E2">
        <f>AVERAGE(INDEX(MultiYear_ProForma!$L$2:$L$111, MATCH(Scenarios!A2&amp;"|FY2026", MultiYear_ProForma!$M$2:$M$111, 0)),INDEX(MultiYear_ProForma!$L$2:$L$111, MATCH(Scenarios!A2&amp;"|FY2027", MultiYear_ProForma!$M$2:$M$111, 0)),INDEX(MultiYear_ProForma!$L$2:$L$111, MATCH(Scenarios!A2&amp;"|FY2028", MultiYear_ProForma!$M$2:$M$111, 0)),INDEX(MultiYear_ProForma!$L$2:$L$111, MATCH(Scenarios!A2&amp;"|FY2029", MultiYear_ProForma!$M$2:$M$111, 0)),INDEX(MultiYear_ProForma!$L$2:$L$111, MATCH(Scenarios!A2&amp;"|FY2030", MultiYear_ProForma!$M$2:$M$111, 0)))</f>
        <v/>
      </c>
    </row>
    <row r="3">
      <c r="A3">
        <f>Scenarios!A3</f>
        <v/>
      </c>
      <c r="B3">
        <f>INDEX(MultiYear_ProForma!$L$2:$L$111, MATCH( Scenarios!A3&amp;"|FY2028", MultiYear_ProForma!$M$2:$M$111, 0))</f>
        <v/>
      </c>
      <c r="C3">
        <f>INDEX(MultiYear_ProForma!$L$2:$L$111, MATCH( Scenarios!A3&amp;"|FY2030", MultiYear_ProForma!$M$2:$M$111, 0))</f>
        <v/>
      </c>
      <c r="D3">
        <f>AVERAGE(INDEX(MultiYear_ProForma!$L$2:$L$111, MATCH(Scenarios!A3&amp;"|FY2026", MultiYear_ProForma!$M$2:$M$111, 0)),INDEX(MultiYear_ProForma!$L$2:$L$111, MATCH(Scenarios!A3&amp;"|FY2027", MultiYear_ProForma!$M$2:$M$111, 0)),INDEX(MultiYear_ProForma!$L$2:$L$111, MATCH(Scenarios!A3&amp;"|FY2028", MultiYear_ProForma!$M$2:$M$111, 0)))</f>
        <v/>
      </c>
      <c r="E3">
        <f>AVERAGE(INDEX(MultiYear_ProForma!$L$2:$L$111, MATCH(Scenarios!A3&amp;"|FY2026", MultiYear_ProForma!$M$2:$M$111, 0)),INDEX(MultiYear_ProForma!$L$2:$L$111, MATCH(Scenarios!A3&amp;"|FY2027", MultiYear_ProForma!$M$2:$M$111, 0)),INDEX(MultiYear_ProForma!$L$2:$L$111, MATCH(Scenarios!A3&amp;"|FY2028", MultiYear_ProForma!$M$2:$M$111, 0)),INDEX(MultiYear_ProForma!$L$2:$L$111, MATCH(Scenarios!A3&amp;"|FY2029", MultiYear_ProForma!$M$2:$M$111, 0)),INDEX(MultiYear_ProForma!$L$2:$L$111, MATCH(Scenarios!A3&amp;"|FY2030", MultiYear_ProForma!$M$2:$M$111, 0)))</f>
        <v/>
      </c>
    </row>
    <row r="4">
      <c r="A4">
        <f>Scenarios!A4</f>
        <v/>
      </c>
      <c r="B4">
        <f>INDEX(MultiYear_ProForma!$L$2:$L$111, MATCH( Scenarios!A4&amp;"|FY2028", MultiYear_ProForma!$M$2:$M$111, 0))</f>
        <v/>
      </c>
      <c r="C4">
        <f>INDEX(MultiYear_ProForma!$L$2:$L$111, MATCH( Scenarios!A4&amp;"|FY2030", MultiYear_ProForma!$M$2:$M$111, 0))</f>
        <v/>
      </c>
      <c r="D4">
        <f>AVERAGE(INDEX(MultiYear_ProForma!$L$2:$L$111, MATCH(Scenarios!A4&amp;"|FY2026", MultiYear_ProForma!$M$2:$M$111, 0)),INDEX(MultiYear_ProForma!$L$2:$L$111, MATCH(Scenarios!A4&amp;"|FY2027", MultiYear_ProForma!$M$2:$M$111, 0)),INDEX(MultiYear_ProForma!$L$2:$L$111, MATCH(Scenarios!A4&amp;"|FY2028", MultiYear_ProForma!$M$2:$M$111, 0)))</f>
        <v/>
      </c>
      <c r="E4">
        <f>AVERAGE(INDEX(MultiYear_ProForma!$L$2:$L$111, MATCH(Scenarios!A4&amp;"|FY2026", MultiYear_ProForma!$M$2:$M$111, 0)),INDEX(MultiYear_ProForma!$L$2:$L$111, MATCH(Scenarios!A4&amp;"|FY2027", MultiYear_ProForma!$M$2:$M$111, 0)),INDEX(MultiYear_ProForma!$L$2:$L$111, MATCH(Scenarios!A4&amp;"|FY2028", MultiYear_ProForma!$M$2:$M$111, 0)),INDEX(MultiYear_ProForma!$L$2:$L$111, MATCH(Scenarios!A4&amp;"|FY2029", MultiYear_ProForma!$M$2:$M$111, 0)),INDEX(MultiYear_ProForma!$L$2:$L$111, MATCH(Scenarios!A4&amp;"|FY2030", MultiYear_ProForma!$M$2:$M$111, 0)))</f>
        <v/>
      </c>
    </row>
    <row r="5">
      <c r="A5">
        <f>Scenarios!A6</f>
        <v/>
      </c>
      <c r="B5">
        <f>INDEX(MultiYear_ProForma!$L$2:$L$111, MATCH( Scenarios!A6&amp;"|FY2028", MultiYear_ProForma!$M$2:$M$111, 0))</f>
        <v/>
      </c>
      <c r="C5">
        <f>INDEX(MultiYear_ProForma!$L$2:$L$111, MATCH( Scenarios!A6&amp;"|FY2030", MultiYear_ProForma!$M$2:$M$111, 0))</f>
        <v/>
      </c>
      <c r="D5">
        <f>AVERAGE(INDEX(MultiYear_ProForma!$L$2:$L$111, MATCH(Scenarios!A6&amp;"|FY2026", MultiYear_ProForma!$M$2:$M$111, 0)),INDEX(MultiYear_ProForma!$L$2:$L$111, MATCH(Scenarios!A6&amp;"|FY2027", MultiYear_ProForma!$M$2:$M$111, 0)),INDEX(MultiYear_ProForma!$L$2:$L$111, MATCH(Scenarios!A6&amp;"|FY2028", MultiYear_ProForma!$M$2:$M$111, 0)))</f>
        <v/>
      </c>
      <c r="E5">
        <f>AVERAGE(INDEX(MultiYear_ProForma!$L$2:$L$111, MATCH(Scenarios!A6&amp;"|FY2026", MultiYear_ProForma!$M$2:$M$111, 0)),INDEX(MultiYear_ProForma!$L$2:$L$111, MATCH(Scenarios!A6&amp;"|FY2027", MultiYear_ProForma!$M$2:$M$111, 0)),INDEX(MultiYear_ProForma!$L$2:$L$111, MATCH(Scenarios!A6&amp;"|FY2028", MultiYear_ProForma!$M$2:$M$111, 0)),INDEX(MultiYear_ProForma!$L$2:$L$111, MATCH(Scenarios!A6&amp;"|FY2029", MultiYear_ProForma!$M$2:$M$111, 0)),INDEX(MultiYear_ProForma!$L$2:$L$111, MATCH(Scenarios!A6&amp;"|FY2030", MultiYear_ProForma!$M$2:$M$111, 0)))</f>
        <v/>
      </c>
    </row>
    <row r="6">
      <c r="A6">
        <f>Scenarios!A7</f>
        <v/>
      </c>
      <c r="B6">
        <f>INDEX(MultiYear_ProForma!$L$2:$L$111, MATCH( Scenarios!A7&amp;"|FY2028", MultiYear_ProForma!$M$2:$M$111, 0))</f>
        <v/>
      </c>
      <c r="C6">
        <f>INDEX(MultiYear_ProForma!$L$2:$L$111, MATCH( Scenarios!A7&amp;"|FY2030", MultiYear_ProForma!$M$2:$M$111, 0))</f>
        <v/>
      </c>
      <c r="D6">
        <f>AVERAGE(INDEX(MultiYear_ProForma!$L$2:$L$111, MATCH(Scenarios!A7&amp;"|FY2026", MultiYear_ProForma!$M$2:$M$111, 0)),INDEX(MultiYear_ProForma!$L$2:$L$111, MATCH(Scenarios!A7&amp;"|FY2027", MultiYear_ProForma!$M$2:$M$111, 0)),INDEX(MultiYear_ProForma!$L$2:$L$111, MATCH(Scenarios!A7&amp;"|FY2028", MultiYear_ProForma!$M$2:$M$111, 0)))</f>
        <v/>
      </c>
      <c r="E6">
        <f>AVERAGE(INDEX(MultiYear_ProForma!$L$2:$L$111, MATCH(Scenarios!A7&amp;"|FY2026", MultiYear_ProForma!$M$2:$M$111, 0)),INDEX(MultiYear_ProForma!$L$2:$L$111, MATCH(Scenarios!A7&amp;"|FY2027", MultiYear_ProForma!$M$2:$M$111, 0)),INDEX(MultiYear_ProForma!$L$2:$L$111, MATCH(Scenarios!A7&amp;"|FY2028", MultiYear_ProForma!$M$2:$M$111, 0)),INDEX(MultiYear_ProForma!$L$2:$L$111, MATCH(Scenarios!A7&amp;"|FY2029", MultiYear_ProForma!$M$2:$M$111, 0)),INDEX(MultiYear_ProForma!$L$2:$L$111, MATCH(Scenarios!A7&amp;"|FY2030", MultiYear_ProForma!$M$2:$M$111, 0)))</f>
        <v/>
      </c>
    </row>
    <row r="7">
      <c r="A7">
        <f>Scenarios!A8</f>
        <v/>
      </c>
      <c r="B7">
        <f>INDEX(MultiYear_ProForma!$L$2:$L$111, MATCH( Scenarios!A8&amp;"|FY2028", MultiYear_ProForma!$M$2:$M$111, 0))</f>
        <v/>
      </c>
      <c r="C7">
        <f>INDEX(MultiYear_ProForma!$L$2:$L$111, MATCH( Scenarios!A8&amp;"|FY2030", MultiYear_ProForma!$M$2:$M$111, 0))</f>
        <v/>
      </c>
      <c r="D7">
        <f>AVERAGE(INDEX(MultiYear_ProForma!$L$2:$L$111, MATCH(Scenarios!A8&amp;"|FY2026", MultiYear_ProForma!$M$2:$M$111, 0)),INDEX(MultiYear_ProForma!$L$2:$L$111, MATCH(Scenarios!A8&amp;"|FY2027", MultiYear_ProForma!$M$2:$M$111, 0)),INDEX(MultiYear_ProForma!$L$2:$L$111, MATCH(Scenarios!A8&amp;"|FY2028", MultiYear_ProForma!$M$2:$M$111, 0)))</f>
        <v/>
      </c>
      <c r="E7">
        <f>AVERAGE(INDEX(MultiYear_ProForma!$L$2:$L$111, MATCH(Scenarios!A8&amp;"|FY2026", MultiYear_ProForma!$M$2:$M$111, 0)),INDEX(MultiYear_ProForma!$L$2:$L$111, MATCH(Scenarios!A8&amp;"|FY2027", MultiYear_ProForma!$M$2:$M$111, 0)),INDEX(MultiYear_ProForma!$L$2:$L$111, MATCH(Scenarios!A8&amp;"|FY2028", MultiYear_ProForma!$M$2:$M$111, 0)),INDEX(MultiYear_ProForma!$L$2:$L$111, MATCH(Scenarios!A8&amp;"|FY2029", MultiYear_ProForma!$M$2:$M$111, 0)),INDEX(MultiYear_ProForma!$L$2:$L$111, MATCH(Scenarios!A8&amp;"|FY2030", MultiYear_ProForma!$M$2:$M$111, 0)))</f>
        <v/>
      </c>
    </row>
    <row r="8">
      <c r="A8">
        <f>Scenarios!A9</f>
        <v/>
      </c>
      <c r="B8">
        <f>INDEX(MultiYear_ProForma!$L$2:$L$111, MATCH( Scenarios!A9&amp;"|FY2028", MultiYear_ProForma!$M$2:$M$111, 0))</f>
        <v/>
      </c>
      <c r="C8">
        <f>INDEX(MultiYear_ProForma!$L$2:$L$111, MATCH( Scenarios!A9&amp;"|FY2030", MultiYear_ProForma!$M$2:$M$111, 0))</f>
        <v/>
      </c>
      <c r="D8">
        <f>AVERAGE(INDEX(MultiYear_ProForma!$L$2:$L$111, MATCH(Scenarios!A9&amp;"|FY2026", MultiYear_ProForma!$M$2:$M$111, 0)),INDEX(MultiYear_ProForma!$L$2:$L$111, MATCH(Scenarios!A9&amp;"|FY2027", MultiYear_ProForma!$M$2:$M$111, 0)),INDEX(MultiYear_ProForma!$L$2:$L$111, MATCH(Scenarios!A9&amp;"|FY2028", MultiYear_ProForma!$M$2:$M$111, 0)))</f>
        <v/>
      </c>
      <c r="E8">
        <f>AVERAGE(INDEX(MultiYear_ProForma!$L$2:$L$111, MATCH(Scenarios!A9&amp;"|FY2026", MultiYear_ProForma!$M$2:$M$111, 0)),INDEX(MultiYear_ProForma!$L$2:$L$111, MATCH(Scenarios!A9&amp;"|FY2027", MultiYear_ProForma!$M$2:$M$111, 0)),INDEX(MultiYear_ProForma!$L$2:$L$111, MATCH(Scenarios!A9&amp;"|FY2028", MultiYear_ProForma!$M$2:$M$111, 0)),INDEX(MultiYear_ProForma!$L$2:$L$111, MATCH(Scenarios!A9&amp;"|FY2029", MultiYear_ProForma!$M$2:$M$111, 0)),INDEX(MultiYear_ProForma!$L$2:$L$111, MATCH(Scenarios!A9&amp;"|FY2030", MultiYear_ProForma!$M$2:$M$111, 0)))</f>
        <v/>
      </c>
    </row>
    <row r="9">
      <c r="A9">
        <f>Scenarios!A10</f>
        <v/>
      </c>
      <c r="B9">
        <f>INDEX(MultiYear_ProForma!$L$2:$L$111, MATCH( Scenarios!A10&amp;"|FY2028", MultiYear_ProForma!$M$2:$M$111, 0))</f>
        <v/>
      </c>
      <c r="C9">
        <f>INDEX(MultiYear_ProForma!$L$2:$L$111, MATCH( Scenarios!A10&amp;"|FY2030", MultiYear_ProForma!$M$2:$M$111, 0))</f>
        <v/>
      </c>
      <c r="D9">
        <f>AVERAGE(INDEX(MultiYear_ProForma!$L$2:$L$111, MATCH(Scenarios!A10&amp;"|FY2026", MultiYear_ProForma!$M$2:$M$111, 0)),INDEX(MultiYear_ProForma!$L$2:$L$111, MATCH(Scenarios!A10&amp;"|FY2027", MultiYear_ProForma!$M$2:$M$111, 0)),INDEX(MultiYear_ProForma!$L$2:$L$111, MATCH(Scenarios!A10&amp;"|FY2028", MultiYear_ProForma!$M$2:$M$111, 0)))</f>
        <v/>
      </c>
      <c r="E9">
        <f>AVERAGE(INDEX(MultiYear_ProForma!$L$2:$L$111, MATCH(Scenarios!A10&amp;"|FY2026", MultiYear_ProForma!$M$2:$M$111, 0)),INDEX(MultiYear_ProForma!$L$2:$L$111, MATCH(Scenarios!A10&amp;"|FY2027", MultiYear_ProForma!$M$2:$M$111, 0)),INDEX(MultiYear_ProForma!$L$2:$L$111, MATCH(Scenarios!A10&amp;"|FY2028", MultiYear_ProForma!$M$2:$M$111, 0)),INDEX(MultiYear_ProForma!$L$2:$L$111, MATCH(Scenarios!A10&amp;"|FY2029", MultiYear_ProForma!$M$2:$M$111, 0)),INDEX(MultiYear_ProForma!$L$2:$L$111, MATCH(Scenarios!A10&amp;"|FY2030", MultiYear_ProForma!$M$2:$M$111, 0)))</f>
        <v/>
      </c>
    </row>
    <row r="10">
      <c r="A10">
        <f>Scenarios!A11</f>
        <v/>
      </c>
      <c r="B10">
        <f>INDEX(MultiYear_ProForma!$L$2:$L$111, MATCH( Scenarios!A11&amp;"|FY2028", MultiYear_ProForma!$M$2:$M$111, 0))</f>
        <v/>
      </c>
      <c r="C10">
        <f>INDEX(MultiYear_ProForma!$L$2:$L$111, MATCH( Scenarios!A11&amp;"|FY2030", MultiYear_ProForma!$M$2:$M$111, 0))</f>
        <v/>
      </c>
      <c r="D10">
        <f>AVERAGE(INDEX(MultiYear_ProForma!$L$2:$L$111, MATCH(Scenarios!A11&amp;"|FY2026", MultiYear_ProForma!$M$2:$M$111, 0)),INDEX(MultiYear_ProForma!$L$2:$L$111, MATCH(Scenarios!A11&amp;"|FY2027", MultiYear_ProForma!$M$2:$M$111, 0)),INDEX(MultiYear_ProForma!$L$2:$L$111, MATCH(Scenarios!A11&amp;"|FY2028", MultiYear_ProForma!$M$2:$M$111, 0)))</f>
        <v/>
      </c>
      <c r="E10">
        <f>AVERAGE(INDEX(MultiYear_ProForma!$L$2:$L$111, MATCH(Scenarios!A11&amp;"|FY2026", MultiYear_ProForma!$M$2:$M$111, 0)),INDEX(MultiYear_ProForma!$L$2:$L$111, MATCH(Scenarios!A11&amp;"|FY2027", MultiYear_ProForma!$M$2:$M$111, 0)),INDEX(MultiYear_ProForma!$L$2:$L$111, MATCH(Scenarios!A11&amp;"|FY2028", MultiYear_ProForma!$M$2:$M$111, 0)),INDEX(MultiYear_ProForma!$L$2:$L$111, MATCH(Scenarios!A11&amp;"|FY2029", MultiYear_ProForma!$M$2:$M$111, 0)),INDEX(MultiYear_ProForma!$L$2:$L$111, MATCH(Scenarios!A11&amp;"|FY2030", MultiYear_ProForma!$M$2:$M$111, 0)))</f>
        <v/>
      </c>
    </row>
    <row r="11">
      <c r="A11">
        <f>Scenarios!A12</f>
        <v/>
      </c>
      <c r="B11">
        <f>INDEX(MultiYear_ProForma!$L$2:$L$111, MATCH( Scenarios!A12&amp;"|FY2028", MultiYear_ProForma!$M$2:$M$111, 0))</f>
        <v/>
      </c>
      <c r="C11">
        <f>INDEX(MultiYear_ProForma!$L$2:$L$111, MATCH( Scenarios!A12&amp;"|FY2030", MultiYear_ProForma!$M$2:$M$111, 0))</f>
        <v/>
      </c>
      <c r="D11">
        <f>AVERAGE(INDEX(MultiYear_ProForma!$L$2:$L$111, MATCH(Scenarios!A12&amp;"|FY2026", MultiYear_ProForma!$M$2:$M$111, 0)),INDEX(MultiYear_ProForma!$L$2:$L$111, MATCH(Scenarios!A12&amp;"|FY2027", MultiYear_ProForma!$M$2:$M$111, 0)),INDEX(MultiYear_ProForma!$L$2:$L$111, MATCH(Scenarios!A12&amp;"|FY2028", MultiYear_ProForma!$M$2:$M$111, 0)))</f>
        <v/>
      </c>
      <c r="E11">
        <f>AVERAGE(INDEX(MultiYear_ProForma!$L$2:$L$111, MATCH(Scenarios!A12&amp;"|FY2026", MultiYear_ProForma!$M$2:$M$111, 0)),INDEX(MultiYear_ProForma!$L$2:$L$111, MATCH(Scenarios!A12&amp;"|FY2027", MultiYear_ProForma!$M$2:$M$111, 0)),INDEX(MultiYear_ProForma!$L$2:$L$111, MATCH(Scenarios!A12&amp;"|FY2028", MultiYear_ProForma!$M$2:$M$111, 0)),INDEX(MultiYear_ProForma!$L$2:$L$111, MATCH(Scenarios!A12&amp;"|FY2029", MultiYear_ProForma!$M$2:$M$111, 0)),INDEX(MultiYear_ProForma!$L$2:$L$111, MATCH(Scenarios!A12&amp;"|FY2030", MultiYear_ProForma!$M$2:$M$111, 0)))</f>
        <v/>
      </c>
    </row>
    <row r="12">
      <c r="A12">
        <f>Scenarios!A13</f>
        <v/>
      </c>
      <c r="B12">
        <f>INDEX(MultiYear_ProForma!$L$2:$L$111, MATCH( Scenarios!A13&amp;"|FY2028", MultiYear_ProForma!$M$2:$M$111, 0))</f>
        <v/>
      </c>
      <c r="C12">
        <f>INDEX(MultiYear_ProForma!$L$2:$L$111, MATCH( Scenarios!A13&amp;"|FY2030", MultiYear_ProForma!$M$2:$M$111, 0))</f>
        <v/>
      </c>
      <c r="D12">
        <f>AVERAGE(INDEX(MultiYear_ProForma!$L$2:$L$111, MATCH(Scenarios!A13&amp;"|FY2026", MultiYear_ProForma!$M$2:$M$111, 0)),INDEX(MultiYear_ProForma!$L$2:$L$111, MATCH(Scenarios!A13&amp;"|FY2027", MultiYear_ProForma!$M$2:$M$111, 0)),INDEX(MultiYear_ProForma!$L$2:$L$111, MATCH(Scenarios!A13&amp;"|FY2028", MultiYear_ProForma!$M$2:$M$111, 0)))</f>
        <v/>
      </c>
      <c r="E12">
        <f>AVERAGE(INDEX(MultiYear_ProForma!$L$2:$L$111, MATCH(Scenarios!A13&amp;"|FY2026", MultiYear_ProForma!$M$2:$M$111, 0)),INDEX(MultiYear_ProForma!$L$2:$L$111, MATCH(Scenarios!A13&amp;"|FY2027", MultiYear_ProForma!$M$2:$M$111, 0)),INDEX(MultiYear_ProForma!$L$2:$L$111, MATCH(Scenarios!A13&amp;"|FY2028", MultiYear_ProForma!$M$2:$M$111, 0)),INDEX(MultiYear_ProForma!$L$2:$L$111, MATCH(Scenarios!A13&amp;"|FY2029", MultiYear_ProForma!$M$2:$M$111, 0)),INDEX(MultiYear_ProForma!$L$2:$L$111, MATCH(Scenarios!A13&amp;"|FY2030", MultiYear_ProForma!$M$2:$M$111, 0)))</f>
        <v/>
      </c>
    </row>
    <row r="13">
      <c r="A13">
        <f>Scenarios!A14</f>
        <v/>
      </c>
      <c r="B13">
        <f>INDEX(MultiYear_ProForma!$L$2:$L$111, MATCH( Scenarios!A14&amp;"|FY2028", MultiYear_ProForma!$M$2:$M$111, 0))</f>
        <v/>
      </c>
      <c r="C13">
        <f>INDEX(MultiYear_ProForma!$L$2:$L$111, MATCH( Scenarios!A14&amp;"|FY2030", MultiYear_ProForma!$M$2:$M$111, 0))</f>
        <v/>
      </c>
      <c r="D13">
        <f>AVERAGE(INDEX(MultiYear_ProForma!$L$2:$L$111, MATCH(Scenarios!A14&amp;"|FY2026", MultiYear_ProForma!$M$2:$M$111, 0)),INDEX(MultiYear_ProForma!$L$2:$L$111, MATCH(Scenarios!A14&amp;"|FY2027", MultiYear_ProForma!$M$2:$M$111, 0)),INDEX(MultiYear_ProForma!$L$2:$L$111, MATCH(Scenarios!A14&amp;"|FY2028", MultiYear_ProForma!$M$2:$M$111, 0)))</f>
        <v/>
      </c>
      <c r="E13">
        <f>AVERAGE(INDEX(MultiYear_ProForma!$L$2:$L$111, MATCH(Scenarios!A14&amp;"|FY2026", MultiYear_ProForma!$M$2:$M$111, 0)),INDEX(MultiYear_ProForma!$L$2:$L$111, MATCH(Scenarios!A14&amp;"|FY2027", MultiYear_ProForma!$M$2:$M$111, 0)),INDEX(MultiYear_ProForma!$L$2:$L$111, MATCH(Scenarios!A14&amp;"|FY2028", MultiYear_ProForma!$M$2:$M$111, 0)),INDEX(MultiYear_ProForma!$L$2:$L$111, MATCH(Scenarios!A14&amp;"|FY2029", MultiYear_ProForma!$M$2:$M$111, 0)),INDEX(MultiYear_ProForma!$L$2:$L$111, MATCH(Scenarios!A14&amp;"|FY2030", MultiYear_ProForma!$M$2:$M$111, 0)))</f>
        <v/>
      </c>
    </row>
    <row r="14">
      <c r="A14">
        <f>Scenarios!A15</f>
        <v/>
      </c>
      <c r="B14">
        <f>INDEX(MultiYear_ProForma!$L$2:$L$111, MATCH( Scenarios!A15&amp;"|FY2028", MultiYear_ProForma!$M$2:$M$111, 0))</f>
        <v/>
      </c>
      <c r="C14">
        <f>INDEX(MultiYear_ProForma!$L$2:$L$111, MATCH( Scenarios!A15&amp;"|FY2030", MultiYear_ProForma!$M$2:$M$111, 0))</f>
        <v/>
      </c>
      <c r="D14">
        <f>AVERAGE(INDEX(MultiYear_ProForma!$L$2:$L$111, MATCH(Scenarios!A15&amp;"|FY2026", MultiYear_ProForma!$M$2:$M$111, 0)),INDEX(MultiYear_ProForma!$L$2:$L$111, MATCH(Scenarios!A15&amp;"|FY2027", MultiYear_ProForma!$M$2:$M$111, 0)),INDEX(MultiYear_ProForma!$L$2:$L$111, MATCH(Scenarios!A15&amp;"|FY2028", MultiYear_ProForma!$M$2:$M$111, 0)))</f>
        <v/>
      </c>
      <c r="E14">
        <f>AVERAGE(INDEX(MultiYear_ProForma!$L$2:$L$111, MATCH(Scenarios!A15&amp;"|FY2026", MultiYear_ProForma!$M$2:$M$111, 0)),INDEX(MultiYear_ProForma!$L$2:$L$111, MATCH(Scenarios!A15&amp;"|FY2027", MultiYear_ProForma!$M$2:$M$111, 0)),INDEX(MultiYear_ProForma!$L$2:$L$111, MATCH(Scenarios!A15&amp;"|FY2028", MultiYear_ProForma!$M$2:$M$111, 0)),INDEX(MultiYear_ProForma!$L$2:$L$111, MATCH(Scenarios!A15&amp;"|FY2029", MultiYear_ProForma!$M$2:$M$111, 0)),INDEX(MultiYear_ProForma!$L$2:$L$111, MATCH(Scenarios!A15&amp;"|FY2030", MultiYear_ProForma!$M$2:$M$111, 0)))</f>
        <v/>
      </c>
    </row>
    <row r="15">
      <c r="A15">
        <f>Scenarios!A16</f>
        <v/>
      </c>
      <c r="B15">
        <f>INDEX(MultiYear_ProForma!$L$2:$L$111, MATCH( Scenarios!A16&amp;"|FY2028", MultiYear_ProForma!$M$2:$M$111, 0))</f>
        <v/>
      </c>
      <c r="C15">
        <f>INDEX(MultiYear_ProForma!$L$2:$L$111, MATCH( Scenarios!A16&amp;"|FY2030", MultiYear_ProForma!$M$2:$M$111, 0))</f>
        <v/>
      </c>
      <c r="D15">
        <f>AVERAGE(INDEX(MultiYear_ProForma!$L$2:$L$111, MATCH(Scenarios!A16&amp;"|FY2026", MultiYear_ProForma!$M$2:$M$111, 0)),INDEX(MultiYear_ProForma!$L$2:$L$111, MATCH(Scenarios!A16&amp;"|FY2027", MultiYear_ProForma!$M$2:$M$111, 0)),INDEX(MultiYear_ProForma!$L$2:$L$111, MATCH(Scenarios!A16&amp;"|FY2028", MultiYear_ProForma!$M$2:$M$111, 0)))</f>
        <v/>
      </c>
      <c r="E15">
        <f>AVERAGE(INDEX(MultiYear_ProForma!$L$2:$L$111, MATCH(Scenarios!A16&amp;"|FY2026", MultiYear_ProForma!$M$2:$M$111, 0)),INDEX(MultiYear_ProForma!$L$2:$L$111, MATCH(Scenarios!A16&amp;"|FY2027", MultiYear_ProForma!$M$2:$M$111, 0)),INDEX(MultiYear_ProForma!$L$2:$L$111, MATCH(Scenarios!A16&amp;"|FY2028", MultiYear_ProForma!$M$2:$M$111, 0)),INDEX(MultiYear_ProForma!$L$2:$L$111, MATCH(Scenarios!A16&amp;"|FY2029", MultiYear_ProForma!$M$2:$M$111, 0)),INDEX(MultiYear_ProForma!$L$2:$L$111, MATCH(Scenarios!A16&amp;"|FY2030", MultiYear_ProForma!$M$2:$M$111, 0)))</f>
        <v/>
      </c>
    </row>
    <row r="16">
      <c r="A16">
        <f>Scenarios!A17</f>
        <v/>
      </c>
      <c r="B16">
        <f>INDEX(MultiYear_ProForma!$L$2:$L$111, MATCH( Scenarios!A17&amp;"|FY2028", MultiYear_ProForma!$M$2:$M$111, 0))</f>
        <v/>
      </c>
      <c r="C16">
        <f>INDEX(MultiYear_ProForma!$L$2:$L$111, MATCH( Scenarios!A17&amp;"|FY2030", MultiYear_ProForma!$M$2:$M$111, 0))</f>
        <v/>
      </c>
      <c r="D16">
        <f>AVERAGE(INDEX(MultiYear_ProForma!$L$2:$L$111, MATCH(Scenarios!A17&amp;"|FY2026", MultiYear_ProForma!$M$2:$M$111, 0)),INDEX(MultiYear_ProForma!$L$2:$L$111, MATCH(Scenarios!A17&amp;"|FY2027", MultiYear_ProForma!$M$2:$M$111, 0)),INDEX(MultiYear_ProForma!$L$2:$L$111, MATCH(Scenarios!A17&amp;"|FY2028", MultiYear_ProForma!$M$2:$M$111, 0)))</f>
        <v/>
      </c>
      <c r="E16">
        <f>AVERAGE(INDEX(MultiYear_ProForma!$L$2:$L$111, MATCH(Scenarios!A17&amp;"|FY2026", MultiYear_ProForma!$M$2:$M$111, 0)),INDEX(MultiYear_ProForma!$L$2:$L$111, MATCH(Scenarios!A17&amp;"|FY2027", MultiYear_ProForma!$M$2:$M$111, 0)),INDEX(MultiYear_ProForma!$L$2:$L$111, MATCH(Scenarios!A17&amp;"|FY2028", MultiYear_ProForma!$M$2:$M$111, 0)),INDEX(MultiYear_ProForma!$L$2:$L$111, MATCH(Scenarios!A17&amp;"|FY2029", MultiYear_ProForma!$M$2:$M$111, 0)),INDEX(MultiYear_ProForma!$L$2:$L$111, MATCH(Scenarios!A17&amp;"|FY2030", MultiYear_ProForma!$M$2:$M$111, 0)))</f>
        <v/>
      </c>
    </row>
    <row r="17">
      <c r="A17">
        <f>Scenarios!A18</f>
        <v/>
      </c>
      <c r="B17">
        <f>INDEX(MultiYear_ProForma!$L$2:$L$111, MATCH( Scenarios!A18&amp;"|FY2028", MultiYear_ProForma!$M$2:$M$111, 0))</f>
        <v/>
      </c>
      <c r="C17">
        <f>INDEX(MultiYear_ProForma!$L$2:$L$111, MATCH( Scenarios!A18&amp;"|FY2030", MultiYear_ProForma!$M$2:$M$111, 0))</f>
        <v/>
      </c>
      <c r="D17">
        <f>AVERAGE(INDEX(MultiYear_ProForma!$L$2:$L$111, MATCH(Scenarios!A18&amp;"|FY2026", MultiYear_ProForma!$M$2:$M$111, 0)),INDEX(MultiYear_ProForma!$L$2:$L$111, MATCH(Scenarios!A18&amp;"|FY2027", MultiYear_ProForma!$M$2:$M$111, 0)),INDEX(MultiYear_ProForma!$L$2:$L$111, MATCH(Scenarios!A18&amp;"|FY2028", MultiYear_ProForma!$M$2:$M$111, 0)))</f>
        <v/>
      </c>
      <c r="E17">
        <f>AVERAGE(INDEX(MultiYear_ProForma!$L$2:$L$111, MATCH(Scenarios!A18&amp;"|FY2026", MultiYear_ProForma!$M$2:$M$111, 0)),INDEX(MultiYear_ProForma!$L$2:$L$111, MATCH(Scenarios!A18&amp;"|FY2027", MultiYear_ProForma!$M$2:$M$111, 0)),INDEX(MultiYear_ProForma!$L$2:$L$111, MATCH(Scenarios!A18&amp;"|FY2028", MultiYear_ProForma!$M$2:$M$111, 0)),INDEX(MultiYear_ProForma!$L$2:$L$111, MATCH(Scenarios!A18&amp;"|FY2029", MultiYear_ProForma!$M$2:$M$111, 0)),INDEX(MultiYear_ProForma!$L$2:$L$111, MATCH(Scenarios!A18&amp;"|FY2030", MultiYear_ProForma!$M$2:$M$111, 0)))</f>
        <v/>
      </c>
    </row>
    <row r="18">
      <c r="A18">
        <f>Scenarios!A19</f>
        <v/>
      </c>
      <c r="B18">
        <f>INDEX(MultiYear_ProForma!$L$2:$L$111, MATCH( Scenarios!A19&amp;"|FY2028", MultiYear_ProForma!$M$2:$M$111, 0))</f>
        <v/>
      </c>
      <c r="C18">
        <f>INDEX(MultiYear_ProForma!$L$2:$L$111, MATCH( Scenarios!A19&amp;"|FY2030", MultiYear_ProForma!$M$2:$M$111, 0))</f>
        <v/>
      </c>
      <c r="D18">
        <f>AVERAGE(INDEX(MultiYear_ProForma!$L$2:$L$111, MATCH(Scenarios!A19&amp;"|FY2026", MultiYear_ProForma!$M$2:$M$111, 0)),INDEX(MultiYear_ProForma!$L$2:$L$111, MATCH(Scenarios!A19&amp;"|FY2027", MultiYear_ProForma!$M$2:$M$111, 0)),INDEX(MultiYear_ProForma!$L$2:$L$111, MATCH(Scenarios!A19&amp;"|FY2028", MultiYear_ProForma!$M$2:$M$111, 0)))</f>
        <v/>
      </c>
      <c r="E18">
        <f>AVERAGE(INDEX(MultiYear_ProForma!$L$2:$L$111, MATCH(Scenarios!A19&amp;"|FY2026", MultiYear_ProForma!$M$2:$M$111, 0)),INDEX(MultiYear_ProForma!$L$2:$L$111, MATCH(Scenarios!A19&amp;"|FY2027", MultiYear_ProForma!$M$2:$M$111, 0)),INDEX(MultiYear_ProForma!$L$2:$L$111, MATCH(Scenarios!A19&amp;"|FY2028", MultiYear_ProForma!$M$2:$M$111, 0)),INDEX(MultiYear_ProForma!$L$2:$L$111, MATCH(Scenarios!A19&amp;"|FY2029", MultiYear_ProForma!$M$2:$M$111, 0)),INDEX(MultiYear_ProForma!$L$2:$L$111, MATCH(Scenarios!A19&amp;"|FY2030", MultiYear_ProForma!$M$2:$M$111, 0)))</f>
        <v/>
      </c>
    </row>
    <row r="19">
      <c r="A19">
        <f>Scenarios!A20</f>
        <v/>
      </c>
      <c r="B19">
        <f>INDEX(MultiYear_ProForma!$L$2:$L$111, MATCH( Scenarios!A20&amp;"|FY2028", MultiYear_ProForma!$M$2:$M$111, 0))</f>
        <v/>
      </c>
      <c r="C19">
        <f>INDEX(MultiYear_ProForma!$L$2:$L$111, MATCH( Scenarios!A20&amp;"|FY2030", MultiYear_ProForma!$M$2:$M$111, 0))</f>
        <v/>
      </c>
      <c r="D19">
        <f>AVERAGE(INDEX(MultiYear_ProForma!$L$2:$L$111, MATCH(Scenarios!A20&amp;"|FY2026", MultiYear_ProForma!$M$2:$M$111, 0)),INDEX(MultiYear_ProForma!$L$2:$L$111, MATCH(Scenarios!A20&amp;"|FY2027", MultiYear_ProForma!$M$2:$M$111, 0)),INDEX(MultiYear_ProForma!$L$2:$L$111, MATCH(Scenarios!A20&amp;"|FY2028", MultiYear_ProForma!$M$2:$M$111, 0)))</f>
        <v/>
      </c>
      <c r="E19">
        <f>AVERAGE(INDEX(MultiYear_ProForma!$L$2:$L$111, MATCH(Scenarios!A20&amp;"|FY2026", MultiYear_ProForma!$M$2:$M$111, 0)),INDEX(MultiYear_ProForma!$L$2:$L$111, MATCH(Scenarios!A20&amp;"|FY2027", MultiYear_ProForma!$M$2:$M$111, 0)),INDEX(MultiYear_ProForma!$L$2:$L$111, MATCH(Scenarios!A20&amp;"|FY2028", MultiYear_ProForma!$M$2:$M$111, 0)),INDEX(MultiYear_ProForma!$L$2:$L$111, MATCH(Scenarios!A20&amp;"|FY2029", MultiYear_ProForma!$M$2:$M$111, 0)),INDEX(MultiYear_ProForma!$L$2:$L$111, MATCH(Scenarios!A20&amp;"|FY2030", MultiYear_ProForma!$M$2:$M$111, 0)))</f>
        <v/>
      </c>
    </row>
    <row r="20">
      <c r="A20">
        <f>Scenarios!A21</f>
        <v/>
      </c>
      <c r="B20">
        <f>INDEX(MultiYear_ProForma!$L$2:$L$111, MATCH( Scenarios!A21&amp;"|FY2028", MultiYear_ProForma!$M$2:$M$111, 0))</f>
        <v/>
      </c>
      <c r="C20">
        <f>INDEX(MultiYear_ProForma!$L$2:$L$111, MATCH( Scenarios!A21&amp;"|FY2030", MultiYear_ProForma!$M$2:$M$111, 0))</f>
        <v/>
      </c>
      <c r="D20">
        <f>AVERAGE(INDEX(MultiYear_ProForma!$L$2:$L$111, MATCH(Scenarios!A21&amp;"|FY2026", MultiYear_ProForma!$M$2:$M$111, 0)),INDEX(MultiYear_ProForma!$L$2:$L$111, MATCH(Scenarios!A21&amp;"|FY2027", MultiYear_ProForma!$M$2:$M$111, 0)),INDEX(MultiYear_ProForma!$L$2:$L$111, MATCH(Scenarios!A21&amp;"|FY2028", MultiYear_ProForma!$M$2:$M$111, 0)))</f>
        <v/>
      </c>
      <c r="E20">
        <f>AVERAGE(INDEX(MultiYear_ProForma!$L$2:$L$111, MATCH(Scenarios!A21&amp;"|FY2026", MultiYear_ProForma!$M$2:$M$111, 0)),INDEX(MultiYear_ProForma!$L$2:$L$111, MATCH(Scenarios!A21&amp;"|FY2027", MultiYear_ProForma!$M$2:$M$111, 0)),INDEX(MultiYear_ProForma!$L$2:$L$111, MATCH(Scenarios!A21&amp;"|FY2028", MultiYear_ProForma!$M$2:$M$111, 0)),INDEX(MultiYear_ProForma!$L$2:$L$111, MATCH(Scenarios!A21&amp;"|FY2029", MultiYear_ProForma!$M$2:$M$111, 0)),INDEX(MultiYear_ProForma!$L$2:$L$111, MATCH(Scenarios!A21&amp;"|FY2030", MultiYear_ProForma!$M$2:$M$111, 0)))</f>
        <v/>
      </c>
    </row>
    <row r="21">
      <c r="A21">
        <f>Scenarios!A22</f>
        <v/>
      </c>
      <c r="B21">
        <f>INDEX(MultiYear_ProForma!$L$2:$L$111, MATCH( Scenarios!A22&amp;"|FY2028", MultiYear_ProForma!$M$2:$M$111, 0))</f>
        <v/>
      </c>
      <c r="C21">
        <f>INDEX(MultiYear_ProForma!$L$2:$L$111, MATCH( Scenarios!A22&amp;"|FY2030", MultiYear_ProForma!$M$2:$M$111, 0))</f>
        <v/>
      </c>
      <c r="D21">
        <f>AVERAGE(INDEX(MultiYear_ProForma!$L$2:$L$111, MATCH(Scenarios!A22&amp;"|FY2026", MultiYear_ProForma!$M$2:$M$111, 0)),INDEX(MultiYear_ProForma!$L$2:$L$111, MATCH(Scenarios!A22&amp;"|FY2027", MultiYear_ProForma!$M$2:$M$111, 0)),INDEX(MultiYear_ProForma!$L$2:$L$111, MATCH(Scenarios!A22&amp;"|FY2028", MultiYear_ProForma!$M$2:$M$111, 0)))</f>
        <v/>
      </c>
      <c r="E21">
        <f>AVERAGE(INDEX(MultiYear_ProForma!$L$2:$L$111, MATCH(Scenarios!A22&amp;"|FY2026", MultiYear_ProForma!$M$2:$M$111, 0)),INDEX(MultiYear_ProForma!$L$2:$L$111, MATCH(Scenarios!A22&amp;"|FY2027", MultiYear_ProForma!$M$2:$M$111, 0)),INDEX(MultiYear_ProForma!$L$2:$L$111, MATCH(Scenarios!A22&amp;"|FY2028", MultiYear_ProForma!$M$2:$M$111, 0)),INDEX(MultiYear_ProForma!$L$2:$L$111, MATCH(Scenarios!A22&amp;"|FY2029", MultiYear_ProForma!$M$2:$M$111, 0)),INDEX(MultiYear_ProForma!$L$2:$L$111, MATCH(Scenarios!A22&amp;"|FY2030", MultiYear_ProForma!$M$2:$M$111, 0)))</f>
        <v/>
      </c>
    </row>
    <row r="22">
      <c r="A22">
        <f>Scenarios!A23</f>
        <v/>
      </c>
      <c r="B22">
        <f>INDEX(MultiYear_ProForma!$L$2:$L$111, MATCH( Scenarios!A23&amp;"|FY2028", MultiYear_ProForma!$M$2:$M$111, 0))</f>
        <v/>
      </c>
      <c r="C22">
        <f>INDEX(MultiYear_ProForma!$L$2:$L$111, MATCH( Scenarios!A23&amp;"|FY2030", MultiYear_ProForma!$M$2:$M$111, 0))</f>
        <v/>
      </c>
      <c r="D22">
        <f>AVERAGE(INDEX(MultiYear_ProForma!$L$2:$L$111, MATCH(Scenarios!A23&amp;"|FY2026", MultiYear_ProForma!$M$2:$M$111, 0)),INDEX(MultiYear_ProForma!$L$2:$L$111, MATCH(Scenarios!A23&amp;"|FY2027", MultiYear_ProForma!$M$2:$M$111, 0)),INDEX(MultiYear_ProForma!$L$2:$L$111, MATCH(Scenarios!A23&amp;"|FY2028", MultiYear_ProForma!$M$2:$M$111, 0)))</f>
        <v/>
      </c>
      <c r="E22">
        <f>AVERAGE(INDEX(MultiYear_ProForma!$L$2:$L$111, MATCH(Scenarios!A23&amp;"|FY2026", MultiYear_ProForma!$M$2:$M$111, 0)),INDEX(MultiYear_ProForma!$L$2:$L$111, MATCH(Scenarios!A23&amp;"|FY2027", MultiYear_ProForma!$M$2:$M$111, 0)),INDEX(MultiYear_ProForma!$L$2:$L$111, MATCH(Scenarios!A23&amp;"|FY2028", MultiYear_ProForma!$M$2:$M$111, 0)),INDEX(MultiYear_ProForma!$L$2:$L$111, MATCH(Scenarios!A23&amp;"|FY2029", MultiYear_ProForma!$M$2:$M$111, 0)),INDEX(MultiYear_ProForma!$L$2:$L$111, MATCH(Scenarios!A23&amp;"|FY2030", MultiYear_ProForma!$M$2:$M$111, 0)))</f>
        <v/>
      </c>
    </row>
    <row r="23">
      <c r="A23">
        <f>Scenarios!A24</f>
        <v/>
      </c>
      <c r="B23">
        <f>INDEX(MultiYear_ProForma!$L$2:$L$111, MATCH( Scenarios!A24&amp;"|FY2028", MultiYear_ProForma!$M$2:$M$111, 0))</f>
        <v/>
      </c>
      <c r="C23">
        <f>INDEX(MultiYear_ProForma!$L$2:$L$111, MATCH( Scenarios!A24&amp;"|FY2030", MultiYear_ProForma!$M$2:$M$111, 0))</f>
        <v/>
      </c>
      <c r="D23">
        <f>AVERAGE(INDEX(MultiYear_ProForma!$L$2:$L$111, MATCH(Scenarios!A24&amp;"|FY2026", MultiYear_ProForma!$M$2:$M$111, 0)),INDEX(MultiYear_ProForma!$L$2:$L$111, MATCH(Scenarios!A24&amp;"|FY2027", MultiYear_ProForma!$M$2:$M$111, 0)),INDEX(MultiYear_ProForma!$L$2:$L$111, MATCH(Scenarios!A24&amp;"|FY2028", MultiYear_ProForma!$M$2:$M$111, 0)))</f>
        <v/>
      </c>
      <c r="E23">
        <f>AVERAGE(INDEX(MultiYear_ProForma!$L$2:$L$111, MATCH(Scenarios!A24&amp;"|FY2026", MultiYear_ProForma!$M$2:$M$111, 0)),INDEX(MultiYear_ProForma!$L$2:$L$111, MATCH(Scenarios!A24&amp;"|FY2027", MultiYear_ProForma!$M$2:$M$111, 0)),INDEX(MultiYear_ProForma!$L$2:$L$111, MATCH(Scenarios!A24&amp;"|FY2028", MultiYear_ProForma!$M$2:$M$111, 0)),INDEX(MultiYear_ProForma!$L$2:$L$111, MATCH(Scenarios!A24&amp;"|FY2029", MultiYear_ProForma!$M$2:$M$111, 0)),INDEX(MultiYear_ProForma!$L$2:$L$111, MATCH(Scenarios!A24&amp;"|FY2030", MultiYear_ProForma!$M$2:$M$111, 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Brian Hohl</dc:creator>
  <dcterms:created xmlns:dcterms="http://purl.org/dc/terms/" xmlns:xsi="http://www.w3.org/2001/XMLSchema-instance" xsi:type="dcterms:W3CDTF">2025-10-21T22:31:51Z</dcterms:created>
  <dcterms:modified xmlns:dcterms="http://purl.org/dc/terms/" xmlns:xsi="http://www.w3.org/2001/XMLSchema-instance" xsi:type="dcterms:W3CDTF">2025-10-22T00:48:56Z</dcterms:modified>
  <cp:lastModifiedBy>Brian Hohl</cp:lastModifiedBy>
</cp:coreProperties>
</file>