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B3958B88-5613-4CFD-BD07-169D59299F0E}" xr6:coauthVersionLast="47" xr6:coauthVersionMax="47" xr10:uidLastSave="{00000000-0000-0000-0000-000000000000}"/>
  <bookViews>
    <workbookView xWindow="39705" yWindow="2100" windowWidth="17280" windowHeight="11070" xr2:uid="{00000000-000D-0000-FFFF-FFFF00000000}"/>
  </bookViews>
  <sheets>
    <sheet name="BaselineCal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F13" i="1"/>
  <c r="C13" i="1"/>
  <c r="B14" i="1"/>
  <c r="F15" i="1"/>
  <c r="E15" i="1"/>
  <c r="D15" i="1"/>
  <c r="C15" i="1"/>
  <c r="F14" i="1"/>
  <c r="E14" i="1"/>
  <c r="D14" i="1"/>
  <c r="C14" i="1"/>
  <c r="B13" i="1"/>
  <c r="B17" i="1"/>
  <c r="F18" i="1"/>
  <c r="F17" i="1"/>
  <c r="E18" i="1"/>
  <c r="E17" i="1"/>
  <c r="D18" i="1"/>
  <c r="D17" i="1"/>
  <c r="C18" i="1"/>
  <c r="C17" i="1"/>
  <c r="B18" i="1"/>
  <c r="B19" i="1"/>
  <c r="B15" i="1"/>
  <c r="B9" i="1"/>
  <c r="F20" i="1" l="1"/>
  <c r="C19" i="1"/>
  <c r="E20" i="1"/>
  <c r="D20" i="1"/>
  <c r="C20" i="1"/>
  <c r="B20" i="1"/>
  <c r="F19" i="1"/>
  <c r="E19" i="1"/>
  <c r="D19" i="1"/>
</calcChain>
</file>

<file path=xl/sharedStrings.xml><?xml version="1.0" encoding="utf-8"?>
<sst xmlns="http://schemas.openxmlformats.org/spreadsheetml/2006/main" count="36" uniqueCount="34">
  <si>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</si>
  <si>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</si>
  <si>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</si>
  <si>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</si>
  <si>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</si>
  <si>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</si>
  <si>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</si>
  <si>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</si>
  <si>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</si>
  <si>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</si>
  <si>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</si>
  <si>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</si>
  <si>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</si>
  <si>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</si>
  <si>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</si>
  <si>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</si>
  <si>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</si>
  <si>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</si>
  <si>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</si>
  <si>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</si>
  <si>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</si>
  <si>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</si>
  <si>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</si>
  <si>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</si>
  <si>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Fixed MO (FY25)</t>
  </si>
  <si>
    <t>Fixed = Base total × Fixed share</t>
  </si>
  <si>
    <t>Var per student (FY25)</t>
  </si>
  <si>
    <t>Variable = (Base total − Fixed)/Total ADM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</si>
  <si>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</si>
  <si>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</si>
  <si>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</si>
  <si>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</si>
  <si>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</si>
  <si>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Echo base ADM + Pima base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</si>
</sst>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5" x14ac:dyDescent="0.35"/>
  <cols>
    <col min="1" max="1" width="25.1796875" customWidth="1"/>
    <col min="2" max="6" width="9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</row>
    <row r="2" spans="1:7" x14ac:dyDescent="0.35">
      <c r="A2" t="s">
        <v>3</v>
      </c>
      <c r="B2">
        <v>2.5000000000000001E-2</v>
      </c>
      <c r="C2" t="s">
        <v>4</v>
      </c>
    </row>
    <row r="3" spans="1:7" x14ac:dyDescent="0.35">
      <c r="A3" t="s">
        <v>5</v>
      </c>
      <c r="B3">
        <v>9936</v>
      </c>
      <c r="C3" t="s">
        <v>6</v>
      </c>
    </row>
    <row r="4" spans="1:7" x14ac:dyDescent="0.35">
      <c r="A4" t="s">
        <v>7</v>
      </c>
      <c r="B4">
        <v>0.3</v>
      </c>
      <c r="C4" t="s">
        <v>8</v>
      </c>
    </row>
    <row r="5" spans="1:7" x14ac:dyDescent="0.35">
      <c r="A5" t="s">
        <v>9</v>
      </c>
      <c r="B5">
        <v>7.0000000000000001E-3</v>
      </c>
      <c r="C5" t="s">
        <v>10</v>
      </c>
    </row>
    <row r="6" spans="1:7" x14ac:dyDescent="0.35">
      <c r="A6" t="s">
        <v>11</v>
      </c>
      <c r="B6">
        <v>1.4999999999999999E-2</v>
      </c>
      <c r="C6" t="s">
        <v>12</v>
      </c>
    </row>
    <row r="7" spans="1:7" x14ac:dyDescent="0.35">
      <c r="A7" t="s">
        <v>13</v>
      </c>
      <c r="B7">
        <v>257</v>
      </c>
    </row>
    <row r="8" spans="1:7" x14ac:dyDescent="0.35">
      <c r="A8" t="s">
        <v>14</v>
      </c>
      <c r="B8">
        <v>296</v>
      </c>
    </row>
    <row r="9" spans="1:7" x14ac:dyDescent="0.35">
      <c r="A9" t="s">
        <v>15</v>
      </c>
      <c r="B9">
        <f>B7+B8</f>
        <v>553</v>
      </c>
      <c r="C9" t="s">
        <v>33</v>
      </c>
    </row>
    <row r="12" spans="1:7" x14ac:dyDescent="0.35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 t="s">
        <v>21</v>
      </c>
      <c r="G12" s="1" t="s">
        <v>2</v>
      </c>
    </row>
    <row r="13" spans="1:7" x14ac:dyDescent="0.35">
      <c r="A13" t="s">
        <v>22</v>
      </c>
      <c r="B13" s="2">
        <f>B9*B3</f>
        <v>5494608</v>
      </c>
      <c r="C13" s="2">
        <f>C14/$B$4</f>
        <v>5631973.1999999993</v>
      </c>
      <c r="D13" s="2">
        <f t="shared" ref="D13:F13" si="0">D14/$B$4</f>
        <v>5772772.5299999993</v>
      </c>
      <c r="E13" s="2">
        <f t="shared" si="0"/>
        <v>5917091.843249999</v>
      </c>
      <c r="F13" s="2">
        <f t="shared" si="0"/>
        <v>6065019.1393312486</v>
      </c>
      <c r="G13" t="s">
        <v>23</v>
      </c>
    </row>
    <row r="14" spans="1:7" x14ac:dyDescent="0.35">
      <c r="A14" t="s">
        <v>24</v>
      </c>
      <c r="B14" s="2">
        <f>B13*B4</f>
        <v>1648382.4</v>
      </c>
      <c r="C14" s="2">
        <f>B17</f>
        <v>1689591.9599999997</v>
      </c>
      <c r="D14" s="2">
        <f>C17</f>
        <v>1731831.7589999998</v>
      </c>
      <c r="E14" s="2">
        <f>D17</f>
        <v>1775127.5529749996</v>
      </c>
      <c r="F14" s="2">
        <f>E17</f>
        <v>1819505.7417993746</v>
      </c>
      <c r="G14" t="s">
        <v>25</v>
      </c>
    </row>
    <row r="15" spans="1:7" x14ac:dyDescent="0.35">
      <c r="A15" t="s">
        <v>26</v>
      </c>
      <c r="B15" s="2">
        <f>(B13-B14)/B9</f>
        <v>6955.2</v>
      </c>
      <c r="C15" s="2">
        <f>B18</f>
        <v>7129.079999999999</v>
      </c>
      <c r="D15" s="2">
        <f>C18</f>
        <v>7307.3069999999989</v>
      </c>
      <c r="E15" s="2">
        <f>D18</f>
        <v>7489.9896749999989</v>
      </c>
      <c r="F15" s="2">
        <f>E18</f>
        <v>7677.2394168749979</v>
      </c>
      <c r="G15" t="s">
        <v>27</v>
      </c>
    </row>
    <row r="17" spans="1:6" x14ac:dyDescent="0.35">
      <c r="A17" t="s">
        <v>28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29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30</v>
      </c>
      <c r="B19" s="2">
        <f>B17*($B$7/$B$9)</f>
        <v>785217.23999999987</v>
      </c>
      <c r="C19" s="2">
        <f>B17*($B$7/$B$9)</f>
        <v>785217.23999999987</v>
      </c>
      <c r="D19" s="2">
        <f>B17*($B$7/$B$9)</f>
        <v>785217.23999999987</v>
      </c>
      <c r="E19" s="2">
        <f>B17*($B$7/$B$9)</f>
        <v>785217.23999999987</v>
      </c>
      <c r="F19" s="2">
        <f>B17*($B$7/$B$9)</f>
        <v>785217.23999999987</v>
      </c>
    </row>
    <row r="20" spans="1:6" x14ac:dyDescent="0.35">
      <c r="A20" t="s">
        <v>31</v>
      </c>
      <c r="B20" s="2">
        <f>B17*($B$8/$B$9)</f>
        <v>904374.71999999986</v>
      </c>
      <c r="C20" s="2">
        <f>B17*($B$8/$B$9)</f>
        <v>904374.71999999986</v>
      </c>
      <c r="D20" s="2">
        <f>B17*($B$8/$B$9)</f>
        <v>904374.71999999986</v>
      </c>
      <c r="E20" s="2">
        <f>B17*($B$8/$B$9)</f>
        <v>904374.71999999986</v>
      </c>
      <c r="F20" s="2">
        <f>B17*($B$8/$B$9)</f>
        <v>904374.71999999986</v>
      </c>
    </row>
    <row r="22" spans="1:6" x14ac:dyDescent="0.35">
      <c r="A22" s="1" t="s">
        <v>2</v>
      </c>
    </row>
    <row r="23" spans="1:6" x14ac:dyDescent="0.35">
      <c r="A23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2025-10-21T23:00:27Z</dcterms:modified>
</cp:coreProperties>
</file>