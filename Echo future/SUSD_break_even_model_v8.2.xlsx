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0" documentId="8_{CB2EBE62-E13B-4B36-95EB-2CCE88B7CC96}" xr6:coauthVersionLast="47" xr6:coauthVersionMax="47" xr10:uidLastSave="{00000000-0000-0000-0000-000000000000}"/>
  <bookViews>
    <workbookView xWindow="-110" yWindow="-110" windowWidth="19420" windowHeight="10300" firstSheet="13" activeTab="14" xr2:uid="{00000000-000D-0000-FFFF-FFFF00000000}"/>
  </bookViews>
  <sheets>
    <sheet name="Parameters_Public" sheetId="1" r:id="rId1"/>
    <sheet name="Workbook_Purpose_Overview" sheetId="2" r:id="rId2"/>
    <sheet name="Capital_Summary" sheetId="3" r:id="rId3"/>
    <sheet name="Receiving_Capacity" sheetId="4" r:id="rId4"/>
    <sheet name="Control_Center" sheetId="5" r:id="rId5"/>
    <sheet name="Definitions_Sources" sheetId="6" r:id="rId6"/>
    <sheet name="Needs" sheetId="7" r:id="rId7"/>
    <sheet name="Q&amp;A" sheetId="8" r:id="rId8"/>
    <sheet name="MultiYear_ProForma" sheetId="9" r:id="rId9"/>
    <sheet name="BaselineCalc" sheetId="10" r:id="rId10"/>
    <sheet name="Site_Fixed" sheetId="11" r:id="rId11"/>
    <sheet name="YearMap" sheetId="12" r:id="rId12"/>
    <sheet name="Scenarios" sheetId="13" r:id="rId13"/>
    <sheet name="Other_Parameters" sheetId="14" r:id="rId14"/>
    <sheet name="Summary_Figures" sheetId="15" r:id="rId15"/>
    <sheet name="One_to_One_Comparison" sheetId="16" r:id="rId16"/>
    <sheet name="QA_Checks" sheetId="17" r:id="rId17"/>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6" l="1"/>
  <c r="B11" i="16"/>
  <c r="B10" i="16"/>
  <c r="B9" i="16"/>
  <c r="B8" i="16"/>
  <c r="M2" i="15"/>
  <c r="B2" i="14"/>
  <c r="I76" i="13"/>
  <c r="A76" i="13"/>
  <c r="I75" i="13"/>
  <c r="A75" i="13"/>
  <c r="A74" i="13"/>
  <c r="I74" i="13" s="1"/>
  <c r="A73" i="13"/>
  <c r="I73" i="13" s="1"/>
  <c r="I72" i="13"/>
  <c r="A72" i="13"/>
  <c r="A71" i="13"/>
  <c r="I71" i="13" s="1"/>
  <c r="A70" i="13"/>
  <c r="I70" i="13" s="1"/>
  <c r="I69" i="13"/>
  <c r="A69" i="13"/>
  <c r="I68" i="13"/>
  <c r="A68" i="13"/>
  <c r="I67" i="13"/>
  <c r="D67" i="13"/>
  <c r="A67" i="13"/>
  <c r="C66" i="13"/>
  <c r="A66" i="13"/>
  <c r="I66" i="13" s="1"/>
  <c r="A65" i="13"/>
  <c r="I65" i="13" s="1"/>
  <c r="I64" i="13"/>
  <c r="C64" i="13"/>
  <c r="A64" i="13"/>
  <c r="I63" i="13"/>
  <c r="C63" i="13"/>
  <c r="A63" i="13"/>
  <c r="C62" i="13"/>
  <c r="A62" i="13"/>
  <c r="I62" i="13" s="1"/>
  <c r="A61" i="13"/>
  <c r="I61" i="13" s="1"/>
  <c r="I60" i="13"/>
  <c r="A60" i="13"/>
  <c r="I59" i="13"/>
  <c r="A59" i="13"/>
  <c r="A58" i="13"/>
  <c r="I58" i="13" s="1"/>
  <c r="A57" i="13"/>
  <c r="I57" i="13" s="1"/>
  <c r="I56" i="13"/>
  <c r="C56" i="13"/>
  <c r="A56" i="13"/>
  <c r="I55" i="13"/>
  <c r="C55" i="13"/>
  <c r="A55" i="13"/>
  <c r="C54" i="13"/>
  <c r="A54" i="13"/>
  <c r="I54" i="13" s="1"/>
  <c r="I53" i="13"/>
  <c r="C53" i="13"/>
  <c r="A53" i="13"/>
  <c r="I52" i="13"/>
  <c r="C52" i="13"/>
  <c r="A52" i="13"/>
  <c r="I51" i="13"/>
  <c r="A51" i="13"/>
  <c r="A50" i="13"/>
  <c r="I50" i="13" s="1"/>
  <c r="D49" i="13"/>
  <c r="A49" i="13"/>
  <c r="I49" i="13" s="1"/>
  <c r="I48" i="13"/>
  <c r="A48" i="13"/>
  <c r="I47" i="13"/>
  <c r="A47" i="13"/>
  <c r="A46" i="13"/>
  <c r="I46" i="13" s="1"/>
  <c r="I45" i="13"/>
  <c r="A45" i="13"/>
  <c r="I44" i="13"/>
  <c r="A44" i="13"/>
  <c r="I43" i="13"/>
  <c r="A43" i="13"/>
  <c r="A42" i="13"/>
  <c r="I42" i="13" s="1"/>
  <c r="A41" i="13"/>
  <c r="I41" i="13" s="1"/>
  <c r="I40" i="13"/>
  <c r="A40" i="13"/>
  <c r="A39" i="13"/>
  <c r="I39" i="13" s="1"/>
  <c r="A38" i="13"/>
  <c r="I38" i="13" s="1"/>
  <c r="A37" i="13"/>
  <c r="I37" i="13" s="1"/>
  <c r="I36" i="13"/>
  <c r="A36" i="13"/>
  <c r="I35" i="13"/>
  <c r="A35" i="13"/>
  <c r="A34" i="13"/>
  <c r="I34" i="13" s="1"/>
  <c r="A33" i="13"/>
  <c r="I33" i="13" s="1"/>
  <c r="I32" i="13"/>
  <c r="A32" i="13"/>
  <c r="A31" i="13"/>
  <c r="I31" i="13" s="1"/>
  <c r="A30" i="13"/>
  <c r="I30" i="13" s="1"/>
  <c r="A29" i="13"/>
  <c r="I29" i="13" s="1"/>
  <c r="I28" i="13"/>
  <c r="A28" i="13"/>
  <c r="I27" i="13"/>
  <c r="A27" i="13"/>
  <c r="A26" i="13"/>
  <c r="I26" i="13" s="1"/>
  <c r="A25" i="13"/>
  <c r="I25" i="13" s="1"/>
  <c r="I24" i="13"/>
  <c r="A24" i="13"/>
  <c r="I23" i="13"/>
  <c r="A23" i="13"/>
  <c r="A22" i="13"/>
  <c r="I22" i="13" s="1"/>
  <c r="A21" i="13"/>
  <c r="I21" i="13" s="1"/>
  <c r="I20" i="13"/>
  <c r="A20" i="13"/>
  <c r="I19" i="13"/>
  <c r="A19" i="13"/>
  <c r="A18" i="13"/>
  <c r="I18" i="13" s="1"/>
  <c r="A17" i="13"/>
  <c r="I17" i="13" s="1"/>
  <c r="M14" i="13"/>
  <c r="L14" i="13"/>
  <c r="K14" i="13"/>
  <c r="J14" i="13"/>
  <c r="I14" i="13"/>
  <c r="M13" i="13"/>
  <c r="K13" i="13"/>
  <c r="J13" i="13"/>
  <c r="G13" i="13"/>
  <c r="F13" i="13"/>
  <c r="E13" i="13"/>
  <c r="D73" i="13" s="1"/>
  <c r="D13" i="13"/>
  <c r="C13" i="13"/>
  <c r="B13" i="13"/>
  <c r="M12" i="13"/>
  <c r="K12" i="13"/>
  <c r="J12" i="13"/>
  <c r="I12" i="13"/>
  <c r="G12" i="13"/>
  <c r="F12" i="13"/>
  <c r="E12" i="13"/>
  <c r="D12" i="13"/>
  <c r="C12" i="13"/>
  <c r="L12" i="13" s="1"/>
  <c r="B12" i="13"/>
  <c r="K11" i="13"/>
  <c r="J11" i="13"/>
  <c r="I11" i="13"/>
  <c r="G11" i="13"/>
  <c r="F11" i="13"/>
  <c r="E11" i="13"/>
  <c r="D11" i="13"/>
  <c r="C65" i="13" s="1"/>
  <c r="C11" i="13"/>
  <c r="M11" i="13" s="1"/>
  <c r="B11" i="13"/>
  <c r="M10" i="13"/>
  <c r="L10" i="13"/>
  <c r="I10" i="13"/>
  <c r="G10" i="13"/>
  <c r="F10" i="13"/>
  <c r="E10" i="13"/>
  <c r="D10" i="13"/>
  <c r="C10" i="13"/>
  <c r="B10" i="13"/>
  <c r="K9" i="13"/>
  <c r="J9" i="13"/>
  <c r="G9" i="13"/>
  <c r="F9" i="13"/>
  <c r="E9" i="13"/>
  <c r="D55" i="13" s="1"/>
  <c r="D9" i="13"/>
  <c r="C9" i="13"/>
  <c r="M9" i="13" s="1"/>
  <c r="B9" i="13"/>
  <c r="M8" i="13"/>
  <c r="J8" i="13"/>
  <c r="I8" i="13"/>
  <c r="G8" i="13"/>
  <c r="F8" i="13"/>
  <c r="E8" i="13"/>
  <c r="D50" i="13" s="1"/>
  <c r="D8" i="13"/>
  <c r="C49" i="13" s="1"/>
  <c r="E49" i="13" s="1"/>
  <c r="C8" i="13"/>
  <c r="L8" i="13" s="1"/>
  <c r="B8" i="13"/>
  <c r="M7" i="13"/>
  <c r="L7" i="13"/>
  <c r="G7" i="13"/>
  <c r="F7" i="13"/>
  <c r="E7" i="13"/>
  <c r="D7" i="13"/>
  <c r="C7" i="13"/>
  <c r="I7" i="13" s="1"/>
  <c r="J7" i="13" s="1"/>
  <c r="K7" i="13" s="1"/>
  <c r="B7" i="13"/>
  <c r="M6" i="13"/>
  <c r="K6" i="13"/>
  <c r="J6" i="13"/>
  <c r="G6" i="13"/>
  <c r="F6" i="13"/>
  <c r="E6" i="13"/>
  <c r="D6" i="13"/>
  <c r="C6" i="13"/>
  <c r="I6" i="13" s="1"/>
  <c r="B6" i="13"/>
  <c r="M5" i="13"/>
  <c r="J5" i="13"/>
  <c r="G5" i="13"/>
  <c r="F5" i="13"/>
  <c r="E5" i="13"/>
  <c r="D5" i="13"/>
  <c r="C5" i="13"/>
  <c r="B5" i="13"/>
  <c r="M4" i="13"/>
  <c r="K4" i="13"/>
  <c r="J4" i="13"/>
  <c r="I4" i="13"/>
  <c r="G4" i="13"/>
  <c r="F4" i="13"/>
  <c r="E4" i="13"/>
  <c r="D4" i="13"/>
  <c r="C4" i="13"/>
  <c r="L4" i="13" s="1"/>
  <c r="B4" i="13"/>
  <c r="I3" i="13"/>
  <c r="G3" i="13"/>
  <c r="F3" i="13"/>
  <c r="E3" i="13"/>
  <c r="D3" i="13"/>
  <c r="C3" i="13"/>
  <c r="K3" i="13" s="1"/>
  <c r="B3" i="13"/>
  <c r="L2" i="13"/>
  <c r="G2" i="13"/>
  <c r="F2" i="13"/>
  <c r="E2" i="13"/>
  <c r="D2" i="13"/>
  <c r="C2" i="13"/>
  <c r="B2" i="13"/>
  <c r="G6" i="12"/>
  <c r="F6" i="12"/>
  <c r="E6" i="12"/>
  <c r="G5" i="12"/>
  <c r="F5" i="12"/>
  <c r="E5" i="12"/>
  <c r="G4" i="12"/>
  <c r="F4" i="12"/>
  <c r="E4" i="12"/>
  <c r="I3" i="12"/>
  <c r="G3" i="12"/>
  <c r="F3" i="12"/>
  <c r="E3" i="12"/>
  <c r="G2" i="12"/>
  <c r="F2" i="12"/>
  <c r="E2" i="12"/>
  <c r="C15" i="11"/>
  <c r="C8" i="11"/>
  <c r="B27" i="10"/>
  <c r="I2" i="12" s="1"/>
  <c r="Y62" i="9" s="1"/>
  <c r="B23" i="10"/>
  <c r="B22" i="10"/>
  <c r="B6" i="10"/>
  <c r="B5" i="10"/>
  <c r="B4" i="10"/>
  <c r="B3" i="10"/>
  <c r="B2" i="10"/>
  <c r="AG66" i="9"/>
  <c r="A66" i="9" s="1"/>
  <c r="T66" i="9"/>
  <c r="Q66" i="9"/>
  <c r="P66" i="9"/>
  <c r="K66" i="9"/>
  <c r="B66" i="9"/>
  <c r="AG65" i="9"/>
  <c r="A65" i="9" s="1"/>
  <c r="T65" i="9"/>
  <c r="Q65" i="9"/>
  <c r="P65" i="9"/>
  <c r="K65" i="9"/>
  <c r="B65" i="9"/>
  <c r="AG64" i="9"/>
  <c r="A64" i="9" s="1"/>
  <c r="T64" i="9"/>
  <c r="Q64" i="9"/>
  <c r="P64" i="9"/>
  <c r="K64" i="9"/>
  <c r="B64" i="9"/>
  <c r="AG63" i="9"/>
  <c r="A63" i="9" s="1"/>
  <c r="Y63" i="9"/>
  <c r="T63" i="9"/>
  <c r="Q63" i="9"/>
  <c r="P63" i="9"/>
  <c r="K63" i="9"/>
  <c r="B63" i="9"/>
  <c r="AG62" i="9"/>
  <c r="A62" i="9" s="1"/>
  <c r="T62" i="9"/>
  <c r="Q62" i="9"/>
  <c r="P62" i="9"/>
  <c r="K62" i="9"/>
  <c r="B62" i="9"/>
  <c r="AG61" i="9"/>
  <c r="A61" i="9" s="1"/>
  <c r="T61" i="9"/>
  <c r="Q61" i="9"/>
  <c r="P61" i="9"/>
  <c r="K61" i="9"/>
  <c r="E61" i="9"/>
  <c r="B61" i="9"/>
  <c r="T60" i="9"/>
  <c r="Q60" i="9"/>
  <c r="P60" i="9"/>
  <c r="K60" i="9"/>
  <c r="J60" i="9"/>
  <c r="E60" i="9"/>
  <c r="B60" i="9"/>
  <c r="AG59" i="9"/>
  <c r="T59" i="9"/>
  <c r="Q59" i="9"/>
  <c r="P59" i="9"/>
  <c r="K59" i="9"/>
  <c r="E59" i="9"/>
  <c r="B59" i="9"/>
  <c r="A59" i="9"/>
  <c r="Y58" i="9"/>
  <c r="T58" i="9"/>
  <c r="Q58" i="9"/>
  <c r="P58" i="9"/>
  <c r="K58" i="9"/>
  <c r="J58" i="9"/>
  <c r="E58" i="9"/>
  <c r="B58" i="9"/>
  <c r="AG58" i="9" s="1"/>
  <c r="A58" i="9" s="1"/>
  <c r="AG57" i="9"/>
  <c r="Y57" i="9"/>
  <c r="T57" i="9"/>
  <c r="Q57" i="9"/>
  <c r="P57" i="9"/>
  <c r="K57" i="9"/>
  <c r="E57" i="9"/>
  <c r="B57" i="9"/>
  <c r="A57" i="9"/>
  <c r="T56" i="9"/>
  <c r="Q56" i="9"/>
  <c r="P56" i="9"/>
  <c r="K56" i="9"/>
  <c r="J56" i="9"/>
  <c r="E56" i="9"/>
  <c r="B56" i="9"/>
  <c r="AG56" i="9" s="1"/>
  <c r="A56" i="9"/>
  <c r="T55" i="9"/>
  <c r="Q55" i="9"/>
  <c r="P55" i="9"/>
  <c r="K55" i="9"/>
  <c r="J55" i="9"/>
  <c r="E55" i="9"/>
  <c r="B55" i="9"/>
  <c r="T54" i="9"/>
  <c r="Q54" i="9"/>
  <c r="P54" i="9"/>
  <c r="K54" i="9"/>
  <c r="J54" i="9"/>
  <c r="E54" i="9"/>
  <c r="B54" i="9"/>
  <c r="AG54" i="9" s="1"/>
  <c r="A54" i="9" s="1"/>
  <c r="Y53" i="9"/>
  <c r="T53" i="9"/>
  <c r="Q53" i="9"/>
  <c r="P53" i="9"/>
  <c r="K53" i="9"/>
  <c r="J53" i="9"/>
  <c r="E53" i="9"/>
  <c r="B53" i="9"/>
  <c r="AG53" i="9" s="1"/>
  <c r="A53" i="9"/>
  <c r="Y52" i="9"/>
  <c r="T52" i="9"/>
  <c r="Q52" i="9"/>
  <c r="P52" i="9"/>
  <c r="K52" i="9"/>
  <c r="J52" i="9"/>
  <c r="E52" i="9"/>
  <c r="B52" i="9"/>
  <c r="T51" i="9"/>
  <c r="Q51" i="9"/>
  <c r="P51" i="9"/>
  <c r="K51" i="9"/>
  <c r="J51" i="9"/>
  <c r="D51" i="9"/>
  <c r="B51" i="9"/>
  <c r="AG51" i="9" s="1"/>
  <c r="A51" i="9" s="1"/>
  <c r="T50" i="9"/>
  <c r="Q50" i="9"/>
  <c r="P50" i="9"/>
  <c r="K50" i="9"/>
  <c r="J50" i="9"/>
  <c r="D50" i="9"/>
  <c r="B50" i="9"/>
  <c r="T49" i="9"/>
  <c r="Q49" i="9"/>
  <c r="P49" i="9"/>
  <c r="K49" i="9"/>
  <c r="J49" i="9"/>
  <c r="D49" i="9"/>
  <c r="B49" i="9"/>
  <c r="AG49" i="9" s="1"/>
  <c r="A49" i="9" s="1"/>
  <c r="AG48" i="9"/>
  <c r="A48" i="9" s="1"/>
  <c r="Y48" i="9"/>
  <c r="T48" i="9"/>
  <c r="Q48" i="9"/>
  <c r="P48" i="9"/>
  <c r="K48" i="9"/>
  <c r="J48" i="9"/>
  <c r="D48" i="9"/>
  <c r="B48" i="9"/>
  <c r="AG47" i="9"/>
  <c r="A47" i="9" s="1"/>
  <c r="Y47" i="9"/>
  <c r="T47" i="9"/>
  <c r="Q47" i="9"/>
  <c r="P47" i="9"/>
  <c r="K47" i="9"/>
  <c r="J47" i="9"/>
  <c r="D47" i="9"/>
  <c r="B47" i="9"/>
  <c r="AG46" i="9"/>
  <c r="A46" i="9" s="1"/>
  <c r="T46" i="9"/>
  <c r="Q46" i="9"/>
  <c r="P46" i="9"/>
  <c r="K46" i="9"/>
  <c r="J46" i="9"/>
  <c r="D46" i="9"/>
  <c r="B46" i="9"/>
  <c r="AG45" i="9"/>
  <c r="A45" i="9" s="1"/>
  <c r="T45" i="9"/>
  <c r="Q45" i="9"/>
  <c r="P45" i="9"/>
  <c r="K45" i="9"/>
  <c r="J45" i="9"/>
  <c r="D45" i="9"/>
  <c r="B45" i="9"/>
  <c r="AG44" i="9"/>
  <c r="A44" i="9" s="1"/>
  <c r="T44" i="9"/>
  <c r="Q44" i="9"/>
  <c r="P44" i="9"/>
  <c r="K44" i="9"/>
  <c r="J44" i="9"/>
  <c r="D44" i="9"/>
  <c r="B44" i="9"/>
  <c r="AG43" i="9"/>
  <c r="A43" i="9" s="1"/>
  <c r="Y43" i="9"/>
  <c r="T43" i="9"/>
  <c r="Q43" i="9"/>
  <c r="P43" i="9"/>
  <c r="K43" i="9"/>
  <c r="J43" i="9"/>
  <c r="D43" i="9"/>
  <c r="B43" i="9"/>
  <c r="Y42" i="9"/>
  <c r="T42" i="9"/>
  <c r="Q42" i="9"/>
  <c r="P42" i="9"/>
  <c r="K42" i="9"/>
  <c r="J42" i="9"/>
  <c r="D42" i="9"/>
  <c r="B42" i="9"/>
  <c r="AG41" i="9"/>
  <c r="A41" i="9" s="1"/>
  <c r="T41" i="9"/>
  <c r="Q41" i="9"/>
  <c r="P41" i="9"/>
  <c r="K41" i="9"/>
  <c r="J41" i="9"/>
  <c r="E41" i="9"/>
  <c r="D41" i="9"/>
  <c r="F41" i="9" s="1"/>
  <c r="B41" i="9"/>
  <c r="T40" i="9"/>
  <c r="Q40" i="9"/>
  <c r="P40" i="9"/>
  <c r="K40" i="9"/>
  <c r="J40" i="9"/>
  <c r="E40" i="9"/>
  <c r="D40" i="9"/>
  <c r="F40" i="9" s="1"/>
  <c r="B40" i="9"/>
  <c r="AG40" i="9" s="1"/>
  <c r="A40" i="9" s="1"/>
  <c r="T39" i="9"/>
  <c r="Q39" i="9"/>
  <c r="P39" i="9"/>
  <c r="K39" i="9"/>
  <c r="J39" i="9"/>
  <c r="E39" i="9"/>
  <c r="D39" i="9"/>
  <c r="F39" i="9" s="1"/>
  <c r="B39" i="9"/>
  <c r="AG38" i="9"/>
  <c r="A38" i="9" s="1"/>
  <c r="Y38" i="9"/>
  <c r="T38" i="9"/>
  <c r="Q38" i="9"/>
  <c r="P38" i="9"/>
  <c r="K38" i="9"/>
  <c r="J38" i="9"/>
  <c r="E38" i="9"/>
  <c r="D38" i="9"/>
  <c r="B38" i="9"/>
  <c r="Y37" i="9"/>
  <c r="T37" i="9"/>
  <c r="Q37" i="9"/>
  <c r="P37" i="9"/>
  <c r="K37" i="9"/>
  <c r="J37" i="9"/>
  <c r="E37" i="9"/>
  <c r="D37" i="9"/>
  <c r="B37" i="9"/>
  <c r="T36" i="9"/>
  <c r="Q36" i="9"/>
  <c r="P36" i="9"/>
  <c r="K36" i="9"/>
  <c r="J36" i="9"/>
  <c r="E36" i="9"/>
  <c r="D36" i="9"/>
  <c r="B36" i="9"/>
  <c r="T35" i="9"/>
  <c r="Q35" i="9"/>
  <c r="P35" i="9"/>
  <c r="K35" i="9"/>
  <c r="J35" i="9"/>
  <c r="F35" i="9"/>
  <c r="E35" i="9"/>
  <c r="D35" i="9"/>
  <c r="B35" i="9"/>
  <c r="AG35" i="9" s="1"/>
  <c r="A35" i="9" s="1"/>
  <c r="AG34" i="9"/>
  <c r="A34" i="9" s="1"/>
  <c r="T34" i="9"/>
  <c r="Q34" i="9"/>
  <c r="P34" i="9"/>
  <c r="K34" i="9"/>
  <c r="J34" i="9"/>
  <c r="E34" i="9"/>
  <c r="D34" i="9"/>
  <c r="B34" i="9"/>
  <c r="Y33" i="9"/>
  <c r="T33" i="9"/>
  <c r="Q33" i="9"/>
  <c r="P33" i="9"/>
  <c r="K33" i="9"/>
  <c r="J33" i="9"/>
  <c r="F33" i="9"/>
  <c r="E33" i="9"/>
  <c r="D33" i="9"/>
  <c r="B33" i="9"/>
  <c r="AG33" i="9" s="1"/>
  <c r="A33" i="9" s="1"/>
  <c r="AG32" i="9"/>
  <c r="A32" i="9" s="1"/>
  <c r="Y32" i="9"/>
  <c r="T32" i="9"/>
  <c r="Q32" i="9"/>
  <c r="P32" i="9"/>
  <c r="K32" i="9"/>
  <c r="J32" i="9"/>
  <c r="E32" i="9"/>
  <c r="D32" i="9"/>
  <c r="B32" i="9"/>
  <c r="T31" i="9"/>
  <c r="Q31" i="9"/>
  <c r="P31" i="9"/>
  <c r="K31" i="9"/>
  <c r="J31" i="9"/>
  <c r="B31" i="9"/>
  <c r="AG31" i="9" s="1"/>
  <c r="A31" i="9" s="1"/>
  <c r="AG30" i="9"/>
  <c r="A30" i="9" s="1"/>
  <c r="T30" i="9"/>
  <c r="Q30" i="9"/>
  <c r="P30" i="9"/>
  <c r="K30" i="9"/>
  <c r="J30" i="9"/>
  <c r="B30" i="9"/>
  <c r="T29" i="9"/>
  <c r="Q29" i="9"/>
  <c r="P29" i="9"/>
  <c r="K29" i="9"/>
  <c r="J29" i="9"/>
  <c r="B29" i="9"/>
  <c r="AG29" i="9" s="1"/>
  <c r="A29" i="9" s="1"/>
  <c r="AG28" i="9"/>
  <c r="A28" i="9" s="1"/>
  <c r="Y28" i="9"/>
  <c r="T28" i="9"/>
  <c r="Q28" i="9"/>
  <c r="P28" i="9"/>
  <c r="K28" i="9"/>
  <c r="J28" i="9"/>
  <c r="B28" i="9"/>
  <c r="Y27" i="9"/>
  <c r="T27" i="9"/>
  <c r="Q27" i="9"/>
  <c r="P27" i="9"/>
  <c r="K27" i="9"/>
  <c r="J27" i="9"/>
  <c r="B27" i="9"/>
  <c r="T26" i="9"/>
  <c r="Q26" i="9"/>
  <c r="P26" i="9"/>
  <c r="K26" i="9"/>
  <c r="J26" i="9"/>
  <c r="B26" i="9"/>
  <c r="T25" i="9"/>
  <c r="Q25" i="9"/>
  <c r="P25" i="9"/>
  <c r="K25" i="9"/>
  <c r="J25" i="9"/>
  <c r="B25" i="9"/>
  <c r="T24" i="9"/>
  <c r="Q24" i="9"/>
  <c r="P24" i="9"/>
  <c r="K24" i="9"/>
  <c r="J24" i="9"/>
  <c r="B24" i="9"/>
  <c r="Y23" i="9"/>
  <c r="T23" i="9"/>
  <c r="Q23" i="9"/>
  <c r="P23" i="9"/>
  <c r="K23" i="9"/>
  <c r="J23" i="9"/>
  <c r="B23" i="9"/>
  <c r="Y22" i="9"/>
  <c r="T22" i="9"/>
  <c r="Q22" i="9"/>
  <c r="P22" i="9"/>
  <c r="K22" i="9"/>
  <c r="J22" i="9"/>
  <c r="B22" i="9"/>
  <c r="AG22" i="9" s="1"/>
  <c r="A22" i="9" s="1"/>
  <c r="T21" i="9"/>
  <c r="Q21" i="9"/>
  <c r="P21" i="9"/>
  <c r="K21" i="9"/>
  <c r="J21" i="9"/>
  <c r="B21" i="9"/>
  <c r="AG21" i="9" s="1"/>
  <c r="A21" i="9"/>
  <c r="T20" i="9"/>
  <c r="Q20" i="9"/>
  <c r="P20" i="9"/>
  <c r="K20" i="9"/>
  <c r="J20" i="9"/>
  <c r="B20" i="9"/>
  <c r="AG20" i="9" s="1"/>
  <c r="A20" i="9" s="1"/>
  <c r="T19" i="9"/>
  <c r="Q19" i="9"/>
  <c r="P19" i="9"/>
  <c r="K19" i="9"/>
  <c r="J19" i="9"/>
  <c r="B19" i="9"/>
  <c r="AG19" i="9" s="1"/>
  <c r="A19" i="9"/>
  <c r="Y18" i="9"/>
  <c r="T18" i="9"/>
  <c r="Q18" i="9"/>
  <c r="P18" i="9"/>
  <c r="K18" i="9"/>
  <c r="J18" i="9"/>
  <c r="B18" i="9"/>
  <c r="AG18" i="9" s="1"/>
  <c r="A18" i="9"/>
  <c r="Y17" i="9"/>
  <c r="T17" i="9"/>
  <c r="Q17" i="9"/>
  <c r="P17" i="9"/>
  <c r="K17" i="9"/>
  <c r="J17" i="9"/>
  <c r="B17" i="9"/>
  <c r="AG17" i="9" s="1"/>
  <c r="A17" i="9"/>
  <c r="T16" i="9"/>
  <c r="Q16" i="9"/>
  <c r="P16" i="9"/>
  <c r="K16" i="9"/>
  <c r="J16" i="9"/>
  <c r="B16" i="9"/>
  <c r="AG16" i="9" s="1"/>
  <c r="A16" i="9"/>
  <c r="T15" i="9"/>
  <c r="Q15" i="9"/>
  <c r="P15" i="9"/>
  <c r="K15" i="9"/>
  <c r="J15" i="9"/>
  <c r="B15" i="9"/>
  <c r="AG15" i="9" s="1"/>
  <c r="A15" i="9" s="1"/>
  <c r="T14" i="9"/>
  <c r="Q14" i="9"/>
  <c r="P14" i="9"/>
  <c r="K14" i="9"/>
  <c r="J14" i="9"/>
  <c r="B14" i="9"/>
  <c r="AG14" i="9" s="1"/>
  <c r="A14" i="9" s="1"/>
  <c r="Y13" i="9"/>
  <c r="T13" i="9"/>
  <c r="Q13" i="9"/>
  <c r="P13" i="9"/>
  <c r="M13" i="9"/>
  <c r="E13" i="9" s="1"/>
  <c r="K13" i="9"/>
  <c r="J13" i="9"/>
  <c r="B13" i="9"/>
  <c r="AG13" i="9" s="1"/>
  <c r="A13" i="9" s="1"/>
  <c r="Y12" i="9"/>
  <c r="T12" i="9"/>
  <c r="Q12" i="9"/>
  <c r="P12" i="9"/>
  <c r="K12" i="9"/>
  <c r="J12" i="9"/>
  <c r="B12" i="9"/>
  <c r="AG12" i="9" s="1"/>
  <c r="A12" i="9"/>
  <c r="T11" i="9"/>
  <c r="Q11" i="9"/>
  <c r="P11" i="9"/>
  <c r="K11" i="9"/>
  <c r="J11" i="9"/>
  <c r="B11" i="9"/>
  <c r="AG10" i="9"/>
  <c r="A10" i="9" s="1"/>
  <c r="T10" i="9"/>
  <c r="Q10" i="9"/>
  <c r="P10" i="9"/>
  <c r="K10" i="9"/>
  <c r="J10" i="9"/>
  <c r="B10" i="9"/>
  <c r="AG9" i="9"/>
  <c r="A9" i="9" s="1"/>
  <c r="T9" i="9"/>
  <c r="Q9" i="9"/>
  <c r="P9" i="9"/>
  <c r="K9" i="9"/>
  <c r="J9" i="9"/>
  <c r="B9" i="9"/>
  <c r="Y8" i="9"/>
  <c r="T8" i="9"/>
  <c r="Q8" i="9"/>
  <c r="P8" i="9"/>
  <c r="K8" i="9"/>
  <c r="J8" i="9"/>
  <c r="B8" i="9"/>
  <c r="Y7" i="9"/>
  <c r="T7" i="9"/>
  <c r="Q7" i="9"/>
  <c r="P7" i="9"/>
  <c r="K7" i="9"/>
  <c r="J7" i="9"/>
  <c r="B7" i="9"/>
  <c r="AG7" i="9" s="1"/>
  <c r="A7" i="9" s="1"/>
  <c r="T6" i="9"/>
  <c r="Q6" i="9"/>
  <c r="P6" i="9"/>
  <c r="K6" i="9"/>
  <c r="J6" i="9"/>
  <c r="B6" i="9"/>
  <c r="AG6" i="9" s="1"/>
  <c r="A6" i="9" s="1"/>
  <c r="AG5" i="9"/>
  <c r="T5" i="9"/>
  <c r="Q5" i="9"/>
  <c r="P5" i="9"/>
  <c r="M5" i="9"/>
  <c r="E5" i="9" s="1"/>
  <c r="K5" i="9"/>
  <c r="J5" i="9"/>
  <c r="B5" i="9"/>
  <c r="A5" i="9"/>
  <c r="T4" i="9"/>
  <c r="Q4" i="9"/>
  <c r="P4" i="9"/>
  <c r="K4" i="9"/>
  <c r="J4" i="9"/>
  <c r="B4" i="9"/>
  <c r="Y3" i="9"/>
  <c r="T3" i="9"/>
  <c r="Q3" i="9"/>
  <c r="P3" i="9"/>
  <c r="K3" i="9"/>
  <c r="J3" i="9"/>
  <c r="B3" i="9"/>
  <c r="AG3" i="9" s="1"/>
  <c r="A3" i="9" s="1"/>
  <c r="AG2" i="9"/>
  <c r="A2" i="9" s="1"/>
  <c r="Y2" i="9"/>
  <c r="T2" i="9"/>
  <c r="Q2" i="9"/>
  <c r="P2" i="9"/>
  <c r="K2" i="9"/>
  <c r="J2" i="9"/>
  <c r="B2" i="9"/>
  <c r="A1" i="9"/>
  <c r="B28" i="6"/>
  <c r="B27" i="6"/>
  <c r="B26" i="6"/>
  <c r="B25" i="6"/>
  <c r="B24" i="6"/>
  <c r="B23" i="6"/>
  <c r="B22" i="6"/>
  <c r="B21" i="6"/>
  <c r="B20" i="6"/>
  <c r="B19" i="6"/>
  <c r="B18" i="6"/>
  <c r="B17" i="6"/>
  <c r="B16" i="6"/>
  <c r="B15" i="6"/>
  <c r="B14" i="6"/>
  <c r="B13" i="6"/>
  <c r="B12" i="6"/>
  <c r="B11" i="6"/>
  <c r="B10" i="6"/>
  <c r="B9" i="6"/>
  <c r="B8" i="6"/>
  <c r="B7" i="6"/>
  <c r="B6" i="6"/>
  <c r="B5" i="6"/>
  <c r="B4" i="6"/>
  <c r="B3" i="6"/>
  <c r="C17" i="5"/>
  <c r="C14" i="5"/>
  <c r="H16" i="4"/>
  <c r="G16" i="4"/>
  <c r="C16" i="4"/>
  <c r="A16" i="4"/>
  <c r="H15" i="4"/>
  <c r="G15" i="4"/>
  <c r="C15" i="4"/>
  <c r="B15" i="4"/>
  <c r="A15" i="4"/>
  <c r="H14" i="4"/>
  <c r="G14" i="4"/>
  <c r="C14" i="4"/>
  <c r="B14" i="4"/>
  <c r="A14" i="4"/>
  <c r="H13" i="4"/>
  <c r="G13" i="4"/>
  <c r="B13" i="4"/>
  <c r="A13" i="4"/>
  <c r="C13" i="4" s="1"/>
  <c r="H12" i="4"/>
  <c r="G12" i="4"/>
  <c r="A12" i="4"/>
  <c r="H11" i="4"/>
  <c r="G11" i="4"/>
  <c r="C11" i="4"/>
  <c r="B11" i="4"/>
  <c r="A11" i="4"/>
  <c r="H10" i="4"/>
  <c r="G10" i="4"/>
  <c r="C10" i="4"/>
  <c r="B10" i="4"/>
  <c r="A10" i="4"/>
  <c r="H9" i="4"/>
  <c r="G9" i="4"/>
  <c r="A9" i="4"/>
  <c r="C9" i="4" s="1"/>
  <c r="H8" i="4"/>
  <c r="G8" i="4"/>
  <c r="B8" i="4"/>
  <c r="A8" i="4"/>
  <c r="H7" i="4"/>
  <c r="G7" i="4"/>
  <c r="C7" i="4"/>
  <c r="B7" i="4"/>
  <c r="A7" i="4"/>
  <c r="H6" i="4"/>
  <c r="G6" i="4"/>
  <c r="C6" i="4"/>
  <c r="B6" i="4"/>
  <c r="A6" i="4"/>
  <c r="H5" i="4"/>
  <c r="G5" i="4"/>
  <c r="B5" i="4"/>
  <c r="A5" i="4"/>
  <c r="C5" i="4" s="1"/>
  <c r="H4" i="4"/>
  <c r="G4" i="4"/>
  <c r="C4" i="4"/>
  <c r="B4" i="4"/>
  <c r="A4" i="4"/>
  <c r="D18" i="4" s="1"/>
  <c r="G68" i="3"/>
  <c r="F68" i="3"/>
  <c r="E68" i="3"/>
  <c r="D68" i="3"/>
  <c r="A68" i="3"/>
  <c r="C68" i="3" s="1"/>
  <c r="H67" i="3"/>
  <c r="G67" i="3"/>
  <c r="F67" i="3"/>
  <c r="E67" i="3"/>
  <c r="D67" i="3"/>
  <c r="C67" i="3"/>
  <c r="A67" i="3"/>
  <c r="H66" i="3"/>
  <c r="G66" i="3"/>
  <c r="F66" i="3"/>
  <c r="E66" i="3"/>
  <c r="D66" i="3"/>
  <c r="A66" i="3"/>
  <c r="C66" i="3" s="1"/>
  <c r="G65" i="3"/>
  <c r="F65" i="3"/>
  <c r="E65" i="3"/>
  <c r="D65" i="3"/>
  <c r="H65" i="3" s="1"/>
  <c r="C65" i="3"/>
  <c r="A65" i="3"/>
  <c r="F64" i="3"/>
  <c r="E64" i="3"/>
  <c r="A64" i="3"/>
  <c r="C64" i="3" s="1"/>
  <c r="G63" i="3"/>
  <c r="F63" i="3"/>
  <c r="E63" i="3"/>
  <c r="D63" i="3"/>
  <c r="A63" i="3"/>
  <c r="C63" i="3" s="1"/>
  <c r="G62" i="3"/>
  <c r="F62" i="3"/>
  <c r="E62" i="3"/>
  <c r="D62" i="3"/>
  <c r="H62" i="3" s="1"/>
  <c r="C62" i="3"/>
  <c r="A62" i="3"/>
  <c r="G61" i="3"/>
  <c r="F61" i="3"/>
  <c r="E61" i="3"/>
  <c r="D61" i="3"/>
  <c r="H61" i="3" s="1"/>
  <c r="C61" i="3"/>
  <c r="A61" i="3"/>
  <c r="G60" i="3"/>
  <c r="F60" i="3"/>
  <c r="E60" i="3"/>
  <c r="D60" i="3"/>
  <c r="H60" i="3" s="1"/>
  <c r="A60" i="3"/>
  <c r="C60" i="3" s="1"/>
  <c r="E59" i="3"/>
  <c r="C59" i="3"/>
  <c r="A59" i="3"/>
  <c r="H58" i="3"/>
  <c r="G58" i="3"/>
  <c r="F58" i="3"/>
  <c r="E58" i="3"/>
  <c r="D58" i="3"/>
  <c r="A58" i="3"/>
  <c r="C58" i="3" s="1"/>
  <c r="G57" i="3"/>
  <c r="F57" i="3"/>
  <c r="E57" i="3"/>
  <c r="D57" i="3"/>
  <c r="C57" i="3"/>
  <c r="A57" i="3"/>
  <c r="G56" i="3"/>
  <c r="F56" i="3"/>
  <c r="E56" i="3"/>
  <c r="D56" i="3"/>
  <c r="A56" i="3"/>
  <c r="C56" i="3" s="1"/>
  <c r="G55" i="3"/>
  <c r="F55" i="3"/>
  <c r="E55" i="3"/>
  <c r="D55" i="3"/>
  <c r="A55" i="3"/>
  <c r="C55" i="3" s="1"/>
  <c r="F54" i="3"/>
  <c r="E54" i="3"/>
  <c r="D54" i="3"/>
  <c r="C54" i="3"/>
  <c r="A54" i="3"/>
  <c r="G53" i="3"/>
  <c r="F53" i="3"/>
  <c r="E53" i="3"/>
  <c r="D53" i="3"/>
  <c r="H53" i="3" s="1"/>
  <c r="C53" i="3"/>
  <c r="A53" i="3"/>
  <c r="G52" i="3"/>
  <c r="F52" i="3"/>
  <c r="E52" i="3"/>
  <c r="D52" i="3"/>
  <c r="H52" i="3" s="1"/>
  <c r="A52" i="3"/>
  <c r="C52" i="3" s="1"/>
  <c r="H51" i="3"/>
  <c r="G51" i="3"/>
  <c r="F51" i="3"/>
  <c r="E51" i="3"/>
  <c r="D51" i="3"/>
  <c r="C51" i="3"/>
  <c r="A51" i="3"/>
  <c r="H50" i="3"/>
  <c r="G50" i="3"/>
  <c r="F50" i="3"/>
  <c r="E50" i="3"/>
  <c r="D50" i="3"/>
  <c r="A50" i="3"/>
  <c r="C50" i="3" s="1"/>
  <c r="F49" i="3"/>
  <c r="C49" i="3"/>
  <c r="A49" i="3"/>
  <c r="E49" i="3" s="1"/>
  <c r="G48" i="3"/>
  <c r="F48" i="3"/>
  <c r="E48" i="3"/>
  <c r="D48" i="3"/>
  <c r="A48" i="3"/>
  <c r="C48" i="3" s="1"/>
  <c r="G47" i="3"/>
  <c r="F47" i="3"/>
  <c r="E47" i="3"/>
  <c r="D47" i="3"/>
  <c r="H47" i="3" s="1"/>
  <c r="A47" i="3"/>
  <c r="C47" i="3" s="1"/>
  <c r="G46" i="3"/>
  <c r="F46" i="3"/>
  <c r="E46" i="3"/>
  <c r="D46" i="3"/>
  <c r="H46" i="3" s="1"/>
  <c r="C46" i="3"/>
  <c r="A46" i="3"/>
  <c r="G45" i="3"/>
  <c r="F45" i="3"/>
  <c r="E45" i="3"/>
  <c r="D45" i="3"/>
  <c r="H45" i="3" s="1"/>
  <c r="C45" i="3"/>
  <c r="A45" i="3"/>
  <c r="A44" i="3"/>
  <c r="H43" i="3"/>
  <c r="G43" i="3"/>
  <c r="F43" i="3"/>
  <c r="E43" i="3"/>
  <c r="D43" i="3"/>
  <c r="C43" i="3"/>
  <c r="A43" i="3"/>
  <c r="H42" i="3"/>
  <c r="G42" i="3"/>
  <c r="F42" i="3"/>
  <c r="E42" i="3"/>
  <c r="D42" i="3"/>
  <c r="A42" i="3"/>
  <c r="C42" i="3" s="1"/>
  <c r="G41" i="3"/>
  <c r="F41" i="3"/>
  <c r="E41" i="3"/>
  <c r="D41" i="3"/>
  <c r="C41" i="3"/>
  <c r="A41" i="3"/>
  <c r="G40" i="3"/>
  <c r="F40" i="3"/>
  <c r="E40" i="3"/>
  <c r="H40" i="3" s="1"/>
  <c r="D40" i="3"/>
  <c r="A40" i="3"/>
  <c r="C40" i="3" s="1"/>
  <c r="F39" i="3"/>
  <c r="E39" i="3"/>
  <c r="A39" i="3"/>
  <c r="C39" i="3" s="1"/>
  <c r="G38" i="3"/>
  <c r="F38" i="3"/>
  <c r="E38" i="3"/>
  <c r="D38" i="3"/>
  <c r="H38" i="3" s="1"/>
  <c r="C38" i="3"/>
  <c r="A38" i="3"/>
  <c r="G37" i="3"/>
  <c r="F37" i="3"/>
  <c r="E37" i="3"/>
  <c r="D37" i="3"/>
  <c r="H37" i="3" s="1"/>
  <c r="A37" i="3"/>
  <c r="C37" i="3" s="1"/>
  <c r="G36" i="3"/>
  <c r="F36" i="3"/>
  <c r="E36" i="3"/>
  <c r="D36" i="3"/>
  <c r="A36" i="3"/>
  <c r="C36" i="3" s="1"/>
  <c r="H35" i="3"/>
  <c r="G35" i="3"/>
  <c r="F35" i="3"/>
  <c r="E35" i="3"/>
  <c r="D35" i="3"/>
  <c r="C35" i="3"/>
  <c r="A35" i="3"/>
  <c r="A34" i="3"/>
  <c r="F34" i="3" s="1"/>
  <c r="G33" i="3"/>
  <c r="F33" i="3"/>
  <c r="H33" i="3" s="1"/>
  <c r="E33" i="3"/>
  <c r="D33" i="3"/>
  <c r="C33" i="3"/>
  <c r="A33" i="3"/>
  <c r="G32" i="3"/>
  <c r="F32" i="3"/>
  <c r="E32" i="3"/>
  <c r="H32" i="3" s="1"/>
  <c r="D32" i="3"/>
  <c r="A32" i="3"/>
  <c r="C32" i="3" s="1"/>
  <c r="G31" i="3"/>
  <c r="F31" i="3"/>
  <c r="E31" i="3"/>
  <c r="D31" i="3"/>
  <c r="H31" i="3" s="1"/>
  <c r="A31" i="3"/>
  <c r="C31" i="3" s="1"/>
  <c r="H30" i="3"/>
  <c r="G30" i="3"/>
  <c r="F30" i="3"/>
  <c r="E30" i="3"/>
  <c r="D30" i="3"/>
  <c r="C30" i="3"/>
  <c r="A30" i="3"/>
  <c r="E29" i="3"/>
  <c r="C29" i="3"/>
  <c r="A29" i="3"/>
  <c r="F29" i="3" s="1"/>
  <c r="G28" i="3"/>
  <c r="F28" i="3"/>
  <c r="E28" i="3"/>
  <c r="D28" i="3"/>
  <c r="H28" i="3" s="1"/>
  <c r="A28" i="3"/>
  <c r="C28" i="3" s="1"/>
  <c r="H27" i="3"/>
  <c r="G27" i="3"/>
  <c r="F27" i="3"/>
  <c r="E27" i="3"/>
  <c r="D27" i="3"/>
  <c r="C27" i="3"/>
  <c r="A27" i="3"/>
  <c r="G26" i="3"/>
  <c r="F26" i="3"/>
  <c r="E26" i="3"/>
  <c r="D26" i="3"/>
  <c r="H26" i="3" s="1"/>
  <c r="A26" i="3"/>
  <c r="C26" i="3" s="1"/>
  <c r="G25" i="3"/>
  <c r="F25" i="3"/>
  <c r="H25" i="3" s="1"/>
  <c r="E25" i="3"/>
  <c r="D25" i="3"/>
  <c r="C25" i="3"/>
  <c r="A25" i="3"/>
  <c r="A24" i="3"/>
  <c r="E24" i="3" s="1"/>
  <c r="G23" i="3"/>
  <c r="F23" i="3"/>
  <c r="E23" i="3"/>
  <c r="D23" i="3"/>
  <c r="A23" i="3"/>
  <c r="C23" i="3" s="1"/>
  <c r="G22" i="3"/>
  <c r="F22" i="3"/>
  <c r="E22" i="3"/>
  <c r="D22" i="3"/>
  <c r="H22" i="3" s="1"/>
  <c r="C22" i="3"/>
  <c r="A22" i="3"/>
  <c r="G21" i="3"/>
  <c r="F21" i="3"/>
  <c r="E21" i="3"/>
  <c r="D21" i="3"/>
  <c r="H21" i="3" s="1"/>
  <c r="A21" i="3"/>
  <c r="C21" i="3" s="1"/>
  <c r="G20" i="3"/>
  <c r="F20" i="3"/>
  <c r="E20" i="3"/>
  <c r="D20" i="3"/>
  <c r="H20" i="3" s="1"/>
  <c r="A20" i="3"/>
  <c r="C20" i="3" s="1"/>
  <c r="E19" i="3"/>
  <c r="C19" i="3"/>
  <c r="D19" i="3" s="1"/>
  <c r="A19" i="3"/>
  <c r="G18" i="3"/>
  <c r="F18" i="3"/>
  <c r="E18" i="3"/>
  <c r="D18" i="3"/>
  <c r="H18" i="3" s="1"/>
  <c r="A18" i="3"/>
  <c r="C18" i="3" s="1"/>
  <c r="G17" i="3"/>
  <c r="F17" i="3"/>
  <c r="E17" i="3"/>
  <c r="D17" i="3"/>
  <c r="C17" i="3"/>
  <c r="A17" i="3"/>
  <c r="G16" i="3"/>
  <c r="F16" i="3"/>
  <c r="E16" i="3"/>
  <c r="H16" i="3" s="1"/>
  <c r="D16" i="3"/>
  <c r="A16" i="3"/>
  <c r="C16" i="3" s="1"/>
  <c r="G15" i="3"/>
  <c r="F15" i="3"/>
  <c r="E15" i="3"/>
  <c r="D15" i="3"/>
  <c r="A15" i="3"/>
  <c r="C15" i="3" s="1"/>
  <c r="F14" i="3"/>
  <c r="E14" i="3"/>
  <c r="C14" i="3"/>
  <c r="D14" i="3" s="1"/>
  <c r="A14" i="3"/>
  <c r="G13" i="3"/>
  <c r="F13" i="3"/>
  <c r="E13" i="3"/>
  <c r="D13" i="3"/>
  <c r="A13" i="3"/>
  <c r="C13" i="3" s="1"/>
  <c r="G12" i="3"/>
  <c r="F12" i="3"/>
  <c r="E12" i="3"/>
  <c r="D12" i="3"/>
  <c r="H12" i="3" s="1"/>
  <c r="A12" i="3"/>
  <c r="C12" i="3" s="1"/>
  <c r="G11" i="3"/>
  <c r="F11" i="3"/>
  <c r="E11" i="3"/>
  <c r="H11" i="3" s="1"/>
  <c r="D11" i="3"/>
  <c r="C11" i="3"/>
  <c r="A11" i="3"/>
  <c r="H10" i="3"/>
  <c r="G10" i="3"/>
  <c r="F10" i="3"/>
  <c r="E10" i="3"/>
  <c r="D10" i="3"/>
  <c r="A10" i="3"/>
  <c r="C10" i="3" s="1"/>
  <c r="F9" i="3"/>
  <c r="C9" i="3"/>
  <c r="D9" i="3" s="1"/>
  <c r="A9" i="3"/>
  <c r="E9" i="3" s="1"/>
  <c r="G8" i="3"/>
  <c r="F8" i="3"/>
  <c r="E8" i="3"/>
  <c r="H8" i="3" s="1"/>
  <c r="D8" i="3"/>
  <c r="A8" i="3"/>
  <c r="C8" i="3" s="1"/>
  <c r="G7" i="3"/>
  <c r="F7" i="3"/>
  <c r="E7" i="3"/>
  <c r="D7" i="3"/>
  <c r="A7" i="3"/>
  <c r="C7" i="3" s="1"/>
  <c r="G6" i="3"/>
  <c r="F6" i="3"/>
  <c r="H6" i="3" s="1"/>
  <c r="E6" i="3"/>
  <c r="D6" i="3"/>
  <c r="C6" i="3"/>
  <c r="A6" i="3"/>
  <c r="G5" i="3"/>
  <c r="F5" i="3"/>
  <c r="E5" i="3"/>
  <c r="D5" i="3"/>
  <c r="H5" i="3" s="1"/>
  <c r="C5" i="3"/>
  <c r="A5" i="3"/>
  <c r="A4" i="3"/>
  <c r="F4" i="3" s="1"/>
  <c r="C27" i="1"/>
  <c r="D39" i="3" s="1"/>
  <c r="C19" i="1"/>
  <c r="C11" i="1"/>
  <c r="B8" i="10" s="1"/>
  <c r="C10" i="1"/>
  <c r="D10" i="4" s="1"/>
  <c r="J10" i="4" s="1"/>
  <c r="F44" i="3" l="1"/>
  <c r="E44" i="3"/>
  <c r="C44" i="3"/>
  <c r="D44" i="3" s="1"/>
  <c r="H7" i="3"/>
  <c r="H13" i="3"/>
  <c r="H23" i="3"/>
  <c r="H36" i="3"/>
  <c r="H48" i="3"/>
  <c r="H57" i="3"/>
  <c r="H63" i="3"/>
  <c r="H17" i="3"/>
  <c r="D29" i="3"/>
  <c r="E12" i="4"/>
  <c r="K12" i="4" s="1"/>
  <c r="D12" i="4"/>
  <c r="J12" i="4" s="1"/>
  <c r="C12" i="4"/>
  <c r="B12" i="4"/>
  <c r="AG8" i="9"/>
  <c r="A8" i="9" s="1"/>
  <c r="B7" i="10"/>
  <c r="E15" i="4"/>
  <c r="K15" i="4" s="1"/>
  <c r="E14" i="4"/>
  <c r="K14" i="4" s="1"/>
  <c r="D7" i="4"/>
  <c r="J7" i="4" s="1"/>
  <c r="D16" i="4"/>
  <c r="J16" i="4" s="1"/>
  <c r="D15" i="4"/>
  <c r="J15" i="4" s="1"/>
  <c r="L15" i="4" s="1"/>
  <c r="D14" i="4"/>
  <c r="J14" i="4" s="1"/>
  <c r="L14" i="4" s="1"/>
  <c r="E7" i="4"/>
  <c r="K7" i="4" s="1"/>
  <c r="E13" i="4"/>
  <c r="K13" i="4" s="1"/>
  <c r="E6" i="4"/>
  <c r="K6" i="4" s="1"/>
  <c r="D13" i="4"/>
  <c r="J13" i="4" s="1"/>
  <c r="L13" i="4" s="1"/>
  <c r="G49" i="3" s="1"/>
  <c r="D6" i="4"/>
  <c r="J6" i="4" s="1"/>
  <c r="E11" i="4"/>
  <c r="K11" i="4" s="1"/>
  <c r="E5" i="4"/>
  <c r="K5" i="4" s="1"/>
  <c r="D11" i="4"/>
  <c r="J11" i="4" s="1"/>
  <c r="E10" i="4"/>
  <c r="K10" i="4" s="1"/>
  <c r="L10" i="4" s="1"/>
  <c r="G34" i="3" s="1"/>
  <c r="D4" i="4"/>
  <c r="J4" i="4" s="1"/>
  <c r="H15" i="3"/>
  <c r="H56" i="3"/>
  <c r="D59" i="3"/>
  <c r="G59" i="3"/>
  <c r="D49" i="3"/>
  <c r="H49" i="3" s="1"/>
  <c r="D64" i="3"/>
  <c r="H41" i="3"/>
  <c r="H55" i="3"/>
  <c r="C24" i="3"/>
  <c r="D24" i="3" s="1"/>
  <c r="K4" i="16"/>
  <c r="E4" i="3"/>
  <c r="C4" i="3"/>
  <c r="D4" i="3" s="1"/>
  <c r="A71" i="3" a="1"/>
  <c r="F24" i="3"/>
  <c r="E9" i="4"/>
  <c r="K9" i="4" s="1"/>
  <c r="AG4" i="9"/>
  <c r="A4" i="9" s="1"/>
  <c r="AG11" i="9"/>
  <c r="A11" i="9" s="1"/>
  <c r="M21" i="9"/>
  <c r="E21" i="9" s="1"/>
  <c r="AG26" i="9"/>
  <c r="A26" i="9" s="1"/>
  <c r="AB34" i="9"/>
  <c r="F34" i="9"/>
  <c r="M36" i="9"/>
  <c r="AB37" i="9"/>
  <c r="F37" i="9"/>
  <c r="D5" i="4"/>
  <c r="J5" i="4" s="1"/>
  <c r="L5" i="4" s="1"/>
  <c r="G9" i="3" s="1"/>
  <c r="H9" i="3" s="1"/>
  <c r="M18" i="9"/>
  <c r="E18" i="9" s="1"/>
  <c r="AG24" i="9"/>
  <c r="A24" i="9" s="1"/>
  <c r="AB32" i="9"/>
  <c r="F32" i="9"/>
  <c r="H68" i="3"/>
  <c r="E16" i="4"/>
  <c r="K16" i="4" s="1"/>
  <c r="M7" i="9"/>
  <c r="E7" i="9" s="1"/>
  <c r="M14" i="9"/>
  <c r="E14" i="9" s="1"/>
  <c r="M16" i="9"/>
  <c r="E16" i="9" s="1"/>
  <c r="AG23" i="9"/>
  <c r="A23" i="9" s="1"/>
  <c r="AG27" i="9"/>
  <c r="A27" i="9" s="1"/>
  <c r="M28" i="9"/>
  <c r="E28" i="9" s="1"/>
  <c r="C34" i="3"/>
  <c r="D34" i="3" s="1"/>
  <c r="G54" i="3"/>
  <c r="H54" i="3" s="1"/>
  <c r="E8" i="4"/>
  <c r="K8" i="4" s="1"/>
  <c r="B16" i="4"/>
  <c r="M4" i="9"/>
  <c r="E4" i="9" s="1"/>
  <c r="M15" i="9"/>
  <c r="E15" i="9" s="1"/>
  <c r="AB36" i="9"/>
  <c r="F36" i="9"/>
  <c r="F38" i="9"/>
  <c r="AB38" i="9"/>
  <c r="M9" i="9"/>
  <c r="E9" i="9" s="1"/>
  <c r="AG25" i="9"/>
  <c r="A25" i="9" s="1"/>
  <c r="M30" i="9"/>
  <c r="E30" i="9" s="1"/>
  <c r="D37" i="13"/>
  <c r="D38" i="13"/>
  <c r="M65" i="9"/>
  <c r="E65" i="9" s="1"/>
  <c r="D43" i="13"/>
  <c r="D33" i="13"/>
  <c r="D36" i="13"/>
  <c r="M66" i="9"/>
  <c r="E66" i="9" s="1"/>
  <c r="M62" i="9"/>
  <c r="E62" i="9" s="1"/>
  <c r="D41" i="13"/>
  <c r="D44" i="13"/>
  <c r="D39" i="13"/>
  <c r="D57" i="13"/>
  <c r="D27" i="13"/>
  <c r="D17" i="13"/>
  <c r="D60" i="13"/>
  <c r="M64" i="9"/>
  <c r="E64" i="9" s="1"/>
  <c r="M61" i="9"/>
  <c r="M59" i="9"/>
  <c r="M53" i="9"/>
  <c r="M51" i="9"/>
  <c r="M49" i="9"/>
  <c r="M48" i="9"/>
  <c r="E48" i="9" s="1"/>
  <c r="AB48" i="9" s="1"/>
  <c r="M47" i="9"/>
  <c r="E47" i="9" s="1"/>
  <c r="M46" i="9"/>
  <c r="E46" i="9" s="1"/>
  <c r="M45" i="9"/>
  <c r="E45" i="9" s="1"/>
  <c r="M42" i="9"/>
  <c r="E42" i="9" s="1"/>
  <c r="M41" i="9"/>
  <c r="M39" i="9"/>
  <c r="M38" i="9"/>
  <c r="M56" i="9"/>
  <c r="M52" i="9"/>
  <c r="M63" i="9"/>
  <c r="E63" i="9" s="1"/>
  <c r="M58" i="9"/>
  <c r="M54" i="9"/>
  <c r="M55" i="9"/>
  <c r="M35" i="9"/>
  <c r="M33" i="9"/>
  <c r="M31" i="9"/>
  <c r="E31" i="9" s="1"/>
  <c r="M29" i="9"/>
  <c r="E29" i="9" s="1"/>
  <c r="M27" i="9"/>
  <c r="E27" i="9" s="1"/>
  <c r="M26" i="9"/>
  <c r="E26" i="9" s="1"/>
  <c r="M24" i="9"/>
  <c r="E24" i="9" s="1"/>
  <c r="F19" i="3"/>
  <c r="E34" i="3"/>
  <c r="F59" i="3"/>
  <c r="C8" i="4"/>
  <c r="B9" i="4"/>
  <c r="M32" i="9"/>
  <c r="AG39" i="9"/>
  <c r="A39" i="9" s="1"/>
  <c r="AG52" i="9"/>
  <c r="A52" i="9" s="1"/>
  <c r="E4" i="4"/>
  <c r="K4" i="4" s="1"/>
  <c r="D8" i="4"/>
  <c r="J8" i="4" s="1"/>
  <c r="L8" i="4" s="1"/>
  <c r="G24" i="3" s="1"/>
  <c r="D9" i="4"/>
  <c r="J9" i="4" s="1"/>
  <c r="L9" i="4" s="1"/>
  <c r="G29" i="3" s="1"/>
  <c r="M12" i="9"/>
  <c r="E12" i="9" s="1"/>
  <c r="M22" i="9"/>
  <c r="E22" i="9" s="1"/>
  <c r="M23" i="9"/>
  <c r="E23" i="9" s="1"/>
  <c r="AG37" i="9"/>
  <c r="A37" i="9" s="1"/>
  <c r="AG55" i="9"/>
  <c r="A55" i="9" s="1"/>
  <c r="AG36" i="9"/>
  <c r="A36" i="9" s="1"/>
  <c r="F45" i="9"/>
  <c r="F47" i="9"/>
  <c r="F42" i="9"/>
  <c r="F46" i="9"/>
  <c r="F48" i="9"/>
  <c r="AB42" i="9"/>
  <c r="AB46" i="9"/>
  <c r="AG42" i="9"/>
  <c r="A42" i="9" s="1"/>
  <c r="AG50" i="9"/>
  <c r="A50" i="9" s="1"/>
  <c r="C74" i="13"/>
  <c r="E74" i="13" s="1"/>
  <c r="C39" i="13"/>
  <c r="E39" i="13" s="1"/>
  <c r="AG60" i="9"/>
  <c r="A60" i="9" s="1"/>
  <c r="D20" i="13"/>
  <c r="E64" i="13"/>
  <c r="E66" i="13"/>
  <c r="J2" i="13"/>
  <c r="D18" i="13" s="1"/>
  <c r="K2" i="13"/>
  <c r="I2" i="13"/>
  <c r="M2" i="9" s="1"/>
  <c r="E2" i="9" s="1"/>
  <c r="M3" i="13"/>
  <c r="M11" i="9" s="1"/>
  <c r="E11" i="9" s="1"/>
  <c r="C60" i="13"/>
  <c r="E60" i="13" s="1"/>
  <c r="C61" i="13"/>
  <c r="C57" i="13"/>
  <c r="E57" i="13" s="1"/>
  <c r="C32" i="13"/>
  <c r="D47" i="13"/>
  <c r="I6" i="12"/>
  <c r="I4" i="12"/>
  <c r="I5" i="12"/>
  <c r="C20" i="13"/>
  <c r="D53" i="13"/>
  <c r="E53" i="13" s="1"/>
  <c r="D54" i="13"/>
  <c r="E54" i="13" s="1"/>
  <c r="D61" i="13"/>
  <c r="C22" i="13"/>
  <c r="D52" i="13"/>
  <c r="E52" i="13" s="1"/>
  <c r="D21" i="13"/>
  <c r="D22" i="13"/>
  <c r="D26" i="13"/>
  <c r="D62" i="13"/>
  <c r="E62" i="13" s="1"/>
  <c r="D66" i="13"/>
  <c r="C68" i="13"/>
  <c r="C24" i="13"/>
  <c r="C51" i="13"/>
  <c r="C59" i="13"/>
  <c r="C28" i="13"/>
  <c r="D69" i="13"/>
  <c r="D70" i="13"/>
  <c r="D71" i="13"/>
  <c r="I13" i="13"/>
  <c r="M57" i="9" s="1"/>
  <c r="L13" i="13"/>
  <c r="M60" i="9" s="1"/>
  <c r="D19" i="13"/>
  <c r="D24" i="13"/>
  <c r="C26" i="13"/>
  <c r="D51" i="13"/>
  <c r="D64" i="13"/>
  <c r="D29" i="13"/>
  <c r="D30" i="13"/>
  <c r="I5" i="13"/>
  <c r="D32" i="13" s="1"/>
  <c r="L5" i="13"/>
  <c r="M20" i="9" s="1"/>
  <c r="E20" i="9" s="1"/>
  <c r="K5" i="13"/>
  <c r="M19" i="9" s="1"/>
  <c r="E19" i="9" s="1"/>
  <c r="C75" i="13"/>
  <c r="E75" i="13" s="1"/>
  <c r="C76" i="13"/>
  <c r="C73" i="13"/>
  <c r="E73" i="13" s="1"/>
  <c r="D31" i="13"/>
  <c r="C48" i="13"/>
  <c r="J66" i="9"/>
  <c r="J65" i="9"/>
  <c r="J64" i="9"/>
  <c r="J63" i="9"/>
  <c r="J62" i="9"/>
  <c r="C36" i="13"/>
  <c r="E36" i="13" s="1"/>
  <c r="C33" i="13"/>
  <c r="E33" i="13" s="1"/>
  <c r="C37" i="13"/>
  <c r="E37" i="13" s="1"/>
  <c r="C41" i="13"/>
  <c r="E41" i="13" s="1"/>
  <c r="D75" i="13"/>
  <c r="D76" i="13"/>
  <c r="D72" i="13"/>
  <c r="D74" i="13"/>
  <c r="C23" i="13"/>
  <c r="C38" i="13"/>
  <c r="E38" i="13" s="1"/>
  <c r="D48" i="13"/>
  <c r="C50" i="13"/>
  <c r="E50" i="13" s="1"/>
  <c r="D56" i="13"/>
  <c r="E56" i="13" s="1"/>
  <c r="C58" i="13"/>
  <c r="E63" i="13"/>
  <c r="C72" i="13"/>
  <c r="M2" i="13"/>
  <c r="M6" i="9" s="1"/>
  <c r="E6" i="9" s="1"/>
  <c r="J3" i="13"/>
  <c r="M8" i="9" s="1"/>
  <c r="E8" i="9" s="1"/>
  <c r="C44" i="13"/>
  <c r="E44" i="13" s="1"/>
  <c r="D23" i="13"/>
  <c r="D28" i="13"/>
  <c r="C35" i="13"/>
  <c r="D63" i="13"/>
  <c r="D68" i="13"/>
  <c r="J57" i="9"/>
  <c r="J59" i="9"/>
  <c r="J61" i="9"/>
  <c r="L3" i="13"/>
  <c r="D25" i="13" s="1"/>
  <c r="D45" i="13"/>
  <c r="J10" i="13"/>
  <c r="D58" i="13" s="1"/>
  <c r="K10" i="13"/>
  <c r="D59" i="13" s="1"/>
  <c r="C47" i="13"/>
  <c r="E55" i="13"/>
  <c r="L6" i="13"/>
  <c r="D40" i="13" s="1"/>
  <c r="L9" i="13"/>
  <c r="M40" i="9" s="1"/>
  <c r="C17" i="13"/>
  <c r="E17" i="13" s="1"/>
  <c r="D42" i="13"/>
  <c r="C71" i="13"/>
  <c r="E71" i="13" s="1"/>
  <c r="C70" i="13"/>
  <c r="K8" i="13"/>
  <c r="M34" i="9" s="1"/>
  <c r="L11" i="13"/>
  <c r="D65" i="13" s="1"/>
  <c r="E65" i="13" s="1"/>
  <c r="C21" i="13"/>
  <c r="E21" i="13" s="1"/>
  <c r="C29" i="13"/>
  <c r="E29" i="13" s="1"/>
  <c r="C45" i="13"/>
  <c r="D46" i="13"/>
  <c r="C69" i="13"/>
  <c r="I9" i="13"/>
  <c r="M37" i="9" s="1"/>
  <c r="M3" i="9" l="1"/>
  <c r="E3" i="9" s="1"/>
  <c r="E58" i="13"/>
  <c r="E32" i="13"/>
  <c r="E49" i="9"/>
  <c r="M17" i="9"/>
  <c r="E17" i="9" s="1"/>
  <c r="L11" i="4"/>
  <c r="G39" i="3" s="1"/>
  <c r="H39" i="3" s="1"/>
  <c r="E26" i="13"/>
  <c r="E28" i="13"/>
  <c r="M50" i="9"/>
  <c r="E51" i="9"/>
  <c r="M10" i="9"/>
  <c r="E10" i="9" s="1"/>
  <c r="H29" i="3"/>
  <c r="E70" i="13"/>
  <c r="E59" i="13"/>
  <c r="C25" i="13"/>
  <c r="E25" i="13" s="1"/>
  <c r="E61" i="13"/>
  <c r="M43" i="9"/>
  <c r="H24" i="3"/>
  <c r="H59" i="3"/>
  <c r="L16" i="4"/>
  <c r="G64" i="3" s="1"/>
  <c r="E69" i="13"/>
  <c r="E47" i="13"/>
  <c r="D34" i="13"/>
  <c r="E48" i="13"/>
  <c r="E51" i="13"/>
  <c r="E20" i="13"/>
  <c r="M44" i="9"/>
  <c r="A77" i="3"/>
  <c r="A79" i="3"/>
  <c r="A71" i="3"/>
  <c r="A78" i="3"/>
  <c r="B78" i="3" s="1"/>
  <c r="A76" i="3"/>
  <c r="B76" i="3" s="1"/>
  <c r="A75" i="3"/>
  <c r="B75" i="3" s="1"/>
  <c r="A83" i="3"/>
  <c r="A74" i="3"/>
  <c r="A82" i="3"/>
  <c r="B82" i="3" s="1"/>
  <c r="A73" i="3"/>
  <c r="A80" i="3"/>
  <c r="B80" i="3" s="1"/>
  <c r="A81" i="3"/>
  <c r="B81" i="3" s="1"/>
  <c r="A72" i="3"/>
  <c r="B72" i="3" s="1"/>
  <c r="L6" i="4"/>
  <c r="G14" i="3" s="1"/>
  <c r="H14" i="3" s="1"/>
  <c r="L7" i="4"/>
  <c r="G19" i="3" s="1"/>
  <c r="H19" i="3" s="1"/>
  <c r="E24" i="13"/>
  <c r="Y65" i="9"/>
  <c r="Y55" i="9"/>
  <c r="Y50" i="9"/>
  <c r="Y60" i="9"/>
  <c r="Y35" i="9"/>
  <c r="Y30" i="9"/>
  <c r="Y45" i="9"/>
  <c r="Y40" i="9"/>
  <c r="Y25" i="9"/>
  <c r="Y20" i="9"/>
  <c r="Y15" i="9"/>
  <c r="Y5" i="9"/>
  <c r="Y10" i="9"/>
  <c r="H34" i="3"/>
  <c r="K5" i="16" s="1"/>
  <c r="L5" i="16" s="1"/>
  <c r="E45" i="13"/>
  <c r="E23" i="13"/>
  <c r="E68" i="13"/>
  <c r="Y59" i="9"/>
  <c r="Y54" i="9"/>
  <c r="Y64" i="9"/>
  <c r="Y49" i="9"/>
  <c r="Y39" i="9"/>
  <c r="Y29" i="9"/>
  <c r="Y44" i="9"/>
  <c r="Y34" i="9"/>
  <c r="Y24" i="9"/>
  <c r="Y19" i="9"/>
  <c r="Y9" i="9"/>
  <c r="Y4" i="9"/>
  <c r="Y14" i="9"/>
  <c r="D35" i="13"/>
  <c r="E35" i="13" s="1"/>
  <c r="C40" i="13"/>
  <c r="E40" i="13" s="1"/>
  <c r="E72" i="13"/>
  <c r="E76" i="13"/>
  <c r="E22" i="13"/>
  <c r="Y66" i="9"/>
  <c r="Y61" i="9"/>
  <c r="Y56" i="9"/>
  <c r="Y51" i="9"/>
  <c r="Y41" i="9"/>
  <c r="Y31" i="9"/>
  <c r="Y46" i="9"/>
  <c r="Y26" i="9"/>
  <c r="Y21" i="9"/>
  <c r="Y16" i="9"/>
  <c r="Y36" i="9"/>
  <c r="Y6" i="9"/>
  <c r="Y11" i="9"/>
  <c r="C34" i="13"/>
  <c r="E34" i="13" s="1"/>
  <c r="M25" i="9"/>
  <c r="E25" i="9" s="1"/>
  <c r="H64" i="3"/>
  <c r="L4" i="4"/>
  <c r="G4" i="3" s="1"/>
  <c r="H4" i="3" s="1"/>
  <c r="C42" i="13"/>
  <c r="E42" i="13" s="1"/>
  <c r="C30" i="13"/>
  <c r="E30" i="13" s="1"/>
  <c r="L64" i="9"/>
  <c r="C18" i="13"/>
  <c r="E18" i="13" s="1"/>
  <c r="L65" i="9"/>
  <c r="C43" i="13"/>
  <c r="E43" i="13" s="1"/>
  <c r="C46" i="13"/>
  <c r="E46" i="13" s="1"/>
  <c r="C31" i="13"/>
  <c r="E31" i="13" s="1"/>
  <c r="C19" i="13"/>
  <c r="E19" i="13" s="1"/>
  <c r="B9" i="10"/>
  <c r="B13" i="10" s="1"/>
  <c r="L63" i="9"/>
  <c r="L61" i="9"/>
  <c r="L59" i="9"/>
  <c r="L57" i="9"/>
  <c r="C67" i="13"/>
  <c r="E67" i="13" s="1"/>
  <c r="C27" i="13"/>
  <c r="E27" i="13" s="1"/>
  <c r="L58" i="9"/>
  <c r="L54" i="9"/>
  <c r="L53" i="9"/>
  <c r="L51" i="9"/>
  <c r="L49" i="9"/>
  <c r="L48" i="9"/>
  <c r="L60" i="9"/>
  <c r="L55" i="9"/>
  <c r="L56" i="9"/>
  <c r="L38" i="9"/>
  <c r="L52" i="9"/>
  <c r="L47" i="9"/>
  <c r="L45" i="9"/>
  <c r="L43" i="9"/>
  <c r="L35" i="9"/>
  <c r="L33" i="9"/>
  <c r="L31" i="9"/>
  <c r="L29" i="9"/>
  <c r="L62" i="9"/>
  <c r="L40" i="9"/>
  <c r="L27" i="9"/>
  <c r="L26" i="9"/>
  <c r="L25" i="9"/>
  <c r="L24" i="9"/>
  <c r="L23" i="9"/>
  <c r="L22" i="9"/>
  <c r="L21" i="9"/>
  <c r="L20" i="9"/>
  <c r="L19" i="9"/>
  <c r="L18" i="9"/>
  <c r="L17" i="9"/>
  <c r="L16" i="9"/>
  <c r="L15" i="9"/>
  <c r="L14" i="9"/>
  <c r="L13" i="9"/>
  <c r="L12" i="9"/>
  <c r="L11" i="9"/>
  <c r="L66" i="9"/>
  <c r="L46" i="9"/>
  <c r="L44" i="9"/>
  <c r="L42" i="9"/>
  <c r="L36" i="9"/>
  <c r="L34" i="9"/>
  <c r="L32" i="9"/>
  <c r="L30" i="9"/>
  <c r="L28" i="9"/>
  <c r="AB39" i="9"/>
  <c r="L8" i="9"/>
  <c r="AB33" i="9"/>
  <c r="L3" i="9"/>
  <c r="L6" i="9"/>
  <c r="AB47" i="9"/>
  <c r="AB41" i="9"/>
  <c r="L37" i="9"/>
  <c r="L9" i="9"/>
  <c r="L39" i="9"/>
  <c r="L4" i="9"/>
  <c r="L50" i="9"/>
  <c r="AB40" i="9"/>
  <c r="AB35" i="9"/>
  <c r="L7" i="9"/>
  <c r="AB45" i="9"/>
  <c r="L41" i="9"/>
  <c r="L5" i="9"/>
  <c r="L10" i="9"/>
  <c r="L2" i="9"/>
  <c r="L12" i="4"/>
  <c r="G44" i="3" s="1"/>
  <c r="H44" i="3" s="1"/>
  <c r="O37" i="9" l="1"/>
  <c r="N37" i="9"/>
  <c r="G12" i="15" s="1"/>
  <c r="O41" i="9"/>
  <c r="N41" i="9"/>
  <c r="D9" i="9"/>
  <c r="O16" i="9"/>
  <c r="D16" i="9"/>
  <c r="D24" i="9"/>
  <c r="O33" i="9"/>
  <c r="N33" i="9"/>
  <c r="O55" i="9"/>
  <c r="AC55" i="9" s="1"/>
  <c r="D55" i="9"/>
  <c r="B83" i="3"/>
  <c r="E44" i="9"/>
  <c r="O44" i="9" s="1"/>
  <c r="D25" i="9"/>
  <c r="O25" i="9" s="1"/>
  <c r="O7" i="9"/>
  <c r="D7" i="9"/>
  <c r="O28" i="9"/>
  <c r="D28" i="9"/>
  <c r="N28" i="9"/>
  <c r="N66" i="9"/>
  <c r="D66" i="9"/>
  <c r="D18" i="9"/>
  <c r="N26" i="9"/>
  <c r="D26" i="9"/>
  <c r="O48" i="9"/>
  <c r="N48" i="9"/>
  <c r="D57" i="9"/>
  <c r="O57" i="9" s="1"/>
  <c r="N17" i="9"/>
  <c r="G8" i="15" s="1"/>
  <c r="D17" i="9"/>
  <c r="N60" i="9"/>
  <c r="O60" i="9"/>
  <c r="D60" i="9"/>
  <c r="AC60" i="9"/>
  <c r="AD60" i="9" s="1"/>
  <c r="D11" i="9"/>
  <c r="O11" i="9" s="1"/>
  <c r="O19" i="9"/>
  <c r="D19" i="9"/>
  <c r="N27" i="9"/>
  <c r="G10" i="15" s="1"/>
  <c r="D27" i="9"/>
  <c r="O45" i="9"/>
  <c r="N45" i="9"/>
  <c r="O49" i="9"/>
  <c r="N49" i="9"/>
  <c r="N59" i="9"/>
  <c r="D59" i="9"/>
  <c r="O65" i="9"/>
  <c r="D65" i="9"/>
  <c r="O6" i="9"/>
  <c r="N6" i="9"/>
  <c r="D6" i="9"/>
  <c r="O32" i="9"/>
  <c r="N32" i="9"/>
  <c r="G11" i="15" s="1"/>
  <c r="H5" i="16" s="1"/>
  <c r="O12" i="9"/>
  <c r="N12" i="9"/>
  <c r="G7" i="15" s="1"/>
  <c r="D12" i="9"/>
  <c r="O20" i="9"/>
  <c r="N20" i="9"/>
  <c r="D20" i="9"/>
  <c r="O40" i="9"/>
  <c r="N40" i="9"/>
  <c r="O47" i="9"/>
  <c r="N47" i="9"/>
  <c r="G14" i="15" s="1"/>
  <c r="O51" i="9"/>
  <c r="N51" i="9"/>
  <c r="N61" i="9"/>
  <c r="D61" i="9"/>
  <c r="O61" i="9"/>
  <c r="AC61" i="9"/>
  <c r="AD61" i="9" s="1"/>
  <c r="B15" i="15"/>
  <c r="B10" i="15"/>
  <c r="B17" i="15"/>
  <c r="B9" i="15"/>
  <c r="B14" i="15"/>
  <c r="B12" i="15"/>
  <c r="B16" i="15"/>
  <c r="B6" i="15"/>
  <c r="B71" i="3"/>
  <c r="B5" i="15" s="1"/>
  <c r="E43" i="9"/>
  <c r="O43" i="9" s="1"/>
  <c r="O46" i="9"/>
  <c r="N46" i="9"/>
  <c r="O35" i="9"/>
  <c r="N35" i="9"/>
  <c r="D30" i="9"/>
  <c r="O30" i="9" s="1"/>
  <c r="O2" i="9"/>
  <c r="D2" i="9"/>
  <c r="O50" i="9"/>
  <c r="AC50" i="9" s="1"/>
  <c r="N50" i="9"/>
  <c r="D3" i="9"/>
  <c r="O34" i="9"/>
  <c r="N34" i="9"/>
  <c r="D13" i="9"/>
  <c r="O13" i="9" s="1"/>
  <c r="D21" i="9"/>
  <c r="O21" i="9" s="1"/>
  <c r="N62" i="9"/>
  <c r="G17" i="15" s="1"/>
  <c r="H4" i="16" s="1"/>
  <c r="D62" i="9"/>
  <c r="O62" i="9"/>
  <c r="D52" i="9"/>
  <c r="O53" i="9"/>
  <c r="N53" i="9"/>
  <c r="D53" i="9"/>
  <c r="D63" i="9"/>
  <c r="O63" i="9"/>
  <c r="D64" i="9"/>
  <c r="B73" i="3"/>
  <c r="B7" i="15" s="1"/>
  <c r="B79" i="3"/>
  <c r="B13" i="15" s="1"/>
  <c r="AB51" i="9"/>
  <c r="F51" i="9"/>
  <c r="D10" i="9"/>
  <c r="D4" i="9"/>
  <c r="O4" i="9" s="1"/>
  <c r="O36" i="9"/>
  <c r="N36" i="9"/>
  <c r="D22" i="9"/>
  <c r="O22" i="9" s="1"/>
  <c r="D29" i="9"/>
  <c r="O54" i="9"/>
  <c r="D54" i="9"/>
  <c r="B77" i="3"/>
  <c r="B11" i="15" s="1"/>
  <c r="E50" i="9"/>
  <c r="AB49" i="9"/>
  <c r="F49" i="9"/>
  <c r="D14" i="9"/>
  <c r="O14" i="9" s="1"/>
  <c r="O38" i="9"/>
  <c r="N38" i="9"/>
  <c r="B14" i="10"/>
  <c r="D5" i="9"/>
  <c r="O39" i="9"/>
  <c r="N39" i="9"/>
  <c r="D8" i="9"/>
  <c r="O8" i="9" s="1"/>
  <c r="O42" i="9"/>
  <c r="N42" i="9"/>
  <c r="G13" i="15" s="1"/>
  <c r="O15" i="9"/>
  <c r="N15" i="9"/>
  <c r="D15" i="9"/>
  <c r="D23" i="9"/>
  <c r="D31" i="9"/>
  <c r="O56" i="9"/>
  <c r="D56" i="9"/>
  <c r="N56" i="9" s="1"/>
  <c r="D58" i="9"/>
  <c r="O58" i="9" s="1"/>
  <c r="B74" i="3"/>
  <c r="B8" i="15" s="1"/>
  <c r="AD50" i="9" l="1"/>
  <c r="AC43" i="9"/>
  <c r="AC44" i="9"/>
  <c r="AC58" i="9"/>
  <c r="AC57" i="9"/>
  <c r="AD55" i="9"/>
  <c r="AC39" i="9"/>
  <c r="F31" i="9"/>
  <c r="AB31" i="9"/>
  <c r="F59" i="9"/>
  <c r="AB59" i="9"/>
  <c r="F27" i="9"/>
  <c r="AB27" i="9"/>
  <c r="N57" i="9"/>
  <c r="G16" i="15" s="1"/>
  <c r="F18" i="9"/>
  <c r="AB18" i="9"/>
  <c r="AC33" i="9"/>
  <c r="F64" i="9"/>
  <c r="AB64" i="9"/>
  <c r="F5" i="9"/>
  <c r="AB5" i="9"/>
  <c r="F29" i="9"/>
  <c r="AB29" i="9"/>
  <c r="F3" i="9"/>
  <c r="AB3" i="9"/>
  <c r="O31" i="9"/>
  <c r="O5" i="9"/>
  <c r="O29" i="9"/>
  <c r="AB52" i="9"/>
  <c r="F52" i="9"/>
  <c r="O3" i="9"/>
  <c r="F23" i="9"/>
  <c r="AB23" i="9"/>
  <c r="AC47" i="9"/>
  <c r="N18" i="9"/>
  <c r="F7" i="9"/>
  <c r="AB7" i="9"/>
  <c r="F24" i="9"/>
  <c r="AB24" i="9"/>
  <c r="F9" i="9"/>
  <c r="AB9" i="9"/>
  <c r="AC38" i="9"/>
  <c r="F14" i="9"/>
  <c r="AB14" i="9"/>
  <c r="AC42" i="9"/>
  <c r="F63" i="9"/>
  <c r="AB63" i="9"/>
  <c r="N8" i="9"/>
  <c r="H16" i="15"/>
  <c r="O59" i="9"/>
  <c r="O27" i="9"/>
  <c r="F60" i="9"/>
  <c r="AB60" i="9"/>
  <c r="AC48" i="9"/>
  <c r="O18" i="9"/>
  <c r="N7" i="9"/>
  <c r="G6" i="15" s="1"/>
  <c r="N24" i="9"/>
  <c r="N9" i="9"/>
  <c r="AC36" i="9"/>
  <c r="F58" i="9"/>
  <c r="AB58" i="9"/>
  <c r="O64" i="9"/>
  <c r="N58" i="9"/>
  <c r="F10" i="9"/>
  <c r="AB10" i="9"/>
  <c r="N52" i="9"/>
  <c r="G15" i="15" s="1"/>
  <c r="N23" i="9"/>
  <c r="N22" i="9"/>
  <c r="G9" i="15" s="1"/>
  <c r="O23" i="9"/>
  <c r="O10" i="9"/>
  <c r="AC53" i="9"/>
  <c r="F2" i="9"/>
  <c r="AB2" i="9"/>
  <c r="AC40" i="9"/>
  <c r="AC32" i="9"/>
  <c r="F19" i="9"/>
  <c r="AB19" i="9"/>
  <c r="N43" i="9"/>
  <c r="F66" i="9"/>
  <c r="AB66" i="9"/>
  <c r="O24" i="9"/>
  <c r="O9" i="9"/>
  <c r="F8" i="9"/>
  <c r="AB8" i="9"/>
  <c r="F22" i="9"/>
  <c r="AB22" i="9"/>
  <c r="F13" i="9"/>
  <c r="AB13" i="9"/>
  <c r="AB56" i="9"/>
  <c r="F56" i="9"/>
  <c r="D17" i="10"/>
  <c r="C17" i="10"/>
  <c r="F17" i="10"/>
  <c r="E17" i="10"/>
  <c r="B17" i="10"/>
  <c r="AC54" i="9"/>
  <c r="N10" i="9"/>
  <c r="N63" i="9"/>
  <c r="O52" i="9"/>
  <c r="N13" i="9"/>
  <c r="AC35" i="9"/>
  <c r="B15" i="10"/>
  <c r="AB54" i="9"/>
  <c r="F54" i="9"/>
  <c r="AC56" i="9"/>
  <c r="F15" i="9"/>
  <c r="AB15" i="9"/>
  <c r="F50" i="9"/>
  <c r="AB50" i="9"/>
  <c r="N54" i="9"/>
  <c r="AB53" i="9"/>
  <c r="F53" i="9"/>
  <c r="F62" i="9"/>
  <c r="AB62" i="9"/>
  <c r="N2" i="9"/>
  <c r="G5" i="15" s="1"/>
  <c r="AC46" i="9"/>
  <c r="F61" i="9"/>
  <c r="AB61" i="9"/>
  <c r="F20" i="9"/>
  <c r="AB20" i="9"/>
  <c r="F6" i="9"/>
  <c r="AB6" i="9"/>
  <c r="N19" i="9"/>
  <c r="O66" i="9"/>
  <c r="AB44" i="9"/>
  <c r="F44" i="9"/>
  <c r="AB55" i="9"/>
  <c r="F55" i="9"/>
  <c r="F16" i="9"/>
  <c r="AB16" i="9"/>
  <c r="AC34" i="9"/>
  <c r="F65" i="9"/>
  <c r="AB65" i="9"/>
  <c r="AC49" i="9"/>
  <c r="F17" i="9"/>
  <c r="AB17" i="9"/>
  <c r="F26" i="9"/>
  <c r="AB26" i="9"/>
  <c r="N55" i="9"/>
  <c r="N16" i="9"/>
  <c r="AC41" i="9"/>
  <c r="AB30" i="9"/>
  <c r="F30" i="9"/>
  <c r="F11" i="9"/>
  <c r="AB11" i="9"/>
  <c r="F57" i="9"/>
  <c r="AB57" i="9"/>
  <c r="F25" i="9"/>
  <c r="AB25" i="9"/>
  <c r="F4" i="9"/>
  <c r="AB4" i="9"/>
  <c r="F21" i="9"/>
  <c r="AB21" i="9"/>
  <c r="F43" i="9"/>
  <c r="AB43" i="9"/>
  <c r="N31" i="9"/>
  <c r="N5" i="9"/>
  <c r="N14" i="9"/>
  <c r="N29" i="9"/>
  <c r="N4" i="9"/>
  <c r="N64" i="9"/>
  <c r="N21" i="9"/>
  <c r="N3" i="9"/>
  <c r="N30" i="9"/>
  <c r="AC51" i="9"/>
  <c r="F12" i="9"/>
  <c r="AB12" i="9"/>
  <c r="N65" i="9"/>
  <c r="AC45" i="9"/>
  <c r="N11" i="9"/>
  <c r="O17" i="9"/>
  <c r="O26" i="9"/>
  <c r="AB28" i="9"/>
  <c r="F28" i="9"/>
  <c r="N25" i="9"/>
  <c r="N44" i="9"/>
  <c r="AC37" i="9"/>
  <c r="H14" i="15" l="1"/>
  <c r="AD51" i="9"/>
  <c r="H12" i="15"/>
  <c r="AD41" i="9"/>
  <c r="AD37" i="9"/>
  <c r="AC11" i="9"/>
  <c r="AD49" i="9"/>
  <c r="AD35" i="9"/>
  <c r="AD54" i="9"/>
  <c r="B5" i="17"/>
  <c r="AD32" i="9"/>
  <c r="AC10" i="9"/>
  <c r="AD57" i="9"/>
  <c r="AD44" i="9"/>
  <c r="AD34" i="9"/>
  <c r="AC16" i="9"/>
  <c r="AC6" i="9"/>
  <c r="C14" i="10"/>
  <c r="C13" i="10" s="1"/>
  <c r="B19" i="10"/>
  <c r="C2" i="12" s="1"/>
  <c r="B20" i="10"/>
  <c r="D2" i="12" s="1"/>
  <c r="AC13" i="9"/>
  <c r="AD53" i="9"/>
  <c r="AD38" i="9"/>
  <c r="AC7" i="9"/>
  <c r="AC23" i="9"/>
  <c r="AC3" i="9"/>
  <c r="AC27" i="9"/>
  <c r="E20" i="10"/>
  <c r="D5" i="12" s="1"/>
  <c r="F14" i="10"/>
  <c r="F13" i="10" s="1"/>
  <c r="E19" i="10"/>
  <c r="C5" i="12" s="1"/>
  <c r="AC66" i="9"/>
  <c r="AC59" i="9"/>
  <c r="AD33" i="9"/>
  <c r="AD43" i="9"/>
  <c r="AC21" i="9"/>
  <c r="AD45" i="9"/>
  <c r="AC65" i="9"/>
  <c r="AC20" i="9"/>
  <c r="AC62" i="9"/>
  <c r="AC15" i="9"/>
  <c r="F20" i="10"/>
  <c r="D6" i="12" s="1"/>
  <c r="F19" i="10"/>
  <c r="C6" i="12" s="1"/>
  <c r="AC22" i="9"/>
  <c r="AD40" i="9"/>
  <c r="AD42" i="9"/>
  <c r="AC29" i="9"/>
  <c r="AC28" i="9"/>
  <c r="AC25" i="9"/>
  <c r="AC30" i="9"/>
  <c r="AC26" i="9"/>
  <c r="H15" i="15"/>
  <c r="AD56" i="9"/>
  <c r="D14" i="10"/>
  <c r="D13" i="10" s="1"/>
  <c r="C20" i="10"/>
  <c r="D3" i="12" s="1"/>
  <c r="C19" i="10"/>
  <c r="C3" i="12" s="1"/>
  <c r="AD48" i="9"/>
  <c r="AC9" i="9"/>
  <c r="AC5" i="9"/>
  <c r="AC31" i="9"/>
  <c r="AD58" i="9"/>
  <c r="D20" i="10"/>
  <c r="D4" i="12" s="1"/>
  <c r="E14" i="10"/>
  <c r="E13" i="10" s="1"/>
  <c r="D19" i="10"/>
  <c r="C4" i="12" s="1"/>
  <c r="AC12" i="9"/>
  <c r="AC19" i="9"/>
  <c r="H11" i="15"/>
  <c r="I5" i="16" s="1"/>
  <c r="B4" i="17"/>
  <c r="AD36" i="9"/>
  <c r="AD47" i="9"/>
  <c r="AC18" i="9"/>
  <c r="AD39" i="9"/>
  <c r="AC52" i="9"/>
  <c r="AC8" i="9"/>
  <c r="AC17" i="9"/>
  <c r="AC4" i="9"/>
  <c r="H13" i="15"/>
  <c r="AD46" i="9"/>
  <c r="F18" i="10"/>
  <c r="B6" i="12" s="1"/>
  <c r="B18" i="10"/>
  <c r="D18" i="10"/>
  <c r="C18" i="10"/>
  <c r="E18" i="10"/>
  <c r="AC2" i="9"/>
  <c r="AC63" i="9"/>
  <c r="AC14" i="9"/>
  <c r="AC24" i="9"/>
  <c r="AC64" i="9"/>
  <c r="B2" i="12" l="1"/>
  <c r="C15" i="10"/>
  <c r="AD17" i="9"/>
  <c r="AD12" i="9"/>
  <c r="AD2" i="9"/>
  <c r="AD8" i="9"/>
  <c r="AD19" i="9"/>
  <c r="G64" i="13"/>
  <c r="G24" i="13"/>
  <c r="G49" i="13"/>
  <c r="G74" i="13"/>
  <c r="G69" i="13"/>
  <c r="G29" i="13"/>
  <c r="G59" i="13"/>
  <c r="G54" i="13"/>
  <c r="G19" i="13"/>
  <c r="G44" i="13"/>
  <c r="G34" i="13"/>
  <c r="H64" i="9"/>
  <c r="R64" i="9" s="1"/>
  <c r="G39" i="13"/>
  <c r="H54" i="9"/>
  <c r="R54" i="9" s="1"/>
  <c r="H59" i="9"/>
  <c r="R59" i="9" s="1"/>
  <c r="H49" i="9"/>
  <c r="R49" i="9" s="1"/>
  <c r="H44" i="9"/>
  <c r="R44" i="9" s="1"/>
  <c r="H24" i="9"/>
  <c r="R24" i="9" s="1"/>
  <c r="H19" i="9"/>
  <c r="R19" i="9" s="1"/>
  <c r="H14" i="9"/>
  <c r="R14" i="9" s="1"/>
  <c r="H9" i="9"/>
  <c r="R9" i="9" s="1"/>
  <c r="H4" i="9"/>
  <c r="R4" i="9" s="1"/>
  <c r="H39" i="9"/>
  <c r="R39" i="9" s="1"/>
  <c r="H34" i="9"/>
  <c r="R34" i="9" s="1"/>
  <c r="H29" i="9"/>
  <c r="R29" i="9" s="1"/>
  <c r="H17" i="15"/>
  <c r="I4" i="16" s="1"/>
  <c r="B2" i="17"/>
  <c r="AD66" i="9"/>
  <c r="AD23" i="9"/>
  <c r="G40" i="13"/>
  <c r="G65" i="13"/>
  <c r="G25" i="13"/>
  <c r="G75" i="13"/>
  <c r="G45" i="13"/>
  <c r="G60" i="13"/>
  <c r="G20" i="13"/>
  <c r="G55" i="13"/>
  <c r="G35" i="13"/>
  <c r="G30" i="13"/>
  <c r="H60" i="9"/>
  <c r="R60" i="9" s="1"/>
  <c r="G70" i="13"/>
  <c r="G50" i="13"/>
  <c r="H65" i="9"/>
  <c r="R65" i="9" s="1"/>
  <c r="H55" i="9"/>
  <c r="R55" i="9" s="1"/>
  <c r="H50" i="9"/>
  <c r="R50" i="9" s="1"/>
  <c r="H45" i="9"/>
  <c r="R45" i="9" s="1"/>
  <c r="H40" i="9"/>
  <c r="R40" i="9" s="1"/>
  <c r="H25" i="9"/>
  <c r="R25" i="9" s="1"/>
  <c r="H20" i="9"/>
  <c r="R20" i="9" s="1"/>
  <c r="H15" i="9"/>
  <c r="R15" i="9" s="1"/>
  <c r="H10" i="9"/>
  <c r="R10" i="9" s="1"/>
  <c r="H5" i="9"/>
  <c r="R5" i="9" s="1"/>
  <c r="H30" i="9"/>
  <c r="R30" i="9" s="1"/>
  <c r="H35" i="9"/>
  <c r="R35" i="9" s="1"/>
  <c r="AD13" i="9"/>
  <c r="H7" i="15"/>
  <c r="AD16" i="9"/>
  <c r="AD24" i="9"/>
  <c r="AD52" i="9"/>
  <c r="H74" i="13"/>
  <c r="H69" i="13"/>
  <c r="H64" i="13"/>
  <c r="H59" i="13"/>
  <c r="H54" i="13"/>
  <c r="H49" i="13"/>
  <c r="H44" i="13"/>
  <c r="H39" i="13"/>
  <c r="H34" i="13"/>
  <c r="H29" i="13"/>
  <c r="H24" i="13"/>
  <c r="H19" i="13"/>
  <c r="I54" i="9"/>
  <c r="S54" i="9" s="1"/>
  <c r="I64" i="9"/>
  <c r="S64" i="9" s="1"/>
  <c r="I59" i="9"/>
  <c r="S59" i="9" s="1"/>
  <c r="I49" i="9"/>
  <c r="S49" i="9" s="1"/>
  <c r="I39" i="9"/>
  <c r="S39" i="9" s="1"/>
  <c r="I44" i="9"/>
  <c r="S44" i="9" s="1"/>
  <c r="I34" i="9"/>
  <c r="S34" i="9" s="1"/>
  <c r="I24" i="9"/>
  <c r="S24" i="9" s="1"/>
  <c r="I19" i="9"/>
  <c r="S19" i="9" s="1"/>
  <c r="I29" i="9"/>
  <c r="S29" i="9" s="1"/>
  <c r="I14" i="9"/>
  <c r="S14" i="9" s="1"/>
  <c r="I4" i="9"/>
  <c r="S4" i="9" s="1"/>
  <c r="I9" i="9"/>
  <c r="S9" i="9" s="1"/>
  <c r="AD9" i="9"/>
  <c r="H73" i="13"/>
  <c r="H68" i="13"/>
  <c r="H63" i="13"/>
  <c r="H58" i="13"/>
  <c r="H53" i="13"/>
  <c r="H48" i="13"/>
  <c r="H43" i="13"/>
  <c r="H38" i="13"/>
  <c r="H33" i="13"/>
  <c r="H28" i="13"/>
  <c r="H23" i="13"/>
  <c r="H18" i="13"/>
  <c r="I63" i="9"/>
  <c r="S63" i="9" s="1"/>
  <c r="I58" i="9"/>
  <c r="S58" i="9" s="1"/>
  <c r="I53" i="9"/>
  <c r="S53" i="9" s="1"/>
  <c r="I48" i="9"/>
  <c r="S48" i="9" s="1"/>
  <c r="I28" i="9"/>
  <c r="S28" i="9" s="1"/>
  <c r="I38" i="9"/>
  <c r="S38" i="9" s="1"/>
  <c r="I23" i="9"/>
  <c r="S23" i="9" s="1"/>
  <c r="I18" i="9"/>
  <c r="S18" i="9" s="1"/>
  <c r="I13" i="9"/>
  <c r="S13" i="9" s="1"/>
  <c r="I33" i="9"/>
  <c r="S33" i="9" s="1"/>
  <c r="I8" i="9"/>
  <c r="S8" i="9" s="1"/>
  <c r="I3" i="9"/>
  <c r="S3" i="9" s="1"/>
  <c r="I43" i="9"/>
  <c r="S43" i="9" s="1"/>
  <c r="AD29" i="9"/>
  <c r="AD7" i="9"/>
  <c r="H9" i="15"/>
  <c r="AD26" i="9"/>
  <c r="B5" i="12"/>
  <c r="F15" i="10"/>
  <c r="AD22" i="9"/>
  <c r="H75" i="13"/>
  <c r="H70" i="13"/>
  <c r="H65" i="13"/>
  <c r="H60" i="13"/>
  <c r="H55" i="13"/>
  <c r="H50" i="13"/>
  <c r="H45" i="13"/>
  <c r="H40" i="13"/>
  <c r="H35" i="13"/>
  <c r="H30" i="13"/>
  <c r="H25" i="13"/>
  <c r="H20" i="13"/>
  <c r="I55" i="9"/>
  <c r="S55" i="9" s="1"/>
  <c r="I65" i="9"/>
  <c r="S65" i="9" s="1"/>
  <c r="I60" i="9"/>
  <c r="S60" i="9" s="1"/>
  <c r="I50" i="9"/>
  <c r="S50" i="9" s="1"/>
  <c r="I30" i="9"/>
  <c r="S30" i="9" s="1"/>
  <c r="I40" i="9"/>
  <c r="S40" i="9" s="1"/>
  <c r="I25" i="9"/>
  <c r="S25" i="9" s="1"/>
  <c r="I20" i="9"/>
  <c r="S20" i="9" s="1"/>
  <c r="I15" i="9"/>
  <c r="S15" i="9" s="1"/>
  <c r="I10" i="9"/>
  <c r="S10" i="9" s="1"/>
  <c r="I5" i="9"/>
  <c r="S5" i="9" s="1"/>
  <c r="I45" i="9"/>
  <c r="S45" i="9" s="1"/>
  <c r="I35" i="9"/>
  <c r="S35" i="9" s="1"/>
  <c r="G48" i="13"/>
  <c r="G73" i="13"/>
  <c r="G33" i="13"/>
  <c r="G53" i="13"/>
  <c r="G63" i="13"/>
  <c r="G43" i="13"/>
  <c r="G38" i="13"/>
  <c r="G23" i="13"/>
  <c r="H58" i="9"/>
  <c r="R58" i="9" s="1"/>
  <c r="G68" i="13"/>
  <c r="G58" i="13"/>
  <c r="G28" i="13"/>
  <c r="G18" i="13"/>
  <c r="H63" i="9"/>
  <c r="R63" i="9" s="1"/>
  <c r="H48" i="9"/>
  <c r="R48" i="9" s="1"/>
  <c r="H43" i="9"/>
  <c r="R43" i="9" s="1"/>
  <c r="H53" i="9"/>
  <c r="R53" i="9" s="1"/>
  <c r="H23" i="9"/>
  <c r="R23" i="9" s="1"/>
  <c r="H18" i="9"/>
  <c r="R18" i="9" s="1"/>
  <c r="H13" i="9"/>
  <c r="R13" i="9" s="1"/>
  <c r="H8" i="9"/>
  <c r="R8" i="9" s="1"/>
  <c r="H3" i="9"/>
  <c r="R3" i="9" s="1"/>
  <c r="H28" i="9"/>
  <c r="R28" i="9" s="1"/>
  <c r="H38" i="9"/>
  <c r="R38" i="9" s="1"/>
  <c r="H33" i="9"/>
  <c r="R33" i="9" s="1"/>
  <c r="AD62" i="9"/>
  <c r="B3" i="17"/>
  <c r="AD4" i="9"/>
  <c r="AD30" i="9"/>
  <c r="AD20" i="9"/>
  <c r="AD59" i="9"/>
  <c r="H72" i="13"/>
  <c r="H67" i="13"/>
  <c r="H62" i="13"/>
  <c r="H57" i="13"/>
  <c r="H52" i="13"/>
  <c r="H47" i="13"/>
  <c r="H42" i="13"/>
  <c r="H37" i="13"/>
  <c r="H32" i="13"/>
  <c r="H27" i="13"/>
  <c r="H22" i="13"/>
  <c r="H17" i="13"/>
  <c r="I62" i="9"/>
  <c r="S62" i="9" s="1"/>
  <c r="I57" i="9"/>
  <c r="S57" i="9" s="1"/>
  <c r="I52" i="9"/>
  <c r="S52" i="9" s="1"/>
  <c r="I37" i="9"/>
  <c r="S37" i="9" s="1"/>
  <c r="I42" i="9"/>
  <c r="S42" i="9" s="1"/>
  <c r="I32" i="9"/>
  <c r="S32" i="9" s="1"/>
  <c r="I27" i="9"/>
  <c r="S27" i="9" s="1"/>
  <c r="I22" i="9"/>
  <c r="S22" i="9" s="1"/>
  <c r="I17" i="9"/>
  <c r="S17" i="9" s="1"/>
  <c r="I7" i="9"/>
  <c r="S7" i="9" s="1"/>
  <c r="I2" i="9"/>
  <c r="S2" i="9" s="1"/>
  <c r="I47" i="9"/>
  <c r="S47" i="9" s="1"/>
  <c r="I12" i="9"/>
  <c r="S12" i="9" s="1"/>
  <c r="AD10" i="9"/>
  <c r="AD14" i="9"/>
  <c r="D15" i="10"/>
  <c r="B3" i="12"/>
  <c r="H8" i="15"/>
  <c r="AD21" i="9"/>
  <c r="AD27" i="9"/>
  <c r="G72" i="13"/>
  <c r="G32" i="13"/>
  <c r="G57" i="13"/>
  <c r="G17" i="13"/>
  <c r="G37" i="13"/>
  <c r="G67" i="13"/>
  <c r="G62" i="13"/>
  <c r="G52" i="13"/>
  <c r="G27" i="13"/>
  <c r="G22" i="13"/>
  <c r="G42" i="13"/>
  <c r="G47" i="13"/>
  <c r="H62" i="9"/>
  <c r="R62" i="9" s="1"/>
  <c r="H57" i="9"/>
  <c r="R57" i="9" s="1"/>
  <c r="H52" i="9"/>
  <c r="R52" i="9" s="1"/>
  <c r="H47" i="9"/>
  <c r="R47" i="9" s="1"/>
  <c r="H42" i="9"/>
  <c r="R42" i="9" s="1"/>
  <c r="H27" i="9"/>
  <c r="R27" i="9" s="1"/>
  <c r="H22" i="9"/>
  <c r="R22" i="9" s="1"/>
  <c r="H17" i="9"/>
  <c r="R17" i="9" s="1"/>
  <c r="H12" i="9"/>
  <c r="R12" i="9" s="1"/>
  <c r="H7" i="9"/>
  <c r="R7" i="9" s="1"/>
  <c r="H2" i="9"/>
  <c r="R2" i="9" s="1"/>
  <c r="H37" i="9"/>
  <c r="R37" i="9" s="1"/>
  <c r="H32" i="9"/>
  <c r="R32" i="9" s="1"/>
  <c r="B4" i="12"/>
  <c r="E15" i="10"/>
  <c r="H10" i="15"/>
  <c r="AD31" i="9"/>
  <c r="AD25" i="9"/>
  <c r="G76" i="13"/>
  <c r="G56" i="13"/>
  <c r="G41" i="13"/>
  <c r="G61" i="13"/>
  <c r="G21" i="13"/>
  <c r="G66" i="13"/>
  <c r="G36" i="13"/>
  <c r="G26" i="13"/>
  <c r="G51" i="13"/>
  <c r="G46" i="13"/>
  <c r="G31" i="13"/>
  <c r="G71" i="13"/>
  <c r="H66" i="9"/>
  <c r="R66" i="9" s="1"/>
  <c r="H56" i="9"/>
  <c r="R56" i="9" s="1"/>
  <c r="H61" i="9"/>
  <c r="R61" i="9" s="1"/>
  <c r="H46" i="9"/>
  <c r="R46" i="9" s="1"/>
  <c r="U46" i="9" s="1"/>
  <c r="W46" i="9" s="1"/>
  <c r="H41" i="9"/>
  <c r="R41" i="9" s="1"/>
  <c r="U41" i="9" s="1"/>
  <c r="W41" i="9" s="1"/>
  <c r="H26" i="9"/>
  <c r="R26" i="9" s="1"/>
  <c r="H21" i="9"/>
  <c r="R21" i="9" s="1"/>
  <c r="H16" i="9"/>
  <c r="R16" i="9" s="1"/>
  <c r="H11" i="9"/>
  <c r="R11" i="9" s="1"/>
  <c r="H6" i="9"/>
  <c r="R6" i="9" s="1"/>
  <c r="U6" i="9" s="1"/>
  <c r="W6" i="9" s="1"/>
  <c r="H36" i="9"/>
  <c r="R36" i="9" s="1"/>
  <c r="H31" i="9"/>
  <c r="R31" i="9" s="1"/>
  <c r="H51" i="9"/>
  <c r="R51" i="9" s="1"/>
  <c r="U51" i="9" s="1"/>
  <c r="W51" i="9" s="1"/>
  <c r="AD65" i="9"/>
  <c r="H6" i="15"/>
  <c r="AD11" i="9"/>
  <c r="H76" i="13"/>
  <c r="H71" i="13"/>
  <c r="H66" i="13"/>
  <c r="H61" i="13"/>
  <c r="H56" i="13"/>
  <c r="H51" i="13"/>
  <c r="H46" i="13"/>
  <c r="H41" i="13"/>
  <c r="H36" i="13"/>
  <c r="H31" i="13"/>
  <c r="H26" i="13"/>
  <c r="H21" i="13"/>
  <c r="I66" i="9"/>
  <c r="S66" i="9" s="1"/>
  <c r="I56" i="9"/>
  <c r="S56" i="9" s="1"/>
  <c r="I61" i="9"/>
  <c r="S61" i="9" s="1"/>
  <c r="I51" i="9"/>
  <c r="S51" i="9" s="1"/>
  <c r="I41" i="9"/>
  <c r="S41" i="9" s="1"/>
  <c r="I46" i="9"/>
  <c r="S46" i="9" s="1"/>
  <c r="I36" i="9"/>
  <c r="S36" i="9" s="1"/>
  <c r="I26" i="9"/>
  <c r="S26" i="9" s="1"/>
  <c r="I21" i="9"/>
  <c r="S21" i="9" s="1"/>
  <c r="I16" i="9"/>
  <c r="S16" i="9" s="1"/>
  <c r="I31" i="9"/>
  <c r="S31" i="9" s="1"/>
  <c r="I11" i="9"/>
  <c r="S11" i="9" s="1"/>
  <c r="I6" i="9"/>
  <c r="S6" i="9" s="1"/>
  <c r="AD3" i="9"/>
  <c r="AD64" i="9"/>
  <c r="AD63" i="9"/>
  <c r="F76" i="13"/>
  <c r="F71" i="13"/>
  <c r="F31" i="13"/>
  <c r="F56" i="13"/>
  <c r="F36" i="13"/>
  <c r="G66" i="9"/>
  <c r="V66" i="9" s="1"/>
  <c r="G56" i="9"/>
  <c r="V56" i="9" s="1"/>
  <c r="G51" i="9"/>
  <c r="V51" i="9" s="1"/>
  <c r="F61" i="13"/>
  <c r="F21" i="13"/>
  <c r="F66" i="13"/>
  <c r="F41" i="13"/>
  <c r="F26" i="13"/>
  <c r="F51" i="13"/>
  <c r="F46" i="13"/>
  <c r="G61" i="9"/>
  <c r="V61" i="9" s="1"/>
  <c r="G46" i="9"/>
  <c r="V46" i="9" s="1"/>
  <c r="G41" i="9"/>
  <c r="V41" i="9" s="1"/>
  <c r="G36" i="9"/>
  <c r="V36" i="9" s="1"/>
  <c r="G31" i="9"/>
  <c r="V31" i="9" s="1"/>
  <c r="G26" i="9"/>
  <c r="V26" i="9" s="1"/>
  <c r="G21" i="9"/>
  <c r="V21" i="9" s="1"/>
  <c r="G16" i="9"/>
  <c r="V16" i="9" s="1"/>
  <c r="G11" i="9"/>
  <c r="V11" i="9" s="1"/>
  <c r="G6" i="9"/>
  <c r="V6" i="9" s="1"/>
  <c r="AD18" i="9"/>
  <c r="AD5" i="9"/>
  <c r="AD28" i="9"/>
  <c r="AD15" i="9"/>
  <c r="H5" i="15"/>
  <c r="AD6" i="9"/>
  <c r="AE51" i="9" l="1"/>
  <c r="AF51" i="9" s="1"/>
  <c r="Z51" i="9"/>
  <c r="AA51" i="9" s="1"/>
  <c r="X51" i="9"/>
  <c r="AE46" i="9"/>
  <c r="AF46" i="9" s="1"/>
  <c r="Z46" i="9"/>
  <c r="AA46" i="9" s="1"/>
  <c r="X46" i="9"/>
  <c r="F74" i="13"/>
  <c r="F39" i="13"/>
  <c r="F64" i="13"/>
  <c r="F24" i="13"/>
  <c r="F44" i="13"/>
  <c r="G54" i="9"/>
  <c r="V54" i="9" s="1"/>
  <c r="F69" i="13"/>
  <c r="F59" i="13"/>
  <c r="F54" i="13"/>
  <c r="F29" i="13"/>
  <c r="F19" i="13"/>
  <c r="F49" i="13"/>
  <c r="F34" i="13"/>
  <c r="G49" i="9"/>
  <c r="V49" i="9" s="1"/>
  <c r="G44" i="9"/>
  <c r="V44" i="9" s="1"/>
  <c r="G39" i="9"/>
  <c r="V39" i="9" s="1"/>
  <c r="G34" i="9"/>
  <c r="V34" i="9" s="1"/>
  <c r="G29" i="9"/>
  <c r="V29" i="9" s="1"/>
  <c r="G64" i="9"/>
  <c r="V64" i="9" s="1"/>
  <c r="G59" i="9"/>
  <c r="V59" i="9" s="1"/>
  <c r="G24" i="9"/>
  <c r="V24" i="9" s="1"/>
  <c r="G19" i="9"/>
  <c r="V19" i="9" s="1"/>
  <c r="G14" i="9"/>
  <c r="V14" i="9" s="1"/>
  <c r="G9" i="9"/>
  <c r="V9" i="9" s="1"/>
  <c r="G4" i="9"/>
  <c r="V4" i="9" s="1"/>
  <c r="U19" i="9"/>
  <c r="W19" i="9" s="1"/>
  <c r="U36" i="9"/>
  <c r="W36" i="9" s="1"/>
  <c r="U61" i="9"/>
  <c r="W61" i="9" s="1"/>
  <c r="U24" i="9"/>
  <c r="W24" i="9" s="1"/>
  <c r="AE6" i="9"/>
  <c r="Z6" i="9"/>
  <c r="AA6" i="9" s="1"/>
  <c r="X6" i="9"/>
  <c r="U56" i="9"/>
  <c r="W56" i="9" s="1"/>
  <c r="U63" i="9"/>
  <c r="W63" i="9" s="1"/>
  <c r="U29" i="9"/>
  <c r="W29" i="9" s="1"/>
  <c r="U44" i="9"/>
  <c r="W44" i="9" s="1"/>
  <c r="AE41" i="9"/>
  <c r="AF41" i="9" s="1"/>
  <c r="Z41" i="9"/>
  <c r="AA41" i="9" s="1"/>
  <c r="X41" i="9"/>
  <c r="U31" i="9"/>
  <c r="W31" i="9" s="1"/>
  <c r="AF6" i="9"/>
  <c r="E5" i="15" s="1"/>
  <c r="U11" i="9"/>
  <c r="W11" i="9" s="1"/>
  <c r="U66" i="9"/>
  <c r="W66" i="9" s="1"/>
  <c r="F63" i="13"/>
  <c r="F23" i="13"/>
  <c r="F48" i="13"/>
  <c r="F73" i="13"/>
  <c r="F68" i="13"/>
  <c r="F28" i="13"/>
  <c r="F58" i="13"/>
  <c r="F33" i="13"/>
  <c r="F18" i="13"/>
  <c r="G53" i="9"/>
  <c r="V53" i="9" s="1"/>
  <c r="F43" i="13"/>
  <c r="F38" i="13"/>
  <c r="F53" i="13"/>
  <c r="G48" i="9"/>
  <c r="V48" i="9" s="1"/>
  <c r="G43" i="9"/>
  <c r="V43" i="9" s="1"/>
  <c r="G38" i="9"/>
  <c r="V38" i="9" s="1"/>
  <c r="G33" i="9"/>
  <c r="V33" i="9" s="1"/>
  <c r="G28" i="9"/>
  <c r="V28" i="9" s="1"/>
  <c r="G63" i="9"/>
  <c r="V63" i="9" s="1"/>
  <c r="G58" i="9"/>
  <c r="V58" i="9" s="1"/>
  <c r="G23" i="9"/>
  <c r="V23" i="9" s="1"/>
  <c r="G18" i="9"/>
  <c r="V18" i="9" s="1"/>
  <c r="G13" i="9"/>
  <c r="V13" i="9" s="1"/>
  <c r="G8" i="9"/>
  <c r="V8" i="9" s="1"/>
  <c r="G3" i="9"/>
  <c r="V3" i="9" s="1"/>
  <c r="U8" i="9"/>
  <c r="W8" i="9" s="1"/>
  <c r="U49" i="9"/>
  <c r="W49" i="9" s="1"/>
  <c r="U13" i="9"/>
  <c r="W13" i="9" s="1"/>
  <c r="U39" i="9"/>
  <c r="W39" i="9" s="1"/>
  <c r="U59" i="9"/>
  <c r="W59" i="9" s="1"/>
  <c r="U21" i="9"/>
  <c r="W21" i="9" s="1"/>
  <c r="U18" i="9"/>
  <c r="W18" i="9" s="1"/>
  <c r="F75" i="13"/>
  <c r="F55" i="13"/>
  <c r="F40" i="13"/>
  <c r="F60" i="13"/>
  <c r="F20" i="13"/>
  <c r="F70" i="13"/>
  <c r="F50" i="13"/>
  <c r="G55" i="9"/>
  <c r="V55" i="9" s="1"/>
  <c r="G50" i="9"/>
  <c r="V50" i="9" s="1"/>
  <c r="F65" i="13"/>
  <c r="F25" i="13"/>
  <c r="G65" i="9"/>
  <c r="V65" i="9" s="1"/>
  <c r="F45" i="13"/>
  <c r="F35" i="13"/>
  <c r="F30" i="13"/>
  <c r="G45" i="9"/>
  <c r="V45" i="9" s="1"/>
  <c r="G40" i="9"/>
  <c r="V40" i="9" s="1"/>
  <c r="G35" i="9"/>
  <c r="V35" i="9" s="1"/>
  <c r="G30" i="9"/>
  <c r="V30" i="9" s="1"/>
  <c r="G60" i="9"/>
  <c r="V60" i="9" s="1"/>
  <c r="G25" i="9"/>
  <c r="V25" i="9" s="1"/>
  <c r="G20" i="9"/>
  <c r="V20" i="9" s="1"/>
  <c r="G15" i="9"/>
  <c r="V15" i="9" s="1"/>
  <c r="G10" i="9"/>
  <c r="V10" i="9" s="1"/>
  <c r="G5" i="9"/>
  <c r="V5" i="9" s="1"/>
  <c r="U40" i="9"/>
  <c r="W40" i="9" s="1"/>
  <c r="U54" i="9"/>
  <c r="W54" i="9" s="1"/>
  <c r="U16" i="9"/>
  <c r="W16" i="9" s="1"/>
  <c r="U26" i="9"/>
  <c r="W26" i="9" s="1"/>
  <c r="U23" i="9"/>
  <c r="W23" i="9" s="1"/>
  <c r="U35" i="9"/>
  <c r="W35" i="9" s="1"/>
  <c r="U45" i="9"/>
  <c r="W45" i="9" s="1"/>
  <c r="U9" i="9"/>
  <c r="W9" i="9" s="1"/>
  <c r="U53" i="9"/>
  <c r="W53" i="9" s="1"/>
  <c r="U58" i="9"/>
  <c r="W58" i="9" s="1"/>
  <c r="U50" i="9"/>
  <c r="W50" i="9" s="1"/>
  <c r="U14" i="9"/>
  <c r="W14" i="9" s="1"/>
  <c r="U64" i="9"/>
  <c r="W64" i="9" s="1"/>
  <c r="F47" i="13"/>
  <c r="F72" i="13"/>
  <c r="F32" i="13"/>
  <c r="F52" i="13"/>
  <c r="G62" i="9"/>
  <c r="V62" i="9" s="1"/>
  <c r="G52" i="9"/>
  <c r="V52" i="9" s="1"/>
  <c r="F57" i="13"/>
  <c r="F17" i="13"/>
  <c r="F67" i="13"/>
  <c r="F62" i="13"/>
  <c r="F37" i="13"/>
  <c r="F27" i="13"/>
  <c r="F22" i="13"/>
  <c r="F42" i="13"/>
  <c r="G47" i="9"/>
  <c r="V47" i="9" s="1"/>
  <c r="G42" i="9"/>
  <c r="V42" i="9" s="1"/>
  <c r="G37" i="9"/>
  <c r="V37" i="9" s="1"/>
  <c r="G32" i="9"/>
  <c r="V32" i="9" s="1"/>
  <c r="G57" i="9"/>
  <c r="V57" i="9" s="1"/>
  <c r="G27" i="9"/>
  <c r="V27" i="9" s="1"/>
  <c r="G22" i="9"/>
  <c r="V22" i="9" s="1"/>
  <c r="G17" i="9"/>
  <c r="V17" i="9" s="1"/>
  <c r="G12" i="9"/>
  <c r="V12" i="9" s="1"/>
  <c r="G7" i="9"/>
  <c r="V7" i="9" s="1"/>
  <c r="G2" i="9"/>
  <c r="V2" i="9" s="1"/>
  <c r="AE14" i="9" l="1"/>
  <c r="AF14" i="9" s="1"/>
  <c r="D7" i="15" s="1"/>
  <c r="Z14" i="9"/>
  <c r="AA14" i="9" s="1"/>
  <c r="X14" i="9"/>
  <c r="AE18" i="9"/>
  <c r="AF18" i="9" s="1"/>
  <c r="Z18" i="9"/>
  <c r="AA18" i="9" s="1"/>
  <c r="X18" i="9"/>
  <c r="U25" i="9"/>
  <c r="W25" i="9" s="1"/>
  <c r="AE8" i="9"/>
  <c r="AF8" i="9" s="1"/>
  <c r="Z8" i="9"/>
  <c r="AA8" i="9" s="1"/>
  <c r="X8" i="9"/>
  <c r="AE44" i="9"/>
  <c r="AF44" i="9" s="1"/>
  <c r="D13" i="15" s="1"/>
  <c r="Z44" i="9"/>
  <c r="AA44" i="9" s="1"/>
  <c r="X44" i="9"/>
  <c r="U32" i="9"/>
  <c r="W32" i="9" s="1"/>
  <c r="U10" i="9"/>
  <c r="W10" i="9" s="1"/>
  <c r="AE61" i="9"/>
  <c r="AF61" i="9" s="1"/>
  <c r="Z61" i="9"/>
  <c r="AA61" i="9" s="1"/>
  <c r="X61" i="9"/>
  <c r="U22" i="9"/>
  <c r="W22" i="9" s="1"/>
  <c r="U30" i="9"/>
  <c r="W30" i="9" s="1"/>
  <c r="AE9" i="9"/>
  <c r="AF9" i="9" s="1"/>
  <c r="D6" i="15" s="1"/>
  <c r="Z9" i="9"/>
  <c r="AA9" i="9" s="1"/>
  <c r="X9" i="9"/>
  <c r="U62" i="9"/>
  <c r="W62" i="9" s="1"/>
  <c r="U52" i="9"/>
  <c r="W52" i="9" s="1"/>
  <c r="U47" i="9"/>
  <c r="W47" i="9" s="1"/>
  <c r="U15" i="9"/>
  <c r="W15" i="9" s="1"/>
  <c r="AE50" i="9"/>
  <c r="AF50" i="9" s="1"/>
  <c r="Z50" i="9"/>
  <c r="AA50" i="9" s="1"/>
  <c r="X50" i="9"/>
  <c r="Z56" i="9"/>
  <c r="AA56" i="9" s="1"/>
  <c r="AE56" i="9"/>
  <c r="AF56" i="9" s="1"/>
  <c r="X56" i="9"/>
  <c r="U12" i="9"/>
  <c r="W12" i="9" s="1"/>
  <c r="AE54" i="9"/>
  <c r="AF54" i="9" s="1"/>
  <c r="D15" i="15" s="1"/>
  <c r="Z54" i="9"/>
  <c r="AA54" i="9" s="1"/>
  <c r="X54" i="9"/>
  <c r="AE13" i="9"/>
  <c r="AF13" i="9" s="1"/>
  <c r="Z13" i="9"/>
  <c r="AA13" i="9" s="1"/>
  <c r="X13" i="9"/>
  <c r="U37" i="9"/>
  <c r="W37" i="9" s="1"/>
  <c r="AE31" i="9"/>
  <c r="AF31" i="9" s="1"/>
  <c r="Z31" i="9"/>
  <c r="AA31" i="9" s="1"/>
  <c r="X31" i="9"/>
  <c r="U48" i="9"/>
  <c r="W48" i="9" s="1"/>
  <c r="AE19" i="9"/>
  <c r="AF19" i="9" s="1"/>
  <c r="D8" i="15" s="1"/>
  <c r="Z19" i="9"/>
  <c r="AA19" i="9" s="1"/>
  <c r="X19" i="9"/>
  <c r="AE29" i="9"/>
  <c r="AF29" i="9" s="1"/>
  <c r="D10" i="15" s="1"/>
  <c r="Z29" i="9"/>
  <c r="AA29" i="9" s="1"/>
  <c r="X29" i="9"/>
  <c r="AE45" i="9"/>
  <c r="AF45" i="9" s="1"/>
  <c r="Z45" i="9"/>
  <c r="AA45" i="9" s="1"/>
  <c r="X45" i="9"/>
  <c r="AE26" i="9"/>
  <c r="AF26" i="9" s="1"/>
  <c r="Z26" i="9"/>
  <c r="AA26" i="9" s="1"/>
  <c r="X26" i="9"/>
  <c r="U4" i="9"/>
  <c r="W4" i="9" s="1"/>
  <c r="U57" i="9"/>
  <c r="W57" i="9" s="1"/>
  <c r="AE59" i="9"/>
  <c r="AF59" i="9" s="1"/>
  <c r="D16" i="15" s="1"/>
  <c r="Z59" i="9"/>
  <c r="AA59" i="9" s="1"/>
  <c r="X59" i="9"/>
  <c r="Z63" i="9"/>
  <c r="AA63" i="9" s="1"/>
  <c r="AE63" i="9"/>
  <c r="AF63" i="9" s="1"/>
  <c r="X63" i="9"/>
  <c r="U28" i="9"/>
  <c r="W28" i="9" s="1"/>
  <c r="U55" i="9"/>
  <c r="W55" i="9" s="1"/>
  <c r="C13" i="15"/>
  <c r="E13" i="15"/>
  <c r="AE35" i="9"/>
  <c r="AF35" i="9" s="1"/>
  <c r="Z35" i="9"/>
  <c r="AA35" i="9" s="1"/>
  <c r="X35" i="9"/>
  <c r="AE40" i="9"/>
  <c r="AF40" i="9" s="1"/>
  <c r="Z40" i="9"/>
  <c r="AA40" i="9" s="1"/>
  <c r="X40" i="9"/>
  <c r="U7" i="9"/>
  <c r="W7" i="9" s="1"/>
  <c r="AE39" i="9"/>
  <c r="AF39" i="9" s="1"/>
  <c r="D12" i="15" s="1"/>
  <c r="Z39" i="9"/>
  <c r="AA39" i="9" s="1"/>
  <c r="X39" i="9"/>
  <c r="AE49" i="9"/>
  <c r="AF49" i="9" s="1"/>
  <c r="D14" i="15" s="1"/>
  <c r="Z49" i="9"/>
  <c r="AA49" i="9" s="1"/>
  <c r="X49" i="9"/>
  <c r="Z66" i="9"/>
  <c r="AA66" i="9" s="1"/>
  <c r="AE66" i="9"/>
  <c r="AF66" i="9" s="1"/>
  <c r="X66" i="9"/>
  <c r="U3" i="9"/>
  <c r="W3" i="9" s="1"/>
  <c r="U5" i="9"/>
  <c r="W5" i="9" s="1"/>
  <c r="U17" i="9"/>
  <c r="W17" i="9" s="1"/>
  <c r="Z58" i="9"/>
  <c r="AA58" i="9" s="1"/>
  <c r="AE58" i="9"/>
  <c r="AF58" i="9" s="1"/>
  <c r="X58" i="9"/>
  <c r="AE53" i="9"/>
  <c r="AF53" i="9" s="1"/>
  <c r="Z53" i="9"/>
  <c r="AA53" i="9" s="1"/>
  <c r="X53" i="9"/>
  <c r="U2" i="9"/>
  <c r="W2" i="9" s="1"/>
  <c r="AE21" i="9"/>
  <c r="AF21" i="9" s="1"/>
  <c r="Z21" i="9"/>
  <c r="AA21" i="9" s="1"/>
  <c r="X21" i="9"/>
  <c r="U34" i="9"/>
  <c r="W34" i="9" s="1"/>
  <c r="AE11" i="9"/>
  <c r="AF11" i="9" s="1"/>
  <c r="Z11" i="9"/>
  <c r="AA11" i="9" s="1"/>
  <c r="X11" i="9"/>
  <c r="E12" i="15"/>
  <c r="C12" i="15"/>
  <c r="AE24" i="9"/>
  <c r="AF24" i="9" s="1"/>
  <c r="D9" i="15" s="1"/>
  <c r="Z24" i="9"/>
  <c r="AA24" i="9" s="1"/>
  <c r="X24" i="9"/>
  <c r="U27" i="9"/>
  <c r="W27" i="9" s="1"/>
  <c r="U43" i="9"/>
  <c r="W43" i="9" s="1"/>
  <c r="AE36" i="9"/>
  <c r="AF36" i="9" s="1"/>
  <c r="Z36" i="9"/>
  <c r="AA36" i="9" s="1"/>
  <c r="X36" i="9"/>
  <c r="Z64" i="9"/>
  <c r="AA64" i="9" s="1"/>
  <c r="AE64" i="9"/>
  <c r="AF64" i="9" s="1"/>
  <c r="D17" i="15" s="1"/>
  <c r="X64" i="9"/>
  <c r="U33" i="9"/>
  <c r="W33" i="9" s="1"/>
  <c r="AE23" i="9"/>
  <c r="AF23" i="9" s="1"/>
  <c r="Z23" i="9"/>
  <c r="AA23" i="9" s="1"/>
  <c r="X23" i="9"/>
  <c r="AE16" i="9"/>
  <c r="AF16" i="9" s="1"/>
  <c r="Z16" i="9"/>
  <c r="AA16" i="9" s="1"/>
  <c r="X16" i="9"/>
  <c r="U60" i="9"/>
  <c r="W60" i="9" s="1"/>
  <c r="U20" i="9"/>
  <c r="W20" i="9" s="1"/>
  <c r="U42" i="9"/>
  <c r="W42" i="9" s="1"/>
  <c r="U65" i="9"/>
  <c r="W65" i="9" s="1"/>
  <c r="U38" i="9"/>
  <c r="W38" i="9" s="1"/>
  <c r="C14" i="15"/>
  <c r="E14" i="15"/>
  <c r="AE43" i="9" l="1"/>
  <c r="AF43" i="9" s="1"/>
  <c r="Z43" i="9"/>
  <c r="AA43" i="9" s="1"/>
  <c r="X43" i="9"/>
  <c r="AE2" i="9"/>
  <c r="AF2" i="9" s="1"/>
  <c r="Z2" i="9"/>
  <c r="AA2" i="9" s="1"/>
  <c r="X2" i="9"/>
  <c r="AE5" i="9"/>
  <c r="AF5" i="9" s="1"/>
  <c r="Z5" i="9"/>
  <c r="AA5" i="9" s="1"/>
  <c r="X5" i="9"/>
  <c r="E9" i="15"/>
  <c r="C9" i="15"/>
  <c r="AE10" i="9"/>
  <c r="AF10" i="9" s="1"/>
  <c r="Z10" i="9"/>
  <c r="AA10" i="9" s="1"/>
  <c r="X10" i="9"/>
  <c r="AE25" i="9"/>
  <c r="AF25" i="9" s="1"/>
  <c r="Z25" i="9"/>
  <c r="AA25" i="9" s="1"/>
  <c r="X25" i="9"/>
  <c r="E7" i="15"/>
  <c r="C7" i="15"/>
  <c r="AE38" i="9"/>
  <c r="AF38" i="9" s="1"/>
  <c r="Z38" i="9"/>
  <c r="AA38" i="9" s="1"/>
  <c r="X38" i="9"/>
  <c r="Z65" i="9"/>
  <c r="AA65" i="9" s="1"/>
  <c r="AE65" i="9"/>
  <c r="AF65" i="9" s="1"/>
  <c r="X65" i="9"/>
  <c r="E11" i="15"/>
  <c r="C11" i="15"/>
  <c r="AE3" i="9"/>
  <c r="AF3" i="9" s="1"/>
  <c r="Z3" i="9"/>
  <c r="AA3" i="9" s="1"/>
  <c r="X3" i="9"/>
  <c r="AE32" i="9"/>
  <c r="AF32" i="9" s="1"/>
  <c r="Z32" i="9"/>
  <c r="AA32" i="9" s="1"/>
  <c r="X32" i="9"/>
  <c r="AE48" i="9"/>
  <c r="AF48" i="9" s="1"/>
  <c r="Z48" i="9"/>
  <c r="AA48" i="9" s="1"/>
  <c r="X48" i="9"/>
  <c r="AE30" i="9"/>
  <c r="AF30" i="9" s="1"/>
  <c r="Z30" i="9"/>
  <c r="AA30" i="9" s="1"/>
  <c r="X30" i="9"/>
  <c r="AE20" i="9"/>
  <c r="AF20" i="9" s="1"/>
  <c r="Z20" i="9"/>
  <c r="AA20" i="9" s="1"/>
  <c r="X20" i="9"/>
  <c r="AE27" i="9"/>
  <c r="AF27" i="9" s="1"/>
  <c r="Z27" i="9"/>
  <c r="AA27" i="9" s="1"/>
  <c r="X27" i="9"/>
  <c r="AE7" i="9"/>
  <c r="AF7" i="9" s="1"/>
  <c r="F6" i="15" s="1"/>
  <c r="Z7" i="9"/>
  <c r="AA7" i="9" s="1"/>
  <c r="X7" i="9"/>
  <c r="AE15" i="9"/>
  <c r="AF15" i="9" s="1"/>
  <c r="Z15" i="9"/>
  <c r="AA15" i="9" s="1"/>
  <c r="X15" i="9"/>
  <c r="AE22" i="9"/>
  <c r="AF22" i="9" s="1"/>
  <c r="F9" i="15" s="1"/>
  <c r="Z22" i="9"/>
  <c r="AA22" i="9" s="1"/>
  <c r="X22" i="9"/>
  <c r="AE33" i="9"/>
  <c r="AF33" i="9" s="1"/>
  <c r="Z33" i="9"/>
  <c r="AA33" i="9" s="1"/>
  <c r="X33" i="9"/>
  <c r="C6" i="15"/>
  <c r="E6" i="15"/>
  <c r="I6" i="15" s="1"/>
  <c r="C17" i="15"/>
  <c r="E17" i="15"/>
  <c r="Z60" i="9"/>
  <c r="AA60" i="9" s="1"/>
  <c r="AE60" i="9"/>
  <c r="AF60" i="9" s="1"/>
  <c r="X60" i="9"/>
  <c r="AE34" i="9"/>
  <c r="AF34" i="9" s="1"/>
  <c r="D11" i="15" s="1"/>
  <c r="Z34" i="9"/>
  <c r="AA34" i="9" s="1"/>
  <c r="X34" i="9"/>
  <c r="AE55" i="9"/>
  <c r="AF55" i="9" s="1"/>
  <c r="Z55" i="9"/>
  <c r="AA55" i="9" s="1"/>
  <c r="X55" i="9"/>
  <c r="AE57" i="9"/>
  <c r="AF57" i="9" s="1"/>
  <c r="F16" i="15" s="1"/>
  <c r="Z57" i="9"/>
  <c r="AA57" i="9" s="1"/>
  <c r="X57" i="9"/>
  <c r="AE28" i="9"/>
  <c r="AF28" i="9" s="1"/>
  <c r="Z28" i="9"/>
  <c r="AA28" i="9" s="1"/>
  <c r="X28" i="9"/>
  <c r="AE4" i="9"/>
  <c r="AF4" i="9" s="1"/>
  <c r="D5" i="15" s="1"/>
  <c r="Z4" i="9"/>
  <c r="AA4" i="9" s="1"/>
  <c r="X4" i="9"/>
  <c r="C10" i="15"/>
  <c r="E10" i="15"/>
  <c r="I10" i="15" s="1"/>
  <c r="AE12" i="9"/>
  <c r="AF12" i="9" s="1"/>
  <c r="F7" i="15" s="1"/>
  <c r="Z12" i="9"/>
  <c r="AA12" i="9" s="1"/>
  <c r="X12" i="9"/>
  <c r="AE47" i="9"/>
  <c r="AF47" i="9" s="1"/>
  <c r="F14" i="15" s="1"/>
  <c r="Z47" i="9"/>
  <c r="AA47" i="9" s="1"/>
  <c r="X47" i="9"/>
  <c r="AE37" i="9"/>
  <c r="AF37" i="9" s="1"/>
  <c r="F12" i="15" s="1"/>
  <c r="Z37" i="9"/>
  <c r="AA37" i="9" s="1"/>
  <c r="X37" i="9"/>
  <c r="AE52" i="9"/>
  <c r="AF52" i="9" s="1"/>
  <c r="F15" i="15" s="1"/>
  <c r="J15" i="15" s="1"/>
  <c r="Z52" i="9"/>
  <c r="AA52" i="9" s="1"/>
  <c r="X52" i="9"/>
  <c r="AE42" i="9"/>
  <c r="AF42" i="9" s="1"/>
  <c r="F13" i="15" s="1"/>
  <c r="Z42" i="9"/>
  <c r="AA42" i="9" s="1"/>
  <c r="X42" i="9"/>
  <c r="C8" i="15"/>
  <c r="E8" i="15"/>
  <c r="I8" i="15" s="1"/>
  <c r="AE17" i="9"/>
  <c r="AF17" i="9" s="1"/>
  <c r="F8" i="15" s="1"/>
  <c r="J8" i="15" s="1"/>
  <c r="Z17" i="9"/>
  <c r="AA17" i="9" s="1"/>
  <c r="X17" i="9"/>
  <c r="C15" i="15"/>
  <c r="E15" i="15"/>
  <c r="I15" i="15" s="1"/>
  <c r="Z62" i="9"/>
  <c r="AA62" i="9" s="1"/>
  <c r="AE62" i="9"/>
  <c r="AF62" i="9" s="1"/>
  <c r="F17" i="15" s="1"/>
  <c r="X62" i="9"/>
  <c r="C16" i="15"/>
  <c r="E16" i="15"/>
  <c r="J6" i="15" l="1"/>
  <c r="J14" i="15"/>
  <c r="D4" i="16"/>
  <c r="I17" i="15"/>
  <c r="I5" i="15"/>
  <c r="I16" i="15"/>
  <c r="J9" i="15"/>
  <c r="J7" i="15"/>
  <c r="F10" i="15"/>
  <c r="J10" i="15" s="1"/>
  <c r="F5" i="15"/>
  <c r="J5" i="15" s="1"/>
  <c r="C5" i="15"/>
  <c r="J17" i="15"/>
  <c r="E4" i="16"/>
  <c r="D5" i="16"/>
  <c r="F5" i="16" s="1"/>
  <c r="I11" i="15"/>
  <c r="I7" i="15"/>
  <c r="I12" i="15"/>
  <c r="J12" i="15"/>
  <c r="I14" i="15"/>
  <c r="I9" i="15"/>
  <c r="J16" i="15"/>
  <c r="J13" i="15"/>
  <c r="I13" i="15"/>
  <c r="F11" i="15"/>
  <c r="E5" i="16" l="1"/>
  <c r="G5" i="16" s="1"/>
  <c r="J11" i="15"/>
</calcChain>
</file>

<file path=xl/sharedStrings.xml><?xml version="1.0" encoding="utf-8"?>
<sst xmlns="http://schemas.openxmlformats.org/spreadsheetml/2006/main" count="1174" uniqueCount="700">
  <si>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</si>
  <si>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</si>
  <si>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</si>
  <si>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</si>
  <si>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</si>
  <si>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</si>
  <si>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</si>
  <si>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</si>
  <si>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</si>
  <si>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</si>
  <si>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</si>
  <si>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</si>
  <si>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</si>
  <si>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</si>
  <si>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</si>
  <si>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</si>
  <si>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</si>
  <si>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</si>
  <si>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</si>
  <si>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</si>
  <si>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</si>
  <si>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</si>
  <si>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</si>
  <si>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</si>
  <si>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</si>
  <si>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</si>
  <si>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</si>
  <si>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</si>
  <si>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</si>
  <si>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</si>
  <si>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</si>
  <si>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</si>
  <si>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</si>
  <si>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</si>
  <si>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</si>
  <si>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</si>
  <si>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</si>
  <si>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</si>
  <si>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</si>
  <si>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</si>
  <si>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</si>
  <si>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</si>
  <si>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</si>
  <si>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</si>
  <si>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</si>
  <si>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</si>
  <si>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</si>
  <si>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</si>
  <si>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</si>
  <si>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</si>
  <si>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</si>
  <si>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</si>
  <si>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</si>
  <si>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</si>
  <si>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</si>
  <si>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</si>
  <si>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</si>
  <si>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</si>
  <si>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</si>
  <si>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</si>
  <si>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Pima ADM trend default</t>
  </si>
  <si>
    <t>Capital Summary (TI &amp; Growth Capex &amp; Portables) — Cash, not Operating</t>
  </si>
  <si>
    <t>ScenarioKey</t>
  </si>
  <si>
    <t>Year</t>
  </si>
  <si>
    <t>ClosedSites</t>
  </si>
  <si>
    <t>TI_Cash$</t>
  </si>
  <si>
    <t>GrowthCapex_Echo$</t>
  </si>
  <si>
    <t>GrowthCapex_Pima$</t>
  </si>
  <si>
    <t>Portables$</t>
  </si>
  <si>
    <t>Total_Capital$</t>
  </si>
  <si>
    <t>FY2026</t>
  </si>
  <si>
    <t>FY2027</t>
  </si>
  <si>
    <t>FY2028</t>
  </si>
  <si>
    <t>FY2029</t>
  </si>
  <si>
    <t>FY2030</t>
  </si>
  <si>
    <t>Total_Capital_FY26$</t>
  </si>
  <si>
    <t>Receiving Capacity &amp; Feasibility — FY2026 absorption of retained students (by grade band)</t>
  </si>
  <si>
    <t>CloseEcho</t>
  </si>
  <si>
    <t>ClosePima</t>
  </si>
  <si>
    <t>Req_K5</t>
  </si>
  <si>
    <t>Req_6_8</t>
  </si>
  <si>
    <t>Spare_K5</t>
  </si>
  <si>
    <t>Spare_6_8</t>
  </si>
  <si>
    <t>Short_K5</t>
  </si>
  <si>
    <t>Short_6_8</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</si>
  <si>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</si>
  <si>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</si>
  <si>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</si>
  <si>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</si>
  <si>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</si>
  <si>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</si>
  <si>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</si>
  <si>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</si>
  <si>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</si>
  <si>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</si>
  <si>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</si>
  <si>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</si>
  <si>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</si>
  <si>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</si>
  <si>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</si>
  <si>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</si>
  <si>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</si>
  <si>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</si>
  <si>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</si>
  <si>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</si>
  <si>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</si>
  <si>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</si>
  <si>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</si>
  <si>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</si>
  <si>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</si>
  <si>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</si>
  <si>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</si>
  <si>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</si>
  <si>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</si>
  <si>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</si>
  <si>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</si>
  <si>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</si>
  <si>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</si>
  <si>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</si>
  <si>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</si>
  <si>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</si>
  <si>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</si>
  <si>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</si>
  <si>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</si>
  <si>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</si>
  <si>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</si>
  <si>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</si>
  <si>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</si>
  <si>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</si>
  <si>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</si>
  <si>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</si>
  <si>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</si>
  <si>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</si>
  <si>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</si>
  <si>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</si>
  <si>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</si>
  <si>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</si>
  <si>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</si>
  <si>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</si>
  <si>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</si>
  <si>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</si>
  <si>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</si>
  <si>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</si>
  <si>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</si>
  <si>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</si>
  <si>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</si>
  <si>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</si>
  <si>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</si>
  <si>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</si>
  <si>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</si>
  <si>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</si>
  <si>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</si>
  <si>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</si>
  <si>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</si>
  <si>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</si>
  <si>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</si>
  <si>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</si>
  <si>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</si>
  <si>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</si>
  <si>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</si>
  <si>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</si>
  <si>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</si>
  <si>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</si>
  <si>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</si>
  <si>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</si>
  <si>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</si>
  <si>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</si>
  <si>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</si>
  <si>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t>
  </si>
  <si>
    <t>Parameter / input</t>
  </si>
  <si>
    <t>Description / how we used it</t>
  </si>
  <si>
    <t>How derived</t>
  </si>
  <si>
    <t>Public source link</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</si>
  <si>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</si>
  <si>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</si>
  <si>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</si>
  <si>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</si>
  <si>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</si>
  <si>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</si>
  <si>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</si>
  <si>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</si>
  <si>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</si>
  <si>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</si>
  <si>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</si>
  <si>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</si>
  <si>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</si>
  <si>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</si>
  <si>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</si>
  <si>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</si>
  <si>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</si>
  <si>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</si>
  <si>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</si>
  <si>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</si>
  <si>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</si>
  <si>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</si>
  <si>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</si>
  <si>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</si>
  <si>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</si>
  <si>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</si>
  <si>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</si>
  <si>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</si>
  <si>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</si>
  <si>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</si>
  <si>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</si>
  <si>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</si>
  <si>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</si>
  <si>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</si>
  <si>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</si>
  <si>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</si>
  <si>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</si>
  <si>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</si>
  <si>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</si>
  <si>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</si>
  <si>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</si>
  <si>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</si>
  <si>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</si>
  <si>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</si>
  <si>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</si>
  <si>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</si>
  <si>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</si>
  <si>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</si>
  <si>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</si>
  <si>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</si>
  <si>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</si>
  <si>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</si>
  <si>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</si>
  <si>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</si>
  <si>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</si>
  <si>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</si>
  <si>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</si>
  <si>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</si>
  <si>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</si>
  <si>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</si>
  <si>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</si>
  <si>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</si>
  <si>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</si>
  <si>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</si>
  <si>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</si>
  <si>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</si>
  <si>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</si>
  <si>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</si>
  <si>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</si>
  <si>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</si>
  <si>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</si>
  <si>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</si>
  <si>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</si>
  <si>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</si>
  <si>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</si>
  <si>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</si>
  <si>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</si>
  <si>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</si>
  <si>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</si>
  <si>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</si>
  <si>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</si>
  <si>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</si>
  <si>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</si>
  <si>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</si>
  <si>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</si>
  <si>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</si>
  <si>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</si>
  <si>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</si>
  <si>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</si>
  <si>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</si>
  <si>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</si>
  <si>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</si>
  <si>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</si>
  <si>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</si>
  <si>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</si>
  <si>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</si>
  <si>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</si>
  <si>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</si>
  <si>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</si>
  <si>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</si>
  <si>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</si>
  <si>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</si>
  <si>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</si>
  <si>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</si>
  <si>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</si>
  <si>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</si>
  <si>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</si>
  <si>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</si>
  <si>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</si>
  <si>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</si>
  <si>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</si>
  <si>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</si>
  <si>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</si>
  <si>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</si>
  <si>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</si>
  <si>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</si>
  <si>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</si>
  <si>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</si>
  <si>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</si>
  <si>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</si>
  <si>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</si>
  <si>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</si>
  <si>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</si>
  <si>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</si>
  <si>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</si>
  <si>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</si>
  <si>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</si>
  <si>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</si>
  <si>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</si>
  <si>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</si>
  <si>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</si>
  <si>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</si>
  <si>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</si>
  <si>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</si>
  <si>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</si>
  <si>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</si>
  <si>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</si>
  <si>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Item</t>
  </si>
  <si>
    <t>What it is</t>
  </si>
  <si>
    <t>How computed / used in the model</t>
  </si>
  <si>
    <t>Source (title / link / date)</t>
  </si>
  <si>
    <t>Notes / open questions</t>
  </si>
  <si>
    <t>ADM (Average Daily Membership)</t>
  </si>
  <si>
    <t>Statutory count used for AZ K‑12 funding; based on membership days (not attendance). Typically calculated using 40th‑day (days 1–40) and 100th‑day (days 41–100) reporting periods for 180‑day districts.</t>
  </si>
  <si>
    <t>We accept Echo_ADM0 and Pima_ADM0 from official 40th/100th day reports; dashboard selector lets you choose 40th vs 100th. If 200‑day calendars are used, ADE reconciles accordingly.</t>
  </si>
  <si>
    <t>A.R.S. §15‑901 (Definitions); ADE “ADM &amp; Student Data” explainer (40th/100th), ADE SDADMS75 “Understanding…” (report logic). (Arizona Legislature)</t>
  </si>
  <si>
    <t>Paste official Echo &amp; Pima 40th/100th counts once you have them. If the district uses different calendars, confirm ADE limiting rules.</t>
  </si>
  <si>
    <t>Districtwide ADM</t>
  </si>
  <si>
    <t>Total ADM used for district revenue context.</t>
  </si>
  <si>
    <t>Used to sanity‑check aid per ADM and override math; not directly required for Echo/Pima deltas.</t>
  </si>
  <si>
    <t>ADE School Finance – Guidelines &amp; Manuals (funding mechanics overview). (Arizona Department of Education)</t>
  </si>
  <si>
    <t>Optional in this model; helpful for cross‑checks (aid × ADM ≈ state base support).</t>
  </si>
  <si>
    <t>Fund 001 – Maintenance &amp; Operation (M&amp;O)</t>
  </si>
  <si>
    <t>The operating fund for day‑to‑day costs: instruction, support services, plant operations, admin, transportation, etc.</t>
  </si>
  <si>
    <t>Comparable_MO$ is the model’s operating envelope. We divide into fixed/semi‑fixed (plant ops/insurance/admin) vs variable (staffing/sections/supplies/transport slice).</t>
  </si>
  <si>
    <t>USFR (Uniform System of Financial Records) and AAG Operational vs Nonoperational guidance; SUSD ACFR/AFR references to Fund 001. (Auditor General)</t>
  </si>
  <si>
    <t>Replace the 30% proxy with Site_Fixed tab once you paste Echo/Pima FY25 fixed ledgers (Fund 001 functions).</t>
  </si>
  <si>
    <t>M&amp;O per ADM (district)</t>
  </si>
  <si>
    <t>District’s audited M&amp;O spend per ADM.</t>
  </si>
  <si>
    <t>Used as Base_MO_per_ADM (Parameters_Public). Placeholder = working proxy until you paste audited figure; drives variable cost scaling.</t>
  </si>
  <si>
    <t>SUSD Adopted/Amended Budget &amp; AFR/ACFR pages (official spend &amp; enrollment); SUSD Budget page links to ADE budget files. (Scottsdale Unified School District)</t>
  </si>
  <si>
    <t>Paste FY24/25 audited M&amp;O/ADM when available to tighten variable cost.</t>
  </si>
  <si>
    <t>Fixed share of M&amp;O (proxy 30%)</t>
  </si>
  <si>
    <t>Temporary split to approximate plant ops, insurance, site admin, etc.</t>
  </si>
  <si>
    <t>Until site ledgers are provided, model treats 30% of Comparable_MO$ as fixed/semi‑fixed carry; remainder variable.</t>
  </si>
  <si>
    <t>Justification: AAG function splits and USFR mappings—plant ops/admin/central typically 30–40% statewide; we took low end to be conservative. (Auditor General)</t>
  </si>
  <si>
    <t>To replace: paste Echo/Pima Fund 001 function totals (plant ops/maintenance, insurance, utilities, site admin) into Site_Fixed. Model then retires the 30% proxy automatically.</t>
  </si>
  <si>
    <t>State Aid $ / ADM</t>
  </si>
  <si>
    <t>Equalization assistance (base state aid), simplified.</t>
  </si>
  <si>
    <t>We use a proxy per‑ADM value (Parameters_Public). In revenue, Aid = per‑ADM × Served_ADM (served = open students + retained after closure).</t>
  </si>
  <si>
    <t>Mechanics: A.R.S. Title 15 + ADE School Finance manuals/glossary. The model intentionally uses a proxy; paste district’s working per‑ADM if you have it. (SF Budget)</t>
  </si>
  <si>
    <t>If you prefer exact base support calculations (grade/weighting), we can add weighted ADM later; for now, a single per‑ADM aid is transparent and adequate for deltas.</t>
  </si>
  <si>
    <t>M&amp;O Override</t>
  </si>
  <si>
    <t>Voter‑approved authority up to 15% of the Revenue Control Limit (RCL), per statute.</t>
  </si>
  <si>
    <t>Toggle on/off in Parameters_Public. When ON, we apply a published override % and per‑ADM/RCL proxy to Served ADM.</t>
  </si>
  <si>
    <t>A.R.S. §15‑481 (override law); district budget pages note adopted overrides. (Arizona Legislature)</t>
  </si>
  <si>
    <t>Paste SUSD’s current override % and per‑ADM figure once you have it; keep the toggle exposed so trustees can see with/without.</t>
  </si>
  <si>
    <t>Retention r (Echo / Pima)</t>
  </si>
  <si>
    <t>Share of displaced students who remain in SUSD after a closure.</t>
  </si>
  <si>
    <t>Central case 0.75 (sensitivities 0.65–0.85). Retained students trigger receiving overhead (h) initially and add variable MO$ in receiving schools.</t>
  </si>
  <si>
    <t>Closures research shows majority stay in‑district; Chicago studies show &gt;50% remain and outcomes depend on receiving quality/distance. We bracket to 0.65–0.85 for AZ choice context. (UChicago Consortium; model notes) (ade.az.gov)</t>
  </si>
  <si>
    <t>AZ‑specific retention data would be stronger—ask SUSD to provide post‑closure re‑enrollment flows. For Echo (open‑enrollment heavy), retention may skew lower than a neighborhood school; we bracket that risk.</t>
  </si>
  <si>
    <t>Receiving overhead h ($/retained student)</t>
  </si>
  <si>
    <t>Incremental near‑term cost to reroute buses, scheduling/admin, etc., for retained students after closure.</t>
  </si>
  <si>
    <t>Schedule: $1,000 (FY26) → $300 (FY30) taper. It is incremental, not full transport spend, and in addition to marginal MO$ on the receiving side.</t>
  </si>
  <si>
    <t>AZ Auditor General “School District Spending” reports show cost per rider often $900–$1,100 in some districts; other districts are higher. This supports a $1,000 starting point as incremental overhead, not full cost. Examples: Skull Valley ESD (~$893), Blue Ridge USD (~$952–$1,025), Whiteriver peer avg ~$1,110. (Auditor General)</t>
  </si>
  <si>
    <t>This is not double‑counted: (a) h covers transition routing/admin friction; (b) marginal factor handles ongoing variable MO$ in receiving schools. If SUSD provides cost per route‑hour and riders/route, we’ll replace with a bespoke h‑profile.</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</si>
  <si>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</si>
  <si>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</si>
  <si>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</si>
  <si>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If you get class‑size/FTE trigger rules, we can upgrade this to step‑functions (sections) by grade.</t>
  </si>
  <si>
    <t>Carry (fixed/semi‑fixed) glide</t>
  </si>
  <si>
    <t>How fast fixed/semi‑fixed costs burn off after repurpose (ops vs lease/sale).</t>
  </si>
  <si>
    <t>Two umbrellas: ops (carry persists; e.g., 40%→30%→20% by FY28→10% FY29→0% FY30 only if board commits) vs lease (faster burn if third‑party or admin consolidation).</t>
  </si>
  <si>
    <t>USFR functions define the fixed‑like categories (plant/insurance/admin). ACFR/AFR confirm actual shares for SUSD. (Auditor General)</t>
  </si>
  <si>
    <t>Replace with Site_Fixed data and any lease MOUs once known (date‑certain burn‑down).</t>
  </si>
  <si>
    <t>TI per closed site (capital)</t>
  </si>
  <si>
    <t>One‑time transition improvements to enable repurpose (security/IT/build‑out).</t>
  </si>
  <si>
    <t>Treated as capital (not M&amp;O). Shows in Capital_Summary (FY26) only.</t>
  </si>
  <si>
    <t>Classification logic per AAG operational vs non‑operational guidance. (Auditor General)</t>
  </si>
  <si>
    <t>Use two TI parameters: ops‑repurpose TI vs lease TI (can differ by scope). Replace with vendor estimates if available.</t>
  </si>
  <si>
    <t>Growth Capex (Arts / Innovation)</t>
  </si>
  <si>
    <t>One‑time capital to stand up a programmatic lift (e.g., arts hub rooms, maker/innovation labs).</t>
  </si>
  <si>
    <t>Treated as capital (FY26). Parameterized per site and growth type.</t>
  </si>
  <si>
    <t>Benchmarks: district magnet builds and innovation campuses; local procurement estimates. (Cite your internal quotes when you have them.)</t>
  </si>
  <si>
    <t>Add a small scope sheet (spaces, FF&amp;E, networking, safety) and vendor quotes to firm this.</t>
  </si>
  <si>
    <t>Spare capacity (K‑5, 6–8)</t>
  </si>
  <si>
    <t>Seats available in likely receiving schools (by band).</t>
  </si>
  <si>
    <t>In Receiving_Capacity we compute Req from Close flags and band shares; Short = MAX(0, Req−Spare); Portables$ = Short×PortableSeat$.</t>
  </si>
  <si>
    <t>District capacity inventories; School Facilities (state) capacity references for context. Budget site provides district submissions. (Scottsdale Unified School District)</t>
  </si>
  <si>
    <t>Replace the band‑level placeholders with a by‑school matrix if you want routing feasibility and cost precision.</t>
  </si>
  <si>
    <t>Grade‑band shares</t>
  </si>
  <si>
    <t>Share of Echo/Pima cohorts in K‑5 vs 6‑8.</t>
  </si>
  <si>
    <t>Placeholder split; used to route retained students and compute portable needs.</t>
  </si>
  <si>
    <t>District enrollment by grade (ACFR or school profiles). (Scottsdale Unified School District)</t>
  </si>
  <si>
    <t>Paste actual Echo/Pima grade distributions to tighten portable math.</t>
  </si>
  <si>
    <t>Comparable $/student</t>
  </si>
  <si>
    <t>A neutralized cost metric for scenario comparisons.</t>
  </si>
  <si>
    <t>Operating MO$ – Aid$ – Override$, divided by served students (open + retained) for a given year, with 5‑yr average also shown.</t>
  </si>
  <si>
    <t>Model construct; grounded in Fund 001 definitions, ADE aid mechanics, and override law. (Auditor General)</t>
  </si>
  <si>
    <t>Use alongside Net ($) deltas and displacement/served to balance dollars with disruption.</t>
  </si>
  <si>
    <t>Net ($)</t>
  </si>
  <si>
    <t>Operating Comparable_MO$ – Aid$ – Override$ (excludes capital).</t>
  </si>
  <si>
    <t>Reported annual and as 5‑yr average; Dashboard shows Δ vs A.</t>
  </si>
  <si>
    <t>Model construct; see Fund 001 and aid/override cites above. (Auditor General)</t>
  </si>
  <si>
    <t>Capital is shown separately in Capital_Summary (FY26).</t>
  </si>
  <si>
    <t>USFR Function mapping</t>
  </si>
  <si>
    <t>Required accounting framework for districts.</t>
  </si>
  <si>
    <t>Confirms which costs live in plant ops (2600), admin (2300), etc.—helps classify fixed vs variable.</t>
  </si>
  <si>
    <t>USFR manual (latest). (Auditor General)</t>
  </si>
  <si>
    <t>Use this to back your fixed‑share replacement on Site_Fixed.</t>
  </si>
  <si>
    <t>SUSD ACFR / AFR</t>
  </si>
  <si>
    <t>Official audited reports.</t>
  </si>
  <si>
    <t>Use to validate Fund 001 totals, trends, and enrollment context.</t>
  </si>
  <si>
    <t>SUSD ACFR FY24; AFR FY25 (M&amp;O sections). (Scottsdale Unified School District)</t>
  </si>
  <si>
    <t>Pull site‑level fixed from the district’s Fund 001 detail if published; otherwise request from Finance.</t>
  </si>
  <si>
    <t>SUSD Adopted/Amended Budget</t>
  </si>
  <si>
    <t>Official adopted budgets &amp; summaries.</t>
  </si>
  <si>
    <t>Use to extract current per‑ADM aid proxies, override details, and function totals if AFR isn’t final.</t>
  </si>
  <si>
    <t>SUSD Budget page (links to ADE downloads). (Scottsdale Unified School District)</t>
  </si>
  <si>
    <t>Keep citation to the exact PDF/excel you used (title/date).</t>
  </si>
  <si>
    <t>Official ADM (Echo/Pima, 40th &amp; 100th) → Parameters_Public; set 40/100 switch.</t>
  </si>
  <si>
    <t>Audited district M&amp;O per ADM (ACFR/Adopted) → Parameters_Public C14.</t>
  </si>
  <si>
    <t>Override: published percent and dollar (or RCL) → Parameters_Public C17–C19 (toggle ON).</t>
  </si>
  <si>
    <t>Site‑level fixed M&amp;O (FY25) for Echo &amp; Pima (Fund 001 function totals) → Site_Fixed (retire the 30% fixed proxy).</t>
  </si>
  <si>
    <t>Receiving spare seats (K‑5 and 6–8) for FY26 (or a by‑school matrix if you want the deeper feasibility pass).</t>
  </si>
  <si>
    <t>1. Official ADM for Echo/Pima (40th &amp; 100th) → Parameters_Public; set 40/100 selector.</t>
  </si>
  <si>
    <t>2. Audited district M&amp;O per ADM (ACFR/Adopted) → Parameters_Public C14.</t>
  </si>
  <si>
    <t>3. Override: district’s published % and per‑ADM (or RCL) → Parameters_Public C17–C19 (toggle ON).</t>
  </si>
  <si>
    <t>4. Site‑level fixed M&amp;O (FY25) for Echo &amp; Pima (Fund 001: plant ops, utilities, insurance, site admin) → Site_Fixed (model will retire the 30% fixed proxy).</t>
  </si>
  <si>
    <t>5. Receiving spare seats (K–5 and 6–8) for FY26 → Parameters_Public (or we add a by‑school matrix later for deeper feasibility and routing costs).</t>
  </si>
  <si>
    <t>Model structure &amp; clarity:</t>
  </si>
  <si>
    <t>Dashboard (now): one comparator at a time, with Operating + Capital and assumptions on‑screen.</t>
  </si>
  <si>
    <t>Centralize trend logic: add ApplyTrend flag per scenario and a single Potential formula driven by ADM_Trend% in Parameters_Public (cleaner and easier to maintain).</t>
  </si>
  <si>
    <t>(Optional) Marginal realism: a simple sections/FTE trigger so marginal costs step when a new section is required.</t>
  </si>
  <si>
    <t>QA &amp; Documentation:</t>
  </si>
  <si>
    <t>Expand Definitions_Sources (you’ve started this—great). For each major input note: what it is, how computed, and the exact source (title/link/date).</t>
  </si>
  <si>
    <t>Add a QA grid (one row of checks):</t>
  </si>
  <si>
    <t>Keep‑open scenarios: Net ≈ Comparable_MO – Aid – Override</t>
  </si>
  <si>
    <t>Capital stays out of operating</t>
  </si>
  <si>
    <t>No receiving shortfalls unless Close flags are set</t>
  </si>
  <si>
    <t>Scenario keys unique and present in Summary_Costs / Capital_Summary</t>
  </si>
  <si>
    <t>1) Create a new sheet named Dashboard, then enter:</t>
  </si>
  <si>
    <t>Titles &amp; inputs</t>
  </si>
  <si>
    <t>A1: Echo &amp; Pima Decision Dashboard — one comparator vs A_Repurpose_Both_ops</t>
  </si>
  <si>
    <t>A3: Baseline (A)</t>
  </si>
  <si>
    <t>B3: A_Repurpose_Both_ops</t>
  </si>
  <si>
    <t>A4: Comparator (ScenarioKey)</t>
  </si>
  <si>
    <t>B4: E_StatusQuo_Decline (or any ScenarioKey from your top Scenarios block)</t>
  </si>
  <si>
    <t>(Optional) Data Validation list for B4</t>
  </si>
  <si>
    <t>Create a validation list from the top Scenarios block (A2:Alast):</t>
  </si>
  <si>
    <t>1. Find the last row of the top contiguous scenario list (before any blank): suppose it’s row R.</t>
  </si>
  <si>
    <t>2. In Excel: Data → Data Validation → List, Source:</t>
  </si>
  <si>
    <t>=Scenarios!$A$2:$A$R</t>
  </si>
  <si>
    <t>Operating outputs (from Summary_Costs)</t>
  </si>
  <si>
    <t>D2: OPERATING</t>
  </si>
  <si>
    <t>D3: FY2030 Net ($)</t>
  </si>
  <si>
    <t>E3: 5-yr Avg Net ($)</t>
  </si>
  <si>
    <t>F3: Δ vs A (FY2030)</t>
  </si>
  <si>
    <t>G3: Δ vs A (5-yr Avg)</t>
  </si>
  <si>
    <t>H3: Students displaced</t>
  </si>
  <si>
    <t>I3: FY2030 served</t>
  </si>
  <si>
    <t>Now paste the four lookup pairs + deltas (replace column letters if yours differ):</t>
  </si>
  <si>
    <t>D4: =INDEX(Summary_Costs!$[NET2030]:$[NET2030], MATCH($B$3, Summary_Costs!$[KEY]:$[KEY], 0))</t>
  </si>
  <si>
    <t>D5: =INDEX(Summary_Costs!$[NET2030]:$[NET2030], MATCH($B$4, Summary_Costs!$[KEY]:$[KEY], 0))</t>
  </si>
  <si>
    <t>F5: =D5-D4</t>
  </si>
  <si>
    <t>E4: =INDEX(Summary_Costs!$[AVG5]:$[AVG5], MATCH($B$3, Summary_Costs!$[KEY]:$[KEY], 0))</t>
  </si>
  <si>
    <t>E5: =INDEX(Summary_Costs!$[AVG5]:$[AVG5], MATCH($B$4, Summary_Costs!$[KEY]:$[KEY], 0))</t>
  </si>
  <si>
    <t>G5: =E5-E4</t>
  </si>
  <si>
    <t>H4: =INDEX(Summary_Costs!$[DISP]:$[DISP], MATCH($B$3, Summary_Costs!$[KEY]:$[KEY], 0))</t>
  </si>
  <si>
    <t>H5: =INDEX(Summary_Costs!$[DISP]:$[DISP], MATCH($B$4, Summary_Costs!$[KEY]:$[KEY], 0))</t>
  </si>
  <si>
    <t>I4: =INDEX(Summary_Costs!$[SRV2030]:$[SRV2030], MATCH($B$3, Summary_Costs!$[KEY]:$[KEY], 0))</t>
  </si>
  <si>
    <t>I5: =INDEX(Summary_Costs!$[SRV2030]:$[SRV2030], MATCH($B$4, Summary_Costs!$[KEY]:$[KEY], 0))</t>
  </si>
  <si>
    <t>Replace the placeholders with your actual column letters:</t>
  </si>
  <si>
    <t>• [KEY] = column of Summary_Costs!ScenarioKey</t>
  </si>
  <si>
    <t>• [NET2030] = column of FY2030 Net ($)</t>
  </si>
  <si>
    <t>• [AVG5] = column of 5‑yr Avg Net ($)</t>
  </si>
  <si>
    <t>• [DISP] = column of # students displaced</t>
  </si>
  <si>
    <t>• [SRV2030] = column of FY2030 # students served (open &amp; retained)</t>
  </si>
  <si>
    <t>Capital outputs (from Capital_Summary)</t>
  </si>
  <si>
    <t>K2: CAPITAL — FY2026 only</t>
  </si>
  <si>
    <t>K3: FY2026 Capital ($)</t>
  </si>
  <si>
    <t>L3: Δ vs A</t>
  </si>
  <si>
    <t>Paste:</t>
  </si>
  <si>
    <t>K4:</t>
  </si>
  <si>
    <t>=SUMPRODUCT((Capital_Summary!$[CKEY]:$[CKEY]=$B$3)*(Capital_Summary!$[CYEAR]:$[CYEAR]="FY2026")*(Capital_Summary!$[CTOT]:$[CTOT]))</t>
  </si>
  <si>
    <t>K5:</t>
  </si>
  <si>
    <t>=SUMPRODUCT((Capital_Summary!$[CKEY]:$[CKEY]=$B$4)*(Capital_Summary!$[CYEAR]:$[CYEAR]="FY2026")*(Capital_Summary!$[CTOT]:$[CTOT]))</t>
  </si>
  <si>
    <t>L5: =K5-K4</t>
  </si>
  <si>
    <t>Replace:</t>
  </si>
  <si>
    <t>• [CKEY] = Capital_Summary!ScenarioKey column letter</t>
  </si>
  <si>
    <t>• [CYEAR] = Capital_Summary!Year column letter</t>
  </si>
  <si>
    <t>• [CTOT] = Capital_Summary!Total_Capital$ column letter</t>
  </si>
  <si>
    <t>Assumptions (from Parameters_Public)</t>
  </si>
  <si>
    <t>A7: Assumptions (from Parameters_Public)</t>
  </si>
  <si>
    <t>A8: Retention r (Echo central) → B8: =Parameters_Public!C24 (adjust if needed)</t>
  </si>
  <si>
    <t>A9: Retention r (Pima central) → B9: =Parameters_Public!C25</t>
  </si>
  <si>
    <t>A10: MarginalFactor_for_Overlay → B10: =Parameters_Public!C21</t>
  </si>
  <si>
    <t>A11: Override toggle (%) → B11: =Parameters_Public!C17</t>
  </si>
  <si>
    <t>Need</t>
  </si>
  <si>
    <t>Why it matters</t>
  </si>
  <si>
    <t>Where to request / find</t>
  </si>
  <si>
    <t>Format we need</t>
  </si>
  <si>
    <t>Status</t>
  </si>
  <si>
    <t>Echo &amp; Pima 40th &amp; 100th day ADM (most recent 3 yrs)</t>
  </si>
  <si>
    <t>Locks the starting cohort; improves accuracy of Served_ADM and displacement math.</t>
  </si>
  <si>
    <t>ADE School Finance (SDADMS reports) or SUSD Enrollment/Research Office. (Arizona Department of Education)</t>
  </si>
  <si>
    <t>CSV/XLS or email with figures.</t>
  </si>
  <si>
    <t>—</t>
  </si>
  <si>
    <t>District M&amp;O per ADM (audited)</t>
  </si>
  <si>
    <t>Replaces proxy for variable cost scaling.</t>
  </si>
  <si>
    <t>SUSD ACFR/AFR M&amp;O totals ÷ district ADM; or Adopted Budget notes. (Scottsdale Unified School District)</t>
  </si>
  <si>
    <t>Citation + one number (FY).</t>
  </si>
  <si>
    <t>Override % and $/ADM or RCL</t>
  </si>
  <si>
    <t>Makes revenue line precise; trustees will ask.</t>
  </si>
  <si>
    <t>SUSD Budget page / ballot pamphlets; Finance office. (Scottsdale Unified School District)</t>
  </si>
  <si>
    <t>Percent and per‑ADM equivalent (or RCL).</t>
  </si>
  <si>
    <t>Site‑level fixed M&amp;O FY25 (Echo/Pima)</t>
  </si>
  <si>
    <t>Retires the 30% proxy; makes carry glide credible.</t>
  </si>
  <si>
    <t>SUSD Finance (Fund 001 by function for each site: plant ops, insurance, utilities, site admin). (Auditor General)</t>
  </si>
  <si>
    <t>Small table by function for each school.</t>
  </si>
  <si>
    <t>Transport unit costs</t>
  </si>
  <si>
    <t>Converts h from proxy to real incremental.</t>
  </si>
  <si>
    <t>SUSD Transportation: cost per route‑hour; riders/route; fuel/driver; planned route changes if closure.</t>
  </si>
  <si>
    <t>Route‑hour $ and avg riders/route.</t>
  </si>
  <si>
    <t>Receiving spare seats by school (K–5, 6–8)</t>
  </si>
  <si>
    <t>Validates feasibility; drives Portables$.</t>
  </si>
  <si>
    <t>SUSD Facilities / Planning; school principals.</t>
  </si>
  <si>
    <t>Table: school, band, spare seats.</t>
  </si>
  <si>
    <t>Echo/Pima grade distribution</t>
  </si>
  <si>
    <t>Splits displacement K–5 vs 6–8.</t>
  </si>
  <si>
    <t>SUSD Enrollment data.</t>
  </si>
  <si>
    <t>Two percentages (or counts) per site.</t>
  </si>
  <si>
    <t>Out‑of‑district share (Echo)</t>
  </si>
  <si>
    <t>Retention risk calibration (open enrollment heavy).</t>
  </si>
  <si>
    <t>SUSD Enrollment (residency flags).</t>
  </si>
  <si>
    <t>% of Echo not resident.</t>
  </si>
  <si>
    <t>Growth Capex scopes (Arts / Innov)</t>
  </si>
  <si>
    <t>Turns growth investments from placeholders to defensible asks.</t>
  </si>
  <si>
    <t>Principals + Facilities + vendors; cite comparable magnet/innovation builds.</t>
  </si>
  <si>
    <t>Scope + cost estimate per site.</t>
  </si>
  <si>
    <t>Lease / admin consolidation plan</t>
  </si>
  <si>
    <t>Determines carry glide under lease umbrella.</t>
  </si>
  <si>
    <t>Superintendent / COO; any MOU drafts.</t>
  </si>
  <si>
    <t>Timeline + functions to move + cost offsets.</t>
  </si>
  <si>
    <t>Class‑size/FTE triggers by grade</t>
  </si>
  <si>
    <t>Upgrades marginal factor (stepwise sections).</t>
  </si>
  <si>
    <t>HR/Teaching &amp; Learning; staffing guidelines.</t>
  </si>
  <si>
    <t>Triggers (e.g., section added at N).</t>
  </si>
  <si>
    <t>Legal/board policy constraints</t>
  </si>
  <si>
    <t>Flags feasibility (e.g., sale timelines, procurement).</t>
  </si>
  <si>
    <t>District legal/policy manual; USFR. (Auditor General)</t>
  </si>
  <si>
    <t>Link + notes.</t>
  </si>
  <si>
    <t>Comms/engagement metrics</t>
  </si>
  <si>
    <t>Supports “method problem” fix plan (warm handoffs).</t>
  </si>
  <si>
    <t>Family communications office; school logs.</t>
  </si>
  <si>
    <t>Baseline and target KPIs.</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</si>
  <si>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</si>
  <si>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</si>
  <si>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</si>
  <si>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</si>
  <si>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</si>
  <si>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</si>
  <si>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</si>
  <si>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</si>
  <si>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</si>
  <si>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</si>
  <si>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</si>
  <si>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</si>
  <si>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</si>
  <si>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</si>
  <si>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</si>
  <si>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</si>
  <si>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</si>
  <si>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</si>
  <si>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</si>
  <si>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</si>
  <si>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</si>
  <si>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</si>
  <si>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</si>
  <si>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</si>
  <si>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</si>
  <si>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</si>
  <si>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</si>
  <si>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</si>
  <si>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</si>
  <si>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</si>
  <si>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</si>
  <si>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</si>
  <si>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</si>
  <si>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</si>
  <si>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</si>
  <si>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</si>
  <si>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</si>
  <si>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</si>
  <si>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</si>
  <si>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</si>
  <si>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</si>
  <si>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</si>
  <si>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</si>
  <si>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</si>
  <si>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</si>
  <si>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</si>
  <si>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</si>
  <si>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</si>
  <si>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</si>
  <si>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</si>
  <si>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</si>
  <si>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</si>
  <si>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</si>
  <si>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</si>
  <si>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</si>
  <si>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</si>
  <si>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</si>
  <si>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</si>
  <si>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</si>
  <si>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</si>
  <si>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</si>
  <si>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</si>
  <si>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</si>
  <si>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</si>
  <si>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</si>
  <si>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</si>
  <si>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YearIdx</t>
  </si>
  <si>
    <t>Aid$</t>
  </si>
  <si>
    <t>Orig h</t>
  </si>
  <si>
    <t>Orig f_lease</t>
  </si>
  <si>
    <t>Orig f_ops</t>
  </si>
  <si>
    <t>Label</t>
  </si>
  <si>
    <t>EchoShareDist</t>
  </si>
  <si>
    <t>Overlay_FY26</t>
  </si>
  <si>
    <t>Overlay_FY27</t>
  </si>
  <si>
    <t>Overlay_FY28</t>
  </si>
  <si>
    <t>Overlay_FY29</t>
  </si>
  <si>
    <t>Overlay_FY30</t>
  </si>
  <si>
    <t>Carry</t>
  </si>
  <si>
    <t>Growth_Echo</t>
  </si>
  <si>
    <t>Growth_Pima</t>
  </si>
  <si>
    <t>ADM_Trend</t>
  </si>
  <si>
    <t>Apply_Echo_Trend</t>
  </si>
  <si>
    <t>Apply_Pima_Trend</t>
  </si>
  <si>
    <t>D_CUSTOM1</t>
  </si>
  <si>
    <t>Baseline + outreach; no closures</t>
  </si>
  <si>
    <t>None</t>
  </si>
  <si>
    <t>E_StatusQuo_Targets</t>
  </si>
  <si>
    <t>Baseline + targets; no closures</t>
  </si>
  <si>
    <t>F_CoLocation_Echo_Targets</t>
  </si>
  <si>
    <t>Shared‑use efficiencies later (no closure)</t>
  </si>
  <si>
    <t>D_Grow_Both_Targets</t>
  </si>
  <si>
    <t>Baseline +100 overlay</t>
  </si>
  <si>
    <t>Innov</t>
  </si>
  <si>
    <t>Arts</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</si>
  <si>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</si>
  <si>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</si>
  <si>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</si>
  <si>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</si>
  <si>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</si>
  <si>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</si>
  <si>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</si>
  <si>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</si>
  <si>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</si>
  <si>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</si>
  <si>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</si>
  <si>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</si>
  <si>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</si>
  <si>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</si>
  <si>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</si>
  <si>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</si>
  <si>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</si>
  <si>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</si>
  <si>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H_StatusQuo_Decline</t>
  </si>
  <si>
    <t>Status-Quo + DeclineTrend</t>
  </si>
  <si>
    <t>Keep open but decline per district forecast</t>
  </si>
  <si>
    <t>Orig</t>
  </si>
  <si>
    <t>Base (for comparison)</t>
  </si>
  <si>
    <t>Chart title</t>
  </si>
  <si>
    <t>Scenario</t>
  </si>
  <si>
    <t>Capital outlay 2026</t>
  </si>
  <si>
    <t>NET2026</t>
  </si>
  <si>
    <t>NET2028</t>
  </si>
  <si>
    <t>NET2030</t>
  </si>
  <si>
    <t>AVG5</t>
  </si>
  <si>
    <t>DISP</t>
  </si>
  <si>
    <t>SRV2030</t>
  </si>
  <si>
    <t>Δ vs Base (FY2030 Net)</t>
  </si>
  <si>
    <t>Δ vs Base (5-yr Avg Net)</t>
  </si>
  <si>
    <t>Echo &amp; Pima Decision Dashboard — one comparator vs A_Repurpose_Both_ops</t>
  </si>
  <si>
    <t>OPERATING</t>
  </si>
  <si>
    <t>CAPITAL — FY2026 only</t>
  </si>
  <si>
    <t>FY2030 Net ($)</t>
  </si>
  <si>
    <t>5-yr Avg Net ($)</t>
  </si>
  <si>
    <t>Students displaced</t>
  </si>
  <si>
    <t>FY2030 students served</t>
  </si>
  <si>
    <t>FY2026 Capital ($)</t>
  </si>
  <si>
    <t>Δ vs A</t>
  </si>
  <si>
    <t>Baseline (Base)</t>
  </si>
  <si>
    <t>Comparator (ScenarioKey)</t>
  </si>
  <si>
    <t>Assumptions (from Parameters_Public / Control_Center)</t>
  </si>
  <si>
    <t>Retention r (Echo central)</t>
  </si>
  <si>
    <t>Retention r (Pima central)</t>
  </si>
  <si>
    <t>Override %</t>
  </si>
  <si>
    <t>Override toggle (0/1)</t>
  </si>
  <si>
    <t>Consistency checks: Served_ADM vs (Total_ADM + Retained_ADM)</t>
  </si>
  <si>
    <t>Baseline FY2030</t>
  </si>
  <si>
    <t>Baseline FY2026</t>
  </si>
  <si>
    <t>Comparator FY2030</t>
  </si>
  <si>
    <t>Comparator FY2026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</si>
</sst>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
    <numFmt numFmtId="165" formatCode="_(&quot;$&quot;* #,##0_);_(&quot;$&quot;* \(#,##0\);_(&quot;$&quot;* &quot;-&quot;??_);_(@_)"/>
    <numFmt numFmtId="166" formatCode="_-\$* #,##0_-;\-\$* #,##0_-;_-* &quot;-&quot;??_-;_-@_-"/>
  </numFmts>
  <fonts count="18">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3.5"/>
      <color theme="1"/>
      <name val="Calibri"/>
      <family val="2"/>
      <scheme val="minor"/>
    </font>
    <font>
      <b/>
      <sz val="11"/>
      <name val="Calibri"/>
      <family val="2"/>
    </font>
    <font>
      <b/>
      <sz val="11"/>
      <name val="Calibri"/>
      <family val="2"/>
    </font>
  </fonts>
  <fills count="8">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
    <xf numFmtId="0" fontId="0" fillId="0" borderId="0"/>
    <xf numFmtId="44" fontId="3" fillId="0" borderId="0"/>
    <xf numFmtId="0" fontId="11" fillId="0" borderId="0"/>
    <xf numFmtId="0" fontId="13" fillId="0" borderId="0"/>
  </cellStyleXfs>
  <cellXfs count="52">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7" borderId="0" xfId="0" applyFont="1" applyFill="1" applyAlignment="1">
      <alignment vertical="center" wrapText="1"/>
    </xf>
    <xf numFmtId="0" fontId="6" fillId="7" borderId="0" xfId="0" applyFont="1" applyFill="1"/>
    <xf numFmtId="0" fontId="0" fillId="3" borderId="0" xfId="0" applyFill="1"/>
    <xf numFmtId="0" fontId="1" fillId="0" borderId="0" xfId="0" applyFont="1" applyAlignment="1">
      <alignment horizontal="left" vertical="center" indent="1"/>
    </xf>
    <xf numFmtId="0" fontId="0" fillId="0" borderId="0" xfId="0" applyAlignment="1">
      <alignment horizontal="left" vertical="center" indent="1"/>
    </xf>
    <xf numFmtId="0" fontId="0" fillId="0" borderId="0" xfId="0" applyAlignment="1">
      <alignment horizontal="left" vertical="center" indent="2"/>
    </xf>
    <xf numFmtId="0" fontId="0" fillId="0" borderId="0" xfId="0"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indent="1"/>
    </xf>
    <xf numFmtId="0" fontId="11" fillId="0" borderId="0" xfId="2"/>
    <xf numFmtId="0" fontId="16" fillId="0" borderId="0" xfId="0" applyFont="1"/>
    <xf numFmtId="0" fontId="16" fillId="0" borderId="0" xfId="0" applyFont="1" applyAlignment="1">
      <alignment horizontal="center"/>
    </xf>
    <xf numFmtId="0" fontId="17" fillId="2" borderId="1" xfId="0" applyFont="1" applyFill="1" applyBorder="1"/>
    <xf numFmtId="0" fontId="17" fillId="0" borderId="0" xfId="0" applyFont="1"/>
    <xf numFmtId="166" fontId="0" fillId="0" borderId="0" xfId="0" applyNumberFormat="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3" xfId="0" applyBorder="1"/>
    <xf numFmtId="0" fontId="0" fillId="0" borderId="2"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8" Type="http://schemas.openxmlformats.org/officeDocument/2006/relationships/hyperlink" Target="https://www.azed.gov/finance/school-finance-external-guidelines?utm_source=chatgpt.com" TargetMode="External"/><Relationship Id="rId13" Type="http://schemas.openxmlformats.org/officeDocument/2006/relationships/hyperlink" Target="https://www.azleg.gov/ars/15/00481.htm?utm_source=chatgpt.com" TargetMode="External"/><Relationship Id="rId18" Type="http://schemas.openxmlformats.org/officeDocument/2006/relationships/hyperlink" Target="https://www.azauditor.gov/sites/default/files/2023-09/HowToCalculateOperational-NonoperationalSpending.pdf?utm_source=chatgpt.com" TargetMode="External"/><Relationship Id="rId3" Type="http://schemas.openxmlformats.org/officeDocument/2006/relationships/hyperlink" Target="https://sundevilcentral.eoss.asu.edu/club_signup?category_tags=6551555&amp;group_type=&amp;view=all&amp;utm_source=chatgpt.com" TargetMode="External"/><Relationship Id="rId21" Type="http://schemas.openxmlformats.org/officeDocument/2006/relationships/hyperlink" Target="https://www.azauditor.gov/sites/default/files/2023-09/HowToCalculateOperational-NonoperationalSpending.pdf?utm_source=chatgpt.com" TargetMode="External"/><Relationship Id="rId7" Type="http://schemas.openxmlformats.org/officeDocument/2006/relationships/hyperlink" Target="https://www.azleg.gov/ars/15/00901.htm?utm_source=chatgpt.com" TargetMode="External"/><Relationship Id="rId12" Type="http://schemas.openxmlformats.org/officeDocument/2006/relationships/hyperlink" Target="https://sfbudget.ade.az.gov/Budget/Help/Introduction/Glossary.htm?utm_source=chatgpt.com" TargetMode="External"/><Relationship Id="rId17" Type="http://schemas.openxmlformats.org/officeDocument/2006/relationships/hyperlink" Target="https://www.azauditor.gov/sites/default/files/2023-11/USFR102323%282%29.pdf?utm_source=chatgpt.com" TargetMode="External"/><Relationship Id="rId25" Type="http://schemas.openxmlformats.org/officeDocument/2006/relationships/hyperlink" Target="https://www.susd.org/departments/finance/budget?utm_source=chatgpt.com" TargetMode="External"/><Relationship Id="rId2" Type="http://schemas.openxmlformats.org/officeDocument/2006/relationships/hyperlink" Target="https://sdspending.azauditor.gov/" TargetMode="External"/><Relationship Id="rId16" Type="http://schemas.openxmlformats.org/officeDocument/2006/relationships/hyperlink" Target="https://www.azauditor.gov/sites/default/files/2023-09/HowToCalculateOperational-NonoperationalSpending.pdf?utm_source=chatgpt.com" TargetMode="External"/><Relationship Id="rId20"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11" Type="http://schemas.openxmlformats.org/officeDocument/2006/relationships/hyperlink" Target="https://www.azauditor.gov/sites/default/files/2023-09/HowToCalculateOperational-NonoperationalSpending.pdf?utm_source=chatgpt.com" TargetMode="External"/><Relationship Id="rId24" Type="http://schemas.openxmlformats.org/officeDocument/2006/relationships/hyperlink" Target="https://www.susd.org/fs/resource-manager/view/01a0856f-3a75-4ceb-9e90-02f85099b68d?utm_source=chatgpt.com" TargetMode="External"/><Relationship Id="rId5" Type="http://schemas.openxmlformats.org/officeDocument/2006/relationships/hyperlink" Target="https://ade.az.gov/schoolfinance/STaR/SAISInfoSeries/SIS16.pdf?utm_source=chatgpt.com" TargetMode="External"/><Relationship Id="rId15" Type="http://schemas.openxmlformats.org/officeDocument/2006/relationships/hyperlink" Target="https://www.azauditor.gov/sites/default/files/2023-11/Skull_Valley_ESD_12.pdf?utm_source=chatgpt.com" TargetMode="External"/><Relationship Id="rId23" Type="http://schemas.openxmlformats.org/officeDocument/2006/relationships/hyperlink" Target="https://www.azauditor.gov/sites/default/files/2023-11/USFR102323%282%29.pdf?utm_source=chatgpt.com" TargetMode="External"/><Relationship Id="rId10" Type="http://schemas.openxmlformats.org/officeDocument/2006/relationships/hyperlink" Target="https://www.susd.org/departments/finance/budget?utm_source=chatgpt.com" TargetMode="External"/><Relationship Id="rId19" Type="http://schemas.openxmlformats.org/officeDocument/2006/relationships/hyperlink" Target="https://www.susd.org/departments/finance/budget?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 Id="rId9" Type="http://schemas.openxmlformats.org/officeDocument/2006/relationships/hyperlink" Target="https://www.azauditor.gov/sites/default/files/2023-11/USFR102323%282%29.pdf?utm_source=chatgpt.com" TargetMode="External"/><Relationship Id="rId14" Type="http://schemas.openxmlformats.org/officeDocument/2006/relationships/hyperlink" Target="https://www.ade.az.gov/schoolfinance/star/SAISInfoSeries/SIS7.pdf?utm_source=chatgpt.com" TargetMode="External"/><Relationship Id="rId22" Type="http://schemas.openxmlformats.org/officeDocument/2006/relationships/hyperlink" Target="https://www.azauditor.gov/sites/default/files/2023-09/HowToCalculateOperational-NonoperationalSpending.pdf?utm_source=chatgpt.com"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sd.org/departments/finance/budget?utm_source=chatgpt.com" TargetMode="External"/><Relationship Id="rId2" Type="http://schemas.openxmlformats.org/officeDocument/2006/relationships/hyperlink" Target="https://www.susd.org/fs/resource-manager/view/01a0856f-3a75-4ceb-9e90-02f85099b68d?utm_source=chatgpt.com" TargetMode="External"/><Relationship Id="rId1" Type="http://schemas.openxmlformats.org/officeDocument/2006/relationships/hyperlink" Target="https://www.azed.gov/finance/school-finance-external-guidelines?utm_source=chatgpt.com" TargetMode="External"/><Relationship Id="rId5" Type="http://schemas.openxmlformats.org/officeDocument/2006/relationships/hyperlink" Target="https://www.azauditor.gov/sites/default/files/2023-11/USFR102323%282%29.pdf?utm_source=chatgpt.com" TargetMode="External"/><Relationship Id="rId4" Type="http://schemas.openxmlformats.org/officeDocument/2006/relationships/hyperlink" Target="https://www.azauditor.gov/sites/default/files/2023-11/USFR102323%282%29.pdf?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3"/>
  <sheetViews>
    <sheetView zoomScale="70" zoomScaleNormal="70" workbookViewId="0">
      <selection activeCell="F6" sqref="F6"/>
    </sheetView>
  </sheetViews>
  <sheetFormatPr defaultRowHeight="14.5"/>
  <cols>
    <col min="2" max="2" width="36.90625" bestFit="1" customWidth="1"/>
    <col min="4" max="4" width="19.81640625" bestFit="1" customWidth="1"/>
  </cols>
  <sheetData>
    <row r="1" spans="1:6" ht="22.5" customHeight="1">
      <c r="A1" s="46" t="s">
        <v>0</v>
      </c>
      <c r="B1" s="47"/>
      <c r="C1" s="47"/>
      <c r="D1" s="47"/>
      <c r="E1" s="47"/>
      <c r="F1" s="47"/>
    </row>
    <row r="3" spans="1:6">
      <c r="A3" t="s">
        <v>1</v>
      </c>
      <c r="C3" t="s">
        <v>2</v>
      </c>
      <c r="E3" t="s">
        <v>3</v>
      </c>
    </row>
    <row r="4" spans="1:6">
      <c r="B4" t="s">
        <v>4</v>
      </c>
      <c r="C4">
        <v>257</v>
      </c>
      <c r="D4" t="s">
        <v>5</v>
      </c>
      <c r="E4" t="s">
        <v>6</v>
      </c>
    </row>
    <row r="5" spans="1:6">
      <c r="B5" t="s">
        <v>7</v>
      </c>
      <c r="C5">
        <v>257</v>
      </c>
      <c r="D5" t="s">
        <v>8</v>
      </c>
      <c r="E5" t="s">
        <v>9</v>
      </c>
    </row>
    <row r="6" spans="1:6">
      <c r="B6" t="s">
        <v>10</v>
      </c>
      <c r="C6">
        <v>296</v>
      </c>
      <c r="D6" t="s">
        <v>11</v>
      </c>
      <c r="E6" t="s">
        <v>12</v>
      </c>
    </row>
    <row r="7" spans="1:6">
      <c r="B7" t="s">
        <v>13</v>
      </c>
      <c r="C7">
        <v>296</v>
      </c>
      <c r="E7" t="s">
        <v>14</v>
      </c>
    </row>
    <row r="8" spans="1:6">
      <c r="B8" t="s">
        <v>5</v>
      </c>
      <c r="C8">
        <v>40</v>
      </c>
      <c r="E8" t="s">
        <v>15</v>
      </c>
    </row>
    <row r="10" spans="1:6">
      <c r="B10" t="s">
        <v>8</v>
      </c>
      <c r="C10">
        <f>IF(C8=40,C4,C5)</f>
        <v>257</v>
      </c>
      <c r="E10" t="s">
        <v>16</v>
      </c>
    </row>
    <row r="11" spans="1:6">
      <c r="B11" t="s">
        <v>11</v>
      </c>
      <c r="C11">
        <f>IF(C8=40,C6,C7)</f>
        <v>296</v>
      </c>
      <c r="E11" t="s">
        <v>17</v>
      </c>
    </row>
    <row r="13" spans="1:6">
      <c r="A13" t="s">
        <v>18</v>
      </c>
    </row>
    <row r="14" spans="1:6">
      <c r="B14" t="s">
        <v>19</v>
      </c>
      <c r="C14">
        <v>11589</v>
      </c>
      <c r="E14" t="s">
        <v>20</v>
      </c>
    </row>
    <row r="16" spans="1:6">
      <c r="A16" t="s">
        <v>21</v>
      </c>
    </row>
    <row r="17" spans="1:6">
      <c r="B17" t="s">
        <v>22</v>
      </c>
      <c r="C17">
        <v>0.15</v>
      </c>
      <c r="E17" t="s">
        <v>23</v>
      </c>
    </row>
    <row r="18" spans="1:6">
      <c r="B18" t="s">
        <v>24</v>
      </c>
      <c r="C18">
        <v>5013</v>
      </c>
      <c r="E18" t="s">
        <v>25</v>
      </c>
    </row>
    <row r="19" spans="1:6">
      <c r="B19" t="s">
        <v>26</v>
      </c>
      <c r="C19">
        <f>C17*C18</f>
        <v>751.94999999999993</v>
      </c>
      <c r="E19" t="s">
        <v>27</v>
      </c>
    </row>
    <row r="20" spans="1:6">
      <c r="B20" t="s">
        <v>28</v>
      </c>
      <c r="C20">
        <v>1</v>
      </c>
      <c r="E20" t="s">
        <v>29</v>
      </c>
    </row>
    <row r="22" spans="1:6">
      <c r="B22" t="s">
        <v>30</v>
      </c>
      <c r="C22">
        <v>0.6</v>
      </c>
      <c r="E22" t="s">
        <v>31</v>
      </c>
    </row>
    <row r="23" spans="1:6">
      <c r="B23" t="s">
        <v>32</v>
      </c>
      <c r="C23">
        <v>0.85</v>
      </c>
      <c r="E23" t="s">
        <v>33</v>
      </c>
    </row>
    <row r="24" spans="1:6">
      <c r="A24" s="48" t="s">
        <v>34</v>
      </c>
      <c r="B24" s="47"/>
      <c r="C24" s="47"/>
      <c r="D24" s="47"/>
      <c r="E24" s="47"/>
      <c r="F24" s="47"/>
    </row>
    <row r="26" spans="1:6">
      <c r="B26" t="s">
        <v>35</v>
      </c>
      <c r="C26">
        <v>0</v>
      </c>
      <c r="E26" t="s">
        <v>36</v>
      </c>
    </row>
    <row r="27" spans="1:6">
      <c r="B27" t="s">
        <v>37</v>
      </c>
      <c r="C27">
        <f>BaselineCalc!$B$22</f>
        <v>1200000</v>
      </c>
      <c r="E27" t="s">
        <v>38</v>
      </c>
    </row>
    <row r="28" spans="1:6">
      <c r="B28" t="s">
        <v>39</v>
      </c>
      <c r="C28">
        <v>800000</v>
      </c>
      <c r="E28" t="s">
        <v>40</v>
      </c>
    </row>
    <row r="29" spans="1:6">
      <c r="B29" t="s">
        <v>41</v>
      </c>
      <c r="C29">
        <v>1200000</v>
      </c>
      <c r="E29" t="s">
        <v>42</v>
      </c>
    </row>
    <row r="30" spans="1:6">
      <c r="B30" t="s">
        <v>43</v>
      </c>
      <c r="C30">
        <v>0</v>
      </c>
      <c r="E30" t="s">
        <v>44</v>
      </c>
    </row>
    <row r="31" spans="1:6">
      <c r="B31" t="s">
        <v>45</v>
      </c>
      <c r="C31">
        <v>800000</v>
      </c>
      <c r="E31" t="s">
        <v>46</v>
      </c>
    </row>
    <row r="32" spans="1:6">
      <c r="B32" t="s">
        <v>47</v>
      </c>
      <c r="C32">
        <v>12000</v>
      </c>
      <c r="E32" t="s">
        <v>48</v>
      </c>
    </row>
    <row r="33" spans="2:5">
      <c r="B33" t="s">
        <v>49</v>
      </c>
      <c r="C33">
        <v>300</v>
      </c>
      <c r="E33" t="s">
        <v>50</v>
      </c>
    </row>
    <row r="34" spans="2:5">
      <c r="B34" t="s">
        <v>51</v>
      </c>
      <c r="C34">
        <v>150</v>
      </c>
      <c r="E34" t="s">
        <v>52</v>
      </c>
    </row>
    <row r="36" spans="2:5">
      <c r="B36" t="s">
        <v>53</v>
      </c>
      <c r="C36">
        <v>0.7</v>
      </c>
      <c r="E36" t="s">
        <v>54</v>
      </c>
    </row>
    <row r="37" spans="2:5">
      <c r="B37" t="s">
        <v>55</v>
      </c>
      <c r="C37">
        <v>0.3</v>
      </c>
    </row>
    <row r="38" spans="2:5">
      <c r="B38" t="s">
        <v>56</v>
      </c>
      <c r="C38">
        <v>1</v>
      </c>
    </row>
    <row r="39" spans="2:5">
      <c r="B39" t="s">
        <v>57</v>
      </c>
      <c r="C39">
        <v>0</v>
      </c>
    </row>
    <row r="41" spans="2:5">
      <c r="B41" t="s">
        <v>58</v>
      </c>
      <c r="C41">
        <v>0.4</v>
      </c>
    </row>
    <row r="42" spans="2:5">
      <c r="B42" t="s">
        <v>59</v>
      </c>
      <c r="C42">
        <v>0.02</v>
      </c>
    </row>
    <row r="43" spans="2:5">
      <c r="B43" t="s">
        <v>60</v>
      </c>
      <c r="C43">
        <v>0.02</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election activeCell="F15" sqref="F15"/>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3"/>
  <sheetViews>
    <sheetView zoomScale="80" zoomScaleNormal="80" workbookViewId="0">
      <pane xSplit="1" ySplit="3" topLeftCell="B67" activePane="bottomRight" state="frozen"/>
      <selection pane="topRight" activeCell="B1" sqref="B1"/>
      <selection pane="bottomLeft" activeCell="A4" sqref="A4"/>
      <selection pane="bottomRight" activeCell="B82" sqref="B82"/>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47" t="s">
        <v>61</v>
      </c>
      <c r="B1" s="47"/>
      <c r="C1" s="47"/>
      <c r="D1" s="47"/>
      <c r="E1" s="47"/>
      <c r="F1" s="47"/>
      <c r="G1" s="47"/>
      <c r="H1" s="47"/>
    </row>
    <row r="3" spans="1:8">
      <c r="A3" s="4" t="s">
        <v>62</v>
      </c>
      <c r="B3" s="4" t="s">
        <v>63</v>
      </c>
      <c r="C3" s="4" t="s">
        <v>64</v>
      </c>
      <c r="D3" s="4" t="s">
        <v>65</v>
      </c>
      <c r="E3" s="4" t="s">
        <v>66</v>
      </c>
      <c r="F3" s="4" t="s">
        <v>67</v>
      </c>
      <c r="G3" s="4" t="s">
        <v>68</v>
      </c>
      <c r="H3" s="4" t="s">
        <v>69</v>
      </c>
    </row>
    <row r="4" spans="1:8">
      <c r="A4" t="str">
        <f>Scenarios!$A$2</f>
        <v>D_CUSTOM1</v>
      </c>
      <c r="B4" t="s">
        <v>70</v>
      </c>
      <c r="C4">
        <f>INDEX(Scenarios!$D:$D, MATCH($A4, Scenarios!$A:$A, 0)) + INDEX(Scenarios!$E:$E, MATCH($A4, Scenarios!$A:$A, 0))</f>
        <v>0</v>
      </c>
      <c r="D4">
        <f>IF($B4="FY2026",$C4*IF(INDEX(Scenarios!$N:$N, MATCH($A4, Scenarios!$A:$A, 0))="lease", Parameters_Public!$C$31, Parameters_Public!$C$27),0)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IF($B4="FY2026", INDEX(Receiving_Capacity!$L:$L, MATCH($A4, Receiving_Capacity!$A:$A, 0)), 0)</f>
        <v>0</v>
      </c>
      <c r="H4">
        <f t="shared" ref="H4:H35" si="0">SUM(D4:G4)</f>
        <v>0</v>
      </c>
    </row>
    <row r="5" spans="1:8">
      <c r="A5" t="str">
        <f>Scenarios!$A$2</f>
        <v>D_CUSTOM1</v>
      </c>
      <c r="B5" t="s">
        <v>71</v>
      </c>
      <c r="C5">
        <f>INDEX(Scenarios!$D:$D, MATCH($A5, Scenarios!$A:$A, 0)) + INDEX(Scenarios!$E:$E, MATCH($A5, Scenarios!$A:$A, 0))</f>
        <v>0</v>
      </c>
      <c r="D5">
        <f>IF($B5="FY2026",$C5*IF(INDEX(Scenarios!$N:$N, MATCH($A5, Scenarios!$A:$A, 0))="lease", Parameters_Public!$C$31, Parameters_Public!$C$27),0)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IF($B5="FY2026", INDEX(Receiving_Capacity!$L:$L, MATCH($A5, Receiving_Capacity!$A:$A, 0)), 0)</f>
        <v>0</v>
      </c>
      <c r="H5">
        <f t="shared" si="0"/>
        <v>0</v>
      </c>
    </row>
    <row r="6" spans="1:8">
      <c r="A6" t="str">
        <f>Scenarios!$A$2</f>
        <v>D_CUSTOM1</v>
      </c>
      <c r="B6" t="s">
        <v>72</v>
      </c>
      <c r="C6">
        <f>INDEX(Scenarios!$D:$D, MATCH($A6, Scenarios!$A:$A, 0)) + INDEX(Scenarios!$E:$E, MATCH($A6, Scenarios!$A:$A, 0))</f>
        <v>0</v>
      </c>
      <c r="D6">
        <f>IF($B6="FY2026",$C6*IF(INDEX(Scenarios!$N:$N, MATCH($A6, Scenarios!$A:$A, 0))="lease", Parameters_Public!$C$31, Parameters_Public!$C$27),0)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IF($B6="FY2026", INDEX(Receiving_Capacity!$L:$L, MATCH($A6, Receiving_Capacity!$A:$A, 0)), 0)</f>
        <v>0</v>
      </c>
      <c r="H6">
        <f t="shared" si="0"/>
        <v>0</v>
      </c>
    </row>
    <row r="7" spans="1:8">
      <c r="A7" t="str">
        <f>Scenarios!$A$2</f>
        <v>D_CUSTOM1</v>
      </c>
      <c r="B7" t="s">
        <v>73</v>
      </c>
      <c r="C7">
        <f>INDEX(Scenarios!$D:$D, MATCH($A7, Scenarios!$A:$A, 0)) + INDEX(Scenarios!$E:$E, MATCH($A7, Scenarios!$A:$A, 0))</f>
        <v>0</v>
      </c>
      <c r="D7">
        <f>IF($B7="FY2026",$C7*IF(INDEX(Scenarios!$N:$N, MATCH($A7, Scenarios!$A:$A, 0))="lease", Parameters_Public!$C$31, Parameters_Public!$C$27),0)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IF($B7="FY2026", INDEX(Receiving_Capacity!$L:$L, MATCH($A7, Receiving_Capacity!$A:$A, 0)), 0)</f>
        <v>0</v>
      </c>
      <c r="H7">
        <f t="shared" si="0"/>
        <v>0</v>
      </c>
    </row>
    <row r="8" spans="1:8">
      <c r="A8" t="str">
        <f>Scenarios!$A$2</f>
        <v>D_CUSTOM1</v>
      </c>
      <c r="B8" t="s">
        <v>74</v>
      </c>
      <c r="C8">
        <f>INDEX(Scenarios!$D:$D, MATCH($A8, Scenarios!$A:$A, 0)) + INDEX(Scenarios!$E:$E, MATCH($A8, Scenarios!$A:$A, 0))</f>
        <v>0</v>
      </c>
      <c r="D8">
        <f>IF($B8="FY2026",$C8*IF(INDEX(Scenarios!$N:$N, MATCH($A8, Scenarios!$A:$A, 0))="lease", Parameters_Public!$C$31, Parameters_Public!$C$27),0)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IF($B8="FY2026", INDEX(Receiving_Capacity!$L:$L, MATCH($A8, Receiving_Capacity!$A:$A, 0)), 0)</f>
        <v>0</v>
      </c>
      <c r="H8">
        <f t="shared" si="0"/>
        <v>0</v>
      </c>
    </row>
    <row r="9" spans="1:8">
      <c r="A9" t="str">
        <f>Scenarios!$A$3</f>
        <v>E_StatusQuo_Targets</v>
      </c>
      <c r="B9" t="s">
        <v>70</v>
      </c>
      <c r="C9">
        <f>INDEX(Scenarios!$D:$D, MATCH($A9, Scenarios!$A:$A, 0)) + INDEX(Scenarios!$E:$E, MATCH($A9, Scenarios!$A:$A, 0))</f>
        <v>0</v>
      </c>
      <c r="D9">
        <f>IF($B9="FY2026",$C9*IF(INDEX(Scenarios!$N:$N, MATCH($A9, Scenarios!$A:$A, 0))="lease", Parameters_Public!$C$31, Parameters_Public!$C$27),0)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IF($B9="FY2026", INDEX(Receiving_Capacity!$L:$L, MATCH($A9, Receiving_Capacity!$A:$A, 0)), 0)</f>
        <v>0</v>
      </c>
      <c r="H9">
        <f t="shared" si="0"/>
        <v>0</v>
      </c>
    </row>
    <row r="10" spans="1:8">
      <c r="A10" t="str">
        <f>Scenarios!$A$3</f>
        <v>E_StatusQuo_Targets</v>
      </c>
      <c r="B10" t="s">
        <v>71</v>
      </c>
      <c r="C10">
        <f>INDEX(Scenarios!$D:$D, MATCH($A10, Scenarios!$A:$A, 0)) + INDEX(Scenarios!$E:$E, MATCH($A10, Scenarios!$A:$A, 0))</f>
        <v>0</v>
      </c>
      <c r="D10">
        <f>IF($B10="FY2026",$C10*IF(INDEX(Scenarios!$N:$N, MATCH($A10, Scenarios!$A:$A, 0))="lease", Parameters_Public!$C$31, Parameters_Public!$C$27),0)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IF($B10="FY2026", INDEX(Receiving_Capacity!$L:$L, MATCH($A10, Receiving_Capacity!$A:$A, 0)), 0)</f>
        <v>0</v>
      </c>
      <c r="H10">
        <f t="shared" si="0"/>
        <v>0</v>
      </c>
    </row>
    <row r="11" spans="1:8">
      <c r="A11" t="str">
        <f>Scenarios!$A$3</f>
        <v>E_StatusQuo_Targets</v>
      </c>
      <c r="B11" t="s">
        <v>72</v>
      </c>
      <c r="C11">
        <f>INDEX(Scenarios!$D:$D, MATCH($A11, Scenarios!$A:$A, 0)) + INDEX(Scenarios!$E:$E, MATCH($A11, Scenarios!$A:$A, 0))</f>
        <v>0</v>
      </c>
      <c r="D11">
        <f>IF($B11="FY2026",$C11*IF(INDEX(Scenarios!$N:$N, MATCH($A11, Scenarios!$A:$A, 0))="lease", Parameters_Public!$C$31, Parameters_Public!$C$27),0)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IF($B11="FY2026", INDEX(Receiving_Capacity!$L:$L, MATCH($A11, Receiving_Capacity!$A:$A, 0)), 0)</f>
        <v>0</v>
      </c>
      <c r="H11">
        <f t="shared" si="0"/>
        <v>0</v>
      </c>
    </row>
    <row r="12" spans="1:8">
      <c r="A12" t="str">
        <f>Scenarios!$A$3</f>
        <v>E_StatusQuo_Targets</v>
      </c>
      <c r="B12" t="s">
        <v>73</v>
      </c>
      <c r="C12">
        <f>INDEX(Scenarios!$D:$D, MATCH($A12, Scenarios!$A:$A, 0)) + INDEX(Scenarios!$E:$E, MATCH($A12, Scenarios!$A:$A, 0))</f>
        <v>0</v>
      </c>
      <c r="D12">
        <f>IF($B12="FY2026",$C12*IF(INDEX(Scenarios!$N:$N, MATCH($A12, Scenarios!$A:$A, 0))="lease", Parameters_Public!$C$31, Parameters_Public!$C$27),0)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IF($B12="FY2026", INDEX(Receiving_Capacity!$L:$L, MATCH($A12, Receiving_Capacity!$A:$A, 0)), 0)</f>
        <v>0</v>
      </c>
      <c r="H12">
        <f t="shared" si="0"/>
        <v>0</v>
      </c>
    </row>
    <row r="13" spans="1:8">
      <c r="A13" t="str">
        <f>Scenarios!$A$3</f>
        <v>E_StatusQuo_Targets</v>
      </c>
      <c r="B13" t="s">
        <v>74</v>
      </c>
      <c r="C13">
        <f>INDEX(Scenarios!$D:$D, MATCH($A13, Scenarios!$A:$A, 0)) + INDEX(Scenarios!$E:$E, MATCH($A13, Scenarios!$A:$A, 0))</f>
        <v>0</v>
      </c>
      <c r="D13">
        <f>IF($B13="FY2026",$C13*IF(INDEX(Scenarios!$N:$N, MATCH($A13, Scenarios!$A:$A, 0))="lease", Parameters_Public!$C$31, Parameters_Public!$C$27),0)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IF($B13="FY2026", INDEX(Receiving_Capacity!$L:$L, MATCH($A13, Receiving_Capacity!$A:$A, 0)), 0)</f>
        <v>0</v>
      </c>
      <c r="H13">
        <f t="shared" si="0"/>
        <v>0</v>
      </c>
    </row>
    <row r="14" spans="1:8">
      <c r="A14" t="str">
        <f>Scenarios!$A$4</f>
        <v>F_CoLocation_Echo_Targets</v>
      </c>
      <c r="B14" t="s">
        <v>70</v>
      </c>
      <c r="C14">
        <f>INDEX(Scenarios!$D:$D, MATCH($A14, Scenarios!$A:$A, 0)) + INDEX(Scenarios!$E:$E, MATCH($A14, Scenarios!$A:$A, 0))</f>
        <v>0</v>
      </c>
      <c r="D14">
        <f>IF($B14="FY2026",$C14*IF(INDEX(Scenarios!$N:$N, MATCH($A14, Scenarios!$A:$A, 0))="lease", Parameters_Public!$C$31, Parameters_Public!$C$27),0)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IF($B14="FY2026", INDEX(Receiving_Capacity!$L:$L, MATCH($A14, Receiving_Capacity!$A:$A, 0)), 0)</f>
        <v>0</v>
      </c>
      <c r="H14">
        <f t="shared" si="0"/>
        <v>0</v>
      </c>
    </row>
    <row r="15" spans="1:8">
      <c r="A15" t="str">
        <f>Scenarios!$A$4</f>
        <v>F_CoLocation_Echo_Targets</v>
      </c>
      <c r="B15" t="s">
        <v>71</v>
      </c>
      <c r="C15">
        <f>INDEX(Scenarios!$D:$D, MATCH($A15, Scenarios!$A:$A, 0)) + INDEX(Scenarios!$E:$E, MATCH($A15, Scenarios!$A:$A, 0))</f>
        <v>0</v>
      </c>
      <c r="D15">
        <f>IF($B15="FY2026",$C15*IF(INDEX(Scenarios!$N:$N, MATCH($A15, Scenarios!$A:$A, 0))="lease", Parameters_Public!$C$31, Parameters_Public!$C$27),0)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IF($B15="FY2026", INDEX(Receiving_Capacity!$L:$L, MATCH($A15, Receiving_Capacity!$A:$A, 0)), 0)</f>
        <v>0</v>
      </c>
      <c r="H15">
        <f t="shared" si="0"/>
        <v>0</v>
      </c>
    </row>
    <row r="16" spans="1:8">
      <c r="A16" t="str">
        <f>Scenarios!$A$4</f>
        <v>F_CoLocation_Echo_Targets</v>
      </c>
      <c r="B16" t="s">
        <v>72</v>
      </c>
      <c r="C16">
        <f>INDEX(Scenarios!$D:$D, MATCH($A16, Scenarios!$A:$A, 0)) + INDEX(Scenarios!$E:$E, MATCH($A16, Scenarios!$A:$A, 0))</f>
        <v>0</v>
      </c>
      <c r="D16">
        <f>IF($B16="FY2026",$C16*IF(INDEX(Scenarios!$N:$N, MATCH($A16, Scenarios!$A:$A, 0))="lease", Parameters_Public!$C$31, Parameters_Public!$C$27),0)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IF($B16="FY2026", INDEX(Receiving_Capacity!$L:$L, MATCH($A16, Receiving_Capacity!$A:$A, 0)), 0)</f>
        <v>0</v>
      </c>
      <c r="H16">
        <f t="shared" si="0"/>
        <v>0</v>
      </c>
    </row>
    <row r="17" spans="1:8">
      <c r="A17" t="str">
        <f>Scenarios!$A$4</f>
        <v>F_CoLocation_Echo_Targets</v>
      </c>
      <c r="B17" t="s">
        <v>73</v>
      </c>
      <c r="C17">
        <f>INDEX(Scenarios!$D:$D, MATCH($A17, Scenarios!$A:$A, 0)) + INDEX(Scenarios!$E:$E, MATCH($A17, Scenarios!$A:$A, 0))</f>
        <v>0</v>
      </c>
      <c r="D17">
        <f>IF($B17="FY2026",$C17*IF(INDEX(Scenarios!$N:$N, MATCH($A17, Scenarios!$A:$A, 0))="lease", Parameters_Public!$C$31, Parameters_Public!$C$27),0)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IF($B17="FY2026", INDEX(Receiving_Capacity!$L:$L, MATCH($A17, Receiving_Capacity!$A:$A, 0)), 0)</f>
        <v>0</v>
      </c>
      <c r="H17">
        <f t="shared" si="0"/>
        <v>0</v>
      </c>
    </row>
    <row r="18" spans="1:8">
      <c r="A18" t="str">
        <f>Scenarios!$A$4</f>
        <v>F_CoLocation_Echo_Targets</v>
      </c>
      <c r="B18" t="s">
        <v>74</v>
      </c>
      <c r="C18">
        <f>INDEX(Scenarios!$D:$D, MATCH($A18, Scenarios!$A:$A, 0)) + INDEX(Scenarios!$E:$E, MATCH($A18, Scenarios!$A:$A, 0))</f>
        <v>0</v>
      </c>
      <c r="D18">
        <f>IF($B18="FY2026",$C18*IF(INDEX(Scenarios!$N:$N, MATCH($A18, Scenarios!$A:$A, 0))="lease", Parameters_Public!$C$31, Parameters_Public!$C$27),0)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IF($B18="FY2026", INDEX(Receiving_Capacity!$L:$L, MATCH($A18, Receiving_Capacity!$A:$A, 0)), 0)</f>
        <v>0</v>
      </c>
      <c r="H18">
        <f t="shared" si="0"/>
        <v>0</v>
      </c>
    </row>
    <row r="19" spans="1:8">
      <c r="A19" t="str">
        <f>Scenarios!$A$5</f>
        <v>D_Grow_Both_Targets</v>
      </c>
      <c r="B19" t="s">
        <v>70</v>
      </c>
      <c r="C19">
        <f>INDEX(Scenarios!$D:$D, MATCH($A19, Scenarios!$A:$A, 0)) + INDEX(Scenarios!$E:$E, MATCH($A19, Scenarios!$A:$A, 0))</f>
        <v>0</v>
      </c>
      <c r="D19">
        <f>IF($B19="FY2026",$C19*IF(INDEX(Scenarios!$N:$N, MATCH($A19, Scenarios!$A:$A, 0))="lease", Parameters_Public!$C$31, Parameters_Public!$C$27),0)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IF($B19="FY2026", INDEX(Receiving_Capacity!$L:$L, MATCH($A19, Receiving_Capacity!$A:$A, 0)), 0)</f>
        <v>0</v>
      </c>
      <c r="H19">
        <f t="shared" si="0"/>
        <v>2000000</v>
      </c>
    </row>
    <row r="20" spans="1:8">
      <c r="A20" t="str">
        <f>Scenarios!$A$5</f>
        <v>D_Grow_Both_Targets</v>
      </c>
      <c r="B20" t="s">
        <v>71</v>
      </c>
      <c r="C20">
        <f>INDEX(Scenarios!$D:$D, MATCH($A20, Scenarios!$A:$A, 0)) + INDEX(Scenarios!$E:$E, MATCH($A20, Scenarios!$A:$A, 0))</f>
        <v>0</v>
      </c>
      <c r="D20">
        <f>IF($B20="FY2026",$C20*IF(INDEX(Scenarios!$N:$N, MATCH($A20, Scenarios!$A:$A, 0))="lease", Parameters_Public!$C$31, Parameters_Public!$C$27),0)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IF($B20="FY2026", INDEX(Receiving_Capacity!$L:$L, MATCH($A20, Receiving_Capacity!$A:$A, 0)), 0)</f>
        <v>0</v>
      </c>
      <c r="H20">
        <f t="shared" si="0"/>
        <v>0</v>
      </c>
    </row>
    <row r="21" spans="1:8">
      <c r="A21" t="str">
        <f>Scenarios!$A$5</f>
        <v>D_Grow_Both_Targets</v>
      </c>
      <c r="B21" t="s">
        <v>72</v>
      </c>
      <c r="C21">
        <f>INDEX(Scenarios!$D:$D, MATCH($A21, Scenarios!$A:$A, 0)) + INDEX(Scenarios!$E:$E, MATCH($A21, Scenarios!$A:$A, 0))</f>
        <v>0</v>
      </c>
      <c r="D21">
        <f>IF($B21="FY2026",$C21*IF(INDEX(Scenarios!$N:$N, MATCH($A21, Scenarios!$A:$A, 0))="lease", Parameters_Public!$C$31, Parameters_Public!$C$27),0)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IF($B21="FY2026", INDEX(Receiving_Capacity!$L:$L, MATCH($A21, Receiving_Capacity!$A:$A, 0)), 0)</f>
        <v>0</v>
      </c>
      <c r="H21">
        <f t="shared" si="0"/>
        <v>0</v>
      </c>
    </row>
    <row r="22" spans="1:8">
      <c r="A22" t="str">
        <f>Scenarios!$A$5</f>
        <v>D_Grow_Both_Targets</v>
      </c>
      <c r="B22" t="s">
        <v>73</v>
      </c>
      <c r="C22">
        <f>INDEX(Scenarios!$D:$D, MATCH($A22, Scenarios!$A:$A, 0)) + INDEX(Scenarios!$E:$E, MATCH($A22, Scenarios!$A:$A, 0))</f>
        <v>0</v>
      </c>
      <c r="D22">
        <f>IF($B22="FY2026",$C22*IF(INDEX(Scenarios!$N:$N, MATCH($A22, Scenarios!$A:$A, 0))="lease", Parameters_Public!$C$31, Parameters_Public!$C$27),0)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IF($B22="FY2026", INDEX(Receiving_Capacity!$L:$L, MATCH($A22, Receiving_Capacity!$A:$A, 0)), 0)</f>
        <v>0</v>
      </c>
      <c r="H22">
        <f t="shared" si="0"/>
        <v>0</v>
      </c>
    </row>
    <row r="23" spans="1:8">
      <c r="A23" t="str">
        <f>Scenarios!$A$5</f>
        <v>D_Grow_Both_Targets</v>
      </c>
      <c r="B23" t="s">
        <v>74</v>
      </c>
      <c r="C23">
        <f>INDEX(Scenarios!$D:$D, MATCH($A23, Scenarios!$A:$A, 0)) + INDEX(Scenarios!$E:$E, MATCH($A23, Scenarios!$A:$A, 0))</f>
        <v>0</v>
      </c>
      <c r="D23">
        <f>IF($B23="FY2026",$C23*IF(INDEX(Scenarios!$N:$N, MATCH($A23, Scenarios!$A:$A, 0))="lease", Parameters_Public!$C$31, Parameters_Public!$C$27),0)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IF($B23="FY2026", INDEX(Receiving_Capacity!$L:$L, MATCH($A23, Receiving_Capacity!$A:$A, 0)), 0)</f>
        <v>0</v>
      </c>
      <c r="H23">
        <f t="shared" si="0"/>
        <v>0</v>
      </c>
    </row>
    <row r="24" spans="1:8">
      <c r="A24" t="str">
        <f>Scenarios!$A$6</f>
        <v>D_CUSTOM2</v>
      </c>
      <c r="B24" t="s">
        <v>70</v>
      </c>
      <c r="C24">
        <f>INDEX(Scenarios!$D:$D, MATCH($A24, Scenarios!$A:$A, 0)) + INDEX(Scenarios!$E:$E, MATCH($A24, Scenarios!$A:$A, 0))</f>
        <v>0</v>
      </c>
      <c r="D24">
        <f>IF($B24="FY2026",$C24*IF(INDEX(Scenarios!$N:$N, MATCH($A24, Scenarios!$A:$A, 0))="lease", Parameters_Public!$C$31, Parameters_Public!$C$27),0)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IF($B24="FY2026", INDEX(Receiving_Capacity!$L:$L, MATCH($A24, Receiving_Capacity!$A:$A, 0)), 0)</f>
        <v>0</v>
      </c>
      <c r="H24">
        <f t="shared" si="0"/>
        <v>0</v>
      </c>
    </row>
    <row r="25" spans="1:8">
      <c r="A25" t="str">
        <f>Scenarios!$A$6</f>
        <v>D_CUSTOM2</v>
      </c>
      <c r="B25" t="s">
        <v>71</v>
      </c>
      <c r="C25">
        <f>INDEX(Scenarios!$D:$D, MATCH($A25, Scenarios!$A:$A, 0)) + INDEX(Scenarios!$E:$E, MATCH($A25, Scenarios!$A:$A, 0))</f>
        <v>0</v>
      </c>
      <c r="D25">
        <f>IF($B25="FY2026",$C25*IF(INDEX(Scenarios!$N:$N, MATCH($A25, Scenarios!$A:$A, 0))="lease", Parameters_Public!$C$31, Parameters_Public!$C$27),0)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IF($B25="FY2026", INDEX(Receiving_Capacity!$L:$L, MATCH($A25, Receiving_Capacity!$A:$A, 0)), 0)</f>
        <v>0</v>
      </c>
      <c r="H25">
        <f t="shared" si="0"/>
        <v>0</v>
      </c>
    </row>
    <row r="26" spans="1:8">
      <c r="A26" t="str">
        <f>Scenarios!$A$6</f>
        <v>D_CUSTOM2</v>
      </c>
      <c r="B26" t="s">
        <v>72</v>
      </c>
      <c r="C26">
        <f>INDEX(Scenarios!$D:$D, MATCH($A26, Scenarios!$A:$A, 0)) + INDEX(Scenarios!$E:$E, MATCH($A26, Scenarios!$A:$A, 0))</f>
        <v>0</v>
      </c>
      <c r="D26">
        <f>IF($B26="FY2026",$C26*IF(INDEX(Scenarios!$N:$N, MATCH($A26, Scenarios!$A:$A, 0))="lease", Parameters_Public!$C$31, Parameters_Public!$C$27),0)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IF($B26="FY2026", INDEX(Receiving_Capacity!$L:$L, MATCH($A26, Receiving_Capacity!$A:$A, 0)), 0)</f>
        <v>0</v>
      </c>
      <c r="H26">
        <f t="shared" si="0"/>
        <v>0</v>
      </c>
    </row>
    <row r="27" spans="1:8">
      <c r="A27" t="str">
        <f>Scenarios!$A$6</f>
        <v>D_CUSTOM2</v>
      </c>
      <c r="B27" t="s">
        <v>73</v>
      </c>
      <c r="C27">
        <f>INDEX(Scenarios!$D:$D, MATCH($A27, Scenarios!$A:$A, 0)) + INDEX(Scenarios!$E:$E, MATCH($A27, Scenarios!$A:$A, 0))</f>
        <v>0</v>
      </c>
      <c r="D27">
        <f>IF($B27="FY2026",$C27*IF(INDEX(Scenarios!$N:$N, MATCH($A27, Scenarios!$A:$A, 0))="lease", Parameters_Public!$C$31, Parameters_Public!$C$27),0)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IF($B27="FY2026", INDEX(Receiving_Capacity!$L:$L, MATCH($A27, Receiving_Capacity!$A:$A, 0)), 0)</f>
        <v>0</v>
      </c>
      <c r="H27">
        <f t="shared" si="0"/>
        <v>0</v>
      </c>
    </row>
    <row r="28" spans="1:8">
      <c r="A28" t="str">
        <f>Scenarios!$A$6</f>
        <v>D_CUSTOM2</v>
      </c>
      <c r="B28" t="s">
        <v>74</v>
      </c>
      <c r="C28">
        <f>INDEX(Scenarios!$D:$D, MATCH($A28, Scenarios!$A:$A, 0)) + INDEX(Scenarios!$E:$E, MATCH($A28, Scenarios!$A:$A, 0))</f>
        <v>0</v>
      </c>
      <c r="D28">
        <f>IF($B28="FY2026",$C28*IF(INDEX(Scenarios!$N:$N, MATCH($A28, Scenarios!$A:$A, 0))="lease", Parameters_Public!$C$31, Parameters_Public!$C$27),0)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IF($B28="FY2026", INDEX(Receiving_Capacity!$L:$L, MATCH($A28, Receiving_Capacity!$A:$A, 0)), 0)</f>
        <v>0</v>
      </c>
      <c r="H28">
        <f t="shared" si="0"/>
        <v>0</v>
      </c>
    </row>
    <row r="29" spans="1:8">
      <c r="A29" t="str">
        <f>Scenarios!$A$7</f>
        <v>G_EchoGHubRamp_PimaTargets</v>
      </c>
      <c r="B29" t="s">
        <v>70</v>
      </c>
      <c r="C29">
        <f>INDEX(Scenarios!$D:$D, MATCH($A29, Scenarios!$A:$A, 0)) + INDEX(Scenarios!$E:$E, MATCH($A29, Scenarios!$A:$A, 0))</f>
        <v>0</v>
      </c>
      <c r="D29">
        <f>IF($B29="FY2026",$C29*IF(INDEX(Scenarios!$N:$N, MATCH($A29, Scenarios!$A:$A, 0))="lease", Parameters_Public!$C$31, Parameters_Public!$C$27),0)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IF($B29="FY2026", INDEX(Receiving_Capacity!$L:$L, MATCH($A29, Receiving_Capacity!$A:$A, 0)), 0)</f>
        <v>0</v>
      </c>
      <c r="H29">
        <f t="shared" si="0"/>
        <v>800000</v>
      </c>
    </row>
    <row r="30" spans="1:8">
      <c r="A30" t="str">
        <f>Scenarios!$A$7</f>
        <v>G_EchoGHubRamp_PimaTargets</v>
      </c>
      <c r="B30" t="s">
        <v>71</v>
      </c>
      <c r="C30">
        <f>INDEX(Scenarios!$D:$D, MATCH($A30, Scenarios!$A:$A, 0)) + INDEX(Scenarios!$E:$E, MATCH($A30, Scenarios!$A:$A, 0))</f>
        <v>0</v>
      </c>
      <c r="D30">
        <f>IF($B30="FY2026",$C30*IF(INDEX(Scenarios!$N:$N, MATCH($A30, Scenarios!$A:$A, 0))="lease", Parameters_Public!$C$31, Parameters_Public!$C$27),0)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IF($B30="FY2026", INDEX(Receiving_Capacity!$L:$L, MATCH($A30, Receiving_Capacity!$A:$A, 0)), 0)</f>
        <v>0</v>
      </c>
      <c r="H30">
        <f t="shared" si="0"/>
        <v>0</v>
      </c>
    </row>
    <row r="31" spans="1:8">
      <c r="A31" t="str">
        <f>Scenarios!$A$7</f>
        <v>G_EchoGHubRamp_PimaTargets</v>
      </c>
      <c r="B31" t="s">
        <v>72</v>
      </c>
      <c r="C31">
        <f>INDEX(Scenarios!$D:$D, MATCH($A31, Scenarios!$A:$A, 0)) + INDEX(Scenarios!$E:$E, MATCH($A31, Scenarios!$A:$A, 0))</f>
        <v>0</v>
      </c>
      <c r="D31">
        <f>IF($B31="FY2026",$C31*IF(INDEX(Scenarios!$N:$N, MATCH($A31, Scenarios!$A:$A, 0))="lease", Parameters_Public!$C$31, Parameters_Public!$C$27),0)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IF($B31="FY2026", INDEX(Receiving_Capacity!$L:$L, MATCH($A31, Receiving_Capacity!$A:$A, 0)), 0)</f>
        <v>0</v>
      </c>
      <c r="H31">
        <f t="shared" si="0"/>
        <v>0</v>
      </c>
    </row>
    <row r="32" spans="1:8">
      <c r="A32" t="str">
        <f>Scenarios!$A$7</f>
        <v>G_EchoGHubRamp_PimaTargets</v>
      </c>
      <c r="B32" t="s">
        <v>73</v>
      </c>
      <c r="C32">
        <f>INDEX(Scenarios!$D:$D, MATCH($A32, Scenarios!$A:$A, 0)) + INDEX(Scenarios!$E:$E, MATCH($A32, Scenarios!$A:$A, 0))</f>
        <v>0</v>
      </c>
      <c r="D32">
        <f>IF($B32="FY2026",$C32*IF(INDEX(Scenarios!$N:$N, MATCH($A32, Scenarios!$A:$A, 0))="lease", Parameters_Public!$C$31, Parameters_Public!$C$27),0)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IF($B32="FY2026", INDEX(Receiving_Capacity!$L:$L, MATCH($A32, Receiving_Capacity!$A:$A, 0)), 0)</f>
        <v>0</v>
      </c>
      <c r="H32">
        <f t="shared" si="0"/>
        <v>0</v>
      </c>
    </row>
    <row r="33" spans="1:8">
      <c r="A33" t="str">
        <f>Scenarios!$A$7</f>
        <v>G_EchoGHubRamp_PimaTargets</v>
      </c>
      <c r="B33" t="s">
        <v>74</v>
      </c>
      <c r="C33">
        <f>INDEX(Scenarios!$D:$D, MATCH($A33, Scenarios!$A:$A, 0)) + INDEX(Scenarios!$E:$E, MATCH($A33, Scenarios!$A:$A, 0))</f>
        <v>0</v>
      </c>
      <c r="D33">
        <f>IF($B33="FY2026",$C33*IF(INDEX(Scenarios!$N:$N, MATCH($A33, Scenarios!$A:$A, 0))="lease", Parameters_Public!$C$31, Parameters_Public!$C$27),0)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IF($B33="FY2026", INDEX(Receiving_Capacity!$L:$L, MATCH($A33, Receiving_Capacity!$A:$A, 0)), 0)</f>
        <v>0</v>
      </c>
      <c r="H33">
        <f t="shared" si="0"/>
        <v>0</v>
      </c>
    </row>
    <row r="34" spans="1:8">
      <c r="A34" t="str">
        <f>Scenarios!$A$8</f>
        <v>A_Repurpose_Both_lease</v>
      </c>
      <c r="B34" t="s">
        <v>70</v>
      </c>
      <c r="C34">
        <f>INDEX(Scenarios!$D:$D, MATCH($A34, Scenarios!$A:$A, 0)) + INDEX(Scenarios!$E:$E, MATCH($A34, Scenarios!$A:$A, 0))</f>
        <v>2</v>
      </c>
      <c r="D34">
        <f>IF($B34="FY2026",$C34*IF(INDEX(Scenarios!$N:$N, MATCH($A34, Scenarios!$A:$A, 0))="lease", Parameters_Public!$C$31, Parameters_Public!$C$27),0)</f>
        <v>1600000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IF($B34="FY2026", INDEX(Receiving_Capacity!$L:$L, MATCH($A34, Receiving_Capacity!$A:$A, 0)), 0)</f>
        <v>714479.99999999953</v>
      </c>
      <c r="H34">
        <f t="shared" si="0"/>
        <v>2314479.9999999995</v>
      </c>
    </row>
    <row r="35" spans="1:8">
      <c r="A35" t="str">
        <f>Scenarios!$A$8</f>
        <v>A_Repurpose_Both_lease</v>
      </c>
      <c r="B35" t="s">
        <v>71</v>
      </c>
      <c r="C35">
        <f>INDEX(Scenarios!$D:$D, MATCH($A35, Scenarios!$A:$A, 0)) + INDEX(Scenarios!$E:$E, MATCH($A35, Scenarios!$A:$A, 0))</f>
        <v>2</v>
      </c>
      <c r="D35">
        <f>IF($B35="FY2026",$C35*IF(INDEX(Scenarios!$N:$N, MATCH($A35, Scenarios!$A:$A, 0))="lease", Parameters_Public!$C$31, Parameters_Public!$C$27),0)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IF($B35="FY2026", INDEX(Receiving_Capacity!$L:$L, MATCH($A35, Receiving_Capacity!$A:$A, 0)), 0)</f>
        <v>0</v>
      </c>
      <c r="H35">
        <f t="shared" si="0"/>
        <v>0</v>
      </c>
    </row>
    <row r="36" spans="1:8">
      <c r="A36" t="str">
        <f>Scenarios!$A$8</f>
        <v>A_Repurpose_Both_lease</v>
      </c>
      <c r="B36" t="s">
        <v>72</v>
      </c>
      <c r="C36">
        <f>INDEX(Scenarios!$D:$D, MATCH($A36, Scenarios!$A:$A, 0)) + INDEX(Scenarios!$E:$E, MATCH($A36, Scenarios!$A:$A, 0))</f>
        <v>2</v>
      </c>
      <c r="D36">
        <f>IF($B36="FY2026",$C36*IF(INDEX(Scenarios!$N:$N, MATCH($A36, Scenarios!$A:$A, 0))="lease", Parameters_Public!$C$31, Parameters_Public!$C$27),0)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IF($B36="FY2026", INDEX(Receiving_Capacity!$L:$L, MATCH($A36, Receiving_Capacity!$A:$A, 0)), 0)</f>
        <v>0</v>
      </c>
      <c r="H36">
        <f t="shared" ref="H36:H67" si="1">SUM(D36:G36)</f>
        <v>0</v>
      </c>
    </row>
    <row r="37" spans="1:8">
      <c r="A37" t="str">
        <f>Scenarios!$A$8</f>
        <v>A_Repurpose_Both_lease</v>
      </c>
      <c r="B37" t="s">
        <v>73</v>
      </c>
      <c r="C37">
        <f>INDEX(Scenarios!$D:$D, MATCH($A37, Scenarios!$A:$A, 0)) + INDEX(Scenarios!$E:$E, MATCH($A37, Scenarios!$A:$A, 0))</f>
        <v>2</v>
      </c>
      <c r="D37">
        <f>IF($B37="FY2026",$C37*IF(INDEX(Scenarios!$N:$N, MATCH($A37, Scenarios!$A:$A, 0))="lease", Parameters_Public!$C$31, Parameters_Public!$C$27),0)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IF($B37="FY2026", INDEX(Receiving_Capacity!$L:$L, MATCH($A37, Receiving_Capacity!$A:$A, 0)), 0)</f>
        <v>0</v>
      </c>
      <c r="H37">
        <f t="shared" si="1"/>
        <v>0</v>
      </c>
    </row>
    <row r="38" spans="1:8">
      <c r="A38" t="str">
        <f>Scenarios!$A$8</f>
        <v>A_Repurpose_Both_lease</v>
      </c>
      <c r="B38" t="s">
        <v>74</v>
      </c>
      <c r="C38">
        <f>INDEX(Scenarios!$D:$D, MATCH($A38, Scenarios!$A:$A, 0)) + INDEX(Scenarios!$E:$E, MATCH($A38, Scenarios!$A:$A, 0))</f>
        <v>2</v>
      </c>
      <c r="D38">
        <f>IF($B38="FY2026",$C38*IF(INDEX(Scenarios!$N:$N, MATCH($A38, Scenarios!$A:$A, 0))="lease", Parameters_Public!$C$31, Parameters_Public!$C$27),0)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IF($B38="FY2026", INDEX(Receiving_Capacity!$L:$L, MATCH($A38, Receiving_Capacity!$A:$A, 0)), 0)</f>
        <v>0</v>
      </c>
      <c r="H38">
        <f t="shared" si="1"/>
        <v>0</v>
      </c>
    </row>
    <row r="39" spans="1:8">
      <c r="A39" t="str">
        <f>Scenarios!$A$9</f>
        <v>A_Repurpose_Both_ops</v>
      </c>
      <c r="B39" t="s">
        <v>70</v>
      </c>
      <c r="C39">
        <f>INDEX(Scenarios!$D:$D, MATCH($A39, Scenarios!$A:$A, 0)) + INDEX(Scenarios!$E:$E, MATCH($A39, Scenarios!$A:$A, 0))</f>
        <v>2</v>
      </c>
      <c r="D39">
        <f>IF($B39="FY2026",$C39*IF(INDEX(Scenarios!$N:$N, MATCH($A39, Scenarios!$A:$A, 0))="lease", Parameters_Public!$C$31, Parameters_Public!$C$27),0)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IF($B39="FY2026", INDEX(Receiving_Capacity!$L:$L, MATCH($A39, Receiving_Capacity!$A:$A, 0)), 0)</f>
        <v>714479.99999999953</v>
      </c>
      <c r="H39">
        <f t="shared" si="1"/>
        <v>3114479.9999999995</v>
      </c>
    </row>
    <row r="40" spans="1:8">
      <c r="A40" t="str">
        <f>Scenarios!$A$9</f>
        <v>A_Repurpose_Both_ops</v>
      </c>
      <c r="B40" t="s">
        <v>71</v>
      </c>
      <c r="C40">
        <f>INDEX(Scenarios!$D:$D, MATCH($A40, Scenarios!$A:$A, 0)) + INDEX(Scenarios!$E:$E, MATCH($A40, Scenarios!$A:$A, 0))</f>
        <v>2</v>
      </c>
      <c r="D40">
        <f>IF($B40="FY2026",$C40*IF(INDEX(Scenarios!$N:$N, MATCH($A40, Scenarios!$A:$A, 0))="lease", Parameters_Public!$C$31, Parameters_Public!$C$27),0)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IF($B40="FY2026", INDEX(Receiving_Capacity!$L:$L, MATCH($A40, Receiving_Capacity!$A:$A, 0)), 0)</f>
        <v>0</v>
      </c>
      <c r="H40">
        <f t="shared" si="1"/>
        <v>0</v>
      </c>
    </row>
    <row r="41" spans="1:8">
      <c r="A41" t="str">
        <f>Scenarios!$A$9</f>
        <v>A_Repurpose_Both_ops</v>
      </c>
      <c r="B41" t="s">
        <v>72</v>
      </c>
      <c r="C41">
        <f>INDEX(Scenarios!$D:$D, MATCH($A41, Scenarios!$A:$A, 0)) + INDEX(Scenarios!$E:$E, MATCH($A41, Scenarios!$A:$A, 0))</f>
        <v>2</v>
      </c>
      <c r="D41">
        <f>IF($B41="FY2026",$C41*IF(INDEX(Scenarios!$N:$N, MATCH($A41, Scenarios!$A:$A, 0))="lease", Parameters_Public!$C$31, Parameters_Public!$C$27),0)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IF($B41="FY2026", INDEX(Receiving_Capacity!$L:$L, MATCH($A41, Receiving_Capacity!$A:$A, 0)), 0)</f>
        <v>0</v>
      </c>
      <c r="H41">
        <f t="shared" si="1"/>
        <v>0</v>
      </c>
    </row>
    <row r="42" spans="1:8">
      <c r="A42" t="str">
        <f>Scenarios!$A$9</f>
        <v>A_Repurpose_Both_ops</v>
      </c>
      <c r="B42" t="s">
        <v>73</v>
      </c>
      <c r="C42">
        <f>INDEX(Scenarios!$D:$D, MATCH($A42, Scenarios!$A:$A, 0)) + INDEX(Scenarios!$E:$E, MATCH($A42, Scenarios!$A:$A, 0))</f>
        <v>2</v>
      </c>
      <c r="D42">
        <f>IF($B42="FY2026",$C42*IF(INDEX(Scenarios!$N:$N, MATCH($A42, Scenarios!$A:$A, 0))="lease", Parameters_Public!$C$31, Parameters_Public!$C$27),0)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IF($B42="FY2026", INDEX(Receiving_Capacity!$L:$L, MATCH($A42, Receiving_Capacity!$A:$A, 0)), 0)</f>
        <v>0</v>
      </c>
      <c r="H42">
        <f t="shared" si="1"/>
        <v>0</v>
      </c>
    </row>
    <row r="43" spans="1:8">
      <c r="A43" t="str">
        <f>Scenarios!$A$9</f>
        <v>A_Repurpose_Both_ops</v>
      </c>
      <c r="B43" t="s">
        <v>74</v>
      </c>
      <c r="C43">
        <f>INDEX(Scenarios!$D:$D, MATCH($A43, Scenarios!$A:$A, 0)) + INDEX(Scenarios!$E:$E, MATCH($A43, Scenarios!$A:$A, 0))</f>
        <v>2</v>
      </c>
      <c r="D43">
        <f>IF($B43="FY2026",$C43*IF(INDEX(Scenarios!$N:$N, MATCH($A43, Scenarios!$A:$A, 0))="lease", Parameters_Public!$C$31, Parameters_Public!$C$27),0)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IF($B43="FY2026", INDEX(Receiving_Capacity!$L:$L, MATCH($A43, Receiving_Capacity!$A:$A, 0)), 0)</f>
        <v>0</v>
      </c>
      <c r="H43">
        <f t="shared" si="1"/>
        <v>0</v>
      </c>
    </row>
    <row r="44" spans="1:8">
      <c r="A44" t="str">
        <f>Scenarios!$A$10</f>
        <v>B_Repurpose_Echo_lease_PimaTargets</v>
      </c>
      <c r="B44" t="s">
        <v>70</v>
      </c>
      <c r="C44">
        <f>INDEX(Scenarios!$D:$D, MATCH($A44, Scenarios!$A:$A, 0)) + INDEX(Scenarios!$E:$E, MATCH($A44, Scenarios!$A:$A, 0))</f>
        <v>1</v>
      </c>
      <c r="D44">
        <f>IF($B44="FY2026",$C44*IF(INDEX(Scenarios!$N:$N, MATCH($A44, Scenarios!$A:$A, 0))="lease", Parameters_Public!$C$31, Parameters_Public!$C$27),0)</f>
        <v>800000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IF($B44="FY2026", INDEX(Receiving_Capacity!$L:$L, MATCH($A44, Receiving_Capacity!$A:$A, 0)), 0)</f>
        <v>0</v>
      </c>
      <c r="H44">
        <f t="shared" si="1"/>
        <v>800000</v>
      </c>
    </row>
    <row r="45" spans="1:8">
      <c r="A45" t="str">
        <f>Scenarios!$A$10</f>
        <v>B_Repurpose_Echo_lease_PimaTargets</v>
      </c>
      <c r="B45" t="s">
        <v>71</v>
      </c>
      <c r="C45">
        <f>INDEX(Scenarios!$D:$D, MATCH($A45, Scenarios!$A:$A, 0)) + INDEX(Scenarios!$E:$E, MATCH($A45, Scenarios!$A:$A, 0))</f>
        <v>1</v>
      </c>
      <c r="D45">
        <f>IF($B45="FY2026",$C45*IF(INDEX(Scenarios!$N:$N, MATCH($A45, Scenarios!$A:$A, 0))="lease", Parameters_Public!$C$31, Parameters_Public!$C$27),0)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IF($B45="FY2026", INDEX(Receiving_Capacity!$L:$L, MATCH($A45, Receiving_Capacity!$A:$A, 0)), 0)</f>
        <v>0</v>
      </c>
      <c r="H45">
        <f t="shared" si="1"/>
        <v>0</v>
      </c>
    </row>
    <row r="46" spans="1:8">
      <c r="A46" t="str">
        <f>Scenarios!$A$10</f>
        <v>B_Repurpose_Echo_lease_PimaTargets</v>
      </c>
      <c r="B46" t="s">
        <v>72</v>
      </c>
      <c r="C46">
        <f>INDEX(Scenarios!$D:$D, MATCH($A46, Scenarios!$A:$A, 0)) + INDEX(Scenarios!$E:$E, MATCH($A46, Scenarios!$A:$A, 0))</f>
        <v>1</v>
      </c>
      <c r="D46">
        <f>IF($B46="FY2026",$C46*IF(INDEX(Scenarios!$N:$N, MATCH($A46, Scenarios!$A:$A, 0))="lease", Parameters_Public!$C$31, Parameters_Public!$C$27),0)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IF($B46="FY2026", INDEX(Receiving_Capacity!$L:$L, MATCH($A46, Receiving_Capacity!$A:$A, 0)), 0)</f>
        <v>0</v>
      </c>
      <c r="H46">
        <f t="shared" si="1"/>
        <v>0</v>
      </c>
    </row>
    <row r="47" spans="1:8">
      <c r="A47" t="str">
        <f>Scenarios!$A$10</f>
        <v>B_Repurpose_Echo_lease_PimaTargets</v>
      </c>
      <c r="B47" t="s">
        <v>73</v>
      </c>
      <c r="C47">
        <f>INDEX(Scenarios!$D:$D, MATCH($A47, Scenarios!$A:$A, 0)) + INDEX(Scenarios!$E:$E, MATCH($A47, Scenarios!$A:$A, 0))</f>
        <v>1</v>
      </c>
      <c r="D47">
        <f>IF($B47="FY2026",$C47*IF(INDEX(Scenarios!$N:$N, MATCH($A47, Scenarios!$A:$A, 0))="lease", Parameters_Public!$C$31, Parameters_Public!$C$27),0)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IF($B47="FY2026", INDEX(Receiving_Capacity!$L:$L, MATCH($A47, Receiving_Capacity!$A:$A, 0)), 0)</f>
        <v>0</v>
      </c>
      <c r="H47">
        <f t="shared" si="1"/>
        <v>0</v>
      </c>
    </row>
    <row r="48" spans="1:8">
      <c r="A48" t="str">
        <f>Scenarios!$A$10</f>
        <v>B_Repurpose_Echo_lease_PimaTargets</v>
      </c>
      <c r="B48" t="s">
        <v>74</v>
      </c>
      <c r="C48">
        <f>INDEX(Scenarios!$D:$D, MATCH($A48, Scenarios!$A:$A, 0)) + INDEX(Scenarios!$E:$E, MATCH($A48, Scenarios!$A:$A, 0))</f>
        <v>1</v>
      </c>
      <c r="D48">
        <f>IF($B48="FY2026",$C48*IF(INDEX(Scenarios!$N:$N, MATCH($A48, Scenarios!$A:$A, 0))="lease", Parameters_Public!$C$31, Parameters_Public!$C$27),0)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IF($B48="FY2026", INDEX(Receiving_Capacity!$L:$L, MATCH($A48, Receiving_Capacity!$A:$A, 0)), 0)</f>
        <v>0</v>
      </c>
      <c r="H48">
        <f t="shared" si="1"/>
        <v>0</v>
      </c>
    </row>
    <row r="49" spans="1:8">
      <c r="A49" t="str">
        <f>Scenarios!$A$11</f>
        <v>B_Repurpose_Echo_ops_PimaTargets</v>
      </c>
      <c r="B49" t="s">
        <v>70</v>
      </c>
      <c r="C49">
        <f>INDEX(Scenarios!$D:$D, MATCH($A49, Scenarios!$A:$A, 0)) + INDEX(Scenarios!$E:$E, MATCH($A49, Scenarios!$A:$A, 0))</f>
        <v>1</v>
      </c>
      <c r="D49">
        <f>IF($B49="FY2026",$C49*IF(INDEX(Scenarios!$N:$N, MATCH($A49, Scenarios!$A:$A, 0))="lease", Parameters_Public!$C$31, Parameters_Public!$C$27),0)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IF($B49="FY2026", INDEX(Receiving_Capacity!$L:$L, MATCH($A49, Receiving_Capacity!$A:$A, 0)), 0)</f>
        <v>0</v>
      </c>
      <c r="H49">
        <f t="shared" si="1"/>
        <v>1200000</v>
      </c>
    </row>
    <row r="50" spans="1:8">
      <c r="A50" t="str">
        <f>Scenarios!$A$11</f>
        <v>B_Repurpose_Echo_ops_PimaTargets</v>
      </c>
      <c r="B50" t="s">
        <v>71</v>
      </c>
      <c r="C50">
        <f>INDEX(Scenarios!$D:$D, MATCH($A50, Scenarios!$A:$A, 0)) + INDEX(Scenarios!$E:$E, MATCH($A50, Scenarios!$A:$A, 0))</f>
        <v>1</v>
      </c>
      <c r="D50">
        <f>IF($B50="FY2026",$C50*IF(INDEX(Scenarios!$N:$N, MATCH($A50, Scenarios!$A:$A, 0))="lease", Parameters_Public!$C$31, Parameters_Public!$C$27),0)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IF($B50="FY2026", INDEX(Receiving_Capacity!$L:$L, MATCH($A50, Receiving_Capacity!$A:$A, 0)), 0)</f>
        <v>0</v>
      </c>
      <c r="H50">
        <f t="shared" si="1"/>
        <v>0</v>
      </c>
    </row>
    <row r="51" spans="1:8">
      <c r="A51" t="str">
        <f>Scenarios!$A$11</f>
        <v>B_Repurpose_Echo_ops_PimaTargets</v>
      </c>
      <c r="B51" t="s">
        <v>72</v>
      </c>
      <c r="C51">
        <f>INDEX(Scenarios!$D:$D, MATCH($A51, Scenarios!$A:$A, 0)) + INDEX(Scenarios!$E:$E, MATCH($A51, Scenarios!$A:$A, 0))</f>
        <v>1</v>
      </c>
      <c r="D51">
        <f>IF($B51="FY2026",$C51*IF(INDEX(Scenarios!$N:$N, MATCH($A51, Scenarios!$A:$A, 0))="lease", Parameters_Public!$C$31, Parameters_Public!$C$27),0)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IF($B51="FY2026", INDEX(Receiving_Capacity!$L:$L, MATCH($A51, Receiving_Capacity!$A:$A, 0)), 0)</f>
        <v>0</v>
      </c>
      <c r="H51">
        <f t="shared" si="1"/>
        <v>0</v>
      </c>
    </row>
    <row r="52" spans="1:8">
      <c r="A52" t="str">
        <f>Scenarios!$A$11</f>
        <v>B_Repurpose_Echo_ops_PimaTargets</v>
      </c>
      <c r="B52" t="s">
        <v>73</v>
      </c>
      <c r="C52">
        <f>INDEX(Scenarios!$D:$D, MATCH($A52, Scenarios!$A:$A, 0)) + INDEX(Scenarios!$E:$E, MATCH($A52, Scenarios!$A:$A, 0))</f>
        <v>1</v>
      </c>
      <c r="D52">
        <f>IF($B52="FY2026",$C52*IF(INDEX(Scenarios!$N:$N, MATCH($A52, Scenarios!$A:$A, 0))="lease", Parameters_Public!$C$31, Parameters_Public!$C$27),0)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IF($B52="FY2026", INDEX(Receiving_Capacity!$L:$L, MATCH($A52, Receiving_Capacity!$A:$A, 0)), 0)</f>
        <v>0</v>
      </c>
      <c r="H52">
        <f t="shared" si="1"/>
        <v>0</v>
      </c>
    </row>
    <row r="53" spans="1:8">
      <c r="A53" t="str">
        <f>Scenarios!$A$11</f>
        <v>B_Repurpose_Echo_ops_PimaTargets</v>
      </c>
      <c r="B53" t="s">
        <v>74</v>
      </c>
      <c r="C53">
        <f>INDEX(Scenarios!$D:$D, MATCH($A53, Scenarios!$A:$A, 0)) + INDEX(Scenarios!$E:$E, MATCH($A53, Scenarios!$A:$A, 0))</f>
        <v>1</v>
      </c>
      <c r="D53">
        <f>IF($B53="FY2026",$C53*IF(INDEX(Scenarios!$N:$N, MATCH($A53, Scenarios!$A:$A, 0))="lease", Parameters_Public!$C$31, Parameters_Public!$C$27),0)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IF($B53="FY2026", INDEX(Receiving_Capacity!$L:$L, MATCH($A53, Receiving_Capacity!$A:$A, 0)), 0)</f>
        <v>0</v>
      </c>
      <c r="H53">
        <f t="shared" si="1"/>
        <v>0</v>
      </c>
    </row>
    <row r="54" spans="1:8">
      <c r="A54" t="str">
        <f>Scenarios!$A$12</f>
        <v>C_Repurpose_Pima_lease_EchoGHub_EchoTargets</v>
      </c>
      <c r="B54" t="s">
        <v>70</v>
      </c>
      <c r="C54">
        <f>INDEX(Scenarios!$D:$D, MATCH($A54, Scenarios!$A:$A, 0)) + INDEX(Scenarios!$E:$E, MATCH($A54, Scenarios!$A:$A, 0))</f>
        <v>1</v>
      </c>
      <c r="D54">
        <f>IF($B54="FY2026",$C54*IF(INDEX(Scenarios!$N:$N, MATCH($A54, Scenarios!$A:$A, 0))="lease", Parameters_Public!$C$31, Parameters_Public!$C$27),0)</f>
        <v>800000</v>
      </c>
      <c r="E54">
        <f>IF($B54="FY2026", IF(INDEX(Scenarios!$D:$D, MATCH($A54, Scenarios!$A:$A, 0))=0, IF(LEFT(INDEX(Scenarios!$O:$O, MATCH($A54, Scenarios!$A:$A, 0)),4)="Arts", Parameters_Public!$C$28, IF(LEFT(INDEX(Scenarios!$O:$O, MATCH($A54, Scenarios!$A:$A, 0)),5)="Innov", Parameters_Public!$C$29, 0)), 0), 0)</f>
        <v>800000</v>
      </c>
      <c r="F54">
        <f>IF($B54="FY2026", IF(INDEX(Scenarios!$E:$E, MATCH($A54, Scenarios!$A:$A, 0))=0, IF(LEFT(INDEX(Scenarios!$P:$P, MATCH($A54, Scenarios!$A:$A, 0)),4)="Arts", Parameters_Public!$C$28, IF(LEFT(INDEX(Scenarios!$P:$P, MATCH($A54, Scenarios!$A:$A, 0)),5)="Innov", Parameters_Public!$C$29, 0)), 0), 0)</f>
        <v>0</v>
      </c>
      <c r="G54">
        <f>IF($B54="FY2026", INDEX(Receiving_Capacity!$L:$L, MATCH($A54, Receiving_Capacity!$A:$A, 0)), 0)</f>
        <v>0</v>
      </c>
      <c r="H54">
        <f t="shared" si="1"/>
        <v>1600000</v>
      </c>
    </row>
    <row r="55" spans="1:8">
      <c r="A55" t="str">
        <f>Scenarios!$A$12</f>
        <v>C_Repurpose_Pima_lease_EchoGHub_EchoTargets</v>
      </c>
      <c r="B55" t="s">
        <v>71</v>
      </c>
      <c r="C55">
        <f>INDEX(Scenarios!$D:$D, MATCH($A55, Scenarios!$A:$A, 0)) + INDEX(Scenarios!$E:$E, MATCH($A55, Scenarios!$A:$A, 0))</f>
        <v>1</v>
      </c>
      <c r="D55">
        <f>IF($B55="FY2026",$C55*IF(INDEX(Scenarios!$N:$N, MATCH($A55, Scenarios!$A:$A, 0))="lease", Parameters_Public!$C$31, Parameters_Public!$C$27),0)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IF($B55="FY2026", INDEX(Receiving_Capacity!$L:$L, MATCH($A55, Receiving_Capacity!$A:$A, 0)), 0)</f>
        <v>0</v>
      </c>
      <c r="H55">
        <f t="shared" si="1"/>
        <v>0</v>
      </c>
    </row>
    <row r="56" spans="1:8">
      <c r="A56" t="str">
        <f>Scenarios!$A$12</f>
        <v>C_Repurpose_Pima_lease_EchoGHub_EchoTargets</v>
      </c>
      <c r="B56" t="s">
        <v>72</v>
      </c>
      <c r="C56">
        <f>INDEX(Scenarios!$D:$D, MATCH($A56, Scenarios!$A:$A, 0)) + INDEX(Scenarios!$E:$E, MATCH($A56, Scenarios!$A:$A, 0))</f>
        <v>1</v>
      </c>
      <c r="D56">
        <f>IF($B56="FY2026",$C56*IF(INDEX(Scenarios!$N:$N, MATCH($A56, Scenarios!$A:$A, 0))="lease", Parameters_Public!$C$31, Parameters_Public!$C$27),0)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IF($B56="FY2026", INDEX(Receiving_Capacity!$L:$L, MATCH($A56, Receiving_Capacity!$A:$A, 0)), 0)</f>
        <v>0</v>
      </c>
      <c r="H56">
        <f t="shared" si="1"/>
        <v>0</v>
      </c>
    </row>
    <row r="57" spans="1:8">
      <c r="A57" t="str">
        <f>Scenarios!$A$12</f>
        <v>C_Repurpose_Pima_lease_EchoGHub_EchoTargets</v>
      </c>
      <c r="B57" t="s">
        <v>73</v>
      </c>
      <c r="C57">
        <f>INDEX(Scenarios!$D:$D, MATCH($A57, Scenarios!$A:$A, 0)) + INDEX(Scenarios!$E:$E, MATCH($A57, Scenarios!$A:$A, 0))</f>
        <v>1</v>
      </c>
      <c r="D57">
        <f>IF($B57="FY2026",$C57*IF(INDEX(Scenarios!$N:$N, MATCH($A57, Scenarios!$A:$A, 0))="lease", Parameters_Public!$C$31, Parameters_Public!$C$27),0)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IF($B57="FY2026", INDEX(Receiving_Capacity!$L:$L, MATCH($A57, Receiving_Capacity!$A:$A, 0)), 0)</f>
        <v>0</v>
      </c>
      <c r="H57">
        <f t="shared" si="1"/>
        <v>0</v>
      </c>
    </row>
    <row r="58" spans="1:8">
      <c r="A58" t="str">
        <f>Scenarios!$A$12</f>
        <v>C_Repurpose_Pima_lease_EchoGHub_EchoTargets</v>
      </c>
      <c r="B58" t="s">
        <v>74</v>
      </c>
      <c r="C58">
        <f>INDEX(Scenarios!$D:$D, MATCH($A58, Scenarios!$A:$A, 0)) + INDEX(Scenarios!$E:$E, MATCH($A58, Scenarios!$A:$A, 0))</f>
        <v>1</v>
      </c>
      <c r="D58">
        <f>IF($B58="FY2026",$C58*IF(INDEX(Scenarios!$N:$N, MATCH($A58, Scenarios!$A:$A, 0))="lease", Parameters_Public!$C$31, Parameters_Public!$C$27),0)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IF($B58="FY2026", INDEX(Receiving_Capacity!$L:$L, MATCH($A58, Receiving_Capacity!$A:$A, 0)), 0)</f>
        <v>0</v>
      </c>
      <c r="H58">
        <f t="shared" si="1"/>
        <v>0</v>
      </c>
    </row>
    <row r="59" spans="1:8">
      <c r="A59" t="str">
        <f>Scenarios!$A$13</f>
        <v>C_Repurpose_Pima_ops_EchoGHub_EchoTargets</v>
      </c>
      <c r="B59" t="s">
        <v>70</v>
      </c>
      <c r="C59">
        <f>INDEX(Scenarios!$D:$D, MATCH($A59, Scenarios!$A:$A, 0)) + INDEX(Scenarios!$E:$E, MATCH($A59, Scenarios!$A:$A, 0))</f>
        <v>1</v>
      </c>
      <c r="D59">
        <f>IF($B59="FY2026",$C59*IF(INDEX(Scenarios!$N:$N, MATCH($A59, Scenarios!$A:$A, 0))="lease", Parameters_Public!$C$31, Parameters_Public!$C$27),0)</f>
        <v>1200000</v>
      </c>
      <c r="E59">
        <f>IF($B59="FY2026", IF(INDEX(Scenarios!$D:$D, MATCH($A59, Scenarios!$A:$A, 0))=0, IF(LEFT(INDEX(Scenarios!$O:$O, MATCH($A59, Scenarios!$A:$A, 0)),4)="Arts", Parameters_Public!$C$28, IF(LEFT(INDEX(Scenarios!$O:$O, MATCH($A59, Scenarios!$A:$A, 0)),5)="Innov", Parameters_Public!$C$29, 0)), 0), 0)</f>
        <v>800000</v>
      </c>
      <c r="F59">
        <f>IF($B59="FY2026", IF(INDEX(Scenarios!$E:$E, MATCH($A59, Scenarios!$A:$A, 0))=0, IF(LEFT(INDEX(Scenarios!$P:$P, MATCH($A59, Scenarios!$A:$A, 0)),4)="Arts", Parameters_Public!$C$28, IF(LEFT(INDEX(Scenarios!$P:$P, MATCH($A59, Scenarios!$A:$A, 0)),5)="Innov", Parameters_Public!$C$29, 0)), 0), 0)</f>
        <v>0</v>
      </c>
      <c r="G59">
        <f>IF($B59="FY2026", INDEX(Receiving_Capacity!$L:$L, MATCH($A59, Receiving_Capacity!$A:$A, 0)), 0)</f>
        <v>0</v>
      </c>
      <c r="H59">
        <f t="shared" si="1"/>
        <v>2000000</v>
      </c>
    </row>
    <row r="60" spans="1:8">
      <c r="A60" t="str">
        <f>Scenarios!$A$13</f>
        <v>C_Repurpose_Pima_ops_EchoGHub_EchoTargets</v>
      </c>
      <c r="B60" t="s">
        <v>71</v>
      </c>
      <c r="C60">
        <f>INDEX(Scenarios!$D:$D, MATCH($A60, Scenarios!$A:$A, 0)) + INDEX(Scenarios!$E:$E, MATCH($A60, Scenarios!$A:$A, 0))</f>
        <v>1</v>
      </c>
      <c r="D60">
        <f>IF($B60="FY2026",$C60*IF(INDEX(Scenarios!$N:$N, MATCH($A60, Scenarios!$A:$A, 0))="lease", Parameters_Public!$C$31, Parameters_Public!$C$27),0)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IF($B60="FY2026", INDEX(Receiving_Capacity!$L:$L, MATCH($A60, Receiving_Capacity!$A:$A, 0)), 0)</f>
        <v>0</v>
      </c>
      <c r="H60">
        <f t="shared" si="1"/>
        <v>0</v>
      </c>
    </row>
    <row r="61" spans="1:8">
      <c r="A61" t="str">
        <f>Scenarios!$A$13</f>
        <v>C_Repurpose_Pima_ops_EchoGHub_EchoTargets</v>
      </c>
      <c r="B61" t="s">
        <v>72</v>
      </c>
      <c r="C61">
        <f>INDEX(Scenarios!$D:$D, MATCH($A61, Scenarios!$A:$A, 0)) + INDEX(Scenarios!$E:$E, MATCH($A61, Scenarios!$A:$A, 0))</f>
        <v>1</v>
      </c>
      <c r="D61">
        <f>IF($B61="FY2026",$C61*IF(INDEX(Scenarios!$N:$N, MATCH($A61, Scenarios!$A:$A, 0))="lease", Parameters_Public!$C$31, Parameters_Public!$C$27),0)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IF($B61="FY2026", INDEX(Receiving_Capacity!$L:$L, MATCH($A61, Receiving_Capacity!$A:$A, 0)), 0)</f>
        <v>0</v>
      </c>
      <c r="H61">
        <f t="shared" si="1"/>
        <v>0</v>
      </c>
    </row>
    <row r="62" spans="1:8">
      <c r="A62" t="str">
        <f>Scenarios!$A$13</f>
        <v>C_Repurpose_Pima_ops_EchoGHub_EchoTargets</v>
      </c>
      <c r="B62" t="s">
        <v>73</v>
      </c>
      <c r="C62">
        <f>INDEX(Scenarios!$D:$D, MATCH($A62, Scenarios!$A:$A, 0)) + INDEX(Scenarios!$E:$E, MATCH($A62, Scenarios!$A:$A, 0))</f>
        <v>1</v>
      </c>
      <c r="D62">
        <f>IF($B62="FY2026",$C62*IF(INDEX(Scenarios!$N:$N, MATCH($A62, Scenarios!$A:$A, 0))="lease", Parameters_Public!$C$31, Parameters_Public!$C$27),0)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IF($B62="FY2026", INDEX(Receiving_Capacity!$L:$L, MATCH($A62, Receiving_Capacity!$A:$A, 0)), 0)</f>
        <v>0</v>
      </c>
      <c r="H62">
        <f t="shared" si="1"/>
        <v>0</v>
      </c>
    </row>
    <row r="63" spans="1:8">
      <c r="A63" t="str">
        <f>Scenarios!$A$13</f>
        <v>C_Repurpose_Pima_ops_EchoGHub_EchoTargets</v>
      </c>
      <c r="B63" t="s">
        <v>74</v>
      </c>
      <c r="C63">
        <f>INDEX(Scenarios!$D:$D, MATCH($A63, Scenarios!$A:$A, 0)) + INDEX(Scenarios!$E:$E, MATCH($A63, Scenarios!$A:$A, 0))</f>
        <v>1</v>
      </c>
      <c r="D63">
        <f>IF($B63="FY2026",$C63*IF(INDEX(Scenarios!$N:$N, MATCH($A63, Scenarios!$A:$A, 0))="lease", Parameters_Public!$C$31, Parameters_Public!$C$27),0)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IF($B63="FY2026", INDEX(Receiving_Capacity!$L:$L, MATCH($A63, Receiving_Capacity!$A:$A, 0)), 0)</f>
        <v>0</v>
      </c>
      <c r="H63">
        <f t="shared" si="1"/>
        <v>0</v>
      </c>
    </row>
    <row r="64" spans="1:8">
      <c r="A64" t="str">
        <f>Scenarios!$A$14</f>
        <v>H_StatusQuo_Decline</v>
      </c>
      <c r="B64" t="s">
        <v>70</v>
      </c>
      <c r="C64">
        <f>INDEX(Scenarios!$D:$D, MATCH($A64, Scenarios!$A:$A, 0)) + INDEX(Scenarios!$E:$E, MATCH($A64, Scenarios!$A:$A, 0))</f>
        <v>0</v>
      </c>
      <c r="D64">
        <f>IF($B64="FY2026",$C64*IF(INDEX(Scenarios!$N:$N, MATCH($A64, Scenarios!$A:$A, 0))="lease", Parameters_Public!$C$31, Parameters_Public!$C$27),0)</f>
        <v>0</v>
      </c>
      <c r="E64">
        <f>IF($B64="FY2026", IF(INDEX(Scenarios!$D:$D, MATCH($A64, Scenarios!$A:$A, 0))=0, IF(LEFT(INDEX(Scenarios!$O:$O, MATCH($A64, Scenarios!$A:$A, 0)),4)="Arts", Parameters_Public!$C$28, IF(LEFT(INDEX(Scenarios!$O:$O, MATCH($A64, Scenarios!$A:$A, 0)),5)="Innov", Parameters_Public!$C$29, 0)), 0), 0)</f>
        <v>0</v>
      </c>
      <c r="F64">
        <f>IF($B64="FY2026", IF(INDEX(Scenarios!$E:$E, MATCH($A64, Scenarios!$A:$A, 0))=0, IF(LEFT(INDEX(Scenarios!$P:$P, MATCH($A64, Scenarios!$A:$A, 0)),4)="Arts", Parameters_Public!$C$28, IF(LEFT(INDEX(Scenarios!$P:$P, MATCH($A64, Scenarios!$A:$A, 0)),5)="Innov", Parameters_Public!$C$29, 0)), 0), 0)</f>
        <v>0</v>
      </c>
      <c r="G64">
        <f>IF($B64="FY2026", INDEX(Receiving_Capacity!$L:$L, MATCH($A64, Receiving_Capacity!$A:$A, 0)), 0)</f>
        <v>0</v>
      </c>
      <c r="H64">
        <f t="shared" si="1"/>
        <v>0</v>
      </c>
    </row>
    <row r="65" spans="1:8">
      <c r="A65" t="str">
        <f>Scenarios!$A$14</f>
        <v>H_StatusQuo_Decline</v>
      </c>
      <c r="B65" t="s">
        <v>71</v>
      </c>
      <c r="C65">
        <f>INDEX(Scenarios!$D:$D, MATCH($A65, Scenarios!$A:$A, 0)) + INDEX(Scenarios!$E:$E, MATCH($A65, Scenarios!$A:$A, 0))</f>
        <v>0</v>
      </c>
      <c r="D65">
        <f>IF($B65="FY2026",$C65*IF(INDEX(Scenarios!$N:$N, MATCH($A65, Scenarios!$A:$A, 0))="lease", Parameters_Public!$C$31, Parameters_Public!$C$27),0)</f>
        <v>0</v>
      </c>
      <c r="E65">
        <f>IF($B65="FY2026", IF(INDEX(Scenarios!$D:$D, MATCH($A65, Scenarios!$A:$A, 0))=0, IF(LEFT(INDEX(Scenarios!$O:$O, MATCH($A65, Scenarios!$A:$A, 0)),4)="Arts", Parameters_Public!$C$28, IF(LEFT(INDEX(Scenarios!$O:$O, MATCH($A65, Scenarios!$A:$A, 0)),5)="Innov", Parameters_Public!$C$29, 0)), 0), 0)</f>
        <v>0</v>
      </c>
      <c r="F65">
        <f>IF($B65="FY2026", IF(INDEX(Scenarios!$E:$E, MATCH($A65, Scenarios!$A:$A, 0))=0, IF(LEFT(INDEX(Scenarios!$P:$P, MATCH($A65, Scenarios!$A:$A, 0)),4)="Arts", Parameters_Public!$C$28, IF(LEFT(INDEX(Scenarios!$P:$P, MATCH($A65, Scenarios!$A:$A, 0)),5)="Innov", Parameters_Public!$C$29, 0)), 0), 0)</f>
        <v>0</v>
      </c>
      <c r="G65">
        <f>IF($B65="FY2026", INDEX(Receiving_Capacity!$L:$L, MATCH($A65, Receiving_Capacity!$A:$A, 0)), 0)</f>
        <v>0</v>
      </c>
      <c r="H65">
        <f t="shared" si="1"/>
        <v>0</v>
      </c>
    </row>
    <row r="66" spans="1:8">
      <c r="A66" t="str">
        <f>Scenarios!$A$14</f>
        <v>H_StatusQuo_Decline</v>
      </c>
      <c r="B66" t="s">
        <v>72</v>
      </c>
      <c r="C66">
        <f>INDEX(Scenarios!$D:$D, MATCH($A66, Scenarios!$A:$A, 0)) + INDEX(Scenarios!$E:$E, MATCH($A66, Scenarios!$A:$A, 0))</f>
        <v>0</v>
      </c>
      <c r="D66">
        <f>IF($B66="FY2026",$C66*IF(INDEX(Scenarios!$N:$N, MATCH($A66, Scenarios!$A:$A, 0))="lease", Parameters_Public!$C$31, Parameters_Public!$C$27),0)</f>
        <v>0</v>
      </c>
      <c r="E66">
        <f>IF($B66="FY2026", IF(INDEX(Scenarios!$D:$D, MATCH($A66, Scenarios!$A:$A, 0))=0, IF(LEFT(INDEX(Scenarios!$O:$O, MATCH($A66, Scenarios!$A:$A, 0)),4)="Arts", Parameters_Public!$C$28, IF(LEFT(INDEX(Scenarios!$O:$O, MATCH($A66, Scenarios!$A:$A, 0)),5)="Innov", Parameters_Public!$C$29, 0)), 0), 0)</f>
        <v>0</v>
      </c>
      <c r="F66">
        <f>IF($B66="FY2026", IF(INDEX(Scenarios!$E:$E, MATCH($A66, Scenarios!$A:$A, 0))=0, IF(LEFT(INDEX(Scenarios!$P:$P, MATCH($A66, Scenarios!$A:$A, 0)),4)="Arts", Parameters_Public!$C$28, IF(LEFT(INDEX(Scenarios!$P:$P, MATCH($A66, Scenarios!$A:$A, 0)),5)="Innov", Parameters_Public!$C$29, 0)), 0), 0)</f>
        <v>0</v>
      </c>
      <c r="G66">
        <f>IF($B66="FY2026", INDEX(Receiving_Capacity!$L:$L, MATCH($A66, Receiving_Capacity!$A:$A, 0)), 0)</f>
        <v>0</v>
      </c>
      <c r="H66">
        <f t="shared" si="1"/>
        <v>0</v>
      </c>
    </row>
    <row r="67" spans="1:8">
      <c r="A67" t="str">
        <f>Scenarios!$A$14</f>
        <v>H_StatusQuo_Decline</v>
      </c>
      <c r="B67" t="s">
        <v>73</v>
      </c>
      <c r="C67">
        <f>INDEX(Scenarios!$D:$D, MATCH($A67, Scenarios!$A:$A, 0)) + INDEX(Scenarios!$E:$E, MATCH($A67, Scenarios!$A:$A, 0))</f>
        <v>0</v>
      </c>
      <c r="D67">
        <f>IF($B67="FY2026",$C67*IF(INDEX(Scenarios!$N:$N, MATCH($A67, Scenarios!$A:$A, 0))="lease", Parameters_Public!$C$31, Parameters_Public!$C$27),0)</f>
        <v>0</v>
      </c>
      <c r="E67">
        <f>IF($B67="FY2026", IF(INDEX(Scenarios!$D:$D, MATCH($A67, Scenarios!$A:$A, 0))=0, IF(LEFT(INDEX(Scenarios!$O:$O, MATCH($A67, Scenarios!$A:$A, 0)),4)="Arts", Parameters_Public!$C$28, IF(LEFT(INDEX(Scenarios!$O:$O, MATCH($A67, Scenarios!$A:$A, 0)),5)="Innov", Parameters_Public!$C$29, 0)), 0), 0)</f>
        <v>0</v>
      </c>
      <c r="F67">
        <f>IF($B67="FY2026", IF(INDEX(Scenarios!$E:$E, MATCH($A67, Scenarios!$A:$A, 0))=0, IF(LEFT(INDEX(Scenarios!$P:$P, MATCH($A67, Scenarios!$A:$A, 0)),4)="Arts", Parameters_Public!$C$28, IF(LEFT(INDEX(Scenarios!$P:$P, MATCH($A67, Scenarios!$A:$A, 0)),5)="Innov", Parameters_Public!$C$29, 0)), 0), 0)</f>
        <v>0</v>
      </c>
      <c r="G67">
        <f>IF($B67="FY2026", INDEX(Receiving_Capacity!$L:$L, MATCH($A67, Receiving_Capacity!$A:$A, 0)), 0)</f>
        <v>0</v>
      </c>
      <c r="H67">
        <f t="shared" si="1"/>
        <v>0</v>
      </c>
    </row>
    <row r="68" spans="1:8">
      <c r="A68" t="str">
        <f>Scenarios!$A$14</f>
        <v>H_StatusQuo_Decline</v>
      </c>
      <c r="B68" t="s">
        <v>74</v>
      </c>
      <c r="C68">
        <f>INDEX(Scenarios!$D:$D, MATCH($A68, Scenarios!$A:$A, 0)) + INDEX(Scenarios!$E:$E, MATCH($A68, Scenarios!$A:$A, 0))</f>
        <v>0</v>
      </c>
      <c r="D68">
        <f>IF($B68="FY2026",$C68*IF(INDEX(Scenarios!$N:$N, MATCH($A68, Scenarios!$A:$A, 0))="lease", Parameters_Public!$C$31, Parameters_Public!$C$27),0)</f>
        <v>0</v>
      </c>
      <c r="E68">
        <f>IF($B68="FY2026", IF(INDEX(Scenarios!$D:$D, MATCH($A68, Scenarios!$A:$A, 0))=0, IF(LEFT(INDEX(Scenarios!$O:$O, MATCH($A68, Scenarios!$A:$A, 0)),4)="Arts", Parameters_Public!$C$28, IF(LEFT(INDEX(Scenarios!$O:$O, MATCH($A68, Scenarios!$A:$A, 0)),5)="Innov", Parameters_Public!$C$29, 0)), 0), 0)</f>
        <v>0</v>
      </c>
      <c r="F68">
        <f>IF($B68="FY2026", IF(INDEX(Scenarios!$E:$E, MATCH($A68, Scenarios!$A:$A, 0))=0, IF(LEFT(INDEX(Scenarios!$P:$P, MATCH($A68, Scenarios!$A:$A, 0)),4)="Arts", Parameters_Public!$C$28, IF(LEFT(INDEX(Scenarios!$P:$P, MATCH($A68, Scenarios!$A:$A, 0)),5)="Innov", Parameters_Public!$C$29, 0)), 0), 0)</f>
        <v>0</v>
      </c>
      <c r="G68">
        <f>IF($B68="FY2026", INDEX(Receiving_Capacity!$L:$L, MATCH($A68, Receiving_Capacity!$A:$A, 0)), 0)</f>
        <v>0</v>
      </c>
      <c r="H68">
        <f t="shared" ref="H68:H99" si="2">SUM(D68:G68)</f>
        <v>0</v>
      </c>
    </row>
    <row r="70" spans="1:8">
      <c r="A70" s="4" t="s">
        <v>62</v>
      </c>
      <c r="B70" s="4" t="s">
        <v>75</v>
      </c>
    </row>
    <row r="71" spans="1:8">
      <c r="A71" t="str">
        <f t="array" ref="A71:A83">_xlfn.UNIQUE(A4:A68)</f>
        <v>D_CUSTOM1</v>
      </c>
      <c r="B71">
        <f t="shared" ref="B71:B83" si="3">VLOOKUP(A71,A4:H63, 8, 0)</f>
        <v>0</v>
      </c>
    </row>
    <row r="72" spans="1:8">
      <c r="A72" t="str">
        <v>E_StatusQuo_Targets</v>
      </c>
      <c r="B72">
        <f t="shared" si="3"/>
        <v>0</v>
      </c>
    </row>
    <row r="73" spans="1:8">
      <c r="A73" t="str">
        <v>F_CoLocation_Echo_Targets</v>
      </c>
      <c r="B73">
        <f t="shared" si="3"/>
        <v>0</v>
      </c>
    </row>
    <row r="74" spans="1:8">
      <c r="A74" t="str">
        <v>D_Grow_Both_Targets</v>
      </c>
      <c r="B74">
        <f t="shared" si="3"/>
        <v>2000000</v>
      </c>
    </row>
    <row r="75" spans="1:8">
      <c r="A75" t="str">
        <v>D_CUSTOM2</v>
      </c>
      <c r="B75">
        <f t="shared" si="3"/>
        <v>0</v>
      </c>
    </row>
    <row r="76" spans="1:8">
      <c r="A76" t="str">
        <v>G_EchoGHubRamp_PimaTargets</v>
      </c>
      <c r="B76">
        <f t="shared" si="3"/>
        <v>800000</v>
      </c>
    </row>
    <row r="77" spans="1:8">
      <c r="A77" t="str">
        <v>A_Repurpose_Both_lease</v>
      </c>
      <c r="B77">
        <f t="shared" si="3"/>
        <v>2314479.9999999995</v>
      </c>
    </row>
    <row r="78" spans="1:8">
      <c r="A78" t="str">
        <v>A_Repurpose_Both_ops</v>
      </c>
      <c r="B78">
        <f t="shared" si="3"/>
        <v>3114479.9999999995</v>
      </c>
    </row>
    <row r="79" spans="1:8">
      <c r="A79" t="str">
        <v>B_Repurpose_Echo_lease_PimaTargets</v>
      </c>
      <c r="B79">
        <f t="shared" si="3"/>
        <v>800000</v>
      </c>
    </row>
    <row r="80" spans="1:8">
      <c r="A80" t="str">
        <v>B_Repurpose_Echo_ops_PimaTargets</v>
      </c>
      <c r="B80">
        <f t="shared" si="3"/>
        <v>1200000</v>
      </c>
    </row>
    <row r="81" spans="1:2">
      <c r="A81" t="str">
        <v>C_Repurpose_Pima_lease_EchoGHub_EchoTargets</v>
      </c>
      <c r="B81">
        <f t="shared" si="3"/>
        <v>1600000</v>
      </c>
    </row>
    <row r="82" spans="1:2">
      <c r="A82" t="str">
        <v>C_Repurpose_Pima_ops_EchoGHub_EchoTargets</v>
      </c>
      <c r="B82">
        <f t="shared" si="3"/>
        <v>2000000</v>
      </c>
    </row>
    <row r="83" spans="1:2">
      <c r="A83" t="str">
        <v>H_StatusQuo_Decline</v>
      </c>
      <c r="B83">
        <f t="shared" si="3"/>
        <v>0</v>
      </c>
    </row>
  </sheetData>
  <mergeCells count="1">
    <mergeCell ref="A1:H1"/>
  </mergeCells>
  <pageMargins left="0.75" right="0.75" top="1" bottom="1"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zoomScale="80" zoomScaleNormal="80" workbookViewId="0">
      <selection activeCell="A16" sqref="A16"/>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47" t="s">
        <v>76</v>
      </c>
      <c r="B1" s="47"/>
      <c r="C1" s="47"/>
      <c r="D1" s="47"/>
      <c r="E1" s="47"/>
      <c r="F1" s="47"/>
      <c r="G1" s="47"/>
      <c r="H1" s="47"/>
      <c r="I1" s="47"/>
      <c r="J1" s="47"/>
      <c r="K1" s="47"/>
      <c r="L1" s="47"/>
    </row>
    <row r="3" spans="1:12">
      <c r="A3" t="s">
        <v>62</v>
      </c>
      <c r="B3" t="s">
        <v>77</v>
      </c>
      <c r="C3" t="s">
        <v>78</v>
      </c>
      <c r="D3" t="s">
        <v>79</v>
      </c>
      <c r="E3" t="s">
        <v>80</v>
      </c>
      <c r="G3" t="s">
        <v>81</v>
      </c>
      <c r="H3" t="s">
        <v>82</v>
      </c>
      <c r="J3" t="s">
        <v>83</v>
      </c>
      <c r="K3" t="s">
        <v>84</v>
      </c>
      <c r="L3" t="s">
        <v>68</v>
      </c>
    </row>
    <row r="4" spans="1:12">
      <c r="A4" t="str">
        <f>Scenarios!$A$2</f>
        <v>D_CUSTOM1</v>
      </c>
      <c r="B4">
        <f>INDEX(Scenarios!$D:$D, MATCH($A4, Scenarios!$A:$A, 0))</f>
        <v>0</v>
      </c>
      <c r="C4">
        <f>INDEX(Scenarios!$E:$E, MATCH($A4, Scenarios!$A:$A, 0))</f>
        <v>0</v>
      </c>
      <c r="D4" s="11">
        <f>INDEX(Scenarios!$D:$D, MATCH($A4, Scenarios!$A:$A, 0))*Parameters_Public!$C$22*Parameters_Public!$C$10*Parameters_Public!$C$36 + INDEX(Scenarios!$E:$E, MATCH($A4, Scenarios!$A:$A, 0))*Parameters_Public!$C$23*Parameters_Public!$C$11*Parameters_Public!$C$38</f>
        <v>0</v>
      </c>
      <c r="E4" s="11">
        <f>INDEX(Scenarios!$D:$D, MATCH($A4, Scenarios!$A:$A, 0))*Parameters_Public!$C$22*Parameters_Public!$C$10*Parameters_Public!$C$37 + INDEX(Scenarios!$E:$E, MATCH($A4, Scenarios!$A:$A, 0))*Parameters_Public!$C$23*Parameters_Public!$C$11*Parameters_Public!$C$39</f>
        <v>0</v>
      </c>
      <c r="G4">
        <f>Parameters_Public!$C$33</f>
        <v>300</v>
      </c>
      <c r="H4">
        <f>Parameters_Public!$C$34</f>
        <v>150</v>
      </c>
      <c r="J4" s="11">
        <f t="shared" ref="J4:J16" si="0">MAX(0, D4-G4)</f>
        <v>0</v>
      </c>
      <c r="K4" s="11">
        <f t="shared" ref="K4:K16" si="1">MAX(0, E4-H4)</f>
        <v>0</v>
      </c>
      <c r="L4">
        <f>(J4+K4)*Parameters_Public!$C$32</f>
        <v>0</v>
      </c>
    </row>
    <row r="5" spans="1:12">
      <c r="A5" t="str">
        <f>Scenarios!$A$3</f>
        <v>E_StatusQuo_Targets</v>
      </c>
      <c r="B5">
        <f>INDEX(Scenarios!$D:$D, MATCH($A5, Scenarios!$A:$A, 0))</f>
        <v>0</v>
      </c>
      <c r="C5">
        <f>INDEX(Scenarios!$E:$E, MATCH($A5, Scenarios!$A:$A, 0))</f>
        <v>0</v>
      </c>
      <c r="D5" s="11">
        <f>INDEX(Scenarios!$D:$D, MATCH($A5, Scenarios!$A:$A, 0))*Parameters_Public!$C$22*Parameters_Public!$C$10*Parameters_Public!$C$36 + INDEX(Scenarios!$E:$E, MATCH($A5, Scenarios!$A:$A, 0))*Parameters_Public!$C$23*Parameters_Public!$C$11*Parameters_Public!$C$38</f>
        <v>0</v>
      </c>
      <c r="E5" s="11">
        <f>INDEX(Scenarios!$D:$D, MATCH($A5, Scenarios!$A:$A, 0))*Parameters_Public!$C$22*Parameters_Public!$C$10*Parameters_Public!$C$37 + INDEX(Scenarios!$E:$E, MATCH($A5, Scenarios!$A:$A, 0))*Parameters_Public!$C$23*Parameters_Public!$C$11*Parameters_Public!$C$39</f>
        <v>0</v>
      </c>
      <c r="G5">
        <f>Parameters_Public!$C$33</f>
        <v>300</v>
      </c>
      <c r="H5">
        <f>Parameters_Public!$C$34</f>
        <v>150</v>
      </c>
      <c r="J5" s="11">
        <f t="shared" si="0"/>
        <v>0</v>
      </c>
      <c r="K5" s="11">
        <f t="shared" si="1"/>
        <v>0</v>
      </c>
      <c r="L5">
        <f>(J5+K5)*Parameters_Public!$C$32</f>
        <v>0</v>
      </c>
    </row>
    <row r="6" spans="1:12">
      <c r="A6" t="str">
        <f>Scenarios!$A$4</f>
        <v>F_CoLocation_Echo_Targets</v>
      </c>
      <c r="B6">
        <f>INDEX(Scenarios!$D:$D, MATCH($A6, Scenarios!$A:$A, 0))</f>
        <v>0</v>
      </c>
      <c r="C6">
        <f>INDEX(Scenarios!$E:$E, MATCH($A6, Scenarios!$A:$A, 0))</f>
        <v>0</v>
      </c>
      <c r="D6" s="11">
        <f>INDEX(Scenarios!$D:$D, MATCH($A6, Scenarios!$A:$A, 0))*Parameters_Public!$C$22*Parameters_Public!$C$10*Parameters_Public!$C$36 + INDEX(Scenarios!$E:$E, MATCH($A6, Scenarios!$A:$A, 0))*Parameters_Public!$C$23*Parameters_Public!$C$11*Parameters_Public!$C$38</f>
        <v>0</v>
      </c>
      <c r="E6" s="11">
        <f>INDEX(Scenarios!$D:$D, MATCH($A6, Scenarios!$A:$A, 0))*Parameters_Public!$C$22*Parameters_Public!$C$10*Parameters_Public!$C$37 + INDEX(Scenarios!$E:$E, MATCH($A6, Scenarios!$A:$A, 0))*Parameters_Public!$C$23*Parameters_Public!$C$11*Parameters_Public!$C$39</f>
        <v>0</v>
      </c>
      <c r="G6">
        <f>Parameters_Public!$C$33</f>
        <v>300</v>
      </c>
      <c r="H6">
        <f>Parameters_Public!$C$34</f>
        <v>150</v>
      </c>
      <c r="J6" s="11">
        <f t="shared" si="0"/>
        <v>0</v>
      </c>
      <c r="K6" s="11">
        <f t="shared" si="1"/>
        <v>0</v>
      </c>
      <c r="L6">
        <f>(J6+K6)*Parameters_Public!$C$32</f>
        <v>0</v>
      </c>
    </row>
    <row r="7" spans="1:12">
      <c r="A7" t="str">
        <f>Scenarios!$A$5</f>
        <v>D_Grow_Both_Targets</v>
      </c>
      <c r="B7">
        <f>INDEX(Scenarios!$D:$D, MATCH($A7, Scenarios!$A:$A, 0))</f>
        <v>0</v>
      </c>
      <c r="C7">
        <f>INDEX(Scenarios!$E:$E, MATCH($A7, Scenarios!$A:$A, 0))</f>
        <v>0</v>
      </c>
      <c r="D7" s="11">
        <f>INDEX(Scenarios!$D:$D, MATCH($A7, Scenarios!$A:$A, 0))*Parameters_Public!$C$22*Parameters_Public!$C$10*Parameters_Public!$C$36 + INDEX(Scenarios!$E:$E, MATCH($A7, Scenarios!$A:$A, 0))*Parameters_Public!$C$23*Parameters_Public!$C$11*Parameters_Public!$C$38</f>
        <v>0</v>
      </c>
      <c r="E7" s="11">
        <f>INDEX(Scenarios!$D:$D, MATCH($A7, Scenarios!$A:$A, 0))*Parameters_Public!$C$22*Parameters_Public!$C$10*Parameters_Public!$C$37 + INDEX(Scenarios!$E:$E, MATCH($A7, Scenarios!$A:$A, 0))*Parameters_Public!$C$23*Parameters_Public!$C$11*Parameters_Public!$C$39</f>
        <v>0</v>
      </c>
      <c r="G7">
        <f>Parameters_Public!$C$33</f>
        <v>300</v>
      </c>
      <c r="H7">
        <f>Parameters_Public!$C$34</f>
        <v>150</v>
      </c>
      <c r="J7" s="11">
        <f t="shared" si="0"/>
        <v>0</v>
      </c>
      <c r="K7" s="11">
        <f t="shared" si="1"/>
        <v>0</v>
      </c>
      <c r="L7">
        <f>(J7+K7)*Parameters_Public!$C$32</f>
        <v>0</v>
      </c>
    </row>
    <row r="8" spans="1:12">
      <c r="A8" t="str">
        <f>Scenarios!$A$6</f>
        <v>D_CUSTOM2</v>
      </c>
      <c r="B8">
        <f>INDEX(Scenarios!$D:$D, MATCH($A8, Scenarios!$A:$A, 0))</f>
        <v>0</v>
      </c>
      <c r="C8">
        <f>INDEX(Scenarios!$E:$E, MATCH($A8, Scenarios!$A:$A, 0))</f>
        <v>0</v>
      </c>
      <c r="D8" s="11">
        <f>INDEX(Scenarios!$D:$D, MATCH($A8, Scenarios!$A:$A, 0))*Parameters_Public!$C$22*Parameters_Public!$C$10*Parameters_Public!$C$36 + INDEX(Scenarios!$E:$E, MATCH($A8, Scenarios!$A:$A, 0))*Parameters_Public!$C$23*Parameters_Public!$C$11*Parameters_Public!$C$38</f>
        <v>0</v>
      </c>
      <c r="E8" s="11">
        <f>INDEX(Scenarios!$D:$D, MATCH($A8, Scenarios!$A:$A, 0))*Parameters_Public!$C$22*Parameters_Public!$C$10*Parameters_Public!$C$37 + INDEX(Scenarios!$E:$E, MATCH($A8, Scenarios!$A:$A, 0))*Parameters_Public!$C$23*Parameters_Public!$C$11*Parameters_Public!$C$39</f>
        <v>0</v>
      </c>
      <c r="G8">
        <f>Parameters_Public!$C$33</f>
        <v>300</v>
      </c>
      <c r="H8">
        <f>Parameters_Public!$C$34</f>
        <v>150</v>
      </c>
      <c r="J8" s="11">
        <f t="shared" si="0"/>
        <v>0</v>
      </c>
      <c r="K8" s="11">
        <f t="shared" si="1"/>
        <v>0</v>
      </c>
      <c r="L8">
        <f>(J8+K8)*Parameters_Public!$C$32</f>
        <v>0</v>
      </c>
    </row>
    <row r="9" spans="1:12">
      <c r="A9" t="str">
        <f>Scenarios!$A$7</f>
        <v>G_EchoGHubRamp_PimaTargets</v>
      </c>
      <c r="B9">
        <f>INDEX(Scenarios!$D:$D, MATCH($A9, Scenarios!$A:$A, 0))</f>
        <v>0</v>
      </c>
      <c r="C9">
        <f>INDEX(Scenarios!$E:$E, MATCH($A9, Scenarios!$A:$A, 0))</f>
        <v>0</v>
      </c>
      <c r="D9" s="11">
        <f>INDEX(Scenarios!$D:$D, MATCH($A9, Scenarios!$A:$A, 0))*Parameters_Public!$C$22*Parameters_Public!$C$10*Parameters_Public!$C$36 + INDEX(Scenarios!$E:$E, MATCH($A9, Scenarios!$A:$A, 0))*Parameters_Public!$C$23*Parameters_Public!$C$11*Parameters_Public!$C$38</f>
        <v>0</v>
      </c>
      <c r="E9" s="11">
        <f>INDEX(Scenarios!$D:$D, MATCH($A9, Scenarios!$A:$A, 0))*Parameters_Public!$C$22*Parameters_Public!$C$10*Parameters_Public!$C$37 + INDEX(Scenarios!$E:$E, MATCH($A9, Scenarios!$A:$A, 0))*Parameters_Public!$C$23*Parameters_Public!$C$11*Parameters_Public!$C$39</f>
        <v>0</v>
      </c>
      <c r="G9">
        <f>Parameters_Public!$C$33</f>
        <v>300</v>
      </c>
      <c r="H9">
        <f>Parameters_Public!$C$34</f>
        <v>150</v>
      </c>
      <c r="J9" s="11">
        <f t="shared" si="0"/>
        <v>0</v>
      </c>
      <c r="K9" s="11">
        <f t="shared" si="1"/>
        <v>0</v>
      </c>
      <c r="L9">
        <f>(J9+K9)*Parameters_Public!$C$32</f>
        <v>0</v>
      </c>
    </row>
    <row r="10" spans="1:12">
      <c r="A10" t="str">
        <f>Scenarios!$A$8</f>
        <v>A_Repurpose_Both_lease</v>
      </c>
      <c r="B10">
        <f>INDEX(Scenarios!$D:$D, MATCH($A10, Scenarios!$A:$A, 0))</f>
        <v>1</v>
      </c>
      <c r="C10">
        <f>INDEX(Scenarios!$E:$E, MATCH($A10, Scenarios!$A:$A, 0))</f>
        <v>1</v>
      </c>
      <c r="D10" s="11">
        <f>INDEX(Scenarios!$D:$D, MATCH($A10, Scenarios!$A:$A, 0))*Parameters_Public!$C$22*Parameters_Public!$C$10*Parameters_Public!$C$36 + INDEX(Scenarios!$E:$E, MATCH($A10, Scenarios!$A:$A, 0))*Parameters_Public!$C$23*Parameters_Public!$C$11*Parameters_Public!$C$38</f>
        <v>359.53999999999996</v>
      </c>
      <c r="E10" s="11">
        <f>INDEX(Scenarios!$D:$D, MATCH($A10, Scenarios!$A:$A, 0))*Parameters_Public!$C$22*Parameters_Public!$C$10*Parameters_Public!$C$37 + INDEX(Scenarios!$E:$E, MATCH($A10, Scenarios!$A:$A, 0))*Parameters_Public!$C$23*Parameters_Public!$C$11*Parameters_Public!$C$39</f>
        <v>46.26</v>
      </c>
      <c r="G10">
        <f>Parameters_Public!$C$33</f>
        <v>300</v>
      </c>
      <c r="H10">
        <f>Parameters_Public!$C$34</f>
        <v>150</v>
      </c>
      <c r="J10" s="11">
        <f t="shared" si="0"/>
        <v>59.539999999999964</v>
      </c>
      <c r="K10" s="11">
        <f t="shared" si="1"/>
        <v>0</v>
      </c>
      <c r="L10">
        <f>(J10+K10)*Parameters_Public!$C$32</f>
        <v>714479.99999999953</v>
      </c>
    </row>
    <row r="11" spans="1:12">
      <c r="A11" t="str">
        <f>Scenarios!$A$9</f>
        <v>A_Repurpose_Both_ops</v>
      </c>
      <c r="B11">
        <f>INDEX(Scenarios!$D:$D, MATCH($A11, Scenarios!$A:$A, 0))</f>
        <v>1</v>
      </c>
      <c r="C11">
        <f>INDEX(Scenarios!$E:$E, MATCH($A11, Scenarios!$A:$A, 0))</f>
        <v>1</v>
      </c>
      <c r="D11" s="11">
        <f>INDEX(Scenarios!$D:$D, MATCH($A11, Scenarios!$A:$A, 0))*Parameters_Public!$C$22*Parameters_Public!$C$10*Parameters_Public!$C$36 + INDEX(Scenarios!$E:$E, MATCH($A11, Scenarios!$A:$A, 0))*Parameters_Public!$C$23*Parameters_Public!$C$11*Parameters_Public!$C$38</f>
        <v>359.53999999999996</v>
      </c>
      <c r="E11" s="11">
        <f>INDEX(Scenarios!$D:$D, MATCH($A11, Scenarios!$A:$A, 0))*Parameters_Public!$C$22*Parameters_Public!$C$10*Parameters_Public!$C$37 + INDEX(Scenarios!$E:$E, MATCH($A11, Scenarios!$A:$A, 0))*Parameters_Public!$C$23*Parameters_Public!$C$11*Parameters_Public!$C$39</f>
        <v>46.26</v>
      </c>
      <c r="G11">
        <f>Parameters_Public!$C$33</f>
        <v>300</v>
      </c>
      <c r="H11">
        <f>Parameters_Public!$C$34</f>
        <v>150</v>
      </c>
      <c r="J11" s="11">
        <f t="shared" si="0"/>
        <v>59.539999999999964</v>
      </c>
      <c r="K11" s="11">
        <f t="shared" si="1"/>
        <v>0</v>
      </c>
      <c r="L11">
        <f>(J11+K11)*Parameters_Public!$C$32</f>
        <v>714479.99999999953</v>
      </c>
    </row>
    <row r="12" spans="1:12">
      <c r="A12" t="str">
        <f>Scenarios!$A$10</f>
        <v>B_Repurpose_Echo_lease_PimaTargets</v>
      </c>
      <c r="B12">
        <f>INDEX(Scenarios!$D:$D, MATCH($A12, Scenarios!$A:$A, 0))</f>
        <v>1</v>
      </c>
      <c r="C12">
        <f>INDEX(Scenarios!$E:$E, MATCH($A12, Scenarios!$A:$A, 0))</f>
        <v>0</v>
      </c>
      <c r="D12" s="11">
        <f>INDEX(Scenarios!$D:$D, MATCH($A12, Scenarios!$A:$A, 0))*Parameters_Public!$C$22*Parameters_Public!$C$10*Parameters_Public!$C$36 + INDEX(Scenarios!$E:$E, MATCH($A12, Scenarios!$A:$A, 0))*Parameters_Public!$C$23*Parameters_Public!$C$11*Parameters_Public!$C$38</f>
        <v>107.93999999999998</v>
      </c>
      <c r="E12" s="11">
        <f>INDEX(Scenarios!$D:$D, MATCH($A12, Scenarios!$A:$A, 0))*Parameters_Public!$C$22*Parameters_Public!$C$10*Parameters_Public!$C$37 + INDEX(Scenarios!$E:$E, MATCH($A12, Scenarios!$A:$A, 0))*Parameters_Public!$C$23*Parameters_Public!$C$11*Parameters_Public!$C$39</f>
        <v>46.26</v>
      </c>
      <c r="G12">
        <f>Parameters_Public!$C$33</f>
        <v>300</v>
      </c>
      <c r="H12">
        <f>Parameters_Public!$C$34</f>
        <v>150</v>
      </c>
      <c r="J12" s="11">
        <f t="shared" si="0"/>
        <v>0</v>
      </c>
      <c r="K12" s="11">
        <f t="shared" si="1"/>
        <v>0</v>
      </c>
      <c r="L12">
        <f>(J12+K12)*Parameters_Public!$C$32</f>
        <v>0</v>
      </c>
    </row>
    <row r="13" spans="1:12">
      <c r="A13" t="str">
        <f>Scenarios!$A$11</f>
        <v>B_Repurpose_Echo_ops_PimaTargets</v>
      </c>
      <c r="B13">
        <f>INDEX(Scenarios!$D:$D, MATCH($A13, Scenarios!$A:$A, 0))</f>
        <v>1</v>
      </c>
      <c r="C13">
        <f>INDEX(Scenarios!$E:$E, MATCH($A13, Scenarios!$A:$A, 0))</f>
        <v>0</v>
      </c>
      <c r="D13" s="11">
        <f>INDEX(Scenarios!$D:$D, MATCH($A13, Scenarios!$A:$A, 0))*Parameters_Public!$C$22*Parameters_Public!$C$10*Parameters_Public!$C$36 + INDEX(Scenarios!$E:$E, MATCH($A13, Scenarios!$A:$A, 0))*Parameters_Public!$C$23*Parameters_Public!$C$11*Parameters_Public!$C$38</f>
        <v>107.93999999999998</v>
      </c>
      <c r="E13" s="11">
        <f>INDEX(Scenarios!$D:$D, MATCH($A13, Scenarios!$A:$A, 0))*Parameters_Public!$C$22*Parameters_Public!$C$10*Parameters_Public!$C$37 + INDEX(Scenarios!$E:$E, MATCH($A13, Scenarios!$A:$A, 0))*Parameters_Public!$C$23*Parameters_Public!$C$11*Parameters_Public!$C$39</f>
        <v>46.26</v>
      </c>
      <c r="G13">
        <f>Parameters_Public!$C$33</f>
        <v>300</v>
      </c>
      <c r="H13">
        <f>Parameters_Public!$C$34</f>
        <v>150</v>
      </c>
      <c r="J13" s="11">
        <f t="shared" si="0"/>
        <v>0</v>
      </c>
      <c r="K13" s="11">
        <f t="shared" si="1"/>
        <v>0</v>
      </c>
      <c r="L13">
        <f>(J13+K13)*Parameters_Public!$C$32</f>
        <v>0</v>
      </c>
    </row>
    <row r="14" spans="1:12">
      <c r="A14" t="str">
        <f>Scenarios!$A$12</f>
        <v>C_Repurpose_Pima_lease_EchoGHub_EchoTargets</v>
      </c>
      <c r="B14">
        <f>INDEX(Scenarios!$D:$D, MATCH($A14, Scenarios!$A:$A, 0))</f>
        <v>0</v>
      </c>
      <c r="C14">
        <f>INDEX(Scenarios!$E:$E, MATCH($A14, Scenarios!$A:$A, 0))</f>
        <v>1</v>
      </c>
      <c r="D14" s="11">
        <f>INDEX(Scenarios!$D:$D, MATCH($A14, Scenarios!$A:$A, 0))*Parameters_Public!$C$22*Parameters_Public!$C$10*Parameters_Public!$C$36 + INDEX(Scenarios!$E:$E, MATCH($A14, Scenarios!$A:$A, 0))*Parameters_Public!$C$23*Parameters_Public!$C$11*Parameters_Public!$C$38</f>
        <v>251.6</v>
      </c>
      <c r="E14" s="11">
        <f>INDEX(Scenarios!$D:$D, MATCH($A14, Scenarios!$A:$A, 0))*Parameters_Public!$C$22*Parameters_Public!$C$10*Parameters_Public!$C$37 + INDEX(Scenarios!$E:$E, MATCH($A14, Scenarios!$A:$A, 0))*Parameters_Public!$C$23*Parameters_Public!$C$11*Parameters_Public!$C$39</f>
        <v>0</v>
      </c>
      <c r="G14">
        <f>Parameters_Public!$C$33</f>
        <v>300</v>
      </c>
      <c r="H14">
        <f>Parameters_Public!$C$34</f>
        <v>150</v>
      </c>
      <c r="J14" s="11">
        <f t="shared" si="0"/>
        <v>0</v>
      </c>
      <c r="K14" s="11">
        <f t="shared" si="1"/>
        <v>0</v>
      </c>
      <c r="L14">
        <f>(J14+K14)*Parameters_Public!$C$32</f>
        <v>0</v>
      </c>
    </row>
    <row r="15" spans="1:12">
      <c r="A15" t="str">
        <f>Scenarios!$A$13</f>
        <v>C_Repurpose_Pima_ops_EchoGHub_EchoTargets</v>
      </c>
      <c r="B15">
        <f>INDEX(Scenarios!$D:$D, MATCH($A15, Scenarios!$A:$A, 0))</f>
        <v>0</v>
      </c>
      <c r="C15">
        <f>INDEX(Scenarios!$E:$E, MATCH($A15, Scenarios!$A:$A, 0))</f>
        <v>1</v>
      </c>
      <c r="D15" s="11">
        <f>INDEX(Scenarios!$D:$D, MATCH($A15, Scenarios!$A:$A, 0))*Parameters_Public!$C$22*Parameters_Public!$C$10*Parameters_Public!$C$36 + INDEX(Scenarios!$E:$E, MATCH($A15, Scenarios!$A:$A, 0))*Parameters_Public!$C$23*Parameters_Public!$C$11*Parameters_Public!$C$38</f>
        <v>251.6</v>
      </c>
      <c r="E15" s="11">
        <f>INDEX(Scenarios!$D:$D, MATCH($A15, Scenarios!$A:$A, 0))*Parameters_Public!$C$22*Parameters_Public!$C$10*Parameters_Public!$C$37 + INDEX(Scenarios!$E:$E, MATCH($A15, Scenarios!$A:$A, 0))*Parameters_Public!$C$23*Parameters_Public!$C$11*Parameters_Public!$C$39</f>
        <v>0</v>
      </c>
      <c r="G15">
        <f>Parameters_Public!$C$33</f>
        <v>300</v>
      </c>
      <c r="H15">
        <f>Parameters_Public!$C$34</f>
        <v>150</v>
      </c>
      <c r="J15" s="11">
        <f t="shared" si="0"/>
        <v>0</v>
      </c>
      <c r="K15" s="11">
        <f t="shared" si="1"/>
        <v>0</v>
      </c>
      <c r="L15">
        <f>(J15+K15)*Parameters_Public!$C$32</f>
        <v>0</v>
      </c>
    </row>
    <row r="16" spans="1:12">
      <c r="A16" t="str">
        <f>Scenarios!$A$14</f>
        <v>H_StatusQuo_Decline</v>
      </c>
      <c r="B16">
        <f>INDEX(Scenarios!$D:$D, MATCH($A16, Scenarios!$A:$A, 0))</f>
        <v>0</v>
      </c>
      <c r="C16">
        <f>INDEX(Scenarios!$E:$E, MATCH($A16, Scenarios!$A:$A, 0))</f>
        <v>0</v>
      </c>
      <c r="D16" s="11">
        <f>INDEX(Scenarios!$D:$D, MATCH($A16, Scenarios!$A:$A, 0))*Parameters_Public!$C$22*Parameters_Public!$C$10*Parameters_Public!$C$36 + INDEX(Scenarios!$E:$E, MATCH($A16, Scenarios!$A:$A, 0))*Parameters_Public!$C$23*Parameters_Public!$C$11*Parameters_Public!$C$38</f>
        <v>0</v>
      </c>
      <c r="E16" s="11">
        <f>INDEX(Scenarios!$D:$D, MATCH($A16, Scenarios!$A:$A, 0))*Parameters_Public!$C$22*Parameters_Public!$C$10*Parameters_Public!$C$37 + INDEX(Scenarios!$E:$E, MATCH($A16, Scenarios!$A:$A, 0))*Parameters_Public!$C$23*Parameters_Public!$C$11*Parameters_Public!$C$39</f>
        <v>0</v>
      </c>
      <c r="G16">
        <f>Parameters_Public!$C$33</f>
        <v>300</v>
      </c>
      <c r="H16">
        <f>Parameters_Public!$C$34</f>
        <v>150</v>
      </c>
      <c r="J16" s="11">
        <f t="shared" si="0"/>
        <v>0</v>
      </c>
      <c r="K16" s="11">
        <f t="shared" si="1"/>
        <v>0</v>
      </c>
      <c r="L16">
        <f>(J16+K16)*Parameters_Public!$C$32</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59"/>
  <sheetViews>
    <sheetView zoomScale="80" zoomScaleNormal="80" workbookViewId="0">
      <pane xSplit="2" ySplit="1" topLeftCell="C21" activePane="bottomRight" state="frozen"/>
      <selection pane="topRight"/>
      <selection pane="bottomLeft"/>
      <selection pane="bottomRight" activeCell="C42" sqref="C42"/>
    </sheetView>
  </sheetViews>
  <sheetFormatPr defaultRowHeight="14.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85</v>
      </c>
    </row>
    <row r="3" spans="1:16">
      <c r="A3" s="4" t="s">
        <v>86</v>
      </c>
      <c r="B3" s="7"/>
    </row>
    <row r="4" spans="1:16">
      <c r="A4" s="4"/>
    </row>
    <row r="5" spans="1:16">
      <c r="B5" s="6" t="s">
        <v>87</v>
      </c>
      <c r="C5" s="49" t="s">
        <v>88</v>
      </c>
      <c r="D5" s="50"/>
      <c r="E5" s="50"/>
      <c r="F5" s="50"/>
      <c r="G5" s="51"/>
      <c r="H5" s="6" t="s">
        <v>3</v>
      </c>
      <c r="J5" s="4"/>
      <c r="K5" s="4"/>
      <c r="L5" s="4"/>
      <c r="M5" s="4"/>
      <c r="N5" s="4"/>
      <c r="O5" s="4"/>
      <c r="P5" s="4"/>
    </row>
    <row r="6" spans="1:16">
      <c r="B6" s="7" t="s">
        <v>89</v>
      </c>
      <c r="C6" s="14">
        <v>2.5000000000000001E-2</v>
      </c>
      <c r="D6" s="7"/>
      <c r="E6" s="7"/>
      <c r="F6" s="7"/>
      <c r="G6" s="7"/>
      <c r="H6" s="8" t="s">
        <v>90</v>
      </c>
    </row>
    <row r="7" spans="1:16">
      <c r="B7" s="7" t="s">
        <v>91</v>
      </c>
      <c r="C7" s="14">
        <v>9936</v>
      </c>
      <c r="D7" s="7"/>
      <c r="E7" s="7"/>
      <c r="F7" s="7"/>
      <c r="G7" s="7"/>
      <c r="H7" s="8" t="s">
        <v>92</v>
      </c>
    </row>
    <row r="8" spans="1:16">
      <c r="B8" s="7" t="s">
        <v>93</v>
      </c>
      <c r="C8" s="14">
        <v>0.46</v>
      </c>
      <c r="D8" s="7"/>
      <c r="E8" s="7"/>
      <c r="F8" s="7"/>
      <c r="G8" s="7"/>
      <c r="H8" s="8" t="s">
        <v>94</v>
      </c>
    </row>
    <row r="9" spans="1:16">
      <c r="B9" s="7" t="s">
        <v>95</v>
      </c>
      <c r="C9" s="14">
        <v>5013</v>
      </c>
      <c r="D9" s="7"/>
      <c r="E9" s="7"/>
      <c r="F9" s="7"/>
      <c r="G9" s="7"/>
      <c r="H9" s="8" t="s">
        <v>96</v>
      </c>
    </row>
    <row r="10" spans="1:16">
      <c r="B10" s="7" t="s">
        <v>97</v>
      </c>
      <c r="C10" s="14">
        <v>7.0000000000000001E-3</v>
      </c>
      <c r="D10" s="7"/>
      <c r="E10" s="7"/>
      <c r="F10" s="7"/>
      <c r="G10" s="7"/>
      <c r="H10" s="8" t="s">
        <v>98</v>
      </c>
    </row>
    <row r="11" spans="1:16">
      <c r="B11" s="7" t="s">
        <v>99</v>
      </c>
      <c r="C11" s="14">
        <v>1.4999999999999999E-2</v>
      </c>
      <c r="D11" s="7"/>
      <c r="E11" s="7"/>
      <c r="F11" s="7"/>
      <c r="G11" s="7"/>
      <c r="H11" s="8" t="s">
        <v>100</v>
      </c>
    </row>
    <row r="12" spans="1:16">
      <c r="B12" s="7" t="s">
        <v>101</v>
      </c>
      <c r="C12" s="14">
        <v>257</v>
      </c>
      <c r="D12" s="7"/>
      <c r="E12" s="7"/>
      <c r="F12" s="7"/>
      <c r="G12" s="7"/>
      <c r="H12" s="8" t="s">
        <v>102</v>
      </c>
    </row>
    <row r="13" spans="1:16">
      <c r="B13" s="7" t="s">
        <v>103</v>
      </c>
      <c r="C13" s="14">
        <v>296</v>
      </c>
      <c r="D13" s="7"/>
      <c r="E13" s="7"/>
      <c r="F13" s="7"/>
      <c r="G13" s="7"/>
      <c r="H13" s="8" t="s">
        <v>104</v>
      </c>
    </row>
    <row r="14" spans="1:16">
      <c r="B14" s="7" t="s">
        <v>105</v>
      </c>
      <c r="C14" s="7">
        <f>C12+C13</f>
        <v>553</v>
      </c>
      <c r="D14" s="7"/>
      <c r="E14" s="7"/>
      <c r="F14" s="7"/>
      <c r="G14" s="7"/>
      <c r="H14" s="8" t="s">
        <v>106</v>
      </c>
    </row>
    <row r="15" spans="1:16">
      <c r="B15" s="7" t="s">
        <v>107</v>
      </c>
      <c r="C15" s="13">
        <v>1200000</v>
      </c>
      <c r="D15" s="7"/>
      <c r="E15" s="7"/>
      <c r="F15" s="7"/>
      <c r="G15" s="7"/>
      <c r="H15" s="8" t="s">
        <v>108</v>
      </c>
    </row>
    <row r="16" spans="1:16">
      <c r="B16" s="7" t="s">
        <v>109</v>
      </c>
      <c r="C16" s="14">
        <v>0.75</v>
      </c>
      <c r="D16" s="7"/>
      <c r="E16" s="7"/>
      <c r="F16" s="7"/>
      <c r="G16" s="7"/>
      <c r="H16" s="8" t="s">
        <v>110</v>
      </c>
    </row>
    <row r="17" spans="1:8">
      <c r="B17" s="7" t="s">
        <v>111</v>
      </c>
      <c r="C17" s="14">
        <f>Parameters_Public!$C41</f>
        <v>0.4</v>
      </c>
      <c r="D17" s="7"/>
      <c r="E17" s="7"/>
      <c r="F17" s="7"/>
      <c r="G17" s="7"/>
      <c r="H17" s="8" t="s">
        <v>112</v>
      </c>
    </row>
    <row r="18" spans="1:8">
      <c r="B18" s="7"/>
      <c r="C18" s="7"/>
      <c r="D18" s="7"/>
      <c r="E18" s="7"/>
      <c r="F18" s="7"/>
      <c r="G18" s="7"/>
      <c r="H18" s="9"/>
    </row>
    <row r="19" spans="1:8">
      <c r="A19" s="4" t="s">
        <v>113</v>
      </c>
      <c r="B19" s="7"/>
      <c r="C19" s="7"/>
      <c r="D19" s="7"/>
      <c r="E19" s="7"/>
      <c r="F19" s="7"/>
      <c r="G19" s="7"/>
      <c r="H19" s="9"/>
    </row>
    <row r="20" spans="1:8">
      <c r="A20" s="4"/>
      <c r="B20" s="7"/>
      <c r="C20" s="7"/>
      <c r="D20" s="7"/>
      <c r="E20" s="7"/>
      <c r="F20" s="7"/>
      <c r="G20" s="7"/>
      <c r="H20" s="9"/>
    </row>
    <row r="21" spans="1:8">
      <c r="B21" s="6" t="s">
        <v>63</v>
      </c>
      <c r="C21" s="6" t="s">
        <v>114</v>
      </c>
      <c r="D21" s="6" t="s">
        <v>115</v>
      </c>
      <c r="E21" s="6" t="s">
        <v>116</v>
      </c>
      <c r="F21" s="15"/>
      <c r="G21" s="15"/>
      <c r="H21" s="9"/>
    </row>
    <row r="22" spans="1:8">
      <c r="B22" s="7" t="s">
        <v>70</v>
      </c>
      <c r="C22" s="14">
        <v>1000</v>
      </c>
      <c r="D22" s="14">
        <v>0.4</v>
      </c>
      <c r="E22" s="14">
        <v>0.5</v>
      </c>
      <c r="F22" s="7"/>
      <c r="G22" s="7"/>
      <c r="H22" s="8" t="s">
        <v>117</v>
      </c>
    </row>
    <row r="23" spans="1:8">
      <c r="B23" s="7" t="s">
        <v>71</v>
      </c>
      <c r="C23" s="14">
        <v>800</v>
      </c>
      <c r="D23" s="14">
        <v>0.3</v>
      </c>
      <c r="E23" s="14">
        <v>0.4</v>
      </c>
      <c r="F23" s="7"/>
      <c r="G23" s="7"/>
      <c r="H23" s="8" t="s">
        <v>118</v>
      </c>
    </row>
    <row r="24" spans="1:8">
      <c r="B24" s="7" t="s">
        <v>72</v>
      </c>
      <c r="C24" s="14">
        <v>600</v>
      </c>
      <c r="D24" s="14">
        <v>0.2</v>
      </c>
      <c r="E24" s="14">
        <v>0.35</v>
      </c>
      <c r="F24" s="7"/>
      <c r="G24" s="7"/>
      <c r="H24" s="8" t="s">
        <v>119</v>
      </c>
    </row>
    <row r="25" spans="1:8">
      <c r="B25" s="7" t="s">
        <v>73</v>
      </c>
      <c r="C25" s="14">
        <v>500</v>
      </c>
      <c r="D25" s="14">
        <v>0.1</v>
      </c>
      <c r="E25" s="14">
        <v>0.3</v>
      </c>
      <c r="F25" s="7"/>
      <c r="G25" s="7"/>
      <c r="H25" s="9"/>
    </row>
    <row r="26" spans="1:8">
      <c r="B26" s="7" t="s">
        <v>74</v>
      </c>
      <c r="C26" s="14">
        <v>300</v>
      </c>
      <c r="D26" s="14">
        <v>0.1</v>
      </c>
      <c r="E26" s="14">
        <v>0.3</v>
      </c>
      <c r="F26" s="7"/>
      <c r="G26" s="7"/>
      <c r="H26" s="9"/>
    </row>
    <row r="27" spans="1:8">
      <c r="B27" s="7"/>
      <c r="C27" s="7"/>
      <c r="D27" s="7"/>
      <c r="E27" s="7"/>
      <c r="F27" s="7"/>
      <c r="G27" s="7"/>
      <c r="H27" s="9"/>
    </row>
    <row r="28" spans="1:8">
      <c r="A28" s="4" t="s">
        <v>120</v>
      </c>
      <c r="B28" s="7"/>
      <c r="C28" s="7"/>
      <c r="D28" s="7"/>
      <c r="E28" s="7"/>
      <c r="F28" s="7"/>
      <c r="G28" s="7"/>
      <c r="H28" s="9"/>
    </row>
    <row r="29" spans="1:8">
      <c r="A29" s="4"/>
      <c r="B29" s="7"/>
      <c r="C29" s="7"/>
      <c r="D29" s="7"/>
      <c r="E29" s="7"/>
      <c r="F29" s="7"/>
      <c r="G29" s="7"/>
      <c r="H29" s="9"/>
    </row>
    <row r="30" spans="1:8">
      <c r="A30" s="10" t="s">
        <v>121</v>
      </c>
      <c r="B30" s="6" t="s">
        <v>122</v>
      </c>
      <c r="C30" s="6" t="s">
        <v>123</v>
      </c>
      <c r="D30" s="6" t="s">
        <v>124</v>
      </c>
      <c r="E30" s="6" t="s">
        <v>125</v>
      </c>
      <c r="F30" s="6" t="s">
        <v>126</v>
      </c>
      <c r="G30" s="6" t="s">
        <v>127</v>
      </c>
      <c r="H30" s="9"/>
    </row>
    <row r="31" spans="1:8">
      <c r="A31" s="10" t="s">
        <v>128</v>
      </c>
      <c r="B31" s="7" t="s">
        <v>129</v>
      </c>
      <c r="C31" s="14">
        <v>0</v>
      </c>
      <c r="D31" s="14">
        <v>0</v>
      </c>
      <c r="E31" s="14">
        <v>0</v>
      </c>
      <c r="F31" s="14">
        <v>0.5</v>
      </c>
      <c r="G31" s="14">
        <v>0</v>
      </c>
      <c r="H31" s="9"/>
    </row>
    <row r="32" spans="1:8">
      <c r="A32" s="10" t="s">
        <v>130</v>
      </c>
      <c r="B32" s="7" t="s">
        <v>131</v>
      </c>
      <c r="C32" s="14">
        <v>150</v>
      </c>
      <c r="D32" s="14">
        <v>0</v>
      </c>
      <c r="E32" s="14">
        <v>0</v>
      </c>
      <c r="F32" s="14">
        <v>0.5</v>
      </c>
      <c r="G32" s="14">
        <v>0</v>
      </c>
      <c r="H32" s="9" t="s">
        <v>132</v>
      </c>
    </row>
    <row r="33" spans="1:8">
      <c r="A33" s="10" t="s">
        <v>133</v>
      </c>
      <c r="B33" s="7" t="s">
        <v>134</v>
      </c>
      <c r="C33" s="14">
        <v>150</v>
      </c>
      <c r="D33" s="14">
        <v>0</v>
      </c>
      <c r="E33" s="14">
        <v>0</v>
      </c>
      <c r="F33" s="14">
        <v>0.5</v>
      </c>
      <c r="G33" s="14">
        <v>0.05</v>
      </c>
      <c r="H33" s="31"/>
    </row>
    <row r="34" spans="1:8">
      <c r="A34" s="10" t="s">
        <v>135</v>
      </c>
      <c r="B34" s="7" t="s">
        <v>136</v>
      </c>
      <c r="C34" s="14">
        <v>250</v>
      </c>
      <c r="D34" s="14">
        <v>0</v>
      </c>
      <c r="E34" s="14">
        <v>0</v>
      </c>
      <c r="F34" s="14">
        <v>0.5</v>
      </c>
      <c r="G34" s="14">
        <v>0</v>
      </c>
      <c r="H34" s="9"/>
    </row>
    <row r="35" spans="1:8">
      <c r="A35" s="10" t="s">
        <v>137</v>
      </c>
      <c r="B35" s="7" t="s">
        <v>138</v>
      </c>
      <c r="C35" s="14">
        <v>0</v>
      </c>
      <c r="D35" s="14">
        <v>0</v>
      </c>
      <c r="E35" s="14">
        <v>0</v>
      </c>
      <c r="F35" s="14">
        <v>0.5</v>
      </c>
      <c r="G35" s="14">
        <v>0</v>
      </c>
      <c r="H35" s="9"/>
    </row>
    <row r="36" spans="1:8">
      <c r="A36" s="10" t="s">
        <v>139</v>
      </c>
      <c r="B36" s="7" t="s">
        <v>140</v>
      </c>
      <c r="C36" s="14">
        <v>150</v>
      </c>
      <c r="D36" s="14">
        <v>0</v>
      </c>
      <c r="E36" s="14">
        <v>0</v>
      </c>
      <c r="F36" s="14">
        <v>0.7</v>
      </c>
      <c r="G36" s="14">
        <v>0</v>
      </c>
      <c r="H36" s="9"/>
    </row>
    <row r="37" spans="1:8">
      <c r="A37" s="10" t="s">
        <v>141</v>
      </c>
      <c r="B37" s="7" t="s">
        <v>142</v>
      </c>
      <c r="C37" s="14">
        <v>0</v>
      </c>
      <c r="D37" s="14">
        <v>1</v>
      </c>
      <c r="E37" s="14">
        <v>1</v>
      </c>
      <c r="F37" s="14">
        <v>0.5</v>
      </c>
      <c r="G37" s="14">
        <v>0</v>
      </c>
      <c r="H37" s="9"/>
    </row>
    <row r="38" spans="1:8">
      <c r="A38" s="10" t="s">
        <v>143</v>
      </c>
      <c r="B38" s="7" t="s">
        <v>144</v>
      </c>
      <c r="C38" s="14">
        <v>0</v>
      </c>
      <c r="D38" s="14">
        <v>1</v>
      </c>
      <c r="E38" s="14">
        <v>1</v>
      </c>
      <c r="F38" s="14">
        <v>0.5</v>
      </c>
      <c r="G38" s="14">
        <v>0</v>
      </c>
      <c r="H38" s="9"/>
    </row>
    <row r="39" spans="1:8">
      <c r="A39" s="10" t="s">
        <v>145</v>
      </c>
      <c r="B39" s="7" t="s">
        <v>146</v>
      </c>
      <c r="C39" s="14">
        <v>0</v>
      </c>
      <c r="D39" s="14">
        <v>1</v>
      </c>
      <c r="E39" s="14">
        <v>0</v>
      </c>
      <c r="F39" s="14">
        <v>0</v>
      </c>
      <c r="G39" s="14">
        <v>0</v>
      </c>
      <c r="H39" s="9"/>
    </row>
    <row r="40" spans="1:8">
      <c r="A40" s="10" t="s">
        <v>147</v>
      </c>
      <c r="B40" s="7" t="s">
        <v>148</v>
      </c>
      <c r="C40" s="14">
        <v>150</v>
      </c>
      <c r="D40" s="14">
        <v>1</v>
      </c>
      <c r="E40" s="14">
        <v>0</v>
      </c>
      <c r="F40" s="14">
        <v>0</v>
      </c>
      <c r="G40" s="14">
        <v>0</v>
      </c>
      <c r="H40" s="9"/>
    </row>
    <row r="41" spans="1:8">
      <c r="A41" s="10" t="s">
        <v>149</v>
      </c>
      <c r="B41" s="7" t="s">
        <v>150</v>
      </c>
      <c r="C41" s="14">
        <v>0</v>
      </c>
      <c r="D41" s="14">
        <v>0</v>
      </c>
      <c r="E41" s="14">
        <v>1</v>
      </c>
      <c r="F41" s="14">
        <v>1</v>
      </c>
      <c r="G41" s="14">
        <v>0</v>
      </c>
      <c r="H41" s="9"/>
    </row>
    <row r="42" spans="1:8">
      <c r="A42" s="10" t="s">
        <v>151</v>
      </c>
      <c r="B42" s="7" t="s">
        <v>152</v>
      </c>
      <c r="C42" s="14">
        <v>200</v>
      </c>
      <c r="D42" s="14">
        <v>0</v>
      </c>
      <c r="E42" s="14">
        <v>1</v>
      </c>
      <c r="F42" s="14">
        <v>1</v>
      </c>
      <c r="G42" s="14">
        <v>0</v>
      </c>
      <c r="H42" s="9"/>
    </row>
    <row r="43" spans="1:8">
      <c r="B43" s="7"/>
      <c r="C43" s="7"/>
      <c r="D43" s="7"/>
      <c r="E43" s="7"/>
      <c r="F43" s="7"/>
      <c r="G43" s="7"/>
    </row>
    <row r="44" spans="1:8">
      <c r="A44" s="4" t="s">
        <v>153</v>
      </c>
      <c r="B44" s="7"/>
      <c r="C44" s="7"/>
      <c r="D44" s="7"/>
      <c r="E44" s="7"/>
      <c r="F44" s="7"/>
      <c r="G44" s="7"/>
    </row>
    <row r="45" spans="1:8">
      <c r="B45" s="7"/>
      <c r="C45" s="7"/>
      <c r="D45" s="7"/>
      <c r="E45" s="7"/>
      <c r="F45" s="7"/>
      <c r="G45" s="7"/>
    </row>
    <row r="46" spans="1:8">
      <c r="B46" s="6" t="s">
        <v>122</v>
      </c>
      <c r="C46" s="6" t="s">
        <v>154</v>
      </c>
      <c r="D46" s="6" t="s">
        <v>155</v>
      </c>
      <c r="E46" s="7"/>
      <c r="F46" s="7"/>
      <c r="G46" s="7"/>
      <c r="H46" s="9" t="s">
        <v>156</v>
      </c>
    </row>
    <row r="47" spans="1:8">
      <c r="B47" s="7" t="s">
        <v>157</v>
      </c>
      <c r="C47" s="14" t="s">
        <v>158</v>
      </c>
      <c r="D47" s="14" t="s">
        <v>159</v>
      </c>
      <c r="E47" s="7"/>
      <c r="F47" s="7"/>
      <c r="G47" s="7"/>
      <c r="H47" s="9"/>
    </row>
    <row r="48" spans="1:8">
      <c r="B48" s="7" t="s">
        <v>131</v>
      </c>
      <c r="C48" s="14" t="s">
        <v>160</v>
      </c>
      <c r="D48" s="14" t="s">
        <v>161</v>
      </c>
      <c r="E48" s="7"/>
      <c r="F48" s="7"/>
      <c r="G48" s="7"/>
      <c r="H48" s="9"/>
    </row>
    <row r="49" spans="2:8">
      <c r="B49" s="7" t="s">
        <v>134</v>
      </c>
      <c r="C49" s="16" t="s">
        <v>162</v>
      </c>
      <c r="D49" s="14" t="s">
        <v>159</v>
      </c>
      <c r="E49" s="7"/>
      <c r="F49" s="7"/>
      <c r="G49" s="7"/>
      <c r="H49" s="9"/>
    </row>
    <row r="50" spans="2:8">
      <c r="B50" s="7" t="s">
        <v>136</v>
      </c>
      <c r="C50" s="16" t="s">
        <v>162</v>
      </c>
      <c r="D50" s="14" t="s">
        <v>159</v>
      </c>
      <c r="E50" s="7"/>
      <c r="F50" s="7"/>
      <c r="G50" s="7"/>
      <c r="H50" s="9"/>
    </row>
    <row r="51" spans="2:8">
      <c r="B51" s="7" t="s">
        <v>163</v>
      </c>
      <c r="C51" s="14" t="s">
        <v>158</v>
      </c>
      <c r="D51" s="14" t="s">
        <v>159</v>
      </c>
      <c r="E51" s="7"/>
      <c r="F51" s="7"/>
      <c r="G51" s="7"/>
      <c r="H51" s="9"/>
    </row>
    <row r="52" spans="2:8">
      <c r="B52" s="7" t="s">
        <v>140</v>
      </c>
      <c r="C52" s="16" t="s">
        <v>162</v>
      </c>
      <c r="D52" s="14" t="s">
        <v>159</v>
      </c>
      <c r="E52" s="7"/>
      <c r="F52" s="7"/>
      <c r="G52" s="7"/>
      <c r="H52" s="9"/>
    </row>
    <row r="53" spans="2:8">
      <c r="B53" s="7" t="s">
        <v>142</v>
      </c>
      <c r="C53" s="16" t="s">
        <v>164</v>
      </c>
      <c r="D53" s="14" t="s">
        <v>165</v>
      </c>
      <c r="E53" s="7"/>
      <c r="F53" s="7"/>
      <c r="G53" s="7"/>
      <c r="H53" s="9"/>
    </row>
    <row r="54" spans="2:8">
      <c r="B54" s="7" t="s">
        <v>144</v>
      </c>
      <c r="C54" s="16" t="s">
        <v>166</v>
      </c>
      <c r="D54" s="14" t="s">
        <v>167</v>
      </c>
      <c r="E54" s="7"/>
      <c r="F54" s="7"/>
      <c r="G54" s="7"/>
      <c r="H54" s="9"/>
    </row>
    <row r="55" spans="2:8">
      <c r="B55" s="7" t="s">
        <v>146</v>
      </c>
      <c r="C55" s="16" t="s">
        <v>166</v>
      </c>
      <c r="D55" s="14" t="s">
        <v>167</v>
      </c>
      <c r="E55" s="7"/>
      <c r="F55" s="7"/>
      <c r="G55" s="7"/>
      <c r="H55" s="9"/>
    </row>
    <row r="56" spans="2:8">
      <c r="B56" s="7" t="s">
        <v>148</v>
      </c>
      <c r="C56" s="14" t="s">
        <v>160</v>
      </c>
      <c r="D56" s="14" t="s">
        <v>167</v>
      </c>
      <c r="E56" s="7"/>
      <c r="F56" s="7"/>
      <c r="G56" s="7"/>
      <c r="H56" s="9"/>
    </row>
    <row r="57" spans="2:8">
      <c r="B57" s="7" t="s">
        <v>150</v>
      </c>
      <c r="C57" s="16" t="s">
        <v>166</v>
      </c>
      <c r="D57" s="14" t="s">
        <v>167</v>
      </c>
      <c r="E57" s="7"/>
      <c r="F57" s="7"/>
      <c r="G57" s="7"/>
      <c r="H57" s="9"/>
    </row>
    <row r="58" spans="2:8">
      <c r="B58" s="7" t="s">
        <v>152</v>
      </c>
      <c r="C58" s="14" t="s">
        <v>160</v>
      </c>
      <c r="D58" s="14" t="s">
        <v>167</v>
      </c>
      <c r="E58" s="7"/>
      <c r="F58" s="7"/>
      <c r="G58" s="7"/>
      <c r="H58" s="9"/>
    </row>
    <row r="59" spans="2:8">
      <c r="H59" s="9"/>
    </row>
  </sheetData>
  <mergeCells count="1">
    <mergeCell ref="C5: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4"/>
  <sheetViews>
    <sheetView zoomScale="70" zoomScaleNormal="70" workbookViewId="0">
      <pane xSplit="3" ySplit="2" topLeftCell="D3" activePane="bottomRight" state="frozen"/>
      <selection pane="topRight" activeCell="C1" sqref="C1"/>
      <selection pane="bottomLeft" activeCell="A3" sqref="A3"/>
      <selection pane="bottomRight" activeCell="D3" sqref="D3"/>
    </sheetView>
  </sheetViews>
  <sheetFormatPr defaultRowHeight="14.5"/>
  <cols>
    <col min="3" max="3" width="16.36328125" customWidth="1"/>
    <col min="4" max="7" width="35.54296875" customWidth="1"/>
    <col min="8" max="8" width="17.7265625" customWidth="1"/>
    <col min="9" max="9" width="17.26953125" customWidth="1"/>
    <col min="10" max="10" width="13.7265625" customWidth="1"/>
    <col min="11" max="11" width="12.36328125" customWidth="1"/>
  </cols>
  <sheetData>
    <row r="1" spans="1:11">
      <c r="A1" s="7"/>
      <c r="B1" s="7"/>
      <c r="C1" s="7"/>
      <c r="D1" s="7"/>
      <c r="E1" s="7"/>
      <c r="F1" s="7"/>
      <c r="G1" s="7"/>
      <c r="H1" s="7"/>
      <c r="I1" s="7"/>
    </row>
    <row r="2" spans="1:11">
      <c r="A2" s="7"/>
      <c r="B2" s="7" t="s">
        <v>168</v>
      </c>
      <c r="C2" s="6" t="s">
        <v>169</v>
      </c>
      <c r="D2" s="6" t="s">
        <v>170</v>
      </c>
      <c r="E2" s="6" t="s">
        <v>171</v>
      </c>
      <c r="F2" s="6" t="s">
        <v>172</v>
      </c>
      <c r="G2" s="6" t="s">
        <v>173</v>
      </c>
      <c r="H2" s="7"/>
      <c r="I2" s="7"/>
    </row>
    <row r="3" spans="1:11" ht="221" customHeight="1">
      <c r="A3" s="7"/>
      <c r="B3" s="7">
        <f t="shared" ref="B3:B28" si="0">ROW()-2</f>
        <v>1</v>
      </c>
      <c r="C3" s="24" t="s">
        <v>174</v>
      </c>
      <c r="D3" s="25" t="s">
        <v>175</v>
      </c>
      <c r="E3" s="25" t="s">
        <v>176</v>
      </c>
      <c r="F3" s="25"/>
      <c r="G3" s="25"/>
      <c r="H3" s="7"/>
      <c r="I3" s="7"/>
    </row>
    <row r="4" spans="1:11" ht="182" customHeight="1">
      <c r="A4" s="7"/>
      <c r="B4" s="7">
        <f t="shared" si="0"/>
        <v>2</v>
      </c>
      <c r="C4" s="24" t="s">
        <v>177</v>
      </c>
      <c r="D4" s="25" t="s">
        <v>178</v>
      </c>
      <c r="E4" s="25" t="s">
        <v>179</v>
      </c>
      <c r="F4" s="25"/>
      <c r="G4" s="25"/>
      <c r="H4" s="7"/>
      <c r="I4" s="7"/>
    </row>
    <row r="5" spans="1:11" ht="130" customHeight="1">
      <c r="A5" s="7"/>
      <c r="B5" s="7">
        <f t="shared" si="0"/>
        <v>3</v>
      </c>
      <c r="C5" s="24" t="s">
        <v>180</v>
      </c>
      <c r="D5" s="25" t="s">
        <v>181</v>
      </c>
      <c r="E5" s="24" t="s">
        <v>182</v>
      </c>
      <c r="F5" s="24"/>
      <c r="G5" s="25" t="s">
        <v>183</v>
      </c>
      <c r="H5" s="7"/>
      <c r="I5" s="7"/>
    </row>
    <row r="6" spans="1:11" ht="65" customHeight="1">
      <c r="A6" s="7"/>
      <c r="B6" s="7">
        <f t="shared" si="0"/>
        <v>4</v>
      </c>
      <c r="C6" s="24" t="s">
        <v>184</v>
      </c>
      <c r="D6" s="25" t="s">
        <v>185</v>
      </c>
      <c r="E6" s="25" t="s">
        <v>186</v>
      </c>
      <c r="F6" s="25"/>
      <c r="G6" s="25" t="s">
        <v>187</v>
      </c>
      <c r="H6" s="7"/>
      <c r="I6" s="7"/>
    </row>
    <row r="7" spans="1:11" ht="52" customHeight="1">
      <c r="A7" s="7"/>
      <c r="B7" s="7">
        <f t="shared" si="0"/>
        <v>5</v>
      </c>
      <c r="C7" s="24" t="s">
        <v>188</v>
      </c>
      <c r="D7" s="25" t="s">
        <v>185</v>
      </c>
      <c r="E7" s="24" t="s">
        <v>189</v>
      </c>
      <c r="F7" s="24"/>
      <c r="G7" s="25" t="s">
        <v>190</v>
      </c>
      <c r="H7" s="7"/>
      <c r="I7" s="7"/>
    </row>
    <row r="8" spans="1:11" ht="104" customHeight="1">
      <c r="A8" s="7"/>
      <c r="B8" s="7">
        <f t="shared" si="0"/>
        <v>6</v>
      </c>
      <c r="C8" s="24" t="s">
        <v>191</v>
      </c>
      <c r="D8" s="25" t="s">
        <v>192</v>
      </c>
      <c r="E8" s="26" t="s">
        <v>193</v>
      </c>
      <c r="F8" s="26"/>
      <c r="G8" s="25" t="s">
        <v>194</v>
      </c>
      <c r="H8" s="7"/>
      <c r="I8" s="7"/>
    </row>
    <row r="9" spans="1:11" ht="145" customHeight="1">
      <c r="A9" s="7"/>
      <c r="B9" s="7">
        <f t="shared" si="0"/>
        <v>7</v>
      </c>
      <c r="C9" s="20" t="s">
        <v>195</v>
      </c>
      <c r="D9" s="19" t="s">
        <v>196</v>
      </c>
      <c r="E9" s="23" t="s">
        <v>197</v>
      </c>
      <c r="F9" s="23"/>
      <c r="G9" s="25" t="s">
        <v>198</v>
      </c>
      <c r="H9" s="7"/>
      <c r="I9" s="7"/>
    </row>
    <row r="10" spans="1:11">
      <c r="A10" s="7"/>
      <c r="B10" s="7">
        <f t="shared" si="0"/>
        <v>8</v>
      </c>
      <c r="C10" s="24" t="s">
        <v>199</v>
      </c>
      <c r="D10" s="28"/>
      <c r="E10" s="27"/>
      <c r="F10" s="27"/>
      <c r="G10" s="28"/>
      <c r="H10" s="7"/>
      <c r="I10" s="7"/>
    </row>
    <row r="11" spans="1:11">
      <c r="A11" s="7"/>
      <c r="B11" s="7">
        <f t="shared" si="0"/>
        <v>9</v>
      </c>
      <c r="C11" s="24" t="s">
        <v>200</v>
      </c>
      <c r="D11" s="28"/>
      <c r="E11" s="27"/>
      <c r="F11" s="27"/>
      <c r="G11" s="28"/>
      <c r="H11" s="7"/>
      <c r="I11" s="7"/>
    </row>
    <row r="12" spans="1:11" ht="26" customHeight="1">
      <c r="A12" s="7"/>
      <c r="B12" s="7">
        <f t="shared" si="0"/>
        <v>10</v>
      </c>
      <c r="C12" s="24" t="s">
        <v>201</v>
      </c>
      <c r="D12" s="25" t="s">
        <v>202</v>
      </c>
      <c r="E12" s="25" t="s">
        <v>203</v>
      </c>
      <c r="F12" s="25"/>
      <c r="G12" s="25"/>
      <c r="H12" s="7"/>
      <c r="I12" s="7"/>
    </row>
    <row r="13" spans="1:11" ht="52" customHeight="1">
      <c r="A13" s="7"/>
      <c r="B13" s="7">
        <f t="shared" si="0"/>
        <v>11</v>
      </c>
      <c r="C13" s="24" t="s">
        <v>204</v>
      </c>
      <c r="D13" s="25" t="s">
        <v>205</v>
      </c>
      <c r="E13" s="24" t="s">
        <v>206</v>
      </c>
      <c r="F13" s="24"/>
      <c r="G13" s="25" t="s">
        <v>207</v>
      </c>
      <c r="H13" s="7"/>
      <c r="I13" s="7"/>
    </row>
    <row r="14" spans="1:11" ht="104" customHeight="1">
      <c r="A14" s="7"/>
      <c r="B14" s="7">
        <f t="shared" si="0"/>
        <v>12</v>
      </c>
      <c r="C14" s="24" t="s">
        <v>208</v>
      </c>
      <c r="D14" s="25" t="s">
        <v>209</v>
      </c>
      <c r="E14" s="27" t="s">
        <v>210</v>
      </c>
      <c r="F14" s="27"/>
      <c r="G14" s="25" t="s">
        <v>211</v>
      </c>
      <c r="H14" s="7"/>
      <c r="I14" s="7"/>
    </row>
    <row r="15" spans="1:11" ht="391.5" customHeight="1">
      <c r="A15" s="7"/>
      <c r="B15" s="7">
        <f t="shared" si="0"/>
        <v>13</v>
      </c>
      <c r="C15" s="24" t="s">
        <v>212</v>
      </c>
      <c r="D15" s="25" t="s">
        <v>213</v>
      </c>
      <c r="E15" s="24" t="s">
        <v>214</v>
      </c>
      <c r="F15" s="24"/>
      <c r="G15" s="25" t="s">
        <v>215</v>
      </c>
      <c r="H15" s="20" t="s">
        <v>216</v>
      </c>
      <c r="I15" s="19" t="s">
        <v>217</v>
      </c>
      <c r="J15" s="19" t="s">
        <v>218</v>
      </c>
      <c r="K15" s="19" t="s">
        <v>219</v>
      </c>
    </row>
    <row r="16" spans="1:11" ht="409.5" customHeight="1">
      <c r="A16" s="7"/>
      <c r="B16" s="7">
        <f t="shared" si="0"/>
        <v>14</v>
      </c>
      <c r="C16" s="24" t="s">
        <v>220</v>
      </c>
      <c r="D16" s="25" t="s">
        <v>221</v>
      </c>
      <c r="E16" s="27" t="s">
        <v>222</v>
      </c>
      <c r="F16" s="27"/>
      <c r="G16" s="25" t="s">
        <v>223</v>
      </c>
      <c r="H16" s="7"/>
      <c r="I16" s="7"/>
    </row>
    <row r="17" spans="1:11" ht="65" customHeight="1">
      <c r="A17" s="7"/>
      <c r="B17" s="7">
        <f t="shared" si="0"/>
        <v>15</v>
      </c>
      <c r="C17" s="24" t="s">
        <v>224</v>
      </c>
      <c r="D17" s="25" t="s">
        <v>225</v>
      </c>
      <c r="E17" s="24" t="s">
        <v>226</v>
      </c>
      <c r="F17" s="24"/>
      <c r="G17" s="25" t="s">
        <v>227</v>
      </c>
      <c r="H17" s="7"/>
      <c r="I17" s="7"/>
    </row>
    <row r="18" spans="1:11" ht="195" customHeight="1">
      <c r="A18" s="7"/>
      <c r="B18" s="7">
        <f t="shared" si="0"/>
        <v>16</v>
      </c>
      <c r="C18" s="24" t="s">
        <v>228</v>
      </c>
      <c r="D18" s="30" t="s">
        <v>229</v>
      </c>
      <c r="E18" s="24" t="s">
        <v>230</v>
      </c>
      <c r="F18" s="24"/>
      <c r="G18" s="25" t="s">
        <v>231</v>
      </c>
      <c r="H18" s="7"/>
      <c r="I18" s="7"/>
    </row>
    <row r="19" spans="1:11" ht="91" customHeight="1">
      <c r="A19" s="7"/>
      <c r="B19" s="7">
        <f t="shared" si="0"/>
        <v>17</v>
      </c>
      <c r="C19" s="24" t="s">
        <v>232</v>
      </c>
      <c r="D19" s="28" t="s">
        <v>233</v>
      </c>
      <c r="E19" s="29"/>
      <c r="F19" s="29"/>
      <c r="G19" s="28"/>
      <c r="H19" s="7"/>
      <c r="I19" s="7"/>
    </row>
    <row r="20" spans="1:11" ht="104" customHeight="1">
      <c r="A20" s="7"/>
      <c r="B20" s="7">
        <f t="shared" si="0"/>
        <v>18</v>
      </c>
      <c r="C20" s="24" t="s">
        <v>234</v>
      </c>
      <c r="D20" s="28" t="s">
        <v>235</v>
      </c>
      <c r="E20" s="29"/>
      <c r="F20" s="29"/>
      <c r="G20" s="28"/>
      <c r="H20" s="7"/>
      <c r="I20" s="7"/>
    </row>
    <row r="21" spans="1:11">
      <c r="A21" s="7"/>
      <c r="B21" s="7">
        <f t="shared" si="0"/>
        <v>19</v>
      </c>
      <c r="C21" s="24"/>
      <c r="D21" s="28"/>
      <c r="E21" s="29"/>
      <c r="F21" s="29"/>
      <c r="G21" s="28"/>
      <c r="H21" s="7"/>
      <c r="I21" s="7"/>
    </row>
    <row r="22" spans="1:11" ht="39" customHeight="1">
      <c r="A22" s="7"/>
      <c r="B22" s="7">
        <f t="shared" si="0"/>
        <v>20</v>
      </c>
      <c r="C22" s="24" t="s">
        <v>236</v>
      </c>
      <c r="D22" s="25" t="s">
        <v>237</v>
      </c>
      <c r="E22" s="24" t="s">
        <v>238</v>
      </c>
      <c r="F22" s="24"/>
      <c r="G22" s="25" t="s">
        <v>239</v>
      </c>
      <c r="H22" s="7" t="s">
        <v>240</v>
      </c>
      <c r="I22" s="7"/>
    </row>
    <row r="23" spans="1:11" ht="39" customHeight="1">
      <c r="A23" s="7"/>
      <c r="B23" s="7">
        <f t="shared" si="0"/>
        <v>21</v>
      </c>
      <c r="C23" s="24" t="s">
        <v>241</v>
      </c>
      <c r="D23" s="25" t="s">
        <v>242</v>
      </c>
      <c r="E23" s="25" t="s">
        <v>243</v>
      </c>
      <c r="F23" s="25"/>
      <c r="G23" s="25" t="s">
        <v>244</v>
      </c>
      <c r="H23" s="7"/>
      <c r="I23" s="7"/>
    </row>
    <row r="24" spans="1:11" ht="52" customHeight="1">
      <c r="A24" s="7"/>
      <c r="B24" s="7">
        <f t="shared" si="0"/>
        <v>22</v>
      </c>
      <c r="C24" s="24" t="s">
        <v>245</v>
      </c>
      <c r="D24" s="25" t="s">
        <v>246</v>
      </c>
      <c r="E24" s="26" t="s">
        <v>247</v>
      </c>
      <c r="F24" s="26"/>
      <c r="G24" s="25" t="s">
        <v>248</v>
      </c>
      <c r="H24" s="7"/>
      <c r="I24" s="7"/>
    </row>
    <row r="25" spans="1:11" ht="65" customHeight="1">
      <c r="A25" s="7"/>
      <c r="B25" s="7">
        <f t="shared" si="0"/>
        <v>23</v>
      </c>
      <c r="C25" s="24" t="s">
        <v>249</v>
      </c>
      <c r="D25" s="25" t="s">
        <v>250</v>
      </c>
      <c r="E25" s="26" t="s">
        <v>251</v>
      </c>
      <c r="F25" s="26"/>
      <c r="G25" s="25" t="s">
        <v>252</v>
      </c>
      <c r="H25" s="7"/>
      <c r="I25" s="7"/>
    </row>
    <row r="26" spans="1:11">
      <c r="A26" s="7"/>
      <c r="B26" s="7">
        <f t="shared" si="0"/>
        <v>24</v>
      </c>
      <c r="C26" s="24"/>
      <c r="D26" s="25"/>
      <c r="E26" s="26"/>
      <c r="F26" s="26"/>
      <c r="G26" s="25"/>
      <c r="H26" s="7"/>
      <c r="I26" s="7"/>
    </row>
    <row r="27" spans="1:11">
      <c r="A27" s="7"/>
      <c r="B27" s="7">
        <f t="shared" si="0"/>
        <v>25</v>
      </c>
      <c r="C27" s="24"/>
      <c r="D27" s="25"/>
      <c r="E27" s="26"/>
      <c r="F27" s="26"/>
      <c r="G27" s="25"/>
      <c r="H27" s="7"/>
      <c r="I27" s="7"/>
    </row>
    <row r="28" spans="1:11" ht="29" customHeight="1">
      <c r="A28" s="7"/>
      <c r="B28" s="7">
        <f t="shared" si="0"/>
        <v>26</v>
      </c>
      <c r="C28" s="18" t="s">
        <v>253</v>
      </c>
      <c r="D28" s="18" t="s">
        <v>254</v>
      </c>
      <c r="E28" s="18" t="s">
        <v>255</v>
      </c>
      <c r="F28" s="18"/>
      <c r="G28" s="18" t="s">
        <v>256</v>
      </c>
      <c r="H28" s="7"/>
      <c r="I28" s="7"/>
    </row>
    <row r="29" spans="1:11">
      <c r="A29" s="7"/>
      <c r="B29" s="7"/>
      <c r="H29" s="7"/>
      <c r="I29" s="7"/>
    </row>
    <row r="30" spans="1:11" ht="26" customHeight="1">
      <c r="A30" s="7"/>
      <c r="B30" s="7"/>
      <c r="C30" s="21" t="s">
        <v>257</v>
      </c>
      <c r="D30" s="21" t="s">
        <v>258</v>
      </c>
      <c r="E30" s="21" t="s">
        <v>259</v>
      </c>
      <c r="F30" s="21"/>
      <c r="G30" s="21" t="s">
        <v>260</v>
      </c>
      <c r="H30" s="21" t="s">
        <v>261</v>
      </c>
      <c r="I30" s="7"/>
    </row>
    <row r="31" spans="1:11" ht="52" customHeight="1">
      <c r="A31" s="7"/>
      <c r="B31" s="7"/>
      <c r="C31" s="21" t="s">
        <v>91</v>
      </c>
      <c r="D31" s="22" t="s">
        <v>262</v>
      </c>
      <c r="E31" s="22" t="s">
        <v>263</v>
      </c>
      <c r="F31" s="22"/>
      <c r="G31" s="22" t="s">
        <v>264</v>
      </c>
      <c r="H31" s="22" t="s">
        <v>265</v>
      </c>
      <c r="I31" s="7"/>
      <c r="K31" s="22" t="s">
        <v>240</v>
      </c>
    </row>
    <row r="32" spans="1:11" ht="52" customHeight="1">
      <c r="A32" s="7"/>
      <c r="B32" s="7"/>
      <c r="C32" s="21" t="s">
        <v>93</v>
      </c>
      <c r="D32" s="22" t="s">
        <v>266</v>
      </c>
      <c r="E32" s="22" t="s">
        <v>263</v>
      </c>
      <c r="F32" s="22"/>
      <c r="G32" s="22" t="s">
        <v>267</v>
      </c>
      <c r="H32" s="22" t="s">
        <v>268</v>
      </c>
      <c r="I32" s="15" t="s">
        <v>269</v>
      </c>
    </row>
    <row r="33" spans="1:9" ht="26" customHeight="1">
      <c r="A33" s="7"/>
      <c r="B33" s="7"/>
      <c r="C33" s="21" t="s">
        <v>270</v>
      </c>
      <c r="D33" s="22" t="s">
        <v>271</v>
      </c>
      <c r="E33" s="22" t="s">
        <v>263</v>
      </c>
      <c r="F33" s="22"/>
      <c r="G33" s="22" t="s">
        <v>272</v>
      </c>
      <c r="H33" s="22" t="s">
        <v>273</v>
      </c>
      <c r="I33" s="7"/>
    </row>
    <row r="34" spans="1:9" ht="26" customHeight="1">
      <c r="A34" s="7"/>
      <c r="B34" s="7"/>
      <c r="C34" s="21" t="s">
        <v>89</v>
      </c>
      <c r="D34" s="22" t="s">
        <v>274</v>
      </c>
      <c r="E34" s="22" t="s">
        <v>263</v>
      </c>
      <c r="F34" s="22"/>
      <c r="G34" s="22" t="s">
        <v>275</v>
      </c>
      <c r="H34" s="22" t="s">
        <v>276</v>
      </c>
      <c r="I34" s="7"/>
    </row>
    <row r="35" spans="1:9" ht="26" customHeight="1">
      <c r="A35" s="7"/>
      <c r="B35" s="7"/>
      <c r="C35" s="21" t="s">
        <v>277</v>
      </c>
      <c r="D35" s="22" t="s">
        <v>278</v>
      </c>
      <c r="E35" s="22" t="s">
        <v>263</v>
      </c>
      <c r="F35" s="22"/>
      <c r="G35" s="22" t="s">
        <v>279</v>
      </c>
      <c r="H35" s="22" t="s">
        <v>280</v>
      </c>
      <c r="I35" s="7"/>
    </row>
    <row r="36" spans="1:9" ht="26" customHeight="1">
      <c r="A36" s="7"/>
      <c r="B36" s="7"/>
      <c r="C36" s="21" t="s">
        <v>281</v>
      </c>
      <c r="D36" s="22" t="s">
        <v>282</v>
      </c>
      <c r="E36" s="22" t="s">
        <v>283</v>
      </c>
      <c r="F36" s="22"/>
      <c r="G36" s="22" t="s">
        <v>284</v>
      </c>
      <c r="H36" s="22" t="s">
        <v>273</v>
      </c>
      <c r="I36" s="7"/>
    </row>
    <row r="37" spans="1:9" ht="52" customHeight="1">
      <c r="A37" s="7"/>
      <c r="B37" s="7"/>
      <c r="C37" s="21" t="s">
        <v>285</v>
      </c>
      <c r="D37" s="22" t="s">
        <v>286</v>
      </c>
      <c r="E37" s="22" t="s">
        <v>283</v>
      </c>
      <c r="F37" s="22"/>
      <c r="G37" s="22" t="s">
        <v>287</v>
      </c>
      <c r="H37" s="22" t="s">
        <v>288</v>
      </c>
      <c r="I37" s="7"/>
    </row>
    <row r="38" spans="1:9" ht="26" customHeight="1">
      <c r="A38" s="7"/>
      <c r="B38" s="7"/>
      <c r="C38" s="21" t="s">
        <v>289</v>
      </c>
      <c r="D38" s="22" t="s">
        <v>290</v>
      </c>
      <c r="E38" s="22" t="s">
        <v>283</v>
      </c>
      <c r="F38" s="22"/>
      <c r="G38" s="22" t="s">
        <v>291</v>
      </c>
      <c r="H38" s="22" t="s">
        <v>292</v>
      </c>
      <c r="I38" s="7"/>
    </row>
    <row r="39" spans="1:9" ht="26" customHeight="1">
      <c r="A39" s="7"/>
      <c r="B39" s="7"/>
      <c r="C39" s="21" t="s">
        <v>293</v>
      </c>
      <c r="D39" s="22" t="s">
        <v>294</v>
      </c>
      <c r="E39" s="22" t="s">
        <v>283</v>
      </c>
      <c r="F39" s="22"/>
      <c r="G39" s="22" t="s">
        <v>295</v>
      </c>
      <c r="H39" s="22" t="s">
        <v>296</v>
      </c>
      <c r="I39" s="7"/>
    </row>
    <row r="40" spans="1:9" ht="26" customHeight="1">
      <c r="A40" s="7"/>
      <c r="B40" s="7"/>
      <c r="C40" s="21" t="s">
        <v>297</v>
      </c>
      <c r="D40" s="22" t="s">
        <v>298</v>
      </c>
      <c r="E40" s="22" t="s">
        <v>283</v>
      </c>
      <c r="F40" s="22"/>
      <c r="G40" s="22" t="s">
        <v>299</v>
      </c>
      <c r="H40" s="22" t="s">
        <v>300</v>
      </c>
      <c r="I40" s="7"/>
    </row>
    <row r="41" spans="1:9" ht="26" customHeight="1">
      <c r="A41" s="7"/>
      <c r="B41" s="7"/>
      <c r="C41" s="21" t="s">
        <v>111</v>
      </c>
      <c r="D41" s="22" t="s">
        <v>301</v>
      </c>
      <c r="E41" s="22" t="s">
        <v>302</v>
      </c>
      <c r="F41" s="22"/>
      <c r="G41" s="22" t="s">
        <v>303</v>
      </c>
      <c r="H41" s="22" t="s">
        <v>304</v>
      </c>
      <c r="I41" s="7"/>
    </row>
    <row r="42" spans="1:9" ht="39" customHeight="1">
      <c r="A42" s="7"/>
      <c r="B42" s="7"/>
      <c r="C42" s="21" t="s">
        <v>305</v>
      </c>
      <c r="D42" s="22" t="s">
        <v>306</v>
      </c>
      <c r="E42" s="22" t="s">
        <v>307</v>
      </c>
      <c r="F42" s="22"/>
      <c r="G42" s="22" t="s">
        <v>308</v>
      </c>
      <c r="H42" s="22" t="s">
        <v>309</v>
      </c>
      <c r="I42" s="7"/>
    </row>
    <row r="44" spans="1:9">
      <c r="C44" s="18" t="s">
        <v>310</v>
      </c>
      <c r="D44" s="18" t="s">
        <v>311</v>
      </c>
      <c r="E44" s="18" t="s">
        <v>312</v>
      </c>
      <c r="F44" s="18" t="s">
        <v>313</v>
      </c>
      <c r="G44" s="18" t="s">
        <v>314</v>
      </c>
    </row>
    <row r="45" spans="1:9" ht="87" customHeight="1">
      <c r="A45" s="7"/>
      <c r="B45" s="7"/>
      <c r="C45" s="20" t="s">
        <v>315</v>
      </c>
      <c r="D45" s="19" t="s">
        <v>316</v>
      </c>
      <c r="E45" s="19" t="s">
        <v>317</v>
      </c>
      <c r="F45" s="40" t="s">
        <v>318</v>
      </c>
      <c r="G45" s="19" t="s">
        <v>319</v>
      </c>
    </row>
    <row r="46" spans="1:9" ht="43.5" customHeight="1">
      <c r="A46" s="15"/>
      <c r="B46" s="15"/>
      <c r="C46" s="20" t="s">
        <v>320</v>
      </c>
      <c r="D46" s="19" t="s">
        <v>321</v>
      </c>
      <c r="E46" s="19" t="s">
        <v>322</v>
      </c>
      <c r="F46" s="40" t="s">
        <v>323</v>
      </c>
      <c r="G46" s="19" t="s">
        <v>324</v>
      </c>
    </row>
    <row r="47" spans="1:9" ht="87" customHeight="1">
      <c r="A47" s="7"/>
      <c r="B47" s="7"/>
      <c r="C47" s="20" t="s">
        <v>325</v>
      </c>
      <c r="D47" s="19" t="s">
        <v>326</v>
      </c>
      <c r="E47" s="20" t="s">
        <v>327</v>
      </c>
      <c r="F47" s="40" t="s">
        <v>328</v>
      </c>
      <c r="G47" s="19" t="s">
        <v>329</v>
      </c>
    </row>
    <row r="48" spans="1:9" ht="58" customHeight="1">
      <c r="A48" s="7"/>
      <c r="B48" s="7"/>
      <c r="C48" s="20" t="s">
        <v>330</v>
      </c>
      <c r="D48" s="19" t="s">
        <v>331</v>
      </c>
      <c r="E48" s="19" t="s">
        <v>332</v>
      </c>
      <c r="F48" s="40" t="s">
        <v>333</v>
      </c>
      <c r="G48" s="19" t="s">
        <v>334</v>
      </c>
    </row>
    <row r="49" spans="1:7" ht="72.5" customHeight="1">
      <c r="A49" s="7"/>
      <c r="B49" s="7"/>
      <c r="C49" s="20" t="s">
        <v>335</v>
      </c>
      <c r="D49" s="19" t="s">
        <v>336</v>
      </c>
      <c r="E49" s="19" t="s">
        <v>337</v>
      </c>
      <c r="F49" s="40" t="s">
        <v>338</v>
      </c>
      <c r="G49" s="20" t="s">
        <v>339</v>
      </c>
    </row>
    <row r="50" spans="1:7" ht="72.5" customHeight="1">
      <c r="A50" s="7"/>
      <c r="B50" s="7"/>
      <c r="C50" s="20" t="s">
        <v>340</v>
      </c>
      <c r="D50" s="19" t="s">
        <v>341</v>
      </c>
      <c r="E50" s="19" t="s">
        <v>342</v>
      </c>
      <c r="F50" s="40" t="s">
        <v>343</v>
      </c>
      <c r="G50" s="19" t="s">
        <v>344</v>
      </c>
    </row>
    <row r="51" spans="1:7" ht="58" customHeight="1">
      <c r="A51" s="7"/>
      <c r="B51" s="7"/>
      <c r="C51" s="20" t="s">
        <v>345</v>
      </c>
      <c r="D51" s="19" t="s">
        <v>346</v>
      </c>
      <c r="E51" s="20" t="s">
        <v>347</v>
      </c>
      <c r="F51" s="40" t="s">
        <v>348</v>
      </c>
      <c r="G51" s="19" t="s">
        <v>349</v>
      </c>
    </row>
    <row r="52" spans="1:7" ht="101.5" customHeight="1">
      <c r="A52" s="7"/>
      <c r="B52" s="7"/>
      <c r="C52" s="20" t="s">
        <v>350</v>
      </c>
      <c r="D52" s="19" t="s">
        <v>351</v>
      </c>
      <c r="E52" s="19" t="s">
        <v>352</v>
      </c>
      <c r="F52" s="40" t="s">
        <v>353</v>
      </c>
      <c r="G52" s="20" t="s">
        <v>354</v>
      </c>
    </row>
    <row r="53" spans="1:7" ht="101.5" customHeight="1">
      <c r="A53" s="7"/>
      <c r="B53" s="7"/>
      <c r="C53" s="20" t="s">
        <v>355</v>
      </c>
      <c r="D53" s="20" t="s">
        <v>356</v>
      </c>
      <c r="E53" s="19" t="s">
        <v>357</v>
      </c>
      <c r="F53" s="40" t="s">
        <v>358</v>
      </c>
      <c r="G53" s="19" t="s">
        <v>359</v>
      </c>
    </row>
    <row r="54" spans="1:7" ht="58" customHeight="1">
      <c r="A54" s="7"/>
      <c r="B54" s="7"/>
      <c r="C54" s="20" t="s">
        <v>111</v>
      </c>
      <c r="D54" s="19" t="s">
        <v>360</v>
      </c>
      <c r="E54" s="19" t="s">
        <v>361</v>
      </c>
      <c r="F54" s="40" t="s">
        <v>362</v>
      </c>
      <c r="G54" s="19" t="s">
        <v>363</v>
      </c>
    </row>
    <row r="55" spans="1:7" ht="72.5" customHeight="1">
      <c r="C55" s="20" t="s">
        <v>364</v>
      </c>
      <c r="D55" s="19" t="s">
        <v>365</v>
      </c>
      <c r="E55" s="19" t="s">
        <v>366</v>
      </c>
      <c r="F55" s="40" t="s">
        <v>367</v>
      </c>
      <c r="G55" s="19" t="s">
        <v>368</v>
      </c>
    </row>
    <row r="56" spans="1:7" ht="58" customHeight="1">
      <c r="C56" s="20" t="s">
        <v>369</v>
      </c>
      <c r="D56" s="19" t="s">
        <v>370</v>
      </c>
      <c r="E56" s="19" t="s">
        <v>371</v>
      </c>
      <c r="F56" s="40" t="s">
        <v>372</v>
      </c>
      <c r="G56" s="19" t="s">
        <v>373</v>
      </c>
    </row>
    <row r="57" spans="1:7" ht="58" customHeight="1">
      <c r="C57" s="20" t="s">
        <v>374</v>
      </c>
      <c r="D57" s="19" t="s">
        <v>375</v>
      </c>
      <c r="E57" s="19" t="s">
        <v>376</v>
      </c>
      <c r="F57" s="19" t="s">
        <v>377</v>
      </c>
      <c r="G57" s="19" t="s">
        <v>378</v>
      </c>
    </row>
    <row r="58" spans="1:7" ht="58" customHeight="1">
      <c r="C58" s="20" t="s">
        <v>379</v>
      </c>
      <c r="D58" s="19" t="s">
        <v>380</v>
      </c>
      <c r="E58" s="19" t="s">
        <v>381</v>
      </c>
      <c r="F58" s="40" t="s">
        <v>382</v>
      </c>
      <c r="G58" s="19" t="s">
        <v>383</v>
      </c>
    </row>
    <row r="59" spans="1:7" ht="29" customHeight="1">
      <c r="C59" s="20" t="s">
        <v>384</v>
      </c>
      <c r="D59" s="19" t="s">
        <v>385</v>
      </c>
      <c r="E59" s="19" t="s">
        <v>386</v>
      </c>
      <c r="F59" s="40" t="s">
        <v>387</v>
      </c>
      <c r="G59" s="19" t="s">
        <v>388</v>
      </c>
    </row>
    <row r="60" spans="1:7" ht="58" customHeight="1">
      <c r="C60" s="20" t="s">
        <v>389</v>
      </c>
      <c r="D60" s="19" t="s">
        <v>390</v>
      </c>
      <c r="E60" s="19" t="s">
        <v>391</v>
      </c>
      <c r="F60" s="40" t="s">
        <v>392</v>
      </c>
      <c r="G60" s="19" t="s">
        <v>393</v>
      </c>
    </row>
    <row r="61" spans="1:7" ht="29" customHeight="1">
      <c r="C61" s="20" t="s">
        <v>394</v>
      </c>
      <c r="D61" s="19" t="s">
        <v>395</v>
      </c>
      <c r="E61" s="19" t="s">
        <v>396</v>
      </c>
      <c r="F61" s="40" t="s">
        <v>397</v>
      </c>
      <c r="G61" s="19" t="s">
        <v>398</v>
      </c>
    </row>
    <row r="62" spans="1:7" ht="43.5" customHeight="1">
      <c r="C62" s="20" t="s">
        <v>399</v>
      </c>
      <c r="D62" s="19" t="s">
        <v>400</v>
      </c>
      <c r="E62" s="19" t="s">
        <v>401</v>
      </c>
      <c r="F62" s="40" t="s">
        <v>402</v>
      </c>
      <c r="G62" s="19" t="s">
        <v>403</v>
      </c>
    </row>
    <row r="63" spans="1:7" ht="43.5" customHeight="1">
      <c r="C63" s="20" t="s">
        <v>404</v>
      </c>
      <c r="D63" s="19" t="s">
        <v>405</v>
      </c>
      <c r="E63" s="19" t="s">
        <v>406</v>
      </c>
      <c r="F63" s="40" t="s">
        <v>407</v>
      </c>
      <c r="G63" s="19" t="s">
        <v>408</v>
      </c>
    </row>
    <row r="64" spans="1:7" ht="43.5" customHeight="1">
      <c r="C64" s="20" t="s">
        <v>409</v>
      </c>
      <c r="D64" s="19" t="s">
        <v>410</v>
      </c>
      <c r="E64" s="19" t="s">
        <v>411</v>
      </c>
      <c r="F64" s="40" t="s">
        <v>412</v>
      </c>
      <c r="G64" s="19" t="s">
        <v>413</v>
      </c>
    </row>
  </sheetData>
  <hyperlinks>
    <hyperlink ref="E8" r:id="rId1" tooltip="Microsoft Word - FS ACFR FY24 Scottsdale USD" display="https://www.susd.org/fs/resource-manager/view/01a0856f-3a75-4ceb-9e90-02f85099b68d" xr:uid="{00000000-0004-0000-0500-000000000000}"/>
    <hyperlink ref="E9" r:id="rId2" tooltip="sdspending.azauditor.gov" display="https://sdspending.azauditor.gov/" xr:uid="{00000000-0004-0000-0500-000001000000}"/>
    <hyperlink ref="E14" r:id="rId3" tooltip="List Of Groups - Sun Devil Central - Arizona State University" display="https://sundevilcentral.eoss.asu.edu/club_signup?category_tags=6551555&amp;group_type=&amp;view=all&amp;utm_source=chatgpt.com" xr:uid="{00000000-0004-0000-0500-000002000000}"/>
    <hyperlink ref="E16" r:id="rId4" tooltip="School Closings in Chicago" display="https://consortium.uchicago.edu/publications/school-closings-chicago-staff-and-student-experiences-and-academic-outcomes?utm_source=chatgpt.com" xr:uid="{00000000-0004-0000-0500-000003000000}"/>
    <hyperlink ref="E24" r:id="rId5" tooltip="School Finance Data Processing for Kindergarten Students" display="https://ade.az.gov/schoolfinance/STaR/SAISInfoSeries/SIS16.pdf?utm_source=chatgpt.com" xr:uid="{00000000-0004-0000-0500-000004000000}"/>
    <hyperlink ref="E25" r:id="rId6" tooltip="Bill Text: AZ HB2969 | 2025 | Fifty-seventh Legislature 1st ..." display="https://legiscan.com/AZ/text/HB2969/2025?utm_source=chatgpt.com" xr:uid="{00000000-0004-0000-0500-000005000000}"/>
    <hyperlink ref="F45" r:id="rId7" tooltip="15-901 - Definitions" display="https://www.azleg.gov/ars/15/00901.htm?utm_source=chatgpt.com" xr:uid="{00000000-0004-0000-0500-000006000000}"/>
    <hyperlink ref="F46" r:id="rId8" tooltip="School Finance Guidelines &amp; Manuals" display="https://www.azed.gov/finance/school-finance-external-guidelines?utm_source=chatgpt.com" xr:uid="{00000000-0004-0000-0500-000007000000}"/>
    <hyperlink ref="F47" r:id="rId9" tooltip="uniform system - financial records" display="https://www.azauditor.gov/sites/default/files/2023-11/USFR102323%282%29.pdf?utm_source=chatgpt.com" xr:uid="{00000000-0004-0000-0500-000008000000}"/>
    <hyperlink ref="F48" r:id="rId10" tooltip="Budget - Scottsdale Unified School District 48" display="https://www.susd.org/departments/finance/budget?utm_source=chatgpt.com" xr:uid="{00000000-0004-0000-0500-000009000000}"/>
    <hyperlink ref="F49" r:id="rId11" tooltip="HOW TO CALCULATE OPERATIONAL AND ..." display="https://www.azauditor.gov/sites/default/files/2023-09/HowToCalculateOperational-NonoperationalSpending.pdf?utm_source=chatgpt.com" xr:uid="{00000000-0004-0000-0500-00000A000000}"/>
    <hyperlink ref="F50" r:id="rId12" tooltip="Glossary" display="https://sfbudget.ade.az.gov/Budget/Help/Introduction/Glossary.htm?utm_source=chatgpt.com" xr:uid="{00000000-0004-0000-0500-00000B000000}"/>
    <hyperlink ref="F51" r:id="rId13" tooltip="15-481 - Override election; budget increases; informational ..." display="https://www.azleg.gov/ars/15/00481.htm?utm_source=chatgpt.com" xr:uid="{00000000-0004-0000-0500-00000C000000}"/>
    <hyperlink ref="F52" r:id="rId14" tooltip="Understanding the SDADMS75 Report" display="https://www.ade.az.gov/schoolfinance/star/SAISInfoSeries/SIS7.pdf?utm_source=chatgpt.com" xr:uid="{00000000-0004-0000-0500-00000D000000}"/>
    <hyperlink ref="F53" r:id="rId15" tooltip="School District Spending Report" display="https://www.azauditor.gov/sites/default/files/2023-11/Skull_Valley_ESD_12.pdf?utm_source=chatgpt.com" xr:uid="{00000000-0004-0000-0500-00000E000000}"/>
    <hyperlink ref="F54" r:id="rId16" tooltip="HOW TO CALCULATE OPERATIONAL AND ..." display="https://www.azauditor.gov/sites/default/files/2023-09/HowToCalculateOperational-NonoperationalSpending.pdf?utm_source=chatgpt.com" xr:uid="{00000000-0004-0000-0500-00000F000000}"/>
    <hyperlink ref="F55" r:id="rId17" tooltip="uniform system - financial records" display="https://www.azauditor.gov/sites/default/files/2023-11/USFR102323%282%29.pdf?utm_source=chatgpt.com" xr:uid="{00000000-0004-0000-0500-000010000000}"/>
    <hyperlink ref="F56" r:id="rId18" tooltip="HOW TO CALCULATE OPERATIONAL AND ..." display="https://www.azauditor.gov/sites/default/files/2023-09/HowToCalculateOperational-NonoperationalSpending.pdf?utm_source=chatgpt.com" xr:uid="{00000000-0004-0000-0500-000011000000}"/>
    <hyperlink ref="F58" r:id="rId19" tooltip="Budget - Scottsdale Unified School District 48" display="https://www.susd.org/departments/finance/budget?utm_source=chatgpt.com" xr:uid="{00000000-0004-0000-0500-000012000000}"/>
    <hyperlink ref="F59" r:id="rId20" tooltip="Scottsdale Unified School District No. 48" display="https://www.susd.org/fs/resource-manager/view/01a0856f-3a75-4ceb-9e90-02f85099b68d?utm_source=chatgpt.com" xr:uid="{00000000-0004-0000-0500-000013000000}"/>
    <hyperlink ref="F60" r:id="rId21" tooltip="HOW TO CALCULATE OPERATIONAL AND ..." display="https://www.azauditor.gov/sites/default/files/2023-09/HowToCalculateOperational-NonoperationalSpending.pdf?utm_source=chatgpt.com" xr:uid="{00000000-0004-0000-0500-000014000000}"/>
    <hyperlink ref="F61" r:id="rId22" tooltip="HOW TO CALCULATE OPERATIONAL AND ..." display="https://www.azauditor.gov/sites/default/files/2023-09/HowToCalculateOperational-NonoperationalSpending.pdf?utm_source=chatgpt.com" xr:uid="{00000000-0004-0000-0500-000015000000}"/>
    <hyperlink ref="F62" r:id="rId23" tooltip="uniform system - financial records" display="https://www.azauditor.gov/sites/default/files/2023-11/USFR102323%282%29.pdf?utm_source=chatgpt.com" xr:uid="{00000000-0004-0000-0500-000016000000}"/>
    <hyperlink ref="F63" r:id="rId24" tooltip="Scottsdale Unified School District No. 48" display="https://www.susd.org/fs/resource-manager/view/01a0856f-3a75-4ceb-9e90-02f85099b68d?utm_source=chatgpt.com" xr:uid="{00000000-0004-0000-0500-000017000000}"/>
    <hyperlink ref="F64" r:id="rId25" tooltip="Budget - Scottsdale Unified School District 48" display="https://www.susd.org/departments/finance/budget?utm_source=chatgpt.com" xr:uid="{00000000-0004-0000-0500-000018000000}"/>
  </hyperlink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165"/>
  <sheetViews>
    <sheetView topLeftCell="A142" workbookViewId="0">
      <selection activeCell="B50" sqref="B50:B149"/>
    </sheetView>
  </sheetViews>
  <sheetFormatPr defaultRowHeight="14.5"/>
  <sheetData>
    <row r="2" spans="2:2">
      <c r="B2" s="4" t="s">
        <v>414</v>
      </c>
    </row>
    <row r="4" spans="2:2">
      <c r="B4" s="4" t="s">
        <v>415</v>
      </c>
    </row>
    <row r="6" spans="2:2">
      <c r="B6" s="4" t="s">
        <v>416</v>
      </c>
    </row>
    <row r="8" spans="2:2">
      <c r="B8" s="4" t="s">
        <v>417</v>
      </c>
    </row>
    <row r="10" spans="2:2">
      <c r="B10" s="4" t="s">
        <v>418</v>
      </c>
    </row>
    <row r="13" spans="2:2">
      <c r="B13" s="33" t="s">
        <v>419</v>
      </c>
    </row>
    <row r="14" spans="2:2">
      <c r="B14" s="34"/>
    </row>
    <row r="15" spans="2:2">
      <c r="B15" s="33" t="s">
        <v>420</v>
      </c>
    </row>
    <row r="16" spans="2:2">
      <c r="B16" s="34"/>
    </row>
    <row r="17" spans="2:2">
      <c r="B17" s="33" t="s">
        <v>421</v>
      </c>
    </row>
    <row r="18" spans="2:2">
      <c r="B18" s="34"/>
    </row>
    <row r="19" spans="2:2">
      <c r="B19" s="33" t="s">
        <v>422</v>
      </c>
    </row>
    <row r="20" spans="2:2">
      <c r="B20" s="34"/>
    </row>
    <row r="21" spans="2:2">
      <c r="B21" s="33" t="s">
        <v>423</v>
      </c>
    </row>
    <row r="23" spans="2:2">
      <c r="B23" s="4" t="s">
        <v>424</v>
      </c>
    </row>
    <row r="24" spans="2:2">
      <c r="B24" s="34"/>
    </row>
    <row r="25" spans="2:2">
      <c r="B25" s="33" t="s">
        <v>425</v>
      </c>
    </row>
    <row r="26" spans="2:2">
      <c r="B26" s="34"/>
    </row>
    <row r="27" spans="2:2">
      <c r="B27" s="33" t="s">
        <v>426</v>
      </c>
    </row>
    <row r="28" spans="2:2">
      <c r="B28" s="34"/>
    </row>
    <row r="29" spans="2:2">
      <c r="B29" s="34" t="s">
        <v>427</v>
      </c>
    </row>
    <row r="31" spans="2:2">
      <c r="B31" s="4" t="s">
        <v>428</v>
      </c>
    </row>
    <row r="32" spans="2:2">
      <c r="B32" s="34"/>
    </row>
    <row r="33" spans="2:2">
      <c r="B33" s="34" t="s">
        <v>429</v>
      </c>
    </row>
    <row r="34" spans="2:2">
      <c r="B34" s="34"/>
    </row>
    <row r="35" spans="2:2">
      <c r="B35" s="34" t="s">
        <v>430</v>
      </c>
    </row>
    <row r="36" spans="2:2">
      <c r="B36" s="34"/>
    </row>
    <row r="37" spans="2:2">
      <c r="B37" s="34"/>
    </row>
    <row r="38" spans="2:2">
      <c r="B38" s="35"/>
    </row>
    <row r="39" spans="2:2">
      <c r="B39" s="35" t="s">
        <v>431</v>
      </c>
    </row>
    <row r="40" spans="2:2">
      <c r="B40" s="35"/>
    </row>
    <row r="41" spans="2:2">
      <c r="B41" s="35" t="s">
        <v>432</v>
      </c>
    </row>
    <row r="42" spans="2:2">
      <c r="B42" s="35"/>
    </row>
    <row r="43" spans="2:2">
      <c r="B43" s="35" t="s">
        <v>433</v>
      </c>
    </row>
    <row r="44" spans="2:2">
      <c r="B44" s="35"/>
    </row>
    <row r="45" spans="2:2">
      <c r="B45" s="35" t="s">
        <v>434</v>
      </c>
    </row>
    <row r="48" spans="2:2" ht="17.5" customHeight="1">
      <c r="B48" s="37" t="s">
        <v>435</v>
      </c>
    </row>
    <row r="50" spans="2:2">
      <c r="B50" s="4" t="s">
        <v>436</v>
      </c>
    </row>
    <row r="51" spans="2:2">
      <c r="B51" s="34"/>
    </row>
    <row r="52" spans="2:2">
      <c r="B52" s="33" t="s">
        <v>437</v>
      </c>
    </row>
    <row r="53" spans="2:2">
      <c r="B53" s="34"/>
    </row>
    <row r="54" spans="2:2">
      <c r="B54" s="33" t="s">
        <v>438</v>
      </c>
    </row>
    <row r="55" spans="2:2">
      <c r="B55" s="34"/>
    </row>
    <row r="56" spans="2:2">
      <c r="B56" s="33" t="s">
        <v>439</v>
      </c>
    </row>
    <row r="57" spans="2:2">
      <c r="B57" s="34"/>
    </row>
    <row r="58" spans="2:2">
      <c r="B58" s="33" t="s">
        <v>440</v>
      </c>
    </row>
    <row r="59" spans="2:2">
      <c r="B59" s="34"/>
    </row>
    <row r="60" spans="2:2">
      <c r="B60" s="33" t="s">
        <v>441</v>
      </c>
    </row>
    <row r="62" spans="2:2">
      <c r="B62" s="4" t="s">
        <v>442</v>
      </c>
    </row>
    <row r="63" spans="2:2">
      <c r="B63" t="s">
        <v>443</v>
      </c>
    </row>
    <row r="64" spans="2:2">
      <c r="B64" s="34"/>
    </row>
    <row r="65" spans="2:2">
      <c r="B65" s="34" t="s">
        <v>444</v>
      </c>
    </row>
    <row r="66" spans="2:2">
      <c r="B66" s="34"/>
    </row>
    <row r="67" spans="2:2">
      <c r="B67" s="34" t="s">
        <v>445</v>
      </c>
    </row>
    <row r="68" spans="2:2">
      <c r="B68" s="36"/>
    </row>
    <row r="69" spans="2:2">
      <c r="B69" s="38" t="s">
        <v>446</v>
      </c>
    </row>
    <row r="71" spans="2:2">
      <c r="B71" s="4" t="s">
        <v>447</v>
      </c>
    </row>
    <row r="72" spans="2:2">
      <c r="B72" s="34"/>
    </row>
    <row r="73" spans="2:2">
      <c r="B73" s="33" t="s">
        <v>448</v>
      </c>
    </row>
    <row r="74" spans="2:2">
      <c r="B74" s="34"/>
    </row>
    <row r="75" spans="2:2">
      <c r="B75" s="33" t="s">
        <v>449</v>
      </c>
    </row>
    <row r="76" spans="2:2">
      <c r="B76" s="34"/>
    </row>
    <row r="77" spans="2:2">
      <c r="B77" s="33" t="s">
        <v>450</v>
      </c>
    </row>
    <row r="78" spans="2:2">
      <c r="B78" s="34"/>
    </row>
    <row r="79" spans="2:2">
      <c r="B79" s="33" t="s">
        <v>451</v>
      </c>
    </row>
    <row r="80" spans="2:2">
      <c r="B80" s="34"/>
    </row>
    <row r="81" spans="2:2">
      <c r="B81" s="33" t="s">
        <v>452</v>
      </c>
    </row>
    <row r="82" spans="2:2">
      <c r="B82" s="34"/>
    </row>
    <row r="83" spans="2:2">
      <c r="B83" s="33" t="s">
        <v>453</v>
      </c>
    </row>
    <row r="84" spans="2:2">
      <c r="B84" s="34"/>
    </row>
    <row r="85" spans="2:2">
      <c r="B85" s="33" t="s">
        <v>454</v>
      </c>
    </row>
    <row r="87" spans="2:2">
      <c r="B87" t="s">
        <v>455</v>
      </c>
    </row>
    <row r="88" spans="2:2">
      <c r="B88" s="34"/>
    </row>
    <row r="89" spans="2:2">
      <c r="B89" s="33" t="s">
        <v>456</v>
      </c>
    </row>
    <row r="90" spans="2:2">
      <c r="B90" s="34"/>
    </row>
    <row r="91" spans="2:2">
      <c r="B91" s="33" t="s">
        <v>457</v>
      </c>
    </row>
    <row r="92" spans="2:2">
      <c r="B92" s="34"/>
    </row>
    <row r="93" spans="2:2">
      <c r="B93" s="33" t="s">
        <v>458</v>
      </c>
    </row>
    <row r="94" spans="2:2">
      <c r="B94" s="34"/>
    </row>
    <row r="95" spans="2:2">
      <c r="B95" s="33" t="s">
        <v>459</v>
      </c>
    </row>
    <row r="96" spans="2:2">
      <c r="B96" s="34"/>
    </row>
    <row r="97" spans="2:2">
      <c r="B97" s="33" t="s">
        <v>460</v>
      </c>
    </row>
    <row r="98" spans="2:2">
      <c r="B98" s="34"/>
    </row>
    <row r="99" spans="2:2">
      <c r="B99" s="33" t="s">
        <v>461</v>
      </c>
    </row>
    <row r="100" spans="2:2">
      <c r="B100" s="34"/>
    </row>
    <row r="101" spans="2:2">
      <c r="B101" s="33" t="s">
        <v>462</v>
      </c>
    </row>
    <row r="102" spans="2:2">
      <c r="B102" s="34"/>
    </row>
    <row r="103" spans="2:2">
      <c r="B103" s="33" t="s">
        <v>463</v>
      </c>
    </row>
    <row r="104" spans="2:2">
      <c r="B104" s="34"/>
    </row>
    <row r="105" spans="2:2">
      <c r="B105" s="33" t="s">
        <v>464</v>
      </c>
    </row>
    <row r="106" spans="2:2">
      <c r="B106" s="34"/>
    </row>
    <row r="107" spans="2:2">
      <c r="B107" s="33" t="s">
        <v>465</v>
      </c>
    </row>
    <row r="108" spans="2:2">
      <c r="B108" s="34"/>
    </row>
    <row r="109" spans="2:2">
      <c r="B109" s="34" t="s">
        <v>466</v>
      </c>
    </row>
    <row r="110" spans="2:2">
      <c r="B110" s="34" t="s">
        <v>467</v>
      </c>
    </row>
    <row r="111" spans="2:2">
      <c r="B111" s="34" t="s">
        <v>468</v>
      </c>
    </row>
    <row r="112" spans="2:2">
      <c r="B112" s="34" t="s">
        <v>469</v>
      </c>
    </row>
    <row r="113" spans="2:2">
      <c r="B113" s="34" t="s">
        <v>470</v>
      </c>
    </row>
    <row r="114" spans="2:2">
      <c r="B114" s="34" t="s">
        <v>471</v>
      </c>
    </row>
    <row r="116" spans="2:2">
      <c r="B116" s="4" t="s">
        <v>472</v>
      </c>
    </row>
    <row r="117" spans="2:2">
      <c r="B117" s="34"/>
    </row>
    <row r="118" spans="2:2">
      <c r="B118" s="33" t="s">
        <v>473</v>
      </c>
    </row>
    <row r="119" spans="2:2">
      <c r="B119" s="34"/>
    </row>
    <row r="120" spans="2:2">
      <c r="B120" s="33" t="s">
        <v>474</v>
      </c>
    </row>
    <row r="121" spans="2:2">
      <c r="B121" s="34"/>
    </row>
    <row r="122" spans="2:2">
      <c r="B122" s="33" t="s">
        <v>475</v>
      </c>
    </row>
    <row r="124" spans="2:2">
      <c r="B124" t="s">
        <v>476</v>
      </c>
    </row>
    <row r="125" spans="2:2">
      <c r="B125" s="34"/>
    </row>
    <row r="126" spans="2:2">
      <c r="B126" s="33" t="s">
        <v>477</v>
      </c>
    </row>
    <row r="127" spans="2:2">
      <c r="B127" s="39" t="s">
        <v>478</v>
      </c>
    </row>
    <row r="128" spans="2:2">
      <c r="B128" s="34"/>
    </row>
    <row r="129" spans="2:2">
      <c r="B129" s="33" t="s">
        <v>479</v>
      </c>
    </row>
    <row r="130" spans="2:2">
      <c r="B130" s="39" t="s">
        <v>480</v>
      </c>
    </row>
    <row r="131" spans="2:2">
      <c r="B131" s="34"/>
    </row>
    <row r="132" spans="2:2">
      <c r="B132" s="33" t="s">
        <v>481</v>
      </c>
    </row>
    <row r="133" spans="2:2">
      <c r="B133" s="34"/>
    </row>
    <row r="134" spans="2:2">
      <c r="B134" s="34" t="s">
        <v>482</v>
      </c>
    </row>
    <row r="135" spans="2:2">
      <c r="B135" s="34" t="s">
        <v>483</v>
      </c>
    </row>
    <row r="136" spans="2:2">
      <c r="B136" s="34" t="s">
        <v>484</v>
      </c>
    </row>
    <row r="137" spans="2:2">
      <c r="B137" s="34" t="s">
        <v>485</v>
      </c>
    </row>
    <row r="139" spans="2:2">
      <c r="B139" s="4" t="s">
        <v>486</v>
      </c>
    </row>
    <row r="140" spans="2:2">
      <c r="B140" s="34"/>
    </row>
    <row r="141" spans="2:2">
      <c r="B141" s="33" t="s">
        <v>487</v>
      </c>
    </row>
    <row r="142" spans="2:2">
      <c r="B142" s="34"/>
    </row>
    <row r="143" spans="2:2">
      <c r="B143" s="33" t="s">
        <v>488</v>
      </c>
    </row>
    <row r="144" spans="2:2">
      <c r="B144" s="34"/>
    </row>
    <row r="145" spans="2:6">
      <c r="B145" s="33" t="s">
        <v>489</v>
      </c>
    </row>
    <row r="146" spans="2:6">
      <c r="B146" s="34"/>
    </row>
    <row r="147" spans="2:6">
      <c r="B147" s="33" t="s">
        <v>490</v>
      </c>
    </row>
    <row r="148" spans="2:6">
      <c r="B148" s="34"/>
    </row>
    <row r="149" spans="2:6">
      <c r="B149" s="33" t="s">
        <v>491</v>
      </c>
    </row>
    <row r="152" spans="2:6" ht="58" customHeight="1">
      <c r="B152" s="18" t="s">
        <v>492</v>
      </c>
      <c r="C152" s="18" t="s">
        <v>493</v>
      </c>
      <c r="D152" s="18" t="s">
        <v>494</v>
      </c>
      <c r="E152" s="18" t="s">
        <v>495</v>
      </c>
      <c r="F152" s="18" t="s">
        <v>496</v>
      </c>
    </row>
    <row r="153" spans="2:6" ht="188.5" customHeight="1">
      <c r="B153" s="19" t="s">
        <v>497</v>
      </c>
      <c r="C153" s="19" t="s">
        <v>498</v>
      </c>
      <c r="D153" s="40" t="s">
        <v>499</v>
      </c>
      <c r="E153" s="19" t="s">
        <v>500</v>
      </c>
      <c r="F153" s="19" t="s">
        <v>501</v>
      </c>
    </row>
    <row r="154" spans="2:6" ht="87" customHeight="1">
      <c r="B154" s="20" t="s">
        <v>502</v>
      </c>
      <c r="C154" s="19" t="s">
        <v>503</v>
      </c>
      <c r="D154" s="40" t="s">
        <v>504</v>
      </c>
      <c r="E154" s="19" t="s">
        <v>505</v>
      </c>
      <c r="F154" s="19" t="s">
        <v>501</v>
      </c>
    </row>
    <row r="155" spans="2:6" ht="101.5" customHeight="1">
      <c r="B155" s="20" t="s">
        <v>506</v>
      </c>
      <c r="C155" s="19" t="s">
        <v>507</v>
      </c>
      <c r="D155" s="40" t="s">
        <v>508</v>
      </c>
      <c r="E155" s="19" t="s">
        <v>509</v>
      </c>
      <c r="F155" s="19" t="s">
        <v>501</v>
      </c>
    </row>
    <row r="156" spans="2:6" ht="101.5" customHeight="1">
      <c r="B156" s="20" t="s">
        <v>510</v>
      </c>
      <c r="C156" s="19" t="s">
        <v>511</v>
      </c>
      <c r="D156" s="40" t="s">
        <v>512</v>
      </c>
      <c r="E156" s="19" t="s">
        <v>513</v>
      </c>
      <c r="F156" s="19" t="s">
        <v>501</v>
      </c>
    </row>
    <row r="157" spans="2:6" ht="217.5" customHeight="1">
      <c r="B157" s="20" t="s">
        <v>514</v>
      </c>
      <c r="C157" s="19" t="s">
        <v>515</v>
      </c>
      <c r="D157" s="19" t="s">
        <v>516</v>
      </c>
      <c r="E157" s="19" t="s">
        <v>517</v>
      </c>
      <c r="F157" s="19" t="s">
        <v>501</v>
      </c>
    </row>
    <row r="158" spans="2:6" ht="101.5" customHeight="1">
      <c r="B158" s="20" t="s">
        <v>518</v>
      </c>
      <c r="C158" s="19" t="s">
        <v>519</v>
      </c>
      <c r="D158" s="19" t="s">
        <v>520</v>
      </c>
      <c r="E158" s="19" t="s">
        <v>521</v>
      </c>
      <c r="F158" s="19" t="s">
        <v>501</v>
      </c>
    </row>
    <row r="159" spans="2:6" ht="72.5" customHeight="1">
      <c r="B159" s="20" t="s">
        <v>522</v>
      </c>
      <c r="C159" s="19" t="s">
        <v>523</v>
      </c>
      <c r="D159" s="19" t="s">
        <v>524</v>
      </c>
      <c r="E159" s="19" t="s">
        <v>525</v>
      </c>
      <c r="F159" s="19" t="s">
        <v>501</v>
      </c>
    </row>
    <row r="160" spans="2:6" ht="101.5" customHeight="1">
      <c r="B160" s="20" t="s">
        <v>526</v>
      </c>
      <c r="C160" s="19" t="s">
        <v>527</v>
      </c>
      <c r="D160" s="19" t="s">
        <v>528</v>
      </c>
      <c r="E160" s="19" t="s">
        <v>529</v>
      </c>
      <c r="F160" s="19" t="s">
        <v>501</v>
      </c>
    </row>
    <row r="161" spans="2:6" ht="159.5" customHeight="1">
      <c r="B161" s="20" t="s">
        <v>530</v>
      </c>
      <c r="C161" s="19" t="s">
        <v>531</v>
      </c>
      <c r="D161" s="19" t="s">
        <v>532</v>
      </c>
      <c r="E161" s="19" t="s">
        <v>533</v>
      </c>
      <c r="F161" s="19" t="s">
        <v>501</v>
      </c>
    </row>
    <row r="162" spans="2:6" ht="101.5" customHeight="1">
      <c r="B162" s="20" t="s">
        <v>534</v>
      </c>
      <c r="C162" s="19" t="s">
        <v>535</v>
      </c>
      <c r="D162" s="19" t="s">
        <v>536</v>
      </c>
      <c r="E162" s="19" t="s">
        <v>537</v>
      </c>
      <c r="F162" s="19" t="s">
        <v>501</v>
      </c>
    </row>
    <row r="163" spans="2:6" ht="101.5" customHeight="1">
      <c r="B163" s="20" t="s">
        <v>538</v>
      </c>
      <c r="C163" s="19" t="s">
        <v>539</v>
      </c>
      <c r="D163" s="19" t="s">
        <v>540</v>
      </c>
      <c r="E163" s="19" t="s">
        <v>541</v>
      </c>
      <c r="F163" s="19" t="s">
        <v>501</v>
      </c>
    </row>
    <row r="164" spans="2:6" ht="116" customHeight="1">
      <c r="B164" s="20" t="s">
        <v>542</v>
      </c>
      <c r="C164" s="19" t="s">
        <v>543</v>
      </c>
      <c r="D164" s="40" t="s">
        <v>544</v>
      </c>
      <c r="E164" s="19" t="s">
        <v>545</v>
      </c>
      <c r="F164" s="19" t="s">
        <v>501</v>
      </c>
    </row>
    <row r="165" spans="2:6" ht="101.5" customHeight="1">
      <c r="B165" s="20" t="s">
        <v>546</v>
      </c>
      <c r="C165" s="19" t="s">
        <v>547</v>
      </c>
      <c r="D165" s="19" t="s">
        <v>548</v>
      </c>
      <c r="E165" s="19" t="s">
        <v>549</v>
      </c>
      <c r="F165" s="19" t="s">
        <v>501</v>
      </c>
    </row>
  </sheetData>
  <hyperlinks>
    <hyperlink ref="D153" r:id="rId1" tooltip="School Finance Guidelines &amp; Manuals" display="https://www.azed.gov/finance/school-finance-external-guidelines?utm_source=chatgpt.com" xr:uid="{00000000-0004-0000-0600-000000000000}"/>
    <hyperlink ref="D154" r:id="rId2" tooltip="Scottsdale Unified School District No. 48" display="https://www.susd.org/fs/resource-manager/view/01a0856f-3a75-4ceb-9e90-02f85099b68d?utm_source=chatgpt.com" xr:uid="{00000000-0004-0000-0600-000001000000}"/>
    <hyperlink ref="D155" r:id="rId3" tooltip="Budget - Scottsdale Unified School District 48" display="https://www.susd.org/departments/finance/budget?utm_source=chatgpt.com" xr:uid="{00000000-0004-0000-0600-000002000000}"/>
    <hyperlink ref="D156" r:id="rId4" tooltip="uniform system - financial records" display="https://www.azauditor.gov/sites/default/files/2023-11/USFR102323%282%29.pdf?utm_source=chatgpt.com" xr:uid="{00000000-0004-0000-0600-000003000000}"/>
    <hyperlink ref="D164" r:id="rId5" tooltip="uniform system - financial records" display="https://www.azauditor.gov/sites/default/files/2023-11/USFR102323%282%29.pdf?utm_source=chatgpt.com" xr:uid="{00000000-0004-0000-0600-000004000000}"/>
  </hyperlinks>
  <pageMargins left="0.7" right="0.7" top="0.75" bottom="0.75" header="0.3" footer="0.3"/>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topLeftCell="A52" workbookViewId="0">
      <selection activeCell="L13" sqref="L13"/>
    </sheetView>
  </sheetViews>
  <sheetFormatPr defaultRowHeight="14.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
  <sheetViews>
    <sheetView zoomScale="60" zoomScaleNormal="60" workbookViewId="0">
      <pane xSplit="2" ySplit="1" topLeftCell="C2" activePane="bottomRight" state="frozen"/>
      <selection activeCell="B2" sqref="B2"/>
      <selection pane="topRight" activeCell="B2" sqref="B2"/>
      <selection pane="bottomLeft" activeCell="B2" sqref="B2"/>
      <selection pane="bottomRight" activeCell="C5" sqref="C5"/>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62</v>
      </c>
      <c r="C1" s="1" t="s">
        <v>63</v>
      </c>
      <c r="D1" s="1" t="s">
        <v>550</v>
      </c>
      <c r="E1" s="1" t="s">
        <v>551</v>
      </c>
      <c r="F1" s="1" t="s">
        <v>552</v>
      </c>
      <c r="G1" s="1" t="s">
        <v>553</v>
      </c>
      <c r="H1" s="1" t="s">
        <v>554</v>
      </c>
      <c r="I1" s="1" t="s">
        <v>555</v>
      </c>
      <c r="J1" s="1" t="s">
        <v>556</v>
      </c>
      <c r="K1" s="1" t="s">
        <v>557</v>
      </c>
      <c r="L1" s="1" t="s">
        <v>558</v>
      </c>
      <c r="M1" s="1" t="s">
        <v>559</v>
      </c>
      <c r="N1" s="1" t="s">
        <v>560</v>
      </c>
      <c r="O1" s="1" t="s">
        <v>561</v>
      </c>
      <c r="P1" s="1" t="s">
        <v>114</v>
      </c>
      <c r="Q1" s="1" t="s">
        <v>562</v>
      </c>
      <c r="R1" s="1" t="s">
        <v>563</v>
      </c>
      <c r="S1" s="1" t="s">
        <v>564</v>
      </c>
      <c r="T1" s="1" t="s">
        <v>565</v>
      </c>
      <c r="U1" s="1" t="s">
        <v>566</v>
      </c>
      <c r="V1" s="1" t="s">
        <v>567</v>
      </c>
      <c r="W1" s="1" t="s">
        <v>568</v>
      </c>
      <c r="X1" s="1" t="s">
        <v>569</v>
      </c>
      <c r="Y1" t="s">
        <v>570</v>
      </c>
      <c r="Z1" t="s">
        <v>571</v>
      </c>
      <c r="AA1" t="s">
        <v>572</v>
      </c>
      <c r="AB1" t="s">
        <v>573</v>
      </c>
      <c r="AC1" t="s">
        <v>574</v>
      </c>
      <c r="AD1" t="s">
        <v>575</v>
      </c>
      <c r="AE1" t="s">
        <v>576</v>
      </c>
      <c r="AF1" t="s">
        <v>577</v>
      </c>
      <c r="AG1" s="1" t="s">
        <v>578</v>
      </c>
    </row>
    <row r="2" spans="1:33">
      <c r="A2" t="str">
        <f t="shared" si="0"/>
        <v>D_CUSTOM1|FY2026</v>
      </c>
      <c r="B2" t="str">
        <f>Scenarios!A2</f>
        <v>D_CUSTOM1</v>
      </c>
      <c r="C2" t="s">
        <v>70</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IF(Scenarios!$R2=1,BaselineCalc!$B$7*(1+Parameters_Public!$C42)^(IF($C2="FY2026",0,IF($C2="FY2027",1,IF($C2="FY2028",2,IF($C2="FY2029",3,IF($C2="FY2030",4,0))))))+ROUND(Scenarios!I2*Scenarios!$F2,0),BaselineCalc!$B$7+ROUND(Scenarios!I2*Scenarios!$F2,0))</f>
        <v>257</v>
      </c>
      <c r="M2">
        <f>IF(Scenarios!$S2=1,BaselineCalc!$B$8*(1+Parameters_Public!$C43)^(IF($C2="FY2026",0,IF($C2="FY2027",1,IF($C2="FY2028",2,IF($C2="FY2029",3,IF($C2="FY2030",4,0))))))+Scenarios!I2-ROUND(Scenarios!I2*Scenarios!$F2,0),BaselineCalc!$B$8+Scenarios!I2-ROUND(Scenarios!I2*Scenarios!$F2,0))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c r="A3" t="str">
        <f t="shared" si="0"/>
        <v>D_CUSTOM1|FY2027</v>
      </c>
      <c r="B3" t="str">
        <f>Scenarios!A2</f>
        <v>D_CUSTOM1</v>
      </c>
      <c r="C3" t="s">
        <v>71</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IF(Scenarios!$R2=1,BaselineCalc!$B$7*(1+Parameters_Public!$C42)^(IF($C3="FY2026",0,IF($C3="FY2027",1,IF($C3="FY2028",2,IF($C3="FY2029",3,IF($C3="FY2030",4,0))))))+ROUND(Scenarios!J2*Scenarios!$F2,0),BaselineCalc!$B$7+ROUND(Scenarios!J2*Scenarios!$F2,0))</f>
        <v>257</v>
      </c>
      <c r="M3">
        <f>IF(Scenarios!$S2=1,BaselineCalc!$B$8*(1+Parameters_Public!$C43)^(IF($C3="FY2026",0,IF($C3="FY2027",1,IF($C3="FY2028",2,IF($C3="FY2029",3,IF($C3="FY2030",4,0))))))+Scenarios!J2-ROUND(Scenarios!J2*Scenarios!$F2,0),BaselineCalc!$B$8+Scenarios!J2-ROUND(Scenarios!J2*Scenarios!$F2,0))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c r="A4" t="str">
        <f t="shared" si="0"/>
        <v>D_CUSTOM1|FY2028</v>
      </c>
      <c r="B4" t="str">
        <f>Scenarios!A2</f>
        <v>D_CUSTOM1</v>
      </c>
      <c r="C4" t="s">
        <v>72</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IF(Scenarios!$R2=1,BaselineCalc!$B$7*(1+Parameters_Public!$C42)^(IF($C4="FY2026",0,IF($C4="FY2027",1,IF($C4="FY2028",2,IF($C4="FY2029",3,IF($C4="FY2030",4,0))))))+ROUND(Scenarios!K2*Scenarios!$F2,0),BaselineCalc!$B$7+ROUND(Scenarios!K2*Scenarios!$F2,0))</f>
        <v>257</v>
      </c>
      <c r="M4">
        <f>IF(Scenarios!$S2=1,BaselineCalc!$B$8*(1+Parameters_Public!$C43)^(IF($C4="FY2026",0,IF($C4="FY2027",1,IF($C4="FY2028",2,IF($C4="FY2029",3,IF($C4="FY2030",4,0))))))+Scenarios!K2-ROUND(Scenarios!K2*Scenarios!$F2,0),BaselineCalc!$B$8+Scenarios!K2-ROUND(Scenarios!K2*Scenarios!$F2,0))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c r="A5" t="str">
        <f t="shared" si="0"/>
        <v>D_CUSTOM1|FY2029</v>
      </c>
      <c r="B5" t="str">
        <f>Scenarios!A2</f>
        <v>D_CUSTOM1</v>
      </c>
      <c r="C5" t="s">
        <v>73</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IF(Scenarios!$R2=1,BaselineCalc!$B$7*(1+Parameters_Public!$C42)^(IF($C5="FY2026",0,IF($C5="FY2027",1,IF($C5="FY2028",2,IF($C5="FY2029",3,IF($C5="FY2030",4,0))))))+ROUND(Scenarios!L2*Scenarios!$F2,0),BaselineCalc!$B$7+ROUND(Scenarios!L2*Scenarios!$F2,0))</f>
        <v>257</v>
      </c>
      <c r="M5">
        <f>IF(Scenarios!$S2=1,BaselineCalc!$B$8*(1+Parameters_Public!$C43)^(IF($C5="FY2026",0,IF($C5="FY2027",1,IF($C5="FY2028",2,IF($C5="FY2029",3,IF($C5="FY2030",4,0))))))+Scenarios!L2-ROUND(Scenarios!L2*Scenarios!$F2,0),BaselineCalc!$B$8+Scenarios!L2-ROUND(Scenarios!L2*Scenarios!$F2,0))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c r="A6" t="str">
        <f t="shared" si="0"/>
        <v>D_CUSTOM1|FY2030</v>
      </c>
      <c r="B6" t="str">
        <f>Scenarios!A2</f>
        <v>D_CUSTOM1</v>
      </c>
      <c r="C6" t="s">
        <v>74</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IF(Scenarios!$R2=1,BaselineCalc!$B$7*(1+Parameters_Public!$C42)^(IF($C6="FY2026",0,IF($C6="FY2027",1,IF($C6="FY2028",2,IF($C6="FY2029",3,IF($C6="FY2030",4,0))))))+ROUND(Scenarios!M2*Scenarios!$F2,0),BaselineCalc!$B$7+ROUND(Scenarios!M2*Scenarios!$F2,0))</f>
        <v>257</v>
      </c>
      <c r="M6">
        <f>IF(Scenarios!$S2=1,BaselineCalc!$B$8*(1+Parameters_Public!$C43)^(IF($C6="FY2026",0,IF($C6="FY2027",1,IF($C6="FY2028",2,IF($C6="FY2029",3,IF($C6="FY2030",4,0))))))+Scenarios!M2-ROUND(Scenarios!M2*Scenarios!$F2,0),BaselineCalc!$B$8+Scenarios!M2-ROUND(Scenarios!M2*Scenarios!$F2,0))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c r="A7" t="str">
        <f t="shared" si="0"/>
        <v>E_StatusQuo_Targets|FY2026</v>
      </c>
      <c r="B7" t="str">
        <f>Scenarios!A3</f>
        <v>E_StatusQuo_Targets</v>
      </c>
      <c r="C7" t="s">
        <v>70</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IF(Scenarios!$R3=1,BaselineCalc!$B$7*(1+Parameters_Public!$C42)^(IF($C7="FY2026",0,IF($C7="FY2027",1,IF($C7="FY2028",2,IF($C7="FY2029",3,IF($C7="FY2030",4,0))))))+ROUND(Scenarios!I3*Scenarios!$F3,0),BaselineCalc!$B$7+ROUND(Scenarios!I3*Scenarios!$F3,0))</f>
        <v>332</v>
      </c>
      <c r="M7">
        <f>IF(Scenarios!$S3=1,BaselineCalc!$B$8*(1+Parameters_Public!$C43)^(IF($C7="FY2026",0,IF($C7="FY2027",1,IF($C7="FY2028",2,IF($C7="FY2029",3,IF($C7="FY2030",4,0))))))+Scenarios!I3-ROUND(Scenarios!I3*Scenarios!$F3,0),BaselineCalc!$B$8+Scenarios!I3-ROUND(Scenarios!I3*Scenarios!$F3,0))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c r="A8" t="str">
        <f t="shared" si="0"/>
        <v>E_StatusQuo_Targets|FY2027</v>
      </c>
      <c r="B8" t="str">
        <f>Scenarios!A3</f>
        <v>E_StatusQuo_Targets</v>
      </c>
      <c r="C8" t="s">
        <v>71</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IF(Scenarios!$R3=1,BaselineCalc!$B$7*(1+Parameters_Public!$C42)^(IF($C8="FY2026",0,IF($C8="FY2027",1,IF($C8="FY2028",2,IF($C8="FY2029",3,IF($C8="FY2030",4,0))))))+ROUND(Scenarios!J3*Scenarios!$F3,0),BaselineCalc!$B$7+ROUND(Scenarios!J3*Scenarios!$F3,0))</f>
        <v>332</v>
      </c>
      <c r="M8">
        <f>IF(Scenarios!$S3=1,BaselineCalc!$B$8*(1+Parameters_Public!$C43)^(IF($C8="FY2026",0,IF($C8="FY2027",1,IF($C8="FY2028",2,IF($C8="FY2029",3,IF($C8="FY2030",4,0))))))+Scenarios!J3-ROUND(Scenarios!J3*Scenarios!$F3,0),BaselineCalc!$B$8+Scenarios!J3-ROUND(Scenarios!J3*Scenarios!$F3,0))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c r="A9" t="str">
        <f t="shared" si="0"/>
        <v>E_StatusQuo_Targets|FY2028</v>
      </c>
      <c r="B9" t="str">
        <f>Scenarios!A3</f>
        <v>E_StatusQuo_Targets</v>
      </c>
      <c r="C9" t="s">
        <v>72</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IF(Scenarios!$R3=1,BaselineCalc!$B$7*(1+Parameters_Public!$C42)^(IF($C9="FY2026",0,IF($C9="FY2027",1,IF($C9="FY2028",2,IF($C9="FY2029",3,IF($C9="FY2030",4,0))))))+ROUND(Scenarios!K3*Scenarios!$F3,0),BaselineCalc!$B$7+ROUND(Scenarios!K3*Scenarios!$F3,0))</f>
        <v>332</v>
      </c>
      <c r="M9">
        <f>IF(Scenarios!$S3=1,BaselineCalc!$B$8*(1+Parameters_Public!$C43)^(IF($C9="FY2026",0,IF($C9="FY2027",1,IF($C9="FY2028",2,IF($C9="FY2029",3,IF($C9="FY2030",4,0))))))+Scenarios!K3-ROUND(Scenarios!K3*Scenarios!$F3,0),BaselineCalc!$B$8+Scenarios!K3-ROUND(Scenarios!K3*Scenarios!$F3,0))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c r="A10" t="str">
        <f t="shared" si="0"/>
        <v>E_StatusQuo_Targets|FY2029</v>
      </c>
      <c r="B10" t="str">
        <f>Scenarios!A3</f>
        <v>E_StatusQuo_Targets</v>
      </c>
      <c r="C10" t="s">
        <v>73</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IF(Scenarios!$R3=1,BaselineCalc!$B$7*(1+Parameters_Public!$C42)^(IF($C10="FY2026",0,IF($C10="FY2027",1,IF($C10="FY2028",2,IF($C10="FY2029",3,IF($C10="FY2030",4,0))))))+ROUND(Scenarios!L3*Scenarios!$F3,0),BaselineCalc!$B$7+ROUND(Scenarios!L3*Scenarios!$F3,0))</f>
        <v>332</v>
      </c>
      <c r="M10">
        <f>IF(Scenarios!$S3=1,BaselineCalc!$B$8*(1+Parameters_Public!$C43)^(IF($C10="FY2026",0,IF($C10="FY2027",1,IF($C10="FY2028",2,IF($C10="FY2029",3,IF($C10="FY2030",4,0))))))+Scenarios!L3-ROUND(Scenarios!L3*Scenarios!$F3,0),BaselineCalc!$B$8+Scenarios!L3-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c r="A11" t="str">
        <f t="shared" si="0"/>
        <v>E_StatusQuo_Targets|FY2030</v>
      </c>
      <c r="B11" t="str">
        <f>Scenarios!A3</f>
        <v>E_StatusQuo_Targets</v>
      </c>
      <c r="C11" t="s">
        <v>74</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IF(Scenarios!$R3=1,BaselineCalc!$B$7*(1+Parameters_Public!$C42)^(IF($C11="FY2026",0,IF($C11="FY2027",1,IF($C11="FY2028",2,IF($C11="FY2029",3,IF($C11="FY2030",4,0))))))+ROUND(Scenarios!M3*Scenarios!$F3,0),BaselineCalc!$B$7+ROUND(Scenarios!M3*Scenarios!$F3,0))</f>
        <v>332</v>
      </c>
      <c r="M11">
        <f>IF(Scenarios!$S3=1,BaselineCalc!$B$8*(1+Parameters_Public!$C43)^(IF($C11="FY2026",0,IF($C11="FY2027",1,IF($C11="FY2028",2,IF($C11="FY2029",3,IF($C11="FY2030",4,0))))))+Scenarios!M3-ROUND(Scenarios!M3*Scenarios!$F3,0),BaselineCalc!$B$8+Scenarios!M3-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c r="A12" t="str">
        <f t="shared" si="0"/>
        <v>F_CoLocation_Echo_Targets|FY2026</v>
      </c>
      <c r="B12" t="str">
        <f>Scenarios!A4</f>
        <v>F_CoLocation_Echo_Targets</v>
      </c>
      <c r="C12" t="s">
        <v>70</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IF(Scenarios!$R4=1,BaselineCalc!$B$7*(1+Parameters_Public!$C42)^(IF($C12="FY2026",0,IF($C12="FY2027",1,IF($C12="FY2028",2,IF($C12="FY2029",3,IF($C12="FY2030",4,0))))))+ROUND(Scenarios!I4*Scenarios!$F4,0),BaselineCalc!$B$7+ROUND(Scenarios!I4*Scenarios!$F4,0))</f>
        <v>332</v>
      </c>
      <c r="M12">
        <f>IF(Scenarios!$S4=1,BaselineCalc!$B$8*(1+Parameters_Public!$C43)^(IF($C12="FY2026",0,IF($C12="FY2027",1,IF($C12="FY2028",2,IF($C12="FY2029",3,IF($C12="FY2030",4,0))))))+Scenarios!I4-ROUND(Scenarios!I4*Scenarios!$F4,0),BaselineCalc!$B$8+Scenarios!I4-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c r="A13" t="str">
        <f t="shared" si="0"/>
        <v>F_CoLocation_Echo_Targets|FY2027</v>
      </c>
      <c r="B13" t="str">
        <f>Scenarios!A4</f>
        <v>F_CoLocation_Echo_Targets</v>
      </c>
      <c r="C13" t="s">
        <v>71</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IF(Scenarios!$R4=1,BaselineCalc!$B$7*(1+Parameters_Public!$C42)^(IF($C13="FY2026",0,IF($C13="FY2027",1,IF($C13="FY2028",2,IF($C13="FY2029",3,IF($C13="FY2030",4,0))))))+ROUND(Scenarios!J4*Scenarios!$F4,0),BaselineCalc!$B$7+ROUND(Scenarios!J4*Scenarios!$F4,0))</f>
        <v>332</v>
      </c>
      <c r="M13">
        <f>IF(Scenarios!$S4=1,BaselineCalc!$B$8*(1+Parameters_Public!$C43)^(IF($C13="FY2026",0,IF($C13="FY2027",1,IF($C13="FY2028",2,IF($C13="FY2029",3,IF($C13="FY2030",4,0))))))+Scenarios!J4-ROUND(Scenarios!J4*Scenarios!$F4,0),BaselineCalc!$B$8+Scenarios!J4-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c r="A14" t="str">
        <f t="shared" si="0"/>
        <v>F_CoLocation_Echo_Targets|FY2028</v>
      </c>
      <c r="B14" t="str">
        <f>Scenarios!A4</f>
        <v>F_CoLocation_Echo_Targets</v>
      </c>
      <c r="C14" t="s">
        <v>72</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IF(Scenarios!$R4=1,BaselineCalc!$B$7*(1+Parameters_Public!$C42)^(IF($C14="FY2026",0,IF($C14="FY2027",1,IF($C14="FY2028",2,IF($C14="FY2029",3,IF($C14="FY2030",4,0))))))+ROUND(Scenarios!K4*Scenarios!$F4,0),BaselineCalc!$B$7+ROUND(Scenarios!K4*Scenarios!$F4,0))</f>
        <v>332</v>
      </c>
      <c r="M14">
        <f>IF(Scenarios!$S4=1,BaselineCalc!$B$8*(1+Parameters_Public!$C43)^(IF($C14="FY2026",0,IF($C14="FY2027",1,IF($C14="FY2028",2,IF($C14="FY2029",3,IF($C14="FY2030",4,0))))))+Scenarios!K4-ROUND(Scenarios!K4*Scenarios!$F4,0),BaselineCalc!$B$8+Scenarios!K4-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c r="A15" t="str">
        <f t="shared" si="0"/>
        <v>F_CoLocation_Echo_Targets|FY2029</v>
      </c>
      <c r="B15" t="str">
        <f>Scenarios!A4</f>
        <v>F_CoLocation_Echo_Targets</v>
      </c>
      <c r="C15" t="s">
        <v>73</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IF(Scenarios!$R4=1,BaselineCalc!$B$7*(1+Parameters_Public!$C42)^(IF($C15="FY2026",0,IF($C15="FY2027",1,IF($C15="FY2028",2,IF($C15="FY2029",3,IF($C15="FY2030",4,0))))))+ROUND(Scenarios!L4*Scenarios!$F4,0),BaselineCalc!$B$7+ROUND(Scenarios!L4*Scenarios!$F4,0))</f>
        <v>332</v>
      </c>
      <c r="M15">
        <f>IF(Scenarios!$S4=1,BaselineCalc!$B$8*(1+Parameters_Public!$C43)^(IF($C15="FY2026",0,IF($C15="FY2027",1,IF($C15="FY2028",2,IF($C15="FY2029",3,IF($C15="FY2030",4,0))))))+Scenarios!L4-ROUND(Scenarios!L4*Scenarios!$F4,0),BaselineCalc!$B$8+Scenarios!L4-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c r="A16" t="str">
        <f t="shared" si="0"/>
        <v>F_CoLocation_Echo_Targets|FY2030</v>
      </c>
      <c r="B16" t="str">
        <f>Scenarios!A4</f>
        <v>F_CoLocation_Echo_Targets</v>
      </c>
      <c r="C16" t="s">
        <v>74</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IF(Scenarios!$R4=1,BaselineCalc!$B$7*(1+Parameters_Public!$C42)^(IF($C16="FY2026",0,IF($C16="FY2027",1,IF($C16="FY2028",2,IF($C16="FY2029",3,IF($C16="FY2030",4,0))))))+ROUND(Scenarios!M4*Scenarios!$F4,0),BaselineCalc!$B$7+ROUND(Scenarios!M4*Scenarios!$F4,0))</f>
        <v>332</v>
      </c>
      <c r="M16">
        <f>IF(Scenarios!$S4=1,BaselineCalc!$B$8*(1+Parameters_Public!$C43)^(IF($C16="FY2026",0,IF($C16="FY2027",1,IF($C16="FY2028",2,IF($C16="FY2029",3,IF($C16="FY2030",4,0))))))+Scenarios!M4-ROUND(Scenarios!M4*Scenarios!$F4,0),BaselineCalc!$B$8+Scenarios!M4-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c r="A17" t="str">
        <f t="shared" si="0"/>
        <v>D_Grow_Both_Targets|FY2026</v>
      </c>
      <c r="B17" t="str">
        <f>Scenarios!A5</f>
        <v>D_Grow_Both_Targets</v>
      </c>
      <c r="C17" t="s">
        <v>70</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IF(Scenarios!$R5=1,BaselineCalc!$B$7*(1+Parameters_Public!$C42)^(IF($C17="FY2026",0,IF($C17="FY2027",1,IF($C17="FY2028",2,IF($C17="FY2029",3,IF($C17="FY2030",4,0))))))+ROUND(Scenarios!I5*Scenarios!$F5,0),BaselineCalc!$B$7+ROUND(Scenarios!I5*Scenarios!$F5,0))</f>
        <v>382</v>
      </c>
      <c r="M17">
        <f>IF(Scenarios!$S5=1,BaselineCalc!$B$8*(1+Parameters_Public!$C43)^(IF($C17="FY2026",0,IF($C17="FY2027",1,IF($C17="FY2028",2,IF($C17="FY2029",3,IF($C17="FY2030",4,0))))))+Scenarios!I5-ROUND(Scenarios!I5*Scenarios!$F5,0),BaselineCalc!$B$8+Scenarios!I5-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c r="A18" t="str">
        <f t="shared" si="0"/>
        <v>D_Grow_Both_Targets|FY2027</v>
      </c>
      <c r="B18" t="str">
        <f>Scenarios!A5</f>
        <v>D_Grow_Both_Targets</v>
      </c>
      <c r="C18" t="s">
        <v>71</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IF(Scenarios!$R5=1,BaselineCalc!$B$7*(1+Parameters_Public!$C42)^(IF($C18="FY2026",0,IF($C18="FY2027",1,IF($C18="FY2028",2,IF($C18="FY2029",3,IF($C18="FY2030",4,0))))))+ROUND(Scenarios!J5*Scenarios!$F5,0),BaselineCalc!$B$7+ROUND(Scenarios!J5*Scenarios!$F5,0))</f>
        <v>382</v>
      </c>
      <c r="M18">
        <f>IF(Scenarios!$S5=1,BaselineCalc!$B$8*(1+Parameters_Public!$C43)^(IF($C18="FY2026",0,IF($C18="FY2027",1,IF($C18="FY2028",2,IF($C18="FY2029",3,IF($C18="FY2030",4,0))))))+Scenarios!J5-ROUND(Scenarios!J5*Scenarios!$F5,0),BaselineCalc!$B$8+Scenarios!J5-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c r="A19" t="str">
        <f t="shared" si="0"/>
        <v>D_Grow_Both_Targets|FY2028</v>
      </c>
      <c r="B19" t="str">
        <f>Scenarios!A5</f>
        <v>D_Grow_Both_Targets</v>
      </c>
      <c r="C19" t="s">
        <v>72</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IF(Scenarios!$R5=1,BaselineCalc!$B$7*(1+Parameters_Public!$C42)^(IF($C19="FY2026",0,IF($C19="FY2027",1,IF($C19="FY2028",2,IF($C19="FY2029",3,IF($C19="FY2030",4,0))))))+ROUND(Scenarios!K5*Scenarios!$F5,0),BaselineCalc!$B$7+ROUND(Scenarios!K5*Scenarios!$F5,0))</f>
        <v>382</v>
      </c>
      <c r="M19">
        <f>IF(Scenarios!$S5=1,BaselineCalc!$B$8*(1+Parameters_Public!$C43)^(IF($C19="FY2026",0,IF($C19="FY2027",1,IF($C19="FY2028",2,IF($C19="FY2029",3,IF($C19="FY2030",4,0))))))+Scenarios!K5-ROUND(Scenarios!K5*Scenarios!$F5,0),BaselineCalc!$B$8+Scenarios!K5-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c r="A20" t="str">
        <f t="shared" si="0"/>
        <v>D_Grow_Both_Targets|FY2029</v>
      </c>
      <c r="B20" t="str">
        <f>Scenarios!A5</f>
        <v>D_Grow_Both_Targets</v>
      </c>
      <c r="C20" t="s">
        <v>73</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IF(Scenarios!$R5=1,BaselineCalc!$B$7*(1+Parameters_Public!$C42)^(IF($C20="FY2026",0,IF($C20="FY2027",1,IF($C20="FY2028",2,IF($C20="FY2029",3,IF($C20="FY2030",4,0))))))+ROUND(Scenarios!L5*Scenarios!$F5,0),BaselineCalc!$B$7+ROUND(Scenarios!L5*Scenarios!$F5,0))</f>
        <v>382</v>
      </c>
      <c r="M20">
        <f>IF(Scenarios!$S5=1,BaselineCalc!$B$8*(1+Parameters_Public!$C43)^(IF($C20="FY2026",0,IF($C20="FY2027",1,IF($C20="FY2028",2,IF($C20="FY2029",3,IF($C20="FY2030",4,0))))))+Scenarios!L5-ROUND(Scenarios!L5*Scenarios!$F5,0),BaselineCalc!$B$8+Scenarios!L5-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c r="A21" t="str">
        <f t="shared" si="0"/>
        <v>D_Grow_Both_Targets|FY2030</v>
      </c>
      <c r="B21" t="str">
        <f>Scenarios!A5</f>
        <v>D_Grow_Both_Targets</v>
      </c>
      <c r="C21" t="s">
        <v>74</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IF(Scenarios!$R5=1,BaselineCalc!$B$7*(1+Parameters_Public!$C42)^(IF($C21="FY2026",0,IF($C21="FY2027",1,IF($C21="FY2028",2,IF($C21="FY2029",3,IF($C21="FY2030",4,0))))))+ROUND(Scenarios!M5*Scenarios!$F5,0),BaselineCalc!$B$7+ROUND(Scenarios!M5*Scenarios!$F5,0))</f>
        <v>382</v>
      </c>
      <c r="M21">
        <f>IF(Scenarios!$S5=1,BaselineCalc!$B$8*(1+Parameters_Public!$C43)^(IF($C21="FY2026",0,IF($C21="FY2027",1,IF($C21="FY2028",2,IF($C21="FY2029",3,IF($C21="FY2030",4,0))))))+Scenarios!M5-ROUND(Scenarios!M5*Scenarios!$F5,0),BaselineCalc!$B$8+Scenarios!M5-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c r="A22" t="str">
        <f t="shared" si="0"/>
        <v>D_CUSTOM2|FY2026</v>
      </c>
      <c r="B22" t="str">
        <f>Scenarios!A6</f>
        <v>D_CUSTOM2</v>
      </c>
      <c r="C22" t="s">
        <v>70</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IF(Scenarios!$R6=1,BaselineCalc!$B$7*(1+Parameters_Public!$C42)^(IF($C22="FY2026",0,IF($C22="FY2027",1,IF($C22="FY2028",2,IF($C22="FY2029",3,IF($C22="FY2030",4,0))))))+ROUND(Scenarios!I6*Scenarios!$F6,0),BaselineCalc!$B$7+ROUND(Scenarios!I6*Scenarios!$F6,0))</f>
        <v>257</v>
      </c>
      <c r="M22">
        <f>IF(Scenarios!$S6=1,BaselineCalc!$B$8*(1+Parameters_Public!$C43)^(IF($C22="FY2026",0,IF($C22="FY2027",1,IF($C22="FY2028",2,IF($C22="FY2029",3,IF($C22="FY2030",4,0))))))+Scenarios!I6-ROUND(Scenarios!I6*Scenarios!$F6,0),BaselineCalc!$B$8+Scenarios!I6-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c r="A23" t="str">
        <f t="shared" si="0"/>
        <v>D_CUSTOM2|FY2027</v>
      </c>
      <c r="B23" t="str">
        <f>Scenarios!A6</f>
        <v>D_CUSTOM2</v>
      </c>
      <c r="C23" t="s">
        <v>71</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IF(Scenarios!$R6=1,BaselineCalc!$B$7*(1+Parameters_Public!$C42)^(IF($C23="FY2026",0,IF($C23="FY2027",1,IF($C23="FY2028",2,IF($C23="FY2029",3,IF($C23="FY2030",4,0))))))+ROUND(Scenarios!J6*Scenarios!$F6,0),BaselineCalc!$B$7+ROUND(Scenarios!J6*Scenarios!$F6,0))</f>
        <v>257</v>
      </c>
      <c r="M23">
        <f>IF(Scenarios!$S6=1,BaselineCalc!$B$8*(1+Parameters_Public!$C43)^(IF($C23="FY2026",0,IF($C23="FY2027",1,IF($C23="FY2028",2,IF($C23="FY2029",3,IF($C23="FY2030",4,0))))))+Scenarios!J6-ROUND(Scenarios!J6*Scenarios!$F6,0),BaselineCalc!$B$8+Scenarios!J6-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c r="A24" t="str">
        <f t="shared" si="0"/>
        <v>D_CUSTOM2|FY2028</v>
      </c>
      <c r="B24" t="str">
        <f>Scenarios!A6</f>
        <v>D_CUSTOM2</v>
      </c>
      <c r="C24" t="s">
        <v>72</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IF(Scenarios!$R6=1,BaselineCalc!$B$7*(1+Parameters_Public!$C42)^(IF($C24="FY2026",0,IF($C24="FY2027",1,IF($C24="FY2028",2,IF($C24="FY2029",3,IF($C24="FY2030",4,0))))))+ROUND(Scenarios!K6*Scenarios!$F6,0),BaselineCalc!$B$7+ROUND(Scenarios!K6*Scenarios!$F6,0))</f>
        <v>257</v>
      </c>
      <c r="M24">
        <f>IF(Scenarios!$S6=1,BaselineCalc!$B$8*(1+Parameters_Public!$C43)^(IF($C24="FY2026",0,IF($C24="FY2027",1,IF($C24="FY2028",2,IF($C24="FY2029",3,IF($C24="FY2030",4,0))))))+Scenarios!K6-ROUND(Scenarios!K6*Scenarios!$F6,0),BaselineCalc!$B$8+Scenarios!K6-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c r="A25" t="str">
        <f t="shared" si="0"/>
        <v>D_CUSTOM2|FY2029</v>
      </c>
      <c r="B25" t="str">
        <f>Scenarios!A6</f>
        <v>D_CUSTOM2</v>
      </c>
      <c r="C25" t="s">
        <v>73</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IF(Scenarios!$R6=1,BaselineCalc!$B$7*(1+Parameters_Public!$C42)^(IF($C25="FY2026",0,IF($C25="FY2027",1,IF($C25="FY2028",2,IF($C25="FY2029",3,IF($C25="FY2030",4,0))))))+ROUND(Scenarios!L6*Scenarios!$F6,0),BaselineCalc!$B$7+ROUND(Scenarios!L6*Scenarios!$F6,0))</f>
        <v>257</v>
      </c>
      <c r="M25">
        <f>IF(Scenarios!$S6=1,BaselineCalc!$B$8*(1+Parameters_Public!$C43)^(IF($C25="FY2026",0,IF($C25="FY2027",1,IF($C25="FY2028",2,IF($C25="FY2029",3,IF($C25="FY2030",4,0))))))+Scenarios!L6-ROUND(Scenarios!L6*Scenarios!$F6,0),BaselineCalc!$B$8+Scenarios!L6-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c r="A26" t="str">
        <f t="shared" si="0"/>
        <v>D_CUSTOM2|FY2030</v>
      </c>
      <c r="B26" t="str">
        <f>Scenarios!A6</f>
        <v>D_CUSTOM2</v>
      </c>
      <c r="C26" t="s">
        <v>74</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IF(Scenarios!$R6=1,BaselineCalc!$B$7*(1+Parameters_Public!$C42)^(IF($C26="FY2026",0,IF($C26="FY2027",1,IF($C26="FY2028",2,IF($C26="FY2029",3,IF($C26="FY2030",4,0))))))+ROUND(Scenarios!M6*Scenarios!$F6,0),BaselineCalc!$B$7+ROUND(Scenarios!M6*Scenarios!$F6,0))</f>
        <v>257</v>
      </c>
      <c r="M26">
        <f>IF(Scenarios!$S6=1,BaselineCalc!$B$8*(1+Parameters_Public!$C43)^(IF($C26="FY2026",0,IF($C26="FY2027",1,IF($C26="FY2028",2,IF($C26="FY2029",3,IF($C26="FY2030",4,0))))))+Scenarios!M6-ROUND(Scenarios!M6*Scenarios!$F6,0),BaselineCalc!$B$8+Scenarios!M6-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c r="A27" t="str">
        <f t="shared" si="0"/>
        <v>G_EchoGHubRamp_PimaTargets|FY2026</v>
      </c>
      <c r="B27" t="str">
        <f>Scenarios!A7</f>
        <v>G_EchoGHubRamp_PimaTargets</v>
      </c>
      <c r="C27" t="s">
        <v>70</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IF(Scenarios!$R7=1,BaselineCalc!$B$7*(1+Parameters_Public!$C42)^(IF($C27="FY2026",0,IF($C27="FY2027",1,IF($C27="FY2028",2,IF($C27="FY2029",3,IF($C27="FY2030",4,0))))))+ROUND(Scenarios!I7*Scenarios!$F7,0),BaselineCalc!$B$7+ROUND(Scenarios!I7*Scenarios!$F7,0))</f>
        <v>292</v>
      </c>
      <c r="M27">
        <f>IF(Scenarios!$S7=1,BaselineCalc!$B$8*(1+Parameters_Public!$C43)^(IF($C27="FY2026",0,IF($C27="FY2027",1,IF($C27="FY2028",2,IF($C27="FY2029",3,IF($C27="FY2030",4,0))))))+Scenarios!I7-ROUND(Scenarios!I7*Scenarios!$F7,0),BaselineCalc!$B$8+Scenarios!I7-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c r="A28" t="str">
        <f t="shared" si="0"/>
        <v>G_EchoGHubRamp_PimaTargets|FY2027</v>
      </c>
      <c r="B28" t="str">
        <f>Scenarios!A7</f>
        <v>G_EchoGHubRamp_PimaTargets</v>
      </c>
      <c r="C28" t="s">
        <v>71</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IF(Scenarios!$R7=1,BaselineCalc!$B$7*(1+Parameters_Public!$C42)^(IF($C28="FY2026",0,IF($C28="FY2027",1,IF($C28="FY2028",2,IF($C28="FY2029",3,IF($C28="FY2030",4,0))))))+ROUND(Scenarios!J7*Scenarios!$F7,0),BaselineCalc!$B$7+ROUND(Scenarios!J7*Scenarios!$F7,0))</f>
        <v>327</v>
      </c>
      <c r="M28">
        <f>IF(Scenarios!$S7=1,BaselineCalc!$B$8*(1+Parameters_Public!$C43)^(IF($C28="FY2026",0,IF($C28="FY2027",1,IF($C28="FY2028",2,IF($C28="FY2029",3,IF($C28="FY2030",4,0))))))+Scenarios!J7-ROUND(Scenarios!J7*Scenarios!$F7,0),BaselineCalc!$B$8+Scenarios!J7-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c r="A29" t="str">
        <f t="shared" si="0"/>
        <v>G_EchoGHubRamp_PimaTargets|FY2028</v>
      </c>
      <c r="B29" t="str">
        <f>Scenarios!A7</f>
        <v>G_EchoGHubRamp_PimaTargets</v>
      </c>
      <c r="C29" t="s">
        <v>72</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IF(Scenarios!$R7=1,BaselineCalc!$B$7*(1+Parameters_Public!$C42)^(IF($C29="FY2026",0,IF($C29="FY2027",1,IF($C29="FY2028",2,IF($C29="FY2029",3,IF($C29="FY2030",4,0))))))+ROUND(Scenarios!K7*Scenarios!$F7,0),BaselineCalc!$B$7+ROUND(Scenarios!K7*Scenarios!$F7,0))</f>
        <v>362</v>
      </c>
      <c r="M29">
        <f>IF(Scenarios!$S7=1,BaselineCalc!$B$8*(1+Parameters_Public!$C43)^(IF($C29="FY2026",0,IF($C29="FY2027",1,IF($C29="FY2028",2,IF($C29="FY2029",3,IF($C29="FY2030",4,0))))))+Scenarios!K7-ROUND(Scenarios!K7*Scenarios!$F7,0),BaselineCalc!$B$8+Scenarios!K7-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c r="A30" t="str">
        <f t="shared" si="0"/>
        <v>G_EchoGHubRamp_PimaTargets|FY2029</v>
      </c>
      <c r="B30" t="str">
        <f>Scenarios!A7</f>
        <v>G_EchoGHubRamp_PimaTargets</v>
      </c>
      <c r="C30" t="s">
        <v>73</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IF(Scenarios!$R7=1,BaselineCalc!$B$7*(1+Parameters_Public!$C42)^(IF($C30="FY2026",0,IF($C30="FY2027",1,IF($C30="FY2028",2,IF($C30="FY2029",3,IF($C30="FY2030",4,0))))))+ROUND(Scenarios!L7*Scenarios!$F7,0),BaselineCalc!$B$7+ROUND(Scenarios!L7*Scenarios!$F7,0))</f>
        <v>362</v>
      </c>
      <c r="M30">
        <f>IF(Scenarios!$S7=1,BaselineCalc!$B$8*(1+Parameters_Public!$C43)^(IF($C30="FY2026",0,IF($C30="FY2027",1,IF($C30="FY2028",2,IF($C30="FY2029",3,IF($C30="FY2030",4,0))))))+Scenarios!L7-ROUND(Scenarios!L7*Scenarios!$F7,0),BaselineCalc!$B$8+Scenarios!L7-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c r="A31" t="str">
        <f t="shared" si="0"/>
        <v>G_EchoGHubRamp_PimaTargets|FY2030</v>
      </c>
      <c r="B31" t="str">
        <f>Scenarios!A7</f>
        <v>G_EchoGHubRamp_PimaTargets</v>
      </c>
      <c r="C31" t="s">
        <v>74</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IF(Scenarios!$R7=1,BaselineCalc!$B$7*(1+Parameters_Public!$C42)^(IF($C31="FY2026",0,IF($C31="FY2027",1,IF($C31="FY2028",2,IF($C31="FY2029",3,IF($C31="FY2030",4,0))))))+ROUND(Scenarios!M7*Scenarios!$F7,0),BaselineCalc!$B$7+ROUND(Scenarios!M7*Scenarios!$F7,0))</f>
        <v>362</v>
      </c>
      <c r="M31">
        <f>IF(Scenarios!$S7=1,BaselineCalc!$B$8*(1+Parameters_Public!$C43)^(IF($C31="FY2026",0,IF($C31="FY2027",1,IF($C31="FY2028",2,IF($C31="FY2029",3,IF($C31="FY2030",4,0))))))+Scenarios!M7-ROUND(Scenarios!M7*Scenarios!$F7,0),BaselineCalc!$B$8+Scenarios!M7-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c r="A32" t="str">
        <f t="shared" si="0"/>
        <v>A_Repurpose_Both_lease|FY2026</v>
      </c>
      <c r="B32" t="str">
        <f>Scenarios!A8</f>
        <v>A_Repurpose_Both_lease</v>
      </c>
      <c r="C32" t="s">
        <v>70</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IF(Scenarios!$R8=1,BaselineCalc!$B$7*(1+Parameters_Public!$C42)^(IF($C32="FY2026",0,IF($C32="FY2027",1,IF($C32="FY2028",2,IF($C32="FY2029",3,IF($C32="FY2030",4,0))))))+ROUND(Scenarios!I8*Scenarios!$F8,0),BaselineCalc!$B$7+ROUND(Scenarios!I8*Scenarios!$F8,0))</f>
        <v>257</v>
      </c>
      <c r="M32">
        <f>IF(Scenarios!$S8=1,BaselineCalc!$B$8*(1+Parameters_Public!$C43)^(IF($C32="FY2026",0,IF($C32="FY2027",1,IF($C32="FY2028",2,IF($C32="FY2029",3,IF($C32="FY2030",4,0))))))+Scenarios!I8-ROUND(Scenarios!I8*Scenarios!$F8,0),BaselineCalc!$B$8+Scenarios!I8-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c r="A33" t="str">
        <f t="shared" ref="A33:A66" si="10">AG33</f>
        <v>A_Repurpose_Both_lease|FY2027</v>
      </c>
      <c r="B33" t="str">
        <f>Scenarios!A8</f>
        <v>A_Repurpose_Both_lease</v>
      </c>
      <c r="C33" t="s">
        <v>71</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IF(Scenarios!$R8=1,BaselineCalc!$B$7*(1+Parameters_Public!$C42)^(IF($C33="FY2026",0,IF($C33="FY2027",1,IF($C33="FY2028",2,IF($C33="FY2029",3,IF($C33="FY2030",4,0))))))+ROUND(Scenarios!J8*Scenarios!$F8,0),BaselineCalc!$B$7+ROUND(Scenarios!J8*Scenarios!$F8,0))</f>
        <v>257</v>
      </c>
      <c r="M33">
        <f>IF(Scenarios!$S8=1,BaselineCalc!$B$8*(1+Parameters_Public!$C43)^(IF($C33="FY2026",0,IF($C33="FY2027",1,IF($C33="FY2028",2,IF($C33="FY2029",3,IF($C33="FY2030",4,0))))))+Scenarios!J8-ROUND(Scenarios!J8*Scenarios!$F8,0),BaselineCalc!$B$8+Scenarios!J8-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c r="A34" t="str">
        <f t="shared" si="10"/>
        <v>A_Repurpose_Both_lease|FY2028</v>
      </c>
      <c r="B34" t="str">
        <f>Scenarios!A8</f>
        <v>A_Repurpose_Both_lease</v>
      </c>
      <c r="C34" t="s">
        <v>72</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IF(Scenarios!$R8=1,BaselineCalc!$B$7*(1+Parameters_Public!$C42)^(IF($C34="FY2026",0,IF($C34="FY2027",1,IF($C34="FY2028",2,IF($C34="FY2029",3,IF($C34="FY2030",4,0))))))+ROUND(Scenarios!K8*Scenarios!$F8,0),BaselineCalc!$B$7+ROUND(Scenarios!K8*Scenarios!$F8,0))</f>
        <v>257</v>
      </c>
      <c r="M34">
        <f>IF(Scenarios!$S8=1,BaselineCalc!$B$8*(1+Parameters_Public!$C43)^(IF($C34="FY2026",0,IF($C34="FY2027",1,IF($C34="FY2028",2,IF($C34="FY2029",3,IF($C34="FY2030",4,0))))))+Scenarios!K8-ROUND(Scenarios!K8*Scenarios!$F8,0),BaselineCalc!$B$8+Scenarios!K8-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6" si="13">(R34+S34+G34*F34)*J34*(1-K34)</f>
        <v>630492.26972059521</v>
      </c>
      <c r="V34" s="2">
        <f t="shared" ref="V34:V66"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6" si="16">IF($AC34&gt;0, $Z34/$AC34, 0)</f>
        <v>2925.4729400561419</v>
      </c>
      <c r="AB34">
        <f>MAX(0, (MAX(0, $D34-BaselineCalc!$B$7) + MAX(0, $E34-BaselineCalc!$B$8)))</f>
        <v>0</v>
      </c>
      <c r="AC34">
        <f t="shared" ref="AC34:AC66"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6" si="19">B34&amp;"|"&amp;C34</f>
        <v>A_Repurpose_Both_lease|FY2028</v>
      </c>
    </row>
    <row r="35" spans="1:33">
      <c r="A35" t="str">
        <f t="shared" si="10"/>
        <v>A_Repurpose_Both_lease|FY2029</v>
      </c>
      <c r="B35" t="str">
        <f>Scenarios!A8</f>
        <v>A_Repurpose_Both_lease</v>
      </c>
      <c r="C35" t="s">
        <v>73</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IF(Scenarios!$R8=1,BaselineCalc!$B$7*(1+Parameters_Public!$C42)^(IF($C35="FY2026",0,IF($C35="FY2027",1,IF($C35="FY2028",2,IF($C35="FY2029",3,IF($C35="FY2030",4,0))))))+ROUND(Scenarios!L8*Scenarios!$F8,0),BaselineCalc!$B$7+ROUND(Scenarios!L8*Scenarios!$F8,0))</f>
        <v>257</v>
      </c>
      <c r="M35">
        <f>IF(Scenarios!$S8=1,BaselineCalc!$B$8*(1+Parameters_Public!$C43)^(IF($C35="FY2026",0,IF($C35="FY2027",1,IF($C35="FY2028",2,IF($C35="FY2029",3,IF($C35="FY2030",4,0))))))+Scenarios!L8-ROUND(Scenarios!L8*Scenarios!$F8,0),BaselineCalc!$B$8+Scenarios!L8-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c r="A36" t="str">
        <f t="shared" si="10"/>
        <v>A_Repurpose_Both_lease|FY2030</v>
      </c>
      <c r="B36" t="str">
        <f>Scenarios!A8</f>
        <v>A_Repurpose_Both_lease</v>
      </c>
      <c r="C36" t="s">
        <v>74</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IF(Scenarios!$R8=1,BaselineCalc!$B$7*(1+Parameters_Public!$C42)^(IF($C36="FY2026",0,IF($C36="FY2027",1,IF($C36="FY2028",2,IF($C36="FY2029",3,IF($C36="FY2030",4,0))))))+ROUND(Scenarios!M8*Scenarios!$F8,0),BaselineCalc!$B$7+ROUND(Scenarios!M8*Scenarios!$F8,0))</f>
        <v>257</v>
      </c>
      <c r="M36">
        <f>IF(Scenarios!$S8=1,BaselineCalc!$B$8*(1+Parameters_Public!$C43)^(IF($C36="FY2026",0,IF($C36="FY2027",1,IF($C36="FY2028",2,IF($C36="FY2029",3,IF($C36="FY2030",4,0))))))+Scenarios!M8-ROUND(Scenarios!M8*Scenarios!$F8,0),BaselineCalc!$B$8+Scenarios!M8-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c r="A37" t="str">
        <f t="shared" si="10"/>
        <v>A_Repurpose_Both_ops|FY2026</v>
      </c>
      <c r="B37" t="str">
        <f>Scenarios!A9</f>
        <v>A_Repurpose_Both_ops</v>
      </c>
      <c r="C37" t="s">
        <v>70</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IF(Scenarios!$R9=1,BaselineCalc!$B$7*(1+Parameters_Public!$C42)^(IF($C37="FY2026",0,IF($C37="FY2027",1,IF($C37="FY2028",2,IF($C37="FY2029",3,IF($C37="FY2030",4,0))))))+ROUND(Scenarios!I9*Scenarios!$F9,0),BaselineCalc!$B$7+ROUND(Scenarios!I9*Scenarios!$F9,0))</f>
        <v>257</v>
      </c>
      <c r="M37">
        <f>IF(Scenarios!$S9=1,BaselineCalc!$B$8*(1+Parameters_Public!$C43)^(IF($C37="FY2026",0,IF($C37="FY2027",1,IF($C37="FY2028",2,IF($C37="FY2029",3,IF($C37="FY2030",4,0))))))+Scenarios!I9-ROUND(Scenarios!I9*Scenarios!$F9,0),BaselineCalc!$B$8+Scenarios!I9-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c r="A38" t="str">
        <f t="shared" si="10"/>
        <v>A_Repurpose_Both_ops|FY2027</v>
      </c>
      <c r="B38" t="str">
        <f>Scenarios!A9</f>
        <v>A_Repurpose_Both_ops</v>
      </c>
      <c r="C38" t="s">
        <v>71</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IF(Scenarios!$R9=1,BaselineCalc!$B$7*(1+Parameters_Public!$C42)^(IF($C38="FY2026",0,IF($C38="FY2027",1,IF($C38="FY2028",2,IF($C38="FY2029",3,IF($C38="FY2030",4,0))))))+ROUND(Scenarios!J9*Scenarios!$F9,0),BaselineCalc!$B$7+ROUND(Scenarios!J9*Scenarios!$F9,0))</f>
        <v>257</v>
      </c>
      <c r="M38">
        <f>IF(Scenarios!$S9=1,BaselineCalc!$B$8*(1+Parameters_Public!$C43)^(IF($C38="FY2026",0,IF($C38="FY2027",1,IF($C38="FY2028",2,IF($C38="FY2029",3,IF($C38="FY2030",4,0))))))+Scenarios!J9-ROUND(Scenarios!J9*Scenarios!$F9,0),BaselineCalc!$B$8+Scenarios!J9-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c r="A39" t="str">
        <f t="shared" si="10"/>
        <v>A_Repurpose_Both_ops|FY2028</v>
      </c>
      <c r="B39" t="str">
        <f>Scenarios!A9</f>
        <v>A_Repurpose_Both_ops</v>
      </c>
      <c r="C39" t="s">
        <v>72</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IF(Scenarios!$R9=1,BaselineCalc!$B$7*(1+Parameters_Public!$C42)^(IF($C39="FY2026",0,IF($C39="FY2027",1,IF($C39="FY2028",2,IF($C39="FY2029",3,IF($C39="FY2030",4,0))))))+ROUND(Scenarios!K9*Scenarios!$F9,0),BaselineCalc!$B$7+ROUND(Scenarios!K9*Scenarios!$F9,0))</f>
        <v>257</v>
      </c>
      <c r="M39">
        <f>IF(Scenarios!$S9=1,BaselineCalc!$B$8*(1+Parameters_Public!$C43)^(IF($C39="FY2026",0,IF($C39="FY2027",1,IF($C39="FY2028",2,IF($C39="FY2029",3,IF($C39="FY2030",4,0))))))+Scenarios!K9-ROUND(Scenarios!K9*Scenarios!$F9,0),BaselineCalc!$B$8+Scenarios!K9-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c r="A40" t="str">
        <f t="shared" si="10"/>
        <v>A_Repurpose_Both_ops|FY2029</v>
      </c>
      <c r="B40" t="str">
        <f>Scenarios!A9</f>
        <v>A_Repurpose_Both_ops</v>
      </c>
      <c r="C40" t="s">
        <v>73</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IF(Scenarios!$R9=1,BaselineCalc!$B$7*(1+Parameters_Public!$C42)^(IF($C40="FY2026",0,IF($C40="FY2027",1,IF($C40="FY2028",2,IF($C40="FY2029",3,IF($C40="FY2030",4,0))))))+ROUND(Scenarios!L9*Scenarios!$F9,0),BaselineCalc!$B$7+ROUND(Scenarios!L9*Scenarios!$F9,0))</f>
        <v>257</v>
      </c>
      <c r="M40">
        <f>IF(Scenarios!$S9=1,BaselineCalc!$B$8*(1+Parameters_Public!$C43)^(IF($C40="FY2026",0,IF($C40="FY2027",1,IF($C40="FY2028",2,IF($C40="FY2029",3,IF($C40="FY2030",4,0))))))+Scenarios!L9-ROUND(Scenarios!L9*Scenarios!$F9,0),BaselineCalc!$B$8+Scenarios!L9-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c r="A41" t="str">
        <f t="shared" si="10"/>
        <v>A_Repurpose_Both_ops|FY2030</v>
      </c>
      <c r="B41" t="str">
        <f>Scenarios!A9</f>
        <v>A_Repurpose_Both_ops</v>
      </c>
      <c r="C41" t="s">
        <v>74</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IF(Scenarios!$R9=1,BaselineCalc!$B$7*(1+Parameters_Public!$C42)^(IF($C41="FY2026",0,IF($C41="FY2027",1,IF($C41="FY2028",2,IF($C41="FY2029",3,IF($C41="FY2030",4,0))))))+ROUND(Scenarios!M9*Scenarios!$F9,0),BaselineCalc!$B$7+ROUND(Scenarios!M9*Scenarios!$F9,0))</f>
        <v>257</v>
      </c>
      <c r="M41">
        <f>IF(Scenarios!$S9=1,BaselineCalc!$B$8*(1+Parameters_Public!$C43)^(IF($C41="FY2026",0,IF($C41="FY2027",1,IF($C41="FY2028",2,IF($C41="FY2029",3,IF($C41="FY2030",4,0))))))+Scenarios!M9-ROUND(Scenarios!M9*Scenarios!$F9,0),BaselineCalc!$B$8+Scenarios!M9-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c r="A42" t="str">
        <f t="shared" si="10"/>
        <v>B_Repurpose_Echo_lease_PimaTargets|FY2026</v>
      </c>
      <c r="B42" t="str">
        <f>Scenarios!A10</f>
        <v>B_Repurpose_Echo_lease_PimaTargets</v>
      </c>
      <c r="C42" t="s">
        <v>70</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IF(Scenarios!$R10=1,BaselineCalc!$B$7*(1+Parameters_Public!$C42)^(IF($C42="FY2026",0,IF($C42="FY2027",1,IF($C42="FY2028",2,IF($C42="FY2029",3,IF($C42="FY2030",4,0))))))+ROUND(Scenarios!I10*Scenarios!$F10,0),BaselineCalc!$B$7+ROUND(Scenarios!I10*Scenarios!$F10,0))</f>
        <v>257</v>
      </c>
      <c r="M42">
        <f>IF(Scenarios!$S10=1,BaselineCalc!$B$8*(1+Parameters_Public!$C43)^(IF($C42="FY2026",0,IF($C42="FY2027",1,IF($C42="FY2028",2,IF($C42="FY2029",3,IF($C42="FY2030",4,0))))))+Scenarios!I10-ROUND(Scenarios!I10*Scenarios!$F10,0),BaselineCalc!$B$8+Scenarios!I10-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c r="A43" t="str">
        <f t="shared" si="10"/>
        <v>B_Repurpose_Echo_lease_PimaTargets|FY2027</v>
      </c>
      <c r="B43" t="str">
        <f>Scenarios!A10</f>
        <v>B_Repurpose_Echo_lease_PimaTargets</v>
      </c>
      <c r="C43" t="s">
        <v>71</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IF(Scenarios!$R10=1,BaselineCalc!$B$7*(1+Parameters_Public!$C42)^(IF($C43="FY2026",0,IF($C43="FY2027",1,IF($C43="FY2028",2,IF($C43="FY2029",3,IF($C43="FY2030",4,0))))))+ROUND(Scenarios!J10*Scenarios!$F10,0),BaselineCalc!$B$7+ROUND(Scenarios!J10*Scenarios!$F10,0))</f>
        <v>257</v>
      </c>
      <c r="M43">
        <f>IF(Scenarios!$S10=1,BaselineCalc!$B$8*(1+Parameters_Public!$C43)^(IF($C43="FY2026",0,IF($C43="FY2027",1,IF($C43="FY2028",2,IF($C43="FY2029",3,IF($C43="FY2030",4,0))))))+Scenarios!J10-ROUND(Scenarios!J10*Scenarios!$F10,0),BaselineCalc!$B$8+Scenarios!J10-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c r="A44" t="str">
        <f t="shared" si="10"/>
        <v>B_Repurpose_Echo_lease_PimaTargets|FY2028</v>
      </c>
      <c r="B44" t="str">
        <f>Scenarios!A10</f>
        <v>B_Repurpose_Echo_lease_PimaTargets</v>
      </c>
      <c r="C44" t="s">
        <v>72</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IF(Scenarios!$R10=1,BaselineCalc!$B$7*(1+Parameters_Public!$C42)^(IF($C44="FY2026",0,IF($C44="FY2027",1,IF($C44="FY2028",2,IF($C44="FY2029",3,IF($C44="FY2030",4,0))))))+ROUND(Scenarios!K10*Scenarios!$F10,0),BaselineCalc!$B$7+ROUND(Scenarios!K10*Scenarios!$F10,0))</f>
        <v>257</v>
      </c>
      <c r="M44">
        <f>IF(Scenarios!$S10=1,BaselineCalc!$B$8*(1+Parameters_Public!$C43)^(IF($C44="FY2026",0,IF($C44="FY2027",1,IF($C44="FY2028",2,IF($C44="FY2029",3,IF($C44="FY2030",4,0))))))+Scenarios!K10-ROUND(Scenarios!K10*Scenarios!$F10,0),BaselineCalc!$B$8+Scenarios!K10-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c r="A45" t="str">
        <f t="shared" si="10"/>
        <v>B_Repurpose_Echo_lease_PimaTargets|FY2029</v>
      </c>
      <c r="B45" t="str">
        <f>Scenarios!A10</f>
        <v>B_Repurpose_Echo_lease_PimaTargets</v>
      </c>
      <c r="C45" t="s">
        <v>73</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IF(Scenarios!$R10=1,BaselineCalc!$B$7*(1+Parameters_Public!$C42)^(IF($C45="FY2026",0,IF($C45="FY2027",1,IF($C45="FY2028",2,IF($C45="FY2029",3,IF($C45="FY2030",4,0))))))+ROUND(Scenarios!L10*Scenarios!$F10,0),BaselineCalc!$B$7+ROUND(Scenarios!L10*Scenarios!$F10,0))</f>
        <v>257</v>
      </c>
      <c r="M45">
        <f>IF(Scenarios!$S10=1,BaselineCalc!$B$8*(1+Parameters_Public!$C43)^(IF($C45="FY2026",0,IF($C45="FY2027",1,IF($C45="FY2028",2,IF($C45="FY2029",3,IF($C45="FY2030",4,0))))))+Scenarios!L10-ROUND(Scenarios!L10*Scenarios!$F10,0),BaselineCalc!$B$8+Scenarios!L10-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c r="A46" t="str">
        <f t="shared" si="10"/>
        <v>B_Repurpose_Echo_lease_PimaTargets|FY2030</v>
      </c>
      <c r="B46" t="str">
        <f>Scenarios!A10</f>
        <v>B_Repurpose_Echo_lease_PimaTargets</v>
      </c>
      <c r="C46" t="s">
        <v>74</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IF(Scenarios!$R10=1,BaselineCalc!$B$7*(1+Parameters_Public!$C42)^(IF($C46="FY2026",0,IF($C46="FY2027",1,IF($C46="FY2028",2,IF($C46="FY2029",3,IF($C46="FY2030",4,0))))))+ROUND(Scenarios!M10*Scenarios!$F10,0),BaselineCalc!$B$7+ROUND(Scenarios!M10*Scenarios!$F10,0))</f>
        <v>257</v>
      </c>
      <c r="M46">
        <f>IF(Scenarios!$S10=1,BaselineCalc!$B$8*(1+Parameters_Public!$C43)^(IF($C46="FY2026",0,IF($C46="FY2027",1,IF($C46="FY2028",2,IF($C46="FY2029",3,IF($C46="FY2030",4,0))))))+Scenarios!M10-ROUND(Scenarios!M10*Scenarios!$F10,0),BaselineCalc!$B$8+Scenarios!M10-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c r="A47" t="str">
        <f t="shared" si="10"/>
        <v>B_Repurpose_Echo_ops_PimaTargets|FY2026</v>
      </c>
      <c r="B47" t="str">
        <f>Scenarios!A11</f>
        <v>B_Repurpose_Echo_ops_PimaTargets</v>
      </c>
      <c r="C47" t="s">
        <v>70</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IF(Scenarios!$R11=1,BaselineCalc!$B$7*(1+Parameters_Public!$C42)^(IF($C47="FY2026",0,IF($C47="FY2027",1,IF($C47="FY2028",2,IF($C47="FY2029",3,IF($C47="FY2030",4,0))))))+ROUND(Scenarios!I11*Scenarios!$F11,0),BaselineCalc!$B$7+ROUND(Scenarios!I11*Scenarios!$F11,0))</f>
        <v>257</v>
      </c>
      <c r="M47">
        <f>IF(Scenarios!$S11=1,BaselineCalc!$B$8*(1+Parameters_Public!$C43)^(IF($C47="FY2026",0,IF($C47="FY2027",1,IF($C47="FY2028",2,IF($C47="FY2029",3,IF($C47="FY2030",4,0))))))+Scenarios!I11-ROUND(Scenarios!I11*Scenarios!$F11,0),BaselineCalc!$B$8+Scenarios!I11-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c r="A48" t="str">
        <f t="shared" si="10"/>
        <v>B_Repurpose_Echo_ops_PimaTargets|FY2027</v>
      </c>
      <c r="B48" t="str">
        <f>Scenarios!A11</f>
        <v>B_Repurpose_Echo_ops_PimaTargets</v>
      </c>
      <c r="C48" t="s">
        <v>71</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IF(Scenarios!$R11=1,BaselineCalc!$B$7*(1+Parameters_Public!$C42)^(IF($C48="FY2026",0,IF($C48="FY2027",1,IF($C48="FY2028",2,IF($C48="FY2029",3,IF($C48="FY2030",4,0))))))+ROUND(Scenarios!J11*Scenarios!$F11,0),BaselineCalc!$B$7+ROUND(Scenarios!J11*Scenarios!$F11,0))</f>
        <v>257</v>
      </c>
      <c r="M48">
        <f>IF(Scenarios!$S11=1,BaselineCalc!$B$8*(1+Parameters_Public!$C43)^(IF($C48="FY2026",0,IF($C48="FY2027",1,IF($C48="FY2028",2,IF($C48="FY2029",3,IF($C48="FY2030",4,0))))))+Scenarios!J11-ROUND(Scenarios!J11*Scenarios!$F11,0),BaselineCalc!$B$8+Scenarios!J11-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c r="A49" t="str">
        <f t="shared" si="10"/>
        <v>B_Repurpose_Echo_ops_PimaTargets|FY2028</v>
      </c>
      <c r="B49" t="str">
        <f>Scenarios!A11</f>
        <v>B_Repurpose_Echo_ops_PimaTargets</v>
      </c>
      <c r="C49" t="s">
        <v>72</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IF(Scenarios!$R11=1,BaselineCalc!$B$7*(1+Parameters_Public!$C42)^(IF($C49="FY2026",0,IF($C49="FY2027",1,IF($C49="FY2028",2,IF($C49="FY2029",3,IF($C49="FY2030",4,0))))))+ROUND(Scenarios!K11*Scenarios!$F11,0),BaselineCalc!$B$7+ROUND(Scenarios!K11*Scenarios!$F11,0))</f>
        <v>257</v>
      </c>
      <c r="M49">
        <f>IF(Scenarios!$S11=1,BaselineCalc!$B$8*(1+Parameters_Public!$C43)^(IF($C49="FY2026",0,IF($C49="FY2027",1,IF($C49="FY2028",2,IF($C49="FY2029",3,IF($C49="FY2030",4,0))))))+Scenarios!K11-ROUND(Scenarios!K11*Scenarios!$F11,0),BaselineCalc!$B$8+Scenarios!K11-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c r="A50" t="str">
        <f t="shared" si="10"/>
        <v>B_Repurpose_Echo_ops_PimaTargets|FY2029</v>
      </c>
      <c r="B50" t="str">
        <f>Scenarios!A11</f>
        <v>B_Repurpose_Echo_ops_PimaTargets</v>
      </c>
      <c r="C50" t="s">
        <v>73</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IF(Scenarios!$R11=1,BaselineCalc!$B$7*(1+Parameters_Public!$C42)^(IF($C50="FY2026",0,IF($C50="FY2027",1,IF($C50="FY2028",2,IF($C50="FY2029",3,IF($C50="FY2030",4,0))))))+ROUND(Scenarios!L11*Scenarios!$F11,0),BaselineCalc!$B$7+ROUND(Scenarios!L11*Scenarios!$F11,0))</f>
        <v>257</v>
      </c>
      <c r="M50">
        <f>IF(Scenarios!$S11=1,BaselineCalc!$B$8*(1+Parameters_Public!$C43)^(IF($C50="FY2026",0,IF($C50="FY2027",1,IF($C50="FY2028",2,IF($C50="FY2029",3,IF($C50="FY2030",4,0))))))+Scenarios!L11-ROUND(Scenarios!L11*Scenarios!$F11,0),BaselineCalc!$B$8+Scenarios!L11-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c r="A51" t="str">
        <f t="shared" si="10"/>
        <v>B_Repurpose_Echo_ops_PimaTargets|FY2030</v>
      </c>
      <c r="B51" t="str">
        <f>Scenarios!A11</f>
        <v>B_Repurpose_Echo_ops_PimaTargets</v>
      </c>
      <c r="C51" t="s">
        <v>74</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IF(Scenarios!$R11=1,BaselineCalc!$B$7*(1+Parameters_Public!$C42)^(IF($C51="FY2026",0,IF($C51="FY2027",1,IF($C51="FY2028",2,IF($C51="FY2029",3,IF($C51="FY2030",4,0))))))+ROUND(Scenarios!M11*Scenarios!$F11,0),BaselineCalc!$B$7+ROUND(Scenarios!M11*Scenarios!$F11,0))</f>
        <v>257</v>
      </c>
      <c r="M51">
        <f>IF(Scenarios!$S11=1,BaselineCalc!$B$8*(1+Parameters_Public!$C43)^(IF($C51="FY2026",0,IF($C51="FY2027",1,IF($C51="FY2028",2,IF($C51="FY2029",3,IF($C51="FY2030",4,0))))))+Scenarios!M11-ROUND(Scenarios!M11*Scenarios!$F11,0),BaselineCalc!$B$8+Scenarios!M11-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c r="A52" t="str">
        <f t="shared" si="10"/>
        <v>C_Repurpose_Pima_lease_EchoGHub_EchoTargets|FY2026</v>
      </c>
      <c r="B52" t="str">
        <f>Scenarios!A12</f>
        <v>C_Repurpose_Pima_lease_EchoGHub_EchoTargets</v>
      </c>
      <c r="C52" t="s">
        <v>70</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IF(Scenarios!$R12=1,BaselineCalc!$B$7*(1+Parameters_Public!$C42)^(IF($C52="FY2026",0,IF($C52="FY2027",1,IF($C52="FY2028",2,IF($C52="FY2029",3,IF($C52="FY2030",4,0))))))+ROUND(Scenarios!I12*Scenarios!$F12,0),BaselineCalc!$B$7+ROUND(Scenarios!I12*Scenarios!$F12,0))</f>
        <v>257</v>
      </c>
      <c r="M52">
        <f>IF(Scenarios!$S12=1,BaselineCalc!$B$8*(1+Parameters_Public!$C43)^(IF($C52="FY2026",0,IF($C52="FY2027",1,IF($C52="FY2028",2,IF($C52="FY2029",3,IF($C52="FY2030",4,0))))))+Scenarios!I12-ROUND(Scenarios!I12*Scenarios!$F12,0),BaselineCalc!$B$8+Scenarios!I12-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c r="A53" t="str">
        <f t="shared" si="10"/>
        <v>C_Repurpose_Pima_lease_EchoGHub_EchoTargets|FY2027</v>
      </c>
      <c r="B53" t="str">
        <f>Scenarios!A12</f>
        <v>C_Repurpose_Pima_lease_EchoGHub_EchoTargets</v>
      </c>
      <c r="C53" t="s">
        <v>71</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IF(Scenarios!$R12=1,BaselineCalc!$B$7*(1+Parameters_Public!$C42)^(IF($C53="FY2026",0,IF($C53="FY2027",1,IF($C53="FY2028",2,IF($C53="FY2029",3,IF($C53="FY2030",4,0))))))+ROUND(Scenarios!J12*Scenarios!$F12,0),BaselineCalc!$B$7+ROUND(Scenarios!J12*Scenarios!$F12,0))</f>
        <v>257</v>
      </c>
      <c r="M53">
        <f>IF(Scenarios!$S12=1,BaselineCalc!$B$8*(1+Parameters_Public!$C43)^(IF($C53="FY2026",0,IF($C53="FY2027",1,IF($C53="FY2028",2,IF($C53="FY2029",3,IF($C53="FY2030",4,0))))))+Scenarios!J12-ROUND(Scenarios!J12*Scenarios!$F12,0),BaselineCalc!$B$8+Scenarios!J12-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c r="A54" t="str">
        <f t="shared" si="10"/>
        <v>C_Repurpose_Pima_lease_EchoGHub_EchoTargets|FY2028</v>
      </c>
      <c r="B54" t="str">
        <f>Scenarios!A12</f>
        <v>C_Repurpose_Pima_lease_EchoGHub_EchoTargets</v>
      </c>
      <c r="C54" t="s">
        <v>72</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IF(Scenarios!$R12=1,BaselineCalc!$B$7*(1+Parameters_Public!$C42)^(IF($C54="FY2026",0,IF($C54="FY2027",1,IF($C54="FY2028",2,IF($C54="FY2029",3,IF($C54="FY2030",4,0))))))+ROUND(Scenarios!K12*Scenarios!$F12,0),BaselineCalc!$B$7+ROUND(Scenarios!K12*Scenarios!$F12,0))</f>
        <v>257</v>
      </c>
      <c r="M54">
        <f>IF(Scenarios!$S12=1,BaselineCalc!$B$8*(1+Parameters_Public!$C43)^(IF($C54="FY2026",0,IF($C54="FY2027",1,IF($C54="FY2028",2,IF($C54="FY2029",3,IF($C54="FY2030",4,0))))))+Scenarios!K12-ROUND(Scenarios!K12*Scenarios!$F12,0),BaselineCalc!$B$8+Scenarios!K12-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c r="A55" t="str">
        <f t="shared" si="10"/>
        <v>C_Repurpose_Pima_lease_EchoGHub_EchoTargets|FY2029</v>
      </c>
      <c r="B55" t="str">
        <f>Scenarios!A12</f>
        <v>C_Repurpose_Pima_lease_EchoGHub_EchoTargets</v>
      </c>
      <c r="C55" t="s">
        <v>73</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IF(Scenarios!$R12=1,BaselineCalc!$B$7*(1+Parameters_Public!$C42)^(IF($C55="FY2026",0,IF($C55="FY2027",1,IF($C55="FY2028",2,IF($C55="FY2029",3,IF($C55="FY2030",4,0))))))+ROUND(Scenarios!L12*Scenarios!$F12,0),BaselineCalc!$B$7+ROUND(Scenarios!L12*Scenarios!$F12,0))</f>
        <v>257</v>
      </c>
      <c r="M55">
        <f>IF(Scenarios!$S12=1,BaselineCalc!$B$8*(1+Parameters_Public!$C43)^(IF($C55="FY2026",0,IF($C55="FY2027",1,IF($C55="FY2028",2,IF($C55="FY2029",3,IF($C55="FY2030",4,0))))))+Scenarios!L12-ROUND(Scenarios!L12*Scenarios!$F12,0),BaselineCalc!$B$8+Scenarios!L12-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c r="A56" t="str">
        <f t="shared" si="10"/>
        <v>C_Repurpose_Pima_lease_EchoGHub_EchoTargets|FY2030</v>
      </c>
      <c r="B56" t="str">
        <f>Scenarios!A12</f>
        <v>C_Repurpose_Pima_lease_EchoGHub_EchoTargets</v>
      </c>
      <c r="C56" t="s">
        <v>74</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IF(Scenarios!$R12=1,BaselineCalc!$B$7*(1+Parameters_Public!$C42)^(IF($C56="FY2026",0,IF($C56="FY2027",1,IF($C56="FY2028",2,IF($C56="FY2029",3,IF($C56="FY2030",4,0))))))+ROUND(Scenarios!M12*Scenarios!$F12,0),BaselineCalc!$B$7+ROUND(Scenarios!M12*Scenarios!$F12,0))</f>
        <v>257</v>
      </c>
      <c r="M56">
        <f>IF(Scenarios!$S12=1,BaselineCalc!$B$8*(1+Parameters_Public!$C43)^(IF($C56="FY2026",0,IF($C56="FY2027",1,IF($C56="FY2028",2,IF($C56="FY2029",3,IF($C56="FY2030",4,0))))))+Scenarios!M12-ROUND(Scenarios!M12*Scenarios!$F12,0),BaselineCalc!$B$8+Scenarios!M12-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c r="A57" t="str">
        <f t="shared" si="10"/>
        <v>C_Repurpose_Pima_ops_EchoGHub_EchoTargets|FY2026</v>
      </c>
      <c r="B57" t="str">
        <f>Scenarios!A13</f>
        <v>C_Repurpose_Pima_ops_EchoGHub_EchoTargets</v>
      </c>
      <c r="C57" t="s">
        <v>70</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IF(Scenarios!$R13=1,BaselineCalc!$B$7*(1+Parameters_Public!$C42)^(IF($C57="FY2026",0,IF($C57="FY2027",1,IF($C57="FY2028",2,IF($C57="FY2029",3,IF($C57="FY2030",4,0))))))+ROUND(Scenarios!I13*Scenarios!$F13,0),BaselineCalc!$B$7+ROUND(Scenarios!I13*Scenarios!$F13,0))</f>
        <v>457</v>
      </c>
      <c r="M57">
        <f>IF(Scenarios!$S13=1,BaselineCalc!$B$8*(1+Parameters_Public!$C43)^(IF($C57="FY2026",0,IF($C57="FY2027",1,IF($C57="FY2028",2,IF($C57="FY2029",3,IF($C57="FY2030",4,0))))))+Scenarios!I13-ROUND(Scenarios!I13*Scenarios!$F13,0),BaselineCalc!$B$8+Scenarios!I13-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c r="A58" t="str">
        <f t="shared" si="10"/>
        <v>C_Repurpose_Pima_ops_EchoGHub_EchoTargets|FY2027</v>
      </c>
      <c r="B58" t="str">
        <f>Scenarios!A13</f>
        <v>C_Repurpose_Pima_ops_EchoGHub_EchoTargets</v>
      </c>
      <c r="C58" t="s">
        <v>71</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IF(Scenarios!$R13=1,BaselineCalc!$B$7*(1+Parameters_Public!$C42)^(IF($C58="FY2026",0,IF($C58="FY2027",1,IF($C58="FY2028",2,IF($C58="FY2029",3,IF($C58="FY2030",4,0))))))+ROUND(Scenarios!J13*Scenarios!$F13,0),BaselineCalc!$B$7+ROUND(Scenarios!J13*Scenarios!$F13,0))</f>
        <v>457</v>
      </c>
      <c r="M58">
        <f>IF(Scenarios!$S13=1,BaselineCalc!$B$8*(1+Parameters_Public!$C43)^(IF($C58="FY2026",0,IF($C58="FY2027",1,IF($C58="FY2028",2,IF($C58="FY2029",3,IF($C58="FY2030",4,0))))))+Scenarios!J13-ROUND(Scenarios!J13*Scenarios!$F13,0),BaselineCalc!$B$8+Scenarios!J13-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c r="A59" t="str">
        <f t="shared" si="10"/>
        <v>C_Repurpose_Pima_ops_EchoGHub_EchoTargets|FY2028</v>
      </c>
      <c r="B59" t="str">
        <f>Scenarios!A13</f>
        <v>C_Repurpose_Pima_ops_EchoGHub_EchoTargets</v>
      </c>
      <c r="C59" t="s">
        <v>72</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IF(Scenarios!$R13=1,BaselineCalc!$B$7*(1+Parameters_Public!$C42)^(IF($C59="FY2026",0,IF($C59="FY2027",1,IF($C59="FY2028",2,IF($C59="FY2029",3,IF($C59="FY2030",4,0))))))+ROUND(Scenarios!K13*Scenarios!$F13,0),BaselineCalc!$B$7+ROUND(Scenarios!K13*Scenarios!$F13,0))</f>
        <v>457</v>
      </c>
      <c r="M59">
        <f>IF(Scenarios!$S13=1,BaselineCalc!$B$8*(1+Parameters_Public!$C43)^(IF($C59="FY2026",0,IF($C59="FY2027",1,IF($C59="FY2028",2,IF($C59="FY2029",3,IF($C59="FY2030",4,0))))))+Scenarios!K13-ROUND(Scenarios!K13*Scenarios!$F13,0),BaselineCalc!$B$8+Scenarios!K13-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c r="A60" t="str">
        <f t="shared" si="10"/>
        <v>C_Repurpose_Pima_ops_EchoGHub_EchoTargets|FY2029</v>
      </c>
      <c r="B60" t="str">
        <f>Scenarios!A13</f>
        <v>C_Repurpose_Pima_ops_EchoGHub_EchoTargets</v>
      </c>
      <c r="C60" t="s">
        <v>73</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IF(Scenarios!$R13=1,BaselineCalc!$B$7*(1+Parameters_Public!$C42)^(IF($C60="FY2026",0,IF($C60="FY2027",1,IF($C60="FY2028",2,IF($C60="FY2029",3,IF($C60="FY2030",4,0))))))+ROUND(Scenarios!L13*Scenarios!$F13,0),BaselineCalc!$B$7+ROUND(Scenarios!L13*Scenarios!$F13,0))</f>
        <v>457</v>
      </c>
      <c r="M60">
        <f>IF(Scenarios!$S13=1,BaselineCalc!$B$8*(1+Parameters_Public!$C43)^(IF($C60="FY2026",0,IF($C60="FY2027",1,IF($C60="FY2028",2,IF($C60="FY2029",3,IF($C60="FY2030",4,0))))))+Scenarios!L13-ROUND(Scenarios!L13*Scenarios!$F13,0),BaselineCalc!$B$8+Scenarios!L13-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c r="A61" t="str">
        <f t="shared" si="10"/>
        <v>C_Repurpose_Pima_ops_EchoGHub_EchoTargets|FY2030</v>
      </c>
      <c r="B61" t="str">
        <f>Scenarios!A13</f>
        <v>C_Repurpose_Pima_ops_EchoGHub_EchoTargets</v>
      </c>
      <c r="C61" t="s">
        <v>74</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IF(Scenarios!$R13=1,BaselineCalc!$B$7*(1+Parameters_Public!$C42)^(IF($C61="FY2026",0,IF($C61="FY2027",1,IF($C61="FY2028",2,IF($C61="FY2029",3,IF($C61="FY2030",4,0))))))+ROUND(Scenarios!M13*Scenarios!$F13,0),BaselineCalc!$B$7+ROUND(Scenarios!M13*Scenarios!$F13,0))</f>
        <v>457</v>
      </c>
      <c r="M61">
        <f>IF(Scenarios!$S13=1,BaselineCalc!$B$8*(1+Parameters_Public!$C43)^(IF($C61="FY2026",0,IF($C61="FY2027",1,IF($C61="FY2028",2,IF($C61="FY2029",3,IF($C61="FY2030",4,0))))))+Scenarios!M13-ROUND(Scenarios!M13*Scenarios!$F13,0),BaselineCalc!$B$8+Scenarios!M13-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row r="62" spans="1:33">
      <c r="A62" t="str">
        <f t="shared" si="10"/>
        <v>H_StatusQuo_Decline|FY2026</v>
      </c>
      <c r="B62" t="str">
        <f>Scenarios!A14</f>
        <v>H_StatusQuo_Decline</v>
      </c>
      <c r="C62" t="s">
        <v>70</v>
      </c>
      <c r="D62">
        <f>IF(Scenarios!D14=1,0, L62)</f>
        <v>257</v>
      </c>
      <c r="E62">
        <f>IF(Scenarios!E14=1,0, M62)</f>
        <v>296</v>
      </c>
      <c r="F62">
        <f t="shared" si="11"/>
        <v>553</v>
      </c>
      <c r="G62" s="2">
        <f>YearMap!B2</f>
        <v>6414.5114999999987</v>
      </c>
      <c r="H62" s="2">
        <f>YearMap!C2</f>
        <v>1404302.8695</v>
      </c>
      <c r="I62" s="2">
        <f>YearMap!D2</f>
        <v>1617407.196</v>
      </c>
      <c r="J62">
        <f>1-BaselineCalc!$B$5</f>
        <v>0.99299999999999999</v>
      </c>
      <c r="K62">
        <f>Scenarios!G14</f>
        <v>0</v>
      </c>
      <c r="L62">
        <f>IF(Scenarios!$R14=1,BaselineCalc!$B$7*(1+Parameters_Public!$C42)^(IF($C62="FY2026",0,IF($C62="FY2027",1,IF($C62="FY2028",2,IF($C62="FY2029",3,IF($C62="FY2030",4,0))))))+ROUND(Scenarios!I14*Scenarios!$F14,0),BaselineCalc!$B$7+ROUND(Scenarios!I14*Scenarios!$F14,0))</f>
        <v>257</v>
      </c>
      <c r="M62">
        <f>IF(Scenarios!$S14=1,BaselineCalc!$B$8*(1+Parameters_Public!$C43)^(IF($C62="FY2026",0,IF($C62="FY2027",1,IF($C62="FY2028",2,IF($C62="FY2029",3,IF($C62="FY2030",4,0))))))+Scenarios!I14-ROUND(Scenarios!I14*Scenarios!$F14,0),BaselineCalc!$B$8+Scenarios!I14-ROUND(Scenarios!I14*Scenarios!$F14,0))</f>
        <v>296</v>
      </c>
      <c r="N62" s="11">
        <f t="shared" si="12"/>
        <v>0</v>
      </c>
      <c r="O62" s="11">
        <f>(Parameters_Public!$C$22*(L62-D62)+Parameters_Public!$C$23*(M62-E62))</f>
        <v>0</v>
      </c>
      <c r="P62">
        <f>YearMap!E2</f>
        <v>1000</v>
      </c>
      <c r="Q62">
        <f>IF(Scenarios!N14="lease", YearMap!F2, YearMap!G2)</f>
        <v>0.5</v>
      </c>
      <c r="R62" s="2">
        <f>IF(Scenarios!D14=1, Q62*H62, H62)</f>
        <v>1404302.8695</v>
      </c>
      <c r="S62" s="2">
        <f>IF(Scenarios!E14=1, Q62*I62, I62)</f>
        <v>1617407.196</v>
      </c>
      <c r="T62" s="2">
        <f>IF(C62="FY2026", (Scenarios!D14+Scenarios!E14)*BaselineCalc!$B$22, 0)</f>
        <v>0</v>
      </c>
      <c r="U62" s="2">
        <f t="shared" si="13"/>
        <v>6522952.3805249985</v>
      </c>
      <c r="V62" s="2">
        <f t="shared" si="14"/>
        <v>0</v>
      </c>
      <c r="W62" s="2">
        <f>U62+V62+IF(Parameters_Public!$C$26=1, T62, 0)</f>
        <v>6522952.3805249985</v>
      </c>
      <c r="X62" s="2">
        <f t="shared" si="15"/>
        <v>11795.573924999997</v>
      </c>
      <c r="Y62" s="2">
        <f>INDEX(YearMap!$I$2:$I$6, MATCH(C62, YearMap!$A$2:$A$6, 0))</f>
        <v>5013</v>
      </c>
      <c r="Z62" s="2">
        <f>W62 - ((Y62 + IF(Parameters_Public!$C$20=1, Parameters_Public!$C$19, 0))*AC62)</f>
        <v>3334935.0305249984</v>
      </c>
      <c r="AA62" s="2">
        <f t="shared" si="16"/>
        <v>6030.6239249999971</v>
      </c>
      <c r="AB62">
        <f>MAX(0, (MAX(0, $D62-BaselineCalc!$B$7) + MAX(0, $E62-BaselineCalc!$B$8)))</f>
        <v>0</v>
      </c>
      <c r="AC62">
        <f t="shared" si="17"/>
        <v>553</v>
      </c>
      <c r="AD62" s="2">
        <f>(Y62 + IF(Parameters_Public!$C$20=1, Parameters_Public!$C$19, 0))*AC62</f>
        <v>3188017.35</v>
      </c>
      <c r="AE62" s="2">
        <f>W62 - (1-Other_Parameters!$B$2)*$G62*$AB62*$J62*(1-$K62)</f>
        <v>6522952.3805249985</v>
      </c>
      <c r="AF62" s="2">
        <f t="shared" si="18"/>
        <v>-3334935.0305249984</v>
      </c>
      <c r="AG62" t="str">
        <f t="shared" si="19"/>
        <v>H_StatusQuo_Decline|FY2026</v>
      </c>
    </row>
    <row r="63" spans="1:33">
      <c r="A63" t="str">
        <f t="shared" si="10"/>
        <v>H_StatusQuo_Decline|FY2027</v>
      </c>
      <c r="B63" t="str">
        <f>Scenarios!A14</f>
        <v>H_StatusQuo_Decline</v>
      </c>
      <c r="C63" t="s">
        <v>71</v>
      </c>
      <c r="D63" s="11">
        <f>IF(Scenarios!D14=1,0, L63)</f>
        <v>257</v>
      </c>
      <c r="E63" s="11">
        <f>IF(Scenarios!E14=1,0, M63)</f>
        <v>296</v>
      </c>
      <c r="F63" s="11">
        <f t="shared" si="11"/>
        <v>553</v>
      </c>
      <c r="G63" s="2">
        <f>YearMap!B3</f>
        <v>6574.8742874999989</v>
      </c>
      <c r="H63" s="2">
        <f>YearMap!C3</f>
        <v>1439410.4412375002</v>
      </c>
      <c r="I63" s="2">
        <f>YearMap!D3</f>
        <v>1657842.3759000003</v>
      </c>
      <c r="J63">
        <f>1-BaselineCalc!$B$5</f>
        <v>0.99299999999999999</v>
      </c>
      <c r="K63">
        <f>Scenarios!G14</f>
        <v>0</v>
      </c>
      <c r="L63" s="11">
        <f>IF(Scenarios!$R14=1,BaselineCalc!$B$7*(1+Parameters_Public!$C42)^(IF($C63="FY2026",0,IF($C63="FY2027",1,IF($C63="FY2028",2,IF($C63="FY2029",3,IF($C63="FY2030",4,0))))))+ROUND(Scenarios!J14*Scenarios!$F14,0),BaselineCalc!$B$7+ROUND(Scenarios!J14*Scenarios!$F14,0))</f>
        <v>257</v>
      </c>
      <c r="M63" s="11">
        <f>IF(Scenarios!$S14=1,BaselineCalc!$B$8*(1+Parameters_Public!$C43)^(IF($C63="FY2026",0,IF($C63="FY2027",1,IF($C63="FY2028",2,IF($C63="FY2029",3,IF($C63="FY2030",4,0))))))+Scenarios!J14-ROUND(Scenarios!J14*Scenarios!$F14,0),BaselineCalc!$B$8+Scenarios!J14-ROUND(Scenarios!J14*Scenarios!$F14,0))</f>
        <v>296</v>
      </c>
      <c r="N63" s="11">
        <f t="shared" si="12"/>
        <v>0</v>
      </c>
      <c r="O63" s="11">
        <f>(Parameters_Public!$C$22*(L63-D63)+Parameters_Public!$C$23*(M63-E63))</f>
        <v>0</v>
      </c>
      <c r="P63">
        <f>YearMap!E3</f>
        <v>800</v>
      </c>
      <c r="Q63">
        <f>IF(Scenarios!N14="lease", YearMap!F3, YearMap!G3)</f>
        <v>0.4</v>
      </c>
      <c r="R63" s="2">
        <f>IF(Scenarios!D14=1, Q63*H63, H63)</f>
        <v>1439410.4412375002</v>
      </c>
      <c r="S63" s="2">
        <f>IF(Scenarios!E14=1, Q63*I63, I63)</f>
        <v>1657842.3759000003</v>
      </c>
      <c r="T63" s="2">
        <f>IF(C63="FY2026", (Scenarios!D14+Scenarios!E14)*BaselineCalc!$B$22, 0)</f>
        <v>0</v>
      </c>
      <c r="U63" s="2">
        <f t="shared" si="13"/>
        <v>6686026.190038125</v>
      </c>
      <c r="V63" s="2">
        <f t="shared" si="14"/>
        <v>0</v>
      </c>
      <c r="W63" s="2">
        <f>U63+V63+IF(Parameters_Public!$C$26=1, T63, 0)</f>
        <v>6686026.190038125</v>
      </c>
      <c r="X63" s="2">
        <f t="shared" si="15"/>
        <v>12090.463273125</v>
      </c>
      <c r="Y63" s="2">
        <f>INDEX(YearMap!$I$2:$I$6, MATCH(C63, YearMap!$A$2:$A$6, 0))</f>
        <v>5113.26</v>
      </c>
      <c r="Z63" s="2">
        <f>W63 - ((Y63 + IF(Parameters_Public!$C$20=1, Parameters_Public!$C$19, 0))*AC63)</f>
        <v>3442565.0600381251</v>
      </c>
      <c r="AA63" s="2">
        <f t="shared" si="16"/>
        <v>6225.2532731250003</v>
      </c>
      <c r="AB63">
        <f>MAX(0, (MAX(0, $D63-BaselineCalc!$B$7) + MAX(0, $E63-BaselineCalc!$B$8)))</f>
        <v>0</v>
      </c>
      <c r="AC63">
        <f t="shared" si="17"/>
        <v>553</v>
      </c>
      <c r="AD63" s="2">
        <f>(Y63 + IF(Parameters_Public!$C$20=1, Parameters_Public!$C$19, 0))*AC63</f>
        <v>3243461.13</v>
      </c>
      <c r="AE63" s="2">
        <f>W63 - (1-Other_Parameters!$B$2)*$G63*$AB63*$J63*(1-$K63)</f>
        <v>6686026.190038125</v>
      </c>
      <c r="AF63" s="2">
        <f t="shared" si="18"/>
        <v>-3442565.0600381251</v>
      </c>
      <c r="AG63" t="str">
        <f t="shared" si="19"/>
        <v>H_StatusQuo_Decline|FY2027</v>
      </c>
    </row>
    <row r="64" spans="1:33">
      <c r="A64" t="str">
        <f t="shared" si="10"/>
        <v>H_StatusQuo_Decline|FY2028</v>
      </c>
      <c r="B64" t="str">
        <f>Scenarios!A14</f>
        <v>H_StatusQuo_Decline</v>
      </c>
      <c r="C64" t="s">
        <v>72</v>
      </c>
      <c r="D64" s="11">
        <f>IF(Scenarios!D14=1,0, L64)</f>
        <v>257</v>
      </c>
      <c r="E64" s="11">
        <f>IF(Scenarios!E14=1,0, M64)</f>
        <v>296</v>
      </c>
      <c r="F64" s="11">
        <f t="shared" si="11"/>
        <v>553</v>
      </c>
      <c r="G64" s="2">
        <f>YearMap!B4</f>
        <v>6739.2461446874986</v>
      </c>
      <c r="H64" s="2">
        <f>YearMap!C4</f>
        <v>1475395.7022684375</v>
      </c>
      <c r="I64" s="2">
        <f>YearMap!D4</f>
        <v>1699288.4352975001</v>
      </c>
      <c r="J64">
        <f>1-BaselineCalc!$B$5</f>
        <v>0.99299999999999999</v>
      </c>
      <c r="K64">
        <f>Scenarios!G14</f>
        <v>0</v>
      </c>
      <c r="L64" s="11">
        <f>IF(Scenarios!$R14=1,BaselineCalc!$B$7*(1+Parameters_Public!$C42)^(IF($C64="FY2026",0,IF($C64="FY2027",1,IF($C64="FY2028",2,IF($C64="FY2029",3,IF($C64="FY2030",4,0))))))+ROUND(Scenarios!K14*Scenarios!$F14,0),BaselineCalc!$B$7+ROUND(Scenarios!K14*Scenarios!$F14,0))</f>
        <v>257</v>
      </c>
      <c r="M64" s="11">
        <f>IF(Scenarios!$S14=1,BaselineCalc!$B$8*(1+Parameters_Public!$C43)^(IF($C64="FY2026",0,IF($C64="FY2027",1,IF($C64="FY2028",2,IF($C64="FY2029",3,IF($C64="FY2030",4,0))))))+Scenarios!K14-ROUND(Scenarios!K14*Scenarios!$F14,0),BaselineCalc!$B$8+Scenarios!K14-ROUND(Scenarios!K14*Scenarios!$F14,0))</f>
        <v>296</v>
      </c>
      <c r="N64" s="11">
        <f t="shared" si="12"/>
        <v>0</v>
      </c>
      <c r="O64" s="11">
        <f>(Parameters_Public!$C$22*(L64-D64)+Parameters_Public!$C$23*(M64-E64))</f>
        <v>0</v>
      </c>
      <c r="P64">
        <f>YearMap!E4</f>
        <v>600</v>
      </c>
      <c r="Q64">
        <f>IF(Scenarios!N14="lease", YearMap!F4, YearMap!G4)</f>
        <v>0.35</v>
      </c>
      <c r="R64" s="2">
        <f>IF(Scenarios!D14=1, Q64*H64, H64)</f>
        <v>1475395.7022684375</v>
      </c>
      <c r="S64" s="2">
        <f>IF(Scenarios!E14=1, Q64*I64, I64)</f>
        <v>1699288.4352975001</v>
      </c>
      <c r="T64" s="2">
        <f>IF(C64="FY2026", (Scenarios!D14+Scenarios!E14)*BaselineCalc!$B$22, 0)</f>
        <v>0</v>
      </c>
      <c r="U64" s="2">
        <f t="shared" si="13"/>
        <v>6853176.8447890775</v>
      </c>
      <c r="V64" s="2">
        <f t="shared" si="14"/>
        <v>0</v>
      </c>
      <c r="W64" s="2">
        <f>U64+V64+IF(Parameters_Public!$C$26=1, T64, 0)</f>
        <v>6853176.8447890775</v>
      </c>
      <c r="X64" s="2">
        <f t="shared" si="15"/>
        <v>12392.724854953123</v>
      </c>
      <c r="Y64" s="2">
        <f>INDEX(YearMap!$I$2:$I$6, MATCH(C64, YearMap!$A$2:$A$6, 0))</f>
        <v>5215.5252</v>
      </c>
      <c r="Z64" s="2">
        <f>W64 - ((Y64 + IF(Parameters_Public!$C$20=1, Parameters_Public!$C$19, 0))*AC64)</f>
        <v>3553163.0591890775</v>
      </c>
      <c r="AA64" s="2">
        <f t="shared" si="16"/>
        <v>6425.2496549531243</v>
      </c>
      <c r="AB64">
        <f>MAX(0, (MAX(0, $D64-BaselineCalc!$B$7) + MAX(0, $E64-BaselineCalc!$B$8)))</f>
        <v>0</v>
      </c>
      <c r="AC64">
        <f t="shared" si="17"/>
        <v>553</v>
      </c>
      <c r="AD64" s="2">
        <f>(Y64 + IF(Parameters_Public!$C$20=1, Parameters_Public!$C$19, 0))*AC64</f>
        <v>3300013.7856000001</v>
      </c>
      <c r="AE64" s="2">
        <f>W64 - (1-Other_Parameters!$B$2)*$G64*$AB64*$J64*(1-$K64)</f>
        <v>6853176.8447890775</v>
      </c>
      <c r="AF64" s="2">
        <f t="shared" si="18"/>
        <v>-3553163.0591890775</v>
      </c>
      <c r="AG64" t="str">
        <f t="shared" si="19"/>
        <v>H_StatusQuo_Decline|FY2028</v>
      </c>
    </row>
    <row r="65" spans="1:33">
      <c r="A65" t="str">
        <f t="shared" si="10"/>
        <v>H_StatusQuo_Decline|FY2029</v>
      </c>
      <c r="B65" t="str">
        <f>Scenarios!A14</f>
        <v>H_StatusQuo_Decline</v>
      </c>
      <c r="C65" t="s">
        <v>73</v>
      </c>
      <c r="D65" s="11">
        <f>IF(Scenarios!D14=1,0, L65)</f>
        <v>257</v>
      </c>
      <c r="E65" s="11">
        <f>IF(Scenarios!E14=1,0, M65)</f>
        <v>296</v>
      </c>
      <c r="F65" s="11">
        <f t="shared" si="11"/>
        <v>553</v>
      </c>
      <c r="G65" s="2">
        <f>YearMap!B5</f>
        <v>6907.7272983046851</v>
      </c>
      <c r="H65" s="2">
        <f>YearMap!C5</f>
        <v>1512280.5948251483</v>
      </c>
      <c r="I65" s="2">
        <f>YearMap!D5</f>
        <v>1741770.6461799373</v>
      </c>
      <c r="J65">
        <f>1-BaselineCalc!$B$5</f>
        <v>0.99299999999999999</v>
      </c>
      <c r="K65">
        <f>Scenarios!G14</f>
        <v>0</v>
      </c>
      <c r="L65" s="11">
        <f>IF(Scenarios!$R14=1,BaselineCalc!$B$7*(1+Parameters_Public!$C42)^(IF($C65="FY2026",0,IF($C65="FY2027",1,IF($C65="FY2028",2,IF($C65="FY2029",3,IF($C65="FY2030",4,0))))))+ROUND(Scenarios!L14*Scenarios!$F14,0),BaselineCalc!$B$7+ROUND(Scenarios!L14*Scenarios!$F14,0))</f>
        <v>257</v>
      </c>
      <c r="M65" s="11">
        <f>IF(Scenarios!$S14=1,BaselineCalc!$B$8*(1+Parameters_Public!$C43)^(IF($C65="FY2026",0,IF($C65="FY2027",1,IF($C65="FY2028",2,IF($C65="FY2029",3,IF($C65="FY2030",4,0))))))+Scenarios!L14-ROUND(Scenarios!L14*Scenarios!$F14,0),BaselineCalc!$B$8+Scenarios!L14-ROUND(Scenarios!L14*Scenarios!$F14,0))</f>
        <v>296</v>
      </c>
      <c r="N65" s="11">
        <f t="shared" si="12"/>
        <v>0</v>
      </c>
      <c r="O65" s="11">
        <f>(Parameters_Public!$C$22*(L65-D65)+Parameters_Public!$C$23*(M65-E65))</f>
        <v>0</v>
      </c>
      <c r="P65">
        <f>YearMap!E5</f>
        <v>500</v>
      </c>
      <c r="Q65">
        <f>IF(Scenarios!N14="lease", YearMap!F5, YearMap!G5)</f>
        <v>0.3</v>
      </c>
      <c r="R65" s="2">
        <f>IF(Scenarios!D14=1, Q65*H65, H65)</f>
        <v>1512280.5948251483</v>
      </c>
      <c r="S65" s="2">
        <f>IF(Scenarios!E14=1, Q65*I65, I65)</f>
        <v>1741770.6461799373</v>
      </c>
      <c r="T65" s="2">
        <f>IF(C65="FY2026", (Scenarios!D14+Scenarios!E14)*BaselineCalc!$B$22, 0)</f>
        <v>0</v>
      </c>
      <c r="U65" s="2">
        <f t="shared" si="13"/>
        <v>7024506.2659088029</v>
      </c>
      <c r="V65" s="2">
        <f t="shared" si="14"/>
        <v>0</v>
      </c>
      <c r="W65" s="2">
        <f>U65+V65+IF(Parameters_Public!$C$26=1, T65, 0)</f>
        <v>7024506.2659088029</v>
      </c>
      <c r="X65" s="2">
        <f t="shared" si="15"/>
        <v>12702.542976326949</v>
      </c>
      <c r="Y65" s="2">
        <f>INDEX(YearMap!$I$2:$I$6, MATCH(C65, YearMap!$A$2:$A$6, 0))</f>
        <v>5319.8357040000001</v>
      </c>
      <c r="Z65" s="2">
        <f>W65 - ((Y65 + IF(Parameters_Public!$C$20=1, Parameters_Public!$C$19, 0))*AC65)</f>
        <v>3666808.7715968029</v>
      </c>
      <c r="AA65" s="2">
        <f t="shared" si="16"/>
        <v>6630.7572723269495</v>
      </c>
      <c r="AB65">
        <f>MAX(0, (MAX(0, $D65-BaselineCalc!$B$7) + MAX(0, $E65-BaselineCalc!$B$8)))</f>
        <v>0</v>
      </c>
      <c r="AC65">
        <f t="shared" si="17"/>
        <v>553</v>
      </c>
      <c r="AD65" s="2">
        <f>(Y65 + IF(Parameters_Public!$C$20=1, Parameters_Public!$C$19, 0))*AC65</f>
        <v>3357697.494312</v>
      </c>
      <c r="AE65" s="2">
        <f>W65 - (1-Other_Parameters!$B$2)*$G65*$AB65*$J65*(1-$K65)</f>
        <v>7024506.2659088029</v>
      </c>
      <c r="AF65" s="2">
        <f t="shared" si="18"/>
        <v>-3666808.7715968029</v>
      </c>
      <c r="AG65" t="str">
        <f t="shared" si="19"/>
        <v>H_StatusQuo_Decline|FY2029</v>
      </c>
    </row>
    <row r="66" spans="1:33">
      <c r="A66" t="str">
        <f t="shared" si="10"/>
        <v>H_StatusQuo_Decline|FY2030</v>
      </c>
      <c r="B66" t="str">
        <f>Scenarios!A14</f>
        <v>H_StatusQuo_Decline</v>
      </c>
      <c r="C66" t="s">
        <v>74</v>
      </c>
      <c r="D66" s="11">
        <f>IF(Scenarios!D14=1,0, L66)</f>
        <v>257</v>
      </c>
      <c r="E66" s="11">
        <f>IF(Scenarios!E14=1,0, M66)</f>
        <v>296</v>
      </c>
      <c r="F66" s="11">
        <f t="shared" ref="F66:F97" si="20">D66+E66</f>
        <v>553</v>
      </c>
      <c r="G66" s="2">
        <f>YearMap!B6</f>
        <v>7080.4204807623018</v>
      </c>
      <c r="H66" s="2">
        <f>YearMap!C6</f>
        <v>1550087.6096957768</v>
      </c>
      <c r="I66" s="2">
        <f>YearMap!D6</f>
        <v>1785314.9123344356</v>
      </c>
      <c r="J66">
        <f>1-BaselineCalc!$B$5</f>
        <v>0.99299999999999999</v>
      </c>
      <c r="K66">
        <f>Scenarios!G14</f>
        <v>0</v>
      </c>
      <c r="L66" s="11">
        <f>IF(Scenarios!$R14=1,BaselineCalc!$B$7*(1+Parameters_Public!$C42)^(IF($C66="FY2026",0,IF($C66="FY2027",1,IF($C66="FY2028",2,IF($C66="FY2029",3,IF($C66="FY2030",4,0))))))+ROUND(Scenarios!M14*Scenarios!$F14,0),BaselineCalc!$B$7+ROUND(Scenarios!M14*Scenarios!$F14,0))</f>
        <v>257</v>
      </c>
      <c r="M66" s="11">
        <f>IF(Scenarios!$S14=1,BaselineCalc!$B$8*(1+Parameters_Public!$C43)^(IF($C66="FY2026",0,IF($C66="FY2027",1,IF($C66="FY2028",2,IF($C66="FY2029",3,IF($C66="FY2030",4,0))))))+Scenarios!M14-ROUND(Scenarios!M14*Scenarios!$F14,0),BaselineCalc!$B$8+Scenarios!M14-ROUND(Scenarios!M14*Scenarios!$F14,0))</f>
        <v>296</v>
      </c>
      <c r="N66" s="11">
        <f t="shared" ref="N66:N97" si="21">(L66-D66) + (M66-E66)</f>
        <v>0</v>
      </c>
      <c r="O66" s="11">
        <f>(Parameters_Public!$C$22*(L66-D66)+Parameters_Public!$C$23*(M66-E66))</f>
        <v>0</v>
      </c>
      <c r="P66">
        <f>YearMap!E6</f>
        <v>300</v>
      </c>
      <c r="Q66">
        <f>IF(Scenarios!N14="lease", YearMap!F6, YearMap!G6)</f>
        <v>0.3</v>
      </c>
      <c r="R66" s="2">
        <f>IF(Scenarios!D14=1, Q66*H66, H66)</f>
        <v>1550087.6096957768</v>
      </c>
      <c r="S66" s="2">
        <f>IF(Scenarios!E14=1, Q66*I66, I66)</f>
        <v>1785314.9123344356</v>
      </c>
      <c r="T66" s="2">
        <f>IF(C66="FY2026", (Scenarios!D14+Scenarios!E14)*BaselineCalc!$B$22, 0)</f>
        <v>0</v>
      </c>
      <c r="U66" s="2">
        <f t="shared" si="13"/>
        <v>7200118.9225565232</v>
      </c>
      <c r="V66" s="2">
        <f t="shared" si="14"/>
        <v>0</v>
      </c>
      <c r="W66" s="2">
        <f>U66+V66+IF(Parameters_Public!$C$26=1, T66, 0)</f>
        <v>7200118.9225565232</v>
      </c>
      <c r="X66" s="2">
        <f t="shared" ref="X66:X97" si="22">IF(F66+O66&gt;0, W66/(F66+O66),"")</f>
        <v>13020.106550735123</v>
      </c>
      <c r="Y66" s="2">
        <f>INDEX(YearMap!$I$2:$I$6, MATCH(C66, YearMap!$A$2:$A$6, 0))</f>
        <v>5426.2324180799997</v>
      </c>
      <c r="Z66" s="2">
        <f>W66 - ((Y66 + IF(Parameters_Public!$C$20=1, Parameters_Public!$C$19, 0))*AC66)</f>
        <v>3783584.0453582834</v>
      </c>
      <c r="AA66" s="2">
        <f t="shared" si="16"/>
        <v>6841.9241326551237</v>
      </c>
      <c r="AB66">
        <f>MAX(0, (MAX(0, $D66-BaselineCalc!$B$7) + MAX(0, $E66-BaselineCalc!$B$8)))</f>
        <v>0</v>
      </c>
      <c r="AC66">
        <f t="shared" si="17"/>
        <v>553</v>
      </c>
      <c r="AD66" s="2">
        <f>(Y66 + IF(Parameters_Public!$C$20=1, Parameters_Public!$C$19, 0))*AC66</f>
        <v>3416534.8771982398</v>
      </c>
      <c r="AE66" s="2">
        <f>W66 - (1-Other_Parameters!$B$2)*$G66*$AB66*$J66*(1-$K66)</f>
        <v>7200118.9225565232</v>
      </c>
      <c r="AF66" s="2">
        <f t="shared" ref="AF66:AF97" si="23">AD66-AE66</f>
        <v>-3783584.0453582834</v>
      </c>
      <c r="AG66" t="str">
        <f t="shared" si="19"/>
        <v>H_StatusQuo_Decline|FY2030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87</v>
      </c>
      <c r="B1" s="1" t="s">
        <v>88</v>
      </c>
      <c r="C1" s="1" t="s">
        <v>3</v>
      </c>
    </row>
    <row r="2" spans="1:11">
      <c r="A2" t="s">
        <v>89</v>
      </c>
      <c r="B2">
        <f>Control_Center!C6</f>
        <v>2.5000000000000001E-2</v>
      </c>
      <c r="C2" t="s">
        <v>90</v>
      </c>
    </row>
    <row r="3" spans="1:11">
      <c r="A3" t="s">
        <v>91</v>
      </c>
      <c r="B3">
        <f>Parameters_Public!$C$14</f>
        <v>11589</v>
      </c>
      <c r="C3" t="s">
        <v>579</v>
      </c>
    </row>
    <row r="4" spans="1:11">
      <c r="A4" t="s">
        <v>93</v>
      </c>
      <c r="B4">
        <f>Control_Center!C8</f>
        <v>0.46</v>
      </c>
      <c r="C4" t="s">
        <v>580</v>
      </c>
    </row>
    <row r="5" spans="1:11">
      <c r="A5" t="s">
        <v>97</v>
      </c>
      <c r="B5">
        <f>Control_Center!C10</f>
        <v>7.0000000000000001E-3</v>
      </c>
      <c r="C5" t="s">
        <v>98</v>
      </c>
    </row>
    <row r="6" spans="1:11">
      <c r="A6" t="s">
        <v>99</v>
      </c>
      <c r="B6">
        <f>Control_Center!C11</f>
        <v>1.4999999999999999E-2</v>
      </c>
      <c r="C6" t="s">
        <v>100</v>
      </c>
    </row>
    <row r="7" spans="1:11">
      <c r="A7" t="s">
        <v>101</v>
      </c>
      <c r="B7">
        <f>Parameters_Public!$C$10</f>
        <v>257</v>
      </c>
    </row>
    <row r="8" spans="1:11">
      <c r="A8" t="s">
        <v>103</v>
      </c>
      <c r="B8">
        <f>Parameters_Public!$C$11</f>
        <v>296</v>
      </c>
    </row>
    <row r="9" spans="1:11">
      <c r="A9" t="s">
        <v>105</v>
      </c>
      <c r="B9">
        <f>B7+B8</f>
        <v>553</v>
      </c>
      <c r="C9" t="s">
        <v>106</v>
      </c>
    </row>
    <row r="12" spans="1:11">
      <c r="A12" s="1" t="s">
        <v>581</v>
      </c>
      <c r="B12" s="1" t="s">
        <v>582</v>
      </c>
      <c r="C12" s="1" t="s">
        <v>583</v>
      </c>
      <c r="D12" s="1" t="s">
        <v>584</v>
      </c>
      <c r="E12" s="1" t="s">
        <v>585</v>
      </c>
      <c r="F12" s="1" t="s">
        <v>586</v>
      </c>
      <c r="G12" s="1" t="s">
        <v>3</v>
      </c>
    </row>
    <row r="13" spans="1:11">
      <c r="A13" t="s">
        <v>587</v>
      </c>
      <c r="B13" s="2">
        <f>B9*B3</f>
        <v>6408717</v>
      </c>
      <c r="C13" s="2">
        <f>C14/$B$4</f>
        <v>6568934.9249999998</v>
      </c>
      <c r="D13" s="2">
        <f>D14/$B$4</f>
        <v>6733158.2981250007</v>
      </c>
      <c r="E13" s="2">
        <f>E14/$B$4</f>
        <v>6901487.255578124</v>
      </c>
      <c r="F13" s="2">
        <f>F14/$B$4</f>
        <v>7074024.4369675769</v>
      </c>
      <c r="G13" t="s">
        <v>588</v>
      </c>
      <c r="K13" t="s">
        <v>589</v>
      </c>
    </row>
    <row r="14" spans="1:11">
      <c r="A14" t="s">
        <v>590</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591</v>
      </c>
      <c r="K14" t="s">
        <v>592</v>
      </c>
    </row>
    <row r="15" spans="1:11">
      <c r="A15" t="s">
        <v>270</v>
      </c>
      <c r="B15" s="2">
        <f>(B13-B14)/B9</f>
        <v>6258.0599999999995</v>
      </c>
      <c r="C15" s="2">
        <f t="shared" si="0"/>
        <v>6414.5114999999987</v>
      </c>
      <c r="D15" s="2">
        <f t="shared" si="0"/>
        <v>6574.8742874999989</v>
      </c>
      <c r="E15" s="2">
        <f t="shared" si="0"/>
        <v>6739.2461446874986</v>
      </c>
      <c r="F15" s="2">
        <f t="shared" si="0"/>
        <v>6907.7272983046851</v>
      </c>
      <c r="G15" t="s">
        <v>593</v>
      </c>
      <c r="K15" t="s">
        <v>594</v>
      </c>
    </row>
    <row r="17" spans="1:6">
      <c r="A17" t="s">
        <v>595</v>
      </c>
      <c r="B17" s="2">
        <f>$B$14*(1+$B$2)^1</f>
        <v>3021710.0655</v>
      </c>
      <c r="C17" s="2">
        <f>$B$14*(1+$B$2)^2</f>
        <v>3097252.8171375003</v>
      </c>
      <c r="D17" s="2">
        <f>$B$14*(1+$B$2)^3</f>
        <v>3174684.1375659374</v>
      </c>
      <c r="E17" s="2">
        <f>$B$14*(1+$B$2)^4</f>
        <v>3254051.2410050854</v>
      </c>
      <c r="F17" s="2">
        <f>$B$14*(1+$B$2)^5</f>
        <v>3335402.5220302125</v>
      </c>
    </row>
    <row r="18" spans="1:6">
      <c r="A18" t="s">
        <v>596</v>
      </c>
      <c r="B18" s="2">
        <f>$B$15*(1+$B$2)^1</f>
        <v>6414.5114999999987</v>
      </c>
      <c r="C18" s="2">
        <f>$B$15*(1+$B$2)^2</f>
        <v>6574.8742874999989</v>
      </c>
      <c r="D18" s="2">
        <f>$B$15*(1+$B$2)^3</f>
        <v>6739.2461446874986</v>
      </c>
      <c r="E18" s="2">
        <f>$B$15*(1+$B$2)^4</f>
        <v>6907.7272983046851</v>
      </c>
      <c r="F18" s="2">
        <f>$B$15*(1+$B$2)^5</f>
        <v>7080.4204807623018</v>
      </c>
    </row>
    <row r="19" spans="1:6">
      <c r="A19" t="s">
        <v>597</v>
      </c>
      <c r="B19" s="2">
        <f>IF(Site_Fixed!$C$8&gt;0, Site_Fixed!$C$8*(1+$B$2)^1, B17*($B$7/$B$9))</f>
        <v>1404302.8695</v>
      </c>
      <c r="C19" s="2">
        <f>C17*($B$7/$B$9)</f>
        <v>1439410.4412375002</v>
      </c>
      <c r="D19" s="2">
        <f>D17*($B$7/$B$9)</f>
        <v>1475395.7022684375</v>
      </c>
      <c r="E19" s="2">
        <f>E17*($B$7/$B$9)</f>
        <v>1512280.5948251483</v>
      </c>
      <c r="F19" s="2">
        <f>F17*($B$7/$B$9)</f>
        <v>1550087.6096957768</v>
      </c>
    </row>
    <row r="20" spans="1:6">
      <c r="A20" t="s">
        <v>598</v>
      </c>
      <c r="B20" s="2">
        <f>IF(Site_Fixed!$C$15&gt;0, Site_Fixed!$C$15*(1+$B$2)^1, B17*($B$8/$B$9))</f>
        <v>1617407.196</v>
      </c>
      <c r="C20" s="2">
        <f>C17*($B$8/$B$9)</f>
        <v>1657842.3759000003</v>
      </c>
      <c r="D20" s="2">
        <f>D17*($B$8/$B$9)</f>
        <v>1699288.4352975001</v>
      </c>
      <c r="E20" s="2">
        <f>E17*($B$8/$B$9)</f>
        <v>1741770.6461799373</v>
      </c>
      <c r="F20" s="2">
        <f>F17*($B$8/$B$9)</f>
        <v>1785314.9123344356</v>
      </c>
    </row>
    <row r="21" spans="1:6">
      <c r="B21" s="2"/>
      <c r="C21" s="2"/>
      <c r="D21" s="2"/>
      <c r="E21" s="2"/>
      <c r="F21" s="2"/>
    </row>
    <row r="22" spans="1:6">
      <c r="A22" t="s">
        <v>107</v>
      </c>
      <c r="B22">
        <f>Control_Center!C15</f>
        <v>1200000</v>
      </c>
    </row>
    <row r="23" spans="1:6">
      <c r="A23" t="s">
        <v>599</v>
      </c>
      <c r="B23">
        <f>Control_Center!C16</f>
        <v>0.75</v>
      </c>
    </row>
    <row r="25" spans="1:6">
      <c r="A25" s="1" t="s">
        <v>3</v>
      </c>
    </row>
    <row r="26" spans="1:6">
      <c r="A26" s="3" t="s">
        <v>600</v>
      </c>
    </row>
    <row r="27" spans="1:6">
      <c r="A27" t="s">
        <v>95</v>
      </c>
      <c r="B27">
        <f>Control_Center!C9</f>
        <v>5013</v>
      </c>
      <c r="C27" t="s">
        <v>96</v>
      </c>
    </row>
    <row r="28" spans="1:6">
      <c r="A28" t="s">
        <v>601</v>
      </c>
      <c r="B28">
        <v>0.02</v>
      </c>
      <c r="C28" t="s">
        <v>602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5"/>
  <sheetViews>
    <sheetView workbookViewId="0">
      <selection activeCell="B14" sqref="B14"/>
    </sheetView>
  </sheetViews>
  <sheetFormatPr defaultRowHeight="14.5"/>
  <cols>
    <col min="1" max="1" width="59.1796875" bestFit="1" customWidth="1"/>
    <col min="2" max="2" width="5.6328125" customWidth="1"/>
    <col min="3" max="3" width="5.26953125" customWidth="1"/>
  </cols>
  <sheetData>
    <row r="1" spans="1:3">
      <c r="A1" t="s">
        <v>603</v>
      </c>
    </row>
    <row r="3" spans="1:3">
      <c r="A3" t="s">
        <v>604</v>
      </c>
      <c r="B3">
        <v>0</v>
      </c>
    </row>
    <row r="4" spans="1:3">
      <c r="A4" t="s">
        <v>605</v>
      </c>
      <c r="B4">
        <v>0</v>
      </c>
    </row>
    <row r="5" spans="1:3">
      <c r="A5" t="s">
        <v>606</v>
      </c>
      <c r="B5">
        <v>0</v>
      </c>
    </row>
    <row r="6" spans="1:3">
      <c r="A6" t="s">
        <v>607</v>
      </c>
      <c r="B6">
        <v>0</v>
      </c>
    </row>
    <row r="7" spans="1:3">
      <c r="A7" t="s">
        <v>608</v>
      </c>
      <c r="B7">
        <v>0</v>
      </c>
    </row>
    <row r="8" spans="1:3">
      <c r="A8" t="s">
        <v>609</v>
      </c>
      <c r="C8">
        <f>SUM(B3:B7)</f>
        <v>0</v>
      </c>
    </row>
    <row r="10" spans="1:3">
      <c r="A10" t="s">
        <v>610</v>
      </c>
      <c r="B10">
        <v>0</v>
      </c>
    </row>
    <row r="11" spans="1:3">
      <c r="A11" t="s">
        <v>611</v>
      </c>
      <c r="B11">
        <v>0</v>
      </c>
    </row>
    <row r="12" spans="1:3">
      <c r="A12" t="s">
        <v>612</v>
      </c>
      <c r="B12">
        <v>0</v>
      </c>
    </row>
    <row r="13" spans="1:3">
      <c r="A13" t="s">
        <v>613</v>
      </c>
      <c r="B13">
        <v>0</v>
      </c>
    </row>
    <row r="14" spans="1:3">
      <c r="A14" t="s">
        <v>614</v>
      </c>
      <c r="B14">
        <v>0</v>
      </c>
    </row>
    <row r="15" spans="1:3">
      <c r="A15" t="s">
        <v>615</v>
      </c>
      <c r="C15">
        <f>SUM(B10:B14)</f>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
  <sheetViews>
    <sheetView zoomScale="90" zoomScaleNormal="90" workbookViewId="0">
      <selection activeCell="B2" sqref="B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c r="A1" s="1" t="s">
        <v>63</v>
      </c>
      <c r="B1" s="1" t="s">
        <v>553</v>
      </c>
      <c r="C1" s="1" t="s">
        <v>554</v>
      </c>
      <c r="D1" s="1" t="s">
        <v>555</v>
      </c>
      <c r="E1" s="1" t="s">
        <v>114</v>
      </c>
      <c r="F1" s="1" t="s">
        <v>115</v>
      </c>
      <c r="G1" s="1" t="s">
        <v>116</v>
      </c>
      <c r="H1" s="1" t="s">
        <v>616</v>
      </c>
      <c r="I1" s="1" t="s">
        <v>617</v>
      </c>
      <c r="L1" s="1" t="s">
        <v>618</v>
      </c>
      <c r="M1" s="1" t="s">
        <v>619</v>
      </c>
      <c r="N1" s="1" t="s">
        <v>620</v>
      </c>
    </row>
    <row r="2" spans="1:14">
      <c r="A2" t="s">
        <v>70</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c r="A3" t="s">
        <v>71</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c r="A4" t="s">
        <v>72</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c r="A5" t="s">
        <v>73</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c r="A6" t="s">
        <v>74</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76"/>
  <sheetViews>
    <sheetView zoomScale="70" zoomScaleNormal="70" workbookViewId="0">
      <pane xSplit="2" ySplit="1" topLeftCell="G2" activePane="bottomRight" state="frozen"/>
      <selection pane="topRight" activeCell="C1" sqref="C1"/>
      <selection pane="bottomLeft" activeCell="A2" sqref="A2"/>
      <selection pane="bottomRight" activeCell="C16" sqref="C16"/>
    </sheetView>
  </sheetViews>
  <sheetFormatPr defaultRowHeight="14.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9">
      <c r="A1" s="1" t="s">
        <v>62</v>
      </c>
      <c r="B1" s="1" t="s">
        <v>621</v>
      </c>
      <c r="C1" s="1" t="s">
        <v>201</v>
      </c>
      <c r="D1" s="1" t="s">
        <v>77</v>
      </c>
      <c r="E1" s="1" t="s">
        <v>78</v>
      </c>
      <c r="F1" s="1" t="s">
        <v>622</v>
      </c>
      <c r="G1" s="1" t="s">
        <v>557</v>
      </c>
      <c r="H1" s="1" t="s">
        <v>3</v>
      </c>
      <c r="I1" t="s">
        <v>623</v>
      </c>
      <c r="J1" t="s">
        <v>624</v>
      </c>
      <c r="K1" t="s">
        <v>625</v>
      </c>
      <c r="L1" t="s">
        <v>626</v>
      </c>
      <c r="M1" t="s">
        <v>627</v>
      </c>
      <c r="N1" t="s">
        <v>628</v>
      </c>
      <c r="O1" t="s">
        <v>629</v>
      </c>
      <c r="P1" t="s">
        <v>630</v>
      </c>
      <c r="Q1" t="s">
        <v>631</v>
      </c>
      <c r="R1" t="s">
        <v>632</v>
      </c>
      <c r="S1" t="s">
        <v>633</v>
      </c>
    </row>
    <row r="2" spans="1:19">
      <c r="A2" t="s">
        <v>634</v>
      </c>
      <c r="B2" t="str">
        <f>Control_Center!B31</f>
        <v>CUSTOM_KeepOpen_v1</v>
      </c>
      <c r="C2">
        <f>Control_Center!C31</f>
        <v>0</v>
      </c>
      <c r="D2">
        <f>Control_Center!D31</f>
        <v>0</v>
      </c>
      <c r="E2">
        <f>Control_Center!E31</f>
        <v>0</v>
      </c>
      <c r="F2">
        <f>Control_Center!F31</f>
        <v>0.5</v>
      </c>
      <c r="G2">
        <f>Control_Center!G31</f>
        <v>0</v>
      </c>
      <c r="H2" t="s">
        <v>635</v>
      </c>
      <c r="I2">
        <f t="shared" ref="I2:M6" si="0">$C2</f>
        <v>0</v>
      </c>
      <c r="J2">
        <f t="shared" si="0"/>
        <v>0</v>
      </c>
      <c r="K2">
        <f t="shared" si="0"/>
        <v>0</v>
      </c>
      <c r="L2">
        <f t="shared" si="0"/>
        <v>0</v>
      </c>
      <c r="M2">
        <f t="shared" si="0"/>
        <v>0</v>
      </c>
      <c r="O2" t="s">
        <v>636</v>
      </c>
      <c r="P2" t="s">
        <v>636</v>
      </c>
      <c r="R2">
        <v>0</v>
      </c>
      <c r="S2">
        <v>0</v>
      </c>
    </row>
    <row r="3" spans="1:19">
      <c r="A3" t="s">
        <v>637</v>
      </c>
      <c r="B3" t="str">
        <f>Control_Center!B32</f>
        <v>Status‑Quo + Op Growth Targets</v>
      </c>
      <c r="C3">
        <f>Control_Center!C32</f>
        <v>150</v>
      </c>
      <c r="D3">
        <f>Control_Center!D32</f>
        <v>0</v>
      </c>
      <c r="E3">
        <f>Control_Center!E32</f>
        <v>0</v>
      </c>
      <c r="F3">
        <f>Control_Center!F32</f>
        <v>0.5</v>
      </c>
      <c r="G3">
        <f>Control_Center!G32</f>
        <v>0</v>
      </c>
      <c r="H3" t="s">
        <v>638</v>
      </c>
      <c r="I3">
        <f t="shared" si="0"/>
        <v>150</v>
      </c>
      <c r="J3">
        <f t="shared" si="0"/>
        <v>150</v>
      </c>
      <c r="K3">
        <f t="shared" si="0"/>
        <v>150</v>
      </c>
      <c r="L3">
        <f t="shared" si="0"/>
        <v>150</v>
      </c>
      <c r="M3">
        <f t="shared" si="0"/>
        <v>150</v>
      </c>
      <c r="O3" t="s">
        <v>636</v>
      </c>
      <c r="P3" t="s">
        <v>636</v>
      </c>
      <c r="R3">
        <v>0</v>
      </c>
      <c r="S3">
        <v>0</v>
      </c>
    </row>
    <row r="4" spans="1:19">
      <c r="A4" t="s">
        <v>639</v>
      </c>
      <c r="B4" t="str">
        <f>Control_Center!B33</f>
        <v>Co‑Location @ Echo + Op Growth Targets</v>
      </c>
      <c r="C4">
        <f>Control_Center!C33</f>
        <v>150</v>
      </c>
      <c r="D4">
        <f>Control_Center!D33</f>
        <v>0</v>
      </c>
      <c r="E4">
        <f>Control_Center!E33</f>
        <v>0</v>
      </c>
      <c r="F4">
        <f>Control_Center!F33</f>
        <v>0.5</v>
      </c>
      <c r="G4">
        <f>Control_Center!G33</f>
        <v>0.05</v>
      </c>
      <c r="H4" t="s">
        <v>640</v>
      </c>
      <c r="I4">
        <f t="shared" si="0"/>
        <v>150</v>
      </c>
      <c r="J4">
        <f t="shared" si="0"/>
        <v>150</v>
      </c>
      <c r="K4">
        <f t="shared" si="0"/>
        <v>150</v>
      </c>
      <c r="L4">
        <f t="shared" si="0"/>
        <v>150</v>
      </c>
      <c r="M4">
        <f t="shared" si="0"/>
        <v>150</v>
      </c>
      <c r="O4" t="s">
        <v>636</v>
      </c>
      <c r="P4" t="s">
        <v>636</v>
      </c>
      <c r="R4">
        <v>0</v>
      </c>
      <c r="S4">
        <v>0</v>
      </c>
    </row>
    <row r="5" spans="1:19">
      <c r="A5" t="s">
        <v>641</v>
      </c>
      <c r="B5" t="str">
        <f>Control_Center!B34</f>
        <v>Grow Both + Op Growth Targets</v>
      </c>
      <c r="C5">
        <f>Control_Center!C34</f>
        <v>250</v>
      </c>
      <c r="D5">
        <f>Control_Center!D34</f>
        <v>0</v>
      </c>
      <c r="E5">
        <f>Control_Center!E34</f>
        <v>0</v>
      </c>
      <c r="F5">
        <f>Control_Center!F34</f>
        <v>0.5</v>
      </c>
      <c r="G5">
        <f>Control_Center!G34</f>
        <v>0</v>
      </c>
      <c r="H5" t="s">
        <v>642</v>
      </c>
      <c r="I5">
        <f t="shared" si="0"/>
        <v>250</v>
      </c>
      <c r="J5">
        <f t="shared" si="0"/>
        <v>250</v>
      </c>
      <c r="K5">
        <f t="shared" si="0"/>
        <v>250</v>
      </c>
      <c r="L5">
        <f t="shared" si="0"/>
        <v>250</v>
      </c>
      <c r="M5">
        <f t="shared" si="0"/>
        <v>250</v>
      </c>
      <c r="O5" t="s">
        <v>643</v>
      </c>
      <c r="P5" t="s">
        <v>644</v>
      </c>
      <c r="R5">
        <v>0</v>
      </c>
      <c r="S5">
        <v>0</v>
      </c>
    </row>
    <row r="6" spans="1:19">
      <c r="A6" t="s">
        <v>645</v>
      </c>
      <c r="B6" t="str">
        <f>Control_Center!B35</f>
        <v>CUSTOM_KeepOpen_v2</v>
      </c>
      <c r="C6">
        <f>Control_Center!C35</f>
        <v>0</v>
      </c>
      <c r="D6">
        <f>Control_Center!D35</f>
        <v>0</v>
      </c>
      <c r="E6">
        <f>Control_Center!E35</f>
        <v>0</v>
      </c>
      <c r="F6">
        <f>Control_Center!F35</f>
        <v>0.5</v>
      </c>
      <c r="G6">
        <f>Control_Center!G35</f>
        <v>0</v>
      </c>
      <c r="H6" t="s">
        <v>646</v>
      </c>
      <c r="I6">
        <f t="shared" si="0"/>
        <v>0</v>
      </c>
      <c r="J6">
        <f t="shared" si="0"/>
        <v>0</v>
      </c>
      <c r="K6">
        <f t="shared" si="0"/>
        <v>0</v>
      </c>
      <c r="L6">
        <f t="shared" si="0"/>
        <v>0</v>
      </c>
      <c r="M6">
        <f t="shared" si="0"/>
        <v>0</v>
      </c>
      <c r="O6" t="s">
        <v>636</v>
      </c>
      <c r="P6" t="s">
        <v>636</v>
      </c>
      <c r="R6">
        <v>0</v>
      </c>
      <c r="S6">
        <v>0</v>
      </c>
    </row>
    <row r="7" spans="1:19">
      <c r="A7" t="s">
        <v>647</v>
      </c>
      <c r="B7" t="str">
        <f>Control_Center!B36</f>
        <v>Growth Hub @ Echo + Status-Quo Pima + Op Growth Targets</v>
      </c>
      <c r="C7">
        <f>Control_Center!C36</f>
        <v>150</v>
      </c>
      <c r="D7">
        <f>Control_Center!D36</f>
        <v>0</v>
      </c>
      <c r="E7">
        <f>Control_Center!E36</f>
        <v>0</v>
      </c>
      <c r="F7">
        <f>Control_Center!F36</f>
        <v>0.7</v>
      </c>
      <c r="G7">
        <f>Control_Center!G36</f>
        <v>0</v>
      </c>
      <c r="H7" t="s">
        <v>648</v>
      </c>
      <c r="I7">
        <f>C7/3</f>
        <v>50</v>
      </c>
      <c r="J7">
        <f>I7+C7/3</f>
        <v>100</v>
      </c>
      <c r="K7">
        <f>J7+C7/3</f>
        <v>150</v>
      </c>
      <c r="L7">
        <f>C7</f>
        <v>150</v>
      </c>
      <c r="M7">
        <f>C7</f>
        <v>150</v>
      </c>
      <c r="O7" t="s">
        <v>644</v>
      </c>
      <c r="P7" t="s">
        <v>636</v>
      </c>
      <c r="R7">
        <v>0</v>
      </c>
      <c r="S7">
        <v>0</v>
      </c>
    </row>
    <row r="8" spans="1:19">
      <c r="A8" t="s">
        <v>649</v>
      </c>
      <c r="B8" t="str">
        <f>Control_Center!B37</f>
        <v>Repurpose BOTH (lease)</v>
      </c>
      <c r="C8">
        <f>Control_Center!C37</f>
        <v>0</v>
      </c>
      <c r="D8">
        <f>Control_Center!D37</f>
        <v>1</v>
      </c>
      <c r="E8">
        <f>Control_Center!E37</f>
        <v>1</v>
      </c>
      <c r="F8">
        <f>Control_Center!F37</f>
        <v>0.5</v>
      </c>
      <c r="G8">
        <f>Control_Center!G37</f>
        <v>0</v>
      </c>
      <c r="H8" t="s">
        <v>650</v>
      </c>
      <c r="I8">
        <f t="shared" ref="I8:M14" si="1">$C8</f>
        <v>0</v>
      </c>
      <c r="J8">
        <f t="shared" si="1"/>
        <v>0</v>
      </c>
      <c r="K8">
        <f t="shared" si="1"/>
        <v>0</v>
      </c>
      <c r="L8">
        <f t="shared" si="1"/>
        <v>0</v>
      </c>
      <c r="M8">
        <f t="shared" si="1"/>
        <v>0</v>
      </c>
      <c r="N8" t="s">
        <v>651</v>
      </c>
      <c r="O8" t="s">
        <v>636</v>
      </c>
      <c r="P8" t="s">
        <v>636</v>
      </c>
      <c r="R8">
        <v>0</v>
      </c>
      <c r="S8">
        <v>0</v>
      </c>
    </row>
    <row r="9" spans="1:19">
      <c r="A9" t="s">
        <v>652</v>
      </c>
      <c r="B9" t="str">
        <f>Control_Center!B38</f>
        <v>Repurpose BOTH (ops)</v>
      </c>
      <c r="C9">
        <f>Control_Center!C38</f>
        <v>0</v>
      </c>
      <c r="D9">
        <f>Control_Center!D38</f>
        <v>1</v>
      </c>
      <c r="E9">
        <f>Control_Center!E38</f>
        <v>1</v>
      </c>
      <c r="F9">
        <f>Control_Center!F38</f>
        <v>0.5</v>
      </c>
      <c r="G9">
        <f>Control_Center!G38</f>
        <v>0</v>
      </c>
      <c r="H9" t="s">
        <v>653</v>
      </c>
      <c r="I9">
        <f t="shared" si="1"/>
        <v>0</v>
      </c>
      <c r="J9">
        <f t="shared" si="1"/>
        <v>0</v>
      </c>
      <c r="K9">
        <f t="shared" si="1"/>
        <v>0</v>
      </c>
      <c r="L9">
        <f t="shared" si="1"/>
        <v>0</v>
      </c>
      <c r="M9">
        <f t="shared" si="1"/>
        <v>0</v>
      </c>
      <c r="N9" t="s">
        <v>654</v>
      </c>
      <c r="O9" t="s">
        <v>636</v>
      </c>
      <c r="P9" t="s">
        <v>636</v>
      </c>
      <c r="R9">
        <v>0</v>
      </c>
      <c r="S9">
        <v>0</v>
      </c>
    </row>
    <row r="10" spans="1:19">
      <c r="A10" t="s">
        <v>655</v>
      </c>
      <c r="B10" t="str">
        <f>Control_Center!B39</f>
        <v>Repurpose ECHO (lease) + Status-Quo Pima + Pima Op Growth Targets</v>
      </c>
      <c r="C10">
        <f>Control_Center!C39</f>
        <v>0</v>
      </c>
      <c r="D10">
        <f>Control_Center!D39</f>
        <v>1</v>
      </c>
      <c r="E10">
        <f>Control_Center!E39</f>
        <v>0</v>
      </c>
      <c r="F10">
        <f>Control_Center!F39</f>
        <v>0</v>
      </c>
      <c r="G10">
        <f>Control_Center!G39</f>
        <v>0</v>
      </c>
      <c r="H10" t="s">
        <v>656</v>
      </c>
      <c r="I10">
        <f t="shared" si="1"/>
        <v>0</v>
      </c>
      <c r="J10">
        <f t="shared" si="1"/>
        <v>0</v>
      </c>
      <c r="K10">
        <f t="shared" si="1"/>
        <v>0</v>
      </c>
      <c r="L10">
        <f t="shared" si="1"/>
        <v>0</v>
      </c>
      <c r="M10">
        <f t="shared" si="1"/>
        <v>0</v>
      </c>
      <c r="N10" t="s">
        <v>651</v>
      </c>
      <c r="O10" t="s">
        <v>636</v>
      </c>
      <c r="P10" t="s">
        <v>636</v>
      </c>
      <c r="R10">
        <v>0</v>
      </c>
      <c r="S10">
        <v>0</v>
      </c>
    </row>
    <row r="11" spans="1:19">
      <c r="A11" t="s">
        <v>657</v>
      </c>
      <c r="B11" t="str">
        <f>Control_Center!B40</f>
        <v>Repurpose ECHO (ops) + Status-Quo Pima + Pima Op Growth Targets</v>
      </c>
      <c r="C11">
        <f>Control_Center!C40</f>
        <v>150</v>
      </c>
      <c r="D11">
        <f>Control_Center!D40</f>
        <v>1</v>
      </c>
      <c r="E11">
        <f>Control_Center!E40</f>
        <v>0</v>
      </c>
      <c r="F11">
        <f>Control_Center!F40</f>
        <v>0</v>
      </c>
      <c r="G11">
        <f>Control_Center!G40</f>
        <v>0</v>
      </c>
      <c r="H11" t="s">
        <v>658</v>
      </c>
      <c r="I11">
        <f t="shared" si="1"/>
        <v>150</v>
      </c>
      <c r="J11">
        <f t="shared" si="1"/>
        <v>150</v>
      </c>
      <c r="K11">
        <f t="shared" si="1"/>
        <v>150</v>
      </c>
      <c r="L11">
        <f t="shared" si="1"/>
        <v>150</v>
      </c>
      <c r="M11">
        <f t="shared" si="1"/>
        <v>150</v>
      </c>
      <c r="N11" t="s">
        <v>654</v>
      </c>
      <c r="O11" t="s">
        <v>636</v>
      </c>
      <c r="P11" t="s">
        <v>636</v>
      </c>
      <c r="R11">
        <v>0</v>
      </c>
      <c r="S11">
        <v>0</v>
      </c>
    </row>
    <row r="12" spans="1:19">
      <c r="A12" t="s">
        <v>659</v>
      </c>
      <c r="B12" t="str">
        <f>Control_Center!B41</f>
        <v>Repurpose PIMA (lease) + Growth Hub @ Echo + Echo Op Growth Targets</v>
      </c>
      <c r="C12">
        <f>Control_Center!C41</f>
        <v>0</v>
      </c>
      <c r="D12">
        <f>Control_Center!D41</f>
        <v>0</v>
      </c>
      <c r="E12">
        <f>Control_Center!E41</f>
        <v>1</v>
      </c>
      <c r="F12">
        <f>Control_Center!F41</f>
        <v>1</v>
      </c>
      <c r="G12">
        <f>Control_Center!G41</f>
        <v>0</v>
      </c>
      <c r="H12" t="s">
        <v>660</v>
      </c>
      <c r="I12">
        <f t="shared" si="1"/>
        <v>0</v>
      </c>
      <c r="J12">
        <f t="shared" si="1"/>
        <v>0</v>
      </c>
      <c r="K12">
        <f t="shared" si="1"/>
        <v>0</v>
      </c>
      <c r="L12">
        <f t="shared" si="1"/>
        <v>0</v>
      </c>
      <c r="M12">
        <f t="shared" si="1"/>
        <v>0</v>
      </c>
      <c r="N12" t="s">
        <v>651</v>
      </c>
      <c r="O12" t="s">
        <v>644</v>
      </c>
      <c r="P12" t="s">
        <v>636</v>
      </c>
      <c r="R12">
        <v>0</v>
      </c>
      <c r="S12">
        <v>0</v>
      </c>
    </row>
    <row r="13" spans="1:19">
      <c r="A13" t="s">
        <v>661</v>
      </c>
      <c r="B13" t="str">
        <f>Control_Center!B42</f>
        <v>Repurpose PIMA (ops) + Growth Hub @ Echo + Echo Op Growth Targets</v>
      </c>
      <c r="C13">
        <f>Control_Center!C42</f>
        <v>200</v>
      </c>
      <c r="D13">
        <f>Control_Center!D42</f>
        <v>0</v>
      </c>
      <c r="E13">
        <f>Control_Center!E42</f>
        <v>1</v>
      </c>
      <c r="F13">
        <f>Control_Center!F42</f>
        <v>1</v>
      </c>
      <c r="G13">
        <f>Control_Center!G42</f>
        <v>0</v>
      </c>
      <c r="H13" t="s">
        <v>662</v>
      </c>
      <c r="I13">
        <f t="shared" si="1"/>
        <v>200</v>
      </c>
      <c r="J13">
        <f t="shared" si="1"/>
        <v>200</v>
      </c>
      <c r="K13">
        <f t="shared" si="1"/>
        <v>200</v>
      </c>
      <c r="L13">
        <f t="shared" si="1"/>
        <v>200</v>
      </c>
      <c r="M13">
        <f t="shared" si="1"/>
        <v>200</v>
      </c>
      <c r="N13" t="s">
        <v>654</v>
      </c>
      <c r="O13" t="s">
        <v>644</v>
      </c>
      <c r="P13" t="s">
        <v>636</v>
      </c>
      <c r="R13">
        <v>0</v>
      </c>
      <c r="S13">
        <v>0</v>
      </c>
    </row>
    <row r="14" spans="1:19">
      <c r="A14" t="s">
        <v>663</v>
      </c>
      <c r="B14" t="s">
        <v>664</v>
      </c>
      <c r="C14">
        <v>0</v>
      </c>
      <c r="D14">
        <v>0</v>
      </c>
      <c r="E14">
        <v>0</v>
      </c>
      <c r="F14">
        <v>0</v>
      </c>
      <c r="G14">
        <v>0</v>
      </c>
      <c r="H14" t="s">
        <v>665</v>
      </c>
      <c r="I14">
        <f t="shared" si="1"/>
        <v>0</v>
      </c>
      <c r="J14">
        <f t="shared" si="1"/>
        <v>0</v>
      </c>
      <c r="K14">
        <f t="shared" si="1"/>
        <v>0</v>
      </c>
      <c r="L14">
        <f t="shared" si="1"/>
        <v>0</v>
      </c>
      <c r="M14">
        <f t="shared" si="1"/>
        <v>0</v>
      </c>
      <c r="O14" t="s">
        <v>636</v>
      </c>
      <c r="P14" t="s">
        <v>636</v>
      </c>
      <c r="Q14" s="32">
        <v>-0.02</v>
      </c>
      <c r="R14">
        <v>0</v>
      </c>
      <c r="S14">
        <v>0</v>
      </c>
    </row>
    <row r="16" spans="1:19">
      <c r="A16" s="1" t="s">
        <v>62</v>
      </c>
      <c r="B16" s="1" t="s">
        <v>63</v>
      </c>
      <c r="C16" s="1" t="s">
        <v>550</v>
      </c>
      <c r="D16" s="1" t="s">
        <v>551</v>
      </c>
      <c r="E16" s="1" t="s">
        <v>552</v>
      </c>
      <c r="F16" s="1" t="s">
        <v>553</v>
      </c>
      <c r="G16" s="1" t="s">
        <v>554</v>
      </c>
      <c r="H16" s="1" t="s">
        <v>555</v>
      </c>
      <c r="I16" s="1" t="s">
        <v>578</v>
      </c>
      <c r="O16" t="s">
        <v>636</v>
      </c>
      <c r="P16" t="s">
        <v>636</v>
      </c>
    </row>
    <row r="17" spans="1:16">
      <c r="A17" t="str">
        <f>A2</f>
        <v>D_CUSTOM1</v>
      </c>
      <c r="B17" t="s">
        <v>70</v>
      </c>
      <c r="C17">
        <f>IF(D2=1,0, BaselineCalc!$B$7 + ROUND(I2*F2,0))</f>
        <v>257</v>
      </c>
      <c r="D17">
        <f>IF(E2=1,0, BaselineCalc!$B$8 + I2 - ROUND(I2*F2,0))</f>
        <v>296</v>
      </c>
      <c r="E17">
        <f t="shared" ref="E17:E48" si="2">C17+D17</f>
        <v>553</v>
      </c>
      <c r="F17" s="2">
        <f>YearMap!B2</f>
        <v>6414.5114999999987</v>
      </c>
      <c r="G17" s="2">
        <f>YearMap!C2</f>
        <v>1404302.8695</v>
      </c>
      <c r="H17" s="2">
        <f>YearMap!D2</f>
        <v>1617407.196</v>
      </c>
      <c r="I17" t="str">
        <f t="shared" ref="I17:I48" si="3">A17&amp;"|"&amp;B17</f>
        <v>D_CUSTOM1|FY2026</v>
      </c>
      <c r="O17" t="s">
        <v>636</v>
      </c>
      <c r="P17" t="s">
        <v>636</v>
      </c>
    </row>
    <row r="18" spans="1:16">
      <c r="A18" t="str">
        <f>A2</f>
        <v>D_CUSTOM1</v>
      </c>
      <c r="B18" t="s">
        <v>71</v>
      </c>
      <c r="C18">
        <f>IF(D2=1,0, BaselineCalc!$B$7 + ROUND(J2*F2,0))</f>
        <v>257</v>
      </c>
      <c r="D18">
        <f>IF(E2=1,0, BaselineCalc!$B$8 + J2 - ROUND(J2*F2,0))</f>
        <v>296</v>
      </c>
      <c r="E18">
        <f t="shared" si="2"/>
        <v>553</v>
      </c>
      <c r="F18" s="2">
        <f>YearMap!B3</f>
        <v>6574.8742874999989</v>
      </c>
      <c r="G18" s="2">
        <f>YearMap!C3</f>
        <v>1439410.4412375002</v>
      </c>
      <c r="H18" s="2">
        <f>YearMap!D3</f>
        <v>1657842.3759000003</v>
      </c>
      <c r="I18" t="str">
        <f t="shared" si="3"/>
        <v>D_CUSTOM1|FY2027</v>
      </c>
      <c r="O18" t="s">
        <v>636</v>
      </c>
      <c r="P18" t="s">
        <v>636</v>
      </c>
    </row>
    <row r="19" spans="1:16">
      <c r="A19" t="str">
        <f>A2</f>
        <v>D_CUSTOM1</v>
      </c>
      <c r="B19" t="s">
        <v>72</v>
      </c>
      <c r="C19">
        <f>IF(D2=1,0, BaselineCalc!$B$7 + ROUND(K2*F2,0))</f>
        <v>257</v>
      </c>
      <c r="D19">
        <f>IF(E2=1,0, BaselineCalc!$B$8 + K2 - ROUND(K2*F2,0))</f>
        <v>296</v>
      </c>
      <c r="E19">
        <f t="shared" si="2"/>
        <v>553</v>
      </c>
      <c r="F19" s="2">
        <f>YearMap!B4</f>
        <v>6739.2461446874986</v>
      </c>
      <c r="G19" s="2">
        <f>YearMap!C4</f>
        <v>1475395.7022684375</v>
      </c>
      <c r="H19" s="2">
        <f>YearMap!D4</f>
        <v>1699288.4352975001</v>
      </c>
      <c r="I19" t="str">
        <f t="shared" si="3"/>
        <v>D_CUSTOM1|FY2028</v>
      </c>
      <c r="O19" t="s">
        <v>636</v>
      </c>
      <c r="P19" t="s">
        <v>636</v>
      </c>
    </row>
    <row r="20" spans="1:16">
      <c r="A20" t="str">
        <f>A2</f>
        <v>D_CUSTOM1</v>
      </c>
      <c r="B20" t="s">
        <v>73</v>
      </c>
      <c r="C20">
        <f>IF(D2=1,0, BaselineCalc!$B$7 + ROUND(L2*F2,0))</f>
        <v>257</v>
      </c>
      <c r="D20">
        <f>IF(E2=1,0, BaselineCalc!$B$8 + L2 - ROUND(L2*F2,0))</f>
        <v>296</v>
      </c>
      <c r="E20">
        <f t="shared" si="2"/>
        <v>553</v>
      </c>
      <c r="F20" s="2">
        <f>YearMap!B5</f>
        <v>6907.7272983046851</v>
      </c>
      <c r="G20" s="2">
        <f>YearMap!C5</f>
        <v>1512280.5948251483</v>
      </c>
      <c r="H20" s="2">
        <f>YearMap!D5</f>
        <v>1741770.6461799373</v>
      </c>
      <c r="I20" t="str">
        <f t="shared" si="3"/>
        <v>D_CUSTOM1|FY2029</v>
      </c>
      <c r="O20" t="s">
        <v>636</v>
      </c>
      <c r="P20" t="s">
        <v>636</v>
      </c>
    </row>
    <row r="21" spans="1:16">
      <c r="A21" t="str">
        <f>A2</f>
        <v>D_CUSTOM1</v>
      </c>
      <c r="B21" t="s">
        <v>74</v>
      </c>
      <c r="C21">
        <f>IF(D2=1,0, BaselineCalc!$B$7 + ROUND(M2*F2,0))</f>
        <v>257</v>
      </c>
      <c r="D21">
        <f>IF(E2=1,0, BaselineCalc!$B$8 + M2 - ROUND(M2*F2,0))</f>
        <v>296</v>
      </c>
      <c r="E21">
        <f t="shared" si="2"/>
        <v>553</v>
      </c>
      <c r="F21" s="2">
        <f>YearMap!B6</f>
        <v>7080.4204807623018</v>
      </c>
      <c r="G21" s="2">
        <f>YearMap!C6</f>
        <v>1550087.6096957768</v>
      </c>
      <c r="H21" s="2">
        <f>YearMap!D6</f>
        <v>1785314.9123344356</v>
      </c>
      <c r="I21" t="str">
        <f t="shared" si="3"/>
        <v>D_CUSTOM1|FY2030</v>
      </c>
      <c r="O21" t="s">
        <v>636</v>
      </c>
      <c r="P21" t="s">
        <v>636</v>
      </c>
    </row>
    <row r="22" spans="1:16">
      <c r="A22" t="str">
        <f>A3</f>
        <v>E_StatusQuo_Targets</v>
      </c>
      <c r="B22" t="s">
        <v>70</v>
      </c>
      <c r="C22">
        <f>IF(D3=1,0, BaselineCalc!$B$7 + ROUND(I3*F3,0))</f>
        <v>332</v>
      </c>
      <c r="D22">
        <f>IF(E3=1,0, BaselineCalc!$B$8 + I3 - ROUND(I3*F3,0))</f>
        <v>371</v>
      </c>
      <c r="E22">
        <f t="shared" si="2"/>
        <v>703</v>
      </c>
      <c r="F22" s="2">
        <f>YearMap!B2</f>
        <v>6414.5114999999987</v>
      </c>
      <c r="G22" s="2">
        <f>YearMap!C2</f>
        <v>1404302.8695</v>
      </c>
      <c r="H22" s="2">
        <f>YearMap!D2</f>
        <v>1617407.196</v>
      </c>
      <c r="I22" t="str">
        <f t="shared" si="3"/>
        <v>E_StatusQuo_Targets|FY2026</v>
      </c>
      <c r="O22" t="s">
        <v>636</v>
      </c>
      <c r="P22" t="s">
        <v>636</v>
      </c>
    </row>
    <row r="23" spans="1:16">
      <c r="A23" t="str">
        <f>A3</f>
        <v>E_StatusQuo_Targets</v>
      </c>
      <c r="B23" t="s">
        <v>71</v>
      </c>
      <c r="C23">
        <f>IF(D3=1,0, BaselineCalc!$B$7 + ROUND(J3*F3,0))</f>
        <v>332</v>
      </c>
      <c r="D23">
        <f>IF(E3=1,0, BaselineCalc!$B$8 + J3 - ROUND(J3*F3,0))</f>
        <v>371</v>
      </c>
      <c r="E23">
        <f t="shared" si="2"/>
        <v>703</v>
      </c>
      <c r="F23" s="2">
        <f>YearMap!B3</f>
        <v>6574.8742874999989</v>
      </c>
      <c r="G23" s="2">
        <f>YearMap!C3</f>
        <v>1439410.4412375002</v>
      </c>
      <c r="H23" s="2">
        <f>YearMap!D3</f>
        <v>1657842.3759000003</v>
      </c>
      <c r="I23" t="str">
        <f t="shared" si="3"/>
        <v>E_StatusQuo_Targets|FY2027</v>
      </c>
      <c r="O23" t="s">
        <v>636</v>
      </c>
      <c r="P23" t="s">
        <v>636</v>
      </c>
    </row>
    <row r="24" spans="1:16">
      <c r="A24" t="str">
        <f>A3</f>
        <v>E_StatusQuo_Targets</v>
      </c>
      <c r="B24" t="s">
        <v>72</v>
      </c>
      <c r="C24">
        <f>IF(D3=1,0, BaselineCalc!$B$7 + ROUND(K3*F3,0))</f>
        <v>332</v>
      </c>
      <c r="D24">
        <f>IF(E3=1,0, BaselineCalc!$B$8 + K3 - ROUND(K3*F3,0))</f>
        <v>371</v>
      </c>
      <c r="E24">
        <f t="shared" si="2"/>
        <v>703</v>
      </c>
      <c r="F24" s="2">
        <f>YearMap!B4</f>
        <v>6739.2461446874986</v>
      </c>
      <c r="G24" s="2">
        <f>YearMap!C4</f>
        <v>1475395.7022684375</v>
      </c>
      <c r="H24" s="2">
        <f>YearMap!D4</f>
        <v>1699288.4352975001</v>
      </c>
      <c r="I24" t="str">
        <f t="shared" si="3"/>
        <v>E_StatusQuo_Targets|FY2028</v>
      </c>
      <c r="O24" t="s">
        <v>636</v>
      </c>
      <c r="P24" t="s">
        <v>636</v>
      </c>
    </row>
    <row r="25" spans="1:16">
      <c r="A25" t="str">
        <f>A3</f>
        <v>E_StatusQuo_Targets</v>
      </c>
      <c r="B25" t="s">
        <v>73</v>
      </c>
      <c r="C25">
        <f>IF(D3=1,0, BaselineCalc!$B$7 + ROUND(L3*F3,0))</f>
        <v>332</v>
      </c>
      <c r="D25">
        <f>IF(E3=1,0, BaselineCalc!$B$8 + L3 - ROUND(L3*F3,0))</f>
        <v>371</v>
      </c>
      <c r="E25">
        <f t="shared" si="2"/>
        <v>703</v>
      </c>
      <c r="F25" s="2">
        <f>YearMap!B5</f>
        <v>6907.7272983046851</v>
      </c>
      <c r="G25" s="2">
        <f>YearMap!C5</f>
        <v>1512280.5948251483</v>
      </c>
      <c r="H25" s="2">
        <f>YearMap!D5</f>
        <v>1741770.6461799373</v>
      </c>
      <c r="I25" t="str">
        <f t="shared" si="3"/>
        <v>E_StatusQuo_Targets|FY2029</v>
      </c>
      <c r="O25" t="s">
        <v>636</v>
      </c>
      <c r="P25" t="s">
        <v>636</v>
      </c>
    </row>
    <row r="26" spans="1:16">
      <c r="A26" t="str">
        <f>A3</f>
        <v>E_StatusQuo_Targets</v>
      </c>
      <c r="B26" t="s">
        <v>74</v>
      </c>
      <c r="C26">
        <f>IF(D3=1,0, BaselineCalc!$B$7 + ROUND(M3*F3,0))</f>
        <v>332</v>
      </c>
      <c r="D26">
        <f>IF(E3=1,0, BaselineCalc!$B$8 + M3 - ROUND(M3*F3,0))</f>
        <v>371</v>
      </c>
      <c r="E26">
        <f t="shared" si="2"/>
        <v>703</v>
      </c>
      <c r="F26" s="2">
        <f>YearMap!B6</f>
        <v>7080.4204807623018</v>
      </c>
      <c r="G26" s="2">
        <f>YearMap!C6</f>
        <v>1550087.6096957768</v>
      </c>
      <c r="H26" s="2">
        <f>YearMap!D6</f>
        <v>1785314.9123344356</v>
      </c>
      <c r="I26" t="str">
        <f t="shared" si="3"/>
        <v>E_StatusQuo_Targets|FY2030</v>
      </c>
      <c r="O26" t="s">
        <v>636</v>
      </c>
      <c r="P26" t="s">
        <v>636</v>
      </c>
    </row>
    <row r="27" spans="1:16">
      <c r="A27" t="str">
        <f>A4</f>
        <v>F_CoLocation_Echo_Targets</v>
      </c>
      <c r="B27" t="s">
        <v>70</v>
      </c>
      <c r="C27">
        <f>IF(D4=1,0, BaselineCalc!$B$7 + ROUND(I4*F4,0))</f>
        <v>332</v>
      </c>
      <c r="D27">
        <f>IF(E4=1,0, BaselineCalc!$B$8 + I4 - ROUND(I4*F4,0))</f>
        <v>371</v>
      </c>
      <c r="E27">
        <f t="shared" si="2"/>
        <v>703</v>
      </c>
      <c r="F27" s="2">
        <f>YearMap!B2</f>
        <v>6414.5114999999987</v>
      </c>
      <c r="G27" s="2">
        <f>YearMap!C2</f>
        <v>1404302.8695</v>
      </c>
      <c r="H27" s="2">
        <f>YearMap!D2</f>
        <v>1617407.196</v>
      </c>
      <c r="I27" t="str">
        <f t="shared" si="3"/>
        <v>F_CoLocation_Echo_Targets|FY2026</v>
      </c>
      <c r="O27" t="s">
        <v>636</v>
      </c>
      <c r="P27" t="s">
        <v>636</v>
      </c>
    </row>
    <row r="28" spans="1:16">
      <c r="A28" t="str">
        <f>A4</f>
        <v>F_CoLocation_Echo_Targets</v>
      </c>
      <c r="B28" t="s">
        <v>71</v>
      </c>
      <c r="C28">
        <f>IF(D4=1,0, BaselineCalc!$B$7 + ROUND(J4*F4,0))</f>
        <v>332</v>
      </c>
      <c r="D28">
        <f>IF(E4=1,0, BaselineCalc!$B$8 + J4 - ROUND(J4*F4,0))</f>
        <v>371</v>
      </c>
      <c r="E28">
        <f t="shared" si="2"/>
        <v>703</v>
      </c>
      <c r="F28" s="2">
        <f>YearMap!B3</f>
        <v>6574.8742874999989</v>
      </c>
      <c r="G28" s="2">
        <f>YearMap!C3</f>
        <v>1439410.4412375002</v>
      </c>
      <c r="H28" s="2">
        <f>YearMap!D3</f>
        <v>1657842.3759000003</v>
      </c>
      <c r="I28" t="str">
        <f t="shared" si="3"/>
        <v>F_CoLocation_Echo_Targets|FY2027</v>
      </c>
      <c r="O28" t="s">
        <v>636</v>
      </c>
      <c r="P28" t="s">
        <v>636</v>
      </c>
    </row>
    <row r="29" spans="1:16">
      <c r="A29" t="str">
        <f>A4</f>
        <v>F_CoLocation_Echo_Targets</v>
      </c>
      <c r="B29" t="s">
        <v>72</v>
      </c>
      <c r="C29">
        <f>IF(D4=1,0, BaselineCalc!$B$7 + ROUND(K4*F4,0))</f>
        <v>332</v>
      </c>
      <c r="D29">
        <f>IF(E4=1,0, BaselineCalc!$B$8 + K4 - ROUND(K4*F4,0))</f>
        <v>371</v>
      </c>
      <c r="E29">
        <f t="shared" si="2"/>
        <v>703</v>
      </c>
      <c r="F29" s="2">
        <f>YearMap!B4</f>
        <v>6739.2461446874986</v>
      </c>
      <c r="G29" s="2">
        <f>YearMap!C4</f>
        <v>1475395.7022684375</v>
      </c>
      <c r="H29" s="2">
        <f>YearMap!D4</f>
        <v>1699288.4352975001</v>
      </c>
      <c r="I29" t="str">
        <f t="shared" si="3"/>
        <v>F_CoLocation_Echo_Targets|FY2028</v>
      </c>
      <c r="O29" t="s">
        <v>636</v>
      </c>
      <c r="P29" t="s">
        <v>636</v>
      </c>
    </row>
    <row r="30" spans="1:16">
      <c r="A30" t="str">
        <f>A4</f>
        <v>F_CoLocation_Echo_Targets</v>
      </c>
      <c r="B30" t="s">
        <v>73</v>
      </c>
      <c r="C30">
        <f>IF(D4=1,0, BaselineCalc!$B$7 + ROUND(L4*F4,0))</f>
        <v>332</v>
      </c>
      <c r="D30">
        <f>IF(E4=1,0, BaselineCalc!$B$8 + L4 - ROUND(L4*F4,0))</f>
        <v>371</v>
      </c>
      <c r="E30">
        <f t="shared" si="2"/>
        <v>703</v>
      </c>
      <c r="F30" s="2">
        <f>YearMap!B5</f>
        <v>6907.7272983046851</v>
      </c>
      <c r="G30" s="2">
        <f>YearMap!C5</f>
        <v>1512280.5948251483</v>
      </c>
      <c r="H30" s="2">
        <f>YearMap!D5</f>
        <v>1741770.6461799373</v>
      </c>
      <c r="I30" t="str">
        <f t="shared" si="3"/>
        <v>F_CoLocation_Echo_Targets|FY2029</v>
      </c>
      <c r="O30" t="s">
        <v>636</v>
      </c>
      <c r="P30" t="s">
        <v>636</v>
      </c>
    </row>
    <row r="31" spans="1:16">
      <c r="A31" t="str">
        <f>A4</f>
        <v>F_CoLocation_Echo_Targets</v>
      </c>
      <c r="B31" t="s">
        <v>74</v>
      </c>
      <c r="C31">
        <f>IF(D4=1,0, BaselineCalc!$B$7 + ROUND(M4*F4,0))</f>
        <v>332</v>
      </c>
      <c r="D31">
        <f>IF(E4=1,0, BaselineCalc!$B$8 + M4 - ROUND(M4*F4,0))</f>
        <v>371</v>
      </c>
      <c r="E31">
        <f t="shared" si="2"/>
        <v>703</v>
      </c>
      <c r="F31" s="2">
        <f>YearMap!B6</f>
        <v>7080.4204807623018</v>
      </c>
      <c r="G31" s="2">
        <f>YearMap!C6</f>
        <v>1550087.6096957768</v>
      </c>
      <c r="H31" s="2">
        <f>YearMap!D6</f>
        <v>1785314.9123344356</v>
      </c>
      <c r="I31" t="str">
        <f t="shared" si="3"/>
        <v>F_CoLocation_Echo_Targets|FY2030</v>
      </c>
      <c r="O31" t="s">
        <v>636</v>
      </c>
      <c r="P31" t="s">
        <v>636</v>
      </c>
    </row>
    <row r="32" spans="1:16">
      <c r="A32" t="str">
        <f>A5</f>
        <v>D_Grow_Both_Targets</v>
      </c>
      <c r="B32" t="s">
        <v>70</v>
      </c>
      <c r="C32">
        <f>IF(D5=1,0, BaselineCalc!$B$7 + ROUND(I5*F5,0))</f>
        <v>382</v>
      </c>
      <c r="D32">
        <f>IF(E5=1,0, BaselineCalc!$B$8 + I5 - ROUND(I5*F5,0))</f>
        <v>421</v>
      </c>
      <c r="E32">
        <f t="shared" si="2"/>
        <v>803</v>
      </c>
      <c r="F32" s="2">
        <f>YearMap!B2</f>
        <v>6414.5114999999987</v>
      </c>
      <c r="G32" s="2">
        <f>YearMap!C2</f>
        <v>1404302.8695</v>
      </c>
      <c r="H32" s="2">
        <f>YearMap!D2</f>
        <v>1617407.196</v>
      </c>
      <c r="I32" t="str">
        <f t="shared" si="3"/>
        <v>D_Grow_Both_Targets|FY2026</v>
      </c>
      <c r="O32" t="s">
        <v>636</v>
      </c>
      <c r="P32" t="s">
        <v>636</v>
      </c>
    </row>
    <row r="33" spans="1:16">
      <c r="A33" t="str">
        <f>A5</f>
        <v>D_Grow_Both_Targets</v>
      </c>
      <c r="B33" t="s">
        <v>71</v>
      </c>
      <c r="C33">
        <f>IF(D5=1,0, BaselineCalc!$B$7 + ROUND(J5*F5,0))</f>
        <v>382</v>
      </c>
      <c r="D33">
        <f>IF(E5=1,0, BaselineCalc!$B$8 + J5 - ROUND(J5*F5,0))</f>
        <v>421</v>
      </c>
      <c r="E33">
        <f t="shared" si="2"/>
        <v>803</v>
      </c>
      <c r="F33" s="2">
        <f>YearMap!B3</f>
        <v>6574.8742874999989</v>
      </c>
      <c r="G33" s="2">
        <f>YearMap!C3</f>
        <v>1439410.4412375002</v>
      </c>
      <c r="H33" s="2">
        <f>YearMap!D3</f>
        <v>1657842.3759000003</v>
      </c>
      <c r="I33" t="str">
        <f t="shared" si="3"/>
        <v>D_Grow_Both_Targets|FY2027</v>
      </c>
      <c r="O33" t="s">
        <v>636</v>
      </c>
      <c r="P33" t="s">
        <v>636</v>
      </c>
    </row>
    <row r="34" spans="1:16">
      <c r="A34" t="str">
        <f>A5</f>
        <v>D_Grow_Both_Targets</v>
      </c>
      <c r="B34" t="s">
        <v>72</v>
      </c>
      <c r="C34">
        <f>IF(D5=1,0, BaselineCalc!$B$7 + ROUND(K5*F5,0))</f>
        <v>382</v>
      </c>
      <c r="D34">
        <f>IF(E5=1,0, BaselineCalc!$B$8 + K5 - ROUND(K5*F5,0))</f>
        <v>421</v>
      </c>
      <c r="E34">
        <f t="shared" si="2"/>
        <v>803</v>
      </c>
      <c r="F34" s="2">
        <f>YearMap!B4</f>
        <v>6739.2461446874986</v>
      </c>
      <c r="G34" s="2">
        <f>YearMap!C4</f>
        <v>1475395.7022684375</v>
      </c>
      <c r="H34" s="2">
        <f>YearMap!D4</f>
        <v>1699288.4352975001</v>
      </c>
      <c r="I34" t="str">
        <f t="shared" si="3"/>
        <v>D_Grow_Both_Targets|FY2028</v>
      </c>
      <c r="O34" t="s">
        <v>636</v>
      </c>
      <c r="P34" t="s">
        <v>636</v>
      </c>
    </row>
    <row r="35" spans="1:16">
      <c r="A35" t="str">
        <f>A5</f>
        <v>D_Grow_Both_Targets</v>
      </c>
      <c r="B35" t="s">
        <v>73</v>
      </c>
      <c r="C35">
        <f>IF(D5=1,0, BaselineCalc!$B$7 + ROUND(L5*F5,0))</f>
        <v>382</v>
      </c>
      <c r="D35">
        <f>IF(E5=1,0, BaselineCalc!$B$8 + L5 - ROUND(L5*F5,0))</f>
        <v>421</v>
      </c>
      <c r="E35">
        <f t="shared" si="2"/>
        <v>803</v>
      </c>
      <c r="F35" s="2">
        <f>YearMap!B5</f>
        <v>6907.7272983046851</v>
      </c>
      <c r="G35" s="2">
        <f>YearMap!C5</f>
        <v>1512280.5948251483</v>
      </c>
      <c r="H35" s="2">
        <f>YearMap!D5</f>
        <v>1741770.6461799373</v>
      </c>
      <c r="I35" t="str">
        <f t="shared" si="3"/>
        <v>D_Grow_Both_Targets|FY2029</v>
      </c>
      <c r="O35" t="s">
        <v>636</v>
      </c>
      <c r="P35" t="s">
        <v>636</v>
      </c>
    </row>
    <row r="36" spans="1:16">
      <c r="A36" t="str">
        <f>A5</f>
        <v>D_Grow_Both_Targets</v>
      </c>
      <c r="B36" t="s">
        <v>74</v>
      </c>
      <c r="C36">
        <f>IF(D5=1,0, BaselineCalc!$B$7 + ROUND(M5*F5,0))</f>
        <v>382</v>
      </c>
      <c r="D36">
        <f>IF(E5=1,0, BaselineCalc!$B$8 + M5 - ROUND(M5*F5,0))</f>
        <v>421</v>
      </c>
      <c r="E36">
        <f t="shared" si="2"/>
        <v>803</v>
      </c>
      <c r="F36" s="2">
        <f>YearMap!B6</f>
        <v>7080.4204807623018</v>
      </c>
      <c r="G36" s="2">
        <f>YearMap!C6</f>
        <v>1550087.6096957768</v>
      </c>
      <c r="H36" s="2">
        <f>YearMap!D6</f>
        <v>1785314.9123344356</v>
      </c>
      <c r="I36" t="str">
        <f t="shared" si="3"/>
        <v>D_Grow_Both_Targets|FY2030</v>
      </c>
      <c r="O36" t="s">
        <v>636</v>
      </c>
      <c r="P36" t="s">
        <v>636</v>
      </c>
    </row>
    <row r="37" spans="1:16">
      <c r="A37" t="str">
        <f>A6</f>
        <v>D_CUSTOM2</v>
      </c>
      <c r="B37" t="s">
        <v>70</v>
      </c>
      <c r="C37">
        <f>IF(D6=1,0, BaselineCalc!$B$7 + ROUND(I6*F6,0))</f>
        <v>257</v>
      </c>
      <c r="D37">
        <f>IF(E6=1,0, BaselineCalc!$B$8 + I6 - ROUND(I6*F6,0))</f>
        <v>296</v>
      </c>
      <c r="E37">
        <f t="shared" si="2"/>
        <v>553</v>
      </c>
      <c r="F37" s="2">
        <f>YearMap!B2</f>
        <v>6414.5114999999987</v>
      </c>
      <c r="G37" s="2">
        <f>YearMap!C2</f>
        <v>1404302.8695</v>
      </c>
      <c r="H37" s="2">
        <f>YearMap!D2</f>
        <v>1617407.196</v>
      </c>
      <c r="I37" t="str">
        <f t="shared" si="3"/>
        <v>D_CUSTOM2|FY2026</v>
      </c>
      <c r="O37" t="s">
        <v>636</v>
      </c>
      <c r="P37" t="s">
        <v>636</v>
      </c>
    </row>
    <row r="38" spans="1:16">
      <c r="A38" t="str">
        <f>A6</f>
        <v>D_CUSTOM2</v>
      </c>
      <c r="B38" t="s">
        <v>71</v>
      </c>
      <c r="C38">
        <f>IF(D6=1,0, BaselineCalc!$B$7 + ROUND(J6*F6,0))</f>
        <v>257</v>
      </c>
      <c r="D38">
        <f>IF(E6=1,0, BaselineCalc!$B$8 + J6 - ROUND(J6*F6,0))</f>
        <v>296</v>
      </c>
      <c r="E38">
        <f t="shared" si="2"/>
        <v>553</v>
      </c>
      <c r="F38" s="2">
        <f>YearMap!B3</f>
        <v>6574.8742874999989</v>
      </c>
      <c r="G38" s="2">
        <f>YearMap!C3</f>
        <v>1439410.4412375002</v>
      </c>
      <c r="H38" s="2">
        <f>YearMap!D3</f>
        <v>1657842.3759000003</v>
      </c>
      <c r="I38" t="str">
        <f t="shared" si="3"/>
        <v>D_CUSTOM2|FY2027</v>
      </c>
      <c r="O38" t="s">
        <v>636</v>
      </c>
      <c r="P38" t="s">
        <v>636</v>
      </c>
    </row>
    <row r="39" spans="1:16">
      <c r="A39" t="str">
        <f>A6</f>
        <v>D_CUSTOM2</v>
      </c>
      <c r="B39" t="s">
        <v>72</v>
      </c>
      <c r="C39">
        <f>IF(D6=1,0, BaselineCalc!$B$7 + ROUND(K6*F6,0))</f>
        <v>257</v>
      </c>
      <c r="D39">
        <f>IF(E6=1,0, BaselineCalc!$B$8 + K6 - ROUND(K6*F6,0))</f>
        <v>296</v>
      </c>
      <c r="E39">
        <f t="shared" si="2"/>
        <v>553</v>
      </c>
      <c r="F39" s="2">
        <f>YearMap!B4</f>
        <v>6739.2461446874986</v>
      </c>
      <c r="G39" s="2">
        <f>YearMap!C4</f>
        <v>1475395.7022684375</v>
      </c>
      <c r="H39" s="2">
        <f>YearMap!D4</f>
        <v>1699288.4352975001</v>
      </c>
      <c r="I39" t="str">
        <f t="shared" si="3"/>
        <v>D_CUSTOM2|FY2028</v>
      </c>
      <c r="O39" t="s">
        <v>636</v>
      </c>
      <c r="P39" t="s">
        <v>636</v>
      </c>
    </row>
    <row r="40" spans="1:16">
      <c r="A40" t="str">
        <f>A6</f>
        <v>D_CUSTOM2</v>
      </c>
      <c r="B40" t="s">
        <v>73</v>
      </c>
      <c r="C40">
        <f>IF(D6=1,0, BaselineCalc!$B$7 + ROUND(L6*F6,0))</f>
        <v>257</v>
      </c>
      <c r="D40">
        <f>IF(E6=1,0, BaselineCalc!$B$8 + L6 - ROUND(L6*F6,0))</f>
        <v>296</v>
      </c>
      <c r="E40">
        <f t="shared" si="2"/>
        <v>553</v>
      </c>
      <c r="F40" s="2">
        <f>YearMap!B5</f>
        <v>6907.7272983046851</v>
      </c>
      <c r="G40" s="2">
        <f>YearMap!C5</f>
        <v>1512280.5948251483</v>
      </c>
      <c r="H40" s="2">
        <f>YearMap!D5</f>
        <v>1741770.6461799373</v>
      </c>
      <c r="I40" t="str">
        <f t="shared" si="3"/>
        <v>D_CUSTOM2|FY2029</v>
      </c>
      <c r="O40" t="s">
        <v>636</v>
      </c>
      <c r="P40" t="s">
        <v>636</v>
      </c>
    </row>
    <row r="41" spans="1:16">
      <c r="A41" t="str">
        <f>A6</f>
        <v>D_CUSTOM2</v>
      </c>
      <c r="B41" t="s">
        <v>74</v>
      </c>
      <c r="C41">
        <f>IF(D6=1,0, BaselineCalc!$B$7 + ROUND(M6*F6,0))</f>
        <v>257</v>
      </c>
      <c r="D41">
        <f>IF(E6=1,0, BaselineCalc!$B$8 + M6 - ROUND(M6*F6,0))</f>
        <v>296</v>
      </c>
      <c r="E41">
        <f t="shared" si="2"/>
        <v>553</v>
      </c>
      <c r="F41" s="2">
        <f>YearMap!B6</f>
        <v>7080.4204807623018</v>
      </c>
      <c r="G41" s="2">
        <f>YearMap!C6</f>
        <v>1550087.6096957768</v>
      </c>
      <c r="H41" s="2">
        <f>YearMap!D6</f>
        <v>1785314.9123344356</v>
      </c>
      <c r="I41" t="str">
        <f t="shared" si="3"/>
        <v>D_CUSTOM2|FY2030</v>
      </c>
      <c r="O41" t="s">
        <v>636</v>
      </c>
      <c r="P41" t="s">
        <v>636</v>
      </c>
    </row>
    <row r="42" spans="1:16">
      <c r="A42" t="str">
        <f>A7</f>
        <v>G_EchoGHubRamp_PimaTargets</v>
      </c>
      <c r="B42" t="s">
        <v>70</v>
      </c>
      <c r="C42">
        <f>IF(D7=1,0, BaselineCalc!$B$7 + ROUND(I7*F7,0))</f>
        <v>292</v>
      </c>
      <c r="D42">
        <f>IF(E7=1,0, BaselineCalc!$B$8 + I7 - ROUND(I7*F7,0))</f>
        <v>311</v>
      </c>
      <c r="E42">
        <f t="shared" si="2"/>
        <v>603</v>
      </c>
      <c r="F42" s="2">
        <f>YearMap!B2</f>
        <v>6414.5114999999987</v>
      </c>
      <c r="G42" s="2">
        <f>YearMap!C2</f>
        <v>1404302.8695</v>
      </c>
      <c r="H42" s="2">
        <f>YearMap!D2</f>
        <v>1617407.196</v>
      </c>
      <c r="I42" t="str">
        <f t="shared" si="3"/>
        <v>G_EchoGHubRamp_PimaTargets|FY2026</v>
      </c>
      <c r="O42" t="s">
        <v>636</v>
      </c>
      <c r="P42" t="s">
        <v>636</v>
      </c>
    </row>
    <row r="43" spans="1:16">
      <c r="A43" t="str">
        <f>A7</f>
        <v>G_EchoGHubRamp_PimaTargets</v>
      </c>
      <c r="B43" t="s">
        <v>71</v>
      </c>
      <c r="C43">
        <f>IF(D7=1,0, BaselineCalc!$B$7 + ROUND(J7*F7,0))</f>
        <v>327</v>
      </c>
      <c r="D43">
        <f>IF(E7=1,0, BaselineCalc!$B$8 + J7 - ROUND(J7*F7,0))</f>
        <v>326</v>
      </c>
      <c r="E43">
        <f t="shared" si="2"/>
        <v>653</v>
      </c>
      <c r="F43" s="2">
        <f>YearMap!B3</f>
        <v>6574.8742874999989</v>
      </c>
      <c r="G43" s="2">
        <f>YearMap!C3</f>
        <v>1439410.4412375002</v>
      </c>
      <c r="H43" s="2">
        <f>YearMap!D3</f>
        <v>1657842.3759000003</v>
      </c>
      <c r="I43" t="str">
        <f t="shared" si="3"/>
        <v>G_EchoGHubRamp_PimaTargets|FY2027</v>
      </c>
      <c r="O43" t="s">
        <v>636</v>
      </c>
      <c r="P43" t="s">
        <v>636</v>
      </c>
    </row>
    <row r="44" spans="1:16">
      <c r="A44" t="str">
        <f>A7</f>
        <v>G_EchoGHubRamp_PimaTargets</v>
      </c>
      <c r="B44" t="s">
        <v>72</v>
      </c>
      <c r="C44">
        <f>IF(D7=1,0, BaselineCalc!$B$7 + ROUND(K7*F7,0))</f>
        <v>362</v>
      </c>
      <c r="D44">
        <f>IF(E7=1,0, BaselineCalc!$B$8 + K7 - ROUND(K7*F7,0))</f>
        <v>341</v>
      </c>
      <c r="E44">
        <f t="shared" si="2"/>
        <v>703</v>
      </c>
      <c r="F44" s="2">
        <f>YearMap!B4</f>
        <v>6739.2461446874986</v>
      </c>
      <c r="G44" s="2">
        <f>YearMap!C4</f>
        <v>1475395.7022684375</v>
      </c>
      <c r="H44" s="2">
        <f>YearMap!D4</f>
        <v>1699288.4352975001</v>
      </c>
      <c r="I44" t="str">
        <f t="shared" si="3"/>
        <v>G_EchoGHubRamp_PimaTargets|FY2028</v>
      </c>
      <c r="O44" t="s">
        <v>636</v>
      </c>
      <c r="P44" t="s">
        <v>636</v>
      </c>
    </row>
    <row r="45" spans="1:16">
      <c r="A45" t="str">
        <f>A7</f>
        <v>G_EchoGHubRamp_PimaTargets</v>
      </c>
      <c r="B45" t="s">
        <v>73</v>
      </c>
      <c r="C45">
        <f>IF(D7=1,0, BaselineCalc!$B$7 + ROUND(L7*F7,0))</f>
        <v>362</v>
      </c>
      <c r="D45">
        <f>IF(E7=1,0, BaselineCalc!$B$8 + L7 - ROUND(L7*F7,0))</f>
        <v>341</v>
      </c>
      <c r="E45">
        <f t="shared" si="2"/>
        <v>703</v>
      </c>
      <c r="F45" s="2">
        <f>YearMap!B5</f>
        <v>6907.7272983046851</v>
      </c>
      <c r="G45" s="2">
        <f>YearMap!C5</f>
        <v>1512280.5948251483</v>
      </c>
      <c r="H45" s="2">
        <f>YearMap!D5</f>
        <v>1741770.6461799373</v>
      </c>
      <c r="I45" t="str">
        <f t="shared" si="3"/>
        <v>G_EchoGHubRamp_PimaTargets|FY2029</v>
      </c>
      <c r="O45" t="s">
        <v>636</v>
      </c>
      <c r="P45" t="s">
        <v>636</v>
      </c>
    </row>
    <row r="46" spans="1:16">
      <c r="A46" t="str">
        <f>A7</f>
        <v>G_EchoGHubRamp_PimaTargets</v>
      </c>
      <c r="B46" t="s">
        <v>74</v>
      </c>
      <c r="C46">
        <f>IF(D7=1,0, BaselineCalc!$B$7 + ROUND(M7*F7,0))</f>
        <v>362</v>
      </c>
      <c r="D46">
        <f>IF(E7=1,0, BaselineCalc!$B$8 + M7 - ROUND(M7*F7,0))</f>
        <v>341</v>
      </c>
      <c r="E46">
        <f t="shared" si="2"/>
        <v>703</v>
      </c>
      <c r="F46" s="2">
        <f>YearMap!B6</f>
        <v>7080.4204807623018</v>
      </c>
      <c r="G46" s="2">
        <f>YearMap!C6</f>
        <v>1550087.6096957768</v>
      </c>
      <c r="H46" s="2">
        <f>YearMap!D6</f>
        <v>1785314.9123344356</v>
      </c>
      <c r="I46" t="str">
        <f t="shared" si="3"/>
        <v>G_EchoGHubRamp_PimaTargets|FY2030</v>
      </c>
      <c r="O46" t="s">
        <v>636</v>
      </c>
      <c r="P46" t="s">
        <v>636</v>
      </c>
    </row>
    <row r="47" spans="1:16">
      <c r="A47" t="str">
        <f>A8</f>
        <v>A_Repurpose_Both_lease</v>
      </c>
      <c r="B47" t="s">
        <v>70</v>
      </c>
      <c r="C47">
        <f>IF(D8=1,0, BaselineCalc!$B$7 + ROUND(I8*F8,0))</f>
        <v>0</v>
      </c>
      <c r="D47">
        <f>IF(E8=1,0, BaselineCalc!$B$8 + I8 - ROUND(I8*F8,0))</f>
        <v>0</v>
      </c>
      <c r="E47">
        <f t="shared" si="2"/>
        <v>0</v>
      </c>
      <c r="F47" s="2">
        <f>YearMap!B2</f>
        <v>6414.5114999999987</v>
      </c>
      <c r="G47" s="2">
        <f>YearMap!C2</f>
        <v>1404302.8695</v>
      </c>
      <c r="H47" s="2">
        <f>YearMap!D2</f>
        <v>1617407.196</v>
      </c>
      <c r="I47" t="str">
        <f t="shared" si="3"/>
        <v>A_Repurpose_Both_lease|FY2026</v>
      </c>
      <c r="O47" t="s">
        <v>636</v>
      </c>
      <c r="P47" t="s">
        <v>636</v>
      </c>
    </row>
    <row r="48" spans="1:16">
      <c r="A48" t="str">
        <f>A8</f>
        <v>A_Repurpose_Both_lease</v>
      </c>
      <c r="B48" t="s">
        <v>71</v>
      </c>
      <c r="C48">
        <f>IF(D8=1,0, BaselineCalc!$B$7 + ROUND(J8*F8,0))</f>
        <v>0</v>
      </c>
      <c r="D48">
        <f>IF(E8=1,0, BaselineCalc!$B$8 + J8 - ROUND(J8*F8,0))</f>
        <v>0</v>
      </c>
      <c r="E48">
        <f t="shared" si="2"/>
        <v>0</v>
      </c>
      <c r="F48" s="2">
        <f>YearMap!B3</f>
        <v>6574.8742874999989</v>
      </c>
      <c r="G48" s="2">
        <f>YearMap!C3</f>
        <v>1439410.4412375002</v>
      </c>
      <c r="H48" s="2">
        <f>YearMap!D3</f>
        <v>1657842.3759000003</v>
      </c>
      <c r="I48" t="str">
        <f t="shared" si="3"/>
        <v>A_Repurpose_Both_lease|FY2027</v>
      </c>
      <c r="O48" t="s">
        <v>636</v>
      </c>
      <c r="P48" t="s">
        <v>636</v>
      </c>
    </row>
    <row r="49" spans="1:16">
      <c r="A49" t="str">
        <f>A8</f>
        <v>A_Repurpose_Both_lease</v>
      </c>
      <c r="B49" t="s">
        <v>72</v>
      </c>
      <c r="C49">
        <f>IF(D8=1,0, BaselineCalc!$B$7 + ROUND(K8*F8,0))</f>
        <v>0</v>
      </c>
      <c r="D49">
        <f>IF(E8=1,0, BaselineCalc!$B$8 + K8 - ROUND(K8*F8,0))</f>
        <v>0</v>
      </c>
      <c r="E49">
        <f t="shared" ref="E49:E80" si="4">C49+D49</f>
        <v>0</v>
      </c>
      <c r="F49" s="2">
        <f>YearMap!B4</f>
        <v>6739.2461446874986</v>
      </c>
      <c r="G49" s="2">
        <f>YearMap!C4</f>
        <v>1475395.7022684375</v>
      </c>
      <c r="H49" s="2">
        <f>YearMap!D4</f>
        <v>1699288.4352975001</v>
      </c>
      <c r="I49" t="str">
        <f t="shared" ref="I49:I76" si="5">A49&amp;"|"&amp;B49</f>
        <v>A_Repurpose_Both_lease|FY2028</v>
      </c>
      <c r="O49" t="s">
        <v>636</v>
      </c>
      <c r="P49" t="s">
        <v>636</v>
      </c>
    </row>
    <row r="50" spans="1:16">
      <c r="A50" t="str">
        <f>A8</f>
        <v>A_Repurpose_Both_lease</v>
      </c>
      <c r="B50" t="s">
        <v>73</v>
      </c>
      <c r="C50">
        <f>IF(D8=1,0, BaselineCalc!$B$7 + ROUND(L8*F8,0))</f>
        <v>0</v>
      </c>
      <c r="D50">
        <f>IF(E8=1,0, BaselineCalc!$B$8 + L8 - ROUND(L8*F8,0))</f>
        <v>0</v>
      </c>
      <c r="E50">
        <f t="shared" si="4"/>
        <v>0</v>
      </c>
      <c r="F50" s="2">
        <f>YearMap!B5</f>
        <v>6907.7272983046851</v>
      </c>
      <c r="G50" s="2">
        <f>YearMap!C5</f>
        <v>1512280.5948251483</v>
      </c>
      <c r="H50" s="2">
        <f>YearMap!D5</f>
        <v>1741770.6461799373</v>
      </c>
      <c r="I50" t="str">
        <f t="shared" si="5"/>
        <v>A_Repurpose_Both_lease|FY2029</v>
      </c>
      <c r="O50" t="s">
        <v>636</v>
      </c>
      <c r="P50" t="s">
        <v>636</v>
      </c>
    </row>
    <row r="51" spans="1:16">
      <c r="A51" t="str">
        <f>A8</f>
        <v>A_Repurpose_Both_lease</v>
      </c>
      <c r="B51" t="s">
        <v>74</v>
      </c>
      <c r="C51">
        <f>IF(D8=1,0, BaselineCalc!$B$7 + ROUND(M8*F8,0))</f>
        <v>0</v>
      </c>
      <c r="D51">
        <f>IF(E8=1,0, BaselineCalc!$B$8 + M8 - ROUND(M8*F8,0))</f>
        <v>0</v>
      </c>
      <c r="E51">
        <f t="shared" si="4"/>
        <v>0</v>
      </c>
      <c r="F51" s="2">
        <f>YearMap!B6</f>
        <v>7080.4204807623018</v>
      </c>
      <c r="G51" s="2">
        <f>YearMap!C6</f>
        <v>1550087.6096957768</v>
      </c>
      <c r="H51" s="2">
        <f>YearMap!D6</f>
        <v>1785314.9123344356</v>
      </c>
      <c r="I51" t="str">
        <f t="shared" si="5"/>
        <v>A_Repurpose_Both_lease|FY2030</v>
      </c>
      <c r="O51" t="s">
        <v>636</v>
      </c>
      <c r="P51" t="s">
        <v>636</v>
      </c>
    </row>
    <row r="52" spans="1:16">
      <c r="A52" t="str">
        <f>A9</f>
        <v>A_Repurpose_Both_ops</v>
      </c>
      <c r="B52" t="s">
        <v>70</v>
      </c>
      <c r="C52">
        <f>IF(D9=1,0, BaselineCalc!$B$7 + ROUND(I9*F9,0))</f>
        <v>0</v>
      </c>
      <c r="D52">
        <f>IF(E9=1,0, BaselineCalc!$B$8 + I9 - ROUND(I9*F9,0))</f>
        <v>0</v>
      </c>
      <c r="E52">
        <f t="shared" si="4"/>
        <v>0</v>
      </c>
      <c r="F52" s="2">
        <f>YearMap!B2</f>
        <v>6414.5114999999987</v>
      </c>
      <c r="G52" s="2">
        <f>YearMap!C2</f>
        <v>1404302.8695</v>
      </c>
      <c r="H52" s="2">
        <f>YearMap!D2</f>
        <v>1617407.196</v>
      </c>
      <c r="I52" t="str">
        <f t="shared" si="5"/>
        <v>A_Repurpose_Both_ops|FY2026</v>
      </c>
      <c r="O52" t="s">
        <v>636</v>
      </c>
      <c r="P52" t="s">
        <v>636</v>
      </c>
    </row>
    <row r="53" spans="1:16">
      <c r="A53" t="str">
        <f>A9</f>
        <v>A_Repurpose_Both_ops</v>
      </c>
      <c r="B53" t="s">
        <v>71</v>
      </c>
      <c r="C53">
        <f>IF(D9=1,0, BaselineCalc!$B$7 + ROUND(J9*F9,0))</f>
        <v>0</v>
      </c>
      <c r="D53">
        <f>IF(E9=1,0, BaselineCalc!$B$8 + J9 - ROUND(J9*F9,0))</f>
        <v>0</v>
      </c>
      <c r="E53">
        <f t="shared" si="4"/>
        <v>0</v>
      </c>
      <c r="F53" s="2">
        <f>YearMap!B3</f>
        <v>6574.8742874999989</v>
      </c>
      <c r="G53" s="2">
        <f>YearMap!C3</f>
        <v>1439410.4412375002</v>
      </c>
      <c r="H53" s="2">
        <f>YearMap!D3</f>
        <v>1657842.3759000003</v>
      </c>
      <c r="I53" t="str">
        <f t="shared" si="5"/>
        <v>A_Repurpose_Both_ops|FY2027</v>
      </c>
      <c r="O53" t="s">
        <v>636</v>
      </c>
      <c r="P53" t="s">
        <v>636</v>
      </c>
    </row>
    <row r="54" spans="1:16">
      <c r="A54" t="str">
        <f>A9</f>
        <v>A_Repurpose_Both_ops</v>
      </c>
      <c r="B54" t="s">
        <v>72</v>
      </c>
      <c r="C54">
        <f>IF(D9=1,0, BaselineCalc!$B$7 + ROUND(K9*F9,0))</f>
        <v>0</v>
      </c>
      <c r="D54">
        <f>IF(E9=1,0, BaselineCalc!$B$8 + K9 - ROUND(K9*F9,0))</f>
        <v>0</v>
      </c>
      <c r="E54">
        <f t="shared" si="4"/>
        <v>0</v>
      </c>
      <c r="F54" s="2">
        <f>YearMap!B4</f>
        <v>6739.2461446874986</v>
      </c>
      <c r="G54" s="2">
        <f>YearMap!C4</f>
        <v>1475395.7022684375</v>
      </c>
      <c r="H54" s="2">
        <f>YearMap!D4</f>
        <v>1699288.4352975001</v>
      </c>
      <c r="I54" t="str">
        <f t="shared" si="5"/>
        <v>A_Repurpose_Both_ops|FY2028</v>
      </c>
      <c r="O54" t="s">
        <v>636</v>
      </c>
      <c r="P54" t="s">
        <v>636</v>
      </c>
    </row>
    <row r="55" spans="1:16">
      <c r="A55" t="str">
        <f>A9</f>
        <v>A_Repurpose_Both_ops</v>
      </c>
      <c r="B55" t="s">
        <v>73</v>
      </c>
      <c r="C55">
        <f>IF(D9=1,0, BaselineCalc!$B$7 + ROUND(L9*F9,0))</f>
        <v>0</v>
      </c>
      <c r="D55">
        <f>IF(E9=1,0, BaselineCalc!$B$8 + L9 - ROUND(L9*F9,0))</f>
        <v>0</v>
      </c>
      <c r="E55">
        <f t="shared" si="4"/>
        <v>0</v>
      </c>
      <c r="F55" s="2">
        <f>YearMap!B5</f>
        <v>6907.7272983046851</v>
      </c>
      <c r="G55" s="2">
        <f>YearMap!C5</f>
        <v>1512280.5948251483</v>
      </c>
      <c r="H55" s="2">
        <f>YearMap!D5</f>
        <v>1741770.6461799373</v>
      </c>
      <c r="I55" t="str">
        <f t="shared" si="5"/>
        <v>A_Repurpose_Both_ops|FY2029</v>
      </c>
      <c r="O55" t="s">
        <v>636</v>
      </c>
      <c r="P55" t="s">
        <v>636</v>
      </c>
    </row>
    <row r="56" spans="1:16">
      <c r="A56" t="str">
        <f>A9</f>
        <v>A_Repurpose_Both_ops</v>
      </c>
      <c r="B56" t="s">
        <v>74</v>
      </c>
      <c r="C56">
        <f>IF(D9=1,0, BaselineCalc!$B$7 + ROUND(M9*F9,0))</f>
        <v>0</v>
      </c>
      <c r="D56">
        <f>IF(E9=1,0, BaselineCalc!$B$8 + M9 - ROUND(M9*F9,0))</f>
        <v>0</v>
      </c>
      <c r="E56">
        <f t="shared" si="4"/>
        <v>0</v>
      </c>
      <c r="F56" s="2">
        <f>YearMap!B6</f>
        <v>7080.4204807623018</v>
      </c>
      <c r="G56" s="2">
        <f>YearMap!C6</f>
        <v>1550087.6096957768</v>
      </c>
      <c r="H56" s="2">
        <f>YearMap!D6</f>
        <v>1785314.9123344356</v>
      </c>
      <c r="I56" t="str">
        <f t="shared" si="5"/>
        <v>A_Repurpose_Both_ops|FY2030</v>
      </c>
      <c r="O56" t="s">
        <v>636</v>
      </c>
      <c r="P56" t="s">
        <v>636</v>
      </c>
    </row>
    <row r="57" spans="1:16">
      <c r="A57" t="str">
        <f>A10</f>
        <v>B_Repurpose_Echo_lease_PimaTargets</v>
      </c>
      <c r="B57" t="s">
        <v>70</v>
      </c>
      <c r="C57">
        <f>IF(D10=1,0, BaselineCalc!$B$7 + ROUND(I10*F10,0))</f>
        <v>0</v>
      </c>
      <c r="D57">
        <f>IF(E10=1,0, BaselineCalc!$B$8 + I10 - ROUND(I10*F10,0))</f>
        <v>296</v>
      </c>
      <c r="E57">
        <f t="shared" si="4"/>
        <v>296</v>
      </c>
      <c r="F57" s="2">
        <f>YearMap!B2</f>
        <v>6414.5114999999987</v>
      </c>
      <c r="G57" s="2">
        <f>YearMap!C2</f>
        <v>1404302.8695</v>
      </c>
      <c r="H57" s="2">
        <f>YearMap!D2</f>
        <v>1617407.196</v>
      </c>
      <c r="I57" t="str">
        <f t="shared" si="5"/>
        <v>B_Repurpose_Echo_lease_PimaTargets|FY2026</v>
      </c>
      <c r="O57" t="s">
        <v>636</v>
      </c>
      <c r="P57" t="s">
        <v>636</v>
      </c>
    </row>
    <row r="58" spans="1:16">
      <c r="A58" t="str">
        <f>A10</f>
        <v>B_Repurpose_Echo_lease_PimaTargets</v>
      </c>
      <c r="B58" t="s">
        <v>71</v>
      </c>
      <c r="C58">
        <f>IF(D10=1,0, BaselineCalc!$B$7 + ROUND(J10*F10,0))</f>
        <v>0</v>
      </c>
      <c r="D58">
        <f>IF(E10=1,0, BaselineCalc!$B$8 + J10 - ROUND(J10*F10,0))</f>
        <v>296</v>
      </c>
      <c r="E58">
        <f t="shared" si="4"/>
        <v>296</v>
      </c>
      <c r="F58" s="2">
        <f>YearMap!B3</f>
        <v>6574.8742874999989</v>
      </c>
      <c r="G58" s="2">
        <f>YearMap!C3</f>
        <v>1439410.4412375002</v>
      </c>
      <c r="H58" s="2">
        <f>YearMap!D3</f>
        <v>1657842.3759000003</v>
      </c>
      <c r="I58" t="str">
        <f t="shared" si="5"/>
        <v>B_Repurpose_Echo_lease_PimaTargets|FY2027</v>
      </c>
      <c r="O58" t="s">
        <v>636</v>
      </c>
      <c r="P58" t="s">
        <v>636</v>
      </c>
    </row>
    <row r="59" spans="1:16">
      <c r="A59" t="str">
        <f>A10</f>
        <v>B_Repurpose_Echo_lease_PimaTargets</v>
      </c>
      <c r="B59" t="s">
        <v>72</v>
      </c>
      <c r="C59">
        <f>IF(D10=1,0, BaselineCalc!$B$7 + ROUND(K10*F10,0))</f>
        <v>0</v>
      </c>
      <c r="D59">
        <f>IF(E10=1,0, BaselineCalc!$B$8 + K10 - ROUND(K10*F10,0))</f>
        <v>296</v>
      </c>
      <c r="E59">
        <f t="shared" si="4"/>
        <v>296</v>
      </c>
      <c r="F59" s="2">
        <f>YearMap!B4</f>
        <v>6739.2461446874986</v>
      </c>
      <c r="G59" s="2">
        <f>YearMap!C4</f>
        <v>1475395.7022684375</v>
      </c>
      <c r="H59" s="2">
        <f>YearMap!D4</f>
        <v>1699288.4352975001</v>
      </c>
      <c r="I59" t="str">
        <f t="shared" si="5"/>
        <v>B_Repurpose_Echo_lease_PimaTargets|FY2028</v>
      </c>
      <c r="O59" t="s">
        <v>636</v>
      </c>
      <c r="P59" t="s">
        <v>636</v>
      </c>
    </row>
    <row r="60" spans="1:16">
      <c r="A60" t="str">
        <f>A10</f>
        <v>B_Repurpose_Echo_lease_PimaTargets</v>
      </c>
      <c r="B60" t="s">
        <v>73</v>
      </c>
      <c r="C60">
        <f>IF(D10=1,0, BaselineCalc!$B$7 + ROUND(L10*F10,0))</f>
        <v>0</v>
      </c>
      <c r="D60">
        <f>IF(E10=1,0, BaselineCalc!$B$8 + L10 - ROUND(L10*F10,0))</f>
        <v>296</v>
      </c>
      <c r="E60">
        <f t="shared" si="4"/>
        <v>296</v>
      </c>
      <c r="F60" s="2">
        <f>YearMap!B5</f>
        <v>6907.7272983046851</v>
      </c>
      <c r="G60" s="2">
        <f>YearMap!C5</f>
        <v>1512280.5948251483</v>
      </c>
      <c r="H60" s="2">
        <f>YearMap!D5</f>
        <v>1741770.6461799373</v>
      </c>
      <c r="I60" t="str">
        <f t="shared" si="5"/>
        <v>B_Repurpose_Echo_lease_PimaTargets|FY2029</v>
      </c>
      <c r="O60" t="s">
        <v>636</v>
      </c>
      <c r="P60" t="s">
        <v>636</v>
      </c>
    </row>
    <row r="61" spans="1:16">
      <c r="A61" t="str">
        <f>A10</f>
        <v>B_Repurpose_Echo_lease_PimaTargets</v>
      </c>
      <c r="B61" t="s">
        <v>74</v>
      </c>
      <c r="C61">
        <f>IF(D10=1,0, BaselineCalc!$B$7 + ROUND(M10*F10,0))</f>
        <v>0</v>
      </c>
      <c r="D61">
        <f>IF(E10=1,0, BaselineCalc!$B$8 + M10 - ROUND(M10*F10,0))</f>
        <v>296</v>
      </c>
      <c r="E61">
        <f t="shared" si="4"/>
        <v>296</v>
      </c>
      <c r="F61" s="2">
        <f>YearMap!B6</f>
        <v>7080.4204807623018</v>
      </c>
      <c r="G61" s="2">
        <f>YearMap!C6</f>
        <v>1550087.6096957768</v>
      </c>
      <c r="H61" s="2">
        <f>YearMap!D6</f>
        <v>1785314.9123344356</v>
      </c>
      <c r="I61" t="str">
        <f t="shared" si="5"/>
        <v>B_Repurpose_Echo_lease_PimaTargets|FY2030</v>
      </c>
      <c r="O61" t="s">
        <v>636</v>
      </c>
      <c r="P61" t="s">
        <v>636</v>
      </c>
    </row>
    <row r="62" spans="1:16">
      <c r="A62" t="str">
        <f>A11</f>
        <v>B_Repurpose_Echo_ops_PimaTargets</v>
      </c>
      <c r="B62" t="s">
        <v>70</v>
      </c>
      <c r="C62">
        <f>IF(D11=1,0, BaselineCalc!$B$7 + ROUND(I11*F11,0))</f>
        <v>0</v>
      </c>
      <c r="D62">
        <f>IF(E11=1,0, BaselineCalc!$B$8 + I11 - ROUND(I11*F11,0))</f>
        <v>446</v>
      </c>
      <c r="E62">
        <f t="shared" si="4"/>
        <v>446</v>
      </c>
      <c r="F62" s="2">
        <f>YearMap!B2</f>
        <v>6414.5114999999987</v>
      </c>
      <c r="G62" s="2">
        <f>YearMap!C2</f>
        <v>1404302.8695</v>
      </c>
      <c r="H62" s="2">
        <f>YearMap!D2</f>
        <v>1617407.196</v>
      </c>
      <c r="I62" t="str">
        <f t="shared" si="5"/>
        <v>B_Repurpose_Echo_ops_PimaTargets|FY2026</v>
      </c>
      <c r="O62" t="s">
        <v>636</v>
      </c>
      <c r="P62" t="s">
        <v>636</v>
      </c>
    </row>
    <row r="63" spans="1:16">
      <c r="A63" t="str">
        <f>A11</f>
        <v>B_Repurpose_Echo_ops_PimaTargets</v>
      </c>
      <c r="B63" t="s">
        <v>71</v>
      </c>
      <c r="C63">
        <f>IF(D11=1,0, BaselineCalc!$B$7 + ROUND(J11*F11,0))</f>
        <v>0</v>
      </c>
      <c r="D63">
        <f>IF(E11=1,0, BaselineCalc!$B$8 + J11 - ROUND(J11*F11,0))</f>
        <v>446</v>
      </c>
      <c r="E63">
        <f t="shared" si="4"/>
        <v>446</v>
      </c>
      <c r="F63" s="2">
        <f>YearMap!B3</f>
        <v>6574.8742874999989</v>
      </c>
      <c r="G63" s="2">
        <f>YearMap!C3</f>
        <v>1439410.4412375002</v>
      </c>
      <c r="H63" s="2">
        <f>YearMap!D3</f>
        <v>1657842.3759000003</v>
      </c>
      <c r="I63" t="str">
        <f t="shared" si="5"/>
        <v>B_Repurpose_Echo_ops_PimaTargets|FY2027</v>
      </c>
      <c r="O63" t="s">
        <v>636</v>
      </c>
      <c r="P63" t="s">
        <v>636</v>
      </c>
    </row>
    <row r="64" spans="1:16">
      <c r="A64" t="str">
        <f>A11</f>
        <v>B_Repurpose_Echo_ops_PimaTargets</v>
      </c>
      <c r="B64" t="s">
        <v>72</v>
      </c>
      <c r="C64">
        <f>IF(D11=1,0, BaselineCalc!$B$7 + ROUND(K11*F11,0))</f>
        <v>0</v>
      </c>
      <c r="D64">
        <f>IF(E11=1,0, BaselineCalc!$B$8 + K11 - ROUND(K11*F11,0))</f>
        <v>446</v>
      </c>
      <c r="E64">
        <f t="shared" si="4"/>
        <v>446</v>
      </c>
      <c r="F64" s="2">
        <f>YearMap!B4</f>
        <v>6739.2461446874986</v>
      </c>
      <c r="G64" s="2">
        <f>YearMap!C4</f>
        <v>1475395.7022684375</v>
      </c>
      <c r="H64" s="2">
        <f>YearMap!D4</f>
        <v>1699288.4352975001</v>
      </c>
      <c r="I64" t="str">
        <f t="shared" si="5"/>
        <v>B_Repurpose_Echo_ops_PimaTargets|FY2028</v>
      </c>
      <c r="O64" t="s">
        <v>636</v>
      </c>
      <c r="P64" t="s">
        <v>636</v>
      </c>
    </row>
    <row r="65" spans="1:16">
      <c r="A65" t="str">
        <f>A11</f>
        <v>B_Repurpose_Echo_ops_PimaTargets</v>
      </c>
      <c r="B65" t="s">
        <v>73</v>
      </c>
      <c r="C65">
        <f>IF(D11=1,0, BaselineCalc!$B$7 + ROUND(L11*F11,0))</f>
        <v>0</v>
      </c>
      <c r="D65">
        <f>IF(E11=1,0, BaselineCalc!$B$8 + L11 - ROUND(L11*F11,0))</f>
        <v>446</v>
      </c>
      <c r="E65">
        <f t="shared" si="4"/>
        <v>446</v>
      </c>
      <c r="F65" s="2">
        <f>YearMap!B5</f>
        <v>6907.7272983046851</v>
      </c>
      <c r="G65" s="2">
        <f>YearMap!C5</f>
        <v>1512280.5948251483</v>
      </c>
      <c r="H65" s="2">
        <f>YearMap!D5</f>
        <v>1741770.6461799373</v>
      </c>
      <c r="I65" t="str">
        <f t="shared" si="5"/>
        <v>B_Repurpose_Echo_ops_PimaTargets|FY2029</v>
      </c>
      <c r="O65" t="s">
        <v>636</v>
      </c>
      <c r="P65" t="s">
        <v>636</v>
      </c>
    </row>
    <row r="66" spans="1:16">
      <c r="A66" t="str">
        <f>A11</f>
        <v>B_Repurpose_Echo_ops_PimaTargets</v>
      </c>
      <c r="B66" t="s">
        <v>74</v>
      </c>
      <c r="C66">
        <f>IF(D11=1,0, BaselineCalc!$B$7 + ROUND(M11*F11,0))</f>
        <v>0</v>
      </c>
      <c r="D66">
        <f>IF(E11=1,0, BaselineCalc!$B$8 + M11 - ROUND(M11*F11,0))</f>
        <v>446</v>
      </c>
      <c r="E66">
        <f t="shared" si="4"/>
        <v>446</v>
      </c>
      <c r="F66" s="2">
        <f>YearMap!B6</f>
        <v>7080.4204807623018</v>
      </c>
      <c r="G66" s="2">
        <f>YearMap!C6</f>
        <v>1550087.6096957768</v>
      </c>
      <c r="H66" s="2">
        <f>YearMap!D6</f>
        <v>1785314.9123344356</v>
      </c>
      <c r="I66" t="str">
        <f t="shared" si="5"/>
        <v>B_Repurpose_Echo_ops_PimaTargets|FY2030</v>
      </c>
      <c r="O66" t="s">
        <v>636</v>
      </c>
      <c r="P66" t="s">
        <v>636</v>
      </c>
    </row>
    <row r="67" spans="1:16">
      <c r="A67" t="str">
        <f>A12</f>
        <v>C_Repurpose_Pima_lease_EchoGHub_EchoTargets</v>
      </c>
      <c r="B67" t="s">
        <v>70</v>
      </c>
      <c r="C67">
        <f>IF(D12=1,0, BaselineCalc!$B$7 + ROUND(I12*F12,0))</f>
        <v>257</v>
      </c>
      <c r="D67">
        <f>IF(E12=1,0, BaselineCalc!$B$8 + I12 - ROUND(I12*F12,0))</f>
        <v>0</v>
      </c>
      <c r="E67">
        <f t="shared" si="4"/>
        <v>257</v>
      </c>
      <c r="F67" s="2">
        <f>YearMap!B2</f>
        <v>6414.5114999999987</v>
      </c>
      <c r="G67" s="2">
        <f>YearMap!C2</f>
        <v>1404302.8695</v>
      </c>
      <c r="H67" s="2">
        <f>YearMap!D2</f>
        <v>1617407.196</v>
      </c>
      <c r="I67" t="str">
        <f t="shared" si="5"/>
        <v>C_Repurpose_Pima_lease_EchoGHub_EchoTargets|FY2026</v>
      </c>
      <c r="O67" t="s">
        <v>636</v>
      </c>
      <c r="P67" t="s">
        <v>636</v>
      </c>
    </row>
    <row r="68" spans="1:16">
      <c r="A68" t="str">
        <f>A12</f>
        <v>C_Repurpose_Pima_lease_EchoGHub_EchoTargets</v>
      </c>
      <c r="B68" t="s">
        <v>71</v>
      </c>
      <c r="C68">
        <f>IF(D12=1,0, BaselineCalc!$B$7 + ROUND(J12*F12,0))</f>
        <v>257</v>
      </c>
      <c r="D68">
        <f>IF(E12=1,0, BaselineCalc!$B$8 + J12 - ROUND(J12*F12,0))</f>
        <v>0</v>
      </c>
      <c r="E68">
        <f t="shared" si="4"/>
        <v>257</v>
      </c>
      <c r="F68" s="2">
        <f>YearMap!B3</f>
        <v>6574.8742874999989</v>
      </c>
      <c r="G68" s="2">
        <f>YearMap!C3</f>
        <v>1439410.4412375002</v>
      </c>
      <c r="H68" s="2">
        <f>YearMap!D3</f>
        <v>1657842.3759000003</v>
      </c>
      <c r="I68" t="str">
        <f t="shared" si="5"/>
        <v>C_Repurpose_Pima_lease_EchoGHub_EchoTargets|FY2027</v>
      </c>
      <c r="O68" t="s">
        <v>636</v>
      </c>
      <c r="P68" t="s">
        <v>636</v>
      </c>
    </row>
    <row r="69" spans="1:16">
      <c r="A69" t="str">
        <f>A12</f>
        <v>C_Repurpose_Pima_lease_EchoGHub_EchoTargets</v>
      </c>
      <c r="B69" t="s">
        <v>72</v>
      </c>
      <c r="C69">
        <f>IF(D12=1,0, BaselineCalc!$B$7 + ROUND(K12*F12,0))</f>
        <v>257</v>
      </c>
      <c r="D69">
        <f>IF(E12=1,0, BaselineCalc!$B$8 + K12 - ROUND(K12*F12,0))</f>
        <v>0</v>
      </c>
      <c r="E69">
        <f t="shared" si="4"/>
        <v>257</v>
      </c>
      <c r="F69" s="2">
        <f>YearMap!B4</f>
        <v>6739.2461446874986</v>
      </c>
      <c r="G69" s="2">
        <f>YearMap!C4</f>
        <v>1475395.7022684375</v>
      </c>
      <c r="H69" s="2">
        <f>YearMap!D4</f>
        <v>1699288.4352975001</v>
      </c>
      <c r="I69" t="str">
        <f t="shared" si="5"/>
        <v>C_Repurpose_Pima_lease_EchoGHub_EchoTargets|FY2028</v>
      </c>
      <c r="O69" t="s">
        <v>636</v>
      </c>
      <c r="P69" t="s">
        <v>636</v>
      </c>
    </row>
    <row r="70" spans="1:16">
      <c r="A70" t="str">
        <f>A12</f>
        <v>C_Repurpose_Pima_lease_EchoGHub_EchoTargets</v>
      </c>
      <c r="B70" t="s">
        <v>73</v>
      </c>
      <c r="C70">
        <f>IF(D12=1,0, BaselineCalc!$B$7 + ROUND(L12*F12,0))</f>
        <v>257</v>
      </c>
      <c r="D70">
        <f>IF(E12=1,0, BaselineCalc!$B$8 + L12 - ROUND(L12*F12,0))</f>
        <v>0</v>
      </c>
      <c r="E70">
        <f t="shared" si="4"/>
        <v>257</v>
      </c>
      <c r="F70" s="2">
        <f>YearMap!B5</f>
        <v>6907.7272983046851</v>
      </c>
      <c r="G70" s="2">
        <f>YearMap!C5</f>
        <v>1512280.5948251483</v>
      </c>
      <c r="H70" s="2">
        <f>YearMap!D5</f>
        <v>1741770.6461799373</v>
      </c>
      <c r="I70" t="str">
        <f t="shared" si="5"/>
        <v>C_Repurpose_Pima_lease_EchoGHub_EchoTargets|FY2029</v>
      </c>
      <c r="O70" t="s">
        <v>636</v>
      </c>
      <c r="P70" t="s">
        <v>636</v>
      </c>
    </row>
    <row r="71" spans="1:16">
      <c r="A71" t="str">
        <f>A12</f>
        <v>C_Repurpose_Pima_lease_EchoGHub_EchoTargets</v>
      </c>
      <c r="B71" t="s">
        <v>74</v>
      </c>
      <c r="C71">
        <f>IF(D12=1,0, BaselineCalc!$B$7 + ROUND(M12*F12,0))</f>
        <v>257</v>
      </c>
      <c r="D71">
        <f>IF(E12=1,0, BaselineCalc!$B$8 + M12 - ROUND(M12*F12,0))</f>
        <v>0</v>
      </c>
      <c r="E71">
        <f t="shared" si="4"/>
        <v>257</v>
      </c>
      <c r="F71" s="2">
        <f>YearMap!B6</f>
        <v>7080.4204807623018</v>
      </c>
      <c r="G71" s="2">
        <f>YearMap!C6</f>
        <v>1550087.6096957768</v>
      </c>
      <c r="H71" s="2">
        <f>YearMap!D6</f>
        <v>1785314.9123344356</v>
      </c>
      <c r="I71" t="str">
        <f t="shared" si="5"/>
        <v>C_Repurpose_Pima_lease_EchoGHub_EchoTargets|FY2030</v>
      </c>
      <c r="O71" t="s">
        <v>636</v>
      </c>
      <c r="P71" t="s">
        <v>636</v>
      </c>
    </row>
    <row r="72" spans="1:16">
      <c r="A72" t="str">
        <f>A13</f>
        <v>C_Repurpose_Pima_ops_EchoGHub_EchoTargets</v>
      </c>
      <c r="B72" t="s">
        <v>70</v>
      </c>
      <c r="C72">
        <f>IF(D13=1,0, BaselineCalc!$B$7 + ROUND(I13*F13,0))</f>
        <v>457</v>
      </c>
      <c r="D72">
        <f>IF(E13=1,0, BaselineCalc!$B$8 + I13 - ROUND(I13*F13,0))</f>
        <v>0</v>
      </c>
      <c r="E72">
        <f t="shared" si="4"/>
        <v>457</v>
      </c>
      <c r="F72" s="2">
        <f>YearMap!B2</f>
        <v>6414.5114999999987</v>
      </c>
      <c r="G72" s="2">
        <f>YearMap!C2</f>
        <v>1404302.8695</v>
      </c>
      <c r="H72" s="2">
        <f>YearMap!D2</f>
        <v>1617407.196</v>
      </c>
      <c r="I72" t="str">
        <f t="shared" si="5"/>
        <v>C_Repurpose_Pima_ops_EchoGHub_EchoTargets|FY2026</v>
      </c>
      <c r="O72" t="s">
        <v>636</v>
      </c>
      <c r="P72" t="s">
        <v>636</v>
      </c>
    </row>
    <row r="73" spans="1:16">
      <c r="A73" t="str">
        <f>A13</f>
        <v>C_Repurpose_Pima_ops_EchoGHub_EchoTargets</v>
      </c>
      <c r="B73" t="s">
        <v>71</v>
      </c>
      <c r="C73">
        <f>IF(D13=1,0, BaselineCalc!$B$7 + ROUND(J13*F13,0))</f>
        <v>457</v>
      </c>
      <c r="D73">
        <f>IF(E13=1,0, BaselineCalc!$B$8 + J13 - ROUND(J13*F13,0))</f>
        <v>0</v>
      </c>
      <c r="E73">
        <f t="shared" si="4"/>
        <v>457</v>
      </c>
      <c r="F73" s="2">
        <f>YearMap!B3</f>
        <v>6574.8742874999989</v>
      </c>
      <c r="G73" s="2">
        <f>YearMap!C3</f>
        <v>1439410.4412375002</v>
      </c>
      <c r="H73" s="2">
        <f>YearMap!D3</f>
        <v>1657842.3759000003</v>
      </c>
      <c r="I73" t="str">
        <f t="shared" si="5"/>
        <v>C_Repurpose_Pima_ops_EchoGHub_EchoTargets|FY2027</v>
      </c>
      <c r="O73" t="s">
        <v>636</v>
      </c>
      <c r="P73" t="s">
        <v>636</v>
      </c>
    </row>
    <row r="74" spans="1:16">
      <c r="A74" t="str">
        <f>A13</f>
        <v>C_Repurpose_Pima_ops_EchoGHub_EchoTargets</v>
      </c>
      <c r="B74" t="s">
        <v>72</v>
      </c>
      <c r="C74">
        <f>IF(D13=1,0, BaselineCalc!$B$7 + ROUND(K13*F13,0))</f>
        <v>457</v>
      </c>
      <c r="D74">
        <f>IF(E13=1,0, BaselineCalc!$B$8 + K13 - ROUND(K13*F13,0))</f>
        <v>0</v>
      </c>
      <c r="E74">
        <f t="shared" si="4"/>
        <v>457</v>
      </c>
      <c r="F74" s="2">
        <f>YearMap!B4</f>
        <v>6739.2461446874986</v>
      </c>
      <c r="G74" s="2">
        <f>YearMap!C4</f>
        <v>1475395.7022684375</v>
      </c>
      <c r="H74" s="2">
        <f>YearMap!D4</f>
        <v>1699288.4352975001</v>
      </c>
      <c r="I74" t="str">
        <f t="shared" si="5"/>
        <v>C_Repurpose_Pima_ops_EchoGHub_EchoTargets|FY2028</v>
      </c>
      <c r="O74" t="s">
        <v>636</v>
      </c>
      <c r="P74" t="s">
        <v>636</v>
      </c>
    </row>
    <row r="75" spans="1:16">
      <c r="A75" t="str">
        <f>A13</f>
        <v>C_Repurpose_Pima_ops_EchoGHub_EchoTargets</v>
      </c>
      <c r="B75" t="s">
        <v>73</v>
      </c>
      <c r="C75">
        <f>IF(D13=1,0, BaselineCalc!$B$7 + ROUND(L13*F13,0))</f>
        <v>457</v>
      </c>
      <c r="D75">
        <f>IF(E13=1,0, BaselineCalc!$B$8 + L13 - ROUND(L13*F13,0))</f>
        <v>0</v>
      </c>
      <c r="E75">
        <f t="shared" si="4"/>
        <v>457</v>
      </c>
      <c r="F75" s="2">
        <f>YearMap!B5</f>
        <v>6907.7272983046851</v>
      </c>
      <c r="G75" s="2">
        <f>YearMap!C5</f>
        <v>1512280.5948251483</v>
      </c>
      <c r="H75" s="2">
        <f>YearMap!D5</f>
        <v>1741770.6461799373</v>
      </c>
      <c r="I75" t="str">
        <f t="shared" si="5"/>
        <v>C_Repurpose_Pima_ops_EchoGHub_EchoTargets|FY2029</v>
      </c>
      <c r="O75" t="s">
        <v>636</v>
      </c>
      <c r="P75" t="s">
        <v>636</v>
      </c>
    </row>
    <row r="76" spans="1:16">
      <c r="A76" t="str">
        <f>A13</f>
        <v>C_Repurpose_Pima_ops_EchoGHub_EchoTargets</v>
      </c>
      <c r="B76" t="s">
        <v>74</v>
      </c>
      <c r="C76">
        <f>IF(D13=1,0, BaselineCalc!$B$7 + ROUND(M13*F13,0))</f>
        <v>457</v>
      </c>
      <c r="D76">
        <f>IF(E13=1,0, BaselineCalc!$B$8 + M13 - ROUND(M13*F13,0))</f>
        <v>0</v>
      </c>
      <c r="E76">
        <f t="shared" si="4"/>
        <v>457</v>
      </c>
      <c r="F76" s="2">
        <f>YearMap!B6</f>
        <v>7080.4204807623018</v>
      </c>
      <c r="G76" s="2">
        <f>YearMap!C6</f>
        <v>1550087.6096957768</v>
      </c>
      <c r="H76" s="2">
        <f>YearMap!D6</f>
        <v>1785314.9123344356</v>
      </c>
      <c r="I76" t="str">
        <f t="shared" si="5"/>
        <v>C_Repurpose_Pima_ops_EchoGHub_EchoTargets|FY2030</v>
      </c>
      <c r="O76" t="s">
        <v>636</v>
      </c>
      <c r="P76" t="s">
        <v>636</v>
      </c>
    </row>
  </sheetData>
  <dataValidations count="1">
    <dataValidation type="list" allowBlank="1" showInputMessage="1" showErrorMessage="1" sqref="O2:P14" xr:uid="{00000000-0002-0000-0C00-000000000000}">
      <formula1>"None, Arts, Innov"</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
  <sheetViews>
    <sheetView workbookViewId="0">
      <selection activeCell="B2" sqref="B2"/>
    </sheetView>
  </sheetViews>
  <sheetFormatPr defaultRowHeight="14.5"/>
  <cols>
    <col min="1" max="1" width="24.90625" bestFit="1" customWidth="1"/>
  </cols>
  <sheetData>
    <row r="1" spans="1:4">
      <c r="A1" t="s">
        <v>87</v>
      </c>
      <c r="B1" t="s">
        <v>88</v>
      </c>
      <c r="D1" t="s">
        <v>666</v>
      </c>
    </row>
    <row r="2" spans="1:4">
      <c r="A2" t="s">
        <v>111</v>
      </c>
      <c r="B2">
        <f>Parameters_Public!$C41</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17"/>
  <sheetViews>
    <sheetView tabSelected="1" zoomScale="40" zoomScaleNormal="40" workbookViewId="0">
      <selection activeCell="D45" sqref="D45"/>
    </sheetView>
  </sheetViews>
  <sheetFormatPr defaultRowHeight="14.5"/>
  <cols>
    <col min="1" max="1" width="43.81640625" bestFit="1" customWidth="1"/>
    <col min="2" max="2" width="17" bestFit="1" customWidth="1"/>
    <col min="3" max="3" width="12.26953125" bestFit="1" customWidth="1"/>
    <col min="4" max="4" width="14.54296875" customWidth="1"/>
    <col min="5" max="6" width="12.453125" bestFit="1" customWidth="1"/>
    <col min="7" max="7" width="11.36328125" bestFit="1" customWidth="1"/>
    <col min="8" max="8" width="12" bestFit="1" customWidth="1"/>
    <col min="9" max="9" width="17.6328125" bestFit="1" customWidth="1"/>
    <col min="10" max="10" width="17.1796875" bestFit="1" customWidth="1"/>
  </cols>
  <sheetData>
    <row r="1" spans="1:13">
      <c r="A1" t="s">
        <v>667</v>
      </c>
      <c r="B1" s="32" t="s">
        <v>663</v>
      </c>
      <c r="M1" s="4" t="s">
        <v>668</v>
      </c>
    </row>
    <row r="2" spans="1:13">
      <c r="M2" s="32" t="str">
        <f>"Change in ops net $ by scenario compared to "&amp;B1&amp;" (Positive = savings)"</f>
        <v>Change in ops net $ by scenario compared to H_StatusQuo_Decline (Positive = savings)</v>
      </c>
    </row>
    <row r="4" spans="1:13">
      <c r="A4" s="43" t="s">
        <v>669</v>
      </c>
      <c r="B4" s="43" t="s">
        <v>670</v>
      </c>
      <c r="C4" s="43" t="s">
        <v>671</v>
      </c>
      <c r="D4" s="43" t="s">
        <v>672</v>
      </c>
      <c r="E4" s="43" t="s">
        <v>673</v>
      </c>
      <c r="F4" s="43" t="s">
        <v>674</v>
      </c>
      <c r="G4" s="43" t="s">
        <v>675</v>
      </c>
      <c r="H4" s="43" t="s">
        <v>676</v>
      </c>
      <c r="I4" s="43" t="s">
        <v>677</v>
      </c>
      <c r="J4" s="43" t="s">
        <v>678</v>
      </c>
      <c r="K4" s="44"/>
      <c r="L4" s="44"/>
      <c r="M4" s="44"/>
    </row>
    <row r="5" spans="1:13">
      <c r="A5" t="s">
        <v>634</v>
      </c>
      <c r="B5" s="45">
        <f>VLOOKUP(A5, Capital_Summary!$A$71:$B$83, 2, 0)*-1</f>
        <v>0</v>
      </c>
      <c r="C5" s="45">
        <f>SUMIFS(MultiYear_ProForma!$AF$2:$AF$66, MultiYear_ProForma!$B$2:$B$66, A5, MultiYear_ProForma!$C$2:$C$66, "FY2026")</f>
        <v>-3334935.0305249984</v>
      </c>
      <c r="D5" s="45">
        <f>SUMIFS(MultiYear_ProForma!$AF$2:$AF$66, MultiYear_ProForma!$B$2:$B$66, A5, MultiYear_ProForma!$C$2:$C$66, "FY2028")</f>
        <v>-3553163.0591890775</v>
      </c>
      <c r="E5" s="45">
        <f>SUMIFS(MultiYear_ProForma!$AF$2:$AF$66, MultiYear_ProForma!$B$2:$B$66, A5, MultiYear_ProForma!$C$2:$C$66, "FY2030")</f>
        <v>-3783584.0453582834</v>
      </c>
      <c r="F5" s="45">
        <f>(SUMIFS(MultiYear_ProForma!$AF$2:$AF$66, MultiYear_ProForma!$B$2:$B$66, A5, MultiYear_ProForma!$C$2:$C$66, "FY2026")+SUMIFS(MultiYear_ProForma!$AF$2:$AF$66, MultiYear_ProForma!$B$2:$B$66, A5, MultiYear_ProForma!$C$2:$C$66, "FY2027")+SUMIFS(MultiYear_ProForma!$AF$2:$AF$66, MultiYear_ProForma!$B$2:$B$66, A5, MultiYear_ProForma!$C$2:$C$66, "FY2028")+SUMIFS(MultiYear_ProForma!$AF$2:$AF$66, MultiYear_ProForma!$B$2:$B$66, A5, MultiYear_ProForma!$C$2:$C$66, "FY2029")+SUMIFS(MultiYear_ProForma!$AF$2:$AF$66, MultiYear_ProForma!$B$2:$B$66, A5, MultiYear_ProForma!$C$2:$C$66, "FY2030"))/5</f>
        <v>-3556211.1933414578</v>
      </c>
      <c r="G5" s="11">
        <f>SUMIFS(MultiYear_ProForma!$N$2:$N$66, MultiYear_ProForma!$B$2:$B$66, A5, MultiYear_ProForma!$C$2:$C$66, "FY2026")</f>
        <v>0</v>
      </c>
      <c r="H5" s="11">
        <f>SUMIFS(MultiYear_ProForma!$AC$2:$AC$66, MultiYear_ProForma!$B$2:$B$66, A5, MultiYear_ProForma!$C$2:$C$66, "FY2030")</f>
        <v>553</v>
      </c>
      <c r="I5" s="45">
        <f t="shared" ref="I5:I17" si="0">E5-(VLOOKUP($B$1,$A$5:$F$17,5, 0))</f>
        <v>0</v>
      </c>
      <c r="J5" s="45">
        <f t="shared" ref="J5:J17" si="1">F5-(VLOOKUP($B$1,$A$5:$H$17,6, 0))</f>
        <v>0</v>
      </c>
    </row>
    <row r="6" spans="1:13">
      <c r="A6" t="s">
        <v>637</v>
      </c>
      <c r="B6" s="45">
        <f>VLOOKUP(A6, Capital_Summary!$A$71:$B$83, 2, 0)*-1</f>
        <v>0</v>
      </c>
      <c r="C6" s="45">
        <f>SUMIFS(MultiYear_ProForma!$AF$2:$AF$66, MultiYear_ProForma!$B$2:$B$66, A6, MultiYear_ProForma!$C$2:$C$66, "FY2030")</f>
        <v>-3278708.1348901019</v>
      </c>
      <c r="D6" s="45">
        <f>SUMIFS(MultiYear_ProForma!$AF$2:$AF$66, MultiYear_ProForma!$B$2:$B$66, A6, MultiYear_ProForma!$C$2:$C$66, "FY2028")</f>
        <v>-3059566.0644895583</v>
      </c>
      <c r="E6" s="45">
        <f>SUMIFS(MultiYear_ProForma!$AF$2:$AF$66, MultiYear_ProForma!$B$2:$B$66, A6, MultiYear_ProForma!$C$2:$C$66, "FY2030")</f>
        <v>-3278708.1348901019</v>
      </c>
      <c r="F6" s="45">
        <f>(SUMIFS(MultiYear_ProForma!$AF$2:$AF$66, MultiYear_ProForma!$B$2:$B$66, A6, MultiYear_ProForma!$C$2:$C$66, "FY2026")+SUMIFS(MultiYear_ProForma!$AF$2:$AF$66, MultiYear_ProForma!$B$2:$B$66, A6, MultiYear_ProForma!$C$2:$C$66, "FY2027")+SUMIFS(MultiYear_ProForma!$AF$2:$AF$66, MultiYear_ProForma!$B$2:$B$66, A6, MultiYear_ProForma!$C$2:$C$66, "FY2028")+SUMIFS(MultiYear_ProForma!$AF$2:$AF$66, MultiYear_ProForma!$B$2:$B$66, A6, MultiYear_ProForma!$C$2:$C$66, "FY2029")+SUMIFS(MultiYear_ProForma!$AF$2:$AF$66, MultiYear_ProForma!$B$2:$B$66, A6, MultiYear_ProForma!$C$2:$C$66, "FY2030"))/5</f>
        <v>-3062552.2407183656</v>
      </c>
      <c r="G6" s="11">
        <f>SUMIFS(MultiYear_ProForma!$N$2:$N$66, MultiYear_ProForma!$B$2:$B$66, A6, MultiYear_ProForma!$C$2:$C$66, "FY2026")</f>
        <v>0</v>
      </c>
      <c r="H6" s="11">
        <f>SUMIFS(MultiYear_ProForma!$AC$2:$AC$66, MultiYear_ProForma!$B$2:$B$66, A6, MultiYear_ProForma!$C$2:$C$66, "FY2030")</f>
        <v>703</v>
      </c>
      <c r="I6" s="45">
        <f t="shared" si="0"/>
        <v>504875.9104681816</v>
      </c>
      <c r="J6" s="45">
        <f t="shared" si="1"/>
        <v>493658.9526230921</v>
      </c>
    </row>
    <row r="7" spans="1:13">
      <c r="A7" t="s">
        <v>639</v>
      </c>
      <c r="B7" s="45">
        <f>VLOOKUP(A7, Capital_Summary!$A$71:$B$83, 2, 0)*-1</f>
        <v>0</v>
      </c>
      <c r="C7" s="45">
        <f>SUMIFS(MultiYear_ProForma!$AF$2:$AF$66, MultiYear_ProForma!$B$2:$B$66, A7, MultiYear_ProForma!$C$2:$C$66, "FY2030")</f>
        <v>-2897609.6161500849</v>
      </c>
      <c r="D7" s="45">
        <f>SUMIFS(MultiYear_ProForma!$AF$2:$AF$66, MultiYear_ProForma!$B$2:$B$66, A7, MultiYear_ProForma!$C$2:$C$66, "FY2028")</f>
        <v>-2696831.0079850806</v>
      </c>
      <c r="E7" s="45">
        <f>SUMIFS(MultiYear_ProForma!$AF$2:$AF$66, MultiYear_ProForma!$B$2:$B$66, A7, MultiYear_ProForma!$C$2:$C$66, "FY2030")</f>
        <v>-2897609.6161500849</v>
      </c>
      <c r="F7" s="45">
        <f>(SUMIFS(MultiYear_ProForma!$AF$2:$AF$66, MultiYear_ProForma!$B$2:$B$66, A7, MultiYear_ProForma!$C$2:$C$66, "FY2026")+SUMIFS(MultiYear_ProForma!$AF$2:$AF$66, MultiYear_ProForma!$B$2:$B$66, A7, MultiYear_ProForma!$C$2:$C$66, "FY2027")+SUMIFS(MultiYear_ProForma!$AF$2:$AF$66, MultiYear_ProForma!$B$2:$B$66, A7, MultiYear_ProForma!$C$2:$C$66, "FY2028")+SUMIFS(MultiYear_ProForma!$AF$2:$AF$66, MultiYear_ProForma!$B$2:$B$66, A7, MultiYear_ProForma!$C$2:$C$66, "FY2029")+SUMIFS(MultiYear_ProForma!$AF$2:$AF$66, MultiYear_ProForma!$B$2:$B$66, A7, MultiYear_ProForma!$C$2:$C$66, "FY2030"))/5</f>
        <v>-2699595.977328225</v>
      </c>
      <c r="G7" s="11">
        <f>SUMIFS(MultiYear_ProForma!$N$2:$N$66, MultiYear_ProForma!$B$2:$B$66, A7, MultiYear_ProForma!$C$2:$C$66, "FY2026")</f>
        <v>0</v>
      </c>
      <c r="H7" s="11">
        <f>SUMIFS(MultiYear_ProForma!$AC$2:$AC$66, MultiYear_ProForma!$B$2:$B$66, A7, MultiYear_ProForma!$C$2:$C$66, "FY2030")</f>
        <v>703</v>
      </c>
      <c r="I7" s="45">
        <f t="shared" si="0"/>
        <v>885974.42920819856</v>
      </c>
      <c r="J7" s="45">
        <f t="shared" si="1"/>
        <v>856615.21601323271</v>
      </c>
    </row>
    <row r="8" spans="1:13">
      <c r="A8" t="s">
        <v>641</v>
      </c>
      <c r="B8" s="45">
        <f>VLOOKUP(A8, Capital_Summary!$A$71:$B$83, 2, 0)*-1</f>
        <v>-2000000</v>
      </c>
      <c r="C8" s="45">
        <f>SUMIFS(MultiYear_ProForma!$AF$2:$AF$66, MultiYear_ProForma!$B$2:$B$66, A8, MultiYear_ProForma!$C$2:$C$66, "FY2030")</f>
        <v>-2942124.1945779808</v>
      </c>
      <c r="D8" s="45">
        <f>SUMIFS(MultiYear_ProForma!$AF$2:$AF$66, MultiYear_ProForma!$B$2:$B$66, A8, MultiYear_ProForma!$C$2:$C$66, "FY2028")</f>
        <v>-2730501.4013565471</v>
      </c>
      <c r="E8" s="45">
        <f>SUMIFS(MultiYear_ProForma!$AF$2:$AF$66, MultiYear_ProForma!$B$2:$B$66, A8, MultiYear_ProForma!$C$2:$C$66, "FY2030")</f>
        <v>-2942124.1945779808</v>
      </c>
      <c r="F8" s="45">
        <f>(SUMIFS(MultiYear_ProForma!$AF$2:$AF$66, MultiYear_ProForma!$B$2:$B$66, A8, MultiYear_ProForma!$C$2:$C$66, "FY2026")+SUMIFS(MultiYear_ProForma!$AF$2:$AF$66, MultiYear_ProForma!$B$2:$B$66, A8, MultiYear_ProForma!$C$2:$C$66, "FY2027")+SUMIFS(MultiYear_ProForma!$AF$2:$AF$66, MultiYear_ProForma!$B$2:$B$66, A8, MultiYear_ProForma!$C$2:$C$66, "FY2028")+SUMIFS(MultiYear_ProForma!$AF$2:$AF$66, MultiYear_ProForma!$B$2:$B$66, A8, MultiYear_ProForma!$C$2:$C$66, "FY2029")+SUMIFS(MultiYear_ProForma!$AF$2:$AF$66, MultiYear_ProForma!$B$2:$B$66, A8, MultiYear_ProForma!$C$2:$C$66, "FY2030"))/5</f>
        <v>-2733446.2723029717</v>
      </c>
      <c r="G8" s="11">
        <f>SUMIFS(MultiYear_ProForma!$N$2:$N$66, MultiYear_ProForma!$B$2:$B$66, A8, MultiYear_ProForma!$C$2:$C$66, "FY2026")</f>
        <v>0</v>
      </c>
      <c r="H8" s="11">
        <f>SUMIFS(MultiYear_ProForma!$AC$2:$AC$66, MultiYear_ProForma!$B$2:$B$66, A8, MultiYear_ProForma!$C$2:$C$66, "FY2030")</f>
        <v>803</v>
      </c>
      <c r="I8" s="45">
        <f t="shared" si="0"/>
        <v>841459.85078030266</v>
      </c>
      <c r="J8" s="45">
        <f t="shared" si="1"/>
        <v>822764.92103848606</v>
      </c>
    </row>
    <row r="9" spans="1:13">
      <c r="A9" t="s">
        <v>645</v>
      </c>
      <c r="B9" s="45">
        <f>VLOOKUP(A9, Capital_Summary!$A$71:$B$83, 2, 0)*-1</f>
        <v>0</v>
      </c>
      <c r="C9" s="45">
        <f>SUMIFS(MultiYear_ProForma!$AF$2:$AF$66, MultiYear_ProForma!$B$2:$B$66, A9, MultiYear_ProForma!$C$2:$C$66, "FY2030")</f>
        <v>-3783584.0453582834</v>
      </c>
      <c r="D9" s="45">
        <f>SUMIFS(MultiYear_ProForma!$AF$2:$AF$66, MultiYear_ProForma!$B$2:$B$66, A9, MultiYear_ProForma!$C$2:$C$66, "FY2028")</f>
        <v>-3553163.0591890775</v>
      </c>
      <c r="E9" s="45">
        <f>SUMIFS(MultiYear_ProForma!$AF$2:$AF$66, MultiYear_ProForma!$B$2:$B$66, A9, MultiYear_ProForma!$C$2:$C$66, "FY2030")</f>
        <v>-3783584.0453582834</v>
      </c>
      <c r="F9" s="45">
        <f>(SUMIFS(MultiYear_ProForma!$AF$2:$AF$66, MultiYear_ProForma!$B$2:$B$66, A9, MultiYear_ProForma!$C$2:$C$66, "FY2026")+SUMIFS(MultiYear_ProForma!$AF$2:$AF$66, MultiYear_ProForma!$B$2:$B$66, A9, MultiYear_ProForma!$C$2:$C$66, "FY2027")+SUMIFS(MultiYear_ProForma!$AF$2:$AF$66, MultiYear_ProForma!$B$2:$B$66, A9, MultiYear_ProForma!$C$2:$C$66, "FY2028")+SUMIFS(MultiYear_ProForma!$AF$2:$AF$66, MultiYear_ProForma!$B$2:$B$66, A9, MultiYear_ProForma!$C$2:$C$66, "FY2029")+SUMIFS(MultiYear_ProForma!$AF$2:$AF$66, MultiYear_ProForma!$B$2:$B$66, A9, MultiYear_ProForma!$C$2:$C$66, "FY2030"))/5</f>
        <v>-3556211.1933414578</v>
      </c>
      <c r="G9" s="11">
        <f>SUMIFS(MultiYear_ProForma!$N$2:$N$66, MultiYear_ProForma!$B$2:$B$66, A9, MultiYear_ProForma!$C$2:$C$66, "FY2026")</f>
        <v>0</v>
      </c>
      <c r="H9" s="11">
        <f>SUMIFS(MultiYear_ProForma!$AC$2:$AC$66, MultiYear_ProForma!$B$2:$B$66, A9, MultiYear_ProForma!$C$2:$C$66, "FY2030")</f>
        <v>553</v>
      </c>
      <c r="I9" s="45">
        <f t="shared" si="0"/>
        <v>0</v>
      </c>
      <c r="J9" s="45">
        <f t="shared" si="1"/>
        <v>0</v>
      </c>
    </row>
    <row r="10" spans="1:13">
      <c r="A10" t="s">
        <v>647</v>
      </c>
      <c r="B10" s="45">
        <f>VLOOKUP(A10, Capital_Summary!$A$71:$B$83, 2, 0)*-1</f>
        <v>-800000</v>
      </c>
      <c r="C10" s="45">
        <f>SUMIFS(MultiYear_ProForma!$AF$2:$AF$66, MultiYear_ProForma!$B$2:$B$66, A10, MultiYear_ProForma!$C$2:$C$66, "FY2030")</f>
        <v>-3278708.1348901019</v>
      </c>
      <c r="D10" s="45">
        <f>SUMIFS(MultiYear_ProForma!$AF$2:$AF$66, MultiYear_ProForma!$B$2:$B$66, A10, MultiYear_ProForma!$C$2:$C$66, "FY2028")</f>
        <v>-3059566.0644895583</v>
      </c>
      <c r="E10" s="45">
        <f>SUMIFS(MultiYear_ProForma!$AF$2:$AF$66, MultiYear_ProForma!$B$2:$B$66, A10, MultiYear_ProForma!$C$2:$C$66, "FY2030")</f>
        <v>-3278708.1348901019</v>
      </c>
      <c r="F10" s="45">
        <f>(SUMIFS(MultiYear_ProForma!$AF$2:$AF$66, MultiYear_ProForma!$B$2:$B$66, A10, MultiYear_ProForma!$C$2:$C$66, "FY2026")+SUMIFS(MultiYear_ProForma!$AF$2:$AF$66, MultiYear_ProForma!$B$2:$B$66, A10, MultiYear_ProForma!$C$2:$C$66, "FY2027")+SUMIFS(MultiYear_ProForma!$AF$2:$AF$66, MultiYear_ProForma!$B$2:$B$66, A10, MultiYear_ProForma!$C$2:$C$66, "FY2028")+SUMIFS(MultiYear_ProForma!$AF$2:$AF$66, MultiYear_ProForma!$B$2:$B$66, A10, MultiYear_ProForma!$C$2:$C$66, "FY2029")+SUMIFS(MultiYear_ProForma!$AF$2:$AF$66, MultiYear_ProForma!$B$2:$B$66, A10, MultiYear_ProForma!$C$2:$C$66, "FY2030"))/5</f>
        <v>-3159431.060692416</v>
      </c>
      <c r="G10" s="11">
        <f>SUMIFS(MultiYear_ProForma!$N$2:$N$66, MultiYear_ProForma!$B$2:$B$66, A10, MultiYear_ProForma!$C$2:$C$66, "FY2026")</f>
        <v>0</v>
      </c>
      <c r="H10" s="11">
        <f>SUMIFS(MultiYear_ProForma!$AC$2:$AC$66, MultiYear_ProForma!$B$2:$B$66, A10, MultiYear_ProForma!$C$2:$C$66, "FY2030")</f>
        <v>703</v>
      </c>
      <c r="I10" s="45">
        <f t="shared" si="0"/>
        <v>504875.9104681816</v>
      </c>
      <c r="J10" s="45">
        <f t="shared" si="1"/>
        <v>396780.13264904171</v>
      </c>
    </row>
    <row r="11" spans="1:13">
      <c r="A11" t="s">
        <v>649</v>
      </c>
      <c r="B11" s="45">
        <f>VLOOKUP(A11, Capital_Summary!$A$71:$B$83, 2, 0)*-1</f>
        <v>-2314479.9999999995</v>
      </c>
      <c r="C11" s="45">
        <f>SUMIFS(MultiYear_ProForma!$AF$2:$AF$66, MultiYear_ProForma!$B$2:$B$66, A11, MultiYear_ProForma!$C$2:$C$66, "FY2030")</f>
        <v>-819073.67627407843</v>
      </c>
      <c r="D11" s="45">
        <f>SUMIFS(MultiYear_ProForma!$AF$2:$AF$66, MultiYear_ProForma!$B$2:$B$66, A11, MultiYear_ProForma!$C$2:$C$66, "FY2028")</f>
        <v>-1187156.9190747822</v>
      </c>
      <c r="E11" s="45">
        <f>SUMIFS(MultiYear_ProForma!$AF$2:$AF$66, MultiYear_ProForma!$B$2:$B$66, A11, MultiYear_ProForma!$C$2:$C$66, "FY2030")</f>
        <v>-819073.67627407843</v>
      </c>
      <c r="F11" s="45">
        <f>(SUMIFS(MultiYear_ProForma!$AF$2:$AF$66, MultiYear_ProForma!$B$2:$B$66, A11, MultiYear_ProForma!$C$2:$C$66, "FY2026")+SUMIFS(MultiYear_ProForma!$AF$2:$AF$66, MultiYear_ProForma!$B$2:$B$66, A11, MultiYear_ProForma!$C$2:$C$66, "FY2027")+SUMIFS(MultiYear_ProForma!$AF$2:$AF$66, MultiYear_ProForma!$B$2:$B$66, A11, MultiYear_ProForma!$C$2:$C$66, "FY2028")+SUMIFS(MultiYear_ProForma!$AF$2:$AF$66, MultiYear_ProForma!$B$2:$B$66, A11, MultiYear_ProForma!$C$2:$C$66, "FY2029")+SUMIFS(MultiYear_ProForma!$AF$2:$AF$66, MultiYear_ProForma!$B$2:$B$66, A11, MultiYear_ProForma!$C$2:$C$66, "FY2030"))/5</f>
        <v>-1255278.3318717733</v>
      </c>
      <c r="G11" s="11">
        <f>SUMIFS(MultiYear_ProForma!$N$2:$N$66, MultiYear_ProForma!$B$2:$B$66, A11, MultiYear_ProForma!$C$2:$C$66, "FY2026")</f>
        <v>553</v>
      </c>
      <c r="H11" s="11">
        <f>SUMIFS(MultiYear_ProForma!$AC$2:$AC$66, MultiYear_ProForma!$B$2:$B$66, A11, MultiYear_ProForma!$C$2:$C$66, "FY2030")</f>
        <v>405.79999999999995</v>
      </c>
      <c r="I11" s="45">
        <f t="shared" si="0"/>
        <v>2964510.369084205</v>
      </c>
      <c r="J11" s="45">
        <f t="shared" si="1"/>
        <v>2300932.8614696842</v>
      </c>
    </row>
    <row r="12" spans="1:13">
      <c r="A12" t="s">
        <v>652</v>
      </c>
      <c r="B12" s="45">
        <f>VLOOKUP(A12, Capital_Summary!$A$71:$B$83, 2, 0)*-1</f>
        <v>-3114479.9999999995</v>
      </c>
      <c r="C12" s="45">
        <f>SUMIFS(MultiYear_ProForma!$AF$2:$AF$66, MultiYear_ProForma!$B$2:$B$66, A12, MultiYear_ProForma!$C$2:$C$66, "FY2030")</f>
        <v>-1481484.6171492785</v>
      </c>
      <c r="D12" s="45">
        <f>SUMIFS(MultiYear_ProForma!$AF$2:$AF$66, MultiYear_ProForma!$B$2:$B$66, A12, MultiYear_ProForma!$C$2:$C$66, "FY2028")</f>
        <v>-1660026.1213652282</v>
      </c>
      <c r="E12" s="45">
        <f>SUMIFS(MultiYear_ProForma!$AF$2:$AF$66, MultiYear_ProForma!$B$2:$B$66, A12, MultiYear_ProForma!$C$2:$C$66, "FY2030")</f>
        <v>-1481484.6171492785</v>
      </c>
      <c r="F12" s="45">
        <f>(SUMIFS(MultiYear_ProForma!$AF$2:$AF$66, MultiYear_ProForma!$B$2:$B$66, A12, MultiYear_ProForma!$C$2:$C$66, "FY2026")+SUMIFS(MultiYear_ProForma!$AF$2:$AF$66, MultiYear_ProForma!$B$2:$B$66, A12, MultiYear_ProForma!$C$2:$C$66, "FY2027")+SUMIFS(MultiYear_ProForma!$AF$2:$AF$66, MultiYear_ProForma!$B$2:$B$66, A12, MultiYear_ProForma!$C$2:$C$66, "FY2028")+SUMIFS(MultiYear_ProForma!$AF$2:$AF$66, MultiYear_ProForma!$B$2:$B$66, A12, MultiYear_ProForma!$C$2:$C$66, "FY2029")+SUMIFS(MultiYear_ProForma!$AF$2:$AF$66, MultiYear_ProForma!$B$2:$B$66, A12, MultiYear_ProForma!$C$2:$C$66, "FY2030"))/5</f>
        <v>-1733107.8786468054</v>
      </c>
      <c r="G12" s="11">
        <f>SUMIFS(MultiYear_ProForma!$N$2:$N$66, MultiYear_ProForma!$B$2:$B$66, A12, MultiYear_ProForma!$C$2:$C$66, "FY2026")</f>
        <v>553</v>
      </c>
      <c r="H12" s="11">
        <f>SUMIFS(MultiYear_ProForma!$AC$2:$AC$66, MultiYear_ProForma!$B$2:$B$66, A12, MultiYear_ProForma!$C$2:$C$66, "FY2030")</f>
        <v>405.79999999999995</v>
      </c>
      <c r="I12" s="45">
        <f t="shared" si="0"/>
        <v>2302099.4282090049</v>
      </c>
      <c r="J12" s="45">
        <f t="shared" si="1"/>
        <v>1823103.3146946523</v>
      </c>
    </row>
    <row r="13" spans="1:13">
      <c r="A13" t="s">
        <v>655</v>
      </c>
      <c r="B13" s="45">
        <f>VLOOKUP(A13, Capital_Summary!$A$71:$B$83, 2, 0)*-1</f>
        <v>-800000</v>
      </c>
      <c r="C13" s="45">
        <f>SUMIFS(MultiYear_ProForma!$AF$2:$AF$66, MultiYear_ProForma!$B$2:$B$66, A13, MultiYear_ProForma!$C$2:$C$66, "FY2030")</f>
        <v>-2364518.3521743184</v>
      </c>
      <c r="D13" s="45">
        <f>SUMIFS(MultiYear_ProForma!$AF$2:$AF$66, MultiYear_ProForma!$B$2:$B$66, A13, MultiYear_ProForma!$C$2:$C$66, "FY2028")</f>
        <v>-2406414.5640074494</v>
      </c>
      <c r="E13" s="45">
        <f>SUMIFS(MultiYear_ProForma!$AF$2:$AF$66, MultiYear_ProForma!$B$2:$B$66, A13, MultiYear_ProForma!$C$2:$C$66, "FY2030")</f>
        <v>-2364518.3521743184</v>
      </c>
      <c r="F13" s="45">
        <f>(SUMIFS(MultiYear_ProForma!$AF$2:$AF$66, MultiYear_ProForma!$B$2:$B$66, A13, MultiYear_ProForma!$C$2:$C$66, "FY2026")+SUMIFS(MultiYear_ProForma!$AF$2:$AF$66, MultiYear_ProForma!$B$2:$B$66, A13, MultiYear_ProForma!$C$2:$C$66, "FY2027")+SUMIFS(MultiYear_ProForma!$AF$2:$AF$66, MultiYear_ProForma!$B$2:$B$66, A13, MultiYear_ProForma!$C$2:$C$66, "FY2028")+SUMIFS(MultiYear_ProForma!$AF$2:$AF$66, MultiYear_ProForma!$B$2:$B$66, A13, MultiYear_ProForma!$C$2:$C$66, "FY2029")+SUMIFS(MultiYear_ProForma!$AF$2:$AF$66, MultiYear_ProForma!$B$2:$B$66, A13, MultiYear_ProForma!$C$2:$C$66, "FY2030"))/5</f>
        <v>-2438258.0925972029</v>
      </c>
      <c r="G13" s="11">
        <f>SUMIFS(MultiYear_ProForma!$N$2:$N$66, MultiYear_ProForma!$B$2:$B$66, A13, MultiYear_ProForma!$C$2:$C$66, "FY2026")</f>
        <v>257</v>
      </c>
      <c r="H13" s="11">
        <f>SUMIFS(MultiYear_ProForma!$AC$2:$AC$66, MultiYear_ProForma!$B$2:$B$66, A13, MultiYear_ProForma!$C$2:$C$66, "FY2030")</f>
        <v>450.2</v>
      </c>
      <c r="I13" s="45">
        <f t="shared" si="0"/>
        <v>1419065.693183965</v>
      </c>
      <c r="J13" s="45">
        <f t="shared" si="1"/>
        <v>1117953.1007442549</v>
      </c>
    </row>
    <row r="14" spans="1:13">
      <c r="A14" t="s">
        <v>657</v>
      </c>
      <c r="B14" s="45">
        <f>VLOOKUP(A14, Capital_Summary!$A$71:$B$83, 2, 0)*-1</f>
        <v>-1200000</v>
      </c>
      <c r="C14" s="45">
        <f>SUMIFS(MultiYear_ProForma!$AF$2:$AF$66, MultiYear_ProForma!$B$2:$B$66, A14, MultiYear_ProForma!$C$2:$C$66, "FY2030")</f>
        <v>-2167489.8409917164</v>
      </c>
      <c r="D14" s="45">
        <f>SUMIFS(MultiYear_ProForma!$AF$2:$AF$66, MultiYear_ProForma!$B$2:$B$66, A14, MultiYear_ProForma!$C$2:$C$66, "FY2028")</f>
        <v>-2132577.7591608134</v>
      </c>
      <c r="E14" s="45">
        <f>SUMIFS(MultiYear_ProForma!$AF$2:$AF$66, MultiYear_ProForma!$B$2:$B$66, A14, MultiYear_ProForma!$C$2:$C$66, "FY2030")</f>
        <v>-2167489.8409917164</v>
      </c>
      <c r="F14" s="45">
        <f>(SUMIFS(MultiYear_ProForma!$AF$2:$AF$66, MultiYear_ProForma!$B$2:$B$66, A14, MultiYear_ProForma!$C$2:$C$66, "FY2026")+SUMIFS(MultiYear_ProForma!$AF$2:$AF$66, MultiYear_ProForma!$B$2:$B$66, A14, MultiYear_ProForma!$C$2:$C$66, "FY2027")+SUMIFS(MultiYear_ProForma!$AF$2:$AF$66, MultiYear_ProForma!$B$2:$B$66, A14, MultiYear_ProForma!$C$2:$C$66, "FY2028")+SUMIFS(MultiYear_ProForma!$AF$2:$AF$66, MultiYear_ProForma!$B$2:$B$66, A14, MultiYear_ProForma!$C$2:$C$66, "FY2029")+SUMIFS(MultiYear_ProForma!$AF$2:$AF$66, MultiYear_ProForma!$B$2:$B$66, A14, MultiYear_ProForma!$C$2:$C$66, "FY2030"))/5</f>
        <v>-2166664.5893795053</v>
      </c>
      <c r="G14" s="11">
        <f>SUMIFS(MultiYear_ProForma!$N$2:$N$66, MultiYear_ProForma!$B$2:$B$66, A14, MultiYear_ProForma!$C$2:$C$66, "FY2026")</f>
        <v>257</v>
      </c>
      <c r="H14" s="11">
        <f>SUMIFS(MultiYear_ProForma!$AC$2:$AC$66, MultiYear_ProForma!$B$2:$B$66, A14, MultiYear_ProForma!$C$2:$C$66, "FY2030")</f>
        <v>600.20000000000005</v>
      </c>
      <c r="I14" s="45">
        <f t="shared" si="0"/>
        <v>1616094.2043665671</v>
      </c>
      <c r="J14" s="45">
        <f t="shared" si="1"/>
        <v>1389546.6039619525</v>
      </c>
    </row>
    <row r="15" spans="1:13">
      <c r="A15" t="s">
        <v>659</v>
      </c>
      <c r="B15" s="45">
        <f>VLOOKUP(A15, Capital_Summary!$A$71:$B$83, 2, 0)*-1</f>
        <v>-1600000</v>
      </c>
      <c r="C15" s="45">
        <f>SUMIFS(MultiYear_ProForma!$AF$2:$AF$66, MultiYear_ProForma!$B$2:$B$66, A15, MultiYear_ProForma!$C$2:$C$66, "FY2030")</f>
        <v>-2238139.3694580435</v>
      </c>
      <c r="D15" s="45">
        <f>SUMIFS(MultiYear_ProForma!$AF$2:$AF$66, MultiYear_ProForma!$B$2:$B$66, A15, MultiYear_ProForma!$C$2:$C$66, "FY2028")</f>
        <v>-2333905.4142564107</v>
      </c>
      <c r="E15" s="45">
        <f>SUMIFS(MultiYear_ProForma!$AF$2:$AF$66, MultiYear_ProForma!$B$2:$B$66, A15, MultiYear_ProForma!$C$2:$C$66, "FY2030")</f>
        <v>-2238139.3694580435</v>
      </c>
      <c r="F15" s="45">
        <f>(SUMIFS(MultiYear_ProForma!$AF$2:$AF$66, MultiYear_ProForma!$B$2:$B$66, A15, MultiYear_ProForma!$C$2:$C$66, "FY2026")+SUMIFS(MultiYear_ProForma!$AF$2:$AF$66, MultiYear_ProForma!$B$2:$B$66, A15, MultiYear_ProForma!$C$2:$C$66, "FY2027")+SUMIFS(MultiYear_ProForma!$AF$2:$AF$66, MultiYear_ProForma!$B$2:$B$66, A15, MultiYear_ProForma!$C$2:$C$66, "FY2028")+SUMIFS(MultiYear_ProForma!$AF$2:$AF$66, MultiYear_ProForma!$B$2:$B$66, A15, MultiYear_ProForma!$C$2:$C$66, "FY2029")+SUMIFS(MultiYear_ProForma!$AF$2:$AF$66, MultiYear_ProForma!$B$2:$B$66, A15, MultiYear_ProForma!$C$2:$C$66, "FY2030"))/5</f>
        <v>-2373231.432616028</v>
      </c>
      <c r="G15" s="11">
        <f>SUMIFS(MultiYear_ProForma!$N$2:$N$66, MultiYear_ProForma!$B$2:$B$66, A15, MultiYear_ProForma!$C$2:$C$66, "FY2026")</f>
        <v>296</v>
      </c>
      <c r="H15" s="11">
        <f>SUMIFS(MultiYear_ProForma!$AC$2:$AC$66, MultiYear_ProForma!$B$2:$B$66, A15, MultiYear_ProForma!$C$2:$C$66, "FY2030")</f>
        <v>508.6</v>
      </c>
      <c r="I15" s="45">
        <f t="shared" si="0"/>
        <v>1545444.67590024</v>
      </c>
      <c r="J15" s="45">
        <f t="shared" si="1"/>
        <v>1182979.7607254297</v>
      </c>
    </row>
    <row r="16" spans="1:13">
      <c r="A16" t="s">
        <v>661</v>
      </c>
      <c r="B16" s="45">
        <f>VLOOKUP(A16, Capital_Summary!$A$71:$B$83, 2, 0)*-1</f>
        <v>-2000000</v>
      </c>
      <c r="C16" s="45">
        <f>SUMIFS(MultiYear_ProForma!$AF$2:$AF$66, MultiYear_ProForma!$B$2:$B$66, A16, MultiYear_ProForma!$C$2:$C$66, "FY2030")</f>
        <v>-1919535.0304234196</v>
      </c>
      <c r="D16" s="45">
        <f>SUMIFS(MultiYear_ProForma!$AF$2:$AF$66, MultiYear_ProForma!$B$2:$B$66, A16, MultiYear_ProForma!$C$2:$C$66, "FY2028")</f>
        <v>-1928885.1004279489</v>
      </c>
      <c r="E16" s="45">
        <f>SUMIFS(MultiYear_ProForma!$AF$2:$AF$66, MultiYear_ProForma!$B$2:$B$66, A16, MultiYear_ProForma!$C$2:$C$66, "FY2030")</f>
        <v>-1919535.0304234196</v>
      </c>
      <c r="F16" s="45">
        <f>(SUMIFS(MultiYear_ProForma!$AF$2:$AF$66, MultiYear_ProForma!$B$2:$B$66, A16, MultiYear_ProForma!$C$2:$C$66, "FY2026")+SUMIFS(MultiYear_ProForma!$AF$2:$AF$66, MultiYear_ProForma!$B$2:$B$66, A16, MultiYear_ProForma!$C$2:$C$66, "FY2027")+SUMIFS(MultiYear_ProForma!$AF$2:$AF$66, MultiYear_ProForma!$B$2:$B$66, A16, MultiYear_ProForma!$C$2:$C$66, "FY2028")+SUMIFS(MultiYear_ProForma!$AF$2:$AF$66, MultiYear_ProForma!$B$2:$B$66, A16, MultiYear_ProForma!$C$2:$C$66, "FY2029")+SUMIFS(MultiYear_ProForma!$AF$2:$AF$66, MultiYear_ProForma!$B$2:$B$66, A16, MultiYear_ProForma!$C$2:$C$66, "FY2030"))/5</f>
        <v>-1970783.5931548767</v>
      </c>
      <c r="G16" s="11">
        <f>SUMIFS(MultiYear_ProForma!$N$2:$N$66, MultiYear_ProForma!$B$2:$B$66, A16, MultiYear_ProForma!$C$2:$C$66, "FY2026")</f>
        <v>296</v>
      </c>
      <c r="H16" s="11">
        <f>SUMIFS(MultiYear_ProForma!$AC$2:$AC$66, MultiYear_ProForma!$B$2:$B$66, A16, MultiYear_ProForma!$C$2:$C$66, "FY2030")</f>
        <v>708.6</v>
      </c>
      <c r="I16" s="45">
        <f t="shared" si="0"/>
        <v>1864049.0149348639</v>
      </c>
      <c r="J16" s="45">
        <f t="shared" si="1"/>
        <v>1585427.600186581</v>
      </c>
    </row>
    <row r="17" spans="1:10">
      <c r="A17" t="s">
        <v>663</v>
      </c>
      <c r="B17" s="45">
        <f>VLOOKUP(A17, Capital_Summary!$A$71:$B$83, 2, 0)*-1</f>
        <v>0</v>
      </c>
      <c r="C17" s="45">
        <f>SUMIFS(MultiYear_ProForma!$AF$2:$AF$66, MultiYear_ProForma!$B$2:$B$66, A17, MultiYear_ProForma!$C$2:$C$66, "FY2030")</f>
        <v>-3783584.0453582834</v>
      </c>
      <c r="D17" s="45">
        <f>SUMIFS(MultiYear_ProForma!$AF$2:$AF$66, MultiYear_ProForma!$B$2:$B$66, A17, MultiYear_ProForma!$C$2:$C$66, "FY2028")</f>
        <v>-3553163.0591890775</v>
      </c>
      <c r="E17" s="45">
        <f>SUMIFS(MultiYear_ProForma!$AF$2:$AF$66, MultiYear_ProForma!$B$2:$B$66, A17, MultiYear_ProForma!$C$2:$C$66, "FY2030")</f>
        <v>-3783584.0453582834</v>
      </c>
      <c r="F17" s="45">
        <f>(SUMIFS(MultiYear_ProForma!$AF$2:$AF$66, MultiYear_ProForma!$B$2:$B$66, A17, MultiYear_ProForma!$C$2:$C$66, "FY2026")+SUMIFS(MultiYear_ProForma!$AF$2:$AF$66, MultiYear_ProForma!$B$2:$B$66, A17, MultiYear_ProForma!$C$2:$C$66, "FY2027")+SUMIFS(MultiYear_ProForma!$AF$2:$AF$66, MultiYear_ProForma!$B$2:$B$66, A17, MultiYear_ProForma!$C$2:$C$66, "FY2028")+SUMIFS(MultiYear_ProForma!$AF$2:$AF$66, MultiYear_ProForma!$B$2:$B$66, A17, MultiYear_ProForma!$C$2:$C$66, "FY2029")+SUMIFS(MultiYear_ProForma!$AF$2:$AF$66, MultiYear_ProForma!$B$2:$B$66, A17, MultiYear_ProForma!$C$2:$C$66, "FY2030"))/5</f>
        <v>-3556211.1933414578</v>
      </c>
      <c r="G17" s="11">
        <f>SUMIFS(MultiYear_ProForma!$N$2:$N$66, MultiYear_ProForma!$B$2:$B$66, A17, MultiYear_ProForma!$C$2:$C$66, "FY2026")</f>
        <v>0</v>
      </c>
      <c r="H17" s="11">
        <f>SUMIFS(MultiYear_ProForma!$AC$2:$AC$66, MultiYear_ProForma!$B$2:$B$66, A17, MultiYear_ProForma!$C$2:$C$66, "FY2030")</f>
        <v>553</v>
      </c>
      <c r="I17" s="45">
        <f t="shared" si="0"/>
        <v>0</v>
      </c>
      <c r="J17" s="45">
        <f t="shared" si="1"/>
        <v>0</v>
      </c>
    </row>
  </sheetData>
  <pageMargins left="0.75" right="0.75" top="1" bottom="1"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12"/>
  <sheetViews>
    <sheetView zoomScale="70" zoomScaleNormal="70" workbookViewId="0">
      <selection activeCell="D17" sqref="D17"/>
    </sheetView>
  </sheetViews>
  <sheetFormatPr defaultRowHeight="14.5"/>
  <cols>
    <col min="1" max="1" width="24.81640625" customWidth="1"/>
    <col min="2" max="2" width="22.54296875" customWidth="1"/>
    <col min="3" max="3" width="5.90625" customWidth="1"/>
    <col min="4" max="4" width="18" customWidth="1"/>
    <col min="5" max="5" width="20" customWidth="1"/>
    <col min="6" max="6" width="18" customWidth="1"/>
    <col min="7" max="7" width="20" customWidth="1"/>
    <col min="8" max="8" width="19" customWidth="1"/>
    <col min="9" max="9" width="18" customWidth="1"/>
    <col min="10" max="10" width="7.7265625" customWidth="1"/>
    <col min="11" max="11" width="22" customWidth="1"/>
    <col min="12" max="12" width="14" customWidth="1"/>
  </cols>
  <sheetData>
    <row r="1" spans="1:12">
      <c r="A1" s="41" t="s">
        <v>679</v>
      </c>
    </row>
    <row r="2" spans="1:12">
      <c r="D2" s="42" t="s">
        <v>680</v>
      </c>
      <c r="K2" s="42" t="s">
        <v>681</v>
      </c>
    </row>
    <row r="3" spans="1:12">
      <c r="D3" s="42" t="s">
        <v>682</v>
      </c>
      <c r="E3" s="42" t="s">
        <v>683</v>
      </c>
      <c r="F3" s="42" t="s">
        <v>677</v>
      </c>
      <c r="G3" s="42" t="s">
        <v>678</v>
      </c>
      <c r="H3" s="42" t="s">
        <v>684</v>
      </c>
      <c r="I3" s="42" t="s">
        <v>685</v>
      </c>
      <c r="K3" s="42" t="s">
        <v>686</v>
      </c>
      <c r="L3" s="42" t="s">
        <v>687</v>
      </c>
    </row>
    <row r="4" spans="1:12">
      <c r="A4" s="41" t="s">
        <v>688</v>
      </c>
      <c r="B4" s="32" t="s">
        <v>663</v>
      </c>
      <c r="D4">
        <f>INDEX(Summary_Figures!$E$5:$E$17, MATCH($B$4, Summary_Figures!$A$5:$A$17, 0))</f>
        <v>-3783584.0453582834</v>
      </c>
      <c r="E4">
        <f>INDEX(Summary_Figures!$F$5:$F$17, MATCH($B$4, Summary_Figures!$A$5:$A$17, 0))</f>
        <v>-3556211.1933414578</v>
      </c>
      <c r="H4">
        <f>INDEX(Summary_Figures!$G$5:$G$17, MATCH($B$4, Summary_Figures!$A$5:$A$17, 0))</f>
        <v>0</v>
      </c>
      <c r="I4">
        <f>INDEX(Summary_Figures!$H$5:$H$17, MATCH($B$4, Summary_Figures!$A$5:$A$17, 0))</f>
        <v>553</v>
      </c>
      <c r="K4">
        <f>SUMIFS(Capital_Summary!$H$4:$H$63, Capital_Summary!$A$4:$A$63, $B$4, Capital_Summary!$B$4:$B$63, "FY2026")</f>
        <v>0</v>
      </c>
    </row>
    <row r="5" spans="1:12">
      <c r="A5" s="41" t="s">
        <v>689</v>
      </c>
      <c r="B5" s="32" t="s">
        <v>649</v>
      </c>
      <c r="D5">
        <f>INDEX(Summary_Figures!$E$5:$E$17, MATCH($B$5, Summary_Figures!$A$5:$A$17, 0))</f>
        <v>-819073.67627407843</v>
      </c>
      <c r="E5">
        <f>INDEX(Summary_Figures!$F$5:$F$17, MATCH($B$5, Summary_Figures!$A$5:$A$17, 0))</f>
        <v>-1255278.3318717733</v>
      </c>
      <c r="F5">
        <f>D5-D4</f>
        <v>2964510.369084205</v>
      </c>
      <c r="G5">
        <f>E5-E4</f>
        <v>2300932.8614696842</v>
      </c>
      <c r="H5">
        <f>INDEX(Summary_Figures!$G$5:$G$17, MATCH($B$5, Summary_Figures!$A$5:$A$17, 0))</f>
        <v>553</v>
      </c>
      <c r="I5">
        <f>INDEX(Summary_Figures!$H$5:$H$17, MATCH($B$5, Summary_Figures!$A$5:$A$17, 0))</f>
        <v>405.79999999999995</v>
      </c>
      <c r="K5">
        <f>SUMIFS(Capital_Summary!$H$4:$H$63, Capital_Summary!$A$4:$A$63, $B$5, Capital_Summary!$B$4:$B$63, "FY2026")</f>
        <v>2314479.9999999995</v>
      </c>
      <c r="L5">
        <f>K5-K4</f>
        <v>2314479.9999999995</v>
      </c>
    </row>
    <row r="7" spans="1:12">
      <c r="A7" s="41" t="s">
        <v>690</v>
      </c>
    </row>
    <row r="8" spans="1:12">
      <c r="A8" t="s">
        <v>691</v>
      </c>
      <c r="B8">
        <f>Parameters_Public!C22</f>
        <v>0.6</v>
      </c>
    </row>
    <row r="9" spans="1:12">
      <c r="A9" t="s">
        <v>692</v>
      </c>
      <c r="B9">
        <f>Parameters_Public!C23</f>
        <v>0.85</v>
      </c>
    </row>
    <row r="10" spans="1:12">
      <c r="A10" t="s">
        <v>111</v>
      </c>
      <c r="B10">
        <f>Parameters_Public!$C41</f>
        <v>0.4</v>
      </c>
    </row>
    <row r="11" spans="1:12">
      <c r="A11" t="s">
        <v>693</v>
      </c>
      <c r="B11">
        <f>Parameters_Public!C17</f>
        <v>0.15</v>
      </c>
    </row>
    <row r="12" spans="1:12">
      <c r="A12" t="s">
        <v>694</v>
      </c>
      <c r="B12">
        <f>Parameters_Public!C20</f>
        <v>1</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5"/>
  <sheetViews>
    <sheetView workbookViewId="0"/>
  </sheetViews>
  <sheetFormatPr defaultRowHeight="14.5"/>
  <cols>
    <col min="1" max="1" width="44" customWidth="1"/>
    <col min="2" max="2" width="22" customWidth="1"/>
  </cols>
  <sheetData>
    <row r="1" spans="1:2">
      <c r="A1" s="41" t="s">
        <v>695</v>
      </c>
    </row>
    <row r="2" spans="1:2">
      <c r="A2" t="s">
        <v>696</v>
      </c>
      <c r="B2">
        <f>SUMIFS(MultiYear_ProForma!$AC$2:$AC$66, MultiYear_ProForma!$B$2:$B$66, One_to_One_Comparison!$B$4, MultiYear_ProForma!$C$2:$C$66, "FY2030") - (SUMIFS(MultiYear_ProForma!$F$2:$F$66, MultiYear_ProForma!$B$2:$B$66, One_to_One_Comparison!$B$4, MultiYear_ProForma!$C$2:$C$66, "FY2030") + SUMIFS(MultiYear_ProForma!$O$2:$O$66, MultiYear_ProForma!$B$2:$B$66, One_to_One_Comparison!$B$4, MultiYear_ProForma!$C$2:$C$66, "FY2030"))</f>
        <v>0</v>
      </c>
    </row>
    <row r="3" spans="1:2">
      <c r="A3" t="s">
        <v>697</v>
      </c>
      <c r="B3">
        <f>SUMIFS(MultiYear_ProForma!$AC$2:$AC$66, MultiYear_ProForma!$B$2:$B$66, One_to_One_Comparison!$B$4, MultiYear_ProForma!$C$2:$C$66, "FY2026") - (SUMIFS(MultiYear_ProForma!$F$2:$F$66, MultiYear_ProForma!$B$2:$B$66, One_to_One_Comparison!$B$4, MultiYear_ProForma!$C$2:$C$66, "FY2026") + SUMIFS(MultiYear_ProForma!$O$2:$O$66, MultiYear_ProForma!$B$2:$B$66, One_to_One_Comparison!$B$4, MultiYear_ProForma!$C$2:$C$66, "FY2026"))</f>
        <v>0</v>
      </c>
    </row>
    <row r="4" spans="1:2">
      <c r="A4" t="s">
        <v>698</v>
      </c>
      <c r="B4">
        <f>SUMIFS(MultiYear_ProForma!$AC$2:$AC$66, MultiYear_ProForma!$B$2:$B$66, One_to_One_Comparison!$B$5, MultiYear_ProForma!$C$2:$C$66, "FY2030") - (SUMIFS(MultiYear_ProForma!$F$2:$F$66, MultiYear_ProForma!$B$2:$B$66, One_to_One_Comparison!$B$5, MultiYear_ProForma!$C$2:$C$66, "FY2030") + SUMIFS(MultiYear_ProForma!$O$2:$O$66, MultiYear_ProForma!$B$2:$B$66, One_to_One_Comparison!$B$5, MultiYear_ProForma!$C$2:$C$66, "FY2030"))</f>
        <v>0</v>
      </c>
    </row>
    <row r="5" spans="1:2">
      <c r="A5" t="s">
        <v>699</v>
      </c>
      <c r="B5">
        <f>SUMIFS(MultiYear_ProForma!$AC$2:$AC$66, MultiYear_ProForma!$B$2:$B$66, One_to_One_Comparison!$B$5, MultiYear_ProForma!$C$2:$C$66, "FY2026") - (SUMIFS(MultiYear_ProForma!$F$2:$F$66, MultiYear_ProForma!$B$2:$B$66, One_to_One_Comparison!$B$5, MultiYear_ProForma!$C$2:$C$66, "FY2026") + SUMIFS(MultiYear_ProForma!$O$2:$O$66, MultiYear_ProForma!$B$2:$B$66, One_to_One_Comparison!$B$5, MultiYear_ProForma!$C$2:$C$66, "FY2026"))</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15</vt:i4>
      </vt:variant>
    </vt:vector>
  </HeadingPairs>
  <TitlesOfParts>
    <vt:vector size="32" baseType="lpstr">
      <vt:lpstr>Parameters_Public</vt:lpstr>
      <vt:lpstr>Workbook_Purpose_Overview</vt:lpstr>
      <vt:lpstr>Capital_Summary</vt:lpstr>
      <vt:lpstr>Receiving_Capacity</vt:lpstr>
      <vt:lpstr>Control_Center</vt:lpstr>
      <vt:lpstr>Definitions_Sources</vt:lpstr>
      <vt:lpstr>Needs</vt:lpstr>
      <vt:lpstr>Q&amp;A</vt:lpstr>
      <vt:lpstr>MultiYear_ProForma</vt:lpstr>
      <vt:lpstr>BaselineCalc</vt:lpstr>
      <vt:lpstr>Site_Fixed</vt:lpstr>
      <vt:lpstr>YearMap</vt:lpstr>
      <vt:lpstr>Scenarios</vt:lpstr>
      <vt:lpstr>Other_Parameters</vt:lpstr>
      <vt:lpstr>Summary_Figures</vt:lpstr>
      <vt:lpstr>One_to_One_Comparison</vt:lpstr>
      <vt:lpstr>QA_Checks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2025-10-29T18:50:40Z</dcterms:modified>
</cp:coreProperties>
</file>