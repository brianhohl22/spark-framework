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19" documentId="8_{4A6B4563-A365-45A2-8701-8979F1FAC7CD}" xr6:coauthVersionLast="47" xr6:coauthVersionMax="47" xr10:uidLastSave="{8412D505-ED13-416A-AE70-F602F5F9CE10}"/>
  <bookViews>
    <workbookView xWindow="40485" yWindow="2205" windowWidth="15990" windowHeight="12030" firstSheet="2" activeTab="4" xr2:uid="{00000000-000D-0000-FFFF-FFFF00000000}"/>
  </bookViews>
  <sheets>
    <sheet name="BaselineCalc" sheetId="1" r:id="rId1"/>
    <sheet name="YearMap" sheetId="2" r:id="rId2"/>
    <sheet name="Scenarios" sheetId="3" r:id="rId3"/>
    <sheet name="MultiYear_ProForma" sheetId="5" r:id="rId4"/>
    <sheet name="Summary_Costs" sheetId="6" r:id="rId5"/>
    <sheet name="Not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K16" i="5"/>
  <c r="K12" i="5"/>
  <c r="A4" i="6"/>
  <c r="A3" i="6"/>
  <c r="A2" i="6"/>
  <c r="M16" i="5"/>
  <c r="J16" i="5"/>
  <c r="I16" i="5"/>
  <c r="D16" i="5"/>
  <c r="C16" i="5"/>
  <c r="E16" i="5" s="1"/>
  <c r="A16" i="5"/>
  <c r="J15" i="5"/>
  <c r="I15" i="5"/>
  <c r="D15" i="5"/>
  <c r="C15" i="5"/>
  <c r="E15" i="5" s="1"/>
  <c r="A15" i="5"/>
  <c r="M15" i="5" s="1"/>
  <c r="M14" i="5"/>
  <c r="J14" i="5"/>
  <c r="I14" i="5"/>
  <c r="D14" i="5"/>
  <c r="C14" i="5"/>
  <c r="E14" i="5" s="1"/>
  <c r="A14" i="5"/>
  <c r="J13" i="5"/>
  <c r="I13" i="5"/>
  <c r="D13" i="5"/>
  <c r="C13" i="5"/>
  <c r="E13" i="5" s="1"/>
  <c r="A13" i="5"/>
  <c r="M13" i="5" s="1"/>
  <c r="M12" i="5"/>
  <c r="J12" i="5"/>
  <c r="I12" i="5"/>
  <c r="D12" i="5"/>
  <c r="C12" i="5"/>
  <c r="E12" i="5" s="1"/>
  <c r="A12" i="5"/>
  <c r="J11" i="5"/>
  <c r="I11" i="5"/>
  <c r="D11" i="5"/>
  <c r="C11" i="5"/>
  <c r="E11" i="5" s="1"/>
  <c r="A11" i="5"/>
  <c r="M11" i="5" s="1"/>
  <c r="M10" i="5"/>
  <c r="J10" i="5"/>
  <c r="I10" i="5"/>
  <c r="D10" i="5"/>
  <c r="C10" i="5"/>
  <c r="E10" i="5" s="1"/>
  <c r="A10" i="5"/>
  <c r="J9" i="5"/>
  <c r="I9" i="5"/>
  <c r="D9" i="5"/>
  <c r="C9" i="5"/>
  <c r="E9" i="5" s="1"/>
  <c r="A9" i="5"/>
  <c r="M9" i="5" s="1"/>
  <c r="M8" i="5"/>
  <c r="J8" i="5"/>
  <c r="I8" i="5"/>
  <c r="D8" i="5"/>
  <c r="C8" i="5"/>
  <c r="E8" i="5" s="1"/>
  <c r="A8" i="5"/>
  <c r="J7" i="5"/>
  <c r="I7" i="5"/>
  <c r="D7" i="5"/>
  <c r="C7" i="5"/>
  <c r="E7" i="5" s="1"/>
  <c r="A7" i="5"/>
  <c r="M7" i="5" s="1"/>
  <c r="M6" i="5"/>
  <c r="J6" i="5"/>
  <c r="I6" i="5"/>
  <c r="D6" i="5"/>
  <c r="C6" i="5"/>
  <c r="A6" i="5"/>
  <c r="J5" i="5"/>
  <c r="I5" i="5"/>
  <c r="D5" i="5"/>
  <c r="C5" i="5"/>
  <c r="A5" i="5"/>
  <c r="M5" i="5" s="1"/>
  <c r="M4" i="5"/>
  <c r="J4" i="5"/>
  <c r="I4" i="5"/>
  <c r="D4" i="5"/>
  <c r="C4" i="5"/>
  <c r="A4" i="5"/>
  <c r="J3" i="5"/>
  <c r="I3" i="5"/>
  <c r="D3" i="5"/>
  <c r="C3" i="5"/>
  <c r="A3" i="5"/>
  <c r="M3" i="5" s="1"/>
  <c r="M2" i="5"/>
  <c r="J2" i="5"/>
  <c r="I2" i="5"/>
  <c r="D2" i="5"/>
  <c r="C2" i="5"/>
  <c r="E2" i="5" s="1"/>
  <c r="A2" i="5"/>
  <c r="I21" i="3"/>
  <c r="D21" i="3"/>
  <c r="C21" i="3"/>
  <c r="E21" i="3" s="1"/>
  <c r="A21" i="3"/>
  <c r="I20" i="3"/>
  <c r="D20" i="3"/>
  <c r="C20" i="3"/>
  <c r="E20" i="3" s="1"/>
  <c r="A20" i="3"/>
  <c r="I19" i="3"/>
  <c r="D19" i="3"/>
  <c r="C19" i="3"/>
  <c r="E19" i="3" s="1"/>
  <c r="A19" i="3"/>
  <c r="I18" i="3"/>
  <c r="D18" i="3"/>
  <c r="C18" i="3"/>
  <c r="E18" i="3" s="1"/>
  <c r="A18" i="3"/>
  <c r="I17" i="3"/>
  <c r="D17" i="3"/>
  <c r="C17" i="3"/>
  <c r="E17" i="3" s="1"/>
  <c r="A17" i="3"/>
  <c r="I16" i="3"/>
  <c r="D16" i="3"/>
  <c r="C16" i="3"/>
  <c r="E16" i="3" s="1"/>
  <c r="A16" i="3"/>
  <c r="I15" i="3"/>
  <c r="D15" i="3"/>
  <c r="C15" i="3"/>
  <c r="E15" i="3" s="1"/>
  <c r="A15" i="3"/>
  <c r="I14" i="3"/>
  <c r="D14" i="3"/>
  <c r="C14" i="3"/>
  <c r="E14" i="3" s="1"/>
  <c r="A14" i="3"/>
  <c r="I13" i="3"/>
  <c r="D13" i="3"/>
  <c r="C13" i="3"/>
  <c r="E13" i="3" s="1"/>
  <c r="A13" i="3"/>
  <c r="I12" i="3"/>
  <c r="D12" i="3"/>
  <c r="C12" i="3"/>
  <c r="E12" i="3" s="1"/>
  <c r="A12" i="3"/>
  <c r="I11" i="3"/>
  <c r="D11" i="3"/>
  <c r="C11" i="3"/>
  <c r="A11" i="3"/>
  <c r="I10" i="3"/>
  <c r="D10" i="3"/>
  <c r="C10" i="3"/>
  <c r="E10" i="3" s="1"/>
  <c r="A10" i="3"/>
  <c r="I9" i="3"/>
  <c r="D9" i="3"/>
  <c r="C9" i="3"/>
  <c r="A9" i="3"/>
  <c r="I8" i="3"/>
  <c r="D8" i="3"/>
  <c r="C8" i="3"/>
  <c r="E8" i="3" s="1"/>
  <c r="A8" i="3"/>
  <c r="I7" i="3"/>
  <c r="D7" i="3"/>
  <c r="C7" i="3"/>
  <c r="A7" i="3"/>
  <c r="B9" i="1"/>
  <c r="B13" i="1" s="1"/>
  <c r="E7" i="3" l="1"/>
  <c r="E9" i="3"/>
  <c r="E11" i="3"/>
  <c r="E5" i="5"/>
  <c r="E3" i="5"/>
  <c r="E4" i="5"/>
  <c r="E6" i="5"/>
  <c r="B14" i="1"/>
  <c r="B15" i="1"/>
  <c r="E18" i="1" l="1"/>
  <c r="D18" i="1"/>
  <c r="C18" i="1"/>
  <c r="B18" i="1"/>
  <c r="F18" i="1"/>
  <c r="B6" i="2" s="1"/>
  <c r="B17" i="1"/>
  <c r="F17" i="1"/>
  <c r="E17" i="1"/>
  <c r="D17" i="1"/>
  <c r="C17" i="1"/>
  <c r="E19" i="1" l="1"/>
  <c r="C5" i="2" s="1"/>
  <c r="E20" i="1"/>
  <c r="D5" i="2" s="1"/>
  <c r="F14" i="1"/>
  <c r="F13" i="1" s="1"/>
  <c r="B20" i="1"/>
  <c r="D2" i="2" s="1"/>
  <c r="C14" i="1"/>
  <c r="C13" i="1" s="1"/>
  <c r="B19" i="1"/>
  <c r="C2" i="2" s="1"/>
  <c r="F6" i="5"/>
  <c r="F21" i="3"/>
  <c r="F16" i="3"/>
  <c r="F11" i="3"/>
  <c r="F16" i="5"/>
  <c r="F11" i="5"/>
  <c r="C15" i="1"/>
  <c r="B2" i="2"/>
  <c r="D19" i="1"/>
  <c r="C4" i="2" s="1"/>
  <c r="D20" i="1"/>
  <c r="D4" i="2" s="1"/>
  <c r="E14" i="1"/>
  <c r="E13" i="1" s="1"/>
  <c r="F19" i="1"/>
  <c r="C6" i="2" s="1"/>
  <c r="F20" i="1"/>
  <c r="D6" i="2" s="1"/>
  <c r="B3" i="2"/>
  <c r="D15" i="1"/>
  <c r="C20" i="1"/>
  <c r="D3" i="2" s="1"/>
  <c r="D14" i="1"/>
  <c r="D13" i="1" s="1"/>
  <c r="C19" i="1"/>
  <c r="C3" i="2" s="1"/>
  <c r="E15" i="1"/>
  <c r="B4" i="2"/>
  <c r="F15" i="1"/>
  <c r="B5" i="2"/>
  <c r="G18" i="3" l="1"/>
  <c r="G8" i="3"/>
  <c r="G13" i="3"/>
  <c r="G3" i="5"/>
  <c r="G13" i="5"/>
  <c r="G8" i="5"/>
  <c r="H9" i="5"/>
  <c r="H14" i="5"/>
  <c r="H4" i="5"/>
  <c r="H19" i="3"/>
  <c r="H14" i="3"/>
  <c r="H9" i="3"/>
  <c r="H13" i="5"/>
  <c r="H3" i="5"/>
  <c r="H8" i="5"/>
  <c r="H18" i="3"/>
  <c r="H13" i="3"/>
  <c r="H8" i="3"/>
  <c r="F12" i="5"/>
  <c r="F12" i="3"/>
  <c r="F2" i="5"/>
  <c r="F17" i="3"/>
  <c r="F7" i="3"/>
  <c r="F7" i="5"/>
  <c r="G2" i="5"/>
  <c r="G17" i="3"/>
  <c r="G12" i="3"/>
  <c r="G7" i="3"/>
  <c r="G7" i="5"/>
  <c r="G12" i="5"/>
  <c r="L12" i="5" s="1"/>
  <c r="G4" i="5"/>
  <c r="K4" i="5" s="1"/>
  <c r="L4" i="5" s="1"/>
  <c r="B2" i="6" s="1"/>
  <c r="G19" i="3"/>
  <c r="G14" i="3"/>
  <c r="G9" i="3"/>
  <c r="G9" i="5"/>
  <c r="G14" i="5"/>
  <c r="F8" i="5"/>
  <c r="F18" i="3"/>
  <c r="F8" i="3"/>
  <c r="F13" i="3"/>
  <c r="F13" i="5"/>
  <c r="F3" i="5"/>
  <c r="H7" i="5"/>
  <c r="H12" i="5"/>
  <c r="H2" i="5"/>
  <c r="H17" i="3"/>
  <c r="H12" i="3"/>
  <c r="H7" i="3"/>
  <c r="F10" i="3"/>
  <c r="F10" i="5"/>
  <c r="F20" i="3"/>
  <c r="F15" i="3"/>
  <c r="F15" i="5"/>
  <c r="F5" i="5"/>
  <c r="H11" i="5"/>
  <c r="H16" i="5"/>
  <c r="H6" i="5"/>
  <c r="H21" i="3"/>
  <c r="H16" i="3"/>
  <c r="H11" i="3"/>
  <c r="G21" i="3"/>
  <c r="G16" i="3"/>
  <c r="G11" i="3"/>
  <c r="G11" i="5"/>
  <c r="G16" i="5"/>
  <c r="G6" i="5"/>
  <c r="H15" i="5"/>
  <c r="H5" i="5"/>
  <c r="H10" i="5"/>
  <c r="H20" i="3"/>
  <c r="H15" i="3"/>
  <c r="H10" i="3"/>
  <c r="F14" i="5"/>
  <c r="F4" i="5"/>
  <c r="F19" i="3"/>
  <c r="F14" i="3"/>
  <c r="F9" i="3"/>
  <c r="F9" i="5"/>
  <c r="G20" i="3"/>
  <c r="G15" i="3"/>
  <c r="G10" i="3"/>
  <c r="G5" i="5"/>
  <c r="G15" i="5"/>
  <c r="K15" i="5" s="1"/>
  <c r="L15" i="5" s="1"/>
  <c r="G10" i="5"/>
  <c r="K10" i="5" s="1"/>
  <c r="L10" i="5" s="1"/>
  <c r="K11" i="5" l="1"/>
  <c r="L11" i="5" s="1"/>
  <c r="C3" i="6" s="1"/>
  <c r="K8" i="5"/>
  <c r="L8" i="5" s="1"/>
  <c r="K7" i="5"/>
  <c r="L7" i="5" s="1"/>
  <c r="K13" i="5"/>
  <c r="L13" i="5" s="1"/>
  <c r="K14" i="5"/>
  <c r="L14" i="5" s="1"/>
  <c r="B4" i="6" s="1"/>
  <c r="K3" i="5"/>
  <c r="L3" i="5" s="1"/>
  <c r="D4" i="6"/>
  <c r="K9" i="5"/>
  <c r="L9" i="5" s="1"/>
  <c r="B3" i="6" s="1"/>
  <c r="K5" i="5"/>
  <c r="L5" i="5" s="1"/>
  <c r="K6" i="5"/>
  <c r="L6" i="5" s="1"/>
  <c r="C2" i="6" s="1"/>
  <c r="L16" i="5"/>
  <c r="C4" i="6" s="1"/>
  <c r="K2" i="5"/>
  <c r="L2" i="5" s="1"/>
  <c r="E2" i="6" l="1"/>
  <c r="D2" i="6"/>
  <c r="D3" i="6"/>
</calcChain>
</file>

<file path=xl/sharedStrings.xml><?xml version="1.0" encoding="utf-8"?>
<sst xmlns="http://schemas.openxmlformats.org/spreadsheetml/2006/main" count="143" uniqueCount="86">
  <si>
    <t>Parameter</t>
  </si>
  <si>
    <t>Value</t>
  </si>
  <si>
    <t>Notes</t>
  </si>
  <si>
    <t>MO inflation</t>
  </si>
  <si>
    <t>Annual inflation factor.</t>
  </si>
  <si>
    <t>Base MO per ADM (FY25)</t>
  </si>
  <si>
    <t>Working base for FY25.</t>
  </si>
  <si>
    <t>Fixed share of MO</t>
  </si>
  <si>
    <t>Share treated as semi‑fixed (plant/insurance).</t>
  </si>
  <si>
    <t>Ops savings (keep‑open)</t>
  </si>
  <si>
    <t>Light discipline if sites remain open (not used here).</t>
  </si>
  <si>
    <t>Extra savings (Co‑location)</t>
  </si>
  <si>
    <t>Incremental savings for co‑location (not used here).</t>
  </si>
  <si>
    <t>Echo base ADM</t>
  </si>
  <si>
    <t>Pima base ADM</t>
  </si>
  <si>
    <t>Total base ADM</t>
  </si>
  <si>
    <t>Echo base ADM + Pima base ADM</t>
  </si>
  <si>
    <t>Helper / Derivation</t>
  </si>
  <si>
    <t>FY26</t>
  </si>
  <si>
    <t>FY27</t>
  </si>
  <si>
    <t>FY28</t>
  </si>
  <si>
    <t>FY29</t>
  </si>
  <si>
    <t>FY30</t>
  </si>
  <si>
    <t>Base total MO (FY25)</t>
  </si>
  <si>
    <t>Total ADM × Base MO/ADM</t>
  </si>
  <si>
    <t>B13 = B9*B3 (Base total MO, FY25)</t>
  </si>
  <si>
    <t>Fixed MO (FY25)</t>
  </si>
  <si>
    <t>Fixed = Base total × Fixed share</t>
  </si>
  <si>
    <t>B14 = B13*B4 (Fixed MO, FY25)</t>
  </si>
  <si>
    <t>Var per student (FY25)</t>
  </si>
  <si>
    <t>Variable = (Base total − Fixed)/Total ADM</t>
  </si>
  <si>
    <t>B15 = (B13–B14)/B9 (Variable $/student, FY25)</t>
  </si>
  <si>
    <t>Fixed total ($)</t>
  </si>
  <si>
    <t>Var unit ($/student)</t>
  </si>
  <si>
    <t>Echo fixed ($)</t>
  </si>
  <si>
    <t>Pima fixed ($)</t>
  </si>
  <si>
    <t>All formulas are same‑sheet and reference the Parameter cells above.</t>
  </si>
  <si>
    <t>Year</t>
  </si>
  <si>
    <t>VarUnit$</t>
  </si>
  <si>
    <t>EchoFixed$</t>
  </si>
  <si>
    <t>PimaFixed$</t>
  </si>
  <si>
    <t>h</t>
  </si>
  <si>
    <t>f_lease</t>
  </si>
  <si>
    <t>f_ops</t>
  </si>
  <si>
    <t>FY2026</t>
  </si>
  <si>
    <t>FY2027</t>
  </si>
  <si>
    <t>FY2028</t>
  </si>
  <si>
    <t>FY2029</t>
  </si>
  <si>
    <t>FY2030</t>
  </si>
  <si>
    <t>ScenarioKey</t>
  </si>
  <si>
    <t>Label</t>
  </si>
  <si>
    <t>Overlay</t>
  </si>
  <si>
    <t>CloseEcho</t>
  </si>
  <si>
    <t>ClosePima</t>
  </si>
  <si>
    <t>EchoShareDist</t>
  </si>
  <si>
    <t>ExtraSave</t>
  </si>
  <si>
    <t>D_Grow_Both_0</t>
  </si>
  <si>
    <t>D. Grow Both (Overlay 0)</t>
  </si>
  <si>
    <t>Baseline + outreach; no closures</t>
  </si>
  <si>
    <t>E_StatusQuo_Targets_0</t>
  </si>
  <si>
    <t>E. Status‑Quo + Targets (0)</t>
  </si>
  <si>
    <t>Baseline + targets; no closures</t>
  </si>
  <si>
    <t>F_CoLocation_Echo_0</t>
  </si>
  <si>
    <t>F. Co‑Location @ Echo (0)</t>
  </si>
  <si>
    <t>Shared‑use efficiencies later (no closure)</t>
  </si>
  <si>
    <t>Echo_ADM</t>
  </si>
  <si>
    <t>Pima_ADM</t>
  </si>
  <si>
    <t>Total_ADM</t>
  </si>
  <si>
    <t>Key</t>
  </si>
  <si>
    <t>FAQs</t>
  </si>
  <si>
    <t>Why “Fixed share of M&amp;O = 0.30”?</t>
  </si>
  <si>
    <t>District M&amp;O typically has a sizable semi‑fixed component (plant ops/custodial/insurance/admin overhead). Without site‑level detail yet, 30% is a conservative placeholder in the middle of the 25–40% range many K‑12 systems sit in. We will replace it with SUSD plant ops + insurance shares when available.</t>
  </si>
  <si>
    <t>Why “Ops savings (keep‑open) = 0.007 (0.7%)”?</t>
  </si>
  <si>
    <t>This represents “light discipline” (utilities/purchasing tweaks, route smoothing) that does not depend on closing a site. I set it very low on purpose so it doesn’t drive results. We’ll calibrate with SUSD data (e.g., last year’s utility audits) if provided.</t>
  </si>
  <si>
    <t>Why “Extra savings (co‑location) = 0.015 (1.5%)”?</t>
  </si>
  <si>
    <t>This reflects incremental savings from consolidating some services on one campus (custodial/grounds/partial routing). Again kept small and conservative; we’ll swap in real custodial (sq‑ft), grounds and route deltas when we get them.</t>
  </si>
  <si>
    <t>Why “Repurpose TI per closed site (FY26) = $1.2M”? What is “one‑time carry/TI”?</t>
  </si>
  <si>
    <t>“TI” = tenant improvements / transition investments needed to convert a K‑8 to a different use (early learning, admin consolidation) and carry costs in year one (e.g., abatement, doors/security, low‑voltage re‑work, furniture, swing space). A light‑touch repurpose can easily run $10–$20/sq‑ft; Echo’s plant is ~77k sq ft, so $1.2M is a reasonable placeholder (we are not assuming a gut remodel). We’ll replace this with SUSD’s scope/estimate if they have one.</t>
  </si>
  <si>
    <t>Definitions</t>
  </si>
  <si>
    <t>OpsFactor</t>
  </si>
  <si>
    <t>Total_MO$</t>
  </si>
  <si>
    <t>MO_per_ADM$</t>
  </si>
  <si>
    <t>FY2028 MO/ADM</t>
  </si>
  <si>
    <t>FY2030 MO/ADM</t>
  </si>
  <si>
    <t>3-yr Avg MO/ADM (FY26–FY28)</t>
  </si>
  <si>
    <t>5-yr Avg MO/ADM (FY26–FY30)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</si>
</sst>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  <xf numFmtId="0" fontId="0" fillId="3" borderId="0" xfId="0" applyFill="1"/>
    <xf numFmtId="0" fontId="1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workbookViewId="0">
      <pane ySplit="1" topLeftCell="A2" activePane="bottomLeft" state="frozen"/>
      <selection pane="bottomLeft" activeCell="A11" sqref="A11"/>
    </sheetView>
  </sheetViews>
  <sheetFormatPr defaultRowHeight="14.5" x14ac:dyDescent="0.35"/>
  <cols>
    <col min="1" max="1" width="25.1796875" customWidth="1"/>
    <col min="2" max="6" width="9.7265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</row>
    <row r="2" spans="1:11" x14ac:dyDescent="0.35">
      <c r="A2" t="s">
        <v>3</v>
      </c>
      <c r="B2" s="4">
        <v>2.5000000000000001E-2</v>
      </c>
      <c r="C2" s="6" t="s">
        <v>4</v>
      </c>
    </row>
    <row r="3" spans="1:11" x14ac:dyDescent="0.35">
      <c r="A3" t="s">
        <v>5</v>
      </c>
      <c r="B3" s="4">
        <v>9936</v>
      </c>
      <c r="C3" s="6" t="s">
        <v>6</v>
      </c>
    </row>
    <row r="4" spans="1:11" x14ac:dyDescent="0.35">
      <c r="A4" t="s">
        <v>7</v>
      </c>
      <c r="B4" s="4">
        <v>0.3</v>
      </c>
      <c r="C4" s="6" t="s">
        <v>8</v>
      </c>
    </row>
    <row r="5" spans="1:11" x14ac:dyDescent="0.35">
      <c r="A5" t="s">
        <v>9</v>
      </c>
      <c r="B5" s="4">
        <v>7.0000000000000001E-3</v>
      </c>
      <c r="C5" s="6" t="s">
        <v>10</v>
      </c>
    </row>
    <row r="6" spans="1:11" x14ac:dyDescent="0.35">
      <c r="A6" t="s">
        <v>11</v>
      </c>
      <c r="B6" s="4">
        <v>1.4999999999999999E-2</v>
      </c>
      <c r="C6" s="6" t="s">
        <v>12</v>
      </c>
    </row>
    <row r="7" spans="1:11" x14ac:dyDescent="0.35">
      <c r="A7" t="s">
        <v>13</v>
      </c>
      <c r="B7" s="4">
        <v>257</v>
      </c>
    </row>
    <row r="8" spans="1:11" x14ac:dyDescent="0.35">
      <c r="A8" t="s">
        <v>14</v>
      </c>
      <c r="B8" s="4">
        <v>296</v>
      </c>
    </row>
    <row r="9" spans="1:11" x14ac:dyDescent="0.35">
      <c r="A9" t="s">
        <v>15</v>
      </c>
      <c r="B9">
        <f>B7+B8</f>
        <v>553</v>
      </c>
      <c r="C9" t="s">
        <v>16</v>
      </c>
    </row>
    <row r="12" spans="1:11" x14ac:dyDescent="0.35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</v>
      </c>
    </row>
    <row r="13" spans="1:11" x14ac:dyDescent="0.35">
      <c r="A13" t="s">
        <v>23</v>
      </c>
      <c r="B13" s="2">
        <f>B9*B3</f>
        <v>5494608</v>
      </c>
      <c r="C13" s="2">
        <f>C14/$B$4</f>
        <v>5631973.1999999993</v>
      </c>
      <c r="D13" s="2">
        <f>D14/$B$4</f>
        <v>5772772.5299999993</v>
      </c>
      <c r="E13" s="2">
        <f>E14/$B$4</f>
        <v>5917091.843249999</v>
      </c>
      <c r="F13" s="2">
        <f>F14/$B$4</f>
        <v>6065019.1393312486</v>
      </c>
      <c r="G13" t="s">
        <v>24</v>
      </c>
      <c r="K13" t="s">
        <v>25</v>
      </c>
    </row>
    <row r="14" spans="1:11" x14ac:dyDescent="0.35">
      <c r="A14" t="s">
        <v>26</v>
      </c>
      <c r="B14" s="2">
        <f>B13*B4</f>
        <v>1648382.4</v>
      </c>
      <c r="C14" s="2">
        <f t="shared" ref="C14:F15" si="0">B17</f>
        <v>1689591.9599999997</v>
      </c>
      <c r="D14" s="2">
        <f t="shared" si="0"/>
        <v>1731831.7589999998</v>
      </c>
      <c r="E14" s="2">
        <f t="shared" si="0"/>
        <v>1775127.5529749996</v>
      </c>
      <c r="F14" s="2">
        <f t="shared" si="0"/>
        <v>1819505.7417993746</v>
      </c>
      <c r="G14" t="s">
        <v>27</v>
      </c>
      <c r="K14" t="s">
        <v>28</v>
      </c>
    </row>
    <row r="15" spans="1:11" x14ac:dyDescent="0.35">
      <c r="A15" t="s">
        <v>29</v>
      </c>
      <c r="B15" s="2">
        <f>(B13-B14)/B9</f>
        <v>6955.2</v>
      </c>
      <c r="C15" s="2">
        <f t="shared" si="0"/>
        <v>7129.079999999999</v>
      </c>
      <c r="D15" s="2">
        <f t="shared" si="0"/>
        <v>7307.3069999999989</v>
      </c>
      <c r="E15" s="2">
        <f t="shared" si="0"/>
        <v>7489.9896749999989</v>
      </c>
      <c r="F15" s="2">
        <f t="shared" si="0"/>
        <v>7677.2394168749979</v>
      </c>
      <c r="G15" t="s">
        <v>30</v>
      </c>
      <c r="K15" t="s">
        <v>31</v>
      </c>
    </row>
    <row r="17" spans="1:6" x14ac:dyDescent="0.35">
      <c r="A17" t="s">
        <v>32</v>
      </c>
      <c r="B17" s="2">
        <f>$B$14*(1+$B$2)^1</f>
        <v>1689591.9599999997</v>
      </c>
      <c r="C17" s="2">
        <f>$B$14*(1+$B$2)^2</f>
        <v>1731831.7589999998</v>
      </c>
      <c r="D17" s="2">
        <f>$B$14*(1+$B$2)^3</f>
        <v>1775127.5529749996</v>
      </c>
      <c r="E17" s="2">
        <f>$B$14*(1+$B$2)^4</f>
        <v>1819505.7417993746</v>
      </c>
      <c r="F17" s="2">
        <f>$B$14*(1+$B$2)^5</f>
        <v>1864993.3853443586</v>
      </c>
    </row>
    <row r="18" spans="1:6" x14ac:dyDescent="0.35">
      <c r="A18" t="s">
        <v>33</v>
      </c>
      <c r="B18" s="2">
        <f>$B$15*(1+$B$2)^1</f>
        <v>7129.079999999999</v>
      </c>
      <c r="C18" s="2">
        <f>$B$15*(1+$B$2)^2</f>
        <v>7307.3069999999989</v>
      </c>
      <c r="D18" s="2">
        <f>$B$15*(1+$B$2)^3</f>
        <v>7489.9896749999989</v>
      </c>
      <c r="E18" s="2">
        <f>$B$15*(1+$B$2)^4</f>
        <v>7677.2394168749979</v>
      </c>
      <c r="F18" s="2">
        <f>$B$15*(1+$B$2)^5</f>
        <v>7869.1704022968725</v>
      </c>
    </row>
    <row r="19" spans="1:6" x14ac:dyDescent="0.35">
      <c r="A19" t="s">
        <v>34</v>
      </c>
      <c r="B19" s="2">
        <f>B17*($B$7/$B$9)</f>
        <v>785217.23999999987</v>
      </c>
      <c r="C19" s="2">
        <f>C17*($B$7/$B$9)</f>
        <v>804847.67099999997</v>
      </c>
      <c r="D19" s="2">
        <f>D17*($B$7/$B$9)</f>
        <v>824968.86277499993</v>
      </c>
      <c r="E19" s="2">
        <f>E17*($B$7/$B$9)</f>
        <v>845593.08434437483</v>
      </c>
      <c r="F19" s="2">
        <f>F17*($B$7/$B$9)</f>
        <v>866732.91145298409</v>
      </c>
    </row>
    <row r="20" spans="1:6" x14ac:dyDescent="0.35">
      <c r="A20" t="s">
        <v>35</v>
      </c>
      <c r="B20" s="2">
        <f>B17*($B$8/$B$9)</f>
        <v>904374.71999999986</v>
      </c>
      <c r="C20" s="2">
        <f>C17*($B$8/$B$9)</f>
        <v>926984.08799999999</v>
      </c>
      <c r="D20" s="2">
        <f>D17*($B$8/$B$9)</f>
        <v>950158.69019999984</v>
      </c>
      <c r="E20" s="2">
        <f>E17*($B$8/$B$9)</f>
        <v>973912.65745499986</v>
      </c>
      <c r="F20" s="2">
        <f>F17*($B$8/$B$9)</f>
        <v>998260.47389137466</v>
      </c>
    </row>
    <row r="22" spans="1:6" x14ac:dyDescent="0.35">
      <c r="A22" s="1" t="s">
        <v>2</v>
      </c>
    </row>
    <row r="23" spans="1:6" x14ac:dyDescent="0.35">
      <c r="A23" s="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defaultRowHeight="14.5" x14ac:dyDescent="0.35"/>
  <cols>
    <col min="1" max="1" width="6.7265625" bestFit="1" customWidth="1"/>
    <col min="2" max="4" width="11.81640625" bestFit="1" customWidth="1"/>
    <col min="5" max="5" width="4.81640625" bestFit="1" customWidth="1"/>
    <col min="6" max="6" width="7.08984375" bestFit="1" customWidth="1"/>
    <col min="7" max="7" width="5.54296875" bestFit="1" customWidth="1"/>
  </cols>
  <sheetData>
    <row r="1" spans="1:7" x14ac:dyDescent="0.3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 spans="1:7" x14ac:dyDescent="0.35">
      <c r="A2" t="s">
        <v>44</v>
      </c>
      <c r="B2" s="2">
        <f>BaselineCalc!B18</f>
        <v>7129.079999999999</v>
      </c>
      <c r="C2" s="2">
        <f>BaselineCalc!B19</f>
        <v>785217.23999999987</v>
      </c>
      <c r="D2" s="2">
        <f>BaselineCalc!B20</f>
        <v>904374.71999999986</v>
      </c>
      <c r="E2" s="4">
        <v>1000</v>
      </c>
      <c r="F2" s="4">
        <v>0.4</v>
      </c>
      <c r="G2" s="4">
        <v>0.4</v>
      </c>
    </row>
    <row r="3" spans="1:7" x14ac:dyDescent="0.35">
      <c r="A3" t="s">
        <v>45</v>
      </c>
      <c r="B3" s="2">
        <f>BaselineCalc!C18</f>
        <v>7307.3069999999989</v>
      </c>
      <c r="C3" s="2">
        <f>BaselineCalc!C19</f>
        <v>804847.67099999997</v>
      </c>
      <c r="D3" s="2">
        <f>BaselineCalc!C20</f>
        <v>926984.08799999999</v>
      </c>
      <c r="E3" s="4">
        <v>800</v>
      </c>
      <c r="F3" s="4">
        <v>0.3</v>
      </c>
      <c r="G3" s="4">
        <v>0.35</v>
      </c>
    </row>
    <row r="4" spans="1:7" x14ac:dyDescent="0.35">
      <c r="A4" t="s">
        <v>46</v>
      </c>
      <c r="B4" s="2">
        <f>BaselineCalc!D18</f>
        <v>7489.9896749999989</v>
      </c>
      <c r="C4" s="2">
        <f>BaselineCalc!D19</f>
        <v>824968.86277499993</v>
      </c>
      <c r="D4" s="2">
        <f>BaselineCalc!D20</f>
        <v>950158.69019999984</v>
      </c>
      <c r="E4" s="4">
        <v>600</v>
      </c>
      <c r="F4" s="4">
        <v>0.2</v>
      </c>
      <c r="G4" s="4">
        <v>0.3</v>
      </c>
    </row>
    <row r="5" spans="1:7" x14ac:dyDescent="0.35">
      <c r="A5" t="s">
        <v>47</v>
      </c>
      <c r="B5" s="2">
        <f>BaselineCalc!E18</f>
        <v>7677.2394168749979</v>
      </c>
      <c r="C5" s="2">
        <f>BaselineCalc!E19</f>
        <v>845593.08434437483</v>
      </c>
      <c r="D5" s="2">
        <f>BaselineCalc!E20</f>
        <v>973912.65745499986</v>
      </c>
      <c r="E5" s="4">
        <v>400</v>
      </c>
      <c r="F5" s="4">
        <v>0.1</v>
      </c>
      <c r="G5" s="4">
        <v>0.25</v>
      </c>
    </row>
    <row r="6" spans="1:7" x14ac:dyDescent="0.35">
      <c r="A6" t="s">
        <v>48</v>
      </c>
      <c r="B6" s="2">
        <f>BaselineCalc!F18</f>
        <v>7869.1704022968725</v>
      </c>
      <c r="C6" s="2">
        <f>BaselineCalc!F19</f>
        <v>866732.91145298409</v>
      </c>
      <c r="D6" s="2">
        <f>BaselineCalc!F20</f>
        <v>998260.47389137466</v>
      </c>
      <c r="E6" s="4">
        <v>300</v>
      </c>
      <c r="F6" s="4">
        <v>0</v>
      </c>
      <c r="G6" s="4">
        <v>0.2</v>
      </c>
    </row>
  </sheetData>
  <pageMargins left="0.75" right="0.75" top="1" bottom="1" header="0.5" footer="0.5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zoomScale="85" zoomScaleNormal="85" workbookViewId="0">
      <selection activeCell="C2" sqref="C2"/>
    </sheetView>
  </sheetViews>
  <sheetFormatPr defaultRowHeight="14.5" x14ac:dyDescent="0.35"/>
  <cols>
    <col min="1" max="1" width="21" bestFit="1" customWidth="1"/>
    <col min="2" max="2" width="23.26953125" bestFit="1" customWidth="1"/>
    <col min="3" max="3" width="10" bestFit="1" customWidth="1"/>
    <col min="4" max="5" width="10.1796875" bestFit="1" customWidth="1"/>
    <col min="6" max="6" width="13.08984375" bestFit="1" customWidth="1"/>
    <col min="7" max="7" width="11.81640625" bestFit="1" customWidth="1"/>
    <col min="8" max="8" width="36.54296875" bestFit="1" customWidth="1"/>
  </cols>
  <sheetData>
    <row r="1" spans="1:9" x14ac:dyDescent="0.3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2</v>
      </c>
    </row>
    <row r="2" spans="1:9" x14ac:dyDescent="0.35">
      <c r="A2" t="s">
        <v>56</v>
      </c>
      <c r="B2" t="s">
        <v>57</v>
      </c>
      <c r="C2" s="4">
        <v>0</v>
      </c>
      <c r="D2" s="4">
        <v>0</v>
      </c>
      <c r="E2" s="4">
        <v>0</v>
      </c>
      <c r="F2" s="4">
        <v>0.5</v>
      </c>
      <c r="G2" s="4">
        <v>0</v>
      </c>
      <c r="H2" t="s">
        <v>58</v>
      </c>
    </row>
    <row r="3" spans="1:9" x14ac:dyDescent="0.35">
      <c r="A3" t="s">
        <v>59</v>
      </c>
      <c r="B3" t="s">
        <v>60</v>
      </c>
      <c r="C3" s="4">
        <v>0</v>
      </c>
      <c r="D3" s="4">
        <v>0</v>
      </c>
      <c r="E3" s="4">
        <v>0</v>
      </c>
      <c r="F3" s="4">
        <v>0.5</v>
      </c>
      <c r="G3" s="4">
        <v>0</v>
      </c>
      <c r="H3" t="s">
        <v>61</v>
      </c>
    </row>
    <row r="4" spans="1:9" x14ac:dyDescent="0.35">
      <c r="A4" t="s">
        <v>62</v>
      </c>
      <c r="B4" t="s">
        <v>63</v>
      </c>
      <c r="C4" s="4">
        <v>0</v>
      </c>
      <c r="D4" s="4">
        <v>0</v>
      </c>
      <c r="E4" s="4">
        <v>0</v>
      </c>
      <c r="F4" s="4">
        <v>0.7</v>
      </c>
      <c r="G4" s="4">
        <v>1.4999999999999999E-2</v>
      </c>
      <c r="H4" t="s">
        <v>64</v>
      </c>
    </row>
    <row r="6" spans="1:9" x14ac:dyDescent="0.35">
      <c r="A6" s="1" t="s">
        <v>49</v>
      </c>
      <c r="B6" s="1" t="s">
        <v>37</v>
      </c>
      <c r="C6" s="1" t="s">
        <v>65</v>
      </c>
      <c r="D6" s="1" t="s">
        <v>66</v>
      </c>
      <c r="E6" s="1" t="s">
        <v>67</v>
      </c>
      <c r="F6" s="1" t="s">
        <v>38</v>
      </c>
      <c r="G6" s="1" t="s">
        <v>39</v>
      </c>
      <c r="H6" s="1" t="s">
        <v>40</v>
      </c>
      <c r="I6" s="1" t="s">
        <v>68</v>
      </c>
    </row>
    <row r="7" spans="1:9" x14ac:dyDescent="0.35">
      <c r="A7" t="str">
        <f>A2</f>
        <v>D_Grow_Both_0</v>
      </c>
      <c r="B7" t="s">
        <v>44</v>
      </c>
      <c r="C7">
        <f>IF(D2=1,0, BaselineCalc!$B$7 + ROUND(C2*F2,0))</f>
        <v>257</v>
      </c>
      <c r="D7">
        <f>IF(E2=1,0, BaselineCalc!$B$8 + C2 - ROUND(C2*F2,0))</f>
        <v>296</v>
      </c>
      <c r="E7">
        <f t="shared" ref="E7:E21" si="0">C7+D7</f>
        <v>553</v>
      </c>
      <c r="F7" s="2">
        <f>VLOOKUP(B7,YearMap!$A$2:$B$6,2,FALSE)</f>
        <v>7129.079999999999</v>
      </c>
      <c r="G7" s="2">
        <f>VLOOKUP(B7,YearMap!$A$2:$C$6,3,FALSE)</f>
        <v>785217.23999999987</v>
      </c>
      <c r="H7" s="2">
        <f>VLOOKUP(B7,YearMap!$A$2:$D$6,4,FALSE)</f>
        <v>904374.71999999986</v>
      </c>
      <c r="I7" t="str">
        <f t="shared" ref="I7:I21" si="1">A7&amp;"|"&amp;B7</f>
        <v>D_Grow_Both_0|FY2026</v>
      </c>
    </row>
    <row r="8" spans="1:9" x14ac:dyDescent="0.35">
      <c r="A8" t="str">
        <f>A2</f>
        <v>D_Grow_Both_0</v>
      </c>
      <c r="B8" t="s">
        <v>45</v>
      </c>
      <c r="C8">
        <f>IF(D2=1,0, BaselineCalc!$B$7 + ROUND(C2*F2,0))</f>
        <v>257</v>
      </c>
      <c r="D8">
        <f>IF(E2=1,0, BaselineCalc!$B$8 + C2 - ROUND(C2*F2,0))</f>
        <v>296</v>
      </c>
      <c r="E8">
        <f t="shared" si="0"/>
        <v>553</v>
      </c>
      <c r="F8" s="2">
        <f>VLOOKUP(B8,YearMap!$A$2:$B$6,2,FALSE)</f>
        <v>7307.3069999999989</v>
      </c>
      <c r="G8" s="2">
        <f>VLOOKUP(B8,YearMap!$A$2:$C$6,3,FALSE)</f>
        <v>804847.67099999997</v>
      </c>
      <c r="H8" s="2">
        <f>VLOOKUP(B8,YearMap!$A$2:$D$6,4,FALSE)</f>
        <v>926984.08799999999</v>
      </c>
      <c r="I8" t="str">
        <f t="shared" si="1"/>
        <v>D_Grow_Both_0|FY2027</v>
      </c>
    </row>
    <row r="9" spans="1:9" x14ac:dyDescent="0.35">
      <c r="A9" t="str">
        <f>A2</f>
        <v>D_Grow_Both_0</v>
      </c>
      <c r="B9" t="s">
        <v>46</v>
      </c>
      <c r="C9">
        <f>IF(D2=1,0, BaselineCalc!$B$7 + ROUND(C2*F2,0))</f>
        <v>257</v>
      </c>
      <c r="D9">
        <f>IF(E2=1,0, BaselineCalc!$B$8 + C2 - ROUND(C2*F2,0))</f>
        <v>296</v>
      </c>
      <c r="E9">
        <f t="shared" si="0"/>
        <v>553</v>
      </c>
      <c r="F9" s="2">
        <f>VLOOKUP(B9,YearMap!$A$2:$B$6,2,FALSE)</f>
        <v>7489.9896749999989</v>
      </c>
      <c r="G9" s="2">
        <f>VLOOKUP(B9,YearMap!$A$2:$C$6,3,FALSE)</f>
        <v>824968.86277499993</v>
      </c>
      <c r="H9" s="2">
        <f>VLOOKUP(B9,YearMap!$A$2:$D$6,4,FALSE)</f>
        <v>950158.69019999984</v>
      </c>
      <c r="I9" t="str">
        <f t="shared" si="1"/>
        <v>D_Grow_Both_0|FY2028</v>
      </c>
    </row>
    <row r="10" spans="1:9" x14ac:dyDescent="0.35">
      <c r="A10" t="str">
        <f>A2</f>
        <v>D_Grow_Both_0</v>
      </c>
      <c r="B10" t="s">
        <v>47</v>
      </c>
      <c r="C10">
        <f>IF(D2=1,0, BaselineCalc!$B$7 + ROUND(C2*F2,0))</f>
        <v>257</v>
      </c>
      <c r="D10">
        <f>IF(E2=1,0, BaselineCalc!$B$8 + C2 - ROUND(C2*F2,0))</f>
        <v>296</v>
      </c>
      <c r="E10">
        <f t="shared" si="0"/>
        <v>553</v>
      </c>
      <c r="F10" s="2">
        <f>VLOOKUP(B10,YearMap!$A$2:$B$6,2,FALSE)</f>
        <v>7677.2394168749979</v>
      </c>
      <c r="G10" s="2">
        <f>VLOOKUP(B10,YearMap!$A$2:$C$6,3,FALSE)</f>
        <v>845593.08434437483</v>
      </c>
      <c r="H10" s="2">
        <f>VLOOKUP(B10,YearMap!$A$2:$D$6,4,FALSE)</f>
        <v>973912.65745499986</v>
      </c>
      <c r="I10" t="str">
        <f t="shared" si="1"/>
        <v>D_Grow_Both_0|FY2029</v>
      </c>
    </row>
    <row r="11" spans="1:9" x14ac:dyDescent="0.35">
      <c r="A11" t="str">
        <f>A2</f>
        <v>D_Grow_Both_0</v>
      </c>
      <c r="B11" t="s">
        <v>48</v>
      </c>
      <c r="C11">
        <f>IF(D2=1,0, BaselineCalc!$B$7 + ROUND(C2*F2,0))</f>
        <v>257</v>
      </c>
      <c r="D11">
        <f>IF(E2=1,0, BaselineCalc!$B$8 + C2 - ROUND(C2*F2,0))</f>
        <v>296</v>
      </c>
      <c r="E11">
        <f t="shared" si="0"/>
        <v>553</v>
      </c>
      <c r="F11" s="2">
        <f>VLOOKUP(B11,YearMap!$A$2:$B$6,2,FALSE)</f>
        <v>7869.1704022968725</v>
      </c>
      <c r="G11" s="2">
        <f>VLOOKUP(B11,YearMap!$A$2:$C$6,3,FALSE)</f>
        <v>866732.91145298409</v>
      </c>
      <c r="H11" s="2">
        <f>VLOOKUP(B11,YearMap!$A$2:$D$6,4,FALSE)</f>
        <v>998260.47389137466</v>
      </c>
      <c r="I11" t="str">
        <f t="shared" si="1"/>
        <v>D_Grow_Both_0|FY2030</v>
      </c>
    </row>
    <row r="12" spans="1:9" x14ac:dyDescent="0.35">
      <c r="A12" t="str">
        <f>A3</f>
        <v>E_StatusQuo_Targets_0</v>
      </c>
      <c r="B12" t="s">
        <v>44</v>
      </c>
      <c r="C12">
        <f>IF(D3=1,0, BaselineCalc!$B$7 + ROUND(C3*F3,0))</f>
        <v>257</v>
      </c>
      <c r="D12">
        <f>IF(E3=1,0, BaselineCalc!$B$8 + C3 - ROUND(C3*F3,0))</f>
        <v>296</v>
      </c>
      <c r="E12">
        <f t="shared" si="0"/>
        <v>553</v>
      </c>
      <c r="F12" s="2">
        <f>VLOOKUP(B12,YearMap!$A$2:$B$6,2,FALSE)</f>
        <v>7129.079999999999</v>
      </c>
      <c r="G12" s="2">
        <f>VLOOKUP(B12,YearMap!$A$2:$C$6,3,FALSE)</f>
        <v>785217.23999999987</v>
      </c>
      <c r="H12" s="2">
        <f>VLOOKUP(B12,YearMap!$A$2:$D$6,4,FALSE)</f>
        <v>904374.71999999986</v>
      </c>
      <c r="I12" t="str">
        <f t="shared" si="1"/>
        <v>E_StatusQuo_Targets_0|FY2026</v>
      </c>
    </row>
    <row r="13" spans="1:9" x14ac:dyDescent="0.35">
      <c r="A13" t="str">
        <f>A3</f>
        <v>E_StatusQuo_Targets_0</v>
      </c>
      <c r="B13" t="s">
        <v>45</v>
      </c>
      <c r="C13">
        <f>IF(D3=1,0, BaselineCalc!$B$7 + ROUND(C3*F3,0))</f>
        <v>257</v>
      </c>
      <c r="D13">
        <f>IF(E3=1,0, BaselineCalc!$B$8 + C3 - ROUND(C3*F3,0))</f>
        <v>296</v>
      </c>
      <c r="E13">
        <f t="shared" si="0"/>
        <v>553</v>
      </c>
      <c r="F13" s="2">
        <f>VLOOKUP(B13,YearMap!$A$2:$B$6,2,FALSE)</f>
        <v>7307.3069999999989</v>
      </c>
      <c r="G13" s="2">
        <f>VLOOKUP(B13,YearMap!$A$2:$C$6,3,FALSE)</f>
        <v>804847.67099999997</v>
      </c>
      <c r="H13" s="2">
        <f>VLOOKUP(B13,YearMap!$A$2:$D$6,4,FALSE)</f>
        <v>926984.08799999999</v>
      </c>
      <c r="I13" t="str">
        <f t="shared" si="1"/>
        <v>E_StatusQuo_Targets_0|FY2027</v>
      </c>
    </row>
    <row r="14" spans="1:9" x14ac:dyDescent="0.35">
      <c r="A14" t="str">
        <f>A3</f>
        <v>E_StatusQuo_Targets_0</v>
      </c>
      <c r="B14" t="s">
        <v>46</v>
      </c>
      <c r="C14">
        <f>IF(D3=1,0, BaselineCalc!$B$7 + ROUND(C3*F3,0))</f>
        <v>257</v>
      </c>
      <c r="D14">
        <f>IF(E3=1,0, BaselineCalc!$B$8 + C3 - ROUND(C3*F3,0))</f>
        <v>296</v>
      </c>
      <c r="E14">
        <f t="shared" si="0"/>
        <v>553</v>
      </c>
      <c r="F14" s="2">
        <f>VLOOKUP(B14,YearMap!$A$2:$B$6,2,FALSE)</f>
        <v>7489.9896749999989</v>
      </c>
      <c r="G14" s="2">
        <f>VLOOKUP(B14,YearMap!$A$2:$C$6,3,FALSE)</f>
        <v>824968.86277499993</v>
      </c>
      <c r="H14" s="2">
        <f>VLOOKUP(B14,YearMap!$A$2:$D$6,4,FALSE)</f>
        <v>950158.69019999984</v>
      </c>
      <c r="I14" t="str">
        <f t="shared" si="1"/>
        <v>E_StatusQuo_Targets_0|FY2028</v>
      </c>
    </row>
    <row r="15" spans="1:9" x14ac:dyDescent="0.35">
      <c r="A15" t="str">
        <f>A3</f>
        <v>E_StatusQuo_Targets_0</v>
      </c>
      <c r="B15" t="s">
        <v>47</v>
      </c>
      <c r="C15">
        <f>IF(D3=1,0, BaselineCalc!$B$7 + ROUND(C3*F3,0))</f>
        <v>257</v>
      </c>
      <c r="D15">
        <f>IF(E3=1,0, BaselineCalc!$B$8 + C3 - ROUND(C3*F3,0))</f>
        <v>296</v>
      </c>
      <c r="E15">
        <f t="shared" si="0"/>
        <v>553</v>
      </c>
      <c r="F15" s="2">
        <f>VLOOKUP(B15,YearMap!$A$2:$B$6,2,FALSE)</f>
        <v>7677.2394168749979</v>
      </c>
      <c r="G15" s="2">
        <f>VLOOKUP(B15,YearMap!$A$2:$C$6,3,FALSE)</f>
        <v>845593.08434437483</v>
      </c>
      <c r="H15" s="2">
        <f>VLOOKUP(B15,YearMap!$A$2:$D$6,4,FALSE)</f>
        <v>973912.65745499986</v>
      </c>
      <c r="I15" t="str">
        <f t="shared" si="1"/>
        <v>E_StatusQuo_Targets_0|FY2029</v>
      </c>
    </row>
    <row r="16" spans="1:9" x14ac:dyDescent="0.35">
      <c r="A16" t="str">
        <f>A3</f>
        <v>E_StatusQuo_Targets_0</v>
      </c>
      <c r="B16" t="s">
        <v>48</v>
      </c>
      <c r="C16">
        <f>IF(D3=1,0, BaselineCalc!$B$7 + ROUND(C3*F3,0))</f>
        <v>257</v>
      </c>
      <c r="D16">
        <f>IF(E3=1,0, BaselineCalc!$B$8 + C3 - ROUND(C3*F3,0))</f>
        <v>296</v>
      </c>
      <c r="E16">
        <f t="shared" si="0"/>
        <v>553</v>
      </c>
      <c r="F16" s="2">
        <f>VLOOKUP(B16,YearMap!$A$2:$B$6,2,FALSE)</f>
        <v>7869.1704022968725</v>
      </c>
      <c r="G16" s="2">
        <f>VLOOKUP(B16,YearMap!$A$2:$C$6,3,FALSE)</f>
        <v>866732.91145298409</v>
      </c>
      <c r="H16" s="2">
        <f>VLOOKUP(B16,YearMap!$A$2:$D$6,4,FALSE)</f>
        <v>998260.47389137466</v>
      </c>
      <c r="I16" t="str">
        <f t="shared" si="1"/>
        <v>E_StatusQuo_Targets_0|FY2030</v>
      </c>
    </row>
    <row r="17" spans="1:9" x14ac:dyDescent="0.35">
      <c r="A17" t="str">
        <f>A4</f>
        <v>F_CoLocation_Echo_0</v>
      </c>
      <c r="B17" t="s">
        <v>44</v>
      </c>
      <c r="C17">
        <f>IF(D4=1,0, BaselineCalc!$B$7 + ROUND(C4*F4,0))</f>
        <v>257</v>
      </c>
      <c r="D17">
        <f>IF(E4=1,0, BaselineCalc!$B$8 + C4 - ROUND(C4*F4,0))</f>
        <v>296</v>
      </c>
      <c r="E17">
        <f t="shared" si="0"/>
        <v>553</v>
      </c>
      <c r="F17" s="2">
        <f>VLOOKUP(B17,YearMap!$A$2:$B$6,2,FALSE)</f>
        <v>7129.079999999999</v>
      </c>
      <c r="G17" s="2">
        <f>VLOOKUP(B17,YearMap!$A$2:$C$6,3,FALSE)</f>
        <v>785217.23999999987</v>
      </c>
      <c r="H17" s="2">
        <f>VLOOKUP(B17,YearMap!$A$2:$D$6,4,FALSE)</f>
        <v>904374.71999999986</v>
      </c>
      <c r="I17" t="str">
        <f t="shared" si="1"/>
        <v>F_CoLocation_Echo_0|FY2026</v>
      </c>
    </row>
    <row r="18" spans="1:9" x14ac:dyDescent="0.35">
      <c r="A18" t="str">
        <f>A4</f>
        <v>F_CoLocation_Echo_0</v>
      </c>
      <c r="B18" t="s">
        <v>45</v>
      </c>
      <c r="C18">
        <f>IF(D4=1,0, BaselineCalc!$B$7 + ROUND(C4*F4,0))</f>
        <v>257</v>
      </c>
      <c r="D18">
        <f>IF(E4=1,0, BaselineCalc!$B$8 + C4 - ROUND(C4*F4,0))</f>
        <v>296</v>
      </c>
      <c r="E18">
        <f t="shared" si="0"/>
        <v>553</v>
      </c>
      <c r="F18" s="2">
        <f>VLOOKUP(B18,YearMap!$A$2:$B$6,2,FALSE)</f>
        <v>7307.3069999999989</v>
      </c>
      <c r="G18" s="2">
        <f>VLOOKUP(B18,YearMap!$A$2:$C$6,3,FALSE)</f>
        <v>804847.67099999997</v>
      </c>
      <c r="H18" s="2">
        <f>VLOOKUP(B18,YearMap!$A$2:$D$6,4,FALSE)</f>
        <v>926984.08799999999</v>
      </c>
      <c r="I18" t="str">
        <f t="shared" si="1"/>
        <v>F_CoLocation_Echo_0|FY2027</v>
      </c>
    </row>
    <row r="19" spans="1:9" x14ac:dyDescent="0.35">
      <c r="A19" t="str">
        <f>A4</f>
        <v>F_CoLocation_Echo_0</v>
      </c>
      <c r="B19" t="s">
        <v>46</v>
      </c>
      <c r="C19">
        <f>IF(D4=1,0, BaselineCalc!$B$7 + ROUND(C4*F4,0))</f>
        <v>257</v>
      </c>
      <c r="D19">
        <f>IF(E4=1,0, BaselineCalc!$B$8 + C4 - ROUND(C4*F4,0))</f>
        <v>296</v>
      </c>
      <c r="E19">
        <f t="shared" si="0"/>
        <v>553</v>
      </c>
      <c r="F19" s="2">
        <f>VLOOKUP(B19,YearMap!$A$2:$B$6,2,FALSE)</f>
        <v>7489.9896749999989</v>
      </c>
      <c r="G19" s="2">
        <f>VLOOKUP(B19,YearMap!$A$2:$C$6,3,FALSE)</f>
        <v>824968.86277499993</v>
      </c>
      <c r="H19" s="2">
        <f>VLOOKUP(B19,YearMap!$A$2:$D$6,4,FALSE)</f>
        <v>950158.69019999984</v>
      </c>
      <c r="I19" t="str">
        <f t="shared" si="1"/>
        <v>F_CoLocation_Echo_0|FY2028</v>
      </c>
    </row>
    <row r="20" spans="1:9" x14ac:dyDescent="0.35">
      <c r="A20" t="str">
        <f>A4</f>
        <v>F_CoLocation_Echo_0</v>
      </c>
      <c r="B20" t="s">
        <v>47</v>
      </c>
      <c r="C20">
        <f>IF(D4=1,0, BaselineCalc!$B$7 + ROUND(C4*F4,0))</f>
        <v>257</v>
      </c>
      <c r="D20">
        <f>IF(E4=1,0, BaselineCalc!$B$8 + C4 - ROUND(C4*F4,0))</f>
        <v>296</v>
      </c>
      <c r="E20">
        <f t="shared" si="0"/>
        <v>553</v>
      </c>
      <c r="F20" s="2">
        <f>VLOOKUP(B20,YearMap!$A$2:$B$6,2,FALSE)</f>
        <v>7677.2394168749979</v>
      </c>
      <c r="G20" s="2">
        <f>VLOOKUP(B20,YearMap!$A$2:$C$6,3,FALSE)</f>
        <v>845593.08434437483</v>
      </c>
      <c r="H20" s="2">
        <f>VLOOKUP(B20,YearMap!$A$2:$D$6,4,FALSE)</f>
        <v>973912.65745499986</v>
      </c>
      <c r="I20" t="str">
        <f t="shared" si="1"/>
        <v>F_CoLocation_Echo_0|FY2029</v>
      </c>
    </row>
    <row r="21" spans="1:9" x14ac:dyDescent="0.35">
      <c r="A21" t="str">
        <f>A4</f>
        <v>F_CoLocation_Echo_0</v>
      </c>
      <c r="B21" t="s">
        <v>48</v>
      </c>
      <c r="C21">
        <f>IF(D4=1,0, BaselineCalc!$B$7 + ROUND(C4*F4,0))</f>
        <v>257</v>
      </c>
      <c r="D21">
        <f>IF(E4=1,0, BaselineCalc!$B$8 + C4 - ROUND(C4*F4,0))</f>
        <v>296</v>
      </c>
      <c r="E21">
        <f t="shared" si="0"/>
        <v>553</v>
      </c>
      <c r="F21" s="2">
        <f>VLOOKUP(B21,YearMap!$A$2:$B$6,2,FALSE)</f>
        <v>7869.1704022968725</v>
      </c>
      <c r="G21" s="2">
        <f>VLOOKUP(B21,YearMap!$A$2:$C$6,3,FALSE)</f>
        <v>866732.91145298409</v>
      </c>
      <c r="H21" s="2">
        <f>VLOOKUP(B21,YearMap!$A$2:$D$6,4,FALSE)</f>
        <v>998260.47389137466</v>
      </c>
      <c r="I21" t="str">
        <f t="shared" si="1"/>
        <v>F_CoLocation_Echo_0|FY2030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6"/>
  <sheetViews>
    <sheetView zoomScale="85" zoomScaleNormal="85" workbookViewId="0">
      <selection activeCell="C2" sqref="C2"/>
    </sheetView>
  </sheetViews>
  <sheetFormatPr defaultRowHeight="14.5" x14ac:dyDescent="0.35"/>
  <cols>
    <col min="1" max="1" width="21" bestFit="1" customWidth="1"/>
    <col min="2" max="2" width="6.7265625" bestFit="1" customWidth="1"/>
    <col min="3" max="3" width="10" bestFit="1" customWidth="1"/>
    <col min="4" max="5" width="10.1796875" bestFit="1" customWidth="1"/>
    <col min="6" max="8" width="11.81640625" bestFit="1" customWidth="1"/>
    <col min="9" max="9" width="9.36328125" bestFit="1" customWidth="1"/>
    <col min="10" max="10" width="9.08984375" bestFit="1" customWidth="1"/>
    <col min="11" max="11" width="11.81640625" bestFit="1" customWidth="1"/>
    <col min="12" max="12" width="14" bestFit="1" customWidth="1"/>
  </cols>
  <sheetData>
    <row r="1" spans="1:13" x14ac:dyDescent="0.35">
      <c r="A1" s="1" t="s">
        <v>49</v>
      </c>
      <c r="B1" s="1" t="s">
        <v>37</v>
      </c>
      <c r="C1" s="1" t="s">
        <v>65</v>
      </c>
      <c r="D1" s="1" t="s">
        <v>66</v>
      </c>
      <c r="E1" s="1" t="s">
        <v>67</v>
      </c>
      <c r="F1" s="1" t="s">
        <v>38</v>
      </c>
      <c r="G1" s="1" t="s">
        <v>39</v>
      </c>
      <c r="H1" s="1" t="s">
        <v>40</v>
      </c>
      <c r="I1" s="1" t="s">
        <v>79</v>
      </c>
      <c r="J1" s="1" t="s">
        <v>55</v>
      </c>
      <c r="K1" s="1" t="s">
        <v>80</v>
      </c>
      <c r="L1" s="1" t="s">
        <v>81</v>
      </c>
      <c r="M1" s="1" t="s">
        <v>68</v>
      </c>
    </row>
    <row r="2" spans="1:13" x14ac:dyDescent="0.35">
      <c r="A2" t="str">
        <f>Scenarios!A2</f>
        <v>D_Grow_Both_0</v>
      </c>
      <c r="B2" t="s">
        <v>44</v>
      </c>
      <c r="C2">
        <f>IF(Scenarios!D2=1,0, BaselineCalc!$B$7 + ROUND(Scenarios!C2*Scenarios!F2,0))</f>
        <v>257</v>
      </c>
      <c r="D2">
        <f>IF(Scenarios!E2=1,0, BaselineCalc!$B$8 + Scenarios!C2 - ROUND(Scenarios!C2*Scenarios!F2,0))</f>
        <v>296</v>
      </c>
      <c r="E2">
        <f t="shared" ref="E2:E16" si="0">C2+D2</f>
        <v>553</v>
      </c>
      <c r="F2" s="2">
        <f>VLOOKUP(B2,YearMap!$A$2:$B$6,2,FALSE)</f>
        <v>7129.079999999999</v>
      </c>
      <c r="G2" s="2">
        <f>VLOOKUP(B2,YearMap!$A$2:$C$6,3,FALSE)</f>
        <v>785217.23999999987</v>
      </c>
      <c r="H2" s="2">
        <f>VLOOKUP(B2,YearMap!$A$2:$D$6,4,FALSE)</f>
        <v>904374.71999999986</v>
      </c>
      <c r="I2">
        <f>1-BaselineCalc!$B$5</f>
        <v>0.99299999999999999</v>
      </c>
      <c r="J2">
        <f>Scenarios!G2</f>
        <v>0</v>
      </c>
      <c r="K2" s="2">
        <f t="shared" ref="K2:K16" si="1">(G2+H2+F2*E2) * I2 * (1-J2)</f>
        <v>5592549.3875999991</v>
      </c>
      <c r="L2" s="2">
        <f t="shared" ref="L2:L16" si="2">IF(E2&gt;0, K2/E2, NA())</f>
        <v>10113.109199999999</v>
      </c>
      <c r="M2" t="str">
        <f t="shared" ref="M2:M16" si="3">A2&amp;"|"&amp;B2</f>
        <v>D_Grow_Both_0|FY2026</v>
      </c>
    </row>
    <row r="3" spans="1:13" x14ac:dyDescent="0.35">
      <c r="A3" t="str">
        <f>Scenarios!A2</f>
        <v>D_Grow_Both_0</v>
      </c>
      <c r="B3" t="s">
        <v>45</v>
      </c>
      <c r="C3">
        <f>IF(Scenarios!D2=1,0, BaselineCalc!$B$7 + ROUND(Scenarios!C2*Scenarios!F2,0))</f>
        <v>257</v>
      </c>
      <c r="D3">
        <f>IF(Scenarios!E2=1,0, BaselineCalc!$B$8 + Scenarios!C2 - ROUND(Scenarios!C2*Scenarios!F2,0))</f>
        <v>296</v>
      </c>
      <c r="E3">
        <f t="shared" si="0"/>
        <v>553</v>
      </c>
      <c r="F3" s="2">
        <f>VLOOKUP(B3,YearMap!$A$2:$B$6,2,FALSE)</f>
        <v>7307.3069999999989</v>
      </c>
      <c r="G3" s="2">
        <f>VLOOKUP(B3,YearMap!$A$2:$C$6,3,FALSE)</f>
        <v>804847.67099999997</v>
      </c>
      <c r="H3" s="2">
        <f>VLOOKUP(B3,YearMap!$A$2:$D$6,4,FALSE)</f>
        <v>926984.08799999999</v>
      </c>
      <c r="I3">
        <f>1-BaselineCalc!$B$5</f>
        <v>0.99299999999999999</v>
      </c>
      <c r="J3">
        <f>Scenarios!G2</f>
        <v>0</v>
      </c>
      <c r="K3" s="2">
        <f t="shared" si="1"/>
        <v>5732363.1222899994</v>
      </c>
      <c r="L3" s="2">
        <f t="shared" si="2"/>
        <v>10365.936929999998</v>
      </c>
      <c r="M3" t="str">
        <f t="shared" si="3"/>
        <v>D_Grow_Both_0|FY2027</v>
      </c>
    </row>
    <row r="4" spans="1:13" x14ac:dyDescent="0.35">
      <c r="A4" t="str">
        <f>Scenarios!A2</f>
        <v>D_Grow_Both_0</v>
      </c>
      <c r="B4" t="s">
        <v>46</v>
      </c>
      <c r="C4">
        <f>IF(Scenarios!D2=1,0, BaselineCalc!$B$7 + ROUND(Scenarios!C2*Scenarios!F2,0))</f>
        <v>257</v>
      </c>
      <c r="D4">
        <f>IF(Scenarios!E2=1,0, BaselineCalc!$B$8 + Scenarios!C2 - ROUND(Scenarios!C2*Scenarios!F2,0))</f>
        <v>296</v>
      </c>
      <c r="E4">
        <f t="shared" si="0"/>
        <v>553</v>
      </c>
      <c r="F4" s="2">
        <f>VLOOKUP(B4,YearMap!$A$2:$B$6,2,FALSE)</f>
        <v>7489.9896749999989</v>
      </c>
      <c r="G4" s="2">
        <f>VLOOKUP(B4,YearMap!$A$2:$C$6,3,FALSE)</f>
        <v>824968.86277499993</v>
      </c>
      <c r="H4" s="2">
        <f>VLOOKUP(B4,YearMap!$A$2:$D$6,4,FALSE)</f>
        <v>950158.69019999984</v>
      </c>
      <c r="I4">
        <f>1-BaselineCalc!$B$5</f>
        <v>0.99299999999999999</v>
      </c>
      <c r="J4">
        <f>Scenarios!G2</f>
        <v>0</v>
      </c>
      <c r="K4" s="2">
        <f t="shared" si="1"/>
        <v>5875672.2003472494</v>
      </c>
      <c r="L4" s="2">
        <f t="shared" si="2"/>
        <v>10625.085353249999</v>
      </c>
      <c r="M4" t="str">
        <f t="shared" si="3"/>
        <v>D_Grow_Both_0|FY2028</v>
      </c>
    </row>
    <row r="5" spans="1:13" x14ac:dyDescent="0.35">
      <c r="A5" t="str">
        <f>Scenarios!A2</f>
        <v>D_Grow_Both_0</v>
      </c>
      <c r="B5" t="s">
        <v>47</v>
      </c>
      <c r="C5">
        <f>IF(Scenarios!D2=1,0, BaselineCalc!$B$7 + ROUND(Scenarios!C2*Scenarios!F2,0))</f>
        <v>257</v>
      </c>
      <c r="D5">
        <f>IF(Scenarios!E2=1,0, BaselineCalc!$B$8 + Scenarios!C2 - ROUND(Scenarios!C2*Scenarios!F2,0))</f>
        <v>296</v>
      </c>
      <c r="E5">
        <f t="shared" si="0"/>
        <v>553</v>
      </c>
      <c r="F5" s="2">
        <f>VLOOKUP(B5,YearMap!$A$2:$B$6,2,FALSE)</f>
        <v>7677.2394168749979</v>
      </c>
      <c r="G5" s="2">
        <f>VLOOKUP(B5,YearMap!$A$2:$C$6,3,FALSE)</f>
        <v>845593.08434437483</v>
      </c>
      <c r="H5" s="2">
        <f>VLOOKUP(B5,YearMap!$A$2:$D$6,4,FALSE)</f>
        <v>973912.65745499986</v>
      </c>
      <c r="I5">
        <f>1-BaselineCalc!$B$5</f>
        <v>0.99299999999999999</v>
      </c>
      <c r="J5">
        <f>Scenarios!G2</f>
        <v>0</v>
      </c>
      <c r="K5" s="2">
        <f t="shared" si="1"/>
        <v>6022564.005355929</v>
      </c>
      <c r="L5" s="2">
        <f t="shared" si="2"/>
        <v>10890.712487081246</v>
      </c>
      <c r="M5" t="str">
        <f t="shared" si="3"/>
        <v>D_Grow_Both_0|FY2029</v>
      </c>
    </row>
    <row r="6" spans="1:13" x14ac:dyDescent="0.35">
      <c r="A6" t="str">
        <f>Scenarios!A2</f>
        <v>D_Grow_Both_0</v>
      </c>
      <c r="B6" t="s">
        <v>48</v>
      </c>
      <c r="C6">
        <f>IF(Scenarios!D2=1,0, BaselineCalc!$B$7 + ROUND(Scenarios!C2*Scenarios!F2,0))</f>
        <v>257</v>
      </c>
      <c r="D6">
        <f>IF(Scenarios!E2=1,0, BaselineCalc!$B$8 + Scenarios!C2 - ROUND(Scenarios!C2*Scenarios!F2,0))</f>
        <v>296</v>
      </c>
      <c r="E6">
        <f t="shared" si="0"/>
        <v>553</v>
      </c>
      <c r="F6" s="2">
        <f>VLOOKUP(B6,YearMap!$A$2:$B$6,2,FALSE)</f>
        <v>7869.1704022968725</v>
      </c>
      <c r="G6" s="2">
        <f>VLOOKUP(B6,YearMap!$A$2:$C$6,3,FALSE)</f>
        <v>866732.91145298409</v>
      </c>
      <c r="H6" s="2">
        <f>VLOOKUP(B6,YearMap!$A$2:$D$6,4,FALSE)</f>
        <v>998260.47389137466</v>
      </c>
      <c r="I6">
        <f>1-BaselineCalc!$B$5</f>
        <v>0.99299999999999999</v>
      </c>
      <c r="J6">
        <f>Scenarios!G2</f>
        <v>0</v>
      </c>
      <c r="K6" s="2">
        <f t="shared" si="1"/>
        <v>6173128.1054898277</v>
      </c>
      <c r="L6" s="2">
        <f t="shared" si="2"/>
        <v>11162.980299258277</v>
      </c>
      <c r="M6" t="str">
        <f t="shared" si="3"/>
        <v>D_Grow_Both_0|FY2030</v>
      </c>
    </row>
    <row r="7" spans="1:13" x14ac:dyDescent="0.35">
      <c r="A7" t="str">
        <f>Scenarios!A3</f>
        <v>E_StatusQuo_Targets_0</v>
      </c>
      <c r="B7" t="s">
        <v>44</v>
      </c>
      <c r="C7">
        <f>IF(Scenarios!D3=1,0, BaselineCalc!$B$7 + ROUND(Scenarios!C3*Scenarios!F3,0))</f>
        <v>257</v>
      </c>
      <c r="D7">
        <f>IF(Scenarios!E3=1,0, BaselineCalc!$B$8 + Scenarios!C3 - ROUND(Scenarios!C3*Scenarios!F3,0))</f>
        <v>296</v>
      </c>
      <c r="E7">
        <f t="shared" si="0"/>
        <v>553</v>
      </c>
      <c r="F7" s="2">
        <f>VLOOKUP(B7,YearMap!$A$2:$B$6,2,FALSE)</f>
        <v>7129.079999999999</v>
      </c>
      <c r="G7" s="2">
        <f>VLOOKUP(B7,YearMap!$A$2:$C$6,3,FALSE)</f>
        <v>785217.23999999987</v>
      </c>
      <c r="H7" s="2">
        <f>VLOOKUP(B7,YearMap!$A$2:$D$6,4,FALSE)</f>
        <v>904374.71999999986</v>
      </c>
      <c r="I7">
        <f>1-BaselineCalc!$B$5</f>
        <v>0.99299999999999999</v>
      </c>
      <c r="J7">
        <f>Scenarios!G3</f>
        <v>0</v>
      </c>
      <c r="K7" s="2">
        <f t="shared" si="1"/>
        <v>5592549.3875999991</v>
      </c>
      <c r="L7" s="2">
        <f t="shared" si="2"/>
        <v>10113.109199999999</v>
      </c>
      <c r="M7" t="str">
        <f t="shared" si="3"/>
        <v>E_StatusQuo_Targets_0|FY2026</v>
      </c>
    </row>
    <row r="8" spans="1:13" x14ac:dyDescent="0.35">
      <c r="A8" t="str">
        <f>Scenarios!A3</f>
        <v>E_StatusQuo_Targets_0</v>
      </c>
      <c r="B8" t="s">
        <v>45</v>
      </c>
      <c r="C8">
        <f>IF(Scenarios!D3=1,0, BaselineCalc!$B$7 + ROUND(Scenarios!C3*Scenarios!F3,0))</f>
        <v>257</v>
      </c>
      <c r="D8">
        <f>IF(Scenarios!E3=1,0, BaselineCalc!$B$8 + Scenarios!C3 - ROUND(Scenarios!C3*Scenarios!F3,0))</f>
        <v>296</v>
      </c>
      <c r="E8">
        <f t="shared" si="0"/>
        <v>553</v>
      </c>
      <c r="F8" s="2">
        <f>VLOOKUP(B8,YearMap!$A$2:$B$6,2,FALSE)</f>
        <v>7307.3069999999989</v>
      </c>
      <c r="G8" s="2">
        <f>VLOOKUP(B8,YearMap!$A$2:$C$6,3,FALSE)</f>
        <v>804847.67099999997</v>
      </c>
      <c r="H8" s="2">
        <f>VLOOKUP(B8,YearMap!$A$2:$D$6,4,FALSE)</f>
        <v>926984.08799999999</v>
      </c>
      <c r="I8">
        <f>1-BaselineCalc!$B$5</f>
        <v>0.99299999999999999</v>
      </c>
      <c r="J8">
        <f>Scenarios!G3</f>
        <v>0</v>
      </c>
      <c r="K8" s="2">
        <f t="shared" si="1"/>
        <v>5732363.1222899994</v>
      </c>
      <c r="L8" s="2">
        <f t="shared" si="2"/>
        <v>10365.936929999998</v>
      </c>
      <c r="M8" t="str">
        <f t="shared" si="3"/>
        <v>E_StatusQuo_Targets_0|FY2027</v>
      </c>
    </row>
    <row r="9" spans="1:13" x14ac:dyDescent="0.35">
      <c r="A9" t="str">
        <f>Scenarios!A3</f>
        <v>E_StatusQuo_Targets_0</v>
      </c>
      <c r="B9" t="s">
        <v>46</v>
      </c>
      <c r="C9">
        <f>IF(Scenarios!D3=1,0, BaselineCalc!$B$7 + ROUND(Scenarios!C3*Scenarios!F3,0))</f>
        <v>257</v>
      </c>
      <c r="D9">
        <f>IF(Scenarios!E3=1,0, BaselineCalc!$B$8 + Scenarios!C3 - ROUND(Scenarios!C3*Scenarios!F3,0))</f>
        <v>296</v>
      </c>
      <c r="E9">
        <f t="shared" si="0"/>
        <v>553</v>
      </c>
      <c r="F9" s="2">
        <f>VLOOKUP(B9,YearMap!$A$2:$B$6,2,FALSE)</f>
        <v>7489.9896749999989</v>
      </c>
      <c r="G9" s="2">
        <f>VLOOKUP(B9,YearMap!$A$2:$C$6,3,FALSE)</f>
        <v>824968.86277499993</v>
      </c>
      <c r="H9" s="2">
        <f>VLOOKUP(B9,YearMap!$A$2:$D$6,4,FALSE)</f>
        <v>950158.69019999984</v>
      </c>
      <c r="I9">
        <f>1-BaselineCalc!$B$5</f>
        <v>0.99299999999999999</v>
      </c>
      <c r="J9">
        <f>Scenarios!G3</f>
        <v>0</v>
      </c>
      <c r="K9" s="2">
        <f t="shared" si="1"/>
        <v>5875672.2003472494</v>
      </c>
      <c r="L9" s="2">
        <f t="shared" si="2"/>
        <v>10625.085353249999</v>
      </c>
      <c r="M9" t="str">
        <f t="shared" si="3"/>
        <v>E_StatusQuo_Targets_0|FY2028</v>
      </c>
    </row>
    <row r="10" spans="1:13" x14ac:dyDescent="0.35">
      <c r="A10" t="str">
        <f>Scenarios!A3</f>
        <v>E_StatusQuo_Targets_0</v>
      </c>
      <c r="B10" t="s">
        <v>47</v>
      </c>
      <c r="C10">
        <f>IF(Scenarios!D3=1,0, BaselineCalc!$B$7 + ROUND(Scenarios!C3*Scenarios!F3,0))</f>
        <v>257</v>
      </c>
      <c r="D10">
        <f>IF(Scenarios!E3=1,0, BaselineCalc!$B$8 + Scenarios!C3 - ROUND(Scenarios!C3*Scenarios!F3,0))</f>
        <v>296</v>
      </c>
      <c r="E10">
        <f t="shared" si="0"/>
        <v>553</v>
      </c>
      <c r="F10" s="2">
        <f>VLOOKUP(B10,YearMap!$A$2:$B$6,2,FALSE)</f>
        <v>7677.2394168749979</v>
      </c>
      <c r="G10" s="2">
        <f>VLOOKUP(B10,YearMap!$A$2:$C$6,3,FALSE)</f>
        <v>845593.08434437483</v>
      </c>
      <c r="H10" s="2">
        <f>VLOOKUP(B10,YearMap!$A$2:$D$6,4,FALSE)</f>
        <v>973912.65745499986</v>
      </c>
      <c r="I10">
        <f>1-BaselineCalc!$B$5</f>
        <v>0.99299999999999999</v>
      </c>
      <c r="J10">
        <f>Scenarios!G3</f>
        <v>0</v>
      </c>
      <c r="K10" s="2">
        <f t="shared" si="1"/>
        <v>6022564.005355929</v>
      </c>
      <c r="L10" s="2">
        <f t="shared" si="2"/>
        <v>10890.712487081246</v>
      </c>
      <c r="M10" t="str">
        <f t="shared" si="3"/>
        <v>E_StatusQuo_Targets_0|FY2029</v>
      </c>
    </row>
    <row r="11" spans="1:13" x14ac:dyDescent="0.35">
      <c r="A11" t="str">
        <f>Scenarios!A3</f>
        <v>E_StatusQuo_Targets_0</v>
      </c>
      <c r="B11" t="s">
        <v>48</v>
      </c>
      <c r="C11">
        <f>IF(Scenarios!D3=1,0, BaselineCalc!$B$7 + ROUND(Scenarios!C3*Scenarios!F3,0))</f>
        <v>257</v>
      </c>
      <c r="D11">
        <f>IF(Scenarios!E3=1,0, BaselineCalc!$B$8 + Scenarios!C3 - ROUND(Scenarios!C3*Scenarios!F3,0))</f>
        <v>296</v>
      </c>
      <c r="E11">
        <f t="shared" si="0"/>
        <v>553</v>
      </c>
      <c r="F11" s="2">
        <f>VLOOKUP(B11,YearMap!$A$2:$B$6,2,FALSE)</f>
        <v>7869.1704022968725</v>
      </c>
      <c r="G11" s="2">
        <f>VLOOKUP(B11,YearMap!$A$2:$C$6,3,FALSE)</f>
        <v>866732.91145298409</v>
      </c>
      <c r="H11" s="2">
        <f>VLOOKUP(B11,YearMap!$A$2:$D$6,4,FALSE)</f>
        <v>998260.47389137466</v>
      </c>
      <c r="I11">
        <f>1-BaselineCalc!$B$5</f>
        <v>0.99299999999999999</v>
      </c>
      <c r="J11">
        <f>Scenarios!G3</f>
        <v>0</v>
      </c>
      <c r="K11" s="2">
        <f t="shared" si="1"/>
        <v>6173128.1054898277</v>
      </c>
      <c r="L11" s="2">
        <f t="shared" si="2"/>
        <v>11162.980299258277</v>
      </c>
      <c r="M11" t="str">
        <f t="shared" si="3"/>
        <v>E_StatusQuo_Targets_0|FY2030</v>
      </c>
    </row>
    <row r="12" spans="1:13" x14ac:dyDescent="0.35">
      <c r="A12" t="str">
        <f>Scenarios!A4</f>
        <v>F_CoLocation_Echo_0</v>
      </c>
      <c r="B12" t="s">
        <v>44</v>
      </c>
      <c r="C12">
        <f>IF(Scenarios!D4=1,0, BaselineCalc!$B$7 + ROUND(Scenarios!C4*Scenarios!F4,0))</f>
        <v>257</v>
      </c>
      <c r="D12">
        <f>IF(Scenarios!E4=1,0, BaselineCalc!$B$8 + Scenarios!C4 - ROUND(Scenarios!C4*Scenarios!F4,0))</f>
        <v>296</v>
      </c>
      <c r="E12">
        <f t="shared" si="0"/>
        <v>553</v>
      </c>
      <c r="F12" s="2">
        <f>VLOOKUP(B12,YearMap!$A$2:$B$6,2,FALSE)</f>
        <v>7129.079999999999</v>
      </c>
      <c r="G12" s="2">
        <f>VLOOKUP(B12,YearMap!$A$2:$C$6,3,FALSE)</f>
        <v>785217.23999999987</v>
      </c>
      <c r="H12" s="2">
        <f>VLOOKUP(B12,YearMap!$A$2:$D$6,4,FALSE)</f>
        <v>904374.71999999986</v>
      </c>
      <c r="I12">
        <f>1-BaselineCalc!$B$5</f>
        <v>0.99299999999999999</v>
      </c>
      <c r="J12">
        <f>Scenarios!G4</f>
        <v>1.4999999999999999E-2</v>
      </c>
      <c r="K12" s="2">
        <f>(G12+H12+F12*E12) * I12 * (1-J12)</f>
        <v>5508661.1467859987</v>
      </c>
      <c r="L12" s="2">
        <f t="shared" si="2"/>
        <v>9961.4125619999977</v>
      </c>
      <c r="M12" t="str">
        <f t="shared" si="3"/>
        <v>F_CoLocation_Echo_0|FY2026</v>
      </c>
    </row>
    <row r="13" spans="1:13" x14ac:dyDescent="0.35">
      <c r="A13" t="str">
        <f>Scenarios!A4</f>
        <v>F_CoLocation_Echo_0</v>
      </c>
      <c r="B13" t="s">
        <v>45</v>
      </c>
      <c r="C13">
        <f>IF(Scenarios!D4=1,0, BaselineCalc!$B$7 + ROUND(Scenarios!C4*Scenarios!F4,0))</f>
        <v>257</v>
      </c>
      <c r="D13">
        <f>IF(Scenarios!E4=1,0, BaselineCalc!$B$8 + Scenarios!C4 - ROUND(Scenarios!C4*Scenarios!F4,0))</f>
        <v>296</v>
      </c>
      <c r="E13">
        <f t="shared" si="0"/>
        <v>553</v>
      </c>
      <c r="F13" s="2">
        <f>VLOOKUP(B13,YearMap!$A$2:$B$6,2,FALSE)</f>
        <v>7307.3069999999989</v>
      </c>
      <c r="G13" s="2">
        <f>VLOOKUP(B13,YearMap!$A$2:$C$6,3,FALSE)</f>
        <v>804847.67099999997</v>
      </c>
      <c r="H13" s="2">
        <f>VLOOKUP(B13,YearMap!$A$2:$D$6,4,FALSE)</f>
        <v>926984.08799999999</v>
      </c>
      <c r="I13">
        <f>1-BaselineCalc!$B$5</f>
        <v>0.99299999999999999</v>
      </c>
      <c r="J13">
        <f>Scenarios!G4</f>
        <v>1.4999999999999999E-2</v>
      </c>
      <c r="K13" s="2">
        <f t="shared" si="1"/>
        <v>5646377.6754556494</v>
      </c>
      <c r="L13" s="2">
        <f t="shared" si="2"/>
        <v>10210.447876049999</v>
      </c>
      <c r="M13" t="str">
        <f t="shared" si="3"/>
        <v>F_CoLocation_Echo_0|FY2027</v>
      </c>
    </row>
    <row r="14" spans="1:13" x14ac:dyDescent="0.35">
      <c r="A14" t="str">
        <f>Scenarios!A4</f>
        <v>F_CoLocation_Echo_0</v>
      </c>
      <c r="B14" t="s">
        <v>46</v>
      </c>
      <c r="C14">
        <f>IF(Scenarios!D4=1,0, BaselineCalc!$B$7 + ROUND(Scenarios!C4*Scenarios!F4,0))</f>
        <v>257</v>
      </c>
      <c r="D14">
        <f>IF(Scenarios!E4=1,0, BaselineCalc!$B$8 + Scenarios!C4 - ROUND(Scenarios!C4*Scenarios!F4,0))</f>
        <v>296</v>
      </c>
      <c r="E14">
        <f t="shared" si="0"/>
        <v>553</v>
      </c>
      <c r="F14" s="2">
        <f>VLOOKUP(B14,YearMap!$A$2:$B$6,2,FALSE)</f>
        <v>7489.9896749999989</v>
      </c>
      <c r="G14" s="2">
        <f>VLOOKUP(B14,YearMap!$A$2:$C$6,3,FALSE)</f>
        <v>824968.86277499993</v>
      </c>
      <c r="H14" s="2">
        <f>VLOOKUP(B14,YearMap!$A$2:$D$6,4,FALSE)</f>
        <v>950158.69019999984</v>
      </c>
      <c r="I14">
        <f>1-BaselineCalc!$B$5</f>
        <v>0.99299999999999999</v>
      </c>
      <c r="J14">
        <f>Scenarios!G4</f>
        <v>1.4999999999999999E-2</v>
      </c>
      <c r="K14" s="2">
        <f t="shared" si="1"/>
        <v>5787537.1173420409</v>
      </c>
      <c r="L14" s="2">
        <f t="shared" si="2"/>
        <v>10465.709072951249</v>
      </c>
      <c r="M14" t="str">
        <f t="shared" si="3"/>
        <v>F_CoLocation_Echo_0|FY2028</v>
      </c>
    </row>
    <row r="15" spans="1:13" x14ac:dyDescent="0.35">
      <c r="A15" t="str">
        <f>Scenarios!A4</f>
        <v>F_CoLocation_Echo_0</v>
      </c>
      <c r="B15" t="s">
        <v>47</v>
      </c>
      <c r="C15">
        <f>IF(Scenarios!D4=1,0, BaselineCalc!$B$7 + ROUND(Scenarios!C4*Scenarios!F4,0))</f>
        <v>257</v>
      </c>
      <c r="D15">
        <f>IF(Scenarios!E4=1,0, BaselineCalc!$B$8 + Scenarios!C4 - ROUND(Scenarios!C4*Scenarios!F4,0))</f>
        <v>296</v>
      </c>
      <c r="E15">
        <f t="shared" si="0"/>
        <v>553</v>
      </c>
      <c r="F15" s="2">
        <f>VLOOKUP(B15,YearMap!$A$2:$B$6,2,FALSE)</f>
        <v>7677.2394168749979</v>
      </c>
      <c r="G15" s="2">
        <f>VLOOKUP(B15,YearMap!$A$2:$C$6,3,FALSE)</f>
        <v>845593.08434437483</v>
      </c>
      <c r="H15" s="2">
        <f>VLOOKUP(B15,YearMap!$A$2:$D$6,4,FALSE)</f>
        <v>973912.65745499986</v>
      </c>
      <c r="I15">
        <f>1-BaselineCalc!$B$5</f>
        <v>0.99299999999999999</v>
      </c>
      <c r="J15">
        <f>Scenarios!G4</f>
        <v>1.4999999999999999E-2</v>
      </c>
      <c r="K15" s="2">
        <f t="shared" si="1"/>
        <v>5932225.5452755904</v>
      </c>
      <c r="L15" s="2">
        <f t="shared" si="2"/>
        <v>10727.351799775028</v>
      </c>
      <c r="M15" t="str">
        <f t="shared" si="3"/>
        <v>F_CoLocation_Echo_0|FY2029</v>
      </c>
    </row>
    <row r="16" spans="1:13" x14ac:dyDescent="0.35">
      <c r="A16" t="str">
        <f>Scenarios!A4</f>
        <v>F_CoLocation_Echo_0</v>
      </c>
      <c r="B16" t="s">
        <v>48</v>
      </c>
      <c r="C16">
        <f>IF(Scenarios!D4=1,0, BaselineCalc!$B$7 + ROUND(Scenarios!C4*Scenarios!F4,0))</f>
        <v>257</v>
      </c>
      <c r="D16">
        <f>IF(Scenarios!E4=1,0, BaselineCalc!$B$8 + Scenarios!C4 - ROUND(Scenarios!C4*Scenarios!F4,0))</f>
        <v>296</v>
      </c>
      <c r="E16">
        <f t="shared" si="0"/>
        <v>553</v>
      </c>
      <c r="F16" s="2">
        <f>VLOOKUP(B16,YearMap!$A$2:$B$6,2,FALSE)</f>
        <v>7869.1704022968725</v>
      </c>
      <c r="G16" s="2">
        <f>VLOOKUP(B16,YearMap!$A$2:$C$6,3,FALSE)</f>
        <v>866732.91145298409</v>
      </c>
      <c r="H16" s="2">
        <f>VLOOKUP(B16,YearMap!$A$2:$D$6,4,FALSE)</f>
        <v>998260.47389137466</v>
      </c>
      <c r="I16">
        <f>1-BaselineCalc!$B$5</f>
        <v>0.99299999999999999</v>
      </c>
      <c r="J16">
        <f>Scenarios!G4</f>
        <v>1.4999999999999999E-2</v>
      </c>
      <c r="K16" s="2">
        <f>(G16+H16+F16*E16) * I16 * (1-J16)</f>
        <v>6080531.18390748</v>
      </c>
      <c r="L16" s="2">
        <f t="shared" si="2"/>
        <v>10995.535594769402</v>
      </c>
      <c r="M16" t="str">
        <f t="shared" si="3"/>
        <v>F_CoLocation_Echo_0|FY2030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tabSelected="1" workbookViewId="0">
      <selection activeCell="C5" sqref="C5"/>
    </sheetView>
  </sheetViews>
  <sheetFormatPr defaultRowHeight="14.5" x14ac:dyDescent="0.35"/>
  <cols>
    <col min="1" max="1" width="21" bestFit="1" customWidth="1"/>
    <col min="2" max="3" width="15.54296875" bestFit="1" customWidth="1"/>
    <col min="4" max="5" width="27.54296875" bestFit="1" customWidth="1"/>
  </cols>
  <sheetData>
    <row r="1" spans="1:5" x14ac:dyDescent="0.35">
      <c r="A1" s="1" t="s">
        <v>49</v>
      </c>
      <c r="B1" s="1" t="s">
        <v>82</v>
      </c>
      <c r="C1" s="1" t="s">
        <v>83</v>
      </c>
      <c r="D1" s="1" t="s">
        <v>84</v>
      </c>
      <c r="E1" s="1" t="s">
        <v>85</v>
      </c>
    </row>
    <row r="2" spans="1:5" x14ac:dyDescent="0.35">
      <c r="A2" t="str">
        <f>Scenarios!A2</f>
        <v>D_Grow_Both_0</v>
      </c>
      <c r="B2" s="2">
        <f>INDEX(MultiYear_ProForma!$L$2:$L$16, MATCH( Scenarios!A2&amp;"|FY2028", MultiYear_ProForma!$M$2:$M$16, 0))</f>
        <v>10625.085353249999</v>
      </c>
      <c r="C2" s="2">
        <f>INDEX(MultiYear_ProForma!$L$2:$L$16, MATCH( Scenarios!A2&amp;"|FY2030", MultiYear_ProForma!$M$2:$M$16, 0))</f>
        <v>11162.980299258277</v>
      </c>
      <c r="D2" s="2">
        <f>AVERAGE(INDEX(MultiYear_ProForma!$L$2:$L$16, MATCH(Scenarios!A2&amp;"|FY2026", MultiYear_ProForma!$M$2:$M$16, 0)),INDEX(MultiYear_ProForma!$L$2:$L$16, MATCH(Scenarios!A2&amp;"|FY2027", MultiYear_ProForma!$M$2:$M$16, 0)),INDEX(MultiYear_ProForma!$L$2:$L$16, MATCH(Scenarios!A2&amp;"|FY2028", MultiYear_ProForma!$M$2:$M$16, 0)))</f>
        <v>10368.043827749998</v>
      </c>
      <c r="E2" s="2">
        <f>AVERAGE(INDEX(MultiYear_ProForma!$L$2:$L$16, MATCH(Scenarios!A2&amp;"|FY2026", MultiYear_ProForma!$M$2:$M$16, 0)),INDEX(MultiYear_ProForma!$L$2:$L$16, MATCH(Scenarios!A2&amp;"|FY2027", MultiYear_ProForma!$M$2:$M$16, 0)),INDEX(MultiYear_ProForma!$L$2:$L$16, MATCH(Scenarios!A2&amp;"|FY2028", MultiYear_ProForma!$M$2:$M$16, 0)),INDEX(MultiYear_ProForma!$L$2:$L$16, MATCH(Scenarios!A2&amp;"|FY2029", MultiYear_ProForma!$M$2:$M$16, 0)), INDEX(MultiYear_ProForma!$L$2:$L$16, MATCH(Scenarios!A2&amp;"|FY2030", MultiYear_ProForma!$M$2:$M$16, 0)))</f>
        <v>10631.564853917904</v>
      </c>
    </row>
    <row r="3" spans="1:5" x14ac:dyDescent="0.35">
      <c r="A3" t="str">
        <f>Scenarios!A3</f>
        <v>E_StatusQuo_Targets_0</v>
      </c>
      <c r="B3" s="2">
        <f>INDEX(MultiYear_ProForma!$L$2:$L$16, MATCH( Scenarios!A3&amp;"|FY2028", MultiYear_ProForma!$M$2:$M$16, 0))</f>
        <v>10625.085353249999</v>
      </c>
      <c r="C3" s="2">
        <f>INDEX(MultiYear_ProForma!$L$2:$L$16, MATCH( Scenarios!A3&amp;"|FY2030", MultiYear_ProForma!$M$2:$M$16, 0))</f>
        <v>11162.980299258277</v>
      </c>
      <c r="D3" s="2">
        <f>AVERAGE(INDEX(MultiYear_ProForma!$L$2:$L$16, MATCH(Scenarios!A3&amp;"|FY2026", MultiYear_ProForma!$M$2:$M$16, 0)),INDEX(MultiYear_ProForma!$L$2:$L$16, MATCH(Scenarios!A3&amp;"|FY2027", MultiYear_ProForma!$M$2:$M$16, 0)),INDEX(MultiYear_ProForma!$L$2:$L$16, MATCH(Scenarios!A3&amp;"|FY2028", MultiYear_ProForma!$M$2:$M$16, 0)))</f>
        <v>10368.043827749998</v>
      </c>
      <c r="E3" s="2">
        <f>AVERAGE(INDEX(MultiYear_ProForma!$L$2:$L$16, MATCH(Scenarios!A3&amp;"|FY2026", MultiYear_ProForma!$M$2:$M$16, 0)),INDEX(MultiYear_ProForma!$L$2:$L$16, MATCH(Scenarios!A3&amp;"|FY2027", MultiYear_ProForma!$M$2:$M$16, 0)),INDEX(MultiYear_ProForma!$L$2:$L$16, MATCH(Scenarios!A3&amp;"|FY2028", MultiYear_ProForma!$M$2:$M$16, 0)),INDEX(MultiYear_ProForma!$L$2:$L$16, MATCH(Scenarios!A3&amp;"|FY2029", MultiYear_ProForma!$M$2:$M$16, 0)), INDEX(MultiYear_ProForma!$L$2:$L$16, MATCH(Scenarios!A3&amp;"|FY2030", MultiYear_ProForma!$M$2:$M$16, 0)))</f>
        <v>10631.564853917904</v>
      </c>
    </row>
    <row r="4" spans="1:5" x14ac:dyDescent="0.35">
      <c r="A4" t="str">
        <f>Scenarios!A4</f>
        <v>F_CoLocation_Echo_0</v>
      </c>
      <c r="B4" s="2">
        <f>INDEX(MultiYear_ProForma!$L$2:$L$16, MATCH( Scenarios!A4&amp;"|FY2028", MultiYear_ProForma!$M$2:$M$16, 0))</f>
        <v>10465.709072951249</v>
      </c>
      <c r="C4" s="2">
        <f>INDEX(MultiYear_ProForma!$L$2:$L$16, MATCH( Scenarios!A4&amp;"|FY2030", MultiYear_ProForma!$M$2:$M$16, 0))</f>
        <v>10995.535594769402</v>
      </c>
      <c r="D4" s="2">
        <f>AVERAGE(INDEX(MultiYear_ProForma!$L$2:$L$16, MATCH(Scenarios!A4&amp;"|FY2026", MultiYear_ProForma!$M$2:$M$16, 0)),INDEX(MultiYear_ProForma!$L$2:$L$16, MATCH(Scenarios!A4&amp;"|FY2027", MultiYear_ProForma!$M$2:$M$16, 0)),INDEX(MultiYear_ProForma!$L$2:$L$16, MATCH(Scenarios!A4&amp;"|FY2028", MultiYear_ProForma!$M$2:$M$16, 0)))</f>
        <v>10212.523170333749</v>
      </c>
      <c r="E4" s="2">
        <f>AVERAGE(INDEX(MultiYear_ProForma!$L$2:$L$16, MATCH(Scenarios!A4&amp;"|FY2026", MultiYear_ProForma!$M$2:$M$16, 0)),INDEX(MultiYear_ProForma!$L$2:$L$16, MATCH(Scenarios!A4&amp;"|FY2027", MultiYear_ProForma!$M$2:$M$16, 0)),INDEX(MultiYear_ProForma!$L$2:$L$16, MATCH(Scenarios!A4&amp;"|FY2028", MultiYear_ProForma!$M$2:$M$16, 0)),INDEX(MultiYear_ProForma!$L$2:$L$16, MATCH(Scenarios!A4&amp;"|FY2029", MultiYear_ProForma!$M$2:$M$16, 0)), INDEX(MultiYear_ProForma!$L$2:$L$16, MATCH(Scenarios!A4&amp;"|FY2030", MultiYear_ProForma!$M$2:$M$16, 0)))</f>
        <v>10472.091381109136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workbookViewId="0">
      <selection activeCell="A17" sqref="A17"/>
    </sheetView>
  </sheetViews>
  <sheetFormatPr defaultRowHeight="14.5" x14ac:dyDescent="0.35"/>
  <sheetData>
    <row r="1" spans="1:2" x14ac:dyDescent="0.35">
      <c r="A1" s="5" t="s">
        <v>69</v>
      </c>
    </row>
    <row r="2" spans="1:2" x14ac:dyDescent="0.35">
      <c r="B2" s="5" t="s">
        <v>70</v>
      </c>
    </row>
    <row r="3" spans="1:2" x14ac:dyDescent="0.35">
      <c r="B3" t="s">
        <v>71</v>
      </c>
    </row>
    <row r="5" spans="1:2" x14ac:dyDescent="0.35">
      <c r="B5" s="5" t="s">
        <v>72</v>
      </c>
    </row>
    <row r="6" spans="1:2" x14ac:dyDescent="0.35">
      <c r="B6" t="s">
        <v>73</v>
      </c>
    </row>
    <row r="8" spans="1:2" x14ac:dyDescent="0.35">
      <c r="B8" s="5" t="s">
        <v>74</v>
      </c>
    </row>
    <row r="9" spans="1:2" x14ac:dyDescent="0.35">
      <c r="B9" t="s">
        <v>75</v>
      </c>
    </row>
    <row r="11" spans="1:2" x14ac:dyDescent="0.35">
      <c r="B11" s="5" t="s">
        <v>76</v>
      </c>
    </row>
    <row r="12" spans="1:2" x14ac:dyDescent="0.35">
      <c r="B12" t="s">
        <v>77</v>
      </c>
    </row>
    <row r="17" spans="1:2" x14ac:dyDescent="0.35">
      <c r="A17" s="5" t="s">
        <v>78</v>
      </c>
    </row>
    <row r="18" spans="1:2" x14ac:dyDescent="0.35">
      <c r="B18" t="s">
        <v>3</v>
      </c>
    </row>
    <row r="19" spans="1:2" x14ac:dyDescent="0.35">
      <c r="B19" t="s">
        <v>5</v>
      </c>
    </row>
    <row r="20" spans="1:2" x14ac:dyDescent="0.35">
      <c r="B20" t="s">
        <v>7</v>
      </c>
    </row>
    <row r="21" spans="1:2" x14ac:dyDescent="0.35">
      <c r="B21" t="s">
        <v>9</v>
      </c>
    </row>
    <row r="22" spans="1:2" x14ac:dyDescent="0.35">
      <c r="B22" t="s">
        <v>11</v>
      </c>
    </row>
    <row r="23" spans="1:2" x14ac:dyDescent="0.35">
      <c r="B23" t="s">
        <v>13</v>
      </c>
    </row>
    <row r="24" spans="1:2" x14ac:dyDescent="0.35">
      <c r="B24" t="s">
        <v>14</v>
      </c>
    </row>
    <row r="25" spans="1:2" x14ac:dyDescent="0.35">
      <c r="B2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BaselineCalc</vt:lpstr>
      <vt:lpstr>YearMap</vt:lpstr>
      <vt:lpstr>Scenarios</vt:lpstr>
      <vt:lpstr>MultiYear_ProForma</vt:lpstr>
      <vt:lpstr>Summary_Costs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2025-10-21T22:31:51Z</dcterms:created>
  <dcterms:modified xsi:type="dcterms:W3CDTF">2025-10-22T00:48:56Z</dcterms:modified>
</cp:coreProperties>
</file>