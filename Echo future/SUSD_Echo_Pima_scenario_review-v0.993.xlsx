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1" documentId="8_{E050ED6C-0D94-4B58-8148-6C0909D1C8AB}" xr6:coauthVersionLast="47" xr6:coauthVersionMax="47" xr10:uidLastSave="{15810CBE-CF8F-4632-9B76-0A2F01900EA8}"/>
  <bookViews>
    <workbookView xWindow="-110" yWindow="-110" windowWidth="19420" windowHeight="10300" firstSheet="2"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22" l="1"/>
  <c r="G28" i="22"/>
  <c r="F28" i="22"/>
  <c r="F26" i="22"/>
  <c r="G26" i="22"/>
  <c r="E26" i="22"/>
  <c r="D26" i="22"/>
  <c r="C26" i="22"/>
  <c r="C18" i="22"/>
  <c r="D18" i="22"/>
  <c r="E18" i="22"/>
  <c r="F18" i="22"/>
  <c r="G18" i="22"/>
  <c r="C13" i="22"/>
  <c r="C15" i="22" s="1"/>
  <c r="G13" i="22"/>
  <c r="F13" i="22"/>
  <c r="E13" i="22"/>
  <c r="D13" i="22"/>
  <c r="C19" i="22"/>
  <c r="G19" i="22"/>
  <c r="F19" i="22"/>
  <c r="E19" i="22"/>
  <c r="D19" i="22"/>
  <c r="Q2" i="14"/>
  <c r="AE66" i="8"/>
  <c r="AE65" i="8"/>
  <c r="AE64" i="8"/>
  <c r="AE63" i="8"/>
  <c r="AE62" i="8"/>
  <c r="AE61" i="8"/>
  <c r="AE60" i="8"/>
  <c r="AE59" i="8"/>
  <c r="AE58" i="8"/>
  <c r="AE57" i="8"/>
  <c r="AE56" i="8"/>
  <c r="AE55" i="8"/>
  <c r="AE54" i="8"/>
  <c r="AE53" i="8"/>
  <c r="AE52" i="8"/>
  <c r="AE51" i="8"/>
  <c r="AE50" i="8"/>
  <c r="AE49" i="8"/>
  <c r="AE48" i="8"/>
  <c r="AE47" i="8"/>
  <c r="AE46" i="8"/>
  <c r="AE45" i="8"/>
  <c r="AE44" i="8"/>
  <c r="AE43" i="8"/>
  <c r="AE42" i="8"/>
  <c r="AE41" i="8"/>
  <c r="AE40" i="8"/>
  <c r="AE39"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E4" i="8"/>
  <c r="AE3" i="8"/>
  <c r="AE2" i="8"/>
  <c r="D50" i="23"/>
  <c r="C50" i="23"/>
  <c r="G48" i="23"/>
  <c r="E48" i="23"/>
  <c r="D48" i="23"/>
  <c r="G47" i="23"/>
  <c r="F47" i="23"/>
  <c r="E47" i="23"/>
  <c r="D47" i="23"/>
  <c r="C47" i="23"/>
  <c r="G45" i="23"/>
  <c r="F45" i="23"/>
  <c r="E45" i="23"/>
  <c r="D45" i="23"/>
  <c r="G44" i="23"/>
  <c r="F44" i="23"/>
  <c r="E44" i="23"/>
  <c r="D44" i="23"/>
  <c r="C44"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F19" i="23" s="1"/>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F5" i="23"/>
  <c r="F16" i="23" s="1"/>
  <c r="D5" i="23"/>
  <c r="D16" i="23" s="1"/>
  <c r="G4" i="23"/>
  <c r="F4" i="23"/>
  <c r="E4" i="23"/>
  <c r="E9" i="23" s="1"/>
  <c r="D4" i="23"/>
  <c r="D9" i="23" s="1"/>
  <c r="D10" i="23" s="1"/>
  <c r="D11" i="23" s="1"/>
  <c r="C4" i="23"/>
  <c r="G3" i="23"/>
  <c r="G14" i="23" s="1"/>
  <c r="G15" i="23" s="1"/>
  <c r="F3" i="23"/>
  <c r="F14" i="23" s="1"/>
  <c r="F15" i="23" s="1"/>
  <c r="E3" i="23"/>
  <c r="D3" i="23"/>
  <c r="D14" i="23" s="1"/>
  <c r="D15" i="23" s="1"/>
  <c r="C3" i="23"/>
  <c r="AB42" i="8"/>
  <c r="C23" i="22"/>
  <c r="E16" i="22"/>
  <c r="C16" i="22"/>
  <c r="G17" i="22"/>
  <c r="F17" i="22"/>
  <c r="E17" i="22"/>
  <c r="C17" i="22"/>
  <c r="G12" i="22"/>
  <c r="F12" i="22"/>
  <c r="E12" i="22"/>
  <c r="D12" i="22"/>
  <c r="C12" i="22"/>
  <c r="B13" i="13"/>
  <c r="B15" i="13"/>
  <c r="AC52" i="8"/>
  <c r="G5" i="22"/>
  <c r="G16" i="22" s="1"/>
  <c r="D5" i="22"/>
  <c r="D16" i="22" s="1"/>
  <c r="G4" i="22"/>
  <c r="F4" i="22"/>
  <c r="E4" i="22"/>
  <c r="D4" i="22"/>
  <c r="G3" i="22"/>
  <c r="F3" i="22"/>
  <c r="E3" i="22"/>
  <c r="D3" i="22"/>
  <c r="C4" i="22"/>
  <c r="C3" i="22"/>
  <c r="D6" i="5"/>
  <c r="E24" i="22"/>
  <c r="D24" i="22"/>
  <c r="G27" i="22"/>
  <c r="F27" i="22"/>
  <c r="C27" i="22"/>
  <c r="G8" i="22"/>
  <c r="G24" i="22" s="1"/>
  <c r="F8" i="22"/>
  <c r="F24" i="22" s="1"/>
  <c r="C8" i="22"/>
  <c r="C24" i="22" s="1"/>
  <c r="D17" i="22"/>
  <c r="E27" i="22"/>
  <c r="D27" i="22"/>
  <c r="E8" i="22"/>
  <c r="D8" i="22"/>
  <c r="G23" i="22"/>
  <c r="F23" i="22"/>
  <c r="E23" i="22"/>
  <c r="D23" i="22"/>
  <c r="E7" i="22"/>
  <c r="D7" i="22"/>
  <c r="G7" i="22"/>
  <c r="C7" i="22"/>
  <c r="G6" i="22"/>
  <c r="F6" i="22"/>
  <c r="E6" i="22"/>
  <c r="D6" i="22"/>
  <c r="C6"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C28" i="22" l="1"/>
  <c r="F20" i="23"/>
  <c r="F23" i="23" s="1"/>
  <c r="E10" i="23"/>
  <c r="E11" i="23" s="1"/>
  <c r="E14" i="23"/>
  <c r="E15" i="23" s="1"/>
  <c r="E20" i="23" s="1"/>
  <c r="E23" i="23" s="1"/>
  <c r="E27" i="23" s="1"/>
  <c r="C19" i="23"/>
  <c r="D27" i="23"/>
  <c r="D28" i="23" s="1"/>
  <c r="D35" i="23"/>
  <c r="E35" i="23"/>
  <c r="F35" i="23"/>
  <c r="G23" i="23"/>
  <c r="G27" i="23" s="1"/>
  <c r="C14" i="23"/>
  <c r="C15" i="23" s="1"/>
  <c r="C22" i="23"/>
  <c r="F9" i="23"/>
  <c r="F10" i="23" s="1"/>
  <c r="F11" i="23" s="1"/>
  <c r="F28" i="23" s="1"/>
  <c r="G9" i="23"/>
  <c r="G10" i="23" s="1"/>
  <c r="G11" i="23" s="1"/>
  <c r="C26" i="23"/>
  <c r="F27" i="23"/>
  <c r="D20" i="22"/>
  <c r="D21" i="22" s="1"/>
  <c r="E20" i="22"/>
  <c r="E21" i="22" s="1"/>
  <c r="G20" i="22"/>
  <c r="G21" i="22" s="1"/>
  <c r="E28" i="22"/>
  <c r="E9" i="22"/>
  <c r="C20" i="22"/>
  <c r="C21" i="22" s="1"/>
  <c r="F20" i="22"/>
  <c r="D28" i="22"/>
  <c r="F5" i="22"/>
  <c r="F16" i="22" s="1"/>
  <c r="G9" i="22"/>
  <c r="C9" i="22"/>
  <c r="D9" i="22"/>
  <c r="D14" i="22" s="1"/>
  <c r="D15" i="22" s="1"/>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D22" i="22" l="1"/>
  <c r="D25" i="22" s="1"/>
  <c r="D29" i="22" s="1"/>
  <c r="E10" i="22"/>
  <c r="E11" i="22" s="1"/>
  <c r="E14" i="22"/>
  <c r="C10" i="22"/>
  <c r="C11" i="22" s="1"/>
  <c r="C14" i="22"/>
  <c r="C22" i="22" s="1"/>
  <c r="G10" i="22"/>
  <c r="G11" i="22" s="1"/>
  <c r="G14" i="22"/>
  <c r="G15" i="22" s="1"/>
  <c r="G22" i="22" s="1"/>
  <c r="G25" i="22" s="1"/>
  <c r="G29" i="22" s="1"/>
  <c r="G30" i="22" s="1"/>
  <c r="G35" i="22" s="1"/>
  <c r="G36" i="22" s="1"/>
  <c r="F21" i="22"/>
  <c r="G35" i="23"/>
  <c r="C20" i="23"/>
  <c r="C23" i="23" s="1"/>
  <c r="C31" i="23" s="1"/>
  <c r="C35" i="23"/>
  <c r="C36" i="23" s="1"/>
  <c r="E28" i="23"/>
  <c r="G28" i="23"/>
  <c r="E15" i="22"/>
  <c r="F9" i="22"/>
  <c r="F14" i="22" s="1"/>
  <c r="F15" i="22" s="1"/>
  <c r="D10" i="22"/>
  <c r="D11"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L11" i="10" s="1"/>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L7" i="10" s="1"/>
  <c r="C7" i="10"/>
  <c r="B7" i="10"/>
  <c r="B8" i="10"/>
  <c r="B12" i="10"/>
  <c r="B16" i="10"/>
  <c r="C4" i="10"/>
  <c r="C25" i="22" l="1"/>
  <c r="C30" i="22" s="1"/>
  <c r="C35" i="22" s="1"/>
  <c r="C36" i="22" s="1"/>
  <c r="F22" i="22"/>
  <c r="F25" i="22" s="1"/>
  <c r="F29" i="22" s="1"/>
  <c r="E22" i="22"/>
  <c r="E25" i="22" s="1"/>
  <c r="E29" i="22" s="1"/>
  <c r="E30" i="22" s="1"/>
  <c r="E35" i="22" s="1"/>
  <c r="E36" i="22" s="1"/>
  <c r="C27" i="23"/>
  <c r="C28" i="23" s="1"/>
  <c r="D30" i="22"/>
  <c r="D35" i="22" s="1"/>
  <c r="D36" i="22" s="1"/>
  <c r="L9" i="10"/>
  <c r="L6" i="10"/>
  <c r="G14" i="9" s="1"/>
  <c r="H14" i="9" s="1"/>
  <c r="L15" i="10"/>
  <c r="L14" i="10"/>
  <c r="L10" i="10"/>
  <c r="G34" i="9" s="1"/>
  <c r="L16" i="10"/>
  <c r="G64" i="9" s="1"/>
  <c r="H64" i="9" s="1"/>
  <c r="L12" i="10"/>
  <c r="G44" i="9" s="1"/>
  <c r="H44" i="9" s="1"/>
  <c r="L8" i="10"/>
  <c r="E77" i="7"/>
  <c r="G4" i="9"/>
  <c r="H4" i="9" s="1"/>
  <c r="G24" i="9"/>
  <c r="H24" i="9" s="1"/>
  <c r="G9" i="9"/>
  <c r="H9" i="9" s="1"/>
  <c r="C83" i="7"/>
  <c r="E83" i="7" s="1"/>
  <c r="E36" i="7"/>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AC55" i="8" l="1"/>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F10" i="22" s="1"/>
  <c r="F11" i="22" s="1"/>
  <c r="F30" i="22" s="1"/>
  <c r="F35" i="22" s="1"/>
  <c r="F36" i="22" s="1"/>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Z47" i="8" s="1"/>
  <c r="AA47" i="8" s="1"/>
  <c r="U11" i="8"/>
  <c r="W11" i="8" s="1"/>
  <c r="U2" i="8"/>
  <c r="W2" i="8" s="1"/>
  <c r="AF2" i="8" s="1"/>
  <c r="V19" i="8"/>
  <c r="U31" i="8"/>
  <c r="U36" i="8"/>
  <c r="U22" i="8"/>
  <c r="U57" i="8"/>
  <c r="U26" i="8"/>
  <c r="U42" i="8"/>
  <c r="W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U7" i="8"/>
  <c r="W7" i="8" s="1"/>
  <c r="U45" i="8"/>
  <c r="W45" i="8" s="1"/>
  <c r="U4" i="8"/>
  <c r="U19" i="8"/>
  <c r="U38" i="8"/>
  <c r="W38" i="8" s="1"/>
  <c r="U10" i="8"/>
  <c r="W10" i="8" s="1"/>
  <c r="U20" i="8"/>
  <c r="W20" i="8" s="1"/>
  <c r="U24" i="8"/>
  <c r="W24" i="8" s="1"/>
  <c r="U3" i="8"/>
  <c r="W3" i="8" s="1"/>
  <c r="U48" i="8"/>
  <c r="W48" i="8" s="1"/>
  <c r="Z11" i="8"/>
  <c r="AA11" i="8" s="1"/>
  <c r="AF11" i="8"/>
  <c r="X11" i="8"/>
  <c r="U35" i="8"/>
  <c r="W35" i="8" s="1"/>
  <c r="U50" i="8"/>
  <c r="W50" i="8" s="1"/>
  <c r="U9" i="8"/>
  <c r="W9" i="8" s="1"/>
  <c r="U64" i="8"/>
  <c r="W64" i="8" s="1"/>
  <c r="U61" i="8"/>
  <c r="W61" i="8" s="1"/>
  <c r="U28" i="8"/>
  <c r="W28" i="8" s="1"/>
  <c r="U58" i="8"/>
  <c r="W58" i="8" s="1"/>
  <c r="W4" i="8" l="1"/>
  <c r="Z4" i="8" s="1"/>
  <c r="AA4" i="8" s="1"/>
  <c r="W59" i="8"/>
  <c r="W13" i="8"/>
  <c r="Z13" i="8" s="1"/>
  <c r="AA13" i="8" s="1"/>
  <c r="W22" i="8"/>
  <c r="Z22" i="8" s="1"/>
  <c r="AA22" i="8" s="1"/>
  <c r="W34" i="8"/>
  <c r="AF34" i="8" s="1"/>
  <c r="W52" i="8"/>
  <c r="Z52" i="8" s="1"/>
  <c r="AA52" i="8" s="1"/>
  <c r="W5" i="8"/>
  <c r="Z5" i="8" s="1"/>
  <c r="AA5" i="8" s="1"/>
  <c r="W31" i="8"/>
  <c r="Z31" i="8" s="1"/>
  <c r="AA31" i="8" s="1"/>
  <c r="W19" i="8"/>
  <c r="X19" i="8" s="1"/>
  <c r="W16" i="8"/>
  <c r="AF16" i="8" s="1"/>
  <c r="F7" i="5" s="1"/>
  <c r="W65" i="8"/>
  <c r="Z65" i="8" s="1"/>
  <c r="AA65" i="8" s="1"/>
  <c r="W49" i="8"/>
  <c r="Z49" i="8" s="1"/>
  <c r="AA49" i="8" s="1"/>
  <c r="W37" i="8"/>
  <c r="AF37" i="8" s="1"/>
  <c r="D12" i="5" s="1"/>
  <c r="W41" i="8"/>
  <c r="Z41" i="8" s="1"/>
  <c r="AA41" i="8" s="1"/>
  <c r="W43" i="8"/>
  <c r="Z43" i="8" s="1"/>
  <c r="AA43" i="8" s="1"/>
  <c r="W6" i="8"/>
  <c r="Z6" i="8" s="1"/>
  <c r="AA6" i="8" s="1"/>
  <c r="W46" i="8"/>
  <c r="Z46" i="8" s="1"/>
  <c r="AA46" i="8" s="1"/>
  <c r="W26" i="8"/>
  <c r="AF26" i="8" s="1"/>
  <c r="W36" i="8"/>
  <c r="AF36" i="8" s="1"/>
  <c r="W56" i="8"/>
  <c r="Z56" i="8" s="1"/>
  <c r="AA56" i="8" s="1"/>
  <c r="W54" i="8"/>
  <c r="Z54" i="8" s="1"/>
  <c r="AA54" i="8" s="1"/>
  <c r="W66" i="8"/>
  <c r="AF66" i="8" s="1"/>
  <c r="W57" i="8"/>
  <c r="Z57" i="8" s="1"/>
  <c r="AA57" i="8" s="1"/>
  <c r="W51" i="8"/>
  <c r="X51" i="8" s="1"/>
  <c r="W63" i="8"/>
  <c r="AF63" i="8" s="1"/>
  <c r="W30" i="8"/>
  <c r="Z30" i="8" s="1"/>
  <c r="AA30" i="8" s="1"/>
  <c r="W14" i="8"/>
  <c r="X14" i="8" s="1"/>
  <c r="W33" i="8"/>
  <c r="AF33" i="8" s="1"/>
  <c r="C28" i="3" s="1"/>
  <c r="W62" i="8"/>
  <c r="X62" i="8" s="1"/>
  <c r="AF32" i="8"/>
  <c r="X47" i="8"/>
  <c r="X2" i="8"/>
  <c r="AF47" i="8"/>
  <c r="D14" i="5" s="1"/>
  <c r="Z2" i="8"/>
  <c r="AA2" i="8" s="1"/>
  <c r="X13" i="8"/>
  <c r="AF13" i="8"/>
  <c r="Z42" i="8"/>
  <c r="AA42" i="8" s="1"/>
  <c r="X42" i="8"/>
  <c r="X65" i="8"/>
  <c r="AF42" i="8"/>
  <c r="F33" i="23" s="1"/>
  <c r="AF14" i="8"/>
  <c r="E7" i="5" s="1"/>
  <c r="Z14" i="8"/>
  <c r="AA14" i="8" s="1"/>
  <c r="X59" i="8"/>
  <c r="D5" i="5"/>
  <c r="AF38" i="8"/>
  <c r="Z38" i="8"/>
  <c r="AA38" i="8" s="1"/>
  <c r="X38" i="8"/>
  <c r="AF4" i="8"/>
  <c r="E5" i="5" s="1"/>
  <c r="AF55" i="8"/>
  <c r="Z55" i="8"/>
  <c r="AA55" i="8" s="1"/>
  <c r="X55" i="8"/>
  <c r="Z53" i="8"/>
  <c r="AA53" i="8" s="1"/>
  <c r="AF53" i="8"/>
  <c r="X53" i="8"/>
  <c r="AF28" i="8"/>
  <c r="Z28" i="8"/>
  <c r="AA28" i="8" s="1"/>
  <c r="X28" i="8"/>
  <c r="Z45" i="8"/>
  <c r="AA45" i="8" s="1"/>
  <c r="AF45" i="8"/>
  <c r="X45" i="8"/>
  <c r="AF23" i="8"/>
  <c r="Z23" i="8"/>
  <c r="AA23" i="8" s="1"/>
  <c r="X23" i="8"/>
  <c r="AF25" i="8"/>
  <c r="Z25" i="8"/>
  <c r="AA25" i="8" s="1"/>
  <c r="X25" i="8"/>
  <c r="AF15" i="8"/>
  <c r="Z15" i="8"/>
  <c r="AA15" i="8" s="1"/>
  <c r="X15" i="8"/>
  <c r="AF64" i="8"/>
  <c r="Z64" i="8"/>
  <c r="AA64" i="8" s="1"/>
  <c r="X64" i="8"/>
  <c r="AF58" i="8"/>
  <c r="Z58" i="8"/>
  <c r="AA58" i="8" s="1"/>
  <c r="X58" i="8"/>
  <c r="Z50" i="8"/>
  <c r="AA50" i="8" s="1"/>
  <c r="AF50" i="8"/>
  <c r="X50" i="8"/>
  <c r="Z32" i="8"/>
  <c r="AA32" i="8" s="1"/>
  <c r="Z61" i="8"/>
  <c r="AA61" i="8" s="1"/>
  <c r="AF61" i="8"/>
  <c r="X61" i="8"/>
  <c r="Z8" i="8"/>
  <c r="AA8" i="8" s="1"/>
  <c r="AF8" i="8"/>
  <c r="X8" i="8"/>
  <c r="AF18" i="8"/>
  <c r="Z18" i="8"/>
  <c r="AA18" i="8" s="1"/>
  <c r="X18" i="8"/>
  <c r="Z12" i="8"/>
  <c r="AA12" i="8" s="1"/>
  <c r="AF12" i="8"/>
  <c r="D7" i="5" s="1"/>
  <c r="X12" i="8"/>
  <c r="AD19" i="8"/>
  <c r="AF17" i="8"/>
  <c r="Z17" i="8"/>
  <c r="AA17" i="8" s="1"/>
  <c r="X17" i="8"/>
  <c r="AF27" i="8"/>
  <c r="D10" i="5" s="1"/>
  <c r="Z27" i="8"/>
  <c r="AA27" i="8" s="1"/>
  <c r="X27" i="8"/>
  <c r="AF35" i="8"/>
  <c r="C30" i="3" s="1"/>
  <c r="Z35" i="8"/>
  <c r="AA35" i="8" s="1"/>
  <c r="X35" i="8"/>
  <c r="Z48" i="8"/>
  <c r="AA48" i="8" s="1"/>
  <c r="AF48" i="8"/>
  <c r="X48" i="8"/>
  <c r="AF24" i="8"/>
  <c r="E9" i="5" s="1"/>
  <c r="Z24" i="8"/>
  <c r="AA24" i="8" s="1"/>
  <c r="X24" i="8"/>
  <c r="AF3" i="8"/>
  <c r="Z3" i="8"/>
  <c r="AA3" i="8" s="1"/>
  <c r="X3" i="8"/>
  <c r="AF20" i="8"/>
  <c r="Z20" i="8"/>
  <c r="AA20" i="8" s="1"/>
  <c r="X20" i="8"/>
  <c r="Z7" i="8"/>
  <c r="AA7" i="8" s="1"/>
  <c r="AF7" i="8"/>
  <c r="X7" i="8"/>
  <c r="Z44" i="8"/>
  <c r="AA44" i="8" s="1"/>
  <c r="AF44" i="8"/>
  <c r="E13" i="5" s="1"/>
  <c r="X44" i="8"/>
  <c r="AF21" i="8"/>
  <c r="Z21" i="8"/>
  <c r="AA21" i="8" s="1"/>
  <c r="X21" i="8"/>
  <c r="Z10" i="8"/>
  <c r="AA10" i="8" s="1"/>
  <c r="AF10" i="8"/>
  <c r="X10" i="8"/>
  <c r="AF60" i="8"/>
  <c r="Z60" i="8"/>
  <c r="AA60" i="8" s="1"/>
  <c r="X60" i="8"/>
  <c r="AF40" i="8"/>
  <c r="Z40" i="8"/>
  <c r="AA40" i="8" s="1"/>
  <c r="X40" i="8"/>
  <c r="Z9" i="8"/>
  <c r="AA9" i="8" s="1"/>
  <c r="AF9" i="8"/>
  <c r="X9" i="8"/>
  <c r="AF39" i="8"/>
  <c r="E12" i="5" s="1"/>
  <c r="Z39" i="8"/>
  <c r="AA39" i="8" s="1"/>
  <c r="X39" i="8"/>
  <c r="AF29" i="8"/>
  <c r="E10" i="5" s="1"/>
  <c r="Z29" i="8"/>
  <c r="AA29" i="8" s="1"/>
  <c r="X29" i="8"/>
  <c r="C33" i="23" l="1"/>
  <c r="C33" i="22"/>
  <c r="D11" i="5"/>
  <c r="D33" i="22"/>
  <c r="D8" i="5"/>
  <c r="D33" i="23"/>
  <c r="D13" i="5"/>
  <c r="F33" i="22"/>
  <c r="Z37" i="8"/>
  <c r="AA37" i="8" s="1"/>
  <c r="X37" i="8"/>
  <c r="Z34" i="8"/>
  <c r="AA34" i="8" s="1"/>
  <c r="X34" i="8"/>
  <c r="AF22" i="8"/>
  <c r="D9" i="5" s="1"/>
  <c r="X22" i="8"/>
  <c r="X33" i="8"/>
  <c r="AF56" i="8"/>
  <c r="F15" i="5" s="1"/>
  <c r="X56" i="8"/>
  <c r="Z63" i="8"/>
  <c r="AA63" i="8" s="1"/>
  <c r="Z19" i="8"/>
  <c r="AA19" i="8" s="1"/>
  <c r="X63" i="8"/>
  <c r="Z51" i="8"/>
  <c r="AA51" i="8" s="1"/>
  <c r="AF51" i="8"/>
  <c r="Z62" i="8"/>
  <c r="AA62" i="8" s="1"/>
  <c r="AF31" i="8"/>
  <c r="X57" i="8"/>
  <c r="AF62" i="8"/>
  <c r="X43" i="8"/>
  <c r="X31" i="8"/>
  <c r="E11" i="5"/>
  <c r="C29" i="3"/>
  <c r="X54" i="8"/>
  <c r="X6" i="8"/>
  <c r="AF6" i="8"/>
  <c r="F5" i="5" s="1"/>
  <c r="Z33" i="8"/>
  <c r="AA33" i="8" s="1"/>
  <c r="AF46" i="8"/>
  <c r="AF49" i="8"/>
  <c r="E14" i="5" s="1"/>
  <c r="X49" i="8"/>
  <c r="AF54" i="8"/>
  <c r="E15" i="5" s="1"/>
  <c r="AF5" i="8"/>
  <c r="D28" i="3"/>
  <c r="X46" i="8"/>
  <c r="X5" i="8"/>
  <c r="AF65" i="8"/>
  <c r="F9" i="5"/>
  <c r="F11" i="5"/>
  <c r="C52" i="23" s="1"/>
  <c r="C31" i="3"/>
  <c r="C52" i="3"/>
  <c r="D7" i="4"/>
  <c r="D8" i="4" s="1"/>
  <c r="B11" i="4" s="1"/>
  <c r="C53" i="3"/>
  <c r="F17" i="5"/>
  <c r="J7" i="5" s="1"/>
  <c r="X41" i="8"/>
  <c r="Z26" i="8"/>
  <c r="AA26" i="8" s="1"/>
  <c r="X30" i="8"/>
  <c r="AF30" i="8"/>
  <c r="X26" i="8"/>
  <c r="AF57" i="8"/>
  <c r="D16" i="5" s="1"/>
  <c r="X16" i="8"/>
  <c r="AF41" i="8"/>
  <c r="Z16" i="8"/>
  <c r="AA16" i="8" s="1"/>
  <c r="AF52" i="8"/>
  <c r="X52" i="8"/>
  <c r="Z36" i="8"/>
  <c r="AA36" i="8" s="1"/>
  <c r="Z66" i="8"/>
  <c r="AA66" i="8" s="1"/>
  <c r="X66" i="8"/>
  <c r="X36" i="8"/>
  <c r="X32" i="8"/>
  <c r="AF43" i="8"/>
  <c r="X4" i="8"/>
  <c r="D31" i="3"/>
  <c r="Z59" i="8"/>
  <c r="AA59" i="8" s="1"/>
  <c r="AF59" i="8"/>
  <c r="E16" i="5" s="1"/>
  <c r="G10" i="5"/>
  <c r="G7" i="5"/>
  <c r="F8" i="5"/>
  <c r="F16" i="5"/>
  <c r="AF19" i="8"/>
  <c r="E8" i="5" s="1"/>
  <c r="G9" i="5"/>
  <c r="C27" i="3"/>
  <c r="G11" i="5"/>
  <c r="C53" i="23" s="1"/>
  <c r="C47" i="3"/>
  <c r="E17" i="5"/>
  <c r="D29" i="3"/>
  <c r="G33" i="22" l="1"/>
  <c r="G33" i="23"/>
  <c r="C7" i="4"/>
  <c r="C8" i="4" s="1"/>
  <c r="D17" i="5"/>
  <c r="E33" i="23"/>
  <c r="E33" i="22"/>
  <c r="G15" i="5"/>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<sst xmlns="http://schemas.openxmlformats.org/spreadsheetml/2006/main" count="1406" uniqueCount="804">
  <si>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</si>
  <si>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</si>
  <si>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</si>
  <si>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</si>
  <si>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</si>
  <si>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</si>
  <si>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</si>
  <si>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</si>
  <si>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</si>
  <si>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</si>
  <si>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</si>
  <si>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</si>
  <si>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</si>
  <si>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</si>
  <si>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</si>
  <si>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</si>
  <si>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</si>
  <si>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</si>
  <si>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</si>
  <si>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</si>
  <si>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</si>
  <si>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</si>
  <si>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</si>
  <si>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</si>
  <si>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</si>
  <si>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</si>
  <si>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</si>
  <si>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</si>
  <si>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</si>
  <si>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</si>
  <si>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</si>
  <si>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</si>
  <si>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</si>
  <si>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</si>
  <si>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</si>
  <si>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</si>
  <si>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</si>
  <si>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</si>
  <si>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</si>
  <si>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</si>
  <si>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</si>
  <si>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</si>
  <si>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</si>
  <si>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</si>
  <si>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</si>
  <si>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</si>
  <si>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</si>
  <si>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</si>
  <si>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</si>
  <si>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</si>
  <si>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</si>
  <si>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</si>
  <si>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</si>
  <si>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</si>
  <si>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</si>
  <si>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</si>
  <si>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</si>
  <si>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</si>
  <si>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</si>
  <si>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</si>
  <si>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</si>
  <si>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</si>
  <si>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</si>
  <si>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</si>
  <si>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</si>
  <si>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</si>
  <si>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</si>
  <si>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</si>
  <si>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</si>
  <si>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</si>
  <si>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</si>
  <si>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</si>
  <si>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</si>
  <si>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</si>
  <si>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</si>
  <si>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</si>
  <si>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</si>
  <si>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</si>
  <si>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</si>
  <si>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</si>
  <si>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</si>
  <si>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</si>
  <si>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</si>
  <si>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</si>
  <si>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</si>
  <si>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</si>
  <si>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</si>
  <si>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</si>
  <si>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</si>
  <si>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</si>
  <si>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</si>
  <si>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</si>
  <si>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</si>
  <si>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</si>
  <si>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</si>
  <si>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</si>
  <si>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</si>
  <si>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</si>
  <si>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</si>
  <si>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</si>
  <si>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</si>
  <si>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</si>
  <si>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</si>
  <si>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</si>
  <si>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</si>
  <si>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</si>
  <si>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</si>
  <si>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</si>
  <si>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</si>
  <si>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</si>
  <si>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</si>
  <si>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</si>
  <si>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</si>
  <si>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</si>
  <si>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</si>
  <si>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</si>
  <si>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</si>
  <si>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</si>
  <si>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</si>
  <si>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</si>
  <si>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</si>
  <si>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</si>
  <si>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</si>
  <si>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</si>
  <si>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</si>
  <si>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</si>
  <si>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</si>
  <si>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</si>
  <si>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</si>
  <si>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</si>
  <si>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</si>
  <si>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</si>
  <si>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</si>
  <si>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</si>
  <si>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</si>
  <si>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</si>
  <si>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</si>
  <si>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</si>
  <si>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</si>
  <si>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</si>
  <si>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</si>
  <si>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</si>
  <si>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</si>
  <si>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</si>
  <si>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</si>
  <si>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</si>
  <si>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</si>
  <si>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</si>
  <si>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</si>
  <si>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</si>
  <si>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</si>
  <si>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</si>
  <si>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</si>
  <si>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</si>
  <si>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</si>
  <si>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</si>
  <si>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</si>
  <si>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</si>
  <si>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</si>
  <si>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</si>
  <si>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</si>
  <si>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</si>
  <si>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</si>
  <si>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</si>
  <si>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</si>
  <si>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</si>
  <si>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</si>
  <si>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</si>
  <si>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</si>
  <si>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</si>
  <si>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</si>
  <si>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</si>
  <si>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</si>
  <si>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</si>
  <si>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</si>
  <si>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</si>
  <si>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</si>
  <si>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</si>
  <si>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</si>
  <si>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</si>
  <si>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</si>
  <si>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</si>
  <si>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</si>
  <si>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</si>
  <si>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</si>
  <si>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</si>
  <si>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</si>
  <si>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</si>
  <si>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</si>
  <si>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</si>
  <si>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</si>
  <si>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</si>
  <si>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</si>
  <si>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</si>
  <si>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</si>
  <si>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</si>
  <si>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</si>
  <si>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</si>
  <si>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</si>
  <si>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</si>
  <si>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</si>
  <si>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</si>
  <si>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</si>
  <si>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</si>
  <si>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</si>
  <si>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</si>
  <si>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</si>
  <si>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</si>
  <si>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</si>
  <si>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</si>
  <si>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</si>
  <si>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</si>
  <si>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</si>
  <si>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</si>
  <si>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</si>
  <si>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</si>
  <si>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</si>
  <si>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</si>
  <si>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</si>
  <si>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</si>
  <si>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</si>
  <si>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</si>
  <si>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</si>
  <si>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</si>
  <si>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</si>
  <si>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</si>
  <si>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</si>
  <si>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</si>
  <si>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</si>
  <si>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</si>
  <si>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</si>
  <si>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</si>
  <si>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</si>
  <si>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</si>
  <si>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</si>
  <si>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</si>
  <si>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</si>
  <si>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</si>
  <si>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</si>
  <si>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</si>
  <si>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</si>
  <si>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</si>
  <si>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</si>
  <si>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</si>
  <si>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</si>
  <si>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</si>
  <si>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</si>
  <si>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</si>
  <si>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</si>
  <si>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</si>
  <si>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</si>
  <si>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</si>
  <si>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</si>
  <si>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</si>
  <si>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</si>
  <si>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</si>
  <si>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</si>
  <si>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</si>
  <si>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</si>
  <si>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</si>
  <si>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</si>
  <si>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</si>
  <si>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</si>
  <si>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</si>
  <si>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</si>
  <si>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</si>
  <si>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</si>
  <si>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</si>
  <si>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</si>
  <si>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</si>
  <si>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</si>
  <si>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</si>
  <si>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</si>
  <si>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</si>
  <si>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</si>
  <si>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</si>
  <si>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</si>
  <si>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</si>
  <si>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</si>
  <si>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</si>
  <si>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</si>
  <si>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</si>
  <si>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</si>
  <si>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</si>
  <si>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</si>
  <si>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</si>
  <si>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</si>
  <si>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</si>
  <si>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</si>
  <si>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</si>
  <si>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</si>
  <si>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</si>
  <si>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</si>
  <si>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</si>
  <si>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</si>
  <si>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</si>
  <si>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</si>
  <si>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</si>
  <si>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</si>
  <si>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</si>
  <si>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</si>
  <si>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</si>
  <si>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</si>
  <si>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</si>
  <si>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</si>
  <si>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</si>
  <si>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</si>
  <si>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</si>
  <si>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</si>
  <si>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</si>
  <si>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</si>
  <si>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</si>
  <si>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</si>
  <si>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</si>
  <si>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</si>
  <si>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</si>
  <si>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</si>
  <si>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</si>
  <si>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</si>
  <si>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</si>
  <si>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</si>
  <si>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</si>
  <si>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</si>
  <si>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</si>
  <si>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</si>
  <si>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</si>
  <si>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</si>
  <si>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</si>
  <si>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</si>
  <si>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</si>
  <si>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</si>
  <si>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</si>
  <si>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</si>
  <si>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</si>
  <si>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</si>
  <si>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</si>
  <si>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</si>
  <si>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</si>
  <si>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</si>
  <si>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</si>
  <si>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</si>
  <si>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</si>
  <si>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</si>
  <si>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</si>
  <si>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</si>
  <si>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</si>
  <si>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</si>
  <si>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</si>
  <si>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</si>
  <si>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</si>
  <si>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</si>
  <si>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</si>
  <si>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</si>
  <si>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</si>
  <si>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</si>
  <si>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</si>
  <si>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</si>
  <si>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</si>
  <si>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</si>
  <si>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</si>
  <si>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</si>
  <si>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</si>
  <si>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</si>
  <si>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</si>
  <si>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</si>
  <si>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</si>
  <si>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</si>
  <si>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</si>
  <si>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</si>
  <si>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</si>
  <si>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</si>
  <si>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</si>
  <si>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</si>
  <si>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</si>
  <si>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</si>
  <si>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</si>
  <si>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</si>
  <si>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</si>
  <si>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</si>
  <si>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</si>
  <si>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</si>
  <si>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</si>
  <si>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</si>
  <si>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</si>
  <si>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</si>
  <si>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</si>
  <si>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</si>
  <si>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</si>
  <si>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</si>
  <si>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</si>
  <si>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</si>
  <si>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</si>
  <si>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</si>
  <si>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</si>
  <si>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</si>
  <si>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</si>
  <si>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</si>
  <si>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</si>
  <si>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</si>
  <si>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</si>
  <si>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</si>
  <si>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</si>
  <si>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</si>
  <si>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</si>
  <si>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</si>
  <si>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</si>
  <si>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</si>
  <si>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</si>
  <si>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</si>
  <si>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</si>
  <si>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</si>
  <si>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</si>
  <si>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</si>
  <si>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</si>
  <si>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</si>
  <si>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</si>
  <si>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</si>
  <si>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</si>
  <si>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</si>
  <si>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</si>
  <si>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</si>
  <si>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</si>
  <si>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</si>
  <si>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</si>
  <si>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</si>
  <si>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</si>
  <si>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</si>
  <si>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</si>
  <si>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</si>
  <si>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</si>
  <si>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</si>
  <si>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</si>
  <si>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</si>
  <si>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</si>
  <si>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</si>
  <si>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</si>
  <si>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</si>
  <si>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</si>
  <si>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</si>
  <si>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</si>
  <si>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</si>
  <si>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</si>
  <si>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</si>
  <si>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</si>
  <si>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</si>
  <si>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</si>
  <si>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</si>
  <si>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</si>
  <si>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</si>
  <si>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</si>
  <si>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</si>
  <si>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</si>
  <si>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</si>
  <si>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</si>
  <si>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</si>
  <si>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</si>
  <si>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</si>
  <si>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</si>
  <si>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</si>
  <si>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</si>
  <si>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</si>
  <si>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</si>
  <si>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</si>
  <si>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</si>
  <si>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</si>
  <si>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</si>
  <si>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</si>
  <si>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</si>
  <si>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</si>
  <si>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</si>
  <si>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</si>
  <si>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</si>
  <si>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</si>
  <si>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</si>
  <si>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</si>
  <si>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</si>
  <si>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</si>
  <si>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</si>
  <si>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</si>
  <si>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</si>
  <si>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</si>
  <si>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</si>
  <si>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</si>
  <si>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</si>
  <si>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</si>
  <si>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</si>
  <si>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</si>
  <si>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</si>
  <si>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</si>
  <si>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</si>
  <si>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</si>
  <si>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</si>
  <si>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</si>
  <si>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</si>
  <si>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</si>
  <si>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</si>
  <si>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</si>
  <si>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</si>
  <si>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</si>
  <si>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</si>
  <si>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</si>
  <si>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</si>
  <si>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</si>
  <si>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</si>
  <si>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</si>
  <si>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</si>
  <si>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</si>
  <si>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</si>
  <si>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</si>
  <si>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</si>
  <si>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</si>
  <si>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</si>
  <si>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</si>
  <si>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</si>
  <si>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</si>
  <si>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</si>
  <si>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</si>
  <si>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</si>
  <si>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</si>
  <si>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</si>
  <si>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</si>
  <si>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</si>
  <si>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</si>
  <si>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</si>
  <si>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</si>
  <si>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</si>
  <si>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</si>
  <si>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</si>
  <si>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</si>
  <si>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</si>
  <si>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</si>
  <si>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</si>
  <si>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</si>
  <si>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</si>
  <si>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</si>
  <si>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</si>
  <si>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</si>
  <si>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</si>
  <si>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</si>
  <si>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</si>
  <si>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</si>
  <si>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</si>
  <si>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</si>
  <si>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</si>
  <si>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</si>
  <si>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</si>
  <si>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</si>
  <si>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</si>
  <si>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</si>
  <si>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</si>
  <si>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</si>
  <si>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</si>
  <si>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</si>
  <si>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</si>
  <si>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</si>
  <si>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</si>
  <si>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</si>
  <si>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</si>
  <si>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</si>
  <si>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</si>
  <si>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</si>
  <si>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</si>
  <si>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</si>
  <si>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</si>
  <si>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</si>
  <si>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</si>
  <si>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</si>
  <si>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</si>
  <si>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</si>
  <si>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</si>
  <si>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</si>
  <si>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</si>
  <si>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</si>
  <si>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</si>
  <si>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</si>
  <si>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</si>
  <si>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</si>
  <si>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</si>
  <si>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</si>
  <si>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</si>
  <si>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</si>
  <si>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</si>
  <si>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</si>
  <si>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</si>
  <si>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</si>
  <si>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</si>
  <si>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</si>
  <si>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</si>
  <si>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</si>
  <si>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</si>
  <si>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</si>
  <si>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</si>
  <si>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</si>
  <si>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</si>
  <si>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</si>
  <si>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</si>
  <si>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</si>
  <si>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</si>
  <si>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</si>
  <si>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</si>
  <si>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</si>
  <si>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</si>
  <si>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</si>
  <si>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</si>
  <si>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</si>
  <si>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</si>
  <si>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</si>
  <si>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</si>
  <si>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</si>
  <si>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</si>
  <si>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</si>
  <si>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</si>
  <si>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</si>
  <si>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</si>
  <si>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</si>
  <si>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</si>
  <si>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</si>
  <si>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</si>
  <si>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</si>
  <si>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</si>
  <si>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</si>
  <si>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</si>
  <si>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</si>
  <si>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</si>
  <si>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</si>
  <si>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</si>
  <si>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</si>
  <si>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</si>
  <si>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</si>
  <si>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</si>
  <si>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</si>
  <si>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</si>
  <si>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</si>
  <si>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</si>
  <si>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</si>
  <si>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</si>
  <si>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</si>
  <si>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</si>
  <si>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</si>
  <si>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</si>
  <si>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</si>
  <si>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</si>
  <si>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</si>
  <si>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</si>
  <si>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</si>
  <si>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</si>
  <si>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</si>
  <si>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</si>
  <si>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</si>
  <si>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</si>
  <si>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</si>
  <si>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</si>
  <si>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</si>
  <si>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</si>
  <si>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</si>
  <si>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</si>
  <si>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</si>
  <si>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</si>
  <si>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</si>
  <si>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</si>
  <si>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</si>
  <si>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</si>
  <si>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</si>
  <si>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</si>
  <si>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</si>
  <si>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</si>
  <si>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</si>
  <si>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</si>
  <si>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</si>
  <si>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</si>
  <si>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</si>
  <si>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</si>
  <si>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</si>
  <si>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</si>
  <si>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</si>
  <si>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</si>
  <si>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</si>
  <si>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</si>
  <si>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</si>
  <si>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</si>
  <si>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</si>
  <si>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</si>
  <si>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</si>
  <si>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</si>
  <si>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</si>
  <si>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</si>
  <si>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</si>
  <si>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</si>
  <si>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</si>
  <si>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</si>
  <si>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</si>
  <si>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</si>
  <si>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</si>
  <si>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</si>
  <si>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</si>
  <si>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</si>
  <si>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</si>
  <si>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</si>
  <si>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</si>
  <si>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</si>
  <si>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</si>
  <si>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</si>
  <si>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</si>
  <si>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</si>
  <si>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</si>
  <si>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</si>
  <si>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</si>
  <si>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</si>
  <si>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</si>
  <si>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</si>
  <si>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</si>
  <si>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</si>
  <si>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</si>
  <si>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</si>
  <si>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</si>
  <si>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</si>
  <si>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</si>
  <si>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</si>
  <si>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</si>
  <si>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</si>
  <si>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</si>
  <si>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</si>
  <si>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</si>
  <si>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</si>
  <si>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</si>
  <si>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</si>
  <si>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</si>
  <si>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</si>
  <si>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</si>
  <si>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</si>
  <si>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</si>
  <si>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</si>
  <si>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</si>
  <si>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</si>
  <si>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</si>
  <si>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</si>
  <si>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</si>
  <si>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</si>
  <si>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</si>
  <si>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</si>
  <si>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</si>
  <si>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</si>
  <si>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</si>
  <si>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</si>
  <si>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</si>
  <si>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</si>
  <si>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</si>
  <si>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</si>
  <si>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</si>
  <si>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</si>
  <si>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</si>
  <si>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</si>
  <si>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</si>
  <si>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</si>
  <si>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</si>
  <si>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</si>
  <si>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</si>
  <si>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</si>
  <si>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</si>
  <si>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</si>
  <si>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</si>
  <si>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</si>
  <si>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</si>
  <si>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</si>
  <si>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</si>
  <si>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</si>
  <si>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</si>
  <si>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</si>
  <si>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</si>
  <si>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</si>
  <si>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</si>
  <si>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</si>
  <si>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</si>
  <si>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</si>
  <si>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</si>
  <si>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</si>
  <si>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</si>
  <si>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</si>
  <si>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</si>
  <si>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</si>
  <si>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</si>
  <si>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</si>
  <si>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</si>
  <si>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</si>
  <si>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</si>
  <si>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</si>
  <si>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</si>
  <si>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</si>
  <si>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</si>
  <si>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</si>
  <si>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</si>
  <si>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</si>
  <si>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</si>
  <si>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</si>
  <si>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REAL Net operating $ / year FY26</t>
  </si>
  <si>
    <t>DASHBOARD CALCULATED Net operating $ / year FY26</t>
  </si>
  <si>
    <t>FY30 simulated P&amp;L by scenario</t>
  </si>
  <si>
    <t>Sensitivity analysis</t>
  </si>
  <si>
    <t>Incremental overhead per new student (estiamted as proportion of repurpose transition cost)</t>
  </si>
  <si>
    <t xml:space="preserve">Implied variable gross M&amp;O + growth overhead / new student </t>
  </si>
  <si>
    <t>difference in real net vs. dashboard net</t>
  </si>
  <si>
    <t>%difference in real net vs. dashboard net</t>
  </si>
  <si>
    <t>Per‑served revenue ($/ADM) &lt;base+override;  to be conservative, small adjustment down for new students&gt;</t>
  </si>
  <si>
    <t>Light discipline if sites remain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</si>
</sst>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s>
  <fills count="14">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diagonal/>
    </border>
  </borders>
  <cellStyleXfs count="5">
    <xf numFmtId="0" fontId="0" fillId="0" borderId="0"/>
    <xf numFmtId="44" fontId="3" fillId="0" borderId="0"/>
    <xf numFmtId="0" fontId="9" fillId="0" borderId="0"/>
    <xf numFmtId="0" fontId="11" fillId="0" borderId="0"/>
    <xf numFmtId="9" fontId="3" fillId="0" borderId="0" applyFont="0" applyFill="0" applyBorder="0" applyAlignment="0" applyProtection="0"/>
  </cellStyleXfs>
  <cellXfs count="14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4" fillId="0" borderId="0" xfId="0" applyFont="1" applyFill="1" applyBorder="1"/>
    <xf numFmtId="5" fontId="34" fillId="0" borderId="0" xfId="0" applyNumberFormat="1" applyFont="1" applyFill="1" applyBorder="1"/>
    <xf numFmtId="7" fontId="34" fillId="0" borderId="0" xfId="0" applyNumberFormat="1" applyFont="1" applyFill="1" applyBorder="1"/>
    <xf numFmtId="0" fontId="33" fillId="0" borderId="0" xfId="0" applyFont="1" applyFill="1" applyBorder="1" applyAlignment="1">
      <alignment vertical="center" wrapText="1" readingOrder="1"/>
    </xf>
    <xf numFmtId="0" fontId="34" fillId="0" borderId="0" xfId="0" applyFont="1" applyFill="1" applyBorder="1" applyAlignment="1">
      <alignment horizontal="center" vertical="center"/>
    </xf>
    <xf numFmtId="0" fontId="31" fillId="0" borderId="0" xfId="0" applyFont="1" applyFill="1" applyBorder="1" applyAlignment="1">
      <alignment horizontal="center" vertical="center" wrapText="1"/>
    </xf>
    <xf numFmtId="0" fontId="35" fillId="0" borderId="0" xfId="0" applyFont="1" applyFill="1" applyBorder="1" applyAlignment="1">
      <alignment vertical="center" wrapText="1" readingOrder="1"/>
    </xf>
    <xf numFmtId="5" fontId="33" fillId="0" borderId="0" xfId="0" applyNumberFormat="1"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0" fontId="34" fillId="0" borderId="0" xfId="0" applyFont="1" applyFill="1" applyBorder="1" applyAlignment="1">
      <alignment horizontal="center" vertical="center" wrapText="1"/>
    </xf>
    <xf numFmtId="0" fontId="31" fillId="0" borderId="0" xfId="0" applyFont="1" applyFill="1" applyBorder="1" applyAlignment="1">
      <alignment vertical="center" wrapText="1" readingOrder="1"/>
    </xf>
    <xf numFmtId="0" fontId="32" fillId="0" borderId="0" xfId="0" applyFont="1" applyFill="1" applyBorder="1" applyAlignment="1">
      <alignment vertical="center" wrapText="1" readingOrder="1"/>
    </xf>
    <xf numFmtId="0" fontId="34" fillId="13" borderId="10" xfId="0" applyFont="1" applyFill="1" applyBorder="1"/>
    <xf numFmtId="5" fontId="33" fillId="13" borderId="0" xfId="0" applyNumberFormat="1" applyFont="1" applyFill="1" applyAlignment="1">
      <alignment horizontal="center" vertical="center" wrapText="1" readingOrder="1"/>
    </xf>
    <xf numFmtId="0" fontId="34" fillId="13" borderId="0" xfId="0" applyFont="1" applyFill="1"/>
    <xf numFmtId="9" fontId="34" fillId="0" borderId="0" xfId="4" applyFont="1" applyFill="1" applyBorder="1"/>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860912.8951303158</c:v>
                </c:pt>
                <c:pt idx="9">
                  <c:v>665115.08274023887</c:v>
                </c:pt>
                <c:pt idx="10">
                  <c:v>1201518.9348101299</c:v>
                </c:pt>
                <c:pt idx="11">
                  <c:v>976008.61392506119</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627767.69388419983</c:v>
                </c:pt>
                <c:pt idx="9">
                  <c:v>430965.37324397586</c:v>
                </c:pt>
                <c:pt idx="10">
                  <c:v>887458.88899520657</c:v>
                </c:pt>
                <c:pt idx="11">
                  <c:v>663925.29802922928</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83696.675862552409</c:v>
                </c:pt>
                <c:pt idx="9">
                  <c:v>-113105.64477767162</c:v>
                </c:pt>
                <c:pt idx="10">
                  <c:v>343387.8709735591</c:v>
                </c:pt>
                <c:pt idx="11">
                  <c:v>119854.28000758178</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mc:Choice xmlns:a14="http://schemas.microsoft.com/office/drawing/2010/main"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chemeClr val="lt1"/>
                        </a:solidFill>
                        <a:latin typeface="Cambria Math" panose="02040503050406030204" pitchFamily="18" charset="0"/>
                        <a:ea typeface="+mn-ea"/>
                        <a:cs typeface="+mn-cs"/>
                      </a:rPr>
                      <m:t>Δ</m:t>
                    </m:r>
                    <m:r>
                      <m:rPr>
                        <m:nor/>
                      </m:rPr>
                      <a:rPr lang="en-US" sz="1100" b="0" i="1">
                        <a:solidFill>
                          <a:schemeClr val="lt1"/>
                        </a:solidFill>
                        <a:latin typeface="+mn-lt"/>
                        <a:ea typeface="+mn-ea"/>
                        <a:cs typeface="+mn-cs"/>
                      </a:rPr>
                      <m:t>Net</m:t>
                    </m:r>
                    <m:r>
                      <a:rPr lang="en-US"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e>
                    </m:d>
                    <m:r>
                      <m:rPr>
                        <m:nor/>
                      </m:rPr>
                      <a:rPr lang="ar-AE" sz="1100" b="0" i="1">
                        <a:solidFill>
                          <a:schemeClr val="lt1"/>
                        </a:solidFill>
                        <a:latin typeface="+mn-lt"/>
                        <a:ea typeface="+mn-ea"/>
                        <a:cs typeface="+mn-cs"/>
                      </a:rPr>
                      <m:t> </m:t>
                    </m:r>
                    <m:limLow>
                      <m:limLowPr>
                        <m:ctrlPr>
                          <a:rPr lang="ar-AE" sz="1100" b="0" i="1">
                            <a:solidFill>
                              <a:schemeClr val="lt1"/>
                            </a:solidFill>
                            <a:latin typeface="Cambria Math" panose="02040503050406030204" pitchFamily="18" charset="0"/>
                            <a:ea typeface="+mn-ea"/>
                            <a:cs typeface="+mn-cs"/>
                          </a:rPr>
                        </m:ctrlPr>
                      </m:limLowPr>
                      <m:e>
                        <m:groupChr>
                          <m:groupChrPr>
                            <m:chr m:val="⏟"/>
                            <m:ctrlPr>
                              <a:rPr lang="ar-AE" sz="1100" b="0" i="1">
                                <a:solidFill>
                                  <a:schemeClr val="lt1"/>
                                </a:solidFill>
                                <a:latin typeface="Cambria Math" panose="02040503050406030204" pitchFamily="18" charset="0"/>
                                <a:ea typeface="+mn-ea"/>
                                <a:cs typeface="+mn-cs"/>
                              </a:rPr>
                            </m:ctrlPr>
                          </m:groupChrPr>
                          <m:e>
                            <m:r>
                              <m:rPr>
                                <m:nor/>
                              </m:rPr>
                              <a:rPr lang="en-US" sz="1100" b="0" i="1">
                                <a:solidFill>
                                  <a:schemeClr val="lt1"/>
                                </a:solidFill>
                                <a:latin typeface="+mn-lt"/>
                                <a:ea typeface="+mn-ea"/>
                                <a:cs typeface="+mn-cs"/>
                              </a:rPr>
                              <m:t>SiteFixed</m:t>
                            </m:r>
                          </m:e>
                        </m:groupChr>
                      </m:e>
                      <m:lim>
                        <m:r>
                          <m:rPr>
                            <m:nor/>
                          </m:rPr>
                          <a:rPr lang="en-US" sz="1100" b="0" i="1">
                            <a:solidFill>
                              <a:schemeClr val="lt1"/>
                            </a:solidFill>
                            <a:latin typeface="+mn-lt"/>
                            <a:ea typeface="+mn-ea"/>
                            <a:cs typeface="+mn-cs"/>
                          </a:rPr>
                          <m:t>Echo</m:t>
                        </m:r>
                        <m:r>
                          <m:rPr>
                            <m:nor/>
                          </m:rPr>
                          <a:rPr lang="en-US" sz="1100" b="0" i="1">
                            <a:solidFill>
                              <a:schemeClr val="lt1"/>
                            </a:solidFill>
                            <a:latin typeface="+mn-lt"/>
                            <a:ea typeface="+mn-ea"/>
                            <a:cs typeface="+mn-cs"/>
                          </a:rPr>
                          <m:t>+</m:t>
                        </m:r>
                        <m:r>
                          <m:rPr>
                            <m:nor/>
                          </m:rPr>
                          <a:rPr lang="en-US" sz="1100" b="0" i="1">
                            <a:solidFill>
                              <a:schemeClr val="lt1"/>
                            </a:solidFill>
                            <a:latin typeface="+mn-lt"/>
                            <a:ea typeface="+mn-ea"/>
                            <a:cs typeface="+mn-cs"/>
                          </a:rPr>
                          <m:t>Pima</m:t>
                        </m:r>
                      </m:lim>
                    </m:limLow>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oMath>
                </m:oMathPara>
              </a14:m>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chemeClr val="lt1"/>
                            </a:solidFill>
                            <a:latin typeface="Cambria Math" panose="02040503050406030204" pitchFamily="18" charset="0"/>
                            <a:ea typeface="+mn-ea"/>
                            <a:cs typeface="+mn-cs"/>
                          </a:rPr>
                        </m:ctrlPr>
                      </m:sSupPr>
                      <m:e>
                        <m:r>
                          <m:rPr>
                            <m:nor/>
                          </m:rPr>
                          <a:rPr lang="en-US" b="0"/>
                          <m:t>SiteFixed</m:t>
                        </m:r>
                      </m:e>
                      <m:sup>
                        <m:r>
                          <a:rPr lang="ar-AE" sz="1100" b="0" i="0">
                            <a:solidFill>
                              <a:schemeClr val="lt1"/>
                            </a:solidFill>
                            <a:latin typeface="Cambria Math" panose="02040503050406030204" pitchFamily="18" charset="0"/>
                            <a:ea typeface="+mn-ea"/>
                            <a:cs typeface="+mn-cs"/>
                          </a:rPr>
                          <m:t>⋆</m:t>
                        </m:r>
                      </m:sup>
                    </m:sSup>
                    <m:r>
                      <m:rPr>
                        <m:nor/>
                      </m:rPr>
                      <a:rPr lang="ar-AE" sz="1100" b="0" i="1">
                        <a:solidFill>
                          <a:schemeClr val="lt1"/>
                        </a:solidFill>
                        <a:latin typeface="+mn-lt"/>
                        <a:ea typeface="+mn-ea"/>
                        <a:cs typeface="+mn-cs"/>
                      </a:rPr>
                      <m:t>  </m:t>
                    </m:r>
                    <m:r>
                      <a:rPr lang="ar-AE" sz="1100" b="0" i="0">
                        <a:solidFill>
                          <a:schemeClr val="lt1"/>
                        </a:solidFill>
                        <a:latin typeface="Cambria Math" panose="02040503050406030204" pitchFamily="18" charset="0"/>
                        <a:ea typeface="+mn-ea"/>
                        <a:cs typeface="+mn-cs"/>
                      </a:rPr>
                      <m:t>=</m:t>
                    </m:r>
                    <m:r>
                      <m:rPr>
                        <m:nor/>
                      </m:rPr>
                      <a:rPr lang="ar-AE" sz="1100" b="0" i="1">
                        <a:solidFill>
                          <a:schemeClr val="lt1"/>
                        </a:solidFill>
                        <a:latin typeface="+mn-lt"/>
                        <a:ea typeface="+mn-ea"/>
                        <a:cs typeface="+mn-cs"/>
                      </a:rPr>
                      <m:t>  </m:t>
                    </m:r>
                    <m:f>
                      <m:fPr>
                        <m:ctrlPr>
                          <a:rPr lang="ar-AE" sz="1100" b="0" i="1">
                            <a:solidFill>
                              <a:schemeClr val="lt1"/>
                            </a:solidFill>
                            <a:latin typeface="Cambria Math" panose="02040503050406030204" pitchFamily="18" charset="0"/>
                            <a:ea typeface="+mn-ea"/>
                            <a:cs typeface="+mn-cs"/>
                          </a:rPr>
                        </m:ctrlPr>
                      </m:fPr>
                      <m:num>
                        <m:r>
                          <m:rPr>
                            <m:sty m:val="p"/>
                          </m:rPr>
                          <a:rPr lang="el-GR" sz="1100" b="0" i="0">
                            <a:solidFill>
                              <a:schemeClr val="lt1"/>
                            </a:solidFill>
                            <a:latin typeface="Cambria Math" panose="02040503050406030204" pitchFamily="18" charset="0"/>
                            <a:ea typeface="+mn-ea"/>
                            <a:cs typeface="+mn-cs"/>
                          </a:rPr>
                          <m:t>Δ</m:t>
                        </m:r>
                        <m:sSub>
                          <m:sSubPr>
                            <m:ctrlPr>
                              <a:rPr lang="ar-AE" sz="1100" b="0" i="1">
                                <a:solidFill>
                                  <a:schemeClr val="lt1"/>
                                </a:solidFill>
                                <a:latin typeface="Cambria Math" panose="02040503050406030204" pitchFamily="18" charset="0"/>
                                <a:ea typeface="+mn-ea"/>
                                <a:cs typeface="+mn-cs"/>
                              </a:rPr>
                            </m:ctrlPr>
                          </m:sSubPr>
                          <m:e>
                            <m:r>
                              <m:rPr>
                                <m:nor/>
                              </m:rPr>
                              <a:rPr lang="en-US" sz="1100" b="0" i="1">
                                <a:solidFill>
                                  <a:schemeClr val="lt1"/>
                                </a:solidFill>
                                <a:latin typeface="+mn-lt"/>
                                <a:ea typeface="+mn-ea"/>
                                <a:cs typeface="+mn-cs"/>
                              </a:rPr>
                              <m:t>Net</m:t>
                            </m:r>
                          </m:e>
                          <m:sub>
                            <m:r>
                              <m:rPr>
                                <m:nor/>
                              </m:rPr>
                              <a:rPr lang="en-US" sz="1100" b="0" i="1">
                                <a:solidFill>
                                  <a:schemeClr val="lt1"/>
                                </a:solidFill>
                                <a:latin typeface="+mn-lt"/>
                                <a:ea typeface="+mn-ea"/>
                                <a:cs typeface="+mn-cs"/>
                              </a:rPr>
                              <m:t>target</m:t>
                            </m:r>
                          </m:sub>
                        </m:sSub>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num>
                      <m:den>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den>
                    </m:f>
                  </m:oMath>
                </m:oMathPara>
              </a14:m>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Choice>
      <mc:Fallback>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r>
                <a:rPr lang="el-GR" sz="1100" i="0">
                  <a:solidFill>
                    <a:schemeClr val="lt1"/>
                  </a:solidFill>
                  <a:latin typeface="Cambria Math" panose="02040503050406030204" pitchFamily="18" charset="0"/>
                  <a:ea typeface="+mn-ea"/>
                  <a:cs typeface="+mn-cs"/>
                </a:rPr>
                <a:t>Δ</a:t>
              </a:r>
              <a:r>
                <a:rPr lang="en-US" sz="1100" b="0" i="0">
                  <a:solidFill>
                    <a:schemeClr val="lt1"/>
                  </a:solidFill>
                  <a:latin typeface="Cambria Math" panose="02040503050406030204" pitchFamily="18" charset="0"/>
                  <a:ea typeface="+mn-ea"/>
                  <a:cs typeface="+mn-cs"/>
                </a:rPr>
                <a:t>"Net"≈</a:t>
              </a:r>
              <a:r>
                <a:rPr lang="ar-AE" sz="1100" b="0" i="0">
                  <a:solidFill>
                    <a:schemeClr val="lt1"/>
                  </a:solidFill>
                  <a:latin typeface="Cambria Math" panose="02040503050406030204" pitchFamily="18" charset="0"/>
                  <a:ea typeface="+mn-ea"/>
                  <a:cs typeface="+mn-cs"/>
                </a:rPr>
                <a:t>(1−𝑓_𝑡 )" "  ⏟(</a:t>
              </a:r>
              <a:r>
                <a:rPr lang="en-US" sz="1100" b="0" i="0">
                  <a:solidFill>
                    <a:schemeClr val="lt1"/>
                  </a:solidFill>
                  <a:latin typeface="+mn-lt"/>
                  <a:ea typeface="+mn-ea"/>
                  <a:cs typeface="+mn-cs"/>
                </a:rPr>
                <a:t>"SiteFixed</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"Echo+Pima</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 " 𝐷" " 𝑚_𝑡−𝑟" " 𝐷" " ℎ_𝑡</a:t>
              </a:r>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Cambria Math" panose="02040503050406030204" pitchFamily="18" charset="0"/>
                  <a:ea typeface="+mn-ea"/>
                  <a:cs typeface="+mn-cs"/>
                </a:rPr>
                <a:t>"</a:t>
              </a:r>
              <a:r>
                <a:rPr lang="en-US" b="0" i="0"/>
                <a:t>SiteFixed</a:t>
              </a:r>
              <a:r>
                <a:rPr lang="en-US" b="0" i="0">
                  <a:latin typeface="Cambria Math" panose="02040503050406030204" pitchFamily="18" charset="0"/>
                </a:rPr>
                <a:t>" </a:t>
              </a:r>
              <a:r>
                <a:rPr lang="ar-AE" sz="1100" b="0" i="0">
                  <a:solidFill>
                    <a:schemeClr val="lt1"/>
                  </a:solidFill>
                  <a:latin typeface="Cambria Math" panose="02040503050406030204" pitchFamily="18" charset="0"/>
                  <a:ea typeface="+mn-ea"/>
                  <a:cs typeface="+mn-cs"/>
                </a:rPr>
                <a:t>〗^⋆</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"  "="  " </a:t>
              </a:r>
              <a:r>
                <a:rPr lang="el-GR"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l-GR" sz="1100" b="0" i="0">
                  <a:solidFill>
                    <a:schemeClr val="lt1"/>
                  </a:solidFill>
                  <a:latin typeface="Cambria Math" panose="02040503050406030204" pitchFamily="18" charset="0"/>
                  <a:ea typeface="+mn-ea"/>
                  <a:cs typeface="+mn-cs"/>
                </a:rPr>
                <a:t>Δ</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"Net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〗_</a:t>
              </a:r>
              <a:r>
                <a:rPr lang="en-US" sz="1100" b="0" i="0">
                  <a:solidFill>
                    <a:schemeClr val="lt1"/>
                  </a:solidFill>
                  <a:latin typeface="+mn-lt"/>
                  <a:ea typeface="+mn-ea"/>
                  <a:cs typeface="+mn-cs"/>
                </a:rPr>
                <a:t>"target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𝑚_𝑡+𝑟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ℎ_𝑡)/(1−𝑓_𝑡 )</a:t>
              </a:r>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328706</xdr:colOff>
      <xdr:row>4</xdr:row>
      <xdr:rowOff>112059</xdr:rowOff>
    </xdr:from>
    <xdr:to>
      <xdr:col>12</xdr:col>
      <xdr:colOff>82176</xdr:colOff>
      <xdr:row>10</xdr:row>
      <xdr:rowOff>52294</xdr:rowOff>
    </xdr:to>
    <xdr:sp macro="" textlink="">
      <xdr:nvSpPr>
        <xdr:cNvPr id="2" name="Rectangle 1">
          <a:extLst>
            <a:ext uri="{FF2B5EF4-FFF2-40B4-BE49-F238E27FC236}">
              <a16:creationId xmlns:a16="http://schemas.microsoft.com/office/drawing/2014/main" id="{E3CEB594-33BF-D859-54F3-1E672138C737}"/>
            </a:ext>
          </a:extLst>
        </xdr:cNvPr>
        <xdr:cNvSpPr/>
      </xdr:nvSpPr>
      <xdr:spPr>
        <a:xfrm>
          <a:off x="5998882" y="859118"/>
          <a:ext cx="3429000" cy="10608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-does this ops savings 0.007 make sense?  is it</a:t>
          </a:r>
          <a:r>
            <a:rPr lang="en-US" sz="1100" baseline="0"/>
            <a:t> useful?  and is it applied appropriately in the model if so?</a:t>
          </a:r>
        </a:p>
        <a:p>
          <a:pPr algn="l"/>
          <a:r>
            <a:rPr lang="en-US" sz="1100" baseline="0"/>
            <a:t>how about co-location extra savings?</a:t>
          </a:r>
        </a:p>
        <a:p>
          <a:pPr algn="l"/>
          <a:r>
            <a:rPr lang="en-US" sz="1100" baseline="0"/>
            <a:t>(should co-location be emphasized more?  need to really reconcile and think through the key scenarios to present)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95"/>
      <c r="C3" s="95"/>
      <c r="D3" s="95"/>
      <c r="E3" s="95"/>
      <c r="F3" s="95"/>
      <c r="G3" s="95"/>
      <c r="H3" s="95"/>
      <c r="I3" s="95"/>
      <c r="J3" s="95"/>
      <c r="K3" s="95"/>
      <c r="L3" s="95"/>
      <c r="M3" s="95"/>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95"/>
      <c r="C6" s="95"/>
      <c r="D6" s="95"/>
      <c r="E6" s="95"/>
      <c r="F6" s="95"/>
      <c r="G6" s="95"/>
      <c r="H6" s="95"/>
      <c r="I6" s="95"/>
      <c r="J6" s="95"/>
      <c r="K6" s="95"/>
      <c r="L6" s="95"/>
      <c r="M6" s="95"/>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95"/>
      <c r="C9" s="95"/>
      <c r="D9" s="95"/>
      <c r="E9" s="95"/>
      <c r="F9" s="95"/>
      <c r="G9" s="95"/>
      <c r="H9" s="95"/>
      <c r="I9" s="95"/>
      <c r="J9" s="95"/>
      <c r="K9" s="95"/>
      <c r="L9" s="95"/>
      <c r="M9" s="95"/>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95"/>
      <c r="C12" s="95"/>
      <c r="D12" s="95"/>
      <c r="E12" s="95"/>
      <c r="F12" s="95"/>
      <c r="G12" s="95"/>
      <c r="H12" s="95"/>
      <c r="I12" s="95"/>
      <c r="J12" s="95"/>
      <c r="K12" s="95"/>
      <c r="L12" s="95"/>
      <c r="M12" s="95"/>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95"/>
      <c r="C14" s="95"/>
      <c r="D14" s="95"/>
      <c r="E14" s="95"/>
      <c r="F14" s="95"/>
      <c r="G14" s="95"/>
      <c r="H14" s="95"/>
      <c r="I14" s="95"/>
      <c r="J14" s="95"/>
      <c r="K14" s="95"/>
      <c r="L14" s="95"/>
      <c r="M14" s="95"/>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95"/>
      <c r="C17" s="95"/>
      <c r="D17" s="95"/>
      <c r="E17" s="95"/>
      <c r="F17" s="95"/>
      <c r="G17" s="95"/>
      <c r="H17" s="95"/>
      <c r="I17" s="95"/>
      <c r="J17" s="95"/>
      <c r="K17" s="95"/>
      <c r="L17" s="95"/>
      <c r="M17" s="95"/>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95"/>
      <c r="C20" s="95"/>
      <c r="D20" s="95"/>
      <c r="E20" s="95"/>
      <c r="F20" s="95"/>
      <c r="G20" s="95"/>
      <c r="H20" s="95"/>
      <c r="I20" s="95"/>
      <c r="J20" s="95"/>
      <c r="K20" s="95"/>
      <c r="L20" s="95"/>
      <c r="M20" s="95"/>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A1:I97"/>
  <sheetViews>
    <sheetView tabSelected="1" zoomScale="80" zoomScaleNormal="80" workbookViewId="0">
      <pane ySplit="2" topLeftCell="A17" activePane="bottomLeft" state="frozen"/>
      <selection activeCell="B1" sqref="B1"/>
      <selection pane="bottomLeft" activeCell="C30" sqref="C30"/>
    </sheetView>
  </sheetViews>
  <sheetFormatPr defaultRowHeight="12.5" outlineLevelRow="1"/>
  <cols>
    <col min="1" max="1" width="4.26953125" style="87" customWidth="1"/>
    <col min="2" max="2" width="49.4531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outlineLevel="1">
      <c r="B3" s="122" t="s">
        <v>769</v>
      </c>
      <c r="C3" s="88">
        <f>Parameters_Public!$C$10</f>
        <v>257</v>
      </c>
      <c r="D3" s="88">
        <f>Parameters_Public!$C$10</f>
        <v>257</v>
      </c>
      <c r="E3" s="88">
        <f>Parameters_Public!$C$10</f>
        <v>257</v>
      </c>
      <c r="F3" s="88">
        <f>Parameters_Public!$C$10</f>
        <v>257</v>
      </c>
      <c r="G3" s="88">
        <f>Parameters_Public!$C$10</f>
        <v>257</v>
      </c>
      <c r="H3" s="88" t="s">
        <v>728</v>
      </c>
    </row>
    <row r="4" spans="2:8" outlineLevel="1">
      <c r="B4" s="87" t="s">
        <v>770</v>
      </c>
      <c r="C4" s="88">
        <f>Parameters_Public!$C$11</f>
        <v>296</v>
      </c>
      <c r="D4" s="88">
        <f>Parameters_Public!$C$11</f>
        <v>296</v>
      </c>
      <c r="E4" s="88">
        <f>Parameters_Public!$C$11</f>
        <v>296</v>
      </c>
      <c r="F4" s="88">
        <f>Parameters_Public!$C$11</f>
        <v>296</v>
      </c>
      <c r="G4" s="88">
        <f>Parameters_Public!$C$11</f>
        <v>296</v>
      </c>
      <c r="H4" s="88"/>
    </row>
    <row r="5" spans="2:8" outlineLevel="1">
      <c r="B5" s="87" t="s">
        <v>774</v>
      </c>
      <c r="C5" s="88">
        <v>0</v>
      </c>
      <c r="D5" s="117">
        <f>MultiYear_ProForma!$AB$17</f>
        <v>50</v>
      </c>
      <c r="E5" s="88">
        <v>0</v>
      </c>
      <c r="F5" s="117">
        <f>MultiYear_ProForma!$AB$42</f>
        <v>12.333333333333314</v>
      </c>
      <c r="G5" s="117">
        <f>MultiYear_ProForma!$AB$52</f>
        <v>17</v>
      </c>
      <c r="H5" s="88"/>
    </row>
    <row r="6" spans="2:8" outlineLevel="1">
      <c r="B6" s="123" t="s">
        <v>748</v>
      </c>
      <c r="C6" s="88">
        <f>Parameters_Public!$C$23</f>
        <v>0.6</v>
      </c>
      <c r="D6" s="88" t="str">
        <f>"N/A"</f>
        <v>N/A</v>
      </c>
      <c r="E6" s="88" t="str">
        <f>"N/A"</f>
        <v>N/A</v>
      </c>
      <c r="F6" s="88">
        <f>Parameters_Public!$C$23</f>
        <v>0.6</v>
      </c>
      <c r="G6" s="88" t="str">
        <f>"N/A"</f>
        <v>N/A</v>
      </c>
      <c r="H6" s="88" t="s">
        <v>727</v>
      </c>
    </row>
    <row r="7" spans="2:8" outlineLevel="1">
      <c r="B7" s="122" t="s">
        <v>749</v>
      </c>
      <c r="C7" s="88">
        <f>Parameters_Public!$C$24</f>
        <v>0.85</v>
      </c>
      <c r="D7" s="88" t="str">
        <f t="shared" ref="D7:E27" si="0">"N/A"</f>
        <v>N/A</v>
      </c>
      <c r="E7" s="88" t="str">
        <f t="shared" si="0"/>
        <v>N/A</v>
      </c>
      <c r="F7" s="88" t="s">
        <v>702</v>
      </c>
      <c r="G7" s="88">
        <f>Parameters_Public!$C$24</f>
        <v>0.85</v>
      </c>
      <c r="H7" s="88" t="s">
        <v>703</v>
      </c>
    </row>
    <row r="8" spans="2:8" outlineLevel="1">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outlineLevel="1">
      <c r="B9" s="87" t="s">
        <v>767</v>
      </c>
      <c r="C9" s="117">
        <f>C8+C5</f>
        <v>405.79999999999995</v>
      </c>
      <c r="D9" s="88">
        <f>D5+D4+D3</f>
        <v>603</v>
      </c>
      <c r="E9" s="88">
        <f>E4+E3+E5</f>
        <v>553</v>
      </c>
      <c r="F9" s="117">
        <f>F4+F8+F5</f>
        <v>462.5333333333333</v>
      </c>
      <c r="G9" s="117">
        <f>G8+G3+G5</f>
        <v>525.6</v>
      </c>
      <c r="H9" s="88"/>
    </row>
    <row r="10" spans="2:8" outlineLevel="1">
      <c r="B10" s="87" t="s">
        <v>802</v>
      </c>
      <c r="C10" s="118">
        <f>MultiYear_ProForma!$AD$32/Dashboard!C9</f>
        <v>10964.949999999999</v>
      </c>
      <c r="D10" s="118">
        <f>MultiYear_ProForma!$AD$17/Dashboard!D9</f>
        <v>10900.273383084577</v>
      </c>
      <c r="E10" s="118">
        <f>MultiYear_ProForma!$AD$62/Dashboard!E9</f>
        <v>10964.949999999999</v>
      </c>
      <c r="F10" s="118">
        <f>MultiYear_ProForma!$AD$42/Dashboard!F9</f>
        <v>10944.151498991065</v>
      </c>
      <c r="G10" s="118">
        <f>MultiYear_ProForma!$AD$52/Dashboard!G9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outlineLevel="1">
      <c r="B12" s="87" t="s">
        <v>777</v>
      </c>
      <c r="C12" s="118">
        <f>Parameters_Public!$C$14</f>
        <v>11589</v>
      </c>
      <c r="D12" s="118">
        <f>Parameters_Public!$C$14</f>
        <v>11589</v>
      </c>
      <c r="E12" s="118">
        <f>Parameters_Public!$C$14</f>
        <v>11589</v>
      </c>
      <c r="F12" s="118">
        <f>Parameters_Public!$C$14</f>
        <v>11589</v>
      </c>
      <c r="G12" s="118">
        <f>Parameters_Public!$C$14</f>
        <v>11589</v>
      </c>
      <c r="H12" s="88"/>
    </row>
    <row r="13" spans="2:8" outlineLevel="1">
      <c r="B13" s="87" t="s">
        <v>783</v>
      </c>
      <c r="C13" s="118">
        <f>BaselineCalc!$B$18*(1-BaselineCalc!$B$5)</f>
        <v>8344.5397929927658</v>
      </c>
      <c r="D13" s="118">
        <f>BaselineCalc!$B$18*(1-BaselineCalc!$B$5)</f>
        <v>8344.5397929927658</v>
      </c>
      <c r="E13" s="118">
        <f>BaselineCalc!$B$18*(1-BaselineCalc!$B$5)</f>
        <v>8344.5397929927658</v>
      </c>
      <c r="F13" s="118">
        <f>BaselineCalc!$B$18*(1-BaselineCalc!$B$5)</f>
        <v>8344.5397929927658</v>
      </c>
      <c r="G13" s="118">
        <f>BaselineCalc!$B$18*(1-BaselineCalc!$B$5)</f>
        <v>8344.5397929927658</v>
      </c>
    </row>
    <row r="14" spans="2:8" outlineLevel="1">
      <c r="B14" s="87" t="s">
        <v>776</v>
      </c>
      <c r="C14" s="116">
        <f>MAX(C9 - C5, 0)</f>
        <v>405.79999999999995</v>
      </c>
      <c r="D14" s="116">
        <f>MAX(D9 - D5, 0)</f>
        <v>553</v>
      </c>
      <c r="E14" s="116">
        <f>MAX(E9 - E5, 0)</f>
        <v>553</v>
      </c>
      <c r="F14" s="116">
        <f>MAX(F9 - F5, 0)</f>
        <v>450.2</v>
      </c>
      <c r="G14" s="116">
        <f>MAX(G9 - G5, 0)</f>
        <v>508.6</v>
      </c>
    </row>
    <row r="15" spans="2:8">
      <c r="B15" s="87" t="s">
        <v>786</v>
      </c>
      <c r="C15" s="118">
        <f>C14*C13</f>
        <v>3386214.2479964639</v>
      </c>
      <c r="D15" s="118">
        <f>D14*D13</f>
        <v>4614530.5055249995</v>
      </c>
      <c r="E15" s="118">
        <f>E14*E13</f>
        <v>4614530.5055249995</v>
      </c>
      <c r="F15" s="118">
        <f>F14*F13</f>
        <v>3756711.8148053433</v>
      </c>
      <c r="G15" s="118">
        <f>G14*G13</f>
        <v>4244032.938716121</v>
      </c>
    </row>
    <row r="16" spans="2:8" outlineLevel="1">
      <c r="B16" s="87" t="s">
        <v>784</v>
      </c>
      <c r="C16" s="117">
        <f>C5</f>
        <v>0</v>
      </c>
      <c r="D16" s="117">
        <f t="shared" ref="D16:G16" si="2">D5</f>
        <v>50</v>
      </c>
      <c r="E16" s="117">
        <f t="shared" si="2"/>
        <v>0</v>
      </c>
      <c r="F16" s="117">
        <f t="shared" si="2"/>
        <v>12.333333333333314</v>
      </c>
      <c r="G16" s="117">
        <f t="shared" si="2"/>
        <v>17</v>
      </c>
    </row>
    <row r="17" spans="1:9" ht="37.5" outlineLevel="1">
      <c r="B17" s="123" t="s">
        <v>785</v>
      </c>
      <c r="C17" s="85">
        <f>Parameters_Public!$C$43</f>
        <v>0.6</v>
      </c>
      <c r="D17" s="85">
        <f>Parameters_Public!$C$43</f>
        <v>0.6</v>
      </c>
      <c r="E17" s="85">
        <f>Parameters_Public!$C$43</f>
        <v>0.6</v>
      </c>
      <c r="F17" s="85">
        <f>Parameters_Public!$C$43</f>
        <v>0.6</v>
      </c>
      <c r="G17" s="85">
        <f>Parameters_Public!$C$43</f>
        <v>0.6</v>
      </c>
      <c r="H17" s="88" t="s">
        <v>703</v>
      </c>
    </row>
    <row r="18" spans="1:9" outlineLevel="1">
      <c r="B18" s="87" t="s">
        <v>787</v>
      </c>
      <c r="C18" s="118">
        <f>IFERROR((C13*C17), "N/A")</f>
        <v>5006.7238757956593</v>
      </c>
      <c r="D18" s="118">
        <f t="shared" ref="D18:G18" si="3">IFERROR((D13*D17), "N/A")</f>
        <v>5006.7238757956593</v>
      </c>
      <c r="E18" s="118">
        <f t="shared" si="3"/>
        <v>5006.7238757956593</v>
      </c>
      <c r="F18" s="118">
        <f t="shared" si="3"/>
        <v>5006.7238757956593</v>
      </c>
      <c r="G18" s="118">
        <f t="shared" si="3"/>
        <v>5006.7238757956593</v>
      </c>
    </row>
    <row r="19" spans="1:9" outlineLevel="1">
      <c r="B19" s="87" t="s">
        <v>798</v>
      </c>
      <c r="C19" s="118" t="str">
        <f>"$"&amp;YearMap!$E$2*Parameters_Public!$C$47&amp;"/student"</f>
        <v>$200/student</v>
      </c>
      <c r="D19" s="118" t="str">
        <f>"$"&amp;YearMap!$E$2*Parameters_Public!$C$47&amp;"/student"</f>
        <v>$200/student</v>
      </c>
      <c r="E19" s="118" t="str">
        <f>"$"&amp;YearMap!$E$2*Parameters_Public!$C$47&amp;"/student"</f>
        <v>$200/student</v>
      </c>
      <c r="F19" s="118" t="str">
        <f>"$"&amp;YearMap!$E$2*Parameters_Public!$C$47&amp;"/student"</f>
        <v>$200/student</v>
      </c>
      <c r="G19" s="118" t="str">
        <f>"$"&amp;YearMap!$E$2*Parameters_Public!$C$47&amp;"/student"</f>
        <v>$200/student</v>
      </c>
    </row>
    <row r="20" spans="1:9">
      <c r="B20" s="87" t="s">
        <v>799</v>
      </c>
      <c r="C20" s="118">
        <f>C18+YearMap!$E$2*Parameters_Public!$C$47</f>
        <v>5206.7238757956593</v>
      </c>
      <c r="D20" s="118">
        <f>D18+YearMap!$E$2*Parameters_Public!$C$47</f>
        <v>5206.7238757956593</v>
      </c>
      <c r="E20" s="118">
        <f>E18+YearMap!$E$2*Parameters_Public!$C$47</f>
        <v>5206.7238757956593</v>
      </c>
      <c r="F20" s="118">
        <f>F18+YearMap!$E$2*Parameters_Public!$C$47</f>
        <v>5206.7238757956593</v>
      </c>
      <c r="G20" s="118">
        <f>G18+YearMap!$E$2*Parameters_Public!$C$47</f>
        <v>5206.7238757956593</v>
      </c>
    </row>
    <row r="21" spans="1:9">
      <c r="B21" s="87" t="s">
        <v>788</v>
      </c>
      <c r="C21" s="118" t="str">
        <f>IF(C20*C5=0, "N/A", C20*C5)</f>
        <v>N/A</v>
      </c>
      <c r="D21" s="118">
        <f>IF(D20*D5=0, "N/A", D20*D5)</f>
        <v>260336.19378978296</v>
      </c>
      <c r="E21" s="118" t="str">
        <f t="shared" ref="E21:G21" si="4">IF(E20*E5=0, "N/A", E20*E5)</f>
        <v>N/A</v>
      </c>
      <c r="F21" s="118">
        <f>IF(F20*F5=0, "N/A", F20*F5)</f>
        <v>64216.26113481303</v>
      </c>
      <c r="G21" s="118">
        <f t="shared" si="4"/>
        <v>88514.305888526214</v>
      </c>
    </row>
    <row r="22" spans="1:9" outlineLevel="1">
      <c r="B22" s="87" t="s">
        <v>789</v>
      </c>
      <c r="C22" s="119">
        <f>IF(C21="N/A", 0, C21)+C15</f>
        <v>3386214.2479964639</v>
      </c>
      <c r="D22" s="119">
        <f>IF(D21="N/A", 0, D21)+D15</f>
        <v>4874866.6993147824</v>
      </c>
      <c r="E22" s="119">
        <f t="shared" ref="E22:G22" si="5">IF(E21="N/A", 0, E21)+E15</f>
        <v>4614530.5055249995</v>
      </c>
      <c r="F22" s="119">
        <f>IF(F21="N/A", 0, F21)+F15</f>
        <v>3820928.0759401564</v>
      </c>
      <c r="G22" s="119">
        <f t="shared" si="5"/>
        <v>4332547.2446046472</v>
      </c>
    </row>
    <row r="23" spans="1:9">
      <c r="B23" s="123" t="s">
        <v>762</v>
      </c>
      <c r="C23" s="85" t="str">
        <f>"$"&amp;YearMap!$E$2&amp;"/student"</f>
        <v>$1000/student</v>
      </c>
      <c r="D23" s="88" t="str">
        <f t="shared" si="0"/>
        <v>N/A</v>
      </c>
      <c r="E23" s="88" t="str">
        <f t="shared" si="0"/>
        <v>N/A</v>
      </c>
      <c r="F23" s="85" t="str">
        <f>"$"&amp;YearMap!$E$2&amp;"/student"</f>
        <v>$1000/student</v>
      </c>
      <c r="G23" s="85" t="str">
        <f>"$"&amp;YearMap!$E$2&amp;"/student"</f>
        <v>$1000/student</v>
      </c>
      <c r="H23" s="88" t="s">
        <v>703</v>
      </c>
    </row>
    <row r="24" spans="1:9">
      <c r="B24" s="124" t="s">
        <v>761</v>
      </c>
      <c r="C24" s="118">
        <f>YearMap!$E$2*C8</f>
        <v>405799.99999999994</v>
      </c>
      <c r="D24" s="88" t="str">
        <f t="shared" si="0"/>
        <v>N/A</v>
      </c>
      <c r="E24" s="88" t="str">
        <f t="shared" si="0"/>
        <v>N/A</v>
      </c>
      <c r="F24" s="118">
        <f>YearMap!$E$2*F8</f>
        <v>154200</v>
      </c>
      <c r="G24" s="118">
        <f>YearMap!$E$2*G8</f>
        <v>251600</v>
      </c>
      <c r="H24" s="88"/>
    </row>
    <row r="25" spans="1:9">
      <c r="B25" s="87" t="s">
        <v>781</v>
      </c>
      <c r="C25" s="119">
        <f>C22+IF(C24="N/A", 0, C24)</f>
        <v>3792014.2479964639</v>
      </c>
      <c r="D25" s="119">
        <f>D22+IF(D24="N/A", 0, D24)</f>
        <v>4874866.6993147824</v>
      </c>
      <c r="E25" s="119">
        <f>E22+IF(E24="N/A", 0, E24)</f>
        <v>4614530.5055249995</v>
      </c>
      <c r="F25" s="119">
        <f>F22+IF(F24="N/A", 0, F24)</f>
        <v>3975128.0759401564</v>
      </c>
      <c r="G25" s="119">
        <f>G22+IF(G24="N/A", 0, G24)</f>
        <v>4584147.2446046472</v>
      </c>
    </row>
    <row r="26" spans="1:9" outlineLevel="1">
      <c r="B26" s="87" t="s">
        <v>792</v>
      </c>
      <c r="C26" s="118">
        <f>BaselineCalc!$B$19+BaselineCalc!$B$20</f>
        <v>1921874.9999999998</v>
      </c>
      <c r="D26" s="118">
        <f>BaselineCalc!$B$19+BaselineCalc!$B$20</f>
        <v>1921874.9999999998</v>
      </c>
      <c r="E26" s="118">
        <f>BaselineCalc!$B$19+BaselineCalc!$B$20</f>
        <v>1921874.9999999998</v>
      </c>
      <c r="F26" s="118">
        <f>BaselineCalc!$B$20</f>
        <v>999374.99999999988</v>
      </c>
      <c r="G26" s="118">
        <f>BaselineCalc!$B$19</f>
        <v>922499.99999999988</v>
      </c>
      <c r="H26" s="88" t="s">
        <v>727</v>
      </c>
    </row>
    <row r="27" spans="1:9">
      <c r="B27" s="87" t="s">
        <v>793</v>
      </c>
      <c r="C27" s="85">
        <f>YearMap!$F$2</f>
        <v>0.2</v>
      </c>
      <c r="D27" s="88" t="str">
        <f t="shared" si="0"/>
        <v>N/A</v>
      </c>
      <c r="E27" s="88" t="str">
        <f t="shared" si="0"/>
        <v>N/A</v>
      </c>
      <c r="F27" s="85">
        <f>YearMap!$F$2</f>
        <v>0.2</v>
      </c>
      <c r="G27" s="85">
        <f>YearMap!$F$2</f>
        <v>0.2</v>
      </c>
      <c r="H27" s="88" t="s">
        <v>703</v>
      </c>
    </row>
    <row r="28" spans="1:9">
      <c r="B28" s="87" t="s">
        <v>790</v>
      </c>
      <c r="C28" s="118">
        <f>IFERROR(C26*(C27), C26)</f>
        <v>384375</v>
      </c>
      <c r="D28" s="118">
        <f>IFERROR(D26*(D27), D26)</f>
        <v>1921874.9999999998</v>
      </c>
      <c r="E28" s="118">
        <f>IFERROR(E26*(E27), E26)</f>
        <v>1921874.9999999998</v>
      </c>
      <c r="F28" s="118">
        <f>BaselineCalc!$B$20+IFERROR(BaselineCalc!$B$19*(F27), BaselineCalc!$B$19)</f>
        <v>1183875</v>
      </c>
      <c r="G28" s="118">
        <f>BaselineCalc!$B$19+IFERROR(BaselineCalc!$B$20*(F27), BaselineCalc!$B$20)</f>
        <v>1122375</v>
      </c>
    </row>
    <row r="29" spans="1:9">
      <c r="B29" s="128" t="s">
        <v>791</v>
      </c>
      <c r="C29" s="129">
        <f>C28+C25</f>
        <v>4176389.2479964639</v>
      </c>
      <c r="D29" s="129">
        <f>D28+D25</f>
        <v>6796741.6993147824</v>
      </c>
      <c r="E29" s="129">
        <f>E28+E25</f>
        <v>6536405.5055249995</v>
      </c>
      <c r="F29" s="129">
        <f>F28+F25</f>
        <v>5159003.0759401564</v>
      </c>
      <c r="G29" s="129">
        <f>G28+G25</f>
        <v>5706522.2446046472</v>
      </c>
    </row>
    <row r="30" spans="1:9">
      <c r="B30" s="128" t="s">
        <v>795</v>
      </c>
      <c r="C30" s="130">
        <f>C11-C29</f>
        <v>273187.46200353513</v>
      </c>
      <c r="D30" s="130">
        <f>D11-D29</f>
        <v>-223876.84931478184</v>
      </c>
      <c r="E30" s="130">
        <f>E11-E29</f>
        <v>-472788.15552499983</v>
      </c>
      <c r="F30" s="130">
        <f>F11-F29</f>
        <v>-96968.202606823295</v>
      </c>
      <c r="G30" s="130">
        <f>G11-G29</f>
        <v>40288.739562019706</v>
      </c>
    </row>
    <row r="31" spans="1:9">
      <c r="A31" s="132"/>
      <c r="I31" s="132"/>
    </row>
    <row r="32" spans="1:9">
      <c r="A32" s="132"/>
      <c r="B32" s="132"/>
      <c r="C32" s="132"/>
      <c r="D32" s="132"/>
      <c r="E32" s="132"/>
      <c r="F32" s="132"/>
      <c r="G32" s="132"/>
      <c r="H32" s="132"/>
      <c r="I32" s="132"/>
    </row>
    <row r="33" spans="1:9">
      <c r="A33" s="132"/>
      <c r="B33" s="144" t="s">
        <v>794</v>
      </c>
      <c r="C33" s="145">
        <f>MultiYear_ProForma!$AF$32</f>
        <v>252007.49311030656</v>
      </c>
      <c r="D33" s="145">
        <f>MultiYear_ProForma!$AF$17</f>
        <v>-210423.72431478277</v>
      </c>
      <c r="E33" s="145">
        <f>MultiYear_ProForma!$AF$62</f>
        <v>-459335.03052499983</v>
      </c>
      <c r="F33" s="145">
        <f>MultiYear_ProForma!$AF$42</f>
        <v>-97751.667992075905</v>
      </c>
      <c r="G33" s="145">
        <f>MultiYear_ProForma!$AF$52</f>
        <v>36009.647332676686</v>
      </c>
      <c r="H33" s="146"/>
      <c r="I33" s="132"/>
    </row>
    <row r="34" spans="1:9">
      <c r="A34" s="132"/>
      <c r="B34" s="132"/>
      <c r="C34" s="133"/>
      <c r="D34" s="132"/>
      <c r="E34" s="132"/>
      <c r="F34" s="132"/>
      <c r="G34" s="132"/>
      <c r="H34" s="132"/>
      <c r="I34" s="132"/>
    </row>
    <row r="35" spans="1:9">
      <c r="A35" s="132"/>
      <c r="B35" s="132" t="s">
        <v>800</v>
      </c>
      <c r="C35" s="133">
        <f>C33-C30</f>
        <v>-21179.968893228564</v>
      </c>
      <c r="D35" s="133">
        <f t="shared" ref="D35:G35" si="6">D33-D30</f>
        <v>13453.124999999069</v>
      </c>
      <c r="E35" s="133">
        <f t="shared" si="6"/>
        <v>13453.125</v>
      </c>
      <c r="F35" s="133">
        <f t="shared" si="6"/>
        <v>-783.46538525260985</v>
      </c>
      <c r="G35" s="133">
        <f t="shared" si="6"/>
        <v>-4279.0922293430194</v>
      </c>
      <c r="H35" s="132"/>
      <c r="I35" s="132"/>
    </row>
    <row r="36" spans="1:9">
      <c r="A36" s="132"/>
      <c r="B36" s="132" t="s">
        <v>801</v>
      </c>
      <c r="C36" s="147">
        <f>C35/C33</f>
        <v>-8.404499656666102E-2</v>
      </c>
      <c r="D36" s="147">
        <f t="shared" ref="D36:G36" si="7">D35/D33</f>
        <v>-6.3933499151806211E-2</v>
      </c>
      <c r="E36" s="147">
        <f t="shared" si="7"/>
        <v>-2.9288262610024901E-2</v>
      </c>
      <c r="F36" s="147">
        <f t="shared" si="7"/>
        <v>8.0148543891457712E-3</v>
      </c>
      <c r="G36" s="147">
        <f t="shared" si="7"/>
        <v>-0.11883182831007592</v>
      </c>
      <c r="H36" s="132"/>
      <c r="I36" s="132"/>
    </row>
    <row r="37" spans="1:9">
      <c r="A37" s="132"/>
      <c r="B37" s="132"/>
      <c r="C37" s="133"/>
      <c r="D37" s="133"/>
      <c r="E37" s="133"/>
      <c r="F37" s="133"/>
      <c r="G37" s="133"/>
      <c r="H37" s="132"/>
      <c r="I37" s="132"/>
    </row>
    <row r="38" spans="1:9" ht="13">
      <c r="A38" s="132"/>
      <c r="B38" s="121" t="s">
        <v>796</v>
      </c>
      <c r="C38" s="132"/>
      <c r="D38" s="132"/>
      <c r="E38" s="132"/>
      <c r="F38" s="132"/>
      <c r="G38" s="132"/>
      <c r="H38" s="132"/>
      <c r="I38" s="132"/>
    </row>
    <row r="39" spans="1:9">
      <c r="A39" s="132"/>
      <c r="B39" s="132"/>
      <c r="C39" s="134"/>
      <c r="D39" s="134"/>
      <c r="E39" s="134"/>
      <c r="F39" s="134"/>
      <c r="G39" s="134"/>
      <c r="H39" s="132"/>
      <c r="I39" s="132"/>
    </row>
    <row r="40" spans="1:9" ht="14.5" customHeight="1">
      <c r="A40" s="132"/>
      <c r="B40" s="121" t="s">
        <v>797</v>
      </c>
      <c r="C40" s="134"/>
      <c r="D40" s="132"/>
      <c r="E40" s="132"/>
      <c r="F40" s="132"/>
      <c r="G40" s="132"/>
      <c r="H40" s="132"/>
      <c r="I40" s="132"/>
    </row>
    <row r="41" spans="1:9">
      <c r="A41" s="132"/>
      <c r="B41" s="132"/>
      <c r="C41" s="132"/>
      <c r="D41" s="132"/>
      <c r="E41" s="132"/>
      <c r="F41" s="132"/>
      <c r="G41" s="132"/>
      <c r="H41" s="132"/>
      <c r="I41" s="132"/>
    </row>
    <row r="42" spans="1:9">
      <c r="A42" s="132"/>
      <c r="B42" s="135"/>
      <c r="C42" s="136"/>
      <c r="D42" s="136"/>
      <c r="E42" s="136"/>
      <c r="F42" s="136"/>
      <c r="G42" s="136"/>
      <c r="H42" s="136"/>
      <c r="I42" s="132"/>
    </row>
    <row r="43" spans="1:9" ht="13">
      <c r="A43" s="132"/>
      <c r="B43" s="135"/>
      <c r="C43" s="137"/>
      <c r="D43" s="137"/>
      <c r="E43" s="137"/>
      <c r="F43" s="137"/>
      <c r="G43" s="137"/>
      <c r="H43" s="136"/>
      <c r="I43" s="132"/>
    </row>
    <row r="44" spans="1:9">
      <c r="A44" s="132"/>
      <c r="B44" s="132"/>
      <c r="C44" s="136"/>
      <c r="D44" s="136"/>
      <c r="E44" s="136"/>
      <c r="F44" s="136"/>
      <c r="G44" s="136"/>
      <c r="H44" s="136"/>
      <c r="I44" s="132"/>
    </row>
    <row r="45" spans="1:9">
      <c r="A45" s="132"/>
      <c r="B45" s="132"/>
      <c r="C45" s="136"/>
      <c r="D45" s="136"/>
      <c r="E45" s="136"/>
      <c r="F45" s="136"/>
      <c r="G45" s="136"/>
      <c r="H45" s="136"/>
      <c r="I45" s="132"/>
    </row>
    <row r="46" spans="1:9">
      <c r="A46" s="132"/>
      <c r="B46" s="132"/>
      <c r="C46" s="132"/>
      <c r="D46" s="132"/>
      <c r="E46" s="132"/>
      <c r="F46" s="132"/>
      <c r="G46" s="132"/>
      <c r="H46" s="132"/>
      <c r="I46" s="132"/>
    </row>
    <row r="47" spans="1:9">
      <c r="A47" s="132"/>
      <c r="B47" s="138"/>
      <c r="C47" s="132"/>
      <c r="D47" s="136"/>
      <c r="E47" s="136"/>
      <c r="F47" s="132"/>
      <c r="G47" s="132"/>
      <c r="H47" s="132"/>
      <c r="I47" s="132"/>
    </row>
    <row r="48" spans="1:9">
      <c r="A48" s="132"/>
      <c r="B48" s="132"/>
      <c r="C48" s="139"/>
      <c r="D48" s="136"/>
      <c r="E48" s="136"/>
      <c r="F48" s="139"/>
      <c r="G48" s="139"/>
      <c r="H48" s="132"/>
      <c r="I48" s="132"/>
    </row>
    <row r="49" spans="1:9">
      <c r="A49" s="132"/>
      <c r="B49" s="132"/>
      <c r="C49" s="132"/>
      <c r="D49" s="132"/>
      <c r="E49" s="132"/>
      <c r="F49" s="132"/>
      <c r="G49" s="132"/>
      <c r="H49" s="132"/>
      <c r="I49" s="132"/>
    </row>
    <row r="50" spans="1:9">
      <c r="A50" s="132"/>
      <c r="B50" s="138"/>
      <c r="C50" s="140"/>
      <c r="D50" s="136"/>
      <c r="E50" s="136"/>
      <c r="F50" s="140"/>
      <c r="G50" s="140"/>
      <c r="H50" s="136"/>
      <c r="I50" s="132"/>
    </row>
    <row r="51" spans="1:9">
      <c r="A51" s="132"/>
      <c r="B51" s="132"/>
      <c r="C51" s="139"/>
      <c r="D51" s="136"/>
      <c r="E51" s="136"/>
      <c r="F51" s="139"/>
      <c r="G51" s="139"/>
      <c r="H51" s="132"/>
      <c r="I51" s="132"/>
    </row>
    <row r="52" spans="1:9">
      <c r="A52" s="132"/>
      <c r="B52" s="132"/>
      <c r="C52" s="132"/>
      <c r="D52" s="132"/>
      <c r="E52" s="132"/>
      <c r="F52" s="132"/>
      <c r="G52" s="132"/>
      <c r="H52" s="132"/>
      <c r="I52" s="132"/>
    </row>
    <row r="53" spans="1:9">
      <c r="A53" s="132"/>
      <c r="B53" s="138"/>
      <c r="C53" s="136"/>
      <c r="D53" s="140"/>
      <c r="E53" s="140"/>
      <c r="F53" s="136"/>
      <c r="G53" s="136"/>
      <c r="H53" s="136"/>
      <c r="I53" s="132"/>
    </row>
    <row r="54" spans="1:9">
      <c r="A54" s="132"/>
      <c r="B54" s="132"/>
      <c r="C54" s="132"/>
      <c r="D54" s="132"/>
      <c r="E54" s="132"/>
      <c r="F54" s="132"/>
      <c r="G54" s="132"/>
      <c r="H54" s="132"/>
      <c r="I54" s="132"/>
    </row>
    <row r="55" spans="1:9">
      <c r="A55" s="132"/>
      <c r="B55" s="132"/>
      <c r="C55" s="139"/>
      <c r="D55" s="132"/>
      <c r="E55" s="132"/>
      <c r="F55" s="132"/>
      <c r="G55" s="132"/>
      <c r="H55" s="132"/>
      <c r="I55" s="132"/>
    </row>
    <row r="56" spans="1:9">
      <c r="A56" s="132"/>
      <c r="B56" s="138"/>
      <c r="C56" s="139"/>
      <c r="D56" s="136"/>
      <c r="E56" s="136"/>
      <c r="F56" s="136"/>
      <c r="G56" s="136"/>
      <c r="H56" s="136"/>
      <c r="I56" s="132"/>
    </row>
    <row r="57" spans="1:9">
      <c r="A57" s="132"/>
      <c r="B57" s="132"/>
      <c r="C57" s="132"/>
      <c r="D57" s="132"/>
      <c r="E57" s="132"/>
      <c r="F57" s="132"/>
      <c r="G57" s="132"/>
      <c r="H57" s="132"/>
      <c r="I57" s="132"/>
    </row>
    <row r="58" spans="1:9">
      <c r="A58" s="132"/>
      <c r="B58" s="132"/>
      <c r="C58" s="132"/>
      <c r="D58" s="132"/>
      <c r="E58" s="132"/>
      <c r="F58" s="132"/>
      <c r="G58" s="132"/>
      <c r="H58" s="132"/>
      <c r="I58" s="132"/>
    </row>
    <row r="59" spans="1:9">
      <c r="A59" s="132"/>
      <c r="B59" s="132"/>
      <c r="C59" s="132"/>
      <c r="D59" s="132"/>
      <c r="E59" s="132"/>
      <c r="F59" s="132"/>
      <c r="G59" s="132"/>
      <c r="H59" s="132"/>
      <c r="I59" s="132"/>
    </row>
    <row r="60" spans="1:9">
      <c r="A60" s="132"/>
      <c r="B60" s="132"/>
      <c r="C60" s="132"/>
      <c r="D60" s="132"/>
      <c r="E60" s="132"/>
      <c r="F60" s="132"/>
      <c r="G60" s="132"/>
      <c r="H60" s="132"/>
      <c r="I60" s="132"/>
    </row>
    <row r="61" spans="1:9">
      <c r="A61" s="141"/>
      <c r="B61" s="132"/>
      <c r="C61" s="132"/>
      <c r="D61" s="132"/>
      <c r="E61" s="132"/>
      <c r="F61" s="132"/>
      <c r="G61" s="132"/>
      <c r="H61" s="132"/>
      <c r="I61" s="132"/>
    </row>
    <row r="62" spans="1:9">
      <c r="A62" s="141"/>
      <c r="B62" s="132"/>
      <c r="C62" s="132"/>
      <c r="D62" s="132"/>
      <c r="E62" s="132"/>
      <c r="F62" s="132"/>
      <c r="G62" s="132"/>
      <c r="H62" s="132"/>
      <c r="I62" s="132"/>
    </row>
    <row r="63" spans="1:9">
      <c r="A63" s="141"/>
      <c r="B63" s="132"/>
      <c r="C63" s="132"/>
      <c r="D63" s="132"/>
      <c r="E63" s="132"/>
      <c r="F63" s="132"/>
      <c r="G63" s="132"/>
      <c r="H63" s="132"/>
      <c r="I63" s="132"/>
    </row>
    <row r="64" spans="1:9">
      <c r="A64" s="141"/>
      <c r="B64" s="132"/>
      <c r="C64" s="132"/>
      <c r="D64" s="132"/>
      <c r="E64" s="132"/>
      <c r="F64" s="132"/>
      <c r="G64" s="132"/>
      <c r="H64" s="132"/>
      <c r="I64" s="132"/>
    </row>
    <row r="65" spans="1:9">
      <c r="A65" s="141"/>
      <c r="B65" s="132"/>
      <c r="C65" s="132"/>
      <c r="D65" s="132"/>
      <c r="E65" s="132"/>
      <c r="F65" s="132"/>
      <c r="G65" s="132"/>
      <c r="H65" s="132"/>
      <c r="I65" s="132"/>
    </row>
    <row r="66" spans="1:9">
      <c r="A66" s="141"/>
      <c r="B66" s="132"/>
      <c r="C66" s="132"/>
      <c r="D66" s="132"/>
      <c r="E66" s="132"/>
      <c r="F66" s="132"/>
      <c r="G66" s="132"/>
      <c r="H66" s="132"/>
      <c r="I66" s="132"/>
    </row>
    <row r="67" spans="1:9">
      <c r="A67" s="141"/>
      <c r="B67" s="132"/>
      <c r="C67" s="132"/>
      <c r="D67" s="132"/>
      <c r="E67" s="132"/>
      <c r="F67" s="132"/>
      <c r="G67" s="132"/>
      <c r="H67" s="132"/>
      <c r="I67" s="132"/>
    </row>
    <row r="68" spans="1:9">
      <c r="A68" s="141"/>
      <c r="B68" s="132"/>
      <c r="C68" s="132"/>
      <c r="D68" s="132"/>
      <c r="E68" s="132"/>
      <c r="F68" s="132"/>
      <c r="G68" s="132"/>
      <c r="H68" s="132"/>
      <c r="I68" s="132"/>
    </row>
    <row r="69" spans="1:9">
      <c r="A69" s="132"/>
      <c r="B69" s="132"/>
      <c r="C69" s="132"/>
      <c r="D69" s="132"/>
      <c r="E69" s="132"/>
      <c r="F69" s="132"/>
      <c r="G69" s="132"/>
      <c r="H69" s="132"/>
      <c r="I69" s="132"/>
    </row>
    <row r="70" spans="1:9">
      <c r="A70" s="132"/>
      <c r="B70" s="132"/>
      <c r="C70" s="132"/>
      <c r="D70" s="132"/>
      <c r="E70" s="132"/>
      <c r="F70" s="132"/>
      <c r="G70" s="132"/>
      <c r="H70" s="132"/>
      <c r="I70" s="132"/>
    </row>
    <row r="71" spans="1:9">
      <c r="A71" s="132"/>
      <c r="B71" s="132"/>
      <c r="C71" s="132"/>
      <c r="D71" s="132"/>
      <c r="E71" s="132"/>
      <c r="F71" s="132"/>
      <c r="G71" s="132"/>
      <c r="H71" s="132"/>
      <c r="I71" s="132"/>
    </row>
    <row r="72" spans="1:9">
      <c r="A72" s="132"/>
      <c r="B72" s="132"/>
      <c r="C72" s="132"/>
      <c r="D72" s="132"/>
      <c r="E72" s="132"/>
      <c r="F72" s="132"/>
      <c r="G72" s="132"/>
      <c r="H72" s="132"/>
      <c r="I72" s="132"/>
    </row>
    <row r="73" spans="1:9" ht="13">
      <c r="A73" s="132"/>
      <c r="B73" s="132"/>
      <c r="C73" s="142"/>
      <c r="D73" s="142"/>
      <c r="E73" s="142"/>
      <c r="F73" s="142"/>
      <c r="G73" s="142"/>
      <c r="H73" s="142"/>
      <c r="I73" s="132"/>
    </row>
    <row r="74" spans="1:9" ht="13">
      <c r="A74" s="132"/>
      <c r="B74" s="142"/>
      <c r="C74" s="132"/>
      <c r="D74" s="132"/>
      <c r="E74" s="132"/>
      <c r="F74" s="132"/>
      <c r="G74" s="132"/>
      <c r="H74" s="132"/>
      <c r="I74" s="132"/>
    </row>
    <row r="75" spans="1:9" ht="13">
      <c r="A75" s="132"/>
      <c r="B75" s="143"/>
      <c r="C75" s="132"/>
      <c r="D75" s="132"/>
      <c r="E75" s="132"/>
      <c r="F75" s="132"/>
      <c r="G75" s="132"/>
      <c r="H75" s="132"/>
      <c r="I75" s="132"/>
    </row>
    <row r="76" spans="1:9">
      <c r="A76" s="141"/>
      <c r="B76" s="132"/>
      <c r="C76" s="132"/>
      <c r="D76" s="132"/>
      <c r="E76" s="132"/>
      <c r="F76" s="132"/>
      <c r="G76" s="132"/>
      <c r="H76" s="132"/>
      <c r="I76" s="132"/>
    </row>
    <row r="77" spans="1:9">
      <c r="A77" s="141"/>
      <c r="B77" s="132"/>
      <c r="C77" s="132"/>
      <c r="D77" s="132"/>
      <c r="E77" s="132"/>
      <c r="F77" s="132"/>
      <c r="G77" s="132"/>
      <c r="H77" s="132"/>
      <c r="I77" s="132"/>
    </row>
    <row r="78" spans="1:9">
      <c r="A78" s="141"/>
      <c r="B78" s="132"/>
      <c r="C78" s="132"/>
      <c r="D78" s="132"/>
      <c r="E78" s="132"/>
      <c r="F78" s="132"/>
      <c r="G78" s="132"/>
      <c r="H78" s="132"/>
      <c r="I78" s="132"/>
    </row>
    <row r="79" spans="1:9">
      <c r="A79" s="141"/>
      <c r="B79" s="132"/>
      <c r="C79" s="132"/>
      <c r="D79" s="132"/>
      <c r="E79" s="132"/>
      <c r="F79" s="132"/>
      <c r="G79" s="132"/>
      <c r="H79" s="132"/>
      <c r="I79" s="132"/>
    </row>
    <row r="80" spans="1:9">
      <c r="A80" s="141"/>
      <c r="B80" s="132"/>
      <c r="C80" s="132"/>
      <c r="D80" s="132"/>
      <c r="E80" s="132"/>
      <c r="F80" s="132"/>
      <c r="G80" s="132"/>
      <c r="H80" s="132"/>
      <c r="I80" s="132"/>
    </row>
    <row r="81" spans="1:9">
      <c r="A81" s="141"/>
      <c r="B81" s="132"/>
      <c r="C81" s="132"/>
      <c r="D81" s="132"/>
      <c r="E81" s="132"/>
      <c r="F81" s="132"/>
      <c r="G81" s="132"/>
      <c r="H81" s="132"/>
      <c r="I81" s="132"/>
    </row>
    <row r="82" spans="1:9">
      <c r="A82" s="141"/>
      <c r="B82" s="132"/>
      <c r="C82" s="132"/>
      <c r="D82" s="132"/>
      <c r="E82" s="132"/>
      <c r="F82" s="132"/>
      <c r="G82" s="132"/>
      <c r="H82" s="132"/>
      <c r="I82" s="132"/>
    </row>
    <row r="83" spans="1:9">
      <c r="A83" s="141"/>
      <c r="B83" s="132"/>
      <c r="C83" s="132"/>
      <c r="D83" s="132"/>
      <c r="E83" s="132"/>
      <c r="F83" s="132"/>
      <c r="G83" s="132"/>
      <c r="H83" s="132"/>
      <c r="I83" s="132"/>
    </row>
    <row r="84" spans="1:9">
      <c r="A84" s="132"/>
      <c r="B84" s="132"/>
      <c r="C84" s="132"/>
      <c r="D84" s="132"/>
      <c r="E84" s="132"/>
      <c r="F84" s="132"/>
      <c r="G84" s="132"/>
      <c r="H84" s="132"/>
      <c r="I84" s="132"/>
    </row>
    <row r="85" spans="1:9">
      <c r="A85" s="132"/>
      <c r="B85" s="132"/>
      <c r="C85" s="132"/>
      <c r="D85" s="132"/>
      <c r="E85" s="132"/>
      <c r="F85" s="132"/>
      <c r="G85" s="132"/>
      <c r="H85" s="132"/>
      <c r="I85" s="132"/>
    </row>
    <row r="86" spans="1:9">
      <c r="A86" s="132"/>
      <c r="B86" s="132"/>
      <c r="C86" s="132"/>
      <c r="D86" s="132"/>
      <c r="E86" s="132"/>
      <c r="F86" s="132"/>
      <c r="G86" s="132"/>
      <c r="H86" s="132"/>
      <c r="I86" s="132"/>
    </row>
    <row r="87" spans="1:9">
      <c r="A87" s="132"/>
      <c r="B87" s="132"/>
      <c r="C87" s="132"/>
      <c r="D87" s="132"/>
      <c r="E87" s="132"/>
      <c r="F87" s="132"/>
      <c r="G87" s="132"/>
      <c r="H87" s="132"/>
      <c r="I87" s="132"/>
    </row>
    <row r="88" spans="1:9">
      <c r="A88" s="132"/>
      <c r="B88" s="132"/>
      <c r="C88" s="132"/>
      <c r="D88" s="132"/>
      <c r="E88" s="132"/>
      <c r="F88" s="132"/>
      <c r="G88" s="132"/>
      <c r="H88" s="132"/>
      <c r="I88" s="132"/>
    </row>
    <row r="89" spans="1:9">
      <c r="A89" s="132"/>
      <c r="B89" s="132"/>
      <c r="C89" s="132"/>
      <c r="D89" s="132"/>
      <c r="E89" s="132"/>
      <c r="F89" s="132"/>
      <c r="G89" s="132"/>
      <c r="H89" s="132"/>
      <c r="I89" s="132"/>
    </row>
    <row r="90" spans="1:9">
      <c r="A90" s="132"/>
      <c r="B90" s="132"/>
      <c r="C90" s="132"/>
      <c r="D90" s="132"/>
      <c r="E90" s="132"/>
      <c r="F90" s="132"/>
      <c r="G90" s="132"/>
      <c r="H90" s="132"/>
      <c r="I90" s="132"/>
    </row>
    <row r="91" spans="1:9">
      <c r="A91" s="132"/>
      <c r="B91" s="132"/>
      <c r="C91" s="132"/>
      <c r="D91" s="132"/>
      <c r="E91" s="132"/>
      <c r="F91" s="132"/>
      <c r="G91" s="132"/>
      <c r="H91" s="132"/>
      <c r="I91" s="132"/>
    </row>
    <row r="92" spans="1:9">
      <c r="A92" s="132"/>
      <c r="B92" s="132"/>
      <c r="C92" s="132"/>
      <c r="D92" s="132"/>
      <c r="E92" s="132"/>
      <c r="F92" s="132"/>
      <c r="G92" s="132"/>
      <c r="H92" s="132"/>
      <c r="I92" s="132"/>
    </row>
    <row r="93" spans="1:9">
      <c r="A93" s="132"/>
      <c r="B93" s="132"/>
      <c r="C93" s="132"/>
      <c r="D93" s="132"/>
      <c r="E93" s="132"/>
      <c r="F93" s="132"/>
      <c r="G93" s="132"/>
      <c r="H93" s="132"/>
      <c r="I93" s="132"/>
    </row>
    <row r="94" spans="1:9">
      <c r="A94" s="132"/>
      <c r="B94" s="132"/>
      <c r="C94" s="132"/>
      <c r="D94" s="132"/>
      <c r="E94" s="132"/>
      <c r="F94" s="132"/>
      <c r="G94" s="132"/>
      <c r="H94" s="132"/>
      <c r="I94" s="132"/>
    </row>
    <row r="95" spans="1:9">
      <c r="A95" s="132"/>
      <c r="B95" s="132"/>
      <c r="C95" s="132"/>
      <c r="D95" s="132"/>
      <c r="E95" s="132"/>
      <c r="F95" s="132"/>
      <c r="G95" s="132"/>
      <c r="H95" s="132"/>
      <c r="I95" s="132"/>
    </row>
    <row r="96" spans="1:9">
      <c r="A96" s="132"/>
      <c r="B96" s="132"/>
      <c r="C96" s="132"/>
      <c r="D96" s="132"/>
      <c r="E96" s="132"/>
      <c r="F96" s="132"/>
      <c r="G96" s="132"/>
      <c r="H96" s="132"/>
      <c r="I96" s="132"/>
    </row>
    <row r="97" spans="1:9">
      <c r="A97" s="132"/>
      <c r="B97" s="132"/>
      <c r="C97" s="132"/>
      <c r="D97" s="132"/>
      <c r="E97" s="132"/>
      <c r="F97" s="132"/>
      <c r="G97" s="132"/>
      <c r="H97" s="132"/>
      <c r="I97" s="132"/>
    </row>
  </sheetData>
  <mergeCells count="4">
    <mergeCell ref="A76:A79"/>
    <mergeCell ref="A80:A83"/>
    <mergeCell ref="A61:A64"/>
    <mergeCell ref="A65:A68"/>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9"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c r="B3" s="122"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117">
        <f>MultiYear_ProForma!$AB$17</f>
        <v>50</v>
      </c>
      <c r="E5" s="88">
        <v>0</v>
      </c>
      <c r="F5" s="117">
        <f>MultiYear_ProForma!$AB$42</f>
        <v>12.333333333333314</v>
      </c>
      <c r="G5" s="117">
        <f>MultiYear_ProForma!$AB$52</f>
        <v>17</v>
      </c>
      <c r="H5" s="88"/>
    </row>
    <row r="6" spans="2:8">
      <c r="B6" s="123" t="s">
        <v>748</v>
      </c>
      <c r="C6" s="88">
        <f>Parameters_Public!$C$23</f>
        <v>0.6</v>
      </c>
      <c r="D6" s="88" t="str">
        <f>"N/A"</f>
        <v>N/A</v>
      </c>
      <c r="E6" s="88" t="str">
        <f>"N/A"</f>
        <v>N/A</v>
      </c>
      <c r="F6" s="88">
        <f>Parameters_Public!$C$23</f>
        <v>0.6</v>
      </c>
      <c r="G6" s="88" t="str">
        <f>"N/A"</f>
        <v>N/A</v>
      </c>
      <c r="H6" s="88" t="s">
        <v>727</v>
      </c>
    </row>
    <row r="7" spans="2:8">
      <c r="B7" s="122" t="s">
        <v>749</v>
      </c>
      <c r="C7" s="88">
        <f>Parameters_Public!$C$24</f>
        <v>0.85</v>
      </c>
      <c r="D7" s="88" t="str">
        <f t="shared" ref="C7:F50" si="0">"N/A"</f>
        <v>N/A</v>
      </c>
      <c r="E7" s="88" t="str">
        <f t="shared" si="0"/>
        <v>N/A</v>
      </c>
      <c r="F7" s="88" t="s">
        <v>702</v>
      </c>
      <c r="G7" s="88">
        <f>Parameters_Public!$C$24</f>
        <v>0.85</v>
      </c>
      <c r="H7" s="88" t="s">
        <v>703</v>
      </c>
    </row>
    <row r="8" spans="2:8">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c r="B9" s="87" t="s">
        <v>767</v>
      </c>
      <c r="C9" s="117">
        <f>C8+C5</f>
        <v>405.79999999999995</v>
      </c>
      <c r="D9" s="88">
        <f>D5+D4+D3</f>
        <v>603</v>
      </c>
      <c r="E9" s="88">
        <f>E4+E3+E5</f>
        <v>553</v>
      </c>
      <c r="F9" s="117">
        <f>F4+F8+F5</f>
        <v>462.5333333333333</v>
      </c>
      <c r="G9" s="117">
        <f>G8+G3+G5</f>
        <v>525.6</v>
      </c>
      <c r="H9" s="88"/>
    </row>
    <row r="10" spans="2:8">
      <c r="B10" s="87" t="s">
        <v>775</v>
      </c>
      <c r="C10" s="118">
        <f>MultiYear_ProForma!$AD$32/Working_test!C9</f>
        <v>10964.949999999999</v>
      </c>
      <c r="D10" s="118">
        <f>MultiYear_ProForma!$AD$17/Working_test!D9</f>
        <v>10900.273383084577</v>
      </c>
      <c r="E10" s="118">
        <f>MultiYear_ProForma!$AD$62/Working_test!E9</f>
        <v>10964.949999999999</v>
      </c>
      <c r="F10" s="118">
        <f>MultiYear_ProForma!$AD$42/Working_test!F9</f>
        <v>10944.151498991065</v>
      </c>
      <c r="G10" s="118">
        <f>MultiYear_ProForma!$AD$52/Working_test!G9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c r="B12" s="87" t="s">
        <v>777</v>
      </c>
      <c r="C12" s="118">
        <f>Parameters_Public!$C$14</f>
        <v>11589</v>
      </c>
      <c r="D12" s="118">
        <f>Parameters_Public!$C$14</f>
        <v>11589</v>
      </c>
      <c r="E12" s="118">
        <f>Parameters_Public!$C$14</f>
        <v>11589</v>
      </c>
      <c r="F12" s="118">
        <f>Parameters_Public!$C$14</f>
        <v>11589</v>
      </c>
      <c r="G12" s="118">
        <f>Parameters_Public!$C$14</f>
        <v>11589</v>
      </c>
      <c r="H12" s="88"/>
    </row>
    <row r="13" spans="2:8">
      <c r="B13" s="87" t="s">
        <v>783</v>
      </c>
      <c r="C13" s="118">
        <f>BaselineCalc!$B$18</f>
        <v>8403.3633363471963</v>
      </c>
      <c r="D13" s="118">
        <f>BaselineCalc!$B$18</f>
        <v>8403.3633363471963</v>
      </c>
      <c r="E13" s="118">
        <f>BaselineCalc!$B$18</f>
        <v>8403.3633363471963</v>
      </c>
      <c r="F13" s="118">
        <f>BaselineCalc!$B$18</f>
        <v>8403.3633363471963</v>
      </c>
      <c r="G13" s="118">
        <f>BaselineCalc!$B$18</f>
        <v>8403.3633363471963</v>
      </c>
    </row>
    <row r="14" spans="2:8">
      <c r="B14" s="87" t="s">
        <v>776</v>
      </c>
      <c r="C14" s="116">
        <f>C8</f>
        <v>405.79999999999995</v>
      </c>
      <c r="D14" s="87">
        <f>D3+D4</f>
        <v>553</v>
      </c>
      <c r="E14" s="87">
        <f>E9</f>
        <v>553</v>
      </c>
      <c r="F14" s="87">
        <f>F3+F4</f>
        <v>553</v>
      </c>
      <c r="G14" s="87">
        <f>G3+G4</f>
        <v>553</v>
      </c>
    </row>
    <row r="15" spans="2:8">
      <c r="B15" s="87" t="s">
        <v>786</v>
      </c>
      <c r="C15" s="118">
        <f>C14*C13</f>
        <v>3410084.841889692</v>
      </c>
      <c r="D15" s="118">
        <f>D14*D13</f>
        <v>4647059.9249999998</v>
      </c>
      <c r="E15" s="118">
        <f>E14*E13</f>
        <v>4647059.9249999998</v>
      </c>
      <c r="F15" s="118">
        <f>F14*F13</f>
        <v>4647059.9249999998</v>
      </c>
      <c r="G15" s="118">
        <f>G14*G13</f>
        <v>4647059.9249999998</v>
      </c>
    </row>
    <row r="16" spans="2:8">
      <c r="B16" s="87" t="s">
        <v>784</v>
      </c>
      <c r="C16" s="117">
        <f>C5</f>
        <v>0</v>
      </c>
      <c r="D16" s="117">
        <f t="shared" ref="D16:G16" si="2">D5</f>
        <v>50</v>
      </c>
      <c r="E16" s="117">
        <f t="shared" si="2"/>
        <v>0</v>
      </c>
      <c r="F16" s="117">
        <f t="shared" si="2"/>
        <v>12.333333333333314</v>
      </c>
      <c r="G16" s="117">
        <f t="shared" si="2"/>
        <v>17</v>
      </c>
    </row>
    <row r="17" spans="2:8" ht="37.5">
      <c r="B17" s="123"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118">
        <f>IFERROR((C13*C17), "N/A")</f>
        <v>5042.0180018083174</v>
      </c>
      <c r="D18" s="118">
        <f t="shared" ref="D18:G18" si="3">IFERROR((D13*D17), "N/A")</f>
        <v>5042.0180018083174</v>
      </c>
      <c r="E18" s="118">
        <f t="shared" si="3"/>
        <v>5042.0180018083174</v>
      </c>
      <c r="F18" s="118">
        <f t="shared" si="3"/>
        <v>5042.0180018083174</v>
      </c>
      <c r="G18" s="118">
        <f t="shared" si="3"/>
        <v>5042.0180018083174</v>
      </c>
    </row>
    <row r="19" spans="2:8">
      <c r="B19" s="87" t="s">
        <v>788</v>
      </c>
      <c r="C19" s="118" t="str">
        <f>IF(C18*C5=0, "N/A", C18*C5)</f>
        <v>N/A</v>
      </c>
      <c r="D19" s="118">
        <f>IF(D18*D5=0, "N/A", D18*D5)</f>
        <v>252100.90009041587</v>
      </c>
      <c r="E19" s="118" t="str">
        <f>IF(E18*E5=0, "N/A", E18*E5)</f>
        <v>N/A</v>
      </c>
      <c r="F19" s="118">
        <f>IF(F18*F5=0, "N/A", F18*F5)</f>
        <v>62184.888688969149</v>
      </c>
      <c r="G19" s="118">
        <f>IF(G18*G5=0, "N/A", G18*G5)</f>
        <v>85714.306030741398</v>
      </c>
    </row>
    <row r="20" spans="2:8">
      <c r="B20" s="87" t="s">
        <v>789</v>
      </c>
      <c r="C20" s="119">
        <f>IF(C19="N/A", 0, C19)+C15</f>
        <v>3410084.841889692</v>
      </c>
      <c r="D20" s="119">
        <f>IF(D19="N/A", 0, D19)+D15</f>
        <v>4899160.8250904158</v>
      </c>
      <c r="E20" s="119">
        <f>IF(E19="N/A", 0, E19)+E15</f>
        <v>4647059.9249999998</v>
      </c>
      <c r="F20" s="119">
        <f>IF(F19="N/A", 0, F19)+F15</f>
        <v>4709244.8136889692</v>
      </c>
      <c r="G20" s="119">
        <f>IF(G19="N/A", 0, G19)+G15</f>
        <v>4732774.2310307408</v>
      </c>
    </row>
    <row r="21" spans="2:8" ht="25">
      <c r="B21" s="123"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24" t="s">
        <v>761</v>
      </c>
      <c r="C22" s="118">
        <f>YearMap!$E$2*C8</f>
        <v>405799.99999999994</v>
      </c>
      <c r="D22" s="88" t="str">
        <f t="shared" si="0"/>
        <v>N/A</v>
      </c>
      <c r="E22" s="88" t="str">
        <f t="shared" si="0"/>
        <v>N/A</v>
      </c>
      <c r="F22" s="118">
        <f>YearMap!$E$2*F8</f>
        <v>154200</v>
      </c>
      <c r="G22" s="118">
        <f>YearMap!$E$2*G8</f>
        <v>251600</v>
      </c>
      <c r="H22" s="88"/>
    </row>
    <row r="23" spans="2:8">
      <c r="B23" s="87" t="s">
        <v>781</v>
      </c>
      <c r="C23" s="119">
        <f>C20+IF(C22="N/A", 0, C22)</f>
        <v>3815884.841889692</v>
      </c>
      <c r="D23" s="119">
        <f>D20+IF(D22="N/A", 0, D22)</f>
        <v>4899160.8250904158</v>
      </c>
      <c r="E23" s="119">
        <f>E20+IF(E22="N/A", 0, E22)</f>
        <v>4647059.9249999998</v>
      </c>
      <c r="F23" s="119">
        <f>F20+IF(F22="N/A", 0, F22)</f>
        <v>4863444.8136889692</v>
      </c>
      <c r="G23" s="119">
        <f>G20+IF(G22="N/A", 0, G22)</f>
        <v>4984374.2310307408</v>
      </c>
    </row>
    <row r="24" spans="2:8">
      <c r="B24" s="87" t="s">
        <v>792</v>
      </c>
      <c r="C24" s="118">
        <f>Site_Fixed!$D$10+Site_Fixed!$D$17</f>
        <v>1875000</v>
      </c>
      <c r="D24" s="118">
        <f>Site_Fixed!$D$10+Site_Fixed!$D$17</f>
        <v>1875000</v>
      </c>
      <c r="E24" s="118">
        <f>Site_Fixed!$D$10+Site_Fixed!$D$17</f>
        <v>1875000</v>
      </c>
      <c r="F24" s="118">
        <f>Site_Fixed!$D$10</f>
        <v>900000</v>
      </c>
      <c r="G24" s="118">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118">
        <f>IFERROR(C24*(C25), C24)</f>
        <v>375000</v>
      </c>
      <c r="D26" s="118">
        <f>IFERROR(D24*(D25), D24)</f>
        <v>1875000</v>
      </c>
      <c r="E26" s="118">
        <f>IFERROR(E24*(E25), E24)</f>
        <v>1875000</v>
      </c>
      <c r="F26" s="118">
        <f>F24+IFERROR(G24*(F25), G24)</f>
        <v>1095000</v>
      </c>
      <c r="G26" s="118">
        <f>F24+IFERROR(F24*(G25), F24)</f>
        <v>1080000</v>
      </c>
    </row>
    <row r="27" spans="2:8">
      <c r="B27" s="128" t="s">
        <v>791</v>
      </c>
      <c r="C27" s="129">
        <f>C26+C23</f>
        <v>4190884.841889692</v>
      </c>
      <c r="D27" s="129">
        <f>D26+D23</f>
        <v>6774160.8250904158</v>
      </c>
      <c r="E27" s="129">
        <f>E26+E23</f>
        <v>6522059.9249999998</v>
      </c>
      <c r="F27" s="129">
        <f>F26+F23</f>
        <v>5958444.8136889692</v>
      </c>
      <c r="G27" s="129">
        <f>G26+G23</f>
        <v>6064374.2310307408</v>
      </c>
    </row>
    <row r="28" spans="2:8">
      <c r="B28" s="128" t="s">
        <v>760</v>
      </c>
      <c r="C28" s="130">
        <f>C11-C27</f>
        <v>258691.86811030703</v>
      </c>
      <c r="D28" s="131">
        <f>D11-D27</f>
        <v>-201295.97509041522</v>
      </c>
      <c r="E28" s="130">
        <f>E11-E27</f>
        <v>-458442.57500000019</v>
      </c>
      <c r="F28" s="131">
        <f>F11-F27</f>
        <v>-896409.94035563618</v>
      </c>
      <c r="G28" s="131">
        <f>G11-G27</f>
        <v>-317563.24686407391</v>
      </c>
    </row>
    <row r="31" spans="2:8">
      <c r="B31" s="87" t="s">
        <v>782</v>
      </c>
      <c r="C31" s="119">
        <f>C23-C26</f>
        <v>3440884.841889692</v>
      </c>
    </row>
    <row r="32" spans="2:8">
      <c r="B32" s="128"/>
      <c r="C32" s="129"/>
      <c r="D32" s="128"/>
      <c r="E32" s="128"/>
      <c r="F32" s="128"/>
      <c r="G32" s="128"/>
      <c r="H32" s="128"/>
    </row>
    <row r="33" spans="2:8">
      <c r="B33" s="125" t="s">
        <v>760</v>
      </c>
      <c r="C33" s="126">
        <f>MultiYear_ProForma!$AF$32</f>
        <v>252007.49311030656</v>
      </c>
      <c r="D33" s="126">
        <f>MultiYear_ProForma!$AF$17</f>
        <v>-210423.72431478277</v>
      </c>
      <c r="E33" s="126">
        <f>MultiYear_ProForma!$AF$62</f>
        <v>-459335.03052499983</v>
      </c>
      <c r="F33" s="126">
        <f>MultiYear_ProForma!$AF$42</f>
        <v>-97751.667992075905</v>
      </c>
      <c r="G33" s="126">
        <f>MultiYear_ProForma!$AF$52</f>
        <v>36009.647332676686</v>
      </c>
      <c r="H33" s="127"/>
    </row>
    <row r="35" spans="2:8">
      <c r="B35" s="87" t="s">
        <v>778</v>
      </c>
      <c r="C35" s="120">
        <f>IFERROR(C26/C9, 0)</f>
        <v>924.10054213898479</v>
      </c>
      <c r="D35" s="120">
        <f>IFERROR(D26/D9, 0)</f>
        <v>3109.4527363184079</v>
      </c>
      <c r="E35" s="120">
        <f>IFERROR(E26/E9, 0)</f>
        <v>3390.5967450271246</v>
      </c>
      <c r="F35" s="120">
        <f>IFERROR(F26/F9, 0)</f>
        <v>2367.3969443643705</v>
      </c>
      <c r="G35" s="120">
        <f>IFERROR(G26/G9, 0)</f>
        <v>2054.794520547945</v>
      </c>
    </row>
    <row r="36" spans="2:8">
      <c r="B36" s="87" t="s">
        <v>779</v>
      </c>
      <c r="C36" s="120">
        <f>C18-C35</f>
        <v>4117.9174596693329</v>
      </c>
    </row>
    <row r="37" spans="2:8" ht="14.5" customHeight="1">
      <c r="B37" s="87" t="s">
        <v>780</v>
      </c>
    </row>
    <row r="39" spans="2:8">
      <c r="B39" s="122" t="s">
        <v>705</v>
      </c>
      <c r="C39" s="88"/>
      <c r="D39" s="88"/>
      <c r="E39" s="88"/>
      <c r="F39" s="88"/>
      <c r="G39" s="88"/>
      <c r="H39" s="88" t="s">
        <v>703</v>
      </c>
    </row>
    <row r="40" spans="2:8" ht="38.5">
      <c r="B40" s="122" t="s">
        <v>706</v>
      </c>
      <c r="C40" s="89" t="s">
        <v>724</v>
      </c>
      <c r="D40" s="89" t="s">
        <v>725</v>
      </c>
      <c r="E40" s="89" t="s">
        <v>726</v>
      </c>
      <c r="F40" s="89" t="s">
        <v>713</v>
      </c>
      <c r="G40" s="89" t="s">
        <v>713</v>
      </c>
      <c r="H40" s="88" t="s">
        <v>703</v>
      </c>
    </row>
    <row r="41" spans="2:8">
      <c r="B41" s="124" t="s">
        <v>752</v>
      </c>
      <c r="C41" s="88" t="s">
        <v>755</v>
      </c>
      <c r="D41" s="88" t="s">
        <v>756</v>
      </c>
      <c r="E41" s="88" t="s">
        <v>754</v>
      </c>
      <c r="F41" s="88" t="s">
        <v>758</v>
      </c>
      <c r="G41" s="88" t="s">
        <v>758</v>
      </c>
      <c r="H41" s="88"/>
    </row>
    <row r="42" spans="2:8">
      <c r="B42" s="124" t="s">
        <v>757</v>
      </c>
      <c r="C42" s="88" t="s">
        <v>754</v>
      </c>
      <c r="D42" s="88" t="s">
        <v>754</v>
      </c>
      <c r="E42" s="88" t="s">
        <v>753</v>
      </c>
      <c r="F42" s="88" t="s">
        <v>758</v>
      </c>
      <c r="G42" s="88" t="s">
        <v>758</v>
      </c>
      <c r="H42" s="88"/>
    </row>
    <row r="44" spans="2:8" ht="25">
      <c r="B44" s="123"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24" t="s">
        <v>764</v>
      </c>
      <c r="C45" s="118">
        <f>YearMap!$E$6*C8</f>
        <v>121739.99999999999</v>
      </c>
      <c r="D45" s="88" t="str">
        <f t="shared" si="0"/>
        <v>N/A</v>
      </c>
      <c r="E45" s="88" t="str">
        <f t="shared" si="0"/>
        <v>N/A</v>
      </c>
      <c r="F45" s="118">
        <f>YearMap!$E$6*F8</f>
        <v>46260</v>
      </c>
      <c r="G45" s="118">
        <f>YearMap!$E$6*G8</f>
        <v>75480</v>
      </c>
    </row>
    <row r="47" spans="2:8" ht="25">
      <c r="B47" s="123" t="s">
        <v>765</v>
      </c>
      <c r="C47" s="85">
        <f>YearMap!$F$6</f>
        <v>0.1</v>
      </c>
      <c r="D47" s="88" t="str">
        <f t="shared" si="0"/>
        <v>N/A</v>
      </c>
      <c r="E47" s="88" t="str">
        <f t="shared" si="0"/>
        <v>N/A</v>
      </c>
      <c r="F47" s="85">
        <f>YearMap!$F$6</f>
        <v>0.1</v>
      </c>
      <c r="G47" s="85">
        <f>YearMap!$F$6</f>
        <v>0.1</v>
      </c>
      <c r="H47" s="88" t="s">
        <v>703</v>
      </c>
    </row>
    <row r="48" spans="2:8">
      <c r="B48" s="124" t="s">
        <v>759</v>
      </c>
      <c r="C48" s="118">
        <f>C24*(1-C47)</f>
        <v>1687500</v>
      </c>
      <c r="D48" s="88" t="str">
        <f t="shared" si="0"/>
        <v>N/A</v>
      </c>
      <c r="E48" s="88" t="str">
        <f t="shared" si="0"/>
        <v>N/A</v>
      </c>
      <c r="F48" s="118">
        <f>F24*(1-F47)</f>
        <v>810000</v>
      </c>
      <c r="G48" s="118">
        <f>G24*(1-G47)</f>
        <v>877500</v>
      </c>
    </row>
    <row r="50" spans="1:8" ht="25">
      <c r="B50" s="123" t="s">
        <v>707</v>
      </c>
      <c r="C50" s="88" t="str">
        <f t="shared" si="0"/>
        <v>N/A</v>
      </c>
      <c r="D50" s="85" t="str">
        <f>"&amp;Scenarios!M6&amp;""students"</f>
        <v>&amp;Scenarios!M6&amp;"students</v>
      </c>
      <c r="E50" s="85" t="s">
        <v>704</v>
      </c>
      <c r="F50" s="88"/>
      <c r="G50" s="88"/>
      <c r="H50" s="88" t="s">
        <v>703</v>
      </c>
    </row>
    <row r="52" spans="1:8">
      <c r="B52" s="124" t="s">
        <v>766</v>
      </c>
      <c r="C52" s="118">
        <f>Summary_Figures!$F$11</f>
        <v>815010.4570824476</v>
      </c>
    </row>
    <row r="53" spans="1:8" ht="25">
      <c r="B53" s="123" t="s">
        <v>708</v>
      </c>
      <c r="C53" s="118">
        <f>Summary_Figures!$G$11</f>
        <v>535102.85993188317</v>
      </c>
      <c r="D53" s="88"/>
      <c r="E53" s="88"/>
      <c r="F53" s="88"/>
      <c r="G53" s="88"/>
      <c r="H53" s="88" t="s">
        <v>703</v>
      </c>
    </row>
    <row r="57" spans="1:8">
      <c r="B57" s="87" t="s">
        <v>735</v>
      </c>
    </row>
    <row r="58" spans="1:8">
      <c r="A58" s="96" t="s">
        <v>720</v>
      </c>
      <c r="B58" s="87" t="s">
        <v>714</v>
      </c>
    </row>
    <row r="59" spans="1:8">
      <c r="A59" s="96"/>
      <c r="B59" s="87" t="s">
        <v>715</v>
      </c>
    </row>
    <row r="60" spans="1:8">
      <c r="A60" s="96"/>
      <c r="B60" s="87" t="s">
        <v>716</v>
      </c>
    </row>
    <row r="61" spans="1:8">
      <c r="A61" s="96"/>
      <c r="B61" s="87" t="s">
        <v>717</v>
      </c>
    </row>
    <row r="62" spans="1:8">
      <c r="A62" s="96" t="s">
        <v>721</v>
      </c>
      <c r="B62" s="87" t="s">
        <v>718</v>
      </c>
    </row>
    <row r="63" spans="1:8">
      <c r="A63" s="96"/>
      <c r="B63" s="87" t="s">
        <v>719</v>
      </c>
    </row>
    <row r="64" spans="1:8">
      <c r="A64" s="96"/>
      <c r="B64" s="87" t="s">
        <v>722</v>
      </c>
    </row>
    <row r="65" spans="1:8">
      <c r="A65" s="96"/>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96" t="s">
        <v>720</v>
      </c>
      <c r="B73" s="87" t="s">
        <v>714</v>
      </c>
    </row>
    <row r="74" spans="1:8">
      <c r="A74" s="96"/>
      <c r="B74" s="87" t="s">
        <v>715</v>
      </c>
    </row>
    <row r="75" spans="1:8">
      <c r="A75" s="96"/>
      <c r="B75" s="87" t="s">
        <v>716</v>
      </c>
    </row>
    <row r="76" spans="1:8">
      <c r="A76" s="96"/>
      <c r="B76" s="87" t="s">
        <v>717</v>
      </c>
    </row>
    <row r="77" spans="1:8">
      <c r="A77" s="96" t="s">
        <v>721</v>
      </c>
      <c r="B77" s="87" t="s">
        <v>718</v>
      </c>
    </row>
    <row r="78" spans="1:8">
      <c r="A78" s="96"/>
      <c r="B78" s="87" t="s">
        <v>719</v>
      </c>
    </row>
    <row r="79" spans="1:8">
      <c r="A79" s="96"/>
      <c r="B79" s="87" t="s">
        <v>722</v>
      </c>
    </row>
    <row r="80" spans="1:8">
      <c r="A80" s="96"/>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98" t="s">
        <v>3</v>
      </c>
      <c r="D3" s="99"/>
      <c r="E3" s="99"/>
      <c r="F3" s="99"/>
      <c r="G3" s="99"/>
      <c r="H3" s="99"/>
      <c r="I3" s="40" t="s">
        <v>4</v>
      </c>
      <c r="J3" s="39"/>
      <c r="K3" s="39"/>
      <c r="L3" s="39"/>
      <c r="M3" s="12"/>
      <c r="N3" s="12"/>
      <c r="O3" s="12"/>
      <c r="P3" s="12"/>
      <c r="Q3" s="12"/>
      <c r="R3" s="12"/>
      <c r="S3" s="12"/>
    </row>
    <row r="4" spans="1:19" ht="30" customHeight="1">
      <c r="A4" s="12"/>
      <c r="B4" s="42" t="s">
        <v>5</v>
      </c>
      <c r="C4" s="103" t="str">
        <f>VLOOKUP($B4,Scenarios!$A$2:$C$15, 2, 0)</f>
        <v>Repurpose both Echo &amp; Pima; lease both properties; fixed cost reduction rate, retention %, and transition cost assumptions are key drivers</v>
      </c>
      <c r="D4" s="104"/>
      <c r="E4" s="104"/>
      <c r="F4" s="104"/>
      <c r="G4" s="104"/>
      <c r="H4" s="104"/>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97" t="str">
        <f>VLOOKUP($B5,Scenarios!$A$2:$C$15, 2, 0)</f>
        <v>Echo &amp; Pima open; no operational or strategic growth actions; enrollment decline trend continues</v>
      </c>
      <c r="D5" s="95"/>
      <c r="E5" s="95"/>
      <c r="F5" s="95"/>
      <c r="G5" s="95"/>
      <c r="H5" s="95"/>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02" t="s">
        <v>7</v>
      </c>
      <c r="C24" s="95"/>
      <c r="D24" s="95"/>
      <c r="E24" s="95"/>
      <c r="F24" s="95"/>
      <c r="G24" s="95"/>
      <c r="H24" s="95"/>
      <c r="I24" s="95"/>
      <c r="J24" s="95"/>
      <c r="K24" s="95"/>
      <c r="L24" s="9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05"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95"/>
      <c r="F44" s="95"/>
      <c r="G44" s="95"/>
      <c r="H44" s="95"/>
      <c r="I44" s="95"/>
      <c r="J44" s="12"/>
      <c r="K44" s="12"/>
      <c r="L44" s="12"/>
      <c r="M44" s="12"/>
      <c r="N44" s="12"/>
      <c r="O44" s="12"/>
      <c r="P44" s="12"/>
      <c r="Q44" s="12"/>
      <c r="R44" s="12"/>
      <c r="S44" s="12"/>
    </row>
    <row r="45" spans="1:19">
      <c r="A45" s="12"/>
      <c r="B45" s="46" t="s">
        <v>27</v>
      </c>
      <c r="C45" s="36">
        <f>SUMIFS(Capital_Summary!$H$4:$H$83, Capital_Summary!$A$4:$A$83, B5, Capital_Summary!$B$4:$B$83, "FY2026")</f>
        <v>0</v>
      </c>
      <c r="D45" s="101"/>
      <c r="E45" s="95"/>
      <c r="F45" s="95"/>
      <c r="G45" s="95"/>
      <c r="H45" s="95"/>
      <c r="I45" s="95"/>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05"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95"/>
      <c r="F47" s="95"/>
      <c r="G47" s="95"/>
      <c r="H47" s="95"/>
      <c r="I47" s="95"/>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01"/>
      <c r="E48" s="95"/>
      <c r="F48" s="95"/>
      <c r="G48" s="95"/>
      <c r="H48" s="95"/>
      <c r="I48" s="95"/>
      <c r="J48" s="12"/>
      <c r="K48" s="12"/>
      <c r="L48" s="12"/>
      <c r="M48" s="12"/>
      <c r="N48" s="12"/>
      <c r="O48" s="12"/>
      <c r="P48" s="12"/>
      <c r="Q48" s="12"/>
      <c r="R48" s="12"/>
      <c r="S48" s="12"/>
    </row>
    <row r="49" spans="1:19">
      <c r="A49" s="12"/>
      <c r="B49" s="35" t="s">
        <v>30</v>
      </c>
      <c r="C49" s="36">
        <f>ROUND(C48-C47, -4)</f>
        <v>-980000</v>
      </c>
      <c r="D49" s="101"/>
      <c r="E49" s="95"/>
      <c r="F49" s="95"/>
      <c r="G49" s="95"/>
      <c r="H49" s="95"/>
      <c r="I49" s="95"/>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05" t="str">
        <f>"By 2030, "&amp;$B$5&amp;" will be $"&amp;TEXT(ABS(ROUND(C54,0)), "#,##0")&amp;" "&amp;IF(C54&lt;0,"MORE COSTLY","LESS COSTLY")&amp;" to operate annually than "&amp;$B$4&amp;""</f>
        <v>By 2030, E1_StatusQuo_Decline will be $1,450,000 MORE COSTLY to operate annually than A2_Repurpose_Both_lease</v>
      </c>
      <c r="E52" s="95"/>
      <c r="F52" s="95"/>
      <c r="G52" s="95"/>
      <c r="H52" s="95"/>
      <c r="I52" s="95"/>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01"/>
      <c r="E53" s="95"/>
      <c r="F53" s="95"/>
      <c r="G53" s="95"/>
      <c r="H53" s="95"/>
      <c r="I53" s="95"/>
      <c r="J53" s="12"/>
      <c r="K53" s="12"/>
      <c r="L53" s="12"/>
      <c r="M53" s="12"/>
      <c r="N53" s="12"/>
      <c r="O53" s="12"/>
      <c r="P53" s="12"/>
      <c r="Q53" s="12"/>
      <c r="R53" s="12"/>
      <c r="S53" s="12"/>
    </row>
    <row r="54" spans="1:19">
      <c r="A54" s="12"/>
      <c r="B54" s="35" t="s">
        <v>33</v>
      </c>
      <c r="C54" s="36">
        <f>ROUND(C53-C52, -4)</f>
        <v>-1450000</v>
      </c>
      <c r="D54" s="101"/>
      <c r="E54" s="95"/>
      <c r="F54" s="95"/>
      <c r="G54" s="95"/>
      <c r="H54" s="95"/>
      <c r="I54" s="95"/>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00" t="str">
        <f>""&amp;$B$5&amp;" will displace "&amp;ROUND(ABS(C57-C56),0)&amp;" "&amp;IF(C57&gt;C56,"MORE STUDENTS","FEWER STUDENTS")&amp;" than "&amp;$B$4&amp;""</f>
        <v>E1_StatusQuo_Decline will displace 553 FEWER STUDENTS than A2_Repurpose_Both_lease</v>
      </c>
      <c r="E56" s="95"/>
      <c r="F56" s="95"/>
      <c r="G56" s="95"/>
      <c r="H56" s="95"/>
      <c r="I56" s="95"/>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01"/>
      <c r="E57" s="95"/>
      <c r="F57" s="95"/>
      <c r="G57" s="95"/>
      <c r="H57" s="95"/>
      <c r="I57" s="95"/>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00" t="str">
        <f>""&amp;$B$5&amp;" will serve "&amp;ROUND(ABS(C60-C59),0)&amp;" "&amp;IF(C60&gt;C59,"MORE STUDENTS","FEWER STUDENTS")&amp;" than "&amp;$B$4&amp;""</f>
        <v>E1_StatusQuo_Decline will serve 104 MORE STUDENTS than A2_Repurpose_Both_lease</v>
      </c>
      <c r="E59" s="95"/>
      <c r="F59" s="95"/>
      <c r="G59" s="95"/>
      <c r="H59" s="95"/>
      <c r="I59" s="95"/>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01"/>
      <c r="E60" s="95"/>
      <c r="F60" s="95"/>
      <c r="G60" s="95"/>
      <c r="H60" s="95"/>
      <c r="I60" s="9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06"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07"/>
      <c r="D11" s="107"/>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D11" sqref="D1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-800000</v>
      </c>
      <c r="D13" s="26">
        <f>SUMIFS(MultiYear_ProForma!$AF$2:$AF$66, MultiYear_ProForma!$B$2:$B$66, B13, MultiYear_ProForma!$C$2:$C$66, "FY2026")</f>
        <v>-97751.667992075905</v>
      </c>
      <c r="E13" s="26">
        <f>SUMIFS(MultiYear_ProForma!$AF$2:$AF$66, MultiYear_ProForma!$B$2:$B$66, B13, MultiYear_ProForma!$C$2:$C$66, "FY2028")</f>
        <v>121243.23728313111</v>
      </c>
      <c r="F13" s="26">
        <f>SUMIFS(MultiYear_ProForma!$AF$2:$AF$66, MultiYear_ProForma!$B$2:$B$66, B13, MultiYear_ProForma!$C$2:$C$66, "FY2030")</f>
        <v>229719.22926810849</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83696.675862552409</v>
      </c>
      <c r="H13" s="11">
        <f>SUMIFS(MultiYear_ProForma!$N$2:$N$66, MultiYear_ProForma!$B$2:$B$66, B13, MultiYear_ProForma!$C$2:$C$66, "FY2026")</f>
        <v>257</v>
      </c>
      <c r="I13" s="11">
        <f>SUMIFS(MultiYear_ProForma!$AC$2:$AC$66, MultiYear_ProForma!$B$2:$B$66, B13, MultiYear_ProForma!$C$2:$C$66, "FY2030")</f>
        <v>487.2</v>
      </c>
      <c r="J13" s="26">
        <f t="shared" si="1"/>
        <v>860912.8951303158</v>
      </c>
      <c r="K13" s="26">
        <f t="shared" si="2"/>
        <v>627767.69388419983</v>
      </c>
    </row>
    <row r="14" spans="1:14">
      <c r="A14" s="31" t="str">
        <f t="shared" si="0"/>
        <v>B1</v>
      </c>
      <c r="B14" t="s">
        <v>69</v>
      </c>
      <c r="C14" s="26">
        <f>SUMIFS(Capital_Summary!$H$4:$H$83, Capital_Summary!$A$4:$A$83, B14, Capital_Summary!$B$4:$B$83, "FY2026")*-1</f>
        <v>-1200000</v>
      </c>
      <c r="D14" s="26">
        <f>SUMIFS(MultiYear_ProForma!$AF$2:$AF$66, MultiYear_ProForma!$B$2:$B$66, B14, MultiYear_ProForma!$C$2:$C$66, "FY2026")</f>
        <v>-326762.29299207591</v>
      </c>
      <c r="E14" s="26">
        <f>SUMIFS(MultiYear_ProForma!$AF$2:$AF$66, MultiYear_ProForma!$B$2:$B$66, B14, MultiYear_ProForma!$C$2:$C$66, "FY2028")</f>
        <v>-65119.939292790368</v>
      </c>
      <c r="F14" s="26">
        <f>SUMIFS(MultiYear_ProForma!$AF$2:$AF$66, MultiYear_ProForma!$B$2:$B$66, B14, MultiYear_ProForma!$C$2:$C$66, "FY2030")</f>
        <v>33921.416878031567</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-113105.64477767162</v>
      </c>
      <c r="H14" s="11">
        <f>SUMIFS(MultiYear_ProForma!$N$2:$N$66, MultiYear_ProForma!$B$2:$B$66, B14, MultiYear_ProForma!$C$2:$C$66, "FY2026")</f>
        <v>257</v>
      </c>
      <c r="I14" s="11">
        <f>SUMIFS(MultiYear_ProForma!$AC$2:$AC$66, MultiYear_ProForma!$B$2:$B$66, B14, MultiYear_ProForma!$C$2:$C$66, "FY2030")</f>
        <v>487.2</v>
      </c>
      <c r="J14" s="26">
        <f t="shared" si="1"/>
        <v>665115.08274023887</v>
      </c>
      <c r="K14" s="26">
        <f t="shared" si="2"/>
        <v>430965.37324397586</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cols>
    <col min="2" max="2" width="52.81640625" bestFit="1" customWidth="1"/>
    <col min="3" max="3" width="9.54296875" bestFit="1" customWidth="1"/>
    <col min="4" max="4" width="10.453125" customWidth="1"/>
  </cols>
  <sheetData>
    <row r="1" spans="1:9" ht="17">
      <c r="A1" s="73" t="s">
        <v>389</v>
      </c>
      <c r="B1" s="74"/>
      <c r="C1" s="108" t="s">
        <v>667</v>
      </c>
      <c r="D1" s="108"/>
      <c r="E1" s="108"/>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09" t="s">
        <v>73</v>
      </c>
      <c r="B1" s="110"/>
      <c r="C1" s="110"/>
      <c r="D1" s="110"/>
      <c r="E1" s="110"/>
      <c r="F1" s="110"/>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09" t="s">
        <v>131</v>
      </c>
      <c r="B12" s="110"/>
      <c r="C12" s="110"/>
      <c r="D12" s="110"/>
      <c r="E12" s="110"/>
      <c r="F12" s="110"/>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95" t="s">
        <v>207</v>
      </c>
      <c r="B29" s="95" t="s">
        <v>208</v>
      </c>
      <c r="C29" s="95" t="s">
        <v>209</v>
      </c>
      <c r="D29" s="95" t="s">
        <v>210</v>
      </c>
      <c r="E29" s="95" t="s">
        <v>211</v>
      </c>
      <c r="F29" s="95"/>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09" t="s">
        <v>679</v>
      </c>
      <c r="B35" s="110"/>
      <c r="C35" s="110"/>
      <c r="D35" s="110"/>
      <c r="E35" s="110"/>
      <c r="F35" s="110"/>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10" t="s">
        <v>239</v>
      </c>
      <c r="B38" s="110" t="s">
        <v>240</v>
      </c>
      <c r="C38" s="110" t="s">
        <v>241</v>
      </c>
      <c r="D38" s="110" t="s">
        <v>242</v>
      </c>
      <c r="E38" s="110" t="s">
        <v>243</v>
      </c>
      <c r="F38" s="110"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09" t="s">
        <v>259</v>
      </c>
      <c r="B43" s="110"/>
      <c r="C43" s="110"/>
      <c r="D43" s="110"/>
      <c r="E43" s="110"/>
      <c r="F43" s="110"/>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09" t="s">
        <v>677</v>
      </c>
      <c r="B50" s="110"/>
      <c r="C50" s="110"/>
      <c r="D50" s="110"/>
      <c r="E50" s="110"/>
      <c r="F50" s="110"/>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11" t="s">
        <v>667</v>
      </c>
      <c r="D1" s="111"/>
      <c r="E1" s="111"/>
      <c r="F1" s="111"/>
      <c r="G1" s="111"/>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525</v>
      </c>
      <c r="C11" s="22">
        <v>37</v>
      </c>
      <c r="D11" s="22">
        <v>1</v>
      </c>
      <c r="E11" s="22">
        <v>0</v>
      </c>
      <c r="F11" s="22">
        <v>0</v>
      </c>
      <c r="G11" s="22">
        <v>0</v>
      </c>
      <c r="H11" t="s">
        <v>340</v>
      </c>
      <c r="I11" s="11">
        <f t="shared" si="0"/>
        <v>12.333333333333334</v>
      </c>
      <c r="J11" s="11">
        <f t="shared" si="1"/>
        <v>24.666666666666668</v>
      </c>
      <c r="K11" s="11">
        <f t="shared" si="2"/>
        <v>37</v>
      </c>
      <c r="L11" s="11">
        <f t="shared" si="3"/>
        <v>37</v>
      </c>
      <c r="M11" s="11">
        <f t="shared" si="4"/>
        <v>37</v>
      </c>
      <c r="N11" t="s">
        <v>337</v>
      </c>
      <c r="O11" t="s">
        <v>331</v>
      </c>
      <c r="P11" t="s">
        <v>331</v>
      </c>
      <c r="Q11">
        <v>0</v>
      </c>
      <c r="R11">
        <v>0</v>
      </c>
    </row>
    <row r="12" spans="1:18">
      <c r="A12" t="s">
        <v>69</v>
      </c>
      <c r="B12" s="72" t="s">
        <v>527</v>
      </c>
      <c r="C12" s="22">
        <v>37</v>
      </c>
      <c r="D12" s="22">
        <v>1</v>
      </c>
      <c r="E12" s="22">
        <v>0</v>
      </c>
      <c r="F12" s="22">
        <v>0</v>
      </c>
      <c r="G12" s="22">
        <v>0</v>
      </c>
      <c r="H12" t="s">
        <v>341</v>
      </c>
      <c r="I12" s="11">
        <f t="shared" si="0"/>
        <v>12.333333333333334</v>
      </c>
      <c r="J12" s="11">
        <f t="shared" si="1"/>
        <v>24.666666666666668</v>
      </c>
      <c r="K12" s="11">
        <f t="shared" si="2"/>
        <v>37</v>
      </c>
      <c r="L12" s="11">
        <f t="shared" si="3"/>
        <v>37</v>
      </c>
      <c r="M12" s="11">
        <f t="shared" si="4"/>
        <v>37</v>
      </c>
      <c r="N12" t="s">
        <v>339</v>
      </c>
      <c r="O12" t="s">
        <v>331</v>
      </c>
      <c r="P12" t="s">
        <v>331</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308.33333333333331</v>
      </c>
      <c r="E68">
        <f t="shared" si="7"/>
        <v>308.33333333333331</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320.66666666666669</v>
      </c>
      <c r="E69">
        <f t="shared" si="7"/>
        <v>320.66666666666669</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333</v>
      </c>
      <c r="E70">
        <f t="shared" si="7"/>
        <v>333</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333</v>
      </c>
      <c r="E71">
        <f t="shared" si="7"/>
        <v>333</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333</v>
      </c>
      <c r="E72">
        <f t="shared" si="7"/>
        <v>333</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333</v>
      </c>
      <c r="E75">
        <f t="shared" si="7"/>
        <v>333</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333</v>
      </c>
      <c r="E76">
        <f t="shared" si="7"/>
        <v>333</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333</v>
      </c>
      <c r="E77">
        <f t="shared" si="7"/>
        <v>333</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70" zoomScaleNormal="70" workbookViewId="0">
      <pane xSplit="2" ySplit="1" topLeftCell="S6" activePane="bottomRight" state="frozen"/>
      <selection activeCell="B2" sqref="B2"/>
      <selection pane="topRight" activeCell="B2" sqref="B2"/>
      <selection pane="bottomLeft" activeCell="B2" sqref="B2"/>
      <selection pane="bottomRight" activeCell="AE17" sqref="AE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308.33333333333331</v>
      </c>
      <c r="F42">
        <f t="shared" si="11"/>
        <v>308.33333333333331</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308.33333333333331</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3748487.6445061029</v>
      </c>
      <c r="V42" s="2">
        <f t="shared" si="14"/>
        <v>1449998.6264647376</v>
      </c>
      <c r="W42" s="2">
        <f>U42+V42+IF(Parameters_Public!$C$28=1, T42, 0)</f>
        <v>5198486.27097084</v>
      </c>
      <c r="X42" s="2">
        <f t="shared" si="15"/>
        <v>11239.160286042463</v>
      </c>
      <c r="Y42" s="2">
        <f>INDEX(YearMap!$I$2:$I$6, MATCH(C42, YearMap!$A$2:$A$6, 0))</f>
        <v>5013</v>
      </c>
      <c r="Z42" s="2">
        <f>W42 - ((Y42 + IF(Parameters_Public!$C$20=1, Parameters_Public!$C$19, 0))*AC42)</f>
        <v>2532004.7309708404</v>
      </c>
      <c r="AA42" s="2">
        <f t="shared" si="16"/>
        <v>5474.2102860424638</v>
      </c>
      <c r="AB42">
        <f>MAX(0, (MAX(0, $D42-BaselineCalc!$B$7) + MAX(0, $E42-BaselineCalc!$B$8)))</f>
        <v>12.333333333333314</v>
      </c>
      <c r="AC42" s="11">
        <f t="shared" si="17"/>
        <v>462.53333333333325</v>
      </c>
      <c r="AD42" s="2">
        <f>( (Y42 + IF(Parameters_Public!$C20=1, INDEX(YearMap!$O$2:$O$6, MATCH(C42, YearMap!$A$2:$A$6, 0)), 0)) * AC42 ) + AC42*INDEX(YearMap!$P$2:$P$6, MATCH(C42, YearMap!$A$2:$A$6, 0)) + AB42*( INDEX(YearMap!$R$2:$R$6, MATCH(C42, YearMap!$A$2:$A$6, 0)) - INDEX(YearMap!$P$2:$P$6, MATCH(C42, YearMap!$A$2:$A$6, 0)) )</f>
        <v>5062034.8733333331</v>
      </c>
      <c r="AE42" s="2">
        <f>(W42 - (1-Parameters_Public!$C$43)*$G42*$AB42*$J42*(1-$K42)) + AB42*INDEX(YearMap!$Q$2:$Q$6, MATCH(C42, YearMap!$A$2:$A$6, 0))</f>
        <v>5159786.541325409</v>
      </c>
      <c r="AF42" s="2">
        <f t="shared" si="18"/>
        <v>-97751.667992075905</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320.66666666666669</v>
      </c>
      <c r="F43">
        <f t="shared" si="11"/>
        <v>320.66666666666669</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320.66666666666669</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3971572.6431893012</v>
      </c>
      <c r="V43" s="2">
        <f t="shared" si="14"/>
        <v>1451553.592126356</v>
      </c>
      <c r="W43" s="2">
        <f>U43+V43+IF(Parameters_Public!$C$28=1, T43, 0)</f>
        <v>5423126.2353156572</v>
      </c>
      <c r="X43" s="2">
        <f t="shared" si="15"/>
        <v>11420.313565876015</v>
      </c>
      <c r="Y43" s="2">
        <f>INDEX(YearMap!$I$2:$I$6, MATCH(C43, YearMap!$A$2:$A$6, 0))</f>
        <v>5138.3249999999998</v>
      </c>
      <c r="Z43" s="2">
        <f>W43 - ((Y43 + IF(Parameters_Public!$C$20=1, Parameters_Public!$C$19, 0))*AC43)</f>
        <v>2626030.9803156569</v>
      </c>
      <c r="AA43" s="2">
        <f t="shared" si="16"/>
        <v>5530.0385658760142</v>
      </c>
      <c r="AB43">
        <f>MAX(0, (MAX(0, $D43-BaselineCalc!$B$7) + MAX(0, $E43-BaselineCalc!$B$8)))</f>
        <v>24.666666666666686</v>
      </c>
      <c r="AC43" s="11">
        <f t="shared" si="17"/>
        <v>474.86666666666673</v>
      </c>
      <c r="AD43" s="2">
        <f>( (Y43 + IF(Parameters_Public!$C20=1, INDEX(YearMap!$O$2:$O$6, MATCH(C43, YearMap!$A$2:$A$6, 0)), 0)) * AC43 ) + AC43*INDEX(YearMap!$P$2:$P$6, MATCH(C43, YearMap!$A$2:$A$6, 0)) + AB43*( INDEX(YearMap!$R$2:$R$6, MATCH(C43, YearMap!$A$2:$A$6, 0)) - INDEX(YearMap!$P$2:$P$6, MATCH(C43, YearMap!$A$2:$A$6, 0)) )</f>
        <v>5317340.4880833328</v>
      </c>
      <c r="AE43" s="2">
        <f>(W43 - (1-Parameters_Public!$C$43)*$G43*$AB43*$J43*(1-$K43)) + AB43*INDEX(YearMap!$Q$2:$Q$6, MATCH(C43, YearMap!$A$2:$A$6, 0))</f>
        <v>5342681.7895425241</v>
      </c>
      <c r="AF43" s="2">
        <f t="shared" si="18"/>
        <v>-25341.301459191367</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333</v>
      </c>
      <c r="F44">
        <f t="shared" si="11"/>
        <v>333</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333</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4132397.2779385466</v>
      </c>
      <c r="V44" s="2">
        <f t="shared" si="14"/>
        <v>1453918.4319295147</v>
      </c>
      <c r="W44" s="2">
        <f>U44+V44+IF(Parameters_Public!$C$28=1, T44, 0)</f>
        <v>5586315.7098680614</v>
      </c>
      <c r="X44" s="2">
        <f t="shared" si="15"/>
        <v>11466.165250139698</v>
      </c>
      <c r="Y44" s="2">
        <f>INDEX(YearMap!$I$2:$I$6, MATCH(C44, YearMap!$A$2:$A$6, 0))</f>
        <v>5266.7831249999999</v>
      </c>
      <c r="Z44" s="2">
        <f>W44 - ((Y44 + IF(Parameters_Public!$C$20=1, Parameters_Public!$C$19, 0))*AC44)</f>
        <v>2653988.9313680613</v>
      </c>
      <c r="AA44" s="2">
        <f t="shared" si="16"/>
        <v>5447.4321251396987</v>
      </c>
      <c r="AB44">
        <f>MAX(0, (MAX(0, $D44-BaselineCalc!$B$7) + MAX(0, $E44-BaselineCalc!$B$8)))</f>
        <v>37</v>
      </c>
      <c r="AC44" s="11">
        <f t="shared" si="17"/>
        <v>487.2</v>
      </c>
      <c r="AD44" s="2">
        <f>( (Y44 + IF(Parameters_Public!$C20=1, INDEX(YearMap!$O$2:$O$6, MATCH(C44, YearMap!$A$2:$A$6, 0)), 0)) * AC44 ) + AC44*INDEX(YearMap!$P$2:$P$6, MATCH(C44, YearMap!$A$2:$A$6, 0)) + AB44*( INDEX(YearMap!$R$2:$R$6, MATCH(C44, YearMap!$A$2:$A$6, 0)) - INDEX(YearMap!$P$2:$P$6, MATCH(C44, YearMap!$A$2:$A$6, 0)) )</f>
        <v>5582247.6117749996</v>
      </c>
      <c r="AE44" s="2">
        <f>(W44 - (1-Parameters_Public!$C$43)*$G44*$AB44*$J44*(1-$K44)) + AB44*INDEX(YearMap!$Q$2:$Q$6, MATCH(C44, YearMap!$A$2:$A$6, 0))</f>
        <v>5461004.3744918685</v>
      </c>
      <c r="AF44" s="2">
        <f t="shared" si="18"/>
        <v>121243.23728313111</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333</v>
      </c>
      <c r="F45">
        <f t="shared" si="11"/>
        <v>333</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333</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4187951.6458894303</v>
      </c>
      <c r="V45" s="2">
        <f t="shared" si="14"/>
        <v>1472533.3927277524</v>
      </c>
      <c r="W45" s="2">
        <f>U45+V45+IF(Parameters_Public!$C$28=1, T45, 0)</f>
        <v>5660485.0386171825</v>
      </c>
      <c r="X45" s="2">
        <f t="shared" si="15"/>
        <v>11618.401146586992</v>
      </c>
      <c r="Y45" s="2">
        <f>INDEX(YearMap!$I$2:$I$6, MATCH(C45, YearMap!$A$2:$A$6, 0))</f>
        <v>5398.4527031249991</v>
      </c>
      <c r="Z45" s="2">
        <f>W45 - ((Y45 + IF(Parameters_Public!$C$20=1, Parameters_Public!$C$19, 0))*AC45)</f>
        <v>2664008.841654683</v>
      </c>
      <c r="AA45" s="2">
        <f t="shared" si="16"/>
        <v>5467.9984434619928</v>
      </c>
      <c r="AB45">
        <f>MAX(0, (MAX(0, $D45-BaselineCalc!$B$7) + MAX(0, $E45-BaselineCalc!$B$8)))</f>
        <v>37</v>
      </c>
      <c r="AC45" s="11">
        <f t="shared" si="17"/>
        <v>487.2</v>
      </c>
      <c r="AD45" s="2">
        <f>( (Y45 + IF(Parameters_Public!$C20=1, INDEX(YearMap!$O$2:$O$6, MATCH(C45, YearMap!$A$2:$A$6, 0)), 0)) * AC45 ) + AC45*INDEX(YearMap!$P$2:$P$6, MATCH(C45, YearMap!$A$2:$A$6, 0)) + AB45*( INDEX(YearMap!$R$2:$R$6, MATCH(C45, YearMap!$A$2:$A$6, 0)) - INDEX(YearMap!$P$2:$P$6, MATCH(C45, YearMap!$A$2:$A$6, 0)) )</f>
        <v>5721803.8020693744</v>
      </c>
      <c r="AE45" s="2">
        <f>(W45 - (1-Parameters_Public!$C$43)*$G45*$AB45*$J45*(1-$K45)) + AB45*INDEX(YearMap!$Q$2:$Q$6, MATCH(C45, YearMap!$A$2:$A$6, 0))</f>
        <v>5531189.9198565846</v>
      </c>
      <c r="AF45" s="2">
        <f t="shared" si="18"/>
        <v>190613.88221278973</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333</v>
      </c>
      <c r="F46">
        <f t="shared" si="11"/>
        <v>333</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333</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4292650.4370366661</v>
      </c>
      <c r="V46" s="2">
        <f t="shared" si="14"/>
        <v>1476579.2275459461</v>
      </c>
      <c r="W46" s="2">
        <f>U46+V46+IF(Parameters_Public!$C$28=1, T46, 0)</f>
        <v>5769229.664582612</v>
      </c>
      <c r="X46" s="2">
        <f t="shared" si="15"/>
        <v>11841.604401852652</v>
      </c>
      <c r="Y46" s="2">
        <f>INDEX(YearMap!$I$2:$I$6, MATCH(C46, YearMap!$A$2:$A$6, 0))</f>
        <v>5533.4140207031242</v>
      </c>
      <c r="Z46" s="2">
        <f>W46 - ((Y46 + IF(Parameters_Public!$C$20=1, Parameters_Public!$C$19, 0))*AC46)</f>
        <v>2707000.3136960501</v>
      </c>
      <c r="AA46" s="2">
        <f t="shared" si="16"/>
        <v>5556.2403811495278</v>
      </c>
      <c r="AB46">
        <f>MAX(0, (MAX(0, $D46-BaselineCalc!$B$7) + MAX(0, $E46-BaselineCalc!$B$8)))</f>
        <v>37</v>
      </c>
      <c r="AC46" s="11">
        <f t="shared" si="17"/>
        <v>487.2</v>
      </c>
      <c r="AD46" s="2">
        <f>( (Y46 + IF(Parameters_Public!$C20=1, INDEX(YearMap!$O$2:$O$6, MATCH(C46, YearMap!$A$2:$A$6, 0)), 0)) * AC46 ) + AC46*INDEX(YearMap!$P$2:$P$6, MATCH(C46, YearMap!$A$2:$A$6, 0)) + AB46*( INDEX(YearMap!$R$2:$R$6, MATCH(C46, YearMap!$A$2:$A$6, 0)) - INDEX(YearMap!$P$2:$P$6, MATCH(C46, YearMap!$A$2:$A$6, 0)) )</f>
        <v>5864848.8971211081</v>
      </c>
      <c r="AE46" s="2">
        <f>(W46 - (1-Parameters_Public!$C$43)*$G46*$AB46*$J46*(1-$K46)) + AB46*INDEX(YearMap!$Q$2:$Q$6, MATCH(C46, YearMap!$A$2:$A$6, 0))</f>
        <v>5635129.6678529996</v>
      </c>
      <c r="AF46" s="2">
        <f t="shared" si="18"/>
        <v>229719.22926810849</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3977498.2695061024</v>
      </c>
      <c r="V47" s="2">
        <f t="shared" si="14"/>
        <v>1449998.6264647376</v>
      </c>
      <c r="W47" s="2">
        <f>U47+V47+IF(Parameters_Public!$C$28=1, T47, 0)</f>
        <v>5427496.89597084</v>
      </c>
      <c r="X47" s="2">
        <f t="shared" si="15"/>
        <v>11734.282709651572</v>
      </c>
      <c r="Y47" s="2">
        <f>INDEX(YearMap!$I$2:$I$6, MATCH(C47, YearMap!$A$2:$A$6, 0))</f>
        <v>5013</v>
      </c>
      <c r="Z47" s="2">
        <f>W47 - ((Y47 + IF(Parameters_Public!$C$20=1, Parameters_Public!$C$19, 0))*AC47)</f>
        <v>2761015.3559708404</v>
      </c>
      <c r="AA47" s="2">
        <f t="shared" si="16"/>
        <v>5969.3327096515732</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(1-Parameters_Public!$C$43)*$G47*$AB47*$J47*(1-$K47)) + AB47*INDEX(YearMap!$Q$2:$Q$6, MATCH(C47, YearMap!$A$2:$A$6, 0))</f>
        <v>5388797.166325409</v>
      </c>
      <c r="AF47" s="2">
        <f t="shared" si="18"/>
        <v>-326762.29299207591</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4153390.3764341027</v>
      </c>
      <c r="V48" s="2">
        <f t="shared" si="14"/>
        <v>1451553.592126356</v>
      </c>
      <c r="W48" s="2">
        <f>U48+V48+IF(Parameters_Public!$C$28=1, T48, 0)</f>
        <v>5604943.9685604591</v>
      </c>
      <c r="X48" s="2">
        <f t="shared" si="15"/>
        <v>11803.195216679333</v>
      </c>
      <c r="Y48" s="2">
        <f>INDEX(YearMap!$I$2:$I$6, MATCH(C48, YearMap!$A$2:$A$6, 0))</f>
        <v>5138.3249999999998</v>
      </c>
      <c r="Z48" s="2">
        <f>W48 - ((Y48 + IF(Parameters_Public!$C$20=1, Parameters_Public!$C$19, 0))*AC48)</f>
        <v>2807848.7135604587</v>
      </c>
      <c r="AA48" s="2">
        <f t="shared" si="16"/>
        <v>5912.9202166793311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(1-Parameters_Public!$C$43)*$G48*$AB48*$J48*(1-$K48)) + AB48*INDEX(YearMap!$Q$2:$Q$6, MATCH(C48, YearMap!$A$2:$A$6, 0))</f>
        <v>5524499.522787326</v>
      </c>
      <c r="AF48" s="2">
        <f t="shared" si="18"/>
        <v>-207159.03470399324</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4318760.4545144681</v>
      </c>
      <c r="V49" s="2">
        <f t="shared" si="14"/>
        <v>1453918.4319295147</v>
      </c>
      <c r="W49" s="2">
        <f>U49+V49+IF(Parameters_Public!$C$28=1, T49, 0)</f>
        <v>5772678.8864439828</v>
      </c>
      <c r="X49" s="2">
        <f t="shared" si="15"/>
        <v>11848.684085476156</v>
      </c>
      <c r="Y49" s="2">
        <f>INDEX(YearMap!$I$2:$I$6, MATCH(C49, YearMap!$A$2:$A$6, 0))</f>
        <v>5266.7831249999999</v>
      </c>
      <c r="Z49" s="2">
        <f>W49 - ((Y49 + IF(Parameters_Public!$C$20=1, Parameters_Public!$C$19, 0))*AC49)</f>
        <v>2840352.1079439828</v>
      </c>
      <c r="AA49" s="2">
        <f t="shared" si="16"/>
        <v>5829.9509604761552</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(1-Parameters_Public!$C$43)*$G49*$AB49*$J49*(1-$K49)) + AB49*INDEX(YearMap!$Q$2:$Q$6, MATCH(C49, YearMap!$A$2:$A$6, 0))</f>
        <v>5647367.55106779</v>
      </c>
      <c r="AF49" s="2">
        <f t="shared" si="18"/>
        <v>-65119.939292790368</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4378973.9018797502</v>
      </c>
      <c r="V50" s="2">
        <f t="shared" si="14"/>
        <v>1472533.3927277524</v>
      </c>
      <c r="W50" s="2">
        <f>U50+V50+IF(Parameters_Public!$C$28=1, T50, 0)</f>
        <v>5851507.2946075024</v>
      </c>
      <c r="X50" s="2">
        <f t="shared" si="15"/>
        <v>12010.48295280686</v>
      </c>
      <c r="Y50" s="2">
        <f>INDEX(YearMap!$I$2:$I$6, MATCH(C50, YearMap!$A$2:$A$6, 0))</f>
        <v>5398.4527031249991</v>
      </c>
      <c r="Z50" s="2">
        <f>W50 - ((Y50 + IF(Parameters_Public!$C$20=1, Parameters_Public!$C$19, 0))*AC50)</f>
        <v>2855031.0976450029</v>
      </c>
      <c r="AA50" s="2">
        <f t="shared" si="16"/>
        <v>5860.0802496818615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(1-Parameters_Public!$C$43)*$G50*$AB50*$J50*(1-$K50)) + AB50*INDEX(YearMap!$Q$2:$Q$6, MATCH(C50, YearMap!$A$2:$A$6, 0))</f>
        <v>5722212.1758469045</v>
      </c>
      <c r="AF50" s="2">
        <f t="shared" si="18"/>
        <v>-408.37377753015608</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4488448.249426743</v>
      </c>
      <c r="V51" s="2">
        <f t="shared" si="14"/>
        <v>1476579.2275459461</v>
      </c>
      <c r="W51" s="2">
        <f>U51+V51+IF(Parameters_Public!$C$28=1, T51, 0)</f>
        <v>5965027.4769726889</v>
      </c>
      <c r="X51" s="2">
        <f t="shared" si="15"/>
        <v>12243.488253228015</v>
      </c>
      <c r="Y51" s="2">
        <f>INDEX(YearMap!$I$2:$I$6, MATCH(C51, YearMap!$A$2:$A$6, 0))</f>
        <v>5533.4140207031242</v>
      </c>
      <c r="Z51" s="2">
        <f>W51 - ((Y51 + IF(Parameters_Public!$C$20=1, Parameters_Public!$C$19, 0))*AC51)</f>
        <v>2902798.126086127</v>
      </c>
      <c r="AA51" s="2">
        <f t="shared" si="16"/>
        <v>5958.1242325248913</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(1-Parameters_Public!$C$43)*$G51*$AB51*$J51*(1-$K51)) + AB51*INDEX(YearMap!$Q$2:$Q$6, MATCH(C51, YearMap!$A$2:$A$6, 0))</f>
        <v>5830927.4802430766</v>
      </c>
      <c r="AF51" s="2">
        <f t="shared" si="18"/>
        <v>33921.416878031567</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95" t="s">
        <v>374</v>
      </c>
      <c r="B1" s="95"/>
      <c r="C1" s="95"/>
      <c r="D1" s="95"/>
      <c r="E1" s="95"/>
      <c r="F1" s="95"/>
      <c r="G1" s="95"/>
      <c r="H1" s="95"/>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800000</v>
      </c>
    </row>
    <row r="80" spans="1:8">
      <c r="A80" t="str">
        <v>B1_Repurpose_Echo_ops_PimaTargets</v>
      </c>
      <c r="B80" s="29">
        <f t="shared" si="3"/>
        <v>1200000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95" t="s">
        <v>382</v>
      </c>
      <c r="B1" s="95"/>
      <c r="C1" s="95"/>
      <c r="D1" s="95"/>
      <c r="E1" s="95"/>
      <c r="F1" s="95"/>
      <c r="G1" s="95"/>
      <c r="H1" s="95"/>
      <c r="I1" s="95"/>
      <c r="J1" s="95"/>
      <c r="K1" s="95"/>
      <c r="L1" s="95"/>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12" t="s">
        <v>463</v>
      </c>
      <c r="D5" s="113"/>
      <c r="E5" s="113"/>
      <c r="F5" s="113"/>
      <c r="G5" s="114"/>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803</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80" zoomScaleNormal="80" workbookViewId="0">
      <selection activeCell="Q2" sqref="Q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15" t="s">
        <v>731</v>
      </c>
      <c r="C3" s="115"/>
      <c r="D3" s="115"/>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15" t="s">
        <v>730</v>
      </c>
      <c r="C19" s="115"/>
      <c r="D19" s="115"/>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2025-11-07T23:19:35Z</dcterms:modified>
</cp:coreProperties>
</file>