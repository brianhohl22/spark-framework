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355" yWindow="150" windowWidth="18570" windowHeight="15300" tabRatio="600" firstSheet="1" activeTab="2" autoFilterDateGrouping="1"/>
  </bookViews>
  <sheets>
    <sheet xmlns:r="http://schemas.openxmlformats.org/officeDocument/2006/relationships" name="Workbook_Purpose_Overview" sheetId="1" state="visible" r:id="rId1"/>
    <sheet xmlns:r="http://schemas.openxmlformats.org/officeDocument/2006/relationships" name="How_To_Use_The_Workbook" sheetId="2" state="visible" r:id="rId2"/>
    <sheet xmlns:r="http://schemas.openxmlformats.org/officeDocument/2006/relationships" name="Dashboard" sheetId="3" state="visible" r:id="rId3"/>
    <sheet xmlns:r="http://schemas.openxmlformats.org/officeDocument/2006/relationships" name="Working_test" sheetId="4" state="visible" r:id="rId4"/>
    <sheet xmlns:r="http://schemas.openxmlformats.org/officeDocument/2006/relationships" name="Scenario_Comparison" sheetId="5" state="visible" r:id="rId5"/>
    <sheet xmlns:r="http://schemas.openxmlformats.org/officeDocument/2006/relationships" name="Budget_Neutral_Calculator" sheetId="6" state="visible" r:id="rId6"/>
    <sheet xmlns:r="http://schemas.openxmlformats.org/officeDocument/2006/relationships" name="Summary_Figures" sheetId="7" state="visible" r:id="rId7"/>
    <sheet xmlns:r="http://schemas.openxmlformats.org/officeDocument/2006/relationships" name="What_Is_The_$900K-$1M_Savings" sheetId="8" state="visible" r:id="rId8"/>
    <sheet xmlns:r="http://schemas.openxmlformats.org/officeDocument/2006/relationships" name="Parameters_Public" sheetId="9" state="visible" r:id="rId9"/>
    <sheet xmlns:r="http://schemas.openxmlformats.org/officeDocument/2006/relationships" name="Inputs_Definitions_Sources" sheetId="10" state="visible" r:id="rId10"/>
    <sheet xmlns:r="http://schemas.openxmlformats.org/officeDocument/2006/relationships" name="Scenarios" sheetId="11" state="visible" r:id="rId11"/>
    <sheet xmlns:r="http://schemas.openxmlformats.org/officeDocument/2006/relationships" name="MultiYear_ProForma" sheetId="12" state="visible" r:id="rId12"/>
    <sheet xmlns:r="http://schemas.openxmlformats.org/officeDocument/2006/relationships" name="Capital_Summary" sheetId="13" state="visible" r:id="rId13"/>
    <sheet xmlns:r="http://schemas.openxmlformats.org/officeDocument/2006/relationships" name="Receiving_Capacity" sheetId="14" state="visible" r:id="rId14"/>
    <sheet xmlns:r="http://schemas.openxmlformats.org/officeDocument/2006/relationships" name="Control_Center" sheetId="15" state="visible" r:id="rId15"/>
    <sheet xmlns:r="http://schemas.openxmlformats.org/officeDocument/2006/relationships" name="BaselineCalc" sheetId="16" state="visible" r:id="rId16"/>
    <sheet xmlns:r="http://schemas.openxmlformats.org/officeDocument/2006/relationships" name="YearMap" sheetId="17" state="visible" r:id="rId17"/>
    <sheet xmlns:r="http://schemas.openxmlformats.org/officeDocument/2006/relationships" name="Site_Fixed" sheetId="18" state="visible" r:id="rId18"/>
    <sheet xmlns:r="http://schemas.openxmlformats.org/officeDocument/2006/relationships" name="QA_Checks" sheetId="19" state="visible" r:id="rId19"/>
    <sheet xmlns:r="http://schemas.openxmlformats.org/officeDocument/2006/relationships" name="Parameters_Map" sheetId="20" state="visible"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fullCalcOnLoad="1"/>
</workbook>
</file>

<file path=xl/styles.xml><?xml version="1.0" encoding="utf-8"?>
<styleSheet xmlns="http://schemas.openxmlformats.org/spreadsheetml/2006/main">
  <numFmts count="6">
    <numFmt numFmtId="164" formatCode="\$#,##0"/>
    <numFmt numFmtId="165" formatCode="_(&quot;$&quot;* #,##0_);_(&quot;$&quot;* \(#,##0\);_(&quot;$&quot;* &quot;-&quot;??_);_(@_)"/>
    <numFmt numFmtId="166" formatCode="_-\$* #,##0_-;\-\$* #,##0_-;_-* &quot;-&quot;??_-;_-@_-"/>
    <numFmt numFmtId="167" formatCode="_(\$* #,##0_);_(\$* \(#,##0\);_(\$* &quot;-&quot;??_);_(@_)"/>
    <numFmt numFmtId="168" formatCode="&quot;$&quot;#,##0_);\(&quot;$&quot;#,##0\)"/>
    <numFmt numFmtId="169" formatCode="&quot;$&quot;#,##0.00_);\(&quot;$&quot;#,##0.00\)"/>
  </numFmts>
  <fonts count="37">
    <font>
      <name val="Calibri"/>
      <family val="2"/>
      <color theme="1"/>
      <sz val="11"/>
      <scheme val="minor"/>
    </font>
    <font>
      <name val="Calibri"/>
      <family val="2"/>
      <b val="1"/>
      <color theme="1"/>
      <sz val="11"/>
      <scheme val="minor"/>
    </font>
    <font>
      <name val="Calibri"/>
      <family val="2"/>
      <color theme="1"/>
      <sz val="9"/>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theme="1"/>
      <sz val="8"/>
      <scheme val="minor"/>
    </font>
    <font>
      <name val="Calibri"/>
      <family val="2"/>
      <color theme="0" tint="-0.3499862666707358"/>
      <sz val="11"/>
      <scheme val="minor"/>
    </font>
    <font>
      <name val="Calibri"/>
      <family val="2"/>
      <b val="1"/>
      <color theme="1"/>
      <sz val="12"/>
      <scheme val="minor"/>
    </font>
    <font>
      <name val="Calibri"/>
      <family val="2"/>
      <color theme="10"/>
      <sz val="11"/>
      <u val="single"/>
      <scheme val="minor"/>
    </font>
    <font>
      <name val="Calibri"/>
      <family val="2"/>
      <color theme="10"/>
      <sz val="10"/>
      <u val="single"/>
      <scheme val="minor"/>
    </font>
    <font>
      <name val="Cambria"/>
      <family val="2"/>
      <b val="1"/>
      <color theme="3"/>
      <sz val="18"/>
      <scheme val="major"/>
    </font>
    <font>
      <name val="Calibri"/>
      <family val="2"/>
      <b val="1"/>
      <sz val="11"/>
    </font>
    <font>
      <name val="Calibri"/>
      <family val="2"/>
      <b val="1"/>
      <sz val="11"/>
    </font>
    <font>
      <name val="Calibri"/>
      <family val="2"/>
      <b val="1"/>
      <sz val="11"/>
    </font>
    <font>
      <name val="Calibri"/>
      <family val="2"/>
      <i val="1"/>
      <color theme="1"/>
      <sz val="11"/>
      <scheme val="minor"/>
    </font>
    <font>
      <name val="Calibri"/>
      <family val="2"/>
      <color theme="0" tint="-0.249977111117893"/>
      <sz val="11"/>
      <scheme val="minor"/>
    </font>
    <font>
      <name val="Calibri"/>
      <family val="2"/>
      <b val="1"/>
      <sz val="11"/>
      <scheme val="minor"/>
    </font>
    <font>
      <name val="Calibri"/>
      <family val="2"/>
      <color theme="0"/>
      <sz val="11"/>
      <scheme val="minor"/>
    </font>
    <font>
      <name val="Calibri"/>
      <family val="2"/>
      <b val="1"/>
      <sz val="10"/>
    </font>
    <font>
      <name val="Calibri"/>
      <family val="2"/>
      <b val="1"/>
      <sz val="11"/>
    </font>
    <font>
      <name val="Calibri"/>
      <family val="2"/>
      <b val="1"/>
      <sz val="11"/>
    </font>
    <font>
      <name val="Calibri"/>
      <family val="2"/>
      <sz val="11"/>
    </font>
    <font>
      <name val="Calibri"/>
      <family val="2"/>
      <b val="1"/>
      <sz val="11"/>
    </font>
    <font>
      <name val="Calibri"/>
      <family val="2"/>
      <b val="1"/>
      <sz val="13"/>
      <scheme val="minor"/>
    </font>
    <font>
      <name val="Calibri"/>
      <family val="2"/>
      <sz val="13"/>
      <scheme val="minor"/>
    </font>
    <font>
      <name val="Calibri"/>
      <family val="2"/>
      <i val="1"/>
      <sz val="12"/>
      <scheme val="minor"/>
    </font>
    <font>
      <name val="Calibri"/>
      <family val="2"/>
      <b val="1"/>
      <color theme="1"/>
      <sz val="18"/>
      <scheme val="minor"/>
    </font>
    <font>
      <name val="Calibri"/>
      <family val="2"/>
      <b val="1"/>
      <sz val="12"/>
    </font>
    <font>
      <name val="Arial"/>
      <family val="2"/>
      <b val="1"/>
      <color rgb="FF1B1C1D"/>
      <sz val="10"/>
    </font>
    <font>
      <name val="Arial"/>
      <family val="2"/>
      <b val="1"/>
      <color rgb="FF444746"/>
      <sz val="10"/>
    </font>
    <font>
      <name val="Arial"/>
      <family val="2"/>
      <color rgb="FF1B1C1D"/>
      <sz val="10"/>
    </font>
    <font>
      <name val="Arial"/>
      <family val="2"/>
      <color theme="1"/>
      <sz val="10"/>
    </font>
    <font>
      <name val="Arial"/>
      <family val="2"/>
      <color rgb="FF444746"/>
      <sz val="10"/>
    </font>
    <font>
      <name val="Arial"/>
      <family val="2"/>
      <b val="1"/>
      <color theme="1"/>
      <sz val="10"/>
    </font>
    <font>
      <name val="Arial"/>
      <family val="2"/>
      <color theme="0" tint="-0.1499984740745262"/>
      <sz val="10"/>
    </font>
    <font>
      <name val="Arial"/>
      <family val="2"/>
      <i val="1"/>
      <color theme="1"/>
      <sz val="10"/>
    </font>
  </fonts>
  <fills count="13">
    <fill>
      <patternFill/>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
        <bgColor indexed="64"/>
      </patternFill>
    </fill>
    <fill>
      <patternFill patternType="solid">
        <fgColor theme="0"/>
        <bgColor indexed="64"/>
      </patternFill>
    </fill>
    <fill>
      <patternFill patternType="solid">
        <fgColor rgb="FFFF0000"/>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rgb="FFEFEFEF"/>
        <bgColor rgb="FFEFEFEF"/>
      </patternFill>
    </fill>
    <fill>
      <patternFill patternType="solid">
        <fgColor theme="0" tint="-0.0499893185216834"/>
        <bgColor indexed="64"/>
      </patternFill>
    </fill>
    <fill>
      <patternFill patternType="solid">
        <fgColor rgb="FFF8FAFD"/>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diagonal/>
    </border>
  </borders>
  <cellStyleXfs count="5">
    <xf numFmtId="0" fontId="3" fillId="0" borderId="0"/>
    <xf numFmtId="44" fontId="3" fillId="0" borderId="0"/>
    <xf numFmtId="0" fontId="9" fillId="0" borderId="0"/>
    <xf numFmtId="0" fontId="11" fillId="0" borderId="0"/>
    <xf numFmtId="9" fontId="3" fillId="0" borderId="0"/>
  </cellStyleXfs>
  <cellXfs count="173">
    <xf numFmtId="0" fontId="0" fillId="0" borderId="0" pivotButton="0" quotePrefix="0" xfId="0"/>
    <xf numFmtId="0" fontId="1" fillId="2" borderId="1" pivotButton="0" quotePrefix="0" xfId="0"/>
    <xf numFmtId="164" fontId="0" fillId="0" borderId="0" pivotButton="0" quotePrefix="0" xfId="0"/>
    <xf numFmtId="0" fontId="2" fillId="0" borderId="0" pivotButton="0" quotePrefix="0" xfId="0"/>
    <xf numFmtId="0" fontId="1" fillId="0" borderId="0" pivotButton="0" quotePrefix="0" xfId="0"/>
    <xf numFmtId="0" fontId="0" fillId="5" borderId="0" pivotButton="0" quotePrefix="0" xfId="0"/>
    <xf numFmtId="0" fontId="4" fillId="2" borderId="1" pivotButton="0" quotePrefix="0" xfId="0"/>
    <xf numFmtId="0" fontId="5" fillId="0" borderId="0" pivotButton="0" quotePrefix="0" xfId="0"/>
    <xf numFmtId="0" fontId="6" fillId="4" borderId="0" pivotButton="0" quotePrefix="0" xfId="0"/>
    <xf numFmtId="0" fontId="6" fillId="0" borderId="0" pivotButton="0" quotePrefix="0" xfId="0"/>
    <xf numFmtId="0" fontId="7" fillId="0" borderId="0" pivotButton="0" quotePrefix="0" xfId="0"/>
    <xf numFmtId="1" fontId="0" fillId="0" borderId="0" pivotButton="0" quotePrefix="0" xfId="0"/>
    <xf numFmtId="0" fontId="0" fillId="6" borderId="0" pivotButton="0" quotePrefix="0" xfId="0"/>
    <xf numFmtId="165" fontId="5" fillId="3" borderId="0" pivotButton="0" quotePrefix="0" xfId="1"/>
    <xf numFmtId="0" fontId="5" fillId="3" borderId="0" pivotButton="0" quotePrefix="0" xfId="0"/>
    <xf numFmtId="0" fontId="4" fillId="0" borderId="0" pivotButton="0" quotePrefix="0" xfId="0"/>
    <xf numFmtId="0" fontId="5" fillId="3" borderId="0" pivotButton="0" quotePrefix="1" xfId="0"/>
    <xf numFmtId="0" fontId="8" fillId="0" borderId="0" pivotButton="0" quotePrefix="0" xfId="0"/>
    <xf numFmtId="0" fontId="9" fillId="0" borderId="0" applyAlignment="1" pivotButton="0" quotePrefix="0" xfId="2">
      <alignment vertical="center" wrapText="1"/>
    </xf>
    <xf numFmtId="0" fontId="5" fillId="0" borderId="0" applyAlignment="1" pivotButton="0" quotePrefix="0" xfId="0">
      <alignment vertical="center" wrapText="1"/>
    </xf>
    <xf numFmtId="0" fontId="10" fillId="0" borderId="0" applyAlignment="1" pivotButton="0" quotePrefix="0" xfId="2">
      <alignment vertical="center" wrapText="1"/>
    </xf>
    <xf numFmtId="0" fontId="5" fillId="4" borderId="0" applyAlignment="1" pivotButton="0" quotePrefix="0" xfId="0">
      <alignment vertical="center" wrapText="1"/>
    </xf>
    <xf numFmtId="0" fontId="0" fillId="3" borderId="0" pivotButton="0" quotePrefix="0" xfId="0"/>
    <xf numFmtId="0" fontId="12" fillId="0" borderId="0" pivotButton="0" quotePrefix="0" xfId="0"/>
    <xf numFmtId="0" fontId="13" fillId="2" borderId="1" pivotButton="0" quotePrefix="0" xfId="0"/>
    <xf numFmtId="0" fontId="13" fillId="0" borderId="0" pivotButton="0" quotePrefix="0" xfId="0"/>
    <xf numFmtId="166" fontId="0" fillId="0" borderId="0" pivotButton="0" quotePrefix="0" xfId="0"/>
    <xf numFmtId="0" fontId="3" fillId="0" borderId="0" pivotButton="0" quotePrefix="0" xfId="0"/>
    <xf numFmtId="0" fontId="14" fillId="2" borderId="1" pivotButton="0" quotePrefix="0" xfId="0"/>
    <xf numFmtId="165" fontId="3" fillId="0" borderId="0" pivotButton="0" quotePrefix="0" xfId="1"/>
    <xf numFmtId="0" fontId="1" fillId="3" borderId="0" pivotButton="0" quotePrefix="0" xfId="0"/>
    <xf numFmtId="0" fontId="16" fillId="0" borderId="0" pivotButton="0" quotePrefix="0" xfId="0"/>
    <xf numFmtId="0" fontId="12" fillId="2" borderId="1" pivotButton="0" quotePrefix="0" xfId="0"/>
    <xf numFmtId="0" fontId="1" fillId="6" borderId="0" pivotButton="0" quotePrefix="0" xfId="0"/>
    <xf numFmtId="0" fontId="13" fillId="6" borderId="0" pivotButton="0" quotePrefix="0" xfId="0"/>
    <xf numFmtId="0" fontId="12" fillId="6" borderId="0" pivotButton="0" quotePrefix="0" xfId="0"/>
    <xf numFmtId="166" fontId="0" fillId="6" borderId="0" pivotButton="0" quotePrefix="0" xfId="0"/>
    <xf numFmtId="0" fontId="1" fillId="6" borderId="0" applyAlignment="1" pivotButton="0" quotePrefix="0" xfId="0">
      <alignment horizontal="center"/>
    </xf>
    <xf numFmtId="1" fontId="0" fillId="6" borderId="0" pivotButton="0" quotePrefix="0" xfId="0"/>
    <xf numFmtId="0" fontId="0" fillId="6" borderId="5" pivotButton="0" quotePrefix="0" xfId="0"/>
    <xf numFmtId="0" fontId="1" fillId="6" borderId="5" pivotButton="0" quotePrefix="0" xfId="0"/>
    <xf numFmtId="0" fontId="15" fillId="0" borderId="0" applyAlignment="1" pivotButton="0" quotePrefix="0" xfId="0">
      <alignment horizontal="center"/>
    </xf>
    <xf numFmtId="0" fontId="4" fillId="8" borderId="0" applyAlignment="1" pivotButton="0" quotePrefix="0" xfId="0">
      <alignment vertical="center"/>
    </xf>
    <xf numFmtId="0" fontId="4" fillId="9" borderId="0" applyAlignment="1" pivotButton="0" quotePrefix="0" xfId="0">
      <alignment vertical="center"/>
    </xf>
    <xf numFmtId="0" fontId="17" fillId="0" borderId="5" applyAlignment="1" pivotButton="0" quotePrefix="0" xfId="0">
      <alignment horizontal="center" vertical="center"/>
    </xf>
    <xf numFmtId="0" fontId="12" fillId="8" borderId="0" pivotButton="0" quotePrefix="0" xfId="0"/>
    <xf numFmtId="0" fontId="12" fillId="9" borderId="0" pivotButton="0" quotePrefix="0" xfId="0"/>
    <xf numFmtId="0" fontId="5" fillId="6" borderId="0" pivotButton="0" quotePrefix="0" xfId="0"/>
    <xf numFmtId="0" fontId="19" fillId="6" borderId="0" pivotButton="0" quotePrefix="0" xfId="0"/>
    <xf numFmtId="0" fontId="0" fillId="6" borderId="0" applyAlignment="1" pivotButton="0" quotePrefix="0" xfId="0">
      <alignment horizontal="left" vertical="center" wrapText="1"/>
    </xf>
    <xf numFmtId="0" fontId="0" fillId="6" borderId="0" applyAlignment="1" pivotButton="0" quotePrefix="0" xfId="0">
      <alignment wrapText="1"/>
    </xf>
    <xf numFmtId="0" fontId="0" fillId="6" borderId="0" applyAlignment="1" pivotButton="0" quotePrefix="0" xfId="0">
      <alignment vertical="center" wrapText="1"/>
    </xf>
    <xf numFmtId="0" fontId="20" fillId="0" borderId="0" pivotButton="0" quotePrefix="0" xfId="0"/>
    <xf numFmtId="0" fontId="19" fillId="0" borderId="0" pivotButton="0" quotePrefix="0" xfId="0"/>
    <xf numFmtId="0" fontId="0" fillId="6" borderId="0" applyAlignment="1" pivotButton="0" quotePrefix="0" xfId="0">
      <alignment horizontal="left"/>
    </xf>
    <xf numFmtId="0" fontId="1" fillId="6" borderId="0" applyAlignment="1" pivotButton="0" quotePrefix="0" xfId="0">
      <alignment horizontal="left"/>
    </xf>
    <xf numFmtId="0" fontId="21" fillId="11" borderId="0" pivotButton="0" quotePrefix="0" xfId="0"/>
    <xf numFmtId="0" fontId="21" fillId="11" borderId="0" applyAlignment="1" pivotButton="0" quotePrefix="0" xfId="0">
      <alignment horizontal="center" vertical="center"/>
    </xf>
    <xf numFmtId="0" fontId="22" fillId="11" borderId="0" applyAlignment="1" pivotButton="0" quotePrefix="0" xfId="0">
      <alignment horizontal="left"/>
    </xf>
    <xf numFmtId="167" fontId="22" fillId="11" borderId="0" applyAlignment="1" pivotButton="0" quotePrefix="0" xfId="0">
      <alignment horizontal="center" vertical="center"/>
    </xf>
    <xf numFmtId="0" fontId="0" fillId="11" borderId="0" applyAlignment="1" pivotButton="0" quotePrefix="0" xfId="0">
      <alignment horizontal="left"/>
    </xf>
    <xf numFmtId="167" fontId="0" fillId="11" borderId="0" applyAlignment="1" pivotButton="0" quotePrefix="0" xfId="0">
      <alignment horizontal="center" vertical="center"/>
    </xf>
    <xf numFmtId="0" fontId="1" fillId="11" borderId="0" applyAlignment="1" pivotButton="0" quotePrefix="0" xfId="0">
      <alignment horizontal="left"/>
    </xf>
    <xf numFmtId="1" fontId="1" fillId="11" borderId="0" applyAlignment="1" pivotButton="0" quotePrefix="0" xfId="0">
      <alignment horizontal="center" vertical="center"/>
    </xf>
    <xf numFmtId="0" fontId="1" fillId="6" borderId="5" applyAlignment="1" pivotButton="0" quotePrefix="0" xfId="0">
      <alignment horizontal="right"/>
    </xf>
    <xf numFmtId="0" fontId="1" fillId="9" borderId="0" applyAlignment="1" pivotButton="0" quotePrefix="0" xfId="0">
      <alignment horizontal="right"/>
    </xf>
    <xf numFmtId="0" fontId="5" fillId="11" borderId="0" pivotButton="0" quotePrefix="0" xfId="0"/>
    <xf numFmtId="1" fontId="0" fillId="11" borderId="0" applyAlignment="1" pivotButton="0" quotePrefix="0" xfId="0">
      <alignment horizontal="right" vertical="center"/>
    </xf>
    <xf numFmtId="0" fontId="18" fillId="11" borderId="0" pivotButton="0" quotePrefix="0" xfId="0"/>
    <xf numFmtId="0" fontId="0" fillId="11" borderId="0" pivotButton="0" quotePrefix="0" xfId="0"/>
    <xf numFmtId="0" fontId="23" fillId="0" borderId="0" pivotButton="0" quotePrefix="0" xfId="0"/>
    <xf numFmtId="0" fontId="1" fillId="2" borderId="1" applyAlignment="1" pivotButton="0" quotePrefix="0" xfId="0">
      <alignment wrapText="1"/>
    </xf>
    <xf numFmtId="0" fontId="0" fillId="0" borderId="0" applyAlignment="1" pivotButton="0" quotePrefix="0" xfId="0">
      <alignment wrapText="1"/>
    </xf>
    <xf numFmtId="0" fontId="24" fillId="0" borderId="0" pivotButton="0" quotePrefix="0" xfId="3"/>
    <xf numFmtId="0" fontId="25" fillId="0" borderId="0" pivotButton="0" quotePrefix="0" xfId="0"/>
    <xf numFmtId="0" fontId="0" fillId="6" borderId="0" applyAlignment="1" pivotButton="0" quotePrefix="0" xfId="0">
      <alignment horizontal="left" vertical="center" indent="1"/>
    </xf>
    <xf numFmtId="0" fontId="1" fillId="6" borderId="0" applyAlignment="1" pivotButton="0" quotePrefix="0" xfId="0">
      <alignment horizontal="left" vertical="center" indent="1"/>
    </xf>
    <xf numFmtId="0" fontId="27" fillId="6" borderId="0" applyAlignment="1" pivotButton="0" quotePrefix="0" xfId="0">
      <alignment vertical="center"/>
    </xf>
    <xf numFmtId="0" fontId="0" fillId="6" borderId="0" applyAlignment="1" pivotButton="0" quotePrefix="0" xfId="0">
      <alignment horizontal="left" vertical="center"/>
    </xf>
    <xf numFmtId="0" fontId="1" fillId="6" borderId="0" applyAlignment="1" pivotButton="0" quotePrefix="0" xfId="0">
      <alignment horizontal="left" vertical="center"/>
    </xf>
    <xf numFmtId="0" fontId="28" fillId="6" borderId="0" pivotButton="0" quotePrefix="0" xfId="0"/>
    <xf numFmtId="0" fontId="8" fillId="6" borderId="0" pivotButton="0" quotePrefix="0" xfId="0"/>
    <xf numFmtId="0" fontId="0" fillId="4" borderId="0" applyAlignment="1" pivotButton="0" quotePrefix="0" xfId="0">
      <alignment vertical="center" wrapText="1"/>
    </xf>
    <xf numFmtId="0" fontId="9" fillId="4" borderId="0" pivotButton="0" quotePrefix="0" xfId="2"/>
    <xf numFmtId="0" fontId="29" fillId="0" borderId="8" applyAlignment="1" pivotButton="0" quotePrefix="0" xfId="0">
      <alignment vertical="center" wrapText="1" readingOrder="1"/>
    </xf>
    <xf numFmtId="0" fontId="31" fillId="0" borderId="0" applyAlignment="1" pivotButton="0" quotePrefix="0" xfId="0">
      <alignment horizontal="center" vertical="center" wrapText="1" readingOrder="1"/>
    </xf>
    <xf numFmtId="0" fontId="30" fillId="0" borderId="9" applyAlignment="1" pivotButton="0" quotePrefix="0" xfId="0">
      <alignment vertical="center" wrapText="1" readingOrder="1"/>
    </xf>
    <xf numFmtId="0" fontId="32" fillId="0" borderId="0" pivotButton="0" quotePrefix="0" xfId="0"/>
    <xf numFmtId="0" fontId="32" fillId="0" borderId="0" applyAlignment="1" pivotButton="0" quotePrefix="0" xfId="0">
      <alignment horizontal="center" vertical="center"/>
    </xf>
    <xf numFmtId="0" fontId="29" fillId="12" borderId="0" applyAlignment="1" pivotButton="0" quotePrefix="0" xfId="0">
      <alignment horizontal="center" vertical="center" wrapText="1"/>
    </xf>
    <xf numFmtId="3" fontId="0" fillId="0" borderId="0" pivotButton="0" quotePrefix="0" xfId="0"/>
    <xf numFmtId="3" fontId="0" fillId="7" borderId="0" pivotButton="0" quotePrefix="0" xfId="0"/>
    <xf numFmtId="0" fontId="0" fillId="7" borderId="0" pivotButton="0" quotePrefix="0" xfId="0"/>
    <xf numFmtId="0" fontId="0" fillId="7" borderId="0" applyAlignment="1" pivotButton="0" quotePrefix="0" xfId="0">
      <alignment horizontal="center" vertical="top"/>
    </xf>
    <xf numFmtId="164" fontId="0" fillId="4" borderId="0" pivotButton="0" quotePrefix="0" xfId="0"/>
    <xf numFmtId="1" fontId="32" fillId="0" borderId="0" pivotButton="0" quotePrefix="0" xfId="0"/>
    <xf numFmtId="1" fontId="32" fillId="0" borderId="0" applyAlignment="1" pivotButton="0" quotePrefix="0" xfId="0">
      <alignment horizontal="center" vertical="center"/>
    </xf>
    <xf numFmtId="168" fontId="31" fillId="0" borderId="0" applyAlignment="1" pivotButton="0" quotePrefix="0" xfId="0">
      <alignment horizontal="center" vertical="center" wrapText="1" readingOrder="1"/>
    </xf>
    <xf numFmtId="168" fontId="32" fillId="0" borderId="0" pivotButton="0" quotePrefix="0" xfId="0"/>
    <xf numFmtId="169" fontId="32" fillId="0" borderId="0" pivotButton="0" quotePrefix="0" xfId="0"/>
    <xf numFmtId="0" fontId="34" fillId="0" borderId="0" pivotButton="0" quotePrefix="0" xfId="0"/>
    <xf numFmtId="0" fontId="31" fillId="0" borderId="1" applyAlignment="1" pivotButton="0" quotePrefix="0" xfId="0">
      <alignment vertical="center" wrapText="1" readingOrder="1"/>
    </xf>
    <xf numFmtId="0" fontId="33" fillId="0" borderId="1" applyAlignment="1" pivotButton="0" quotePrefix="0" xfId="0">
      <alignment vertical="center" wrapText="1" readingOrder="1"/>
    </xf>
    <xf numFmtId="0" fontId="32" fillId="0" borderId="1" pivotButton="0" quotePrefix="0" xfId="0"/>
    <xf numFmtId="0" fontId="32" fillId="3" borderId="1" pivotButton="0" quotePrefix="0" xfId="0"/>
    <xf numFmtId="168" fontId="31" fillId="3" borderId="0" applyAlignment="1" pivotButton="0" quotePrefix="0" xfId="0">
      <alignment horizontal="center" vertical="center" wrapText="1" readingOrder="1"/>
    </xf>
    <xf numFmtId="0" fontId="32" fillId="3" borderId="0" pivotButton="0" quotePrefix="0" xfId="0"/>
    <xf numFmtId="0" fontId="32" fillId="4" borderId="0" pivotButton="0" quotePrefix="0" xfId="0"/>
    <xf numFmtId="168" fontId="32" fillId="4" borderId="0" pivotButton="0" quotePrefix="0" xfId="0"/>
    <xf numFmtId="168" fontId="32" fillId="3" borderId="0" pivotButton="0" quotePrefix="0" xfId="0"/>
    <xf numFmtId="168" fontId="32" fillId="7" borderId="0" pivotButton="0" quotePrefix="0" xfId="0"/>
    <xf numFmtId="0" fontId="31" fillId="0" borderId="0" applyAlignment="1" pivotButton="0" quotePrefix="0" xfId="0">
      <alignment vertical="center" wrapText="1" readingOrder="1"/>
    </xf>
    <xf numFmtId="0" fontId="29" fillId="0" borderId="0" applyAlignment="1" pivotButton="0" quotePrefix="0" xfId="0">
      <alignment horizontal="center" vertical="center" wrapText="1"/>
    </xf>
    <xf numFmtId="0" fontId="33" fillId="0" borderId="0" applyAlignment="1" pivotButton="0" quotePrefix="0" xfId="0">
      <alignment vertical="center" wrapText="1" readingOrder="1"/>
    </xf>
    <xf numFmtId="9" fontId="32" fillId="0" borderId="0" applyAlignment="1" pivotButton="0" quotePrefix="0" xfId="4">
      <alignment horizontal="center" vertical="center"/>
    </xf>
    <xf numFmtId="0" fontId="29" fillId="0" borderId="0" applyAlignment="1" pivotButton="0" quotePrefix="0" xfId="0">
      <alignment vertical="center" wrapText="1" readingOrder="1"/>
    </xf>
    <xf numFmtId="168" fontId="32" fillId="0" borderId="0" applyAlignment="1" pivotButton="0" quotePrefix="0" xfId="0">
      <alignment horizontal="center" vertical="center"/>
    </xf>
    <xf numFmtId="0" fontId="35" fillId="0" borderId="0" applyAlignment="1" pivotButton="0" quotePrefix="0" xfId="0">
      <alignment horizontal="center" vertical="center"/>
    </xf>
    <xf numFmtId="0" fontId="34" fillId="0" borderId="11" applyAlignment="1" pivotButton="0" quotePrefix="0" xfId="0">
      <alignment horizontal="right" vertical="center"/>
    </xf>
    <xf numFmtId="0" fontId="34" fillId="3" borderId="10" applyAlignment="1" pivotButton="0" quotePrefix="0" xfId="0">
      <alignment horizontal="center" vertical="center"/>
    </xf>
    <xf numFmtId="0" fontId="29" fillId="0" borderId="0" applyAlignment="1" pivotButton="0" quotePrefix="0" xfId="0">
      <alignment horizontal="center" vertical="center" wrapText="1" readingOrder="1"/>
    </xf>
    <xf numFmtId="168" fontId="31" fillId="4" borderId="0" applyAlignment="1" pivotButton="0" quotePrefix="0" xfId="0">
      <alignment horizontal="center" vertical="center" wrapText="1" readingOrder="1"/>
    </xf>
    <xf numFmtId="0" fontId="31" fillId="4" borderId="0" applyAlignment="1" pivotButton="0" quotePrefix="0" xfId="0">
      <alignment horizontal="center" vertical="center" wrapText="1" readingOrder="1"/>
    </xf>
    <xf numFmtId="0" fontId="32" fillId="4" borderId="0" applyAlignment="1" pivotButton="0" quotePrefix="0" xfId="0">
      <alignment horizontal="center" vertical="center"/>
    </xf>
    <xf numFmtId="0" fontId="32" fillId="0" borderId="0" applyAlignment="1" pivotButton="0" quotePrefix="0" xfId="0">
      <alignment horizontal="left" indent="2"/>
    </xf>
    <xf numFmtId="0" fontId="31" fillId="0" borderId="0" applyAlignment="1" pivotButton="0" quotePrefix="0" xfId="0">
      <alignment horizontal="left" vertical="center" wrapText="1" indent="4" readingOrder="1"/>
    </xf>
    <xf numFmtId="0" fontId="32" fillId="0" borderId="0" applyAlignment="1" pivotButton="0" quotePrefix="0" xfId="0">
      <alignment horizontal="left" indent="4"/>
    </xf>
    <xf numFmtId="0" fontId="33" fillId="0" borderId="0" applyAlignment="1" pivotButton="0" quotePrefix="0" xfId="0">
      <alignment horizontal="left" vertical="center" wrapText="1" indent="4" readingOrder="1"/>
    </xf>
    <xf numFmtId="0" fontId="32" fillId="4" borderId="0" applyAlignment="1" pivotButton="0" quotePrefix="0" xfId="0">
      <alignment horizontal="left" indent="2"/>
    </xf>
    <xf numFmtId="0" fontId="32" fillId="4" borderId="0" applyAlignment="1" pivotButton="0" quotePrefix="0" xfId="0">
      <alignment horizontal="left" indent="4"/>
    </xf>
    <xf numFmtId="168" fontId="32" fillId="0" borderId="13" applyAlignment="1" pivotButton="0" quotePrefix="0" xfId="0">
      <alignment horizontal="center" vertical="center"/>
    </xf>
    <xf numFmtId="168" fontId="32" fillId="0" borderId="12" applyAlignment="1" pivotButton="0" quotePrefix="0" xfId="0">
      <alignment horizontal="center" vertical="center"/>
    </xf>
    <xf numFmtId="0" fontId="34" fillId="0" borderId="10" pivotButton="0" quotePrefix="0" xfId="0"/>
    <xf numFmtId="0" fontId="36" fillId="0" borderId="0" pivotButton="0" quotePrefix="0" xfId="0"/>
    <xf numFmtId="168" fontId="34" fillId="0" borderId="13" applyAlignment="1" pivotButton="0" quotePrefix="0" xfId="0">
      <alignment horizontal="center" vertical="center"/>
    </xf>
    <xf numFmtId="168" fontId="34" fillId="0" borderId="12" applyAlignment="1" pivotButton="0" quotePrefix="0" xfId="0">
      <alignment horizontal="center" vertical="center"/>
    </xf>
    <xf numFmtId="168" fontId="34" fillId="0" borderId="0" applyAlignment="1" pivotButton="0" quotePrefix="0" xfId="0">
      <alignment horizontal="center" vertical="center"/>
    </xf>
    <xf numFmtId="0" fontId="0" fillId="0" borderId="0" pivotButton="0" quotePrefix="0" xfId="0"/>
    <xf numFmtId="0" fontId="32" fillId="0" borderId="0" applyAlignment="1" pivotButton="0" quotePrefix="0" xfId="0">
      <alignment horizontal="center" vertical="center" wrapText="1"/>
    </xf>
    <xf numFmtId="0" fontId="32" fillId="0" borderId="0" pivotButton="0" quotePrefix="0" xfId="0"/>
    <xf numFmtId="0" fontId="5" fillId="11" borderId="0" applyAlignment="1" pivotButton="0" quotePrefix="0" xfId="0">
      <alignment horizontal="left" vertical="center" wrapText="1"/>
    </xf>
    <xf numFmtId="0" fontId="17" fillId="0" borderId="5" applyAlignment="1" pivotButton="0" quotePrefix="0" xfId="0">
      <alignment horizontal="center" vertical="center"/>
    </xf>
    <xf numFmtId="0" fontId="0" fillId="0" borderId="5" pivotButton="0" quotePrefix="0" xfId="0"/>
    <xf numFmtId="0" fontId="4" fillId="6" borderId="4" applyAlignment="1" pivotButton="0" quotePrefix="0" xfId="0">
      <alignment vertical="center" wrapText="1"/>
    </xf>
    <xf numFmtId="0" fontId="0" fillId="0" borderId="4" pivotButton="0" quotePrefix="0" xfId="0"/>
    <xf numFmtId="0" fontId="0" fillId="6" borderId="0" applyAlignment="1" pivotButton="0" quotePrefix="0" xfId="0">
      <alignment horizontal="left" vertical="center" wrapText="1"/>
    </xf>
    <xf numFmtId="0" fontId="5" fillId="11" borderId="6" applyAlignment="1" pivotButton="0" quotePrefix="0" xfId="0">
      <alignment horizontal="left" vertical="center" wrapText="1"/>
    </xf>
    <xf numFmtId="0" fontId="0" fillId="0" borderId="6" pivotButton="0" quotePrefix="0" xfId="0"/>
    <xf numFmtId="0" fontId="4" fillId="6" borderId="4" applyAlignment="1" pivotButton="0" quotePrefix="0" xfId="0">
      <alignment horizontal="left" vertical="center" wrapText="1"/>
    </xf>
    <xf numFmtId="0" fontId="1" fillId="9" borderId="7" applyAlignment="1" pivotButton="0" quotePrefix="0" xfId="0">
      <alignment horizontal="left" vertical="center" wrapText="1"/>
    </xf>
    <xf numFmtId="0" fontId="0" fillId="0" borderId="7" pivotButton="0" quotePrefix="0" xfId="0"/>
    <xf numFmtId="0" fontId="26" fillId="3" borderId="0" applyAlignment="1" pivotButton="0" quotePrefix="0" xfId="0">
      <alignment horizontal="center"/>
    </xf>
    <xf numFmtId="0" fontId="19" fillId="10" borderId="0" pivotButton="0" quotePrefix="0" xfId="0"/>
    <xf numFmtId="0" fontId="5" fillId="0" borderId="0" pivotButton="0" quotePrefix="0" xfId="0"/>
    <xf numFmtId="0" fontId="15" fillId="3" borderId="5" applyAlignment="1" pivotButton="0" quotePrefix="0" xfId="0">
      <alignment horizontal="center"/>
    </xf>
    <xf numFmtId="0" fontId="4" fillId="2" borderId="1" applyAlignment="1" pivotButton="0" quotePrefix="0" xfId="0">
      <alignment horizontal="center"/>
    </xf>
    <xf numFmtId="0" fontId="0" fillId="0" borderId="3" pivotButton="0" quotePrefix="0" xfId="0"/>
    <xf numFmtId="0" fontId="0" fillId="0" borderId="2" pivotButton="0" quotePrefix="0" xfId="0"/>
    <xf numFmtId="0" fontId="0" fillId="0" borderId="0" applyAlignment="1" pivotButton="0" quotePrefix="0" xfId="0">
      <alignment horizontal="left" vertical="center" wrapText="1"/>
    </xf>
    <xf numFmtId="168" fontId="31" fillId="0" borderId="0" applyAlignment="1" pivotButton="0" quotePrefix="0" xfId="0">
      <alignment horizontal="center" vertical="center" wrapText="1" readingOrder="1"/>
    </xf>
    <xf numFmtId="168" fontId="32" fillId="0" borderId="0" applyAlignment="1" pivotButton="0" quotePrefix="0" xfId="0">
      <alignment horizontal="center" vertical="center"/>
    </xf>
    <xf numFmtId="168" fontId="31" fillId="4" borderId="0" applyAlignment="1" pivotButton="0" quotePrefix="0" xfId="0">
      <alignment horizontal="center" vertical="center" wrapText="1" readingOrder="1"/>
    </xf>
    <xf numFmtId="168" fontId="34" fillId="0" borderId="13" applyAlignment="1" pivotButton="0" quotePrefix="0" xfId="0">
      <alignment horizontal="center" vertical="center"/>
    </xf>
    <xf numFmtId="168" fontId="34" fillId="0" borderId="12" applyAlignment="1" pivotButton="0" quotePrefix="0" xfId="0">
      <alignment horizontal="center" vertical="center"/>
    </xf>
    <xf numFmtId="168" fontId="32" fillId="0" borderId="0" pivotButton="0" quotePrefix="0" xfId="0"/>
    <xf numFmtId="169" fontId="32" fillId="0" borderId="0" pivotButton="0" quotePrefix="0" xfId="0"/>
    <xf numFmtId="168" fontId="32" fillId="0" borderId="13" applyAlignment="1" pivotButton="0" quotePrefix="0" xfId="0">
      <alignment horizontal="center" vertical="center"/>
    </xf>
    <xf numFmtId="168" fontId="32" fillId="0" borderId="12" applyAlignment="1" pivotButton="0" quotePrefix="0" xfId="0">
      <alignment horizontal="center" vertical="center"/>
    </xf>
    <xf numFmtId="168" fontId="34" fillId="0" borderId="0" applyAlignment="1" pivotButton="0" quotePrefix="0" xfId="0">
      <alignment horizontal="center" vertical="center"/>
    </xf>
    <xf numFmtId="168" fontId="32" fillId="4" borderId="0" pivotButton="0" quotePrefix="0" xfId="0"/>
    <xf numFmtId="168" fontId="32" fillId="3" borderId="0" pivotButton="0" quotePrefix="0" xfId="0"/>
    <xf numFmtId="168" fontId="32" fillId="7" borderId="0" pivotButton="0" quotePrefix="0" xfId="0"/>
    <xf numFmtId="168" fontId="31" fillId="3" borderId="0" applyAlignment="1" pivotButton="0" quotePrefix="0" xfId="0">
      <alignment horizontal="center" vertical="center" wrapText="1" readingOrder="1"/>
    </xf>
  </cellXfs>
  <cellStyles count="5">
    <cellStyle name="Normal" xfId="0" builtinId="0"/>
    <cellStyle name="Currency" xfId="1" builtinId="4"/>
    <cellStyle name="Hyperlink" xfId="2" builtinId="8"/>
    <cellStyle name="Title" xfId="3" builtinId="15"/>
    <cellStyle name="Percent" xfId="4"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a:pPr>
            <a:r>
              <a:rPr lang="en-US" sz="1100"/>
              <a:t>Operating Net ($) — Base vs Comparator</a:t>
            </a:r>
          </a:p>
        </rich>
      </tx>
      <overlay val="0"/>
    </title>
    <plotArea>
      <layout/>
      <lineChart>
        <grouping val="standard"/>
        <varyColors val="0"/>
        <ser>
          <idx val="0"/>
          <order val="0"/>
          <tx>
            <strRef>
              <f>Scenario_Comparison!$C$26</f>
              <strCache>
                <ptCount val="1"/>
                <pt idx="0">
                  <v>Operating Net$ (Base)</v>
                </pt>
              </strCache>
            </strRef>
          </tx>
          <spPr>
            <a:ln xmlns:a="http://schemas.openxmlformats.org/drawingml/2006/main">
              <a:solidFill>
                <a:schemeClr val="accent4">
                  <a:lumMod val="40000"/>
                  <a:lumOff val="60000"/>
                </a:schemeClr>
              </a:solidFill>
              <a:prstDash val="solid"/>
            </a:ln>
          </spPr>
          <marker>
            <symbol val="none"/>
            <spPr>
              <a:ln xmlns:a="http://schemas.openxmlformats.org/drawingml/2006/main">
                <a:prstDash val="solid"/>
              </a:ln>
            </spPr>
          </marker>
          <cat>
            <strRef>
              <f>Scenario_Comparison!$B$27:$B$31</f>
              <strCache>
                <ptCount val="5"/>
                <pt idx="0">
                  <v>FY2026</v>
                </pt>
                <pt idx="1">
                  <v>FY2027</v>
                </pt>
                <pt idx="2">
                  <v>FY2028</v>
                </pt>
                <pt idx="3">
                  <v>FY2029</v>
                </pt>
                <pt idx="4">
                  <v>FY2030</v>
                </pt>
              </strCache>
            </strRef>
          </cat>
          <val>
            <numRef>
              <f>Scenario_Comparison!$C$27:$C$31</f>
              <numCache>
                <formatCode>_-\$* #,##0_-;\-\$* #,##0_-;_-* "-"??_-;_-@_-</formatCode>
                <ptCount val="5"/>
                <pt idx="0">
                  <v>252007.4931103066</v>
                </pt>
                <pt idx="1">
                  <v>349612.680438065</v>
                </pt>
                <pt idx="2">
                  <v>547880.7840701113</v>
                </pt>
                <pt idx="3">
                  <v>711002.8849584851</v>
                </pt>
                <pt idx="4">
                  <v>815010.4570824476</v>
                </pt>
              </numCache>
            </numRef>
          </val>
          <smooth val="0"/>
        </ser>
        <ser>
          <idx val="1"/>
          <order val="1"/>
          <tx>
            <strRef>
              <f>Scenario_Comparison!$D$26</f>
              <strCache>
                <ptCount val="1"/>
                <pt idx="0">
                  <v>Operating Net$ (Comparator)</v>
                </pt>
              </strCache>
            </strRef>
          </tx>
          <spPr>
            <a:ln xmlns:a="http://schemas.openxmlformats.org/drawingml/2006/main">
              <a:solidFill>
                <a:schemeClr val="accent6">
                  <a:lumMod val="60000"/>
                  <a:lumOff val="40000"/>
                </a:schemeClr>
              </a:solidFill>
              <a:prstDash val="solid"/>
            </a:ln>
          </spPr>
          <marker>
            <symbol val="none"/>
            <spPr>
              <a:ln xmlns:a="http://schemas.openxmlformats.org/drawingml/2006/main">
                <a:prstDash val="solid"/>
              </a:ln>
            </spPr>
          </marker>
          <cat>
            <strRef>
              <f>Scenario_Comparison!$B$27:$B$31</f>
              <strCache>
                <ptCount val="5"/>
                <pt idx="0">
                  <v>FY2026</v>
                </pt>
                <pt idx="1">
                  <v>FY2027</v>
                </pt>
                <pt idx="2">
                  <v>FY2028</v>
                </pt>
                <pt idx="3">
                  <v>FY2029</v>
                </pt>
                <pt idx="4">
                  <v>FY2030</v>
                </pt>
              </strCache>
            </strRef>
          </cat>
          <val>
            <numRef>
              <f>Scenario_Comparison!$D$27:$D$31</f>
              <numCache>
                <formatCode>_-\$* #,##0_-;\-\$* #,##0_-;_-* "-"??_-;_-@_-</formatCode>
                <ptCount val="5"/>
                <pt idx="0">
                  <v>-459335.0305249998</v>
                </pt>
                <pt idx="1">
                  <v>-500524.6865998628</v>
                </pt>
                <pt idx="2">
                  <v>-542877.7623379985</v>
                </pt>
                <pt idx="3">
                  <v>-586423.9447831688</v>
                </pt>
                <pt idx="4">
                  <v>-631193.6658622073</v>
                </pt>
              </numCache>
            </numRef>
          </val>
          <smooth val="0"/>
        </ser>
        <dLbls>
          <showLegendKey val="0"/>
          <showVal val="0"/>
          <showCatName val="0"/>
          <showSerName val="0"/>
          <showPercent val="0"/>
          <showBubbleSize val="0"/>
        </dLbls>
        <smooth val="0"/>
        <axId val="10"/>
        <axId val="100"/>
      </lineChart>
      <catAx>
        <axId val="10"/>
        <scaling>
          <orientation val="minMax"/>
        </scaling>
        <delete val="0"/>
        <axPos val="b"/>
        <numFmt formatCode="General" sourceLinked="1"/>
        <majorTickMark val="none"/>
        <minorTickMark val="none"/>
        <tickLblPos val="nextTo"/>
        <crossAx val="100"/>
        <crosses val="autoZero"/>
        <auto val="0"/>
        <lblAlgn val="ctr"/>
        <lblOffset val="100"/>
        <noMultiLvlLbl val="0"/>
      </catAx>
      <valAx>
        <axId val="100"/>
        <scaling>
          <orientation val="minMax"/>
        </scaling>
        <delete val="0"/>
        <axPos val="l"/>
        <majorGridlines>
          <spPr>
            <a:ln xmlns:a="http://schemas.openxmlformats.org/drawingml/2006/main">
              <a:solidFill>
                <a:schemeClr val="bg1">
                  <a:lumMod val="75000"/>
                </a:schemeClr>
              </a:solidFill>
              <a:prstDash val="solid"/>
            </a:ln>
          </spPr>
        </majorGridlines>
        <numFmt formatCode="_-\$* #,##0_-;\-\$* #,##0_-;_-* &quot;-&quot;??_-;_-@_-" sourceLinked="1"/>
        <majorTickMark val="none"/>
        <minorTickMark val="none"/>
        <tickLblPos val="nextTo"/>
        <spPr>
          <a:ln xmlns:a="http://schemas.openxmlformats.org/drawingml/2006/main" w="9525">
            <a:noFill/>
            <a:prstDash val="solid"/>
          </a:ln>
        </spPr>
        <crossAx val="10"/>
        <crosses val="autoZero"/>
        <crossBetween val="between"/>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xml:space="preserve"> $ FY26 </a:t>
            </a:r>
            <a:r>
              <a:rPr lang="en-US" sz="1000" b="1" i="0" strike="noStrike" kern="1200" spc="0" baseline="0">
                <a:solidFill>
                  <a:sysClr val="windowText" lastClr="000000"/>
                </a:solidFill>
              </a:rPr>
              <a:t>—</a:t>
            </a:r>
            <a:r>
              <a:rPr lang="en-US" sz="1000" b="1" baseline="0">
                <a:solidFill>
                  <a:sysClr val="windowText" lastClr="000000"/>
                </a:solidFill>
              </a:rPr>
              <a:t xml:space="preserve"> Base vs. Comparator</a:t>
            </a:r>
            <a:endParaRPr lang="en-US" sz="1000" b="1">
              <a:solidFill>
                <a:sysClr val="windowText" lastClr="000000"/>
              </a:solidFill>
            </a:endParaRPr>
          </a:p>
        </rich>
      </tx>
      <overlay val="0"/>
      <spPr>
        <a:noFill xmlns:a="http://schemas.openxmlformats.org/drawingml/2006/main"/>
        <a:ln xmlns:a="http://schemas.openxmlformats.org/drawingml/2006/main">
          <a:noFill/>
          <a:prstDash val="solid"/>
        </a:ln>
      </spPr>
    </title>
    <plotArea>
      <layout/>
      <barChart>
        <barDir val="bar"/>
        <grouping val="clustered"/>
        <varyColors val="0"/>
        <ser>
          <idx val="0"/>
          <order val="0"/>
          <spPr>
            <a:solidFill xmlns:a="http://schemas.openxmlformats.org/drawingml/2006/main">
              <a:schemeClr val="accent6"/>
            </a:solidFill>
            <a:ln xmlns:a="http://schemas.openxmlformats.org/drawingml/2006/main">
              <a:noFill/>
              <a:prstDash val="solid"/>
            </a:ln>
          </spPr>
          <invertIfNegative val="0"/>
          <dPt>
            <idx val="0"/>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1"/>
            <invertIfNegative val="0"/>
            <bubble3D val="0"/>
            <spPr>
              <a:solidFill xmlns:a="http://schemas.openxmlformats.org/drawingml/2006/main">
                <a:schemeClr val="accent6">
                  <a:lumMod val="40000"/>
                  <a:lumOff val="6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Scenario_Comparison!$B$44:$B$45</f>
              <strCache>
                <ptCount val="2"/>
                <pt idx="0">
                  <v>One-time Capital FY 2026 (Base)</v>
                </pt>
                <pt idx="1">
                  <v>One-time Capital FY 2026 (Comparator)</v>
                </pt>
              </strCache>
            </strRef>
          </cat>
          <val>
            <numRef>
              <f>Scenario_Comparison!$C$44:$C$45</f>
              <numCache>
                <formatCode>_-\$* #,##0_-;\-\$* #,##0_-;_-* "-"??_-;_-@_-</formatCode>
                <ptCount val="2"/>
                <pt idx="0">
                  <v>2314480</v>
                </pt>
                <pt idx="1">
                  <v>0</v>
                </pt>
              </numCache>
            </numRef>
          </val>
        </ser>
        <dLbls>
          <showLegendKey val="0"/>
          <showVal val="1"/>
          <showCatName val="0"/>
          <showSerName val="0"/>
          <showPercent val="0"/>
          <showBubbleSize val="0"/>
        </dLbls>
        <gapWidth val="150"/>
        <overlap val="-25"/>
        <axId val="1760703392"/>
        <axId val="1760703872"/>
      </barChart>
      <catAx>
        <axId val="176070339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60703872"/>
        <crosses val="autoZero"/>
        <auto val="1"/>
        <lblAlgn val="ctr"/>
        <lblOffset val="100"/>
        <noMultiLvlLbl val="0"/>
      </catAx>
      <valAx>
        <axId val="1760703872"/>
        <scaling>
          <orientation val="minMax"/>
        </scaling>
        <delete val="1"/>
        <axPos val="b"/>
        <numFmt formatCode="_-\$* #,##0_-;\-\$* #,##0_-;_-* &quot;-&quot;??_-;_-@_-" sourceLinked="1"/>
        <majorTickMark val="none"/>
        <minorTickMark val="none"/>
        <tickLblPos val="nextTo"/>
        <crossAx val="1760703392"/>
        <crosses val="autoZero"/>
        <crossBetween val="between"/>
      </valAx>
    </plotArea>
    <plotVisOnly val="1"/>
    <dispBlanksAs val="gap"/>
  </chart>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xml:space="preserve"> Net Ops $ per year (FY26-30) </a:t>
            </a:r>
            <a:r>
              <a:rPr lang="en-US" sz="1000" b="1" i="0" strike="noStrike" kern="1200" spc="0" baseline="0">
                <a:solidFill>
                  <a:sysClr val="windowText" lastClr="000000"/>
                </a:solidFill>
              </a:rPr>
              <a:t>—</a:t>
            </a:r>
            <a:r>
              <a:rPr lang="en-US" sz="1000" b="1" baseline="0">
                <a:solidFill>
                  <a:sysClr val="windowText" lastClr="000000"/>
                </a:solidFill>
              </a:rPr>
              <a:t xml:space="preserve"> Base vs. Comparator</a:t>
            </a:r>
            <a:endParaRPr lang="en-US" sz="1000" b="1">
              <a:solidFill>
                <a:sysClr val="windowText" lastClr="000000"/>
              </a:solidFill>
            </a:endParaRPr>
          </a:p>
        </rich>
      </tx>
      <overlay val="0"/>
      <spPr>
        <a:noFill xmlns:a="http://schemas.openxmlformats.org/drawingml/2006/main"/>
        <a:ln xmlns:a="http://schemas.openxmlformats.org/drawingml/2006/main">
          <a:noFill/>
          <a:prstDash val="solid"/>
        </a:ln>
      </spPr>
    </title>
    <plotArea>
      <layout/>
      <barChart>
        <barDir val="bar"/>
        <grouping val="clustered"/>
        <varyColors val="0"/>
        <ser>
          <idx val="0"/>
          <order val="0"/>
          <spPr>
            <a:solidFill xmlns:a="http://schemas.openxmlformats.org/drawingml/2006/main">
              <a:schemeClr val="accent6"/>
            </a:solidFill>
            <a:ln xmlns:a="http://schemas.openxmlformats.org/drawingml/2006/main">
              <a:noFill/>
              <a:prstDash val="solid"/>
            </a:ln>
          </spPr>
          <invertIfNegative val="0"/>
          <dPt>
            <idx val="0"/>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1"/>
            <invertIfNegative val="0"/>
            <bubble3D val="0"/>
            <spPr>
              <a:solidFill xmlns:a="http://schemas.openxmlformats.org/drawingml/2006/main">
                <a:schemeClr val="accent6">
                  <a:lumMod val="40000"/>
                  <a:lumOff val="6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Scenario_Comparison!$B$47:$B$48</f>
              <strCache>
                <ptCount val="2"/>
                <pt idx="0">
                  <v>Avg Net (FY26–30) (Base)—rounded</v>
                </pt>
                <pt idx="1">
                  <v>Avg Net (FY26–30) (Comparator)—rounded</v>
                </pt>
              </strCache>
            </strRef>
          </cat>
          <val>
            <numRef>
              <f>Scenario_Comparison!$C$47:$C$48</f>
              <numCache>
                <formatCode>_-\$* #,##0_-;\-\$* #,##0_-;_-* "-"??_-;_-@_-</formatCode>
                <ptCount val="2"/>
                <pt idx="0">
                  <v>540000</v>
                </pt>
                <pt idx="1">
                  <v>-440000</v>
                </pt>
              </numCache>
            </numRef>
          </val>
        </ser>
        <dLbls>
          <showLegendKey val="0"/>
          <showVal val="1"/>
          <showCatName val="0"/>
          <showSerName val="0"/>
          <showPercent val="0"/>
          <showBubbleSize val="0"/>
        </dLbls>
        <gapWidth val="150"/>
        <overlap val="-25"/>
        <axId val="1760703392"/>
        <axId val="1760703872"/>
      </barChart>
      <catAx>
        <axId val="1760703392"/>
        <scaling>
          <orientation val="minMax"/>
        </scaling>
        <delete val="0"/>
        <axPos val="l"/>
        <numFmt formatCode="General" sourceLinked="1"/>
        <majorTickMark val="none"/>
        <minorTickMark val="none"/>
        <tickLblPos val="low"/>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60703872"/>
        <crosses val="autoZero"/>
        <auto val="1"/>
        <lblAlgn val="ctr"/>
        <lblOffset val="100"/>
        <noMultiLvlLbl val="0"/>
      </catAx>
      <valAx>
        <axId val="1760703872"/>
        <scaling>
          <orientation val="minMax"/>
        </scaling>
        <delete val="1"/>
        <axPos val="b"/>
        <numFmt formatCode="_-\$* #,##0_-;\-\$* #,##0_-;_-* &quot;-&quot;??_-;_-@_-" sourceLinked="1"/>
        <majorTickMark val="none"/>
        <minorTickMark val="none"/>
        <tickLblPos val="nextTo"/>
        <crossAx val="1760703392"/>
        <crosses val="autoZero"/>
        <crossBetween val="between"/>
      </valAx>
    </plotArea>
    <plotVisOnly val="1"/>
    <dispBlanksAs val="gap"/>
  </chart>
</chartSpace>
</file>

<file path=xl/charts/chart4.xml><?xml version="1.0" encoding="utf-8"?>
<chartSpace xmlns="http://schemas.openxmlformats.org/drawingml/2006/chart">
  <chart>
    <title>
      <tx>
        <strRef>
          <f>Summary_Figures!$P$2</f>
          <strCache>
            <ptCount val="1"/>
            <pt idx="0">
              <v>(Comparison) Change in ops net $ by scenario compared to E1_StatusQuo_Decline (Positive = savings)</v>
            </pt>
          </strCache>
        </strRef>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1"/>
          <order val="0"/>
          <tx>
            <strRef>
              <f>Summary_Figures!$L$4</f>
              <strCache>
                <ptCount val="1"/>
                <pt idx="0">
                  <v>Δ vs Base (FY2030 Net)</v>
                </pt>
              </strCache>
            </strRef>
          </tx>
          <spPr>
            <a:solidFill xmlns:a="http://schemas.openxmlformats.org/drawingml/2006/main">
              <a:schemeClr val="tx1">
                <a:lumMod val="75000"/>
                <a:lumOff val="25000"/>
              </a:schemeClr>
            </a:solidFill>
            <a:ln xmlns:a="http://schemas.openxmlformats.org/drawingml/2006/main">
              <a:noFill/>
              <a:prstDash val="solid"/>
            </a:ln>
          </spPr>
          <invertIfNegative val="0"/>
          <cat>
            <strRef>
              <f>Summary_Figures!$B$5:$B$17</f>
              <strCache>
                <ptCount val="13"/>
                <pt idx="0">
                  <v>F1_CUSTOM1</v>
                </pt>
                <pt idx="1">
                  <v>D4_StatusQuo_Targets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Summary_Figures!$L$5:$L$17</f>
              <numCache>
                <formatCode>_-\$* #,##0_-;\-\$* #,##0_-;_-* "-"??_-;_-@_-</formatCode>
                <ptCount val="13"/>
                <pt idx="0">
                  <v>124173.7380530853</v>
                </pt>
                <pt idx="1">
                  <v>548358.1940381778</v>
                </pt>
                <pt idx="2">
                  <v>780785.5373890651</v>
                </pt>
                <pt idx="3">
                  <v>972542.6500232685</v>
                </pt>
                <pt idx="4">
                  <v>124173.7380530853</v>
                </pt>
                <pt idx="5">
                  <v>831147.8313615713</v>
                </pt>
                <pt idx="6">
                  <v>1446204.122944655</v>
                </pt>
                <pt idx="7">
                  <v>1024895.989669508</v>
                </pt>
                <pt idx="8">
                  <v>934438.2008343982</v>
                </pt>
                <pt idx="9">
                  <v>738640.3884443203</v>
                </pt>
                <pt idx="10">
                  <v>1201518.93481013</v>
                </pt>
                <pt idx="11">
                  <v>976008.6139250612</v>
                </pt>
                <pt idx="12">
                  <v>0</v>
                </pt>
              </numCache>
            </numRef>
          </val>
        </ser>
        <ser>
          <idx val="2"/>
          <order val="1"/>
          <tx>
            <strRef>
              <f>Summary_Figures!$M$4</f>
              <strCache>
                <ptCount val="1"/>
                <pt idx="0">
                  <v>Δ vs Base (5-yr Avg Net)</v>
                </pt>
              </strCache>
            </strRef>
          </tx>
          <spPr>
            <a:solidFill xmlns:a="http://schemas.openxmlformats.org/drawingml/2006/main">
              <a:schemeClr val="accent4">
                <a:lumMod val="60000"/>
                <a:lumOff val="40000"/>
              </a:schemeClr>
            </a:solidFill>
            <a:ln xmlns:a="http://schemas.openxmlformats.org/drawingml/2006/main">
              <a:noFill/>
              <a:prstDash val="solid"/>
            </a:ln>
          </spPr>
          <invertIfNegative val="0"/>
          <cat>
            <strRef>
              <f>Summary_Figures!$B$5:$B$17</f>
              <strCache>
                <ptCount val="13"/>
                <pt idx="0">
                  <v>F1_CUSTOM1</v>
                </pt>
                <pt idx="1">
                  <v>D4_StatusQuo_Targets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Summary_Figures!$M$5:$M$17</f>
              <numCache>
                <formatCode>_-\$* #,##0_-;\-\$* #,##0_-;_-* "-"??_-;_-@_-</formatCode>
                <ptCount val="13"/>
                <pt idx="0">
                  <v>61187.85418684076</v>
                </pt>
                <pt idx="1">
                  <v>384344.0486133943</v>
                </pt>
                <pt idx="2">
                  <v>630127.3926277746</v>
                </pt>
                <pt idx="3">
                  <v>707500.2430399477</v>
                </pt>
                <pt idx="4">
                  <v>61187.85418684076</v>
                </pt>
                <pt idx="5">
                  <v>599781.5115644301</v>
                </pt>
                <pt idx="6">
                  <v>1079173.877953531</v>
                </pt>
                <pt idx="7">
                  <v>658837.9663473297</v>
                </pt>
                <pt idx="8">
                  <v>683781.4342514692</v>
                </pt>
                <pt idx="9">
                  <v>486979.1136112452</v>
                </pt>
                <pt idx="10">
                  <v>887458.8889952066</v>
                </pt>
                <pt idx="11">
                  <v>663925.2980292293</v>
                </pt>
                <pt idx="12">
                  <v>0</v>
                </pt>
              </numCache>
            </numRef>
          </val>
        </ser>
        <dLbls>
          <showLegendKey val="0"/>
          <showVal val="0"/>
          <showCatName val="0"/>
          <showSerName val="0"/>
          <showPercent val="0"/>
          <showBubbleSize val="0"/>
        </dLbls>
        <gapWidth val="182"/>
        <axId val="1760713472"/>
        <axId val="1760709152"/>
      </barChart>
      <catAx>
        <axId val="176071347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60709152"/>
        <crosses val="autoZero"/>
        <auto val="1"/>
        <lblAlgn val="ctr"/>
        <lblOffset val="100"/>
        <noMultiLvlLbl val="0"/>
      </catAx>
      <valAx>
        <axId val="176070915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_-\$* #,##0_-;\-\$* #,##0_-;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6071347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chartSpace>
</file>

<file path=xl/charts/chart5.xml><?xml version="1.0" encoding="utf-8"?>
<chartSpace xmlns="http://schemas.openxmlformats.org/drawingml/2006/chart">
  <chart>
    <title>
      <tx>
        <strRef>
          <f>Summary_Figures!$P$3</f>
          <strCache>
            <ptCount val="1"/>
            <pt idx="0">
              <v>(Nominal) One-time capital (FY26) &amp; Average 5-yr net ops $ by scenario</v>
            </pt>
          </strCache>
        </strRef>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Summary_Figures!$C$4</f>
              <strCache>
                <ptCount val="1"/>
                <pt idx="0">
                  <v>One-time Capital (FY26)</v>
                </pt>
              </strCache>
            </strRef>
          </tx>
          <spPr>
            <a:solidFill xmlns:a="http://schemas.openxmlformats.org/drawingml/2006/main">
              <a:schemeClr val="accent2">
                <a:lumMod val="60000"/>
                <a:lumOff val="40000"/>
              </a:schemeClr>
            </a:solidFill>
            <a:ln xmlns:a="http://schemas.openxmlformats.org/drawingml/2006/main">
              <a:noFill/>
              <a:prstDash val="solid"/>
            </a:ln>
          </spPr>
          <invertIfNegative val="0"/>
          <cat>
            <strRef>
              <f>Summary_Figures!$B$5:$B$17</f>
              <strCache>
                <ptCount val="13"/>
                <pt idx="0">
                  <v>F1_CUSTOM1</v>
                </pt>
                <pt idx="1">
                  <v>D4_StatusQuo_Targets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Summary_Figures!$C$5:$C$17</f>
              <numCache>
                <formatCode>_-\$* #,##0_-;\-\$* #,##0_-;_-* "-"??_-;_-@_-</formatCode>
                <ptCount val="13"/>
                <pt idx="0">
                  <v>0</v>
                </pt>
                <pt idx="1">
                  <v>0</v>
                </pt>
                <pt idx="2">
                  <v>0</v>
                </pt>
                <pt idx="3">
                  <v>-2000000</v>
                </pt>
                <pt idx="4">
                  <v>0</v>
                </pt>
                <pt idx="5">
                  <v>-800000</v>
                </pt>
                <pt idx="6">
                  <v>-2314480</v>
                </pt>
                <pt idx="7">
                  <v>-3114480</v>
                </pt>
                <pt idx="8">
                  <v>-1600000</v>
                </pt>
                <pt idx="9">
                  <v>-2000000</v>
                </pt>
                <pt idx="10">
                  <v>-1600000</v>
                </pt>
                <pt idx="11">
                  <v>-2000000</v>
                </pt>
                <pt idx="12">
                  <v>0</v>
                </pt>
              </numCache>
            </numRef>
          </val>
        </ser>
        <ser>
          <idx val="1"/>
          <order val="1"/>
          <tx>
            <strRef>
              <f>Summary_Figures!$G$4</f>
              <strCache>
                <ptCount val="1"/>
                <pt idx="0">
                  <v>AVG 5-yr net operational $</v>
                </pt>
              </strCache>
            </strRef>
          </tx>
          <spPr>
            <a:solidFill xmlns:a="http://schemas.openxmlformats.org/drawingml/2006/main">
              <a:schemeClr val="accent4">
                <a:lumMod val="60000"/>
                <a:lumOff val="40000"/>
              </a:schemeClr>
            </a:solidFill>
            <a:ln xmlns:a="http://schemas.openxmlformats.org/drawingml/2006/main">
              <a:noFill/>
              <a:prstDash val="solid"/>
            </a:ln>
          </spPr>
          <invertIfNegative val="0"/>
          <cat>
            <strRef>
              <f>Summary_Figures!$B$5:$B$17</f>
              <strCache>
                <ptCount val="13"/>
                <pt idx="0">
                  <v>F1_CUSTOM1</v>
                </pt>
                <pt idx="1">
                  <v>D4_StatusQuo_Targets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Summary_Figures!$G$5:$G$17</f>
              <numCache>
                <formatCode>_-\$* #,##0_-;\-\$* #,##0_-;_-* "-"??_-;_-@_-</formatCode>
                <ptCount val="13"/>
                <pt idx="0">
                  <v>-482883.1638348067</v>
                </pt>
                <pt idx="1">
                  <v>-159726.9694082532</v>
                </pt>
                <pt idx="2">
                  <v>86056.37460612711</v>
                </pt>
                <pt idx="3">
                  <v>163429.2250183003</v>
                </pt>
                <pt idx="4">
                  <v>-482883.1638348067</v>
                </pt>
                <pt idx="5">
                  <v>55710.49354278259</v>
                </pt>
                <pt idx="6">
                  <v>535102.8599318832</v>
                </pt>
                <pt idx="7">
                  <v>114766.9483256822</v>
                </pt>
                <pt idx="8">
                  <v>139710.4162298217</v>
                </pt>
                <pt idx="9">
                  <v>-57091.90441040229</v>
                </pt>
                <pt idx="10">
                  <v>343387.8709735591</v>
                </pt>
                <pt idx="11">
                  <v>119854.2800075818</v>
                </pt>
                <pt idx="12">
                  <v>-544071.0180216475</v>
                </pt>
              </numCache>
            </numRef>
          </val>
        </ser>
        <dLbls>
          <showLegendKey val="0"/>
          <showVal val="0"/>
          <showCatName val="0"/>
          <showSerName val="0"/>
          <showPercent val="0"/>
          <showBubbleSize val="0"/>
        </dLbls>
        <gapWidth val="150"/>
        <axId val="1048394623"/>
        <axId val="1048380223"/>
      </barChart>
      <catAx>
        <axId val="1048394623"/>
        <scaling>
          <orientation val="minMax"/>
        </scaling>
        <delete val="0"/>
        <axPos val="l"/>
        <numFmt formatCode="General" sourceLinked="1"/>
        <majorTickMark val="none"/>
        <minorTickMark val="none"/>
        <tickLblPos val="low"/>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48380223"/>
        <crosses val="autoZero"/>
        <auto val="1"/>
        <lblAlgn val="ctr"/>
        <lblOffset val="100"/>
        <tickLblSkip val="1"/>
        <noMultiLvlLbl val="0"/>
      </catAx>
      <valAx>
        <axId val="1048380223"/>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_-\$* #,##0_-;\-\$* #,##0_-;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4839462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3.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2</col>
      <colOff>1397351</colOff>
      <row>6</row>
      <rowOff>45509</rowOff>
    </from>
    <to>
      <col>5</col>
      <colOff>402167</colOff>
      <row>22</row>
      <rowOff>70184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455083</colOff>
      <row>6</row>
      <rowOff>48683</rowOff>
    </from>
    <to>
      <col>12</col>
      <colOff>143544</colOff>
      <row>22</row>
      <rowOff>70184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oneCellAnchor>
    <from>
      <col>1</col>
      <colOff>140821</colOff>
      <row>6</row>
      <rowOff>46689</rowOff>
    </from>
    <ext cx="3666004" cy="2907731"/>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twoCellAnchor>
    <from>
      <col>5</col>
      <colOff>332474</colOff>
      <row>19</row>
      <rowOff>123833</rowOff>
    </from>
    <to>
      <col>11</col>
      <colOff>11906</colOff>
      <row>42</row>
      <rowOff>105681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290285</colOff>
      <row>19</row>
      <rowOff>127007</rowOff>
    </from>
    <to>
      <col>5</col>
      <colOff>217715</colOff>
      <row>42</row>
      <rowOff>99786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editAs="oneCell">
    <from>
      <col>0</col>
      <colOff>246062</colOff>
      <row>0</row>
      <rowOff>151805</rowOff>
    </from>
    <to>
      <col>23</col>
      <colOff>15874</colOff>
      <row>42</row>
      <rowOff>142875</rowOff>
    </to>
    <pic>
      <nvPicPr>
        <cNvPr id="10" name="Graphic 9"/>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6062" y="151805"/>
          <a:ext cx="13827125" cy="777775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hyperlink" Target="https://www.susd.org/fs/resource-manager/view/01a0856f-3a75-4ceb-9e90-02f85099b68d" TargetMode="External" Id="rId1"/><Relationship Type="http://schemas.openxmlformats.org/officeDocument/2006/relationships/hyperlink" Target="https://sdspending.azauditor.gov/" TargetMode="External" Id="rId2"/><Relationship Type="http://schemas.openxmlformats.org/officeDocument/2006/relationships/hyperlink" Target="https://sundevilcentral.eoss.asu.edu/club_signup?category_tags=6551555&amp;group_type=&amp;view=all&amp;utm_source=chatgpt.com" TargetMode="External" Id="rId3"/><Relationship Type="http://schemas.openxmlformats.org/officeDocument/2006/relationships/hyperlink" Target="https://consortium.uchicago.edu/publications/school-closings-chicago-staff-and-student-experiences-and-academic-outcomes?utm_source=chatgpt.com" TargetMode="External" Id="rId4"/><Relationship Type="http://schemas.openxmlformats.org/officeDocument/2006/relationships/hyperlink" Target="https://legiscan.com/AZ/text/HB2969/2025?utm_source=chatgpt.com" TargetMode="External" Id="rId5"/><Relationship Type="http://schemas.openxmlformats.org/officeDocument/2006/relationships/hyperlink" Target="https://www.azauditor.gov/sites/default/files/2023-09/HowToCalculateOperational-NonoperationalSpending.pdf?utm_source=chatgpt.com" TargetMode="External" Id="rId6"/></Relationships>
</file>

<file path=xl/worksheets/sheet1.xml><?xml version="1.0" encoding="utf-8"?>
<worksheet xmlns="http://schemas.openxmlformats.org/spreadsheetml/2006/main">
  <sheetPr>
    <outlinePr summaryBelow="1" summaryRight="1"/>
    <pageSetUpPr/>
  </sheetPr>
  <dimension ref="A1:AG62"/>
  <sheetViews>
    <sheetView zoomScale="85" zoomScaleNormal="85" workbookViewId="0">
      <selection activeCell="T3" sqref="T3"/>
    </sheetView>
  </sheetViews>
  <sheetFormatPr baseColWidth="8" defaultRowHeight="14.5"/>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row>
    <row r="3" ht="114" customHeight="1" s="137">
      <c r="A3" s="12" t="n"/>
      <c r="N3" s="12" t="n"/>
      <c r="O3" s="12" t="n"/>
      <c r="P3" s="12" t="n"/>
      <c r="Q3" s="12" t="n"/>
      <c r="R3" s="12" t="n"/>
      <c r="S3" s="12" t="n"/>
      <c r="T3" s="12" t="n"/>
      <c r="U3" s="12" t="n"/>
      <c r="V3" s="12" t="n"/>
      <c r="W3" s="12" t="n"/>
      <c r="X3" s="12" t="n"/>
      <c r="Y3" s="12" t="n"/>
      <c r="Z3" s="12" t="n"/>
      <c r="AA3" s="12" t="n"/>
      <c r="AB3" s="12" t="n"/>
      <c r="AC3" s="12" t="n"/>
      <c r="AD3" s="12" t="n"/>
      <c r="AE3" s="12" t="n"/>
      <c r="AF3" s="12" t="n"/>
      <c r="AG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row>
    <row r="6" ht="76" customHeight="1" s="137">
      <c r="A6" s="12" t="n"/>
      <c r="N6" s="12" t="n"/>
      <c r="O6" s="12" t="n"/>
      <c r="P6" s="12" t="n"/>
      <c r="Q6" s="12" t="n"/>
      <c r="R6" s="12" t="n"/>
      <c r="S6" s="12" t="n"/>
      <c r="T6" s="12" t="n"/>
      <c r="U6" s="12" t="n"/>
      <c r="V6" s="12" t="n"/>
      <c r="W6" s="12" t="n"/>
      <c r="X6" s="12" t="n"/>
      <c r="Y6" s="12" t="n"/>
      <c r="Z6" s="12" t="n"/>
      <c r="AA6" s="12" t="n"/>
      <c r="AB6" s="12" t="n"/>
      <c r="AC6" s="12" t="n"/>
      <c r="AD6" s="12" t="n"/>
      <c r="AE6" s="12" t="n"/>
      <c r="AF6" s="12" t="n"/>
      <c r="AG6" s="12" t="n"/>
    </row>
    <row r="7" ht="14.5" customHeight="1" s="13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row>
    <row r="9" ht="88.5" customHeight="1" s="137">
      <c r="A9" s="12" t="n"/>
      <c r="N9" s="12" t="n"/>
      <c r="O9" s="12" t="n"/>
      <c r="P9" s="12" t="n"/>
      <c r="Q9" s="12" t="n"/>
      <c r="R9" s="12" t="n"/>
      <c r="S9" s="12" t="n"/>
      <c r="T9" s="12" t="n"/>
      <c r="U9" s="12" t="n"/>
      <c r="V9" s="12" t="n"/>
      <c r="W9" s="12" t="n"/>
      <c r="X9" s="12" t="n"/>
      <c r="Y9" s="12" t="n"/>
      <c r="Z9" s="12" t="n"/>
      <c r="AA9" s="12" t="n"/>
      <c r="AB9" s="12" t="n"/>
      <c r="AC9" s="12" t="n"/>
      <c r="AD9" s="12" t="n"/>
      <c r="AE9" s="12" t="n"/>
      <c r="AF9" s="12" t="n"/>
      <c r="AG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row>
    <row r="12" ht="218.5" customHeight="1" s="137">
      <c r="A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row>
    <row r="13">
      <c r="A13" s="12" t="n"/>
      <c r="B13" s="145" t="n"/>
      <c r="C13" s="145" t="n"/>
      <c r="D13" s="145" t="n"/>
      <c r="E13" s="145" t="n"/>
      <c r="F13" s="145" t="n"/>
      <c r="G13" s="145" t="n"/>
      <c r="H13" s="145" t="n"/>
      <c r="I13" s="145" t="n"/>
      <c r="J13" s="145" t="n"/>
      <c r="K13" s="145" t="n"/>
      <c r="L13" s="145" t="n"/>
      <c r="M13" s="145"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row>
    <row r="14" ht="232" customHeight="1" s="137">
      <c r="A14" s="12" t="n"/>
      <c r="N14" s="50" t="n"/>
      <c r="O14" s="50" t="n"/>
      <c r="P14" s="50" t="n"/>
      <c r="Q14" s="50" t="n"/>
      <c r="R14" s="50" t="n"/>
      <c r="S14" s="51" t="n"/>
      <c r="T14" s="12" t="n"/>
      <c r="U14" s="12" t="n"/>
      <c r="V14" s="12" t="n"/>
      <c r="W14" s="12" t="n"/>
      <c r="X14" s="12" t="n"/>
      <c r="Y14" s="12" t="n"/>
      <c r="Z14" s="12" t="n"/>
      <c r="AA14" s="12" t="n"/>
      <c r="AB14" s="12" t="n"/>
      <c r="AC14" s="12" t="n"/>
      <c r="AD14" s="12" t="n"/>
      <c r="AE14" s="12" t="n"/>
      <c r="AF14" s="12" t="n"/>
      <c r="AG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row>
    <row r="17" ht="151" customHeight="1" s="137">
      <c r="A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row>
    <row r="20" ht="113.5" customHeight="1" s="137">
      <c r="A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row>
    <row r="62">
      <c r="A62" s="12" t="n"/>
      <c r="B62" s="12" t="n"/>
      <c r="C62" s="12" t="n"/>
      <c r="D62" s="12" t="n"/>
      <c r="E62" s="12" t="n"/>
      <c r="F62" s="12" t="n"/>
      <c r="G62" s="12" t="n"/>
      <c r="H62" s="12" t="n"/>
      <c r="I62" s="12" t="n"/>
      <c r="J62" s="12" t="n"/>
      <c r="K62" s="12" t="n"/>
      <c r="L62" s="12" t="n"/>
      <c r="M62" s="12" t="n"/>
      <c r="N62" s="12" t="n"/>
      <c r="O62" s="12" t="n"/>
      <c r="P62" s="12" t="n"/>
      <c r="Q62" s="12" t="n"/>
      <c r="R62" s="12" t="n"/>
    </row>
  </sheetData>
  <mergeCells count="7">
    <mergeCell ref="B14:M14"/>
    <mergeCell ref="B17:M17"/>
    <mergeCell ref="B20:M20"/>
    <mergeCell ref="B3:M3"/>
    <mergeCell ref="B6:M6"/>
    <mergeCell ref="B9:M9"/>
    <mergeCell ref="B12:M12"/>
  </mergeCell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1:X42"/>
  <sheetViews>
    <sheetView zoomScale="85" zoomScaleNormal="85" workbookViewId="0">
      <selection activeCell="B1" sqref="B1"/>
    </sheetView>
  </sheetViews>
  <sheetFormatPr baseColWidth="8" defaultRowHeight="14.5"/>
  <cols>
    <col width="22.6328125" customWidth="1" style="137" min="2" max="2"/>
    <col width="50.26953125" customWidth="1" style="137" min="3" max="3"/>
    <col width="36.7265625" customWidth="1" style="137" min="4" max="4"/>
  </cols>
  <sheetData>
    <row r="1" ht="15.5" customHeight="1" s="137">
      <c r="A1" s="81" t="n"/>
      <c r="B1" s="81" t="inlineStr">
        <is>
          <t>How to use the workbook</t>
        </is>
      </c>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row>
    <row r="2" ht="25.5" customHeight="1" s="137">
      <c r="A2" s="12" t="n"/>
      <c r="B2" s="33" t="inlineStr">
        <is>
          <t>Start on Scenario_Comparison: choose two scenarios to compare; review the operational, capital, and student-related results.</t>
        </is>
      </c>
      <c r="C2" s="145" t="n"/>
      <c r="D2" s="78" t="n"/>
      <c r="E2" s="12" t="n"/>
      <c r="F2" s="12" t="n"/>
      <c r="G2" s="12" t="n"/>
      <c r="H2" s="12" t="n"/>
      <c r="I2" s="12" t="n"/>
      <c r="J2" s="12" t="n"/>
      <c r="K2" s="12" t="n"/>
      <c r="L2" s="12" t="n"/>
      <c r="M2" s="12" t="n"/>
      <c r="N2" s="12" t="n"/>
      <c r="O2" s="12" t="n"/>
      <c r="P2" s="12" t="n"/>
      <c r="Q2" s="12" t="n"/>
      <c r="R2" s="12" t="n"/>
      <c r="S2" s="12" t="n"/>
      <c r="T2" s="12" t="n"/>
      <c r="U2" s="12" t="n"/>
      <c r="V2" s="12" t="n"/>
      <c r="W2" s="12" t="n"/>
      <c r="X2" s="12" t="n"/>
    </row>
    <row r="3" ht="25.5" customHeight="1" s="137">
      <c r="A3" s="12" t="n"/>
      <c r="B3" s="33" t="inlineStr">
        <is>
          <t>Test assumptions (override switch, retention r, trend flags) only if you would like to check sensitivity.</t>
        </is>
      </c>
      <c r="C3" s="145" t="n"/>
      <c r="D3" s="78" t="n"/>
      <c r="E3" s="12" t="n"/>
      <c r="F3" s="12" t="n"/>
      <c r="G3" s="12" t="n"/>
      <c r="H3" s="12" t="n"/>
      <c r="I3" s="12" t="n"/>
      <c r="J3" s="12" t="n"/>
      <c r="K3" s="12" t="n"/>
      <c r="L3" s="12" t="n"/>
      <c r="M3" s="12" t="n"/>
      <c r="N3" s="12" t="n"/>
      <c r="O3" s="12" t="n"/>
      <c r="P3" s="12" t="n"/>
      <c r="Q3" s="12" t="n"/>
      <c r="R3" s="12" t="n"/>
      <c r="S3" s="12" t="n"/>
      <c r="T3" s="12" t="n"/>
      <c r="U3" s="12" t="n"/>
      <c r="V3" s="12" t="n"/>
      <c r="W3" s="12" t="n"/>
      <c r="X3" s="12" t="n"/>
    </row>
    <row r="4" ht="25.5" customHeight="1" s="137">
      <c r="A4" s="12" t="n"/>
      <c r="B4" s="33" t="inlineStr">
        <is>
          <t>Check capacity gates (receiving bands).</t>
        </is>
      </c>
      <c r="C4" s="145" t="n"/>
      <c r="D4" s="78" t="n"/>
      <c r="E4" s="12" t="n"/>
      <c r="F4" s="12" t="n"/>
      <c r="G4" s="12" t="n"/>
      <c r="H4" s="12" t="n"/>
      <c r="I4" s="12" t="n"/>
      <c r="J4" s="12" t="n"/>
      <c r="K4" s="12" t="n"/>
      <c r="L4" s="12" t="n"/>
      <c r="M4" s="12" t="n"/>
      <c r="N4" s="12" t="n"/>
      <c r="O4" s="12" t="n"/>
      <c r="P4" s="12" t="n"/>
      <c r="Q4" s="12" t="n"/>
      <c r="R4" s="12" t="n"/>
      <c r="S4" s="12" t="n"/>
      <c r="T4" s="12" t="n"/>
      <c r="U4" s="12" t="n"/>
      <c r="V4" s="12" t="n"/>
      <c r="W4" s="12" t="n"/>
      <c r="X4" s="12" t="n"/>
    </row>
    <row r="5" ht="25.5" customHeight="1" s="137">
      <c r="A5" s="12" t="n"/>
      <c r="B5" s="33" t="inlineStr">
        <is>
          <t>Open Budget_Neutral_Calculator if you’re considering a non‑repurpose plan: it shows N⁰—how many students are needed to be Net ≥ 0.</t>
        </is>
      </c>
      <c r="C5" s="145" t="n"/>
      <c r="D5" s="78" t="n"/>
      <c r="E5" s="12" t="n"/>
      <c r="F5" s="12" t="n"/>
      <c r="G5" s="12" t="n"/>
      <c r="H5" s="12" t="n"/>
      <c r="I5" s="12" t="n"/>
      <c r="J5" s="12" t="n"/>
      <c r="K5" s="12" t="n"/>
      <c r="L5" s="12" t="n"/>
      <c r="M5" s="12" t="n"/>
      <c r="N5" s="12" t="n"/>
      <c r="O5" s="12" t="n"/>
      <c r="P5" s="12" t="n"/>
      <c r="Q5" s="12" t="n"/>
      <c r="R5" s="12" t="n"/>
      <c r="S5" s="12" t="n"/>
      <c r="T5" s="12" t="n"/>
      <c r="U5" s="12" t="n"/>
      <c r="V5" s="12" t="n"/>
      <c r="W5" s="12" t="n"/>
      <c r="X5" s="12" t="n"/>
    </row>
    <row r="6" ht="25.5" customHeight="1" s="137">
      <c r="A6" s="12" t="n"/>
      <c r="B6" s="33" t="inlineStr">
        <is>
          <t>Look at Summary_Figures to scan all scenarios with the same signals.</t>
        </is>
      </c>
      <c r="C6" s="145" t="n"/>
      <c r="D6" s="78" t="n"/>
      <c r="E6" s="12" t="n"/>
      <c r="F6" s="12" t="n"/>
      <c r="G6" s="12" t="n"/>
      <c r="H6" s="12" t="n"/>
      <c r="I6" s="12" t="n"/>
      <c r="J6" s="12" t="n"/>
      <c r="K6" s="12" t="n"/>
      <c r="L6" s="12" t="n"/>
      <c r="M6" s="12" t="n"/>
      <c r="N6" s="12" t="n"/>
      <c r="O6" s="12" t="n"/>
      <c r="P6" s="12" t="n"/>
      <c r="Q6" s="12" t="n"/>
      <c r="R6" s="12" t="n"/>
      <c r="S6" s="12" t="n"/>
      <c r="T6" s="12" t="n"/>
      <c r="U6" s="12" t="n"/>
      <c r="V6" s="12" t="n"/>
      <c r="W6" s="12" t="n"/>
      <c r="X6" s="12" t="n"/>
    </row>
    <row r="7" ht="25.5" customHeight="1" s="137">
      <c r="A7" s="12" t="n"/>
      <c r="B7" s="12" t="inlineStr">
        <is>
          <t>Use Inputs_Definitions_Sources for terms, references, and what’s still awaiting audited paste.</t>
        </is>
      </c>
      <c r="C7" s="145" t="n"/>
      <c r="D7" s="78" t="n"/>
      <c r="E7" s="12" t="n"/>
      <c r="F7" s="12" t="n"/>
      <c r="G7" s="12" t="n"/>
      <c r="H7" s="12" t="n"/>
      <c r="I7" s="12" t="n"/>
      <c r="J7" s="12" t="n"/>
      <c r="K7" s="12" t="n"/>
      <c r="L7" s="12" t="n"/>
      <c r="M7" s="12" t="n"/>
      <c r="N7" s="12" t="n"/>
      <c r="O7" s="12" t="n"/>
      <c r="P7" s="12" t="n"/>
      <c r="Q7" s="12" t="n"/>
      <c r="R7" s="12" t="n"/>
      <c r="S7" s="12" t="n"/>
      <c r="T7" s="12" t="n"/>
      <c r="U7" s="12" t="n"/>
      <c r="V7" s="12" t="n"/>
      <c r="W7" s="12" t="n"/>
      <c r="X7" s="12" t="n"/>
    </row>
    <row r="8" ht="25.5" customHeight="1" s="137">
      <c r="A8" s="12" t="n"/>
      <c r="B8" s="33" t="inlineStr">
        <is>
          <t>Check What_Is_$900K_Savings if you are curious xxxxxx</t>
        </is>
      </c>
      <c r="C8" s="145" t="n"/>
      <c r="D8" s="78" t="n"/>
      <c r="E8" s="12" t="n"/>
      <c r="F8" s="12" t="n"/>
      <c r="G8" s="12" t="n"/>
      <c r="H8" s="12" t="n"/>
      <c r="I8" s="12" t="n"/>
      <c r="J8" s="12" t="n"/>
      <c r="K8" s="12" t="n"/>
      <c r="L8" s="12" t="n"/>
      <c r="M8" s="12" t="n"/>
      <c r="N8" s="12" t="n"/>
      <c r="O8" s="12" t="n"/>
      <c r="P8" s="12" t="n"/>
      <c r="Q8" s="12" t="n"/>
      <c r="R8" s="12" t="n"/>
      <c r="S8" s="12" t="n"/>
      <c r="T8" s="12" t="n"/>
      <c r="U8" s="12" t="n"/>
      <c r="V8" s="12" t="n"/>
      <c r="W8" s="12" t="n"/>
      <c r="X8" s="12" t="n"/>
    </row>
    <row r="9">
      <c r="A9" s="12" t="n"/>
      <c r="B9" s="33" t="n"/>
      <c r="C9" s="145" t="n"/>
      <c r="D9" s="78" t="n"/>
      <c r="E9" s="12" t="n"/>
      <c r="F9" s="12" t="n"/>
      <c r="G9" s="12" t="n"/>
      <c r="H9" s="12" t="n"/>
      <c r="I9" s="12" t="n"/>
      <c r="J9" s="12" t="n"/>
      <c r="K9" s="12" t="n"/>
      <c r="L9" s="12" t="n"/>
      <c r="M9" s="12" t="n"/>
      <c r="N9" s="12" t="n"/>
      <c r="O9" s="12" t="n"/>
      <c r="P9" s="12" t="n"/>
      <c r="Q9" s="12" t="n"/>
      <c r="R9" s="12" t="n"/>
      <c r="S9" s="12" t="n"/>
      <c r="T9" s="12" t="n"/>
      <c r="U9" s="12" t="n"/>
      <c r="V9" s="12" t="n"/>
      <c r="W9" s="12" t="n"/>
      <c r="X9" s="12" t="n"/>
    </row>
    <row r="10">
      <c r="A10" s="12" t="n"/>
      <c r="B10" s="33" t="n"/>
      <c r="C10" s="145" t="n"/>
      <c r="D10" s="78"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row>
    <row r="11">
      <c r="A11" s="12" t="n"/>
      <c r="B11" s="33" t="n"/>
      <c r="C11" s="145" t="n"/>
      <c r="D11" s="78"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row>
    <row r="12">
      <c r="A12" s="12" t="n"/>
      <c r="B12" s="33"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row>
    <row r="14">
      <c r="A14" s="12" t="n"/>
      <c r="B14" s="33"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row>
    <row r="16">
      <c r="A16" s="12" t="n"/>
      <c r="B16" s="33"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row>
    <row r="18">
      <c r="A18" s="12" t="n"/>
      <c r="B18" s="33"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row>
    <row r="20">
      <c r="A20" s="12" t="n"/>
      <c r="B20" s="33"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row>
    <row r="24">
      <c r="A24" s="12" t="n"/>
      <c r="B24" s="79" t="n"/>
      <c r="C24" s="145"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row>
    <row r="25">
      <c r="A25" s="12" t="n"/>
      <c r="B25" s="79" t="n"/>
      <c r="C25" s="145"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row>
    <row r="26">
      <c r="A26" s="12" t="n"/>
      <c r="B26" s="79" t="n"/>
      <c r="C26" s="145"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row>
  </sheetData>
  <pageMargins left="0.7" right="0.7" top="0.75" bottom="0.75" header="0.3" footer="0.3"/>
  <pageSetup orientation="portrait" paperSize="0" horizontalDpi="0" verticalDpi="0" copies="0"/>
</worksheet>
</file>

<file path=xl/worksheets/sheet3.xml><?xml version="1.0" encoding="utf-8"?>
<worksheet xmlns="http://schemas.openxmlformats.org/spreadsheetml/2006/main">
  <sheetPr>
    <outlinePr summaryBelow="1" summaryRight="1"/>
    <pageSetUpPr/>
  </sheetPr>
  <dimension ref="B1:N133"/>
  <sheetViews>
    <sheetView tabSelected="1" zoomScale="70" zoomScaleNormal="70" workbookViewId="0">
      <pane ySplit="5" topLeftCell="A6" activePane="bottomLeft" state="frozen"/>
      <selection activeCell="B1" sqref="B1"/>
      <selection pane="bottomLeft" activeCell="D23" sqref="D23"/>
    </sheetView>
  </sheetViews>
  <sheetFormatPr baseColWidth="8" defaultRowHeight="14.5" outlineLevelRow="1"/>
  <cols>
    <col width="4.26953125" customWidth="1" style="139" min="1" max="1"/>
    <col width="49.453125" customWidth="1" style="139" min="2" max="2"/>
    <col width="18.6328125" customWidth="1" style="139" min="3" max="9"/>
    <col width="28.81640625" customWidth="1" style="137" min="10" max="10"/>
    <col width="8.7265625" customWidth="1" style="139" min="12" max="12"/>
    <col width="26.81640625" customWidth="1" style="139" min="13" max="13"/>
    <col width="14.6328125" customWidth="1" style="139" min="14" max="19"/>
    <col width="8.7265625" customWidth="1" style="139" min="20" max="21"/>
    <col width="8.7265625" customWidth="1" style="139" min="22" max="16384"/>
  </cols>
  <sheetData>
    <row r="1" ht="15" customHeight="1" s="137" thickBot="1">
      <c r="B1" s="100" t="inlineStr">
        <is>
          <t>Go-forward scenario summary view*</t>
        </is>
      </c>
      <c r="C1" s="133" t="inlineStr">
        <is>
          <t>*SUSD-sourced data used wherever possible.  Sources and assumptions are noted in Inputs_Definitions_Sources</t>
        </is>
      </c>
    </row>
    <row r="2" ht="15" customHeight="1" s="137" thickBot="1">
      <c r="B2" s="118" t="inlineStr">
        <is>
          <t>Choose view &gt;&gt;</t>
        </is>
      </c>
      <c r="C2" s="119" t="n">
        <v>2030</v>
      </c>
    </row>
    <row r="3">
      <c r="J3" t="inlineStr">
        <is>
          <t>SUMMARY (Selected View)</t>
        </is>
      </c>
      <c r="N3" t="inlineStr">
        <is>
          <t>INTUITION (quick read)</t>
        </is>
      </c>
    </row>
    <row r="4">
      <c r="B4" s="100">
        <f>"FY"&amp;IF(C2=2026, "26", IF(C2=2030, "30", "Average 2026-2030"))&amp;" simulated P&amp;L and capital spend by scenario"</f>
        <v/>
      </c>
      <c r="C4" s="117" t="inlineStr">
        <is>
          <t>A2</t>
        </is>
      </c>
      <c r="D4" s="117" t="inlineStr">
        <is>
          <t>B2</t>
        </is>
      </c>
      <c r="E4" s="117" t="inlineStr">
        <is>
          <t>C2</t>
        </is>
      </c>
      <c r="F4" s="117" t="inlineStr">
        <is>
          <t>D1</t>
        </is>
      </c>
      <c r="G4" s="117" t="inlineStr">
        <is>
          <t>E1</t>
        </is>
      </c>
      <c r="J4" t="inlineStr">
        <is>
          <t>Operating Net</t>
        </is>
      </c>
      <c r="K4">
        <f>C33</f>
        <v/>
      </c>
      <c r="L4">
        <f>D33</f>
        <v/>
      </c>
      <c r="N4" t="inlineStr">
        <is>
          <t>B2&lt;C2 in FY26: Echo r lower → fewer served; h applies.</t>
        </is>
      </c>
    </row>
    <row r="5" ht="39" customHeight="1" s="137">
      <c r="C5" s="120" t="inlineStr">
        <is>
          <t>Scenario A (Repurpose Both Lease)</t>
        </is>
      </c>
      <c r="D5" s="120" t="inlineStr">
        <is>
          <t>Scenario B (Repurpose Echo Lease; Grow Pima)</t>
        </is>
      </c>
      <c r="E5" s="120" t="inlineStr">
        <is>
          <t>Scenario C
(Repurpose Pima Lease; Grow Echo)</t>
        </is>
      </c>
      <c r="F5" s="120" t="inlineStr">
        <is>
          <t>Scenario D 
(Grow Both)</t>
        </is>
      </c>
      <c r="G5" s="120" t="inlineStr">
        <is>
          <t>Scenario E (Continued Decline)</t>
        </is>
      </c>
      <c r="H5" s="115" t="inlineStr">
        <is>
          <t>Source / Confidence Level</t>
        </is>
      </c>
      <c r="I5" s="115" t="inlineStr">
        <is>
          <t>Model sensitivity</t>
        </is>
      </c>
      <c r="J5" s="120" t="inlineStr">
        <is>
          <t>Revenue</t>
        </is>
      </c>
      <c r="K5">
        <f>C14</f>
        <v/>
      </c>
      <c r="L5">
        <f>D14</f>
        <v/>
      </c>
      <c r="N5" t="inlineStr">
        <is>
          <t>Grow Both FY26 negative: Yr‑1 deficit + small overlay; improves by FY30.</t>
        </is>
      </c>
    </row>
    <row r="6" outlineLevel="1" ht="14" customHeight="1" s="137">
      <c r="B6" s="125" t="inlineStr">
        <is>
          <t>Baseline ADM Echo</t>
        </is>
      </c>
      <c r="C6" s="88">
        <f>IF($C$2=2026,C$67,IF($C$2=2030,C$103,C$67))</f>
        <v/>
      </c>
      <c r="D6" s="88">
        <f>IF($C$2=2026,D$67,IF($C$2=2030,D$103,D$67))</f>
        <v/>
      </c>
      <c r="E6" s="88">
        <f>IF($C$2=2026,E$67,IF($C$2=2030,E$103,E$67))</f>
        <v/>
      </c>
      <c r="F6" s="88">
        <f>IF($C$2=2026,F$67,IF($C$2=2030,F$103,F$67))</f>
        <v/>
      </c>
      <c r="G6" s="88">
        <f>IF($C$2=2026,G$67,IF($C$2=2030,G$103,G$67))</f>
        <v/>
      </c>
      <c r="H6" s="88" t="inlineStr">
        <is>
          <t>***</t>
        </is>
      </c>
      <c r="I6" s="88" t="n"/>
      <c r="J6" t="inlineStr">
        <is>
          <t>Variable M&amp;O + h</t>
        </is>
      </c>
      <c r="K6">
        <f>C28</f>
        <v/>
      </c>
      <c r="L6">
        <f>D28</f>
        <v/>
      </c>
    </row>
    <row r="7" outlineLevel="1" ht="14" customHeight="1" s="137">
      <c r="B7" s="126" t="inlineStr">
        <is>
          <t>Baseline ADM Pima</t>
        </is>
      </c>
      <c r="C7" s="88">
        <f>IF($C$2=2026,C$68,IF($C$2=2030,C$104,C$68))</f>
        <v/>
      </c>
      <c r="D7" s="88">
        <f>IF($C$2=2026,D$68,IF($C$2=2030,D$104,D$68))</f>
        <v/>
      </c>
      <c r="E7" s="88">
        <f>IF($C$2=2026,E$68,IF($C$2=2030,E$104,E$68))</f>
        <v/>
      </c>
      <c r="F7" s="88">
        <f>IF($C$2=2026,F$68,IF($C$2=2030,F$104,F$68))</f>
        <v/>
      </c>
      <c r="G7" s="88">
        <f>IF($C$2=2026,G$68,IF($C$2=2030,G$104,G$68))</f>
        <v/>
      </c>
      <c r="H7" s="88" t="n"/>
      <c r="I7" s="88" t="n"/>
      <c r="J7" t="inlineStr">
        <is>
          <t>Fixed M&amp;O (net)</t>
        </is>
      </c>
      <c r="K7">
        <f>C31</f>
        <v/>
      </c>
      <c r="L7">
        <f>D31</f>
        <v/>
      </c>
    </row>
    <row r="8" outlineLevel="1" ht="14" customHeight="1" s="137">
      <c r="B8" s="126" t="inlineStr">
        <is>
          <t>ADM change FY26</t>
        </is>
      </c>
      <c r="C8" s="88">
        <f>IF($C$2=2026,C$69,IF($C$2=2030,C$105,C$69))</f>
        <v/>
      </c>
      <c r="D8" s="96">
        <f>IF($C$2=2026,D$69,IF($C$2=2030,D$105,D$69))</f>
        <v/>
      </c>
      <c r="E8" s="96">
        <f>IF($C$2=2026,E$69,IF($C$2=2030,E$105,E$69))</f>
        <v/>
      </c>
      <c r="F8" s="96">
        <f>IF($C$2=2026,F$69,IF($C$2=2030,F$105,F$69))</f>
        <v/>
      </c>
      <c r="G8" s="88">
        <f>IF($C$2=2026,G$69,IF($C$2=2030,G$105,G$69))</f>
        <v/>
      </c>
      <c r="H8" s="88" t="n"/>
      <c r="I8" s="88" t="n"/>
      <c r="J8" t="inlineStr">
        <is>
          <t>One-time Capital (FY26)</t>
        </is>
      </c>
      <c r="K8">
        <f>C36</f>
        <v/>
      </c>
      <c r="L8">
        <f>D36</f>
        <v/>
      </c>
    </row>
    <row r="9" outlineLevel="1" ht="14" customHeight="1" s="137">
      <c r="B9" s="125" t="inlineStr">
        <is>
          <t>Echo retention ratio</t>
        </is>
      </c>
      <c r="C9" s="88">
        <f>IF($C$2=2026,C$70,IF($C$2=2030,C$106,C$70))</f>
        <v/>
      </c>
      <c r="D9" s="88">
        <f>IF($C$2=2026,D$70,IF($C$2=2030,D$106,D$70))</f>
        <v/>
      </c>
      <c r="E9" s="88">
        <f>IF($C$2=2026,E$70,IF($C$2=2030,E$106,E$70))</f>
        <v/>
      </c>
      <c r="F9" s="88">
        <f>IF($C$2=2026,F$70,IF($C$2=2030,F$106,F$70))</f>
        <v/>
      </c>
      <c r="G9" s="88">
        <f>IF($C$2=2026,G$70,IF($C$2=2030,G$106,G$70))</f>
        <v/>
      </c>
      <c r="H9" s="88" t="inlineStr">
        <is>
          <t>*</t>
        </is>
      </c>
      <c r="I9" s="88" t="n"/>
    </row>
    <row r="10" outlineLevel="1" ht="14" customHeight="1" s="137">
      <c r="B10" s="125" t="inlineStr">
        <is>
          <t>Pima retention ratio</t>
        </is>
      </c>
      <c r="C10" s="88">
        <f>IF($C$2=2026,C$71,IF($C$2=2030,C$107,C$71))</f>
        <v/>
      </c>
      <c r="D10" s="88">
        <f>IF($C$2=2026,D$71,IF($C$2=2030,D$107,D$71))</f>
        <v/>
      </c>
      <c r="E10" s="88">
        <f>IF($C$2=2026,E$71,IF($C$2=2030,E$107,E$71))</f>
        <v/>
      </c>
      <c r="F10" s="88">
        <f>IF($C$2=2026,F$71,IF($C$2=2030,F$107,F$71))</f>
        <v/>
      </c>
      <c r="G10" s="88">
        <f>IF($C$2=2026,G$71,IF($C$2=2030,G$107,G$71))</f>
        <v/>
      </c>
      <c r="H10" s="88" t="inlineStr">
        <is>
          <t>**</t>
        </is>
      </c>
      <c r="I10" s="88" t="n"/>
    </row>
    <row r="11" outlineLevel="1" ht="14" customHeight="1" s="137">
      <c r="B11" s="126" t="inlineStr">
        <is>
          <t>Number of students transitioning</t>
        </is>
      </c>
      <c r="C11" s="96">
        <f>IF($C$2=2026,C$72,IF($C$2=2030,C$108,C$72))</f>
        <v/>
      </c>
      <c r="D11" s="96">
        <f>IF($C$2=2026,D$72,IF($C$2=2030,D$108,D$72))</f>
        <v/>
      </c>
      <c r="E11" s="96">
        <f>IF($C$2=2026,E$72,IF($C$2=2030,E$108,E$72))</f>
        <v/>
      </c>
      <c r="F11" s="88">
        <f>IF($C$2=2026,F$72,IF($C$2=2030,F$108,F$72))</f>
        <v/>
      </c>
      <c r="G11" s="88">
        <f>IF($C$2=2026,G$72,IF($C$2=2030,G$108,G$72))</f>
        <v/>
      </c>
      <c r="H11" s="88" t="n"/>
      <c r="I11" s="88" t="n"/>
      <c r="L11" s="95" t="n"/>
    </row>
    <row r="12" outlineLevel="1" ht="14" customHeight="1" s="137">
      <c r="B12" s="126" t="inlineStr">
        <is>
          <t>Students served FY26</t>
        </is>
      </c>
      <c r="C12" s="96">
        <f>IF($C$2=2026,C$73,IF($C$2=2030,C$109,C$73))</f>
        <v/>
      </c>
      <c r="D12" s="96">
        <f>IF($C$2=2026,D$73,IF($C$2=2030,D$109,D$73))</f>
        <v/>
      </c>
      <c r="E12" s="96">
        <f>IF($C$2=2026,E$73,IF($C$2=2030,E$109,E$73))</f>
        <v/>
      </c>
      <c r="F12" s="88">
        <f>IF($C$2=2026,F$73,IF($C$2=2030,F$109,F$73))</f>
        <v/>
      </c>
      <c r="G12" s="88">
        <f>IF($C$2=2026,G$73,IF($C$2=2030,G$109,G$73))</f>
        <v/>
      </c>
      <c r="H12" s="88" t="n"/>
      <c r="I12" s="88" t="n"/>
      <c r="J12" t="inlineStr">
        <is>
          <t>Sensitivity (Δ Net FY2030)</t>
        </is>
      </c>
    </row>
    <row r="13" outlineLevel="1" ht="14" customHeight="1" s="137">
      <c r="B13" s="124" t="inlineStr">
        <is>
          <t>Revenue per served student ($/ADM)</t>
        </is>
      </c>
      <c r="C13" s="159">
        <f>IF($C$2=2026,C$74,IF($C$2=2030,C$110,""))</f>
        <v/>
      </c>
      <c r="D13" s="159">
        <f>IF($C$2=2026,D$74,IF($C$2=2030,D$110,""))</f>
        <v/>
      </c>
      <c r="E13" s="159">
        <f>IF($C$2=2026,E$74,IF($C$2=2030,E$110,""))</f>
        <v/>
      </c>
      <c r="F13" s="159">
        <f>IF($C$2=2026,F$74,IF($C$2=2030,F$110,""))</f>
        <v/>
      </c>
      <c r="G13" s="159">
        <f>IF($C$2=2026,G$74,IF($C$2=2030,G$110,""))</f>
        <v/>
      </c>
      <c r="H13" s="88" t="n"/>
      <c r="I13" s="88" t="n"/>
      <c r="J13" t="inlineStr">
        <is>
          <t>Site‑Fixed ±$100k/site</t>
        </is>
      </c>
    </row>
    <row r="14" ht="14" customHeight="1" s="137">
      <c r="B14" s="139" t="inlineStr">
        <is>
          <t>Total 'revenue'</t>
        </is>
      </c>
      <c r="C14" s="159">
        <f>IF($C$2=2026,C$75,IF($C$2=2030,C$111,C$75))</f>
        <v/>
      </c>
      <c r="D14" s="159">
        <f>IF($C$2=2026,D$75,IF($C$2=2030,D$111,D$75))</f>
        <v/>
      </c>
      <c r="E14" s="159">
        <f>IF($C$2=2026,E$75,IF($C$2=2030,E$111,E$75))</f>
        <v/>
      </c>
      <c r="F14" s="159">
        <f>IF($C$2=2026,F$75,IF($C$2=2030,F$111,F$75))</f>
        <v/>
      </c>
      <c r="G14" s="159">
        <f>IF($C$2=2026,G$75,IF($C$2=2030,G$111,G$75))</f>
        <v/>
      </c>
      <c r="H14" s="88" t="n"/>
      <c r="I14" s="88" t="n"/>
      <c r="J14" t="inlineStr">
        <is>
          <t>f_ops / f_lease ±0.05</t>
        </is>
      </c>
    </row>
    <row r="15" outlineLevel="1" ht="14" customHeight="1" s="137">
      <c r="B15" s="126" t="inlineStr">
        <is>
          <t>Districtwide gross Maint &amp; Operations cost per non-new ADM</t>
        </is>
      </c>
      <c r="C15" s="159">
        <f>IF($C$2=2026,C$76,IF($C$2=2030,C$112,C$76))</f>
        <v/>
      </c>
      <c r="D15" s="159">
        <f>IF($C$2=2026,D$76,IF($C$2=2030,D$112,D$76))</f>
        <v/>
      </c>
      <c r="E15" s="159">
        <f>IF($C$2=2026,E$76,IF($C$2=2030,E$112,E$76))</f>
        <v/>
      </c>
      <c r="F15" s="159">
        <f>IF($C$2=2026,F$76,IF($C$2=2030,F$112,F$76))</f>
        <v/>
      </c>
      <c r="G15" s="159">
        <f>IF($C$2=2026,G$76,IF($C$2=2030,G$112,G$76))</f>
        <v/>
      </c>
      <c r="H15" s="88" t="n"/>
      <c r="I15" s="88" t="n"/>
      <c r="J15" t="inlineStr">
        <is>
          <t>Retention r ±10 pp</t>
        </is>
      </c>
    </row>
    <row r="16" outlineLevel="1" ht="14" customHeight="1" s="137">
      <c r="B16" s="126" t="inlineStr">
        <is>
          <t>Variable M&amp;O per non-new student ($/ADM)</t>
        </is>
      </c>
      <c r="C16" s="159">
        <f>IF($C$2=2026,C$77,IF($C$2=2030,C$113,""))</f>
        <v/>
      </c>
      <c r="D16" s="159">
        <f>IF($C$2=2026,D$77,IF($C$2=2030,D$113,""))</f>
        <v/>
      </c>
      <c r="E16" s="159">
        <f>IF($C$2=2026,E$77,IF($C$2=2030,E$113,""))</f>
        <v/>
      </c>
      <c r="F16" s="159">
        <f>IF($C$2=2026,F$77,IF($C$2=2030,F$113,""))</f>
        <v/>
      </c>
      <c r="G16" s="159">
        <f>IF($C$2=2026,G$77,IF($C$2=2030,G$113,""))</f>
        <v/>
      </c>
      <c r="H16" s="88" t="n"/>
      <c r="I16" s="88" t="n"/>
      <c r="J16" t="inlineStr">
        <is>
          <t>MFO {0.5, 0.6, 0.8}</t>
        </is>
      </c>
      <c r="M16" s="159" t="n"/>
    </row>
    <row r="17" outlineLevel="1" ht="14" customHeight="1" s="137">
      <c r="B17" s="126" t="inlineStr">
        <is>
          <t>Non-new students</t>
        </is>
      </c>
      <c r="C17" s="96">
        <f>IF($C$2=2026,C$78,IF($C$2=2030,C$114,C$78))</f>
        <v/>
      </c>
      <c r="D17" s="96">
        <f>IF($C$2=2026,D$78,IF($C$2=2030,D$114,D$78))</f>
        <v/>
      </c>
      <c r="E17" s="96">
        <f>IF($C$2=2026,E$78,IF($C$2=2030,E$114,E$78))</f>
        <v/>
      </c>
      <c r="F17" s="96">
        <f>IF($C$2=2026,F$78,IF($C$2=2030,F$114,F$78))</f>
        <v/>
      </c>
      <c r="G17" s="96">
        <f>IF($C$2=2026,G$78,IF($C$2=2030,G$114,G$78))</f>
        <v/>
      </c>
      <c r="H17" s="88" t="n"/>
      <c r="I17" s="88" t="n"/>
      <c r="J17" t="inlineStr">
        <is>
          <t>Uplift ±10%</t>
        </is>
      </c>
    </row>
    <row r="18" ht="14" customHeight="1" s="137">
      <c r="B18" s="124" t="inlineStr">
        <is>
          <t>Total variable gross cost of non-new students</t>
        </is>
      </c>
      <c r="C18" s="159">
        <f>IF($C$2=2026,C$79,IF($C$2=2030,C$115,C$79))</f>
        <v/>
      </c>
      <c r="D18" s="159">
        <f>IF($C$2=2026,D$79,IF($C$2=2030,D$115,D$79))</f>
        <v/>
      </c>
      <c r="E18" s="159">
        <f>IF($C$2=2026,E$79,IF($C$2=2030,E$115,E$79))</f>
        <v/>
      </c>
      <c r="F18" s="159">
        <f>IF($C$2=2026,F$79,IF($C$2=2030,F$115,F$79))</f>
        <v/>
      </c>
      <c r="G18" s="159">
        <f>IF($C$2=2026,G$79,IF($C$2=2030,G$115,G$79))</f>
        <v/>
      </c>
      <c r="H18" s="88" t="n"/>
      <c r="I18" s="88" t="n"/>
      <c r="J18" t="inlineStr">
        <is>
          <t>After discounting estimated fixed, adjusting for inflation</t>
        </is>
      </c>
    </row>
    <row r="19" outlineLevel="1" ht="14" customHeight="1" s="137">
      <c r="B19" s="126" t="inlineStr">
        <is>
          <t>New students</t>
        </is>
      </c>
      <c r="C19" s="96">
        <f>IF($C$2=2026,C$80,IF($C$2=2030,C$116,C$80))</f>
        <v/>
      </c>
      <c r="D19" s="96">
        <f>IF($C$2=2026,D$80,IF($C$2=2030,D$116,D$80))</f>
        <v/>
      </c>
      <c r="E19" s="96">
        <f>IF($C$2=2026,E$80,IF($C$2=2030,E$116,E$80))</f>
        <v/>
      </c>
      <c r="F19" s="96">
        <f>IF($C$2=2026,F$80,IF($C$2=2030,F$116,F$80))</f>
        <v/>
      </c>
      <c r="G19" s="96">
        <f>IF($C$2=2026,G$80,IF($C$2=2030,G$116,G$80))</f>
        <v/>
      </c>
      <c r="H19" s="88" t="n"/>
      <c r="I19" s="88" t="n"/>
    </row>
    <row r="20" outlineLevel="1" ht="14" customHeight="1" s="137">
      <c r="B20" s="127" t="inlineStr">
        <is>
          <t xml:space="preserve">Marginal variable cost to add new students </t>
        </is>
      </c>
      <c r="C20" s="85">
        <f>IF($C$2=2026,C$81,IF($C$2=2030,C$117,C$81))</f>
        <v/>
      </c>
      <c r="D20" s="85">
        <f>IF($C$2=2026,D$81,IF($C$2=2030,D$117,D$81))</f>
        <v/>
      </c>
      <c r="E20" s="85">
        <f>IF($C$2=2026,E$81,IF($C$2=2030,E$117,E$81))</f>
        <v/>
      </c>
      <c r="F20" s="85">
        <f>IF($C$2=2026,F$81,IF($C$2=2030,F$117,F$81))</f>
        <v/>
      </c>
      <c r="G20" s="85">
        <f>IF($C$2=2026,G$81,IF($C$2=2030,G$117,G$81))</f>
        <v/>
      </c>
      <c r="H20" s="88" t="inlineStr">
        <is>
          <t>**</t>
        </is>
      </c>
      <c r="I20" s="88" t="n"/>
      <c r="J20" t="inlineStr">
        <is>
          <t>Estimated proportion of full cost</t>
        </is>
      </c>
    </row>
    <row r="21" outlineLevel="1" ht="14" customHeight="1" s="137">
      <c r="B21" s="126" t="inlineStr">
        <is>
          <t>Variable gross M&amp;O / new student</t>
        </is>
      </c>
      <c r="C21" s="159">
        <f>IF($C$2=2026,C$82,IF($C$2=2030,C$118,C$82))</f>
        <v/>
      </c>
      <c r="D21" s="159">
        <f>IF($C$2=2026,D$82,IF($C$2=2030,D$118,D$82))</f>
        <v/>
      </c>
      <c r="E21" s="159">
        <f>IF($C$2=2026,E$82,IF($C$2=2030,E$118,E$82))</f>
        <v/>
      </c>
      <c r="F21" s="159">
        <f>IF($C$2=2026,F$82,IF($C$2=2030,F$118,F$82))</f>
        <v/>
      </c>
      <c r="G21" s="159">
        <f>IF($C$2=2026,G$82,IF($C$2=2030,G$118,G$82))</f>
        <v/>
      </c>
      <c r="H21" s="88" t="n"/>
      <c r="I21" s="88" t="n"/>
      <c r="J21" t="inlineStr">
        <is>
          <t>M&amp;O = Maintenance &amp; Operations cost</t>
        </is>
      </c>
    </row>
    <row r="22" outlineLevel="1" ht="14" customHeight="1" s="137">
      <c r="B22" s="126" t="inlineStr">
        <is>
          <t xml:space="preserve">Incremental overhead per new student </t>
        </is>
      </c>
      <c r="C22" s="159">
        <f>IF($C$2=2026,C$83,IF($C$2=2030,C$119,C$83))</f>
        <v/>
      </c>
      <c r="D22" s="159">
        <f>IF($C$2=2026,D$83,IF($C$2=2030,D$119,D$83))</f>
        <v/>
      </c>
      <c r="E22" s="159">
        <f>IF($C$2=2026,E$83,IF($C$2=2030,E$119,E$83))</f>
        <v/>
      </c>
      <c r="F22" s="159">
        <f>IF($C$2=2026,F$83,IF($C$2=2030,F$119,F$83))</f>
        <v/>
      </c>
      <c r="G22" s="159">
        <f>IF($C$2=2026,G$83,IF($C$2=2030,G$119,G$83))</f>
        <v/>
      </c>
      <c r="H22" s="88" t="n"/>
      <c r="I22" s="88" t="n"/>
      <c r="J22" t="inlineStr">
        <is>
          <t>Estimted in model as proportion of repurpose transition cost</t>
        </is>
      </c>
    </row>
    <row r="23" outlineLevel="1" ht="14" customHeight="1" s="137">
      <c r="B23" s="126" t="inlineStr">
        <is>
          <t>Per new student cost (m + routing)</t>
        </is>
      </c>
      <c r="C23" s="160">
        <f>IF($C$2=2026,C$84,IF($C$2=2030,C$120,""))</f>
        <v/>
      </c>
      <c r="D23" s="160">
        <f>IF($C$2=2026,D$84,IF($C$2=2030,D$120,""))</f>
        <v/>
      </c>
      <c r="E23" s="160">
        <f>IF($C$2=2026,E$84,IF($C$2=2030,E$120,""))</f>
        <v/>
      </c>
      <c r="F23" s="160">
        <f>IF($C$2=2026,F$84,IF($C$2=2030,F$120,""))</f>
        <v/>
      </c>
      <c r="G23" s="160">
        <f>IF($C$2=2026,G$84,IF($C$2=2030,G$120,""))</f>
        <v/>
      </c>
      <c r="H23" s="88" t="n"/>
      <c r="I23" s="88" t="n"/>
    </row>
    <row r="24" ht="14" customHeight="1" s="137">
      <c r="B24" s="124" t="inlineStr">
        <is>
          <t>Total variable gross cost of new students</t>
        </is>
      </c>
      <c r="C24" s="159">
        <f>IF($C$2=2026,C$85,IF($C$2=2030,C$121,C$85))</f>
        <v/>
      </c>
      <c r="D24" s="159">
        <f>IF($C$2=2026,D$85,IF($C$2=2030,D$121,D$85))</f>
        <v/>
      </c>
      <c r="E24" s="159">
        <f>IF($C$2=2026,E$85,IF($C$2=2030,E$121,E$85))</f>
        <v/>
      </c>
      <c r="F24" s="159">
        <f>IF($C$2=2026,F$85,IF($C$2=2030,F$121,F$85))</f>
        <v/>
      </c>
      <c r="G24" s="159">
        <f>IF($C$2=2026,G$85,IF($C$2=2030,G$121,G$85))</f>
        <v/>
      </c>
      <c r="H24" s="88" t="n"/>
      <c r="I24" s="88" t="n"/>
    </row>
    <row r="25" ht="14" customHeight="1" s="137">
      <c r="B25" s="124" t="inlineStr">
        <is>
          <t>Total variable gross M&amp;O cost</t>
        </is>
      </c>
      <c r="C25" s="160">
        <f>IF($C$2=2026,C$86,IF($C$2=2030,C$122,C$86))</f>
        <v/>
      </c>
      <c r="D25" s="160">
        <f>IF($C$2=2026,D$86,IF($C$2=2030,D$122,D$86))</f>
        <v/>
      </c>
      <c r="E25" s="160">
        <f>IF($C$2=2026,E$86,IF($C$2=2030,E$122,E$86))</f>
        <v/>
      </c>
      <c r="F25" s="160">
        <f>IF($C$2=2026,F$86,IF($C$2=2030,F$122,F$86))</f>
        <v/>
      </c>
      <c r="G25" s="160">
        <f>IF($C$2=2026,G$86,IF($C$2=2030,G$122,G$86))</f>
        <v/>
      </c>
      <c r="H25" s="88" t="n"/>
      <c r="I25" s="88" t="n"/>
    </row>
    <row r="26" outlineLevel="1" ht="14" customHeight="1" s="137">
      <c r="B26" s="125" t="inlineStr">
        <is>
          <t>Transition cost (routing, transportation, etc.) FY26</t>
        </is>
      </c>
      <c r="C26" s="85">
        <f>IF($C$2=2026,C$87,IF($C$2=2030,C$123,C$87))</f>
        <v/>
      </c>
      <c r="D26" s="85">
        <f>IF($C$2=2026,D$87,IF($C$2=2030,D$123,D$87))</f>
        <v/>
      </c>
      <c r="E26" s="85">
        <f>IF($C$2=2026,E$87,IF($C$2=2030,E$123,E$87))</f>
        <v/>
      </c>
      <c r="F26" s="88">
        <f>IF($C$2=2026,F$87,IF($C$2=2030,F$123,F$87))</f>
        <v/>
      </c>
      <c r="G26" s="88">
        <f>IF($C$2=2026,G$87,IF($C$2=2030,G$123,G$87))</f>
        <v/>
      </c>
      <c r="H26" s="88" t="inlineStr">
        <is>
          <t>**</t>
        </is>
      </c>
      <c r="I26" s="88" t="n"/>
      <c r="J26" t="inlineStr">
        <is>
          <t>Assuming adjustments in routing or other transportation investment needed for students displaced from repurpose; tapers over time</t>
        </is>
      </c>
    </row>
    <row r="27" ht="14" customHeight="1" s="137">
      <c r="B27" s="124" t="inlineStr">
        <is>
          <t>Routing/Admin cost FYxx (h)</t>
        </is>
      </c>
      <c r="C27" s="159">
        <f>IF($C$2=2026,C$88,IF($C$2=2030,C$124,""))</f>
        <v/>
      </c>
      <c r="D27" s="159">
        <f>IF($C$2=2026,D$88,IF($C$2=2030,D$124,""))</f>
        <v/>
      </c>
      <c r="E27" s="159">
        <f>IF($C$2=2026,E$88,IF($C$2=2030,E$124,""))</f>
        <v/>
      </c>
      <c r="F27" s="88">
        <f>IF($C$2=2026,F$88,IF($C$2=2030,F$124,""))</f>
        <v/>
      </c>
      <c r="G27" s="88">
        <f>IF($C$2=2026,G$88,IF($C$2=2030,G$124,""))</f>
        <v/>
      </c>
      <c r="H27" s="88" t="n"/>
      <c r="I27" s="88" t="n"/>
    </row>
    <row r="28" ht="14" customHeight="1" s="137">
      <c r="B28" s="124" t="inlineStr">
        <is>
          <t>Total gross M&amp;O + transition cost</t>
        </is>
      </c>
      <c r="C28" s="160">
        <f>IF($C$2=2026,C$89,IF($C$2=2030,C$125,C$89))</f>
        <v/>
      </c>
      <c r="D28" s="160">
        <f>IF($C$2=2026,D$89,IF($C$2=2030,D$125,D$89))</f>
        <v/>
      </c>
      <c r="E28" s="160">
        <f>IF($C$2=2026,E$89,IF($C$2=2030,E$125,E$89))</f>
        <v/>
      </c>
      <c r="F28" s="160">
        <f>IF($C$2=2026,F$89,IF($C$2=2030,F$125,F$89))</f>
        <v/>
      </c>
      <c r="G28" s="160">
        <f>IF($C$2=2026,G$89,IF($C$2=2030,G$125,G$89))</f>
        <v/>
      </c>
      <c r="H28" s="88" t="n"/>
      <c r="I28" s="88" t="n"/>
    </row>
    <row r="29" outlineLevel="1" ht="14" customHeight="1" s="137">
      <c r="B29" s="107" t="inlineStr">
        <is>
          <t>Base open site fixed total</t>
        </is>
      </c>
      <c r="C29" s="161">
        <f>IF($C$2=2026,C$90,IF($C$2=2030,C$126,C$90))</f>
        <v/>
      </c>
      <c r="D29" s="161">
        <f>IF($C$2=2026,D$90,IF($C$2=2030,D$126,D$90))</f>
        <v/>
      </c>
      <c r="E29" s="161">
        <f>IF($C$2=2026,E$90,IF($C$2=2030,E$126,E$90))</f>
        <v/>
      </c>
      <c r="F29" s="161">
        <f>IF($C$2=2026,F$90,IF($C$2=2030,F$126,F$90))</f>
        <v/>
      </c>
      <c r="G29" s="161">
        <f>IF($C$2=2026,G$90,IF($C$2=2030,G$126,G$90))</f>
        <v/>
      </c>
      <c r="H29" s="88" t="inlineStr">
        <is>
          <t>*</t>
        </is>
      </c>
      <c r="I29" s="88" t="n"/>
    </row>
    <row r="30" outlineLevel="1" ht="14" customHeight="1" s="137">
      <c r="B30" s="129" t="inlineStr">
        <is>
          <t>Estimated repurpose site fixed cost carry ratio</t>
        </is>
      </c>
      <c r="C30" s="122">
        <f>IF($C$2=2026,C$91,IF($C$2=2030,C$127,C$91))</f>
        <v/>
      </c>
      <c r="D30" s="122">
        <f>IF($C$2=2026,D$91,IF($C$2=2030,D$127,D$91))</f>
        <v/>
      </c>
      <c r="E30" s="122">
        <f>IF($C$2=2026,E$91,IF($C$2=2030,E$127,E$91))</f>
        <v/>
      </c>
      <c r="F30" s="123">
        <f>IF($C$2=2026,F$91,IF($C$2=2030,F$127,F$91))</f>
        <v/>
      </c>
      <c r="G30" s="123">
        <f>IF($C$2=2026,G$91,IF($C$2=2030,G$127,G$91))</f>
        <v/>
      </c>
      <c r="H30" s="88" t="inlineStr">
        <is>
          <t>**</t>
        </is>
      </c>
      <c r="I30" s="88" t="n"/>
    </row>
    <row r="31" ht="14" customHeight="1" s="137">
      <c r="B31" s="128" t="inlineStr">
        <is>
          <t>Fixed M&amp;O (net)</t>
        </is>
      </c>
      <c r="C31" s="161">
        <f>IF($C$2=2026,C$92,IF($C$2=2030,C$128,""))</f>
        <v/>
      </c>
      <c r="D31" s="161">
        <f>IF($C$2=2026,D$92,IF($C$2=2030,D$128,""))</f>
        <v/>
      </c>
      <c r="E31" s="161">
        <f>IF($C$2=2026,E$92,IF($C$2=2030,E$128,""))</f>
        <v/>
      </c>
      <c r="F31" s="161">
        <f>IF($C$2=2026,F$92,IF($C$2=2030,F$128,""))</f>
        <v/>
      </c>
      <c r="G31" s="161">
        <f>IF($C$2=2026,G$92,IF($C$2=2030,G$128,""))</f>
        <v/>
      </c>
      <c r="H31" s="88" t="n"/>
      <c r="I31" s="88" t="n"/>
    </row>
    <row r="32" ht="14" customHeight="1" s="137" thickBot="1">
      <c r="B32" s="139" t="inlineStr">
        <is>
          <t>Net total cost</t>
        </is>
      </c>
      <c r="C32" s="160">
        <f>IF($C$2=2026,C$93,IF($C$2=2030,C$129,C$93))</f>
        <v/>
      </c>
      <c r="D32" s="160">
        <f>IF($C$2=2026,D$93,IF($C$2=2030,D$129,D$93))</f>
        <v/>
      </c>
      <c r="E32" s="160">
        <f>IF($C$2=2026,E$93,IF($C$2=2030,E$129,E$93))</f>
        <v/>
      </c>
      <c r="F32" s="160">
        <f>IF($C$2=2026,F$93,IF($C$2=2030,F$129,F$93))</f>
        <v/>
      </c>
      <c r="G32" s="160">
        <f>IF($C$2=2026,G$93,IF($C$2=2030,G$129,G$93))</f>
        <v/>
      </c>
      <c r="H32" s="88" t="n"/>
      <c r="I32" s="88" t="n"/>
    </row>
    <row r="33" ht="14" customHeight="1" s="137" thickBot="1">
      <c r="B33" s="132" t="inlineStr">
        <is>
          <t>Net operating $ FY26</t>
        </is>
      </c>
      <c r="C33" s="162">
        <f>IF($C$2=2026,C$94,IF($C$2=2030,C$130,C$94))</f>
        <v/>
      </c>
      <c r="D33" s="162">
        <f>IF($C$2=2026,D$94,IF($C$2=2030,D$130,D$94))</f>
        <v/>
      </c>
      <c r="E33" s="162">
        <f>IF($C$2=2026,E$94,IF($C$2=2030,E$130,E$94))</f>
        <v/>
      </c>
      <c r="F33" s="162">
        <f>IF($C$2=2026,F$94,IF($C$2=2030,F$130,F$94))</f>
        <v/>
      </c>
      <c r="G33" s="163">
        <f>IF($C$2=2026,G$94,IF($C$2=2030,G$130,G$94))</f>
        <v/>
      </c>
      <c r="H33" s="88" t="n"/>
      <c r="I33" s="88" t="n"/>
    </row>
    <row r="34">
      <c r="C34" s="88" t="n"/>
      <c r="D34" s="88" t="n"/>
      <c r="E34" s="88" t="n"/>
      <c r="F34" s="88" t="n"/>
      <c r="G34" s="88" t="n"/>
      <c r="H34" s="88" t="n"/>
      <c r="I34" s="88" t="n"/>
    </row>
    <row r="35" ht="15" customHeight="1" s="137" thickBot="1">
      <c r="C35" s="88" t="n"/>
      <c r="D35" s="88" t="n"/>
      <c r="E35" s="88" t="n"/>
      <c r="F35" s="88" t="n"/>
      <c r="G35" s="88" t="n"/>
      <c r="H35" s="88" t="n"/>
      <c r="I35" s="88" t="n"/>
    </row>
    <row r="36" ht="15" customHeight="1" s="137" thickBot="1">
      <c r="B36" s="132" t="inlineStr">
        <is>
          <t>FY26 Capital investment</t>
        </is>
      </c>
      <c r="C36" s="162">
        <f>Capital_Summary!$B$77</f>
        <v/>
      </c>
      <c r="D36" s="162">
        <f>Capital_Summary!$B$79</f>
        <v/>
      </c>
      <c r="E36" s="162">
        <f>Capital_Summary!B81</f>
        <v/>
      </c>
      <c r="F36" s="162">
        <f>Capital_Summary!B74</f>
        <v/>
      </c>
      <c r="G36" s="163">
        <f>Capital_Summary!B83</f>
        <v/>
      </c>
      <c r="H36" s="88" t="n"/>
      <c r="I36" s="88" t="n"/>
    </row>
    <row r="37">
      <c r="C37" s="88" t="n"/>
      <c r="D37" s="88" t="n"/>
      <c r="E37" s="88" t="n"/>
      <c r="F37" s="88" t="n"/>
      <c r="G37" s="88" t="n"/>
      <c r="H37" s="88" t="n"/>
      <c r="I37" s="88" t="n"/>
    </row>
    <row r="38">
      <c r="C38" s="88" t="n"/>
      <c r="D38" s="88" t="n"/>
      <c r="E38" s="88" t="n"/>
      <c r="F38" s="88" t="n"/>
      <c r="G38" s="88" t="n"/>
      <c r="H38" s="88" t="n"/>
      <c r="I38" s="88" t="n"/>
    </row>
    <row r="39">
      <c r="C39" s="88" t="n"/>
      <c r="D39" s="88" t="n"/>
      <c r="E39" s="88" t="n"/>
      <c r="F39" s="88" t="n"/>
      <c r="G39" s="88" t="n"/>
      <c r="H39" s="88" t="n"/>
      <c r="I39" s="88" t="n"/>
    </row>
    <row r="40">
      <c r="C40" s="88" t="n"/>
      <c r="D40" s="88" t="n"/>
      <c r="E40" s="88" t="n"/>
      <c r="F40" s="88" t="n"/>
      <c r="G40" s="88" t="n"/>
      <c r="H40" s="88" t="n"/>
      <c r="I40" s="88" t="n"/>
    </row>
    <row r="41">
      <c r="B41" s="139" t="inlineStr">
        <is>
          <t>(Check-MultiYear_Proforma) Net operating $ / year</t>
        </is>
      </c>
      <c r="C41" s="159">
        <f>IF($C$2=2026,MultiYear_ProForma!$AF$32,IF($C$2=2030,MultiYear_ProForma!$AF$36,""))</f>
        <v/>
      </c>
      <c r="D41" s="159">
        <f>IF($C$2=2026,MultiYear_ProForma!$AF$42,IF($C$2=2030,MultiYear_ProForma!$AF$46,""))</f>
        <v/>
      </c>
      <c r="E41" s="159">
        <f>IF($C$2=2026,MultiYear_ProForma!$AF$52,IF($C$2=2030,MultiYear_ProForma!$AF$56,""))</f>
        <v/>
      </c>
      <c r="F41" s="159">
        <f>IF($C$2=2026,MultiYear_ProForma!$AF$17,IF($C$2=2030,MultiYear_ProForma!$AF$21,""))</f>
        <v/>
      </c>
      <c r="G41" s="159">
        <f>IF($C$2=2026,MultiYear_ProForma!$AF$62,IF($C$2=2030,MultiYear_ProForma!$AF$66,""))</f>
        <v/>
      </c>
      <c r="H41" s="88" t="n"/>
      <c r="I41" s="88" t="n"/>
    </row>
    <row r="42">
      <c r="B42" s="139" t="inlineStr">
        <is>
          <t>Difference in MYP net vs. Dashboard net</t>
        </is>
      </c>
      <c r="C42" s="160">
        <f>C41-C33</f>
        <v/>
      </c>
      <c r="D42" s="160">
        <f>D41-D33</f>
        <v/>
      </c>
      <c r="E42" s="160">
        <f>E41-E33</f>
        <v/>
      </c>
      <c r="F42" s="160">
        <f>F41-F33</f>
        <v/>
      </c>
      <c r="G42" s="160">
        <f>G41-G33</f>
        <v/>
      </c>
      <c r="H42" s="88" t="n"/>
      <c r="I42" s="88" t="n"/>
    </row>
    <row r="43">
      <c r="B43" s="139" t="inlineStr">
        <is>
          <t>% difference in MYP net vs. Dashboard net</t>
        </is>
      </c>
      <c r="C43" s="114">
        <f>C42/C41</f>
        <v/>
      </c>
      <c r="D43" s="114">
        <f>D42/D41</f>
        <v/>
      </c>
      <c r="E43" s="114">
        <f>E42/E41</f>
        <v/>
      </c>
      <c r="F43" s="114">
        <f>F42/F41</f>
        <v/>
      </c>
      <c r="G43" s="114">
        <f>G42/G41</f>
        <v/>
      </c>
      <c r="H43" s="88" t="n"/>
      <c r="I43" s="88" t="n"/>
    </row>
    <row r="45">
      <c r="C45" s="164" t="n"/>
      <c r="D45" s="164" t="n"/>
      <c r="E45" s="164" t="n"/>
      <c r="F45" s="164" t="n"/>
      <c r="G45" s="164" t="n"/>
    </row>
    <row r="46">
      <c r="B46" s="100" t="n"/>
    </row>
    <row r="47">
      <c r="C47" s="165" t="n"/>
      <c r="D47" s="165" t="n"/>
      <c r="E47" s="165" t="n"/>
      <c r="F47" s="165" t="n"/>
      <c r="G47" s="165" t="n"/>
    </row>
    <row r="48" ht="14.5" customHeight="1" s="137">
      <c r="B48" s="100" t="n"/>
      <c r="C48" s="165" t="n"/>
    </row>
    <row r="50">
      <c r="B50" s="111" t="n"/>
      <c r="C50" s="88" t="n"/>
      <c r="D50" s="88" t="n"/>
      <c r="E50" s="88" t="n"/>
      <c r="F50" s="88" t="n"/>
      <c r="G50" s="88" t="n"/>
      <c r="H50" s="88" t="n"/>
      <c r="I50" s="88" t="n"/>
    </row>
    <row r="51">
      <c r="B51" s="111" t="n"/>
      <c r="C51" s="112" t="n"/>
      <c r="D51" s="112" t="n"/>
      <c r="E51" s="112" t="n"/>
      <c r="F51" s="112" t="n"/>
      <c r="G51" s="112" t="n"/>
      <c r="H51" s="88" t="n"/>
      <c r="I51" s="88" t="n"/>
    </row>
    <row r="52">
      <c r="C52" s="88" t="n"/>
      <c r="D52" s="88" t="n"/>
      <c r="E52" s="88" t="n"/>
      <c r="F52" s="88" t="n"/>
      <c r="G52" s="88" t="n"/>
      <c r="H52" s="88" t="n"/>
      <c r="I52" s="88" t="n"/>
    </row>
    <row r="53">
      <c r="C53" s="88" t="n"/>
      <c r="D53" s="88" t="n"/>
      <c r="E53" s="88" t="n"/>
      <c r="F53" s="88" t="n"/>
      <c r="G53" s="88" t="n"/>
      <c r="H53" s="88" t="n"/>
      <c r="I53" s="88" t="n"/>
    </row>
    <row r="55">
      <c r="B55" s="113" t="n"/>
      <c r="F55" s="88" t="n"/>
      <c r="G55" s="88" t="n"/>
    </row>
    <row r="56">
      <c r="C56" s="159" t="n"/>
      <c r="D56" s="159" t="n"/>
      <c r="E56" s="159" t="n"/>
      <c r="F56" s="88" t="n"/>
      <c r="G56" s="88" t="n"/>
    </row>
    <row r="58">
      <c r="B58" s="113" t="n"/>
      <c r="C58" s="85" t="n"/>
      <c r="D58" s="85" t="n"/>
      <c r="E58" s="85" t="n"/>
      <c r="F58" s="88" t="n"/>
      <c r="G58" s="88" t="n"/>
      <c r="H58" s="88" t="n"/>
      <c r="I58" s="88" t="n"/>
    </row>
    <row r="59">
      <c r="C59" s="159" t="n"/>
      <c r="D59" s="159" t="n"/>
      <c r="E59" s="159" t="n"/>
      <c r="F59" s="88" t="n"/>
      <c r="G59" s="88" t="n"/>
    </row>
    <row r="61">
      <c r="B61" s="113" t="n"/>
      <c r="C61" s="88" t="n"/>
      <c r="D61" s="88" t="n"/>
      <c r="E61" s="88" t="n"/>
      <c r="F61" s="85" t="n"/>
      <c r="G61" s="85" t="n"/>
      <c r="H61" s="88" t="n"/>
      <c r="I61" s="88" t="n"/>
    </row>
    <row r="63">
      <c r="C63" s="159" t="n"/>
    </row>
    <row r="64">
      <c r="B64" s="113" t="n"/>
      <c r="C64" s="159" t="n"/>
      <c r="D64" s="88" t="n"/>
      <c r="E64" s="88" t="n"/>
      <c r="F64" s="88" t="n"/>
      <c r="G64" s="88" t="n"/>
      <c r="H64" s="88" t="n"/>
      <c r="I64" s="88" t="n"/>
    </row>
    <row r="65">
      <c r="B65" s="100" t="inlineStr">
        <is>
          <t xml:space="preserve">FY2026 </t>
        </is>
      </c>
      <c r="C65" s="117" t="inlineStr">
        <is>
          <t>A2</t>
        </is>
      </c>
      <c r="D65" s="117" t="inlineStr">
        <is>
          <t>B2</t>
        </is>
      </c>
      <c r="E65" s="117" t="inlineStr">
        <is>
          <t>C2</t>
        </is>
      </c>
      <c r="F65" s="117" t="inlineStr">
        <is>
          <t>D1</t>
        </is>
      </c>
      <c r="G65" s="117" t="inlineStr">
        <is>
          <t>E1</t>
        </is>
      </c>
    </row>
    <row r="66" ht="39" customHeight="1" s="137">
      <c r="C66" s="120" t="inlineStr">
        <is>
          <t>Scenario A (Repurpose Both Lease)</t>
        </is>
      </c>
      <c r="D66" s="120" t="inlineStr">
        <is>
          <t>Scenario B (Repurpose Echo Lease; Grow Pima)</t>
        </is>
      </c>
      <c r="E66" s="120" t="inlineStr">
        <is>
          <t>Scenario C
(Repurpose Pima Lease; Grow Echo)</t>
        </is>
      </c>
      <c r="F66" s="120" t="inlineStr">
        <is>
          <t>Scenario D 
(Grow Both)</t>
        </is>
      </c>
      <c r="G66" s="120" t="inlineStr">
        <is>
          <t>Scenario E (Continued Decline)</t>
        </is>
      </c>
      <c r="H66" s="115" t="inlineStr">
        <is>
          <t>Source / Confidence Level</t>
        </is>
      </c>
      <c r="I66" s="115" t="inlineStr">
        <is>
          <t>Model sensitivity</t>
        </is>
      </c>
      <c r="J66" s="120" t="inlineStr">
        <is>
          <t>Note</t>
        </is>
      </c>
    </row>
    <row r="67">
      <c r="B67" s="125" t="inlineStr">
        <is>
          <t>Baseline ADM Echo</t>
        </is>
      </c>
      <c r="C67" s="88">
        <f>Parameters_Public!$C$10</f>
        <v/>
      </c>
      <c r="D67" s="88">
        <f>Parameters_Public!$C$10</f>
        <v/>
      </c>
      <c r="E67" s="88">
        <f>Parameters_Public!$C$10</f>
        <v/>
      </c>
      <c r="F67" s="88">
        <f>Parameters_Public!$C$10</f>
        <v/>
      </c>
      <c r="G67" s="88">
        <f>Parameters_Public!$C$10</f>
        <v/>
      </c>
      <c r="H67" s="88" t="inlineStr">
        <is>
          <t>***</t>
        </is>
      </c>
      <c r="I67" s="88" t="n"/>
    </row>
    <row r="68">
      <c r="B68" s="126" t="inlineStr">
        <is>
          <t>Baseline ADM Pima</t>
        </is>
      </c>
      <c r="C68" s="88">
        <f>Parameters_Public!$C$11</f>
        <v/>
      </c>
      <c r="D68" s="88">
        <f>Parameters_Public!$C$11</f>
        <v/>
      </c>
      <c r="E68" s="88">
        <f>Parameters_Public!$C$11</f>
        <v/>
      </c>
      <c r="F68" s="88">
        <f>Parameters_Public!$C$11</f>
        <v/>
      </c>
      <c r="G68" s="88">
        <f>Parameters_Public!$C$11</f>
        <v/>
      </c>
      <c r="H68" s="88" t="n"/>
      <c r="I68" s="88" t="n"/>
    </row>
    <row r="69">
      <c r="B69" s="126" t="inlineStr">
        <is>
          <t>ADM change FY26</t>
        </is>
      </c>
      <c r="C69" s="88" t="n">
        <v>0</v>
      </c>
      <c r="D69" s="96">
        <f>MultiYear_ProForma!$AB$42</f>
        <v/>
      </c>
      <c r="E69" s="96">
        <f>MultiYear_ProForma!$AB$52</f>
        <v/>
      </c>
      <c r="F69" s="96">
        <f>MultiYear_ProForma!$AB$17</f>
        <v/>
      </c>
      <c r="G69" s="88" t="n">
        <v>0</v>
      </c>
      <c r="H69" s="88" t="n"/>
      <c r="I69" s="88" t="n"/>
    </row>
    <row r="70">
      <c r="B70" s="125" t="inlineStr">
        <is>
          <t>Echo retention ratio</t>
        </is>
      </c>
      <c r="C70" s="88">
        <f>Parameters_Public!$C$23</f>
        <v/>
      </c>
      <c r="D70" s="88">
        <f>Parameters_Public!$C$23</f>
        <v/>
      </c>
      <c r="E70" s="88">
        <f>"N/A"</f>
        <v/>
      </c>
      <c r="F70" s="88">
        <f>"N/A"</f>
        <v/>
      </c>
      <c r="G70" s="88">
        <f>"N/A"</f>
        <v/>
      </c>
      <c r="H70" s="88" t="inlineStr">
        <is>
          <t>*</t>
        </is>
      </c>
      <c r="I70" s="88" t="n"/>
    </row>
    <row r="71">
      <c r="B71" s="125" t="inlineStr">
        <is>
          <t>Pima retention ratio</t>
        </is>
      </c>
      <c r="C71" s="88">
        <f>Parameters_Public!$C$24</f>
        <v/>
      </c>
      <c r="D71" s="88">
        <f>"N/A"</f>
        <v/>
      </c>
      <c r="E71" s="88">
        <f>Parameters_Public!$C$24</f>
        <v/>
      </c>
      <c r="F71" s="88">
        <f>"N/A"</f>
        <v/>
      </c>
      <c r="G71" s="88">
        <f>"N/A"</f>
        <v/>
      </c>
      <c r="H71" s="88" t="inlineStr">
        <is>
          <t>**</t>
        </is>
      </c>
      <c r="I71" s="88" t="n"/>
    </row>
    <row r="72">
      <c r="B72" s="126" t="inlineStr">
        <is>
          <t>Number of students transitioning</t>
        </is>
      </c>
      <c r="C72" s="96">
        <f>MultiYear_ProForma!$O$32</f>
        <v/>
      </c>
      <c r="D72" s="96">
        <f>MultiYear_ProForma!$O$42</f>
        <v/>
      </c>
      <c r="E72" s="96">
        <f>MultiYear_ProForma!$O$52</f>
        <v/>
      </c>
      <c r="F72" s="96">
        <f>MultiYear_ProForma!$O$17</f>
        <v/>
      </c>
      <c r="G72" s="96">
        <f>MultiYear_ProForma!$O$62</f>
        <v/>
      </c>
      <c r="H72" s="88" t="n"/>
      <c r="I72" s="88" t="n"/>
    </row>
    <row r="73">
      <c r="B73" s="126" t="inlineStr">
        <is>
          <t>Students served FY26</t>
        </is>
      </c>
      <c r="C73" s="96">
        <f>C72+C69</f>
        <v/>
      </c>
      <c r="D73" s="96">
        <f>D68+D72+D69</f>
        <v/>
      </c>
      <c r="E73" s="96">
        <f>E72+E67+E69</f>
        <v/>
      </c>
      <c r="F73" s="88">
        <f>F69+F68+F67</f>
        <v/>
      </c>
      <c r="G73" s="88">
        <f>G68+G67+G69</f>
        <v/>
      </c>
      <c r="H73" s="88" t="n"/>
      <c r="I73" s="88" t="n"/>
    </row>
    <row r="74">
      <c r="B74" s="124" t="inlineStr">
        <is>
          <t xml:space="preserve">Per‑served revenue ($/ADM) </t>
        </is>
      </c>
      <c r="C74" s="159">
        <f>MultiYear_ProForma!$AD$32/Dashboard!C73</f>
        <v/>
      </c>
      <c r="D74" s="159">
        <f>MultiYear_ProForma!$AD$42/Dashboard!D73</f>
        <v/>
      </c>
      <c r="E74" s="159">
        <f>MultiYear_ProForma!$AD$52/Dashboard!E73</f>
        <v/>
      </c>
      <c r="F74" s="159">
        <f>MultiYear_ProForma!$AD$17/Dashboard!F73</f>
        <v/>
      </c>
      <c r="G74" s="159">
        <f>MultiYear_ProForma!$AD$62/Dashboard!G73</f>
        <v/>
      </c>
      <c r="H74" s="88" t="n"/>
      <c r="I74" s="88" t="n"/>
      <c r="J74" t="inlineStr">
        <is>
          <t>Base+override;  to be conservative, small adjustment down for new students</t>
        </is>
      </c>
    </row>
    <row r="75">
      <c r="B75" s="139" t="inlineStr">
        <is>
          <t>Total 'revenue'</t>
        </is>
      </c>
      <c r="C75" s="159">
        <f>C74*C73</f>
        <v/>
      </c>
      <c r="D75" s="159">
        <f>D74*D73</f>
        <v/>
      </c>
      <c r="E75" s="159">
        <f>E74*E73</f>
        <v/>
      </c>
      <c r="F75" s="159">
        <f>F74*F73</f>
        <v/>
      </c>
      <c r="G75" s="159">
        <f>G74*G73</f>
        <v/>
      </c>
      <c r="H75" s="88" t="n"/>
      <c r="I75" s="88" t="n"/>
    </row>
    <row r="76">
      <c r="B76" s="126" t="inlineStr">
        <is>
          <t>Districtwide gross Maint &amp; Operations cost per non-new ADM</t>
        </is>
      </c>
      <c r="C76" s="159">
        <f>Parameters_Public!$C$14</f>
        <v/>
      </c>
      <c r="D76" s="159">
        <f>Parameters_Public!$C$14</f>
        <v/>
      </c>
      <c r="E76" s="159">
        <f>Parameters_Public!$C$14</f>
        <v/>
      </c>
      <c r="F76" s="159">
        <f>Parameters_Public!$C$14</f>
        <v/>
      </c>
      <c r="G76" s="159">
        <f>Parameters_Public!$C$14</f>
        <v/>
      </c>
      <c r="H76" s="88" t="n"/>
      <c r="I76" s="88" t="n"/>
      <c r="J76" t="inlineStr">
        <is>
          <t>Maintenance &amp; Operations referred to as "M&amp;O"</t>
        </is>
      </c>
    </row>
    <row r="77">
      <c r="B77" s="126" t="inlineStr">
        <is>
          <t xml:space="preserve">Variable cost / non-new ADM </t>
        </is>
      </c>
      <c r="C77" s="159">
        <f>BaselineCalc!$B$18*(IF(ROUNDUP(IF(C70="N/A", 0, C70)+IF(C71="N/A", 0, C71), 0)=2, 1,IF(ROUNDUP(IF(C70="N/A", 0, C70)+IF(C71="N/A", 0, C71), 0)=1,(1-BaselineCalc!$B$5/2),(1-BaselineCalc!$B$5))))</f>
        <v/>
      </c>
      <c r="D77" s="159">
        <f>BaselineCalc!$B$18*(IF(ROUNDUP(IF(D70="N/A", 0, D70)+IF(D71="N/A", 0, D71), 0)=2, 1,IF(ROUNDUP(IF(D70="N/A", 0, D70)+IF(D71="N/A", 0, D71), 0)=1,(1-BaselineCalc!$B$5*(D68/(D68+D72))),(1-BaselineCalc!$B$5))))</f>
        <v/>
      </c>
      <c r="E77" s="159">
        <f>BaselineCalc!$B$18*(IF(ROUNDUP(IF(E70="N/A", 0, E70)+IF(E71="N/A", 0, E71), 0)=2, 1,IF(ROUNDUP(IF(E70="N/A", 0, E70)+IF(E71="N/A", 0, E71), 0)=1,(1-BaselineCalc!$B$5*(E67/(E67+E72))),(1-BaselineCalc!$B$5))))</f>
        <v/>
      </c>
      <c r="F77" s="159">
        <f>BaselineCalc!$B$18*(IF(ROUNDUP(IF(F70="N/A", 0, F70)+IF(F71="N/A", 0, F71), 0)=2, 1,IF(ROUNDUP(IF(F70="N/A", 0, F70)+IF(F71="N/A", 0, F71), 0)=1,(1-BaselineCalc!$B$5/2),(1-BaselineCalc!$B$5))))</f>
        <v/>
      </c>
      <c r="G77" s="159">
        <f>BaselineCalc!$B$18*(IF(ROUNDUP(IF(G70="N/A", 0, G70)+IF(G71="N/A", 0, G71), 0)=2, 1,IF(ROUNDUP(IF(G70="N/A", 0, G70)+IF(G71="N/A", 0, G71), 0)=1,(1-BaselineCalc!$B$5/2),(1-BaselineCalc!$B$5))))</f>
        <v/>
      </c>
      <c r="H77" s="88" t="n"/>
      <c r="I77" s="88" t="n"/>
    </row>
    <row r="78">
      <c r="B78" s="126" t="inlineStr">
        <is>
          <t>Non-new students</t>
        </is>
      </c>
      <c r="C78" s="96">
        <f>MAX(C73 - C69, 0)</f>
        <v/>
      </c>
      <c r="D78" s="96">
        <f>MAX(D73 - D69, 0)</f>
        <v/>
      </c>
      <c r="E78" s="96">
        <f>MAX(E73 - E69, 0)</f>
        <v/>
      </c>
      <c r="F78" s="96">
        <f>MAX(F73 - F69, 0)</f>
        <v/>
      </c>
      <c r="G78" s="96">
        <f>MAX(G73 - G69, 0)</f>
        <v/>
      </c>
      <c r="H78" s="88" t="n"/>
      <c r="I78" s="88" t="n"/>
    </row>
    <row r="79">
      <c r="B79" s="124" t="inlineStr">
        <is>
          <t>Total variable gross cost of non-new students</t>
        </is>
      </c>
      <c r="C79" s="159">
        <f>C78*C77</f>
        <v/>
      </c>
      <c r="D79" s="159">
        <f>D78*D77</f>
        <v/>
      </c>
      <c r="E79" s="159">
        <f>E78*E77</f>
        <v/>
      </c>
      <c r="F79" s="159">
        <f>F78*F77</f>
        <v/>
      </c>
      <c r="G79" s="159">
        <f>G78*G77</f>
        <v/>
      </c>
      <c r="H79" s="88" t="n"/>
      <c r="I79" s="88" t="n"/>
      <c r="J79" t="inlineStr">
        <is>
          <t>After discounting estimated fixed, adjusting for inflation</t>
        </is>
      </c>
    </row>
    <row r="80">
      <c r="B80" s="126" t="inlineStr">
        <is>
          <t>New students</t>
        </is>
      </c>
      <c r="C80" s="96">
        <f>C69</f>
        <v/>
      </c>
      <c r="D80" s="96">
        <f>D69</f>
        <v/>
      </c>
      <c r="E80" s="96">
        <f>E69</f>
        <v/>
      </c>
      <c r="F80" s="96">
        <f>F69</f>
        <v/>
      </c>
      <c r="G80" s="96">
        <f>G69</f>
        <v/>
      </c>
      <c r="H80" s="88" t="n"/>
      <c r="I80" s="88" t="n"/>
    </row>
    <row r="81">
      <c r="B81" s="127" t="inlineStr">
        <is>
          <t xml:space="preserve">Marginal variable cost to add new students </t>
        </is>
      </c>
      <c r="C81" s="85">
        <f>Parameters_Public!$C$43</f>
        <v/>
      </c>
      <c r="D81" s="85">
        <f>Parameters_Public!$C$43</f>
        <v/>
      </c>
      <c r="E81" s="85">
        <f>Parameters_Public!$C$43</f>
        <v/>
      </c>
      <c r="F81" s="85">
        <f>Parameters_Public!$C$43</f>
        <v/>
      </c>
      <c r="G81" s="85">
        <f>Parameters_Public!$C$43</f>
        <v/>
      </c>
      <c r="H81" s="88" t="inlineStr">
        <is>
          <t>**</t>
        </is>
      </c>
      <c r="I81" s="88" t="n"/>
      <c r="J81" t="inlineStr">
        <is>
          <t>Estimated proportion of full cost</t>
        </is>
      </c>
    </row>
    <row r="82">
      <c r="B82" s="126" t="inlineStr">
        <is>
          <t>Variable gross M&amp;O / new student</t>
        </is>
      </c>
      <c r="C82" s="159">
        <f>IFERROR((C77*C81), "N/A")</f>
        <v/>
      </c>
      <c r="D82" s="159">
        <f>IFERROR((D77*D81), "N/A")</f>
        <v/>
      </c>
      <c r="E82" s="159">
        <f>IFERROR((E77*E81), "N/A")</f>
        <v/>
      </c>
      <c r="F82" s="159">
        <f>IFERROR((F77*F81), "N/A")</f>
        <v/>
      </c>
      <c r="G82" s="159">
        <f>IFERROR((G77*G81), "N/A")</f>
        <v/>
      </c>
      <c r="H82" s="88" t="n"/>
      <c r="I82" s="88" t="n"/>
      <c r="J82" t="inlineStr">
        <is>
          <t>M&amp;O = Maintenance &amp; Operations cost</t>
        </is>
      </c>
    </row>
    <row r="83">
      <c r="B83" s="126" t="inlineStr">
        <is>
          <t xml:space="preserve">Incremental overhead per new student </t>
        </is>
      </c>
      <c r="C83" s="159">
        <f>"$"&amp;YearMap!$E$2*Parameters_Public!$C$47&amp;"/student"</f>
        <v/>
      </c>
      <c r="D83" s="159">
        <f>"$"&amp;YearMap!$E$2*Parameters_Public!$C$47&amp;"/student"</f>
        <v/>
      </c>
      <c r="E83" s="159">
        <f>"$"&amp;YearMap!$E$2*Parameters_Public!$C$47&amp;"/student"</f>
        <v/>
      </c>
      <c r="F83" s="159">
        <f>"$"&amp;YearMap!$E$2*Parameters_Public!$C$47&amp;"/student"</f>
        <v/>
      </c>
      <c r="G83" s="159">
        <f>"$"&amp;YearMap!$E$2*Parameters_Public!$C$47&amp;"/student"</f>
        <v/>
      </c>
      <c r="H83" s="88" t="n"/>
      <c r="I83" s="88" t="n"/>
      <c r="J83" t="inlineStr">
        <is>
          <t>Estimted in model as proportion of repurpose transition cost</t>
        </is>
      </c>
    </row>
    <row r="84">
      <c r="B84" s="126" t="inlineStr">
        <is>
          <t xml:space="preserve">Variable gross M&amp;O + growth overhead / new student </t>
        </is>
      </c>
      <c r="C84" s="160">
        <f>BaselineCalc!$B$18*(1-BaselineCalc!$B$5)*Parameters_Public!$C$43+YearMap!$Q$2</f>
        <v/>
      </c>
      <c r="D84" s="160">
        <f>BaselineCalc!$B$18*(1-BaselineCalc!$B$5)*Parameters_Public!$C$43+YearMap!$Q$2</f>
        <v/>
      </c>
      <c r="E84" s="160">
        <f>BaselineCalc!$B$18*(1-BaselineCalc!$B$5)*Parameters_Public!$C$43+YearMap!$Q$2</f>
        <v/>
      </c>
      <c r="F84" s="160">
        <f>BaselineCalc!$B$18*(1-BaselineCalc!$B$5)*Parameters_Public!$C$43+YearMap!$Q$2</f>
        <v/>
      </c>
      <c r="G84" s="160">
        <f>BaselineCalc!$B$18*(1-BaselineCalc!$B$5)*Parameters_Public!$C$43+YearMap!$Q$2</f>
        <v/>
      </c>
      <c r="H84" s="88" t="n"/>
      <c r="I84" s="88" t="n"/>
    </row>
    <row r="85">
      <c r="B85" s="124" t="inlineStr">
        <is>
          <t>Total variable gross cost of new students</t>
        </is>
      </c>
      <c r="C85" s="159">
        <f>IF(C84*C69=0, "N/A", C84*C69)</f>
        <v/>
      </c>
      <c r="D85" s="159">
        <f>IF(D84*D69=0, "N/A", D84*D69)</f>
        <v/>
      </c>
      <c r="E85" s="159">
        <f>IF(E84*E69=0, "N/A", E84*E69)</f>
        <v/>
      </c>
      <c r="F85" s="159">
        <f>IF(F84*F69=0, "N/A", F84*F69)</f>
        <v/>
      </c>
      <c r="G85" s="159">
        <f>IF(G84*G69=0, "N/A", G84*G69)</f>
        <v/>
      </c>
      <c r="H85" s="88" t="n"/>
      <c r="I85" s="88" t="n"/>
    </row>
    <row r="86">
      <c r="B86" s="124" t="inlineStr">
        <is>
          <t>Total variable gross M&amp;O cost</t>
        </is>
      </c>
      <c r="C86" s="160">
        <f>C79+IF(ISNUMBER(C85),C85,0)</f>
        <v/>
      </c>
      <c r="D86" s="160">
        <f>D79+IF(ISNUMBER(D85),D85,0)</f>
        <v/>
      </c>
      <c r="E86" s="160">
        <f>E79+IF(ISNUMBER(E85),E85,0)</f>
        <v/>
      </c>
      <c r="F86" s="160">
        <f>F79+IF(ISNUMBER(F85),F85,0)</f>
        <v/>
      </c>
      <c r="G86" s="160">
        <f>G79+IF(ISNUMBER(G85),G85,0)</f>
        <v/>
      </c>
      <c r="H86" s="88" t="n"/>
      <c r="I86" s="88" t="n"/>
    </row>
    <row r="87">
      <c r="B87" s="125" t="inlineStr">
        <is>
          <t>Transition cost (routing, transportation, etc.) FY26</t>
        </is>
      </c>
      <c r="C87" s="85">
        <f>"$"&amp;YearMap!$E$2&amp;"/student"</f>
        <v/>
      </c>
      <c r="D87" s="85">
        <f>"$"&amp;YearMap!$E$2&amp;"/student"</f>
        <v/>
      </c>
      <c r="E87" s="85">
        <f>"$"&amp;YearMap!$E$2&amp;"/student"</f>
        <v/>
      </c>
      <c r="F87" s="88">
        <f>"N/A"</f>
        <v/>
      </c>
      <c r="G87" s="88">
        <f>"N/A"</f>
        <v/>
      </c>
      <c r="H87" s="88" t="inlineStr">
        <is>
          <t>**</t>
        </is>
      </c>
      <c r="I87" s="88" t="n"/>
      <c r="J87" t="inlineStr">
        <is>
          <t>Assuming adjustments in routing or other transportation investment needed for students displaced from repurpose; tapers over time</t>
        </is>
      </c>
    </row>
    <row r="88">
      <c r="B88" s="124" t="inlineStr">
        <is>
          <t>Total transition cost FY26</t>
        </is>
      </c>
      <c r="C88" s="160">
        <f>YearMap!$E$2*IF(ISNUMBER(C72), C72, 0)</f>
        <v/>
      </c>
      <c r="D88" s="160">
        <f>YearMap!$E$2*IF(ISNUMBER(D72), D72, 0)</f>
        <v/>
      </c>
      <c r="E88" s="160">
        <f>YearMap!$E$2*IF(ISNUMBER(E72), E72, 0)</f>
        <v/>
      </c>
      <c r="F88" s="88">
        <f>YearMap!$E$2*IF(ISNUMBER(F72), F72, 0)</f>
        <v/>
      </c>
      <c r="G88" s="88">
        <f>YearMap!$E$2*IF(ISNUMBER(G72), G72, 0)</f>
        <v/>
      </c>
      <c r="H88" s="88" t="n"/>
      <c r="I88" s="88" t="n"/>
    </row>
    <row r="89">
      <c r="B89" s="124" t="inlineStr">
        <is>
          <t>Total gross M&amp;O + transition cost</t>
        </is>
      </c>
      <c r="C89" s="160">
        <f>C86+IF(ISNUMBER(C88),C88,0)</f>
        <v/>
      </c>
      <c r="D89" s="160">
        <f>D86+IF(ISNUMBER(D88),D88,0)</f>
        <v/>
      </c>
      <c r="E89" s="160">
        <f>E86+IF(ISNUMBER(E88),E88,0)</f>
        <v/>
      </c>
      <c r="F89" s="160">
        <f>F86+IF(ISNUMBER(F88),F88,0)</f>
        <v/>
      </c>
      <c r="G89" s="160">
        <f>G86+IF(ISNUMBER(G88),G88,0)</f>
        <v/>
      </c>
      <c r="H89" s="88" t="n"/>
      <c r="I89" s="88" t="n"/>
    </row>
    <row r="90">
      <c r="B90" s="107" t="inlineStr">
        <is>
          <t>Base open site fixed total</t>
        </is>
      </c>
      <c r="C90" s="161">
        <f>BaselineCalc!$B$19+BaselineCalc!$B$20</f>
        <v/>
      </c>
      <c r="D90" s="161">
        <f>BaselineCalc!$B$20</f>
        <v/>
      </c>
      <c r="E90" s="161">
        <f>BaselineCalc!$B$19</f>
        <v/>
      </c>
      <c r="F90" s="161">
        <f>BaselineCalc!$B$19+BaselineCalc!$B$20</f>
        <v/>
      </c>
      <c r="G90" s="161">
        <f>BaselineCalc!$B$19+BaselineCalc!$B$20</f>
        <v/>
      </c>
      <c r="H90" s="88" t="inlineStr">
        <is>
          <t>*</t>
        </is>
      </c>
      <c r="I90" s="88" t="n"/>
    </row>
    <row r="91">
      <c r="B91" s="129" t="inlineStr">
        <is>
          <t>Estimated repurpose site fixed cost carry ratio</t>
        </is>
      </c>
      <c r="C91" s="122">
        <f>YearMap!$F$2</f>
        <v/>
      </c>
      <c r="D91" s="122">
        <f>YearMap!$F$2</f>
        <v/>
      </c>
      <c r="E91" s="122">
        <f>YearMap!$F$2</f>
        <v/>
      </c>
      <c r="F91" s="123">
        <f>"N/A"</f>
        <v/>
      </c>
      <c r="G91" s="123">
        <f>"N/A"</f>
        <v/>
      </c>
      <c r="H91" s="88" t="inlineStr">
        <is>
          <t>**</t>
        </is>
      </c>
      <c r="I91" s="88" t="n"/>
    </row>
    <row r="92">
      <c r="B92" s="128" t="inlineStr">
        <is>
          <t>Net fixed cost total</t>
        </is>
      </c>
      <c r="C92" s="161">
        <f>MultiYear_ProForma!$U$32</f>
        <v/>
      </c>
      <c r="D92" s="161">
        <f>MultiYear_ProForma!$U$42</f>
        <v/>
      </c>
      <c r="E92" s="161">
        <f>MultiYear_ProForma!$U$52</f>
        <v/>
      </c>
      <c r="F92" s="161">
        <f>MultiYear_ProForma!$U$17</f>
        <v/>
      </c>
      <c r="G92" s="161">
        <f>MultiYear_ProForma!$U$62</f>
        <v/>
      </c>
      <c r="H92" s="88" t="n"/>
      <c r="I92" s="88" t="n"/>
    </row>
    <row r="93" ht="15" customHeight="1" s="137" thickBot="1">
      <c r="B93" s="139" t="inlineStr">
        <is>
          <t>Net total cost</t>
        </is>
      </c>
      <c r="C93" s="160">
        <f>C86+IF(ISNUMBER(C88),C88,0)+C92</f>
        <v/>
      </c>
      <c r="D93" s="160">
        <f>D86+IF(ISNUMBER(D88),D88,0)+D92</f>
        <v/>
      </c>
      <c r="E93" s="160">
        <f>E86+IF(ISNUMBER(E88),E88,0)+E92</f>
        <v/>
      </c>
      <c r="F93" s="160">
        <f>F86+IF(ISNUMBER(F88),F88,0)+F92</f>
        <v/>
      </c>
      <c r="G93" s="160">
        <f>G86+IF(ISNUMBER(G88),G88,0)+G92</f>
        <v/>
      </c>
      <c r="H93" s="88" t="n"/>
      <c r="I93" s="88" t="n"/>
    </row>
    <row r="94" ht="15" customHeight="1" s="137" thickBot="1">
      <c r="B94" s="132" t="inlineStr">
        <is>
          <t>Net operating $ FY26</t>
        </is>
      </c>
      <c r="C94" s="166">
        <f>C75-C93</f>
        <v/>
      </c>
      <c r="D94" s="166">
        <f>D75-D93</f>
        <v/>
      </c>
      <c r="E94" s="166">
        <f>E75-E93</f>
        <v/>
      </c>
      <c r="F94" s="166">
        <f>F75-F93</f>
        <v/>
      </c>
      <c r="G94" s="167">
        <f>G75-G93</f>
        <v/>
      </c>
      <c r="H94" s="88" t="n"/>
      <c r="I94" s="88" t="n"/>
    </row>
    <row r="96" ht="15" customHeight="1" s="137" thickBot="1"/>
    <row r="97" ht="15" customHeight="1" s="137" thickBot="1">
      <c r="B97" s="132" t="inlineStr">
        <is>
          <t>Capital investment $ FY26</t>
        </is>
      </c>
      <c r="C97" s="162">
        <f>Capital_Summary!$B$77</f>
        <v/>
      </c>
      <c r="D97" s="162">
        <f>Capital_Summary!$B$79</f>
        <v/>
      </c>
      <c r="E97" s="162">
        <f>Capital_Summary!B142</f>
        <v/>
      </c>
      <c r="F97" s="162">
        <f>Capital_Summary!B135</f>
        <v/>
      </c>
      <c r="G97" s="163">
        <f>Capital_Summary!B144</f>
        <v/>
      </c>
    </row>
    <row r="98">
      <c r="B98" s="100" t="n"/>
      <c r="C98" s="168" t="n"/>
      <c r="D98" s="168" t="n"/>
      <c r="E98" s="168" t="n"/>
      <c r="F98" s="168" t="n"/>
      <c r="G98" s="168" t="n"/>
    </row>
    <row r="99">
      <c r="B99" s="100" t="n"/>
      <c r="C99" s="168" t="n"/>
      <c r="D99" s="168" t="n"/>
      <c r="E99" s="168" t="n"/>
      <c r="F99" s="168" t="n"/>
      <c r="G99" s="168" t="n"/>
    </row>
    <row r="100">
      <c r="B100" s="100" t="n"/>
      <c r="C100" s="168" t="n"/>
      <c r="D100" s="168" t="n"/>
      <c r="E100" s="168" t="n"/>
      <c r="F100" s="168" t="n"/>
      <c r="G100" s="168" t="n"/>
    </row>
    <row r="101">
      <c r="B101" s="100" t="inlineStr">
        <is>
          <t>FY2030</t>
        </is>
      </c>
      <c r="C101" s="117" t="inlineStr">
        <is>
          <t>A2</t>
        </is>
      </c>
      <c r="D101" s="117" t="inlineStr">
        <is>
          <t>B2</t>
        </is>
      </c>
      <c r="E101" s="117" t="inlineStr">
        <is>
          <t>C2</t>
        </is>
      </c>
      <c r="F101" s="117" t="inlineStr">
        <is>
          <t>D1</t>
        </is>
      </c>
      <c r="G101" s="117" t="inlineStr">
        <is>
          <t>E1</t>
        </is>
      </c>
    </row>
    <row r="102" ht="39" customHeight="1" s="137">
      <c r="C102" s="120" t="inlineStr">
        <is>
          <t>Scenario A (Repurpose Both Lease)</t>
        </is>
      </c>
      <c r="D102" s="120" t="inlineStr">
        <is>
          <t>Scenario B (Repurpose Echo Lease; Grow Pima)</t>
        </is>
      </c>
      <c r="E102" s="120" t="inlineStr">
        <is>
          <t>Scenario C
(Repurpose Pima Lease; Grow Echo)</t>
        </is>
      </c>
      <c r="F102" s="120" t="inlineStr">
        <is>
          <t>Scenario D 
(Grow Both)</t>
        </is>
      </c>
      <c r="G102" s="120" t="inlineStr">
        <is>
          <t>Scenario E (Continued Decline)</t>
        </is>
      </c>
      <c r="H102" s="115" t="inlineStr">
        <is>
          <t>Source / Confidence Level</t>
        </is>
      </c>
      <c r="I102" s="115" t="inlineStr">
        <is>
          <t>Model sensitivity</t>
        </is>
      </c>
      <c r="J102" s="120" t="inlineStr">
        <is>
          <t>Note</t>
        </is>
      </c>
    </row>
    <row r="103">
      <c r="B103" s="125" t="inlineStr">
        <is>
          <t>Baseline ADM Echo</t>
        </is>
      </c>
      <c r="C103" s="88">
        <f>Parameters_Public!$C$10</f>
        <v/>
      </c>
      <c r="D103" s="88">
        <f>Parameters_Public!$C$10</f>
        <v/>
      </c>
      <c r="E103" s="88">
        <f>Parameters_Public!$C$10</f>
        <v/>
      </c>
      <c r="F103" s="88">
        <f>Parameters_Public!$C$10</f>
        <v/>
      </c>
      <c r="G103" s="88">
        <f>Parameters_Public!$C$10</f>
        <v/>
      </c>
      <c r="H103" s="88" t="inlineStr">
        <is>
          <t>***</t>
        </is>
      </c>
      <c r="I103" s="88" t="n"/>
    </row>
    <row r="104">
      <c r="B104" s="126" t="inlineStr">
        <is>
          <t>Baseline ADM Pima</t>
        </is>
      </c>
      <c r="C104" s="88">
        <f>Parameters_Public!$C$11</f>
        <v/>
      </c>
      <c r="D104" s="88">
        <f>Parameters_Public!$C$11</f>
        <v/>
      </c>
      <c r="E104" s="88">
        <f>Parameters_Public!$C$11</f>
        <v/>
      </c>
      <c r="F104" s="88">
        <f>Parameters_Public!$C$11</f>
        <v/>
      </c>
      <c r="G104" s="88">
        <f>Parameters_Public!$C$11</f>
        <v/>
      </c>
      <c r="H104" s="88" t="n"/>
      <c r="I104" s="88" t="n"/>
    </row>
    <row r="105">
      <c r="B105" s="126" t="inlineStr">
        <is>
          <t>ADM change FY30</t>
        </is>
      </c>
      <c r="C105" s="88">
        <f>MultiYear_ProForma!$AB$36</f>
        <v/>
      </c>
      <c r="D105" s="96">
        <f>MultiYear_ProForma!$AB$46</f>
        <v/>
      </c>
      <c r="E105" s="96">
        <f>MultiYear_ProForma!$AB$56</f>
        <v/>
      </c>
      <c r="F105" s="96">
        <f>MultiYear_ProForma!$AB$21</f>
        <v/>
      </c>
      <c r="G105" s="88">
        <f>MultiYear_ProForma!$AB$66</f>
        <v/>
      </c>
      <c r="H105" s="88" t="n"/>
      <c r="I105" s="88" t="n"/>
    </row>
    <row r="106">
      <c r="B106" s="125" t="inlineStr">
        <is>
          <t>Echo retention ratio</t>
        </is>
      </c>
      <c r="C106" s="88">
        <f>Parameters_Public!$C$23</f>
        <v/>
      </c>
      <c r="D106" s="88">
        <f>Parameters_Public!$C$23</f>
        <v/>
      </c>
      <c r="E106" s="88">
        <f>"N/A"</f>
        <v/>
      </c>
      <c r="F106" s="88">
        <f>"N/A"</f>
        <v/>
      </c>
      <c r="G106" s="88">
        <f>"N/A"</f>
        <v/>
      </c>
      <c r="H106" s="88" t="inlineStr">
        <is>
          <t>*</t>
        </is>
      </c>
      <c r="I106" s="88" t="n"/>
    </row>
    <row r="107">
      <c r="B107" s="125" t="inlineStr">
        <is>
          <t>Pima retention ratio</t>
        </is>
      </c>
      <c r="C107" s="88">
        <f>Parameters_Public!$C$24</f>
        <v/>
      </c>
      <c r="D107" s="88">
        <f>"N/A"</f>
        <v/>
      </c>
      <c r="E107" s="88">
        <f>Parameters_Public!$C$24</f>
        <v/>
      </c>
      <c r="F107" s="88">
        <f>"N/A"</f>
        <v/>
      </c>
      <c r="G107" s="88">
        <f>"N/A"</f>
        <v/>
      </c>
      <c r="H107" s="88" t="inlineStr">
        <is>
          <t>**</t>
        </is>
      </c>
      <c r="I107" s="88" t="n"/>
    </row>
    <row r="108">
      <c r="B108" s="126" t="inlineStr">
        <is>
          <t>Number of students transitioning</t>
        </is>
      </c>
      <c r="C108" s="96">
        <f>MultiYear_ProForma!$O$36</f>
        <v/>
      </c>
      <c r="D108" s="96">
        <f>MultiYear_ProForma!$O$46</f>
        <v/>
      </c>
      <c r="E108" s="96">
        <f>MultiYear_ProForma!$O$56</f>
        <v/>
      </c>
      <c r="F108" s="88">
        <f>MultiYear_ProForma!$O$21</f>
        <v/>
      </c>
      <c r="G108" s="88">
        <f>MultiYear_ProForma!$O$66</f>
        <v/>
      </c>
      <c r="H108" s="88" t="n"/>
      <c r="I108" s="88" t="n"/>
    </row>
    <row r="109">
      <c r="B109" s="126" t="inlineStr">
        <is>
          <t>Students served FY30</t>
        </is>
      </c>
      <c r="C109" s="96">
        <f>C108+C105</f>
        <v/>
      </c>
      <c r="D109" s="96">
        <f>D104+D108+D105</f>
        <v/>
      </c>
      <c r="E109" s="96">
        <f>E108+E103+E105</f>
        <v/>
      </c>
      <c r="F109" s="88">
        <f>F105+F104+F103</f>
        <v/>
      </c>
      <c r="G109" s="88">
        <f>G104+G103+G105</f>
        <v/>
      </c>
      <c r="H109" s="88" t="n"/>
      <c r="I109" s="88" t="n"/>
    </row>
    <row r="110">
      <c r="B110" s="124" t="inlineStr">
        <is>
          <t xml:space="preserve">Per‑served revenue ($/ADM) </t>
        </is>
      </c>
      <c r="C110" s="159">
        <f>MultiYear_ProForma!$AD$36/Dashboard!C109</f>
        <v/>
      </c>
      <c r="D110" s="159">
        <f>MultiYear_ProForma!$AD$46/Dashboard!D109</f>
        <v/>
      </c>
      <c r="E110" s="159">
        <f>MultiYear_ProForma!$AD$56/Dashboard!E109</f>
        <v/>
      </c>
      <c r="F110" s="159">
        <f>MultiYear_ProForma!$AD$21/Dashboard!F109</f>
        <v/>
      </c>
      <c r="G110" s="159">
        <f>MultiYear_ProForma!$AD$66/Dashboard!G109</f>
        <v/>
      </c>
      <c r="H110" s="88" t="n"/>
      <c r="I110" s="88" t="n"/>
      <c r="J110" t="inlineStr">
        <is>
          <t>Base+override;  to be conservative, small adjustment down for new students</t>
        </is>
      </c>
    </row>
    <row r="111">
      <c r="B111" s="139" t="inlineStr">
        <is>
          <t>Total 'revenue'</t>
        </is>
      </c>
      <c r="C111" s="159">
        <f>C110*C109</f>
        <v/>
      </c>
      <c r="D111" s="159">
        <f>D110*D109</f>
        <v/>
      </c>
      <c r="E111" s="159">
        <f>E110*E109</f>
        <v/>
      </c>
      <c r="F111" s="159">
        <f>F110*F109</f>
        <v/>
      </c>
      <c r="G111" s="159">
        <f>G110*G109</f>
        <v/>
      </c>
      <c r="H111" s="88" t="n"/>
      <c r="I111" s="88" t="n"/>
    </row>
    <row r="112">
      <c r="B112" s="126" t="inlineStr">
        <is>
          <t>Districtwide gross Maint &amp; Operations cost per non-new ADM</t>
        </is>
      </c>
      <c r="C112" s="159">
        <f>Parameters_Public!$C$14</f>
        <v/>
      </c>
      <c r="D112" s="159">
        <f>Parameters_Public!$C$14</f>
        <v/>
      </c>
      <c r="E112" s="159">
        <f>Parameters_Public!$C$14</f>
        <v/>
      </c>
      <c r="F112" s="159">
        <f>Parameters_Public!$C$14</f>
        <v/>
      </c>
      <c r="G112" s="159">
        <f>Parameters_Public!$C$14</f>
        <v/>
      </c>
      <c r="H112" s="88" t="n"/>
      <c r="I112" s="88" t="n"/>
      <c r="J112" t="inlineStr">
        <is>
          <t>Maintenance &amp; Operations referred to as "M&amp;O"</t>
        </is>
      </c>
    </row>
    <row r="113">
      <c r="B113" s="126" t="inlineStr">
        <is>
          <t xml:space="preserve">Variable cost / non-new ADM </t>
        </is>
      </c>
      <c r="C113" s="159">
        <f>IF(C114=0,0,(C108/C114)*MultiYear_ProForma!$G$36+((C114-C108)/C114)*(MultiYear_ProForma!$G$36*(1-BaselineCalc!$B$5)))</f>
        <v/>
      </c>
      <c r="D113" s="159">
        <f>IF(D114=0,0,(D108/D114)*MultiYear_ProForma!$G$46+((D114-D108)/D114)*(MultiYear_ProForma!$G$46*(1-BaselineCalc!$B$5)))</f>
        <v/>
      </c>
      <c r="E113" s="159">
        <f>IF(E114=0,0,(E108/E114)*MultiYear_ProForma!$G$56+((E114-E108)/E114)*(MultiYear_ProForma!$G$56*(1-BaselineCalc!$B$5)))</f>
        <v/>
      </c>
      <c r="F113" s="159">
        <f>IF(F114=0,0,(F108/F114)*MultiYear_ProForma!$G$21+((F114-F108)/F114)*(MultiYear_ProForma!$G$21*(1-BaselineCalc!$B$5)))</f>
        <v/>
      </c>
      <c r="G113" s="159">
        <f>IF(G114=0,0,(G108/G114)*MultiYear_ProForma!$G$66+((G114-G108)/G114)*(MultiYear_ProForma!$G$66*(1-BaselineCalc!$B$5)))</f>
        <v/>
      </c>
      <c r="H113" s="88" t="n"/>
      <c r="I113" s="88" t="n"/>
    </row>
    <row r="114">
      <c r="B114" s="126" t="inlineStr">
        <is>
          <t>Non-new students</t>
        </is>
      </c>
      <c r="C114" s="96">
        <f>MAX(C109 - C105, 0)</f>
        <v/>
      </c>
      <c r="D114" s="96">
        <f>MAX(D109 - D105, 0)</f>
        <v/>
      </c>
      <c r="E114" s="96">
        <f>MAX(E109 - E105, 0)</f>
        <v/>
      </c>
      <c r="F114" s="96">
        <f>MAX(F109 - F105, 0)</f>
        <v/>
      </c>
      <c r="G114" s="96">
        <f>MAX(G109 - G105, 0)</f>
        <v/>
      </c>
      <c r="H114" s="88" t="n"/>
      <c r="I114" s="88" t="n"/>
    </row>
    <row r="115">
      <c r="B115" s="124" t="inlineStr">
        <is>
          <t>Total variable gross cost of non-new students</t>
        </is>
      </c>
      <c r="C115" s="159">
        <f>C114*C113</f>
        <v/>
      </c>
      <c r="D115" s="159">
        <f>D114*D113</f>
        <v/>
      </c>
      <c r="E115" s="159">
        <f>E114*E113</f>
        <v/>
      </c>
      <c r="F115" s="159">
        <f>F114*F113</f>
        <v/>
      </c>
      <c r="G115" s="159">
        <f>G114*G113</f>
        <v/>
      </c>
      <c r="H115" s="88" t="n"/>
      <c r="I115" s="88" t="n"/>
      <c r="J115" t="inlineStr">
        <is>
          <t>After discounting estimated fixed, adjusting for inflation</t>
        </is>
      </c>
    </row>
    <row r="116">
      <c r="B116" s="126" t="inlineStr">
        <is>
          <t>New students</t>
        </is>
      </c>
      <c r="C116" s="96">
        <f>C105</f>
        <v/>
      </c>
      <c r="D116" s="96">
        <f>D105</f>
        <v/>
      </c>
      <c r="E116" s="96">
        <f>E105</f>
        <v/>
      </c>
      <c r="F116" s="96">
        <f>F105</f>
        <v/>
      </c>
      <c r="G116" s="96">
        <f>G105</f>
        <v/>
      </c>
      <c r="H116" s="88" t="n"/>
      <c r="I116" s="88" t="n"/>
    </row>
    <row r="117">
      <c r="B117" s="127" t="inlineStr">
        <is>
          <t xml:space="preserve">Marginal variable cost to add new students </t>
        </is>
      </c>
      <c r="C117" s="85">
        <f>Parameters_Public!$C$43</f>
        <v/>
      </c>
      <c r="D117" s="85">
        <f>Parameters_Public!$C$43</f>
        <v/>
      </c>
      <c r="E117" s="85">
        <f>Parameters_Public!$C$43</f>
        <v/>
      </c>
      <c r="F117" s="85">
        <f>Parameters_Public!$C$43</f>
        <v/>
      </c>
      <c r="G117" s="85">
        <f>Parameters_Public!$C$43</f>
        <v/>
      </c>
      <c r="H117" s="88" t="inlineStr">
        <is>
          <t>**</t>
        </is>
      </c>
      <c r="I117" s="88" t="n"/>
      <c r="J117" t="inlineStr">
        <is>
          <t>Estimated proportion of full cost</t>
        </is>
      </c>
    </row>
    <row r="118">
      <c r="B118" s="126" t="inlineStr">
        <is>
          <t>Variable gross M&amp;O / new student</t>
        </is>
      </c>
      <c r="C118" s="159">
        <f>IFERROR((C113*C117), "N/A")</f>
        <v/>
      </c>
      <c r="D118" s="159">
        <f>IFERROR((D113*D117), "N/A")</f>
        <v/>
      </c>
      <c r="E118" s="159">
        <f>IFERROR((E113*E117), "N/A")</f>
        <v/>
      </c>
      <c r="F118" s="159">
        <f>IFERROR((F113*F117), "N/A")</f>
        <v/>
      </c>
      <c r="G118" s="159">
        <f>IFERROR((G113*G117), "N/A")</f>
        <v/>
      </c>
      <c r="H118" s="88" t="n"/>
      <c r="I118" s="88" t="n"/>
      <c r="J118" t="inlineStr">
        <is>
          <t>M&amp;O = Maintenance &amp; Operations cost</t>
        </is>
      </c>
    </row>
    <row r="119">
      <c r="B119" s="126" t="inlineStr">
        <is>
          <t xml:space="preserve">Incremental overhead per new student </t>
        </is>
      </c>
      <c r="C119" s="159">
        <f>"$"&amp;YearMap!$E$2*Parameters_Public!$C$47&amp;"/student"</f>
        <v/>
      </c>
      <c r="D119" s="159">
        <f>"$"&amp;YearMap!$E$2*Parameters_Public!$C$47&amp;"/student"</f>
        <v/>
      </c>
      <c r="E119" s="159">
        <f>"$"&amp;YearMap!$E$2*Parameters_Public!$C$47&amp;"/student"</f>
        <v/>
      </c>
      <c r="F119" s="159">
        <f>"$"&amp;YearMap!$E$2*Parameters_Public!$C$47&amp;"/student"</f>
        <v/>
      </c>
      <c r="G119" s="159">
        <f>"$"&amp;YearMap!$E$2*Parameters_Public!$C$47&amp;"/student"</f>
        <v/>
      </c>
      <c r="H119" s="88" t="n"/>
      <c r="I119" s="88" t="n"/>
      <c r="J119" t="inlineStr">
        <is>
          <t>Estimted in model as proportion of repurpose transition cost</t>
        </is>
      </c>
    </row>
    <row r="120">
      <c r="B120" s="126" t="inlineStr">
        <is>
          <t xml:space="preserve">Variable gross M&amp;O + growth overhead / new student </t>
        </is>
      </c>
      <c r="C120" s="160">
        <f>MultiYear_ProForma!$G$36*(1-BaselineCalc!$B$5)*Parameters_Public!$C$43+YearMap!$Q$6</f>
        <v/>
      </c>
      <c r="D120" s="160">
        <f>MultiYear_ProForma!$G$46*(1-BaselineCalc!$B$5)*Parameters_Public!$C$43+YearMap!$Q$6</f>
        <v/>
      </c>
      <c r="E120" s="160">
        <f>MultiYear_ProForma!$G$56*(1-BaselineCalc!$B$5)*Parameters_Public!$C$43+YearMap!$Q$6</f>
        <v/>
      </c>
      <c r="F120" s="160">
        <f>MultiYear_ProForma!$G$21*(1-BaselineCalc!$B$5)*Parameters_Public!$C$43+YearMap!$Q$6</f>
        <v/>
      </c>
      <c r="G120" s="160">
        <f>MultiYear_ProForma!$G$66*(1-BaselineCalc!$B$5)*Parameters_Public!$C$43+YearMap!$Q$6</f>
        <v/>
      </c>
      <c r="H120" s="88" t="n"/>
      <c r="I120" s="88" t="n"/>
    </row>
    <row r="121">
      <c r="B121" s="124" t="inlineStr">
        <is>
          <t>Total variable gross cost of new students</t>
        </is>
      </c>
      <c r="C121" s="159">
        <f>IF(C120*C116=0,"N/A",C120*C116)</f>
        <v/>
      </c>
      <c r="D121" s="159">
        <f>IF(D120*D116=0,"N/A",D120*D116)</f>
        <v/>
      </c>
      <c r="E121" s="159">
        <f>IF(E120*E116=0,"N/A",E120*E116)</f>
        <v/>
      </c>
      <c r="F121" s="159">
        <f>IF(F120*F116=0,"N/A",F120*F116)</f>
        <v/>
      </c>
      <c r="G121" s="159">
        <f>IF(G120*G116=0,"N/A",G120*G116)</f>
        <v/>
      </c>
      <c r="H121" s="88" t="n"/>
      <c r="I121" s="88" t="n"/>
    </row>
    <row r="122">
      <c r="B122" s="124" t="inlineStr">
        <is>
          <t>Total variable gross M&amp;O cost</t>
        </is>
      </c>
      <c r="C122" s="160">
        <f>C115+IF(ISNUMBER(C121),C121,0)</f>
        <v/>
      </c>
      <c r="D122" s="160">
        <f>D115+IF(ISNUMBER(D121),D121,0)</f>
        <v/>
      </c>
      <c r="E122" s="160">
        <f>E115+IF(ISNUMBER(E121),E121,0)</f>
        <v/>
      </c>
      <c r="F122" s="160">
        <f>F115+IF(ISNUMBER(F121),F121,0)</f>
        <v/>
      </c>
      <c r="G122" s="160">
        <f>G115+IF(ISNUMBER(G121),G121,0)</f>
        <v/>
      </c>
      <c r="H122" s="88" t="n"/>
      <c r="I122" s="88" t="n"/>
    </row>
    <row r="123">
      <c r="B123" s="125" t="inlineStr">
        <is>
          <t>Transition cost (routing, transportation, etc.) FY30</t>
        </is>
      </c>
      <c r="C123" s="85">
        <f>"$"&amp;YearMap!$E$2&amp;"/student"</f>
        <v/>
      </c>
      <c r="D123" s="85">
        <f>"$"&amp;YearMap!$E$2&amp;"/student"</f>
        <v/>
      </c>
      <c r="E123" s="85">
        <f>"$"&amp;YearMap!$E$2&amp;"/student"</f>
        <v/>
      </c>
      <c r="F123" s="88">
        <f>"N/A"</f>
        <v/>
      </c>
      <c r="G123" s="88">
        <f>"N/A"</f>
        <v/>
      </c>
      <c r="H123" s="88" t="inlineStr">
        <is>
          <t>**</t>
        </is>
      </c>
      <c r="I123" s="88" t="n"/>
      <c r="J123" t="inlineStr">
        <is>
          <t>Assuming adjustments in routing or other transportation investment needed for students displaced from repurpose; tapers over time</t>
        </is>
      </c>
    </row>
    <row r="124">
      <c r="B124" s="124" t="inlineStr">
        <is>
          <t>Total transition cost FY30</t>
        </is>
      </c>
      <c r="C124" s="160">
        <f>YearMap!$E$6*IF(ISNUMBER(C108), C108, 0)</f>
        <v/>
      </c>
      <c r="D124" s="160">
        <f>YearMap!$E$6*IF(ISNUMBER(D108), D108, 0)</f>
        <v/>
      </c>
      <c r="E124" s="160">
        <f>YearMap!$E$6*IF(ISNUMBER(E108), E108, 0)</f>
        <v/>
      </c>
      <c r="F124" s="160">
        <f>YearMap!$E$6*IF(ISNUMBER(F108), F108, 0)</f>
        <v/>
      </c>
      <c r="G124" s="160">
        <f>YearMap!$E$6*IF(ISNUMBER(G108), G108, 0)</f>
        <v/>
      </c>
      <c r="H124" s="88" t="n"/>
      <c r="I124" s="88" t="n"/>
    </row>
    <row r="125">
      <c r="B125" s="124" t="inlineStr">
        <is>
          <t>Total gross M&amp;O + transition cost</t>
        </is>
      </c>
      <c r="C125" s="160">
        <f>C122+IF(ISNUMBER(C124),C124,0)</f>
        <v/>
      </c>
      <c r="D125" s="160">
        <f>D122+IF(ISNUMBER(D124),D124,0)</f>
        <v/>
      </c>
      <c r="E125" s="160">
        <f>E122+IF(ISNUMBER(E124),E124,0)</f>
        <v/>
      </c>
      <c r="F125" s="160">
        <f>F122+IF(ISNUMBER(F124),F124,0)</f>
        <v/>
      </c>
      <c r="G125" s="160">
        <f>G122+IF(ISNUMBER(G124),G124,0)</f>
        <v/>
      </c>
      <c r="H125" s="88" t="n"/>
      <c r="I125" s="88" t="n"/>
    </row>
    <row r="126">
      <c r="B126" s="107" t="inlineStr">
        <is>
          <t>Base open site fixed total</t>
        </is>
      </c>
      <c r="C126" s="161">
        <f>BaselineCalc!$B$19+BaselineCalc!$B$20</f>
        <v/>
      </c>
      <c r="D126" s="161">
        <f>BaselineCalc!$B$20</f>
        <v/>
      </c>
      <c r="E126" s="161">
        <f>BaselineCalc!$B$19</f>
        <v/>
      </c>
      <c r="F126" s="161">
        <f>BaselineCalc!$B$19+BaselineCalc!$B$20</f>
        <v/>
      </c>
      <c r="G126" s="161">
        <f>BaselineCalc!$B$19+BaselineCalc!$B$20</f>
        <v/>
      </c>
      <c r="H126" s="88" t="inlineStr">
        <is>
          <t>*</t>
        </is>
      </c>
      <c r="I126" s="88" t="n"/>
    </row>
    <row r="127">
      <c r="B127" s="129" t="inlineStr">
        <is>
          <t>Estimated repurpose site fixed cost carry ratio</t>
        </is>
      </c>
      <c r="C127" s="122">
        <f>YearMap!$F$2</f>
        <v/>
      </c>
      <c r="D127" s="122">
        <f>YearMap!$F$2</f>
        <v/>
      </c>
      <c r="E127" s="122">
        <f>YearMap!$F$2</f>
        <v/>
      </c>
      <c r="F127" s="123">
        <f>"N/A"</f>
        <v/>
      </c>
      <c r="G127" s="123">
        <f>"N/A"</f>
        <v/>
      </c>
      <c r="H127" s="88" t="inlineStr">
        <is>
          <t>**</t>
        </is>
      </c>
      <c r="I127" s="88" t="n"/>
    </row>
    <row r="128">
      <c r="B128" s="128" t="inlineStr">
        <is>
          <t>Net fixed cost total</t>
        </is>
      </c>
      <c r="C128" s="161">
        <f>MultiYear_ProForma!$U$36</f>
        <v/>
      </c>
      <c r="D128" s="161">
        <f>MultiYear_ProForma!$U$46</f>
        <v/>
      </c>
      <c r="E128" s="161">
        <f>MultiYear_ProForma!$U$56</f>
        <v/>
      </c>
      <c r="F128" s="161">
        <f>MultiYear_ProForma!$U$21</f>
        <v/>
      </c>
      <c r="G128" s="161">
        <f>MultiYear_ProForma!$U$66</f>
        <v/>
      </c>
      <c r="H128" s="88" t="n"/>
      <c r="I128" s="88" t="n"/>
    </row>
    <row r="129" ht="15" customHeight="1" s="137" thickBot="1">
      <c r="B129" s="139" t="inlineStr">
        <is>
          <t>Net total cost</t>
        </is>
      </c>
      <c r="C129" s="160">
        <f>C122+IF(ISNUMBER(C124),C124,0)+C128</f>
        <v/>
      </c>
      <c r="D129" s="160">
        <f>D122+IF(ISNUMBER(D124),D124,0)+D128</f>
        <v/>
      </c>
      <c r="E129" s="160">
        <f>E122+IF(ISNUMBER(E124),E124,0)+E128</f>
        <v/>
      </c>
      <c r="F129" s="160">
        <f>F122+IF(ISNUMBER(F124),F124,0)+F128</f>
        <v/>
      </c>
      <c r="G129" s="160">
        <f>G122+IF(ISNUMBER(G124),G124,0)+G128</f>
        <v/>
      </c>
      <c r="H129" s="88" t="n"/>
      <c r="I129" s="88" t="n"/>
    </row>
    <row r="130" ht="15" customHeight="1" s="137" thickBot="1">
      <c r="B130" s="132" t="inlineStr">
        <is>
          <t>Net operating $ FY30</t>
        </is>
      </c>
      <c r="C130" s="166">
        <f>C111-C129</f>
        <v/>
      </c>
      <c r="D130" s="166">
        <f>D111-D129</f>
        <v/>
      </c>
      <c r="E130" s="166">
        <f>E111-E129</f>
        <v/>
      </c>
      <c r="F130" s="166">
        <f>F111-F129</f>
        <v/>
      </c>
      <c r="G130" s="167">
        <f>G111-G129</f>
        <v/>
      </c>
      <c r="H130" s="88" t="n"/>
      <c r="I130" s="88" t="n"/>
    </row>
    <row r="132" ht="15" customHeight="1" s="137" thickBot="1"/>
    <row r="133" ht="15" customHeight="1" s="137" thickBot="1">
      <c r="B133" s="132" t="inlineStr">
        <is>
          <t>Capital investment $ FY30</t>
        </is>
      </c>
      <c r="C133" s="162">
        <f>Capital_Summary!$B$77</f>
        <v/>
      </c>
      <c r="D133" s="162">
        <f>Capital_Summary!$B$79</f>
        <v/>
      </c>
      <c r="E133" s="162">
        <f>Capital_Summary!B178</f>
        <v/>
      </c>
      <c r="F133" s="162">
        <f>Capital_Summary!B171</f>
        <v/>
      </c>
      <c r="G133" s="163">
        <f>Capital_Summary!B180</f>
        <v/>
      </c>
    </row>
  </sheetData>
  <conditionalFormatting sqref="C33:G33">
    <cfRule type="colorScale" priority="6">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sqref="C2" showErrorMessage="1" showInputMessage="1" allowBlank="1" type="list">
      <formula1>"2026, 2030, Average 2026-2030"</formula1>
    </dataValidation>
  </dataValidations>
  <pageMargins left="0.7" right="0.7" top="0.75" bottom="0.75" header="0.3" footer="0.3"/>
  <pageSetup orientation="portrait" paperSize="0" horizontalDpi="0" verticalDpi="0" copies="0"/>
</worksheet>
</file>

<file path=xl/worksheets/sheet4.xml><?xml version="1.0" encoding="utf-8"?>
<worksheet xmlns="http://schemas.openxmlformats.org/spreadsheetml/2006/main">
  <sheetPr>
    <outlinePr summaryBelow="1" summaryRight="1"/>
    <pageSetUpPr/>
  </sheetPr>
  <dimension ref="A1:H83"/>
  <sheetViews>
    <sheetView zoomScale="80" zoomScaleNormal="80" workbookViewId="0">
      <pane ySplit="2" topLeftCell="A3" activePane="bottomLeft" state="frozen"/>
      <selection activeCell="B1" sqref="B1"/>
      <selection pane="bottomLeft" activeCell="C19" sqref="C19"/>
    </sheetView>
  </sheetViews>
  <sheetFormatPr baseColWidth="8" defaultRowHeight="12.5"/>
  <cols>
    <col width="21.26953125" customWidth="1" style="139" min="1" max="1"/>
    <col width="26.81640625" customWidth="1" style="139" min="2" max="2"/>
    <col width="14.6328125" customWidth="1" style="139" min="3" max="8"/>
    <col width="8.7265625" customWidth="1" style="139" min="9" max="9"/>
    <col width="26.81640625" customWidth="1" style="139" min="10" max="10"/>
    <col width="14.6328125" customWidth="1" style="139" min="11" max="16"/>
    <col width="8.7265625" customWidth="1" style="139" min="17" max="18"/>
    <col width="8.7265625" customWidth="1" style="139" min="19" max="16384"/>
  </cols>
  <sheetData>
    <row r="1" ht="13.5" customHeight="1" s="137" thickBot="1">
      <c r="B1" s="100" t="inlineStr">
        <is>
          <t>FY26 simulated P&amp;L by scenario</t>
        </is>
      </c>
    </row>
    <row r="2" ht="52.5" customHeight="1" s="137" thickBot="1">
      <c r="C2" s="84" t="inlineStr">
        <is>
          <t>Scenario A2 (Repurpose Both Lease)</t>
        </is>
      </c>
      <c r="D2" s="84" t="inlineStr">
        <is>
          <t>Scenario D1 (Grow Both)</t>
        </is>
      </c>
      <c r="E2" s="84" t="inlineStr">
        <is>
          <t>Scenario E1 (Continued Decline)</t>
        </is>
      </c>
      <c r="F2" s="84" t="inlineStr">
        <is>
          <t>Scenario B2 (Repurpose Echo Lease; Grow Pima)</t>
        </is>
      </c>
      <c r="G2" s="84" t="inlineStr">
        <is>
          <t>Scenario C2
(Repurpose Pima Lease; Grow Echo)</t>
        </is>
      </c>
      <c r="H2" s="84" t="inlineStr">
        <is>
          <t>Source / Confidence Level</t>
        </is>
      </c>
    </row>
    <row r="3">
      <c r="B3" s="101" t="inlineStr">
        <is>
          <t>Baseline ADM Echo</t>
        </is>
      </c>
      <c r="C3" s="88">
        <f>Parameters_Public!$C$10</f>
        <v/>
      </c>
      <c r="D3" s="88">
        <f>Parameters_Public!$C$10</f>
        <v/>
      </c>
      <c r="E3" s="88">
        <f>Parameters_Public!$C$10</f>
        <v/>
      </c>
      <c r="F3" s="88">
        <f>Parameters_Public!$C$10</f>
        <v/>
      </c>
      <c r="G3" s="88">
        <f>Parameters_Public!$C$10</f>
        <v/>
      </c>
      <c r="H3" s="88" t="inlineStr">
        <is>
          <t>***</t>
        </is>
      </c>
    </row>
    <row r="4">
      <c r="B4" s="139" t="inlineStr">
        <is>
          <t>Baseline ADM Pima</t>
        </is>
      </c>
      <c r="C4" s="88">
        <f>Parameters_Public!$C$11</f>
        <v/>
      </c>
      <c r="D4" s="88">
        <f>Parameters_Public!$C$11</f>
        <v/>
      </c>
      <c r="E4" s="88">
        <f>Parameters_Public!$C$11</f>
        <v/>
      </c>
      <c r="F4" s="88">
        <f>Parameters_Public!$C$11</f>
        <v/>
      </c>
      <c r="G4" s="88">
        <f>Parameters_Public!$C$11</f>
        <v/>
      </c>
      <c r="H4" s="88" t="n"/>
    </row>
    <row r="5">
      <c r="B5" s="139" t="inlineStr">
        <is>
          <t>ADM change FY26</t>
        </is>
      </c>
      <c r="C5" s="88" t="n">
        <v>0</v>
      </c>
      <c r="D5" s="96">
        <f>MultiYear_ProForma!$AB$17</f>
        <v/>
      </c>
      <c r="E5" s="88" t="n">
        <v>0</v>
      </c>
      <c r="F5" s="96">
        <f>MultiYear_ProForma!$AB$42</f>
        <v/>
      </c>
      <c r="G5" s="96">
        <f>MultiYear_ProForma!$AB$52</f>
        <v/>
      </c>
      <c r="H5" s="88" t="n"/>
    </row>
    <row r="6">
      <c r="B6" s="102" t="inlineStr">
        <is>
          <t>r_e (Echo retention ratio)</t>
        </is>
      </c>
      <c r="C6" s="88">
        <f>Parameters_Public!$C$23</f>
        <v/>
      </c>
      <c r="D6" s="88">
        <f>"N/A"</f>
        <v/>
      </c>
      <c r="E6" s="88">
        <f>"N/A"</f>
        <v/>
      </c>
      <c r="F6" s="88">
        <f>Parameters_Public!$C$23</f>
        <v/>
      </c>
      <c r="G6" s="88">
        <f>"N/A"</f>
        <v/>
      </c>
      <c r="H6" s="88" t="inlineStr">
        <is>
          <t>*</t>
        </is>
      </c>
    </row>
    <row r="7">
      <c r="B7" s="101" t="inlineStr">
        <is>
          <t>r_p (Pima retention ratio)</t>
        </is>
      </c>
      <c r="C7" s="88">
        <f>Parameters_Public!$C$24</f>
        <v/>
      </c>
      <c r="D7" s="88">
        <f>"N/A"</f>
        <v/>
      </c>
      <c r="E7" s="88">
        <f>"N/A"</f>
        <v/>
      </c>
      <c r="F7" s="88" t="inlineStr">
        <is>
          <t>N/A</t>
        </is>
      </c>
      <c r="G7" s="88">
        <f>Parameters_Public!$C$24</f>
        <v/>
      </c>
      <c r="H7" s="88" t="inlineStr">
        <is>
          <t>**</t>
        </is>
      </c>
    </row>
    <row r="8">
      <c r="B8" s="103" t="inlineStr">
        <is>
          <t>Number of students transitioning</t>
        </is>
      </c>
      <c r="C8" s="96">
        <f>Parameters_Public!$C$10*Parameters_Public!$C$23+Parameters_Public!$C$11*Parameters_Public!$C$24</f>
        <v/>
      </c>
      <c r="D8" s="88">
        <f>"N/A"</f>
        <v/>
      </c>
      <c r="E8" s="88">
        <f>"N/A"</f>
        <v/>
      </c>
      <c r="F8" s="96">
        <f>Parameters_Public!$C$10*Parameters_Public!$C$23</f>
        <v/>
      </c>
      <c r="G8" s="96">
        <f>Parameters_Public!$C$11*Parameters_Public!$C$24</f>
        <v/>
      </c>
      <c r="H8" s="88" t="n"/>
    </row>
    <row r="9">
      <c r="B9" s="139" t="inlineStr">
        <is>
          <t>Students served FY26</t>
        </is>
      </c>
      <c r="C9" s="96">
        <f>C8+C5</f>
        <v/>
      </c>
      <c r="D9" s="88">
        <f>D5+D4+D3</f>
        <v/>
      </c>
      <c r="E9" s="88">
        <f>E4+E3+E5</f>
        <v/>
      </c>
      <c r="F9" s="96">
        <f>F4+F8+F5</f>
        <v/>
      </c>
      <c r="G9" s="96">
        <f>G8+G3+G5</f>
        <v/>
      </c>
      <c r="H9" s="88" t="n"/>
    </row>
    <row r="10">
      <c r="B10" s="139" t="inlineStr">
        <is>
          <t>Funding/student (base+override;  to be conservative, small adjustment down for new students)</t>
        </is>
      </c>
      <c r="C10" s="159">
        <f>MultiYear_ProForma!$AD$32/Working_test!C9</f>
        <v/>
      </c>
      <c r="D10" s="159">
        <f>MultiYear_ProForma!$AD$17/Working_test!D9</f>
        <v/>
      </c>
      <c r="E10" s="159">
        <f>MultiYear_ProForma!$AD$62/Working_test!E9</f>
        <v/>
      </c>
      <c r="F10" s="159">
        <f>MultiYear_ProForma!$AD$42/Working_test!F9</f>
        <v/>
      </c>
      <c r="G10" s="159">
        <f>MultiYear_ProForma!$AD$52/Working_test!G9</f>
        <v/>
      </c>
      <c r="H10" s="88" t="n"/>
    </row>
    <row r="11">
      <c r="B11" s="139" t="inlineStr">
        <is>
          <t>Implied total 'revenue'</t>
        </is>
      </c>
      <c r="C11" s="159">
        <f>C10*C9</f>
        <v/>
      </c>
      <c r="D11" s="159">
        <f>D10*D9</f>
        <v/>
      </c>
      <c r="E11" s="159">
        <f>E10*E9</f>
        <v/>
      </c>
      <c r="F11" s="159">
        <f>F10*F9</f>
        <v/>
      </c>
      <c r="G11" s="159">
        <f>G10*G9</f>
        <v/>
      </c>
      <c r="H11" s="88" t="n"/>
    </row>
    <row r="12">
      <c r="B12" s="139" t="inlineStr">
        <is>
          <t>Districtwide gross Maintenance &amp; Operations cost per non-new ADM</t>
        </is>
      </c>
      <c r="C12" s="159">
        <f>Parameters_Public!$C$14</f>
        <v/>
      </c>
      <c r="D12" s="159">
        <f>Parameters_Public!$C$14</f>
        <v/>
      </c>
      <c r="E12" s="159">
        <f>Parameters_Public!$C$14</f>
        <v/>
      </c>
      <c r="F12" s="159">
        <f>Parameters_Public!$C$14</f>
        <v/>
      </c>
      <c r="G12" s="159">
        <f>Parameters_Public!$C$14</f>
        <v/>
      </c>
      <c r="H12" s="88" t="n"/>
    </row>
    <row r="13">
      <c r="B13" s="139" t="inlineStr">
        <is>
          <t>Variable cost / non-new ADM after discounting estimated fixed, adjusting for inflation</t>
        </is>
      </c>
      <c r="C13" s="159">
        <f>BaselineCalc!$B$18</f>
        <v/>
      </c>
      <c r="D13" s="159">
        <f>BaselineCalc!$B$18</f>
        <v/>
      </c>
      <c r="E13" s="159">
        <f>BaselineCalc!$B$18</f>
        <v/>
      </c>
      <c r="F13" s="159">
        <f>BaselineCalc!$B$18</f>
        <v/>
      </c>
      <c r="G13" s="159">
        <f>BaselineCalc!$B$18</f>
        <v/>
      </c>
    </row>
    <row r="14">
      <c r="B14" s="139" t="inlineStr">
        <is>
          <t>Non-new students</t>
        </is>
      </c>
      <c r="C14" s="95">
        <f>C8</f>
        <v/>
      </c>
      <c r="D14" s="139">
        <f>D3+D4</f>
        <v/>
      </c>
      <c r="E14" s="139">
        <f>E9</f>
        <v/>
      </c>
      <c r="F14" s="139">
        <f>F3+F4</f>
        <v/>
      </c>
      <c r="G14" s="139">
        <f>G3+G4</f>
        <v/>
      </c>
    </row>
    <row r="15">
      <c r="B15" s="139" t="inlineStr">
        <is>
          <t>Implied total variable gross cost of non-new students</t>
        </is>
      </c>
      <c r="C15" s="159">
        <f>C14*C13</f>
        <v/>
      </c>
      <c r="D15" s="159">
        <f>D14*D13</f>
        <v/>
      </c>
      <c r="E15" s="159">
        <f>E14*E13</f>
        <v/>
      </c>
      <c r="F15" s="159">
        <f>F14*F13</f>
        <v/>
      </c>
      <c r="G15" s="159">
        <f>G14*G13</f>
        <v/>
      </c>
    </row>
    <row r="16">
      <c r="B16" s="139" t="inlineStr">
        <is>
          <t>New students</t>
        </is>
      </c>
      <c r="C16" s="96">
        <f>C5</f>
        <v/>
      </c>
      <c r="D16" s="96">
        <f>D5</f>
        <v/>
      </c>
      <c r="E16" s="96">
        <f>E5</f>
        <v/>
      </c>
      <c r="F16" s="96">
        <f>F5</f>
        <v/>
      </c>
      <c r="G16" s="96">
        <f>G5</f>
        <v/>
      </c>
    </row>
    <row r="17" ht="37.5" customHeight="1" s="137">
      <c r="B17" s="102" t="inlineStr">
        <is>
          <t>Marginal variable cost to add new students (as proportion of full cost)</t>
        </is>
      </c>
      <c r="C17" s="85">
        <f>Parameters_Public!$C$43</f>
        <v/>
      </c>
      <c r="D17" s="85">
        <f>Parameters_Public!$C$43</f>
        <v/>
      </c>
      <c r="E17" s="85">
        <f>Parameters_Public!$C$43</f>
        <v/>
      </c>
      <c r="F17" s="85">
        <f>Parameters_Public!$C$43</f>
        <v/>
      </c>
      <c r="G17" s="85">
        <f>Parameters_Public!$C$43</f>
        <v/>
      </c>
      <c r="H17" s="88" t="inlineStr">
        <is>
          <t>**</t>
        </is>
      </c>
    </row>
    <row r="18">
      <c r="B18" s="139" t="inlineStr">
        <is>
          <t>Implied variable gross M&amp;O / new student</t>
        </is>
      </c>
      <c r="C18" s="159">
        <f>IFERROR((C13*C17), "N/A")</f>
        <v/>
      </c>
      <c r="D18" s="159">
        <f>IFERROR((D13*D17), "N/A")</f>
        <v/>
      </c>
      <c r="E18" s="159">
        <f>IFERROR((E13*E17), "N/A")</f>
        <v/>
      </c>
      <c r="F18" s="159">
        <f>IFERROR((F13*F17), "N/A")</f>
        <v/>
      </c>
      <c r="G18" s="159">
        <f>IFERROR((G13*G17), "N/A")</f>
        <v/>
      </c>
    </row>
    <row r="19">
      <c r="B19" s="139" t="inlineStr">
        <is>
          <t>Implied total variable gross cost of new students</t>
        </is>
      </c>
      <c r="C19" s="159">
        <f>IF(C18*C5=0, "N/A", C18*C5)</f>
        <v/>
      </c>
      <c r="D19" s="159">
        <f>IF(D18*D5=0, "N/A", D18*D5)</f>
        <v/>
      </c>
      <c r="E19" s="159">
        <f>IF(E18*E5=0, "N/A", E18*E5)</f>
        <v/>
      </c>
      <c r="F19" s="159">
        <f>IF(F18*F5=0, "N/A", F18*F5)</f>
        <v/>
      </c>
      <c r="G19" s="159">
        <f>IF(G18*G5=0, "N/A", G18*G5)</f>
        <v/>
      </c>
    </row>
    <row r="20">
      <c r="B20" s="139" t="inlineStr">
        <is>
          <t>Total variable gross M&amp;O</t>
        </is>
      </c>
      <c r="C20" s="164">
        <f>IF(C19="N/A", 0, C19)+C15</f>
        <v/>
      </c>
      <c r="D20" s="164">
        <f>IF(D19="N/A", 0, D19)+D15</f>
        <v/>
      </c>
      <c r="E20" s="164">
        <f>IF(E19="N/A", 0, E19)+E15</f>
        <v/>
      </c>
      <c r="F20" s="164">
        <f>IF(F19="N/A", 0, F19)+F15</f>
        <v/>
      </c>
      <c r="G20" s="164">
        <f>IF(G19="N/A", 0, G19)+G15</f>
        <v/>
      </c>
    </row>
    <row r="21" ht="25" customHeight="1" s="137">
      <c r="B21" s="102" t="inlineStr">
        <is>
          <t>h (Transition cost (routing, transportation, etc.) FY26)</t>
        </is>
      </c>
      <c r="C21" s="85">
        <f>"$"&amp;YearMap!$E$2&amp;"/student"</f>
        <v/>
      </c>
      <c r="D21" s="88">
        <f>"N/A"</f>
        <v/>
      </c>
      <c r="E21" s="88">
        <f>"N/A"</f>
        <v/>
      </c>
      <c r="F21" s="85">
        <f>"$"&amp;YearMap!$E$2&amp;"/student"</f>
        <v/>
      </c>
      <c r="G21" s="85">
        <f>"$"&amp;YearMap!$E$2&amp;"/student"</f>
        <v/>
      </c>
      <c r="H21" s="88" t="inlineStr">
        <is>
          <t>**</t>
        </is>
      </c>
    </row>
    <row r="22">
      <c r="B22" s="103" t="inlineStr">
        <is>
          <t>Implied total transition cost FY26</t>
        </is>
      </c>
      <c r="C22" s="159">
        <f>YearMap!$E$2*C8</f>
        <v/>
      </c>
      <c r="D22" s="88">
        <f>"N/A"</f>
        <v/>
      </c>
      <c r="E22" s="88">
        <f>"N/A"</f>
        <v/>
      </c>
      <c r="F22" s="159">
        <f>YearMap!$E$2*F8</f>
        <v/>
      </c>
      <c r="G22" s="159">
        <f>YearMap!$E$2*G8</f>
        <v/>
      </c>
      <c r="H22" s="88" t="n"/>
    </row>
    <row r="23">
      <c r="B23" s="139" t="inlineStr">
        <is>
          <t>Total gross M&amp;O + transition cost</t>
        </is>
      </c>
      <c r="C23" s="164">
        <f>C20+IF(C22="N/A", 0, C22)</f>
        <v/>
      </c>
      <c r="D23" s="164">
        <f>D20+IF(D22="N/A", 0, D22)</f>
        <v/>
      </c>
      <c r="E23" s="164">
        <f>E20+IF(E22="N/A", 0, E22)</f>
        <v/>
      </c>
      <c r="F23" s="164">
        <f>F20+IF(F22="N/A", 0, F22)</f>
        <v/>
      </c>
      <c r="G23" s="164">
        <f>G20+IF(G22="N/A", 0, G22)</f>
        <v/>
      </c>
    </row>
    <row r="24">
      <c r="B24" s="139" t="inlineStr">
        <is>
          <t>Base open site fixed total</t>
        </is>
      </c>
      <c r="C24" s="159">
        <f>Site_Fixed!$D$10+Site_Fixed!$D$17</f>
        <v/>
      </c>
      <c r="D24" s="159">
        <f>Site_Fixed!$D$10+Site_Fixed!$D$17</f>
        <v/>
      </c>
      <c r="E24" s="159">
        <f>Site_Fixed!$D$10+Site_Fixed!$D$17</f>
        <v/>
      </c>
      <c r="F24" s="159">
        <f>Site_Fixed!$D$10</f>
        <v/>
      </c>
      <c r="G24" s="159">
        <f>Site_Fixed!$D$17</f>
        <v/>
      </c>
      <c r="H24" s="88" t="inlineStr">
        <is>
          <t>*</t>
        </is>
      </c>
    </row>
    <row r="25">
      <c r="B25" s="139" t="inlineStr">
        <is>
          <t>Estimated repurpose site fixed carry ratio</t>
        </is>
      </c>
      <c r="C25" s="85">
        <f>YearMap!$F$2</f>
        <v/>
      </c>
      <c r="D25" s="88">
        <f>"N/A"</f>
        <v/>
      </c>
      <c r="E25" s="88">
        <f>"N/A"</f>
        <v/>
      </c>
      <c r="F25" s="85">
        <f>YearMap!$F$2</f>
        <v/>
      </c>
      <c r="G25" s="85">
        <f>YearMap!$F$2</f>
        <v/>
      </c>
      <c r="H25" s="88" t="inlineStr">
        <is>
          <t>**</t>
        </is>
      </c>
    </row>
    <row r="26">
      <c r="B26" s="139" t="inlineStr">
        <is>
          <t>Net fixed total</t>
        </is>
      </c>
      <c r="C26" s="159">
        <f>IFERROR(C24*(C25), C24)</f>
        <v/>
      </c>
      <c r="D26" s="159">
        <f>IFERROR(D24*(D25), D24)</f>
        <v/>
      </c>
      <c r="E26" s="159">
        <f>IFERROR(E24*(E25), E24)</f>
        <v/>
      </c>
      <c r="F26" s="159">
        <f>F24+IFERROR(G24*(F25), G24)</f>
        <v/>
      </c>
      <c r="G26" s="159">
        <f>F24+IFERROR(F24*(G25), F24)</f>
        <v/>
      </c>
    </row>
    <row r="27">
      <c r="B27" s="107" t="inlineStr">
        <is>
          <t>Net total cost</t>
        </is>
      </c>
      <c r="C27" s="169">
        <f>C26+C23</f>
        <v/>
      </c>
      <c r="D27" s="169">
        <f>D26+D23</f>
        <v/>
      </c>
      <c r="E27" s="169">
        <f>E26+E23</f>
        <v/>
      </c>
      <c r="F27" s="169">
        <f>F26+F23</f>
        <v/>
      </c>
      <c r="G27" s="169">
        <f>G26+G23</f>
        <v/>
      </c>
    </row>
    <row r="28">
      <c r="B28" s="107" t="inlineStr">
        <is>
          <t>Net operating $ / year FY26</t>
        </is>
      </c>
      <c r="C28" s="170">
        <f>C11-C27</f>
        <v/>
      </c>
      <c r="D28" s="171">
        <f>D11-D27</f>
        <v/>
      </c>
      <c r="E28" s="170">
        <f>E11-E27</f>
        <v/>
      </c>
      <c r="F28" s="171">
        <f>F11-F27</f>
        <v/>
      </c>
      <c r="G28" s="171">
        <f>G11-G27</f>
        <v/>
      </c>
    </row>
    <row r="31">
      <c r="B31" s="139" t="inlineStr">
        <is>
          <t>Net cost</t>
        </is>
      </c>
      <c r="C31" s="164">
        <f>C23-C26</f>
        <v/>
      </c>
    </row>
    <row r="32">
      <c r="B32" s="107" t="n"/>
      <c r="C32" s="169" t="n"/>
      <c r="D32" s="107" t="n"/>
      <c r="E32" s="107" t="n"/>
      <c r="F32" s="107" t="n"/>
      <c r="G32" s="107" t="n"/>
      <c r="H32" s="107" t="n"/>
    </row>
    <row r="33">
      <c r="B33" s="104" t="inlineStr">
        <is>
          <t>Net operating $ / year FY26</t>
        </is>
      </c>
      <c r="C33" s="172">
        <f>MultiYear_ProForma!$AF$32</f>
        <v/>
      </c>
      <c r="D33" s="172">
        <f>MultiYear_ProForma!$AF$17</f>
        <v/>
      </c>
      <c r="E33" s="172">
        <f>MultiYear_ProForma!$AF$62</f>
        <v/>
      </c>
      <c r="F33" s="172">
        <f>MultiYear_ProForma!$AF$42</f>
        <v/>
      </c>
      <c r="G33" s="172">
        <f>MultiYear_ProForma!$AF$52</f>
        <v/>
      </c>
      <c r="H33" s="106" t="n"/>
    </row>
    <row r="35">
      <c r="B35" s="139" t="inlineStr">
        <is>
          <t>Implied fixed cost savings / student</t>
        </is>
      </c>
      <c r="C35" s="165">
        <f>IFERROR(C26/C9, 0)</f>
        <v/>
      </c>
      <c r="D35" s="165">
        <f>IFERROR(D26/D9, 0)</f>
        <v/>
      </c>
      <c r="E35" s="165">
        <f>IFERROR(E26/E9, 0)</f>
        <v/>
      </c>
      <c r="F35" s="165">
        <f>IFERROR(F26/F9, 0)</f>
        <v/>
      </c>
      <c r="G35" s="165">
        <f>IFERROR(G26/G9, 0)</f>
        <v/>
      </c>
    </row>
    <row r="36">
      <c r="B36" s="139" t="inlineStr">
        <is>
          <t>Net cost / student</t>
        </is>
      </c>
      <c r="C36" s="165">
        <f>C18-C35</f>
        <v/>
      </c>
    </row>
    <row r="37" ht="14.5" customHeight="1" s="137">
      <c r="B37" s="139" t="inlineStr">
        <is>
          <t>Total net cost</t>
        </is>
      </c>
    </row>
    <row r="39">
      <c r="B39" s="101" t="inlineStr">
        <is>
          <t>FY26 Capital Cost</t>
        </is>
      </c>
      <c r="C39" s="88" t="n"/>
      <c r="D39" s="88" t="n"/>
      <c r="E39" s="88" t="n"/>
      <c r="F39" s="88" t="n"/>
      <c r="G39" s="88" t="n"/>
      <c r="H39" s="88" t="inlineStr">
        <is>
          <t>**</t>
        </is>
      </c>
    </row>
    <row r="40" ht="38.5" customHeight="1" s="137">
      <c r="B40" s="101" t="inlineStr">
        <is>
          <t>Execution Feasibility</t>
        </is>
      </c>
      <c r="C40" s="89" t="inlineStr">
        <is>
          <t>HIGH RISK (Logistics / Community)</t>
        </is>
      </c>
      <c r="D40" s="89" t="inlineStr">
        <is>
          <t>HIGH RISK (Marketing / Enrollment)</t>
        </is>
      </c>
      <c r="E40" s="89" t="inlineStr">
        <is>
          <t>LOW RISK (Passive)</t>
        </is>
      </c>
      <c r="F40" s="89" t="inlineStr">
        <is>
          <t>MEDIUM RISK</t>
        </is>
      </c>
      <c r="G40" s="89" t="inlineStr">
        <is>
          <t>MEDIUM RISK</t>
        </is>
      </c>
      <c r="H40" s="88" t="inlineStr">
        <is>
          <t>**</t>
        </is>
      </c>
    </row>
    <row r="41">
      <c r="B41" s="103" t="inlineStr">
        <is>
          <t>Distinctiveness / reputation impact</t>
        </is>
      </c>
      <c r="C41" s="88" t="inlineStr">
        <is>
          <t>Very negative</t>
        </is>
      </c>
      <c r="D41" s="88" t="inlineStr">
        <is>
          <t>Very positive</t>
        </is>
      </c>
      <c r="E41" s="88" t="inlineStr">
        <is>
          <t>Positive</t>
        </is>
      </c>
      <c r="F41" s="88" t="inlineStr">
        <is>
          <t>Neutral to positive</t>
        </is>
      </c>
      <c r="G41" s="88" t="inlineStr">
        <is>
          <t>Neutral to positive</t>
        </is>
      </c>
      <c r="H41" s="88" t="n"/>
    </row>
    <row r="42">
      <c r="B42" s="103" t="inlineStr">
        <is>
          <t>District financial 'health' impact</t>
        </is>
      </c>
      <c r="C42" s="88" t="inlineStr">
        <is>
          <t>Positive</t>
        </is>
      </c>
      <c r="D42" s="88" t="inlineStr">
        <is>
          <t>Positive</t>
        </is>
      </c>
      <c r="E42" s="88" t="inlineStr">
        <is>
          <t>Negative</t>
        </is>
      </c>
      <c r="F42" s="88" t="inlineStr">
        <is>
          <t>Neutral to positive</t>
        </is>
      </c>
      <c r="G42" s="88" t="inlineStr">
        <is>
          <t>Neutral to positive</t>
        </is>
      </c>
      <c r="H42" s="88" t="n"/>
    </row>
    <row r="44" ht="25" customHeight="1" s="137">
      <c r="B44" s="102" t="inlineStr">
        <is>
          <t>h (Transition cost (routing, transportation, etc.) FY30)</t>
        </is>
      </c>
      <c r="C44" s="139">
        <f>"$"&amp;YearMap!$E$6&amp;"/student"</f>
        <v/>
      </c>
      <c r="D44" s="88">
        <f>"N/A"</f>
        <v/>
      </c>
      <c r="E44" s="88">
        <f>"N/A"</f>
        <v/>
      </c>
      <c r="F44" s="139">
        <f>"$"&amp;YearMap!$E$6&amp;"/student"</f>
        <v/>
      </c>
      <c r="G44" s="139">
        <f>"$"&amp;YearMap!$E$6&amp;"/student"</f>
        <v/>
      </c>
    </row>
    <row r="45">
      <c r="B45" s="103" t="inlineStr">
        <is>
          <t>Implied total transition cost FY30</t>
        </is>
      </c>
      <c r="C45" s="159">
        <f>YearMap!$E$6*C8</f>
        <v/>
      </c>
      <c r="D45" s="88">
        <f>"N/A"</f>
        <v/>
      </c>
      <c r="E45" s="88">
        <f>"N/A"</f>
        <v/>
      </c>
      <c r="F45" s="159">
        <f>YearMap!$E$6*F8</f>
        <v/>
      </c>
      <c r="G45" s="159">
        <f>YearMap!$E$6*G8</f>
        <v/>
      </c>
    </row>
    <row r="47" ht="25" customHeight="1" s="137">
      <c r="B47" s="102" t="inlineStr">
        <is>
          <t>f_lease (Proportion of fixed cost carried FY30)</t>
        </is>
      </c>
      <c r="C47" s="85">
        <f>YearMap!$F$6</f>
        <v/>
      </c>
      <c r="D47" s="88">
        <f>"N/A"</f>
        <v/>
      </c>
      <c r="E47" s="88">
        <f>"N/A"</f>
        <v/>
      </c>
      <c r="F47" s="85">
        <f>YearMap!$F$6</f>
        <v/>
      </c>
      <c r="G47" s="85">
        <f>YearMap!$F$6</f>
        <v/>
      </c>
      <c r="H47" s="88" t="inlineStr">
        <is>
          <t>**</t>
        </is>
      </c>
    </row>
    <row r="48">
      <c r="B48" s="103" t="inlineStr">
        <is>
          <t>Implied actual fixed cost savings FY30</t>
        </is>
      </c>
      <c r="C48" s="159">
        <f>C24*(1-C47)</f>
        <v/>
      </c>
      <c r="D48" s="88">
        <f>"N/A"</f>
        <v/>
      </c>
      <c r="E48" s="88">
        <f>"N/A"</f>
        <v/>
      </c>
      <c r="F48" s="159">
        <f>F24*(1-F47)</f>
        <v/>
      </c>
      <c r="G48" s="159">
        <f>G24*(1-G47)</f>
        <v/>
      </c>
    </row>
    <row r="50" ht="25" customHeight="1" s="137">
      <c r="B50" s="102" t="inlineStr">
        <is>
          <t>Change in ADM over 5 years</t>
        </is>
      </c>
      <c r="C50" s="88">
        <f>"N/A"</f>
        <v/>
      </c>
      <c r="D50" s="85">
        <f>"&amp;Scenarios!M6&amp;""students"</f>
        <v/>
      </c>
      <c r="E50" s="85" t="inlineStr">
        <is>
          <t>-43 students</t>
        </is>
      </c>
      <c r="F50" s="88" t="n"/>
      <c r="G50" s="88" t="n"/>
      <c r="H50" s="88" t="inlineStr">
        <is>
          <t>**</t>
        </is>
      </c>
    </row>
    <row r="52">
      <c r="B52" s="103" t="inlineStr">
        <is>
          <t>Net operating $ / year FY30</t>
        </is>
      </c>
      <c r="C52" s="159">
        <f>Summary_Figures!$F$11</f>
        <v/>
      </c>
    </row>
    <row r="53" ht="25" customHeight="1" s="137">
      <c r="B53" s="102" t="inlineStr">
        <is>
          <t>Average net operating $ / year FY26-FY30</t>
        </is>
      </c>
      <c r="C53" s="159">
        <f>Summary_Figures!$G$11</f>
        <v/>
      </c>
      <c r="D53" s="88" t="n"/>
      <c r="E53" s="88" t="n"/>
      <c r="F53" s="88" t="n"/>
      <c r="G53" s="88" t="n"/>
      <c r="H53" s="88" t="inlineStr">
        <is>
          <t>**</t>
        </is>
      </c>
    </row>
    <row r="57">
      <c r="B57" s="139" t="inlineStr">
        <is>
          <t>how solid is the repurpose savings estimate?</t>
        </is>
      </c>
    </row>
    <row r="58">
      <c r="A58" s="138" t="inlineStr">
        <is>
          <t>Average net operating $ / year FY26-FY30 if site fixed savings are…</t>
        </is>
      </c>
      <c r="B58" s="139" t="inlineStr">
        <is>
          <t>10% less than assumed</t>
        </is>
      </c>
    </row>
    <row r="59">
      <c r="B59" s="139" t="inlineStr">
        <is>
          <t>20% less than assumed</t>
        </is>
      </c>
    </row>
    <row r="60">
      <c r="B60" s="139" t="inlineStr">
        <is>
          <t>10% more than assumed</t>
        </is>
      </c>
    </row>
    <row r="61">
      <c r="B61" s="139" t="inlineStr">
        <is>
          <t>20% more than assumed</t>
        </is>
      </c>
    </row>
    <row r="62">
      <c r="A62" s="138" t="inlineStr">
        <is>
          <t>Average net operating $ / year FY26-FY30 if f_lease savings glidepath is…</t>
        </is>
      </c>
      <c r="B62" s="139" t="inlineStr">
        <is>
          <t>slightly more conservative (xx)</t>
        </is>
      </c>
    </row>
    <row r="63">
      <c r="B63" s="139" t="inlineStr">
        <is>
          <t>moderately more conservative (yy)</t>
        </is>
      </c>
    </row>
    <row r="64">
      <c r="B64" s="139" t="inlineStr">
        <is>
          <t>slightly less conservative (zz)</t>
        </is>
      </c>
    </row>
    <row r="65">
      <c r="B65" s="139" t="inlineStr">
        <is>
          <t>moderately less conservative (aa)</t>
        </is>
      </c>
    </row>
    <row r="66">
      <c r="B66" s="139" t="inlineStr">
        <is>
          <t>retention</t>
        </is>
      </c>
    </row>
    <row r="69" ht="13" customHeight="1" s="137" thickBot="1">
      <c r="B69" s="139" t="inlineStr">
        <is>
          <t>what does it take to achieve budget-neutral on the keep-open scenarios?</t>
        </is>
      </c>
    </row>
    <row r="70" ht="52.5" customHeight="1" s="137" thickBot="1">
      <c r="C70" s="84" t="inlineStr">
        <is>
          <t>Scenario A2 (Repurpose Lease)</t>
        </is>
      </c>
      <c r="D70" s="84" t="inlineStr">
        <is>
          <t>Scenario D1 (Grow Both)</t>
        </is>
      </c>
      <c r="E70" s="84" t="inlineStr">
        <is>
          <t>Scenario E1 (Decline)</t>
        </is>
      </c>
      <c r="F70" s="84" t="inlineStr">
        <is>
          <t>Scenario E2 (Repurpose Echo lease; Grow Pima)</t>
        </is>
      </c>
      <c r="G70" s="84" t="inlineStr">
        <is>
          <t>Scenario D2
(Repurpose Pima; Grow Echo)</t>
        </is>
      </c>
      <c r="H70" s="84" t="inlineStr">
        <is>
          <t>Source / Confidence Level</t>
        </is>
      </c>
    </row>
    <row r="71" ht="39.5" customHeight="1" s="137" thickBot="1">
      <c r="B71" s="84" t="inlineStr">
        <is>
          <t>change in number of students to yield budget-neutral</t>
        </is>
      </c>
    </row>
    <row r="72" ht="39" customHeight="1" s="137">
      <c r="B72" s="86" t="inlineStr">
        <is>
          <t>average retention rate required to yield budget-neutral</t>
        </is>
      </c>
    </row>
    <row r="73">
      <c r="A73" s="138" t="inlineStr">
        <is>
          <t>Average net operating $ / year FY26-FY30 if site fixed savings are…</t>
        </is>
      </c>
      <c r="B73" s="139" t="inlineStr">
        <is>
          <t>10% less than assumed</t>
        </is>
      </c>
    </row>
    <row r="74">
      <c r="B74" s="139" t="inlineStr">
        <is>
          <t>20% less than assumed</t>
        </is>
      </c>
    </row>
    <row r="75">
      <c r="B75" s="139" t="inlineStr">
        <is>
          <t>10% more than assumed</t>
        </is>
      </c>
    </row>
    <row r="76">
      <c r="B76" s="139" t="inlineStr">
        <is>
          <t>20% more than assumed</t>
        </is>
      </c>
    </row>
    <row r="77">
      <c r="A77" s="138" t="inlineStr">
        <is>
          <t>Average net operating $ / year FY26-FY30 if f_lease savings glidepath is…</t>
        </is>
      </c>
      <c r="B77" s="139" t="inlineStr">
        <is>
          <t>slightly more conservative (xx)</t>
        </is>
      </c>
    </row>
    <row r="78">
      <c r="B78" s="139" t="inlineStr">
        <is>
          <t>moderately more conservative (yy)</t>
        </is>
      </c>
    </row>
    <row r="79">
      <c r="B79" s="139" t="inlineStr">
        <is>
          <t>slightly less conservative (zz)</t>
        </is>
      </c>
    </row>
    <row r="80">
      <c r="B80" s="139" t="inlineStr">
        <is>
          <t>moderately less conservative (aa)</t>
        </is>
      </c>
    </row>
    <row r="83">
      <c r="B83" s="139" t="inlineStr">
        <is>
          <t>what if the input assumptions were adjusted as follows (CHOOSE):</t>
        </is>
      </c>
    </row>
  </sheetData>
  <mergeCells count="4">
    <mergeCell ref="A58:A61"/>
    <mergeCell ref="A62:A65"/>
    <mergeCell ref="A73:A76"/>
    <mergeCell ref="A77:A80"/>
  </mergeCells>
  <pageMargins left="0.7" right="0.7" top="0.75" bottom="0.75" header="0.3" footer="0.3"/>
  <pageSetup orientation="portrait" paperSize="0" horizontalDpi="0" verticalDpi="0" copies="0"/>
</worksheet>
</file>

<file path=xl/worksheets/sheet5.xml><?xml version="1.0" encoding="utf-8"?>
<worksheet xmlns="http://schemas.openxmlformats.org/spreadsheetml/2006/main">
  <sheetPr>
    <outlinePr summaryBelow="1" summaryRight="1"/>
    <pageSetUpPr/>
  </sheetPr>
  <dimension ref="A1:S68"/>
  <sheetViews>
    <sheetView zoomScale="70" zoomScaleNormal="70" workbookViewId="0">
      <selection activeCell="J4" sqref="J4"/>
    </sheetView>
  </sheetViews>
  <sheetFormatPr baseColWidth="8" defaultRowHeight="14.5"/>
  <cols>
    <col width="2.6328125" customWidth="1" style="137" min="1" max="1"/>
    <col width="35.26953125" customWidth="1" style="137" min="2" max="2"/>
    <col width="23" bestFit="1" customWidth="1" style="137" min="3" max="3"/>
    <col width="26.1796875" bestFit="1" customWidth="1" style="137" min="4" max="4"/>
    <col width="8.7265625" customWidth="1" style="137" min="8" max="8"/>
    <col width="5.1796875" customWidth="1" style="137" min="11" max="11"/>
  </cols>
  <sheetData>
    <row r="1" ht="18.5" customHeight="1" s="137">
      <c r="A1" s="12" t="n"/>
      <c r="B1" s="80" t="inlineStr">
        <is>
          <t>Echo &amp; Pima — Go-forward scenario comparison view</t>
        </is>
      </c>
      <c r="C1" s="12" t="n"/>
      <c r="D1" s="41" t="n"/>
      <c r="E1" s="12" t="n"/>
      <c r="F1" s="12" t="n"/>
      <c r="G1" s="12" t="n"/>
      <c r="H1" s="12" t="n"/>
      <c r="I1" s="12" t="n"/>
      <c r="J1" s="12" t="n"/>
      <c r="K1" s="12" t="n"/>
      <c r="L1" s="12" t="n"/>
      <c r="M1" s="12" t="n"/>
      <c r="N1" s="12" t="n"/>
      <c r="O1" s="12" t="n"/>
      <c r="P1" s="12" t="n"/>
      <c r="Q1" s="12" t="n"/>
      <c r="R1" s="12" t="n"/>
      <c r="S1" s="12" t="n"/>
    </row>
    <row r="2">
      <c r="A2" s="12" t="n"/>
      <c r="B2" s="12" t="n"/>
      <c r="C2" s="12" t="n"/>
      <c r="D2" s="12" t="n"/>
      <c r="E2" s="12" t="n"/>
      <c r="F2" s="12" t="n"/>
      <c r="G2" s="12" t="n"/>
      <c r="H2" s="12" t="n"/>
      <c r="I2" s="12" t="n"/>
      <c r="J2" s="12" t="n"/>
      <c r="K2" s="12" t="n"/>
      <c r="L2" s="12" t="n"/>
      <c r="M2" s="12" t="n"/>
      <c r="N2" s="12" t="n"/>
      <c r="O2" s="12" t="n"/>
      <c r="P2" s="12" t="n"/>
      <c r="Q2" s="12" t="n"/>
      <c r="R2" s="12" t="n"/>
      <c r="S2" s="12" t="n"/>
    </row>
    <row r="3">
      <c r="A3" s="12" t="n"/>
      <c r="B3" s="141" t="inlineStr">
        <is>
          <t>Scenarios (CHOOSE)</t>
        </is>
      </c>
      <c r="C3" s="141" t="inlineStr">
        <is>
          <t>Description</t>
        </is>
      </c>
      <c r="D3" s="142" t="n"/>
      <c r="E3" s="142" t="n"/>
      <c r="F3" s="142" t="n"/>
      <c r="G3" s="142" t="n"/>
      <c r="H3" s="142" t="n"/>
      <c r="I3" s="40" t="inlineStr">
        <is>
          <t>Assumed enrollment change (over 3 yrs)</t>
        </is>
      </c>
      <c r="J3" s="39" t="n"/>
      <c r="K3" s="39" t="n"/>
      <c r="L3" s="39" t="n"/>
      <c r="M3" s="12" t="n"/>
      <c r="N3" s="12" t="n"/>
      <c r="O3" s="12" t="n"/>
      <c r="P3" s="12" t="n"/>
      <c r="Q3" s="12" t="n"/>
      <c r="R3" s="12" t="n"/>
      <c r="S3" s="12" t="n"/>
    </row>
    <row r="4" ht="30" customHeight="1" s="137">
      <c r="A4" s="12" t="n"/>
      <c r="B4" s="42" t="inlineStr">
        <is>
          <t>A2_Repurpose_Both_lease</t>
        </is>
      </c>
      <c r="C4" s="146">
        <f>VLOOKUP($B4,Scenarios!$A$2:$C$15, 2, 0)</f>
        <v/>
      </c>
      <c r="D4" s="147" t="n"/>
      <c r="E4" s="147" t="n"/>
      <c r="F4" s="147" t="n"/>
      <c r="G4" s="147" t="n"/>
      <c r="H4" s="147" t="n"/>
      <c r="I4" s="66" t="n"/>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
      </c>
      <c r="K4" s="68" t="n"/>
      <c r="L4" s="69" t="n"/>
      <c r="M4" s="12" t="n"/>
      <c r="N4" s="12" t="n"/>
      <c r="O4" s="12" t="n"/>
      <c r="P4" s="12" t="n"/>
      <c r="Q4" s="12" t="n"/>
      <c r="R4" s="12" t="n"/>
      <c r="S4" s="12" t="n"/>
    </row>
    <row r="5" ht="31.5" customHeight="1" s="137">
      <c r="A5" s="12" t="n"/>
      <c r="B5" s="43" t="inlineStr">
        <is>
          <t>E1_StatusQuo_Decline</t>
        </is>
      </c>
      <c r="C5" s="140">
        <f>VLOOKUP($B5,Scenarios!$A$2:$C$15, 2, 0)</f>
        <v/>
      </c>
      <c r="I5" s="66" t="n"/>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
      </c>
      <c r="K5" s="68" t="n"/>
      <c r="L5" s="69" t="n"/>
      <c r="M5" s="12" t="n"/>
      <c r="N5" s="12" t="n"/>
      <c r="O5" s="12" t="n"/>
      <c r="P5" s="12" t="n"/>
      <c r="Q5" s="12" t="n"/>
      <c r="R5" s="12" t="n"/>
      <c r="S5" s="12" t="n"/>
    </row>
    <row r="6">
      <c r="A6" s="12" t="n"/>
      <c r="B6" s="33" t="n"/>
      <c r="C6" s="12" t="n"/>
      <c r="D6" s="12" t="n"/>
      <c r="E6" s="12" t="n"/>
      <c r="F6" s="12" t="n"/>
      <c r="G6" s="12" t="n"/>
      <c r="H6" s="12" t="n"/>
      <c r="I6" s="12" t="n"/>
      <c r="J6" s="12" t="n"/>
      <c r="K6" s="12" t="n"/>
      <c r="L6" s="12" t="n"/>
      <c r="M6" s="12" t="n"/>
      <c r="N6" s="12" t="n"/>
      <c r="O6" s="12" t="n"/>
      <c r="P6" s="12" t="n"/>
      <c r="Q6" s="12" t="n"/>
      <c r="R6" s="12" t="n"/>
      <c r="S6" s="12" t="n"/>
    </row>
    <row r="7">
      <c r="A7" s="12" t="n"/>
      <c r="B7" s="12" t="n"/>
      <c r="C7" s="12" t="n"/>
      <c r="D7" s="12" t="n"/>
      <c r="E7" s="12" t="n"/>
      <c r="F7" s="12" t="n"/>
      <c r="G7" s="12" t="n"/>
      <c r="H7" s="12" t="n"/>
      <c r="I7" s="12" t="n"/>
      <c r="J7" s="12" t="n"/>
      <c r="K7" s="12" t="n"/>
      <c r="L7" s="12" t="n"/>
      <c r="M7" s="12" t="n"/>
      <c r="N7" s="12" t="n"/>
      <c r="O7" s="12" t="n"/>
      <c r="P7" s="12" t="n"/>
      <c r="Q7" s="12" t="n"/>
      <c r="R7" s="12" t="n"/>
      <c r="S7" s="12" t="n"/>
    </row>
    <row r="8">
      <c r="A8" s="12" t="n"/>
      <c r="B8" s="12" t="n"/>
      <c r="C8" s="12" t="n"/>
      <c r="D8" s="12" t="n"/>
      <c r="E8" s="12" t="n"/>
      <c r="F8" s="12" t="n"/>
      <c r="G8" s="12" t="n"/>
      <c r="H8" s="12" t="n"/>
      <c r="I8" s="12" t="n"/>
      <c r="J8" s="12" t="n"/>
      <c r="K8" s="12" t="n"/>
      <c r="L8" s="12" t="n"/>
      <c r="M8" s="12" t="n"/>
      <c r="N8" s="12" t="n"/>
      <c r="O8" s="12" t="n"/>
      <c r="P8" s="12" t="n"/>
      <c r="Q8" s="12" t="n"/>
      <c r="R8" s="12" t="n"/>
      <c r="S8" s="12" t="n"/>
    </row>
    <row r="9">
      <c r="A9" s="12" t="n"/>
      <c r="B9" s="12" t="n"/>
      <c r="C9" s="12" t="n"/>
      <c r="D9" s="12" t="n"/>
      <c r="E9" s="12" t="n"/>
      <c r="F9" s="12" t="n"/>
      <c r="G9" s="12" t="n"/>
      <c r="H9" s="12" t="n"/>
      <c r="I9" s="12" t="n"/>
      <c r="J9" s="12" t="n"/>
      <c r="K9" s="12" t="n"/>
      <c r="L9" s="12" t="n"/>
      <c r="M9" s="12" t="n"/>
      <c r="N9" s="12" t="n"/>
      <c r="O9" s="12" t="n"/>
      <c r="P9" s="12" t="n"/>
      <c r="Q9" s="12" t="n"/>
      <c r="R9" s="12" t="n"/>
      <c r="S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row>
    <row r="24" ht="31" customHeight="1" s="137">
      <c r="A24" s="12" t="n"/>
      <c r="B24" s="145" t="inlineStr">
        <is>
          <t>Notes:  Assumptions reflect: r (retention assumptions), override, marginal factor (e.g. assumed reduced variable cost to add new students), trend flags; h (receiving schools transportation route adjustment premium) tapers yearly.  Receiving site should not exceed spare seats + portables</t>
        </is>
      </c>
      <c r="M24" s="12" t="n"/>
      <c r="N24" s="12" t="n"/>
      <c r="O24" s="12" t="n"/>
      <c r="P24" s="12" t="n"/>
      <c r="Q24" s="12" t="n"/>
      <c r="R24" s="12" t="n"/>
      <c r="S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row>
    <row r="26">
      <c r="A26" s="12" t="n"/>
      <c r="B26" s="34" t="inlineStr">
        <is>
          <t>Year</t>
        </is>
      </c>
      <c r="C26" s="45" t="inlineStr">
        <is>
          <t>Operating Net$ (Base)</t>
        </is>
      </c>
      <c r="D26" s="46" t="inlineStr">
        <is>
          <t>Operating Net$ (Comparator)</t>
        </is>
      </c>
      <c r="E26" s="12" t="n"/>
      <c r="F26" s="12" t="n"/>
      <c r="G26" s="12" t="n"/>
      <c r="H26" s="12" t="n"/>
      <c r="I26" s="12" t="n"/>
      <c r="J26" s="12" t="n"/>
      <c r="K26" s="12" t="n"/>
      <c r="L26" s="12" t="n"/>
      <c r="M26" s="12" t="n"/>
      <c r="N26" s="12" t="n"/>
      <c r="O26" s="12" t="n"/>
      <c r="P26" s="12" t="n"/>
      <c r="Q26" s="12" t="n"/>
      <c r="R26" s="12" t="n"/>
      <c r="S26" s="12" t="n"/>
    </row>
    <row r="27">
      <c r="A27" s="12" t="n"/>
      <c r="B27" s="12" t="inlineStr">
        <is>
          <t>FY2026</t>
        </is>
      </c>
      <c r="C27" s="36">
        <f>SUMIFS(MultiYear_ProForma!$AF$2:$AF$66, MultiYear_ProForma!$B$2:$B$66, $B$4, MultiYear_ProForma!$C$2:$C$66, "FY2026")</f>
        <v/>
      </c>
      <c r="D27" s="36">
        <f>SUMIFS(MultiYear_ProForma!$AF$2:$AF$66, MultiYear_ProForma!$B$2:$B$66, $B$5, MultiYear_ProForma!$C$2:$C$66, "FY2026")</f>
        <v/>
      </c>
      <c r="E27" s="12" t="n"/>
      <c r="F27" s="12" t="n"/>
      <c r="G27" s="12" t="n"/>
      <c r="H27" s="12" t="n"/>
      <c r="I27" s="12" t="n"/>
      <c r="J27" s="12" t="n"/>
      <c r="K27" s="12" t="n"/>
      <c r="L27" s="12" t="n"/>
      <c r="M27" s="12" t="n"/>
      <c r="N27" s="12" t="n"/>
      <c r="O27" s="12" t="n"/>
      <c r="P27" s="12" t="n"/>
      <c r="Q27" s="12" t="n"/>
      <c r="R27" s="12" t="n"/>
      <c r="S27" s="12" t="n"/>
    </row>
    <row r="28">
      <c r="A28" s="12" t="n"/>
      <c r="B28" s="12" t="inlineStr">
        <is>
          <t>FY2027</t>
        </is>
      </c>
      <c r="C28" s="36">
        <f>SUMIFS(MultiYear_ProForma!$AF$2:$AF$66, MultiYear_ProForma!$B$2:$B$66, $B$4, MultiYear_ProForma!$C$2:$C$66, "FY2027")</f>
        <v/>
      </c>
      <c r="D28" s="36">
        <f>SUMIFS(MultiYear_ProForma!$AF$2:$AF$66, MultiYear_ProForma!$B$2:$B$66, $B$5, MultiYear_ProForma!$C$2:$C$66, "FY2027")</f>
        <v/>
      </c>
      <c r="E28" s="12" t="n"/>
      <c r="F28" s="12" t="n"/>
      <c r="G28" s="12" t="n"/>
      <c r="H28" s="12" t="n"/>
      <c r="I28" s="12" t="n"/>
      <c r="J28" s="12" t="n"/>
      <c r="K28" s="12" t="n"/>
      <c r="L28" s="12" t="n"/>
      <c r="M28" s="12" t="n"/>
      <c r="N28" s="12" t="n"/>
      <c r="O28" s="12" t="n"/>
      <c r="P28" s="12" t="n"/>
      <c r="Q28" s="12" t="n"/>
      <c r="R28" s="12" t="n"/>
      <c r="S28" s="12" t="n"/>
    </row>
    <row r="29">
      <c r="A29" s="12" t="n"/>
      <c r="B29" s="12" t="inlineStr">
        <is>
          <t>FY2028</t>
        </is>
      </c>
      <c r="C29" s="36">
        <f>SUMIFS(MultiYear_ProForma!$AF$2:$AF$66, MultiYear_ProForma!$B$2:$B$66, $B$4, MultiYear_ProForma!$C$2:$C$66, "FY2028")</f>
        <v/>
      </c>
      <c r="D29" s="36">
        <f>SUMIFS(MultiYear_ProForma!$AF$2:$AF$66, MultiYear_ProForma!$B$2:$B$66, $B$5, MultiYear_ProForma!$C$2:$C$66, "FY2028")</f>
        <v/>
      </c>
      <c r="E29" s="12" t="n"/>
      <c r="F29" s="12" t="n"/>
      <c r="G29" s="12" t="n"/>
      <c r="H29" s="12" t="n"/>
      <c r="I29" s="12" t="n"/>
      <c r="J29" s="12" t="n"/>
      <c r="K29" s="12" t="n"/>
      <c r="L29" s="12" t="n"/>
      <c r="M29" s="12" t="n"/>
      <c r="N29" s="12" t="n"/>
      <c r="O29" s="12" t="n"/>
      <c r="P29" s="12" t="n"/>
      <c r="Q29" s="12" t="n"/>
      <c r="R29" s="12" t="n"/>
      <c r="S29" s="12" t="n"/>
    </row>
    <row r="30">
      <c r="A30" s="12" t="n"/>
      <c r="B30" s="12" t="inlineStr">
        <is>
          <t>FY2029</t>
        </is>
      </c>
      <c r="C30" s="36">
        <f>SUMIFS(MultiYear_ProForma!$AF$2:$AF$66, MultiYear_ProForma!$B$2:$B$66, $B$4, MultiYear_ProForma!$C$2:$C$66, "FY2029")</f>
        <v/>
      </c>
      <c r="D30" s="36">
        <f>SUMIFS(MultiYear_ProForma!$AF$2:$AF$66, MultiYear_ProForma!$B$2:$B$66, $B$5, MultiYear_ProForma!$C$2:$C$66, "FY2029")</f>
        <v/>
      </c>
      <c r="E30" s="12" t="n"/>
      <c r="F30" s="12" t="n"/>
      <c r="G30" s="12" t="n"/>
      <c r="H30" s="12" t="n"/>
      <c r="I30" s="12" t="n"/>
      <c r="J30" s="12" t="n"/>
      <c r="K30" s="12" t="n"/>
      <c r="L30" s="12" t="n"/>
      <c r="M30" s="12" t="n"/>
      <c r="N30" s="12" t="n"/>
      <c r="O30" s="12" t="n"/>
      <c r="P30" s="12" t="n"/>
      <c r="Q30" s="12" t="n"/>
      <c r="R30" s="12" t="n"/>
      <c r="S30" s="12" t="n"/>
    </row>
    <row r="31">
      <c r="A31" s="12" t="n"/>
      <c r="B31" s="12" t="inlineStr">
        <is>
          <t>FY2030</t>
        </is>
      </c>
      <c r="C31" s="36">
        <f>SUMIFS(MultiYear_ProForma!$AF$2:$AF$66, MultiYear_ProForma!$B$2:$B$66, $B$4, MultiYear_ProForma!$C$2:$C$66, "FY2030")</f>
        <v/>
      </c>
      <c r="D31" s="36">
        <f>SUMIFS(MultiYear_ProForma!$AF$2:$AF$66, MultiYear_ProForma!$B$2:$B$66, $B$5, MultiYear_ProForma!$C$2:$C$66, "FY2030")</f>
        <v/>
      </c>
      <c r="E31" s="12" t="n"/>
      <c r="F31" s="12" t="n"/>
      <c r="G31" s="12" t="n"/>
      <c r="H31" s="12" t="n"/>
      <c r="I31" s="12" t="n"/>
      <c r="J31" s="12" t="n"/>
      <c r="K31" s="12" t="n"/>
      <c r="L31" s="12" t="n"/>
      <c r="M31" s="12" t="n"/>
      <c r="N31" s="12" t="n"/>
      <c r="O31" s="12" t="n"/>
      <c r="P31" s="12" t="n"/>
      <c r="Q31" s="12" t="n"/>
      <c r="R31" s="12" t="n"/>
      <c r="S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row>
    <row r="33">
      <c r="A33" s="12" t="n"/>
      <c r="B33" s="48" t="inlineStr">
        <is>
          <t>Assumptions (from Parameters_Public / Control_Center)</t>
        </is>
      </c>
      <c r="C33" s="47" t="n"/>
      <c r="D33" s="12" t="n"/>
      <c r="E33" s="12" t="n"/>
      <c r="F33" s="12" t="n"/>
      <c r="G33" s="12" t="n"/>
      <c r="H33" s="12" t="n"/>
      <c r="I33" s="12" t="n"/>
      <c r="J33" s="12" t="n"/>
      <c r="K33" s="12" t="n"/>
      <c r="L33" s="12" t="n"/>
      <c r="M33" s="12" t="n"/>
      <c r="N33" s="12" t="n"/>
      <c r="O33" s="12" t="n"/>
      <c r="P33" s="12" t="n"/>
      <c r="Q33" s="12" t="n"/>
      <c r="R33" s="12" t="n"/>
      <c r="S33" s="12" t="n"/>
    </row>
    <row r="34">
      <c r="A34" s="12" t="n"/>
      <c r="B34" s="47" t="inlineStr">
        <is>
          <t>Retention r (Echo central)</t>
        </is>
      </c>
      <c r="C34" s="47">
        <f>Parameters_Public!C23</f>
        <v/>
      </c>
      <c r="D34" s="12" t="n"/>
      <c r="E34" s="12" t="n"/>
      <c r="F34" s="12" t="n"/>
      <c r="G34" s="12" t="n"/>
      <c r="H34" s="12" t="n"/>
      <c r="I34" s="12" t="n"/>
      <c r="J34" s="12" t="n"/>
      <c r="K34" s="12" t="n"/>
      <c r="L34" s="12" t="n"/>
      <c r="M34" s="12" t="n"/>
      <c r="N34" s="12" t="n"/>
      <c r="O34" s="12" t="n"/>
      <c r="P34" s="12" t="n"/>
      <c r="Q34" s="12" t="n"/>
      <c r="R34" s="12" t="n"/>
      <c r="S34" s="12" t="n"/>
    </row>
    <row r="35">
      <c r="A35" s="12" t="n"/>
      <c r="B35" s="47" t="inlineStr">
        <is>
          <t>Retention r (Pima central)</t>
        </is>
      </c>
      <c r="C35" s="47">
        <f>Parameters_Public!C24</f>
        <v/>
      </c>
      <c r="D35" s="12" t="n"/>
      <c r="E35" s="12" t="n"/>
      <c r="F35" s="12" t="n"/>
      <c r="G35" s="12" t="n"/>
      <c r="H35" s="12" t="n"/>
      <c r="I35" s="12" t="n"/>
      <c r="J35" s="12" t="n"/>
      <c r="K35" s="12" t="n"/>
      <c r="L35" s="12" t="n"/>
      <c r="M35" s="12" t="n"/>
      <c r="N35" s="12" t="n"/>
      <c r="O35" s="12" t="n"/>
      <c r="P35" s="12" t="n"/>
      <c r="Q35" s="12" t="n"/>
      <c r="R35" s="12" t="n"/>
      <c r="S35" s="12" t="n"/>
    </row>
    <row r="36">
      <c r="A36" s="12" t="n"/>
      <c r="B36" s="47" t="inlineStr">
        <is>
          <t>MarginalFactor_for_Overlay</t>
        </is>
      </c>
      <c r="C36" s="47">
        <f>Parameters_Public!C43</f>
        <v/>
      </c>
      <c r="D36" s="12" t="n"/>
      <c r="E36" s="12" t="n"/>
      <c r="F36" s="12" t="n"/>
      <c r="G36" s="12" t="n"/>
      <c r="H36" s="12" t="n"/>
      <c r="I36" s="12" t="n"/>
      <c r="J36" s="12" t="n"/>
      <c r="K36" s="12" t="n"/>
      <c r="L36" s="12" t="n"/>
      <c r="M36" s="12" t="n"/>
      <c r="N36" s="12" t="n"/>
      <c r="O36" s="12" t="n"/>
      <c r="P36" s="12" t="n"/>
      <c r="Q36" s="12" t="n"/>
      <c r="R36" s="12" t="n"/>
      <c r="S36" s="12" t="n"/>
    </row>
    <row r="37">
      <c r="A37" s="12" t="n"/>
      <c r="B37" s="47" t="inlineStr">
        <is>
          <t>Override %</t>
        </is>
      </c>
      <c r="C37" s="47">
        <f>Parameters_Public!C17</f>
        <v/>
      </c>
      <c r="D37" s="12" t="n"/>
      <c r="E37" s="12" t="n"/>
      <c r="F37" s="12" t="n"/>
      <c r="G37" s="12" t="n"/>
      <c r="H37" s="12" t="n"/>
      <c r="I37" s="12" t="n"/>
      <c r="J37" s="12" t="n"/>
      <c r="K37" s="12" t="n"/>
      <c r="L37" s="12" t="n"/>
      <c r="M37" s="12" t="n"/>
      <c r="N37" s="12" t="n"/>
      <c r="O37" s="12" t="n"/>
      <c r="P37" s="12" t="n"/>
      <c r="Q37" s="12" t="n"/>
      <c r="R37" s="12" t="n"/>
      <c r="S37" s="12" t="n"/>
    </row>
    <row r="38">
      <c r="A38" s="12" t="n"/>
      <c r="B38" s="47" t="inlineStr">
        <is>
          <t>Override toggle (0/1)</t>
        </is>
      </c>
      <c r="C38" s="47">
        <f>Parameters_Public!C20</f>
        <v/>
      </c>
      <c r="D38" s="12" t="n"/>
      <c r="E38" s="12" t="n"/>
      <c r="F38" s="12" t="n"/>
      <c r="G38" s="12" t="n"/>
      <c r="H38" s="12" t="n"/>
      <c r="I38" s="12" t="n"/>
      <c r="J38" s="12" t="n"/>
      <c r="K38" s="12" t="n"/>
      <c r="L38" s="12" t="n"/>
      <c r="M38" s="12" t="n"/>
      <c r="N38" s="12" t="n"/>
      <c r="O38" s="12" t="n"/>
      <c r="P38" s="12" t="n"/>
      <c r="Q38" s="12" t="n"/>
      <c r="R38" s="12" t="n"/>
      <c r="S38" s="12" t="n"/>
    </row>
    <row r="39">
      <c r="A39" s="12" t="n"/>
      <c r="B39" s="47" t="inlineStr">
        <is>
          <t>Keep-open ops savings (fraction of MO)</t>
        </is>
      </c>
      <c r="C39" s="47">
        <f>Control_Center!C10</f>
        <v/>
      </c>
      <c r="D39" s="12" t="n"/>
      <c r="E39" s="12" t="n"/>
      <c r="F39" s="12" t="n"/>
      <c r="G39" s="12" t="n"/>
      <c r="H39" s="12" t="n"/>
      <c r="I39" s="12" t="n"/>
      <c r="J39" s="12" t="n"/>
      <c r="K39" s="12" t="n"/>
      <c r="L39" s="12" t="n"/>
      <c r="M39" s="12" t="n"/>
      <c r="N39" s="12" t="n"/>
      <c r="O39" s="12" t="n"/>
      <c r="P39" s="12" t="n"/>
      <c r="Q39" s="12" t="n"/>
      <c r="R39" s="12" t="n"/>
      <c r="S39" s="12" t="n"/>
    </row>
    <row r="40">
      <c r="A40" s="12" t="n"/>
      <c r="B40" s="47" t="inlineStr">
        <is>
          <t>Extra savings for co-location (fraction of MO)</t>
        </is>
      </c>
      <c r="C40" s="47">
        <f>Control_Center!C11</f>
        <v/>
      </c>
      <c r="D40" s="12" t="n"/>
      <c r="E40" s="12" t="n"/>
      <c r="G40" s="12" t="n"/>
      <c r="H40" s="12" t="n"/>
      <c r="I40" s="12" t="n"/>
      <c r="J40" s="12" t="n"/>
      <c r="K40" s="12" t="n"/>
      <c r="L40" s="12" t="n"/>
      <c r="M40" s="12" t="n"/>
      <c r="N40" s="12" t="n"/>
      <c r="O40" s="12" t="n"/>
      <c r="P40" s="12" t="n"/>
      <c r="Q40" s="12" t="n"/>
      <c r="R40" s="12" t="n"/>
      <c r="S40" s="12" t="n"/>
    </row>
    <row r="41">
      <c r="A41" s="12" t="n"/>
      <c r="B41" s="47" t="inlineStr">
        <is>
          <t>• Routing/admin overhead h tapers by year (see YearMap). Try ±20% sensitivity when routing assumptions are uncertain.</t>
        </is>
      </c>
      <c r="C41" s="47" t="n"/>
      <c r="D41" s="37" t="n"/>
      <c r="E41" s="12" t="n"/>
      <c r="F41" s="12" t="n"/>
      <c r="G41" s="12" t="n"/>
      <c r="H41" s="12" t="n"/>
      <c r="I41" s="12" t="n"/>
      <c r="J41" s="12" t="n"/>
      <c r="K41" s="12" t="n"/>
      <c r="L41" s="12" t="n"/>
      <c r="M41" s="12" t="n"/>
      <c r="N41" s="12" t="n"/>
      <c r="O41" s="12" t="n"/>
      <c r="P41" s="12" t="n"/>
      <c r="Q41" s="12" t="n"/>
      <c r="R41" s="12" t="n"/>
      <c r="S41" s="12" t="n"/>
    </row>
    <row r="42">
      <c r="A42" s="12" t="n"/>
      <c r="B42" s="12" t="n"/>
      <c r="C42" s="12" t="n"/>
      <c r="D42" s="37" t="n"/>
      <c r="E42" s="12" t="n"/>
      <c r="F42" s="12" t="n"/>
      <c r="G42" s="12" t="n"/>
      <c r="H42" s="12" t="n"/>
      <c r="I42" s="12" t="n"/>
      <c r="J42" s="12" t="n"/>
      <c r="K42" s="12" t="n"/>
      <c r="L42" s="12" t="n"/>
      <c r="M42" s="12" t="n"/>
      <c r="N42" s="12" t="n"/>
      <c r="O42" s="12" t="n"/>
      <c r="P42" s="12" t="n"/>
      <c r="Q42" s="12" t="n"/>
      <c r="R42" s="12" t="n"/>
      <c r="S42" s="12" t="n"/>
    </row>
    <row r="43">
      <c r="A43" s="12" t="n"/>
      <c r="B43" s="12" t="n"/>
      <c r="C43" s="12" t="n"/>
      <c r="D43" s="37" t="inlineStr">
        <is>
          <t>Interpretation</t>
        </is>
      </c>
      <c r="E43" s="12" t="n"/>
      <c r="F43" s="12" t="n"/>
      <c r="G43" s="12" t="n"/>
      <c r="H43" s="12" t="n"/>
      <c r="I43" s="12" t="n"/>
      <c r="J43" s="12" t="n"/>
      <c r="K43" s="12" t="n"/>
      <c r="L43" s="12" t="n"/>
      <c r="M43" s="12" t="n"/>
      <c r="N43" s="12" t="n"/>
      <c r="O43" s="12" t="n"/>
      <c r="P43" s="12" t="n"/>
      <c r="Q43" s="12" t="n"/>
      <c r="R43" s="12" t="n"/>
      <c r="S43" s="12" t="n"/>
    </row>
    <row r="44">
      <c r="A44" s="12" t="n"/>
      <c r="B44" s="45" t="inlineStr">
        <is>
          <t>One-time Capital FY 2026 (Base)</t>
        </is>
      </c>
      <c r="C44" s="36">
        <f>SUMIFS(Capital_Summary!$H$4:$H$83, Capital_Summary!$A$4:$A$83, B4, Capital_Summary!$B$4:$B$83, "FY2026")</f>
        <v/>
      </c>
      <c r="D44" s="148">
        <f>""&amp;$B$5&amp;" will be $"&amp;TEXT(ROUND(ABS(C45-C44),0), "#,##0")&amp;" "&amp;IF(C45&gt;C44,"MORE COSTLY","LESS COSTLY")&amp;" than "&amp;$B$4&amp;" in terms of capital investment required "</f>
        <v/>
      </c>
      <c r="J44" s="12" t="n"/>
      <c r="K44" s="12" t="n"/>
      <c r="L44" s="12" t="n"/>
      <c r="M44" s="12" t="n"/>
      <c r="N44" s="12" t="n"/>
      <c r="O44" s="12" t="n"/>
      <c r="P44" s="12" t="n"/>
      <c r="Q44" s="12" t="n"/>
      <c r="R44" s="12" t="n"/>
      <c r="S44" s="12" t="n"/>
    </row>
    <row r="45">
      <c r="A45" s="12" t="n"/>
      <c r="B45" s="46" t="inlineStr">
        <is>
          <t>One-time Capital FY 2026 (Comparator)</t>
        </is>
      </c>
      <c r="C45" s="36">
        <f>SUMIFS(Capital_Summary!$H$4:$H$83, Capital_Summary!$A$4:$A$83, B5, Capital_Summary!$B$4:$B$83, "FY2026")</f>
        <v/>
      </c>
      <c r="D45" s="144" t="n"/>
      <c r="J45" s="12" t="n"/>
      <c r="K45" s="12" t="n"/>
      <c r="L45" s="12" t="n"/>
      <c r="M45" s="12" t="n"/>
      <c r="N45" s="12" t="n"/>
      <c r="O45" s="12" t="n"/>
      <c r="P45" s="12" t="n"/>
      <c r="Q45" s="12" t="n"/>
      <c r="R45" s="12" t="n"/>
      <c r="S45" s="12" t="n"/>
    </row>
    <row r="46">
      <c r="A46" s="12" t="n"/>
      <c r="B46" s="33" t="n"/>
      <c r="C46" s="12" t="n"/>
      <c r="D46" s="37" t="n"/>
      <c r="E46" s="12" t="n"/>
      <c r="F46" s="12" t="n"/>
      <c r="G46" s="12" t="n"/>
      <c r="H46" s="12" t="n"/>
      <c r="I46" s="12" t="n"/>
      <c r="J46" s="12" t="n"/>
      <c r="K46" s="12" t="n"/>
      <c r="L46" s="12" t="n"/>
      <c r="M46" s="12" t="n"/>
      <c r="N46" s="12" t="n"/>
      <c r="O46" s="12" t="n"/>
      <c r="P46" s="12" t="n"/>
      <c r="Q46" s="12" t="n"/>
      <c r="R46" s="12" t="n"/>
      <c r="S46" s="12" t="n"/>
    </row>
    <row r="47">
      <c r="A47" s="12" t="n"/>
      <c r="B47" s="45" t="inlineStr">
        <is>
          <t>Avg Net (FY26–30) (Base)—rounded</t>
        </is>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
      </c>
      <c r="D47" s="148">
        <f>"On average from 2026 through 2030, "&amp;$B$5&amp;" will be $"&amp;TEXT(ABS(ROUND(C49,0)), "#,##0")&amp;" "&amp;IF(C49&lt;0,"MORE COSTLY","LESS COSTLY")&amp;" to operate annually than "&amp;$B$4&amp;""</f>
        <v/>
      </c>
      <c r="J47" s="12" t="n"/>
      <c r="K47" s="12" t="n"/>
      <c r="L47" s="12" t="n"/>
      <c r="M47" s="12" t="n"/>
      <c r="N47" s="12" t="n"/>
      <c r="O47" s="12" t="n"/>
      <c r="P47" s="12" t="n"/>
      <c r="Q47" s="12" t="n"/>
      <c r="R47" s="12" t="n"/>
      <c r="S47" s="12" t="n"/>
    </row>
    <row r="48">
      <c r="A48" s="12" t="n"/>
      <c r="B48" s="46" t="inlineStr">
        <is>
          <t>Avg Net (FY26–30) (Comparator)—rounded</t>
        </is>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
      </c>
      <c r="D48" s="144" t="n"/>
      <c r="J48" s="12" t="n"/>
      <c r="K48" s="12" t="n"/>
      <c r="L48" s="12" t="n"/>
      <c r="M48" s="12" t="n"/>
      <c r="N48" s="12" t="n"/>
      <c r="O48" s="12" t="n"/>
      <c r="P48" s="12" t="n"/>
      <c r="Q48" s="12" t="n"/>
      <c r="R48" s="12" t="n"/>
      <c r="S48" s="12" t="n"/>
    </row>
    <row r="49">
      <c r="A49" s="12" t="n"/>
      <c r="B49" s="35" t="inlineStr">
        <is>
          <t>Δ vs Base (Avg FY26–30)—rounded</t>
        </is>
      </c>
      <c r="C49" s="36">
        <f>ROUND(C48-C47, -4)</f>
        <v/>
      </c>
      <c r="D49" s="144" t="n"/>
      <c r="J49" s="12" t="n"/>
      <c r="K49" s="12" t="n"/>
      <c r="L49" s="12" t="n"/>
      <c r="M49" s="12" t="n"/>
      <c r="N49" s="12" t="n"/>
      <c r="O49" s="12" t="n"/>
      <c r="P49" s="12" t="n"/>
      <c r="Q49" s="12" t="n"/>
      <c r="R49" s="12" t="n"/>
      <c r="S49" s="12" t="n"/>
    </row>
    <row r="50">
      <c r="A50" s="12" t="n"/>
      <c r="B50" s="33" t="n"/>
      <c r="C50" s="12" t="n"/>
      <c r="D50" s="37" t="n"/>
      <c r="E50" s="12" t="n"/>
      <c r="F50" s="12" t="n"/>
      <c r="G50" s="12" t="n"/>
      <c r="H50" s="12" t="n"/>
      <c r="I50" s="12" t="n"/>
      <c r="J50" s="12" t="n"/>
      <c r="K50" s="12" t="n"/>
      <c r="L50" s="12" t="n"/>
      <c r="M50" s="12" t="n"/>
      <c r="N50" s="12" t="n"/>
      <c r="O50" s="12" t="n"/>
      <c r="P50" s="12" t="n"/>
      <c r="Q50" s="12" t="n"/>
      <c r="R50" s="12" t="n"/>
      <c r="S50" s="12" t="n"/>
    </row>
    <row r="51">
      <c r="A51" s="12" t="n"/>
      <c r="B51" s="33" t="n"/>
      <c r="C51" s="12" t="n"/>
      <c r="D51" s="37" t="n"/>
      <c r="E51" s="12" t="n"/>
      <c r="F51" s="12" t="n"/>
      <c r="G51" s="12" t="n"/>
      <c r="H51" s="12" t="n"/>
      <c r="I51" s="12" t="n"/>
      <c r="J51" s="12" t="n"/>
      <c r="K51" s="12" t="n"/>
      <c r="L51" s="12" t="n"/>
      <c r="M51" s="12" t="n"/>
      <c r="N51" s="12" t="n"/>
      <c r="O51" s="12" t="n"/>
      <c r="P51" s="12" t="n"/>
      <c r="Q51" s="12" t="n"/>
      <c r="R51" s="12" t="n"/>
      <c r="S51" s="12" t="n"/>
    </row>
    <row r="52" ht="14.5" customHeight="1" s="137">
      <c r="A52" s="12" t="n"/>
      <c r="B52" s="45" t="inlineStr">
        <is>
          <t>FY2030 Net (Base)—rounded</t>
        </is>
      </c>
      <c r="C52" s="36">
        <f>ROUND(SUMIFS(MultiYear_ProForma!$AF$2:$AF$66, MultiYear_ProForma!$B$2:$B$66, $B$4, MultiYear_ProForma!$C$2:$C$66, "FY2030"), -4)</f>
        <v/>
      </c>
      <c r="D52" s="148">
        <f>"By 2030, "&amp;$B$5&amp;" will be $"&amp;TEXT(ABS(ROUND(C54,0)), "#,##0")&amp;" "&amp;IF(C54&lt;0,"MORE COSTLY","LESS COSTLY")&amp;" to operate annually than "&amp;$B$4&amp;""</f>
        <v/>
      </c>
      <c r="J52" s="12" t="n"/>
      <c r="K52" s="12" t="n"/>
      <c r="L52" s="12" t="n"/>
      <c r="M52" s="12" t="n"/>
      <c r="N52" s="12" t="n"/>
      <c r="O52" s="12" t="n"/>
      <c r="P52" s="12" t="n"/>
      <c r="Q52" s="12" t="n"/>
      <c r="R52" s="12" t="n"/>
      <c r="S52" s="12" t="n"/>
    </row>
    <row r="53">
      <c r="A53" s="12" t="n"/>
      <c r="B53" s="46" t="inlineStr">
        <is>
          <t>FY2030 Net (Comparator)—rounded</t>
        </is>
      </c>
      <c r="C53" s="36">
        <f>ROUND(SUMIFS(MultiYear_ProForma!$AF$2:$AF$66, MultiYear_ProForma!$B$2:$B$66, $B$5, MultiYear_ProForma!$C$2:$C$66, "FY2030"), -4)</f>
        <v/>
      </c>
      <c r="D53" s="144" t="n"/>
      <c r="J53" s="12" t="n"/>
      <c r="K53" s="12" t="n"/>
      <c r="L53" s="12" t="n"/>
      <c r="M53" s="12" t="n"/>
      <c r="N53" s="12" t="n"/>
      <c r="O53" s="12" t="n"/>
      <c r="P53" s="12" t="n"/>
      <c r="Q53" s="12" t="n"/>
      <c r="R53" s="12" t="n"/>
      <c r="S53" s="12" t="n"/>
    </row>
    <row r="54">
      <c r="A54" s="12" t="n"/>
      <c r="B54" s="35" t="inlineStr">
        <is>
          <t>Δ vs Base (FY2030)—rounded</t>
        </is>
      </c>
      <c r="C54" s="36">
        <f>ROUND(C53-C52, -4)</f>
        <v/>
      </c>
      <c r="D54" s="144" t="n"/>
      <c r="J54" s="12" t="n"/>
      <c r="K54" s="12" t="n"/>
      <c r="L54" s="12" t="n"/>
      <c r="M54" s="12" t="n"/>
      <c r="N54" s="12" t="n"/>
      <c r="O54" s="12" t="n"/>
      <c r="P54" s="12" t="n"/>
      <c r="Q54" s="12" t="n"/>
      <c r="R54" s="12" t="n"/>
      <c r="S54" s="12" t="n"/>
    </row>
    <row r="55">
      <c r="A55" s="12" t="n"/>
      <c r="B55" s="35" t="n"/>
      <c r="C55" s="36" t="n"/>
      <c r="D55" s="12" t="n"/>
      <c r="E55" s="12" t="n"/>
      <c r="F55" s="12" t="n"/>
      <c r="G55" s="12" t="n"/>
      <c r="H55" s="12" t="n"/>
      <c r="I55" s="12" t="n"/>
      <c r="J55" s="12" t="n"/>
      <c r="K55" s="12" t="n"/>
      <c r="L55" s="12" t="n"/>
      <c r="M55" s="12" t="n"/>
      <c r="N55" s="12" t="n"/>
      <c r="O55" s="12" t="n"/>
      <c r="P55" s="12" t="n"/>
      <c r="Q55" s="12" t="n"/>
      <c r="R55" s="12" t="n"/>
      <c r="S55" s="12" t="n"/>
    </row>
    <row r="56">
      <c r="A56" s="12" t="n"/>
      <c r="B56" s="45" t="inlineStr">
        <is>
          <t>Students displaced (FY26) (Base)</t>
        </is>
      </c>
      <c r="C56" s="38">
        <f>SUMIFS(MultiYear_ProForma!$N$2:$N$66, MultiYear_ProForma!$B$2:$B$66, $B$4, MultiYear_ProForma!$C$2:$C$66, "FY2026")</f>
        <v/>
      </c>
      <c r="D56" s="143">
        <f>""&amp;$B$5&amp;" will displace "&amp;ROUND(ABS(C57-C56),0)&amp;" "&amp;IF(C57&gt;C56,"MORE STUDENTS","FEWER STUDENTS")&amp;" than "&amp;$B$4&amp;""</f>
        <v/>
      </c>
      <c r="J56" s="12" t="n"/>
      <c r="K56" s="12" t="n"/>
      <c r="L56" s="12" t="n"/>
      <c r="M56" s="12" t="n"/>
      <c r="N56" s="12" t="n"/>
      <c r="O56" s="12" t="n"/>
      <c r="P56" s="12" t="n"/>
      <c r="Q56" s="12" t="n"/>
      <c r="R56" s="12" t="n"/>
      <c r="S56" s="12" t="n"/>
    </row>
    <row r="57" ht="14.5" customHeight="1" s="137">
      <c r="A57" s="12" t="n"/>
      <c r="B57" s="46" t="inlineStr">
        <is>
          <t>Students displaced (FY26) (Comparator)</t>
        </is>
      </c>
      <c r="C57" s="38">
        <f>SUMIFS(MultiYear_ProForma!$N$2:$N$66, MultiYear_ProForma!$B$2:$B$66, $B$5, MultiYear_ProForma!$C$2:$C$66, "FY2026")</f>
        <v/>
      </c>
      <c r="D57" s="144" t="n"/>
      <c r="J57" s="12" t="n"/>
      <c r="K57" s="12" t="n"/>
      <c r="L57" s="12" t="n"/>
      <c r="M57" s="12" t="n"/>
      <c r="N57" s="12" t="n"/>
      <c r="O57" s="12" t="n"/>
      <c r="P57" s="12" t="n"/>
      <c r="Q57" s="12" t="n"/>
      <c r="R57" s="12" t="n"/>
      <c r="S57" s="12" t="n"/>
    </row>
    <row r="58">
      <c r="A58" s="12" t="n"/>
      <c r="B58" s="35" t="n"/>
      <c r="C58" s="38" t="n"/>
      <c r="D58" s="12" t="n"/>
      <c r="E58" s="12" t="n"/>
      <c r="F58" s="12" t="n"/>
      <c r="G58" s="12" t="n"/>
      <c r="H58" s="12" t="n"/>
      <c r="I58" s="12" t="n"/>
      <c r="J58" s="12" t="n"/>
      <c r="K58" s="12" t="n"/>
      <c r="L58" s="12" t="n"/>
      <c r="M58" s="12" t="n"/>
      <c r="N58" s="12" t="n"/>
      <c r="O58" s="12" t="n"/>
      <c r="P58" s="12" t="n"/>
      <c r="Q58" s="12" t="n"/>
      <c r="R58" s="12" t="n"/>
      <c r="S58" s="12" t="n"/>
    </row>
    <row r="59">
      <c r="A59" s="12" t="n"/>
      <c r="B59" s="45" t="inlineStr">
        <is>
          <t>Students served (FY2030) (Base)</t>
        </is>
      </c>
      <c r="C59" s="38">
        <f>SUMIFS(MultiYear_ProForma!$AC$2:$AC$66, MultiYear_ProForma!$B$2:$B$66, $B$4, MultiYear_ProForma!$C$2:$C$66, "FY2030")</f>
        <v/>
      </c>
      <c r="D59" s="143">
        <f>""&amp;$B$5&amp;" will serve "&amp;ROUND(ABS(C60-C59),0)&amp;" "&amp;IF(C60&gt;C59,"MORE STUDENTS","FEWER STUDENTS")&amp;" than "&amp;$B$4&amp;""</f>
        <v/>
      </c>
      <c r="J59" s="12" t="n"/>
      <c r="K59" s="12" t="n"/>
      <c r="L59" s="12" t="n"/>
      <c r="M59" s="12" t="n"/>
      <c r="N59" s="12" t="n"/>
      <c r="O59" s="12" t="n"/>
      <c r="P59" s="12" t="n"/>
      <c r="Q59" s="12" t="n"/>
      <c r="R59" s="12" t="n"/>
      <c r="S59" s="12" t="n"/>
    </row>
    <row r="60">
      <c r="A60" s="12" t="n"/>
      <c r="B60" s="46" t="inlineStr">
        <is>
          <t>Students served (FY2030) (Comparator)</t>
        </is>
      </c>
      <c r="C60" s="38">
        <f>SUMIFS(MultiYear_ProForma!$AC$2:$AC$66, MultiYear_ProForma!$B$2:$B$66, $B$5, MultiYear_ProForma!$C$2:$C$66, "FY2030")</f>
        <v/>
      </c>
      <c r="D60" s="144" t="n"/>
      <c r="J60" s="12" t="n"/>
      <c r="K60" s="12" t="n"/>
      <c r="L60" s="12" t="n"/>
      <c r="M60" s="12" t="n"/>
      <c r="N60" s="12" t="n"/>
      <c r="O60" s="12" t="n"/>
      <c r="P60" s="12" t="n"/>
      <c r="Q60" s="12" t="n"/>
      <c r="R60" s="12" t="n"/>
      <c r="S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row>
    <row r="66">
      <c r="A66" s="12" t="n"/>
      <c r="B66" s="33" t="n"/>
      <c r="C66" s="12" t="n"/>
      <c r="D66" s="12" t="n"/>
      <c r="E66" s="12" t="n"/>
      <c r="F66" s="12" t="n"/>
      <c r="G66" s="12" t="n"/>
      <c r="H66" s="12" t="n"/>
      <c r="I66" s="12" t="n"/>
      <c r="J66" s="12" t="n"/>
      <c r="K66" s="12" t="n"/>
      <c r="L66" s="12" t="n"/>
      <c r="M66" s="12" t="n"/>
      <c r="N66" s="12" t="n"/>
      <c r="O66" s="12" t="n"/>
      <c r="P66" s="12" t="n"/>
      <c r="Q66" s="12" t="n"/>
      <c r="R66" s="12" t="n"/>
      <c r="S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row>
    <row r="68">
      <c r="A68" s="12" t="n"/>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orientation="portrait" paperSize="0" horizontalDpi="0" verticalDpi="0" copies="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32"/>
  <sheetViews>
    <sheetView workbookViewId="0">
      <selection activeCell="B2" sqref="B2"/>
    </sheetView>
  </sheetViews>
  <sheetFormatPr baseColWidth="8" defaultRowHeight="14.5"/>
  <cols>
    <col width="3.81640625" customWidth="1" style="137" min="1" max="1"/>
    <col width="53.81640625" customWidth="1" style="137" min="2" max="2"/>
    <col width="21.1796875" bestFit="1" customWidth="1" style="137" min="3" max="3"/>
    <col width="17.81640625" customWidth="1" style="137" min="4" max="4"/>
  </cols>
  <sheetData>
    <row r="1" ht="15.5" customHeight="1" s="137">
      <c r="A1" s="12" t="n"/>
      <c r="B1" s="80" t="inlineStr">
        <is>
          <t>Budget‑Neutral Calculator (Operating $)</t>
        </is>
      </c>
      <c r="C1" s="12" t="n"/>
      <c r="D1" s="12" t="n"/>
      <c r="E1" s="12" t="n"/>
      <c r="F1" s="12" t="n"/>
      <c r="G1" s="12" t="n"/>
      <c r="H1" s="12" t="n"/>
      <c r="I1" s="12" t="n"/>
      <c r="J1" s="12" t="n"/>
      <c r="K1" s="12" t="n"/>
      <c r="L1" s="12" t="n"/>
      <c r="M1" s="12" t="n"/>
      <c r="N1" s="12" t="n"/>
      <c r="O1" s="12" t="n"/>
      <c r="P1" s="12" t="n"/>
      <c r="Q1" s="12" t="n"/>
      <c r="R1" s="12" t="n"/>
      <c r="S1" s="12" t="n"/>
      <c r="T1" s="12" t="n"/>
      <c r="U1" s="12" t="n"/>
      <c r="V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c r="A3" s="12" t="n"/>
      <c r="B3" s="65" t="inlineStr">
        <is>
          <t xml:space="preserve">Scenario (Choose one):  </t>
        </is>
      </c>
      <c r="C3" s="22" t="inlineStr">
        <is>
          <t>E1_StatusQuo_Decline</t>
        </is>
      </c>
      <c r="D3" s="12" t="n"/>
      <c r="E3" s="12" t="n"/>
      <c r="F3" s="12" t="n"/>
      <c r="G3" s="12" t="n"/>
      <c r="H3" s="12" t="n"/>
      <c r="I3" s="12" t="n"/>
      <c r="J3" s="12" t="n"/>
      <c r="K3" s="12" t="n"/>
      <c r="L3" s="12" t="n"/>
      <c r="M3" s="12" t="n"/>
      <c r="N3" s="12" t="n"/>
      <c r="O3" s="12" t="n"/>
      <c r="P3" s="12" t="n"/>
      <c r="Q3" s="12" t="n"/>
      <c r="R3" s="12" t="n"/>
      <c r="S3" s="12" t="n"/>
      <c r="T3" s="12" t="n"/>
      <c r="U3" s="12" t="n"/>
      <c r="V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row>
    <row r="5">
      <c r="A5" s="12" t="n"/>
      <c r="B5" s="56" t="inlineStr">
        <is>
          <t>Metric</t>
        </is>
      </c>
      <c r="C5" s="57" t="inlineStr">
        <is>
          <t>FY2026</t>
        </is>
      </c>
      <c r="D5" s="57" t="inlineStr">
        <is>
          <t>FY2030</t>
        </is>
      </c>
      <c r="E5" s="12" t="n"/>
      <c r="F5" s="12" t="n"/>
      <c r="G5" s="12" t="n"/>
      <c r="H5" s="12" t="n"/>
      <c r="I5" s="12" t="n"/>
      <c r="J5" s="12" t="n"/>
      <c r="K5" s="12" t="n"/>
      <c r="L5" s="12" t="n"/>
      <c r="M5" s="12" t="n"/>
      <c r="N5" s="12" t="n"/>
      <c r="O5" s="12" t="n"/>
      <c r="P5" s="12" t="n"/>
      <c r="Q5" s="12" t="n"/>
      <c r="R5" s="12" t="n"/>
      <c r="S5" s="12" t="n"/>
      <c r="T5" s="12" t="n"/>
      <c r="U5" s="12" t="n"/>
      <c r="V5" s="12" t="n"/>
    </row>
    <row r="6">
      <c r="A6" s="12" t="n"/>
      <c r="B6" s="58" t="inlineStr">
        <is>
          <t>mᵗ: Incremental margin per added ADM</t>
        </is>
      </c>
      <c r="C6" s="59">
        <f>INDEX(YearMap!$I$2:$I$6, MATCH("FY2026",YearMap!$A$2:$A$6,0))+IF(Override_toggle=1, INDEX(YearMap!$O$2:$O$6, MATCH("FY2026",YearMap!$A$2:$A$6,0)),0)+INDEX(YearMap!$P$2:$P$6, MATCH("FY2026",YearMap!$A$2:$A$6,0))-INDEX(YearMap!$B$2:$B$6, MATCH("FY2026",YearMap!$A$2:$A$6,0))-INDEX(YearMap!$Q$2:$Q$6, MATCH("FY2026",YearMap!$A$2:$A$6,0))</f>
        <v/>
      </c>
      <c r="D6" s="59">
        <f>INDEX(YearMap!$I$2:$I$6, MATCH("FY2030",YearMap!$A$2:$A$6,0))+IF(Override_toggle=1, INDEX(YearMap!$O$2:$O$6, MATCH("FY2030",YearMap!$A$2:$A$6,0)),0)+INDEX(YearMap!$P$2:$P$6, MATCH("FY2030",YearMap!$A$2:$A$6,0))-INDEX(YearMap!$B$2:$B$6, MATCH("FY2030",YearMap!$A$2:$A$6,0))-INDEX(YearMap!$Q$2:$Q$6, MATCH("FY2030",YearMap!$A$2:$A$6,0))</f>
        <v/>
      </c>
      <c r="E6" s="12" t="n"/>
      <c r="F6" s="12" t="n"/>
      <c r="G6" s="12" t="n"/>
      <c r="H6" s="12" t="n"/>
      <c r="I6" s="12" t="n"/>
      <c r="J6" s="12" t="n"/>
      <c r="K6" s="12" t="n"/>
      <c r="L6" s="12" t="n"/>
      <c r="M6" s="12" t="n"/>
      <c r="N6" s="12" t="n"/>
      <c r="O6" s="12" t="n"/>
      <c r="P6" s="12" t="n"/>
      <c r="Q6" s="12" t="n"/>
      <c r="R6" s="12" t="n"/>
      <c r="S6" s="12" t="n"/>
      <c r="T6" s="12" t="n"/>
      <c r="U6" s="12" t="n"/>
      <c r="V6" s="12" t="n"/>
    </row>
    <row r="7">
      <c r="A7" s="12" t="n"/>
      <c r="B7" s="60" t="inlineStr">
        <is>
          <t>Net (operating)</t>
        </is>
      </c>
      <c r="C7" s="61">
        <f>SUMIFS(MultiYear_ProForma!$AF$2:$AF$66,MultiYear_ProForma!$B$2:$B$66,$C$3,MultiYear_ProForma!$C$2:$C$66,"FY2026")</f>
        <v/>
      </c>
      <c r="D7" s="61">
        <f>SUMIFS(MultiYear_ProForma!$AF$2:$AF$66,MultiYear_ProForma!$B$2:$B$66,$C$3,MultiYear_ProForma!$C$2:$C$66,"FY2030")</f>
        <v/>
      </c>
      <c r="E7" s="12" t="n"/>
      <c r="F7" s="12" t="n"/>
      <c r="G7" s="12" t="n"/>
      <c r="H7" s="12" t="n"/>
      <c r="I7" s="12" t="n"/>
      <c r="J7" s="12" t="n"/>
      <c r="K7" s="12" t="n"/>
      <c r="L7" s="12" t="n"/>
      <c r="M7" s="12" t="n"/>
      <c r="N7" s="12" t="n"/>
      <c r="O7" s="12" t="n"/>
      <c r="P7" s="12" t="n"/>
      <c r="Q7" s="12" t="n"/>
      <c r="R7" s="12" t="n"/>
      <c r="S7" s="12" t="n"/>
      <c r="T7" s="12" t="n"/>
      <c r="U7" s="12" t="n"/>
      <c r="V7" s="12" t="n"/>
    </row>
    <row r="8">
      <c r="A8" s="12" t="n"/>
      <c r="B8" s="62" t="inlineStr">
        <is>
          <t>N⁰: Additional students needed for Net ≥ 0</t>
        </is>
      </c>
      <c r="C8" s="63">
        <f>IFERROR(MAX(0,-$C$7/$C$6),"")</f>
        <v/>
      </c>
      <c r="D8" s="63">
        <f>IFERROR(MAX(0,-$D$7/$D$6),"")</f>
        <v/>
      </c>
      <c r="E8" s="12" t="n"/>
      <c r="F8" s="12" t="n"/>
      <c r="G8" s="12" t="n"/>
      <c r="H8" s="12" t="n"/>
      <c r="I8" s="12" t="n"/>
      <c r="J8" s="12" t="n"/>
      <c r="K8" s="12" t="n"/>
      <c r="L8" s="12" t="n"/>
      <c r="M8" s="12" t="n"/>
      <c r="N8" s="12" t="n"/>
      <c r="O8" s="12" t="n"/>
      <c r="P8" s="12" t="n"/>
      <c r="Q8" s="12" t="n"/>
      <c r="R8" s="12" t="n"/>
      <c r="S8" s="12" t="n"/>
      <c r="T8" s="12" t="n"/>
      <c r="U8" s="12" t="n"/>
      <c r="V8" s="12" t="n"/>
    </row>
    <row r="9">
      <c r="A9" s="12" t="n"/>
      <c r="B9" s="55" t="n"/>
      <c r="C9" s="33" t="n"/>
      <c r="D9" s="33" t="n"/>
      <c r="E9" s="12" t="n"/>
      <c r="F9" s="12" t="n"/>
      <c r="G9" s="12" t="n"/>
      <c r="H9" s="12" t="n"/>
      <c r="I9" s="12" t="n"/>
      <c r="J9" s="12" t="n"/>
      <c r="K9" s="12" t="n"/>
      <c r="L9" s="12" t="n"/>
      <c r="M9" s="12" t="n"/>
      <c r="N9" s="12" t="n"/>
      <c r="O9" s="12" t="n"/>
      <c r="P9" s="12" t="n"/>
      <c r="Q9" s="12" t="n"/>
      <c r="R9" s="12" t="n"/>
      <c r="S9" s="12" t="n"/>
      <c r="T9" s="12" t="n"/>
      <c r="U9" s="12" t="n"/>
      <c r="V9" s="12" t="n"/>
    </row>
    <row r="10">
      <c r="A10" s="12" t="n"/>
      <c r="B10" s="64" t="inlineStr">
        <is>
          <t>Interpretation</t>
        </is>
      </c>
      <c r="C10" s="40" t="n"/>
      <c r="D10" s="40" t="n"/>
      <c r="E10" s="12" t="n"/>
      <c r="F10" s="12" t="n"/>
      <c r="G10" s="12" t="n"/>
      <c r="H10" s="12" t="n"/>
      <c r="I10" s="12" t="n"/>
      <c r="J10" s="12" t="n"/>
      <c r="K10" s="12" t="n"/>
      <c r="L10" s="12" t="n"/>
      <c r="M10" s="12" t="n"/>
      <c r="N10" s="12" t="n"/>
      <c r="O10" s="12" t="n"/>
      <c r="P10" s="12" t="n"/>
      <c r="Q10" s="12" t="n"/>
      <c r="R10" s="12" t="n"/>
      <c r="S10" s="12" t="n"/>
      <c r="T10" s="12" t="n"/>
      <c r="U10" s="12" t="n"/>
      <c r="V10" s="12" t="n"/>
    </row>
    <row r="11" ht="31" customHeight="1" s="137">
      <c r="A11" s="12" t="n"/>
      <c r="B11" s="149">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
      </c>
      <c r="C11" s="150" t="n"/>
      <c r="D11" s="150" t="n"/>
      <c r="E11" s="12" t="n"/>
      <c r="F11" s="12" t="n"/>
      <c r="G11" s="12" t="n"/>
      <c r="H11" s="12" t="n"/>
      <c r="I11" s="12" t="n"/>
      <c r="J11" s="12" t="n"/>
      <c r="K11" s="12" t="n"/>
      <c r="L11" s="12" t="n"/>
      <c r="M11" s="12" t="n"/>
      <c r="N11" s="12" t="n"/>
      <c r="O11" s="12" t="n"/>
      <c r="P11" s="12" t="n"/>
      <c r="Q11" s="12" t="n"/>
      <c r="R11" s="12" t="n"/>
      <c r="S11" s="12" t="n"/>
      <c r="T11" s="12" t="n"/>
      <c r="U11" s="12" t="n"/>
      <c r="V11" s="12" t="n"/>
    </row>
    <row r="12">
      <c r="A12" s="12" t="n"/>
      <c r="B12" s="55" t="n"/>
      <c r="C12" s="33" t="n"/>
      <c r="D12" s="33" t="n"/>
      <c r="E12" s="12" t="n"/>
      <c r="F12" s="12" t="n"/>
      <c r="G12" s="12" t="n"/>
      <c r="H12" s="12" t="n"/>
      <c r="I12" s="12" t="n"/>
      <c r="J12" s="12" t="n"/>
      <c r="K12" s="12" t="n"/>
      <c r="L12" s="12" t="n"/>
      <c r="M12" s="12" t="n"/>
      <c r="N12" s="12" t="n"/>
      <c r="O12" s="12" t="n"/>
      <c r="P12" s="12" t="n"/>
      <c r="Q12" s="12" t="n"/>
      <c r="R12" s="12" t="n"/>
      <c r="S12" s="12" t="n"/>
      <c r="T12" s="12" t="n"/>
      <c r="U12" s="12" t="n"/>
      <c r="V12" s="12" t="n"/>
    </row>
    <row r="13">
      <c r="A13" s="12" t="n"/>
      <c r="B13" s="54" t="inlineStr">
        <is>
          <t>Notes:</t>
        </is>
      </c>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row>
    <row r="14">
      <c r="A14" s="12" t="n"/>
      <c r="B14" s="54" t="inlineStr">
        <is>
          <t>This tool tests budget neutrality for any scenario: N⁰ = max(0, −Netₜ / mᵗ).</t>
        </is>
      </c>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row>
    <row r="15">
      <c r="A15" s="12" t="n"/>
      <c r="B15" s="54" t="inlineStr">
        <is>
          <t>mᵗ uses YearMap (Aid + Override_if_on + Uplift − VarUnit$ − Growth_overhead). Net excludes capital.</t>
        </is>
      </c>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row>
    <row r="32">
      <c r="A32" s="12" t="n"/>
    </row>
  </sheetData>
  <mergeCells count="1">
    <mergeCell ref="B11:D11"/>
  </mergeCells>
  <dataValidations count="1">
    <dataValidation sqref="C4" showErrorMessage="1" showInputMessage="1" allowBlank="0" type="list">
      <formula1>"FY2026,FY2030"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9"/>
  <sheetViews>
    <sheetView zoomScale="80" zoomScaleNormal="80" workbookViewId="0">
      <pane xSplit="2" ySplit="4" topLeftCell="F5" activePane="bottomRight" state="frozen"/>
      <selection pane="topRight" activeCell="A1" sqref="A1"/>
      <selection pane="bottomLeft" activeCell="A1" sqref="A1"/>
      <selection pane="bottomRight" activeCell="K5" sqref="K5"/>
    </sheetView>
  </sheetViews>
  <sheetFormatPr baseColWidth="8" defaultRowHeight="14.5"/>
  <cols>
    <col width="4.26953125" customWidth="1" style="137" min="1" max="1"/>
    <col width="50.7265625" bestFit="1" customWidth="1" style="137" min="2" max="2"/>
    <col width="20.81640625" customWidth="1" style="137" min="3" max="11"/>
    <col width="19.81640625" bestFit="1" customWidth="1" style="137" min="12" max="12"/>
    <col width="20.6328125" bestFit="1" customWidth="1" style="137" min="13" max="13"/>
  </cols>
  <sheetData>
    <row r="1">
      <c r="B1" s="65" t="inlineStr">
        <is>
          <t xml:space="preserve">Choose base scenario (for comparison):  </t>
        </is>
      </c>
      <c r="C1" s="30" t="inlineStr">
        <is>
          <t>E1_StatusQuo_Decline</t>
        </is>
      </c>
      <c r="P1" s="4" t="inlineStr">
        <is>
          <t>Chart titles</t>
        </is>
      </c>
    </row>
    <row r="2">
      <c r="A2" t="inlineStr">
        <is>
          <t>Net = (M&amp;O operating) − (Aid + Override + Uplift). Capital is excluded. Uplift is indexed to Aid growth.</t>
        </is>
      </c>
      <c r="P2" s="22">
        <f>"(Comparison) Change in ops net $ by scenario compared to "&amp;C1&amp;" (Positive = savings)"</f>
        <v/>
      </c>
    </row>
    <row r="3">
      <c r="A3" t="inlineStr">
        <is>
          <t>Students: Displaced = FY2026; Served = FY2030 (open + retained).</t>
        </is>
      </c>
      <c r="P3" s="22">
        <f>"(Nominal) One-time capital (FY26) &amp; Average 5-yr net ops $ by scenario"</f>
        <v/>
      </c>
    </row>
    <row r="4">
      <c r="A4" s="31" t="inlineStr">
        <is>
          <t>Scenario key</t>
        </is>
      </c>
      <c r="B4" s="24" t="inlineStr">
        <is>
          <t>Scenario</t>
        </is>
      </c>
      <c r="C4" s="28" t="inlineStr">
        <is>
          <t>One-time Capital (FY26)</t>
        </is>
      </c>
      <c r="D4" s="32" t="inlineStr">
        <is>
          <t>Net FY26 Operational $</t>
        </is>
      </c>
      <c r="E4" s="32" t="inlineStr">
        <is>
          <t>Net FY28 Operational $</t>
        </is>
      </c>
      <c r="F4" s="32" t="inlineStr">
        <is>
          <t>Net FY30 Operational $</t>
        </is>
      </c>
      <c r="G4" s="32" t="inlineStr">
        <is>
          <t>AVG 5-yr net operational $</t>
        </is>
      </c>
      <c r="H4" s="32" t="inlineStr">
        <is>
          <t>5-yr Operating Net $ (sum FY26-30)</t>
        </is>
      </c>
      <c r="I4" s="32" t="inlineStr">
        <is>
          <t>Displaced students</t>
        </is>
      </c>
      <c r="J4" s="32" t="inlineStr">
        <is>
          <t>Served students FY30</t>
        </is>
      </c>
      <c r="K4" s="32" t="inlineStr">
        <is>
          <t>Net Op $ / Served (FY2030)</t>
        </is>
      </c>
      <c r="L4" s="24" t="inlineStr">
        <is>
          <t>Δ vs Base (FY2030 Net)</t>
        </is>
      </c>
      <c r="M4" s="24" t="inlineStr">
        <is>
          <t>Δ vs Base (5-yr Avg Net)</t>
        </is>
      </c>
      <c r="N4" s="25" t="n"/>
      <c r="O4" s="25" t="n"/>
      <c r="P4" s="25" t="n"/>
    </row>
    <row r="5">
      <c r="A5" s="31">
        <f>LEFT(B5, 2)</f>
        <v/>
      </c>
      <c r="B5">
        <f>Scenarios!A3</f>
        <v/>
      </c>
      <c r="C5" s="26">
        <f>SUMIFS(Capital_Summary!$H$4:$H$83, Capital_Summary!$A$4:$A$83, B5, Capital_Summary!$B$4:$B$83, "FY2026")*-1</f>
        <v/>
      </c>
      <c r="D5" s="26">
        <f>SUMIFS(MultiYear_ProForma!$AF$2:$AF$66, MultiYear_ProForma!$B$2:$B$66, B5, MultiYear_ProForma!$C$2:$C$66, "FY2026")</f>
        <v/>
      </c>
      <c r="E5" s="26">
        <f>SUMIFS(MultiYear_ProForma!$AF$2:$AF$66, MultiYear_ProForma!$B$2:$B$66, B5, MultiYear_ProForma!$C$2:$C$66, "FY2028")</f>
        <v/>
      </c>
      <c r="F5" s="26">
        <f>SUMIFS(MultiYear_ProForma!$AF$2:$AF$66, MultiYear_ProForma!$B$2:$B$66, B5, MultiYear_ProForma!$C$2:$C$66, "FY2030")</f>
        <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
      </c>
      <c r="I5" s="11">
        <f>SUMIFS(MultiYear_ProForma!$N$2:$N$66, MultiYear_ProForma!$B$2:$B$66, B5, MultiYear_ProForma!$C$2:$C$66, "FY2026")</f>
        <v/>
      </c>
      <c r="J5" s="11">
        <f>SUMIFS(MultiYear_ProForma!$AC$2:$AC$66, MultiYear_ProForma!$B$2:$B$66, B5, MultiYear_ProForma!$C$2:$C$66, "FY2030")</f>
        <v/>
      </c>
      <c r="K5" s="26">
        <f>F5/J5</f>
        <v/>
      </c>
      <c r="L5" s="26">
        <f>F5-(VLOOKUP($C$1,$B$5:$G$17,5, 0))</f>
        <v/>
      </c>
      <c r="M5" s="26">
        <f>G5-(VLOOKUP($C$1,$B$5:$J$17,6, 0))</f>
        <v/>
      </c>
    </row>
    <row r="6">
      <c r="A6" s="31">
        <f>LEFT(B6, 2)</f>
        <v/>
      </c>
      <c r="B6">
        <f>Scenarios!A4</f>
        <v/>
      </c>
      <c r="C6" s="26">
        <f>SUMIFS(Capital_Summary!$H$4:$H$83, Capital_Summary!$A$4:$A$83, B6, Capital_Summary!$B$4:$B$83, "FY2026")*-1</f>
        <v/>
      </c>
      <c r="D6" s="26">
        <f>SUMIFS(MultiYear_ProForma!$AF$2:$AF$66, MultiYear_ProForma!$B$2:$B$66, B6, MultiYear_ProForma!$C$2:$C$66, "FY2026")</f>
        <v/>
      </c>
      <c r="E6" s="26">
        <f>SUMIFS(MultiYear_ProForma!$AF$2:$AF$66, MultiYear_ProForma!$B$2:$B$66, B6, MultiYear_ProForma!$C$2:$C$66, "FY2028")</f>
        <v/>
      </c>
      <c r="F6" s="26">
        <f>SUMIFS(MultiYear_ProForma!$AF$2:$AF$66, MultiYear_ProForma!$B$2:$B$66, B6, MultiYear_ProForma!$C$2:$C$66, "FY2030")</f>
        <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
      </c>
      <c r="I6" s="11">
        <f>SUMIFS(MultiYear_ProForma!$N$2:$N$66, MultiYear_ProForma!$B$2:$B$66, B6, MultiYear_ProForma!$C$2:$C$66, "FY2026")</f>
        <v/>
      </c>
      <c r="J6" s="11">
        <f>SUMIFS(MultiYear_ProForma!$AC$2:$AC$66, MultiYear_ProForma!$B$2:$B$66, B6, MultiYear_ProForma!$C$2:$C$66, "FY2030")</f>
        <v/>
      </c>
      <c r="K6" s="26">
        <f>F6/J6</f>
        <v/>
      </c>
      <c r="L6" s="26">
        <f>F6-(VLOOKUP($C$1,$B$5:$G$17,5, 0))</f>
        <v/>
      </c>
      <c r="M6" s="26">
        <f>G6-(VLOOKUP($C$1,$B$5:$J$17,6, 0))</f>
        <v/>
      </c>
    </row>
    <row r="7">
      <c r="A7" s="31">
        <f>LEFT(B7, 2)</f>
        <v/>
      </c>
      <c r="B7">
        <f>Scenarios!A5</f>
        <v/>
      </c>
      <c r="C7" s="26">
        <f>SUMIFS(Capital_Summary!$H$4:$H$83, Capital_Summary!$A$4:$A$83, B7, Capital_Summary!$B$4:$B$83, "FY2026")*-1</f>
        <v/>
      </c>
      <c r="D7" s="26">
        <f>SUMIFS(MultiYear_ProForma!$AF$2:$AF$66, MultiYear_ProForma!$B$2:$B$66, B7, MultiYear_ProForma!$C$2:$C$66, "FY2026")</f>
        <v/>
      </c>
      <c r="E7" s="26">
        <f>SUMIFS(MultiYear_ProForma!$AF$2:$AF$66, MultiYear_ProForma!$B$2:$B$66, B7, MultiYear_ProForma!$C$2:$C$66, "FY2028")</f>
        <v/>
      </c>
      <c r="F7" s="26">
        <f>SUMIFS(MultiYear_ProForma!$AF$2:$AF$66, MultiYear_ProForma!$B$2:$B$66, B7, MultiYear_ProForma!$C$2:$C$66, "FY2030")</f>
        <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
      </c>
      <c r="I7" s="11">
        <f>SUMIFS(MultiYear_ProForma!$N$2:$N$66, MultiYear_ProForma!$B$2:$B$66, B7, MultiYear_ProForma!$C$2:$C$66, "FY2026")</f>
        <v/>
      </c>
      <c r="J7" s="11">
        <f>SUMIFS(MultiYear_ProForma!$AC$2:$AC$66, MultiYear_ProForma!$B$2:$B$66, B7, MultiYear_ProForma!$C$2:$C$66, "FY2030")</f>
        <v/>
      </c>
      <c r="K7" s="26">
        <f>F7/J7</f>
        <v/>
      </c>
      <c r="L7" s="26">
        <f>F7-(VLOOKUP($C$1,$B$5:$G$17,5, 0))</f>
        <v/>
      </c>
      <c r="M7" s="26">
        <f>G7-(VLOOKUP($C$1,$B$5:$J$17,6, 0))</f>
        <v/>
      </c>
    </row>
    <row r="8">
      <c r="A8" s="31">
        <f>LEFT(B8, 2)</f>
        <v/>
      </c>
      <c r="B8">
        <f>Scenarios!A6</f>
        <v/>
      </c>
      <c r="C8" s="26">
        <f>SUMIFS(Capital_Summary!$H$4:$H$83, Capital_Summary!$A$4:$A$83, B8, Capital_Summary!$B$4:$B$83, "FY2026")*-1</f>
        <v/>
      </c>
      <c r="D8" s="26">
        <f>SUMIFS(MultiYear_ProForma!$AF$2:$AF$66, MultiYear_ProForma!$B$2:$B$66, B8, MultiYear_ProForma!$C$2:$C$66, "FY2026")</f>
        <v/>
      </c>
      <c r="E8" s="26">
        <f>SUMIFS(MultiYear_ProForma!$AF$2:$AF$66, MultiYear_ProForma!$B$2:$B$66, B8, MultiYear_ProForma!$C$2:$C$66, "FY2028")</f>
        <v/>
      </c>
      <c r="F8" s="26">
        <f>SUMIFS(MultiYear_ProForma!$AF$2:$AF$66, MultiYear_ProForma!$B$2:$B$66, B8, MultiYear_ProForma!$C$2:$C$66, "FY2030")</f>
        <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
      </c>
      <c r="I8" s="11">
        <f>SUMIFS(MultiYear_ProForma!$N$2:$N$66, MultiYear_ProForma!$B$2:$B$66, B8, MultiYear_ProForma!$C$2:$C$66, "FY2026")</f>
        <v/>
      </c>
      <c r="J8" s="11">
        <f>SUMIFS(MultiYear_ProForma!$AC$2:$AC$66, MultiYear_ProForma!$B$2:$B$66, B8, MultiYear_ProForma!$C$2:$C$66, "FY2030")</f>
        <v/>
      </c>
      <c r="K8" s="26">
        <f>F8/J8</f>
        <v/>
      </c>
      <c r="L8" s="26">
        <f>F8-(VLOOKUP($C$1,$B$5:$G$17,5, 0))</f>
        <v/>
      </c>
      <c r="M8" s="26">
        <f>G8-(VLOOKUP($C$1,$B$5:$J$17,6, 0))</f>
        <v/>
      </c>
    </row>
    <row r="9">
      <c r="A9" s="31">
        <f>LEFT(B9, 2)</f>
        <v/>
      </c>
      <c r="B9">
        <f>Scenarios!A7</f>
        <v/>
      </c>
      <c r="C9" s="26">
        <f>SUMIFS(Capital_Summary!$H$4:$H$83, Capital_Summary!$A$4:$A$83, B9, Capital_Summary!$B$4:$B$83, "FY2026")*-1</f>
        <v/>
      </c>
      <c r="D9" s="26">
        <f>SUMIFS(MultiYear_ProForma!$AF$2:$AF$66, MultiYear_ProForma!$B$2:$B$66, B9, MultiYear_ProForma!$C$2:$C$66, "FY2026")</f>
        <v/>
      </c>
      <c r="E9" s="26">
        <f>SUMIFS(MultiYear_ProForma!$AF$2:$AF$66, MultiYear_ProForma!$B$2:$B$66, B9, MultiYear_ProForma!$C$2:$C$66, "FY2028")</f>
        <v/>
      </c>
      <c r="F9" s="26">
        <f>SUMIFS(MultiYear_ProForma!$AF$2:$AF$66, MultiYear_ProForma!$B$2:$B$66, B9, MultiYear_ProForma!$C$2:$C$66, "FY2030")</f>
        <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
      </c>
      <c r="I9" s="11">
        <f>SUMIFS(MultiYear_ProForma!$N$2:$N$66, MultiYear_ProForma!$B$2:$B$66, B9, MultiYear_ProForma!$C$2:$C$66, "FY2026")</f>
        <v/>
      </c>
      <c r="J9" s="11">
        <f>SUMIFS(MultiYear_ProForma!$AC$2:$AC$66, MultiYear_ProForma!$B$2:$B$66, B9, MultiYear_ProForma!$C$2:$C$66, "FY2030")</f>
        <v/>
      </c>
      <c r="K9" s="26">
        <f>F9/J9</f>
        <v/>
      </c>
      <c r="L9" s="26">
        <f>F9-(VLOOKUP($C$1,$B$5:$G$17,5, 0))</f>
        <v/>
      </c>
      <c r="M9" s="26">
        <f>G9-(VLOOKUP($C$1,$B$5:$J$17,6, 0))</f>
        <v/>
      </c>
    </row>
    <row r="10">
      <c r="A10" s="31">
        <f>LEFT(B10, 2)</f>
        <v/>
      </c>
      <c r="B10">
        <f>Scenarios!A8</f>
        <v/>
      </c>
      <c r="C10" s="26">
        <f>SUMIFS(Capital_Summary!$H$4:$H$83, Capital_Summary!$A$4:$A$83, B10, Capital_Summary!$B$4:$B$83, "FY2026")*-1</f>
        <v/>
      </c>
      <c r="D10" s="26">
        <f>SUMIFS(MultiYear_ProForma!$AF$2:$AF$66, MultiYear_ProForma!$B$2:$B$66, B10, MultiYear_ProForma!$C$2:$C$66, "FY2026")</f>
        <v/>
      </c>
      <c r="E10" s="26">
        <f>SUMIFS(MultiYear_ProForma!$AF$2:$AF$66, MultiYear_ProForma!$B$2:$B$66, B10, MultiYear_ProForma!$C$2:$C$66, "FY2028")</f>
        <v/>
      </c>
      <c r="F10" s="26">
        <f>SUMIFS(MultiYear_ProForma!$AF$2:$AF$66, MultiYear_ProForma!$B$2:$B$66, B10, MultiYear_ProForma!$C$2:$C$66, "FY2030")</f>
        <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
      </c>
      <c r="I10" s="11">
        <f>SUMIFS(MultiYear_ProForma!$N$2:$N$66, MultiYear_ProForma!$B$2:$B$66, B10, MultiYear_ProForma!$C$2:$C$66, "FY2026")</f>
        <v/>
      </c>
      <c r="J10" s="11">
        <f>SUMIFS(MultiYear_ProForma!$AC$2:$AC$66, MultiYear_ProForma!$B$2:$B$66, B10, MultiYear_ProForma!$C$2:$C$66, "FY2030")</f>
        <v/>
      </c>
      <c r="K10" s="26">
        <f>F10/J10</f>
        <v/>
      </c>
      <c r="L10" s="26">
        <f>F10-(VLOOKUP($C$1,$B$5:$G$17,5, 0))</f>
        <v/>
      </c>
      <c r="M10" s="26">
        <f>G10-(VLOOKUP($C$1,$B$5:$J$17,6, 0))</f>
        <v/>
      </c>
    </row>
    <row r="11">
      <c r="A11" s="31">
        <f>LEFT(B11, 2)</f>
        <v/>
      </c>
      <c r="B11">
        <f>Scenarios!A9</f>
        <v/>
      </c>
      <c r="C11" s="26">
        <f>SUMIFS(Capital_Summary!$H$4:$H$83, Capital_Summary!$A$4:$A$83, B11, Capital_Summary!$B$4:$B$83, "FY2026")*-1</f>
        <v/>
      </c>
      <c r="D11" s="26">
        <f>SUMIFS(MultiYear_ProForma!$AF$2:$AF$66, MultiYear_ProForma!$B$2:$B$66, B11, MultiYear_ProForma!$C$2:$C$66, "FY2026")</f>
        <v/>
      </c>
      <c r="E11" s="26">
        <f>SUMIFS(MultiYear_ProForma!$AF$2:$AF$66, MultiYear_ProForma!$B$2:$B$66, B11, MultiYear_ProForma!$C$2:$C$66, "FY2028")</f>
        <v/>
      </c>
      <c r="F11" s="26">
        <f>SUMIFS(MultiYear_ProForma!$AF$2:$AF$66, MultiYear_ProForma!$B$2:$B$66, B11, MultiYear_ProForma!$C$2:$C$66, "FY2030")</f>
        <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
      </c>
      <c r="I11" s="11">
        <f>SUMIFS(MultiYear_ProForma!$N$2:$N$66, MultiYear_ProForma!$B$2:$B$66, B11, MultiYear_ProForma!$C$2:$C$66, "FY2026")</f>
        <v/>
      </c>
      <c r="J11" s="11">
        <f>SUMIFS(MultiYear_ProForma!$AC$2:$AC$66, MultiYear_ProForma!$B$2:$B$66, B11, MultiYear_ProForma!$C$2:$C$66, "FY2030")</f>
        <v/>
      </c>
      <c r="K11" s="26">
        <f>F11/J11</f>
        <v/>
      </c>
      <c r="L11" s="26">
        <f>F11-(VLOOKUP($C$1,$B$5:$G$17,5, 0))</f>
        <v/>
      </c>
      <c r="M11" s="26">
        <f>G11-(VLOOKUP($C$1,$B$5:$J$17,6, 0))</f>
        <v/>
      </c>
    </row>
    <row r="12">
      <c r="A12" s="31">
        <f>LEFT(B12, 2)</f>
        <v/>
      </c>
      <c r="B12">
        <f>Scenarios!A10</f>
        <v/>
      </c>
      <c r="C12" s="26">
        <f>SUMIFS(Capital_Summary!$H$4:$H$83, Capital_Summary!$A$4:$A$83, B12, Capital_Summary!$B$4:$B$83, "FY2026")*-1</f>
        <v/>
      </c>
      <c r="D12" s="26">
        <f>SUMIFS(MultiYear_ProForma!$AF$2:$AF$66, MultiYear_ProForma!$B$2:$B$66, B12, MultiYear_ProForma!$C$2:$C$66, "FY2026")</f>
        <v/>
      </c>
      <c r="E12" s="26">
        <f>SUMIFS(MultiYear_ProForma!$AF$2:$AF$66, MultiYear_ProForma!$B$2:$B$66, B12, MultiYear_ProForma!$C$2:$C$66, "FY2028")</f>
        <v/>
      </c>
      <c r="F12" s="26">
        <f>SUMIFS(MultiYear_ProForma!$AF$2:$AF$66, MultiYear_ProForma!$B$2:$B$66, B12, MultiYear_ProForma!$C$2:$C$66, "FY2030")</f>
        <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
      </c>
      <c r="I12" s="11">
        <f>SUMIFS(MultiYear_ProForma!$N$2:$N$66, MultiYear_ProForma!$B$2:$B$66, B12, MultiYear_ProForma!$C$2:$C$66, "FY2026")</f>
        <v/>
      </c>
      <c r="J12" s="11">
        <f>SUMIFS(MultiYear_ProForma!$AC$2:$AC$66, MultiYear_ProForma!$B$2:$B$66, B12, MultiYear_ProForma!$C$2:$C$66, "FY2030")</f>
        <v/>
      </c>
      <c r="K12" s="26">
        <f>F12/J12</f>
        <v/>
      </c>
      <c r="L12" s="26">
        <f>F12-(VLOOKUP($C$1,$B$5:$G$17,5, 0))</f>
        <v/>
      </c>
      <c r="M12" s="26">
        <f>G12-(VLOOKUP($C$1,$B$5:$J$17,6, 0))</f>
        <v/>
      </c>
    </row>
    <row r="13">
      <c r="A13" s="31">
        <f>LEFT(B13, 2)</f>
        <v/>
      </c>
      <c r="B13">
        <f>Scenarios!A11</f>
        <v/>
      </c>
      <c r="C13" s="26">
        <f>SUMIFS(Capital_Summary!$H$4:$H$83, Capital_Summary!$A$4:$A$83, B13, Capital_Summary!$B$4:$B$83, "FY2026")*-1</f>
        <v/>
      </c>
      <c r="D13" s="26">
        <f>SUMIFS(MultiYear_ProForma!$AF$2:$AF$66, MultiYear_ProForma!$B$2:$B$66, B13, MultiYear_ProForma!$C$2:$C$66, "FY2026")</f>
        <v/>
      </c>
      <c r="E13" s="26">
        <f>SUMIFS(MultiYear_ProForma!$AF$2:$AF$66, MultiYear_ProForma!$B$2:$B$66, B13, MultiYear_ProForma!$C$2:$C$66, "FY2028")</f>
        <v/>
      </c>
      <c r="F13" s="26">
        <f>SUMIFS(MultiYear_ProForma!$AF$2:$AF$66, MultiYear_ProForma!$B$2:$B$66, B13, MultiYear_ProForma!$C$2:$C$66, "FY2030")</f>
        <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
      </c>
      <c r="I13" s="11">
        <f>SUMIFS(MultiYear_ProForma!$N$2:$N$66, MultiYear_ProForma!$B$2:$B$66, B13, MultiYear_ProForma!$C$2:$C$66, "FY2026")</f>
        <v/>
      </c>
      <c r="J13" s="11">
        <f>SUMIFS(MultiYear_ProForma!$AC$2:$AC$66, MultiYear_ProForma!$B$2:$B$66, B13, MultiYear_ProForma!$C$2:$C$66, "FY2030")</f>
        <v/>
      </c>
      <c r="K13" s="26">
        <f>F13/J13</f>
        <v/>
      </c>
      <c r="L13" s="26">
        <f>F13-(VLOOKUP($C$1,$B$5:$G$17,5, 0))</f>
        <v/>
      </c>
      <c r="M13" s="26">
        <f>G13-(VLOOKUP($C$1,$B$5:$J$17,6, 0))</f>
        <v/>
      </c>
    </row>
    <row r="14">
      <c r="A14" s="31">
        <f>LEFT(B14, 2)</f>
        <v/>
      </c>
      <c r="B14">
        <f>Scenarios!A12</f>
        <v/>
      </c>
      <c r="C14" s="26">
        <f>SUMIFS(Capital_Summary!$H$4:$H$83, Capital_Summary!$A$4:$A$83, B14, Capital_Summary!$B$4:$B$83, "FY2026")*-1</f>
        <v/>
      </c>
      <c r="D14" s="26">
        <f>SUMIFS(MultiYear_ProForma!$AF$2:$AF$66, MultiYear_ProForma!$B$2:$B$66, B14, MultiYear_ProForma!$C$2:$C$66, "FY2026")</f>
        <v/>
      </c>
      <c r="E14" s="26">
        <f>SUMIFS(MultiYear_ProForma!$AF$2:$AF$66, MultiYear_ProForma!$B$2:$B$66, B14, MultiYear_ProForma!$C$2:$C$66, "FY2028")</f>
        <v/>
      </c>
      <c r="F14" s="26">
        <f>SUMIFS(MultiYear_ProForma!$AF$2:$AF$66, MultiYear_ProForma!$B$2:$B$66, B14, MultiYear_ProForma!$C$2:$C$66, "FY2030")</f>
        <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
      </c>
      <c r="I14" s="11">
        <f>SUMIFS(MultiYear_ProForma!$N$2:$N$66, MultiYear_ProForma!$B$2:$B$66, B14, MultiYear_ProForma!$C$2:$C$66, "FY2026")</f>
        <v/>
      </c>
      <c r="J14" s="11">
        <f>SUMIFS(MultiYear_ProForma!$AC$2:$AC$66, MultiYear_ProForma!$B$2:$B$66, B14, MultiYear_ProForma!$C$2:$C$66, "FY2030")</f>
        <v/>
      </c>
      <c r="K14" s="26">
        <f>F14/J14</f>
        <v/>
      </c>
      <c r="L14" s="26">
        <f>F14-(VLOOKUP($C$1,$B$5:$G$17,5, 0))</f>
        <v/>
      </c>
      <c r="M14" s="26">
        <f>G14-(VLOOKUP($C$1,$B$5:$J$17,6, 0))</f>
        <v/>
      </c>
    </row>
    <row r="15">
      <c r="A15" s="31">
        <f>LEFT(B15, 2)</f>
        <v/>
      </c>
      <c r="B15">
        <f>Scenarios!A13</f>
        <v/>
      </c>
      <c r="C15" s="26">
        <f>SUMIFS(Capital_Summary!$H$4:$H$83, Capital_Summary!$A$4:$A$83, B15, Capital_Summary!$B$4:$B$83, "FY2026")*-1</f>
        <v/>
      </c>
      <c r="D15" s="26">
        <f>SUMIFS(MultiYear_ProForma!$AF$2:$AF$66, MultiYear_ProForma!$B$2:$B$66, B15, MultiYear_ProForma!$C$2:$C$66, "FY2026")</f>
        <v/>
      </c>
      <c r="E15" s="26">
        <f>SUMIFS(MultiYear_ProForma!$AF$2:$AF$66, MultiYear_ProForma!$B$2:$B$66, B15, MultiYear_ProForma!$C$2:$C$66, "FY2028")</f>
        <v/>
      </c>
      <c r="F15" s="26">
        <f>SUMIFS(MultiYear_ProForma!$AF$2:$AF$66, MultiYear_ProForma!$B$2:$B$66, B15, MultiYear_ProForma!$C$2:$C$66, "FY2030")</f>
        <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
      </c>
      <c r="I15" s="11">
        <f>SUMIFS(MultiYear_ProForma!$N$2:$N$66, MultiYear_ProForma!$B$2:$B$66, B15, MultiYear_ProForma!$C$2:$C$66, "FY2026")</f>
        <v/>
      </c>
      <c r="J15" s="11">
        <f>SUMIFS(MultiYear_ProForma!$AC$2:$AC$66, MultiYear_ProForma!$B$2:$B$66, B15, MultiYear_ProForma!$C$2:$C$66, "FY2030")</f>
        <v/>
      </c>
      <c r="K15" s="26">
        <f>F15/J15</f>
        <v/>
      </c>
      <c r="L15" s="26">
        <f>F15-(VLOOKUP($C$1,$B$5:$G$17,5, 0))</f>
        <v/>
      </c>
      <c r="M15" s="26">
        <f>G15-(VLOOKUP($C$1,$B$5:$J$17,6, 0))</f>
        <v/>
      </c>
    </row>
    <row r="16">
      <c r="A16" s="31">
        <f>LEFT(B16, 2)</f>
        <v/>
      </c>
      <c r="B16">
        <f>Scenarios!A14</f>
        <v/>
      </c>
      <c r="C16" s="26">
        <f>SUMIFS(Capital_Summary!$H$4:$H$83, Capital_Summary!$A$4:$A$83, B16, Capital_Summary!$B$4:$B$83, "FY2026")*-1</f>
        <v/>
      </c>
      <c r="D16" s="26">
        <f>SUMIFS(MultiYear_ProForma!$AF$2:$AF$66, MultiYear_ProForma!$B$2:$B$66, B16, MultiYear_ProForma!$C$2:$C$66, "FY2026")</f>
        <v/>
      </c>
      <c r="E16" s="26">
        <f>SUMIFS(MultiYear_ProForma!$AF$2:$AF$66, MultiYear_ProForma!$B$2:$B$66, B16, MultiYear_ProForma!$C$2:$C$66, "FY2028")</f>
        <v/>
      </c>
      <c r="F16" s="26">
        <f>SUMIFS(MultiYear_ProForma!$AF$2:$AF$66, MultiYear_ProForma!$B$2:$B$66, B16, MultiYear_ProForma!$C$2:$C$66, "FY2030")</f>
        <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
      </c>
      <c r="I16" s="11">
        <f>SUMIFS(MultiYear_ProForma!$N$2:$N$66, MultiYear_ProForma!$B$2:$B$66, B16, MultiYear_ProForma!$C$2:$C$66, "FY2026")</f>
        <v/>
      </c>
      <c r="J16" s="11">
        <f>SUMIFS(MultiYear_ProForma!$AC$2:$AC$66, MultiYear_ProForma!$B$2:$B$66, B16, MultiYear_ProForma!$C$2:$C$66, "FY2030")</f>
        <v/>
      </c>
      <c r="K16" s="26">
        <f>F16/J16</f>
        <v/>
      </c>
      <c r="L16" s="26">
        <f>F16-(VLOOKUP($C$1,$B$5:$G$17,5, 0))</f>
        <v/>
      </c>
      <c r="M16" s="26">
        <f>G16-(VLOOKUP($C$1,$B$5:$J$17,6, 0))</f>
        <v/>
      </c>
    </row>
    <row r="17">
      <c r="A17" s="31">
        <f>LEFT(B17, 2)</f>
        <v/>
      </c>
      <c r="B17">
        <f>Scenarios!A15</f>
        <v/>
      </c>
      <c r="C17" s="26">
        <f>SUMIFS(Capital_Summary!$H$4:$H$83, Capital_Summary!$A$4:$A$83, B17, Capital_Summary!$B$4:$B$83, "FY2026")*-1</f>
        <v/>
      </c>
      <c r="D17" s="26">
        <f>SUMIFS(MultiYear_ProForma!$AF$2:$AF$66, MultiYear_ProForma!$B$2:$B$66, B17, MultiYear_ProForma!$C$2:$C$66, "FY2026")</f>
        <v/>
      </c>
      <c r="E17" s="26">
        <f>SUMIFS(MultiYear_ProForma!$AF$2:$AF$66, MultiYear_ProForma!$B$2:$B$66, B17, MultiYear_ProForma!$C$2:$C$66, "FY2028")</f>
        <v/>
      </c>
      <c r="F17" s="26">
        <f>SUMIFS(MultiYear_ProForma!$AF$2:$AF$66, MultiYear_ProForma!$B$2:$B$66, B17, MultiYear_ProForma!$C$2:$C$66, "FY2030")</f>
        <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
      </c>
      <c r="I17" s="11">
        <f>SUMIFS(MultiYear_ProForma!$N$2:$N$66, MultiYear_ProForma!$B$2:$B$66, B17, MultiYear_ProForma!$C$2:$C$66, "FY2026")</f>
        <v/>
      </c>
      <c r="J17" s="11">
        <f>SUMIFS(MultiYear_ProForma!$AC$2:$AC$66, MultiYear_ProForma!$B$2:$B$66, B17, MultiYear_ProForma!$C$2:$C$66, "FY2030")</f>
        <v/>
      </c>
      <c r="K17" s="26">
        <f>F17/J17</f>
        <v/>
      </c>
      <c r="L17" s="26">
        <f>F17-(VLOOKUP($C$1,$B$5:$G$17,5, 0))</f>
        <v/>
      </c>
      <c r="M17" s="26">
        <f>G17-(VLOOKUP($C$1,$B$5:$J$17,6, 0))</f>
        <v/>
      </c>
    </row>
    <row r="19">
      <c r="B19" s="4" t="inlineStr">
        <is>
          <t>Note:  Displaced = FY26; Served = FY30. Net = M&amp;O − (Aid + Override + Uplift); showing one-time capital (fy26) as negative number for visualization purposes</t>
        </is>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paperSize="0" horizontalDpi="0" verticalDpi="0" copies="0"/>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H65"/>
  <sheetViews>
    <sheetView zoomScale="80" zoomScaleNormal="80" workbookViewId="0">
      <selection activeCell="B2" sqref="B2"/>
    </sheetView>
  </sheetViews>
  <sheetFormatPr baseColWidth="8" defaultRowHeight="14.5"/>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ht="23.5" customHeight="1" s="137">
      <c r="A2" s="12" t="n"/>
      <c r="B2" s="77"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33"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row>
    <row r="9">
      <c r="A9" s="12" t="n"/>
      <c r="B9" s="75"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row>
    <row r="10">
      <c r="A10" s="12" t="n"/>
      <c r="B10" s="76"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row>
    <row r="11">
      <c r="A11" s="12" t="n"/>
      <c r="B11" s="75"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row>
    <row r="12">
      <c r="A12" s="12" t="n"/>
      <c r="B12" s="76"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row>
    <row r="13">
      <c r="A13" s="12" t="n"/>
      <c r="B13" s="75"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12" t="n"/>
      <c r="B14" s="76"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row>
    <row r="16">
      <c r="A16" s="12" t="n"/>
      <c r="B16" s="33"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row>
    <row r="17">
      <c r="A17" s="12" t="n"/>
      <c r="B17" s="75"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row>
    <row r="18">
      <c r="A18" s="12" t="n"/>
      <c r="B18" s="75"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row>
    <row r="19">
      <c r="A19" s="12" t="n"/>
      <c r="B19" s="75"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row>
    <row r="20">
      <c r="A20" s="12" t="n"/>
      <c r="B20" s="75"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row>
    <row r="22">
      <c r="A22" s="12" t="n"/>
      <c r="B22" s="33"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row>
    <row r="23">
      <c r="A23" s="12" t="n"/>
      <c r="B23" s="75"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row>
    <row r="24">
      <c r="A24" s="12" t="n"/>
      <c r="B24" s="76"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row>
    <row r="25">
      <c r="A25" s="12" t="n"/>
      <c r="B25" s="75"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row>
    <row r="26">
      <c r="A26" s="12" t="n"/>
      <c r="B26" s="76"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row>
    <row r="27">
      <c r="A27" s="12" t="n"/>
      <c r="B27" s="75"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row>
    <row r="28">
      <c r="A28" s="12" t="n"/>
      <c r="B28" s="75"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row>
    <row r="29">
      <c r="A29" s="12" t="n"/>
      <c r="B29" s="75"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row>
    <row r="30">
      <c r="A30" s="12" t="n"/>
      <c r="B30" s="76"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row>
    <row r="31">
      <c r="A31" s="12" t="n"/>
      <c r="B31" s="75"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row>
    <row r="32">
      <c r="A32" s="12" t="n"/>
      <c r="B32" s="75"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row>
    <row r="33">
      <c r="A33" s="12" t="n"/>
      <c r="B33" s="75"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row>
    <row r="34">
      <c r="A34" s="12" t="n"/>
      <c r="B34" s="76"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row>
    <row r="35">
      <c r="A35" s="12" t="n"/>
      <c r="B35" s="75"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c r="A36" s="12" t="n"/>
      <c r="B36" s="75"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c r="A38" s="12" t="n"/>
      <c r="B38" s="33"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row>
    <row r="39">
      <c r="A39" s="12" t="n"/>
      <c r="B39" s="75"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row>
    <row r="40">
      <c r="A40" s="12" t="n"/>
      <c r="B40" s="76"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row>
    <row r="41">
      <c r="A41" s="12" t="n"/>
      <c r="B41" s="75"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row>
    <row r="42">
      <c r="A42" s="12" t="n"/>
      <c r="B42" s="76"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row>
    <row r="43">
      <c r="A43" s="12" t="n"/>
      <c r="B43" s="75"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row>
    <row r="44">
      <c r="A44" s="12" t="n"/>
      <c r="B44" s="75"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row>
    <row r="45">
      <c r="A45" s="12" t="n"/>
      <c r="B45" s="75"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row>
    <row r="46">
      <c r="A46" s="12" t="n"/>
      <c r="B46" s="75"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row>
    <row r="47">
      <c r="A47" s="12" t="n"/>
      <c r="B47" s="75"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row>
    <row r="48">
      <c r="A48" s="12" t="n"/>
      <c r="B48" s="76"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row>
  </sheetData>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baseColWidth="8" defaultRowHeight="14.5"/>
  <cols>
    <col width="52.81640625" bestFit="1" customWidth="1" style="137" min="2" max="2"/>
    <col width="9.54296875" bestFit="1" customWidth="1" style="137" min="3" max="3"/>
    <col width="10.453125" customWidth="1" style="137" min="4" max="4"/>
  </cols>
  <sheetData>
    <row r="1" ht="17" customHeight="1" s="137">
      <c r="A1" s="73" t="inlineStr">
        <is>
          <t>Public Inputs — Audited Baselines and Overrides (Phase A)</t>
        </is>
      </c>
      <c r="B1" s="74" t="n"/>
      <c r="C1" s="151" t="inlineStr">
        <is>
          <t>Yellow fields are editable</t>
        </is>
      </c>
      <c r="F1" s="74" t="n"/>
    </row>
    <row r="3">
      <c r="A3" t="inlineStr">
        <is>
          <t>ADM (official)</t>
        </is>
      </c>
      <c r="C3" t="inlineStr">
        <is>
          <t>Values</t>
        </is>
      </c>
      <c r="E3" t="inlineStr">
        <is>
          <t>Notes</t>
        </is>
      </c>
      <c r="I3" t="inlineStr">
        <is>
          <t>Notes2</t>
        </is>
      </c>
    </row>
    <row r="4">
      <c r="B4" t="inlineStr">
        <is>
          <t>Echo 40th</t>
        </is>
      </c>
      <c r="C4" s="22" t="n">
        <v>257</v>
      </c>
      <c r="E4" t="inlineStr">
        <is>
          <t>Estimate used at this point; need to replace.  Find official 40th day ADM for Echo (enter audited)</t>
        </is>
      </c>
    </row>
    <row r="5">
      <c r="B5" t="inlineStr">
        <is>
          <t>Echo 100th</t>
        </is>
      </c>
      <c r="C5" s="22" t="n">
        <v>257</v>
      </c>
      <c r="E5" t="inlineStr">
        <is>
          <t>Estimate used at this point; need to replace.  Find official 100th day ADM for Echo (enter audited)</t>
        </is>
      </c>
    </row>
    <row r="6">
      <c r="B6" t="inlineStr">
        <is>
          <t>Pima 40th</t>
        </is>
      </c>
      <c r="C6" s="22" t="n">
        <v>296</v>
      </c>
      <c r="E6" t="inlineStr">
        <is>
          <t>Estimate used at this point; need to replace.  Find official 40th day ADM for Pima (enter audited)</t>
        </is>
      </c>
    </row>
    <row r="7">
      <c r="B7" t="inlineStr">
        <is>
          <t>Pima 100th</t>
        </is>
      </c>
      <c r="C7" s="22" t="n">
        <v>296</v>
      </c>
      <c r="E7" t="inlineStr">
        <is>
          <t>Estimate used at this point; need to replace.  Find official 100th day ADM for Pima (enter audited)</t>
        </is>
      </c>
    </row>
    <row r="8">
      <c r="B8" t="inlineStr">
        <is>
          <t>Use Day (40 or 100)</t>
        </is>
      </c>
      <c r="C8" s="22" t="n">
        <v>40</v>
      </c>
      <c r="E8" t="inlineStr">
        <is>
          <t>Choose which count the model uses (40 or 100).</t>
        </is>
      </c>
    </row>
    <row r="10">
      <c r="B10" t="inlineStr">
        <is>
          <t>Echo_ADM0 (selected)</t>
        </is>
      </c>
      <c r="C10">
        <f>IF(C8=40,C4,C5)</f>
        <v/>
      </c>
      <c r="E10" t="inlineStr">
        <is>
          <t>Model‑read Echo_ADM0 selected based on 40/100 day switch.</t>
        </is>
      </c>
    </row>
    <row r="11">
      <c r="B11" t="inlineStr">
        <is>
          <t>Pima_ADM0 (selected)</t>
        </is>
      </c>
      <c r="C11">
        <f>IF(C8=40,C6,C7)</f>
        <v/>
      </c>
      <c r="E11" t="inlineStr">
        <is>
          <t>Model‑read Pima_ADM0 selected based on 40/100 day switch.</t>
        </is>
      </c>
    </row>
    <row r="13">
      <c r="A13" t="inlineStr">
        <is>
          <t>M&amp;O/ADM (district), audited (ACFR)</t>
        </is>
      </c>
    </row>
    <row r="14">
      <c r="B14" t="inlineStr">
        <is>
          <t>M_O_per_ADM_Audited</t>
        </is>
      </c>
      <c r="C14" s="22" t="n">
        <v>11589</v>
      </c>
      <c r="E14" t="inlineStr">
        <is>
          <t>Estimate used at this point.  Enter the audited districtwide Maintenance &amp; Operations cost per ADM from the latest ACFR/Adopted Budget. Used as the FY25 base.</t>
        </is>
      </c>
    </row>
    <row r="16">
      <c r="A16" t="inlineStr">
        <is>
          <t>Override — property‑tax override</t>
        </is>
      </c>
    </row>
    <row r="17">
      <c r="B17" t="inlineStr">
        <is>
          <t>Override percent</t>
        </is>
      </c>
      <c r="C17" s="22" t="n">
        <v>0.15</v>
      </c>
      <c r="E17" t="inlineStr">
        <is>
          <t>Districtwide override percent (e.g., 15%).</t>
        </is>
      </c>
    </row>
    <row r="18">
      <c r="B18" t="inlineStr">
        <is>
          <t>Base aid per ADM (proxy for RCL per pupil)</t>
        </is>
      </c>
      <c r="C18" s="22" t="n">
        <v>5013</v>
      </c>
      <c r="E18" t="inlineStr">
        <is>
          <t>Proxy base for calculating per‑ADM override; replace with RCL per pupil if available.</t>
        </is>
      </c>
    </row>
    <row r="19">
      <c r="B19" t="inlineStr">
        <is>
          <t>Override per ADM (proxy)</t>
        </is>
      </c>
      <c r="C19">
        <f>C17*C18</f>
        <v/>
      </c>
      <c r="E19" t="inlineStr">
        <is>
          <t>Computed per‑ADM amount used wherever the model needs a per‑student override term.</t>
        </is>
      </c>
    </row>
    <row r="20">
      <c r="B20" t="inlineStr">
        <is>
          <t>Override toggle (1=on, 0=off)</t>
        </is>
      </c>
      <c r="C20" s="22" t="n">
        <v>1</v>
      </c>
      <c r="E20" t="inlineStr">
        <is>
          <t>Global on/off switch for including override in revenue calculations.</t>
        </is>
      </c>
    </row>
    <row r="21">
      <c r="B21" t="inlineStr">
        <is>
          <t>Other General Fund revenue per served ADM (optional uplift)</t>
        </is>
      </c>
      <c r="C21" s="22" t="n">
        <v>5200</v>
      </c>
      <c r="E21" t="inlineStr">
        <is>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is>
      </c>
      <c r="I21" t="inlineStr">
        <is>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is>
      </c>
    </row>
    <row r="22">
      <c r="B22" t="inlineStr">
        <is>
          <t>Aid per ADM annual growth</t>
        </is>
      </c>
      <c r="C22" s="22" t="n">
        <v>0.025</v>
      </c>
      <c r="E22" t="inlineStr">
        <is>
          <t>Assuming aid grows around the same rate as cost inflation.</t>
        </is>
      </c>
    </row>
    <row r="23">
      <c r="B23" t="inlineStr">
        <is>
          <t>Retention r — Echo (central)</t>
        </is>
      </c>
      <c r="C23" s="22" t="n">
        <v>0.6</v>
      </c>
      <c r="E23" t="inlineStr">
        <is>
          <t>Share of displaced Echo students re-enrolling in SUSD (0–1).  As a choice school with 50% or more of families living outside the district, we can assume this will be lower than Pima.</t>
        </is>
      </c>
    </row>
    <row r="24">
      <c r="B24" t="inlineStr">
        <is>
          <t>Retention r — Pima (central)</t>
        </is>
      </c>
      <c r="C24" s="22" t="n">
        <v>0.85</v>
      </c>
      <c r="E24" t="inlineStr">
        <is>
          <t>Share of displaced Pima students re-enrolling in SUSD (0–1).  Not a significant amount of research on retention from closed schools; Chicago public retained 90%+ of students who were majority in boundaries when closing schools.</t>
        </is>
      </c>
    </row>
    <row r="26">
      <c r="A26" s="27" t="inlineStr">
        <is>
          <t>Capital Treatment &amp; Growth Capex (DRAFT placeholders)</t>
        </is>
      </c>
    </row>
    <row r="28">
      <c r="B28" t="inlineStr">
        <is>
          <t>Include TI in Operating M&amp;O? (0/1)</t>
        </is>
      </c>
      <c r="C28" s="22" t="n">
        <v>0</v>
      </c>
      <c r="E28" t="inlineStr">
        <is>
          <t>0 = treat TI as capital (exclude from operating nets); 1 = include TI in Comparable_MO$</t>
        </is>
      </c>
    </row>
    <row r="29">
      <c r="B29" t="inlineStr">
        <is>
          <t>TI per closed site (one-time)</t>
        </is>
      </c>
      <c r="C29">
        <f>BaselineCalc!$B$22</f>
        <v/>
      </c>
      <c r="E29" t="inlineStr">
        <is>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is>
      </c>
    </row>
    <row r="30">
      <c r="B30" t="inlineStr">
        <is>
          <t>Growth Capex — Arts Hub (one-time)</t>
        </is>
      </c>
      <c r="C30" s="22" t="n">
        <v>800000</v>
      </c>
      <c r="E30" t="inlineStr">
        <is>
          <t>DRAFT placeholder; enter benchmarked capital required to enable Arts hub</t>
        </is>
      </c>
    </row>
    <row r="31">
      <c r="B31" t="inlineStr">
        <is>
          <t>Growth Capex — Innovation Hub (one-time)</t>
        </is>
      </c>
      <c r="C31" s="22" t="n">
        <v>1200000</v>
      </c>
      <c r="E31" t="inlineStr">
        <is>
          <t>DRAFT placeholder; enter benchmarked capital required for Innovation hub</t>
        </is>
      </c>
    </row>
    <row r="32">
      <c r="B32" t="inlineStr">
        <is>
          <t>Include Growth Capex in Operating? (0/1)</t>
        </is>
      </c>
      <c r="C32" s="22" t="n">
        <v>0</v>
      </c>
      <c r="E32" t="inlineStr">
        <is>
          <t>0 = treat growth capex as capital (recommended); 1 = include in Comparable_MO$ (what‑if only)</t>
        </is>
      </c>
    </row>
    <row r="33">
      <c r="B33" t="inlineStr">
        <is>
          <t>TI per closed site (lease case)</t>
        </is>
      </c>
      <c r="C33" s="22" t="n">
        <v>800000</v>
      </c>
      <c r="E33" t="inlineStr">
        <is>
          <t>DRAFT: lease TI placeholder; separate from ops TI (C27)</t>
        </is>
      </c>
    </row>
    <row r="34">
      <c r="B34" t="inlineStr">
        <is>
          <t>Portable seat cost (capital $ per seat)</t>
        </is>
      </c>
      <c r="C34" s="22" t="n">
        <v>12000</v>
      </c>
      <c r="E34" t="inlineStr">
        <is>
          <t>DRAFT: per-seat portables or TI to add seats at receivers</t>
        </is>
      </c>
    </row>
    <row r="35">
      <c r="B35" t="inlineStr">
        <is>
          <t>Spare K–5 seats across receivers (FY26)</t>
        </is>
      </c>
      <c r="C35" s="22" t="n">
        <v>300</v>
      </c>
      <c r="E35" t="inlineStr">
        <is>
          <t>User input: available elementary seats to absorb retained K–5</t>
        </is>
      </c>
    </row>
    <row r="36">
      <c r="B36" t="inlineStr">
        <is>
          <t>Spare 6–8 seats across receivers (FY26)</t>
        </is>
      </c>
      <c r="C36" s="22" t="n">
        <v>100</v>
      </c>
      <c r="E36" t="inlineStr">
        <is>
          <t>User input: available middle seats to absorb retained 6–8</t>
        </is>
      </c>
    </row>
    <row r="38">
      <c r="B38" t="inlineStr">
        <is>
          <t>Echo K–5 share of ADM</t>
        </is>
      </c>
      <c r="C38" s="22" t="n">
        <v>0.7</v>
      </c>
      <c r="E38" t="inlineStr">
        <is>
          <t>DRAFT: distribution of Echo ADM by grade band</t>
        </is>
      </c>
    </row>
    <row r="39">
      <c r="B39" t="inlineStr">
        <is>
          <t>Echo 6–8 share of ADM</t>
        </is>
      </c>
      <c r="C39" s="22" t="n">
        <v>0.3</v>
      </c>
    </row>
    <row r="40">
      <c r="B40" t="inlineStr">
        <is>
          <t>Pima K–5 share of ADM</t>
        </is>
      </c>
      <c r="C40" s="22" t="n">
        <v>1</v>
      </c>
    </row>
    <row r="41">
      <c r="B41" t="inlineStr">
        <is>
          <t>Pima 6–8 share of ADM</t>
        </is>
      </c>
      <c r="C41" s="22" t="n">
        <v>0</v>
      </c>
    </row>
    <row r="43">
      <c r="B43" t="inlineStr">
        <is>
          <t>MarginalFactor_for_Overlay (central source)</t>
        </is>
      </c>
      <c r="C43" s="22" t="n">
        <v>0.6</v>
      </c>
      <c r="E43" t="inlineStr">
        <is>
          <t>Assuming marginal cost (as a function of standard variable cost per student) of new students from growth (assuming there is available capacity in Echo and Pima; ideally, this would be a step function)</t>
        </is>
      </c>
    </row>
    <row r="44">
      <c r="B44" t="inlineStr">
        <is>
          <t>Echo ADM trend default</t>
        </is>
      </c>
      <c r="C44" s="22" t="n">
        <v>-0.02</v>
      </c>
      <c r="E44" t="inlineStr">
        <is>
          <t>Default enrollment trend from forecasts; placeholder value for now -- need to verify this</t>
        </is>
      </c>
    </row>
    <row r="45">
      <c r="B45" t="inlineStr">
        <is>
          <t>Pima ADM trend default</t>
        </is>
      </c>
      <c r="C45" s="22" t="n">
        <v>-0.02</v>
      </c>
      <c r="E45" t="inlineStr">
        <is>
          <t>Default enrollment trend from forecasts; placeholder value for now -- need to verify this</t>
        </is>
      </c>
    </row>
    <row r="47">
      <c r="B47" t="inlineStr">
        <is>
          <t>Growth overhead per added ADM (α × h)</t>
        </is>
      </c>
      <c r="C47" s="22" t="n">
        <v>0.2</v>
      </c>
      <c r="E47" t="inlineStr">
        <is>
          <t>Assuming some incremental transportation overhead for growth-related new students; we model it as a percentage of closed school transition-related incremental transportation overhead</t>
        </is>
      </c>
    </row>
    <row r="49">
      <c r="B49" t="inlineStr">
        <is>
          <t>Incremental uplift alpha (overlay share of base uplift)</t>
        </is>
      </c>
      <c r="C49" s="22" t="n">
        <v>0.85</v>
      </c>
      <c r="E49" t="inlineStr">
        <is>
          <t>Applied only to Overlay_ADM; keeps marginal revenue conservative because some ‘other GF’ (weights/TSL/DAA) don’t scale 1:1. Typical range 0.70–0.90 (default 0.85).</t>
        </is>
      </c>
    </row>
  </sheetData>
  <mergeCells count="1">
    <mergeCell ref="C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2"/>
  <sheetViews>
    <sheetView topLeftCell="A66" zoomScale="70" zoomScaleNormal="70" workbookViewId="0">
      <pane xSplit="1" topLeftCell="B1" activePane="topRight" state="frozen"/>
      <selection pane="topRight" activeCell="B73" sqref="B73"/>
    </sheetView>
  </sheetViews>
  <sheetFormatPr baseColWidth="8" defaultRowHeight="13"/>
  <cols>
    <col width="31.453125" customWidth="1" style="153" min="1" max="1"/>
    <col width="55.08984375" bestFit="1" customWidth="1" style="153" min="2" max="2"/>
    <col width="46.08984375" bestFit="1" customWidth="1" style="153" min="3" max="3"/>
    <col width="39.08984375" bestFit="1" customWidth="1" style="153" min="4" max="4"/>
    <col width="33.36328125" customWidth="1" style="153" min="5" max="5"/>
    <col width="31.36328125" bestFit="1" customWidth="1" style="153" min="6" max="6"/>
    <col width="8.7265625" customWidth="1" style="153" min="7" max="9"/>
    <col width="8.7265625" customWidth="1" style="153" min="10" max="16384"/>
  </cols>
  <sheetData>
    <row r="1">
      <c r="A1" s="152" t="inlineStr">
        <is>
          <t>Audited &amp; Policy Anchors (paste into Parameters when available)</t>
        </is>
      </c>
    </row>
    <row r="2" ht="14.5" customHeight="1" s="137">
      <c r="A2" s="53" t="inlineStr">
        <is>
          <t>Anchor</t>
        </is>
      </c>
      <c r="B2" s="53" t="inlineStr">
        <is>
          <t>Value / Status</t>
        </is>
      </c>
      <c r="C2" s="53" t="inlineStr">
        <is>
          <t>Source (short)</t>
        </is>
      </c>
      <c r="D2" s="53" t="inlineStr">
        <is>
          <t>Used for</t>
        </is>
      </c>
      <c r="E2" s="53" t="inlineStr">
        <is>
          <t>Owner</t>
        </is>
      </c>
      <c r="F2" s="53" t="inlineStr">
        <is>
          <t>Paste location</t>
        </is>
      </c>
      <c r="G2" s="70" t="inlineStr">
        <is>
          <t>Source URL</t>
        </is>
      </c>
    </row>
    <row r="3" ht="14.5" customHeight="1" s="137">
      <c r="A3" s="153" t="inlineStr">
        <is>
          <t>BLA (Base Level Amount) FY2025</t>
        </is>
      </c>
      <c r="B3" s="153" t="inlineStr">
        <is>
          <t>5,013.33</t>
        </is>
      </c>
      <c r="C3" s="153" t="inlineStr">
        <is>
          <t>AZ Senate Issue Brief / ADE update</t>
        </is>
      </c>
      <c r="D3" s="153" t="inlineStr">
        <is>
          <t>YearMap → Aid$</t>
        </is>
      </c>
      <c r="E3" s="153" t="inlineStr">
        <is>
          <t>Finance</t>
        </is>
      </c>
      <c r="F3" s="153" t="inlineStr">
        <is>
          <t>Parameters_Public!C18 or BaselineCalc</t>
        </is>
      </c>
      <c r="G3" t="inlineStr">
        <is>
          <t>https://www.azleg.gov/Briefs/Senate/ARIZONA%27S%20SCHOOL%20FINANCE%20SYSTEM%202024.PDF</t>
        </is>
      </c>
    </row>
    <row r="4" ht="14.5" customHeight="1" s="137">
      <c r="A4" s="153" t="inlineStr">
        <is>
          <t>M&amp;O Override %</t>
        </is>
      </c>
      <c r="B4" s="153" t="inlineStr">
        <is>
          <t>15% (RCL)</t>
        </is>
      </c>
      <c r="C4" s="153" t="inlineStr">
        <is>
          <t>SUSD M&amp;O Override page</t>
        </is>
      </c>
      <c r="D4" s="153" t="inlineStr">
        <is>
          <t>Override per ADM; Revenue$</t>
        </is>
      </c>
      <c r="E4" s="153" t="inlineStr">
        <is>
          <t>Finance</t>
        </is>
      </c>
      <c r="F4" s="153" t="inlineStr">
        <is>
          <t>Parameters_Public!C17</t>
        </is>
      </c>
      <c r="G4" t="inlineStr">
        <is>
          <t>https://www.susd.org/Page/658</t>
        </is>
      </c>
    </row>
    <row r="5">
      <c r="A5" s="153" t="inlineStr">
        <is>
          <t>Override toggle</t>
        </is>
      </c>
      <c r="B5" s="153" t="inlineStr">
        <is>
          <t>0/1 (board policy)</t>
        </is>
      </c>
      <c r="C5" s="153" t="inlineStr">
        <is>
          <t>Model control</t>
        </is>
      </c>
      <c r="D5" s="153" t="inlineStr">
        <is>
          <t>Revenue$ switch</t>
        </is>
      </c>
      <c r="E5" s="153" t="inlineStr">
        <is>
          <t>Model</t>
        </is>
      </c>
      <c r="F5" s="153" t="inlineStr">
        <is>
          <t>Parameters_Public!C20</t>
        </is>
      </c>
    </row>
    <row r="6">
      <c r="A6" s="153" t="inlineStr">
        <is>
          <t>District M&amp;O per ADM (audited)</t>
        </is>
      </c>
      <c r="B6" s="153" t="inlineStr">
        <is>
          <t>FY2024 value (e.g., 14,049)</t>
        </is>
      </c>
      <c r="C6" s="153" t="inlineStr">
        <is>
          <t>SUSD ACFR FY2024, Operating Statistics</t>
        </is>
      </c>
      <c r="D6" s="153" t="inlineStr">
        <is>
          <t>Sanity checks / narratives</t>
        </is>
      </c>
      <c r="E6" s="153" t="inlineStr">
        <is>
          <t>Finance</t>
        </is>
      </c>
      <c r="F6" s="153" t="inlineStr">
        <is>
          <t>Parameters_Public!C14</t>
        </is>
      </c>
    </row>
    <row r="7" ht="14.5" customHeight="1" s="137">
      <c r="A7" s="153" t="inlineStr">
        <is>
          <t>Transportation Support Level (TSL)</t>
        </is>
      </c>
      <c r="B7" s="153" t="inlineStr">
        <is>
          <t>Per route‑mile schedule</t>
        </is>
      </c>
      <c r="C7" s="153" t="inlineStr">
        <is>
          <t>AZ Senate Issue Brief / ADE</t>
        </is>
      </c>
      <c r="D7" s="153" t="inlineStr">
        <is>
          <t>Revenue context</t>
        </is>
      </c>
      <c r="E7" s="153" t="inlineStr">
        <is>
          <t>Finance</t>
        </is>
      </c>
      <c r="F7" s="153" t="inlineStr">
        <is>
          <t>Definitions_Sources</t>
        </is>
      </c>
      <c r="G7" t="inlineStr">
        <is>
          <t>https://www.azed.gov/finance/fy2025-school-finance-fiscal-operations-updates</t>
        </is>
      </c>
    </row>
    <row r="8" ht="14.5" customHeight="1" s="137">
      <c r="A8" s="153" t="inlineStr">
        <is>
          <t>Transport cost per eligible rider</t>
        </is>
      </c>
      <c r="B8" s="153" t="inlineStr">
        <is>
          <t>≈ 3,183 (FY2024 anchor)</t>
        </is>
      </c>
      <c r="C8" s="153" t="inlineStr">
        <is>
          <t>City of Scottsdale Auditor report</t>
        </is>
      </c>
      <c r="D8" s="153" t="inlineStr">
        <is>
          <t>h₀ (retention overhead) anchor</t>
        </is>
      </c>
      <c r="E8" s="153" t="inlineStr">
        <is>
          <t>Ops</t>
        </is>
      </c>
      <c r="F8" s="153" t="inlineStr">
        <is>
          <t>Control_Center</t>
        </is>
      </c>
      <c r="G8" t="inlineStr">
        <is>
          <t>https://www.scottsdaleaz.gov/docs/default-source/scottsdaleaz/auditor/2025-reports/susd-transportation---audit-2508.pdf?sfvrsn=144e4f2d_1</t>
        </is>
      </c>
    </row>
    <row r="9" ht="14.5" customHeight="1" s="137">
      <c r="A9" s="153" t="inlineStr">
        <is>
          <t>Echo/Pima 40th &amp; 100th (FY2025)</t>
        </is>
      </c>
      <c r="B9" s="153" t="inlineStr">
        <is>
          <t>To paste (AzEDS export SDADMS72/75)</t>
        </is>
      </c>
      <c r="C9" s="153" t="inlineStr">
        <is>
          <t>ADE School Finance / District export</t>
        </is>
      </c>
      <c r="D9" s="153" t="inlineStr">
        <is>
          <t>Base ADM by site</t>
        </is>
      </c>
      <c r="E9" s="153" t="inlineStr">
        <is>
          <t>Data</t>
        </is>
      </c>
      <c r="F9" s="153" t="inlineStr">
        <is>
          <t>Parameters_Public</t>
        </is>
      </c>
      <c r="G9" t="inlineStr">
        <is>
          <t>https://www.ade.az.gov/schoolfinance/Reports</t>
        </is>
      </c>
    </row>
    <row r="10" ht="14.5" customHeight="1" s="137">
      <c r="A10" s="153" t="inlineStr">
        <is>
          <t>Site‑fixed ledgers (Fund 001, by site)</t>
        </is>
      </c>
      <c r="B10" s="153" t="inlineStr">
        <is>
          <t>To paste (Echo &amp; Pima)</t>
        </is>
      </c>
      <c r="C10" s="153" t="inlineStr">
        <is>
          <t>SUSD Finance site/cost‑center ledgers</t>
        </is>
      </c>
      <c r="D10" s="153" t="inlineStr">
        <is>
          <t>Replace fallback fixed</t>
        </is>
      </c>
      <c r="E10" s="153" t="inlineStr">
        <is>
          <t>Finance</t>
        </is>
      </c>
      <c r="F10" s="153" t="inlineStr">
        <is>
          <t>Site_Fixed</t>
        </is>
      </c>
      <c r="G10" t="inlineStr">
        <is>
          <t>https://www.azauditor.gov/arizona-school-district-spending-fiscal-year-2024-analysis-and-data-file</t>
        </is>
      </c>
    </row>
    <row r="12">
      <c r="A12" s="152" t="inlineStr">
        <is>
          <t>Core Definitions &amp; Derivations</t>
        </is>
      </c>
    </row>
    <row r="13">
      <c r="A13" s="53" t="inlineStr">
        <is>
          <t>Term</t>
        </is>
      </c>
      <c r="B13" s="53" t="inlineStr">
        <is>
          <t>Definition / Formula</t>
        </is>
      </c>
      <c r="C13" s="53" t="inlineStr">
        <is>
          <t>Appears on</t>
        </is>
      </c>
      <c r="D13" s="53" t="inlineStr">
        <is>
          <t>Depends on</t>
        </is>
      </c>
      <c r="E13" s="53" t="inlineStr">
        <is>
          <t>Notes</t>
        </is>
      </c>
      <c r="F13" s="53" t="inlineStr">
        <is>
          <t>Named range (if any)</t>
        </is>
      </c>
    </row>
    <row r="14">
      <c r="A14" s="153" t="inlineStr">
        <is>
          <t>Operating Net ($)</t>
        </is>
      </c>
      <c r="B14" s="153" t="inlineStr">
        <is>
          <t>M&amp;O − (Aid + Override + Uplift); capital excluded.</t>
        </is>
      </c>
      <c r="C14" s="153" t="inlineStr">
        <is>
          <t>Summary_Figures; Scenario_Comparison; Board_OnePager</t>
        </is>
      </c>
      <c r="D14" s="153" t="inlineStr">
        <is>
          <t>YearMap revenues, MultiYear_ProForma costs</t>
        </is>
      </c>
      <c r="E14" s="153" t="inlineStr">
        <is>
          <t>Fund 001 lens only.</t>
        </is>
      </c>
    </row>
    <row r="15">
      <c r="A15" s="153" t="inlineStr">
        <is>
          <t>Δ vs Base (FY2030)</t>
        </is>
      </c>
      <c r="B15" s="153" t="inlineStr">
        <is>
          <t>Comparator FY2030 Net − Base FY2030 Net.</t>
        </is>
      </c>
      <c r="C15" s="153" t="inlineStr">
        <is>
          <t>Summary_Figures; Scenario_Comparison</t>
        </is>
      </c>
      <c r="D15" s="153" t="inlineStr">
        <is>
          <t>Net$</t>
        </is>
      </c>
    </row>
    <row r="16">
      <c r="A16" s="153" t="inlineStr">
        <is>
          <t>Δ vs Base (Avg FY26–30)</t>
        </is>
      </c>
      <c r="B16" s="153" t="inlineStr">
        <is>
          <t>Comparator 5‑yr Avg Net − Base 5‑yr Avg Net.</t>
        </is>
      </c>
      <c r="C16" s="153" t="inlineStr">
        <is>
          <t>Summary_Figures; Scenario_Comparison</t>
        </is>
      </c>
      <c r="D16" s="153" t="inlineStr">
        <is>
          <t>Net$ FY26..30</t>
        </is>
      </c>
    </row>
    <row r="17">
      <c r="A17" s="153" t="inlineStr">
        <is>
          <t>Displaced (FY26)</t>
        </is>
      </c>
      <c r="B17" s="153" t="inlineStr">
        <is>
          <t>Displaced students in first action year.</t>
        </is>
      </c>
      <c r="C17" s="153" t="inlineStr">
        <is>
          <t>Summary_Figures; Scenario_Comparison</t>
        </is>
      </c>
      <c r="D17" s="153" t="inlineStr">
        <is>
          <t>Scenario mechanics</t>
        </is>
      </c>
    </row>
    <row r="18">
      <c r="A18" s="153" t="inlineStr">
        <is>
          <t>Served (FY2030)</t>
        </is>
      </c>
      <c r="B18" s="153" t="inlineStr">
        <is>
          <t>Open + retained ADM in FY2030.</t>
        </is>
      </c>
      <c r="C18" s="153" t="inlineStr">
        <is>
          <t>Summary_Figures; Scenario_Comparison</t>
        </is>
      </c>
      <c r="D18" s="153" t="inlineStr">
        <is>
          <t>Served_ADM (MPF col AC)</t>
        </is>
      </c>
    </row>
    <row r="19">
      <c r="A19" s="153" t="inlineStr">
        <is>
          <t>Comparable net per served</t>
        </is>
      </c>
      <c r="B19" s="153" t="inlineStr">
        <is>
          <t>FY2030 Net ÷ FY2030 Served_ADM.</t>
        </is>
      </c>
      <c r="C19" s="153" t="inlineStr">
        <is>
          <t>Optional on Summary_Figures</t>
        </is>
      </c>
      <c r="D19" s="153" t="inlineStr">
        <is>
          <t>Net$, Served_ADM</t>
        </is>
      </c>
      <c r="E19" s="153" t="inlineStr">
        <is>
          <t>Normalization when served counts differ.</t>
        </is>
      </c>
    </row>
    <row r="20">
      <c r="A20" s="153" t="inlineStr">
        <is>
          <t>mᵗ (incremental margin per ADM)</t>
        </is>
      </c>
      <c r="B20" s="153" t="inlineStr">
        <is>
          <t>Aid + Override_if_on + Uplift − VarUnit$ − g</t>
        </is>
      </c>
      <c r="C20" s="153" t="inlineStr">
        <is>
          <t>Budget_Neutral_Calculator</t>
        </is>
      </c>
      <c r="D20" s="153" t="inlineStr">
        <is>
          <t>YearMap; Override_toggle</t>
        </is>
      </c>
      <c r="E20" s="153" t="inlineStr">
        <is>
          <t>Year‑specific.</t>
        </is>
      </c>
    </row>
    <row r="21">
      <c r="A21" s="153" t="inlineStr">
        <is>
          <t>N⁰ (budget‑neutral students)</t>
        </is>
      </c>
      <c r="B21" s="153" t="inlineStr">
        <is>
          <t>max(0, −Netₜ / mᵗ)</t>
        </is>
      </c>
      <c r="C21" s="153" t="inlineStr">
        <is>
          <t>Budget_Neutral_Calculator</t>
        </is>
      </c>
      <c r="D21" s="153" t="inlineStr">
        <is>
          <t>mᵗ; Netₜ</t>
        </is>
      </c>
      <c r="E21" s="153" t="inlineStr">
        <is>
          <t>Shown for FY26 &amp; FY30.</t>
        </is>
      </c>
    </row>
    <row r="22">
      <c r="A22" s="153" t="inlineStr">
        <is>
          <t>Uplift (base)</t>
        </is>
      </c>
      <c r="B22" s="153" t="inlineStr">
        <is>
          <t>Other GF per served ADM; indexed with Aid growth.</t>
        </is>
      </c>
      <c r="C22" s="153" t="inlineStr">
        <is>
          <t>YearMap (Uplift_per_ADM)</t>
        </is>
      </c>
      <c r="D22" s="153" t="inlineStr">
        <is>
          <t>Aid_growth; Uplift_base_per_ADM</t>
        </is>
      </c>
      <c r="F22" s="153" t="inlineStr">
        <is>
          <t>Uplift_base_per_ADM</t>
        </is>
      </c>
    </row>
    <row r="23">
      <c r="A23" s="153" t="inlineStr">
        <is>
          <t>Uplift (incremental)</t>
        </is>
      </c>
      <c r="B23" s="153" t="inlineStr">
        <is>
          <t>α × Uplift(base) applied to Overlay_ADM only.</t>
        </is>
      </c>
      <c r="C23" s="153" t="inlineStr">
        <is>
          <t>YearMap; Revenue$</t>
        </is>
      </c>
      <c r="D23" s="153" t="inlineStr">
        <is>
          <t>Incremental_uplift_alpha</t>
        </is>
      </c>
      <c r="E23" s="153" t="inlineStr">
        <is>
          <t>Keeps marginal revenue conservative.</t>
        </is>
      </c>
      <c r="F23" s="153" t="inlineStr">
        <is>
          <t>Incremental_uplift_alpha</t>
        </is>
      </c>
    </row>
    <row r="24">
      <c r="A24" s="153" t="inlineStr">
        <is>
          <t>Retention overhead (h)</t>
        </is>
      </c>
      <c r="B24" s="153" t="inlineStr">
        <is>
          <t>Routing/admin overhead per retained student; tapers annually.</t>
        </is>
      </c>
      <c r="C24" s="153" t="inlineStr">
        <is>
          <t>YearMap (h)</t>
        </is>
      </c>
      <c r="D24" s="153" t="inlineStr">
        <is>
          <t>h_taper_profile</t>
        </is>
      </c>
      <c r="E24" s="153" t="inlineStr">
        <is>
          <t>First‑year set from transport cost anchor.</t>
        </is>
      </c>
      <c r="F24" s="153" t="inlineStr">
        <is>
          <t>h_taper_profile</t>
        </is>
      </c>
    </row>
    <row r="25">
      <c r="A25" s="153" t="inlineStr">
        <is>
          <t>Growth overhead (g)</t>
        </is>
      </c>
      <c r="B25" s="153" t="inlineStr">
        <is>
          <t>α × h applied to Overlay_ADM.</t>
        </is>
      </c>
      <c r="C25" s="153" t="inlineStr">
        <is>
          <t>YearMap (Growth_overhead_per_ADM)</t>
        </is>
      </c>
      <c r="D25" s="153" t="inlineStr">
        <is>
          <t>Growth_overhead_alpha; h_taper_profile</t>
        </is>
      </c>
      <c r="E25" s="153" t="inlineStr">
        <is>
          <t>Smaller than h; symmetry with repurpose.</t>
        </is>
      </c>
      <c r="F25" s="153" t="inlineStr">
        <is>
          <t>Growth_overhead_alpha</t>
        </is>
      </c>
    </row>
    <row r="26">
      <c r="A26" s="153" t="inlineStr">
        <is>
          <t>Fixed savings realization</t>
        </is>
      </c>
      <c r="B26" s="153" t="inlineStr">
        <is>
          <t>Savings = (1−f)×SiteFixed$; f_ops, f_lease ramp FY26→FY30.</t>
        </is>
      </c>
      <c r="C26" s="153" t="inlineStr">
        <is>
          <t>MPF (EchoFixedEff$, PimaFixedEff$)</t>
        </is>
      </c>
      <c r="D26" s="153" t="inlineStr">
        <is>
          <t>f_ops_profile; f_lease_profile; Site_Fixed</t>
        </is>
      </c>
      <c r="E26" s="153" t="inlineStr">
        <is>
          <t>Replace fallback with audited site‑fixed.</t>
        </is>
      </c>
      <c r="F26" s="153" t="inlineStr">
        <is>
          <t>f_ops_profile; f_lease_profile</t>
        </is>
      </c>
    </row>
    <row r="27">
      <c r="A27" s="153" t="inlineStr">
        <is>
          <t>Trend gates</t>
        </is>
      </c>
      <c r="B27" s="153" t="inlineStr">
        <is>
          <t>Apply_Echo_Trend / Apply_Pima_Trend toggle Potential_ADM by site.</t>
        </is>
      </c>
      <c r="C27" s="153" t="inlineStr">
        <is>
          <t>Scenarios; MPF</t>
        </is>
      </c>
      <c r="D27" s="153" t="inlineStr">
        <is>
          <t>Scenarios columns R/S; Parameters_Public trends</t>
        </is>
      </c>
      <c r="E27" s="153" t="inlineStr">
        <is>
          <t>On by scenario.</t>
        </is>
      </c>
    </row>
    <row r="28" ht="14.5" customHeight="1" s="137">
      <c r="A28" t="inlineStr">
        <is>
          <t>ADM (Average Daily Membership)</t>
        </is>
      </c>
      <c r="B28" t="inlineStr">
        <is>
          <t>Unweighted attendance measure used for funding: membership days through the first 100 instructional days (or 200 for year-round) divided by days in period; see A.R.S. 15-901(1).</t>
        </is>
      </c>
      <c r="C28" t="inlineStr">
        <is>
          <t>Parameters; Baselines; Narrative</t>
        </is>
      </c>
      <c r="D28" t="inlineStr">
        <is>
          <t>ADE statute/SDADMS calculations</t>
        </is>
      </c>
      <c r="E28" t="inlineStr">
        <is>
          <t>Pre-K typically excluded from ADM for formula funding.</t>
        </is>
      </c>
    </row>
    <row r="29" ht="14.5" customHeight="1" s="137">
      <c r="A29" t="inlineStr">
        <is>
          <t>Variable unit cost (VarUnit$)</t>
        </is>
      </c>
    </row>
    <row r="30" ht="14.5" customHeight="1" s="137">
      <c r="A30" t="inlineStr">
        <is>
          <t>Marginal-cost factor for overlay seats</t>
        </is>
      </c>
      <c r="B30" t="inlineStr">
        <is>
          <t>Factor (&lt;1) scaling VarUnit$ on overlay ADM to reflect partial sectioning in slack capacity years.</t>
        </is>
      </c>
      <c r="C30" t="inlineStr">
        <is>
          <t>MultiYear_Pro_Forma</t>
        </is>
      </c>
      <c r="D30" t="inlineStr">
        <is>
          <t>Parameters_Public MarginalFactor_for_Overlay</t>
        </is>
      </c>
      <c r="E30" t="inlineStr">
        <is>
          <t>Default 0.50; tune with scheduling/sectioning review.</t>
        </is>
      </c>
    </row>
    <row r="31" ht="14.5" customHeight="1" s="137">
      <c r="A31" t="inlineStr">
        <is>
          <t>Retention rate r</t>
        </is>
      </c>
      <c r="B31" t="inlineStr">
        <is>
          <t>Share of displaced students who stay in SUSD and are re-routed to receiving sites; they remain in Served_ADM and incur h.</t>
        </is>
      </c>
      <c r="C31" t="inlineStr">
        <is>
          <t>Scenarios; MultiYear_Pro_Forma</t>
        </is>
      </c>
      <c r="D31" t="inlineStr">
        <is>
          <t>Parameters_Public r values</t>
        </is>
      </c>
      <c r="E31" t="inlineStr">
        <is>
          <t>Higher r keeps revenue but increases overhead h.</t>
        </is>
      </c>
    </row>
    <row r="32" ht="14.5" customHeight="1" s="137">
      <c r="A32" t="inlineStr">
        <is>
          <t>Co-location extra savings</t>
        </is>
      </c>
      <c r="B32" t="inlineStr">
        <is>
          <t>Additional operating savings (beyond standard f_ops) modeled when consolidating two programs on one site.</t>
        </is>
      </c>
      <c r="C32" t="inlineStr">
        <is>
          <t>Scenarios; MultiYear_Pro_Forma</t>
        </is>
      </c>
      <c r="D32" t="inlineStr">
        <is>
          <t>Control_Center setting; scenario flags</t>
        </is>
      </c>
      <c r="E32" t="inlineStr">
        <is>
          <t>Small effect; fine-tune with facilities/ops.</t>
        </is>
      </c>
    </row>
    <row r="33" ht="14.5" customHeight="1" s="137">
      <c r="A33" t="inlineStr">
        <is>
          <t>Keep-open ops savings</t>
        </is>
      </c>
      <c r="B33" t="inlineStr">
        <is>
          <t>Minor efficiency factor applied to scenarios that keep a site open (e.g., utilities, scheduling refinements).</t>
        </is>
      </c>
      <c r="C33" t="inlineStr">
        <is>
          <t>Scenarios; MultiYear_Pro_Forma</t>
        </is>
      </c>
      <c r="D33" t="inlineStr">
        <is>
          <t>Control_Center setting</t>
        </is>
      </c>
      <c r="E33" t="inlineStr">
        <is>
          <t>Small symmetric adjustment for fairness.</t>
        </is>
      </c>
    </row>
    <row r="34" ht="14.5" customHeight="1" s="137"/>
    <row r="35">
      <c r="A35" s="152" t="inlineStr">
        <is>
          <t>Repurpose-related pathway parameters</t>
        </is>
      </c>
    </row>
    <row r="36">
      <c r="A36" s="53" t="inlineStr">
        <is>
          <t>Gate / Mechanism</t>
        </is>
      </c>
      <c r="B36" s="53" t="inlineStr">
        <is>
          <t>How enforced in model</t>
        </is>
      </c>
      <c r="C36" s="53" t="inlineStr">
        <is>
          <t>What to watch</t>
        </is>
      </c>
      <c r="D36" s="53" t="inlineStr">
        <is>
          <t>Where implemented</t>
        </is>
      </c>
      <c r="E36" s="53" t="inlineStr">
        <is>
          <t>Notes</t>
        </is>
      </c>
      <c r="F36" s="53" t="inlineStr">
        <is>
          <t>Owner</t>
        </is>
      </c>
    </row>
    <row r="37">
      <c r="A37" s="153" t="inlineStr">
        <is>
          <t>Receiving capacity gate</t>
        </is>
      </c>
      <c r="B37" s="153" t="inlineStr">
        <is>
          <t>Band‑level spare seats + portables; flag if exceeded.</t>
        </is>
      </c>
      <c r="C37" s="153" t="inlineStr">
        <is>
          <t>No site over capacity.</t>
        </is>
      </c>
      <c r="D37" s="153" t="inlineStr">
        <is>
          <t>Receiving_Capacity; Scenario_Comparison</t>
        </is>
      </c>
      <c r="F37" s="153" t="inlineStr">
        <is>
          <t>Planning</t>
        </is>
      </c>
    </row>
    <row r="38">
      <c r="A38" s="153" t="inlineStr">
        <is>
          <t>Quality gate (optional)</t>
        </is>
      </c>
    </row>
    <row r="39">
      <c r="A39" s="153" t="inlineStr">
        <is>
          <t>Retention gate</t>
        </is>
      </c>
      <c r="B39" s="153" t="inlineStr">
        <is>
          <t>Retention r applied to displaced cohorts.</t>
        </is>
      </c>
      <c r="C39" s="153" t="inlineStr">
        <is>
          <t>Measure r achieved.</t>
        </is>
      </c>
      <c r="D39" s="153" t="inlineStr">
        <is>
          <t>Parameters_Public; MPF</t>
        </is>
      </c>
      <c r="E39" s="153" t="inlineStr">
        <is>
          <t>Supports r* framing if needed.</t>
        </is>
      </c>
      <c r="F39" s="153" t="inlineStr">
        <is>
          <t>Enrollment</t>
        </is>
      </c>
    </row>
    <row r="40">
      <c r="A40" s="153" t="inlineStr">
        <is>
          <t>Budget neutrality</t>
        </is>
      </c>
      <c r="B40" s="153" t="inlineStr">
        <is>
          <t>N⁰ calculator for FY26/FY30.</t>
        </is>
      </c>
      <c r="C40" s="153" t="inlineStr">
        <is>
          <t>N⁰ = 0 means Net≥0.</t>
        </is>
      </c>
      <c r="D40" s="153" t="inlineStr">
        <is>
          <t>Budget_Neutral_Calculator</t>
        </is>
      </c>
      <c r="E40" s="153" t="inlineStr">
        <is>
          <t>Scenario‑specific.</t>
        </is>
      </c>
      <c r="F40" s="153" t="inlineStr">
        <is>
          <t>Finance</t>
        </is>
      </c>
    </row>
    <row r="41">
      <c r="A41" s="153" t="inlineStr">
        <is>
          <t>Fixed savings realization</t>
        </is>
      </c>
      <c r="B41" s="153" t="inlineStr">
        <is>
          <t>f_ops/f_lease ramp applied to site‑fixed.</t>
        </is>
      </c>
      <c r="C41" s="153" t="inlineStr">
        <is>
          <t>Use audited site‑fixed; avoid over‑crediting.</t>
        </is>
      </c>
      <c r="D41" s="153" t="inlineStr">
        <is>
          <t>YearMap; MPF</t>
        </is>
      </c>
      <c r="F41" s="153" t="inlineStr">
        <is>
          <t>Finance/Ops</t>
        </is>
      </c>
    </row>
    <row r="43">
      <c r="A43" s="152" t="inlineStr">
        <is>
          <t>Audit paste checklist (to finalize model)</t>
        </is>
      </c>
    </row>
    <row r="44">
      <c r="A44" s="53" t="inlineStr">
        <is>
          <t>Data item</t>
        </is>
      </c>
      <c r="B44" s="53" t="inlineStr">
        <is>
          <t>Status</t>
        </is>
      </c>
      <c r="C44" s="53" t="inlineStr">
        <is>
          <t>Source</t>
        </is>
      </c>
      <c r="D44" s="53" t="inlineStr">
        <is>
          <t>Paste location</t>
        </is>
      </c>
      <c r="E44" s="53" t="inlineStr">
        <is>
          <t>Note</t>
        </is>
      </c>
      <c r="F44" s="53" t="n"/>
    </row>
    <row r="45">
      <c r="A45" s="153" t="inlineStr">
        <is>
          <t>Echo—site‑fixed (Fund 001 by function)</t>
        </is>
      </c>
      <c r="B45" s="153" t="inlineStr">
        <is>
          <t>Pending</t>
        </is>
      </c>
      <c r="C45" s="153" t="inlineStr">
        <is>
          <t>SUSD Finance site ledger</t>
        </is>
      </c>
      <c r="D45" s="153" t="inlineStr">
        <is>
          <t>Site_Fixed</t>
        </is>
      </c>
      <c r="E45" s="153" t="inlineStr">
        <is>
          <t>Using estimated figures in site_fixed tab for now</t>
        </is>
      </c>
    </row>
    <row r="46">
      <c r="A46" s="153" t="inlineStr">
        <is>
          <t>Pima—site‑fixed (Fund 001 by function)</t>
        </is>
      </c>
      <c r="B46" s="153" t="inlineStr">
        <is>
          <t>Pending</t>
        </is>
      </c>
      <c r="C46" s="153" t="inlineStr">
        <is>
          <t>SUSD Finance site ledger</t>
        </is>
      </c>
      <c r="D46" s="153" t="inlineStr">
        <is>
          <t>Site_Fixed</t>
        </is>
      </c>
      <c r="E46" s="153" t="inlineStr">
        <is>
          <t>Using estimated figures in site_fixed tab for now</t>
        </is>
      </c>
    </row>
    <row r="47">
      <c r="A47" s="153" t="inlineStr">
        <is>
          <t>Echo/Pima 40th/100th (FY2025)</t>
        </is>
      </c>
      <c r="B47" s="153" t="inlineStr">
        <is>
          <t>Pending</t>
        </is>
      </c>
      <c r="C47" s="153" t="inlineStr">
        <is>
          <t>AzEDS SDADMS72/75 export</t>
        </is>
      </c>
      <c r="D47" s="153" t="inlineStr">
        <is>
          <t>Parameters_Public</t>
        </is>
      </c>
    </row>
    <row r="48">
      <c r="A48" s="153" t="inlineStr">
        <is>
          <t>Transport cost unit anchors</t>
        </is>
      </c>
      <c r="B48" s="153" t="inlineStr">
        <is>
          <t>Drafted</t>
        </is>
      </c>
      <c r="C48" s="153" t="inlineStr">
        <is>
          <t>City of Scottsdale audit</t>
        </is>
      </c>
      <c r="D48" s="153" t="inlineStr">
        <is>
          <t>Control_Center (h₀; α)</t>
        </is>
      </c>
    </row>
    <row r="50">
      <c r="A50" s="152" t="inlineStr">
        <is>
          <t>Other items / additional descriptions</t>
        </is>
      </c>
    </row>
    <row r="51">
      <c r="A51" s="53" t="inlineStr">
        <is>
          <t>Item</t>
        </is>
      </c>
      <c r="B51" s="53" t="inlineStr">
        <is>
          <t>What</t>
        </is>
      </c>
      <c r="C51" s="53" t="inlineStr">
        <is>
          <t>Detail</t>
        </is>
      </c>
    </row>
    <row r="52" ht="182" customHeight="1" s="137">
      <c r="A52" s="19" t="inlineStr">
        <is>
          <t>ADM</t>
        </is>
      </c>
      <c r="B52" s="19" t="inlineStr">
        <is>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is>
      </c>
      <c r="C52" s="19" t="inlineStr">
        <is>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is>
      </c>
      <c r="D52" s="19" t="n"/>
      <c r="E52" s="19" t="n"/>
    </row>
    <row r="53" ht="156" customHeight="1" s="137">
      <c r="A53" s="19" t="inlineStr">
        <is>
          <t>M&amp;O</t>
        </is>
      </c>
      <c r="B53" s="19" t="inlineStr">
        <is>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is>
      </c>
      <c r="C53" s="19" t="inlineStr">
        <is>
          <t>What it pays for:
Salaries and benefits for all employees (teachers, principals, support staff, administrators)
Classroom supplies (textbooks, software, paper, etc.)
Utilities (electricity, water, gas)
Transportation (bus fuel and maintenance)
Student services and athletics</t>
        </is>
      </c>
      <c r="D53" s="19" t="n"/>
      <c r="E53" s="19" t="n"/>
    </row>
    <row r="54" ht="169" customHeight="1" s="137">
      <c r="A54" s="19" t="inlineStr">
        <is>
          <t>Base state aid per pupil (FY2025)</t>
        </is>
      </c>
      <c r="B54" s="19" t="inlineStr">
        <is>
          <t>Revenue per ADM in “Aid per ADM” line; grown by CPI in out‑years (model uses a placeholder near $5.1k)</t>
        </is>
      </c>
      <c r="C54" s="19" t="inlineStr">
        <is>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is>
      </c>
      <c r="D54" s="19" t="n"/>
    </row>
    <row r="55" ht="104" customHeight="1" s="137">
      <c r="A55" s="19" t="inlineStr">
        <is>
          <t>Echo Canyon base ADM (≈257)</t>
        </is>
      </c>
      <c r="B55" s="19" t="inlineStr">
        <is>
          <t>Baseline students “served” in keep‑open scenarios</t>
        </is>
      </c>
      <c r="C55" s="19" t="inlineStr">
        <is>
          <t>ADE School Report Cards / Arizona Education Profiles (school pages) + SUSD 40th‑day board reports for Echo Canyon’s latest K‑8 enrollment ADE school page data used.
SUSD October (40th‑day) ADM sheet listing Echo Canyon K‑8 ADM (most recent year) and the same for the prior 3 years.</t>
        </is>
      </c>
      <c r="D55" s="19" t="n"/>
    </row>
    <row r="56" ht="78" customHeight="1" s="137">
      <c r="A56" s="19" t="inlineStr">
        <is>
          <t>Pima base ADM (≈296)</t>
        </is>
      </c>
      <c r="B56" s="19" t="inlineStr">
        <is>
          <t>Baseline students “served” in keep‑open scenarios</t>
        </is>
      </c>
      <c r="C56" s="19" t="inlineStr">
        <is>
          <t>ADE School Report Cards page for Pima Traditional (enrollment tile). The “Enrollment” 🛈 on that page for the specific year has enrollment data.</t>
        </is>
      </c>
      <c r="D56" s="19" t="n"/>
    </row>
    <row r="57" ht="104" customHeight="1" s="137">
      <c r="A57" s="19" t="inlineStr">
        <is>
          <t>District M&amp;O (Fund 001) context</t>
        </is>
      </c>
      <c r="B57" s="19" t="inlineStr">
        <is>
          <t>Grounds the “M&amp;O per ADM” baseline used in comparable $/student</t>
        </is>
      </c>
      <c r="C57" s="19" t="inlineStr">
        <is>
          <t>From ACFR or adopted budget: Fund 001 totals and function detail by object/function; district ADM used in budget; site‑level M&amp;O if available.</t>
        </is>
      </c>
      <c r="D57" s="20" t="inlineStr">
        <is>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is>
      </c>
      <c r="E57" s="20" t="n"/>
    </row>
    <row r="58" ht="130.5" customHeight="1" s="137">
      <c r="A58" s="82" t="inlineStr">
        <is>
          <t>“Fixed‑like” share of M&amp;O (used conservative placeholder)</t>
        </is>
      </c>
      <c r="B58" s="82" t="inlineStr">
        <is>
          <t>Splits total M&amp;O into “semi‑fixed” (plant ops, insurance, admin, central) vs “variable” (classroom sections, supplies, a slice of transport) to compute EchoFixed$ and PimaFixed$</t>
        </is>
      </c>
      <c r="C58" s="21" t="inlineStr">
        <is>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is>
      </c>
      <c r="D58" s="18" t="inlineStr">
        <is>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is>
      </c>
      <c r="E58" s="18" t="n"/>
    </row>
    <row r="59" ht="26" customHeight="1" s="137">
      <c r="A59" s="19" t="inlineStr">
        <is>
          <t>Overlay</t>
        </is>
      </c>
      <c r="B59" s="19" t="inlineStr">
        <is>
          <t>Using this term in the spreadsheet to mean addition of new students (growth)</t>
        </is>
      </c>
      <c r="C59" s="19" t="inlineStr">
        <is>
          <t>Not an official district term; just using in this spreadsheet</t>
        </is>
      </c>
      <c r="D59" s="19" t="n"/>
    </row>
    <row r="60" ht="91" customHeight="1" s="137">
      <c r="A60" s="19" t="inlineStr">
        <is>
          <t>Variable unit cost (VarUnit$)</t>
        </is>
      </c>
      <c r="B60" s="19" t="inlineStr">
        <is>
          <t>$ per student applied to “served ADM,” plus marginal‑cost factor on overlay seats</t>
        </is>
      </c>
      <c r="C60" s="19" t="inlineStr">
        <is>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is>
      </c>
      <c r="D60" s="19" t="n"/>
    </row>
    <row r="61" ht="65" customHeight="1" s="137">
      <c r="A61" s="19" t="inlineStr">
        <is>
          <t>Marginal‑cost factor for overlay seats</t>
        </is>
      </c>
      <c r="B61" s="19" t="inlineStr">
        <is>
          <t>Applies only to overlay growth students in keep‑open scenarios; models that not every dollar is average cost</t>
        </is>
      </c>
      <c r="C61" s="19" t="inlineStr">
        <is>
          <t>Can tighten with SUSD’s teacher‑section &amp; aide staffing rules, average class sizes, and any marginal staffing adders at K–8 (arts, specialists).</t>
        </is>
      </c>
      <c r="D61" s="20" t="inlineStr">
        <is>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is>
      </c>
      <c r="E61" s="20" t="n"/>
    </row>
    <row r="62" ht="104" customHeight="1" s="137">
      <c r="A62" s="19" t="inlineStr">
        <is>
          <t>Receiving overhead “h” (FY26 $1,000 → FY30 $300)</t>
        </is>
      </c>
      <c r="B62" s="19" t="inlineStr">
        <is>
          <t>Per retained student transition/route/admin cost added when a site is repurposed; tapers as routes stabilize</t>
        </is>
      </c>
      <c r="C62" s="19" t="inlineStr">
        <is>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is>
      </c>
      <c r="D62" s="19" t="n"/>
    </row>
    <row r="63" ht="39" customHeight="1" s="137">
      <c r="A63" s="19" t="inlineStr">
        <is>
          <t>Retention rate “r” (central 0.75; sensitivities 0.65–0.85)</t>
        </is>
      </c>
      <c r="B63" s="19" t="inlineStr">
        <is>
          <t>Share of displaced Echo+Pima students who remain in SUSD (the rest leave choose other options)</t>
        </is>
      </c>
      <c r="C63" s="19" t="inlineStr">
        <is>
          <t>SUSD post‑closure enrollment tracking (where displaced students re‑enroll), by receiving school; use that to set “r” from observed data.</t>
        </is>
      </c>
      <c r="D63" s="20" t="inlineStr">
        <is>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is>
      </c>
      <c r="E63" s="20" t="n"/>
    </row>
    <row r="64" ht="39" customHeight="1" s="137">
      <c r="A64" s="19" t="inlineStr">
        <is>
          <t>Carry fractions f_ops / f_lease (e.g., 0.40 → 0 by FY30)</t>
        </is>
      </c>
      <c r="B64" s="19" t="inlineStr">
        <is>
          <t>Share of each site’s fixed costs that persist after repurpose under ops mothball vs lease/sale</t>
        </is>
      </c>
      <c r="C64" s="19" t="inlineStr">
        <is>
          <t>Assumption pending facilities plan. The glide‑path (e.g., 40%→30%→20%→10%→0%) reflects how fast plant/insurance/utilities can be retired or passed to a tenant.</t>
        </is>
      </c>
      <c r="D64" s="19" t="n"/>
    </row>
    <row r="65" ht="117" customHeight="1" s="137">
      <c r="A65" s="19" t="inlineStr">
        <is>
          <t>TI / one‑time repurpose costs (e.g., $2.4M)</t>
        </is>
      </c>
      <c r="B65" s="19" t="inlineStr">
        <is>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is>
      </c>
      <c r="C65" s="19" t="inlineStr">
        <is>
          <t>Tighten with SUSD engineering estimate for tenant improvements or district reconfiguration (scope, cost, which fund, and amortization).</t>
        </is>
      </c>
      <c r="D65" s="19" t="n"/>
    </row>
    <row r="66" ht="52" customHeight="1" s="137">
      <c r="A66" s="19" t="inlineStr">
        <is>
          <t>Extra cost savings for co-location scenario</t>
        </is>
      </c>
      <c r="B66" s="19" t="inlineStr">
        <is>
          <t xml:space="preserve">Why “Extra savings (co‑location) = 0.015 (1.5%)”? This reflects incremental savings from consolidating some services on one campus (custodial/grounds/partial routing). Again kept small and conservative; can use real custodial (sq‑ft), grounds and route deltas if available. </t>
        </is>
      </c>
      <c r="C66" s="19" t="inlineStr">
        <is>
          <t>https://legiscan.com/AZ/text/HB2969/2025?utm_source=chatgpt.com</t>
        </is>
      </c>
      <c r="D66" s="19" t="n"/>
    </row>
    <row r="67" ht="65" customHeight="1" s="137">
      <c r="A67" s="19" t="inlineStr">
        <is>
          <t>Ops savings (for keep-open scenarios)</t>
        </is>
      </c>
      <c r="B67" s="19" t="inlineStr">
        <is>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is>
      </c>
      <c r="C67" s="19" t="n"/>
      <c r="D67" s="19" t="n"/>
    </row>
    <row r="68" ht="52" customHeight="1" s="137">
      <c r="A68" s="19" t="inlineStr">
        <is>
          <t>K–8 capacity / square footage</t>
        </is>
      </c>
      <c r="B68" s="19" t="inlineStr">
        <is>
          <t>Context for “utilization” and whether overlay targets are feasible</t>
        </is>
      </c>
      <c r="C68" s="19" t="inlineStr">
        <is>
          <t>To be anchored to SFB (AZ School Facilities Board) capacity files and SUSD construction docs.  SUSD/SFB: design capacity and current utilization for Echo &amp; Pima (post‑rebuild specs for Pima).</t>
        </is>
      </c>
      <c r="D68" s="19" t="n"/>
    </row>
    <row r="69" ht="52" customHeight="1" s="137">
      <c r="A69" s="19" t="inlineStr">
        <is>
          <t>Pre‑K contribution</t>
        </is>
      </c>
      <c r="B69" s="19" t="inlineStr">
        <is>
          <t>Excluded from ADM and revenue in the model (unless tuition/lease modeled)</t>
        </is>
      </c>
      <c r="C69" s="19" t="inlineStr">
        <is>
          <t>If SUSD intends district‑operated tuition Pre‑K on site, can request pro forma for net contribution (tuition – staffing – TI).</t>
        </is>
      </c>
      <c r="D69" s="20" t="inlineStr">
        <is>
          <t>Supported by statute &amp; ADE finance practice—general Pre‑K does not generate state ADM (exception: SPED preschool). (Arizona Department of Education)</t>
        </is>
      </c>
      <c r="E69" s="20" t="n"/>
    </row>
    <row r="70" ht="65" customHeight="1" s="137">
      <c r="A70" s="19" t="inlineStr">
        <is>
          <t>ADM definition (what “counts”)</t>
        </is>
      </c>
      <c r="B70" s="19" t="inlineStr">
        <is>
          <t>Explains why Pre‑K is excluded and why K can count at 0.5; supports “served” math</t>
        </is>
      </c>
      <c r="C70" s="19" t="inlineStr">
        <is>
          <t>SUSD’s 40th‑day and 100th‑day ADM certification for Echo and Pima (K–8 breakouts).</t>
        </is>
      </c>
      <c r="D70" s="20" t="inlineStr">
        <is>
          <t>A.R.S. §15‑901 and legislative fact sheet: Kindergarten generates 0.5 ADM unless full‑time; ADM is a statutory count, and preschool is generally not included in ADM (except some SPED programs). (LegiScan)</t>
        </is>
      </c>
      <c r="E70" s="20" t="n"/>
    </row>
    <row r="71" ht="58" customHeight="1" s="137">
      <c r="A71" s="82" t="inlineStr">
        <is>
          <t>MarginalFactor_for_Overlay</t>
        </is>
      </c>
      <c r="B71" s="82" t="inlineStr">
        <is>
          <t>Fraction of average per‑ADM MO$ that applies to added students when you grow keep‑open schools.</t>
        </is>
      </c>
      <c r="C71" s="82" t="inlineStr">
        <is>
          <t>Default 0.50 (i.e., ~half of average cost is truly variable: teachers/sections, supplies, some transport; the rest is plant/admin which doesn’t scale 1:1).</t>
        </is>
      </c>
      <c r="D71" s="83" t="inlineStr">
        <is>
          <t>Grounded in function splits from AAG/USFR: plant/admin/central ≈ 30–40% semi‑fixed, instruction/ops ≈ 60–70% variable; we start at 0.50 to be conservative. (Auditor General)</t>
        </is>
      </c>
      <c r="E71" s="82" t="inlineStr">
        <is>
          <t>If we get class‑size/FTE trigger rules, we can upgrade this to step‑functions (sections) by grade.</t>
        </is>
      </c>
    </row>
    <row r="72" ht="43.5" customHeight="1" s="137">
      <c r="A72" s="153" t="inlineStr">
        <is>
          <t>Site_fixed tab</t>
        </is>
      </c>
      <c r="B72" s="19" t="inlineStr">
        <is>
          <t>Utilities are included in plant ops sub-cateogry for now, as an educated estimate was made from district budget information that does not de-couple utilities from plant ops.</t>
        </is>
      </c>
      <c r="C72" s="153" t="inlineStr">
        <is>
          <t>To be replaced with audited data when available.</t>
        </is>
      </c>
    </row>
  </sheetData>
  <mergeCells count="7">
    <mergeCell ref="A43:F43"/>
    <mergeCell ref="A50:F50"/>
    <mergeCell ref="A1:F1"/>
    <mergeCell ref="A12:F12"/>
    <mergeCell ref="A29:F29"/>
    <mergeCell ref="A38:F38"/>
    <mergeCell ref="A35:F35"/>
  </mergeCells>
  <hyperlinks>
    <hyperlink xmlns:r="http://schemas.openxmlformats.org/officeDocument/2006/relationships" ref="C52" tooltip="Microsoft Word - FS ACFR FY24 Scottsdale USD" display="https://www.susd.org/fs/resource-manager/view/01a0856f-3a75-4ceb-9e90-02f85099b68d" r:id="rId1"/>
    <hyperlink xmlns:r="http://schemas.openxmlformats.org/officeDocument/2006/relationships" ref="C53" tooltip="sdspending.azauditor.gov" display="https://sdspending.azauditor.gov/" r:id="rId2"/>
    <hyperlink xmlns:r="http://schemas.openxmlformats.org/officeDocument/2006/relationships" ref="C56" tooltip="List Of Groups - Sun Devil Central - Arizona State University" display="https://sundevilcentral.eoss.asu.edu/club_signup?category_tags=6551555&amp;group_type=&amp;view=all&amp;utm_source=chatgpt.com" r:id="rId3"/>
    <hyperlink xmlns:r="http://schemas.openxmlformats.org/officeDocument/2006/relationships" ref="D58" tooltip="School Closings in Chicago" display="https://consortium.uchicago.edu/publications/school-closings-chicago-staff-and-student-experiences-and-academic-outcomes?utm_source=chatgpt.com" r:id="rId4"/>
    <hyperlink xmlns:r="http://schemas.openxmlformats.org/officeDocument/2006/relationships" ref="C66" tooltip="Bill Text: AZ HB2969 | 2025 | Fifty-seventh Legislature 1st ..." r:id="rId5"/>
    <hyperlink xmlns:r="http://schemas.openxmlformats.org/officeDocument/2006/relationships" ref="D71" tooltip="HOW TO CALCULATE OPERATIONAL AND ..." display="https://www.azauditor.gov/sites/default/files/2023-09/HowToCalculateOperational-NonoperationalSpending.pdf?utm_source=chatgpt.com" r:id="rId6"/>
  </hyperlinks>
  <pageMargins left="0.75" right="0.75" top="1" bottom="1" header="0.5" footer="0.5"/>
  <pageSetup orientation="portrait" paperSize="0" horizontalDpi="0" verticalDpi="0" copies="0"/>
</worksheet>
</file>

<file path=xl/worksheets/sheet11.xml><?xml version="1.0" encoding="utf-8"?>
<worksheet xmlns="http://schemas.openxmlformats.org/spreadsheetml/2006/main">
  <sheetPr>
    <outlinePr summaryBelow="1" summaryRight="1"/>
    <pageSetUpPr/>
  </sheetPr>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baseColWidth="8" defaultRowHeight="14.5"/>
  <cols>
    <col width="26.1796875" bestFit="1" customWidth="1" style="137" min="1" max="1"/>
    <col width="79.6328125" customWidth="1" style="137" min="2" max="2"/>
    <col width="16.08984375" customWidth="1" style="137" min="3" max="3"/>
    <col width="11.08984375" customWidth="1" style="137" min="4" max="4"/>
    <col width="10.1796875" bestFit="1" customWidth="1" style="137" min="5" max="5"/>
    <col width="13.08984375" bestFit="1" customWidth="1" style="137" min="6" max="6"/>
    <col width="11.81640625" bestFit="1" customWidth="1" style="137" min="7" max="7"/>
    <col width="36.54296875" bestFit="1" customWidth="1" style="137" min="8" max="8"/>
    <col width="13.1796875" customWidth="1" style="137" min="9" max="9"/>
    <col width="12.54296875" bestFit="1" customWidth="1" style="137" min="10" max="13"/>
    <col width="12.08984375" bestFit="1" customWidth="1" style="137" min="15" max="15"/>
    <col width="12.1796875" bestFit="1" customWidth="1" style="137" min="16" max="16"/>
  </cols>
  <sheetData>
    <row r="1">
      <c r="C1" s="154" t="inlineStr">
        <is>
          <t>Yellow fields are editable</t>
        </is>
      </c>
      <c r="D1" s="142" t="n"/>
      <c r="E1" s="142" t="n"/>
      <c r="F1" s="142" t="n"/>
      <c r="G1" s="142" t="n"/>
    </row>
    <row r="2" ht="58" customHeight="1" s="137">
      <c r="A2" s="1" t="inlineStr">
        <is>
          <t>ScenarioKey</t>
        </is>
      </c>
      <c r="B2" s="1" t="inlineStr">
        <is>
          <t>Label</t>
        </is>
      </c>
      <c r="C2" s="71" t="inlineStr">
        <is>
          <t>Enrollment add over 3 years</t>
        </is>
      </c>
      <c r="D2" s="71" t="inlineStr">
        <is>
          <t>CloseEcho (0 = no; 1 = yes)</t>
        </is>
      </c>
      <c r="E2" s="71" t="inlineStr">
        <is>
          <t>ClosePima (0 = no; 1 = yes)</t>
        </is>
      </c>
      <c r="F2" s="71" t="inlineStr">
        <is>
          <t>EchoShareDist (share of enrollment adds)</t>
        </is>
      </c>
      <c r="G2" s="71" t="inlineStr">
        <is>
          <t>ExtraSave (cost efficiency assumption)</t>
        </is>
      </c>
      <c r="H2" s="1" t="inlineStr">
        <is>
          <t>Notes</t>
        </is>
      </c>
      <c r="I2" t="inlineStr">
        <is>
          <t>Overlay_FY26</t>
        </is>
      </c>
      <c r="J2" t="inlineStr">
        <is>
          <t>Overlay_FY27</t>
        </is>
      </c>
      <c r="K2" t="inlineStr">
        <is>
          <t>Overlay_FY28</t>
        </is>
      </c>
      <c r="L2" t="inlineStr">
        <is>
          <t>Overlay_FY29</t>
        </is>
      </c>
      <c r="M2" t="inlineStr">
        <is>
          <t>Overlay_FY30</t>
        </is>
      </c>
      <c r="N2" t="inlineStr">
        <is>
          <t>Carry</t>
        </is>
      </c>
      <c r="O2" t="inlineStr">
        <is>
          <t>Growth_Echo</t>
        </is>
      </c>
      <c r="P2" t="inlineStr">
        <is>
          <t>Growth_Pima</t>
        </is>
      </c>
      <c r="Q2" t="inlineStr">
        <is>
          <t>Apply_Echo_Trend</t>
        </is>
      </c>
      <c r="R2" t="inlineStr">
        <is>
          <t>Apply_Pima_Trend</t>
        </is>
      </c>
    </row>
    <row r="3">
      <c r="A3" t="inlineStr">
        <is>
          <t>F1_CUSTOM1</t>
        </is>
      </c>
      <c r="B3" s="72" t="inlineStr">
        <is>
          <t>CUSTOM_KeepOpen_v1</t>
        </is>
      </c>
      <c r="C3" s="22" t="n">
        <v>0</v>
      </c>
      <c r="D3" s="22" t="n">
        <v>0</v>
      </c>
      <c r="E3" s="22" t="n">
        <v>0</v>
      </c>
      <c r="F3" s="22" t="n">
        <v>0.5</v>
      </c>
      <c r="G3" s="22" t="n">
        <v>0</v>
      </c>
      <c r="H3" t="inlineStr">
        <is>
          <t>Baseline + outreach; no closures</t>
        </is>
      </c>
      <c r="I3" s="11">
        <f>C3/3</f>
        <v/>
      </c>
      <c r="J3" s="11">
        <f>I3+C3/3</f>
        <v/>
      </c>
      <c r="K3" s="11">
        <f>J3+C3/3</f>
        <v/>
      </c>
      <c r="L3" s="11">
        <f>C3</f>
        <v/>
      </c>
      <c r="M3" s="11">
        <f>C3</f>
        <v/>
      </c>
      <c r="O3" t="inlineStr">
        <is>
          <t>None</t>
        </is>
      </c>
      <c r="P3" t="inlineStr">
        <is>
          <t>None</t>
        </is>
      </c>
      <c r="Q3" t="n">
        <v>0</v>
      </c>
      <c r="R3" t="n">
        <v>0</v>
      </c>
    </row>
    <row r="4">
      <c r="A4" t="inlineStr">
        <is>
          <t>D4_StatusQuo_Targets</t>
        </is>
      </c>
      <c r="B4" s="72" t="inlineStr">
        <is>
          <t>Echo &amp; Pima open; uplift warm handoff effort (intra-SUSD); initiate cross-district marketing</t>
        </is>
      </c>
      <c r="C4" s="22" t="n">
        <v>75</v>
      </c>
      <c r="D4" s="22" t="n">
        <v>0</v>
      </c>
      <c r="E4" s="22" t="n">
        <v>0</v>
      </c>
      <c r="F4" s="22" t="n">
        <v>0.5</v>
      </c>
      <c r="G4" s="22" t="n">
        <v>0</v>
      </c>
      <c r="H4" t="inlineStr">
        <is>
          <t>Baseline + targets; no closures</t>
        </is>
      </c>
      <c r="I4" s="11">
        <f>C4/3</f>
        <v/>
      </c>
      <c r="J4" s="11">
        <f>I4+C4/3</f>
        <v/>
      </c>
      <c r="K4" s="11">
        <f>J4+C4/3</f>
        <v/>
      </c>
      <c r="L4" s="11">
        <f>C4</f>
        <v/>
      </c>
      <c r="M4" s="11">
        <f>C4</f>
        <v/>
      </c>
      <c r="O4" t="inlineStr">
        <is>
          <t>None</t>
        </is>
      </c>
      <c r="P4" t="inlineStr">
        <is>
          <t>None</t>
        </is>
      </c>
      <c r="Q4" t="n">
        <v>0</v>
      </c>
      <c r="R4" t="n">
        <v>0</v>
      </c>
    </row>
    <row r="5" ht="29" customHeight="1" s="137">
      <c r="A5" t="inlineStr">
        <is>
          <t>D3_CoLocation_Echo_Targets</t>
        </is>
      </c>
      <c r="B5" s="72" t="inlineStr">
        <is>
          <t>Echo &amp; Pima open; co-locate e.g. district teacher learning center at Echo; uplift warm handoff effort (intra-SUSD); initiate cross-district marketing</t>
        </is>
      </c>
      <c r="C5" s="22" t="n">
        <v>50</v>
      </c>
      <c r="D5" s="22" t="n">
        <v>0</v>
      </c>
      <c r="E5" s="22" t="n">
        <v>0</v>
      </c>
      <c r="F5" s="22" t="n">
        <v>0.5</v>
      </c>
      <c r="G5" s="22" t="n">
        <v>0.05</v>
      </c>
      <c r="H5" t="inlineStr">
        <is>
          <t>Shared‑use efficiencies (no closure)</t>
        </is>
      </c>
      <c r="I5" s="11">
        <f>C5/3</f>
        <v/>
      </c>
      <c r="J5" s="11">
        <f>I5+C5/3</f>
        <v/>
      </c>
      <c r="K5" s="11">
        <f>J5+C5/3</f>
        <v/>
      </c>
      <c r="L5" s="11">
        <f>C5</f>
        <v/>
      </c>
      <c r="M5" s="11">
        <f>C5</f>
        <v/>
      </c>
      <c r="O5" t="inlineStr">
        <is>
          <t>None</t>
        </is>
      </c>
      <c r="P5" t="inlineStr">
        <is>
          <t>None</t>
        </is>
      </c>
      <c r="Q5" t="n">
        <v>0</v>
      </c>
      <c r="R5" t="n">
        <v>0</v>
      </c>
    </row>
    <row r="6" ht="29" customHeight="1" s="137">
      <c r="A6" t="inlineStr">
        <is>
          <t>D1_Grow_Both_Targets</t>
        </is>
      </c>
      <c r="B6" s="72" t="inlineStr">
        <is>
          <t>Echo &amp; Pima open; growth initiatives Echo (e.g. innovation) &amp; Pima (e.g. arts); uplift warm handoff effort (intra-SUSD); initiate cross-district marketing</t>
        </is>
      </c>
      <c r="C6" s="22" t="n">
        <v>150</v>
      </c>
      <c r="D6" s="22" t="n">
        <v>0</v>
      </c>
      <c r="E6" s="22" t="n">
        <v>0</v>
      </c>
      <c r="F6" s="22" t="n">
        <v>0.5</v>
      </c>
      <c r="G6" s="22" t="n">
        <v>0</v>
      </c>
      <c r="H6" t="inlineStr">
        <is>
          <t>Baseline + growth initiatives</t>
        </is>
      </c>
      <c r="I6" s="11">
        <f>C6/3</f>
        <v/>
      </c>
      <c r="J6" s="11">
        <f>I6+C6/3</f>
        <v/>
      </c>
      <c r="K6" s="11">
        <f>J6+C6/3</f>
        <v/>
      </c>
      <c r="L6" s="11">
        <f>C6</f>
        <v/>
      </c>
      <c r="M6" s="11">
        <f>C6</f>
        <v/>
      </c>
      <c r="O6" t="inlineStr">
        <is>
          <t>Innov</t>
        </is>
      </c>
      <c r="P6" t="inlineStr">
        <is>
          <t>Arts</t>
        </is>
      </c>
      <c r="Q6" t="n">
        <v>0</v>
      </c>
      <c r="R6" t="n">
        <v>0</v>
      </c>
    </row>
    <row r="7">
      <c r="A7" t="inlineStr">
        <is>
          <t>E2_StatusQuo_Steady</t>
        </is>
      </c>
      <c r="B7" s="72" t="inlineStr">
        <is>
          <t>Echo &amp; Pima open; no operational or strategic growth actions; no change in enrollment</t>
        </is>
      </c>
      <c r="C7" s="22" t="n">
        <v>0</v>
      </c>
      <c r="D7" s="22" t="n">
        <v>0</v>
      </c>
      <c r="E7" s="22" t="n">
        <v>0</v>
      </c>
      <c r="F7" s="22" t="n">
        <v>0.5</v>
      </c>
      <c r="G7" s="22" t="n">
        <v>0</v>
      </c>
      <c r="H7" t="inlineStr">
        <is>
          <t>Baseline steady enrollment</t>
        </is>
      </c>
      <c r="I7" s="11">
        <f>C7/3</f>
        <v/>
      </c>
      <c r="J7" s="11">
        <f>I7+C7/3</f>
        <v/>
      </c>
      <c r="K7" s="11">
        <f>J7+C7/3</f>
        <v/>
      </c>
      <c r="L7" s="11">
        <f>C7</f>
        <v/>
      </c>
      <c r="M7" s="11">
        <f>C7</f>
        <v/>
      </c>
      <c r="O7" t="inlineStr">
        <is>
          <t>None</t>
        </is>
      </c>
      <c r="P7" t="inlineStr">
        <is>
          <t>None</t>
        </is>
      </c>
      <c r="Q7" t="n">
        <v>0</v>
      </c>
      <c r="R7" t="n">
        <v>0</v>
      </c>
    </row>
    <row r="8" ht="29" customHeight="1" s="137">
      <c r="A8" t="inlineStr">
        <is>
          <t>D2_EchoGHubRamp_PimaTargets</t>
        </is>
      </c>
      <c r="B8" s="72" t="inlineStr">
        <is>
          <t>Echo &amp; Pima open; growth initiative Echo (e.g. arts); no growth initiative Pima; uplift warm handoff effort (intra-SUSD); initiate cross-district marketing</t>
        </is>
      </c>
      <c r="C8" s="22" t="n">
        <v>125</v>
      </c>
      <c r="D8" s="22" t="n">
        <v>0</v>
      </c>
      <c r="E8" s="22" t="n">
        <v>0</v>
      </c>
      <c r="F8" s="22" t="n">
        <v>0.7</v>
      </c>
      <c r="G8" s="22" t="n">
        <v>0</v>
      </c>
      <c r="H8" t="inlineStr">
        <is>
          <t>Time‑phased ramp over years 1-3</t>
        </is>
      </c>
      <c r="I8" s="11">
        <f>C8/3</f>
        <v/>
      </c>
      <c r="J8" s="11">
        <f>I8+C8/3</f>
        <v/>
      </c>
      <c r="K8" s="11">
        <f>J8+C8/3</f>
        <v/>
      </c>
      <c r="L8" s="11">
        <f>C8</f>
        <v/>
      </c>
      <c r="M8" s="11">
        <f>C8</f>
        <v/>
      </c>
      <c r="O8" t="inlineStr">
        <is>
          <t>Arts</t>
        </is>
      </c>
      <c r="P8" t="inlineStr">
        <is>
          <t>None</t>
        </is>
      </c>
      <c r="Q8" t="n">
        <v>0</v>
      </c>
      <c r="R8" t="n">
        <v>0</v>
      </c>
    </row>
    <row r="9" ht="29" customHeight="1" s="137">
      <c r="A9" t="inlineStr">
        <is>
          <t>A2_Repurpose_Both_lease</t>
        </is>
      </c>
      <c r="B9" s="72" t="inlineStr">
        <is>
          <t>Repurpose both Echo &amp; Pima; lease both properties; fixed cost reduction rate, retention %, and transition cost assumptions are key drivers</t>
        </is>
      </c>
      <c r="C9" s="22" t="n">
        <v>0</v>
      </c>
      <c r="D9" s="22" t="n">
        <v>1</v>
      </c>
      <c r="E9" s="22" t="n">
        <v>1</v>
      </c>
      <c r="F9" s="22" t="n">
        <v>0.5</v>
      </c>
      <c r="G9" s="22" t="n">
        <v>0</v>
      </c>
      <c r="H9" t="inlineStr">
        <is>
          <t>Repurpose both; lease/sale glide</t>
        </is>
      </c>
      <c r="I9" s="11">
        <f>C9/3</f>
        <v/>
      </c>
      <c r="J9" s="11">
        <f>I9+C9/3</f>
        <v/>
      </c>
      <c r="K9" s="11">
        <f>J9+C9/3</f>
        <v/>
      </c>
      <c r="L9" s="11">
        <f>C9</f>
        <v/>
      </c>
      <c r="M9" s="11">
        <f>C9</f>
        <v/>
      </c>
      <c r="N9" t="inlineStr">
        <is>
          <t>lease</t>
        </is>
      </c>
      <c r="O9" t="inlineStr">
        <is>
          <t>None</t>
        </is>
      </c>
      <c r="P9" t="inlineStr">
        <is>
          <t>None</t>
        </is>
      </c>
      <c r="Q9" t="n">
        <v>0</v>
      </c>
      <c r="R9" t="n">
        <v>0</v>
      </c>
    </row>
    <row r="10" ht="43.5" customHeight="1" s="137">
      <c r="A10" t="inlineStr">
        <is>
          <t>A1_Repurpose_Both_ops</t>
        </is>
      </c>
      <c r="B10" s="72" t="inlineStr">
        <is>
          <t>Repurpose both Echo &amp; Pima; operationally convert both properties (e.g. early learning center); fixed cost reduction rate, retention %, and transition cost assumptions are key drivers</t>
        </is>
      </c>
      <c r="C10" s="22" t="n">
        <v>0</v>
      </c>
      <c r="D10" s="22" t="n">
        <v>1</v>
      </c>
      <c r="E10" s="22" t="n">
        <v>1</v>
      </c>
      <c r="F10" s="22" t="n">
        <v>0.5</v>
      </c>
      <c r="G10" s="22" t="n">
        <v>0</v>
      </c>
      <c r="H10" t="inlineStr">
        <is>
          <t>Repurpose both; operations carry</t>
        </is>
      </c>
      <c r="I10" s="11">
        <f>C10/3</f>
        <v/>
      </c>
      <c r="J10" s="11">
        <f>I10+C10/3</f>
        <v/>
      </c>
      <c r="K10" s="11">
        <f>J10+C10/3</f>
        <v/>
      </c>
      <c r="L10" s="11">
        <f>C10</f>
        <v/>
      </c>
      <c r="M10" s="11">
        <f>C10</f>
        <v/>
      </c>
      <c r="N10" t="inlineStr">
        <is>
          <t>ops</t>
        </is>
      </c>
      <c r="O10" t="inlineStr">
        <is>
          <t>None</t>
        </is>
      </c>
      <c r="P10" t="inlineStr">
        <is>
          <t>None</t>
        </is>
      </c>
      <c r="Q10" t="n">
        <v>0</v>
      </c>
      <c r="R10" t="n">
        <v>0</v>
      </c>
    </row>
    <row r="11">
      <c r="A11" t="inlineStr">
        <is>
          <t>B2_Repurpose_Echo_lease_PimaTargets</t>
        </is>
      </c>
      <c r="B11" s="72" t="inlineStr">
        <is>
          <t>Repurpose ECHO (lease) + Growth Hub @ Pima + Pima Op Growth Targets</t>
        </is>
      </c>
      <c r="C11" s="22" t="n">
        <v>50</v>
      </c>
      <c r="D11" s="22" t="n">
        <v>1</v>
      </c>
      <c r="E11" s="22" t="n">
        <v>0</v>
      </c>
      <c r="F11" s="22" t="n">
        <v>0</v>
      </c>
      <c r="G11" s="22" t="n">
        <v>0</v>
      </c>
      <c r="H11" t="inlineStr">
        <is>
          <t>Repurpose Echo only; lease glide</t>
        </is>
      </c>
      <c r="I11" s="11">
        <f>C11/3</f>
        <v/>
      </c>
      <c r="J11" s="11">
        <f>I11+C11/3</f>
        <v/>
      </c>
      <c r="K11" s="11">
        <f>J11+C11/3</f>
        <v/>
      </c>
      <c r="L11" s="11">
        <f>C11</f>
        <v/>
      </c>
      <c r="M11" s="11">
        <f>C11</f>
        <v/>
      </c>
      <c r="N11" t="inlineStr">
        <is>
          <t>lease</t>
        </is>
      </c>
      <c r="O11" t="inlineStr">
        <is>
          <t>None</t>
        </is>
      </c>
      <c r="P11" t="inlineStr">
        <is>
          <t>Arts</t>
        </is>
      </c>
      <c r="Q11" t="n">
        <v>0</v>
      </c>
      <c r="R11" t="n">
        <v>0</v>
      </c>
    </row>
    <row r="12">
      <c r="A12" t="inlineStr">
        <is>
          <t>B1_Repurpose_Echo_ops_PimaTargets</t>
        </is>
      </c>
      <c r="B12" s="72" t="inlineStr">
        <is>
          <t>Repurpose ECHO (ops) + Growth Hub @ Pima + Pima Op Growth Targets</t>
        </is>
      </c>
      <c r="C12" s="22" t="n">
        <v>50</v>
      </c>
      <c r="D12" s="22" t="n">
        <v>1</v>
      </c>
      <c r="E12" s="22" t="n">
        <v>0</v>
      </c>
      <c r="F12" s="22" t="n">
        <v>0</v>
      </c>
      <c r="G12" s="22" t="n">
        <v>0</v>
      </c>
      <c r="H12" t="inlineStr">
        <is>
          <t>Repurpose Echo only; ops carry</t>
        </is>
      </c>
      <c r="I12" s="11">
        <f>C12/3</f>
        <v/>
      </c>
      <c r="J12" s="11">
        <f>I12+C12/3</f>
        <v/>
      </c>
      <c r="K12" s="11">
        <f>J12+C12/3</f>
        <v/>
      </c>
      <c r="L12" s="11">
        <f>C12</f>
        <v/>
      </c>
      <c r="M12" s="11">
        <f>C12</f>
        <v/>
      </c>
      <c r="N12" t="inlineStr">
        <is>
          <t>ops</t>
        </is>
      </c>
      <c r="O12" t="inlineStr">
        <is>
          <t>None</t>
        </is>
      </c>
      <c r="P12" t="inlineStr">
        <is>
          <t>Arts</t>
        </is>
      </c>
      <c r="Q12" t="n">
        <v>0</v>
      </c>
      <c r="R12" t="n">
        <v>0</v>
      </c>
    </row>
    <row r="13">
      <c r="A13" t="inlineStr">
        <is>
          <t>C2_Repurpose_Pima_lease_EchoGHub_EchoTargets</t>
        </is>
      </c>
      <c r="B13" s="72" t="inlineStr">
        <is>
          <t>Repurpose PIMA (lease) + Growth Hub @ Echo + Echo Op Growth Targets</t>
        </is>
      </c>
      <c r="C13" s="22" t="n">
        <v>50</v>
      </c>
      <c r="D13" s="22" t="n">
        <v>0</v>
      </c>
      <c r="E13" s="22" t="n">
        <v>1</v>
      </c>
      <c r="F13" s="22" t="n">
        <v>1</v>
      </c>
      <c r="G13" s="22" t="n">
        <v>0</v>
      </c>
      <c r="H13" t="inlineStr">
        <is>
          <t>Repurpose Pima only; lease glide</t>
        </is>
      </c>
      <c r="I13" s="11">
        <f>C13/3</f>
        <v/>
      </c>
      <c r="J13" s="11">
        <f>I13+C13/3</f>
        <v/>
      </c>
      <c r="K13" s="11">
        <f>J13+C13/3</f>
        <v/>
      </c>
      <c r="L13" s="11">
        <f>C13</f>
        <v/>
      </c>
      <c r="M13" s="11">
        <f>C13</f>
        <v/>
      </c>
      <c r="N13" t="inlineStr">
        <is>
          <t>lease</t>
        </is>
      </c>
      <c r="O13" t="inlineStr">
        <is>
          <t>Arts</t>
        </is>
      </c>
      <c r="P13" t="inlineStr">
        <is>
          <t>None</t>
        </is>
      </c>
      <c r="Q13" t="n">
        <v>0</v>
      </c>
      <c r="R13" t="n">
        <v>0</v>
      </c>
    </row>
    <row r="14">
      <c r="A14" t="inlineStr">
        <is>
          <t>C1_Repurpose_Pima_ops_EchoGHub_EchoTargets</t>
        </is>
      </c>
      <c r="B14" s="72" t="inlineStr">
        <is>
          <t>Repurpose PIMA (ops) + Growth Hub @ Echo + Echo Op Growth Targets</t>
        </is>
      </c>
      <c r="C14" s="22" t="n">
        <v>50</v>
      </c>
      <c r="D14" s="22" t="n">
        <v>0</v>
      </c>
      <c r="E14" s="22" t="n">
        <v>1</v>
      </c>
      <c r="F14" s="22" t="n">
        <v>1</v>
      </c>
      <c r="G14" s="22" t="n">
        <v>0</v>
      </c>
      <c r="H14" t="inlineStr">
        <is>
          <t>Repurpose Pima only; ops carry</t>
        </is>
      </c>
      <c r="I14" s="11">
        <f>C14/3</f>
        <v/>
      </c>
      <c r="J14" s="11">
        <f>I14+C14/3</f>
        <v/>
      </c>
      <c r="K14" s="11">
        <f>J14+C14/3</f>
        <v/>
      </c>
      <c r="L14" s="11">
        <f>C14</f>
        <v/>
      </c>
      <c r="M14" s="11">
        <f>C14</f>
        <v/>
      </c>
      <c r="N14" t="inlineStr">
        <is>
          <t>ops</t>
        </is>
      </c>
      <c r="O14" t="inlineStr">
        <is>
          <t>Arts</t>
        </is>
      </c>
      <c r="P14" t="inlineStr">
        <is>
          <t>None</t>
        </is>
      </c>
      <c r="Q14" t="n">
        <v>0</v>
      </c>
      <c r="R14" t="n">
        <v>0</v>
      </c>
    </row>
    <row r="15" ht="29" customHeight="1" s="137">
      <c r="A15" t="inlineStr">
        <is>
          <t>E1_StatusQuo_Decline</t>
        </is>
      </c>
      <c r="B15" s="72" t="inlineStr">
        <is>
          <t>Echo &amp; Pima open; no operational or strategic growth actions; enrollment decline trend continues</t>
        </is>
      </c>
      <c r="C15" s="22" t="n">
        <v>0</v>
      </c>
      <c r="D15" s="22" t="n">
        <v>0</v>
      </c>
      <c r="E15" s="22" t="n">
        <v>0</v>
      </c>
      <c r="F15" s="22" t="n">
        <v>0</v>
      </c>
      <c r="G15" s="22" t="n">
        <v>0</v>
      </c>
      <c r="H15" t="inlineStr">
        <is>
          <t>Keep open but decline per district forecast</t>
        </is>
      </c>
      <c r="I15" s="11">
        <f>C15/3</f>
        <v/>
      </c>
      <c r="J15" s="11">
        <f>I15+C15/3</f>
        <v/>
      </c>
      <c r="K15" s="11">
        <f>J15+C15/3</f>
        <v/>
      </c>
      <c r="L15" s="11">
        <f>C15</f>
        <v/>
      </c>
      <c r="M15" s="11">
        <f>C15</f>
        <v/>
      </c>
      <c r="O15" t="inlineStr">
        <is>
          <t>None</t>
        </is>
      </c>
      <c r="P15" t="inlineStr">
        <is>
          <t>None</t>
        </is>
      </c>
      <c r="Q15" t="n">
        <v>1</v>
      </c>
      <c r="R15" t="n">
        <v>1</v>
      </c>
    </row>
    <row r="27">
      <c r="A27" s="1" t="inlineStr">
        <is>
          <t>ScenarioKey</t>
        </is>
      </c>
      <c r="B27" s="1" t="inlineStr">
        <is>
          <t>Year</t>
        </is>
      </c>
      <c r="C27" s="1" t="inlineStr">
        <is>
          <t>Echo_ADM</t>
        </is>
      </c>
      <c r="D27" s="1" t="inlineStr">
        <is>
          <t>Pima_ADM</t>
        </is>
      </c>
      <c r="E27" s="1" t="inlineStr">
        <is>
          <t>Total_ADM</t>
        </is>
      </c>
      <c r="F27" s="1" t="inlineStr">
        <is>
          <t>VarUnit$</t>
        </is>
      </c>
      <c r="G27" s="1" t="inlineStr">
        <is>
          <t>EchoFixed$</t>
        </is>
      </c>
      <c r="H27" s="1" t="inlineStr">
        <is>
          <t>PimaFixed$</t>
        </is>
      </c>
      <c r="I27" s="1" t="inlineStr">
        <is>
          <t>Key</t>
        </is>
      </c>
      <c r="O27" t="inlineStr">
        <is>
          <t>None</t>
        </is>
      </c>
      <c r="P27" t="inlineStr">
        <is>
          <t>None</t>
        </is>
      </c>
    </row>
    <row r="28">
      <c r="A28">
        <f>A3</f>
        <v/>
      </c>
      <c r="B28" t="inlineStr">
        <is>
          <t>FY2026</t>
        </is>
      </c>
      <c r="C28">
        <f>IF(D3=1,0, BaselineCalc!$B$7 + ROUND(I3*F3,0))</f>
        <v/>
      </c>
      <c r="D28">
        <f>IF(E3=1,0, BaselineCalc!$B$8 + I3 - ROUND(I3*F3,0))</f>
        <v/>
      </c>
      <c r="E28">
        <f>C28+D28</f>
        <v/>
      </c>
      <c r="F28" s="2">
        <f>YearMap!B2</f>
        <v/>
      </c>
      <c r="G28" s="2">
        <f>YearMap!C2</f>
        <v/>
      </c>
      <c r="H28" s="2">
        <f>YearMap!D2</f>
        <v/>
      </c>
      <c r="I28">
        <f>A28&amp;"|"&amp;B28</f>
        <v/>
      </c>
      <c r="O28" t="inlineStr">
        <is>
          <t>None</t>
        </is>
      </c>
      <c r="P28" t="inlineStr">
        <is>
          <t>None</t>
        </is>
      </c>
    </row>
    <row r="29">
      <c r="A29">
        <f>A3</f>
        <v/>
      </c>
      <c r="B29" t="inlineStr">
        <is>
          <t>FY2027</t>
        </is>
      </c>
      <c r="C29">
        <f>IF(D3=1,0, BaselineCalc!$B$7 + ROUND(J3*F3,0))</f>
        <v/>
      </c>
      <c r="D29">
        <f>IF(E3=1,0, BaselineCalc!$B$8 + J3 - ROUND(J3*F3,0))</f>
        <v/>
      </c>
      <c r="E29">
        <f>C29+D29</f>
        <v/>
      </c>
      <c r="F29" s="2">
        <f>YearMap!B3</f>
        <v/>
      </c>
      <c r="G29" s="2">
        <f>YearMap!C3</f>
        <v/>
      </c>
      <c r="H29" s="2">
        <f>YearMap!D3</f>
        <v/>
      </c>
      <c r="I29">
        <f>A29&amp;"|"&amp;B29</f>
        <v/>
      </c>
      <c r="O29" t="inlineStr">
        <is>
          <t>None</t>
        </is>
      </c>
      <c r="P29" t="inlineStr">
        <is>
          <t>None</t>
        </is>
      </c>
    </row>
    <row r="30">
      <c r="A30">
        <f>A3</f>
        <v/>
      </c>
      <c r="B30" t="inlineStr">
        <is>
          <t>FY2028</t>
        </is>
      </c>
      <c r="C30">
        <f>IF(D3=1,0, BaselineCalc!$B$7 + ROUND(K3*F3,0))</f>
        <v/>
      </c>
      <c r="D30">
        <f>IF(E3=1,0, BaselineCalc!$B$8 + K3 - ROUND(K3*F3,0))</f>
        <v/>
      </c>
      <c r="E30">
        <f>C30+D30</f>
        <v/>
      </c>
      <c r="F30" s="2">
        <f>YearMap!B4</f>
        <v/>
      </c>
      <c r="G30" s="2">
        <f>YearMap!C4</f>
        <v/>
      </c>
      <c r="H30" s="2">
        <f>YearMap!D4</f>
        <v/>
      </c>
      <c r="I30">
        <f>A30&amp;"|"&amp;B30</f>
        <v/>
      </c>
      <c r="O30" t="inlineStr">
        <is>
          <t>None</t>
        </is>
      </c>
      <c r="P30" t="inlineStr">
        <is>
          <t>None</t>
        </is>
      </c>
    </row>
    <row r="31">
      <c r="A31">
        <f>A3</f>
        <v/>
      </c>
      <c r="B31" t="inlineStr">
        <is>
          <t>FY2029</t>
        </is>
      </c>
      <c r="C31">
        <f>IF(D3=1,0, BaselineCalc!$B$7 + ROUND(L3*F3,0))</f>
        <v/>
      </c>
      <c r="D31">
        <f>IF(E3=1,0, BaselineCalc!$B$8 + L3 - ROUND(L3*F3,0))</f>
        <v/>
      </c>
      <c r="E31">
        <f>C31+D31</f>
        <v/>
      </c>
      <c r="F31" s="2">
        <f>YearMap!B5</f>
        <v/>
      </c>
      <c r="G31" s="2">
        <f>YearMap!C5</f>
        <v/>
      </c>
      <c r="H31" s="2">
        <f>YearMap!D5</f>
        <v/>
      </c>
      <c r="I31">
        <f>A31&amp;"|"&amp;B31</f>
        <v/>
      </c>
      <c r="O31" t="inlineStr">
        <is>
          <t>None</t>
        </is>
      </c>
      <c r="P31" t="inlineStr">
        <is>
          <t>None</t>
        </is>
      </c>
    </row>
    <row r="32">
      <c r="A32">
        <f>A3</f>
        <v/>
      </c>
      <c r="B32" t="inlineStr">
        <is>
          <t>FY2030</t>
        </is>
      </c>
      <c r="C32">
        <f>IF(D3=1,0, BaselineCalc!$B$7 + ROUND(M3*F3,0))</f>
        <v/>
      </c>
      <c r="D32">
        <f>IF(E3=1,0, BaselineCalc!$B$8 + M3 - ROUND(M3*F3,0))</f>
        <v/>
      </c>
      <c r="E32">
        <f>C32+D32</f>
        <v/>
      </c>
      <c r="F32" s="2">
        <f>YearMap!B6</f>
        <v/>
      </c>
      <c r="G32" s="2">
        <f>YearMap!C6</f>
        <v/>
      </c>
      <c r="H32" s="2">
        <f>YearMap!D6</f>
        <v/>
      </c>
      <c r="I32">
        <f>A32&amp;"|"&amp;B32</f>
        <v/>
      </c>
      <c r="O32" t="inlineStr">
        <is>
          <t>None</t>
        </is>
      </c>
      <c r="P32" t="inlineStr">
        <is>
          <t>None</t>
        </is>
      </c>
    </row>
    <row r="33">
      <c r="A33">
        <f>A4</f>
        <v/>
      </c>
      <c r="B33" t="inlineStr">
        <is>
          <t>FY2026</t>
        </is>
      </c>
      <c r="C33">
        <f>IF(D4=1,0, BaselineCalc!$B$7 + ROUND(I4*F4,0))</f>
        <v/>
      </c>
      <c r="D33">
        <f>IF(E4=1,0, BaselineCalc!$B$8 + I4 - ROUND(I4*F4,0))</f>
        <v/>
      </c>
      <c r="E33">
        <f>C33+D33</f>
        <v/>
      </c>
      <c r="F33" s="2">
        <f>YearMap!B2</f>
        <v/>
      </c>
      <c r="G33" s="2">
        <f>YearMap!C2</f>
        <v/>
      </c>
      <c r="H33" s="2">
        <f>YearMap!D2</f>
        <v/>
      </c>
      <c r="I33">
        <f>A33&amp;"|"&amp;B33</f>
        <v/>
      </c>
      <c r="O33" t="inlineStr">
        <is>
          <t>None</t>
        </is>
      </c>
      <c r="P33" t="inlineStr">
        <is>
          <t>None</t>
        </is>
      </c>
    </row>
    <row r="34">
      <c r="A34">
        <f>A4</f>
        <v/>
      </c>
      <c r="B34" t="inlineStr">
        <is>
          <t>FY2027</t>
        </is>
      </c>
      <c r="C34">
        <f>IF(D4=1,0, BaselineCalc!$B$7 + ROUND(J4*F4,0))</f>
        <v/>
      </c>
      <c r="D34">
        <f>IF(E4=1,0, BaselineCalc!$B$8 + J4 - ROUND(J4*F4,0))</f>
        <v/>
      </c>
      <c r="E34">
        <f>C34+D34</f>
        <v/>
      </c>
      <c r="F34" s="2">
        <f>YearMap!B3</f>
        <v/>
      </c>
      <c r="G34" s="2">
        <f>YearMap!C3</f>
        <v/>
      </c>
      <c r="H34" s="2">
        <f>YearMap!D3</f>
        <v/>
      </c>
      <c r="I34">
        <f>A34&amp;"|"&amp;B34</f>
        <v/>
      </c>
      <c r="O34" t="inlineStr">
        <is>
          <t>None</t>
        </is>
      </c>
      <c r="P34" t="inlineStr">
        <is>
          <t>None</t>
        </is>
      </c>
    </row>
    <row r="35">
      <c r="A35">
        <f>A4</f>
        <v/>
      </c>
      <c r="B35" t="inlineStr">
        <is>
          <t>FY2028</t>
        </is>
      </c>
      <c r="C35">
        <f>IF(D4=1,0, BaselineCalc!$B$7 + ROUND(K4*F4,0))</f>
        <v/>
      </c>
      <c r="D35">
        <f>IF(E4=1,0, BaselineCalc!$B$8 + K4 - ROUND(K4*F4,0))</f>
        <v/>
      </c>
      <c r="E35">
        <f>C35+D35</f>
        <v/>
      </c>
      <c r="F35" s="2">
        <f>YearMap!B4</f>
        <v/>
      </c>
      <c r="G35" s="2">
        <f>YearMap!C4</f>
        <v/>
      </c>
      <c r="H35" s="2">
        <f>YearMap!D4</f>
        <v/>
      </c>
      <c r="I35">
        <f>A35&amp;"|"&amp;B35</f>
        <v/>
      </c>
      <c r="O35" t="inlineStr">
        <is>
          <t>None</t>
        </is>
      </c>
      <c r="P35" t="inlineStr">
        <is>
          <t>None</t>
        </is>
      </c>
    </row>
    <row r="36">
      <c r="A36">
        <f>A4</f>
        <v/>
      </c>
      <c r="B36" t="inlineStr">
        <is>
          <t>FY2029</t>
        </is>
      </c>
      <c r="C36">
        <f>IF(D4=1,0, BaselineCalc!$B$7 + ROUND(L4*F4,0))</f>
        <v/>
      </c>
      <c r="D36">
        <f>IF(E4=1,0, BaselineCalc!$B$8 + L4 - ROUND(L4*F4,0))</f>
        <v/>
      </c>
      <c r="E36">
        <f>C36+D36</f>
        <v/>
      </c>
      <c r="F36" s="2">
        <f>YearMap!B5</f>
        <v/>
      </c>
      <c r="G36" s="2">
        <f>YearMap!C5</f>
        <v/>
      </c>
      <c r="H36" s="2">
        <f>YearMap!D5</f>
        <v/>
      </c>
      <c r="I36">
        <f>A36&amp;"|"&amp;B36</f>
        <v/>
      </c>
      <c r="O36" t="inlineStr">
        <is>
          <t>None</t>
        </is>
      </c>
      <c r="P36" t="inlineStr">
        <is>
          <t>None</t>
        </is>
      </c>
    </row>
    <row r="37">
      <c r="A37">
        <f>A4</f>
        <v/>
      </c>
      <c r="B37" t="inlineStr">
        <is>
          <t>FY2030</t>
        </is>
      </c>
      <c r="C37">
        <f>IF(D4=1,0, BaselineCalc!$B$7 + ROUND(M4*F4,0))</f>
        <v/>
      </c>
      <c r="D37">
        <f>IF(E4=1,0, BaselineCalc!$B$8 + M4 - ROUND(M4*F4,0))</f>
        <v/>
      </c>
      <c r="E37">
        <f>C37+D37</f>
        <v/>
      </c>
      <c r="F37" s="2">
        <f>YearMap!B6</f>
        <v/>
      </c>
      <c r="G37" s="2">
        <f>YearMap!C6</f>
        <v/>
      </c>
      <c r="H37" s="2">
        <f>YearMap!D6</f>
        <v/>
      </c>
      <c r="I37">
        <f>A37&amp;"|"&amp;B37</f>
        <v/>
      </c>
      <c r="O37" t="inlineStr">
        <is>
          <t>None</t>
        </is>
      </c>
      <c r="P37" t="inlineStr">
        <is>
          <t>None</t>
        </is>
      </c>
    </row>
    <row r="38">
      <c r="A38">
        <f>A5</f>
        <v/>
      </c>
      <c r="B38" t="inlineStr">
        <is>
          <t>FY2026</t>
        </is>
      </c>
      <c r="C38">
        <f>IF(D5=1,0, BaselineCalc!$B$7 + ROUND(I5*F5,0))</f>
        <v/>
      </c>
      <c r="D38">
        <f>IF(E5=1,0, BaselineCalc!$B$8 + I5 - ROUND(I5*F5,0))</f>
        <v/>
      </c>
      <c r="E38">
        <f>C38+D38</f>
        <v/>
      </c>
      <c r="F38" s="2">
        <f>YearMap!B2</f>
        <v/>
      </c>
      <c r="G38" s="2">
        <f>YearMap!C2</f>
        <v/>
      </c>
      <c r="H38" s="2">
        <f>YearMap!D2</f>
        <v/>
      </c>
      <c r="I38">
        <f>A38&amp;"|"&amp;B38</f>
        <v/>
      </c>
      <c r="O38" t="inlineStr">
        <is>
          <t>None</t>
        </is>
      </c>
      <c r="P38" t="inlineStr">
        <is>
          <t>None</t>
        </is>
      </c>
    </row>
    <row r="39">
      <c r="A39">
        <f>A5</f>
        <v/>
      </c>
      <c r="B39" t="inlineStr">
        <is>
          <t>FY2027</t>
        </is>
      </c>
      <c r="C39">
        <f>IF(D5=1,0, BaselineCalc!$B$7 + ROUND(J5*F5,0))</f>
        <v/>
      </c>
      <c r="D39">
        <f>IF(E5=1,0, BaselineCalc!$B$8 + J5 - ROUND(J5*F5,0))</f>
        <v/>
      </c>
      <c r="E39">
        <f>C39+D39</f>
        <v/>
      </c>
      <c r="F39" s="2">
        <f>YearMap!B3</f>
        <v/>
      </c>
      <c r="G39" s="2">
        <f>YearMap!C3</f>
        <v/>
      </c>
      <c r="H39" s="2">
        <f>YearMap!D3</f>
        <v/>
      </c>
      <c r="I39">
        <f>A39&amp;"|"&amp;B39</f>
        <v/>
      </c>
      <c r="O39" t="inlineStr">
        <is>
          <t>None</t>
        </is>
      </c>
      <c r="P39" t="inlineStr">
        <is>
          <t>None</t>
        </is>
      </c>
    </row>
    <row r="40">
      <c r="A40">
        <f>A5</f>
        <v/>
      </c>
      <c r="B40" t="inlineStr">
        <is>
          <t>FY2028</t>
        </is>
      </c>
      <c r="C40">
        <f>IF(D5=1,0, BaselineCalc!$B$7 + ROUND(K5*F5,0))</f>
        <v/>
      </c>
      <c r="D40">
        <f>IF(E5=1,0, BaselineCalc!$B$8 + K5 - ROUND(K5*F5,0))</f>
        <v/>
      </c>
      <c r="E40">
        <f>C40+D40</f>
        <v/>
      </c>
      <c r="F40" s="2">
        <f>YearMap!B4</f>
        <v/>
      </c>
      <c r="G40" s="2">
        <f>YearMap!C4</f>
        <v/>
      </c>
      <c r="H40" s="2">
        <f>YearMap!D4</f>
        <v/>
      </c>
      <c r="I40">
        <f>A40&amp;"|"&amp;B40</f>
        <v/>
      </c>
      <c r="O40" t="inlineStr">
        <is>
          <t>None</t>
        </is>
      </c>
      <c r="P40" t="inlineStr">
        <is>
          <t>None</t>
        </is>
      </c>
    </row>
    <row r="41">
      <c r="A41">
        <f>A5</f>
        <v/>
      </c>
      <c r="B41" t="inlineStr">
        <is>
          <t>FY2029</t>
        </is>
      </c>
      <c r="C41">
        <f>IF(D5=1,0, BaselineCalc!$B$7 + ROUND(L5*F5,0))</f>
        <v/>
      </c>
      <c r="D41">
        <f>IF(E5=1,0, BaselineCalc!$B$8 + L5 - ROUND(L5*F5,0))</f>
        <v/>
      </c>
      <c r="E41">
        <f>C41+D41</f>
        <v/>
      </c>
      <c r="F41" s="2">
        <f>YearMap!B5</f>
        <v/>
      </c>
      <c r="G41" s="2">
        <f>YearMap!C5</f>
        <v/>
      </c>
      <c r="H41" s="2">
        <f>YearMap!D5</f>
        <v/>
      </c>
      <c r="I41">
        <f>A41&amp;"|"&amp;B41</f>
        <v/>
      </c>
      <c r="O41" t="inlineStr">
        <is>
          <t>None</t>
        </is>
      </c>
      <c r="P41" t="inlineStr">
        <is>
          <t>None</t>
        </is>
      </c>
    </row>
    <row r="42">
      <c r="A42">
        <f>A5</f>
        <v/>
      </c>
      <c r="B42" t="inlineStr">
        <is>
          <t>FY2030</t>
        </is>
      </c>
      <c r="C42">
        <f>IF(D5=1,0, BaselineCalc!$B$7 + ROUND(M5*F5,0))</f>
        <v/>
      </c>
      <c r="D42">
        <f>IF(E5=1,0, BaselineCalc!$B$8 + M5 - ROUND(M5*F5,0))</f>
        <v/>
      </c>
      <c r="E42">
        <f>C42+D42</f>
        <v/>
      </c>
      <c r="F42" s="2">
        <f>YearMap!B6</f>
        <v/>
      </c>
      <c r="G42" s="2">
        <f>YearMap!C6</f>
        <v/>
      </c>
      <c r="H42" s="2">
        <f>YearMap!D6</f>
        <v/>
      </c>
      <c r="I42">
        <f>A42&amp;"|"&amp;B42</f>
        <v/>
      </c>
      <c r="O42" t="inlineStr">
        <is>
          <t>None</t>
        </is>
      </c>
      <c r="P42" t="inlineStr">
        <is>
          <t>None</t>
        </is>
      </c>
    </row>
    <row r="43">
      <c r="A43">
        <f>A6</f>
        <v/>
      </c>
      <c r="B43" t="inlineStr">
        <is>
          <t>FY2026</t>
        </is>
      </c>
      <c r="C43">
        <f>IF(D6=1,0, BaselineCalc!$B$7 + ROUND(I6*F6,0))</f>
        <v/>
      </c>
      <c r="D43">
        <f>IF(E6=1,0, BaselineCalc!$B$8 + I6 - ROUND(I6*F6,0))</f>
        <v/>
      </c>
      <c r="E43">
        <f>C43+D43</f>
        <v/>
      </c>
      <c r="F43" s="2">
        <f>YearMap!B2</f>
        <v/>
      </c>
      <c r="G43" s="2">
        <f>YearMap!C2</f>
        <v/>
      </c>
      <c r="H43" s="2">
        <f>YearMap!D2</f>
        <v/>
      </c>
      <c r="I43">
        <f>A43&amp;"|"&amp;B43</f>
        <v/>
      </c>
      <c r="O43" t="inlineStr">
        <is>
          <t>None</t>
        </is>
      </c>
      <c r="P43" t="inlineStr">
        <is>
          <t>None</t>
        </is>
      </c>
    </row>
    <row r="44">
      <c r="A44">
        <f>A6</f>
        <v/>
      </c>
      <c r="B44" t="inlineStr">
        <is>
          <t>FY2027</t>
        </is>
      </c>
      <c r="C44">
        <f>IF(D6=1,0, BaselineCalc!$B$7 + ROUND(J6*F6,0))</f>
        <v/>
      </c>
      <c r="D44">
        <f>IF(E6=1,0, BaselineCalc!$B$8 + J6 - ROUND(J6*F6,0))</f>
        <v/>
      </c>
      <c r="E44">
        <f>C44+D44</f>
        <v/>
      </c>
      <c r="F44" s="2">
        <f>YearMap!B3</f>
        <v/>
      </c>
      <c r="G44" s="2">
        <f>YearMap!C3</f>
        <v/>
      </c>
      <c r="H44" s="2">
        <f>YearMap!D3</f>
        <v/>
      </c>
      <c r="I44">
        <f>A44&amp;"|"&amp;B44</f>
        <v/>
      </c>
      <c r="O44" t="inlineStr">
        <is>
          <t>None</t>
        </is>
      </c>
      <c r="P44" t="inlineStr">
        <is>
          <t>None</t>
        </is>
      </c>
    </row>
    <row r="45">
      <c r="A45">
        <f>A6</f>
        <v/>
      </c>
      <c r="B45" t="inlineStr">
        <is>
          <t>FY2028</t>
        </is>
      </c>
      <c r="C45">
        <f>IF(D6=1,0, BaselineCalc!$B$7 + ROUND(K6*F6,0))</f>
        <v/>
      </c>
      <c r="D45">
        <f>IF(E6=1,0, BaselineCalc!$B$8 + K6 - ROUND(K6*F6,0))</f>
        <v/>
      </c>
      <c r="E45">
        <f>C45+D45</f>
        <v/>
      </c>
      <c r="F45" s="2">
        <f>YearMap!B4</f>
        <v/>
      </c>
      <c r="G45" s="2">
        <f>YearMap!C4</f>
        <v/>
      </c>
      <c r="H45" s="2">
        <f>YearMap!D4</f>
        <v/>
      </c>
      <c r="I45">
        <f>A45&amp;"|"&amp;B45</f>
        <v/>
      </c>
      <c r="O45" t="inlineStr">
        <is>
          <t>None</t>
        </is>
      </c>
      <c r="P45" t="inlineStr">
        <is>
          <t>None</t>
        </is>
      </c>
    </row>
    <row r="46">
      <c r="A46">
        <f>A6</f>
        <v/>
      </c>
      <c r="B46" t="inlineStr">
        <is>
          <t>FY2029</t>
        </is>
      </c>
      <c r="C46">
        <f>IF(D6=1,0, BaselineCalc!$B$7 + ROUND(L6*F6,0))</f>
        <v/>
      </c>
      <c r="D46">
        <f>IF(E6=1,0, BaselineCalc!$B$8 + L6 - ROUND(L6*F6,0))</f>
        <v/>
      </c>
      <c r="E46">
        <f>C46+D46</f>
        <v/>
      </c>
      <c r="F46" s="2">
        <f>YearMap!B5</f>
        <v/>
      </c>
      <c r="G46" s="2">
        <f>YearMap!C5</f>
        <v/>
      </c>
      <c r="H46" s="2">
        <f>YearMap!D5</f>
        <v/>
      </c>
      <c r="I46">
        <f>A46&amp;"|"&amp;B46</f>
        <v/>
      </c>
      <c r="O46" t="inlineStr">
        <is>
          <t>None</t>
        </is>
      </c>
      <c r="P46" t="inlineStr">
        <is>
          <t>None</t>
        </is>
      </c>
    </row>
    <row r="47">
      <c r="A47">
        <f>A6</f>
        <v/>
      </c>
      <c r="B47" t="inlineStr">
        <is>
          <t>FY2030</t>
        </is>
      </c>
      <c r="C47">
        <f>IF(D6=1,0, BaselineCalc!$B$7 + ROUND(M6*F6,0))</f>
        <v/>
      </c>
      <c r="D47">
        <f>IF(E6=1,0, BaselineCalc!$B$8 + M6 - ROUND(M6*F6,0))</f>
        <v/>
      </c>
      <c r="E47">
        <f>C47+D47</f>
        <v/>
      </c>
      <c r="F47" s="2">
        <f>YearMap!B6</f>
        <v/>
      </c>
      <c r="G47" s="2">
        <f>YearMap!C6</f>
        <v/>
      </c>
      <c r="H47" s="2">
        <f>YearMap!D6</f>
        <v/>
      </c>
      <c r="I47">
        <f>A47&amp;"|"&amp;B47</f>
        <v/>
      </c>
      <c r="O47" t="inlineStr">
        <is>
          <t>None</t>
        </is>
      </c>
      <c r="P47" t="inlineStr">
        <is>
          <t>None</t>
        </is>
      </c>
    </row>
    <row r="48">
      <c r="A48">
        <f>A7</f>
        <v/>
      </c>
      <c r="B48" t="inlineStr">
        <is>
          <t>FY2026</t>
        </is>
      </c>
      <c r="C48">
        <f>IF(D7=1,0, BaselineCalc!$B$7 + ROUND(I7*F7,0))</f>
        <v/>
      </c>
      <c r="D48">
        <f>IF(E7=1,0, BaselineCalc!$B$8 + I7 - ROUND(I7*F7,0))</f>
        <v/>
      </c>
      <c r="E48">
        <f>C48+D48</f>
        <v/>
      </c>
      <c r="F48" s="2">
        <f>YearMap!B2</f>
        <v/>
      </c>
      <c r="G48" s="2">
        <f>YearMap!C2</f>
        <v/>
      </c>
      <c r="H48" s="2">
        <f>YearMap!D2</f>
        <v/>
      </c>
      <c r="I48">
        <f>A48&amp;"|"&amp;B48</f>
        <v/>
      </c>
      <c r="O48" t="inlineStr">
        <is>
          <t>None</t>
        </is>
      </c>
      <c r="P48" t="inlineStr">
        <is>
          <t>None</t>
        </is>
      </c>
    </row>
    <row r="49">
      <c r="A49">
        <f>A7</f>
        <v/>
      </c>
      <c r="B49" t="inlineStr">
        <is>
          <t>FY2027</t>
        </is>
      </c>
      <c r="C49">
        <f>IF(D7=1,0, BaselineCalc!$B$7 + ROUND(J7*F7,0))</f>
        <v/>
      </c>
      <c r="D49">
        <f>IF(E7=1,0, BaselineCalc!$B$8 + J7 - ROUND(J7*F7,0))</f>
        <v/>
      </c>
      <c r="E49">
        <f>C49+D49</f>
        <v/>
      </c>
      <c r="F49" s="2">
        <f>YearMap!B3</f>
        <v/>
      </c>
      <c r="G49" s="2">
        <f>YearMap!C3</f>
        <v/>
      </c>
      <c r="H49" s="2">
        <f>YearMap!D3</f>
        <v/>
      </c>
      <c r="I49">
        <f>A49&amp;"|"&amp;B49</f>
        <v/>
      </c>
      <c r="O49" t="inlineStr">
        <is>
          <t>None</t>
        </is>
      </c>
      <c r="P49" t="inlineStr">
        <is>
          <t>None</t>
        </is>
      </c>
    </row>
    <row r="50">
      <c r="A50">
        <f>A7</f>
        <v/>
      </c>
      <c r="B50" t="inlineStr">
        <is>
          <t>FY2028</t>
        </is>
      </c>
      <c r="C50">
        <f>IF(D7=1,0, BaselineCalc!$B$7 + ROUND(K7*F7,0))</f>
        <v/>
      </c>
      <c r="D50">
        <f>IF(E7=1,0, BaselineCalc!$B$8 + K7 - ROUND(K7*F7,0))</f>
        <v/>
      </c>
      <c r="E50">
        <f>C50+D50</f>
        <v/>
      </c>
      <c r="F50" s="2">
        <f>YearMap!B4</f>
        <v/>
      </c>
      <c r="G50" s="2">
        <f>YearMap!C4</f>
        <v/>
      </c>
      <c r="H50" s="2">
        <f>YearMap!D4</f>
        <v/>
      </c>
      <c r="I50">
        <f>A50&amp;"|"&amp;B50</f>
        <v/>
      </c>
      <c r="O50" t="inlineStr">
        <is>
          <t>None</t>
        </is>
      </c>
      <c r="P50" t="inlineStr">
        <is>
          <t>None</t>
        </is>
      </c>
    </row>
    <row r="51">
      <c r="A51">
        <f>A7</f>
        <v/>
      </c>
      <c r="B51" t="inlineStr">
        <is>
          <t>FY2029</t>
        </is>
      </c>
      <c r="C51">
        <f>IF(D7=1,0, BaselineCalc!$B$7 + ROUND(L7*F7,0))</f>
        <v/>
      </c>
      <c r="D51">
        <f>IF(E7=1,0, BaselineCalc!$B$8 + L7 - ROUND(L7*F7,0))</f>
        <v/>
      </c>
      <c r="E51">
        <f>C51+D51</f>
        <v/>
      </c>
      <c r="F51" s="2">
        <f>YearMap!B5</f>
        <v/>
      </c>
      <c r="G51" s="2">
        <f>YearMap!C5</f>
        <v/>
      </c>
      <c r="H51" s="2">
        <f>YearMap!D5</f>
        <v/>
      </c>
      <c r="I51">
        <f>A51&amp;"|"&amp;B51</f>
        <v/>
      </c>
      <c r="O51" t="inlineStr">
        <is>
          <t>None</t>
        </is>
      </c>
      <c r="P51" t="inlineStr">
        <is>
          <t>None</t>
        </is>
      </c>
    </row>
    <row r="52">
      <c r="A52">
        <f>A7</f>
        <v/>
      </c>
      <c r="B52" t="inlineStr">
        <is>
          <t>FY2030</t>
        </is>
      </c>
      <c r="C52">
        <f>IF(D7=1,0, BaselineCalc!$B$7 + ROUND(M7*F7,0))</f>
        <v/>
      </c>
      <c r="D52">
        <f>IF(E7=1,0, BaselineCalc!$B$8 + M7 - ROUND(M7*F7,0))</f>
        <v/>
      </c>
      <c r="E52">
        <f>C52+D52</f>
        <v/>
      </c>
      <c r="F52" s="2">
        <f>YearMap!B6</f>
        <v/>
      </c>
      <c r="G52" s="2">
        <f>YearMap!C6</f>
        <v/>
      </c>
      <c r="H52" s="2">
        <f>YearMap!D6</f>
        <v/>
      </c>
      <c r="I52">
        <f>A52&amp;"|"&amp;B52</f>
        <v/>
      </c>
      <c r="O52" t="inlineStr">
        <is>
          <t>None</t>
        </is>
      </c>
      <c r="P52" t="inlineStr">
        <is>
          <t>None</t>
        </is>
      </c>
    </row>
    <row r="53">
      <c r="A53">
        <f>A8</f>
        <v/>
      </c>
      <c r="B53" t="inlineStr">
        <is>
          <t>FY2026</t>
        </is>
      </c>
      <c r="C53">
        <f>IF(D8=1,0, BaselineCalc!$B$7 + ROUND(I8*F8,0))</f>
        <v/>
      </c>
      <c r="D53">
        <f>IF(E8=1,0, BaselineCalc!$B$8 + I8 - ROUND(I8*F8,0))</f>
        <v/>
      </c>
      <c r="E53">
        <f>C53+D53</f>
        <v/>
      </c>
      <c r="F53" s="2">
        <f>YearMap!B2</f>
        <v/>
      </c>
      <c r="G53" s="2">
        <f>YearMap!C2</f>
        <v/>
      </c>
      <c r="H53" s="2">
        <f>YearMap!D2</f>
        <v/>
      </c>
      <c r="I53">
        <f>A53&amp;"|"&amp;B53</f>
        <v/>
      </c>
      <c r="O53" t="inlineStr">
        <is>
          <t>None</t>
        </is>
      </c>
      <c r="P53" t="inlineStr">
        <is>
          <t>None</t>
        </is>
      </c>
    </row>
    <row r="54">
      <c r="A54">
        <f>A8</f>
        <v/>
      </c>
      <c r="B54" t="inlineStr">
        <is>
          <t>FY2027</t>
        </is>
      </c>
      <c r="C54">
        <f>IF(D8=1,0, BaselineCalc!$B$7 + ROUND(J8*F8,0))</f>
        <v/>
      </c>
      <c r="D54">
        <f>IF(E8=1,0, BaselineCalc!$B$8 + J8 - ROUND(J8*F8,0))</f>
        <v/>
      </c>
      <c r="E54">
        <f>C54+D54</f>
        <v/>
      </c>
      <c r="F54" s="2">
        <f>YearMap!B3</f>
        <v/>
      </c>
      <c r="G54" s="2">
        <f>YearMap!C3</f>
        <v/>
      </c>
      <c r="H54" s="2">
        <f>YearMap!D3</f>
        <v/>
      </c>
      <c r="I54">
        <f>A54&amp;"|"&amp;B54</f>
        <v/>
      </c>
      <c r="O54" t="inlineStr">
        <is>
          <t>None</t>
        </is>
      </c>
      <c r="P54" t="inlineStr">
        <is>
          <t>None</t>
        </is>
      </c>
    </row>
    <row r="55">
      <c r="A55">
        <f>A8</f>
        <v/>
      </c>
      <c r="B55" t="inlineStr">
        <is>
          <t>FY2028</t>
        </is>
      </c>
      <c r="C55">
        <f>IF(D8=1,0, BaselineCalc!$B$7 + ROUND(K8*F8,0))</f>
        <v/>
      </c>
      <c r="D55">
        <f>IF(E8=1,0, BaselineCalc!$B$8 + K8 - ROUND(K8*F8,0))</f>
        <v/>
      </c>
      <c r="E55">
        <f>C55+D55</f>
        <v/>
      </c>
      <c r="F55" s="2">
        <f>YearMap!B4</f>
        <v/>
      </c>
      <c r="G55" s="2">
        <f>YearMap!C4</f>
        <v/>
      </c>
      <c r="H55" s="2">
        <f>YearMap!D4</f>
        <v/>
      </c>
      <c r="I55">
        <f>A55&amp;"|"&amp;B55</f>
        <v/>
      </c>
      <c r="O55" t="inlineStr">
        <is>
          <t>None</t>
        </is>
      </c>
      <c r="P55" t="inlineStr">
        <is>
          <t>None</t>
        </is>
      </c>
    </row>
    <row r="56">
      <c r="A56">
        <f>A8</f>
        <v/>
      </c>
      <c r="B56" t="inlineStr">
        <is>
          <t>FY2029</t>
        </is>
      </c>
      <c r="C56">
        <f>IF(D8=1,0, BaselineCalc!$B$7 + ROUND(L8*F8,0))</f>
        <v/>
      </c>
      <c r="D56">
        <f>IF(E8=1,0, BaselineCalc!$B$8 + L8 - ROUND(L8*F8,0))</f>
        <v/>
      </c>
      <c r="E56">
        <f>C56+D56</f>
        <v/>
      </c>
      <c r="F56" s="2">
        <f>YearMap!B5</f>
        <v/>
      </c>
      <c r="G56" s="2">
        <f>YearMap!C5</f>
        <v/>
      </c>
      <c r="H56" s="2">
        <f>YearMap!D5</f>
        <v/>
      </c>
      <c r="I56">
        <f>A56&amp;"|"&amp;B56</f>
        <v/>
      </c>
      <c r="O56" t="inlineStr">
        <is>
          <t>None</t>
        </is>
      </c>
      <c r="P56" t="inlineStr">
        <is>
          <t>None</t>
        </is>
      </c>
    </row>
    <row r="57">
      <c r="A57">
        <f>A8</f>
        <v/>
      </c>
      <c r="B57" t="inlineStr">
        <is>
          <t>FY2030</t>
        </is>
      </c>
      <c r="C57">
        <f>IF(D8=1,0, BaselineCalc!$B$7 + ROUND(M8*F8,0))</f>
        <v/>
      </c>
      <c r="D57">
        <f>IF(E8=1,0, BaselineCalc!$B$8 + M8 - ROUND(M8*F8,0))</f>
        <v/>
      </c>
      <c r="E57">
        <f>C57+D57</f>
        <v/>
      </c>
      <c r="F57" s="2">
        <f>YearMap!B6</f>
        <v/>
      </c>
      <c r="G57" s="2">
        <f>YearMap!C6</f>
        <v/>
      </c>
      <c r="H57" s="2">
        <f>YearMap!D6</f>
        <v/>
      </c>
      <c r="I57">
        <f>A57&amp;"|"&amp;B57</f>
        <v/>
      </c>
      <c r="O57" t="inlineStr">
        <is>
          <t>None</t>
        </is>
      </c>
      <c r="P57" t="inlineStr">
        <is>
          <t>None</t>
        </is>
      </c>
    </row>
    <row r="58">
      <c r="A58">
        <f>A9</f>
        <v/>
      </c>
      <c r="B58" t="inlineStr">
        <is>
          <t>FY2026</t>
        </is>
      </c>
      <c r="C58">
        <f>IF(D9=1,0, BaselineCalc!$B$7 + ROUND(I9*F9,0))</f>
        <v/>
      </c>
      <c r="D58">
        <f>IF(E9=1,0, BaselineCalc!$B$8 + I9 - ROUND(I9*F9,0))</f>
        <v/>
      </c>
      <c r="E58">
        <f>C58+D58</f>
        <v/>
      </c>
      <c r="F58" s="2">
        <f>YearMap!B2</f>
        <v/>
      </c>
      <c r="G58" s="2">
        <f>YearMap!C2</f>
        <v/>
      </c>
      <c r="H58" s="2">
        <f>YearMap!D2</f>
        <v/>
      </c>
      <c r="I58">
        <f>A58&amp;"|"&amp;B58</f>
        <v/>
      </c>
      <c r="O58" t="inlineStr">
        <is>
          <t>None</t>
        </is>
      </c>
      <c r="P58" t="inlineStr">
        <is>
          <t>None</t>
        </is>
      </c>
    </row>
    <row r="59">
      <c r="A59">
        <f>A9</f>
        <v/>
      </c>
      <c r="B59" t="inlineStr">
        <is>
          <t>FY2027</t>
        </is>
      </c>
      <c r="C59">
        <f>IF(D9=1,0, BaselineCalc!$B$7 + ROUND(J9*F9,0))</f>
        <v/>
      </c>
      <c r="D59">
        <f>IF(E9=1,0, BaselineCalc!$B$8 + J9 - ROUND(J9*F9,0))</f>
        <v/>
      </c>
      <c r="E59">
        <f>C59+D59</f>
        <v/>
      </c>
      <c r="F59" s="2">
        <f>YearMap!B3</f>
        <v/>
      </c>
      <c r="G59" s="2">
        <f>YearMap!C3</f>
        <v/>
      </c>
      <c r="H59" s="2">
        <f>YearMap!D3</f>
        <v/>
      </c>
      <c r="I59">
        <f>A59&amp;"|"&amp;B59</f>
        <v/>
      </c>
      <c r="O59" t="inlineStr">
        <is>
          <t>None</t>
        </is>
      </c>
      <c r="P59" t="inlineStr">
        <is>
          <t>None</t>
        </is>
      </c>
    </row>
    <row r="60">
      <c r="A60">
        <f>A9</f>
        <v/>
      </c>
      <c r="B60" t="inlineStr">
        <is>
          <t>FY2028</t>
        </is>
      </c>
      <c r="C60">
        <f>IF(D9=1,0, BaselineCalc!$B$7 + ROUND(K9*F9,0))</f>
        <v/>
      </c>
      <c r="D60">
        <f>IF(E9=1,0, BaselineCalc!$B$8 + K9 - ROUND(K9*F9,0))</f>
        <v/>
      </c>
      <c r="E60">
        <f>C60+D60</f>
        <v/>
      </c>
      <c r="F60" s="2">
        <f>YearMap!B4</f>
        <v/>
      </c>
      <c r="G60" s="2">
        <f>YearMap!C4</f>
        <v/>
      </c>
      <c r="H60" s="2">
        <f>YearMap!D4</f>
        <v/>
      </c>
      <c r="I60">
        <f>A60&amp;"|"&amp;B60</f>
        <v/>
      </c>
      <c r="O60" t="inlineStr">
        <is>
          <t>None</t>
        </is>
      </c>
      <c r="P60" t="inlineStr">
        <is>
          <t>None</t>
        </is>
      </c>
    </row>
    <row r="61">
      <c r="A61">
        <f>A9</f>
        <v/>
      </c>
      <c r="B61" t="inlineStr">
        <is>
          <t>FY2029</t>
        </is>
      </c>
      <c r="C61">
        <f>IF(D9=1,0, BaselineCalc!$B$7 + ROUND(L9*F9,0))</f>
        <v/>
      </c>
      <c r="D61">
        <f>IF(E9=1,0, BaselineCalc!$B$8 + L9 - ROUND(L9*F9,0))</f>
        <v/>
      </c>
      <c r="E61">
        <f>C61+D61</f>
        <v/>
      </c>
      <c r="F61" s="2">
        <f>YearMap!B5</f>
        <v/>
      </c>
      <c r="G61" s="2">
        <f>YearMap!C5</f>
        <v/>
      </c>
      <c r="H61" s="2">
        <f>YearMap!D5</f>
        <v/>
      </c>
      <c r="I61">
        <f>A61&amp;"|"&amp;B61</f>
        <v/>
      </c>
      <c r="O61" t="inlineStr">
        <is>
          <t>None</t>
        </is>
      </c>
      <c r="P61" t="inlineStr">
        <is>
          <t>None</t>
        </is>
      </c>
    </row>
    <row r="62">
      <c r="A62">
        <f>A9</f>
        <v/>
      </c>
      <c r="B62" t="inlineStr">
        <is>
          <t>FY2030</t>
        </is>
      </c>
      <c r="C62">
        <f>IF(D9=1,0, BaselineCalc!$B$7 + ROUND(M9*F9,0))</f>
        <v/>
      </c>
      <c r="D62">
        <f>IF(E9=1,0, BaselineCalc!$B$8 + M9 - ROUND(M9*F9,0))</f>
        <v/>
      </c>
      <c r="E62">
        <f>C62+D62</f>
        <v/>
      </c>
      <c r="F62" s="2">
        <f>YearMap!B6</f>
        <v/>
      </c>
      <c r="G62" s="2">
        <f>YearMap!C6</f>
        <v/>
      </c>
      <c r="H62" s="2">
        <f>YearMap!D6</f>
        <v/>
      </c>
      <c r="I62">
        <f>A62&amp;"|"&amp;B62</f>
        <v/>
      </c>
      <c r="O62" t="inlineStr">
        <is>
          <t>None</t>
        </is>
      </c>
      <c r="P62" t="inlineStr">
        <is>
          <t>None</t>
        </is>
      </c>
    </row>
    <row r="63">
      <c r="A63">
        <f>A10</f>
        <v/>
      </c>
      <c r="B63" t="inlineStr">
        <is>
          <t>FY2026</t>
        </is>
      </c>
      <c r="C63">
        <f>IF(D10=1,0, BaselineCalc!$B$7 + ROUND(I10*F10,0))</f>
        <v/>
      </c>
      <c r="D63">
        <f>IF(E10=1,0, BaselineCalc!$B$8 + I10 - ROUND(I10*F10,0))</f>
        <v/>
      </c>
      <c r="E63">
        <f>C63+D63</f>
        <v/>
      </c>
      <c r="F63" s="2">
        <f>YearMap!B2</f>
        <v/>
      </c>
      <c r="G63" s="2">
        <f>YearMap!C2</f>
        <v/>
      </c>
      <c r="H63" s="2">
        <f>YearMap!D2</f>
        <v/>
      </c>
      <c r="I63">
        <f>A63&amp;"|"&amp;B63</f>
        <v/>
      </c>
      <c r="O63" t="inlineStr">
        <is>
          <t>None</t>
        </is>
      </c>
      <c r="P63" t="inlineStr">
        <is>
          <t>None</t>
        </is>
      </c>
    </row>
    <row r="64">
      <c r="A64">
        <f>A10</f>
        <v/>
      </c>
      <c r="B64" t="inlineStr">
        <is>
          <t>FY2027</t>
        </is>
      </c>
      <c r="C64">
        <f>IF(D10=1,0, BaselineCalc!$B$7 + ROUND(J10*F10,0))</f>
        <v/>
      </c>
      <c r="D64">
        <f>IF(E10=1,0, BaselineCalc!$B$8 + J10 - ROUND(J10*F10,0))</f>
        <v/>
      </c>
      <c r="E64">
        <f>C64+D64</f>
        <v/>
      </c>
      <c r="F64" s="2">
        <f>YearMap!B3</f>
        <v/>
      </c>
      <c r="G64" s="2">
        <f>YearMap!C3</f>
        <v/>
      </c>
      <c r="H64" s="2">
        <f>YearMap!D3</f>
        <v/>
      </c>
      <c r="I64">
        <f>A64&amp;"|"&amp;B64</f>
        <v/>
      </c>
      <c r="O64" t="inlineStr">
        <is>
          <t>None</t>
        </is>
      </c>
      <c r="P64" t="inlineStr">
        <is>
          <t>None</t>
        </is>
      </c>
    </row>
    <row r="65">
      <c r="A65">
        <f>A10</f>
        <v/>
      </c>
      <c r="B65" t="inlineStr">
        <is>
          <t>FY2028</t>
        </is>
      </c>
      <c r="C65">
        <f>IF(D10=1,0, BaselineCalc!$B$7 + ROUND(K10*F10,0))</f>
        <v/>
      </c>
      <c r="D65">
        <f>IF(E10=1,0, BaselineCalc!$B$8 + K10 - ROUND(K10*F10,0))</f>
        <v/>
      </c>
      <c r="E65">
        <f>C65+D65</f>
        <v/>
      </c>
      <c r="F65" s="2">
        <f>YearMap!B4</f>
        <v/>
      </c>
      <c r="G65" s="2">
        <f>YearMap!C4</f>
        <v/>
      </c>
      <c r="H65" s="2">
        <f>YearMap!D4</f>
        <v/>
      </c>
      <c r="I65">
        <f>A65&amp;"|"&amp;B65</f>
        <v/>
      </c>
      <c r="O65" t="inlineStr">
        <is>
          <t>None</t>
        </is>
      </c>
      <c r="P65" t="inlineStr">
        <is>
          <t>None</t>
        </is>
      </c>
    </row>
    <row r="66">
      <c r="A66">
        <f>A10</f>
        <v/>
      </c>
      <c r="B66" t="inlineStr">
        <is>
          <t>FY2029</t>
        </is>
      </c>
      <c r="C66">
        <f>IF(D10=1,0, BaselineCalc!$B$7 + ROUND(L10*F10,0))</f>
        <v/>
      </c>
      <c r="D66">
        <f>IF(E10=1,0, BaselineCalc!$B$8 + L10 - ROUND(L10*F10,0))</f>
        <v/>
      </c>
      <c r="E66">
        <f>C66+D66</f>
        <v/>
      </c>
      <c r="F66" s="2">
        <f>YearMap!B5</f>
        <v/>
      </c>
      <c r="G66" s="2">
        <f>YearMap!C5</f>
        <v/>
      </c>
      <c r="H66" s="2">
        <f>YearMap!D5</f>
        <v/>
      </c>
      <c r="I66">
        <f>A66&amp;"|"&amp;B66</f>
        <v/>
      </c>
      <c r="O66" t="inlineStr">
        <is>
          <t>None</t>
        </is>
      </c>
      <c r="P66" t="inlineStr">
        <is>
          <t>None</t>
        </is>
      </c>
    </row>
    <row r="67">
      <c r="A67">
        <f>A10</f>
        <v/>
      </c>
      <c r="B67" t="inlineStr">
        <is>
          <t>FY2030</t>
        </is>
      </c>
      <c r="C67">
        <f>IF(D10=1,0, BaselineCalc!$B$7 + ROUND(M10*F10,0))</f>
        <v/>
      </c>
      <c r="D67">
        <f>IF(E10=1,0, BaselineCalc!$B$8 + M10 - ROUND(M10*F10,0))</f>
        <v/>
      </c>
      <c r="E67">
        <f>C67+D67</f>
        <v/>
      </c>
      <c r="F67" s="2">
        <f>YearMap!B6</f>
        <v/>
      </c>
      <c r="G67" s="2">
        <f>YearMap!C6</f>
        <v/>
      </c>
      <c r="H67" s="2">
        <f>YearMap!D6</f>
        <v/>
      </c>
      <c r="I67">
        <f>A67&amp;"|"&amp;B67</f>
        <v/>
      </c>
      <c r="O67" t="inlineStr">
        <is>
          <t>None</t>
        </is>
      </c>
      <c r="P67" t="inlineStr">
        <is>
          <t>None</t>
        </is>
      </c>
    </row>
    <row r="68">
      <c r="A68">
        <f>A11</f>
        <v/>
      </c>
      <c r="B68" t="inlineStr">
        <is>
          <t>FY2026</t>
        </is>
      </c>
      <c r="C68">
        <f>IF(D11=1,0, BaselineCalc!$B$7 + ROUND(I11*F11,0))</f>
        <v/>
      </c>
      <c r="D68">
        <f>IF(E11=1,0, BaselineCalc!$B$8 + I11 - ROUND(I11*F11,0))</f>
        <v/>
      </c>
      <c r="E68">
        <f>C68+D68</f>
        <v/>
      </c>
      <c r="F68" s="2">
        <f>YearMap!B2</f>
        <v/>
      </c>
      <c r="G68" s="2">
        <f>YearMap!C2</f>
        <v/>
      </c>
      <c r="H68" s="2">
        <f>YearMap!D2</f>
        <v/>
      </c>
      <c r="I68">
        <f>A68&amp;"|"&amp;B68</f>
        <v/>
      </c>
      <c r="O68" t="inlineStr">
        <is>
          <t>None</t>
        </is>
      </c>
      <c r="P68" t="inlineStr">
        <is>
          <t>None</t>
        </is>
      </c>
    </row>
    <row r="69">
      <c r="A69">
        <f>A11</f>
        <v/>
      </c>
      <c r="B69" t="inlineStr">
        <is>
          <t>FY2027</t>
        </is>
      </c>
      <c r="C69">
        <f>IF(D11=1,0, BaselineCalc!$B$7 + ROUND(J11*F11,0))</f>
        <v/>
      </c>
      <c r="D69">
        <f>IF(E11=1,0, BaselineCalc!$B$8 + J11 - ROUND(J11*F11,0))</f>
        <v/>
      </c>
      <c r="E69">
        <f>C69+D69</f>
        <v/>
      </c>
      <c r="F69" s="2">
        <f>YearMap!B3</f>
        <v/>
      </c>
      <c r="G69" s="2">
        <f>YearMap!C3</f>
        <v/>
      </c>
      <c r="H69" s="2">
        <f>YearMap!D3</f>
        <v/>
      </c>
      <c r="I69">
        <f>A69&amp;"|"&amp;B69</f>
        <v/>
      </c>
      <c r="O69" t="inlineStr">
        <is>
          <t>None</t>
        </is>
      </c>
      <c r="P69" t="inlineStr">
        <is>
          <t>None</t>
        </is>
      </c>
    </row>
    <row r="70">
      <c r="A70">
        <f>A11</f>
        <v/>
      </c>
      <c r="B70" t="inlineStr">
        <is>
          <t>FY2028</t>
        </is>
      </c>
      <c r="C70">
        <f>IF(D11=1,0, BaselineCalc!$B$7 + ROUND(K11*F11,0))</f>
        <v/>
      </c>
      <c r="D70">
        <f>IF(E11=1,0, BaselineCalc!$B$8 + K11 - ROUND(K11*F11,0))</f>
        <v/>
      </c>
      <c r="E70">
        <f>C70+D70</f>
        <v/>
      </c>
      <c r="F70" s="2">
        <f>YearMap!B4</f>
        <v/>
      </c>
      <c r="G70" s="2">
        <f>YearMap!C4</f>
        <v/>
      </c>
      <c r="H70" s="2">
        <f>YearMap!D4</f>
        <v/>
      </c>
      <c r="I70">
        <f>A70&amp;"|"&amp;B70</f>
        <v/>
      </c>
      <c r="O70" t="inlineStr">
        <is>
          <t>None</t>
        </is>
      </c>
      <c r="P70" t="inlineStr">
        <is>
          <t>None</t>
        </is>
      </c>
    </row>
    <row r="71">
      <c r="A71">
        <f>A11</f>
        <v/>
      </c>
      <c r="B71" t="inlineStr">
        <is>
          <t>FY2029</t>
        </is>
      </c>
      <c r="C71">
        <f>IF(D11=1,0, BaselineCalc!$B$7 + ROUND(L11*F11,0))</f>
        <v/>
      </c>
      <c r="D71">
        <f>IF(E11=1,0, BaselineCalc!$B$8 + L11 - ROUND(L11*F11,0))</f>
        <v/>
      </c>
      <c r="E71">
        <f>C71+D71</f>
        <v/>
      </c>
      <c r="F71" s="2">
        <f>YearMap!B5</f>
        <v/>
      </c>
      <c r="G71" s="2">
        <f>YearMap!C5</f>
        <v/>
      </c>
      <c r="H71" s="2">
        <f>YearMap!D5</f>
        <v/>
      </c>
      <c r="I71">
        <f>A71&amp;"|"&amp;B71</f>
        <v/>
      </c>
      <c r="O71" t="inlineStr">
        <is>
          <t>None</t>
        </is>
      </c>
      <c r="P71" t="inlineStr">
        <is>
          <t>None</t>
        </is>
      </c>
    </row>
    <row r="72">
      <c r="A72">
        <f>A11</f>
        <v/>
      </c>
      <c r="B72" t="inlineStr">
        <is>
          <t>FY2030</t>
        </is>
      </c>
      <c r="C72">
        <f>IF(D11=1,0, BaselineCalc!$B$7 + ROUND(M11*F11,0))</f>
        <v/>
      </c>
      <c r="D72">
        <f>IF(E11=1,0, BaselineCalc!$B$8 + M11 - ROUND(M11*F11,0))</f>
        <v/>
      </c>
      <c r="E72">
        <f>C72+D72</f>
        <v/>
      </c>
      <c r="F72" s="2">
        <f>YearMap!B6</f>
        <v/>
      </c>
      <c r="G72" s="2">
        <f>YearMap!C6</f>
        <v/>
      </c>
      <c r="H72" s="2">
        <f>YearMap!D6</f>
        <v/>
      </c>
      <c r="I72">
        <f>A72&amp;"|"&amp;B72</f>
        <v/>
      </c>
      <c r="O72" t="inlineStr">
        <is>
          <t>None</t>
        </is>
      </c>
      <c r="P72" t="inlineStr">
        <is>
          <t>None</t>
        </is>
      </c>
    </row>
    <row r="73">
      <c r="A73">
        <f>A12</f>
        <v/>
      </c>
      <c r="B73" t="inlineStr">
        <is>
          <t>FY2026</t>
        </is>
      </c>
      <c r="C73">
        <f>IF(D12=1,0, BaselineCalc!$B$7 + ROUND(I12*F12,0))</f>
        <v/>
      </c>
      <c r="D73">
        <f>IF(E12=1,0, BaselineCalc!$B$8 + I12 - ROUND(I12*F12,0))</f>
        <v/>
      </c>
      <c r="E73">
        <f>C73+D73</f>
        <v/>
      </c>
      <c r="F73" s="2">
        <f>YearMap!B2</f>
        <v/>
      </c>
      <c r="G73" s="2">
        <f>YearMap!C2</f>
        <v/>
      </c>
      <c r="H73" s="2">
        <f>YearMap!D2</f>
        <v/>
      </c>
      <c r="I73">
        <f>A73&amp;"|"&amp;B73</f>
        <v/>
      </c>
      <c r="O73" t="inlineStr">
        <is>
          <t>None</t>
        </is>
      </c>
      <c r="P73" t="inlineStr">
        <is>
          <t>None</t>
        </is>
      </c>
    </row>
    <row r="74">
      <c r="A74">
        <f>A12</f>
        <v/>
      </c>
      <c r="B74" t="inlineStr">
        <is>
          <t>FY2027</t>
        </is>
      </c>
      <c r="C74">
        <f>IF(D12=1,0, BaselineCalc!$B$7 + ROUND(J12*F12,0))</f>
        <v/>
      </c>
      <c r="D74">
        <f>IF(E12=1,0, BaselineCalc!$B$8 + J12 - ROUND(J12*F12,0))</f>
        <v/>
      </c>
      <c r="E74">
        <f>C74+D74</f>
        <v/>
      </c>
      <c r="F74" s="2">
        <f>YearMap!B3</f>
        <v/>
      </c>
      <c r="G74" s="2">
        <f>YearMap!C3</f>
        <v/>
      </c>
      <c r="H74" s="2">
        <f>YearMap!D3</f>
        <v/>
      </c>
      <c r="I74">
        <f>A74&amp;"|"&amp;B74</f>
        <v/>
      </c>
      <c r="O74" t="inlineStr">
        <is>
          <t>None</t>
        </is>
      </c>
      <c r="P74" t="inlineStr">
        <is>
          <t>None</t>
        </is>
      </c>
    </row>
    <row r="75">
      <c r="A75">
        <f>A12</f>
        <v/>
      </c>
      <c r="B75" t="inlineStr">
        <is>
          <t>FY2028</t>
        </is>
      </c>
      <c r="C75">
        <f>IF(D12=1,0, BaselineCalc!$B$7 + ROUND(K12*F12,0))</f>
        <v/>
      </c>
      <c r="D75">
        <f>IF(E12=1,0, BaselineCalc!$B$8 + K12 - ROUND(K12*F12,0))</f>
        <v/>
      </c>
      <c r="E75">
        <f>C75+D75</f>
        <v/>
      </c>
      <c r="F75" s="2">
        <f>YearMap!B4</f>
        <v/>
      </c>
      <c r="G75" s="2">
        <f>YearMap!C4</f>
        <v/>
      </c>
      <c r="H75" s="2">
        <f>YearMap!D4</f>
        <v/>
      </c>
      <c r="I75">
        <f>A75&amp;"|"&amp;B75</f>
        <v/>
      </c>
      <c r="O75" t="inlineStr">
        <is>
          <t>None</t>
        </is>
      </c>
      <c r="P75" t="inlineStr">
        <is>
          <t>None</t>
        </is>
      </c>
    </row>
    <row r="76">
      <c r="A76">
        <f>A12</f>
        <v/>
      </c>
      <c r="B76" t="inlineStr">
        <is>
          <t>FY2029</t>
        </is>
      </c>
      <c r="C76">
        <f>IF(D12=1,0, BaselineCalc!$B$7 + ROUND(L12*F12,0))</f>
        <v/>
      </c>
      <c r="D76">
        <f>IF(E12=1,0, BaselineCalc!$B$8 + L12 - ROUND(L12*F12,0))</f>
        <v/>
      </c>
      <c r="E76">
        <f>C76+D76</f>
        <v/>
      </c>
      <c r="F76" s="2">
        <f>YearMap!B5</f>
        <v/>
      </c>
      <c r="G76" s="2">
        <f>YearMap!C5</f>
        <v/>
      </c>
      <c r="H76" s="2">
        <f>YearMap!D5</f>
        <v/>
      </c>
      <c r="I76">
        <f>A76&amp;"|"&amp;B76</f>
        <v/>
      </c>
      <c r="O76" t="inlineStr">
        <is>
          <t>None</t>
        </is>
      </c>
      <c r="P76" t="inlineStr">
        <is>
          <t>None</t>
        </is>
      </c>
    </row>
    <row r="77">
      <c r="A77">
        <f>A12</f>
        <v/>
      </c>
      <c r="B77" t="inlineStr">
        <is>
          <t>FY2030</t>
        </is>
      </c>
      <c r="C77">
        <f>IF(D12=1,0, BaselineCalc!$B$7 + ROUND(M12*F12,0))</f>
        <v/>
      </c>
      <c r="D77">
        <f>IF(E12=1,0, BaselineCalc!$B$8 + M12 - ROUND(M12*F12,0))</f>
        <v/>
      </c>
      <c r="E77">
        <f>C77+D77</f>
        <v/>
      </c>
      <c r="F77" s="2">
        <f>YearMap!B6</f>
        <v/>
      </c>
      <c r="G77" s="2">
        <f>YearMap!C6</f>
        <v/>
      </c>
      <c r="H77" s="2">
        <f>YearMap!D6</f>
        <v/>
      </c>
      <c r="I77">
        <f>A77&amp;"|"&amp;B77</f>
        <v/>
      </c>
      <c r="O77" t="inlineStr">
        <is>
          <t>None</t>
        </is>
      </c>
      <c r="P77" t="inlineStr">
        <is>
          <t>None</t>
        </is>
      </c>
    </row>
    <row r="78">
      <c r="A78">
        <f>A13</f>
        <v/>
      </c>
      <c r="B78" t="inlineStr">
        <is>
          <t>FY2026</t>
        </is>
      </c>
      <c r="C78">
        <f>IF(D13=1,0, BaselineCalc!$B$7 + ROUND(I13*F13,0))</f>
        <v/>
      </c>
      <c r="D78">
        <f>IF(E13=1,0, BaselineCalc!$B$8 + I13 - ROUND(I13*F13,0))</f>
        <v/>
      </c>
      <c r="E78">
        <f>C78+D78</f>
        <v/>
      </c>
      <c r="F78" s="2">
        <f>YearMap!B2</f>
        <v/>
      </c>
      <c r="G78" s="2">
        <f>YearMap!C2</f>
        <v/>
      </c>
      <c r="H78" s="2">
        <f>YearMap!D2</f>
        <v/>
      </c>
      <c r="I78">
        <f>A78&amp;"|"&amp;B78</f>
        <v/>
      </c>
      <c r="O78" t="inlineStr">
        <is>
          <t>None</t>
        </is>
      </c>
      <c r="P78" t="inlineStr">
        <is>
          <t>None</t>
        </is>
      </c>
    </row>
    <row r="79">
      <c r="A79">
        <f>A13</f>
        <v/>
      </c>
      <c r="B79" t="inlineStr">
        <is>
          <t>FY2027</t>
        </is>
      </c>
      <c r="C79">
        <f>IF(D13=1,0, BaselineCalc!$B$7 + ROUND(J13*F13,0))</f>
        <v/>
      </c>
      <c r="D79">
        <f>IF(E13=1,0, BaselineCalc!$B$8 + J13 - ROUND(J13*F13,0))</f>
        <v/>
      </c>
      <c r="E79">
        <f>C79+D79</f>
        <v/>
      </c>
      <c r="F79" s="2">
        <f>YearMap!B3</f>
        <v/>
      </c>
      <c r="G79" s="2">
        <f>YearMap!C3</f>
        <v/>
      </c>
      <c r="H79" s="2">
        <f>YearMap!D3</f>
        <v/>
      </c>
      <c r="I79">
        <f>A79&amp;"|"&amp;B79</f>
        <v/>
      </c>
      <c r="O79" t="inlineStr">
        <is>
          <t>None</t>
        </is>
      </c>
      <c r="P79" t="inlineStr">
        <is>
          <t>None</t>
        </is>
      </c>
    </row>
    <row r="80">
      <c r="A80">
        <f>A13</f>
        <v/>
      </c>
      <c r="B80" t="inlineStr">
        <is>
          <t>FY2028</t>
        </is>
      </c>
      <c r="C80">
        <f>IF(D13=1,0, BaselineCalc!$B$7 + ROUND(K13*F13,0))</f>
        <v/>
      </c>
      <c r="D80">
        <f>IF(E13=1,0, BaselineCalc!$B$8 + K13 - ROUND(K13*F13,0))</f>
        <v/>
      </c>
      <c r="E80">
        <f>C80+D80</f>
        <v/>
      </c>
      <c r="F80" s="2">
        <f>YearMap!B4</f>
        <v/>
      </c>
      <c r="G80" s="2">
        <f>YearMap!C4</f>
        <v/>
      </c>
      <c r="H80" s="2">
        <f>YearMap!D4</f>
        <v/>
      </c>
      <c r="I80">
        <f>A80&amp;"|"&amp;B80</f>
        <v/>
      </c>
      <c r="O80" t="inlineStr">
        <is>
          <t>None</t>
        </is>
      </c>
      <c r="P80" t="inlineStr">
        <is>
          <t>None</t>
        </is>
      </c>
    </row>
    <row r="81">
      <c r="A81">
        <f>A13</f>
        <v/>
      </c>
      <c r="B81" t="inlineStr">
        <is>
          <t>FY2029</t>
        </is>
      </c>
      <c r="C81">
        <f>IF(D13=1,0, BaselineCalc!$B$7 + ROUND(L13*F13,0))</f>
        <v/>
      </c>
      <c r="D81">
        <f>IF(E13=1,0, BaselineCalc!$B$8 + L13 - ROUND(L13*F13,0))</f>
        <v/>
      </c>
      <c r="E81">
        <f>C81+D81</f>
        <v/>
      </c>
      <c r="F81" s="2">
        <f>YearMap!B5</f>
        <v/>
      </c>
      <c r="G81" s="2">
        <f>YearMap!C5</f>
        <v/>
      </c>
      <c r="H81" s="2">
        <f>YearMap!D5</f>
        <v/>
      </c>
      <c r="I81">
        <f>A81&amp;"|"&amp;B81</f>
        <v/>
      </c>
      <c r="O81" t="inlineStr">
        <is>
          <t>None</t>
        </is>
      </c>
      <c r="P81" t="inlineStr">
        <is>
          <t>None</t>
        </is>
      </c>
    </row>
    <row r="82">
      <c r="A82">
        <f>A13</f>
        <v/>
      </c>
      <c r="B82" t="inlineStr">
        <is>
          <t>FY2030</t>
        </is>
      </c>
      <c r="C82">
        <f>IF(D13=1,0, BaselineCalc!$B$7 + ROUND(M13*F13,0))</f>
        <v/>
      </c>
      <c r="D82">
        <f>IF(E13=1,0, BaselineCalc!$B$8 + M13 - ROUND(M13*F13,0))</f>
        <v/>
      </c>
      <c r="E82">
        <f>C82+D82</f>
        <v/>
      </c>
      <c r="F82" s="2">
        <f>YearMap!B6</f>
        <v/>
      </c>
      <c r="G82" s="2">
        <f>YearMap!C6</f>
        <v/>
      </c>
      <c r="H82" s="2">
        <f>YearMap!D6</f>
        <v/>
      </c>
      <c r="I82">
        <f>A82&amp;"|"&amp;B82</f>
        <v/>
      </c>
      <c r="O82" t="inlineStr">
        <is>
          <t>None</t>
        </is>
      </c>
      <c r="P82" t="inlineStr">
        <is>
          <t>None</t>
        </is>
      </c>
    </row>
    <row r="83">
      <c r="A83">
        <f>A14</f>
        <v/>
      </c>
      <c r="B83" t="inlineStr">
        <is>
          <t>FY2026</t>
        </is>
      </c>
      <c r="C83">
        <f>IF(D14=1,0, BaselineCalc!$B$7 + ROUND(I14*F14,0))</f>
        <v/>
      </c>
      <c r="D83">
        <f>IF(E14=1,0, BaselineCalc!$B$8 + I14 - ROUND(I14*F14,0))</f>
        <v/>
      </c>
      <c r="E83">
        <f>C83+D83</f>
        <v/>
      </c>
      <c r="F83" s="2">
        <f>YearMap!B2</f>
        <v/>
      </c>
      <c r="G83" s="2">
        <f>YearMap!C2</f>
        <v/>
      </c>
      <c r="H83" s="2">
        <f>YearMap!D2</f>
        <v/>
      </c>
      <c r="I83">
        <f>A83&amp;"|"&amp;B83</f>
        <v/>
      </c>
      <c r="O83" t="inlineStr">
        <is>
          <t>None</t>
        </is>
      </c>
      <c r="P83" t="inlineStr">
        <is>
          <t>None</t>
        </is>
      </c>
    </row>
    <row r="84">
      <c r="A84">
        <f>A14</f>
        <v/>
      </c>
      <c r="B84" t="inlineStr">
        <is>
          <t>FY2027</t>
        </is>
      </c>
      <c r="C84">
        <f>IF(D14=1,0, BaselineCalc!$B$7 + ROUND(J14*F14,0))</f>
        <v/>
      </c>
      <c r="D84">
        <f>IF(E14=1,0, BaselineCalc!$B$8 + J14 - ROUND(J14*F14,0))</f>
        <v/>
      </c>
      <c r="E84">
        <f>C84+D84</f>
        <v/>
      </c>
      <c r="F84" s="2">
        <f>YearMap!B3</f>
        <v/>
      </c>
      <c r="G84" s="2">
        <f>YearMap!C3</f>
        <v/>
      </c>
      <c r="H84" s="2">
        <f>YearMap!D3</f>
        <v/>
      </c>
      <c r="I84">
        <f>A84&amp;"|"&amp;B84</f>
        <v/>
      </c>
      <c r="O84" t="inlineStr">
        <is>
          <t>None</t>
        </is>
      </c>
      <c r="P84" t="inlineStr">
        <is>
          <t>None</t>
        </is>
      </c>
    </row>
    <row r="85">
      <c r="A85">
        <f>A14</f>
        <v/>
      </c>
      <c r="B85" t="inlineStr">
        <is>
          <t>FY2028</t>
        </is>
      </c>
      <c r="C85">
        <f>IF(D14=1,0, BaselineCalc!$B$7 + ROUND(K14*F14,0))</f>
        <v/>
      </c>
      <c r="D85">
        <f>IF(E14=1,0, BaselineCalc!$B$8 + K14 - ROUND(K14*F14,0))</f>
        <v/>
      </c>
      <c r="E85">
        <f>C85+D85</f>
        <v/>
      </c>
      <c r="F85" s="2">
        <f>YearMap!B4</f>
        <v/>
      </c>
      <c r="G85" s="2">
        <f>YearMap!C4</f>
        <v/>
      </c>
      <c r="H85" s="2">
        <f>YearMap!D4</f>
        <v/>
      </c>
      <c r="I85">
        <f>A85&amp;"|"&amp;B85</f>
        <v/>
      </c>
      <c r="O85" t="inlineStr">
        <is>
          <t>None</t>
        </is>
      </c>
      <c r="P85" t="inlineStr">
        <is>
          <t>None</t>
        </is>
      </c>
    </row>
    <row r="86">
      <c r="A86">
        <f>A14</f>
        <v/>
      </c>
      <c r="B86" t="inlineStr">
        <is>
          <t>FY2029</t>
        </is>
      </c>
      <c r="C86">
        <f>IF(D14=1,0, BaselineCalc!$B$7 + ROUND(L14*F14,0))</f>
        <v/>
      </c>
      <c r="D86">
        <f>IF(E14=1,0, BaselineCalc!$B$8 + L14 - ROUND(L14*F14,0))</f>
        <v/>
      </c>
      <c r="E86">
        <f>C86+D86</f>
        <v/>
      </c>
      <c r="F86" s="2">
        <f>YearMap!B5</f>
        <v/>
      </c>
      <c r="G86" s="2">
        <f>YearMap!C5</f>
        <v/>
      </c>
      <c r="H86" s="2">
        <f>YearMap!D5</f>
        <v/>
      </c>
      <c r="I86">
        <f>A86&amp;"|"&amp;B86</f>
        <v/>
      </c>
      <c r="O86" t="inlineStr">
        <is>
          <t>None</t>
        </is>
      </c>
      <c r="P86" t="inlineStr">
        <is>
          <t>None</t>
        </is>
      </c>
    </row>
    <row r="87">
      <c r="A87">
        <f>A14</f>
        <v/>
      </c>
      <c r="B87" t="inlineStr">
        <is>
          <t>FY2030</t>
        </is>
      </c>
      <c r="C87">
        <f>IF(D14=1,0, BaselineCalc!$B$7 + ROUND(M14*F14,0))</f>
        <v/>
      </c>
      <c r="D87">
        <f>IF(E14=1,0, BaselineCalc!$B$8 + M14 - ROUND(M14*F14,0))</f>
        <v/>
      </c>
      <c r="E87">
        <f>C87+D87</f>
        <v/>
      </c>
      <c r="F87" s="2">
        <f>YearMap!B6</f>
        <v/>
      </c>
      <c r="G87" s="2">
        <f>YearMap!C6</f>
        <v/>
      </c>
      <c r="H87" s="2">
        <f>YearMap!D6</f>
        <v/>
      </c>
      <c r="I87">
        <f>A87&amp;"|"&amp;B87</f>
        <v/>
      </c>
      <c r="O87" t="inlineStr">
        <is>
          <t>None</t>
        </is>
      </c>
      <c r="P87" t="inlineStr">
        <is>
          <t>None</t>
        </is>
      </c>
    </row>
  </sheetData>
  <mergeCells count="1">
    <mergeCell ref="C1:G1"/>
  </mergeCells>
  <dataValidations count="1">
    <dataValidation sqref="O3:P15" showErrorMessage="1" showInputMessage="1" allowBlank="1" type="list">
      <formula1>"None, Arts, Innov"</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66"/>
  <sheetViews>
    <sheetView zoomScale="70" zoomScaleNormal="70" workbookViewId="0">
      <pane xSplit="2" ySplit="1" topLeftCell="T10" activePane="bottomRight" state="frozen"/>
      <selection activeCell="B2" sqref="B2"/>
      <selection pane="topRight" activeCell="B2" sqref="B2"/>
      <selection pane="bottomLeft" activeCell="B2" sqref="B2"/>
      <selection pane="bottomRight" activeCell="AF36" sqref="AF36"/>
    </sheetView>
  </sheetViews>
  <sheetFormatPr baseColWidth="8" defaultRowHeight="14.5"/>
  <cols>
    <col width="9.453125" customWidth="1" style="137" min="1" max="1"/>
    <col width="27.6328125" bestFit="1" customWidth="1" style="137" min="2" max="2"/>
    <col width="10.26953125" bestFit="1" customWidth="1" style="137" min="4" max="4"/>
    <col width="10.54296875" bestFit="1" customWidth="1" style="137" min="5" max="5"/>
    <col width="12.90625" customWidth="1" style="137" min="6" max="6"/>
    <col width="13.08984375" bestFit="1" customWidth="1" style="137" min="7" max="9"/>
    <col width="9.6328125" bestFit="1" customWidth="1" style="137" min="10" max="10"/>
    <col width="9.1796875" bestFit="1" customWidth="1" style="137" min="11" max="11"/>
    <col width="18" bestFit="1" customWidth="1" style="137" min="12" max="12"/>
    <col width="18.26953125" bestFit="1" customWidth="1" style="137" min="13" max="13"/>
    <col width="14.36328125" bestFit="1" customWidth="1" style="137" min="14" max="14"/>
    <col width="13.6328125" bestFit="1" customWidth="1" style="137" min="15" max="15"/>
    <col width="5.453125" bestFit="1" customWidth="1" style="137" min="16" max="16"/>
    <col width="9.08984375" bestFit="1" customWidth="1" style="137" min="17" max="17"/>
    <col width="13.08984375" bestFit="1" customWidth="1" style="137" min="18" max="19"/>
    <col width="12.6328125" bestFit="1" customWidth="1" style="137" min="20" max="20"/>
    <col width="13.08984375" bestFit="1" customWidth="1" style="137" min="21" max="21"/>
    <col width="18.26953125" bestFit="1" customWidth="1" style="137" min="22" max="22"/>
    <col width="16.54296875" bestFit="1" customWidth="1" style="137" min="23" max="23"/>
    <col width="24.453125" bestFit="1" customWidth="1" style="137" min="24" max="24"/>
    <col width="12.6328125" bestFit="1" customWidth="1" style="137" min="25" max="25"/>
    <col width="17.54296875" bestFit="1" customWidth="1" style="137" min="26" max="26"/>
    <col width="14" bestFit="1" customWidth="1" style="137" min="30" max="31"/>
    <col width="14.7265625" bestFit="1" customWidth="1" style="137" min="32" max="32"/>
  </cols>
  <sheetData>
    <row r="1">
      <c r="A1">
        <f>AG1</f>
        <v/>
      </c>
      <c r="B1" s="1" t="inlineStr">
        <is>
          <t>ScenarioKey</t>
        </is>
      </c>
      <c r="C1" s="1" t="inlineStr">
        <is>
          <t>Year</t>
        </is>
      </c>
      <c r="D1" s="1" t="inlineStr">
        <is>
          <t>Echo_ADM</t>
        </is>
      </c>
      <c r="E1" s="1" t="inlineStr">
        <is>
          <t>Pima_ADM</t>
        </is>
      </c>
      <c r="F1" s="1" t="inlineStr">
        <is>
          <t>Total_ADM</t>
        </is>
      </c>
      <c r="G1" s="1" t="inlineStr">
        <is>
          <t>VarUnit$</t>
        </is>
      </c>
      <c r="H1" s="1" t="inlineStr">
        <is>
          <t>EchoFixed$</t>
        </is>
      </c>
      <c r="I1" s="1" t="inlineStr">
        <is>
          <t>PimaFixed$</t>
        </is>
      </c>
      <c r="J1" s="1" t="inlineStr">
        <is>
          <t>OpsFactor</t>
        </is>
      </c>
      <c r="K1" s="1" t="inlineStr">
        <is>
          <t>ExtraSave</t>
        </is>
      </c>
      <c r="L1" s="1" t="inlineStr">
        <is>
          <t>EchoPotential_ADM</t>
        </is>
      </c>
      <c r="M1" s="1" t="inlineStr">
        <is>
          <t>PimaPotential_ADM</t>
        </is>
      </c>
      <c r="N1" s="1" t="inlineStr">
        <is>
          <t>Displaced_ADM</t>
        </is>
      </c>
      <c r="O1" s="1" t="inlineStr">
        <is>
          <t>Retained_ADM</t>
        </is>
      </c>
      <c r="P1" s="1" t="inlineStr">
        <is>
          <t>h</t>
        </is>
      </c>
      <c r="Q1" s="1" t="inlineStr">
        <is>
          <t>CarryFrac</t>
        </is>
      </c>
      <c r="R1" s="1" t="inlineStr">
        <is>
          <t>EchoFixedEff$</t>
        </is>
      </c>
      <c r="S1" s="1" t="inlineStr">
        <is>
          <t>PimaFixedEff$</t>
        </is>
      </c>
      <c r="T1" s="1" t="inlineStr">
        <is>
          <t>TI_adds$</t>
        </is>
      </c>
      <c r="U1" s="1" t="inlineStr">
        <is>
          <t>SiteCost$</t>
        </is>
      </c>
      <c r="V1" s="1" t="inlineStr">
        <is>
          <t>RetainedSvc$</t>
        </is>
      </c>
      <c r="W1" s="1" t="inlineStr">
        <is>
          <t>Comparable_MO$</t>
        </is>
      </c>
      <c r="X1" s="1" t="inlineStr">
        <is>
          <t>Comparable_per_Student$</t>
        </is>
      </c>
      <c r="Y1" t="inlineStr">
        <is>
          <t>Aid_per_ADM</t>
        </is>
      </c>
      <c r="Z1" t="inlineStr">
        <is>
          <t>Net_MO_after_aid$</t>
        </is>
      </c>
      <c r="AA1" t="inlineStr">
        <is>
          <t>Net_per_served$</t>
        </is>
      </c>
      <c r="AB1" t="inlineStr">
        <is>
          <t>Overlay_ADM</t>
        </is>
      </c>
      <c r="AC1" t="inlineStr">
        <is>
          <t>Served_ADM</t>
        </is>
      </c>
      <c r="AD1" t="inlineStr">
        <is>
          <t>Revenue$</t>
        </is>
      </c>
      <c r="AE1" t="inlineStr">
        <is>
          <t>Adj_MO$</t>
        </is>
      </c>
      <c r="AF1" t="inlineStr">
        <is>
          <t>Net$</t>
        </is>
      </c>
      <c r="AG1" s="1" t="inlineStr">
        <is>
          <t>Key</t>
        </is>
      </c>
    </row>
    <row r="2">
      <c r="A2">
        <f>AG2</f>
        <v/>
      </c>
      <c r="B2">
        <f>Scenarios!A3</f>
        <v/>
      </c>
      <c r="C2" t="inlineStr">
        <is>
          <t>FY2026</t>
        </is>
      </c>
      <c r="D2">
        <f>IF(Scenarios!D3=1,0, L2)</f>
        <v/>
      </c>
      <c r="E2">
        <f>IF(Scenarios!E3=1,0, M2)</f>
        <v/>
      </c>
      <c r="F2">
        <f>D2+E2</f>
        <v/>
      </c>
      <c r="G2" s="2">
        <f>YearMap!B2</f>
        <v/>
      </c>
      <c r="H2" s="2">
        <f>YearMap!C2</f>
        <v/>
      </c>
      <c r="I2" s="2">
        <f>YearMap!D2</f>
        <v/>
      </c>
      <c r="J2">
        <f>1-BaselineCalc!$B$5</f>
        <v/>
      </c>
      <c r="K2">
        <f>Scenarios!G3</f>
        <v/>
      </c>
      <c r="L2">
        <f>IF(Scenarios!$Q3=1,BaselineCalc!$B$7*(1+Parameters_Public!$C44)^(IF($C2="FY2026",0,IF($C2="FY2027",1,IF($C2="FY2028",2,IF($C2="FY2029",3,IF($C2="FY2030",4,0))))))+ROUND(Scenarios!I3*Scenarios!$F3,0),BaselineCalc!$B$7+ROUND(Scenarios!I3*Scenarios!$F3,0))</f>
        <v/>
      </c>
      <c r="M2">
        <f>IF(Scenarios!$R3=1,BaselineCalc!$B$8*(1+Parameters_Public!$C45)^(IF($C2="FY2026",0,IF($C2="FY2027",1,IF($C2="FY2028",2,IF($C2="FY2029",3,IF($C2="FY2030",4,0))))))+Scenarios!I3-ROUND(Scenarios!I3*Scenarios!$F3,0),BaselineCalc!$B$8+Scenarios!I3-ROUND(Scenarios!I3*Scenarios!$F3,0))</f>
        <v/>
      </c>
      <c r="N2" s="11">
        <f>(L2-D2) + (M2-E2)</f>
        <v/>
      </c>
      <c r="O2" s="11">
        <f>(Parameters_Public!$C$23*(L2-D2)+Parameters_Public!$C$24*(M2-E2))</f>
        <v/>
      </c>
      <c r="P2">
        <f>YearMap!E2</f>
        <v/>
      </c>
      <c r="Q2">
        <f>IF(Scenarios!N3="lease", YearMap!F2, YearMap!G2)</f>
        <v/>
      </c>
      <c r="R2" s="2">
        <f>IF(Scenarios!D3=1, Q2*H2, H2)</f>
        <v/>
      </c>
      <c r="S2" s="2">
        <f>IF(Scenarios!E3=1, Q2*I2, I2)</f>
        <v/>
      </c>
      <c r="T2" s="2">
        <f>IF(C2="FY2026", (Scenarios!D3+Scenarios!E3)*BaselineCalc!$B$22, 0)</f>
        <v/>
      </c>
      <c r="U2" s="2">
        <f>(R2+S2+G2*F2)*J2*(1-K2)</f>
        <v/>
      </c>
      <c r="V2" s="2">
        <f>O2*(G2+P2)</f>
        <v/>
      </c>
      <c r="W2" s="2">
        <f>U2+V2+IF(Parameters_Public!$C$28=1, T2, 0)</f>
        <v/>
      </c>
      <c r="X2" s="2">
        <f>IF(F2+O2&gt;0, W2/(F2+O2),"")</f>
        <v/>
      </c>
      <c r="Y2" s="2">
        <f>INDEX(YearMap!$I$2:$I$6, MATCH(C2, YearMap!$A$2:$A$6, 0))</f>
        <v/>
      </c>
      <c r="Z2" s="2">
        <f>W2 - ((Y2 + IF(Parameters_Public!$C$20=1, Parameters_Public!$C$19, 0))*AC2)</f>
        <v/>
      </c>
      <c r="AA2" s="2">
        <f>IF($AC2&gt;0, $Z2/$AC2, 0)</f>
        <v/>
      </c>
      <c r="AB2">
        <f>MAX(0, (MAX(0, $D2-BaselineCalc!$B$7) + MAX(0, $E2-BaselineCalc!$B$8)))</f>
        <v/>
      </c>
      <c r="AC2" s="11">
        <f>L2+M2-N2+O2</f>
        <v/>
      </c>
      <c r="AD2" s="2">
        <f>( (Y2 + IF(Parameters_Public!$C20=1, INDEX(YearMap!$O$2:$O$6, MATCH(C2, YearMap!$A$2:$A$6, 0)), 0)) * AC2 ) + AC2*INDEX(YearMap!$P$2:$P$6, MATCH(C2, YearMap!$A$2:$A$6, 0)) + AB2*( INDEX(YearMap!$R$2:$R$6, MATCH(C2, YearMap!$A$2:$A$6, 0)) - INDEX(YearMap!$P$2:$P$6, MATCH(C2, YearMap!$A$2:$A$6, 0)) )</f>
        <v/>
      </c>
      <c r="AE2" s="2">
        <f>(W2 - (1-Parameters_Public!$C$43)*$G2*$AB2*$J2*(1-$K2)) + AB2*INDEX(YearMap!$Q$2:$Q$6, MATCH(C2, YearMap!$A$2:$A$6, 0))</f>
        <v/>
      </c>
      <c r="AF2" s="2">
        <f>AD2-AE2</f>
        <v/>
      </c>
      <c r="AG2">
        <f>B2&amp;"|"&amp;C2</f>
        <v/>
      </c>
    </row>
    <row r="3">
      <c r="A3">
        <f>AG3</f>
        <v/>
      </c>
      <c r="B3">
        <f>Scenarios!A3</f>
        <v/>
      </c>
      <c r="C3" t="inlineStr">
        <is>
          <t>FY2027</t>
        </is>
      </c>
      <c r="D3">
        <f>IF(Scenarios!D3=1,0, L3)</f>
        <v/>
      </c>
      <c r="E3">
        <f>IF(Scenarios!E3=1,0, M3)</f>
        <v/>
      </c>
      <c r="F3">
        <f>D3+E3</f>
        <v/>
      </c>
      <c r="G3" s="2">
        <f>YearMap!B3</f>
        <v/>
      </c>
      <c r="H3" s="2">
        <f>YearMap!C3</f>
        <v/>
      </c>
      <c r="I3" s="2">
        <f>YearMap!D3</f>
        <v/>
      </c>
      <c r="J3">
        <f>1-BaselineCalc!$B$5</f>
        <v/>
      </c>
      <c r="K3">
        <f>Scenarios!G3</f>
        <v/>
      </c>
      <c r="L3">
        <f>IF(Scenarios!$Q3=1,BaselineCalc!$B$7*(1+Parameters_Public!$C44)^(IF($C3="FY2026",0,IF($C3="FY2027",1,IF($C3="FY2028",2,IF($C3="FY2029",3,IF($C3="FY2030",4,0))))))+ROUND(Scenarios!J3*Scenarios!$F3,0),BaselineCalc!$B$7+ROUND(Scenarios!J3*Scenarios!$F3,0))</f>
        <v/>
      </c>
      <c r="M3">
        <f>IF(Scenarios!$R3=1,BaselineCalc!$B$8*(1+Parameters_Public!$C45)^(IF($C3="FY2026",0,IF($C3="FY2027",1,IF($C3="FY2028",2,IF($C3="FY2029",3,IF($C3="FY2030",4,0))))))+Scenarios!J3-ROUND(Scenarios!J3*Scenarios!$F3,0),BaselineCalc!$B$8+Scenarios!J3-ROUND(Scenarios!J3*Scenarios!$F3,0))</f>
        <v/>
      </c>
      <c r="N3" s="11">
        <f>(L3-D3) + (M3-E3)</f>
        <v/>
      </c>
      <c r="O3" s="11">
        <f>(Parameters_Public!$C$23*(L3-D3)+Parameters_Public!$C$24*(M3-E3))</f>
        <v/>
      </c>
      <c r="P3">
        <f>YearMap!E3</f>
        <v/>
      </c>
      <c r="Q3">
        <f>IF(Scenarios!N3="lease", YearMap!F3, YearMap!G3)</f>
        <v/>
      </c>
      <c r="R3" s="2">
        <f>IF(Scenarios!D3=1, Q3*H3, H3)</f>
        <v/>
      </c>
      <c r="S3" s="2">
        <f>IF(Scenarios!E3=1, Q3*I3, I3)</f>
        <v/>
      </c>
      <c r="T3" s="2">
        <f>IF(C3="FY2026", (Scenarios!D3+Scenarios!E3)*BaselineCalc!$B$22, 0)</f>
        <v/>
      </c>
      <c r="U3" s="2">
        <f>(R3+S3+G3*F3)*J3*(1-K3)</f>
        <v/>
      </c>
      <c r="V3" s="2">
        <f>O3*(G3+P3)</f>
        <v/>
      </c>
      <c r="W3" s="2">
        <f>U3+V3+IF(Parameters_Public!$C$28=1, T3, 0)</f>
        <v/>
      </c>
      <c r="X3" s="2">
        <f>IF(F3+O3&gt;0, W3/(F3+O3),"")</f>
        <v/>
      </c>
      <c r="Y3" s="2">
        <f>INDEX(YearMap!$I$2:$I$6, MATCH(C3, YearMap!$A$2:$A$6, 0))</f>
        <v/>
      </c>
      <c r="Z3" s="2">
        <f>W3 - ((Y3 + IF(Parameters_Public!$C$20=1, Parameters_Public!$C$19, 0))*AC3)</f>
        <v/>
      </c>
      <c r="AA3" s="2">
        <f>IF($AC3&gt;0, $Z3/$AC3, 0)</f>
        <v/>
      </c>
      <c r="AB3">
        <f>MAX(0, (MAX(0, $D3-BaselineCalc!$B$7) + MAX(0, $E3-BaselineCalc!$B$8)))</f>
        <v/>
      </c>
      <c r="AC3" s="11">
        <f>L3+M3-N3+O3</f>
        <v/>
      </c>
      <c r="AD3" s="2">
        <f>( (Y3 + IF(Parameters_Public!$C20=1, INDEX(YearMap!$O$2:$O$6, MATCH(C3, YearMap!$A$2:$A$6, 0)), 0)) * AC3 ) + AC3*INDEX(YearMap!$P$2:$P$6, MATCH(C3, YearMap!$A$2:$A$6, 0)) + AB3*( INDEX(YearMap!$R$2:$R$6, MATCH(C3, YearMap!$A$2:$A$6, 0)) - INDEX(YearMap!$P$2:$P$6, MATCH(C3, YearMap!$A$2:$A$6, 0)) )</f>
        <v/>
      </c>
      <c r="AE3" s="2">
        <f>(W3 - (1-Parameters_Public!$C$43)*$G3*$AB3*$J3*(1-$K3)) + AB3*INDEX(YearMap!$Q$2:$Q$6, MATCH(C3, YearMap!$A$2:$A$6, 0))</f>
        <v/>
      </c>
      <c r="AF3" s="2">
        <f>AD3-AE3</f>
        <v/>
      </c>
      <c r="AG3">
        <f>B3&amp;"|"&amp;C3</f>
        <v/>
      </c>
    </row>
    <row r="4">
      <c r="A4">
        <f>AG4</f>
        <v/>
      </c>
      <c r="B4">
        <f>Scenarios!A3</f>
        <v/>
      </c>
      <c r="C4" t="inlineStr">
        <is>
          <t>FY2028</t>
        </is>
      </c>
      <c r="D4">
        <f>IF(Scenarios!D3=1,0, L4)</f>
        <v/>
      </c>
      <c r="E4">
        <f>IF(Scenarios!E3=1,0, M4)</f>
        <v/>
      </c>
      <c r="F4">
        <f>D4+E4</f>
        <v/>
      </c>
      <c r="G4" s="2">
        <f>YearMap!B4</f>
        <v/>
      </c>
      <c r="H4" s="2">
        <f>YearMap!C4</f>
        <v/>
      </c>
      <c r="I4" s="2">
        <f>YearMap!D4</f>
        <v/>
      </c>
      <c r="J4">
        <f>1-BaselineCalc!$B$5</f>
        <v/>
      </c>
      <c r="K4">
        <f>Scenarios!G3</f>
        <v/>
      </c>
      <c r="L4">
        <f>IF(Scenarios!$Q3=1,BaselineCalc!$B$7*(1+Parameters_Public!$C44)^(IF($C4="FY2026",0,IF($C4="FY2027",1,IF($C4="FY2028",2,IF($C4="FY2029",3,IF($C4="FY2030",4,0))))))+ROUND(Scenarios!K3*Scenarios!$F3,0),BaselineCalc!$B$7+ROUND(Scenarios!K3*Scenarios!$F3,0))</f>
        <v/>
      </c>
      <c r="M4">
        <f>IF(Scenarios!$R3=1,BaselineCalc!$B$8*(1+Parameters_Public!$C45)^(IF($C4="FY2026",0,IF($C4="FY2027",1,IF($C4="FY2028",2,IF($C4="FY2029",3,IF($C4="FY2030",4,0))))))+Scenarios!K3-ROUND(Scenarios!K3*Scenarios!$F3,0),BaselineCalc!$B$8+Scenarios!K3-ROUND(Scenarios!K3*Scenarios!$F3,0))</f>
        <v/>
      </c>
      <c r="N4" s="11">
        <f>(L4-D4) + (M4-E4)</f>
        <v/>
      </c>
      <c r="O4" s="11">
        <f>(Parameters_Public!$C$23*(L4-D4)+Parameters_Public!$C$24*(M4-E4))</f>
        <v/>
      </c>
      <c r="P4">
        <f>YearMap!E4</f>
        <v/>
      </c>
      <c r="Q4">
        <f>IF(Scenarios!N3="lease", YearMap!F4, YearMap!G4)</f>
        <v/>
      </c>
      <c r="R4" s="2">
        <f>IF(Scenarios!D3=1, Q4*H4, H4)</f>
        <v/>
      </c>
      <c r="S4" s="2">
        <f>IF(Scenarios!E3=1, Q4*I4, I4)</f>
        <v/>
      </c>
      <c r="T4" s="2">
        <f>IF(C4="FY2026", (Scenarios!D3+Scenarios!E3)*BaselineCalc!$B$22, 0)</f>
        <v/>
      </c>
      <c r="U4" s="2">
        <f>(R4+S4+G4*F4)*J4*(1-K4)</f>
        <v/>
      </c>
      <c r="V4" s="2">
        <f>O4*(G4+P4)</f>
        <v/>
      </c>
      <c r="W4" s="2">
        <f>U4+V4+IF(Parameters_Public!$C$28=1, T4, 0)</f>
        <v/>
      </c>
      <c r="X4" s="2">
        <f>IF(F4+O4&gt;0, W4/(F4+O4),"")</f>
        <v/>
      </c>
      <c r="Y4" s="2">
        <f>INDEX(YearMap!$I$2:$I$6, MATCH(C4, YearMap!$A$2:$A$6, 0))</f>
        <v/>
      </c>
      <c r="Z4" s="2">
        <f>W4 - ((Y4 + IF(Parameters_Public!$C$20=1, Parameters_Public!$C$19, 0))*AC4)</f>
        <v/>
      </c>
      <c r="AA4" s="2">
        <f>IF($AC4&gt;0, $Z4/$AC4, 0)</f>
        <v/>
      </c>
      <c r="AB4">
        <f>MAX(0, (MAX(0, $D4-BaselineCalc!$B$7) + MAX(0, $E4-BaselineCalc!$B$8)))</f>
        <v/>
      </c>
      <c r="AC4" s="11">
        <f>L4+M4-N4+O4</f>
        <v/>
      </c>
      <c r="AD4" s="2">
        <f>( (Y4 + IF(Parameters_Public!$C20=1, INDEX(YearMap!$O$2:$O$6, MATCH(C4, YearMap!$A$2:$A$6, 0)), 0)) * AC4 ) + AC4*INDEX(YearMap!$P$2:$P$6, MATCH(C4, YearMap!$A$2:$A$6, 0)) + AB4*( INDEX(YearMap!$R$2:$R$6, MATCH(C4, YearMap!$A$2:$A$6, 0)) - INDEX(YearMap!$P$2:$P$6, MATCH(C4, YearMap!$A$2:$A$6, 0)) )</f>
        <v/>
      </c>
      <c r="AE4" s="2">
        <f>(W4 - (1-Parameters_Public!$C$43)*$G4*$AB4*$J4*(1-$K4)) + AB4*INDEX(YearMap!$Q$2:$Q$6, MATCH(C4, YearMap!$A$2:$A$6, 0))</f>
        <v/>
      </c>
      <c r="AF4" s="2">
        <f>AD4-AE4</f>
        <v/>
      </c>
      <c r="AG4">
        <f>B4&amp;"|"&amp;C4</f>
        <v/>
      </c>
    </row>
    <row r="5">
      <c r="A5">
        <f>AG5</f>
        <v/>
      </c>
      <c r="B5">
        <f>Scenarios!A3</f>
        <v/>
      </c>
      <c r="C5" t="inlineStr">
        <is>
          <t>FY2029</t>
        </is>
      </c>
      <c r="D5">
        <f>IF(Scenarios!D3=1,0, L5)</f>
        <v/>
      </c>
      <c r="E5">
        <f>IF(Scenarios!E3=1,0, M5)</f>
        <v/>
      </c>
      <c r="F5">
        <f>D5+E5</f>
        <v/>
      </c>
      <c r="G5" s="2">
        <f>YearMap!B5</f>
        <v/>
      </c>
      <c r="H5" s="2">
        <f>YearMap!C5</f>
        <v/>
      </c>
      <c r="I5" s="2">
        <f>YearMap!D5</f>
        <v/>
      </c>
      <c r="J5">
        <f>1-BaselineCalc!$B$5</f>
        <v/>
      </c>
      <c r="K5">
        <f>Scenarios!G3</f>
        <v/>
      </c>
      <c r="L5">
        <f>IF(Scenarios!$Q3=1,BaselineCalc!$B$7*(1+Parameters_Public!$C44)^(IF($C5="FY2026",0,IF($C5="FY2027",1,IF($C5="FY2028",2,IF($C5="FY2029",3,IF($C5="FY2030",4,0))))))+ROUND(Scenarios!L3*Scenarios!$F3,0),BaselineCalc!$B$7+ROUND(Scenarios!L3*Scenarios!$F3,0))</f>
        <v/>
      </c>
      <c r="M5">
        <f>IF(Scenarios!$R3=1,BaselineCalc!$B$8*(1+Parameters_Public!$C45)^(IF($C5="FY2026",0,IF($C5="FY2027",1,IF($C5="FY2028",2,IF($C5="FY2029",3,IF($C5="FY2030",4,0))))))+Scenarios!L3-ROUND(Scenarios!L3*Scenarios!$F3,0),BaselineCalc!$B$8+Scenarios!L3-ROUND(Scenarios!L3*Scenarios!$F3,0))</f>
        <v/>
      </c>
      <c r="N5" s="11">
        <f>(L5-D5) + (M5-E5)</f>
        <v/>
      </c>
      <c r="O5" s="11">
        <f>(Parameters_Public!$C$23*(L5-D5)+Parameters_Public!$C$24*(M5-E5))</f>
        <v/>
      </c>
      <c r="P5">
        <f>YearMap!E5</f>
        <v/>
      </c>
      <c r="Q5">
        <f>IF(Scenarios!N3="lease", YearMap!F5, YearMap!G5)</f>
        <v/>
      </c>
      <c r="R5" s="2">
        <f>IF(Scenarios!D3=1, Q5*H5, H5)</f>
        <v/>
      </c>
      <c r="S5" s="2">
        <f>IF(Scenarios!E3=1, Q5*I5, I5)</f>
        <v/>
      </c>
      <c r="T5" s="2">
        <f>IF(C5="FY2026", (Scenarios!D3+Scenarios!E3)*BaselineCalc!$B$22, 0)</f>
        <v/>
      </c>
      <c r="U5" s="2">
        <f>(R5+S5+G5*F5)*J5*(1-K5)</f>
        <v/>
      </c>
      <c r="V5" s="2">
        <f>O5*(G5+P5)</f>
        <v/>
      </c>
      <c r="W5" s="2">
        <f>U5+V5+IF(Parameters_Public!$C$28=1, T5, 0)</f>
        <v/>
      </c>
      <c r="X5" s="2">
        <f>IF(F5+O5&gt;0, W5/(F5+O5),"")</f>
        <v/>
      </c>
      <c r="Y5" s="2">
        <f>INDEX(YearMap!$I$2:$I$6, MATCH(C5, YearMap!$A$2:$A$6, 0))</f>
        <v/>
      </c>
      <c r="Z5" s="2">
        <f>W5 - ((Y5 + IF(Parameters_Public!$C$20=1, Parameters_Public!$C$19, 0))*AC5)</f>
        <v/>
      </c>
      <c r="AA5" s="2">
        <f>IF($AC5&gt;0, $Z5/$AC5, 0)</f>
        <v/>
      </c>
      <c r="AB5">
        <f>MAX(0, (MAX(0, $D5-BaselineCalc!$B$7) + MAX(0, $E5-BaselineCalc!$B$8)))</f>
        <v/>
      </c>
      <c r="AC5" s="11">
        <f>L5+M5-N5+O5</f>
        <v/>
      </c>
      <c r="AD5" s="2">
        <f>( (Y5 + IF(Parameters_Public!$C20=1, INDEX(YearMap!$O$2:$O$6, MATCH(C5, YearMap!$A$2:$A$6, 0)), 0)) * AC5 ) + AC5*INDEX(YearMap!$P$2:$P$6, MATCH(C5, YearMap!$A$2:$A$6, 0)) + AB5*( INDEX(YearMap!$R$2:$R$6, MATCH(C5, YearMap!$A$2:$A$6, 0)) - INDEX(YearMap!$P$2:$P$6, MATCH(C5, YearMap!$A$2:$A$6, 0)) )</f>
        <v/>
      </c>
      <c r="AE5" s="2">
        <f>(W5 - (1-Parameters_Public!$C$43)*$G5*$AB5*$J5*(1-$K5)) + AB5*INDEX(YearMap!$Q$2:$Q$6, MATCH(C5, YearMap!$A$2:$A$6, 0))</f>
        <v/>
      </c>
      <c r="AF5" s="2">
        <f>AD5-AE5</f>
        <v/>
      </c>
      <c r="AG5">
        <f>B5&amp;"|"&amp;C5</f>
        <v/>
      </c>
    </row>
    <row r="6">
      <c r="A6">
        <f>AG6</f>
        <v/>
      </c>
      <c r="B6">
        <f>Scenarios!A3</f>
        <v/>
      </c>
      <c r="C6" t="inlineStr">
        <is>
          <t>FY2030</t>
        </is>
      </c>
      <c r="D6">
        <f>IF(Scenarios!D3=1,0, L6)</f>
        <v/>
      </c>
      <c r="E6">
        <f>IF(Scenarios!E3=1,0, M6)</f>
        <v/>
      </c>
      <c r="F6">
        <f>D6+E6</f>
        <v/>
      </c>
      <c r="G6" s="2">
        <f>YearMap!B6</f>
        <v/>
      </c>
      <c r="H6" s="2">
        <f>YearMap!C6</f>
        <v/>
      </c>
      <c r="I6" s="2">
        <f>YearMap!D6</f>
        <v/>
      </c>
      <c r="J6">
        <f>1-BaselineCalc!$B$5</f>
        <v/>
      </c>
      <c r="K6">
        <f>Scenarios!G3</f>
        <v/>
      </c>
      <c r="L6">
        <f>IF(Scenarios!$Q3=1,BaselineCalc!$B$7*(1+Parameters_Public!$C44)^(IF($C6="FY2026",0,IF($C6="FY2027",1,IF($C6="FY2028",2,IF($C6="FY2029",3,IF($C6="FY2030",4,0))))))+ROUND(Scenarios!M3*Scenarios!$F3,0),BaselineCalc!$B$7+ROUND(Scenarios!M3*Scenarios!$F3,0))</f>
        <v/>
      </c>
      <c r="M6">
        <f>IF(Scenarios!$R3=1,BaselineCalc!$B$8*(1+Parameters_Public!$C45)^(IF($C6="FY2026",0,IF($C6="FY2027",1,IF($C6="FY2028",2,IF($C6="FY2029",3,IF($C6="FY2030",4,0))))))+Scenarios!M3-ROUND(Scenarios!M3*Scenarios!$F3,0),BaselineCalc!$B$8+Scenarios!M3-ROUND(Scenarios!M3*Scenarios!$F3,0))</f>
        <v/>
      </c>
      <c r="N6" s="11">
        <f>(L6-D6) + (M6-E6)</f>
        <v/>
      </c>
      <c r="O6" s="11">
        <f>(Parameters_Public!$C$23*(L6-D6)+Parameters_Public!$C$24*(M6-E6))</f>
        <v/>
      </c>
      <c r="P6">
        <f>YearMap!E6</f>
        <v/>
      </c>
      <c r="Q6">
        <f>IF(Scenarios!N3="lease", YearMap!F6, YearMap!G6)</f>
        <v/>
      </c>
      <c r="R6" s="2">
        <f>IF(Scenarios!D3=1, Q6*H6, H6)</f>
        <v/>
      </c>
      <c r="S6" s="2">
        <f>IF(Scenarios!E3=1, Q6*I6, I6)</f>
        <v/>
      </c>
      <c r="T6" s="2">
        <f>IF(C6="FY2026", (Scenarios!D3+Scenarios!E3)*BaselineCalc!$B$22, 0)</f>
        <v/>
      </c>
      <c r="U6" s="2">
        <f>(R6+S6+G6*F6)*J6*(1-K6)</f>
        <v/>
      </c>
      <c r="V6" s="2">
        <f>O6*(G6+P6)</f>
        <v/>
      </c>
      <c r="W6" s="2">
        <f>U6+V6+IF(Parameters_Public!$C$28=1, T6, 0)</f>
        <v/>
      </c>
      <c r="X6" s="2">
        <f>IF(F6+O6&gt;0, W6/(F6+O6),"")</f>
        <v/>
      </c>
      <c r="Y6" s="2">
        <f>INDEX(YearMap!$I$2:$I$6, MATCH(C6, YearMap!$A$2:$A$6, 0))</f>
        <v/>
      </c>
      <c r="Z6" s="2">
        <f>W6 - ((Y6 + IF(Parameters_Public!$C$20=1, Parameters_Public!$C$19, 0))*AC6)</f>
        <v/>
      </c>
      <c r="AA6" s="2">
        <f>IF($AC6&gt;0, $Z6/$AC6, 0)</f>
        <v/>
      </c>
      <c r="AB6">
        <f>MAX(0, (MAX(0, $D6-BaselineCalc!$B$7) + MAX(0, $E6-BaselineCalc!$B$8)))</f>
        <v/>
      </c>
      <c r="AC6" s="11">
        <f>L6+M6-N6+O6</f>
        <v/>
      </c>
      <c r="AD6" s="2">
        <f>( (Y6 + IF(Parameters_Public!$C20=1, INDEX(YearMap!$O$2:$O$6, MATCH(C6, YearMap!$A$2:$A$6, 0)), 0)) * AC6 ) + AC6*INDEX(YearMap!$P$2:$P$6, MATCH(C6, YearMap!$A$2:$A$6, 0)) + AB6*( INDEX(YearMap!$R$2:$R$6, MATCH(C6, YearMap!$A$2:$A$6, 0)) - INDEX(YearMap!$P$2:$P$6, MATCH(C6, YearMap!$A$2:$A$6, 0)) )</f>
        <v/>
      </c>
      <c r="AE6" s="2">
        <f>(W6 - (1-Parameters_Public!$C$43)*$G6*$AB6*$J6*(1-$K6)) + AB6*INDEX(YearMap!$Q$2:$Q$6, MATCH(C6, YearMap!$A$2:$A$6, 0))</f>
        <v/>
      </c>
      <c r="AF6" s="2">
        <f>AD6-AE6</f>
        <v/>
      </c>
      <c r="AG6">
        <f>B6&amp;"|"&amp;C6</f>
        <v/>
      </c>
    </row>
    <row r="7">
      <c r="A7">
        <f>AG7</f>
        <v/>
      </c>
      <c r="B7">
        <f>Scenarios!A4</f>
        <v/>
      </c>
      <c r="C7" t="inlineStr">
        <is>
          <t>FY2026</t>
        </is>
      </c>
      <c r="D7">
        <f>IF(Scenarios!D4=1,0, L7)</f>
        <v/>
      </c>
      <c r="E7">
        <f>IF(Scenarios!E4=1,0, M7)</f>
        <v/>
      </c>
      <c r="F7">
        <f>D7+E7</f>
        <v/>
      </c>
      <c r="G7" s="2">
        <f>YearMap!B2</f>
        <v/>
      </c>
      <c r="H7" s="2">
        <f>YearMap!C2</f>
        <v/>
      </c>
      <c r="I7" s="2">
        <f>YearMap!D2</f>
        <v/>
      </c>
      <c r="J7">
        <f>1-BaselineCalc!$B$5</f>
        <v/>
      </c>
      <c r="K7">
        <f>Scenarios!G4</f>
        <v/>
      </c>
      <c r="L7">
        <f>IF(Scenarios!$Q4=1,BaselineCalc!$B$7*(1+Parameters_Public!$C44)^(IF($C7="FY2026",0,IF($C7="FY2027",1,IF($C7="FY2028",2,IF($C7="FY2029",3,IF($C7="FY2030",4,0))))))+ROUND(Scenarios!I4*Scenarios!$F4,0),BaselineCalc!$B$7+ROUND(Scenarios!I4*Scenarios!$F4,0))</f>
        <v/>
      </c>
      <c r="M7">
        <f>IF(Scenarios!$R4=1,BaselineCalc!$B$8*(1+Parameters_Public!$C45)^(IF($C7="FY2026",0,IF($C7="FY2027",1,IF($C7="FY2028",2,IF($C7="FY2029",3,IF($C7="FY2030",4,0))))))+Scenarios!I4-ROUND(Scenarios!I4*Scenarios!$F4,0),BaselineCalc!$B$8+Scenarios!I4-ROUND(Scenarios!I4*Scenarios!$F4,0))</f>
        <v/>
      </c>
      <c r="N7" s="11">
        <f>(L7-D7) + (M7-E7)</f>
        <v/>
      </c>
      <c r="O7" s="11">
        <f>(Parameters_Public!$C$23*(L7-D7)+Parameters_Public!$C$24*(M7-E7))</f>
        <v/>
      </c>
      <c r="P7">
        <f>YearMap!E2</f>
        <v/>
      </c>
      <c r="Q7">
        <f>IF(Scenarios!N4="lease", YearMap!F2, YearMap!G2)</f>
        <v/>
      </c>
      <c r="R7" s="2">
        <f>IF(Scenarios!D4=1, Q7*H7, H7)</f>
        <v/>
      </c>
      <c r="S7" s="2">
        <f>IF(Scenarios!E4=1, Q7*I7, I7)</f>
        <v/>
      </c>
      <c r="T7" s="2">
        <f>IF(C7="FY2026", (Scenarios!D4+Scenarios!E4)*BaselineCalc!$B$22, 0)</f>
        <v/>
      </c>
      <c r="U7" s="2">
        <f>(R7+S7+G7*F7)*J7*(1-K7)</f>
        <v/>
      </c>
      <c r="V7" s="2">
        <f>O7*(G7+P7)</f>
        <v/>
      </c>
      <c r="W7" s="2">
        <f>U7+V7+IF(Parameters_Public!$C$28=1, T7, 0)</f>
        <v/>
      </c>
      <c r="X7" s="2">
        <f>IF(F7+O7&gt;0, W7/(F7+O7),"")</f>
        <v/>
      </c>
      <c r="Y7" s="2">
        <f>INDEX(YearMap!$I$2:$I$6, MATCH(C7, YearMap!$A$2:$A$6, 0))</f>
        <v/>
      </c>
      <c r="Z7" s="2">
        <f>W7 - ((Y7 + IF(Parameters_Public!$C$20=1, Parameters_Public!$C$19, 0))*AC7)</f>
        <v/>
      </c>
      <c r="AA7" s="2">
        <f>IF($AC7&gt;0, $Z7/$AC7, 0)</f>
        <v/>
      </c>
      <c r="AB7">
        <f>MAX(0, (MAX(0, $D7-BaselineCalc!$B$7) + MAX(0, $E7-BaselineCalc!$B$8)))</f>
        <v/>
      </c>
      <c r="AC7" s="11">
        <f>L7+M7-N7+O7</f>
        <v/>
      </c>
      <c r="AD7" s="2">
        <f>( (Y7 + IF(Parameters_Public!$C20=1, INDEX(YearMap!$O$2:$O$6, MATCH(C7, YearMap!$A$2:$A$6, 0)), 0)) * AC7 ) + AC7*INDEX(YearMap!$P$2:$P$6, MATCH(C7, YearMap!$A$2:$A$6, 0)) + AB7*( INDEX(YearMap!$R$2:$R$6, MATCH(C7, YearMap!$A$2:$A$6, 0)) - INDEX(YearMap!$P$2:$P$6, MATCH(C7, YearMap!$A$2:$A$6, 0)) )</f>
        <v/>
      </c>
      <c r="AE7" s="2">
        <f>(W7 - (1-Parameters_Public!$C$43)*$G7*$AB7*$J7*(1-$K7)) + AB7*INDEX(YearMap!$Q$2:$Q$6, MATCH(C7, YearMap!$A$2:$A$6, 0))</f>
        <v/>
      </c>
      <c r="AF7" s="2">
        <f>AD7-AE7</f>
        <v/>
      </c>
      <c r="AG7">
        <f>B7&amp;"|"&amp;C7</f>
        <v/>
      </c>
    </row>
    <row r="8">
      <c r="A8">
        <f>AG8</f>
        <v/>
      </c>
      <c r="B8">
        <f>Scenarios!A4</f>
        <v/>
      </c>
      <c r="C8" t="inlineStr">
        <is>
          <t>FY2027</t>
        </is>
      </c>
      <c r="D8">
        <f>IF(Scenarios!D4=1,0, L8)</f>
        <v/>
      </c>
      <c r="E8">
        <f>IF(Scenarios!E4=1,0, M8)</f>
        <v/>
      </c>
      <c r="F8">
        <f>D8+E8</f>
        <v/>
      </c>
      <c r="G8" s="2">
        <f>YearMap!B3</f>
        <v/>
      </c>
      <c r="H8" s="2">
        <f>YearMap!C3</f>
        <v/>
      </c>
      <c r="I8" s="2">
        <f>YearMap!D3</f>
        <v/>
      </c>
      <c r="J8">
        <f>1-BaselineCalc!$B$5</f>
        <v/>
      </c>
      <c r="K8">
        <f>Scenarios!G4</f>
        <v/>
      </c>
      <c r="L8">
        <f>IF(Scenarios!$Q4=1,BaselineCalc!$B$7*(1+Parameters_Public!$C44)^(IF($C8="FY2026",0,IF($C8="FY2027",1,IF($C8="FY2028",2,IF($C8="FY2029",3,IF($C8="FY2030",4,0))))))+ROUND(Scenarios!J4*Scenarios!$F4,0),BaselineCalc!$B$7+ROUND(Scenarios!J4*Scenarios!$F4,0))</f>
        <v/>
      </c>
      <c r="M8">
        <f>IF(Scenarios!$R4=1,BaselineCalc!$B$8*(1+Parameters_Public!$C45)^(IF($C8="FY2026",0,IF($C8="FY2027",1,IF($C8="FY2028",2,IF($C8="FY2029",3,IF($C8="FY2030",4,0))))))+Scenarios!J4-ROUND(Scenarios!J4*Scenarios!$F4,0),BaselineCalc!$B$8+Scenarios!J4-ROUND(Scenarios!J4*Scenarios!$F4,0))</f>
        <v/>
      </c>
      <c r="N8" s="11">
        <f>(L8-D8) + (M8-E8)</f>
        <v/>
      </c>
      <c r="O8" s="11">
        <f>(Parameters_Public!$C$23*(L8-D8)+Parameters_Public!$C$24*(M8-E8))</f>
        <v/>
      </c>
      <c r="P8">
        <f>YearMap!E3</f>
        <v/>
      </c>
      <c r="Q8">
        <f>IF(Scenarios!N4="lease", YearMap!F3, YearMap!G3)</f>
        <v/>
      </c>
      <c r="R8" s="2">
        <f>IF(Scenarios!D4=1, Q8*H8, H8)</f>
        <v/>
      </c>
      <c r="S8" s="2">
        <f>IF(Scenarios!E4=1, Q8*I8, I8)</f>
        <v/>
      </c>
      <c r="T8" s="2">
        <f>IF(C8="FY2026", (Scenarios!D4+Scenarios!E4)*BaselineCalc!$B$22, 0)</f>
        <v/>
      </c>
      <c r="U8" s="2">
        <f>(R8+S8+G8*F8)*J8*(1-K8)</f>
        <v/>
      </c>
      <c r="V8" s="2">
        <f>O8*(G8+P8)</f>
        <v/>
      </c>
      <c r="W8" s="2">
        <f>U8+V8+IF(Parameters_Public!$C$28=1, T8, 0)</f>
        <v/>
      </c>
      <c r="X8" s="2">
        <f>IF(F8+O8&gt;0, W8/(F8+O8),"")</f>
        <v/>
      </c>
      <c r="Y8" s="2">
        <f>INDEX(YearMap!$I$2:$I$6, MATCH(C8, YearMap!$A$2:$A$6, 0))</f>
        <v/>
      </c>
      <c r="Z8" s="2">
        <f>W8 - ((Y8 + IF(Parameters_Public!$C$20=1, Parameters_Public!$C$19, 0))*AC8)</f>
        <v/>
      </c>
      <c r="AA8" s="2">
        <f>IF($AC8&gt;0, $Z8/$AC8, 0)</f>
        <v/>
      </c>
      <c r="AB8">
        <f>MAX(0, (MAX(0, $D8-BaselineCalc!$B$7) + MAX(0, $E8-BaselineCalc!$B$8)))</f>
        <v/>
      </c>
      <c r="AC8" s="11">
        <f>L8+M8-N8+O8</f>
        <v/>
      </c>
      <c r="AD8" s="2">
        <f>( (Y8 + IF(Parameters_Public!$C20=1, INDEX(YearMap!$O$2:$O$6, MATCH(C8, YearMap!$A$2:$A$6, 0)), 0)) * AC8 ) + AC8*INDEX(YearMap!$P$2:$P$6, MATCH(C8, YearMap!$A$2:$A$6, 0)) + AB8*( INDEX(YearMap!$R$2:$R$6, MATCH(C8, YearMap!$A$2:$A$6, 0)) - INDEX(YearMap!$P$2:$P$6, MATCH(C8, YearMap!$A$2:$A$6, 0)) )</f>
        <v/>
      </c>
      <c r="AE8" s="2">
        <f>(W8 - (1-Parameters_Public!$C$43)*$G8*$AB8*$J8*(1-$K8)) + AB8*INDEX(YearMap!$Q$2:$Q$6, MATCH(C8, YearMap!$A$2:$A$6, 0))</f>
        <v/>
      </c>
      <c r="AF8" s="2">
        <f>AD8-AE8</f>
        <v/>
      </c>
      <c r="AG8">
        <f>B8&amp;"|"&amp;C8</f>
        <v/>
      </c>
    </row>
    <row r="9">
      <c r="A9">
        <f>AG9</f>
        <v/>
      </c>
      <c r="B9">
        <f>Scenarios!A4</f>
        <v/>
      </c>
      <c r="C9" t="inlineStr">
        <is>
          <t>FY2028</t>
        </is>
      </c>
      <c r="D9">
        <f>IF(Scenarios!D4=1,0, L9)</f>
        <v/>
      </c>
      <c r="E9">
        <f>IF(Scenarios!E4=1,0, M9)</f>
        <v/>
      </c>
      <c r="F9">
        <f>D9+E9</f>
        <v/>
      </c>
      <c r="G9" s="2">
        <f>YearMap!B4</f>
        <v/>
      </c>
      <c r="H9" s="2">
        <f>YearMap!C4</f>
        <v/>
      </c>
      <c r="I9" s="2">
        <f>YearMap!D4</f>
        <v/>
      </c>
      <c r="J9">
        <f>1-BaselineCalc!$B$5</f>
        <v/>
      </c>
      <c r="K9">
        <f>Scenarios!G4</f>
        <v/>
      </c>
      <c r="L9">
        <f>IF(Scenarios!$Q4=1,BaselineCalc!$B$7*(1+Parameters_Public!$C44)^(IF($C9="FY2026",0,IF($C9="FY2027",1,IF($C9="FY2028",2,IF($C9="FY2029",3,IF($C9="FY2030",4,0))))))+ROUND(Scenarios!K4*Scenarios!$F4,0),BaselineCalc!$B$7+ROUND(Scenarios!K4*Scenarios!$F4,0))</f>
        <v/>
      </c>
      <c r="M9">
        <f>IF(Scenarios!$R4=1,BaselineCalc!$B$8*(1+Parameters_Public!$C45)^(IF($C9="FY2026",0,IF($C9="FY2027",1,IF($C9="FY2028",2,IF($C9="FY2029",3,IF($C9="FY2030",4,0))))))+Scenarios!K4-ROUND(Scenarios!K4*Scenarios!$F4,0),BaselineCalc!$B$8+Scenarios!K4-ROUND(Scenarios!K4*Scenarios!$F4,0))</f>
        <v/>
      </c>
      <c r="N9" s="11">
        <f>(L9-D9) + (M9-E9)</f>
        <v/>
      </c>
      <c r="O9" s="11">
        <f>(Parameters_Public!$C$23*(L9-D9)+Parameters_Public!$C$24*(M9-E9))</f>
        <v/>
      </c>
      <c r="P9">
        <f>YearMap!E4</f>
        <v/>
      </c>
      <c r="Q9">
        <f>IF(Scenarios!N4="lease", YearMap!F4, YearMap!G4)</f>
        <v/>
      </c>
      <c r="R9" s="2">
        <f>IF(Scenarios!D4=1, Q9*H9, H9)</f>
        <v/>
      </c>
      <c r="S9" s="2">
        <f>IF(Scenarios!E4=1, Q9*I9, I9)</f>
        <v/>
      </c>
      <c r="T9" s="2">
        <f>IF(C9="FY2026", (Scenarios!D4+Scenarios!E4)*BaselineCalc!$B$22, 0)</f>
        <v/>
      </c>
      <c r="U9" s="2">
        <f>(R9+S9+G9*F9)*J9*(1-K9)</f>
        <v/>
      </c>
      <c r="V9" s="2">
        <f>O9*(G9+P9)</f>
        <v/>
      </c>
      <c r="W9" s="2">
        <f>U9+V9+IF(Parameters_Public!$C$28=1, T9, 0)</f>
        <v/>
      </c>
      <c r="X9" s="2">
        <f>IF(F9+O9&gt;0, W9/(F9+O9),"")</f>
        <v/>
      </c>
      <c r="Y9" s="2">
        <f>INDEX(YearMap!$I$2:$I$6, MATCH(C9, YearMap!$A$2:$A$6, 0))</f>
        <v/>
      </c>
      <c r="Z9" s="2">
        <f>W9 - ((Y9 + IF(Parameters_Public!$C$20=1, Parameters_Public!$C$19, 0))*AC9)</f>
        <v/>
      </c>
      <c r="AA9" s="2">
        <f>IF($AC9&gt;0, $Z9/$AC9, 0)</f>
        <v/>
      </c>
      <c r="AB9">
        <f>MAX(0, (MAX(0, $D9-BaselineCalc!$B$7) + MAX(0, $E9-BaselineCalc!$B$8)))</f>
        <v/>
      </c>
      <c r="AC9" s="11">
        <f>L9+M9-N9+O9</f>
        <v/>
      </c>
      <c r="AD9" s="2">
        <f>( (Y9 + IF(Parameters_Public!$C20=1, INDEX(YearMap!$O$2:$O$6, MATCH(C9, YearMap!$A$2:$A$6, 0)), 0)) * AC9 ) + AC9*INDEX(YearMap!$P$2:$P$6, MATCH(C9, YearMap!$A$2:$A$6, 0)) + AB9*( INDEX(YearMap!$R$2:$R$6, MATCH(C9, YearMap!$A$2:$A$6, 0)) - INDEX(YearMap!$P$2:$P$6, MATCH(C9, YearMap!$A$2:$A$6, 0)) )</f>
        <v/>
      </c>
      <c r="AE9" s="2">
        <f>(W9 - (1-Parameters_Public!$C$43)*$G9*$AB9*$J9*(1-$K9)) + AB9*INDEX(YearMap!$Q$2:$Q$6, MATCH(C9, YearMap!$A$2:$A$6, 0))</f>
        <v/>
      </c>
      <c r="AF9" s="2">
        <f>AD9-AE9</f>
        <v/>
      </c>
      <c r="AG9">
        <f>B9&amp;"|"&amp;C9</f>
        <v/>
      </c>
    </row>
    <row r="10">
      <c r="A10">
        <f>AG10</f>
        <v/>
      </c>
      <c r="B10">
        <f>Scenarios!A4</f>
        <v/>
      </c>
      <c r="C10" t="inlineStr">
        <is>
          <t>FY2029</t>
        </is>
      </c>
      <c r="D10">
        <f>IF(Scenarios!D4=1,0, L10)</f>
        <v/>
      </c>
      <c r="E10">
        <f>IF(Scenarios!E4=1,0, M10)</f>
        <v/>
      </c>
      <c r="F10">
        <f>D10+E10</f>
        <v/>
      </c>
      <c r="G10" s="2">
        <f>YearMap!B5</f>
        <v/>
      </c>
      <c r="H10" s="2">
        <f>YearMap!C5</f>
        <v/>
      </c>
      <c r="I10" s="2">
        <f>YearMap!D5</f>
        <v/>
      </c>
      <c r="J10">
        <f>1-BaselineCalc!$B$5</f>
        <v/>
      </c>
      <c r="K10">
        <f>Scenarios!G4</f>
        <v/>
      </c>
      <c r="L10">
        <f>IF(Scenarios!$Q4=1,BaselineCalc!$B$7*(1+Parameters_Public!$C44)^(IF($C10="FY2026",0,IF($C10="FY2027",1,IF($C10="FY2028",2,IF($C10="FY2029",3,IF($C10="FY2030",4,0))))))+ROUND(Scenarios!L4*Scenarios!$F4,0),BaselineCalc!$B$7+ROUND(Scenarios!L4*Scenarios!$F4,0))</f>
        <v/>
      </c>
      <c r="M10">
        <f>IF(Scenarios!$R4=1,BaselineCalc!$B$8*(1+Parameters_Public!$C45)^(IF($C10="FY2026",0,IF($C10="FY2027",1,IF($C10="FY2028",2,IF($C10="FY2029",3,IF($C10="FY2030",4,0))))))+Scenarios!L4-ROUND(Scenarios!L4*Scenarios!$F4,0),BaselineCalc!$B$8+Scenarios!L4-ROUND(Scenarios!L4*Scenarios!$F4,0))</f>
        <v/>
      </c>
      <c r="N10" s="11">
        <f>(L10-D10) + (M10-E10)</f>
        <v/>
      </c>
      <c r="O10" s="11">
        <f>(Parameters_Public!$C$23*(L10-D10)+Parameters_Public!$C$24*(M10-E10))</f>
        <v/>
      </c>
      <c r="P10">
        <f>YearMap!E5</f>
        <v/>
      </c>
      <c r="Q10">
        <f>IF(Scenarios!N4="lease", YearMap!F5, YearMap!G5)</f>
        <v/>
      </c>
      <c r="R10" s="2">
        <f>IF(Scenarios!D4=1, Q10*H10, H10)</f>
        <v/>
      </c>
      <c r="S10" s="2">
        <f>IF(Scenarios!E4=1, Q10*I10, I10)</f>
        <v/>
      </c>
      <c r="T10" s="2">
        <f>IF(C10="FY2026", (Scenarios!D4+Scenarios!E4)*BaselineCalc!$B$22, 0)</f>
        <v/>
      </c>
      <c r="U10" s="2">
        <f>(R10+S10+G10*F10)*J10*(1-K10)</f>
        <v/>
      </c>
      <c r="V10" s="2">
        <f>O10*(G10+P10)</f>
        <v/>
      </c>
      <c r="W10" s="2">
        <f>U10+V10+IF(Parameters_Public!$C$28=1, T10, 0)</f>
        <v/>
      </c>
      <c r="X10" s="2">
        <f>IF(F10+O10&gt;0, W10/(F10+O10),"")</f>
        <v/>
      </c>
      <c r="Y10" s="2">
        <f>INDEX(YearMap!$I$2:$I$6, MATCH(C10, YearMap!$A$2:$A$6, 0))</f>
        <v/>
      </c>
      <c r="Z10" s="2">
        <f>W10 - ((Y10 + IF(Parameters_Public!$C$20=1, Parameters_Public!$C$19, 0))*AC10)</f>
        <v/>
      </c>
      <c r="AA10" s="2">
        <f>IF($AC10&gt;0, $Z10/$AC10, 0)</f>
        <v/>
      </c>
      <c r="AB10">
        <f>MAX(0, (MAX(0, $D10-BaselineCalc!$B$7) + MAX(0, $E10-BaselineCalc!$B$8)))</f>
        <v/>
      </c>
      <c r="AC10" s="11">
        <f>L10+M10-N10+O10</f>
        <v/>
      </c>
      <c r="AD10" s="2">
        <f>( (Y10 + IF(Parameters_Public!$C20=1, INDEX(YearMap!$O$2:$O$6, MATCH(C10, YearMap!$A$2:$A$6, 0)), 0)) * AC10 ) + AC10*INDEX(YearMap!$P$2:$P$6, MATCH(C10, YearMap!$A$2:$A$6, 0)) + AB10*( INDEX(YearMap!$R$2:$R$6, MATCH(C10, YearMap!$A$2:$A$6, 0)) - INDEX(YearMap!$P$2:$P$6, MATCH(C10, YearMap!$A$2:$A$6, 0)) )</f>
        <v/>
      </c>
      <c r="AE10" s="2">
        <f>(W10 - (1-Parameters_Public!$C$43)*$G10*$AB10*$J10*(1-$K10)) + AB10*INDEX(YearMap!$Q$2:$Q$6, MATCH(C10, YearMap!$A$2:$A$6, 0))</f>
        <v/>
      </c>
      <c r="AF10" s="2">
        <f>AD10-AE10</f>
        <v/>
      </c>
      <c r="AG10">
        <f>B10&amp;"|"&amp;C10</f>
        <v/>
      </c>
    </row>
    <row r="11">
      <c r="A11">
        <f>AG11</f>
        <v/>
      </c>
      <c r="B11">
        <f>Scenarios!A4</f>
        <v/>
      </c>
      <c r="C11" t="inlineStr">
        <is>
          <t>FY2030</t>
        </is>
      </c>
      <c r="D11">
        <f>IF(Scenarios!D4=1,0, L11)</f>
        <v/>
      </c>
      <c r="E11">
        <f>IF(Scenarios!E4=1,0, M11)</f>
        <v/>
      </c>
      <c r="F11">
        <f>D11+E11</f>
        <v/>
      </c>
      <c r="G11" s="2">
        <f>YearMap!B6</f>
        <v/>
      </c>
      <c r="H11" s="2">
        <f>YearMap!C6</f>
        <v/>
      </c>
      <c r="I11" s="2">
        <f>YearMap!D6</f>
        <v/>
      </c>
      <c r="J11">
        <f>1-BaselineCalc!$B$5</f>
        <v/>
      </c>
      <c r="K11">
        <f>Scenarios!G4</f>
        <v/>
      </c>
      <c r="L11">
        <f>IF(Scenarios!$Q4=1,BaselineCalc!$B$7*(1+Parameters_Public!$C44)^(IF($C11="FY2026",0,IF($C11="FY2027",1,IF($C11="FY2028",2,IF($C11="FY2029",3,IF($C11="FY2030",4,0))))))+ROUND(Scenarios!M4*Scenarios!$F4,0),BaselineCalc!$B$7+ROUND(Scenarios!M4*Scenarios!$F4,0))</f>
        <v/>
      </c>
      <c r="M11">
        <f>IF(Scenarios!$R4=1,BaselineCalc!$B$8*(1+Parameters_Public!$C45)^(IF($C11="FY2026",0,IF($C11="FY2027",1,IF($C11="FY2028",2,IF($C11="FY2029",3,IF($C11="FY2030",4,0))))))+Scenarios!M4-ROUND(Scenarios!M4*Scenarios!$F4,0),BaselineCalc!$B$8+Scenarios!M4-ROUND(Scenarios!M4*Scenarios!$F4,0))</f>
        <v/>
      </c>
      <c r="N11" s="11">
        <f>(L11-D11) + (M11-E11)</f>
        <v/>
      </c>
      <c r="O11" s="11">
        <f>(Parameters_Public!$C$23*(L11-D11)+Parameters_Public!$C$24*(M11-E11))</f>
        <v/>
      </c>
      <c r="P11">
        <f>YearMap!E6</f>
        <v/>
      </c>
      <c r="Q11">
        <f>IF(Scenarios!N4="lease", YearMap!F6, YearMap!G6)</f>
        <v/>
      </c>
      <c r="R11" s="2">
        <f>IF(Scenarios!D4=1, Q11*H11, H11)</f>
        <v/>
      </c>
      <c r="S11" s="2">
        <f>IF(Scenarios!E4=1, Q11*I11, I11)</f>
        <v/>
      </c>
      <c r="T11" s="2">
        <f>IF(C11="FY2026", (Scenarios!D4+Scenarios!E4)*BaselineCalc!$B$22, 0)</f>
        <v/>
      </c>
      <c r="U11" s="2">
        <f>(R11+S11+G11*F11)*J11*(1-K11)</f>
        <v/>
      </c>
      <c r="V11" s="2">
        <f>O11*(G11+P11)</f>
        <v/>
      </c>
      <c r="W11" s="2">
        <f>U11+V11+IF(Parameters_Public!$C$28=1, T11, 0)</f>
        <v/>
      </c>
      <c r="X11" s="2">
        <f>IF(F11+O11&gt;0, W11/(F11+O11),"")</f>
        <v/>
      </c>
      <c r="Y11" s="2">
        <f>INDEX(YearMap!$I$2:$I$6, MATCH(C11, YearMap!$A$2:$A$6, 0))</f>
        <v/>
      </c>
      <c r="Z11" s="2">
        <f>W11 - ((Y11 + IF(Parameters_Public!$C$20=1, Parameters_Public!$C$19, 0))*AC11)</f>
        <v/>
      </c>
      <c r="AA11" s="2">
        <f>IF($AC11&gt;0, $Z11/$AC11, 0)</f>
        <v/>
      </c>
      <c r="AB11">
        <f>MAX(0, (MAX(0, $D11-BaselineCalc!$B$7) + MAX(0, $E11-BaselineCalc!$B$8)))</f>
        <v/>
      </c>
      <c r="AC11" s="11">
        <f>L11+M11-N11+O11</f>
        <v/>
      </c>
      <c r="AD11" s="2">
        <f>( (Y11 + IF(Parameters_Public!$C20=1, INDEX(YearMap!$O$2:$O$6, MATCH(C11, YearMap!$A$2:$A$6, 0)), 0)) * AC11 ) + AC11*INDEX(YearMap!$P$2:$P$6, MATCH(C11, YearMap!$A$2:$A$6, 0)) + AB11*( INDEX(YearMap!$R$2:$R$6, MATCH(C11, YearMap!$A$2:$A$6, 0)) - INDEX(YearMap!$P$2:$P$6, MATCH(C11, YearMap!$A$2:$A$6, 0)) )</f>
        <v/>
      </c>
      <c r="AE11" s="2">
        <f>(W11 - (1-Parameters_Public!$C$43)*$G11*$AB11*$J11*(1-$K11)) + AB11*INDEX(YearMap!$Q$2:$Q$6, MATCH(C11, YearMap!$A$2:$A$6, 0))</f>
        <v/>
      </c>
      <c r="AF11" s="2">
        <f>AD11-AE11</f>
        <v/>
      </c>
      <c r="AG11">
        <f>B11&amp;"|"&amp;C11</f>
        <v/>
      </c>
    </row>
    <row r="12">
      <c r="A12">
        <f>AG12</f>
        <v/>
      </c>
      <c r="B12">
        <f>Scenarios!A5</f>
        <v/>
      </c>
      <c r="C12" t="inlineStr">
        <is>
          <t>FY2026</t>
        </is>
      </c>
      <c r="D12">
        <f>IF(Scenarios!D5=1,0, L12)</f>
        <v/>
      </c>
      <c r="E12">
        <f>IF(Scenarios!E5=1,0, M12)</f>
        <v/>
      </c>
      <c r="F12">
        <f>D12+E12</f>
        <v/>
      </c>
      <c r="G12" s="2">
        <f>YearMap!B2</f>
        <v/>
      </c>
      <c r="H12" s="2">
        <f>YearMap!C2</f>
        <v/>
      </c>
      <c r="I12" s="2">
        <f>YearMap!D2</f>
        <v/>
      </c>
      <c r="J12">
        <f>1-BaselineCalc!$B$5</f>
        <v/>
      </c>
      <c r="K12">
        <f>Scenarios!G5</f>
        <v/>
      </c>
      <c r="L12">
        <f>IF(Scenarios!$Q5=1,BaselineCalc!$B$7*(1+Parameters_Public!$C44)^(IF($C12="FY2026",0,IF($C12="FY2027",1,IF($C12="FY2028",2,IF($C12="FY2029",3,IF($C12="FY2030",4,0))))))+ROUND(Scenarios!I5*Scenarios!$F5,0),BaselineCalc!$B$7+ROUND(Scenarios!I5*Scenarios!$F5,0))</f>
        <v/>
      </c>
      <c r="M12">
        <f>IF(Scenarios!$R5=1,BaselineCalc!$B$8*(1+Parameters_Public!$C45)^(IF($C12="FY2026",0,IF($C12="FY2027",1,IF($C12="FY2028",2,IF($C12="FY2029",3,IF($C12="FY2030",4,0))))))+Scenarios!I5-ROUND(Scenarios!I5*Scenarios!$F5,0),BaselineCalc!$B$8+Scenarios!I5-ROUND(Scenarios!I5*Scenarios!$F5,0))</f>
        <v/>
      </c>
      <c r="N12" s="11">
        <f>(L12-D12) + (M12-E12)</f>
        <v/>
      </c>
      <c r="O12" s="11">
        <f>(Parameters_Public!$C$23*(L12-D12)+Parameters_Public!$C$24*(M12-E12))</f>
        <v/>
      </c>
      <c r="P12">
        <f>YearMap!E2</f>
        <v/>
      </c>
      <c r="Q12">
        <f>IF(Scenarios!N5="lease", YearMap!F2, YearMap!G2)</f>
        <v/>
      </c>
      <c r="R12" s="2">
        <f>IF(Scenarios!D5=1, Q12*H12, H12)</f>
        <v/>
      </c>
      <c r="S12" s="2">
        <f>IF(Scenarios!E5=1, Q12*I12, I12)</f>
        <v/>
      </c>
      <c r="T12" s="2">
        <f>IF(C12="FY2026", (Scenarios!D5+Scenarios!E5)*BaselineCalc!$B$22, 0)</f>
        <v/>
      </c>
      <c r="U12" s="2">
        <f>(R12+S12+G12*F12)*J12*(1-K12)</f>
        <v/>
      </c>
      <c r="V12" s="2">
        <f>O12*(G12+P12)</f>
        <v/>
      </c>
      <c r="W12" s="2">
        <f>U12+V12+IF(Parameters_Public!$C$28=1, T12, 0)</f>
        <v/>
      </c>
      <c r="X12" s="2">
        <f>IF(F12+O12&gt;0, W12/(F12+O12),"")</f>
        <v/>
      </c>
      <c r="Y12" s="2">
        <f>INDEX(YearMap!$I$2:$I$6, MATCH(C12, YearMap!$A$2:$A$6, 0))</f>
        <v/>
      </c>
      <c r="Z12" s="2">
        <f>W12 - ((Y12 + IF(Parameters_Public!$C$20=1, Parameters_Public!$C$19, 0))*AC12)</f>
        <v/>
      </c>
      <c r="AA12" s="2">
        <f>IF($AC12&gt;0, $Z12/$AC12, 0)</f>
        <v/>
      </c>
      <c r="AB12">
        <f>MAX(0, (MAX(0, $D12-BaselineCalc!$B$7) + MAX(0, $E12-BaselineCalc!$B$8)))</f>
        <v/>
      </c>
      <c r="AC12" s="11">
        <f>L12+M12-N12+O12</f>
        <v/>
      </c>
      <c r="AD12" s="2">
        <f>( (Y12 + IF(Parameters_Public!$C20=1, INDEX(YearMap!$O$2:$O$6, MATCH(C12, YearMap!$A$2:$A$6, 0)), 0)) * AC12 ) + AC12*INDEX(YearMap!$P$2:$P$6, MATCH(C12, YearMap!$A$2:$A$6, 0)) + AB12*( INDEX(YearMap!$R$2:$R$6, MATCH(C12, YearMap!$A$2:$A$6, 0)) - INDEX(YearMap!$P$2:$P$6, MATCH(C12, YearMap!$A$2:$A$6, 0)) )</f>
        <v/>
      </c>
      <c r="AE12" s="2">
        <f>(W12 - (1-Parameters_Public!$C$43)*$G12*$AB12*$J12*(1-$K12)) + AB12*INDEX(YearMap!$Q$2:$Q$6, MATCH(C12, YearMap!$A$2:$A$6, 0))</f>
        <v/>
      </c>
      <c r="AF12" s="2">
        <f>AD12-AE12</f>
        <v/>
      </c>
      <c r="AG12">
        <f>B12&amp;"|"&amp;C12</f>
        <v/>
      </c>
    </row>
    <row r="13">
      <c r="A13">
        <f>AG13</f>
        <v/>
      </c>
      <c r="B13">
        <f>Scenarios!A5</f>
        <v/>
      </c>
      <c r="C13" t="inlineStr">
        <is>
          <t>FY2027</t>
        </is>
      </c>
      <c r="D13">
        <f>IF(Scenarios!D5=1,0, L13)</f>
        <v/>
      </c>
      <c r="E13">
        <f>IF(Scenarios!E5=1,0, M13)</f>
        <v/>
      </c>
      <c r="F13">
        <f>D13+E13</f>
        <v/>
      </c>
      <c r="G13" s="2">
        <f>YearMap!B3</f>
        <v/>
      </c>
      <c r="H13" s="2">
        <f>YearMap!C3</f>
        <v/>
      </c>
      <c r="I13" s="2">
        <f>YearMap!D3</f>
        <v/>
      </c>
      <c r="J13">
        <f>1-BaselineCalc!$B$5</f>
        <v/>
      </c>
      <c r="K13">
        <f>Scenarios!G5</f>
        <v/>
      </c>
      <c r="L13">
        <f>IF(Scenarios!$Q5=1,BaselineCalc!$B$7*(1+Parameters_Public!$C44)^(IF($C13="FY2026",0,IF($C13="FY2027",1,IF($C13="FY2028",2,IF($C13="FY2029",3,IF($C13="FY2030",4,0))))))+ROUND(Scenarios!J5*Scenarios!$F5,0),BaselineCalc!$B$7+ROUND(Scenarios!J5*Scenarios!$F5,0))</f>
        <v/>
      </c>
      <c r="M13">
        <f>IF(Scenarios!$R5=1,BaselineCalc!$B$8*(1+Parameters_Public!$C45)^(IF($C13="FY2026",0,IF($C13="FY2027",1,IF($C13="FY2028",2,IF($C13="FY2029",3,IF($C13="FY2030",4,0))))))+Scenarios!J5-ROUND(Scenarios!J5*Scenarios!$F5,0),BaselineCalc!$B$8+Scenarios!J5-ROUND(Scenarios!J5*Scenarios!$F5,0))</f>
        <v/>
      </c>
      <c r="N13" s="11">
        <f>(L13-D13) + (M13-E13)</f>
        <v/>
      </c>
      <c r="O13" s="11">
        <f>(Parameters_Public!$C$23*(L13-D13)+Parameters_Public!$C$24*(M13-E13))</f>
        <v/>
      </c>
      <c r="P13">
        <f>YearMap!E3</f>
        <v/>
      </c>
      <c r="Q13">
        <f>IF(Scenarios!N5="lease", YearMap!F3, YearMap!G3)</f>
        <v/>
      </c>
      <c r="R13" s="2">
        <f>IF(Scenarios!D5=1, Q13*H13, H13)</f>
        <v/>
      </c>
      <c r="S13" s="2">
        <f>IF(Scenarios!E5=1, Q13*I13, I13)</f>
        <v/>
      </c>
      <c r="T13" s="2">
        <f>IF(C13="FY2026", (Scenarios!D5+Scenarios!E5)*BaselineCalc!$B$22, 0)</f>
        <v/>
      </c>
      <c r="U13" s="2">
        <f>(R13+S13+G13*F13)*J13*(1-K13)</f>
        <v/>
      </c>
      <c r="V13" s="2">
        <f>O13*(G13+P13)</f>
        <v/>
      </c>
      <c r="W13" s="2">
        <f>U13+V13+IF(Parameters_Public!$C$28=1, T13, 0)</f>
        <v/>
      </c>
      <c r="X13" s="2">
        <f>IF(F13+O13&gt;0, W13/(F13+O13),"")</f>
        <v/>
      </c>
      <c r="Y13" s="2">
        <f>INDEX(YearMap!$I$2:$I$6, MATCH(C13, YearMap!$A$2:$A$6, 0))</f>
        <v/>
      </c>
      <c r="Z13" s="2">
        <f>W13 - ((Y13 + IF(Parameters_Public!$C$20=1, Parameters_Public!$C$19, 0))*AC13)</f>
        <v/>
      </c>
      <c r="AA13" s="2">
        <f>IF($AC13&gt;0, $Z13/$AC13, 0)</f>
        <v/>
      </c>
      <c r="AB13">
        <f>MAX(0, (MAX(0, $D13-BaselineCalc!$B$7) + MAX(0, $E13-BaselineCalc!$B$8)))</f>
        <v/>
      </c>
      <c r="AC13" s="11">
        <f>L13+M13-N13+O13</f>
        <v/>
      </c>
      <c r="AD13" s="2">
        <f>( (Y13 + IF(Parameters_Public!$C20=1, INDEX(YearMap!$O$2:$O$6, MATCH(C13, YearMap!$A$2:$A$6, 0)), 0)) * AC13 ) + AC13*INDEX(YearMap!$P$2:$P$6, MATCH(C13, YearMap!$A$2:$A$6, 0)) + AB13*( INDEX(YearMap!$R$2:$R$6, MATCH(C13, YearMap!$A$2:$A$6, 0)) - INDEX(YearMap!$P$2:$P$6, MATCH(C13, YearMap!$A$2:$A$6, 0)) )</f>
        <v/>
      </c>
      <c r="AE13" s="2">
        <f>(W13 - (1-Parameters_Public!$C$43)*$G13*$AB13*$J13*(1-$K13)) + AB13*INDEX(YearMap!$Q$2:$Q$6, MATCH(C13, YearMap!$A$2:$A$6, 0))</f>
        <v/>
      </c>
      <c r="AF13" s="2">
        <f>AD13-AE13</f>
        <v/>
      </c>
      <c r="AG13">
        <f>B13&amp;"|"&amp;C13</f>
        <v/>
      </c>
    </row>
    <row r="14">
      <c r="A14">
        <f>AG14</f>
        <v/>
      </c>
      <c r="B14">
        <f>Scenarios!A5</f>
        <v/>
      </c>
      <c r="C14" t="inlineStr">
        <is>
          <t>FY2028</t>
        </is>
      </c>
      <c r="D14">
        <f>IF(Scenarios!D5=1,0, L14)</f>
        <v/>
      </c>
      <c r="E14">
        <f>IF(Scenarios!E5=1,0, M14)</f>
        <v/>
      </c>
      <c r="F14">
        <f>D14+E14</f>
        <v/>
      </c>
      <c r="G14" s="2">
        <f>YearMap!B4</f>
        <v/>
      </c>
      <c r="H14" s="2">
        <f>YearMap!C4</f>
        <v/>
      </c>
      <c r="I14" s="2">
        <f>YearMap!D4</f>
        <v/>
      </c>
      <c r="J14">
        <f>1-BaselineCalc!$B$5</f>
        <v/>
      </c>
      <c r="K14">
        <f>Scenarios!G5</f>
        <v/>
      </c>
      <c r="L14">
        <f>IF(Scenarios!$Q5=1,BaselineCalc!$B$7*(1+Parameters_Public!$C44)^(IF($C14="FY2026",0,IF($C14="FY2027",1,IF($C14="FY2028",2,IF($C14="FY2029",3,IF($C14="FY2030",4,0))))))+ROUND(Scenarios!K5*Scenarios!$F5,0),BaselineCalc!$B$7+ROUND(Scenarios!K5*Scenarios!$F5,0))</f>
        <v/>
      </c>
      <c r="M14">
        <f>IF(Scenarios!$R5=1,BaselineCalc!$B$8*(1+Parameters_Public!$C45)^(IF($C14="FY2026",0,IF($C14="FY2027",1,IF($C14="FY2028",2,IF($C14="FY2029",3,IF($C14="FY2030",4,0))))))+Scenarios!K5-ROUND(Scenarios!K5*Scenarios!$F5,0),BaselineCalc!$B$8+Scenarios!K5-ROUND(Scenarios!K5*Scenarios!$F5,0))</f>
        <v/>
      </c>
      <c r="N14" s="11">
        <f>(L14-D14) + (M14-E14)</f>
        <v/>
      </c>
      <c r="O14" s="11">
        <f>(Parameters_Public!$C$23*(L14-D14)+Parameters_Public!$C$24*(M14-E14))</f>
        <v/>
      </c>
      <c r="P14">
        <f>YearMap!E4</f>
        <v/>
      </c>
      <c r="Q14">
        <f>IF(Scenarios!N5="lease", YearMap!F4, YearMap!G4)</f>
        <v/>
      </c>
      <c r="R14" s="2">
        <f>IF(Scenarios!D5=1, Q14*H14, H14)</f>
        <v/>
      </c>
      <c r="S14" s="2">
        <f>IF(Scenarios!E5=1, Q14*I14, I14)</f>
        <v/>
      </c>
      <c r="T14" s="2">
        <f>IF(C14="FY2026", (Scenarios!D5+Scenarios!E5)*BaselineCalc!$B$22, 0)</f>
        <v/>
      </c>
      <c r="U14" s="2">
        <f>(R14+S14+G14*F14)*J14*(1-K14)</f>
        <v/>
      </c>
      <c r="V14" s="2">
        <f>O14*(G14+P14)</f>
        <v/>
      </c>
      <c r="W14" s="2">
        <f>U14+V14+IF(Parameters_Public!$C$28=1, T14, 0)</f>
        <v/>
      </c>
      <c r="X14" s="2">
        <f>IF(F14+O14&gt;0, W14/(F14+O14),"")</f>
        <v/>
      </c>
      <c r="Y14" s="2">
        <f>INDEX(YearMap!$I$2:$I$6, MATCH(C14, YearMap!$A$2:$A$6, 0))</f>
        <v/>
      </c>
      <c r="Z14" s="2">
        <f>W14 - ((Y14 + IF(Parameters_Public!$C$20=1, Parameters_Public!$C$19, 0))*AC14)</f>
        <v/>
      </c>
      <c r="AA14" s="2">
        <f>IF($AC14&gt;0, $Z14/$AC14, 0)</f>
        <v/>
      </c>
      <c r="AB14">
        <f>MAX(0, (MAX(0, $D14-BaselineCalc!$B$7) + MAX(0, $E14-BaselineCalc!$B$8)))</f>
        <v/>
      </c>
      <c r="AC14" s="11">
        <f>L14+M14-N14+O14</f>
        <v/>
      </c>
      <c r="AD14" s="2">
        <f>( (Y14 + IF(Parameters_Public!$C20=1, INDEX(YearMap!$O$2:$O$6, MATCH(C14, YearMap!$A$2:$A$6, 0)), 0)) * AC14 ) + AC14*INDEX(YearMap!$P$2:$P$6, MATCH(C14, YearMap!$A$2:$A$6, 0)) + AB14*( INDEX(YearMap!$R$2:$R$6, MATCH(C14, YearMap!$A$2:$A$6, 0)) - INDEX(YearMap!$P$2:$P$6, MATCH(C14, YearMap!$A$2:$A$6, 0)) )</f>
        <v/>
      </c>
      <c r="AE14" s="2">
        <f>(W14 - (1-Parameters_Public!$C$43)*$G14*$AB14*$J14*(1-$K14)) + AB14*INDEX(YearMap!$Q$2:$Q$6, MATCH(C14, YearMap!$A$2:$A$6, 0))</f>
        <v/>
      </c>
      <c r="AF14" s="2">
        <f>AD14-AE14</f>
        <v/>
      </c>
      <c r="AG14">
        <f>B14&amp;"|"&amp;C14</f>
        <v/>
      </c>
    </row>
    <row r="15">
      <c r="A15">
        <f>AG15</f>
        <v/>
      </c>
      <c r="B15">
        <f>Scenarios!A5</f>
        <v/>
      </c>
      <c r="C15" t="inlineStr">
        <is>
          <t>FY2029</t>
        </is>
      </c>
      <c r="D15">
        <f>IF(Scenarios!D5=1,0, L15)</f>
        <v/>
      </c>
      <c r="E15">
        <f>IF(Scenarios!E5=1,0, M15)</f>
        <v/>
      </c>
      <c r="F15">
        <f>D15+E15</f>
        <v/>
      </c>
      <c r="G15" s="2">
        <f>YearMap!B5</f>
        <v/>
      </c>
      <c r="H15" s="2">
        <f>YearMap!C5</f>
        <v/>
      </c>
      <c r="I15" s="2">
        <f>YearMap!D5</f>
        <v/>
      </c>
      <c r="J15">
        <f>1-BaselineCalc!$B$5</f>
        <v/>
      </c>
      <c r="K15">
        <f>Scenarios!G5</f>
        <v/>
      </c>
      <c r="L15">
        <f>IF(Scenarios!$Q5=1,BaselineCalc!$B$7*(1+Parameters_Public!$C44)^(IF($C15="FY2026",0,IF($C15="FY2027",1,IF($C15="FY2028",2,IF($C15="FY2029",3,IF($C15="FY2030",4,0))))))+ROUND(Scenarios!L5*Scenarios!$F5,0),BaselineCalc!$B$7+ROUND(Scenarios!L5*Scenarios!$F5,0))</f>
        <v/>
      </c>
      <c r="M15">
        <f>IF(Scenarios!$R5=1,BaselineCalc!$B$8*(1+Parameters_Public!$C45)^(IF($C15="FY2026",0,IF($C15="FY2027",1,IF($C15="FY2028",2,IF($C15="FY2029",3,IF($C15="FY2030",4,0))))))+Scenarios!L5-ROUND(Scenarios!L5*Scenarios!$F5,0),BaselineCalc!$B$8+Scenarios!L5-ROUND(Scenarios!L5*Scenarios!$F5,0))</f>
        <v/>
      </c>
      <c r="N15" s="11">
        <f>(L15-D15) + (M15-E15)</f>
        <v/>
      </c>
      <c r="O15" s="11">
        <f>(Parameters_Public!$C$23*(L15-D15)+Parameters_Public!$C$24*(M15-E15))</f>
        <v/>
      </c>
      <c r="P15">
        <f>YearMap!E5</f>
        <v/>
      </c>
      <c r="Q15">
        <f>IF(Scenarios!N5="lease", YearMap!F5, YearMap!G5)</f>
        <v/>
      </c>
      <c r="R15" s="2">
        <f>IF(Scenarios!D5=1, Q15*H15, H15)</f>
        <v/>
      </c>
      <c r="S15" s="2">
        <f>IF(Scenarios!E5=1, Q15*I15, I15)</f>
        <v/>
      </c>
      <c r="T15" s="2">
        <f>IF(C15="FY2026", (Scenarios!D5+Scenarios!E5)*BaselineCalc!$B$22, 0)</f>
        <v/>
      </c>
      <c r="U15" s="2">
        <f>(R15+S15+G15*F15)*J15*(1-K15)</f>
        <v/>
      </c>
      <c r="V15" s="2">
        <f>O15*(G15+P15)</f>
        <v/>
      </c>
      <c r="W15" s="2">
        <f>U15+V15+IF(Parameters_Public!$C$28=1, T15, 0)</f>
        <v/>
      </c>
      <c r="X15" s="2">
        <f>IF(F15+O15&gt;0, W15/(F15+O15),"")</f>
        <v/>
      </c>
      <c r="Y15" s="2">
        <f>INDEX(YearMap!$I$2:$I$6, MATCH(C15, YearMap!$A$2:$A$6, 0))</f>
        <v/>
      </c>
      <c r="Z15" s="2">
        <f>W15 - ((Y15 + IF(Parameters_Public!$C$20=1, Parameters_Public!$C$19, 0))*AC15)</f>
        <v/>
      </c>
      <c r="AA15" s="2">
        <f>IF($AC15&gt;0, $Z15/$AC15, 0)</f>
        <v/>
      </c>
      <c r="AB15">
        <f>MAX(0, (MAX(0, $D15-BaselineCalc!$B$7) + MAX(0, $E15-BaselineCalc!$B$8)))</f>
        <v/>
      </c>
      <c r="AC15" s="11">
        <f>L15+M15-N15+O15</f>
        <v/>
      </c>
      <c r="AD15" s="2">
        <f>( (Y15 + IF(Parameters_Public!$C20=1, INDEX(YearMap!$O$2:$O$6, MATCH(C15, YearMap!$A$2:$A$6, 0)), 0)) * AC15 ) + AC15*INDEX(YearMap!$P$2:$P$6, MATCH(C15, YearMap!$A$2:$A$6, 0)) + AB15*( INDEX(YearMap!$R$2:$R$6, MATCH(C15, YearMap!$A$2:$A$6, 0)) - INDEX(YearMap!$P$2:$P$6, MATCH(C15, YearMap!$A$2:$A$6, 0)) )</f>
        <v/>
      </c>
      <c r="AE15" s="2">
        <f>(W15 - (1-Parameters_Public!$C$43)*$G15*$AB15*$J15*(1-$K15)) + AB15*INDEX(YearMap!$Q$2:$Q$6, MATCH(C15, YearMap!$A$2:$A$6, 0))</f>
        <v/>
      </c>
      <c r="AF15" s="2">
        <f>AD15-AE15</f>
        <v/>
      </c>
      <c r="AG15">
        <f>B15&amp;"|"&amp;C15</f>
        <v/>
      </c>
    </row>
    <row r="16">
      <c r="A16">
        <f>AG16</f>
        <v/>
      </c>
      <c r="B16">
        <f>Scenarios!A5</f>
        <v/>
      </c>
      <c r="C16" t="inlineStr">
        <is>
          <t>FY2030</t>
        </is>
      </c>
      <c r="D16">
        <f>IF(Scenarios!D5=1,0, L16)</f>
        <v/>
      </c>
      <c r="E16">
        <f>IF(Scenarios!E5=1,0, M16)</f>
        <v/>
      </c>
      <c r="F16">
        <f>D16+E16</f>
        <v/>
      </c>
      <c r="G16" s="2">
        <f>YearMap!B6</f>
        <v/>
      </c>
      <c r="H16" s="2">
        <f>YearMap!C6</f>
        <v/>
      </c>
      <c r="I16" s="2">
        <f>YearMap!D6</f>
        <v/>
      </c>
      <c r="J16">
        <f>1-BaselineCalc!$B$5</f>
        <v/>
      </c>
      <c r="K16">
        <f>Scenarios!G5</f>
        <v/>
      </c>
      <c r="L16">
        <f>IF(Scenarios!$Q5=1,BaselineCalc!$B$7*(1+Parameters_Public!$C44)^(IF($C16="FY2026",0,IF($C16="FY2027",1,IF($C16="FY2028",2,IF($C16="FY2029",3,IF($C16="FY2030",4,0))))))+ROUND(Scenarios!M5*Scenarios!$F5,0),BaselineCalc!$B$7+ROUND(Scenarios!M5*Scenarios!$F5,0))</f>
        <v/>
      </c>
      <c r="M16">
        <f>IF(Scenarios!$R5=1,BaselineCalc!$B$8*(1+Parameters_Public!$C45)^(IF($C16="FY2026",0,IF($C16="FY2027",1,IF($C16="FY2028",2,IF($C16="FY2029",3,IF($C16="FY2030",4,0))))))+Scenarios!M5-ROUND(Scenarios!M5*Scenarios!$F5,0),BaselineCalc!$B$8+Scenarios!M5-ROUND(Scenarios!M5*Scenarios!$F5,0))</f>
        <v/>
      </c>
      <c r="N16" s="11">
        <f>(L16-D16) + (M16-E16)</f>
        <v/>
      </c>
      <c r="O16" s="11">
        <f>(Parameters_Public!$C$23*(L16-D16)+Parameters_Public!$C$24*(M16-E16))</f>
        <v/>
      </c>
      <c r="P16">
        <f>YearMap!E6</f>
        <v/>
      </c>
      <c r="Q16">
        <f>IF(Scenarios!N5="lease", YearMap!F6, YearMap!G6)</f>
        <v/>
      </c>
      <c r="R16" s="2">
        <f>IF(Scenarios!D5=1, Q16*H16, H16)</f>
        <v/>
      </c>
      <c r="S16" s="2">
        <f>IF(Scenarios!E5=1, Q16*I16, I16)</f>
        <v/>
      </c>
      <c r="T16" s="2">
        <f>IF(C16="FY2026", (Scenarios!D5+Scenarios!E5)*BaselineCalc!$B$22, 0)</f>
        <v/>
      </c>
      <c r="U16" s="2">
        <f>(R16+S16+G16*F16)*J16*(1-K16)</f>
        <v/>
      </c>
      <c r="V16" s="2">
        <f>O16*(G16+P16)</f>
        <v/>
      </c>
      <c r="W16" s="2">
        <f>U16+V16+IF(Parameters_Public!$C$28=1, T16, 0)</f>
        <v/>
      </c>
      <c r="X16" s="2">
        <f>IF(F16+O16&gt;0, W16/(F16+O16),"")</f>
        <v/>
      </c>
      <c r="Y16" s="2">
        <f>INDEX(YearMap!$I$2:$I$6, MATCH(C16, YearMap!$A$2:$A$6, 0))</f>
        <v/>
      </c>
      <c r="Z16" s="2">
        <f>W16 - ((Y16 + IF(Parameters_Public!$C$20=1, Parameters_Public!$C$19, 0))*AC16)</f>
        <v/>
      </c>
      <c r="AA16" s="2">
        <f>IF($AC16&gt;0, $Z16/$AC16, 0)</f>
        <v/>
      </c>
      <c r="AB16">
        <f>MAX(0, (MAX(0, $D16-BaselineCalc!$B$7) + MAX(0, $E16-BaselineCalc!$B$8)))</f>
        <v/>
      </c>
      <c r="AC16" s="11">
        <f>L16+M16-N16+O16</f>
        <v/>
      </c>
      <c r="AD16" s="2">
        <f>( (Y16 + IF(Parameters_Public!$C20=1, INDEX(YearMap!$O$2:$O$6, MATCH(C16, YearMap!$A$2:$A$6, 0)), 0)) * AC16 ) + AC16*INDEX(YearMap!$P$2:$P$6, MATCH(C16, YearMap!$A$2:$A$6, 0)) + AB16*( INDEX(YearMap!$R$2:$R$6, MATCH(C16, YearMap!$A$2:$A$6, 0)) - INDEX(YearMap!$P$2:$P$6, MATCH(C16, YearMap!$A$2:$A$6, 0)) )</f>
        <v/>
      </c>
      <c r="AE16" s="2">
        <f>(W16 - (1-Parameters_Public!$C$43)*$G16*$AB16*$J16*(1-$K16)) + AB16*INDEX(YearMap!$Q$2:$Q$6, MATCH(C16, YearMap!$A$2:$A$6, 0))</f>
        <v/>
      </c>
      <c r="AF16" s="2">
        <f>AD16-AE16</f>
        <v/>
      </c>
      <c r="AG16">
        <f>B16&amp;"|"&amp;C16</f>
        <v/>
      </c>
    </row>
    <row r="17">
      <c r="A17">
        <f>AG17</f>
        <v/>
      </c>
      <c r="B17">
        <f>Scenarios!A6</f>
        <v/>
      </c>
      <c r="C17" t="inlineStr">
        <is>
          <t>FY2026</t>
        </is>
      </c>
      <c r="D17">
        <f>IF(Scenarios!D6=1,0, L17)</f>
        <v/>
      </c>
      <c r="E17">
        <f>IF(Scenarios!E6=1,0, M17)</f>
        <v/>
      </c>
      <c r="F17">
        <f>D17+E17</f>
        <v/>
      </c>
      <c r="G17" s="2">
        <f>YearMap!B2</f>
        <v/>
      </c>
      <c r="H17" s="2">
        <f>YearMap!C2</f>
        <v/>
      </c>
      <c r="I17" s="2">
        <f>YearMap!D2</f>
        <v/>
      </c>
      <c r="J17">
        <f>1-BaselineCalc!$B$5</f>
        <v/>
      </c>
      <c r="K17">
        <f>Scenarios!G6</f>
        <v/>
      </c>
      <c r="L17">
        <f>IF(Scenarios!$Q6=1,BaselineCalc!$B$7*(1+Parameters_Public!$C44)^(IF($C17="FY2026",0,IF($C17="FY2027",1,IF($C17="FY2028",2,IF($C17="FY2029",3,IF($C17="FY2030",4,0))))))+ROUND(Scenarios!I6*Scenarios!$F6,0),BaselineCalc!$B$7+ROUND(Scenarios!I6*Scenarios!$F6,0))</f>
        <v/>
      </c>
      <c r="M17">
        <f>IF(Scenarios!$R6=1,BaselineCalc!$B$8*(1+Parameters_Public!$C45)^(IF($C17="FY2026",0,IF($C17="FY2027",1,IF($C17="FY2028",2,IF($C17="FY2029",3,IF($C17="FY2030",4,0))))))+Scenarios!I6-ROUND(Scenarios!I6*Scenarios!$F6,0),BaselineCalc!$B$8+Scenarios!I6-ROUND(Scenarios!I6*Scenarios!$F6,0))</f>
        <v/>
      </c>
      <c r="N17" s="11">
        <f>(L17-D17) + (M17-E17)</f>
        <v/>
      </c>
      <c r="O17" s="11">
        <f>(Parameters_Public!$C$23*(L17-D17)+Parameters_Public!$C$24*(M17-E17))</f>
        <v/>
      </c>
      <c r="P17">
        <f>YearMap!E2</f>
        <v/>
      </c>
      <c r="Q17">
        <f>IF(Scenarios!N6="lease", YearMap!F2, YearMap!G2)</f>
        <v/>
      </c>
      <c r="R17" s="2">
        <f>IF(Scenarios!D6=1, Q17*H17, H17)</f>
        <v/>
      </c>
      <c r="S17" s="2">
        <f>IF(Scenarios!E6=1, Q17*I17, I17)</f>
        <v/>
      </c>
      <c r="T17" s="2">
        <f>IF(C17="FY2026", (Scenarios!D6+Scenarios!E6)*BaselineCalc!$B$22, 0)</f>
        <v/>
      </c>
      <c r="U17" s="2">
        <f>(R17+S17+G17*F17)*J17*(1-K17)</f>
        <v/>
      </c>
      <c r="V17" s="2">
        <f>O17*(G17+P17)</f>
        <v/>
      </c>
      <c r="W17" s="2">
        <f>U17+V17+IF(Parameters_Public!$C$28=1, T17, 0)</f>
        <v/>
      </c>
      <c r="X17" s="2">
        <f>IF(F17+O17&gt;0, W17/(F17+O17),"")</f>
        <v/>
      </c>
      <c r="Y17" s="2">
        <f>INDEX(YearMap!$I$2:$I$6, MATCH(C17, YearMap!$A$2:$A$6, 0))</f>
        <v/>
      </c>
      <c r="Z17" s="2">
        <f>W17 - ((Y17 + IF(Parameters_Public!$C$20=1, Parameters_Public!$C$19, 0))*AC17)</f>
        <v/>
      </c>
      <c r="AA17" s="2">
        <f>IF($AC17&gt;0, $Z17/$AC17, 0)</f>
        <v/>
      </c>
      <c r="AB17">
        <f>MAX(0, (MAX(0, $D17-BaselineCalc!$B$7) + MAX(0, $E17-BaselineCalc!$B$8)))</f>
        <v/>
      </c>
      <c r="AC17" s="11">
        <f>L17+M17-N17+O17</f>
        <v/>
      </c>
      <c r="AD17" s="2">
        <f>( (Y17 + IF(Parameters_Public!$C20=1, INDEX(YearMap!$O$2:$O$6, MATCH(C17, YearMap!$A$2:$A$6, 0)), 0)) * AC17 ) + AC17*INDEX(YearMap!$P$2:$P$6, MATCH(C17, YearMap!$A$2:$A$6, 0)) + AB17*( INDEX(YearMap!$R$2:$R$6, MATCH(C17, YearMap!$A$2:$A$6, 0)) - INDEX(YearMap!$P$2:$P$6, MATCH(C17, YearMap!$A$2:$A$6, 0)) )</f>
        <v/>
      </c>
      <c r="AE17" s="2">
        <f>(W17 - (1-Parameters_Public!$C$43)*$G17*$AB17*$J17*(1-$K17)) + AB17*INDEX(YearMap!$Q$2:$Q$6, MATCH(C17, YearMap!$A$2:$A$6, 0))</f>
        <v/>
      </c>
      <c r="AF17" s="2">
        <f>AD17-AE17</f>
        <v/>
      </c>
      <c r="AG17">
        <f>B17&amp;"|"&amp;C17</f>
        <v/>
      </c>
    </row>
    <row r="18">
      <c r="A18">
        <f>AG18</f>
        <v/>
      </c>
      <c r="B18">
        <f>Scenarios!A6</f>
        <v/>
      </c>
      <c r="C18" t="inlineStr">
        <is>
          <t>FY2027</t>
        </is>
      </c>
      <c r="D18">
        <f>IF(Scenarios!D6=1,0, L18)</f>
        <v/>
      </c>
      <c r="E18">
        <f>IF(Scenarios!E6=1,0, M18)</f>
        <v/>
      </c>
      <c r="F18">
        <f>D18+E18</f>
        <v/>
      </c>
      <c r="G18" s="2">
        <f>YearMap!B3</f>
        <v/>
      </c>
      <c r="H18" s="2">
        <f>YearMap!C3</f>
        <v/>
      </c>
      <c r="I18" s="2">
        <f>YearMap!D3</f>
        <v/>
      </c>
      <c r="J18">
        <f>1-BaselineCalc!$B$5</f>
        <v/>
      </c>
      <c r="K18">
        <f>Scenarios!G6</f>
        <v/>
      </c>
      <c r="L18">
        <f>IF(Scenarios!$Q6=1,BaselineCalc!$B$7*(1+Parameters_Public!$C44)^(IF($C18="FY2026",0,IF($C18="FY2027",1,IF($C18="FY2028",2,IF($C18="FY2029",3,IF($C18="FY2030",4,0))))))+ROUND(Scenarios!J6*Scenarios!$F6,0),BaselineCalc!$B$7+ROUND(Scenarios!J6*Scenarios!$F6,0))</f>
        <v/>
      </c>
      <c r="M18">
        <f>IF(Scenarios!$R6=1,BaselineCalc!$B$8*(1+Parameters_Public!$C45)^(IF($C18="FY2026",0,IF($C18="FY2027",1,IF($C18="FY2028",2,IF($C18="FY2029",3,IF($C18="FY2030",4,0))))))+Scenarios!J6-ROUND(Scenarios!J6*Scenarios!$F6,0),BaselineCalc!$B$8+Scenarios!J6-ROUND(Scenarios!J6*Scenarios!$F6,0))</f>
        <v/>
      </c>
      <c r="N18" s="11">
        <f>(L18-D18) + (M18-E18)</f>
        <v/>
      </c>
      <c r="O18" s="11">
        <f>(Parameters_Public!$C$23*(L18-D18)+Parameters_Public!$C$24*(M18-E18))</f>
        <v/>
      </c>
      <c r="P18">
        <f>YearMap!E3</f>
        <v/>
      </c>
      <c r="Q18">
        <f>IF(Scenarios!N6="lease", YearMap!F3, YearMap!G3)</f>
        <v/>
      </c>
      <c r="R18" s="2">
        <f>IF(Scenarios!D6=1, Q18*H18, H18)</f>
        <v/>
      </c>
      <c r="S18" s="2">
        <f>IF(Scenarios!E6=1, Q18*I18, I18)</f>
        <v/>
      </c>
      <c r="T18" s="2">
        <f>IF(C18="FY2026", (Scenarios!D6+Scenarios!E6)*BaselineCalc!$B$22, 0)</f>
        <v/>
      </c>
      <c r="U18" s="2">
        <f>(R18+S18+G18*F18)*J18*(1-K18)</f>
        <v/>
      </c>
      <c r="V18" s="2">
        <f>O18*(G18+P18)</f>
        <v/>
      </c>
      <c r="W18" s="2">
        <f>U18+V18+IF(Parameters_Public!$C$28=1, T18, 0)</f>
        <v/>
      </c>
      <c r="X18" s="2">
        <f>IF(F18+O18&gt;0, W18/(F18+O18),"")</f>
        <v/>
      </c>
      <c r="Y18" s="2">
        <f>INDEX(YearMap!$I$2:$I$6, MATCH(C18, YearMap!$A$2:$A$6, 0))</f>
        <v/>
      </c>
      <c r="Z18" s="2">
        <f>W18 - ((Y18 + IF(Parameters_Public!$C$20=1, Parameters_Public!$C$19, 0))*AC18)</f>
        <v/>
      </c>
      <c r="AA18" s="2">
        <f>IF($AC18&gt;0, $Z18/$AC18, 0)</f>
        <v/>
      </c>
      <c r="AB18">
        <f>MAX(0, (MAX(0, $D18-BaselineCalc!$B$7) + MAX(0, $E18-BaselineCalc!$B$8)))</f>
        <v/>
      </c>
      <c r="AC18" s="11">
        <f>L18+M18-N18+O18</f>
        <v/>
      </c>
      <c r="AD18" s="2">
        <f>( (Y18 + IF(Parameters_Public!$C20=1, INDEX(YearMap!$O$2:$O$6, MATCH(C18, YearMap!$A$2:$A$6, 0)), 0)) * AC18 ) + AC18*INDEX(YearMap!$P$2:$P$6, MATCH(C18, YearMap!$A$2:$A$6, 0)) + AB18*( INDEX(YearMap!$R$2:$R$6, MATCH(C18, YearMap!$A$2:$A$6, 0)) - INDEX(YearMap!$P$2:$P$6, MATCH(C18, YearMap!$A$2:$A$6, 0)) )</f>
        <v/>
      </c>
      <c r="AE18" s="2">
        <f>(W18 - (1-Parameters_Public!$C$43)*$G18*$AB18*$J18*(1-$K18)) + AB18*INDEX(YearMap!$Q$2:$Q$6, MATCH(C18, YearMap!$A$2:$A$6, 0))</f>
        <v/>
      </c>
      <c r="AF18" s="2">
        <f>AD18-AE18</f>
        <v/>
      </c>
      <c r="AG18">
        <f>B18&amp;"|"&amp;C18</f>
        <v/>
      </c>
    </row>
    <row r="19">
      <c r="A19">
        <f>AG19</f>
        <v/>
      </c>
      <c r="B19">
        <f>Scenarios!A6</f>
        <v/>
      </c>
      <c r="C19" t="inlineStr">
        <is>
          <t>FY2028</t>
        </is>
      </c>
      <c r="D19">
        <f>IF(Scenarios!D6=1,0, L19)</f>
        <v/>
      </c>
      <c r="E19">
        <f>IF(Scenarios!E6=1,0, M19)</f>
        <v/>
      </c>
      <c r="F19">
        <f>D19+E19</f>
        <v/>
      </c>
      <c r="G19" s="2">
        <f>YearMap!B4</f>
        <v/>
      </c>
      <c r="H19" s="2">
        <f>YearMap!C4</f>
        <v/>
      </c>
      <c r="I19" s="2">
        <f>YearMap!D4</f>
        <v/>
      </c>
      <c r="J19">
        <f>1-BaselineCalc!$B$5</f>
        <v/>
      </c>
      <c r="K19">
        <f>Scenarios!G6</f>
        <v/>
      </c>
      <c r="L19">
        <f>IF(Scenarios!$Q6=1,BaselineCalc!$B$7*(1+Parameters_Public!$C44)^(IF($C19="FY2026",0,IF($C19="FY2027",1,IF($C19="FY2028",2,IF($C19="FY2029",3,IF($C19="FY2030",4,0))))))+ROUND(Scenarios!K6*Scenarios!$F6,0),BaselineCalc!$B$7+ROUND(Scenarios!K6*Scenarios!$F6,0))</f>
        <v/>
      </c>
      <c r="M19">
        <f>IF(Scenarios!$R6=1,BaselineCalc!$B$8*(1+Parameters_Public!$C45)^(IF($C19="FY2026",0,IF($C19="FY2027",1,IF($C19="FY2028",2,IF($C19="FY2029",3,IF($C19="FY2030",4,0))))))+Scenarios!K6-ROUND(Scenarios!K6*Scenarios!$F6,0),BaselineCalc!$B$8+Scenarios!K6-ROUND(Scenarios!K6*Scenarios!$F6,0))</f>
        <v/>
      </c>
      <c r="N19" s="11">
        <f>(L19-D19) + (M19-E19)</f>
        <v/>
      </c>
      <c r="O19" s="11">
        <f>(Parameters_Public!$C$23*(L19-D19)+Parameters_Public!$C$24*(M19-E19))</f>
        <v/>
      </c>
      <c r="P19">
        <f>YearMap!E4</f>
        <v/>
      </c>
      <c r="Q19">
        <f>IF(Scenarios!N6="lease", YearMap!F4, YearMap!G4)</f>
        <v/>
      </c>
      <c r="R19" s="2">
        <f>IF(Scenarios!D6=1, Q19*H19, H19)</f>
        <v/>
      </c>
      <c r="S19" s="2">
        <f>IF(Scenarios!E6=1, Q19*I19, I19)</f>
        <v/>
      </c>
      <c r="T19" s="2">
        <f>IF(C19="FY2026", (Scenarios!D6+Scenarios!E6)*BaselineCalc!$B$22, 0)</f>
        <v/>
      </c>
      <c r="U19" s="2">
        <f>(R19+S19+G19*F19)*J19*(1-K19)</f>
        <v/>
      </c>
      <c r="V19" s="2">
        <f>O19*(G19+P19)</f>
        <v/>
      </c>
      <c r="W19" s="2">
        <f>U19+V19+IF(Parameters_Public!$C$28=1, T19, 0)</f>
        <v/>
      </c>
      <c r="X19" s="2">
        <f>IF(F19+O19&gt;0, W19/(F19+O19),"")</f>
        <v/>
      </c>
      <c r="Y19" s="2">
        <f>INDEX(YearMap!$I$2:$I$6, MATCH(C19, YearMap!$A$2:$A$6, 0))</f>
        <v/>
      </c>
      <c r="Z19" s="2">
        <f>W19 - ((Y19 + IF(Parameters_Public!$C$20=1, Parameters_Public!$C$19, 0))*AC19)</f>
        <v/>
      </c>
      <c r="AA19" s="2">
        <f>IF($AC19&gt;0, $Z19/$AC19, 0)</f>
        <v/>
      </c>
      <c r="AB19">
        <f>MAX(0, (MAX(0, $D19-BaselineCalc!$B$7) + MAX(0, $E19-BaselineCalc!$B$8)))</f>
        <v/>
      </c>
      <c r="AC19" s="11">
        <f>L19+M19-N19+O19</f>
        <v/>
      </c>
      <c r="AD19" s="2">
        <f>( (Y19 + IF(Parameters_Public!$C20=1, INDEX(YearMap!$O$2:$O$6, MATCH(C19, YearMap!$A$2:$A$6, 0)), 0)) * AC19 ) + AC19*INDEX(YearMap!$P$2:$P$6, MATCH(C19, YearMap!$A$2:$A$6, 0)) + AB19*( INDEX(YearMap!$R$2:$R$6, MATCH(C19, YearMap!$A$2:$A$6, 0)) - INDEX(YearMap!$P$2:$P$6, MATCH(C19, YearMap!$A$2:$A$6, 0)) )</f>
        <v/>
      </c>
      <c r="AE19" s="2">
        <f>(W19 - (1-Parameters_Public!$C$43)*$G19*$AB19*$J19*(1-$K19)) + AB19*INDEX(YearMap!$Q$2:$Q$6, MATCH(C19, YearMap!$A$2:$A$6, 0))</f>
        <v/>
      </c>
      <c r="AF19" s="2">
        <f>AD19-AE19</f>
        <v/>
      </c>
      <c r="AG19">
        <f>B19&amp;"|"&amp;C19</f>
        <v/>
      </c>
    </row>
    <row r="20">
      <c r="A20">
        <f>AG20</f>
        <v/>
      </c>
      <c r="B20">
        <f>Scenarios!A6</f>
        <v/>
      </c>
      <c r="C20" t="inlineStr">
        <is>
          <t>FY2029</t>
        </is>
      </c>
      <c r="D20">
        <f>IF(Scenarios!D6=1,0, L20)</f>
        <v/>
      </c>
      <c r="E20">
        <f>IF(Scenarios!E6=1,0, M20)</f>
        <v/>
      </c>
      <c r="F20">
        <f>D20+E20</f>
        <v/>
      </c>
      <c r="G20" s="2">
        <f>YearMap!B5</f>
        <v/>
      </c>
      <c r="H20" s="2">
        <f>YearMap!C5</f>
        <v/>
      </c>
      <c r="I20" s="2">
        <f>YearMap!D5</f>
        <v/>
      </c>
      <c r="J20">
        <f>1-BaselineCalc!$B$5</f>
        <v/>
      </c>
      <c r="K20">
        <f>Scenarios!G6</f>
        <v/>
      </c>
      <c r="L20">
        <f>IF(Scenarios!$Q6=1,BaselineCalc!$B$7*(1+Parameters_Public!$C44)^(IF($C20="FY2026",0,IF($C20="FY2027",1,IF($C20="FY2028",2,IF($C20="FY2029",3,IF($C20="FY2030",4,0))))))+ROUND(Scenarios!L6*Scenarios!$F6,0),BaselineCalc!$B$7+ROUND(Scenarios!L6*Scenarios!$F6,0))</f>
        <v/>
      </c>
      <c r="M20">
        <f>IF(Scenarios!$R6=1,BaselineCalc!$B$8*(1+Parameters_Public!$C45)^(IF($C20="FY2026",0,IF($C20="FY2027",1,IF($C20="FY2028",2,IF($C20="FY2029",3,IF($C20="FY2030",4,0))))))+Scenarios!L6-ROUND(Scenarios!L6*Scenarios!$F6,0),BaselineCalc!$B$8+Scenarios!L6-ROUND(Scenarios!L6*Scenarios!$F6,0))</f>
        <v/>
      </c>
      <c r="N20" s="11">
        <f>(L20-D20) + (M20-E20)</f>
        <v/>
      </c>
      <c r="O20" s="11">
        <f>(Parameters_Public!$C$23*(L20-D20)+Parameters_Public!$C$24*(M20-E20))</f>
        <v/>
      </c>
      <c r="P20">
        <f>YearMap!E5</f>
        <v/>
      </c>
      <c r="Q20">
        <f>IF(Scenarios!N6="lease", YearMap!F5, YearMap!G5)</f>
        <v/>
      </c>
      <c r="R20" s="2">
        <f>IF(Scenarios!D6=1, Q20*H20, H20)</f>
        <v/>
      </c>
      <c r="S20" s="2">
        <f>IF(Scenarios!E6=1, Q20*I20, I20)</f>
        <v/>
      </c>
      <c r="T20" s="2">
        <f>IF(C20="FY2026", (Scenarios!D6+Scenarios!E6)*BaselineCalc!$B$22, 0)</f>
        <v/>
      </c>
      <c r="U20" s="2">
        <f>(R20+S20+G20*F20)*J20*(1-K20)</f>
        <v/>
      </c>
      <c r="V20" s="2">
        <f>O20*(G20+P20)</f>
        <v/>
      </c>
      <c r="W20" s="2">
        <f>U20+V20+IF(Parameters_Public!$C$28=1, T20, 0)</f>
        <v/>
      </c>
      <c r="X20" s="2">
        <f>IF(F20+O20&gt;0, W20/(F20+O20),"")</f>
        <v/>
      </c>
      <c r="Y20" s="2">
        <f>INDEX(YearMap!$I$2:$I$6, MATCH(C20, YearMap!$A$2:$A$6, 0))</f>
        <v/>
      </c>
      <c r="Z20" s="2">
        <f>W20 - ((Y20 + IF(Parameters_Public!$C$20=1, Parameters_Public!$C$19, 0))*AC20)</f>
        <v/>
      </c>
      <c r="AA20" s="2">
        <f>IF($AC20&gt;0, $Z20/$AC20, 0)</f>
        <v/>
      </c>
      <c r="AB20">
        <f>MAX(0, (MAX(0, $D20-BaselineCalc!$B$7) + MAX(0, $E20-BaselineCalc!$B$8)))</f>
        <v/>
      </c>
      <c r="AC20" s="11">
        <f>L20+M20-N20+O20</f>
        <v/>
      </c>
      <c r="AD20" s="2">
        <f>( (Y20 + IF(Parameters_Public!$C20=1, INDEX(YearMap!$O$2:$O$6, MATCH(C20, YearMap!$A$2:$A$6, 0)), 0)) * AC20 ) + AC20*INDEX(YearMap!$P$2:$P$6, MATCH(C20, YearMap!$A$2:$A$6, 0)) + AB20*( INDEX(YearMap!$R$2:$R$6, MATCH(C20, YearMap!$A$2:$A$6, 0)) - INDEX(YearMap!$P$2:$P$6, MATCH(C20, YearMap!$A$2:$A$6, 0)) )</f>
        <v/>
      </c>
      <c r="AE20" s="2">
        <f>(W20 - (1-Parameters_Public!$C$43)*$G20*$AB20*$J20*(1-$K20)) + AB20*INDEX(YearMap!$Q$2:$Q$6, MATCH(C20, YearMap!$A$2:$A$6, 0))</f>
        <v/>
      </c>
      <c r="AF20" s="2">
        <f>AD20-AE20</f>
        <v/>
      </c>
      <c r="AG20">
        <f>B20&amp;"|"&amp;C20</f>
        <v/>
      </c>
    </row>
    <row r="21">
      <c r="A21">
        <f>AG21</f>
        <v/>
      </c>
      <c r="B21">
        <f>Scenarios!A6</f>
        <v/>
      </c>
      <c r="C21" t="inlineStr">
        <is>
          <t>FY2030</t>
        </is>
      </c>
      <c r="D21">
        <f>IF(Scenarios!D6=1,0, L21)</f>
        <v/>
      </c>
      <c r="E21">
        <f>IF(Scenarios!E6=1,0, M21)</f>
        <v/>
      </c>
      <c r="F21">
        <f>D21+E21</f>
        <v/>
      </c>
      <c r="G21" s="2">
        <f>YearMap!B6</f>
        <v/>
      </c>
      <c r="H21" s="2">
        <f>YearMap!C6</f>
        <v/>
      </c>
      <c r="I21" s="2">
        <f>YearMap!D6</f>
        <v/>
      </c>
      <c r="J21">
        <f>1-BaselineCalc!$B$5</f>
        <v/>
      </c>
      <c r="K21">
        <f>Scenarios!G6</f>
        <v/>
      </c>
      <c r="L21">
        <f>IF(Scenarios!$Q6=1,BaselineCalc!$B$7*(1+Parameters_Public!$C44)^(IF($C21="FY2026",0,IF($C21="FY2027",1,IF($C21="FY2028",2,IF($C21="FY2029",3,IF($C21="FY2030",4,0))))))+ROUND(Scenarios!M6*Scenarios!$F6,0),BaselineCalc!$B$7+ROUND(Scenarios!M6*Scenarios!$F6,0))</f>
        <v/>
      </c>
      <c r="M21">
        <f>IF(Scenarios!$R6=1,BaselineCalc!$B$8*(1+Parameters_Public!$C45)^(IF($C21="FY2026",0,IF($C21="FY2027",1,IF($C21="FY2028",2,IF($C21="FY2029",3,IF($C21="FY2030",4,0))))))+Scenarios!M6-ROUND(Scenarios!M6*Scenarios!$F6,0),BaselineCalc!$B$8+Scenarios!M6-ROUND(Scenarios!M6*Scenarios!$F6,0))</f>
        <v/>
      </c>
      <c r="N21" s="11">
        <f>(L21-D21) + (M21-E21)</f>
        <v/>
      </c>
      <c r="O21" s="11">
        <f>(Parameters_Public!$C$23*(L21-D21)+Parameters_Public!$C$24*(M21-E21))</f>
        <v/>
      </c>
      <c r="P21">
        <f>YearMap!E6</f>
        <v/>
      </c>
      <c r="Q21">
        <f>IF(Scenarios!N6="lease", YearMap!F6, YearMap!G6)</f>
        <v/>
      </c>
      <c r="R21" s="2">
        <f>IF(Scenarios!D6=1, Q21*H21, H21)</f>
        <v/>
      </c>
      <c r="S21" s="2">
        <f>IF(Scenarios!E6=1, Q21*I21, I21)</f>
        <v/>
      </c>
      <c r="T21" s="2">
        <f>IF(C21="FY2026", (Scenarios!D6+Scenarios!E6)*BaselineCalc!$B$22, 0)</f>
        <v/>
      </c>
      <c r="U21" s="2">
        <f>(R21+S21+G21*F21)*J21*(1-K21)</f>
        <v/>
      </c>
      <c r="V21" s="2">
        <f>O21*(G21+P21)</f>
        <v/>
      </c>
      <c r="W21" s="2">
        <f>U21+V21+IF(Parameters_Public!$C$28=1, T21, 0)</f>
        <v/>
      </c>
      <c r="X21" s="2">
        <f>IF(F21+O21&gt;0, W21/(F21+O21),"")</f>
        <v/>
      </c>
      <c r="Y21" s="2">
        <f>INDEX(YearMap!$I$2:$I$6, MATCH(C21, YearMap!$A$2:$A$6, 0))</f>
        <v/>
      </c>
      <c r="Z21" s="2">
        <f>W21 - ((Y21 + IF(Parameters_Public!$C$20=1, Parameters_Public!$C$19, 0))*AC21)</f>
        <v/>
      </c>
      <c r="AA21" s="2">
        <f>IF($AC21&gt;0, $Z21/$AC21, 0)</f>
        <v/>
      </c>
      <c r="AB21">
        <f>MAX(0, (MAX(0, $D21-BaselineCalc!$B$7) + MAX(0, $E21-BaselineCalc!$B$8)))</f>
        <v/>
      </c>
      <c r="AC21" s="11">
        <f>L21+M21-N21+O21</f>
        <v/>
      </c>
      <c r="AD21" s="2">
        <f>( (Y21 + IF(Parameters_Public!$C20=1, INDEX(YearMap!$O$2:$O$6, MATCH(C21, YearMap!$A$2:$A$6, 0)), 0)) * AC21 ) + AC21*INDEX(YearMap!$P$2:$P$6, MATCH(C21, YearMap!$A$2:$A$6, 0)) + AB21*( INDEX(YearMap!$R$2:$R$6, MATCH(C21, YearMap!$A$2:$A$6, 0)) - INDEX(YearMap!$P$2:$P$6, MATCH(C21, YearMap!$A$2:$A$6, 0)) )</f>
        <v/>
      </c>
      <c r="AE21" s="2">
        <f>(W21 - (1-Parameters_Public!$C$43)*$G21*$AB21*$J21*(1-$K21)) + AB21*INDEX(YearMap!$Q$2:$Q$6, MATCH(C21, YearMap!$A$2:$A$6, 0))</f>
        <v/>
      </c>
      <c r="AF21" s="2">
        <f>AD21-AE21</f>
        <v/>
      </c>
      <c r="AG21">
        <f>B21&amp;"|"&amp;C21</f>
        <v/>
      </c>
    </row>
    <row r="22">
      <c r="A22">
        <f>AG22</f>
        <v/>
      </c>
      <c r="B22">
        <f>Scenarios!A7</f>
        <v/>
      </c>
      <c r="C22" t="inlineStr">
        <is>
          <t>FY2026</t>
        </is>
      </c>
      <c r="D22">
        <f>IF(Scenarios!D7=1,0, L22)</f>
        <v/>
      </c>
      <c r="E22">
        <f>IF(Scenarios!E7=1,0, M22)</f>
        <v/>
      </c>
      <c r="F22">
        <f>D22+E22</f>
        <v/>
      </c>
      <c r="G22" s="2">
        <f>YearMap!B2</f>
        <v/>
      </c>
      <c r="H22" s="2">
        <f>YearMap!C2</f>
        <v/>
      </c>
      <c r="I22" s="2">
        <f>YearMap!D2</f>
        <v/>
      </c>
      <c r="J22">
        <f>1-BaselineCalc!$B$5</f>
        <v/>
      </c>
      <c r="K22">
        <f>Scenarios!G7</f>
        <v/>
      </c>
      <c r="L22">
        <f>IF(Scenarios!$Q7=1,BaselineCalc!$B$7*(1+Parameters_Public!$C44)^(IF($C22="FY2026",0,IF($C22="FY2027",1,IF($C22="FY2028",2,IF($C22="FY2029",3,IF($C22="FY2030",4,0))))))+ROUND(Scenarios!I7*Scenarios!$F7,0),BaselineCalc!$B$7+ROUND(Scenarios!I7*Scenarios!$F7,0))</f>
        <v/>
      </c>
      <c r="M22">
        <f>IF(Scenarios!$R7=1,BaselineCalc!$B$8*(1+Parameters_Public!$C45)^(IF($C22="FY2026",0,IF($C22="FY2027",1,IF($C22="FY2028",2,IF($C22="FY2029",3,IF($C22="FY2030",4,0))))))+Scenarios!I7-ROUND(Scenarios!I7*Scenarios!$F7,0),BaselineCalc!$B$8+Scenarios!I7-ROUND(Scenarios!I7*Scenarios!$F7,0))</f>
        <v/>
      </c>
      <c r="N22" s="11">
        <f>(L22-D22) + (M22-E22)</f>
        <v/>
      </c>
      <c r="O22" s="11">
        <f>(Parameters_Public!$C$23*(L22-D22)+Parameters_Public!$C$24*(M22-E22))</f>
        <v/>
      </c>
      <c r="P22">
        <f>YearMap!E2</f>
        <v/>
      </c>
      <c r="Q22">
        <f>IF(Scenarios!N7="lease", YearMap!F2, YearMap!G2)</f>
        <v/>
      </c>
      <c r="R22" s="2">
        <f>IF(Scenarios!D7=1, Q22*H22, H22)</f>
        <v/>
      </c>
      <c r="S22" s="2">
        <f>IF(Scenarios!E7=1, Q22*I22, I22)</f>
        <v/>
      </c>
      <c r="T22" s="2">
        <f>IF(C22="FY2026", (Scenarios!D7+Scenarios!E7)*BaselineCalc!$B$22, 0)</f>
        <v/>
      </c>
      <c r="U22" s="2">
        <f>(R22+S22+G22*F22)*J22*(1-K22)</f>
        <v/>
      </c>
      <c r="V22" s="2">
        <f>O22*(G22+P22)</f>
        <v/>
      </c>
      <c r="W22" s="2">
        <f>U22+V22+IF(Parameters_Public!$C$28=1, T22, 0)</f>
        <v/>
      </c>
      <c r="X22" s="2">
        <f>IF(F22+O22&gt;0, W22/(F22+O22),"")</f>
        <v/>
      </c>
      <c r="Y22" s="2">
        <f>INDEX(YearMap!$I$2:$I$6, MATCH(C22, YearMap!$A$2:$A$6, 0))</f>
        <v/>
      </c>
      <c r="Z22" s="2">
        <f>W22 - ((Y22 + IF(Parameters_Public!$C$20=1, Parameters_Public!$C$19, 0))*AC22)</f>
        <v/>
      </c>
      <c r="AA22" s="2">
        <f>IF($AC22&gt;0, $Z22/$AC22, 0)</f>
        <v/>
      </c>
      <c r="AB22">
        <f>MAX(0, (MAX(0, $D22-BaselineCalc!$B$7) + MAX(0, $E22-BaselineCalc!$B$8)))</f>
        <v/>
      </c>
      <c r="AC22" s="11">
        <f>L22+M22-N22+O22</f>
        <v/>
      </c>
      <c r="AD22" s="2">
        <f>( (Y22 + IF(Parameters_Public!$C20=1, INDEX(YearMap!$O$2:$O$6, MATCH(C22, YearMap!$A$2:$A$6, 0)), 0)) * AC22 ) + AC22*INDEX(YearMap!$P$2:$P$6, MATCH(C22, YearMap!$A$2:$A$6, 0)) + AB22*( INDEX(YearMap!$R$2:$R$6, MATCH(C22, YearMap!$A$2:$A$6, 0)) - INDEX(YearMap!$P$2:$P$6, MATCH(C22, YearMap!$A$2:$A$6, 0)) )</f>
        <v/>
      </c>
      <c r="AE22" s="2">
        <f>(W22 - (1-Parameters_Public!$C$43)*$G22*$AB22*$J22*(1-$K22)) + AB22*INDEX(YearMap!$Q$2:$Q$6, MATCH(C22, YearMap!$A$2:$A$6, 0))</f>
        <v/>
      </c>
      <c r="AF22" s="2">
        <f>AD22-AE22</f>
        <v/>
      </c>
      <c r="AG22">
        <f>B22&amp;"|"&amp;C22</f>
        <v/>
      </c>
    </row>
    <row r="23">
      <c r="A23">
        <f>AG23</f>
        <v/>
      </c>
      <c r="B23">
        <f>Scenarios!A7</f>
        <v/>
      </c>
      <c r="C23" t="inlineStr">
        <is>
          <t>FY2027</t>
        </is>
      </c>
      <c r="D23">
        <f>IF(Scenarios!D7=1,0, L23)</f>
        <v/>
      </c>
      <c r="E23">
        <f>IF(Scenarios!E7=1,0, M23)</f>
        <v/>
      </c>
      <c r="F23">
        <f>D23+E23</f>
        <v/>
      </c>
      <c r="G23" s="2">
        <f>YearMap!B3</f>
        <v/>
      </c>
      <c r="H23" s="2">
        <f>YearMap!C3</f>
        <v/>
      </c>
      <c r="I23" s="2">
        <f>YearMap!D3</f>
        <v/>
      </c>
      <c r="J23">
        <f>1-BaselineCalc!$B$5</f>
        <v/>
      </c>
      <c r="K23">
        <f>Scenarios!G7</f>
        <v/>
      </c>
      <c r="L23">
        <f>IF(Scenarios!$Q7=1,BaselineCalc!$B$7*(1+Parameters_Public!$C44)^(IF($C23="FY2026",0,IF($C23="FY2027",1,IF($C23="FY2028",2,IF($C23="FY2029",3,IF($C23="FY2030",4,0))))))+ROUND(Scenarios!J7*Scenarios!$F7,0),BaselineCalc!$B$7+ROUND(Scenarios!J7*Scenarios!$F7,0))</f>
        <v/>
      </c>
      <c r="M23">
        <f>IF(Scenarios!$R7=1,BaselineCalc!$B$8*(1+Parameters_Public!$C45)^(IF($C23="FY2026",0,IF($C23="FY2027",1,IF($C23="FY2028",2,IF($C23="FY2029",3,IF($C23="FY2030",4,0))))))+Scenarios!J7-ROUND(Scenarios!J7*Scenarios!$F7,0),BaselineCalc!$B$8+Scenarios!J7-ROUND(Scenarios!J7*Scenarios!$F7,0))</f>
        <v/>
      </c>
      <c r="N23" s="11">
        <f>(L23-D23) + (M23-E23)</f>
        <v/>
      </c>
      <c r="O23" s="11">
        <f>(Parameters_Public!$C$23*(L23-D23)+Parameters_Public!$C$24*(M23-E23))</f>
        <v/>
      </c>
      <c r="P23">
        <f>YearMap!E3</f>
        <v/>
      </c>
      <c r="Q23">
        <f>IF(Scenarios!N7="lease", YearMap!F3, YearMap!G3)</f>
        <v/>
      </c>
      <c r="R23" s="2">
        <f>IF(Scenarios!D7=1, Q23*H23, H23)</f>
        <v/>
      </c>
      <c r="S23" s="2">
        <f>IF(Scenarios!E7=1, Q23*I23, I23)</f>
        <v/>
      </c>
      <c r="T23" s="2">
        <f>IF(C23="FY2026", (Scenarios!D7+Scenarios!E7)*BaselineCalc!$B$22, 0)</f>
        <v/>
      </c>
      <c r="U23" s="2">
        <f>(R23+S23+G23*F23)*J23*(1-K23)</f>
        <v/>
      </c>
      <c r="V23" s="2">
        <f>O23*(G23+P23)</f>
        <v/>
      </c>
      <c r="W23" s="2">
        <f>U23+V23+IF(Parameters_Public!$C$28=1, T23, 0)</f>
        <v/>
      </c>
      <c r="X23" s="2">
        <f>IF(F23+O23&gt;0, W23/(F23+O23),"")</f>
        <v/>
      </c>
      <c r="Y23" s="2">
        <f>INDEX(YearMap!$I$2:$I$6, MATCH(C23, YearMap!$A$2:$A$6, 0))</f>
        <v/>
      </c>
      <c r="Z23" s="2">
        <f>W23 - ((Y23 + IF(Parameters_Public!$C$20=1, Parameters_Public!$C$19, 0))*AC23)</f>
        <v/>
      </c>
      <c r="AA23" s="2">
        <f>IF($AC23&gt;0, $Z23/$AC23, 0)</f>
        <v/>
      </c>
      <c r="AB23">
        <f>MAX(0, (MAX(0, $D23-BaselineCalc!$B$7) + MAX(0, $E23-BaselineCalc!$B$8)))</f>
        <v/>
      </c>
      <c r="AC23" s="11">
        <f>L23+M23-N23+O23</f>
        <v/>
      </c>
      <c r="AD23" s="2">
        <f>( (Y23 + IF(Parameters_Public!$C20=1, INDEX(YearMap!$O$2:$O$6, MATCH(C23, YearMap!$A$2:$A$6, 0)), 0)) * AC23 ) + AC23*INDEX(YearMap!$P$2:$P$6, MATCH(C23, YearMap!$A$2:$A$6, 0)) + AB23*( INDEX(YearMap!$R$2:$R$6, MATCH(C23, YearMap!$A$2:$A$6, 0)) - INDEX(YearMap!$P$2:$P$6, MATCH(C23, YearMap!$A$2:$A$6, 0)) )</f>
        <v/>
      </c>
      <c r="AE23" s="2">
        <f>(W23 - (1-Parameters_Public!$C$43)*$G23*$AB23*$J23*(1-$K23)) + AB23*INDEX(YearMap!$Q$2:$Q$6, MATCH(C23, YearMap!$A$2:$A$6, 0))</f>
        <v/>
      </c>
      <c r="AF23" s="2">
        <f>AD23-AE23</f>
        <v/>
      </c>
      <c r="AG23">
        <f>B23&amp;"|"&amp;C23</f>
        <v/>
      </c>
    </row>
    <row r="24">
      <c r="A24">
        <f>AG24</f>
        <v/>
      </c>
      <c r="B24">
        <f>Scenarios!A7</f>
        <v/>
      </c>
      <c r="C24" t="inlineStr">
        <is>
          <t>FY2028</t>
        </is>
      </c>
      <c r="D24">
        <f>IF(Scenarios!D7=1,0, L24)</f>
        <v/>
      </c>
      <c r="E24">
        <f>IF(Scenarios!E7=1,0, M24)</f>
        <v/>
      </c>
      <c r="F24">
        <f>D24+E24</f>
        <v/>
      </c>
      <c r="G24" s="2">
        <f>YearMap!B4</f>
        <v/>
      </c>
      <c r="H24" s="2">
        <f>YearMap!C4</f>
        <v/>
      </c>
      <c r="I24" s="2">
        <f>YearMap!D4</f>
        <v/>
      </c>
      <c r="J24">
        <f>1-BaselineCalc!$B$5</f>
        <v/>
      </c>
      <c r="K24">
        <f>Scenarios!G7</f>
        <v/>
      </c>
      <c r="L24">
        <f>IF(Scenarios!$Q7=1,BaselineCalc!$B$7*(1+Parameters_Public!$C44)^(IF($C24="FY2026",0,IF($C24="FY2027",1,IF($C24="FY2028",2,IF($C24="FY2029",3,IF($C24="FY2030",4,0))))))+ROUND(Scenarios!K7*Scenarios!$F7,0),BaselineCalc!$B$7+ROUND(Scenarios!K7*Scenarios!$F7,0))</f>
        <v/>
      </c>
      <c r="M24">
        <f>IF(Scenarios!$R7=1,BaselineCalc!$B$8*(1+Parameters_Public!$C45)^(IF($C24="FY2026",0,IF($C24="FY2027",1,IF($C24="FY2028",2,IF($C24="FY2029",3,IF($C24="FY2030",4,0))))))+Scenarios!K7-ROUND(Scenarios!K7*Scenarios!$F7,0),BaselineCalc!$B$8+Scenarios!K7-ROUND(Scenarios!K7*Scenarios!$F7,0))</f>
        <v/>
      </c>
      <c r="N24" s="11">
        <f>(L24-D24) + (M24-E24)</f>
        <v/>
      </c>
      <c r="O24" s="11">
        <f>(Parameters_Public!$C$23*(L24-D24)+Parameters_Public!$C$24*(M24-E24))</f>
        <v/>
      </c>
      <c r="P24">
        <f>YearMap!E4</f>
        <v/>
      </c>
      <c r="Q24">
        <f>IF(Scenarios!N7="lease", YearMap!F4, YearMap!G4)</f>
        <v/>
      </c>
      <c r="R24" s="2">
        <f>IF(Scenarios!D7=1, Q24*H24, H24)</f>
        <v/>
      </c>
      <c r="S24" s="2">
        <f>IF(Scenarios!E7=1, Q24*I24, I24)</f>
        <v/>
      </c>
      <c r="T24" s="2">
        <f>IF(C24="FY2026", (Scenarios!D7+Scenarios!E7)*BaselineCalc!$B$22, 0)</f>
        <v/>
      </c>
      <c r="U24" s="2">
        <f>(R24+S24+G24*F24)*J24*(1-K24)</f>
        <v/>
      </c>
      <c r="V24" s="2">
        <f>O24*(G24+P24)</f>
        <v/>
      </c>
      <c r="W24" s="2">
        <f>U24+V24+IF(Parameters_Public!$C$28=1, T24, 0)</f>
        <v/>
      </c>
      <c r="X24" s="2">
        <f>IF(F24+O24&gt;0, W24/(F24+O24),"")</f>
        <v/>
      </c>
      <c r="Y24" s="2">
        <f>INDEX(YearMap!$I$2:$I$6, MATCH(C24, YearMap!$A$2:$A$6, 0))</f>
        <v/>
      </c>
      <c r="Z24" s="2">
        <f>W24 - ((Y24 + IF(Parameters_Public!$C$20=1, Parameters_Public!$C$19, 0))*AC24)</f>
        <v/>
      </c>
      <c r="AA24" s="2">
        <f>IF($AC24&gt;0, $Z24/$AC24, 0)</f>
        <v/>
      </c>
      <c r="AB24">
        <f>MAX(0, (MAX(0, $D24-BaselineCalc!$B$7) + MAX(0, $E24-BaselineCalc!$B$8)))</f>
        <v/>
      </c>
      <c r="AC24" s="11">
        <f>L24+M24-N24+O24</f>
        <v/>
      </c>
      <c r="AD24" s="2">
        <f>( (Y24 + IF(Parameters_Public!$C20=1, INDEX(YearMap!$O$2:$O$6, MATCH(C24, YearMap!$A$2:$A$6, 0)), 0)) * AC24 ) + AC24*INDEX(YearMap!$P$2:$P$6, MATCH(C24, YearMap!$A$2:$A$6, 0)) + AB24*( INDEX(YearMap!$R$2:$R$6, MATCH(C24, YearMap!$A$2:$A$6, 0)) - INDEX(YearMap!$P$2:$P$6, MATCH(C24, YearMap!$A$2:$A$6, 0)) )</f>
        <v/>
      </c>
      <c r="AE24" s="2">
        <f>(W24 - (1-Parameters_Public!$C$43)*$G24*$AB24*$J24*(1-$K24)) + AB24*INDEX(YearMap!$Q$2:$Q$6, MATCH(C24, YearMap!$A$2:$A$6, 0))</f>
        <v/>
      </c>
      <c r="AF24" s="2">
        <f>AD24-AE24</f>
        <v/>
      </c>
      <c r="AG24">
        <f>B24&amp;"|"&amp;C24</f>
        <v/>
      </c>
    </row>
    <row r="25">
      <c r="A25">
        <f>AG25</f>
        <v/>
      </c>
      <c r="B25">
        <f>Scenarios!A7</f>
        <v/>
      </c>
      <c r="C25" t="inlineStr">
        <is>
          <t>FY2029</t>
        </is>
      </c>
      <c r="D25">
        <f>IF(Scenarios!D7=1,0, L25)</f>
        <v/>
      </c>
      <c r="E25">
        <f>IF(Scenarios!E7=1,0, M25)</f>
        <v/>
      </c>
      <c r="F25">
        <f>D25+E25</f>
        <v/>
      </c>
      <c r="G25" s="2">
        <f>YearMap!B5</f>
        <v/>
      </c>
      <c r="H25" s="2">
        <f>YearMap!C5</f>
        <v/>
      </c>
      <c r="I25" s="2">
        <f>YearMap!D5</f>
        <v/>
      </c>
      <c r="J25">
        <f>1-BaselineCalc!$B$5</f>
        <v/>
      </c>
      <c r="K25">
        <f>Scenarios!G7</f>
        <v/>
      </c>
      <c r="L25">
        <f>IF(Scenarios!$Q7=1,BaselineCalc!$B$7*(1+Parameters_Public!$C44)^(IF($C25="FY2026",0,IF($C25="FY2027",1,IF($C25="FY2028",2,IF($C25="FY2029",3,IF($C25="FY2030",4,0))))))+ROUND(Scenarios!L7*Scenarios!$F7,0),BaselineCalc!$B$7+ROUND(Scenarios!L7*Scenarios!$F7,0))</f>
        <v/>
      </c>
      <c r="M25">
        <f>IF(Scenarios!$R7=1,BaselineCalc!$B$8*(1+Parameters_Public!$C45)^(IF($C25="FY2026",0,IF($C25="FY2027",1,IF($C25="FY2028",2,IF($C25="FY2029",3,IF($C25="FY2030",4,0))))))+Scenarios!L7-ROUND(Scenarios!L7*Scenarios!$F7,0),BaselineCalc!$B$8+Scenarios!L7-ROUND(Scenarios!L7*Scenarios!$F7,0))</f>
        <v/>
      </c>
      <c r="N25" s="11">
        <f>(L25-D25) + (M25-E25)</f>
        <v/>
      </c>
      <c r="O25" s="11">
        <f>(Parameters_Public!$C$23*(L25-D25)+Parameters_Public!$C$24*(M25-E25))</f>
        <v/>
      </c>
      <c r="P25">
        <f>YearMap!E5</f>
        <v/>
      </c>
      <c r="Q25">
        <f>IF(Scenarios!N7="lease", YearMap!F5, YearMap!G5)</f>
        <v/>
      </c>
      <c r="R25" s="2">
        <f>IF(Scenarios!D7=1, Q25*H25, H25)</f>
        <v/>
      </c>
      <c r="S25" s="2">
        <f>IF(Scenarios!E7=1, Q25*I25, I25)</f>
        <v/>
      </c>
      <c r="T25" s="2">
        <f>IF(C25="FY2026", (Scenarios!D7+Scenarios!E7)*BaselineCalc!$B$22, 0)</f>
        <v/>
      </c>
      <c r="U25" s="2">
        <f>(R25+S25+G25*F25)*J25*(1-K25)</f>
        <v/>
      </c>
      <c r="V25" s="2">
        <f>O25*(G25+P25)</f>
        <v/>
      </c>
      <c r="W25" s="2">
        <f>U25+V25+IF(Parameters_Public!$C$28=1, T25, 0)</f>
        <v/>
      </c>
      <c r="X25" s="2">
        <f>IF(F25+O25&gt;0, W25/(F25+O25),"")</f>
        <v/>
      </c>
      <c r="Y25" s="2">
        <f>INDEX(YearMap!$I$2:$I$6, MATCH(C25, YearMap!$A$2:$A$6, 0))</f>
        <v/>
      </c>
      <c r="Z25" s="2">
        <f>W25 - ((Y25 + IF(Parameters_Public!$C$20=1, Parameters_Public!$C$19, 0))*AC25)</f>
        <v/>
      </c>
      <c r="AA25" s="2">
        <f>IF($AC25&gt;0, $Z25/$AC25, 0)</f>
        <v/>
      </c>
      <c r="AB25">
        <f>MAX(0, (MAX(0, $D25-BaselineCalc!$B$7) + MAX(0, $E25-BaselineCalc!$B$8)))</f>
        <v/>
      </c>
      <c r="AC25" s="11">
        <f>L25+M25-N25+O25</f>
        <v/>
      </c>
      <c r="AD25" s="2">
        <f>( (Y25 + IF(Parameters_Public!$C20=1, INDEX(YearMap!$O$2:$O$6, MATCH(C25, YearMap!$A$2:$A$6, 0)), 0)) * AC25 ) + AC25*INDEX(YearMap!$P$2:$P$6, MATCH(C25, YearMap!$A$2:$A$6, 0)) + AB25*( INDEX(YearMap!$R$2:$R$6, MATCH(C25, YearMap!$A$2:$A$6, 0)) - INDEX(YearMap!$P$2:$P$6, MATCH(C25, YearMap!$A$2:$A$6, 0)) )</f>
        <v/>
      </c>
      <c r="AE25" s="2">
        <f>(W25 - (1-Parameters_Public!$C$43)*$G25*$AB25*$J25*(1-$K25)) + AB25*INDEX(YearMap!$Q$2:$Q$6, MATCH(C25, YearMap!$A$2:$A$6, 0))</f>
        <v/>
      </c>
      <c r="AF25" s="2">
        <f>AD25-AE25</f>
        <v/>
      </c>
      <c r="AG25">
        <f>B25&amp;"|"&amp;C25</f>
        <v/>
      </c>
    </row>
    <row r="26">
      <c r="A26">
        <f>AG26</f>
        <v/>
      </c>
      <c r="B26">
        <f>Scenarios!A7</f>
        <v/>
      </c>
      <c r="C26" t="inlineStr">
        <is>
          <t>FY2030</t>
        </is>
      </c>
      <c r="D26">
        <f>IF(Scenarios!D7=1,0, L26)</f>
        <v/>
      </c>
      <c r="E26">
        <f>IF(Scenarios!E7=1,0, M26)</f>
        <v/>
      </c>
      <c r="F26">
        <f>D26+E26</f>
        <v/>
      </c>
      <c r="G26" s="2">
        <f>YearMap!B6</f>
        <v/>
      </c>
      <c r="H26" s="2">
        <f>YearMap!C6</f>
        <v/>
      </c>
      <c r="I26" s="2">
        <f>YearMap!D6</f>
        <v/>
      </c>
      <c r="J26">
        <f>1-BaselineCalc!$B$5</f>
        <v/>
      </c>
      <c r="K26">
        <f>Scenarios!G7</f>
        <v/>
      </c>
      <c r="L26">
        <f>IF(Scenarios!$Q7=1,BaselineCalc!$B$7*(1+Parameters_Public!$C44)^(IF($C26="FY2026",0,IF($C26="FY2027",1,IF($C26="FY2028",2,IF($C26="FY2029",3,IF($C26="FY2030",4,0))))))+ROUND(Scenarios!M7*Scenarios!$F7,0),BaselineCalc!$B$7+ROUND(Scenarios!M7*Scenarios!$F7,0))</f>
        <v/>
      </c>
      <c r="M26">
        <f>IF(Scenarios!$R7=1,BaselineCalc!$B$8*(1+Parameters_Public!$C45)^(IF($C26="FY2026",0,IF($C26="FY2027",1,IF($C26="FY2028",2,IF($C26="FY2029",3,IF($C26="FY2030",4,0))))))+Scenarios!M7-ROUND(Scenarios!M7*Scenarios!$F7,0),BaselineCalc!$B$8+Scenarios!M7-ROUND(Scenarios!M7*Scenarios!$F7,0))</f>
        <v/>
      </c>
      <c r="N26" s="11">
        <f>(L26-D26) + (M26-E26)</f>
        <v/>
      </c>
      <c r="O26" s="11">
        <f>(Parameters_Public!$C$23*(L26-D26)+Parameters_Public!$C$24*(M26-E26))</f>
        <v/>
      </c>
      <c r="P26">
        <f>YearMap!E6</f>
        <v/>
      </c>
      <c r="Q26">
        <f>IF(Scenarios!N7="lease", YearMap!F6, YearMap!G6)</f>
        <v/>
      </c>
      <c r="R26" s="2">
        <f>IF(Scenarios!D7=1, Q26*H26, H26)</f>
        <v/>
      </c>
      <c r="S26" s="2">
        <f>IF(Scenarios!E7=1, Q26*I26, I26)</f>
        <v/>
      </c>
      <c r="T26" s="2">
        <f>IF(C26="FY2026", (Scenarios!D7+Scenarios!E7)*BaselineCalc!$B$22, 0)</f>
        <v/>
      </c>
      <c r="U26" s="2">
        <f>(R26+S26+G26*F26)*J26*(1-K26)</f>
        <v/>
      </c>
      <c r="V26" s="2">
        <f>O26*(G26+P26)</f>
        <v/>
      </c>
      <c r="W26" s="2">
        <f>U26+V26+IF(Parameters_Public!$C$28=1, T26, 0)</f>
        <v/>
      </c>
      <c r="X26" s="2">
        <f>IF(F26+O26&gt;0, W26/(F26+O26),"")</f>
        <v/>
      </c>
      <c r="Y26" s="2">
        <f>INDEX(YearMap!$I$2:$I$6, MATCH(C26, YearMap!$A$2:$A$6, 0))</f>
        <v/>
      </c>
      <c r="Z26" s="2">
        <f>W26 - ((Y26 + IF(Parameters_Public!$C$20=1, Parameters_Public!$C$19, 0))*AC26)</f>
        <v/>
      </c>
      <c r="AA26" s="2">
        <f>IF($AC26&gt;0, $Z26/$AC26, 0)</f>
        <v/>
      </c>
      <c r="AB26">
        <f>MAX(0, (MAX(0, $D26-BaselineCalc!$B$7) + MAX(0, $E26-BaselineCalc!$B$8)))</f>
        <v/>
      </c>
      <c r="AC26" s="11">
        <f>L26+M26-N26+O26</f>
        <v/>
      </c>
      <c r="AD26" s="2">
        <f>( (Y26 + IF(Parameters_Public!$C20=1, INDEX(YearMap!$O$2:$O$6, MATCH(C26, YearMap!$A$2:$A$6, 0)), 0)) * AC26 ) + AC26*INDEX(YearMap!$P$2:$P$6, MATCH(C26, YearMap!$A$2:$A$6, 0)) + AB26*( INDEX(YearMap!$R$2:$R$6, MATCH(C26, YearMap!$A$2:$A$6, 0)) - INDEX(YearMap!$P$2:$P$6, MATCH(C26, YearMap!$A$2:$A$6, 0)) )</f>
        <v/>
      </c>
      <c r="AE26" s="2">
        <f>(W26 - (1-Parameters_Public!$C$43)*$G26*$AB26*$J26*(1-$K26)) + AB26*INDEX(YearMap!$Q$2:$Q$6, MATCH(C26, YearMap!$A$2:$A$6, 0))</f>
        <v/>
      </c>
      <c r="AF26" s="2">
        <f>AD26-AE26</f>
        <v/>
      </c>
      <c r="AG26">
        <f>B26&amp;"|"&amp;C26</f>
        <v/>
      </c>
    </row>
    <row r="27">
      <c r="A27">
        <f>AG27</f>
        <v/>
      </c>
      <c r="B27">
        <f>Scenarios!A8</f>
        <v/>
      </c>
      <c r="C27" t="inlineStr">
        <is>
          <t>FY2026</t>
        </is>
      </c>
      <c r="D27">
        <f>IF(Scenarios!D8=1,0, L27)</f>
        <v/>
      </c>
      <c r="E27">
        <f>IF(Scenarios!E8=1,0, M27)</f>
        <v/>
      </c>
      <c r="F27">
        <f>D27+E27</f>
        <v/>
      </c>
      <c r="G27" s="2">
        <f>YearMap!B2</f>
        <v/>
      </c>
      <c r="H27" s="2">
        <f>YearMap!C2</f>
        <v/>
      </c>
      <c r="I27" s="2">
        <f>YearMap!D2</f>
        <v/>
      </c>
      <c r="J27">
        <f>1-BaselineCalc!$B$5</f>
        <v/>
      </c>
      <c r="K27">
        <f>Scenarios!G8</f>
        <v/>
      </c>
      <c r="L27">
        <f>IF(Scenarios!$Q8=1,BaselineCalc!$B$7*(1+Parameters_Public!$C44)^(IF($C27="FY2026",0,IF($C27="FY2027",1,IF($C27="FY2028",2,IF($C27="FY2029",3,IF($C27="FY2030",4,0))))))+ROUND(Scenarios!I8*Scenarios!$F8,0),BaselineCalc!$B$7+ROUND(Scenarios!I8*Scenarios!$F8,0))</f>
        <v/>
      </c>
      <c r="M27">
        <f>IF(Scenarios!$R8=1,BaselineCalc!$B$8*(1+Parameters_Public!$C45)^(IF($C27="FY2026",0,IF($C27="FY2027",1,IF($C27="FY2028",2,IF($C27="FY2029",3,IF($C27="FY2030",4,0))))))+Scenarios!I8-ROUND(Scenarios!I8*Scenarios!$F8,0),BaselineCalc!$B$8+Scenarios!I8-ROUND(Scenarios!I8*Scenarios!$F8,0))</f>
        <v/>
      </c>
      <c r="N27" s="11">
        <f>(L27-D27) + (M27-E27)</f>
        <v/>
      </c>
      <c r="O27" s="11">
        <f>(Parameters_Public!$C$23*(L27-D27)+Parameters_Public!$C$24*(M27-E27))</f>
        <v/>
      </c>
      <c r="P27">
        <f>YearMap!E2</f>
        <v/>
      </c>
      <c r="Q27">
        <f>IF(Scenarios!N8="lease", YearMap!F2, YearMap!G2)</f>
        <v/>
      </c>
      <c r="R27" s="2">
        <f>IF(Scenarios!D8=1, Q27*H27, H27)</f>
        <v/>
      </c>
      <c r="S27" s="2">
        <f>IF(Scenarios!E8=1, Q27*I27, I27)</f>
        <v/>
      </c>
      <c r="T27" s="2">
        <f>IF(C27="FY2026", (Scenarios!D8+Scenarios!E8)*BaselineCalc!$B$22, 0)</f>
        <v/>
      </c>
      <c r="U27" s="2">
        <f>(R27+S27+G27*F27)*J27*(1-K27)</f>
        <v/>
      </c>
      <c r="V27" s="2">
        <f>O27*(G27+P27)</f>
        <v/>
      </c>
      <c r="W27" s="2">
        <f>U27+V27+IF(Parameters_Public!$C$28=1, T27, 0)</f>
        <v/>
      </c>
      <c r="X27" s="2">
        <f>IF(F27+O27&gt;0, W27/(F27+O27),"")</f>
        <v/>
      </c>
      <c r="Y27" s="2">
        <f>INDEX(YearMap!$I$2:$I$6, MATCH(C27, YearMap!$A$2:$A$6, 0))</f>
        <v/>
      </c>
      <c r="Z27" s="2">
        <f>W27 - ((Y27 + IF(Parameters_Public!$C$20=1, Parameters_Public!$C$19, 0))*AC27)</f>
        <v/>
      </c>
      <c r="AA27" s="2">
        <f>IF($AC27&gt;0, $Z27/$AC27, 0)</f>
        <v/>
      </c>
      <c r="AB27">
        <f>MAX(0, (MAX(0, $D27-BaselineCalc!$B$7) + MAX(0, $E27-BaselineCalc!$B$8)))</f>
        <v/>
      </c>
      <c r="AC27" s="11">
        <f>L27+M27-N27+O27</f>
        <v/>
      </c>
      <c r="AD27" s="2">
        <f>( (Y27 + IF(Parameters_Public!$C20=1, INDEX(YearMap!$O$2:$O$6, MATCH(C27, YearMap!$A$2:$A$6, 0)), 0)) * AC27 ) + AC27*INDEX(YearMap!$P$2:$P$6, MATCH(C27, YearMap!$A$2:$A$6, 0)) + AB27*( INDEX(YearMap!$R$2:$R$6, MATCH(C27, YearMap!$A$2:$A$6, 0)) - INDEX(YearMap!$P$2:$P$6, MATCH(C27, YearMap!$A$2:$A$6, 0)) )</f>
        <v/>
      </c>
      <c r="AE27" s="2">
        <f>(W27 - (1-Parameters_Public!$C$43)*$G27*$AB27*$J27*(1-$K27)) + AB27*INDEX(YearMap!$Q$2:$Q$6, MATCH(C27, YearMap!$A$2:$A$6, 0))</f>
        <v/>
      </c>
      <c r="AF27" s="2">
        <f>AD27-AE27</f>
        <v/>
      </c>
      <c r="AG27">
        <f>B27&amp;"|"&amp;C27</f>
        <v/>
      </c>
    </row>
    <row r="28">
      <c r="A28">
        <f>AG28</f>
        <v/>
      </c>
      <c r="B28">
        <f>Scenarios!A8</f>
        <v/>
      </c>
      <c r="C28" t="inlineStr">
        <is>
          <t>FY2027</t>
        </is>
      </c>
      <c r="D28">
        <f>IF(Scenarios!D8=1,0, L28)</f>
        <v/>
      </c>
      <c r="E28">
        <f>IF(Scenarios!E8=1,0, M28)</f>
        <v/>
      </c>
      <c r="F28">
        <f>D28+E28</f>
        <v/>
      </c>
      <c r="G28" s="2">
        <f>YearMap!B3</f>
        <v/>
      </c>
      <c r="H28" s="2">
        <f>YearMap!C3</f>
        <v/>
      </c>
      <c r="I28" s="2">
        <f>YearMap!D3</f>
        <v/>
      </c>
      <c r="J28">
        <f>1-BaselineCalc!$B$5</f>
        <v/>
      </c>
      <c r="K28">
        <f>Scenarios!G8</f>
        <v/>
      </c>
      <c r="L28">
        <f>IF(Scenarios!$Q8=1,BaselineCalc!$B$7*(1+Parameters_Public!$C44)^(IF($C28="FY2026",0,IF($C28="FY2027",1,IF($C28="FY2028",2,IF($C28="FY2029",3,IF($C28="FY2030",4,0))))))+ROUND(Scenarios!J8*Scenarios!$F8,0),BaselineCalc!$B$7+ROUND(Scenarios!J8*Scenarios!$F8,0))</f>
        <v/>
      </c>
      <c r="M28">
        <f>IF(Scenarios!$R8=1,BaselineCalc!$B$8*(1+Parameters_Public!$C45)^(IF($C28="FY2026",0,IF($C28="FY2027",1,IF($C28="FY2028",2,IF($C28="FY2029",3,IF($C28="FY2030",4,0))))))+Scenarios!J8-ROUND(Scenarios!J8*Scenarios!$F8,0),BaselineCalc!$B$8+Scenarios!J8-ROUND(Scenarios!J8*Scenarios!$F8,0))</f>
        <v/>
      </c>
      <c r="N28" s="11">
        <f>(L28-D28) + (M28-E28)</f>
        <v/>
      </c>
      <c r="O28" s="11">
        <f>(Parameters_Public!$C$23*(L28-D28)+Parameters_Public!$C$24*(M28-E28))</f>
        <v/>
      </c>
      <c r="P28">
        <f>YearMap!E3</f>
        <v/>
      </c>
      <c r="Q28">
        <f>IF(Scenarios!N8="lease", YearMap!F3, YearMap!G3)</f>
        <v/>
      </c>
      <c r="R28" s="2">
        <f>IF(Scenarios!D8=1, Q28*H28, H28)</f>
        <v/>
      </c>
      <c r="S28" s="2">
        <f>IF(Scenarios!E8=1, Q28*I28, I28)</f>
        <v/>
      </c>
      <c r="T28" s="2">
        <f>IF(C28="FY2026", (Scenarios!D8+Scenarios!E8)*BaselineCalc!$B$22, 0)</f>
        <v/>
      </c>
      <c r="U28" s="2">
        <f>(R28+S28+G28*F28)*J28*(1-K28)</f>
        <v/>
      </c>
      <c r="V28" s="2">
        <f>O28*(G28+P28)</f>
        <v/>
      </c>
      <c r="W28" s="2">
        <f>U28+V28+IF(Parameters_Public!$C$28=1, T28, 0)</f>
        <v/>
      </c>
      <c r="X28" s="2">
        <f>IF(F28+O28&gt;0, W28/(F28+O28),"")</f>
        <v/>
      </c>
      <c r="Y28" s="2">
        <f>INDEX(YearMap!$I$2:$I$6, MATCH(C28, YearMap!$A$2:$A$6, 0))</f>
        <v/>
      </c>
      <c r="Z28" s="2">
        <f>W28 - ((Y28 + IF(Parameters_Public!$C$20=1, Parameters_Public!$C$19, 0))*AC28)</f>
        <v/>
      </c>
      <c r="AA28" s="2">
        <f>IF($AC28&gt;0, $Z28/$AC28, 0)</f>
        <v/>
      </c>
      <c r="AB28">
        <f>MAX(0, (MAX(0, $D28-BaselineCalc!$B$7) + MAX(0, $E28-BaselineCalc!$B$8)))</f>
        <v/>
      </c>
      <c r="AC28" s="11">
        <f>L28+M28-N28+O28</f>
        <v/>
      </c>
      <c r="AD28" s="2">
        <f>( (Y28 + IF(Parameters_Public!$C20=1, INDEX(YearMap!$O$2:$O$6, MATCH(C28, YearMap!$A$2:$A$6, 0)), 0)) * AC28 ) + AC28*INDEX(YearMap!$P$2:$P$6, MATCH(C28, YearMap!$A$2:$A$6, 0)) + AB28*( INDEX(YearMap!$R$2:$R$6, MATCH(C28, YearMap!$A$2:$A$6, 0)) - INDEX(YearMap!$P$2:$P$6, MATCH(C28, YearMap!$A$2:$A$6, 0)) )</f>
        <v/>
      </c>
      <c r="AE28" s="2">
        <f>(W28 - (1-Parameters_Public!$C$43)*$G28*$AB28*$J28*(1-$K28)) + AB28*INDEX(YearMap!$Q$2:$Q$6, MATCH(C28, YearMap!$A$2:$A$6, 0))</f>
        <v/>
      </c>
      <c r="AF28" s="2">
        <f>AD28-AE28</f>
        <v/>
      </c>
      <c r="AG28">
        <f>B28&amp;"|"&amp;C28</f>
        <v/>
      </c>
    </row>
    <row r="29">
      <c r="A29">
        <f>AG29</f>
        <v/>
      </c>
      <c r="B29">
        <f>Scenarios!A8</f>
        <v/>
      </c>
      <c r="C29" t="inlineStr">
        <is>
          <t>FY2028</t>
        </is>
      </c>
      <c r="D29">
        <f>IF(Scenarios!D8=1,0, L29)</f>
        <v/>
      </c>
      <c r="E29">
        <f>IF(Scenarios!E8=1,0, M29)</f>
        <v/>
      </c>
      <c r="F29">
        <f>D29+E29</f>
        <v/>
      </c>
      <c r="G29" s="2">
        <f>YearMap!B4</f>
        <v/>
      </c>
      <c r="H29" s="2">
        <f>YearMap!C4</f>
        <v/>
      </c>
      <c r="I29" s="2">
        <f>YearMap!D4</f>
        <v/>
      </c>
      <c r="J29">
        <f>1-BaselineCalc!$B$5</f>
        <v/>
      </c>
      <c r="K29">
        <f>Scenarios!G8</f>
        <v/>
      </c>
      <c r="L29">
        <f>IF(Scenarios!$Q8=1,BaselineCalc!$B$7*(1+Parameters_Public!$C44)^(IF($C29="FY2026",0,IF($C29="FY2027",1,IF($C29="FY2028",2,IF($C29="FY2029",3,IF($C29="FY2030",4,0))))))+ROUND(Scenarios!K8*Scenarios!$F8,0),BaselineCalc!$B$7+ROUND(Scenarios!K8*Scenarios!$F8,0))</f>
        <v/>
      </c>
      <c r="M29">
        <f>IF(Scenarios!$R8=1,BaselineCalc!$B$8*(1+Parameters_Public!$C45)^(IF($C29="FY2026",0,IF($C29="FY2027",1,IF($C29="FY2028",2,IF($C29="FY2029",3,IF($C29="FY2030",4,0))))))+Scenarios!K8-ROUND(Scenarios!K8*Scenarios!$F8,0),BaselineCalc!$B$8+Scenarios!K8-ROUND(Scenarios!K8*Scenarios!$F8,0))</f>
        <v/>
      </c>
      <c r="N29" s="11">
        <f>(L29-D29) + (M29-E29)</f>
        <v/>
      </c>
      <c r="O29" s="11">
        <f>(Parameters_Public!$C$23*(L29-D29)+Parameters_Public!$C$24*(M29-E29))</f>
        <v/>
      </c>
      <c r="P29">
        <f>YearMap!E4</f>
        <v/>
      </c>
      <c r="Q29">
        <f>IF(Scenarios!N8="lease", YearMap!F4, YearMap!G4)</f>
        <v/>
      </c>
      <c r="R29" s="2">
        <f>IF(Scenarios!D8=1, Q29*H29, H29)</f>
        <v/>
      </c>
      <c r="S29" s="2">
        <f>IF(Scenarios!E8=1, Q29*I29, I29)</f>
        <v/>
      </c>
      <c r="T29" s="2">
        <f>IF(C29="FY2026", (Scenarios!D8+Scenarios!E8)*BaselineCalc!$B$22, 0)</f>
        <v/>
      </c>
      <c r="U29" s="2">
        <f>(R29+S29+G29*F29)*J29*(1-K29)</f>
        <v/>
      </c>
      <c r="V29" s="2">
        <f>O29*(G29+P29)</f>
        <v/>
      </c>
      <c r="W29" s="2">
        <f>U29+V29+IF(Parameters_Public!$C$28=1, T29, 0)</f>
        <v/>
      </c>
      <c r="X29" s="2">
        <f>IF(F29+O29&gt;0, W29/(F29+O29),"")</f>
        <v/>
      </c>
      <c r="Y29" s="2">
        <f>INDEX(YearMap!$I$2:$I$6, MATCH(C29, YearMap!$A$2:$A$6, 0))</f>
        <v/>
      </c>
      <c r="Z29" s="2">
        <f>W29 - ((Y29 + IF(Parameters_Public!$C$20=1, Parameters_Public!$C$19, 0))*AC29)</f>
        <v/>
      </c>
      <c r="AA29" s="2">
        <f>IF($AC29&gt;0, $Z29/$AC29, 0)</f>
        <v/>
      </c>
      <c r="AB29">
        <f>MAX(0, (MAX(0, $D29-BaselineCalc!$B$7) + MAX(0, $E29-BaselineCalc!$B$8)))</f>
        <v/>
      </c>
      <c r="AC29" s="11">
        <f>L29+M29-N29+O29</f>
        <v/>
      </c>
      <c r="AD29" s="2">
        <f>( (Y29 + IF(Parameters_Public!$C20=1, INDEX(YearMap!$O$2:$O$6, MATCH(C29, YearMap!$A$2:$A$6, 0)), 0)) * AC29 ) + AC29*INDEX(YearMap!$P$2:$P$6, MATCH(C29, YearMap!$A$2:$A$6, 0)) + AB29*( INDEX(YearMap!$R$2:$R$6, MATCH(C29, YearMap!$A$2:$A$6, 0)) - INDEX(YearMap!$P$2:$P$6, MATCH(C29, YearMap!$A$2:$A$6, 0)) )</f>
        <v/>
      </c>
      <c r="AE29" s="2">
        <f>(W29 - (1-Parameters_Public!$C$43)*$G29*$AB29*$J29*(1-$K29)) + AB29*INDEX(YearMap!$Q$2:$Q$6, MATCH(C29, YearMap!$A$2:$A$6, 0))</f>
        <v/>
      </c>
      <c r="AF29" s="2">
        <f>AD29-AE29</f>
        <v/>
      </c>
      <c r="AG29">
        <f>B29&amp;"|"&amp;C29</f>
        <v/>
      </c>
    </row>
    <row r="30">
      <c r="A30">
        <f>AG30</f>
        <v/>
      </c>
      <c r="B30">
        <f>Scenarios!A8</f>
        <v/>
      </c>
      <c r="C30" t="inlineStr">
        <is>
          <t>FY2029</t>
        </is>
      </c>
      <c r="D30">
        <f>IF(Scenarios!D8=1,0, L30)</f>
        <v/>
      </c>
      <c r="E30">
        <f>IF(Scenarios!E8=1,0, M30)</f>
        <v/>
      </c>
      <c r="F30">
        <f>D30+E30</f>
        <v/>
      </c>
      <c r="G30" s="2">
        <f>YearMap!B5</f>
        <v/>
      </c>
      <c r="H30" s="2">
        <f>YearMap!C5</f>
        <v/>
      </c>
      <c r="I30" s="2">
        <f>YearMap!D5</f>
        <v/>
      </c>
      <c r="J30">
        <f>1-BaselineCalc!$B$5</f>
        <v/>
      </c>
      <c r="K30">
        <f>Scenarios!G8</f>
        <v/>
      </c>
      <c r="L30">
        <f>IF(Scenarios!$Q8=1,BaselineCalc!$B$7*(1+Parameters_Public!$C44)^(IF($C30="FY2026",0,IF($C30="FY2027",1,IF($C30="FY2028",2,IF($C30="FY2029",3,IF($C30="FY2030",4,0))))))+ROUND(Scenarios!L8*Scenarios!$F8,0),BaselineCalc!$B$7+ROUND(Scenarios!L8*Scenarios!$F8,0))</f>
        <v/>
      </c>
      <c r="M30">
        <f>IF(Scenarios!$R8=1,BaselineCalc!$B$8*(1+Parameters_Public!$C45)^(IF($C30="FY2026",0,IF($C30="FY2027",1,IF($C30="FY2028",2,IF($C30="FY2029",3,IF($C30="FY2030",4,0))))))+Scenarios!L8-ROUND(Scenarios!L8*Scenarios!$F8,0),BaselineCalc!$B$8+Scenarios!L8-ROUND(Scenarios!L8*Scenarios!$F8,0))</f>
        <v/>
      </c>
      <c r="N30" s="11">
        <f>(L30-D30) + (M30-E30)</f>
        <v/>
      </c>
      <c r="O30" s="11">
        <f>(Parameters_Public!$C$23*(L30-D30)+Parameters_Public!$C$24*(M30-E30))</f>
        <v/>
      </c>
      <c r="P30">
        <f>YearMap!E5</f>
        <v/>
      </c>
      <c r="Q30">
        <f>IF(Scenarios!N8="lease", YearMap!F5, YearMap!G5)</f>
        <v/>
      </c>
      <c r="R30" s="2">
        <f>IF(Scenarios!D8=1, Q30*H30, H30)</f>
        <v/>
      </c>
      <c r="S30" s="2">
        <f>IF(Scenarios!E8=1, Q30*I30, I30)</f>
        <v/>
      </c>
      <c r="T30" s="2">
        <f>IF(C30="FY2026", (Scenarios!D8+Scenarios!E8)*BaselineCalc!$B$22, 0)</f>
        <v/>
      </c>
      <c r="U30" s="2">
        <f>(R30+S30+G30*F30)*J30*(1-K30)</f>
        <v/>
      </c>
      <c r="V30" s="2">
        <f>O30*(G30+P30)</f>
        <v/>
      </c>
      <c r="W30" s="2">
        <f>U30+V30+IF(Parameters_Public!$C$28=1, T30, 0)</f>
        <v/>
      </c>
      <c r="X30" s="2">
        <f>IF(F30+O30&gt;0, W30/(F30+O30),"")</f>
        <v/>
      </c>
      <c r="Y30" s="2">
        <f>INDEX(YearMap!$I$2:$I$6, MATCH(C30, YearMap!$A$2:$A$6, 0))</f>
        <v/>
      </c>
      <c r="Z30" s="2">
        <f>W30 - ((Y30 + IF(Parameters_Public!$C$20=1, Parameters_Public!$C$19, 0))*AC30)</f>
        <v/>
      </c>
      <c r="AA30" s="2">
        <f>IF($AC30&gt;0, $Z30/$AC30, 0)</f>
        <v/>
      </c>
      <c r="AB30">
        <f>MAX(0, (MAX(0, $D30-BaselineCalc!$B$7) + MAX(0, $E30-BaselineCalc!$B$8)))</f>
        <v/>
      </c>
      <c r="AC30" s="11">
        <f>L30+M30-N30+O30</f>
        <v/>
      </c>
      <c r="AD30" s="2">
        <f>( (Y30 + IF(Parameters_Public!$C20=1, INDEX(YearMap!$O$2:$O$6, MATCH(C30, YearMap!$A$2:$A$6, 0)), 0)) * AC30 ) + AC30*INDEX(YearMap!$P$2:$P$6, MATCH(C30, YearMap!$A$2:$A$6, 0)) + AB30*( INDEX(YearMap!$R$2:$R$6, MATCH(C30, YearMap!$A$2:$A$6, 0)) - INDEX(YearMap!$P$2:$P$6, MATCH(C30, YearMap!$A$2:$A$6, 0)) )</f>
        <v/>
      </c>
      <c r="AE30" s="2">
        <f>(W30 - (1-Parameters_Public!$C$43)*$G30*$AB30*$J30*(1-$K30)) + AB30*INDEX(YearMap!$Q$2:$Q$6, MATCH(C30, YearMap!$A$2:$A$6, 0))</f>
        <v/>
      </c>
      <c r="AF30" s="2">
        <f>AD30-AE30</f>
        <v/>
      </c>
      <c r="AG30">
        <f>B30&amp;"|"&amp;C30</f>
        <v/>
      </c>
    </row>
    <row r="31">
      <c r="A31">
        <f>AG31</f>
        <v/>
      </c>
      <c r="B31">
        <f>Scenarios!A8</f>
        <v/>
      </c>
      <c r="C31" t="inlineStr">
        <is>
          <t>FY2030</t>
        </is>
      </c>
      <c r="D31">
        <f>IF(Scenarios!D8=1,0, L31)</f>
        <v/>
      </c>
      <c r="E31">
        <f>IF(Scenarios!E8=1,0, M31)</f>
        <v/>
      </c>
      <c r="F31">
        <f>D31+E31</f>
        <v/>
      </c>
      <c r="G31" s="2">
        <f>YearMap!B6</f>
        <v/>
      </c>
      <c r="H31" s="2">
        <f>YearMap!C6</f>
        <v/>
      </c>
      <c r="I31" s="2">
        <f>YearMap!D6</f>
        <v/>
      </c>
      <c r="J31">
        <f>1-BaselineCalc!$B$5</f>
        <v/>
      </c>
      <c r="K31">
        <f>Scenarios!G8</f>
        <v/>
      </c>
      <c r="L31">
        <f>IF(Scenarios!$Q8=1,BaselineCalc!$B$7*(1+Parameters_Public!$C44)^(IF($C31="FY2026",0,IF($C31="FY2027",1,IF($C31="FY2028",2,IF($C31="FY2029",3,IF($C31="FY2030",4,0))))))+ROUND(Scenarios!M8*Scenarios!$F8,0),BaselineCalc!$B$7+ROUND(Scenarios!M8*Scenarios!$F8,0))</f>
        <v/>
      </c>
      <c r="M31">
        <f>IF(Scenarios!$R8=1,BaselineCalc!$B$8*(1+Parameters_Public!$C45)^(IF($C31="FY2026",0,IF($C31="FY2027",1,IF($C31="FY2028",2,IF($C31="FY2029",3,IF($C31="FY2030",4,0))))))+Scenarios!M8-ROUND(Scenarios!M8*Scenarios!$F8,0),BaselineCalc!$B$8+Scenarios!M8-ROUND(Scenarios!M8*Scenarios!$F8,0))</f>
        <v/>
      </c>
      <c r="N31" s="11">
        <f>(L31-D31) + (M31-E31)</f>
        <v/>
      </c>
      <c r="O31" s="11">
        <f>(Parameters_Public!$C$23*(L31-D31)+Parameters_Public!$C$24*(M31-E31))</f>
        <v/>
      </c>
      <c r="P31">
        <f>YearMap!E6</f>
        <v/>
      </c>
      <c r="Q31">
        <f>IF(Scenarios!N8="lease", YearMap!F6, YearMap!G6)</f>
        <v/>
      </c>
      <c r="R31" s="2">
        <f>IF(Scenarios!D8=1, Q31*H31, H31)</f>
        <v/>
      </c>
      <c r="S31" s="2">
        <f>IF(Scenarios!E8=1, Q31*I31, I31)</f>
        <v/>
      </c>
      <c r="T31" s="2">
        <f>IF(C31="FY2026", (Scenarios!D8+Scenarios!E8)*BaselineCalc!$B$22, 0)</f>
        <v/>
      </c>
      <c r="U31" s="2">
        <f>(R31+S31+G31*F31)*J31*(1-K31)</f>
        <v/>
      </c>
      <c r="V31" s="2">
        <f>O31*(G31+P31)</f>
        <v/>
      </c>
      <c r="W31" s="2">
        <f>U31+V31+IF(Parameters_Public!$C$28=1, T31, 0)</f>
        <v/>
      </c>
      <c r="X31" s="2">
        <f>IF(F31+O31&gt;0, W31/(F31+O31),"")</f>
        <v/>
      </c>
      <c r="Y31" s="2">
        <f>INDEX(YearMap!$I$2:$I$6, MATCH(C31, YearMap!$A$2:$A$6, 0))</f>
        <v/>
      </c>
      <c r="Z31" s="2">
        <f>W31 - ((Y31 + IF(Parameters_Public!$C$20=1, Parameters_Public!$C$19, 0))*AC31)</f>
        <v/>
      </c>
      <c r="AA31" s="2">
        <f>IF($AC31&gt;0, $Z31/$AC31, 0)</f>
        <v/>
      </c>
      <c r="AB31">
        <f>MAX(0, (MAX(0, $D31-BaselineCalc!$B$7) + MAX(0, $E31-BaselineCalc!$B$8)))</f>
        <v/>
      </c>
      <c r="AC31" s="11">
        <f>L31+M31-N31+O31</f>
        <v/>
      </c>
      <c r="AD31" s="2">
        <f>( (Y31 + IF(Parameters_Public!$C20=1, INDEX(YearMap!$O$2:$O$6, MATCH(C31, YearMap!$A$2:$A$6, 0)), 0)) * AC31 ) + AC31*INDEX(YearMap!$P$2:$P$6, MATCH(C31, YearMap!$A$2:$A$6, 0)) + AB31*( INDEX(YearMap!$R$2:$R$6, MATCH(C31, YearMap!$A$2:$A$6, 0)) - INDEX(YearMap!$P$2:$P$6, MATCH(C31, YearMap!$A$2:$A$6, 0)) )</f>
        <v/>
      </c>
      <c r="AE31" s="2">
        <f>(W31 - (1-Parameters_Public!$C$43)*$G31*$AB31*$J31*(1-$K31)) + AB31*INDEX(YearMap!$Q$2:$Q$6, MATCH(C31, YearMap!$A$2:$A$6, 0))</f>
        <v/>
      </c>
      <c r="AF31" s="2">
        <f>AD31-AE31</f>
        <v/>
      </c>
      <c r="AG31">
        <f>B31&amp;"|"&amp;C31</f>
        <v/>
      </c>
    </row>
    <row r="32">
      <c r="A32">
        <f>AG32</f>
        <v/>
      </c>
      <c r="B32">
        <f>Scenarios!A9</f>
        <v/>
      </c>
      <c r="C32" t="inlineStr">
        <is>
          <t>FY2026</t>
        </is>
      </c>
      <c r="D32">
        <f>IF(Scenarios!D9=1,0, L32)</f>
        <v/>
      </c>
      <c r="E32">
        <f>IF(Scenarios!E9=1,0, M32)</f>
        <v/>
      </c>
      <c r="F32">
        <f>D32+E32</f>
        <v/>
      </c>
      <c r="G32" s="2">
        <f>YearMap!B2</f>
        <v/>
      </c>
      <c r="H32" s="2">
        <f>YearMap!C2</f>
        <v/>
      </c>
      <c r="I32" s="2">
        <f>YearMap!D2</f>
        <v/>
      </c>
      <c r="J32">
        <f>1-BaselineCalc!$B$5</f>
        <v/>
      </c>
      <c r="K32">
        <f>Scenarios!G9</f>
        <v/>
      </c>
      <c r="L32">
        <f>IF(Scenarios!$Q9=1,BaselineCalc!$B$7*(1+Parameters_Public!$C44)^(IF($C32="FY2026",0,IF($C32="FY2027",1,IF($C32="FY2028",2,IF($C32="FY2029",3,IF($C32="FY2030",4,0))))))+ROUND(Scenarios!I9*Scenarios!$F9,0),BaselineCalc!$B$7+ROUND(Scenarios!I9*Scenarios!$F9,0))</f>
        <v/>
      </c>
      <c r="M32">
        <f>IF(Scenarios!$R9=1,BaselineCalc!$B$8*(1+Parameters_Public!$C45)^(IF($C32="FY2026",0,IF($C32="FY2027",1,IF($C32="FY2028",2,IF($C32="FY2029",3,IF($C32="FY2030",4,0))))))+Scenarios!I9-ROUND(Scenarios!I9*Scenarios!$F9,0),BaselineCalc!$B$8+Scenarios!I9-ROUND(Scenarios!I9*Scenarios!$F9,0))</f>
        <v/>
      </c>
      <c r="N32" s="11">
        <f>(L32-D32) + (M32-E32)</f>
        <v/>
      </c>
      <c r="O32" s="11">
        <f>(Parameters_Public!$C$23*(L32-D32)+Parameters_Public!$C$24*(M32-E32))</f>
        <v/>
      </c>
      <c r="P32">
        <f>YearMap!E2</f>
        <v/>
      </c>
      <c r="Q32">
        <f>IF(Scenarios!N9="lease", YearMap!F2, YearMap!G2)</f>
        <v/>
      </c>
      <c r="R32" s="2">
        <f>IF(Scenarios!D9=1, Q32*H32, H32)</f>
        <v/>
      </c>
      <c r="S32" s="2">
        <f>IF(Scenarios!E9=1, Q32*I32, I32)</f>
        <v/>
      </c>
      <c r="T32" s="2">
        <f>IF(C32="FY2026", (Scenarios!D9+Scenarios!E9)*BaselineCalc!$B$22, 0)</f>
        <v/>
      </c>
      <c r="U32" s="2">
        <f>(R32+S32+G32*F32)*J32*(1-K32)</f>
        <v/>
      </c>
      <c r="V32" s="2">
        <f>O32*(G32+P32)</f>
        <v/>
      </c>
      <c r="W32" s="2">
        <f>U32+V32+IF(Parameters_Public!$C$28=1, T32, 0)</f>
        <v/>
      </c>
      <c r="X32" s="2">
        <f>IF(F32+O32&gt;0, W32/(F32+O32),"")</f>
        <v/>
      </c>
      <c r="Y32" s="2">
        <f>INDEX(YearMap!$I$2:$I$6, MATCH(C32, YearMap!$A$2:$A$6, 0))</f>
        <v/>
      </c>
      <c r="Z32" s="2">
        <f>W32 - ((Y32 + IF(Parameters_Public!$C$20=1, Parameters_Public!$C$19, 0))*AC32)</f>
        <v/>
      </c>
      <c r="AA32" s="2">
        <f>IF($AC32&gt;0, $Z32/$AC32, 0)</f>
        <v/>
      </c>
      <c r="AB32">
        <f>MAX(0, (MAX(0, $D32-BaselineCalc!$B$7) + MAX(0, $E32-BaselineCalc!$B$8)))</f>
        <v/>
      </c>
      <c r="AC32" s="11">
        <f>L32+M32-N32+O32</f>
        <v/>
      </c>
      <c r="AD32" s="2">
        <f>( (Y32 + IF(Parameters_Public!$C20=1, INDEX(YearMap!$O$2:$O$6, MATCH(C32, YearMap!$A$2:$A$6, 0)), 0)) * AC32 ) + AC32*INDEX(YearMap!$P$2:$P$6, MATCH(C32, YearMap!$A$2:$A$6, 0)) + AB32*( INDEX(YearMap!$R$2:$R$6, MATCH(C32, YearMap!$A$2:$A$6, 0)) - INDEX(YearMap!$P$2:$P$6, MATCH(C32, YearMap!$A$2:$A$6, 0)) )</f>
        <v/>
      </c>
      <c r="AE32" s="2">
        <f>(W32 - (1-Parameters_Public!$C$43)*$G32*$AB32*$J32*(1-$K32)) + AB32*INDEX(YearMap!$Q$2:$Q$6, MATCH(C32, YearMap!$A$2:$A$6, 0))</f>
        <v/>
      </c>
      <c r="AF32" s="2">
        <f>AD32-AE32</f>
        <v/>
      </c>
      <c r="AG32">
        <f>B32&amp;"|"&amp;C32</f>
        <v/>
      </c>
    </row>
    <row r="33">
      <c r="A33">
        <f>AG33</f>
        <v/>
      </c>
      <c r="B33">
        <f>Scenarios!A9</f>
        <v/>
      </c>
      <c r="C33" t="inlineStr">
        <is>
          <t>FY2027</t>
        </is>
      </c>
      <c r="D33">
        <f>IF(Scenarios!D9=1,0, L33)</f>
        <v/>
      </c>
      <c r="E33">
        <f>IF(Scenarios!E9=1,0, M33)</f>
        <v/>
      </c>
      <c r="F33">
        <f>D33+E33</f>
        <v/>
      </c>
      <c r="G33" s="2">
        <f>YearMap!B3</f>
        <v/>
      </c>
      <c r="H33" s="2">
        <f>YearMap!C3</f>
        <v/>
      </c>
      <c r="I33" s="2">
        <f>YearMap!D3</f>
        <v/>
      </c>
      <c r="J33">
        <f>1-BaselineCalc!$B$5</f>
        <v/>
      </c>
      <c r="K33">
        <f>Scenarios!G9</f>
        <v/>
      </c>
      <c r="L33">
        <f>IF(Scenarios!$Q9=1,BaselineCalc!$B$7*(1+Parameters_Public!$C44)^(IF($C33="FY2026",0,IF($C33="FY2027",1,IF($C33="FY2028",2,IF($C33="FY2029",3,IF($C33="FY2030",4,0))))))+ROUND(Scenarios!J9*Scenarios!$F9,0),BaselineCalc!$B$7+ROUND(Scenarios!J9*Scenarios!$F9,0))</f>
        <v/>
      </c>
      <c r="M33">
        <f>IF(Scenarios!$R9=1,BaselineCalc!$B$8*(1+Parameters_Public!$C45)^(IF($C33="FY2026",0,IF($C33="FY2027",1,IF($C33="FY2028",2,IF($C33="FY2029",3,IF($C33="FY2030",4,0))))))+Scenarios!J9-ROUND(Scenarios!J9*Scenarios!$F9,0),BaselineCalc!$B$8+Scenarios!J9-ROUND(Scenarios!J9*Scenarios!$F9,0))</f>
        <v/>
      </c>
      <c r="N33" s="11">
        <f>(L33-D33) + (M33-E33)</f>
        <v/>
      </c>
      <c r="O33" s="11">
        <f>(Parameters_Public!$C$23*(L33-D33)+Parameters_Public!$C$24*(M33-E33))</f>
        <v/>
      </c>
      <c r="P33">
        <f>YearMap!E3</f>
        <v/>
      </c>
      <c r="Q33">
        <f>IF(Scenarios!N9="lease", YearMap!F3, YearMap!G3)</f>
        <v/>
      </c>
      <c r="R33" s="2">
        <f>IF(Scenarios!D9=1, Q33*H33, H33)</f>
        <v/>
      </c>
      <c r="S33" s="2">
        <f>IF(Scenarios!E9=1, Q33*I33, I33)</f>
        <v/>
      </c>
      <c r="T33" s="2">
        <f>IF(C33="FY2026", (Scenarios!D9+Scenarios!E9)*BaselineCalc!$B$22, 0)</f>
        <v/>
      </c>
      <c r="U33" s="2">
        <f>(R33+S33+G33*F33)*J33*(1-K33)</f>
        <v/>
      </c>
      <c r="V33" s="2">
        <f>O33*(G33+P33)</f>
        <v/>
      </c>
      <c r="W33" s="2">
        <f>U33+V33+IF(Parameters_Public!$C$28=1, T33, 0)</f>
        <v/>
      </c>
      <c r="X33" s="2">
        <f>IF(F33+O33&gt;0, W33/(F33+O33),"")</f>
        <v/>
      </c>
      <c r="Y33" s="2">
        <f>INDEX(YearMap!$I$2:$I$6, MATCH(C33, YearMap!$A$2:$A$6, 0))</f>
        <v/>
      </c>
      <c r="Z33" s="2">
        <f>W33 - ((Y33 + IF(Parameters_Public!$C$20=1, Parameters_Public!$C$19, 0))*AC33)</f>
        <v/>
      </c>
      <c r="AA33" s="2">
        <f>IF($AC33&gt;0, $Z33/$AC33, 0)</f>
        <v/>
      </c>
      <c r="AB33">
        <f>MAX(0, (MAX(0, $D33-BaselineCalc!$B$7) + MAX(0, $E33-BaselineCalc!$B$8)))</f>
        <v/>
      </c>
      <c r="AC33" s="11">
        <f>L33+M33-N33+O33</f>
        <v/>
      </c>
      <c r="AD33" s="2">
        <f>( (Y33 + IF(Parameters_Public!$C20=1, INDEX(YearMap!$O$2:$O$6, MATCH(C33, YearMap!$A$2:$A$6, 0)), 0)) * AC33 ) + AC33*INDEX(YearMap!$P$2:$P$6, MATCH(C33, YearMap!$A$2:$A$6, 0)) + AB33*( INDEX(YearMap!$R$2:$R$6, MATCH(C33, YearMap!$A$2:$A$6, 0)) - INDEX(YearMap!$P$2:$P$6, MATCH(C33, YearMap!$A$2:$A$6, 0)) )</f>
        <v/>
      </c>
      <c r="AE33" s="2">
        <f>(W33 - (1-Parameters_Public!$C$43)*$G33*$AB33*$J33*(1-$K33)) + AB33*INDEX(YearMap!$Q$2:$Q$6, MATCH(C33, YearMap!$A$2:$A$6, 0))</f>
        <v/>
      </c>
      <c r="AF33" s="2">
        <f>AD33-AE33</f>
        <v/>
      </c>
      <c r="AG33">
        <f>B33&amp;"|"&amp;C33</f>
        <v/>
      </c>
    </row>
    <row r="34">
      <c r="A34">
        <f>AG34</f>
        <v/>
      </c>
      <c r="B34">
        <f>Scenarios!A9</f>
        <v/>
      </c>
      <c r="C34" t="inlineStr">
        <is>
          <t>FY2028</t>
        </is>
      </c>
      <c r="D34">
        <f>IF(Scenarios!D9=1,0, L34)</f>
        <v/>
      </c>
      <c r="E34">
        <f>IF(Scenarios!E9=1,0, M34)</f>
        <v/>
      </c>
      <c r="F34">
        <f>D34+E34</f>
        <v/>
      </c>
      <c r="G34" s="2">
        <f>YearMap!B4</f>
        <v/>
      </c>
      <c r="H34" s="2">
        <f>YearMap!C4</f>
        <v/>
      </c>
      <c r="I34" s="2">
        <f>YearMap!D4</f>
        <v/>
      </c>
      <c r="J34">
        <f>1-BaselineCalc!$B$5</f>
        <v/>
      </c>
      <c r="K34">
        <f>Scenarios!G9</f>
        <v/>
      </c>
      <c r="L34">
        <f>IF(Scenarios!$Q9=1,BaselineCalc!$B$7*(1+Parameters_Public!$C44)^(IF($C34="FY2026",0,IF($C34="FY2027",1,IF($C34="FY2028",2,IF($C34="FY2029",3,IF($C34="FY2030",4,0))))))+ROUND(Scenarios!K9*Scenarios!$F9,0),BaselineCalc!$B$7+ROUND(Scenarios!K9*Scenarios!$F9,0))</f>
        <v/>
      </c>
      <c r="M34">
        <f>IF(Scenarios!$R9=1,BaselineCalc!$B$8*(1+Parameters_Public!$C45)^(IF($C34="FY2026",0,IF($C34="FY2027",1,IF($C34="FY2028",2,IF($C34="FY2029",3,IF($C34="FY2030",4,0))))))+Scenarios!K9-ROUND(Scenarios!K9*Scenarios!$F9,0),BaselineCalc!$B$8+Scenarios!K9-ROUND(Scenarios!K9*Scenarios!$F9,0))</f>
        <v/>
      </c>
      <c r="N34" s="11">
        <f>(L34-D34) + (M34-E34)</f>
        <v/>
      </c>
      <c r="O34" s="11">
        <f>(Parameters_Public!$C$23*(L34-D34)+Parameters_Public!$C$24*(M34-E34))</f>
        <v/>
      </c>
      <c r="P34">
        <f>YearMap!E4</f>
        <v/>
      </c>
      <c r="Q34">
        <f>IF(Scenarios!N9="lease", YearMap!F4, YearMap!G4)</f>
        <v/>
      </c>
      <c r="R34" s="2">
        <f>IF(Scenarios!D9=1, Q34*H34, H34)</f>
        <v/>
      </c>
      <c r="S34" s="2">
        <f>IF(Scenarios!E9=1, Q34*I34, I34)</f>
        <v/>
      </c>
      <c r="T34" s="2">
        <f>IF(C34="FY2026", (Scenarios!D9+Scenarios!E9)*BaselineCalc!$B$22, 0)</f>
        <v/>
      </c>
      <c r="U34" s="2">
        <f>(R34+S34+G34*F34)*J34*(1-K34)</f>
        <v/>
      </c>
      <c r="V34" s="2">
        <f>O34*(G34+P34)</f>
        <v/>
      </c>
      <c r="W34" s="2">
        <f>U34+V34+IF(Parameters_Public!$C$28=1, T34, 0)</f>
        <v/>
      </c>
      <c r="X34" s="2">
        <f>IF(F34+O34&gt;0, W34/(F34+O34),"")</f>
        <v/>
      </c>
      <c r="Y34" s="2">
        <f>INDEX(YearMap!$I$2:$I$6, MATCH(C34, YearMap!$A$2:$A$6, 0))</f>
        <v/>
      </c>
      <c r="Z34" s="2">
        <f>W34 - ((Y34 + IF(Parameters_Public!$C$20=1, Parameters_Public!$C$19, 0))*AC34)</f>
        <v/>
      </c>
      <c r="AA34" s="2">
        <f>IF($AC34&gt;0, $Z34/$AC34, 0)</f>
        <v/>
      </c>
      <c r="AB34">
        <f>MAX(0, (MAX(0, $D34-BaselineCalc!$B$7) + MAX(0, $E34-BaselineCalc!$B$8)))</f>
        <v/>
      </c>
      <c r="AC34" s="11">
        <f>L34+M34-N34+O34</f>
        <v/>
      </c>
      <c r="AD34" s="2">
        <f>( (Y34 + IF(Parameters_Public!$C20=1, INDEX(YearMap!$O$2:$O$6, MATCH(C34, YearMap!$A$2:$A$6, 0)), 0)) * AC34 ) + AC34*INDEX(YearMap!$P$2:$P$6, MATCH(C34, YearMap!$A$2:$A$6, 0)) + AB34*( INDEX(YearMap!$R$2:$R$6, MATCH(C34, YearMap!$A$2:$A$6, 0)) - INDEX(YearMap!$P$2:$P$6, MATCH(C34, YearMap!$A$2:$A$6, 0)) )</f>
        <v/>
      </c>
      <c r="AE34" s="2">
        <f>(W34 - (1-Parameters_Public!$C$43)*$G34*$AB34*$J34*(1-$K34)) + AB34*INDEX(YearMap!$Q$2:$Q$6, MATCH(C34, YearMap!$A$2:$A$6, 0))</f>
        <v/>
      </c>
      <c r="AF34" s="2">
        <f>AD34-AE34</f>
        <v/>
      </c>
      <c r="AG34">
        <f>B34&amp;"|"&amp;C34</f>
        <v/>
      </c>
    </row>
    <row r="35">
      <c r="A35">
        <f>AG35</f>
        <v/>
      </c>
      <c r="B35">
        <f>Scenarios!A9</f>
        <v/>
      </c>
      <c r="C35" t="inlineStr">
        <is>
          <t>FY2029</t>
        </is>
      </c>
      <c r="D35">
        <f>IF(Scenarios!D9=1,0, L35)</f>
        <v/>
      </c>
      <c r="E35">
        <f>IF(Scenarios!E9=1,0, M35)</f>
        <v/>
      </c>
      <c r="F35">
        <f>D35+E35</f>
        <v/>
      </c>
      <c r="G35" s="2">
        <f>YearMap!B5</f>
        <v/>
      </c>
      <c r="H35" s="2">
        <f>YearMap!C5</f>
        <v/>
      </c>
      <c r="I35" s="2">
        <f>YearMap!D5</f>
        <v/>
      </c>
      <c r="J35">
        <f>1-BaselineCalc!$B$5</f>
        <v/>
      </c>
      <c r="K35">
        <f>Scenarios!G9</f>
        <v/>
      </c>
      <c r="L35">
        <f>IF(Scenarios!$Q9=1,BaselineCalc!$B$7*(1+Parameters_Public!$C44)^(IF($C35="FY2026",0,IF($C35="FY2027",1,IF($C35="FY2028",2,IF($C35="FY2029",3,IF($C35="FY2030",4,0))))))+ROUND(Scenarios!L9*Scenarios!$F9,0),BaselineCalc!$B$7+ROUND(Scenarios!L9*Scenarios!$F9,0))</f>
        <v/>
      </c>
      <c r="M35">
        <f>IF(Scenarios!$R9=1,BaselineCalc!$B$8*(1+Parameters_Public!$C45)^(IF($C35="FY2026",0,IF($C35="FY2027",1,IF($C35="FY2028",2,IF($C35="FY2029",3,IF($C35="FY2030",4,0))))))+Scenarios!L9-ROUND(Scenarios!L9*Scenarios!$F9,0),BaselineCalc!$B$8+Scenarios!L9-ROUND(Scenarios!L9*Scenarios!$F9,0))</f>
        <v/>
      </c>
      <c r="N35" s="11">
        <f>(L35-D35) + (M35-E35)</f>
        <v/>
      </c>
      <c r="O35" s="11">
        <f>(Parameters_Public!$C$23*(L35-D35)+Parameters_Public!$C$24*(M35-E35))</f>
        <v/>
      </c>
      <c r="P35">
        <f>YearMap!E5</f>
        <v/>
      </c>
      <c r="Q35">
        <f>IF(Scenarios!N9="lease", YearMap!F5, YearMap!G5)</f>
        <v/>
      </c>
      <c r="R35" s="2">
        <f>IF(Scenarios!D9=1, Q35*H35, H35)</f>
        <v/>
      </c>
      <c r="S35" s="2">
        <f>IF(Scenarios!E9=1, Q35*I35, I35)</f>
        <v/>
      </c>
      <c r="T35" s="2">
        <f>IF(C35="FY2026", (Scenarios!D9+Scenarios!E9)*BaselineCalc!$B$22, 0)</f>
        <v/>
      </c>
      <c r="U35" s="2">
        <f>(R35+S35+G35*F35)*J35*(1-K35)</f>
        <v/>
      </c>
      <c r="V35" s="2">
        <f>O35*(G35+P35)</f>
        <v/>
      </c>
      <c r="W35" s="2">
        <f>U35+V35+IF(Parameters_Public!$C$28=1, T35, 0)</f>
        <v/>
      </c>
      <c r="X35" s="2">
        <f>IF(F35+O35&gt;0, W35/(F35+O35),"")</f>
        <v/>
      </c>
      <c r="Y35" s="2">
        <f>INDEX(YearMap!$I$2:$I$6, MATCH(C35, YearMap!$A$2:$A$6, 0))</f>
        <v/>
      </c>
      <c r="Z35" s="2">
        <f>W35 - ((Y35 + IF(Parameters_Public!$C$20=1, Parameters_Public!$C$19, 0))*AC35)</f>
        <v/>
      </c>
      <c r="AA35" s="2">
        <f>IF($AC35&gt;0, $Z35/$AC35, 0)</f>
        <v/>
      </c>
      <c r="AB35">
        <f>MAX(0, (MAX(0, $D35-BaselineCalc!$B$7) + MAX(0, $E35-BaselineCalc!$B$8)))</f>
        <v/>
      </c>
      <c r="AC35" s="11">
        <f>L35+M35-N35+O35</f>
        <v/>
      </c>
      <c r="AD35" s="2">
        <f>( (Y35 + IF(Parameters_Public!$C20=1, INDEX(YearMap!$O$2:$O$6, MATCH(C35, YearMap!$A$2:$A$6, 0)), 0)) * AC35 ) + AC35*INDEX(YearMap!$P$2:$P$6, MATCH(C35, YearMap!$A$2:$A$6, 0)) + AB35*( INDEX(YearMap!$R$2:$R$6, MATCH(C35, YearMap!$A$2:$A$6, 0)) - INDEX(YearMap!$P$2:$P$6, MATCH(C35, YearMap!$A$2:$A$6, 0)) )</f>
        <v/>
      </c>
      <c r="AE35" s="2">
        <f>(W35 - (1-Parameters_Public!$C$43)*$G35*$AB35*$J35*(1-$K35)) + AB35*INDEX(YearMap!$Q$2:$Q$6, MATCH(C35, YearMap!$A$2:$A$6, 0))</f>
        <v/>
      </c>
      <c r="AF35" s="2">
        <f>AD35-AE35</f>
        <v/>
      </c>
      <c r="AG35">
        <f>B35&amp;"|"&amp;C35</f>
        <v/>
      </c>
    </row>
    <row r="36">
      <c r="A36">
        <f>AG36</f>
        <v/>
      </c>
      <c r="B36">
        <f>Scenarios!A9</f>
        <v/>
      </c>
      <c r="C36" t="inlineStr">
        <is>
          <t>FY2030</t>
        </is>
      </c>
      <c r="D36">
        <f>IF(Scenarios!D9=1,0, L36)</f>
        <v/>
      </c>
      <c r="E36">
        <f>IF(Scenarios!E9=1,0, M36)</f>
        <v/>
      </c>
      <c r="F36">
        <f>D36+E36</f>
        <v/>
      </c>
      <c r="G36" s="2">
        <f>YearMap!B6</f>
        <v/>
      </c>
      <c r="H36" s="2">
        <f>YearMap!C6</f>
        <v/>
      </c>
      <c r="I36" s="2">
        <f>YearMap!D6</f>
        <v/>
      </c>
      <c r="J36">
        <f>1-BaselineCalc!$B$5</f>
        <v/>
      </c>
      <c r="K36">
        <f>Scenarios!G9</f>
        <v/>
      </c>
      <c r="L36">
        <f>IF(Scenarios!$Q9=1,BaselineCalc!$B$7*(1+Parameters_Public!$C44)^(IF($C36="FY2026",0,IF($C36="FY2027",1,IF($C36="FY2028",2,IF($C36="FY2029",3,IF($C36="FY2030",4,0))))))+ROUND(Scenarios!M9*Scenarios!$F9,0),BaselineCalc!$B$7+ROUND(Scenarios!M9*Scenarios!$F9,0))</f>
        <v/>
      </c>
      <c r="M36">
        <f>IF(Scenarios!$R9=1,BaselineCalc!$B$8*(1+Parameters_Public!$C45)^(IF($C36="FY2026",0,IF($C36="FY2027",1,IF($C36="FY2028",2,IF($C36="FY2029",3,IF($C36="FY2030",4,0))))))+Scenarios!M9-ROUND(Scenarios!M9*Scenarios!$F9,0),BaselineCalc!$B$8+Scenarios!M9-ROUND(Scenarios!M9*Scenarios!$F9,0))</f>
        <v/>
      </c>
      <c r="N36" s="11">
        <f>(L36-D36) + (M36-E36)</f>
        <v/>
      </c>
      <c r="O36" s="11">
        <f>(Parameters_Public!$C$23*(L36-D36)+Parameters_Public!$C$24*(M36-E36))</f>
        <v/>
      </c>
      <c r="P36">
        <f>YearMap!E6</f>
        <v/>
      </c>
      <c r="Q36">
        <f>IF(Scenarios!N9="lease", YearMap!F6, YearMap!G6)</f>
        <v/>
      </c>
      <c r="R36" s="2">
        <f>IF(Scenarios!D9=1, Q36*H36, H36)</f>
        <v/>
      </c>
      <c r="S36" s="2">
        <f>IF(Scenarios!E9=1, Q36*I36, I36)</f>
        <v/>
      </c>
      <c r="T36" s="2">
        <f>IF(C36="FY2026", (Scenarios!D9+Scenarios!E9)*BaselineCalc!$B$22, 0)</f>
        <v/>
      </c>
      <c r="U36" s="2">
        <f>(R36+S36+G36*F36)*J36*(1-K36)</f>
        <v/>
      </c>
      <c r="V36" s="2">
        <f>O36*(G36+P36)</f>
        <v/>
      </c>
      <c r="W36" s="2">
        <f>U36+V36+IF(Parameters_Public!$C$28=1, T36, 0)</f>
        <v/>
      </c>
      <c r="X36" s="2">
        <f>IF(F36+O36&gt;0, W36/(F36+O36),"")</f>
        <v/>
      </c>
      <c r="Y36" s="2">
        <f>INDEX(YearMap!$I$2:$I$6, MATCH(C36, YearMap!$A$2:$A$6, 0))</f>
        <v/>
      </c>
      <c r="Z36" s="2">
        <f>W36 - ((Y36 + IF(Parameters_Public!$C$20=1, Parameters_Public!$C$19, 0))*AC36)</f>
        <v/>
      </c>
      <c r="AA36" s="2">
        <f>IF($AC36&gt;0, $Z36/$AC36, 0)</f>
        <v/>
      </c>
      <c r="AB36">
        <f>MAX(0, (MAX(0, $D36-BaselineCalc!$B$7) + MAX(0, $E36-BaselineCalc!$B$8)))</f>
        <v/>
      </c>
      <c r="AC36" s="11">
        <f>L36+M36-N36+O36</f>
        <v/>
      </c>
      <c r="AD36" s="2">
        <f>( (Y36 + IF(Parameters_Public!$C20=1, INDEX(YearMap!$O$2:$O$6, MATCH(C36, YearMap!$A$2:$A$6, 0)), 0)) * AC36 ) + AC36*INDEX(YearMap!$P$2:$P$6, MATCH(C36, YearMap!$A$2:$A$6, 0)) + AB36*( INDEX(YearMap!$R$2:$R$6, MATCH(C36, YearMap!$A$2:$A$6, 0)) - INDEX(YearMap!$P$2:$P$6, MATCH(C36, YearMap!$A$2:$A$6, 0)) )</f>
        <v/>
      </c>
      <c r="AE36" s="2">
        <f>(W36 - (1-Parameters_Public!$C$43)*$G36*$AB36*$J36*(1-$K36)) + AB36*INDEX(YearMap!$Q$2:$Q$6, MATCH(C36, YearMap!$A$2:$A$6, 0))</f>
        <v/>
      </c>
      <c r="AF36" s="2">
        <f>AD36-AE36</f>
        <v/>
      </c>
      <c r="AG36">
        <f>B36&amp;"|"&amp;C36</f>
        <v/>
      </c>
    </row>
    <row r="37">
      <c r="A37">
        <f>AG37</f>
        <v/>
      </c>
      <c r="B37">
        <f>Scenarios!A10</f>
        <v/>
      </c>
      <c r="C37" t="inlineStr">
        <is>
          <t>FY2026</t>
        </is>
      </c>
      <c r="D37">
        <f>IF(Scenarios!D10=1,0, L37)</f>
        <v/>
      </c>
      <c r="E37">
        <f>IF(Scenarios!E10=1,0, M37)</f>
        <v/>
      </c>
      <c r="F37">
        <f>D37+E37</f>
        <v/>
      </c>
      <c r="G37" s="2">
        <f>YearMap!B2</f>
        <v/>
      </c>
      <c r="H37" s="2">
        <f>YearMap!C2</f>
        <v/>
      </c>
      <c r="I37" s="2">
        <f>YearMap!D2</f>
        <v/>
      </c>
      <c r="J37">
        <f>1-BaselineCalc!$B$5</f>
        <v/>
      </c>
      <c r="K37">
        <f>Scenarios!G10</f>
        <v/>
      </c>
      <c r="L37">
        <f>IF(Scenarios!$Q10=1,BaselineCalc!$B$7*(1+Parameters_Public!$C44)^(IF($C37="FY2026",0,IF($C37="FY2027",1,IF($C37="FY2028",2,IF($C37="FY2029",3,IF($C37="FY2030",4,0))))))+ROUND(Scenarios!I10*Scenarios!$F10,0),BaselineCalc!$B$7+ROUND(Scenarios!I10*Scenarios!$F10,0))</f>
        <v/>
      </c>
      <c r="M37">
        <f>IF(Scenarios!$R10=1,BaselineCalc!$B$8*(1+Parameters_Public!$C45)^(IF($C37="FY2026",0,IF($C37="FY2027",1,IF($C37="FY2028",2,IF($C37="FY2029",3,IF($C37="FY2030",4,0))))))+Scenarios!I10-ROUND(Scenarios!I10*Scenarios!$F10,0),BaselineCalc!$B$8+Scenarios!I10-ROUND(Scenarios!I10*Scenarios!$F10,0))</f>
        <v/>
      </c>
      <c r="N37" s="11">
        <f>(L37-D37) + (M37-E37)</f>
        <v/>
      </c>
      <c r="O37" s="11">
        <f>(Parameters_Public!$C$23*(L37-D37)+Parameters_Public!$C$24*(M37-E37))</f>
        <v/>
      </c>
      <c r="P37">
        <f>YearMap!E2</f>
        <v/>
      </c>
      <c r="Q37">
        <f>IF(Scenarios!N10="lease", YearMap!F2, YearMap!G2)</f>
        <v/>
      </c>
      <c r="R37" s="2">
        <f>IF(Scenarios!D10=1, Q37*H37, H37)</f>
        <v/>
      </c>
      <c r="S37" s="2">
        <f>IF(Scenarios!E10=1, Q37*I37, I37)</f>
        <v/>
      </c>
      <c r="T37" s="2">
        <f>IF(C37="FY2026", (Scenarios!D10+Scenarios!E10)*BaselineCalc!$B$22, 0)</f>
        <v/>
      </c>
      <c r="U37" s="2">
        <f>(R37+S37+G37*F37)*J37*(1-K37)</f>
        <v/>
      </c>
      <c r="V37" s="2">
        <f>O37*(G37+P37)</f>
        <v/>
      </c>
      <c r="W37" s="2">
        <f>U37+V37+IF(Parameters_Public!$C$28=1, T37, 0)</f>
        <v/>
      </c>
      <c r="X37" s="2">
        <f>IF(F37+O37&gt;0, W37/(F37+O37),"")</f>
        <v/>
      </c>
      <c r="Y37" s="2">
        <f>INDEX(YearMap!$I$2:$I$6, MATCH(C37, YearMap!$A$2:$A$6, 0))</f>
        <v/>
      </c>
      <c r="Z37" s="2">
        <f>W37 - ((Y37 + IF(Parameters_Public!$C$20=1, Parameters_Public!$C$19, 0))*AC37)</f>
        <v/>
      </c>
      <c r="AA37" s="2">
        <f>IF($AC37&gt;0, $Z37/$AC37, 0)</f>
        <v/>
      </c>
      <c r="AB37">
        <f>MAX(0, (MAX(0, $D37-BaselineCalc!$B$7) + MAX(0, $E37-BaselineCalc!$B$8)))</f>
        <v/>
      </c>
      <c r="AC37" s="11">
        <f>L37+M37-N37+O37</f>
        <v/>
      </c>
      <c r="AD37" s="2">
        <f>( (Y37 + IF(Parameters_Public!$C20=1, INDEX(YearMap!$O$2:$O$6, MATCH(C37, YearMap!$A$2:$A$6, 0)), 0)) * AC37 ) + AC37*INDEX(YearMap!$P$2:$P$6, MATCH(C37, YearMap!$A$2:$A$6, 0)) + AB37*( INDEX(YearMap!$R$2:$R$6, MATCH(C37, YearMap!$A$2:$A$6, 0)) - INDEX(YearMap!$P$2:$P$6, MATCH(C37, YearMap!$A$2:$A$6, 0)) )</f>
        <v/>
      </c>
      <c r="AE37" s="2">
        <f>(W37 - (1-Parameters_Public!$C$43)*$G37*$AB37*$J37*(1-$K37)) + AB37*INDEX(YearMap!$Q$2:$Q$6, MATCH(C37, YearMap!$A$2:$A$6, 0))</f>
        <v/>
      </c>
      <c r="AF37" s="2">
        <f>AD37-AE37</f>
        <v/>
      </c>
      <c r="AG37">
        <f>B37&amp;"|"&amp;C37</f>
        <v/>
      </c>
    </row>
    <row r="38">
      <c r="A38">
        <f>AG38</f>
        <v/>
      </c>
      <c r="B38">
        <f>Scenarios!A10</f>
        <v/>
      </c>
      <c r="C38" t="inlineStr">
        <is>
          <t>FY2027</t>
        </is>
      </c>
      <c r="D38">
        <f>IF(Scenarios!D10=1,0, L38)</f>
        <v/>
      </c>
      <c r="E38">
        <f>IF(Scenarios!E10=1,0, M38)</f>
        <v/>
      </c>
      <c r="F38">
        <f>D38+E38</f>
        <v/>
      </c>
      <c r="G38" s="2">
        <f>YearMap!B3</f>
        <v/>
      </c>
      <c r="H38" s="2">
        <f>YearMap!C3</f>
        <v/>
      </c>
      <c r="I38" s="2">
        <f>YearMap!D3</f>
        <v/>
      </c>
      <c r="J38">
        <f>1-BaselineCalc!$B$5</f>
        <v/>
      </c>
      <c r="K38">
        <f>Scenarios!G10</f>
        <v/>
      </c>
      <c r="L38">
        <f>IF(Scenarios!$Q10=1,BaselineCalc!$B$7*(1+Parameters_Public!$C44)^(IF($C38="FY2026",0,IF($C38="FY2027",1,IF($C38="FY2028",2,IF($C38="FY2029",3,IF($C38="FY2030",4,0))))))+ROUND(Scenarios!J10*Scenarios!$F10,0),BaselineCalc!$B$7+ROUND(Scenarios!J10*Scenarios!$F10,0))</f>
        <v/>
      </c>
      <c r="M38">
        <f>IF(Scenarios!$R10=1,BaselineCalc!$B$8*(1+Parameters_Public!$C45)^(IF($C38="FY2026",0,IF($C38="FY2027",1,IF($C38="FY2028",2,IF($C38="FY2029",3,IF($C38="FY2030",4,0))))))+Scenarios!J10-ROUND(Scenarios!J10*Scenarios!$F10,0),BaselineCalc!$B$8+Scenarios!J10-ROUND(Scenarios!J10*Scenarios!$F10,0))</f>
        <v/>
      </c>
      <c r="N38" s="11">
        <f>(L38-D38) + (M38-E38)</f>
        <v/>
      </c>
      <c r="O38" s="11">
        <f>(Parameters_Public!$C$23*(L38-D38)+Parameters_Public!$C$24*(M38-E38))</f>
        <v/>
      </c>
      <c r="P38">
        <f>YearMap!E3</f>
        <v/>
      </c>
      <c r="Q38">
        <f>IF(Scenarios!N10="lease", YearMap!F3, YearMap!G3)</f>
        <v/>
      </c>
      <c r="R38" s="2">
        <f>IF(Scenarios!D10=1, Q38*H38, H38)</f>
        <v/>
      </c>
      <c r="S38" s="2">
        <f>IF(Scenarios!E10=1, Q38*I38, I38)</f>
        <v/>
      </c>
      <c r="T38" s="2">
        <f>IF(C38="FY2026", (Scenarios!D10+Scenarios!E10)*BaselineCalc!$B$22, 0)</f>
        <v/>
      </c>
      <c r="U38" s="2">
        <f>(R38+S38+G38*F38)*J38*(1-K38)</f>
        <v/>
      </c>
      <c r="V38" s="2">
        <f>O38*(G38+P38)</f>
        <v/>
      </c>
      <c r="W38" s="2">
        <f>U38+V38+IF(Parameters_Public!$C$28=1, T38, 0)</f>
        <v/>
      </c>
      <c r="X38" s="2">
        <f>IF(F38+O38&gt;0, W38/(F38+O38),"")</f>
        <v/>
      </c>
      <c r="Y38" s="2">
        <f>INDEX(YearMap!$I$2:$I$6, MATCH(C38, YearMap!$A$2:$A$6, 0))</f>
        <v/>
      </c>
      <c r="Z38" s="2">
        <f>W38 - ((Y38 + IF(Parameters_Public!$C$20=1, Parameters_Public!$C$19, 0))*AC38)</f>
        <v/>
      </c>
      <c r="AA38" s="2">
        <f>IF($AC38&gt;0, $Z38/$AC38, 0)</f>
        <v/>
      </c>
      <c r="AB38">
        <f>MAX(0, (MAX(0, $D38-BaselineCalc!$B$7) + MAX(0, $E38-BaselineCalc!$B$8)))</f>
        <v/>
      </c>
      <c r="AC38" s="11">
        <f>L38+M38-N38+O38</f>
        <v/>
      </c>
      <c r="AD38" s="2">
        <f>( (Y38 + IF(Parameters_Public!$C20=1, INDEX(YearMap!$O$2:$O$6, MATCH(C38, YearMap!$A$2:$A$6, 0)), 0)) * AC38 ) + AC38*INDEX(YearMap!$P$2:$P$6, MATCH(C38, YearMap!$A$2:$A$6, 0)) + AB38*( INDEX(YearMap!$R$2:$R$6, MATCH(C38, YearMap!$A$2:$A$6, 0)) - INDEX(YearMap!$P$2:$P$6, MATCH(C38, YearMap!$A$2:$A$6, 0)) )</f>
        <v/>
      </c>
      <c r="AE38" s="2">
        <f>(W38 - (1-Parameters_Public!$C$43)*$G38*$AB38*$J38*(1-$K38)) + AB38*INDEX(YearMap!$Q$2:$Q$6, MATCH(C38, YearMap!$A$2:$A$6, 0))</f>
        <v/>
      </c>
      <c r="AF38" s="2">
        <f>AD38-AE38</f>
        <v/>
      </c>
      <c r="AG38">
        <f>B38&amp;"|"&amp;C38</f>
        <v/>
      </c>
    </row>
    <row r="39">
      <c r="A39">
        <f>AG39</f>
        <v/>
      </c>
      <c r="B39">
        <f>Scenarios!A10</f>
        <v/>
      </c>
      <c r="C39" t="inlineStr">
        <is>
          <t>FY2028</t>
        </is>
      </c>
      <c r="D39">
        <f>IF(Scenarios!D10=1,0, L39)</f>
        <v/>
      </c>
      <c r="E39">
        <f>IF(Scenarios!E10=1,0, M39)</f>
        <v/>
      </c>
      <c r="F39">
        <f>D39+E39</f>
        <v/>
      </c>
      <c r="G39" s="2">
        <f>YearMap!B4</f>
        <v/>
      </c>
      <c r="H39" s="2">
        <f>YearMap!C4</f>
        <v/>
      </c>
      <c r="I39" s="2">
        <f>YearMap!D4</f>
        <v/>
      </c>
      <c r="J39">
        <f>1-BaselineCalc!$B$5</f>
        <v/>
      </c>
      <c r="K39">
        <f>Scenarios!G10</f>
        <v/>
      </c>
      <c r="L39">
        <f>IF(Scenarios!$Q10=1,BaselineCalc!$B$7*(1+Parameters_Public!$C44)^(IF($C39="FY2026",0,IF($C39="FY2027",1,IF($C39="FY2028",2,IF($C39="FY2029",3,IF($C39="FY2030",4,0))))))+ROUND(Scenarios!K10*Scenarios!$F10,0),BaselineCalc!$B$7+ROUND(Scenarios!K10*Scenarios!$F10,0))</f>
        <v/>
      </c>
      <c r="M39">
        <f>IF(Scenarios!$R10=1,BaselineCalc!$B$8*(1+Parameters_Public!$C45)^(IF($C39="FY2026",0,IF($C39="FY2027",1,IF($C39="FY2028",2,IF($C39="FY2029",3,IF($C39="FY2030",4,0))))))+Scenarios!K10-ROUND(Scenarios!K10*Scenarios!$F10,0),BaselineCalc!$B$8+Scenarios!K10-ROUND(Scenarios!K10*Scenarios!$F10,0))</f>
        <v/>
      </c>
      <c r="N39" s="11">
        <f>(L39-D39) + (M39-E39)</f>
        <v/>
      </c>
      <c r="O39" s="11">
        <f>(Parameters_Public!$C$23*(L39-D39)+Parameters_Public!$C$24*(M39-E39))</f>
        <v/>
      </c>
      <c r="P39">
        <f>YearMap!E4</f>
        <v/>
      </c>
      <c r="Q39">
        <f>IF(Scenarios!N10="lease", YearMap!F4, YearMap!G4)</f>
        <v/>
      </c>
      <c r="R39" s="2">
        <f>IF(Scenarios!D10=1, Q39*H39, H39)</f>
        <v/>
      </c>
      <c r="S39" s="2">
        <f>IF(Scenarios!E10=1, Q39*I39, I39)</f>
        <v/>
      </c>
      <c r="T39" s="2">
        <f>IF(C39="FY2026", (Scenarios!D10+Scenarios!E10)*BaselineCalc!$B$22, 0)</f>
        <v/>
      </c>
      <c r="U39" s="2">
        <f>(R39+S39+G39*F39)*J39*(1-K39)</f>
        <v/>
      </c>
      <c r="V39" s="2">
        <f>O39*(G39+P39)</f>
        <v/>
      </c>
      <c r="W39" s="2">
        <f>U39+V39+IF(Parameters_Public!$C$28=1, T39, 0)</f>
        <v/>
      </c>
      <c r="X39" s="2">
        <f>IF(F39+O39&gt;0, W39/(F39+O39),"")</f>
        <v/>
      </c>
      <c r="Y39" s="2">
        <f>INDEX(YearMap!$I$2:$I$6, MATCH(C39, YearMap!$A$2:$A$6, 0))</f>
        <v/>
      </c>
      <c r="Z39" s="2">
        <f>W39 - ((Y39 + IF(Parameters_Public!$C$20=1, Parameters_Public!$C$19, 0))*AC39)</f>
        <v/>
      </c>
      <c r="AA39" s="2">
        <f>IF($AC39&gt;0, $Z39/$AC39, 0)</f>
        <v/>
      </c>
      <c r="AB39">
        <f>MAX(0, (MAX(0, $D39-BaselineCalc!$B$7) + MAX(0, $E39-BaselineCalc!$B$8)))</f>
        <v/>
      </c>
      <c r="AC39" s="11">
        <f>L39+M39-N39+O39</f>
        <v/>
      </c>
      <c r="AD39" s="2">
        <f>( (Y39 + IF(Parameters_Public!$C20=1, INDEX(YearMap!$O$2:$O$6, MATCH(C39, YearMap!$A$2:$A$6, 0)), 0)) * AC39 ) + AC39*INDEX(YearMap!$P$2:$P$6, MATCH(C39, YearMap!$A$2:$A$6, 0)) + AB39*( INDEX(YearMap!$R$2:$R$6, MATCH(C39, YearMap!$A$2:$A$6, 0)) - INDEX(YearMap!$P$2:$P$6, MATCH(C39, YearMap!$A$2:$A$6, 0)) )</f>
        <v/>
      </c>
      <c r="AE39" s="2">
        <f>(W39 - (1-Parameters_Public!$C$43)*$G39*$AB39*$J39*(1-$K39)) + AB39*INDEX(YearMap!$Q$2:$Q$6, MATCH(C39, YearMap!$A$2:$A$6, 0))</f>
        <v/>
      </c>
      <c r="AF39" s="2">
        <f>AD39-AE39</f>
        <v/>
      </c>
      <c r="AG39">
        <f>B39&amp;"|"&amp;C39</f>
        <v/>
      </c>
    </row>
    <row r="40">
      <c r="A40">
        <f>AG40</f>
        <v/>
      </c>
      <c r="B40">
        <f>Scenarios!A10</f>
        <v/>
      </c>
      <c r="C40" t="inlineStr">
        <is>
          <t>FY2029</t>
        </is>
      </c>
      <c r="D40">
        <f>IF(Scenarios!D10=1,0, L40)</f>
        <v/>
      </c>
      <c r="E40">
        <f>IF(Scenarios!E10=1,0, M40)</f>
        <v/>
      </c>
      <c r="F40">
        <f>D40+E40</f>
        <v/>
      </c>
      <c r="G40" s="2">
        <f>YearMap!B5</f>
        <v/>
      </c>
      <c r="H40" s="2">
        <f>YearMap!C5</f>
        <v/>
      </c>
      <c r="I40" s="2">
        <f>YearMap!D5</f>
        <v/>
      </c>
      <c r="J40">
        <f>1-BaselineCalc!$B$5</f>
        <v/>
      </c>
      <c r="K40">
        <f>Scenarios!G10</f>
        <v/>
      </c>
      <c r="L40">
        <f>IF(Scenarios!$Q10=1,BaselineCalc!$B$7*(1+Parameters_Public!$C44)^(IF($C40="FY2026",0,IF($C40="FY2027",1,IF($C40="FY2028",2,IF($C40="FY2029",3,IF($C40="FY2030",4,0))))))+ROUND(Scenarios!L10*Scenarios!$F10,0),BaselineCalc!$B$7+ROUND(Scenarios!L10*Scenarios!$F10,0))</f>
        <v/>
      </c>
      <c r="M40">
        <f>IF(Scenarios!$R10=1,BaselineCalc!$B$8*(1+Parameters_Public!$C45)^(IF($C40="FY2026",0,IF($C40="FY2027",1,IF($C40="FY2028",2,IF($C40="FY2029",3,IF($C40="FY2030",4,0))))))+Scenarios!L10-ROUND(Scenarios!L10*Scenarios!$F10,0),BaselineCalc!$B$8+Scenarios!L10-ROUND(Scenarios!L10*Scenarios!$F10,0))</f>
        <v/>
      </c>
      <c r="N40" s="11">
        <f>(L40-D40) + (M40-E40)</f>
        <v/>
      </c>
      <c r="O40" s="11">
        <f>(Parameters_Public!$C$23*(L40-D40)+Parameters_Public!$C$24*(M40-E40))</f>
        <v/>
      </c>
      <c r="P40">
        <f>YearMap!E5</f>
        <v/>
      </c>
      <c r="Q40">
        <f>IF(Scenarios!N10="lease", YearMap!F5, YearMap!G5)</f>
        <v/>
      </c>
      <c r="R40" s="2">
        <f>IF(Scenarios!D10=1, Q40*H40, H40)</f>
        <v/>
      </c>
      <c r="S40" s="2">
        <f>IF(Scenarios!E10=1, Q40*I40, I40)</f>
        <v/>
      </c>
      <c r="T40" s="2">
        <f>IF(C40="FY2026", (Scenarios!D10+Scenarios!E10)*BaselineCalc!$B$22, 0)</f>
        <v/>
      </c>
      <c r="U40" s="2">
        <f>(R40+S40+G40*F40)*J40*(1-K40)</f>
        <v/>
      </c>
      <c r="V40" s="2">
        <f>O40*(G40+P40)</f>
        <v/>
      </c>
      <c r="W40" s="2">
        <f>U40+V40+IF(Parameters_Public!$C$28=1, T40, 0)</f>
        <v/>
      </c>
      <c r="X40" s="2">
        <f>IF(F40+O40&gt;0, W40/(F40+O40),"")</f>
        <v/>
      </c>
      <c r="Y40" s="2">
        <f>INDEX(YearMap!$I$2:$I$6, MATCH(C40, YearMap!$A$2:$A$6, 0))</f>
        <v/>
      </c>
      <c r="Z40" s="2">
        <f>W40 - ((Y40 + IF(Parameters_Public!$C$20=1, Parameters_Public!$C$19, 0))*AC40)</f>
        <v/>
      </c>
      <c r="AA40" s="2">
        <f>IF($AC40&gt;0, $Z40/$AC40, 0)</f>
        <v/>
      </c>
      <c r="AB40">
        <f>MAX(0, (MAX(0, $D40-BaselineCalc!$B$7) + MAX(0, $E40-BaselineCalc!$B$8)))</f>
        <v/>
      </c>
      <c r="AC40" s="11">
        <f>L40+M40-N40+O40</f>
        <v/>
      </c>
      <c r="AD40" s="2">
        <f>( (Y40 + IF(Parameters_Public!$C20=1, INDEX(YearMap!$O$2:$O$6, MATCH(C40, YearMap!$A$2:$A$6, 0)), 0)) * AC40 ) + AC40*INDEX(YearMap!$P$2:$P$6, MATCH(C40, YearMap!$A$2:$A$6, 0)) + AB40*( INDEX(YearMap!$R$2:$R$6, MATCH(C40, YearMap!$A$2:$A$6, 0)) - INDEX(YearMap!$P$2:$P$6, MATCH(C40, YearMap!$A$2:$A$6, 0)) )</f>
        <v/>
      </c>
      <c r="AE40" s="2">
        <f>(W40 - (1-Parameters_Public!$C$43)*$G40*$AB40*$J40*(1-$K40)) + AB40*INDEX(YearMap!$Q$2:$Q$6, MATCH(C40, YearMap!$A$2:$A$6, 0))</f>
        <v/>
      </c>
      <c r="AF40" s="2">
        <f>AD40-AE40</f>
        <v/>
      </c>
      <c r="AG40">
        <f>B40&amp;"|"&amp;C40</f>
        <v/>
      </c>
    </row>
    <row r="41">
      <c r="A41">
        <f>AG41</f>
        <v/>
      </c>
      <c r="B41">
        <f>Scenarios!A10</f>
        <v/>
      </c>
      <c r="C41" t="inlineStr">
        <is>
          <t>FY2030</t>
        </is>
      </c>
      <c r="D41">
        <f>IF(Scenarios!D10=1,0, L41)</f>
        <v/>
      </c>
      <c r="E41">
        <f>IF(Scenarios!E10=1,0, M41)</f>
        <v/>
      </c>
      <c r="F41">
        <f>D41+E41</f>
        <v/>
      </c>
      <c r="G41" s="2">
        <f>YearMap!B6</f>
        <v/>
      </c>
      <c r="H41" s="2">
        <f>YearMap!C6</f>
        <v/>
      </c>
      <c r="I41" s="2">
        <f>YearMap!D6</f>
        <v/>
      </c>
      <c r="J41">
        <f>1-BaselineCalc!$B$5</f>
        <v/>
      </c>
      <c r="K41">
        <f>Scenarios!G10</f>
        <v/>
      </c>
      <c r="L41">
        <f>IF(Scenarios!$Q10=1,BaselineCalc!$B$7*(1+Parameters_Public!$C44)^(IF($C41="FY2026",0,IF($C41="FY2027",1,IF($C41="FY2028",2,IF($C41="FY2029",3,IF($C41="FY2030",4,0))))))+ROUND(Scenarios!M10*Scenarios!$F10,0),BaselineCalc!$B$7+ROUND(Scenarios!M10*Scenarios!$F10,0))</f>
        <v/>
      </c>
      <c r="M41">
        <f>IF(Scenarios!$R10=1,BaselineCalc!$B$8*(1+Parameters_Public!$C45)^(IF($C41="FY2026",0,IF($C41="FY2027",1,IF($C41="FY2028",2,IF($C41="FY2029",3,IF($C41="FY2030",4,0))))))+Scenarios!M10-ROUND(Scenarios!M10*Scenarios!$F10,0),BaselineCalc!$B$8+Scenarios!M10-ROUND(Scenarios!M10*Scenarios!$F10,0))</f>
        <v/>
      </c>
      <c r="N41" s="11">
        <f>(L41-D41) + (M41-E41)</f>
        <v/>
      </c>
      <c r="O41" s="11">
        <f>(Parameters_Public!$C$23*(L41-D41)+Parameters_Public!$C$24*(M41-E41))</f>
        <v/>
      </c>
      <c r="P41">
        <f>YearMap!E6</f>
        <v/>
      </c>
      <c r="Q41">
        <f>IF(Scenarios!N10="lease", YearMap!F6, YearMap!G6)</f>
        <v/>
      </c>
      <c r="R41" s="2">
        <f>IF(Scenarios!D10=1, Q41*H41, H41)</f>
        <v/>
      </c>
      <c r="S41" s="2">
        <f>IF(Scenarios!E10=1, Q41*I41, I41)</f>
        <v/>
      </c>
      <c r="T41" s="2">
        <f>IF(C41="FY2026", (Scenarios!D10+Scenarios!E10)*BaselineCalc!$B$22, 0)</f>
        <v/>
      </c>
      <c r="U41" s="2">
        <f>(R41+S41+G41*F41)*J41*(1-K41)</f>
        <v/>
      </c>
      <c r="V41" s="2">
        <f>O41*(G41+P41)</f>
        <v/>
      </c>
      <c r="W41" s="2">
        <f>U41+V41+IF(Parameters_Public!$C$28=1, T41, 0)</f>
        <v/>
      </c>
      <c r="X41" s="2">
        <f>IF(F41+O41&gt;0, W41/(F41+O41),"")</f>
        <v/>
      </c>
      <c r="Y41" s="2">
        <f>INDEX(YearMap!$I$2:$I$6, MATCH(C41, YearMap!$A$2:$A$6, 0))</f>
        <v/>
      </c>
      <c r="Z41" s="2">
        <f>W41 - ((Y41 + IF(Parameters_Public!$C$20=1, Parameters_Public!$C$19, 0))*AC41)</f>
        <v/>
      </c>
      <c r="AA41" s="2">
        <f>IF($AC41&gt;0, $Z41/$AC41, 0)</f>
        <v/>
      </c>
      <c r="AB41">
        <f>MAX(0, (MAX(0, $D41-BaselineCalc!$B$7) + MAX(0, $E41-BaselineCalc!$B$8)))</f>
        <v/>
      </c>
      <c r="AC41" s="11">
        <f>L41+M41-N41+O41</f>
        <v/>
      </c>
      <c r="AD41" s="2">
        <f>( (Y41 + IF(Parameters_Public!$C20=1, INDEX(YearMap!$O$2:$O$6, MATCH(C41, YearMap!$A$2:$A$6, 0)), 0)) * AC41 ) + AC41*INDEX(YearMap!$P$2:$P$6, MATCH(C41, YearMap!$A$2:$A$6, 0)) + AB41*( INDEX(YearMap!$R$2:$R$6, MATCH(C41, YearMap!$A$2:$A$6, 0)) - INDEX(YearMap!$P$2:$P$6, MATCH(C41, YearMap!$A$2:$A$6, 0)) )</f>
        <v/>
      </c>
      <c r="AE41" s="2">
        <f>(W41 - (1-Parameters_Public!$C$43)*$G41*$AB41*$J41*(1-$K41)) + AB41*INDEX(YearMap!$Q$2:$Q$6, MATCH(C41, YearMap!$A$2:$A$6, 0))</f>
        <v/>
      </c>
      <c r="AF41" s="2">
        <f>AD41-AE41</f>
        <v/>
      </c>
      <c r="AG41">
        <f>B41&amp;"|"&amp;C41</f>
        <v/>
      </c>
    </row>
    <row r="42">
      <c r="A42">
        <f>AG42</f>
        <v/>
      </c>
      <c r="B42">
        <f>Scenarios!A11</f>
        <v/>
      </c>
      <c r="C42" t="inlineStr">
        <is>
          <t>FY2026</t>
        </is>
      </c>
      <c r="D42">
        <f>IF(Scenarios!D11=1,0, L42)</f>
        <v/>
      </c>
      <c r="E42">
        <f>IF(Scenarios!E11=1,0, M42)</f>
        <v/>
      </c>
      <c r="F42">
        <f>D42+E42</f>
        <v/>
      </c>
      <c r="G42" s="2">
        <f>YearMap!B2</f>
        <v/>
      </c>
      <c r="H42" s="2">
        <f>YearMap!C2</f>
        <v/>
      </c>
      <c r="I42" s="2">
        <f>YearMap!D2</f>
        <v/>
      </c>
      <c r="J42">
        <f>1-BaselineCalc!$B$5</f>
        <v/>
      </c>
      <c r="K42">
        <f>Scenarios!G11</f>
        <v/>
      </c>
      <c r="L42">
        <f>IF(Scenarios!$Q11=1,BaselineCalc!$B$7*(1+Parameters_Public!$C44)^(IF($C42="FY2026",0,IF($C42="FY2027",1,IF($C42="FY2028",2,IF($C42="FY2029",3,IF($C42="FY2030",4,0))))))+ROUND(Scenarios!I11*Scenarios!$F11,0),BaselineCalc!$B$7+ROUND(Scenarios!I11*Scenarios!$F11,0))</f>
        <v/>
      </c>
      <c r="M42">
        <f>IF(Scenarios!$R11=1,BaselineCalc!$B$8*(1+Parameters_Public!$C45)^(IF($C42="FY2026",0,IF($C42="FY2027",1,IF($C42="FY2028",2,IF($C42="FY2029",3,IF($C42="FY2030",4,0))))))+Scenarios!I11-ROUND(Scenarios!I11*Scenarios!$F11,0),BaselineCalc!$B$8+Scenarios!I11-ROUND(Scenarios!I11*Scenarios!$F11,0))</f>
        <v/>
      </c>
      <c r="N42" s="11">
        <f>(L42-D42) + (M42-E42)</f>
        <v/>
      </c>
      <c r="O42" s="11">
        <f>(Parameters_Public!$C$23*(L42-D42)+Parameters_Public!$C$24*(M42-E42))</f>
        <v/>
      </c>
      <c r="P42">
        <f>YearMap!E2</f>
        <v/>
      </c>
      <c r="Q42">
        <f>IF(Scenarios!N11="lease", YearMap!F2, YearMap!G2)</f>
        <v/>
      </c>
      <c r="R42" s="2">
        <f>IF(Scenarios!D11=1, Q42*H42, H42)</f>
        <v/>
      </c>
      <c r="S42" s="2">
        <f>IF(Scenarios!E11=1, Q42*I42, I42)</f>
        <v/>
      </c>
      <c r="T42" s="2">
        <f>IF(C42="FY2026", (Scenarios!D11+Scenarios!E11)*BaselineCalc!$B$22, 0)</f>
        <v/>
      </c>
      <c r="U42" s="2">
        <f>(R42+S42+G42*F42)*J42*(1-K42)</f>
        <v/>
      </c>
      <c r="V42" s="2">
        <f>O42*(G42+P42)</f>
        <v/>
      </c>
      <c r="W42" s="2">
        <f>U42+V42+IF(Parameters_Public!$C$28=1, T42, 0)</f>
        <v/>
      </c>
      <c r="X42" s="2">
        <f>IF(F42+O42&gt;0, W42/(F42+O42),"")</f>
        <v/>
      </c>
      <c r="Y42" s="2">
        <f>INDEX(YearMap!$I$2:$I$6, MATCH(C42, YearMap!$A$2:$A$6, 0))</f>
        <v/>
      </c>
      <c r="Z42" s="2">
        <f>W42 - ((Y42 + IF(Parameters_Public!$C$20=1, Parameters_Public!$C$19, 0))*AC42)</f>
        <v/>
      </c>
      <c r="AA42" s="2">
        <f>IF($AC42&gt;0, $Z42/$AC42, 0)</f>
        <v/>
      </c>
      <c r="AB42">
        <f>MAX(0, (MAX(0, $D42-BaselineCalc!$B$7) + MAX(0, $E42-BaselineCalc!$B$8)))</f>
        <v/>
      </c>
      <c r="AC42" s="11">
        <f>L42+M42-N42+O42</f>
        <v/>
      </c>
      <c r="AD42" s="2">
        <f>( (Y42 + IF(Parameters_Public!$C20=1, INDEX(YearMap!$O$2:$O$6, MATCH(C42, YearMap!$A$2:$A$6, 0)), 0)) * AC42 ) + AC42*INDEX(YearMap!$P$2:$P$6, MATCH(C42, YearMap!$A$2:$A$6, 0)) + AB42*( INDEX(YearMap!$R$2:$R$6, MATCH(C42, YearMap!$A$2:$A$6, 0)) - INDEX(YearMap!$P$2:$P$6, MATCH(C42, YearMap!$A$2:$A$6, 0)) )</f>
        <v/>
      </c>
      <c r="AE42" s="2">
        <f>(W42 - (1-Parameters_Public!$C$43)*$G42*$AB42*$J42*(1-$K42)) + AB42*INDEX(YearMap!$Q$2:$Q$6, MATCH(C42, YearMap!$A$2:$A$6, 0))</f>
        <v/>
      </c>
      <c r="AF42" s="2">
        <f>AD42-AE42</f>
        <v/>
      </c>
      <c r="AG42">
        <f>B42&amp;"|"&amp;C42</f>
        <v/>
      </c>
    </row>
    <row r="43">
      <c r="A43">
        <f>AG43</f>
        <v/>
      </c>
      <c r="B43">
        <f>Scenarios!A11</f>
        <v/>
      </c>
      <c r="C43" t="inlineStr">
        <is>
          <t>FY2027</t>
        </is>
      </c>
      <c r="D43">
        <f>IF(Scenarios!D11=1,0, L43)</f>
        <v/>
      </c>
      <c r="E43">
        <f>IF(Scenarios!E11=1,0, M43)</f>
        <v/>
      </c>
      <c r="F43">
        <f>D43+E43</f>
        <v/>
      </c>
      <c r="G43" s="2">
        <f>YearMap!B3</f>
        <v/>
      </c>
      <c r="H43" s="2">
        <f>YearMap!C3</f>
        <v/>
      </c>
      <c r="I43" s="2">
        <f>YearMap!D3</f>
        <v/>
      </c>
      <c r="J43">
        <f>1-BaselineCalc!$B$5</f>
        <v/>
      </c>
      <c r="K43">
        <f>Scenarios!G11</f>
        <v/>
      </c>
      <c r="L43">
        <f>IF(Scenarios!$Q11=1,BaselineCalc!$B$7*(1+Parameters_Public!$C44)^(IF($C43="FY2026",0,IF($C43="FY2027",1,IF($C43="FY2028",2,IF($C43="FY2029",3,IF($C43="FY2030",4,0))))))+ROUND(Scenarios!J11*Scenarios!$F11,0),BaselineCalc!$B$7+ROUND(Scenarios!J11*Scenarios!$F11,0))</f>
        <v/>
      </c>
      <c r="M43">
        <f>IF(Scenarios!$R11=1,BaselineCalc!$B$8*(1+Parameters_Public!$C45)^(IF($C43="FY2026",0,IF($C43="FY2027",1,IF($C43="FY2028",2,IF($C43="FY2029",3,IF($C43="FY2030",4,0))))))+Scenarios!J11-ROUND(Scenarios!J11*Scenarios!$F11,0),BaselineCalc!$B$8+Scenarios!J11-ROUND(Scenarios!J11*Scenarios!$F11,0))</f>
        <v/>
      </c>
      <c r="N43" s="11">
        <f>(L43-D43) + (M43-E43)</f>
        <v/>
      </c>
      <c r="O43" s="11">
        <f>(Parameters_Public!$C$23*(L43-D43)+Parameters_Public!$C$24*(M43-E43))</f>
        <v/>
      </c>
      <c r="P43">
        <f>YearMap!E3</f>
        <v/>
      </c>
      <c r="Q43">
        <f>IF(Scenarios!N11="lease", YearMap!F3, YearMap!G3)</f>
        <v/>
      </c>
      <c r="R43" s="2">
        <f>IF(Scenarios!D11=1, Q43*H43, H43)</f>
        <v/>
      </c>
      <c r="S43" s="2">
        <f>IF(Scenarios!E11=1, Q43*I43, I43)</f>
        <v/>
      </c>
      <c r="T43" s="2">
        <f>IF(C43="FY2026", (Scenarios!D11+Scenarios!E11)*BaselineCalc!$B$22, 0)</f>
        <v/>
      </c>
      <c r="U43" s="2">
        <f>(R43+S43+G43*F43)*J43*(1-K43)</f>
        <v/>
      </c>
      <c r="V43" s="2">
        <f>O43*(G43+P43)</f>
        <v/>
      </c>
      <c r="W43" s="2">
        <f>U43+V43+IF(Parameters_Public!$C$28=1, T43, 0)</f>
        <v/>
      </c>
      <c r="X43" s="2">
        <f>IF(F43+O43&gt;0, W43/(F43+O43),"")</f>
        <v/>
      </c>
      <c r="Y43" s="2">
        <f>INDEX(YearMap!$I$2:$I$6, MATCH(C43, YearMap!$A$2:$A$6, 0))</f>
        <v/>
      </c>
      <c r="Z43" s="2">
        <f>W43 - ((Y43 + IF(Parameters_Public!$C$20=1, Parameters_Public!$C$19, 0))*AC43)</f>
        <v/>
      </c>
      <c r="AA43" s="2">
        <f>IF($AC43&gt;0, $Z43/$AC43, 0)</f>
        <v/>
      </c>
      <c r="AB43">
        <f>MAX(0, (MAX(0, $D43-BaselineCalc!$B$7) + MAX(0, $E43-BaselineCalc!$B$8)))</f>
        <v/>
      </c>
      <c r="AC43" s="11">
        <f>L43+M43-N43+O43</f>
        <v/>
      </c>
      <c r="AD43" s="2">
        <f>( (Y43 + IF(Parameters_Public!$C20=1, INDEX(YearMap!$O$2:$O$6, MATCH(C43, YearMap!$A$2:$A$6, 0)), 0)) * AC43 ) + AC43*INDEX(YearMap!$P$2:$P$6, MATCH(C43, YearMap!$A$2:$A$6, 0)) + AB43*( INDEX(YearMap!$R$2:$R$6, MATCH(C43, YearMap!$A$2:$A$6, 0)) - INDEX(YearMap!$P$2:$P$6, MATCH(C43, YearMap!$A$2:$A$6, 0)) )</f>
        <v/>
      </c>
      <c r="AE43" s="2">
        <f>(W43 - (1-Parameters_Public!$C$43)*$G43*$AB43*$J43*(1-$K43)) + AB43*INDEX(YearMap!$Q$2:$Q$6, MATCH(C43, YearMap!$A$2:$A$6, 0))</f>
        <v/>
      </c>
      <c r="AF43" s="2">
        <f>AD43-AE43</f>
        <v/>
      </c>
      <c r="AG43">
        <f>B43&amp;"|"&amp;C43</f>
        <v/>
      </c>
    </row>
    <row r="44">
      <c r="A44">
        <f>AG44</f>
        <v/>
      </c>
      <c r="B44">
        <f>Scenarios!A11</f>
        <v/>
      </c>
      <c r="C44" t="inlineStr">
        <is>
          <t>FY2028</t>
        </is>
      </c>
      <c r="D44">
        <f>IF(Scenarios!D11=1,0, L44)</f>
        <v/>
      </c>
      <c r="E44">
        <f>IF(Scenarios!E11=1,0, M44)</f>
        <v/>
      </c>
      <c r="F44">
        <f>D44+E44</f>
        <v/>
      </c>
      <c r="G44" s="2">
        <f>YearMap!B4</f>
        <v/>
      </c>
      <c r="H44" s="2">
        <f>YearMap!C4</f>
        <v/>
      </c>
      <c r="I44" s="2">
        <f>YearMap!D4</f>
        <v/>
      </c>
      <c r="J44">
        <f>1-BaselineCalc!$B$5</f>
        <v/>
      </c>
      <c r="K44">
        <f>Scenarios!G11</f>
        <v/>
      </c>
      <c r="L44">
        <f>IF(Scenarios!$Q11=1,BaselineCalc!$B$7*(1+Parameters_Public!$C44)^(IF($C44="FY2026",0,IF($C44="FY2027",1,IF($C44="FY2028",2,IF($C44="FY2029",3,IF($C44="FY2030",4,0))))))+ROUND(Scenarios!K11*Scenarios!$F11,0),BaselineCalc!$B$7+ROUND(Scenarios!K11*Scenarios!$F11,0))</f>
        <v/>
      </c>
      <c r="M44">
        <f>IF(Scenarios!$R11=1,BaselineCalc!$B$8*(1+Parameters_Public!$C45)^(IF($C44="FY2026",0,IF($C44="FY2027",1,IF($C44="FY2028",2,IF($C44="FY2029",3,IF($C44="FY2030",4,0))))))+Scenarios!K11-ROUND(Scenarios!K11*Scenarios!$F11,0),BaselineCalc!$B$8+Scenarios!K11-ROUND(Scenarios!K11*Scenarios!$F11,0))</f>
        <v/>
      </c>
      <c r="N44" s="11">
        <f>(L44-D44) + (M44-E44)</f>
        <v/>
      </c>
      <c r="O44" s="11">
        <f>(Parameters_Public!$C$23*(L44-D44)+Parameters_Public!$C$24*(M44-E44))</f>
        <v/>
      </c>
      <c r="P44">
        <f>YearMap!E4</f>
        <v/>
      </c>
      <c r="Q44">
        <f>IF(Scenarios!N11="lease", YearMap!F4, YearMap!G4)</f>
        <v/>
      </c>
      <c r="R44" s="2">
        <f>IF(Scenarios!D11=1, Q44*H44, H44)</f>
        <v/>
      </c>
      <c r="S44" s="2">
        <f>IF(Scenarios!E11=1, Q44*I44, I44)</f>
        <v/>
      </c>
      <c r="T44" s="2">
        <f>IF(C44="FY2026", (Scenarios!D11+Scenarios!E11)*BaselineCalc!$B$22, 0)</f>
        <v/>
      </c>
      <c r="U44" s="2">
        <f>(R44+S44+G44*F44)*J44*(1-K44)</f>
        <v/>
      </c>
      <c r="V44" s="2">
        <f>O44*(G44+P44)</f>
        <v/>
      </c>
      <c r="W44" s="2">
        <f>U44+V44+IF(Parameters_Public!$C$28=1, T44, 0)</f>
        <v/>
      </c>
      <c r="X44" s="2">
        <f>IF(F44+O44&gt;0, W44/(F44+O44),"")</f>
        <v/>
      </c>
      <c r="Y44" s="2">
        <f>INDEX(YearMap!$I$2:$I$6, MATCH(C44, YearMap!$A$2:$A$6, 0))</f>
        <v/>
      </c>
      <c r="Z44" s="2">
        <f>W44 - ((Y44 + IF(Parameters_Public!$C$20=1, Parameters_Public!$C$19, 0))*AC44)</f>
        <v/>
      </c>
      <c r="AA44" s="2">
        <f>IF($AC44&gt;0, $Z44/$AC44, 0)</f>
        <v/>
      </c>
      <c r="AB44">
        <f>MAX(0, (MAX(0, $D44-BaselineCalc!$B$7) + MAX(0, $E44-BaselineCalc!$B$8)))</f>
        <v/>
      </c>
      <c r="AC44" s="11">
        <f>L44+M44-N44+O44</f>
        <v/>
      </c>
      <c r="AD44" s="2">
        <f>( (Y44 + IF(Parameters_Public!$C20=1, INDEX(YearMap!$O$2:$O$6, MATCH(C44, YearMap!$A$2:$A$6, 0)), 0)) * AC44 ) + AC44*INDEX(YearMap!$P$2:$P$6, MATCH(C44, YearMap!$A$2:$A$6, 0)) + AB44*( INDEX(YearMap!$R$2:$R$6, MATCH(C44, YearMap!$A$2:$A$6, 0)) - INDEX(YearMap!$P$2:$P$6, MATCH(C44, YearMap!$A$2:$A$6, 0)) )</f>
        <v/>
      </c>
      <c r="AE44" s="2">
        <f>(W44 - (1-Parameters_Public!$C$43)*$G44*$AB44*$J44*(1-$K44)) + AB44*INDEX(YearMap!$Q$2:$Q$6, MATCH(C44, YearMap!$A$2:$A$6, 0))</f>
        <v/>
      </c>
      <c r="AF44" s="2">
        <f>AD44-AE44</f>
        <v/>
      </c>
      <c r="AG44">
        <f>B44&amp;"|"&amp;C44</f>
        <v/>
      </c>
    </row>
    <row r="45">
      <c r="A45">
        <f>AG45</f>
        <v/>
      </c>
      <c r="B45">
        <f>Scenarios!A11</f>
        <v/>
      </c>
      <c r="C45" t="inlineStr">
        <is>
          <t>FY2029</t>
        </is>
      </c>
      <c r="D45">
        <f>IF(Scenarios!D11=1,0, L45)</f>
        <v/>
      </c>
      <c r="E45">
        <f>IF(Scenarios!E11=1,0, M45)</f>
        <v/>
      </c>
      <c r="F45">
        <f>D45+E45</f>
        <v/>
      </c>
      <c r="G45" s="2">
        <f>YearMap!B5</f>
        <v/>
      </c>
      <c r="H45" s="2">
        <f>YearMap!C5</f>
        <v/>
      </c>
      <c r="I45" s="2">
        <f>YearMap!D5</f>
        <v/>
      </c>
      <c r="J45">
        <f>1-BaselineCalc!$B$5</f>
        <v/>
      </c>
      <c r="K45">
        <f>Scenarios!G11</f>
        <v/>
      </c>
      <c r="L45">
        <f>IF(Scenarios!$Q11=1,BaselineCalc!$B$7*(1+Parameters_Public!$C44)^(IF($C45="FY2026",0,IF($C45="FY2027",1,IF($C45="FY2028",2,IF($C45="FY2029",3,IF($C45="FY2030",4,0))))))+ROUND(Scenarios!L11*Scenarios!$F11,0),BaselineCalc!$B$7+ROUND(Scenarios!L11*Scenarios!$F11,0))</f>
        <v/>
      </c>
      <c r="M45">
        <f>IF(Scenarios!$R11=1,BaselineCalc!$B$8*(1+Parameters_Public!$C45)^(IF($C45="FY2026",0,IF($C45="FY2027",1,IF($C45="FY2028",2,IF($C45="FY2029",3,IF($C45="FY2030",4,0))))))+Scenarios!L11-ROUND(Scenarios!L11*Scenarios!$F11,0),BaselineCalc!$B$8+Scenarios!L11-ROUND(Scenarios!L11*Scenarios!$F11,0))</f>
        <v/>
      </c>
      <c r="N45" s="11">
        <f>(L45-D45) + (M45-E45)</f>
        <v/>
      </c>
      <c r="O45" s="11">
        <f>(Parameters_Public!$C$23*(L45-D45)+Parameters_Public!$C$24*(M45-E45))</f>
        <v/>
      </c>
      <c r="P45">
        <f>YearMap!E5</f>
        <v/>
      </c>
      <c r="Q45">
        <f>IF(Scenarios!N11="lease", YearMap!F5, YearMap!G5)</f>
        <v/>
      </c>
      <c r="R45" s="2">
        <f>IF(Scenarios!D11=1, Q45*H45, H45)</f>
        <v/>
      </c>
      <c r="S45" s="2">
        <f>IF(Scenarios!E11=1, Q45*I45, I45)</f>
        <v/>
      </c>
      <c r="T45" s="2">
        <f>IF(C45="FY2026", (Scenarios!D11+Scenarios!E11)*BaselineCalc!$B$22, 0)</f>
        <v/>
      </c>
      <c r="U45" s="2">
        <f>(R45+S45+G45*F45)*J45*(1-K45)</f>
        <v/>
      </c>
      <c r="V45" s="2">
        <f>O45*(G45+P45)</f>
        <v/>
      </c>
      <c r="W45" s="2">
        <f>U45+V45+IF(Parameters_Public!$C$28=1, T45, 0)</f>
        <v/>
      </c>
      <c r="X45" s="2">
        <f>IF(F45+O45&gt;0, W45/(F45+O45),"")</f>
        <v/>
      </c>
      <c r="Y45" s="2">
        <f>INDEX(YearMap!$I$2:$I$6, MATCH(C45, YearMap!$A$2:$A$6, 0))</f>
        <v/>
      </c>
      <c r="Z45" s="2">
        <f>W45 - ((Y45 + IF(Parameters_Public!$C$20=1, Parameters_Public!$C$19, 0))*AC45)</f>
        <v/>
      </c>
      <c r="AA45" s="2">
        <f>IF($AC45&gt;0, $Z45/$AC45, 0)</f>
        <v/>
      </c>
      <c r="AB45">
        <f>MAX(0, (MAX(0, $D45-BaselineCalc!$B$7) + MAX(0, $E45-BaselineCalc!$B$8)))</f>
        <v/>
      </c>
      <c r="AC45" s="11">
        <f>L45+M45-N45+O45</f>
        <v/>
      </c>
      <c r="AD45" s="2">
        <f>( (Y45 + IF(Parameters_Public!$C20=1, INDEX(YearMap!$O$2:$O$6, MATCH(C45, YearMap!$A$2:$A$6, 0)), 0)) * AC45 ) + AC45*INDEX(YearMap!$P$2:$P$6, MATCH(C45, YearMap!$A$2:$A$6, 0)) + AB45*( INDEX(YearMap!$R$2:$R$6, MATCH(C45, YearMap!$A$2:$A$6, 0)) - INDEX(YearMap!$P$2:$P$6, MATCH(C45, YearMap!$A$2:$A$6, 0)) )</f>
        <v/>
      </c>
      <c r="AE45" s="2">
        <f>(W45 - (1-Parameters_Public!$C$43)*$G45*$AB45*$J45*(1-$K45)) + AB45*INDEX(YearMap!$Q$2:$Q$6, MATCH(C45, YearMap!$A$2:$A$6, 0))</f>
        <v/>
      </c>
      <c r="AF45" s="2">
        <f>AD45-AE45</f>
        <v/>
      </c>
      <c r="AG45">
        <f>B45&amp;"|"&amp;C45</f>
        <v/>
      </c>
    </row>
    <row r="46">
      <c r="A46">
        <f>AG46</f>
        <v/>
      </c>
      <c r="B46">
        <f>Scenarios!A11</f>
        <v/>
      </c>
      <c r="C46" t="inlineStr">
        <is>
          <t>FY2030</t>
        </is>
      </c>
      <c r="D46">
        <f>IF(Scenarios!D11=1,0, L46)</f>
        <v/>
      </c>
      <c r="E46">
        <f>IF(Scenarios!E11=1,0, M46)</f>
        <v/>
      </c>
      <c r="F46">
        <f>D46+E46</f>
        <v/>
      </c>
      <c r="G46" s="2">
        <f>YearMap!B6</f>
        <v/>
      </c>
      <c r="H46" s="2">
        <f>YearMap!C6</f>
        <v/>
      </c>
      <c r="I46" s="2">
        <f>YearMap!D6</f>
        <v/>
      </c>
      <c r="J46">
        <f>1-BaselineCalc!$B$5</f>
        <v/>
      </c>
      <c r="K46">
        <f>Scenarios!G11</f>
        <v/>
      </c>
      <c r="L46">
        <f>IF(Scenarios!$Q11=1,BaselineCalc!$B$7*(1+Parameters_Public!$C44)^(IF($C46="FY2026",0,IF($C46="FY2027",1,IF($C46="FY2028",2,IF($C46="FY2029",3,IF($C46="FY2030",4,0))))))+ROUND(Scenarios!M11*Scenarios!$F11,0),BaselineCalc!$B$7+ROUND(Scenarios!M11*Scenarios!$F11,0))</f>
        <v/>
      </c>
      <c r="M46">
        <f>IF(Scenarios!$R11=1,BaselineCalc!$B$8*(1+Parameters_Public!$C45)^(IF($C46="FY2026",0,IF($C46="FY2027",1,IF($C46="FY2028",2,IF($C46="FY2029",3,IF($C46="FY2030",4,0))))))+Scenarios!M11-ROUND(Scenarios!M11*Scenarios!$F11,0),BaselineCalc!$B$8+Scenarios!M11-ROUND(Scenarios!M11*Scenarios!$F11,0))</f>
        <v/>
      </c>
      <c r="N46" s="11">
        <f>(L46-D46) + (M46-E46)</f>
        <v/>
      </c>
      <c r="O46" s="11">
        <f>(Parameters_Public!$C$23*(L46-D46)+Parameters_Public!$C$24*(M46-E46))</f>
        <v/>
      </c>
      <c r="P46">
        <f>YearMap!E6</f>
        <v/>
      </c>
      <c r="Q46">
        <f>IF(Scenarios!N11="lease", YearMap!F6, YearMap!G6)</f>
        <v/>
      </c>
      <c r="R46" s="2">
        <f>IF(Scenarios!D11=1, Q46*H46, H46)</f>
        <v/>
      </c>
      <c r="S46" s="2">
        <f>IF(Scenarios!E11=1, Q46*I46, I46)</f>
        <v/>
      </c>
      <c r="T46" s="2">
        <f>IF(C46="FY2026", (Scenarios!D11+Scenarios!E11)*BaselineCalc!$B$22, 0)</f>
        <v/>
      </c>
      <c r="U46" s="2">
        <f>(R46+S46+G46*F46)*J46*(1-K46)</f>
        <v/>
      </c>
      <c r="V46" s="2">
        <f>O46*(G46+P46)</f>
        <v/>
      </c>
      <c r="W46" s="2">
        <f>U46+V46+IF(Parameters_Public!$C$28=1, T46, 0)</f>
        <v/>
      </c>
      <c r="X46" s="2">
        <f>IF(F46+O46&gt;0, W46/(F46+O46),"")</f>
        <v/>
      </c>
      <c r="Y46" s="2">
        <f>INDEX(YearMap!$I$2:$I$6, MATCH(C46, YearMap!$A$2:$A$6, 0))</f>
        <v/>
      </c>
      <c r="Z46" s="2">
        <f>W46 - ((Y46 + IF(Parameters_Public!$C$20=1, Parameters_Public!$C$19, 0))*AC46)</f>
        <v/>
      </c>
      <c r="AA46" s="2">
        <f>IF($AC46&gt;0, $Z46/$AC46, 0)</f>
        <v/>
      </c>
      <c r="AB46">
        <f>MAX(0, (MAX(0, $D46-BaselineCalc!$B$7) + MAX(0, $E46-BaselineCalc!$B$8)))</f>
        <v/>
      </c>
      <c r="AC46" s="11">
        <f>L46+M46-N46+O46</f>
        <v/>
      </c>
      <c r="AD46" s="2">
        <f>( (Y46 + IF(Parameters_Public!$C20=1, INDEX(YearMap!$O$2:$O$6, MATCH(C46, YearMap!$A$2:$A$6, 0)), 0)) * AC46 ) + AC46*INDEX(YearMap!$P$2:$P$6, MATCH(C46, YearMap!$A$2:$A$6, 0)) + AB46*( INDEX(YearMap!$R$2:$R$6, MATCH(C46, YearMap!$A$2:$A$6, 0)) - INDEX(YearMap!$P$2:$P$6, MATCH(C46, YearMap!$A$2:$A$6, 0)) )</f>
        <v/>
      </c>
      <c r="AE46" s="2">
        <f>(W46 - (1-Parameters_Public!$C$43)*$G46*$AB46*$J46*(1-$K46)) + AB46*INDEX(YearMap!$Q$2:$Q$6, MATCH(C46, YearMap!$A$2:$A$6, 0))</f>
        <v/>
      </c>
      <c r="AF46" s="2">
        <f>AD46-AE46</f>
        <v/>
      </c>
      <c r="AG46">
        <f>B46&amp;"|"&amp;C46</f>
        <v/>
      </c>
    </row>
    <row r="47">
      <c r="A47">
        <f>AG47</f>
        <v/>
      </c>
      <c r="B47">
        <f>Scenarios!A12</f>
        <v/>
      </c>
      <c r="C47" t="inlineStr">
        <is>
          <t>FY2026</t>
        </is>
      </c>
      <c r="D47">
        <f>IF(Scenarios!D12=1,0, L47)</f>
        <v/>
      </c>
      <c r="E47">
        <f>IF(Scenarios!E12=1,0, M47)</f>
        <v/>
      </c>
      <c r="F47">
        <f>D47+E47</f>
        <v/>
      </c>
      <c r="G47" s="2">
        <f>YearMap!B2</f>
        <v/>
      </c>
      <c r="H47" s="2">
        <f>YearMap!C2</f>
        <v/>
      </c>
      <c r="I47" s="2">
        <f>YearMap!D2</f>
        <v/>
      </c>
      <c r="J47">
        <f>1-BaselineCalc!$B$5</f>
        <v/>
      </c>
      <c r="K47">
        <f>Scenarios!G12</f>
        <v/>
      </c>
      <c r="L47">
        <f>IF(Scenarios!$Q12=1,BaselineCalc!$B$7*(1+Parameters_Public!$C44)^(IF($C47="FY2026",0,IF($C47="FY2027",1,IF($C47="FY2028",2,IF($C47="FY2029",3,IF($C47="FY2030",4,0))))))+ROUND(Scenarios!I12*Scenarios!$F12,0),BaselineCalc!$B$7+ROUND(Scenarios!I12*Scenarios!$F12,0))</f>
        <v/>
      </c>
      <c r="M47">
        <f>IF(Scenarios!$R12=1,BaselineCalc!$B$8*(1+Parameters_Public!$C45)^(IF($C47="FY2026",0,IF($C47="FY2027",1,IF($C47="FY2028",2,IF($C47="FY2029",3,IF($C47="FY2030",4,0))))))+Scenarios!I12-ROUND(Scenarios!I12*Scenarios!$F12,0),BaselineCalc!$B$8+Scenarios!I12-ROUND(Scenarios!I12*Scenarios!$F12,0))</f>
        <v/>
      </c>
      <c r="N47" s="11">
        <f>(L47-D47) + (M47-E47)</f>
        <v/>
      </c>
      <c r="O47" s="11">
        <f>(Parameters_Public!$C$23*(L47-D47)+Parameters_Public!$C$24*(M47-E47))</f>
        <v/>
      </c>
      <c r="P47">
        <f>YearMap!E2</f>
        <v/>
      </c>
      <c r="Q47">
        <f>IF(Scenarios!N12="lease", YearMap!F2, YearMap!G2)</f>
        <v/>
      </c>
      <c r="R47" s="2">
        <f>IF(Scenarios!D12=1, Q47*H47, H47)</f>
        <v/>
      </c>
      <c r="S47" s="2">
        <f>IF(Scenarios!E12=1, Q47*I47, I47)</f>
        <v/>
      </c>
      <c r="T47" s="2">
        <f>IF(C47="FY2026", (Scenarios!D12+Scenarios!E12)*BaselineCalc!$B$22, 0)</f>
        <v/>
      </c>
      <c r="U47" s="2">
        <f>(R47+S47+G47*F47)*J47*(1-K47)</f>
        <v/>
      </c>
      <c r="V47" s="2">
        <f>O47*(G47+P47)</f>
        <v/>
      </c>
      <c r="W47" s="2">
        <f>U47+V47+IF(Parameters_Public!$C$28=1, T47, 0)</f>
        <v/>
      </c>
      <c r="X47" s="2">
        <f>IF(F47+O47&gt;0, W47/(F47+O47),"")</f>
        <v/>
      </c>
      <c r="Y47" s="2">
        <f>INDEX(YearMap!$I$2:$I$6, MATCH(C47, YearMap!$A$2:$A$6, 0))</f>
        <v/>
      </c>
      <c r="Z47" s="2">
        <f>W47 - ((Y47 + IF(Parameters_Public!$C$20=1, Parameters_Public!$C$19, 0))*AC47)</f>
        <v/>
      </c>
      <c r="AA47" s="2">
        <f>IF($AC47&gt;0, $Z47/$AC47, 0)</f>
        <v/>
      </c>
      <c r="AB47">
        <f>MAX(0, (MAX(0, $D47-BaselineCalc!$B$7) + MAX(0, $E47-BaselineCalc!$B$8)))</f>
        <v/>
      </c>
      <c r="AC47" s="11">
        <f>L47+M47-N47+O47</f>
        <v/>
      </c>
      <c r="AD47" s="2">
        <f>( (Y47 + IF(Parameters_Public!$C20=1, INDEX(YearMap!$O$2:$O$6, MATCH(C47, YearMap!$A$2:$A$6, 0)), 0)) * AC47 ) + AC47*INDEX(YearMap!$P$2:$P$6, MATCH(C47, YearMap!$A$2:$A$6, 0)) + AB47*( INDEX(YearMap!$R$2:$R$6, MATCH(C47, YearMap!$A$2:$A$6, 0)) - INDEX(YearMap!$P$2:$P$6, MATCH(C47, YearMap!$A$2:$A$6, 0)) )</f>
        <v/>
      </c>
      <c r="AE47" s="2">
        <f>(W47 - (1-Parameters_Public!$C$43)*$G47*$AB47*$J47*(1-$K47)) + AB47*INDEX(YearMap!$Q$2:$Q$6, MATCH(C47, YearMap!$A$2:$A$6, 0))</f>
        <v/>
      </c>
      <c r="AF47" s="2">
        <f>AD47-AE47</f>
        <v/>
      </c>
      <c r="AG47">
        <f>B47&amp;"|"&amp;C47</f>
        <v/>
      </c>
    </row>
    <row r="48">
      <c r="A48">
        <f>AG48</f>
        <v/>
      </c>
      <c r="B48">
        <f>Scenarios!A12</f>
        <v/>
      </c>
      <c r="C48" t="inlineStr">
        <is>
          <t>FY2027</t>
        </is>
      </c>
      <c r="D48">
        <f>IF(Scenarios!D12=1,0, L48)</f>
        <v/>
      </c>
      <c r="E48">
        <f>IF(Scenarios!E12=1,0, M48)</f>
        <v/>
      </c>
      <c r="F48">
        <f>D48+E48</f>
        <v/>
      </c>
      <c r="G48" s="2">
        <f>YearMap!B3</f>
        <v/>
      </c>
      <c r="H48" s="2">
        <f>YearMap!C3</f>
        <v/>
      </c>
      <c r="I48" s="2">
        <f>YearMap!D3</f>
        <v/>
      </c>
      <c r="J48">
        <f>1-BaselineCalc!$B$5</f>
        <v/>
      </c>
      <c r="K48">
        <f>Scenarios!G12</f>
        <v/>
      </c>
      <c r="L48">
        <f>IF(Scenarios!$Q12=1,BaselineCalc!$B$7*(1+Parameters_Public!$C44)^(IF($C48="FY2026",0,IF($C48="FY2027",1,IF($C48="FY2028",2,IF($C48="FY2029",3,IF($C48="FY2030",4,0))))))+ROUND(Scenarios!J12*Scenarios!$F12,0),BaselineCalc!$B$7+ROUND(Scenarios!J12*Scenarios!$F12,0))</f>
        <v/>
      </c>
      <c r="M48">
        <f>IF(Scenarios!$R12=1,BaselineCalc!$B$8*(1+Parameters_Public!$C45)^(IF($C48="FY2026",0,IF($C48="FY2027",1,IF($C48="FY2028",2,IF($C48="FY2029",3,IF($C48="FY2030",4,0))))))+Scenarios!J12-ROUND(Scenarios!J12*Scenarios!$F12,0),BaselineCalc!$B$8+Scenarios!J12-ROUND(Scenarios!J12*Scenarios!$F12,0))</f>
        <v/>
      </c>
      <c r="N48" s="11">
        <f>(L48-D48) + (M48-E48)</f>
        <v/>
      </c>
      <c r="O48" s="11">
        <f>(Parameters_Public!$C$23*(L48-D48)+Parameters_Public!$C$24*(M48-E48))</f>
        <v/>
      </c>
      <c r="P48">
        <f>YearMap!E3</f>
        <v/>
      </c>
      <c r="Q48">
        <f>IF(Scenarios!N12="lease", YearMap!F3, YearMap!G3)</f>
        <v/>
      </c>
      <c r="R48" s="2">
        <f>IF(Scenarios!D12=1, Q48*H48, H48)</f>
        <v/>
      </c>
      <c r="S48" s="2">
        <f>IF(Scenarios!E12=1, Q48*I48, I48)</f>
        <v/>
      </c>
      <c r="T48" s="2">
        <f>IF(C48="FY2026", (Scenarios!D12+Scenarios!E12)*BaselineCalc!$B$22, 0)</f>
        <v/>
      </c>
      <c r="U48" s="2">
        <f>(R48+S48+G48*F48)*J48*(1-K48)</f>
        <v/>
      </c>
      <c r="V48" s="2">
        <f>O48*(G48+P48)</f>
        <v/>
      </c>
      <c r="W48" s="2">
        <f>U48+V48+IF(Parameters_Public!$C$28=1, T48, 0)</f>
        <v/>
      </c>
      <c r="X48" s="2">
        <f>IF(F48+O48&gt;0, W48/(F48+O48),"")</f>
        <v/>
      </c>
      <c r="Y48" s="2">
        <f>INDEX(YearMap!$I$2:$I$6, MATCH(C48, YearMap!$A$2:$A$6, 0))</f>
        <v/>
      </c>
      <c r="Z48" s="2">
        <f>W48 - ((Y48 + IF(Parameters_Public!$C$20=1, Parameters_Public!$C$19, 0))*AC48)</f>
        <v/>
      </c>
      <c r="AA48" s="2">
        <f>IF($AC48&gt;0, $Z48/$AC48, 0)</f>
        <v/>
      </c>
      <c r="AB48">
        <f>MAX(0, (MAX(0, $D48-BaselineCalc!$B$7) + MAX(0, $E48-BaselineCalc!$B$8)))</f>
        <v/>
      </c>
      <c r="AC48" s="11">
        <f>L48+M48-N48+O48</f>
        <v/>
      </c>
      <c r="AD48" s="2">
        <f>( (Y48 + IF(Parameters_Public!$C20=1, INDEX(YearMap!$O$2:$O$6, MATCH(C48, YearMap!$A$2:$A$6, 0)), 0)) * AC48 ) + AC48*INDEX(YearMap!$P$2:$P$6, MATCH(C48, YearMap!$A$2:$A$6, 0)) + AB48*( INDEX(YearMap!$R$2:$R$6, MATCH(C48, YearMap!$A$2:$A$6, 0)) - INDEX(YearMap!$P$2:$P$6, MATCH(C48, YearMap!$A$2:$A$6, 0)) )</f>
        <v/>
      </c>
      <c r="AE48" s="2">
        <f>(W48 - (1-Parameters_Public!$C$43)*$G48*$AB48*$J48*(1-$K48)) + AB48*INDEX(YearMap!$Q$2:$Q$6, MATCH(C48, YearMap!$A$2:$A$6, 0))</f>
        <v/>
      </c>
      <c r="AF48" s="2">
        <f>AD48-AE48</f>
        <v/>
      </c>
      <c r="AG48">
        <f>B48&amp;"|"&amp;C48</f>
        <v/>
      </c>
    </row>
    <row r="49">
      <c r="A49">
        <f>AG49</f>
        <v/>
      </c>
      <c r="B49">
        <f>Scenarios!A12</f>
        <v/>
      </c>
      <c r="C49" t="inlineStr">
        <is>
          <t>FY2028</t>
        </is>
      </c>
      <c r="D49">
        <f>IF(Scenarios!D12=1,0, L49)</f>
        <v/>
      </c>
      <c r="E49">
        <f>IF(Scenarios!E12=1,0, M49)</f>
        <v/>
      </c>
      <c r="F49">
        <f>D49+E49</f>
        <v/>
      </c>
      <c r="G49" s="2">
        <f>YearMap!B4</f>
        <v/>
      </c>
      <c r="H49" s="2">
        <f>YearMap!C4</f>
        <v/>
      </c>
      <c r="I49" s="2">
        <f>YearMap!D4</f>
        <v/>
      </c>
      <c r="J49">
        <f>1-BaselineCalc!$B$5</f>
        <v/>
      </c>
      <c r="K49">
        <f>Scenarios!G12</f>
        <v/>
      </c>
      <c r="L49">
        <f>IF(Scenarios!$Q12=1,BaselineCalc!$B$7*(1+Parameters_Public!$C44)^(IF($C49="FY2026",0,IF($C49="FY2027",1,IF($C49="FY2028",2,IF($C49="FY2029",3,IF($C49="FY2030",4,0))))))+ROUND(Scenarios!K12*Scenarios!$F12,0),BaselineCalc!$B$7+ROUND(Scenarios!K12*Scenarios!$F12,0))</f>
        <v/>
      </c>
      <c r="M49">
        <f>IF(Scenarios!$R12=1,BaselineCalc!$B$8*(1+Parameters_Public!$C45)^(IF($C49="FY2026",0,IF($C49="FY2027",1,IF($C49="FY2028",2,IF($C49="FY2029",3,IF($C49="FY2030",4,0))))))+Scenarios!K12-ROUND(Scenarios!K12*Scenarios!$F12,0),BaselineCalc!$B$8+Scenarios!K12-ROUND(Scenarios!K12*Scenarios!$F12,0))</f>
        <v/>
      </c>
      <c r="N49" s="11">
        <f>(L49-D49) + (M49-E49)</f>
        <v/>
      </c>
      <c r="O49" s="11">
        <f>(Parameters_Public!$C$23*(L49-D49)+Parameters_Public!$C$24*(M49-E49))</f>
        <v/>
      </c>
      <c r="P49">
        <f>YearMap!E4</f>
        <v/>
      </c>
      <c r="Q49">
        <f>IF(Scenarios!N12="lease", YearMap!F4, YearMap!G4)</f>
        <v/>
      </c>
      <c r="R49" s="2">
        <f>IF(Scenarios!D12=1, Q49*H49, H49)</f>
        <v/>
      </c>
      <c r="S49" s="2">
        <f>IF(Scenarios!E12=1, Q49*I49, I49)</f>
        <v/>
      </c>
      <c r="T49" s="2">
        <f>IF(C49="FY2026", (Scenarios!D12+Scenarios!E12)*BaselineCalc!$B$22, 0)</f>
        <v/>
      </c>
      <c r="U49" s="2">
        <f>(R49+S49+G49*F49)*J49*(1-K49)</f>
        <v/>
      </c>
      <c r="V49" s="2">
        <f>O49*(G49+P49)</f>
        <v/>
      </c>
      <c r="W49" s="2">
        <f>U49+V49+IF(Parameters_Public!$C$28=1, T49, 0)</f>
        <v/>
      </c>
      <c r="X49" s="2">
        <f>IF(F49+O49&gt;0, W49/(F49+O49),"")</f>
        <v/>
      </c>
      <c r="Y49" s="2">
        <f>INDEX(YearMap!$I$2:$I$6, MATCH(C49, YearMap!$A$2:$A$6, 0))</f>
        <v/>
      </c>
      <c r="Z49" s="2">
        <f>W49 - ((Y49 + IF(Parameters_Public!$C$20=1, Parameters_Public!$C$19, 0))*AC49)</f>
        <v/>
      </c>
      <c r="AA49" s="2">
        <f>IF($AC49&gt;0, $Z49/$AC49, 0)</f>
        <v/>
      </c>
      <c r="AB49">
        <f>MAX(0, (MAX(0, $D49-BaselineCalc!$B$7) + MAX(0, $E49-BaselineCalc!$B$8)))</f>
        <v/>
      </c>
      <c r="AC49" s="11">
        <f>L49+M49-N49+O49</f>
        <v/>
      </c>
      <c r="AD49" s="2">
        <f>( (Y49 + IF(Parameters_Public!$C20=1, INDEX(YearMap!$O$2:$O$6, MATCH(C49, YearMap!$A$2:$A$6, 0)), 0)) * AC49 ) + AC49*INDEX(YearMap!$P$2:$P$6, MATCH(C49, YearMap!$A$2:$A$6, 0)) + AB49*( INDEX(YearMap!$R$2:$R$6, MATCH(C49, YearMap!$A$2:$A$6, 0)) - INDEX(YearMap!$P$2:$P$6, MATCH(C49, YearMap!$A$2:$A$6, 0)) )</f>
        <v/>
      </c>
      <c r="AE49" s="2">
        <f>(W49 - (1-Parameters_Public!$C$43)*$G49*$AB49*$J49*(1-$K49)) + AB49*INDEX(YearMap!$Q$2:$Q$6, MATCH(C49, YearMap!$A$2:$A$6, 0))</f>
        <v/>
      </c>
      <c r="AF49" s="2">
        <f>AD49-AE49</f>
        <v/>
      </c>
      <c r="AG49">
        <f>B49&amp;"|"&amp;C49</f>
        <v/>
      </c>
    </row>
    <row r="50">
      <c r="A50">
        <f>AG50</f>
        <v/>
      </c>
      <c r="B50">
        <f>Scenarios!A12</f>
        <v/>
      </c>
      <c r="C50" t="inlineStr">
        <is>
          <t>FY2029</t>
        </is>
      </c>
      <c r="D50">
        <f>IF(Scenarios!D12=1,0, L50)</f>
        <v/>
      </c>
      <c r="E50">
        <f>IF(Scenarios!E12=1,0, M50)</f>
        <v/>
      </c>
      <c r="F50">
        <f>D50+E50</f>
        <v/>
      </c>
      <c r="G50" s="2">
        <f>YearMap!B5</f>
        <v/>
      </c>
      <c r="H50" s="2">
        <f>YearMap!C5</f>
        <v/>
      </c>
      <c r="I50" s="2">
        <f>YearMap!D5</f>
        <v/>
      </c>
      <c r="J50">
        <f>1-BaselineCalc!$B$5</f>
        <v/>
      </c>
      <c r="K50">
        <f>Scenarios!G12</f>
        <v/>
      </c>
      <c r="L50">
        <f>IF(Scenarios!$Q12=1,BaselineCalc!$B$7*(1+Parameters_Public!$C44)^(IF($C50="FY2026",0,IF($C50="FY2027",1,IF($C50="FY2028",2,IF($C50="FY2029",3,IF($C50="FY2030",4,0))))))+ROUND(Scenarios!L12*Scenarios!$F12,0),BaselineCalc!$B$7+ROUND(Scenarios!L12*Scenarios!$F12,0))</f>
        <v/>
      </c>
      <c r="M50">
        <f>IF(Scenarios!$R12=1,BaselineCalc!$B$8*(1+Parameters_Public!$C45)^(IF($C50="FY2026",0,IF($C50="FY2027",1,IF($C50="FY2028",2,IF($C50="FY2029",3,IF($C50="FY2030",4,0))))))+Scenarios!L12-ROUND(Scenarios!L12*Scenarios!$F12,0),BaselineCalc!$B$8+Scenarios!L12-ROUND(Scenarios!L12*Scenarios!$F12,0))</f>
        <v/>
      </c>
      <c r="N50" s="11">
        <f>(L50-D50) + (M50-E50)</f>
        <v/>
      </c>
      <c r="O50" s="11">
        <f>(Parameters_Public!$C$23*(L50-D50)+Parameters_Public!$C$24*(M50-E50))</f>
        <v/>
      </c>
      <c r="P50">
        <f>YearMap!E5</f>
        <v/>
      </c>
      <c r="Q50">
        <f>IF(Scenarios!N12="lease", YearMap!F5, YearMap!G5)</f>
        <v/>
      </c>
      <c r="R50" s="2">
        <f>IF(Scenarios!D12=1, Q50*H50, H50)</f>
        <v/>
      </c>
      <c r="S50" s="2">
        <f>IF(Scenarios!E12=1, Q50*I50, I50)</f>
        <v/>
      </c>
      <c r="T50" s="2">
        <f>IF(C50="FY2026", (Scenarios!D12+Scenarios!E12)*BaselineCalc!$B$22, 0)</f>
        <v/>
      </c>
      <c r="U50" s="2">
        <f>(R50+S50+G50*F50)*J50*(1-K50)</f>
        <v/>
      </c>
      <c r="V50" s="2">
        <f>O50*(G50+P50)</f>
        <v/>
      </c>
      <c r="W50" s="2">
        <f>U50+V50+IF(Parameters_Public!$C$28=1, T50, 0)</f>
        <v/>
      </c>
      <c r="X50" s="2">
        <f>IF(F50+O50&gt;0, W50/(F50+O50),"")</f>
        <v/>
      </c>
      <c r="Y50" s="2">
        <f>INDEX(YearMap!$I$2:$I$6, MATCH(C50, YearMap!$A$2:$A$6, 0))</f>
        <v/>
      </c>
      <c r="Z50" s="2">
        <f>W50 - ((Y50 + IF(Parameters_Public!$C$20=1, Parameters_Public!$C$19, 0))*AC50)</f>
        <v/>
      </c>
      <c r="AA50" s="2">
        <f>IF($AC50&gt;0, $Z50/$AC50, 0)</f>
        <v/>
      </c>
      <c r="AB50">
        <f>MAX(0, (MAX(0, $D50-BaselineCalc!$B$7) + MAX(0, $E50-BaselineCalc!$B$8)))</f>
        <v/>
      </c>
      <c r="AC50" s="11">
        <f>L50+M50-N50+O50</f>
        <v/>
      </c>
      <c r="AD50" s="2">
        <f>( (Y50 + IF(Parameters_Public!$C20=1, INDEX(YearMap!$O$2:$O$6, MATCH(C50, YearMap!$A$2:$A$6, 0)), 0)) * AC50 ) + AC50*INDEX(YearMap!$P$2:$P$6, MATCH(C50, YearMap!$A$2:$A$6, 0)) + AB50*( INDEX(YearMap!$R$2:$R$6, MATCH(C50, YearMap!$A$2:$A$6, 0)) - INDEX(YearMap!$P$2:$P$6, MATCH(C50, YearMap!$A$2:$A$6, 0)) )</f>
        <v/>
      </c>
      <c r="AE50" s="2">
        <f>(W50 - (1-Parameters_Public!$C$43)*$G50*$AB50*$J50*(1-$K50)) + AB50*INDEX(YearMap!$Q$2:$Q$6, MATCH(C50, YearMap!$A$2:$A$6, 0))</f>
        <v/>
      </c>
      <c r="AF50" s="2">
        <f>AD50-AE50</f>
        <v/>
      </c>
      <c r="AG50">
        <f>B50&amp;"|"&amp;C50</f>
        <v/>
      </c>
    </row>
    <row r="51">
      <c r="A51">
        <f>AG51</f>
        <v/>
      </c>
      <c r="B51">
        <f>Scenarios!A12</f>
        <v/>
      </c>
      <c r="C51" t="inlineStr">
        <is>
          <t>FY2030</t>
        </is>
      </c>
      <c r="D51">
        <f>IF(Scenarios!D12=1,0, L51)</f>
        <v/>
      </c>
      <c r="E51">
        <f>IF(Scenarios!E12=1,0, M51)</f>
        <v/>
      </c>
      <c r="F51">
        <f>D51+E51</f>
        <v/>
      </c>
      <c r="G51" s="2">
        <f>YearMap!B6</f>
        <v/>
      </c>
      <c r="H51" s="2">
        <f>YearMap!C6</f>
        <v/>
      </c>
      <c r="I51" s="2">
        <f>YearMap!D6</f>
        <v/>
      </c>
      <c r="J51">
        <f>1-BaselineCalc!$B$5</f>
        <v/>
      </c>
      <c r="K51">
        <f>Scenarios!G12</f>
        <v/>
      </c>
      <c r="L51">
        <f>IF(Scenarios!$Q12=1,BaselineCalc!$B$7*(1+Parameters_Public!$C44)^(IF($C51="FY2026",0,IF($C51="FY2027",1,IF($C51="FY2028",2,IF($C51="FY2029",3,IF($C51="FY2030",4,0))))))+ROUND(Scenarios!M12*Scenarios!$F12,0),BaselineCalc!$B$7+ROUND(Scenarios!M12*Scenarios!$F12,0))</f>
        <v/>
      </c>
      <c r="M51">
        <f>IF(Scenarios!$R12=1,BaselineCalc!$B$8*(1+Parameters_Public!$C45)^(IF($C51="FY2026",0,IF($C51="FY2027",1,IF($C51="FY2028",2,IF($C51="FY2029",3,IF($C51="FY2030",4,0))))))+Scenarios!M12-ROUND(Scenarios!M12*Scenarios!$F12,0),BaselineCalc!$B$8+Scenarios!M12-ROUND(Scenarios!M12*Scenarios!$F12,0))</f>
        <v/>
      </c>
      <c r="N51" s="11">
        <f>(L51-D51) + (M51-E51)</f>
        <v/>
      </c>
      <c r="O51" s="11">
        <f>(Parameters_Public!$C$23*(L51-D51)+Parameters_Public!$C$24*(M51-E51))</f>
        <v/>
      </c>
      <c r="P51">
        <f>YearMap!E6</f>
        <v/>
      </c>
      <c r="Q51">
        <f>IF(Scenarios!N12="lease", YearMap!F6, YearMap!G6)</f>
        <v/>
      </c>
      <c r="R51" s="2">
        <f>IF(Scenarios!D12=1, Q51*H51, H51)</f>
        <v/>
      </c>
      <c r="S51" s="2">
        <f>IF(Scenarios!E12=1, Q51*I51, I51)</f>
        <v/>
      </c>
      <c r="T51" s="2">
        <f>IF(C51="FY2026", (Scenarios!D12+Scenarios!E12)*BaselineCalc!$B$22, 0)</f>
        <v/>
      </c>
      <c r="U51" s="2">
        <f>(R51+S51+G51*F51)*J51*(1-K51)</f>
        <v/>
      </c>
      <c r="V51" s="2">
        <f>O51*(G51+P51)</f>
        <v/>
      </c>
      <c r="W51" s="2">
        <f>U51+V51+IF(Parameters_Public!$C$28=1, T51, 0)</f>
        <v/>
      </c>
      <c r="X51" s="2">
        <f>IF(F51+O51&gt;0, W51/(F51+O51),"")</f>
        <v/>
      </c>
      <c r="Y51" s="2">
        <f>INDEX(YearMap!$I$2:$I$6, MATCH(C51, YearMap!$A$2:$A$6, 0))</f>
        <v/>
      </c>
      <c r="Z51" s="2">
        <f>W51 - ((Y51 + IF(Parameters_Public!$C$20=1, Parameters_Public!$C$19, 0))*AC51)</f>
        <v/>
      </c>
      <c r="AA51" s="2">
        <f>IF($AC51&gt;0, $Z51/$AC51, 0)</f>
        <v/>
      </c>
      <c r="AB51">
        <f>MAX(0, (MAX(0, $D51-BaselineCalc!$B$7) + MAX(0, $E51-BaselineCalc!$B$8)))</f>
        <v/>
      </c>
      <c r="AC51" s="11">
        <f>L51+M51-N51+O51</f>
        <v/>
      </c>
      <c r="AD51" s="2">
        <f>( (Y51 + IF(Parameters_Public!$C20=1, INDEX(YearMap!$O$2:$O$6, MATCH(C51, YearMap!$A$2:$A$6, 0)), 0)) * AC51 ) + AC51*INDEX(YearMap!$P$2:$P$6, MATCH(C51, YearMap!$A$2:$A$6, 0)) + AB51*( INDEX(YearMap!$R$2:$R$6, MATCH(C51, YearMap!$A$2:$A$6, 0)) - INDEX(YearMap!$P$2:$P$6, MATCH(C51, YearMap!$A$2:$A$6, 0)) )</f>
        <v/>
      </c>
      <c r="AE51" s="2">
        <f>(W51 - (1-Parameters_Public!$C$43)*$G51*$AB51*$J51*(1-$K51)) + AB51*INDEX(YearMap!$Q$2:$Q$6, MATCH(C51, YearMap!$A$2:$A$6, 0))</f>
        <v/>
      </c>
      <c r="AF51" s="2">
        <f>AD51-AE51</f>
        <v/>
      </c>
      <c r="AG51">
        <f>B51&amp;"|"&amp;C51</f>
        <v/>
      </c>
    </row>
    <row r="52">
      <c r="A52">
        <f>AG52</f>
        <v/>
      </c>
      <c r="B52">
        <f>Scenarios!A13</f>
        <v/>
      </c>
      <c r="C52" t="inlineStr">
        <is>
          <t>FY2026</t>
        </is>
      </c>
      <c r="D52">
        <f>IF(Scenarios!D13=1,0, L52)</f>
        <v/>
      </c>
      <c r="E52">
        <f>IF(Scenarios!E13=1,0, M52)</f>
        <v/>
      </c>
      <c r="F52">
        <f>D52+E52</f>
        <v/>
      </c>
      <c r="G52" s="2">
        <f>YearMap!B2</f>
        <v/>
      </c>
      <c r="H52" s="2">
        <f>YearMap!C2</f>
        <v/>
      </c>
      <c r="I52" s="2">
        <f>YearMap!D2</f>
        <v/>
      </c>
      <c r="J52">
        <f>1-BaselineCalc!$B$5</f>
        <v/>
      </c>
      <c r="K52">
        <f>Scenarios!G13</f>
        <v/>
      </c>
      <c r="L52">
        <f>IF(Scenarios!$Q13=1,BaselineCalc!$B$7*(1+Parameters_Public!$C44)^(IF($C52="FY2026",0,IF($C52="FY2027",1,IF($C52="FY2028",2,IF($C52="FY2029",3,IF($C52="FY2030",4,0))))))+ROUND(Scenarios!I13*Scenarios!$F13,0),BaselineCalc!$B$7+ROUND(Scenarios!I13*Scenarios!$F13,0))</f>
        <v/>
      </c>
      <c r="M52">
        <f>IF(Scenarios!$R13=1,BaselineCalc!$B$8*(1+Parameters_Public!$C45)^(IF($C52="FY2026",0,IF($C52="FY2027",1,IF($C52="FY2028",2,IF($C52="FY2029",3,IF($C52="FY2030",4,0))))))+Scenarios!I13-ROUND(Scenarios!I13*Scenarios!$F13,0),BaselineCalc!$B$8+Scenarios!I13-ROUND(Scenarios!I13*Scenarios!$F13,0))</f>
        <v/>
      </c>
      <c r="N52" s="11">
        <f>(L52-D52) + (M52-E52)</f>
        <v/>
      </c>
      <c r="O52" s="11">
        <f>(Parameters_Public!$C$23*(L52-D52)+Parameters_Public!$C$24*(M52-E52))</f>
        <v/>
      </c>
      <c r="P52">
        <f>YearMap!E2</f>
        <v/>
      </c>
      <c r="Q52">
        <f>IF(Scenarios!N13="lease", YearMap!F2, YearMap!G2)</f>
        <v/>
      </c>
      <c r="R52" s="2">
        <f>IF(Scenarios!D13=1, Q52*H52, H52)</f>
        <v/>
      </c>
      <c r="S52" s="2">
        <f>IF(Scenarios!E13=1, Q52*I52, I52)</f>
        <v/>
      </c>
      <c r="T52" s="2">
        <f>IF(C52="FY2026", (Scenarios!D13+Scenarios!E13)*BaselineCalc!$B$22, 0)</f>
        <v/>
      </c>
      <c r="U52" s="2">
        <f>(R52+S52+G52*F52)*J52*(1-K52)</f>
        <v/>
      </c>
      <c r="V52" s="2">
        <f>O52*(G52+P52)</f>
        <v/>
      </c>
      <c r="W52" s="2">
        <f>U52+V52+IF(Parameters_Public!$C$28=1, T52, 0)</f>
        <v/>
      </c>
      <c r="X52" s="2">
        <f>IF(F52+O52&gt;0, W52/(F52+O52),"")</f>
        <v/>
      </c>
      <c r="Y52" s="2">
        <f>INDEX(YearMap!$I$2:$I$6, MATCH(C52, YearMap!$A$2:$A$6, 0))</f>
        <v/>
      </c>
      <c r="Z52" s="2">
        <f>W52 - ((Y52 + IF(Parameters_Public!$C$20=1, Parameters_Public!$C$19, 0))*AC52)</f>
        <v/>
      </c>
      <c r="AA52" s="2">
        <f>IF($AC52&gt;0, $Z52/$AC52, 0)</f>
        <v/>
      </c>
      <c r="AB52">
        <f>MAX(0, (MAX(0, $D52-BaselineCalc!$B$7) + MAX(0, $E52-BaselineCalc!$B$8)))</f>
        <v/>
      </c>
      <c r="AC52" s="11">
        <f>L52+M52-N52+O52</f>
        <v/>
      </c>
      <c r="AD52" s="2">
        <f>( (Y52 + IF(Parameters_Public!$C20=1, INDEX(YearMap!$O$2:$O$6, MATCH(C52, YearMap!$A$2:$A$6, 0)), 0)) * AC52 ) + AC52*INDEX(YearMap!$P$2:$P$6, MATCH(C52, YearMap!$A$2:$A$6, 0)) + AB52*( INDEX(YearMap!$R$2:$R$6, MATCH(C52, YearMap!$A$2:$A$6, 0)) - INDEX(YearMap!$P$2:$P$6, MATCH(C52, YearMap!$A$2:$A$6, 0)) )</f>
        <v/>
      </c>
      <c r="AE52" s="2">
        <f>(W52 - (1-Parameters_Public!$C$43)*$G52*$AB52*$J52*(1-$K52)) + AB52*INDEX(YearMap!$Q$2:$Q$6, MATCH(C52, YearMap!$A$2:$A$6, 0))</f>
        <v/>
      </c>
      <c r="AF52" s="2">
        <f>AD52-AE52</f>
        <v/>
      </c>
      <c r="AG52">
        <f>B52&amp;"|"&amp;C52</f>
        <v/>
      </c>
    </row>
    <row r="53">
      <c r="A53">
        <f>AG53</f>
        <v/>
      </c>
      <c r="B53">
        <f>Scenarios!A13</f>
        <v/>
      </c>
      <c r="C53" t="inlineStr">
        <is>
          <t>FY2027</t>
        </is>
      </c>
      <c r="D53">
        <f>IF(Scenarios!D13=1,0, L53)</f>
        <v/>
      </c>
      <c r="E53">
        <f>IF(Scenarios!E13=1,0, M53)</f>
        <v/>
      </c>
      <c r="F53">
        <f>D53+E53</f>
        <v/>
      </c>
      <c r="G53" s="2">
        <f>YearMap!B3</f>
        <v/>
      </c>
      <c r="H53" s="2">
        <f>YearMap!C3</f>
        <v/>
      </c>
      <c r="I53" s="2">
        <f>YearMap!D3</f>
        <v/>
      </c>
      <c r="J53">
        <f>1-BaselineCalc!$B$5</f>
        <v/>
      </c>
      <c r="K53">
        <f>Scenarios!G13</f>
        <v/>
      </c>
      <c r="L53">
        <f>IF(Scenarios!$Q13=1,BaselineCalc!$B$7*(1+Parameters_Public!$C44)^(IF($C53="FY2026",0,IF($C53="FY2027",1,IF($C53="FY2028",2,IF($C53="FY2029",3,IF($C53="FY2030",4,0))))))+ROUND(Scenarios!J13*Scenarios!$F13,0),BaselineCalc!$B$7+ROUND(Scenarios!J13*Scenarios!$F13,0))</f>
        <v/>
      </c>
      <c r="M53">
        <f>IF(Scenarios!$R13=1,BaselineCalc!$B$8*(1+Parameters_Public!$C45)^(IF($C53="FY2026",0,IF($C53="FY2027",1,IF($C53="FY2028",2,IF($C53="FY2029",3,IF($C53="FY2030",4,0))))))+Scenarios!J13-ROUND(Scenarios!J13*Scenarios!$F13,0),BaselineCalc!$B$8+Scenarios!J13-ROUND(Scenarios!J13*Scenarios!$F13,0))</f>
        <v/>
      </c>
      <c r="N53" s="11">
        <f>(L53-D53) + (M53-E53)</f>
        <v/>
      </c>
      <c r="O53" s="11">
        <f>(Parameters_Public!$C$23*(L53-D53)+Parameters_Public!$C$24*(M53-E53))</f>
        <v/>
      </c>
      <c r="P53">
        <f>YearMap!E3</f>
        <v/>
      </c>
      <c r="Q53">
        <f>IF(Scenarios!N13="lease", YearMap!F3, YearMap!G3)</f>
        <v/>
      </c>
      <c r="R53" s="2">
        <f>IF(Scenarios!D13=1, Q53*H53, H53)</f>
        <v/>
      </c>
      <c r="S53" s="2">
        <f>IF(Scenarios!E13=1, Q53*I53, I53)</f>
        <v/>
      </c>
      <c r="T53" s="2">
        <f>IF(C53="FY2026", (Scenarios!D13+Scenarios!E13)*BaselineCalc!$B$22, 0)</f>
        <v/>
      </c>
      <c r="U53" s="2">
        <f>(R53+S53+G53*F53)*J53*(1-K53)</f>
        <v/>
      </c>
      <c r="V53" s="2">
        <f>O53*(G53+P53)</f>
        <v/>
      </c>
      <c r="W53" s="2">
        <f>U53+V53+IF(Parameters_Public!$C$28=1, T53, 0)</f>
        <v/>
      </c>
      <c r="X53" s="2">
        <f>IF(F53+O53&gt;0, W53/(F53+O53),"")</f>
        <v/>
      </c>
      <c r="Y53" s="2">
        <f>INDEX(YearMap!$I$2:$I$6, MATCH(C53, YearMap!$A$2:$A$6, 0))</f>
        <v/>
      </c>
      <c r="Z53" s="2">
        <f>W53 - ((Y53 + IF(Parameters_Public!$C$20=1, Parameters_Public!$C$19, 0))*AC53)</f>
        <v/>
      </c>
      <c r="AA53" s="2">
        <f>IF($AC53&gt;0, $Z53/$AC53, 0)</f>
        <v/>
      </c>
      <c r="AB53">
        <f>MAX(0, (MAX(0, $D53-BaselineCalc!$B$7) + MAX(0, $E53-BaselineCalc!$B$8)))</f>
        <v/>
      </c>
      <c r="AC53" s="11">
        <f>L53+M53-N53+O53</f>
        <v/>
      </c>
      <c r="AD53" s="2">
        <f>( (Y53 + IF(Parameters_Public!$C20=1, INDEX(YearMap!$O$2:$O$6, MATCH(C53, YearMap!$A$2:$A$6, 0)), 0)) * AC53 ) + AC53*INDEX(YearMap!$P$2:$P$6, MATCH(C53, YearMap!$A$2:$A$6, 0)) + AB53*( INDEX(YearMap!$R$2:$R$6, MATCH(C53, YearMap!$A$2:$A$6, 0)) - INDEX(YearMap!$P$2:$P$6, MATCH(C53, YearMap!$A$2:$A$6, 0)) )</f>
        <v/>
      </c>
      <c r="AE53" s="2">
        <f>(W53 - (1-Parameters_Public!$C$43)*$G53*$AB53*$J53*(1-$K53)) + AB53*INDEX(YearMap!$Q$2:$Q$6, MATCH(C53, YearMap!$A$2:$A$6, 0))</f>
        <v/>
      </c>
      <c r="AF53" s="2">
        <f>AD53-AE53</f>
        <v/>
      </c>
      <c r="AG53">
        <f>B53&amp;"|"&amp;C53</f>
        <v/>
      </c>
    </row>
    <row r="54">
      <c r="A54">
        <f>AG54</f>
        <v/>
      </c>
      <c r="B54">
        <f>Scenarios!A13</f>
        <v/>
      </c>
      <c r="C54" t="inlineStr">
        <is>
          <t>FY2028</t>
        </is>
      </c>
      <c r="D54">
        <f>IF(Scenarios!D13=1,0, L54)</f>
        <v/>
      </c>
      <c r="E54">
        <f>IF(Scenarios!E13=1,0, M54)</f>
        <v/>
      </c>
      <c r="F54">
        <f>D54+E54</f>
        <v/>
      </c>
      <c r="G54" s="2">
        <f>YearMap!B4</f>
        <v/>
      </c>
      <c r="H54" s="2">
        <f>YearMap!C4</f>
        <v/>
      </c>
      <c r="I54" s="2">
        <f>YearMap!D4</f>
        <v/>
      </c>
      <c r="J54">
        <f>1-BaselineCalc!$B$5</f>
        <v/>
      </c>
      <c r="K54">
        <f>Scenarios!G13</f>
        <v/>
      </c>
      <c r="L54">
        <f>IF(Scenarios!$Q13=1,BaselineCalc!$B$7*(1+Parameters_Public!$C44)^(IF($C54="FY2026",0,IF($C54="FY2027",1,IF($C54="FY2028",2,IF($C54="FY2029",3,IF($C54="FY2030",4,0))))))+ROUND(Scenarios!K13*Scenarios!$F13,0),BaselineCalc!$B$7+ROUND(Scenarios!K13*Scenarios!$F13,0))</f>
        <v/>
      </c>
      <c r="M54">
        <f>IF(Scenarios!$R13=1,BaselineCalc!$B$8*(1+Parameters_Public!$C45)^(IF($C54="FY2026",0,IF($C54="FY2027",1,IF($C54="FY2028",2,IF($C54="FY2029",3,IF($C54="FY2030",4,0))))))+Scenarios!K13-ROUND(Scenarios!K13*Scenarios!$F13,0),BaselineCalc!$B$8+Scenarios!K13-ROUND(Scenarios!K13*Scenarios!$F13,0))</f>
        <v/>
      </c>
      <c r="N54" s="11">
        <f>(L54-D54) + (M54-E54)</f>
        <v/>
      </c>
      <c r="O54" s="11">
        <f>(Parameters_Public!$C$23*(L54-D54)+Parameters_Public!$C$24*(M54-E54))</f>
        <v/>
      </c>
      <c r="P54">
        <f>YearMap!E4</f>
        <v/>
      </c>
      <c r="Q54">
        <f>IF(Scenarios!N13="lease", YearMap!F4, YearMap!G4)</f>
        <v/>
      </c>
      <c r="R54" s="2">
        <f>IF(Scenarios!D13=1, Q54*H54, H54)</f>
        <v/>
      </c>
      <c r="S54" s="2">
        <f>IF(Scenarios!E13=1, Q54*I54, I54)</f>
        <v/>
      </c>
      <c r="T54" s="2">
        <f>IF(C54="FY2026", (Scenarios!D13+Scenarios!E13)*BaselineCalc!$B$22, 0)</f>
        <v/>
      </c>
      <c r="U54" s="2">
        <f>(R54+S54+G54*F54)*J54*(1-K54)</f>
        <v/>
      </c>
      <c r="V54" s="2">
        <f>O54*(G54+P54)</f>
        <v/>
      </c>
      <c r="W54" s="2">
        <f>U54+V54+IF(Parameters_Public!$C$28=1, T54, 0)</f>
        <v/>
      </c>
      <c r="X54" s="2">
        <f>IF(F54+O54&gt;0, W54/(F54+O54),"")</f>
        <v/>
      </c>
      <c r="Y54" s="2">
        <f>INDEX(YearMap!$I$2:$I$6, MATCH(C54, YearMap!$A$2:$A$6, 0))</f>
        <v/>
      </c>
      <c r="Z54" s="2">
        <f>W54 - ((Y54 + IF(Parameters_Public!$C$20=1, Parameters_Public!$C$19, 0))*AC54)</f>
        <v/>
      </c>
      <c r="AA54" s="2">
        <f>IF($AC54&gt;0, $Z54/$AC54, 0)</f>
        <v/>
      </c>
      <c r="AB54">
        <f>MAX(0, (MAX(0, $D54-BaselineCalc!$B$7) + MAX(0, $E54-BaselineCalc!$B$8)))</f>
        <v/>
      </c>
      <c r="AC54" s="11">
        <f>L54+M54-N54+O54</f>
        <v/>
      </c>
      <c r="AD54" s="2">
        <f>( (Y54 + IF(Parameters_Public!$C20=1, INDEX(YearMap!$O$2:$O$6, MATCH(C54, YearMap!$A$2:$A$6, 0)), 0)) * AC54 ) + AC54*INDEX(YearMap!$P$2:$P$6, MATCH(C54, YearMap!$A$2:$A$6, 0)) + AB54*( INDEX(YearMap!$R$2:$R$6, MATCH(C54, YearMap!$A$2:$A$6, 0)) - INDEX(YearMap!$P$2:$P$6, MATCH(C54, YearMap!$A$2:$A$6, 0)) )</f>
        <v/>
      </c>
      <c r="AE54" s="2">
        <f>(W54 - (1-Parameters_Public!$C$43)*$G54*$AB54*$J54*(1-$K54)) + AB54*INDEX(YearMap!$Q$2:$Q$6, MATCH(C54, YearMap!$A$2:$A$6, 0))</f>
        <v/>
      </c>
      <c r="AF54" s="2">
        <f>AD54-AE54</f>
        <v/>
      </c>
      <c r="AG54">
        <f>B54&amp;"|"&amp;C54</f>
        <v/>
      </c>
    </row>
    <row r="55">
      <c r="A55">
        <f>AG55</f>
        <v/>
      </c>
      <c r="B55">
        <f>Scenarios!A13</f>
        <v/>
      </c>
      <c r="C55" t="inlineStr">
        <is>
          <t>FY2029</t>
        </is>
      </c>
      <c r="D55">
        <f>IF(Scenarios!D13=1,0, L55)</f>
        <v/>
      </c>
      <c r="E55">
        <f>IF(Scenarios!E13=1,0, M55)</f>
        <v/>
      </c>
      <c r="F55">
        <f>D55+E55</f>
        <v/>
      </c>
      <c r="G55" s="2">
        <f>YearMap!B5</f>
        <v/>
      </c>
      <c r="H55" s="2">
        <f>YearMap!C5</f>
        <v/>
      </c>
      <c r="I55" s="2">
        <f>YearMap!D5</f>
        <v/>
      </c>
      <c r="J55">
        <f>1-BaselineCalc!$B$5</f>
        <v/>
      </c>
      <c r="K55">
        <f>Scenarios!G13</f>
        <v/>
      </c>
      <c r="L55">
        <f>IF(Scenarios!$Q13=1,BaselineCalc!$B$7*(1+Parameters_Public!$C44)^(IF($C55="FY2026",0,IF($C55="FY2027",1,IF($C55="FY2028",2,IF($C55="FY2029",3,IF($C55="FY2030",4,0))))))+ROUND(Scenarios!L13*Scenarios!$F13,0),BaselineCalc!$B$7+ROUND(Scenarios!L13*Scenarios!$F13,0))</f>
        <v/>
      </c>
      <c r="M55">
        <f>IF(Scenarios!$R13=1,BaselineCalc!$B$8*(1+Parameters_Public!$C45)^(IF($C55="FY2026",0,IF($C55="FY2027",1,IF($C55="FY2028",2,IF($C55="FY2029",3,IF($C55="FY2030",4,0))))))+Scenarios!L13-ROUND(Scenarios!L13*Scenarios!$F13,0),BaselineCalc!$B$8+Scenarios!L13-ROUND(Scenarios!L13*Scenarios!$F13,0))</f>
        <v/>
      </c>
      <c r="N55" s="11">
        <f>(L55-D55) + (M55-E55)</f>
        <v/>
      </c>
      <c r="O55" s="11">
        <f>(Parameters_Public!$C$23*(L55-D55)+Parameters_Public!$C$24*(M55-E55))</f>
        <v/>
      </c>
      <c r="P55">
        <f>YearMap!E5</f>
        <v/>
      </c>
      <c r="Q55">
        <f>IF(Scenarios!N13="lease", YearMap!F5, YearMap!G5)</f>
        <v/>
      </c>
      <c r="R55" s="2">
        <f>IF(Scenarios!D13=1, Q55*H55, H55)</f>
        <v/>
      </c>
      <c r="S55" s="2">
        <f>IF(Scenarios!E13=1, Q55*I55, I55)</f>
        <v/>
      </c>
      <c r="T55" s="2">
        <f>IF(C55="FY2026", (Scenarios!D13+Scenarios!E13)*BaselineCalc!$B$22, 0)</f>
        <v/>
      </c>
      <c r="U55" s="2">
        <f>(R55+S55+G55*F55)*J55*(1-K55)</f>
        <v/>
      </c>
      <c r="V55" s="2">
        <f>O55*(G55+P55)</f>
        <v/>
      </c>
      <c r="W55" s="2">
        <f>U55+V55+IF(Parameters_Public!$C$28=1, T55, 0)</f>
        <v/>
      </c>
      <c r="X55" s="2">
        <f>IF(F55+O55&gt;0, W55/(F55+O55),"")</f>
        <v/>
      </c>
      <c r="Y55" s="2">
        <f>INDEX(YearMap!$I$2:$I$6, MATCH(C55, YearMap!$A$2:$A$6, 0))</f>
        <v/>
      </c>
      <c r="Z55" s="2">
        <f>W55 - ((Y55 + IF(Parameters_Public!$C$20=1, Parameters_Public!$C$19, 0))*AC55)</f>
        <v/>
      </c>
      <c r="AA55" s="2">
        <f>IF($AC55&gt;0, $Z55/$AC55, 0)</f>
        <v/>
      </c>
      <c r="AB55">
        <f>MAX(0, (MAX(0, $D55-BaselineCalc!$B$7) + MAX(0, $E55-BaselineCalc!$B$8)))</f>
        <v/>
      </c>
      <c r="AC55" s="11">
        <f>L55+M55-N55+O55</f>
        <v/>
      </c>
      <c r="AD55" s="2">
        <f>( (Y55 + IF(Parameters_Public!$C20=1, INDEX(YearMap!$O$2:$O$6, MATCH(C55, YearMap!$A$2:$A$6, 0)), 0)) * AC55 ) + AC55*INDEX(YearMap!$P$2:$P$6, MATCH(C55, YearMap!$A$2:$A$6, 0)) + AB55*( INDEX(YearMap!$R$2:$R$6, MATCH(C55, YearMap!$A$2:$A$6, 0)) - INDEX(YearMap!$P$2:$P$6, MATCH(C55, YearMap!$A$2:$A$6, 0)) )</f>
        <v/>
      </c>
      <c r="AE55" s="2">
        <f>(W55 - (1-Parameters_Public!$C$43)*$G55*$AB55*$J55*(1-$K55)) + AB55*INDEX(YearMap!$Q$2:$Q$6, MATCH(C55, YearMap!$A$2:$A$6, 0))</f>
        <v/>
      </c>
      <c r="AF55" s="2">
        <f>AD55-AE55</f>
        <v/>
      </c>
      <c r="AG55">
        <f>B55&amp;"|"&amp;C55</f>
        <v/>
      </c>
    </row>
    <row r="56">
      <c r="A56">
        <f>AG56</f>
        <v/>
      </c>
      <c r="B56">
        <f>Scenarios!A13</f>
        <v/>
      </c>
      <c r="C56" t="inlineStr">
        <is>
          <t>FY2030</t>
        </is>
      </c>
      <c r="D56">
        <f>IF(Scenarios!D13=1,0, L56)</f>
        <v/>
      </c>
      <c r="E56">
        <f>IF(Scenarios!E13=1,0, M56)</f>
        <v/>
      </c>
      <c r="F56">
        <f>D56+E56</f>
        <v/>
      </c>
      <c r="G56" s="2">
        <f>YearMap!B6</f>
        <v/>
      </c>
      <c r="H56" s="2">
        <f>YearMap!C6</f>
        <v/>
      </c>
      <c r="I56" s="2">
        <f>YearMap!D6</f>
        <v/>
      </c>
      <c r="J56">
        <f>1-BaselineCalc!$B$5</f>
        <v/>
      </c>
      <c r="K56">
        <f>Scenarios!G13</f>
        <v/>
      </c>
      <c r="L56">
        <f>IF(Scenarios!$Q13=1,BaselineCalc!$B$7*(1+Parameters_Public!$C44)^(IF($C56="FY2026",0,IF($C56="FY2027",1,IF($C56="FY2028",2,IF($C56="FY2029",3,IF($C56="FY2030",4,0))))))+ROUND(Scenarios!M13*Scenarios!$F13,0),BaselineCalc!$B$7+ROUND(Scenarios!M13*Scenarios!$F13,0))</f>
        <v/>
      </c>
      <c r="M56">
        <f>IF(Scenarios!$R13=1,BaselineCalc!$B$8*(1+Parameters_Public!$C45)^(IF($C56="FY2026",0,IF($C56="FY2027",1,IF($C56="FY2028",2,IF($C56="FY2029",3,IF($C56="FY2030",4,0))))))+Scenarios!M13-ROUND(Scenarios!M13*Scenarios!$F13,0),BaselineCalc!$B$8+Scenarios!M13-ROUND(Scenarios!M13*Scenarios!$F13,0))</f>
        <v/>
      </c>
      <c r="N56" s="11">
        <f>(L56-D56) + (M56-E56)</f>
        <v/>
      </c>
      <c r="O56" s="11">
        <f>(Parameters_Public!$C$23*(L56-D56)+Parameters_Public!$C$24*(M56-E56))</f>
        <v/>
      </c>
      <c r="P56">
        <f>YearMap!E6</f>
        <v/>
      </c>
      <c r="Q56">
        <f>IF(Scenarios!N13="lease", YearMap!F6, YearMap!G6)</f>
        <v/>
      </c>
      <c r="R56" s="2">
        <f>IF(Scenarios!D13=1, Q56*H56, H56)</f>
        <v/>
      </c>
      <c r="S56" s="2">
        <f>IF(Scenarios!E13=1, Q56*I56, I56)</f>
        <v/>
      </c>
      <c r="T56" s="2">
        <f>IF(C56="FY2026", (Scenarios!D13+Scenarios!E13)*BaselineCalc!$B$22, 0)</f>
        <v/>
      </c>
      <c r="U56" s="2">
        <f>(R56+S56+G56*F56)*J56*(1-K56)</f>
        <v/>
      </c>
      <c r="V56" s="2">
        <f>O56*(G56+P56)</f>
        <v/>
      </c>
      <c r="W56" s="2">
        <f>U56+V56+IF(Parameters_Public!$C$28=1, T56, 0)</f>
        <v/>
      </c>
      <c r="X56" s="2">
        <f>IF(F56+O56&gt;0, W56/(F56+O56),"")</f>
        <v/>
      </c>
      <c r="Y56" s="2">
        <f>INDEX(YearMap!$I$2:$I$6, MATCH(C56, YearMap!$A$2:$A$6, 0))</f>
        <v/>
      </c>
      <c r="Z56" s="2">
        <f>W56 - ((Y56 + IF(Parameters_Public!$C$20=1, Parameters_Public!$C$19, 0))*AC56)</f>
        <v/>
      </c>
      <c r="AA56" s="2">
        <f>IF($AC56&gt;0, $Z56/$AC56, 0)</f>
        <v/>
      </c>
      <c r="AB56">
        <f>MAX(0, (MAX(0, $D56-BaselineCalc!$B$7) + MAX(0, $E56-BaselineCalc!$B$8)))</f>
        <v/>
      </c>
      <c r="AC56" s="11">
        <f>L56+M56-N56+O56</f>
        <v/>
      </c>
      <c r="AD56" s="2">
        <f>( (Y56 + IF(Parameters_Public!$C20=1, INDEX(YearMap!$O$2:$O$6, MATCH(C56, YearMap!$A$2:$A$6, 0)), 0)) * AC56 ) + AC56*INDEX(YearMap!$P$2:$P$6, MATCH(C56, YearMap!$A$2:$A$6, 0)) + AB56*( INDEX(YearMap!$R$2:$R$6, MATCH(C56, YearMap!$A$2:$A$6, 0)) - INDEX(YearMap!$P$2:$P$6, MATCH(C56, YearMap!$A$2:$A$6, 0)) )</f>
        <v/>
      </c>
      <c r="AE56" s="2">
        <f>(W56 - (1-Parameters_Public!$C$43)*$G56*$AB56*$J56*(1-$K56)) + AB56*INDEX(YearMap!$Q$2:$Q$6, MATCH(C56, YearMap!$A$2:$A$6, 0))</f>
        <v/>
      </c>
      <c r="AF56" s="2">
        <f>AD56-AE56</f>
        <v/>
      </c>
      <c r="AG56">
        <f>B56&amp;"|"&amp;C56</f>
        <v/>
      </c>
    </row>
    <row r="57">
      <c r="A57">
        <f>AG57</f>
        <v/>
      </c>
      <c r="B57">
        <f>Scenarios!A14</f>
        <v/>
      </c>
      <c r="C57" t="inlineStr">
        <is>
          <t>FY2026</t>
        </is>
      </c>
      <c r="D57">
        <f>IF(Scenarios!D14=1,0, L57)</f>
        <v/>
      </c>
      <c r="E57">
        <f>IF(Scenarios!E14=1,0, M57)</f>
        <v/>
      </c>
      <c r="F57">
        <f>D57+E57</f>
        <v/>
      </c>
      <c r="G57" s="2">
        <f>YearMap!B2</f>
        <v/>
      </c>
      <c r="H57" s="2">
        <f>YearMap!C2</f>
        <v/>
      </c>
      <c r="I57" s="2">
        <f>YearMap!D2</f>
        <v/>
      </c>
      <c r="J57">
        <f>1-BaselineCalc!$B$5</f>
        <v/>
      </c>
      <c r="K57">
        <f>Scenarios!G14</f>
        <v/>
      </c>
      <c r="L57">
        <f>IF(Scenarios!$Q14=1,BaselineCalc!$B$7*(1+Parameters_Public!$C44)^(IF($C57="FY2026",0,IF($C57="FY2027",1,IF($C57="FY2028",2,IF($C57="FY2029",3,IF($C57="FY2030",4,0))))))+ROUND(Scenarios!I14*Scenarios!$F14,0),BaselineCalc!$B$7+ROUND(Scenarios!I14*Scenarios!$F14,0))</f>
        <v/>
      </c>
      <c r="M57">
        <f>IF(Scenarios!$R14=1,BaselineCalc!$B$8*(1+Parameters_Public!$C45)^(IF($C57="FY2026",0,IF($C57="FY2027",1,IF($C57="FY2028",2,IF($C57="FY2029",3,IF($C57="FY2030",4,0))))))+Scenarios!I14-ROUND(Scenarios!I14*Scenarios!$F14,0),BaselineCalc!$B$8+Scenarios!I14-ROUND(Scenarios!I14*Scenarios!$F14,0))</f>
        <v/>
      </c>
      <c r="N57" s="11">
        <f>(L57-D57) + (M57-E57)</f>
        <v/>
      </c>
      <c r="O57" s="11">
        <f>(Parameters_Public!$C$23*(L57-D57)+Parameters_Public!$C$24*(M57-E57))</f>
        <v/>
      </c>
      <c r="P57">
        <f>YearMap!E2</f>
        <v/>
      </c>
      <c r="Q57">
        <f>IF(Scenarios!N14="lease", YearMap!F2, YearMap!G2)</f>
        <v/>
      </c>
      <c r="R57" s="2">
        <f>IF(Scenarios!D14=1, Q57*H57, H57)</f>
        <v/>
      </c>
      <c r="S57" s="2">
        <f>IF(Scenarios!E14=1, Q57*I57, I57)</f>
        <v/>
      </c>
      <c r="T57" s="2">
        <f>IF(C57="FY2026", (Scenarios!D14+Scenarios!E14)*BaselineCalc!$B$22, 0)</f>
        <v/>
      </c>
      <c r="U57" s="2">
        <f>(R57+S57+G57*F57)*J57*(1-K57)</f>
        <v/>
      </c>
      <c r="V57" s="2">
        <f>O57*(G57+P57)</f>
        <v/>
      </c>
      <c r="W57" s="2">
        <f>U57+V57+IF(Parameters_Public!$C$28=1, T57, 0)</f>
        <v/>
      </c>
      <c r="X57" s="2">
        <f>IF(F57+O57&gt;0, W57/(F57+O57),"")</f>
        <v/>
      </c>
      <c r="Y57" s="2">
        <f>INDEX(YearMap!$I$2:$I$6, MATCH(C57, YearMap!$A$2:$A$6, 0))</f>
        <v/>
      </c>
      <c r="Z57" s="2">
        <f>W57 - ((Y57 + IF(Parameters_Public!$C$20=1, Parameters_Public!$C$19, 0))*AC57)</f>
        <v/>
      </c>
      <c r="AA57" s="2">
        <f>IF($AC57&gt;0, $Z57/$AC57, 0)</f>
        <v/>
      </c>
      <c r="AB57">
        <f>MAX(0, (MAX(0, $D57-BaselineCalc!$B$7) + MAX(0, $E57-BaselineCalc!$B$8)))</f>
        <v/>
      </c>
      <c r="AC57" s="11">
        <f>L57+M57-N57+O57</f>
        <v/>
      </c>
      <c r="AD57" s="2">
        <f>( (Y57 + IF(Parameters_Public!$C20=1, INDEX(YearMap!$O$2:$O$6, MATCH(C57, YearMap!$A$2:$A$6, 0)), 0)) * AC57 ) + AC57*INDEX(YearMap!$P$2:$P$6, MATCH(C57, YearMap!$A$2:$A$6, 0)) + AB57*( INDEX(YearMap!$R$2:$R$6, MATCH(C57, YearMap!$A$2:$A$6, 0)) - INDEX(YearMap!$P$2:$P$6, MATCH(C57, YearMap!$A$2:$A$6, 0)) )</f>
        <v/>
      </c>
      <c r="AE57" s="2">
        <f>(W57 - (1-Parameters_Public!$C$43)*$G57*$AB57*$J57*(1-$K57)) + AB57*INDEX(YearMap!$Q$2:$Q$6, MATCH(C57, YearMap!$A$2:$A$6, 0))</f>
        <v/>
      </c>
      <c r="AF57" s="2">
        <f>AD57-AE57</f>
        <v/>
      </c>
      <c r="AG57">
        <f>B57&amp;"|"&amp;C57</f>
        <v/>
      </c>
    </row>
    <row r="58">
      <c r="A58">
        <f>AG58</f>
        <v/>
      </c>
      <c r="B58">
        <f>Scenarios!A14</f>
        <v/>
      </c>
      <c r="C58" t="inlineStr">
        <is>
          <t>FY2027</t>
        </is>
      </c>
      <c r="D58">
        <f>IF(Scenarios!D14=1,0, L58)</f>
        <v/>
      </c>
      <c r="E58">
        <f>IF(Scenarios!E14=1,0, M58)</f>
        <v/>
      </c>
      <c r="F58">
        <f>D58+E58</f>
        <v/>
      </c>
      <c r="G58" s="2">
        <f>YearMap!B3</f>
        <v/>
      </c>
      <c r="H58" s="2">
        <f>YearMap!C3</f>
        <v/>
      </c>
      <c r="I58" s="2">
        <f>YearMap!D3</f>
        <v/>
      </c>
      <c r="J58">
        <f>1-BaselineCalc!$B$5</f>
        <v/>
      </c>
      <c r="K58">
        <f>Scenarios!G14</f>
        <v/>
      </c>
      <c r="L58">
        <f>IF(Scenarios!$Q14=1,BaselineCalc!$B$7*(1+Parameters_Public!$C44)^(IF($C58="FY2026",0,IF($C58="FY2027",1,IF($C58="FY2028",2,IF($C58="FY2029",3,IF($C58="FY2030",4,0))))))+ROUND(Scenarios!J14*Scenarios!$F14,0),BaselineCalc!$B$7+ROUND(Scenarios!J14*Scenarios!$F14,0))</f>
        <v/>
      </c>
      <c r="M58">
        <f>IF(Scenarios!$R14=1,BaselineCalc!$B$8*(1+Parameters_Public!$C45)^(IF($C58="FY2026",0,IF($C58="FY2027",1,IF($C58="FY2028",2,IF($C58="FY2029",3,IF($C58="FY2030",4,0))))))+Scenarios!J14-ROUND(Scenarios!J14*Scenarios!$F14,0),BaselineCalc!$B$8+Scenarios!J14-ROUND(Scenarios!J14*Scenarios!$F14,0))</f>
        <v/>
      </c>
      <c r="N58" s="11">
        <f>(L58-D58) + (M58-E58)</f>
        <v/>
      </c>
      <c r="O58" s="11">
        <f>(Parameters_Public!$C$23*(L58-D58)+Parameters_Public!$C$24*(M58-E58))</f>
        <v/>
      </c>
      <c r="P58">
        <f>YearMap!E3</f>
        <v/>
      </c>
      <c r="Q58">
        <f>IF(Scenarios!N14="lease", YearMap!F3, YearMap!G3)</f>
        <v/>
      </c>
      <c r="R58" s="2">
        <f>IF(Scenarios!D14=1, Q58*H58, H58)</f>
        <v/>
      </c>
      <c r="S58" s="2">
        <f>IF(Scenarios!E14=1, Q58*I58, I58)</f>
        <v/>
      </c>
      <c r="T58" s="2">
        <f>IF(C58="FY2026", (Scenarios!D14+Scenarios!E14)*BaselineCalc!$B$22, 0)</f>
        <v/>
      </c>
      <c r="U58" s="2">
        <f>(R58+S58+G58*F58)*J58*(1-K58)</f>
        <v/>
      </c>
      <c r="V58" s="2">
        <f>O58*(G58+P58)</f>
        <v/>
      </c>
      <c r="W58" s="2">
        <f>U58+V58+IF(Parameters_Public!$C$28=1, T58, 0)</f>
        <v/>
      </c>
      <c r="X58" s="2">
        <f>IF(F58+O58&gt;0, W58/(F58+O58),"")</f>
        <v/>
      </c>
      <c r="Y58" s="2">
        <f>INDEX(YearMap!$I$2:$I$6, MATCH(C58, YearMap!$A$2:$A$6, 0))</f>
        <v/>
      </c>
      <c r="Z58" s="2">
        <f>W58 - ((Y58 + IF(Parameters_Public!$C$20=1, Parameters_Public!$C$19, 0))*AC58)</f>
        <v/>
      </c>
      <c r="AA58" s="2">
        <f>IF($AC58&gt;0, $Z58/$AC58, 0)</f>
        <v/>
      </c>
      <c r="AB58">
        <f>MAX(0, (MAX(0, $D58-BaselineCalc!$B$7) + MAX(0, $E58-BaselineCalc!$B$8)))</f>
        <v/>
      </c>
      <c r="AC58" s="11">
        <f>L58+M58-N58+O58</f>
        <v/>
      </c>
      <c r="AD58" s="2">
        <f>( (Y58 + IF(Parameters_Public!$C20=1, INDEX(YearMap!$O$2:$O$6, MATCH(C58, YearMap!$A$2:$A$6, 0)), 0)) * AC58 ) + AC58*INDEX(YearMap!$P$2:$P$6, MATCH(C58, YearMap!$A$2:$A$6, 0)) + AB58*( INDEX(YearMap!$R$2:$R$6, MATCH(C58, YearMap!$A$2:$A$6, 0)) - INDEX(YearMap!$P$2:$P$6, MATCH(C58, YearMap!$A$2:$A$6, 0)) )</f>
        <v/>
      </c>
      <c r="AE58" s="2">
        <f>(W58 - (1-Parameters_Public!$C$43)*$G58*$AB58*$J58*(1-$K58)) + AB58*INDEX(YearMap!$Q$2:$Q$6, MATCH(C58, YearMap!$A$2:$A$6, 0))</f>
        <v/>
      </c>
      <c r="AF58" s="2">
        <f>AD58-AE58</f>
        <v/>
      </c>
      <c r="AG58">
        <f>B58&amp;"|"&amp;C58</f>
        <v/>
      </c>
    </row>
    <row r="59">
      <c r="A59">
        <f>AG59</f>
        <v/>
      </c>
      <c r="B59">
        <f>Scenarios!A14</f>
        <v/>
      </c>
      <c r="C59" t="inlineStr">
        <is>
          <t>FY2028</t>
        </is>
      </c>
      <c r="D59">
        <f>IF(Scenarios!D14=1,0, L59)</f>
        <v/>
      </c>
      <c r="E59">
        <f>IF(Scenarios!E14=1,0, M59)</f>
        <v/>
      </c>
      <c r="F59">
        <f>D59+E59</f>
        <v/>
      </c>
      <c r="G59" s="2">
        <f>YearMap!B4</f>
        <v/>
      </c>
      <c r="H59" s="2">
        <f>YearMap!C4</f>
        <v/>
      </c>
      <c r="I59" s="2">
        <f>YearMap!D4</f>
        <v/>
      </c>
      <c r="J59">
        <f>1-BaselineCalc!$B$5</f>
        <v/>
      </c>
      <c r="K59">
        <f>Scenarios!G14</f>
        <v/>
      </c>
      <c r="L59">
        <f>IF(Scenarios!$Q14=1,BaselineCalc!$B$7*(1+Parameters_Public!$C44)^(IF($C59="FY2026",0,IF($C59="FY2027",1,IF($C59="FY2028",2,IF($C59="FY2029",3,IF($C59="FY2030",4,0))))))+ROUND(Scenarios!K14*Scenarios!$F14,0),BaselineCalc!$B$7+ROUND(Scenarios!K14*Scenarios!$F14,0))</f>
        <v/>
      </c>
      <c r="M59">
        <f>IF(Scenarios!$R14=1,BaselineCalc!$B$8*(1+Parameters_Public!$C45)^(IF($C59="FY2026",0,IF($C59="FY2027",1,IF($C59="FY2028",2,IF($C59="FY2029",3,IF($C59="FY2030",4,0))))))+Scenarios!K14-ROUND(Scenarios!K14*Scenarios!$F14,0),BaselineCalc!$B$8+Scenarios!K14-ROUND(Scenarios!K14*Scenarios!$F14,0))</f>
        <v/>
      </c>
      <c r="N59" s="11">
        <f>(L59-D59) + (M59-E59)</f>
        <v/>
      </c>
      <c r="O59" s="11">
        <f>(Parameters_Public!$C$23*(L59-D59)+Parameters_Public!$C$24*(M59-E59))</f>
        <v/>
      </c>
      <c r="P59">
        <f>YearMap!E4</f>
        <v/>
      </c>
      <c r="Q59">
        <f>IF(Scenarios!N14="lease", YearMap!F4, YearMap!G4)</f>
        <v/>
      </c>
      <c r="R59" s="2">
        <f>IF(Scenarios!D14=1, Q59*H59, H59)</f>
        <v/>
      </c>
      <c r="S59" s="2">
        <f>IF(Scenarios!E14=1, Q59*I59, I59)</f>
        <v/>
      </c>
      <c r="T59" s="2">
        <f>IF(C59="FY2026", (Scenarios!D14+Scenarios!E14)*BaselineCalc!$B$22, 0)</f>
        <v/>
      </c>
      <c r="U59" s="2">
        <f>(R59+S59+G59*F59)*J59*(1-K59)</f>
        <v/>
      </c>
      <c r="V59" s="2">
        <f>O59*(G59+P59)</f>
        <v/>
      </c>
      <c r="W59" s="2">
        <f>U59+V59+IF(Parameters_Public!$C$28=1, T59, 0)</f>
        <v/>
      </c>
      <c r="X59" s="2">
        <f>IF(F59+O59&gt;0, W59/(F59+O59),"")</f>
        <v/>
      </c>
      <c r="Y59" s="2">
        <f>INDEX(YearMap!$I$2:$I$6, MATCH(C59, YearMap!$A$2:$A$6, 0))</f>
        <v/>
      </c>
      <c r="Z59" s="2">
        <f>W59 - ((Y59 + IF(Parameters_Public!$C$20=1, Parameters_Public!$C$19, 0))*AC59)</f>
        <v/>
      </c>
      <c r="AA59" s="2">
        <f>IF($AC59&gt;0, $Z59/$AC59, 0)</f>
        <v/>
      </c>
      <c r="AB59">
        <f>MAX(0, (MAX(0, $D59-BaselineCalc!$B$7) + MAX(0, $E59-BaselineCalc!$B$8)))</f>
        <v/>
      </c>
      <c r="AC59" s="11">
        <f>L59+M59-N59+O59</f>
        <v/>
      </c>
      <c r="AD59" s="2">
        <f>( (Y59 + IF(Parameters_Public!$C20=1, INDEX(YearMap!$O$2:$O$6, MATCH(C59, YearMap!$A$2:$A$6, 0)), 0)) * AC59 ) + AC59*INDEX(YearMap!$P$2:$P$6, MATCH(C59, YearMap!$A$2:$A$6, 0)) + AB59*( INDEX(YearMap!$R$2:$R$6, MATCH(C59, YearMap!$A$2:$A$6, 0)) - INDEX(YearMap!$P$2:$P$6, MATCH(C59, YearMap!$A$2:$A$6, 0)) )</f>
        <v/>
      </c>
      <c r="AE59" s="2">
        <f>(W59 - (1-Parameters_Public!$C$43)*$G59*$AB59*$J59*(1-$K59)) + AB59*INDEX(YearMap!$Q$2:$Q$6, MATCH(C59, YearMap!$A$2:$A$6, 0))</f>
        <v/>
      </c>
      <c r="AF59" s="2">
        <f>AD59-AE59</f>
        <v/>
      </c>
      <c r="AG59">
        <f>B59&amp;"|"&amp;C59</f>
        <v/>
      </c>
    </row>
    <row r="60">
      <c r="A60">
        <f>AG60</f>
        <v/>
      </c>
      <c r="B60">
        <f>Scenarios!A14</f>
        <v/>
      </c>
      <c r="C60" t="inlineStr">
        <is>
          <t>FY2029</t>
        </is>
      </c>
      <c r="D60">
        <f>IF(Scenarios!D14=1,0, L60)</f>
        <v/>
      </c>
      <c r="E60">
        <f>IF(Scenarios!E14=1,0, M60)</f>
        <v/>
      </c>
      <c r="F60">
        <f>D60+E60</f>
        <v/>
      </c>
      <c r="G60" s="2">
        <f>YearMap!B5</f>
        <v/>
      </c>
      <c r="H60" s="2">
        <f>YearMap!C5</f>
        <v/>
      </c>
      <c r="I60" s="2">
        <f>YearMap!D5</f>
        <v/>
      </c>
      <c r="J60">
        <f>1-BaselineCalc!$B$5</f>
        <v/>
      </c>
      <c r="K60">
        <f>Scenarios!G14</f>
        <v/>
      </c>
      <c r="L60">
        <f>IF(Scenarios!$Q14=1,BaselineCalc!$B$7*(1+Parameters_Public!$C44)^(IF($C60="FY2026",0,IF($C60="FY2027",1,IF($C60="FY2028",2,IF($C60="FY2029",3,IF($C60="FY2030",4,0))))))+ROUND(Scenarios!L14*Scenarios!$F14,0),BaselineCalc!$B$7+ROUND(Scenarios!L14*Scenarios!$F14,0))</f>
        <v/>
      </c>
      <c r="M60">
        <f>IF(Scenarios!$R14=1,BaselineCalc!$B$8*(1+Parameters_Public!$C45)^(IF($C60="FY2026",0,IF($C60="FY2027",1,IF($C60="FY2028",2,IF($C60="FY2029",3,IF($C60="FY2030",4,0))))))+Scenarios!L14-ROUND(Scenarios!L14*Scenarios!$F14,0),BaselineCalc!$B$8+Scenarios!L14-ROUND(Scenarios!L14*Scenarios!$F14,0))</f>
        <v/>
      </c>
      <c r="N60" s="11">
        <f>(L60-D60) + (M60-E60)</f>
        <v/>
      </c>
      <c r="O60" s="11">
        <f>(Parameters_Public!$C$23*(L60-D60)+Parameters_Public!$C$24*(M60-E60))</f>
        <v/>
      </c>
      <c r="P60">
        <f>YearMap!E5</f>
        <v/>
      </c>
      <c r="Q60">
        <f>IF(Scenarios!N14="lease", YearMap!F5, YearMap!G5)</f>
        <v/>
      </c>
      <c r="R60" s="2">
        <f>IF(Scenarios!D14=1, Q60*H60, H60)</f>
        <v/>
      </c>
      <c r="S60" s="2">
        <f>IF(Scenarios!E14=1, Q60*I60, I60)</f>
        <v/>
      </c>
      <c r="T60" s="2">
        <f>IF(C60="FY2026", (Scenarios!D14+Scenarios!E14)*BaselineCalc!$B$22, 0)</f>
        <v/>
      </c>
      <c r="U60" s="2">
        <f>(R60+S60+G60*F60)*J60*(1-K60)</f>
        <v/>
      </c>
      <c r="V60" s="2">
        <f>O60*(G60+P60)</f>
        <v/>
      </c>
      <c r="W60" s="2">
        <f>U60+V60+IF(Parameters_Public!$C$28=1, T60, 0)</f>
        <v/>
      </c>
      <c r="X60" s="2">
        <f>IF(F60+O60&gt;0, W60/(F60+O60),"")</f>
        <v/>
      </c>
      <c r="Y60" s="2">
        <f>INDEX(YearMap!$I$2:$I$6, MATCH(C60, YearMap!$A$2:$A$6, 0))</f>
        <v/>
      </c>
      <c r="Z60" s="2">
        <f>W60 - ((Y60 + IF(Parameters_Public!$C$20=1, Parameters_Public!$C$19, 0))*AC60)</f>
        <v/>
      </c>
      <c r="AA60" s="2">
        <f>IF($AC60&gt;0, $Z60/$AC60, 0)</f>
        <v/>
      </c>
      <c r="AB60">
        <f>MAX(0, (MAX(0, $D60-BaselineCalc!$B$7) + MAX(0, $E60-BaselineCalc!$B$8)))</f>
        <v/>
      </c>
      <c r="AC60" s="11">
        <f>L60+M60-N60+O60</f>
        <v/>
      </c>
      <c r="AD60" s="2">
        <f>( (Y60 + IF(Parameters_Public!$C20=1, INDEX(YearMap!$O$2:$O$6, MATCH(C60, YearMap!$A$2:$A$6, 0)), 0)) * AC60 ) + AC60*INDEX(YearMap!$P$2:$P$6, MATCH(C60, YearMap!$A$2:$A$6, 0)) + AB60*( INDEX(YearMap!$R$2:$R$6, MATCH(C60, YearMap!$A$2:$A$6, 0)) - INDEX(YearMap!$P$2:$P$6, MATCH(C60, YearMap!$A$2:$A$6, 0)) )</f>
        <v/>
      </c>
      <c r="AE60" s="2">
        <f>(W60 - (1-Parameters_Public!$C$43)*$G60*$AB60*$J60*(1-$K60)) + AB60*INDEX(YearMap!$Q$2:$Q$6, MATCH(C60, YearMap!$A$2:$A$6, 0))</f>
        <v/>
      </c>
      <c r="AF60" s="2">
        <f>AD60-AE60</f>
        <v/>
      </c>
      <c r="AG60">
        <f>B60&amp;"|"&amp;C60</f>
        <v/>
      </c>
    </row>
    <row r="61">
      <c r="A61">
        <f>AG61</f>
        <v/>
      </c>
      <c r="B61">
        <f>Scenarios!A14</f>
        <v/>
      </c>
      <c r="C61" t="inlineStr">
        <is>
          <t>FY2030</t>
        </is>
      </c>
      <c r="D61">
        <f>IF(Scenarios!D14=1,0, L61)</f>
        <v/>
      </c>
      <c r="E61">
        <f>IF(Scenarios!E14=1,0, M61)</f>
        <v/>
      </c>
      <c r="F61">
        <f>D61+E61</f>
        <v/>
      </c>
      <c r="G61" s="2">
        <f>YearMap!B6</f>
        <v/>
      </c>
      <c r="H61" s="2">
        <f>YearMap!C6</f>
        <v/>
      </c>
      <c r="I61" s="2">
        <f>YearMap!D6</f>
        <v/>
      </c>
      <c r="J61">
        <f>1-BaselineCalc!$B$5</f>
        <v/>
      </c>
      <c r="K61">
        <f>Scenarios!G14</f>
        <v/>
      </c>
      <c r="L61">
        <f>IF(Scenarios!$Q14=1,BaselineCalc!$B$7*(1+Parameters_Public!$C44)^(IF($C61="FY2026",0,IF($C61="FY2027",1,IF($C61="FY2028",2,IF($C61="FY2029",3,IF($C61="FY2030",4,0))))))+ROUND(Scenarios!M14*Scenarios!$F14,0),BaselineCalc!$B$7+ROUND(Scenarios!M14*Scenarios!$F14,0))</f>
        <v/>
      </c>
      <c r="M61">
        <f>IF(Scenarios!$R14=1,BaselineCalc!$B$8*(1+Parameters_Public!$C45)^(IF($C61="FY2026",0,IF($C61="FY2027",1,IF($C61="FY2028",2,IF($C61="FY2029",3,IF($C61="FY2030",4,0))))))+Scenarios!M14-ROUND(Scenarios!M14*Scenarios!$F14,0),BaselineCalc!$B$8+Scenarios!M14-ROUND(Scenarios!M14*Scenarios!$F14,0))</f>
        <v/>
      </c>
      <c r="N61" s="11">
        <f>(L61-D61) + (M61-E61)</f>
        <v/>
      </c>
      <c r="O61" s="11">
        <f>(Parameters_Public!$C$23*(L61-D61)+Parameters_Public!$C$24*(M61-E61))</f>
        <v/>
      </c>
      <c r="P61">
        <f>YearMap!E6</f>
        <v/>
      </c>
      <c r="Q61">
        <f>IF(Scenarios!N14="lease", YearMap!F6, YearMap!G6)</f>
        <v/>
      </c>
      <c r="R61" s="2">
        <f>IF(Scenarios!D14=1, Q61*H61, H61)</f>
        <v/>
      </c>
      <c r="S61" s="2">
        <f>IF(Scenarios!E14=1, Q61*I61, I61)</f>
        <v/>
      </c>
      <c r="T61" s="2">
        <f>IF(C61="FY2026", (Scenarios!D14+Scenarios!E14)*BaselineCalc!$B$22, 0)</f>
        <v/>
      </c>
      <c r="U61" s="2">
        <f>(R61+S61+G61*F61)*J61*(1-K61)</f>
        <v/>
      </c>
      <c r="V61" s="2">
        <f>O61*(G61+P61)</f>
        <v/>
      </c>
      <c r="W61" s="2">
        <f>U61+V61+IF(Parameters_Public!$C$28=1, T61, 0)</f>
        <v/>
      </c>
      <c r="X61" s="2">
        <f>IF(F61+O61&gt;0, W61/(F61+O61),"")</f>
        <v/>
      </c>
      <c r="Y61" s="2">
        <f>INDEX(YearMap!$I$2:$I$6, MATCH(C61, YearMap!$A$2:$A$6, 0))</f>
        <v/>
      </c>
      <c r="Z61" s="2">
        <f>W61 - ((Y61 + IF(Parameters_Public!$C$20=1, Parameters_Public!$C$19, 0))*AC61)</f>
        <v/>
      </c>
      <c r="AA61" s="2">
        <f>IF($AC61&gt;0, $Z61/$AC61, 0)</f>
        <v/>
      </c>
      <c r="AB61">
        <f>MAX(0, (MAX(0, $D61-BaselineCalc!$B$7) + MAX(0, $E61-BaselineCalc!$B$8)))</f>
        <v/>
      </c>
      <c r="AC61" s="11">
        <f>L61+M61-N61+O61</f>
        <v/>
      </c>
      <c r="AD61" s="2">
        <f>( (Y61 + IF(Parameters_Public!$C20=1, INDEX(YearMap!$O$2:$O$6, MATCH(C61, YearMap!$A$2:$A$6, 0)), 0)) * AC61 ) + AC61*INDEX(YearMap!$P$2:$P$6, MATCH(C61, YearMap!$A$2:$A$6, 0)) + AB61*( INDEX(YearMap!$R$2:$R$6, MATCH(C61, YearMap!$A$2:$A$6, 0)) - INDEX(YearMap!$P$2:$P$6, MATCH(C61, YearMap!$A$2:$A$6, 0)) )</f>
        <v/>
      </c>
      <c r="AE61" s="2">
        <f>(W61 - (1-Parameters_Public!$C$43)*$G61*$AB61*$J61*(1-$K61)) + AB61*INDEX(YearMap!$Q$2:$Q$6, MATCH(C61, YearMap!$A$2:$A$6, 0))</f>
        <v/>
      </c>
      <c r="AF61" s="2">
        <f>AD61-AE61</f>
        <v/>
      </c>
      <c r="AG61">
        <f>B61&amp;"|"&amp;C61</f>
        <v/>
      </c>
    </row>
    <row r="62">
      <c r="A62">
        <f>AG62</f>
        <v/>
      </c>
      <c r="B62">
        <f>Scenarios!A15</f>
        <v/>
      </c>
      <c r="C62" t="inlineStr">
        <is>
          <t>FY2026</t>
        </is>
      </c>
      <c r="D62">
        <f>IF(Scenarios!D15=1,0, L62)</f>
        <v/>
      </c>
      <c r="E62">
        <f>IF(Scenarios!E15=1,0, M62)</f>
        <v/>
      </c>
      <c r="F62">
        <f>D62+E62</f>
        <v/>
      </c>
      <c r="G62" s="2">
        <f>YearMap!B2</f>
        <v/>
      </c>
      <c r="H62" s="2">
        <f>YearMap!C2</f>
        <v/>
      </c>
      <c r="I62" s="2">
        <f>YearMap!D2</f>
        <v/>
      </c>
      <c r="J62">
        <f>1-BaselineCalc!$B$5</f>
        <v/>
      </c>
      <c r="K62">
        <f>Scenarios!G15</f>
        <v/>
      </c>
      <c r="L62">
        <f>IF(Scenarios!$Q15=1,BaselineCalc!$B$7*(1+Parameters_Public!$C44)^(IF($C62="FY2026",0,IF($C62="FY2027",1,IF($C62="FY2028",2,IF($C62="FY2029",3,IF($C62="FY2030",4,0))))))+ROUND(Scenarios!I15*Scenarios!$F15,0),BaselineCalc!$B$7+ROUND(Scenarios!I15*Scenarios!$F15,0))</f>
        <v/>
      </c>
      <c r="M62">
        <f>IF(Scenarios!$R15=1,BaselineCalc!$B$8*(1+Parameters_Public!$C45)^(IF($C62="FY2026",0,IF($C62="FY2027",1,IF($C62="FY2028",2,IF($C62="FY2029",3,IF($C62="FY2030",4,0))))))+Scenarios!I15-ROUND(Scenarios!I15*Scenarios!$F15,0),BaselineCalc!$B$8+Scenarios!I15-ROUND(Scenarios!I15*Scenarios!$F15,0))</f>
        <v/>
      </c>
      <c r="N62" s="11">
        <f>(L62-D62) + (M62-E62)</f>
        <v/>
      </c>
      <c r="O62" s="11">
        <f>(Parameters_Public!$C$23*(L62-D62)+Parameters_Public!$C$24*(M62-E62))</f>
        <v/>
      </c>
      <c r="P62">
        <f>YearMap!E2</f>
        <v/>
      </c>
      <c r="Q62">
        <f>IF(Scenarios!N15="lease", YearMap!F2, YearMap!G2)</f>
        <v/>
      </c>
      <c r="R62" s="2">
        <f>IF(Scenarios!D15=1, Q62*H62, H62)</f>
        <v/>
      </c>
      <c r="S62" s="2">
        <f>IF(Scenarios!E15=1, Q62*I62, I62)</f>
        <v/>
      </c>
      <c r="T62" s="2">
        <f>IF(C62="FY2026", (Scenarios!D15+Scenarios!E15)*BaselineCalc!$B$22, 0)</f>
        <v/>
      </c>
      <c r="U62" s="2">
        <f>(R62+S62+G62*F62)*J62*(1-K62)</f>
        <v/>
      </c>
      <c r="V62" s="2">
        <f>O62*(G62+P62)</f>
        <v/>
      </c>
      <c r="W62" s="2">
        <f>U62+V62+IF(Parameters_Public!$C$28=1, T62, 0)</f>
        <v/>
      </c>
      <c r="X62" s="2">
        <f>IF(F62+O62&gt;0, W62/(F62+O62),"")</f>
        <v/>
      </c>
      <c r="Y62" s="2">
        <f>INDEX(YearMap!$I$2:$I$6, MATCH(C62, YearMap!$A$2:$A$6, 0))</f>
        <v/>
      </c>
      <c r="Z62" s="2">
        <f>W62 - ((Y62 + IF(Parameters_Public!$C$20=1, Parameters_Public!$C$19, 0))*AC62)</f>
        <v/>
      </c>
      <c r="AA62" s="2">
        <f>IF($AC62&gt;0, $Z62/$AC62, 0)</f>
        <v/>
      </c>
      <c r="AB62">
        <f>MAX(0, (MAX(0, $D62-BaselineCalc!$B$7) + MAX(0, $E62-BaselineCalc!$B$8)))</f>
        <v/>
      </c>
      <c r="AC62" s="11">
        <f>L62+M62-N62+O62</f>
        <v/>
      </c>
      <c r="AD62" s="2">
        <f>( (Y62 + IF(Parameters_Public!$C20=1, INDEX(YearMap!$O$2:$O$6, MATCH(C62, YearMap!$A$2:$A$6, 0)), 0)) * AC62 ) + AC62*INDEX(YearMap!$P$2:$P$6, MATCH(C62, YearMap!$A$2:$A$6, 0)) + AB62*( INDEX(YearMap!$R$2:$R$6, MATCH(C62, YearMap!$A$2:$A$6, 0)) - INDEX(YearMap!$P$2:$P$6, MATCH(C62, YearMap!$A$2:$A$6, 0)) )</f>
        <v/>
      </c>
      <c r="AE62" s="2">
        <f>(W62 - (1-Parameters_Public!$C$43)*$G62*$AB62*$J62*(1-$K62)) + AB62*INDEX(YearMap!$Q$2:$Q$6, MATCH(C62, YearMap!$A$2:$A$6, 0))</f>
        <v/>
      </c>
      <c r="AF62" s="2">
        <f>AD62-AE62</f>
        <v/>
      </c>
      <c r="AG62">
        <f>B62&amp;"|"&amp;C62</f>
        <v/>
      </c>
    </row>
    <row r="63">
      <c r="A63">
        <f>AG63</f>
        <v/>
      </c>
      <c r="B63">
        <f>Scenarios!A15</f>
        <v/>
      </c>
      <c r="C63" t="inlineStr">
        <is>
          <t>FY2027</t>
        </is>
      </c>
      <c r="D63" s="11">
        <f>IF(Scenarios!D15=1,0, L63)</f>
        <v/>
      </c>
      <c r="E63" s="11">
        <f>IF(Scenarios!E15=1,0, M63)</f>
        <v/>
      </c>
      <c r="F63" s="11">
        <f>D63+E63</f>
        <v/>
      </c>
      <c r="G63" s="2">
        <f>YearMap!B3</f>
        <v/>
      </c>
      <c r="H63" s="2">
        <f>YearMap!C3</f>
        <v/>
      </c>
      <c r="I63" s="2">
        <f>YearMap!D3</f>
        <v/>
      </c>
      <c r="J63">
        <f>1-BaselineCalc!$B$5</f>
        <v/>
      </c>
      <c r="K63">
        <f>Scenarios!G15</f>
        <v/>
      </c>
      <c r="L63" s="11">
        <f>IF(Scenarios!$Q15=1,BaselineCalc!$B$7*(1+Parameters_Public!$C44)^(IF($C63="FY2026",0,IF($C63="FY2027",1,IF($C63="FY2028",2,IF($C63="FY2029",3,IF($C63="FY2030",4,0))))))+ROUND(Scenarios!J15*Scenarios!$F15,0),BaselineCalc!$B$7+ROUND(Scenarios!J15*Scenarios!$F15,0))</f>
        <v/>
      </c>
      <c r="M63" s="11">
        <f>IF(Scenarios!$R15=1,BaselineCalc!$B$8*(1+Parameters_Public!$C45)^(IF($C63="FY2026",0,IF($C63="FY2027",1,IF($C63="FY2028",2,IF($C63="FY2029",3,IF($C63="FY2030",4,0))))))+Scenarios!J15-ROUND(Scenarios!J15*Scenarios!$F15,0),BaselineCalc!$B$8+Scenarios!J15-ROUND(Scenarios!J15*Scenarios!$F15,0))</f>
        <v/>
      </c>
      <c r="N63" s="11">
        <f>(L63-D63) + (M63-E63)</f>
        <v/>
      </c>
      <c r="O63" s="11">
        <f>(Parameters_Public!$C$23*(L63-D63)+Parameters_Public!$C$24*(M63-E63))</f>
        <v/>
      </c>
      <c r="P63">
        <f>YearMap!E3</f>
        <v/>
      </c>
      <c r="Q63">
        <f>IF(Scenarios!N15="lease", YearMap!F3, YearMap!G3)</f>
        <v/>
      </c>
      <c r="R63" s="2">
        <f>IF(Scenarios!D15=1, Q63*H63, H63)</f>
        <v/>
      </c>
      <c r="S63" s="2">
        <f>IF(Scenarios!E15=1, Q63*I63, I63)</f>
        <v/>
      </c>
      <c r="T63" s="2">
        <f>IF(C63="FY2026", (Scenarios!D15+Scenarios!E15)*BaselineCalc!$B$22, 0)</f>
        <v/>
      </c>
      <c r="U63" s="2">
        <f>(R63+S63+G63*F63)*J63*(1-K63)</f>
        <v/>
      </c>
      <c r="V63" s="2">
        <f>O63*(G63+P63)</f>
        <v/>
      </c>
      <c r="W63" s="2">
        <f>U63+V63+IF(Parameters_Public!$C$28=1, T63, 0)</f>
        <v/>
      </c>
      <c r="X63" s="2">
        <f>IF(F63+O63&gt;0, W63/(F63+O63),"")</f>
        <v/>
      </c>
      <c r="Y63" s="2">
        <f>INDEX(YearMap!$I$2:$I$6, MATCH(C63, YearMap!$A$2:$A$6, 0))</f>
        <v/>
      </c>
      <c r="Z63" s="2">
        <f>W63 - ((Y63 + IF(Parameters_Public!$C$20=1, Parameters_Public!$C$19, 0))*AC63)</f>
        <v/>
      </c>
      <c r="AA63" s="2">
        <f>IF($AC63&gt;0, $Z63/$AC63, 0)</f>
        <v/>
      </c>
      <c r="AB63">
        <f>MAX(0, (MAX(0, $D63-BaselineCalc!$B$7) + MAX(0, $E63-BaselineCalc!$B$8)))</f>
        <v/>
      </c>
      <c r="AC63" s="11">
        <f>L63+M63-N63+O63</f>
        <v/>
      </c>
      <c r="AD63" s="2">
        <f>( (Y63 + IF(Parameters_Public!$C20=1, INDEX(YearMap!$O$2:$O$6, MATCH(C63, YearMap!$A$2:$A$6, 0)), 0)) * AC63 ) + AC63*INDEX(YearMap!$P$2:$P$6, MATCH(C63, YearMap!$A$2:$A$6, 0)) + AB63*( INDEX(YearMap!$R$2:$R$6, MATCH(C63, YearMap!$A$2:$A$6, 0)) - INDEX(YearMap!$P$2:$P$6, MATCH(C63, YearMap!$A$2:$A$6, 0)) )</f>
        <v/>
      </c>
      <c r="AE63" s="2">
        <f>(W63 - (1-Parameters_Public!$C$43)*$G63*$AB63*$J63*(1-$K63)) + AB63*INDEX(YearMap!$Q$2:$Q$6, MATCH(C63, YearMap!$A$2:$A$6, 0))</f>
        <v/>
      </c>
      <c r="AF63" s="2">
        <f>AD63-AE63</f>
        <v/>
      </c>
      <c r="AG63">
        <f>B63&amp;"|"&amp;C63</f>
        <v/>
      </c>
    </row>
    <row r="64">
      <c r="A64">
        <f>AG64</f>
        <v/>
      </c>
      <c r="B64">
        <f>Scenarios!A15</f>
        <v/>
      </c>
      <c r="C64" t="inlineStr">
        <is>
          <t>FY2028</t>
        </is>
      </c>
      <c r="D64" s="11">
        <f>IF(Scenarios!D15=1,0, L64)</f>
        <v/>
      </c>
      <c r="E64" s="11">
        <f>IF(Scenarios!E15=1,0, M64)</f>
        <v/>
      </c>
      <c r="F64" s="11">
        <f>D64+E64</f>
        <v/>
      </c>
      <c r="G64" s="2">
        <f>YearMap!B4</f>
        <v/>
      </c>
      <c r="H64" s="2">
        <f>YearMap!C4</f>
        <v/>
      </c>
      <c r="I64" s="2">
        <f>YearMap!D4</f>
        <v/>
      </c>
      <c r="J64">
        <f>1-BaselineCalc!$B$5</f>
        <v/>
      </c>
      <c r="K64">
        <f>Scenarios!G15</f>
        <v/>
      </c>
      <c r="L64" s="11">
        <f>IF(Scenarios!$Q15=1,BaselineCalc!$B$7*(1+Parameters_Public!$C44)^(IF($C64="FY2026",0,IF($C64="FY2027",1,IF($C64="FY2028",2,IF($C64="FY2029",3,IF($C64="FY2030",4,0))))))+ROUND(Scenarios!K15*Scenarios!$F15,0),BaselineCalc!$B$7+ROUND(Scenarios!K15*Scenarios!$F15,0))</f>
        <v/>
      </c>
      <c r="M64" s="11">
        <f>IF(Scenarios!$R15=1,BaselineCalc!$B$8*(1+Parameters_Public!$C45)^(IF($C64="FY2026",0,IF($C64="FY2027",1,IF($C64="FY2028",2,IF($C64="FY2029",3,IF($C64="FY2030",4,0))))))+Scenarios!K15-ROUND(Scenarios!K15*Scenarios!$F15,0),BaselineCalc!$B$8+Scenarios!K15-ROUND(Scenarios!K15*Scenarios!$F15,0))</f>
        <v/>
      </c>
      <c r="N64" s="11">
        <f>(L64-D64) + (M64-E64)</f>
        <v/>
      </c>
      <c r="O64" s="11">
        <f>(Parameters_Public!$C$23*(L64-D64)+Parameters_Public!$C$24*(M64-E64))</f>
        <v/>
      </c>
      <c r="P64">
        <f>YearMap!E4</f>
        <v/>
      </c>
      <c r="Q64">
        <f>IF(Scenarios!N15="lease", YearMap!F4, YearMap!G4)</f>
        <v/>
      </c>
      <c r="R64" s="2">
        <f>IF(Scenarios!D15=1, Q64*H64, H64)</f>
        <v/>
      </c>
      <c r="S64" s="2">
        <f>IF(Scenarios!E15=1, Q64*I64, I64)</f>
        <v/>
      </c>
      <c r="T64" s="2">
        <f>IF(C64="FY2026", (Scenarios!D15+Scenarios!E15)*BaselineCalc!$B$22, 0)</f>
        <v/>
      </c>
      <c r="U64" s="2">
        <f>(R64+S64+G64*F64)*J64*(1-K64)</f>
        <v/>
      </c>
      <c r="V64" s="2">
        <f>O64*(G64+P64)</f>
        <v/>
      </c>
      <c r="W64" s="2">
        <f>U64+V64+IF(Parameters_Public!$C$28=1, T64, 0)</f>
        <v/>
      </c>
      <c r="X64" s="2">
        <f>IF(F64+O64&gt;0, W64/(F64+O64),"")</f>
        <v/>
      </c>
      <c r="Y64" s="2">
        <f>INDEX(YearMap!$I$2:$I$6, MATCH(C64, YearMap!$A$2:$A$6, 0))</f>
        <v/>
      </c>
      <c r="Z64" s="2">
        <f>W64 - ((Y64 + IF(Parameters_Public!$C$20=1, Parameters_Public!$C$19, 0))*AC64)</f>
        <v/>
      </c>
      <c r="AA64" s="2">
        <f>IF($AC64&gt;0, $Z64/$AC64, 0)</f>
        <v/>
      </c>
      <c r="AB64">
        <f>MAX(0, (MAX(0, $D64-BaselineCalc!$B$7) + MAX(0, $E64-BaselineCalc!$B$8)))</f>
        <v/>
      </c>
      <c r="AC64" s="11">
        <f>L64+M64-N64+O64</f>
        <v/>
      </c>
      <c r="AD64" s="2">
        <f>( (Y64 + IF(Parameters_Public!$C20=1, INDEX(YearMap!$O$2:$O$6, MATCH(C64, YearMap!$A$2:$A$6, 0)), 0)) * AC64 ) + AC64*INDEX(YearMap!$P$2:$P$6, MATCH(C64, YearMap!$A$2:$A$6, 0)) + AB64*( INDEX(YearMap!$R$2:$R$6, MATCH(C64, YearMap!$A$2:$A$6, 0)) - INDEX(YearMap!$P$2:$P$6, MATCH(C64, YearMap!$A$2:$A$6, 0)) )</f>
        <v/>
      </c>
      <c r="AE64" s="2">
        <f>(W64 - (1-Parameters_Public!$C$43)*$G64*$AB64*$J64*(1-$K64)) + AB64*INDEX(YearMap!$Q$2:$Q$6, MATCH(C64, YearMap!$A$2:$A$6, 0))</f>
        <v/>
      </c>
      <c r="AF64" s="2">
        <f>AD64-AE64</f>
        <v/>
      </c>
      <c r="AG64">
        <f>B64&amp;"|"&amp;C64</f>
        <v/>
      </c>
    </row>
    <row r="65">
      <c r="A65">
        <f>AG65</f>
        <v/>
      </c>
      <c r="B65">
        <f>Scenarios!A15</f>
        <v/>
      </c>
      <c r="C65" t="inlineStr">
        <is>
          <t>FY2029</t>
        </is>
      </c>
      <c r="D65" s="11">
        <f>IF(Scenarios!D15=1,0, L65)</f>
        <v/>
      </c>
      <c r="E65" s="11">
        <f>IF(Scenarios!E15=1,0, M65)</f>
        <v/>
      </c>
      <c r="F65" s="11">
        <f>D65+E65</f>
        <v/>
      </c>
      <c r="G65" s="2">
        <f>YearMap!B5</f>
        <v/>
      </c>
      <c r="H65" s="2">
        <f>YearMap!C5</f>
        <v/>
      </c>
      <c r="I65" s="2">
        <f>YearMap!D5</f>
        <v/>
      </c>
      <c r="J65">
        <f>1-BaselineCalc!$B$5</f>
        <v/>
      </c>
      <c r="K65">
        <f>Scenarios!G15</f>
        <v/>
      </c>
      <c r="L65" s="11">
        <f>IF(Scenarios!$Q15=1,BaselineCalc!$B$7*(1+Parameters_Public!$C44)^(IF($C65="FY2026",0,IF($C65="FY2027",1,IF($C65="FY2028",2,IF($C65="FY2029",3,IF($C65="FY2030",4,0))))))+ROUND(Scenarios!L15*Scenarios!$F15,0),BaselineCalc!$B$7+ROUND(Scenarios!L15*Scenarios!$F15,0))</f>
        <v/>
      </c>
      <c r="M65" s="11">
        <f>IF(Scenarios!$R15=1,BaselineCalc!$B$8*(1+Parameters_Public!$C45)^(IF($C65="FY2026",0,IF($C65="FY2027",1,IF($C65="FY2028",2,IF($C65="FY2029",3,IF($C65="FY2030",4,0))))))+Scenarios!L15-ROUND(Scenarios!L15*Scenarios!$F15,0),BaselineCalc!$B$8+Scenarios!L15-ROUND(Scenarios!L15*Scenarios!$F15,0))</f>
        <v/>
      </c>
      <c r="N65" s="11">
        <f>(L65-D65) + (M65-E65)</f>
        <v/>
      </c>
      <c r="O65" s="11">
        <f>(Parameters_Public!$C$23*(L65-D65)+Parameters_Public!$C$24*(M65-E65))</f>
        <v/>
      </c>
      <c r="P65">
        <f>YearMap!E5</f>
        <v/>
      </c>
      <c r="Q65">
        <f>IF(Scenarios!N15="lease", YearMap!F5, YearMap!G5)</f>
        <v/>
      </c>
      <c r="R65" s="2">
        <f>IF(Scenarios!D15=1, Q65*H65, H65)</f>
        <v/>
      </c>
      <c r="S65" s="2">
        <f>IF(Scenarios!E15=1, Q65*I65, I65)</f>
        <v/>
      </c>
      <c r="T65" s="2">
        <f>IF(C65="FY2026", (Scenarios!D15+Scenarios!E15)*BaselineCalc!$B$22, 0)</f>
        <v/>
      </c>
      <c r="U65" s="2">
        <f>(R65+S65+G65*F65)*J65*(1-K65)</f>
        <v/>
      </c>
      <c r="V65" s="2">
        <f>O65*(G65+P65)</f>
        <v/>
      </c>
      <c r="W65" s="2">
        <f>U65+V65+IF(Parameters_Public!$C$28=1, T65, 0)</f>
        <v/>
      </c>
      <c r="X65" s="2">
        <f>IF(F65+O65&gt;0, W65/(F65+O65),"")</f>
        <v/>
      </c>
      <c r="Y65" s="2">
        <f>INDEX(YearMap!$I$2:$I$6, MATCH(C65, YearMap!$A$2:$A$6, 0))</f>
        <v/>
      </c>
      <c r="Z65" s="2">
        <f>W65 - ((Y65 + IF(Parameters_Public!$C$20=1, Parameters_Public!$C$19, 0))*AC65)</f>
        <v/>
      </c>
      <c r="AA65" s="2">
        <f>IF($AC65&gt;0, $Z65/$AC65, 0)</f>
        <v/>
      </c>
      <c r="AB65">
        <f>MAX(0, (MAX(0, $D65-BaselineCalc!$B$7) + MAX(0, $E65-BaselineCalc!$B$8)))</f>
        <v/>
      </c>
      <c r="AC65" s="11">
        <f>L65+M65-N65+O65</f>
        <v/>
      </c>
      <c r="AD65" s="2">
        <f>( (Y65 + IF(Parameters_Public!$C20=1, INDEX(YearMap!$O$2:$O$6, MATCH(C65, YearMap!$A$2:$A$6, 0)), 0)) * AC65 ) + AC65*INDEX(YearMap!$P$2:$P$6, MATCH(C65, YearMap!$A$2:$A$6, 0)) + AB65*( INDEX(YearMap!$R$2:$R$6, MATCH(C65, YearMap!$A$2:$A$6, 0)) - INDEX(YearMap!$P$2:$P$6, MATCH(C65, YearMap!$A$2:$A$6, 0)) )</f>
        <v/>
      </c>
      <c r="AE65" s="2">
        <f>(W65 - (1-Parameters_Public!$C$43)*$G65*$AB65*$J65*(1-$K65)) + AB65*INDEX(YearMap!$Q$2:$Q$6, MATCH(C65, YearMap!$A$2:$A$6, 0))</f>
        <v/>
      </c>
      <c r="AF65" s="2">
        <f>AD65-AE65</f>
        <v/>
      </c>
      <c r="AG65">
        <f>B65&amp;"|"&amp;C65</f>
        <v/>
      </c>
    </row>
    <row r="66">
      <c r="A66">
        <f>AG66</f>
        <v/>
      </c>
      <c r="B66">
        <f>Scenarios!A15</f>
        <v/>
      </c>
      <c r="C66" t="inlineStr">
        <is>
          <t>FY2030</t>
        </is>
      </c>
      <c r="D66" s="11">
        <f>IF(Scenarios!D15=1,0, L66)</f>
        <v/>
      </c>
      <c r="E66" s="11">
        <f>IF(Scenarios!E15=1,0, M66)</f>
        <v/>
      </c>
      <c r="F66" s="11">
        <f>D66+E66</f>
        <v/>
      </c>
      <c r="G66" s="2">
        <f>YearMap!B6</f>
        <v/>
      </c>
      <c r="H66" s="2">
        <f>YearMap!C6</f>
        <v/>
      </c>
      <c r="I66" s="2">
        <f>YearMap!D6</f>
        <v/>
      </c>
      <c r="J66">
        <f>1-BaselineCalc!$B$5</f>
        <v/>
      </c>
      <c r="K66">
        <f>Scenarios!G15</f>
        <v/>
      </c>
      <c r="L66" s="11">
        <f>IF(Scenarios!$Q15=1,BaselineCalc!$B$7*(1+Parameters_Public!$C44)^(IF($C66="FY2026",0,IF($C66="FY2027",1,IF($C66="FY2028",2,IF($C66="FY2029",3,IF($C66="FY2030",4,0))))))+ROUND(Scenarios!M15*Scenarios!$F15,0),BaselineCalc!$B$7+ROUND(Scenarios!M15*Scenarios!$F15,0))</f>
        <v/>
      </c>
      <c r="M66" s="11">
        <f>IF(Scenarios!$R15=1,BaselineCalc!$B$8*(1+Parameters_Public!$C45)^(IF($C66="FY2026",0,IF($C66="FY2027",1,IF($C66="FY2028",2,IF($C66="FY2029",3,IF($C66="FY2030",4,0))))))+Scenarios!M15-ROUND(Scenarios!M15*Scenarios!$F15,0),BaselineCalc!$B$8+Scenarios!M15-ROUND(Scenarios!M15*Scenarios!$F15,0))</f>
        <v/>
      </c>
      <c r="N66" s="11">
        <f>(L66-D66) + (M66-E66)</f>
        <v/>
      </c>
      <c r="O66" s="11">
        <f>(Parameters_Public!$C$23*(L66-D66)+Parameters_Public!$C$24*(M66-E66))</f>
        <v/>
      </c>
      <c r="P66">
        <f>YearMap!E6</f>
        <v/>
      </c>
      <c r="Q66">
        <f>IF(Scenarios!N15="lease", YearMap!F6, YearMap!G6)</f>
        <v/>
      </c>
      <c r="R66" s="2">
        <f>IF(Scenarios!D15=1, Q66*H66, H66)</f>
        <v/>
      </c>
      <c r="S66" s="2">
        <f>IF(Scenarios!E15=1, Q66*I66, I66)</f>
        <v/>
      </c>
      <c r="T66" s="2">
        <f>IF(C66="FY2026", (Scenarios!D15+Scenarios!E15)*BaselineCalc!$B$22, 0)</f>
        <v/>
      </c>
      <c r="U66" s="2">
        <f>(R66+S66+G66*F66)*J66*(1-K66)</f>
        <v/>
      </c>
      <c r="V66" s="2">
        <f>O66*(G66+P66)</f>
        <v/>
      </c>
      <c r="W66" s="2">
        <f>U66+V66+IF(Parameters_Public!$C$28=1, T66, 0)</f>
        <v/>
      </c>
      <c r="X66" s="2">
        <f>IF(F66+O66&gt;0, W66/(F66+O66),"")</f>
        <v/>
      </c>
      <c r="Y66" s="2">
        <f>INDEX(YearMap!$I$2:$I$6, MATCH(C66, YearMap!$A$2:$A$6, 0))</f>
        <v/>
      </c>
      <c r="Z66" s="2">
        <f>W66 - ((Y66 + IF(Parameters_Public!$C$20=1, Parameters_Public!$C$19, 0))*AC66)</f>
        <v/>
      </c>
      <c r="AA66" s="2">
        <f>IF($AC66&gt;0, $Z66/$AC66, 0)</f>
        <v/>
      </c>
      <c r="AB66">
        <f>MAX(0, (MAX(0, $D66-BaselineCalc!$B$7) + MAX(0, $E66-BaselineCalc!$B$8)))</f>
        <v/>
      </c>
      <c r="AC66" s="11">
        <f>L66+M66-N66+O66</f>
        <v/>
      </c>
      <c r="AD66" s="2">
        <f>( (Y66 + IF(Parameters_Public!$C20=1, INDEX(YearMap!$O$2:$O$6, MATCH(C66, YearMap!$A$2:$A$6, 0)), 0)) * AC66 ) + AC66*INDEX(YearMap!$P$2:$P$6, MATCH(C66, YearMap!$A$2:$A$6, 0)) + AB66*( INDEX(YearMap!$R$2:$R$6, MATCH(C66, YearMap!$A$2:$A$6, 0)) - INDEX(YearMap!$P$2:$P$6, MATCH(C66, YearMap!$A$2:$A$6, 0)) )</f>
        <v/>
      </c>
      <c r="AE66" s="2">
        <f>(W66 - (1-Parameters_Public!$C$43)*$G66*$AB66*$J66*(1-$K66)) + AB66*INDEX(YearMap!$Q$2:$Q$6, MATCH(C66, YearMap!$A$2:$A$6, 0))</f>
        <v/>
      </c>
      <c r="AF66" s="2">
        <f>AD66-AE66</f>
        <v/>
      </c>
      <c r="AG66">
        <f>B66&amp;"|"&amp;C66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9" sqref="A9"/>
    </sheetView>
  </sheetViews>
  <sheetFormatPr baseColWidth="8" defaultRowHeight="14.5"/>
  <cols>
    <col width="43.81640625" bestFit="1" customWidth="1" style="137" min="1" max="1"/>
    <col width="18.36328125" bestFit="1" customWidth="1" style="137" min="2" max="2"/>
    <col width="10.453125" bestFit="1" customWidth="1" style="137" min="3" max="3"/>
    <col width="8.6328125" bestFit="1" customWidth="1" style="137" min="4" max="4"/>
    <col width="18.7265625" bestFit="1" customWidth="1" style="137" min="5" max="6"/>
    <col width="9.90625" bestFit="1" customWidth="1" style="137" min="7" max="7"/>
    <col width="13.1796875" bestFit="1" customWidth="1" style="137" min="8" max="8"/>
  </cols>
  <sheetData>
    <row r="1">
      <c r="A1" t="inlineStr">
        <is>
          <t>Capital Summary (TI &amp; Growth Capex &amp; Portables) — Cash, not Operating</t>
        </is>
      </c>
    </row>
    <row r="3">
      <c r="A3" s="4" t="inlineStr">
        <is>
          <t>ScenarioKey</t>
        </is>
      </c>
      <c r="B3" s="4" t="inlineStr">
        <is>
          <t>Year</t>
        </is>
      </c>
      <c r="C3" s="4" t="inlineStr">
        <is>
          <t>ClosedSites</t>
        </is>
      </c>
      <c r="D3" s="4" t="inlineStr">
        <is>
          <t>TI_Cash$</t>
        </is>
      </c>
      <c r="E3" s="4" t="inlineStr">
        <is>
          <t>GrowthCapex_Echo$</t>
        </is>
      </c>
      <c r="F3" s="4" t="inlineStr">
        <is>
          <t>GrowthCapex_Pima$</t>
        </is>
      </c>
      <c r="G3" s="4" t="inlineStr">
        <is>
          <t>Portables$</t>
        </is>
      </c>
      <c r="H3" s="4" t="inlineStr">
        <is>
          <t>Total_Capital$</t>
        </is>
      </c>
    </row>
    <row r="4">
      <c r="A4">
        <f>Scenarios!$A$3</f>
        <v/>
      </c>
      <c r="B4" t="inlineStr">
        <is>
          <t>FY2026</t>
        </is>
      </c>
      <c r="C4">
        <f>INDEX(Scenarios!$D:$D, MATCH($A4, Scenarios!$A:$A, 0)) + INDEX(Scenarios!$E:$E, MATCH($A4, Scenarios!$A:$A, 0))</f>
        <v/>
      </c>
      <c r="D4">
        <f>IF($B4="FY2026",$C4*IF(INDEX(Scenarios!$N:$N, MATCH($A4, Scenarios!$A:$A, 0))="lease", Parameters_Public!$C$33, Parameters_Public!$C$31),0)</f>
        <v/>
      </c>
      <c r="E4">
        <f>IF($B4="FY2026", IF(INDEX(Scenarios!$D:$D, MATCH($A4, Scenarios!$A:$A, 0))=0, IF(LEFT(INDEX(Scenarios!$O:$O, MATCH($A4, Scenarios!$A:$A, 0)),4)="Arts", Parameters_Public!$C$30, IF(LEFT(INDEX(Scenarios!$O:$O, MATCH($A4, Scenarios!$A:$A, 0)),5)="Innov", Parameters_Public!$C$31, 0)), 0), 0)</f>
        <v/>
      </c>
      <c r="F4">
        <f>IF($B4="FY2026", IF(INDEX(Scenarios!$E:$E, MATCH($A4, Scenarios!$A:$A, 0))=0, IF(LEFT(INDEX(Scenarios!$P:$P, MATCH($A4, Scenarios!$A:$A, 0)),4)="Arts", Parameters_Public!$C$30, IF(LEFT(INDEX(Scenarios!$P:$P, MATCH($A4, Scenarios!$A:$A, 0)),5)="Innov", Parameters_Public!$C$31, 0)), 0), 0)</f>
        <v/>
      </c>
      <c r="G4">
        <f>IF($B4="FY2026", INDEX(Receiving_Capacity!$L:$L, MATCH($A4, Receiving_Capacity!$A:$A, 0)), 0)</f>
        <v/>
      </c>
      <c r="H4">
        <f>SUM(D4:G4)</f>
        <v/>
      </c>
    </row>
    <row r="5">
      <c r="A5">
        <f>Scenarios!$A$3</f>
        <v/>
      </c>
      <c r="B5" t="inlineStr">
        <is>
          <t>FY2027</t>
        </is>
      </c>
      <c r="C5">
        <f>INDEX(Scenarios!$D:$D, MATCH($A5, Scenarios!$A:$A, 0)) + INDEX(Scenarios!$E:$E, MATCH($A5, Scenarios!$A:$A, 0))</f>
        <v/>
      </c>
      <c r="D5">
        <f>IF($B5="FY2026",$C5*IF(INDEX(Scenarios!$N:$N, MATCH($A5, Scenarios!$A:$A, 0))="lease", Parameters_Public!$C$33, Parameters_Public!$C$31),0)</f>
        <v/>
      </c>
      <c r="E5">
        <f>IF($B5="FY2026", IF(INDEX(Scenarios!$D:$D, MATCH($A5, Scenarios!$A:$A, 0))=0, IF(LEFT(INDEX(Scenarios!$O:$O, MATCH($A5, Scenarios!$A:$A, 0)),4)="Arts", Parameters_Public!$C$30, IF(LEFT(INDEX(Scenarios!$O:$O, MATCH($A5, Scenarios!$A:$A, 0)),5)="Innov", Parameters_Public!$C$31, 0)), 0), 0)</f>
        <v/>
      </c>
      <c r="F5">
        <f>IF($B5="FY2026", IF(INDEX(Scenarios!$E:$E, MATCH($A5, Scenarios!$A:$A, 0))=0, IF(LEFT(INDEX(Scenarios!$P:$P, MATCH($A5, Scenarios!$A:$A, 0)),4)="Arts", Parameters_Public!$C$30, IF(LEFT(INDEX(Scenarios!$P:$P, MATCH($A5, Scenarios!$A:$A, 0)),5)="Innov", Parameters_Public!$C$31, 0)), 0), 0)</f>
        <v/>
      </c>
      <c r="G5">
        <f>IF($B5="FY2026", INDEX(Receiving_Capacity!$L:$L, MATCH($A5, Receiving_Capacity!$A:$A, 0)), 0)</f>
        <v/>
      </c>
      <c r="H5">
        <f>SUM(D5:G5)</f>
        <v/>
      </c>
    </row>
    <row r="6">
      <c r="A6">
        <f>Scenarios!$A$3</f>
        <v/>
      </c>
      <c r="B6" t="inlineStr">
        <is>
          <t>FY2028</t>
        </is>
      </c>
      <c r="C6">
        <f>INDEX(Scenarios!$D:$D, MATCH($A6, Scenarios!$A:$A, 0)) + INDEX(Scenarios!$E:$E, MATCH($A6, Scenarios!$A:$A, 0))</f>
        <v/>
      </c>
      <c r="D6">
        <f>IF($B6="FY2026",$C6*IF(INDEX(Scenarios!$N:$N, MATCH($A6, Scenarios!$A:$A, 0))="lease", Parameters_Public!$C$33, Parameters_Public!$C$31),0)</f>
        <v/>
      </c>
      <c r="E6">
        <f>IF($B6="FY2026", IF(INDEX(Scenarios!$D:$D, MATCH($A6, Scenarios!$A:$A, 0))=0, IF(LEFT(INDEX(Scenarios!$O:$O, MATCH($A6, Scenarios!$A:$A, 0)),4)="Arts", Parameters_Public!$C$30, IF(LEFT(INDEX(Scenarios!$O:$O, MATCH($A6, Scenarios!$A:$A, 0)),5)="Innov", Parameters_Public!$C$31, 0)), 0), 0)</f>
        <v/>
      </c>
      <c r="F6">
        <f>IF($B6="FY2026", IF(INDEX(Scenarios!$E:$E, MATCH($A6, Scenarios!$A:$A, 0))=0, IF(LEFT(INDEX(Scenarios!$P:$P, MATCH($A6, Scenarios!$A:$A, 0)),4)="Arts", Parameters_Public!$C$30, IF(LEFT(INDEX(Scenarios!$P:$P, MATCH($A6, Scenarios!$A:$A, 0)),5)="Innov", Parameters_Public!$C$31, 0)), 0), 0)</f>
        <v/>
      </c>
      <c r="G6">
        <f>IF($B6="FY2026", INDEX(Receiving_Capacity!$L:$L, MATCH($A6, Receiving_Capacity!$A:$A, 0)), 0)</f>
        <v/>
      </c>
      <c r="H6">
        <f>SUM(D6:G6)</f>
        <v/>
      </c>
    </row>
    <row r="7">
      <c r="A7">
        <f>Scenarios!$A$3</f>
        <v/>
      </c>
      <c r="B7" t="inlineStr">
        <is>
          <t>FY2029</t>
        </is>
      </c>
      <c r="C7">
        <f>INDEX(Scenarios!$D:$D, MATCH($A7, Scenarios!$A:$A, 0)) + INDEX(Scenarios!$E:$E, MATCH($A7, Scenarios!$A:$A, 0))</f>
        <v/>
      </c>
      <c r="D7">
        <f>IF($B7="FY2026",$C7*IF(INDEX(Scenarios!$N:$N, MATCH($A7, Scenarios!$A:$A, 0))="lease", Parameters_Public!$C$33, Parameters_Public!$C$31),0)</f>
        <v/>
      </c>
      <c r="E7">
        <f>IF($B7="FY2026", IF(INDEX(Scenarios!$D:$D, MATCH($A7, Scenarios!$A:$A, 0))=0, IF(LEFT(INDEX(Scenarios!$O:$O, MATCH($A7, Scenarios!$A:$A, 0)),4)="Arts", Parameters_Public!$C$30, IF(LEFT(INDEX(Scenarios!$O:$O, MATCH($A7, Scenarios!$A:$A, 0)),5)="Innov", Parameters_Public!$C$31, 0)), 0), 0)</f>
        <v/>
      </c>
      <c r="F7">
        <f>IF($B7="FY2026", IF(INDEX(Scenarios!$E:$E, MATCH($A7, Scenarios!$A:$A, 0))=0, IF(LEFT(INDEX(Scenarios!$P:$P, MATCH($A7, Scenarios!$A:$A, 0)),4)="Arts", Parameters_Public!$C$30, IF(LEFT(INDEX(Scenarios!$P:$P, MATCH($A7, Scenarios!$A:$A, 0)),5)="Innov", Parameters_Public!$C$31, 0)), 0), 0)</f>
        <v/>
      </c>
      <c r="G7">
        <f>IF($B7="FY2026", INDEX(Receiving_Capacity!$L:$L, MATCH($A7, Receiving_Capacity!$A:$A, 0)), 0)</f>
        <v/>
      </c>
      <c r="H7">
        <f>SUM(D7:G7)</f>
        <v/>
      </c>
    </row>
    <row r="8">
      <c r="A8">
        <f>Scenarios!$A$3</f>
        <v/>
      </c>
      <c r="B8" t="inlineStr">
        <is>
          <t>FY2030</t>
        </is>
      </c>
      <c r="C8">
        <f>INDEX(Scenarios!$D:$D, MATCH($A8, Scenarios!$A:$A, 0)) + INDEX(Scenarios!$E:$E, MATCH($A8, Scenarios!$A:$A, 0))</f>
        <v/>
      </c>
      <c r="D8">
        <f>IF($B8="FY2026",$C8*IF(INDEX(Scenarios!$N:$N, MATCH($A8, Scenarios!$A:$A, 0))="lease", Parameters_Public!$C$33, Parameters_Public!$C$31),0)</f>
        <v/>
      </c>
      <c r="E8">
        <f>IF($B8="FY2026", IF(INDEX(Scenarios!$D:$D, MATCH($A8, Scenarios!$A:$A, 0))=0, IF(LEFT(INDEX(Scenarios!$O:$O, MATCH($A8, Scenarios!$A:$A, 0)),4)="Arts", Parameters_Public!$C$30, IF(LEFT(INDEX(Scenarios!$O:$O, MATCH($A8, Scenarios!$A:$A, 0)),5)="Innov", Parameters_Public!$C$31, 0)), 0), 0)</f>
        <v/>
      </c>
      <c r="F8">
        <f>IF($B8="FY2026", IF(INDEX(Scenarios!$E:$E, MATCH($A8, Scenarios!$A:$A, 0))=0, IF(LEFT(INDEX(Scenarios!$P:$P, MATCH($A8, Scenarios!$A:$A, 0)),4)="Arts", Parameters_Public!$C$30, IF(LEFT(INDEX(Scenarios!$P:$P, MATCH($A8, Scenarios!$A:$A, 0)),5)="Innov", Parameters_Public!$C$31, 0)), 0), 0)</f>
        <v/>
      </c>
      <c r="G8">
        <f>IF($B8="FY2026", INDEX(Receiving_Capacity!$L:$L, MATCH($A8, Receiving_Capacity!$A:$A, 0)), 0)</f>
        <v/>
      </c>
      <c r="H8">
        <f>SUM(D8:G8)</f>
        <v/>
      </c>
    </row>
    <row r="9">
      <c r="A9">
        <f>Scenarios!$A$4</f>
        <v/>
      </c>
      <c r="B9" t="inlineStr">
        <is>
          <t>FY2026</t>
        </is>
      </c>
      <c r="C9">
        <f>INDEX(Scenarios!$D:$D, MATCH($A9, Scenarios!$A:$A, 0)) + INDEX(Scenarios!$E:$E, MATCH($A9, Scenarios!$A:$A, 0))</f>
        <v/>
      </c>
      <c r="D9">
        <f>IF($B9="FY2026",$C9*IF(INDEX(Scenarios!$N:$N, MATCH($A9, Scenarios!$A:$A, 0))="lease", Parameters_Public!$C$33, Parameters_Public!$C$31),0)</f>
        <v/>
      </c>
      <c r="E9">
        <f>IF($B9="FY2026", IF(INDEX(Scenarios!$D:$D, MATCH($A9, Scenarios!$A:$A, 0))=0, IF(LEFT(INDEX(Scenarios!$O:$O, MATCH($A9, Scenarios!$A:$A, 0)),4)="Arts", Parameters_Public!$C$30, IF(LEFT(INDEX(Scenarios!$O:$O, MATCH($A9, Scenarios!$A:$A, 0)),5)="Innov", Parameters_Public!$C$31, 0)), 0), 0)</f>
        <v/>
      </c>
      <c r="F9">
        <f>IF($B9="FY2026", IF(INDEX(Scenarios!$E:$E, MATCH($A9, Scenarios!$A:$A, 0))=0, IF(LEFT(INDEX(Scenarios!$P:$P, MATCH($A9, Scenarios!$A:$A, 0)),4)="Arts", Parameters_Public!$C$30, IF(LEFT(INDEX(Scenarios!$P:$P, MATCH($A9, Scenarios!$A:$A, 0)),5)="Innov", Parameters_Public!$C$31, 0)), 0), 0)</f>
        <v/>
      </c>
      <c r="G9">
        <f>IF($B9="FY2026", INDEX(Receiving_Capacity!$L:$L, MATCH($A9, Receiving_Capacity!$A:$A, 0)), 0)</f>
        <v/>
      </c>
      <c r="H9">
        <f>SUM(D9:G9)</f>
        <v/>
      </c>
    </row>
    <row r="10">
      <c r="A10">
        <f>Scenarios!$A$4</f>
        <v/>
      </c>
      <c r="B10" t="inlineStr">
        <is>
          <t>FY2027</t>
        </is>
      </c>
      <c r="C10">
        <f>INDEX(Scenarios!$D:$D, MATCH($A10, Scenarios!$A:$A, 0)) + INDEX(Scenarios!$E:$E, MATCH($A10, Scenarios!$A:$A, 0))</f>
        <v/>
      </c>
      <c r="D10">
        <f>IF($B10="FY2026",$C10*IF(INDEX(Scenarios!$N:$N, MATCH($A10, Scenarios!$A:$A, 0))="lease", Parameters_Public!$C$33, Parameters_Public!$C$31),0)</f>
        <v/>
      </c>
      <c r="E10">
        <f>IF($B10="FY2026", IF(INDEX(Scenarios!$D:$D, MATCH($A10, Scenarios!$A:$A, 0))=0, IF(LEFT(INDEX(Scenarios!$O:$O, MATCH($A10, Scenarios!$A:$A, 0)),4)="Arts", Parameters_Public!$C$30, IF(LEFT(INDEX(Scenarios!$O:$O, MATCH($A10, Scenarios!$A:$A, 0)),5)="Innov", Parameters_Public!$C$31, 0)), 0), 0)</f>
        <v/>
      </c>
      <c r="F10">
        <f>IF($B10="FY2026", IF(INDEX(Scenarios!$E:$E, MATCH($A10, Scenarios!$A:$A, 0))=0, IF(LEFT(INDEX(Scenarios!$P:$P, MATCH($A10, Scenarios!$A:$A, 0)),4)="Arts", Parameters_Public!$C$30, IF(LEFT(INDEX(Scenarios!$P:$P, MATCH($A10, Scenarios!$A:$A, 0)),5)="Innov", Parameters_Public!$C$31, 0)), 0), 0)</f>
        <v/>
      </c>
      <c r="G10">
        <f>IF($B10="FY2026", INDEX(Receiving_Capacity!$L:$L, MATCH($A10, Receiving_Capacity!$A:$A, 0)), 0)</f>
        <v/>
      </c>
      <c r="H10">
        <f>SUM(D10:G10)</f>
        <v/>
      </c>
    </row>
    <row r="11">
      <c r="A11">
        <f>Scenarios!$A$4</f>
        <v/>
      </c>
      <c r="B11" t="inlineStr">
        <is>
          <t>FY2028</t>
        </is>
      </c>
      <c r="C11">
        <f>INDEX(Scenarios!$D:$D, MATCH($A11, Scenarios!$A:$A, 0)) + INDEX(Scenarios!$E:$E, MATCH($A11, Scenarios!$A:$A, 0))</f>
        <v/>
      </c>
      <c r="D11">
        <f>IF($B11="FY2026",$C11*IF(INDEX(Scenarios!$N:$N, MATCH($A11, Scenarios!$A:$A, 0))="lease", Parameters_Public!$C$33, Parameters_Public!$C$31),0)</f>
        <v/>
      </c>
      <c r="E11">
        <f>IF($B11="FY2026", IF(INDEX(Scenarios!$D:$D, MATCH($A11, Scenarios!$A:$A, 0))=0, IF(LEFT(INDEX(Scenarios!$O:$O, MATCH($A11, Scenarios!$A:$A, 0)),4)="Arts", Parameters_Public!$C$30, IF(LEFT(INDEX(Scenarios!$O:$O, MATCH($A11, Scenarios!$A:$A, 0)),5)="Innov", Parameters_Public!$C$31, 0)), 0), 0)</f>
        <v/>
      </c>
      <c r="F11">
        <f>IF($B11="FY2026", IF(INDEX(Scenarios!$E:$E, MATCH($A11, Scenarios!$A:$A, 0))=0, IF(LEFT(INDEX(Scenarios!$P:$P, MATCH($A11, Scenarios!$A:$A, 0)),4)="Arts", Parameters_Public!$C$30, IF(LEFT(INDEX(Scenarios!$P:$P, MATCH($A11, Scenarios!$A:$A, 0)),5)="Innov", Parameters_Public!$C$31, 0)), 0), 0)</f>
        <v/>
      </c>
      <c r="G11">
        <f>IF($B11="FY2026", INDEX(Receiving_Capacity!$L:$L, MATCH($A11, Receiving_Capacity!$A:$A, 0)), 0)</f>
        <v/>
      </c>
      <c r="H11">
        <f>SUM(D11:G11)</f>
        <v/>
      </c>
    </row>
    <row r="12">
      <c r="A12">
        <f>Scenarios!$A$4</f>
        <v/>
      </c>
      <c r="B12" t="inlineStr">
        <is>
          <t>FY2029</t>
        </is>
      </c>
      <c r="C12">
        <f>INDEX(Scenarios!$D:$D, MATCH($A12, Scenarios!$A:$A, 0)) + INDEX(Scenarios!$E:$E, MATCH($A12, Scenarios!$A:$A, 0))</f>
        <v/>
      </c>
      <c r="D12">
        <f>IF($B12="FY2026",$C12*IF(INDEX(Scenarios!$N:$N, MATCH($A12, Scenarios!$A:$A, 0))="lease", Parameters_Public!$C$33, Parameters_Public!$C$31),0)</f>
        <v/>
      </c>
      <c r="E12">
        <f>IF($B12="FY2026", IF(INDEX(Scenarios!$D:$D, MATCH($A12, Scenarios!$A:$A, 0))=0, IF(LEFT(INDEX(Scenarios!$O:$O, MATCH($A12, Scenarios!$A:$A, 0)),4)="Arts", Parameters_Public!$C$30, IF(LEFT(INDEX(Scenarios!$O:$O, MATCH($A12, Scenarios!$A:$A, 0)),5)="Innov", Parameters_Public!$C$31, 0)), 0), 0)</f>
        <v/>
      </c>
      <c r="F12">
        <f>IF($B12="FY2026", IF(INDEX(Scenarios!$E:$E, MATCH($A12, Scenarios!$A:$A, 0))=0, IF(LEFT(INDEX(Scenarios!$P:$P, MATCH($A12, Scenarios!$A:$A, 0)),4)="Arts", Parameters_Public!$C$30, IF(LEFT(INDEX(Scenarios!$P:$P, MATCH($A12, Scenarios!$A:$A, 0)),5)="Innov", Parameters_Public!$C$31, 0)), 0), 0)</f>
        <v/>
      </c>
      <c r="G12">
        <f>IF($B12="FY2026", INDEX(Receiving_Capacity!$L:$L, MATCH($A12, Receiving_Capacity!$A:$A, 0)), 0)</f>
        <v/>
      </c>
      <c r="H12">
        <f>SUM(D12:G12)</f>
        <v/>
      </c>
    </row>
    <row r="13">
      <c r="A13">
        <f>Scenarios!$A$4</f>
        <v/>
      </c>
      <c r="B13" t="inlineStr">
        <is>
          <t>FY2030</t>
        </is>
      </c>
      <c r="C13">
        <f>INDEX(Scenarios!$D:$D, MATCH($A13, Scenarios!$A:$A, 0)) + INDEX(Scenarios!$E:$E, MATCH($A13, Scenarios!$A:$A, 0))</f>
        <v/>
      </c>
      <c r="D13">
        <f>IF($B13="FY2026",$C13*IF(INDEX(Scenarios!$N:$N, MATCH($A13, Scenarios!$A:$A, 0))="lease", Parameters_Public!$C$33, Parameters_Public!$C$31),0)</f>
        <v/>
      </c>
      <c r="E13">
        <f>IF($B13="FY2026", IF(INDEX(Scenarios!$D:$D, MATCH($A13, Scenarios!$A:$A, 0))=0, IF(LEFT(INDEX(Scenarios!$O:$O, MATCH($A13, Scenarios!$A:$A, 0)),4)="Arts", Parameters_Public!$C$30, IF(LEFT(INDEX(Scenarios!$O:$O, MATCH($A13, Scenarios!$A:$A, 0)),5)="Innov", Parameters_Public!$C$31, 0)), 0), 0)</f>
        <v/>
      </c>
      <c r="F13">
        <f>IF($B13="FY2026", IF(INDEX(Scenarios!$E:$E, MATCH($A13, Scenarios!$A:$A, 0))=0, IF(LEFT(INDEX(Scenarios!$P:$P, MATCH($A13, Scenarios!$A:$A, 0)),4)="Arts", Parameters_Public!$C$30, IF(LEFT(INDEX(Scenarios!$P:$P, MATCH($A13, Scenarios!$A:$A, 0)),5)="Innov", Parameters_Public!$C$31, 0)), 0), 0)</f>
        <v/>
      </c>
      <c r="G13">
        <f>IF($B13="FY2026", INDEX(Receiving_Capacity!$L:$L, MATCH($A13, Receiving_Capacity!$A:$A, 0)), 0)</f>
        <v/>
      </c>
      <c r="H13">
        <f>SUM(D13:G13)</f>
        <v/>
      </c>
    </row>
    <row r="14">
      <c r="A14">
        <f>Scenarios!$A$5</f>
        <v/>
      </c>
      <c r="B14" t="inlineStr">
        <is>
          <t>FY2026</t>
        </is>
      </c>
      <c r="C14">
        <f>INDEX(Scenarios!$D:$D, MATCH($A14, Scenarios!$A:$A, 0)) + INDEX(Scenarios!$E:$E, MATCH($A14, Scenarios!$A:$A, 0))</f>
        <v/>
      </c>
      <c r="D14">
        <f>IF($B14="FY2026",$C14*IF(INDEX(Scenarios!$N:$N, MATCH($A14, Scenarios!$A:$A, 0))="lease", Parameters_Public!$C$33, Parameters_Public!$C$31),0)</f>
        <v/>
      </c>
      <c r="E14">
        <f>IF($B14="FY2026", IF(INDEX(Scenarios!$D:$D, MATCH($A14, Scenarios!$A:$A, 0))=0, IF(LEFT(INDEX(Scenarios!$O:$O, MATCH($A14, Scenarios!$A:$A, 0)),4)="Arts", Parameters_Public!$C$30, IF(LEFT(INDEX(Scenarios!$O:$O, MATCH($A14, Scenarios!$A:$A, 0)),5)="Innov", Parameters_Public!$C$31, 0)), 0), 0)</f>
        <v/>
      </c>
      <c r="F14">
        <f>IF($B14="FY2026", IF(INDEX(Scenarios!$E:$E, MATCH($A14, Scenarios!$A:$A, 0))=0, IF(LEFT(INDEX(Scenarios!$P:$P, MATCH($A14, Scenarios!$A:$A, 0)),4)="Arts", Parameters_Public!$C$30, IF(LEFT(INDEX(Scenarios!$P:$P, MATCH($A14, Scenarios!$A:$A, 0)),5)="Innov", Parameters_Public!$C$31, 0)), 0), 0)</f>
        <v/>
      </c>
      <c r="G14">
        <f>IF($B14="FY2026", INDEX(Receiving_Capacity!$L:$L, MATCH($A14, Receiving_Capacity!$A:$A, 0)), 0)</f>
        <v/>
      </c>
      <c r="H14">
        <f>SUM(D14:G14)</f>
        <v/>
      </c>
    </row>
    <row r="15">
      <c r="A15">
        <f>Scenarios!$A$5</f>
        <v/>
      </c>
      <c r="B15" t="inlineStr">
        <is>
          <t>FY2027</t>
        </is>
      </c>
      <c r="C15">
        <f>INDEX(Scenarios!$D:$D, MATCH($A15, Scenarios!$A:$A, 0)) + INDEX(Scenarios!$E:$E, MATCH($A15, Scenarios!$A:$A, 0))</f>
        <v/>
      </c>
      <c r="D15">
        <f>IF($B15="FY2026",$C15*IF(INDEX(Scenarios!$N:$N, MATCH($A15, Scenarios!$A:$A, 0))="lease", Parameters_Public!$C$33, Parameters_Public!$C$31),0)</f>
        <v/>
      </c>
      <c r="E15">
        <f>IF($B15="FY2026", IF(INDEX(Scenarios!$D:$D, MATCH($A15, Scenarios!$A:$A, 0))=0, IF(LEFT(INDEX(Scenarios!$O:$O, MATCH($A15, Scenarios!$A:$A, 0)),4)="Arts", Parameters_Public!$C$30, IF(LEFT(INDEX(Scenarios!$O:$O, MATCH($A15, Scenarios!$A:$A, 0)),5)="Innov", Parameters_Public!$C$31, 0)), 0), 0)</f>
        <v/>
      </c>
      <c r="F15">
        <f>IF($B15="FY2026", IF(INDEX(Scenarios!$E:$E, MATCH($A15, Scenarios!$A:$A, 0))=0, IF(LEFT(INDEX(Scenarios!$P:$P, MATCH($A15, Scenarios!$A:$A, 0)),4)="Arts", Parameters_Public!$C$30, IF(LEFT(INDEX(Scenarios!$P:$P, MATCH($A15, Scenarios!$A:$A, 0)),5)="Innov", Parameters_Public!$C$31, 0)), 0), 0)</f>
        <v/>
      </c>
      <c r="G15">
        <f>IF($B15="FY2026", INDEX(Receiving_Capacity!$L:$L, MATCH($A15, Receiving_Capacity!$A:$A, 0)), 0)</f>
        <v/>
      </c>
      <c r="H15">
        <f>SUM(D15:G15)</f>
        <v/>
      </c>
    </row>
    <row r="16">
      <c r="A16">
        <f>Scenarios!$A$5</f>
        <v/>
      </c>
      <c r="B16" t="inlineStr">
        <is>
          <t>FY2028</t>
        </is>
      </c>
      <c r="C16">
        <f>INDEX(Scenarios!$D:$D, MATCH($A16, Scenarios!$A:$A, 0)) + INDEX(Scenarios!$E:$E, MATCH($A16, Scenarios!$A:$A, 0))</f>
        <v/>
      </c>
      <c r="D16">
        <f>IF($B16="FY2026",$C16*IF(INDEX(Scenarios!$N:$N, MATCH($A16, Scenarios!$A:$A, 0))="lease", Parameters_Public!$C$33, Parameters_Public!$C$31),0)</f>
        <v/>
      </c>
      <c r="E16">
        <f>IF($B16="FY2026", IF(INDEX(Scenarios!$D:$D, MATCH($A16, Scenarios!$A:$A, 0))=0, IF(LEFT(INDEX(Scenarios!$O:$O, MATCH($A16, Scenarios!$A:$A, 0)),4)="Arts", Parameters_Public!$C$30, IF(LEFT(INDEX(Scenarios!$O:$O, MATCH($A16, Scenarios!$A:$A, 0)),5)="Innov", Parameters_Public!$C$31, 0)), 0), 0)</f>
        <v/>
      </c>
      <c r="F16">
        <f>IF($B16="FY2026", IF(INDEX(Scenarios!$E:$E, MATCH($A16, Scenarios!$A:$A, 0))=0, IF(LEFT(INDEX(Scenarios!$P:$P, MATCH($A16, Scenarios!$A:$A, 0)),4)="Arts", Parameters_Public!$C$30, IF(LEFT(INDEX(Scenarios!$P:$P, MATCH($A16, Scenarios!$A:$A, 0)),5)="Innov", Parameters_Public!$C$31, 0)), 0), 0)</f>
        <v/>
      </c>
      <c r="G16">
        <f>IF($B16="FY2026", INDEX(Receiving_Capacity!$L:$L, MATCH($A16, Receiving_Capacity!$A:$A, 0)), 0)</f>
        <v/>
      </c>
      <c r="H16">
        <f>SUM(D16:G16)</f>
        <v/>
      </c>
    </row>
    <row r="17">
      <c r="A17">
        <f>Scenarios!$A$5</f>
        <v/>
      </c>
      <c r="B17" t="inlineStr">
        <is>
          <t>FY2029</t>
        </is>
      </c>
      <c r="C17">
        <f>INDEX(Scenarios!$D:$D, MATCH($A17, Scenarios!$A:$A, 0)) + INDEX(Scenarios!$E:$E, MATCH($A17, Scenarios!$A:$A, 0))</f>
        <v/>
      </c>
      <c r="D17">
        <f>IF($B17="FY2026",$C17*IF(INDEX(Scenarios!$N:$N, MATCH($A17, Scenarios!$A:$A, 0))="lease", Parameters_Public!$C$33, Parameters_Public!$C$31),0)</f>
        <v/>
      </c>
      <c r="E17">
        <f>IF($B17="FY2026", IF(INDEX(Scenarios!$D:$D, MATCH($A17, Scenarios!$A:$A, 0))=0, IF(LEFT(INDEX(Scenarios!$O:$O, MATCH($A17, Scenarios!$A:$A, 0)),4)="Arts", Parameters_Public!$C$30, IF(LEFT(INDEX(Scenarios!$O:$O, MATCH($A17, Scenarios!$A:$A, 0)),5)="Innov", Parameters_Public!$C$31, 0)), 0), 0)</f>
        <v/>
      </c>
      <c r="F17">
        <f>IF($B17="FY2026", IF(INDEX(Scenarios!$E:$E, MATCH($A17, Scenarios!$A:$A, 0))=0, IF(LEFT(INDEX(Scenarios!$P:$P, MATCH($A17, Scenarios!$A:$A, 0)),4)="Arts", Parameters_Public!$C$30, IF(LEFT(INDEX(Scenarios!$P:$P, MATCH($A17, Scenarios!$A:$A, 0)),5)="Innov", Parameters_Public!$C$31, 0)), 0), 0)</f>
        <v/>
      </c>
      <c r="G17">
        <f>IF($B17="FY2026", INDEX(Receiving_Capacity!$L:$L, MATCH($A17, Receiving_Capacity!$A:$A, 0)), 0)</f>
        <v/>
      </c>
      <c r="H17">
        <f>SUM(D17:G17)</f>
        <v/>
      </c>
    </row>
    <row r="18">
      <c r="A18">
        <f>Scenarios!$A$5</f>
        <v/>
      </c>
      <c r="B18" t="inlineStr">
        <is>
          <t>FY2030</t>
        </is>
      </c>
      <c r="C18">
        <f>INDEX(Scenarios!$D:$D, MATCH($A18, Scenarios!$A:$A, 0)) + INDEX(Scenarios!$E:$E, MATCH($A18, Scenarios!$A:$A, 0))</f>
        <v/>
      </c>
      <c r="D18">
        <f>IF($B18="FY2026",$C18*IF(INDEX(Scenarios!$N:$N, MATCH($A18, Scenarios!$A:$A, 0))="lease", Parameters_Public!$C$33, Parameters_Public!$C$31),0)</f>
        <v/>
      </c>
      <c r="E18">
        <f>IF($B18="FY2026", IF(INDEX(Scenarios!$D:$D, MATCH($A18, Scenarios!$A:$A, 0))=0, IF(LEFT(INDEX(Scenarios!$O:$O, MATCH($A18, Scenarios!$A:$A, 0)),4)="Arts", Parameters_Public!$C$30, IF(LEFT(INDEX(Scenarios!$O:$O, MATCH($A18, Scenarios!$A:$A, 0)),5)="Innov", Parameters_Public!$C$31, 0)), 0), 0)</f>
        <v/>
      </c>
      <c r="F18">
        <f>IF($B18="FY2026", IF(INDEX(Scenarios!$E:$E, MATCH($A18, Scenarios!$A:$A, 0))=0, IF(LEFT(INDEX(Scenarios!$P:$P, MATCH($A18, Scenarios!$A:$A, 0)),4)="Arts", Parameters_Public!$C$30, IF(LEFT(INDEX(Scenarios!$P:$P, MATCH($A18, Scenarios!$A:$A, 0)),5)="Innov", Parameters_Public!$C$31, 0)), 0), 0)</f>
        <v/>
      </c>
      <c r="G18">
        <f>IF($B18="FY2026", INDEX(Receiving_Capacity!$L:$L, MATCH($A18, Receiving_Capacity!$A:$A, 0)), 0)</f>
        <v/>
      </c>
      <c r="H18">
        <f>SUM(D18:G18)</f>
        <v/>
      </c>
    </row>
    <row r="19">
      <c r="A19">
        <f>Scenarios!$A$6</f>
        <v/>
      </c>
      <c r="B19" t="inlineStr">
        <is>
          <t>FY2026</t>
        </is>
      </c>
      <c r="C19">
        <f>INDEX(Scenarios!$D:$D, MATCH($A19, Scenarios!$A:$A, 0)) + INDEX(Scenarios!$E:$E, MATCH($A19, Scenarios!$A:$A, 0))</f>
        <v/>
      </c>
      <c r="D19">
        <f>IF($B19="FY2026",$C19*IF(INDEX(Scenarios!$N:$N, MATCH($A19, Scenarios!$A:$A, 0))="lease", Parameters_Public!$C$33, Parameters_Public!$C$31),0)</f>
        <v/>
      </c>
      <c r="E19">
        <f>IF($B19="FY2026", IF(INDEX(Scenarios!$D:$D, MATCH($A19, Scenarios!$A:$A, 0))=0, IF(LEFT(INDEX(Scenarios!$O:$O, MATCH($A19, Scenarios!$A:$A, 0)),4)="Arts", Parameters_Public!$C$30, IF(LEFT(INDEX(Scenarios!$O:$O, MATCH($A19, Scenarios!$A:$A, 0)),5)="Innov", Parameters_Public!$C$31, 0)), 0), 0)</f>
        <v/>
      </c>
      <c r="F19">
        <f>IF($B19="FY2026", IF(INDEX(Scenarios!$E:$E, MATCH($A19, Scenarios!$A:$A, 0))=0, IF(LEFT(INDEX(Scenarios!$P:$P, MATCH($A19, Scenarios!$A:$A, 0)),4)="Arts", Parameters_Public!$C$30, IF(LEFT(INDEX(Scenarios!$P:$P, MATCH($A19, Scenarios!$A:$A, 0)),5)="Innov", Parameters_Public!$C$31, 0)), 0), 0)</f>
        <v/>
      </c>
      <c r="G19">
        <f>IF($B19="FY2026", INDEX(Receiving_Capacity!$L:$L, MATCH($A19, Receiving_Capacity!$A:$A, 0)), 0)</f>
        <v/>
      </c>
      <c r="H19">
        <f>SUM(D19:G19)</f>
        <v/>
      </c>
    </row>
    <row r="20">
      <c r="A20">
        <f>Scenarios!$A$6</f>
        <v/>
      </c>
      <c r="B20" t="inlineStr">
        <is>
          <t>FY2027</t>
        </is>
      </c>
      <c r="C20">
        <f>INDEX(Scenarios!$D:$D, MATCH($A20, Scenarios!$A:$A, 0)) + INDEX(Scenarios!$E:$E, MATCH($A20, Scenarios!$A:$A, 0))</f>
        <v/>
      </c>
      <c r="D20">
        <f>IF($B20="FY2026",$C20*IF(INDEX(Scenarios!$N:$N, MATCH($A20, Scenarios!$A:$A, 0))="lease", Parameters_Public!$C$33, Parameters_Public!$C$31),0)</f>
        <v/>
      </c>
      <c r="E20">
        <f>IF($B20="FY2026", IF(INDEX(Scenarios!$D:$D, MATCH($A20, Scenarios!$A:$A, 0))=0, IF(LEFT(INDEX(Scenarios!$O:$O, MATCH($A20, Scenarios!$A:$A, 0)),4)="Arts", Parameters_Public!$C$30, IF(LEFT(INDEX(Scenarios!$O:$O, MATCH($A20, Scenarios!$A:$A, 0)),5)="Innov", Parameters_Public!$C$31, 0)), 0), 0)</f>
        <v/>
      </c>
      <c r="F20">
        <f>IF($B20="FY2026", IF(INDEX(Scenarios!$E:$E, MATCH($A20, Scenarios!$A:$A, 0))=0, IF(LEFT(INDEX(Scenarios!$P:$P, MATCH($A20, Scenarios!$A:$A, 0)),4)="Arts", Parameters_Public!$C$30, IF(LEFT(INDEX(Scenarios!$P:$P, MATCH($A20, Scenarios!$A:$A, 0)),5)="Innov", Parameters_Public!$C$31, 0)), 0), 0)</f>
        <v/>
      </c>
      <c r="G20">
        <f>IF($B20="FY2026", INDEX(Receiving_Capacity!$L:$L, MATCH($A20, Receiving_Capacity!$A:$A, 0)), 0)</f>
        <v/>
      </c>
      <c r="H20">
        <f>SUM(D20:G20)</f>
        <v/>
      </c>
    </row>
    <row r="21">
      <c r="A21">
        <f>Scenarios!$A$6</f>
        <v/>
      </c>
      <c r="B21" t="inlineStr">
        <is>
          <t>FY2028</t>
        </is>
      </c>
      <c r="C21">
        <f>INDEX(Scenarios!$D:$D, MATCH($A21, Scenarios!$A:$A, 0)) + INDEX(Scenarios!$E:$E, MATCH($A21, Scenarios!$A:$A, 0))</f>
        <v/>
      </c>
      <c r="D21">
        <f>IF($B21="FY2026",$C21*IF(INDEX(Scenarios!$N:$N, MATCH($A21, Scenarios!$A:$A, 0))="lease", Parameters_Public!$C$33, Parameters_Public!$C$31),0)</f>
        <v/>
      </c>
      <c r="E21">
        <f>IF($B21="FY2026", IF(INDEX(Scenarios!$D:$D, MATCH($A21, Scenarios!$A:$A, 0))=0, IF(LEFT(INDEX(Scenarios!$O:$O, MATCH($A21, Scenarios!$A:$A, 0)),4)="Arts", Parameters_Public!$C$30, IF(LEFT(INDEX(Scenarios!$O:$O, MATCH($A21, Scenarios!$A:$A, 0)),5)="Innov", Parameters_Public!$C$31, 0)), 0), 0)</f>
        <v/>
      </c>
      <c r="F21">
        <f>IF($B21="FY2026", IF(INDEX(Scenarios!$E:$E, MATCH($A21, Scenarios!$A:$A, 0))=0, IF(LEFT(INDEX(Scenarios!$P:$P, MATCH($A21, Scenarios!$A:$A, 0)),4)="Arts", Parameters_Public!$C$30, IF(LEFT(INDEX(Scenarios!$P:$P, MATCH($A21, Scenarios!$A:$A, 0)),5)="Innov", Parameters_Public!$C$31, 0)), 0), 0)</f>
        <v/>
      </c>
      <c r="G21">
        <f>IF($B21="FY2026", INDEX(Receiving_Capacity!$L:$L, MATCH($A21, Receiving_Capacity!$A:$A, 0)), 0)</f>
        <v/>
      </c>
      <c r="H21">
        <f>SUM(D21:G21)</f>
        <v/>
      </c>
    </row>
    <row r="22">
      <c r="A22">
        <f>Scenarios!$A$6</f>
        <v/>
      </c>
      <c r="B22" t="inlineStr">
        <is>
          <t>FY2029</t>
        </is>
      </c>
      <c r="C22">
        <f>INDEX(Scenarios!$D:$D, MATCH($A22, Scenarios!$A:$A, 0)) + INDEX(Scenarios!$E:$E, MATCH($A22, Scenarios!$A:$A, 0))</f>
        <v/>
      </c>
      <c r="D22">
        <f>IF($B22="FY2026",$C22*IF(INDEX(Scenarios!$N:$N, MATCH($A22, Scenarios!$A:$A, 0))="lease", Parameters_Public!$C$33, Parameters_Public!$C$31),0)</f>
        <v/>
      </c>
      <c r="E22">
        <f>IF($B22="FY2026", IF(INDEX(Scenarios!$D:$D, MATCH($A22, Scenarios!$A:$A, 0))=0, IF(LEFT(INDEX(Scenarios!$O:$O, MATCH($A22, Scenarios!$A:$A, 0)),4)="Arts", Parameters_Public!$C$30, IF(LEFT(INDEX(Scenarios!$O:$O, MATCH($A22, Scenarios!$A:$A, 0)),5)="Innov", Parameters_Public!$C$31, 0)), 0), 0)</f>
        <v/>
      </c>
      <c r="F22">
        <f>IF($B22="FY2026", IF(INDEX(Scenarios!$E:$E, MATCH($A22, Scenarios!$A:$A, 0))=0, IF(LEFT(INDEX(Scenarios!$P:$P, MATCH($A22, Scenarios!$A:$A, 0)),4)="Arts", Parameters_Public!$C$30, IF(LEFT(INDEX(Scenarios!$P:$P, MATCH($A22, Scenarios!$A:$A, 0)),5)="Innov", Parameters_Public!$C$31, 0)), 0), 0)</f>
        <v/>
      </c>
      <c r="G22">
        <f>IF($B22="FY2026", INDEX(Receiving_Capacity!$L:$L, MATCH($A22, Receiving_Capacity!$A:$A, 0)), 0)</f>
        <v/>
      </c>
      <c r="H22">
        <f>SUM(D22:G22)</f>
        <v/>
      </c>
    </row>
    <row r="23">
      <c r="A23">
        <f>Scenarios!$A$6</f>
        <v/>
      </c>
      <c r="B23" t="inlineStr">
        <is>
          <t>FY2030</t>
        </is>
      </c>
      <c r="C23">
        <f>INDEX(Scenarios!$D:$D, MATCH($A23, Scenarios!$A:$A, 0)) + INDEX(Scenarios!$E:$E, MATCH($A23, Scenarios!$A:$A, 0))</f>
        <v/>
      </c>
      <c r="D23">
        <f>IF($B23="FY2026",$C23*IF(INDEX(Scenarios!$N:$N, MATCH($A23, Scenarios!$A:$A, 0))="lease", Parameters_Public!$C$33, Parameters_Public!$C$31),0)</f>
        <v/>
      </c>
      <c r="E23">
        <f>IF($B23="FY2026", IF(INDEX(Scenarios!$D:$D, MATCH($A23, Scenarios!$A:$A, 0))=0, IF(LEFT(INDEX(Scenarios!$O:$O, MATCH($A23, Scenarios!$A:$A, 0)),4)="Arts", Parameters_Public!$C$30, IF(LEFT(INDEX(Scenarios!$O:$O, MATCH($A23, Scenarios!$A:$A, 0)),5)="Innov", Parameters_Public!$C$31, 0)), 0), 0)</f>
        <v/>
      </c>
      <c r="F23">
        <f>IF($B23="FY2026", IF(INDEX(Scenarios!$E:$E, MATCH($A23, Scenarios!$A:$A, 0))=0, IF(LEFT(INDEX(Scenarios!$P:$P, MATCH($A23, Scenarios!$A:$A, 0)),4)="Arts", Parameters_Public!$C$30, IF(LEFT(INDEX(Scenarios!$P:$P, MATCH($A23, Scenarios!$A:$A, 0)),5)="Innov", Parameters_Public!$C$31, 0)), 0), 0)</f>
        <v/>
      </c>
      <c r="G23">
        <f>IF($B23="FY2026", INDEX(Receiving_Capacity!$L:$L, MATCH($A23, Receiving_Capacity!$A:$A, 0)), 0)</f>
        <v/>
      </c>
      <c r="H23">
        <f>SUM(D23:G23)</f>
        <v/>
      </c>
    </row>
    <row r="24">
      <c r="A24">
        <f>Scenarios!$A$7</f>
        <v/>
      </c>
      <c r="B24" t="inlineStr">
        <is>
          <t>FY2026</t>
        </is>
      </c>
      <c r="C24">
        <f>INDEX(Scenarios!$D:$D, MATCH($A24, Scenarios!$A:$A, 0)) + INDEX(Scenarios!$E:$E, MATCH($A24, Scenarios!$A:$A, 0))</f>
        <v/>
      </c>
      <c r="D24">
        <f>IF($B24="FY2026",$C24*IF(INDEX(Scenarios!$N:$N, MATCH($A24, Scenarios!$A:$A, 0))="lease", Parameters_Public!$C$33, Parameters_Public!$C$31),0)</f>
        <v/>
      </c>
      <c r="E24">
        <f>IF($B24="FY2026", IF(INDEX(Scenarios!$D:$D, MATCH($A24, Scenarios!$A:$A, 0))=0, IF(LEFT(INDEX(Scenarios!$O:$O, MATCH($A24, Scenarios!$A:$A, 0)),4)="Arts", Parameters_Public!$C$30, IF(LEFT(INDEX(Scenarios!$O:$O, MATCH($A24, Scenarios!$A:$A, 0)),5)="Innov", Parameters_Public!$C$31, 0)), 0), 0)</f>
        <v/>
      </c>
      <c r="F24">
        <f>IF($B24="FY2026", IF(INDEX(Scenarios!$E:$E, MATCH($A24, Scenarios!$A:$A, 0))=0, IF(LEFT(INDEX(Scenarios!$P:$P, MATCH($A24, Scenarios!$A:$A, 0)),4)="Arts", Parameters_Public!$C$30, IF(LEFT(INDEX(Scenarios!$P:$P, MATCH($A24, Scenarios!$A:$A, 0)),5)="Innov", Parameters_Public!$C$31, 0)), 0), 0)</f>
        <v/>
      </c>
      <c r="G24">
        <f>IF($B24="FY2026", INDEX(Receiving_Capacity!$L:$L, MATCH($A24, Receiving_Capacity!$A:$A, 0)), 0)</f>
        <v/>
      </c>
      <c r="H24">
        <f>SUM(D24:G24)</f>
        <v/>
      </c>
    </row>
    <row r="25">
      <c r="A25">
        <f>Scenarios!$A$7</f>
        <v/>
      </c>
      <c r="B25" t="inlineStr">
        <is>
          <t>FY2027</t>
        </is>
      </c>
      <c r="C25">
        <f>INDEX(Scenarios!$D:$D, MATCH($A25, Scenarios!$A:$A, 0)) + INDEX(Scenarios!$E:$E, MATCH($A25, Scenarios!$A:$A, 0))</f>
        <v/>
      </c>
      <c r="D25">
        <f>IF($B25="FY2026",$C25*IF(INDEX(Scenarios!$N:$N, MATCH($A25, Scenarios!$A:$A, 0))="lease", Parameters_Public!$C$33, Parameters_Public!$C$31),0)</f>
        <v/>
      </c>
      <c r="E25">
        <f>IF($B25="FY2026", IF(INDEX(Scenarios!$D:$D, MATCH($A25, Scenarios!$A:$A, 0))=0, IF(LEFT(INDEX(Scenarios!$O:$O, MATCH($A25, Scenarios!$A:$A, 0)),4)="Arts", Parameters_Public!$C$30, IF(LEFT(INDEX(Scenarios!$O:$O, MATCH($A25, Scenarios!$A:$A, 0)),5)="Innov", Parameters_Public!$C$31, 0)), 0), 0)</f>
        <v/>
      </c>
      <c r="F25">
        <f>IF($B25="FY2026", IF(INDEX(Scenarios!$E:$E, MATCH($A25, Scenarios!$A:$A, 0))=0, IF(LEFT(INDEX(Scenarios!$P:$P, MATCH($A25, Scenarios!$A:$A, 0)),4)="Arts", Parameters_Public!$C$30, IF(LEFT(INDEX(Scenarios!$P:$P, MATCH($A25, Scenarios!$A:$A, 0)),5)="Innov", Parameters_Public!$C$31, 0)), 0), 0)</f>
        <v/>
      </c>
      <c r="G25">
        <f>IF($B25="FY2026", INDEX(Receiving_Capacity!$L:$L, MATCH($A25, Receiving_Capacity!$A:$A, 0)), 0)</f>
        <v/>
      </c>
      <c r="H25">
        <f>SUM(D25:G25)</f>
        <v/>
      </c>
    </row>
    <row r="26">
      <c r="A26">
        <f>Scenarios!$A$7</f>
        <v/>
      </c>
      <c r="B26" t="inlineStr">
        <is>
          <t>FY2028</t>
        </is>
      </c>
      <c r="C26">
        <f>INDEX(Scenarios!$D:$D, MATCH($A26, Scenarios!$A:$A, 0)) + INDEX(Scenarios!$E:$E, MATCH($A26, Scenarios!$A:$A, 0))</f>
        <v/>
      </c>
      <c r="D26">
        <f>IF($B26="FY2026",$C26*IF(INDEX(Scenarios!$N:$N, MATCH($A26, Scenarios!$A:$A, 0))="lease", Parameters_Public!$C$33, Parameters_Public!$C$31),0)</f>
        <v/>
      </c>
      <c r="E26">
        <f>IF($B26="FY2026", IF(INDEX(Scenarios!$D:$D, MATCH($A26, Scenarios!$A:$A, 0))=0, IF(LEFT(INDEX(Scenarios!$O:$O, MATCH($A26, Scenarios!$A:$A, 0)),4)="Arts", Parameters_Public!$C$30, IF(LEFT(INDEX(Scenarios!$O:$O, MATCH($A26, Scenarios!$A:$A, 0)),5)="Innov", Parameters_Public!$C$31, 0)), 0), 0)</f>
        <v/>
      </c>
      <c r="F26">
        <f>IF($B26="FY2026", IF(INDEX(Scenarios!$E:$E, MATCH($A26, Scenarios!$A:$A, 0))=0, IF(LEFT(INDEX(Scenarios!$P:$P, MATCH($A26, Scenarios!$A:$A, 0)),4)="Arts", Parameters_Public!$C$30, IF(LEFT(INDEX(Scenarios!$P:$P, MATCH($A26, Scenarios!$A:$A, 0)),5)="Innov", Parameters_Public!$C$31, 0)), 0), 0)</f>
        <v/>
      </c>
      <c r="G26">
        <f>IF($B26="FY2026", INDEX(Receiving_Capacity!$L:$L, MATCH($A26, Receiving_Capacity!$A:$A, 0)), 0)</f>
        <v/>
      </c>
      <c r="H26">
        <f>SUM(D26:G26)</f>
        <v/>
      </c>
    </row>
    <row r="27">
      <c r="A27">
        <f>Scenarios!$A$7</f>
        <v/>
      </c>
      <c r="B27" t="inlineStr">
        <is>
          <t>FY2029</t>
        </is>
      </c>
      <c r="C27">
        <f>INDEX(Scenarios!$D:$D, MATCH($A27, Scenarios!$A:$A, 0)) + INDEX(Scenarios!$E:$E, MATCH($A27, Scenarios!$A:$A, 0))</f>
        <v/>
      </c>
      <c r="D27">
        <f>IF($B27="FY2026",$C27*IF(INDEX(Scenarios!$N:$N, MATCH($A27, Scenarios!$A:$A, 0))="lease", Parameters_Public!$C$33, Parameters_Public!$C$31),0)</f>
        <v/>
      </c>
      <c r="E27">
        <f>IF($B27="FY2026", IF(INDEX(Scenarios!$D:$D, MATCH($A27, Scenarios!$A:$A, 0))=0, IF(LEFT(INDEX(Scenarios!$O:$O, MATCH($A27, Scenarios!$A:$A, 0)),4)="Arts", Parameters_Public!$C$30, IF(LEFT(INDEX(Scenarios!$O:$O, MATCH($A27, Scenarios!$A:$A, 0)),5)="Innov", Parameters_Public!$C$31, 0)), 0), 0)</f>
        <v/>
      </c>
      <c r="F27">
        <f>IF($B27="FY2026", IF(INDEX(Scenarios!$E:$E, MATCH($A27, Scenarios!$A:$A, 0))=0, IF(LEFT(INDEX(Scenarios!$P:$P, MATCH($A27, Scenarios!$A:$A, 0)),4)="Arts", Parameters_Public!$C$30, IF(LEFT(INDEX(Scenarios!$P:$P, MATCH($A27, Scenarios!$A:$A, 0)),5)="Innov", Parameters_Public!$C$31, 0)), 0), 0)</f>
        <v/>
      </c>
      <c r="G27">
        <f>IF($B27="FY2026", INDEX(Receiving_Capacity!$L:$L, MATCH($A27, Receiving_Capacity!$A:$A, 0)), 0)</f>
        <v/>
      </c>
      <c r="H27">
        <f>SUM(D27:G27)</f>
        <v/>
      </c>
    </row>
    <row r="28">
      <c r="A28">
        <f>Scenarios!$A$7</f>
        <v/>
      </c>
      <c r="B28" t="inlineStr">
        <is>
          <t>FY2030</t>
        </is>
      </c>
      <c r="C28">
        <f>INDEX(Scenarios!$D:$D, MATCH($A28, Scenarios!$A:$A, 0)) + INDEX(Scenarios!$E:$E, MATCH($A28, Scenarios!$A:$A, 0))</f>
        <v/>
      </c>
      <c r="D28">
        <f>IF($B28="FY2026",$C28*IF(INDEX(Scenarios!$N:$N, MATCH($A28, Scenarios!$A:$A, 0))="lease", Parameters_Public!$C$33, Parameters_Public!$C$31),0)</f>
        <v/>
      </c>
      <c r="E28">
        <f>IF($B28="FY2026", IF(INDEX(Scenarios!$D:$D, MATCH($A28, Scenarios!$A:$A, 0))=0, IF(LEFT(INDEX(Scenarios!$O:$O, MATCH($A28, Scenarios!$A:$A, 0)),4)="Arts", Parameters_Public!$C$30, IF(LEFT(INDEX(Scenarios!$O:$O, MATCH($A28, Scenarios!$A:$A, 0)),5)="Innov", Parameters_Public!$C$31, 0)), 0), 0)</f>
        <v/>
      </c>
      <c r="F28">
        <f>IF($B28="FY2026", IF(INDEX(Scenarios!$E:$E, MATCH($A28, Scenarios!$A:$A, 0))=0, IF(LEFT(INDEX(Scenarios!$P:$P, MATCH($A28, Scenarios!$A:$A, 0)),4)="Arts", Parameters_Public!$C$30, IF(LEFT(INDEX(Scenarios!$P:$P, MATCH($A28, Scenarios!$A:$A, 0)),5)="Innov", Parameters_Public!$C$31, 0)), 0), 0)</f>
        <v/>
      </c>
      <c r="G28">
        <f>IF($B28="FY2026", INDEX(Receiving_Capacity!$L:$L, MATCH($A28, Receiving_Capacity!$A:$A, 0)), 0)</f>
        <v/>
      </c>
      <c r="H28">
        <f>SUM(D28:G28)</f>
        <v/>
      </c>
    </row>
    <row r="29">
      <c r="A29">
        <f>Scenarios!$A$8</f>
        <v/>
      </c>
      <c r="B29" t="inlineStr">
        <is>
          <t>FY2026</t>
        </is>
      </c>
      <c r="C29">
        <f>INDEX(Scenarios!$D:$D, MATCH($A29, Scenarios!$A:$A, 0)) + INDEX(Scenarios!$E:$E, MATCH($A29, Scenarios!$A:$A, 0))</f>
        <v/>
      </c>
      <c r="D29">
        <f>IF($B29="FY2026",$C29*IF(INDEX(Scenarios!$N:$N, MATCH($A29, Scenarios!$A:$A, 0))="lease", Parameters_Public!$C$33, Parameters_Public!$C$31),0)</f>
        <v/>
      </c>
      <c r="E29">
        <f>IF($B29="FY2026", IF(INDEX(Scenarios!$D:$D, MATCH($A29, Scenarios!$A:$A, 0))=0, IF(LEFT(INDEX(Scenarios!$O:$O, MATCH($A29, Scenarios!$A:$A, 0)),4)="Arts", Parameters_Public!$C$30, IF(LEFT(INDEX(Scenarios!$O:$O, MATCH($A29, Scenarios!$A:$A, 0)),5)="Innov", Parameters_Public!$C$31, 0)), 0), 0)</f>
        <v/>
      </c>
      <c r="F29">
        <f>IF($B29="FY2026", IF(INDEX(Scenarios!$E:$E, MATCH($A29, Scenarios!$A:$A, 0))=0, IF(LEFT(INDEX(Scenarios!$P:$P, MATCH($A29, Scenarios!$A:$A, 0)),4)="Arts", Parameters_Public!$C$30, IF(LEFT(INDEX(Scenarios!$P:$P, MATCH($A29, Scenarios!$A:$A, 0)),5)="Innov", Parameters_Public!$C$31, 0)), 0), 0)</f>
        <v/>
      </c>
      <c r="G29">
        <f>IF($B29="FY2026", INDEX(Receiving_Capacity!$L:$L, MATCH($A29, Receiving_Capacity!$A:$A, 0)), 0)</f>
        <v/>
      </c>
      <c r="H29">
        <f>SUM(D29:G29)</f>
        <v/>
      </c>
    </row>
    <row r="30">
      <c r="A30">
        <f>Scenarios!$A$8</f>
        <v/>
      </c>
      <c r="B30" t="inlineStr">
        <is>
          <t>FY2027</t>
        </is>
      </c>
      <c r="C30">
        <f>INDEX(Scenarios!$D:$D, MATCH($A30, Scenarios!$A:$A, 0)) + INDEX(Scenarios!$E:$E, MATCH($A30, Scenarios!$A:$A, 0))</f>
        <v/>
      </c>
      <c r="D30">
        <f>IF($B30="FY2026",$C30*IF(INDEX(Scenarios!$N:$N, MATCH($A30, Scenarios!$A:$A, 0))="lease", Parameters_Public!$C$33, Parameters_Public!$C$31),0)</f>
        <v/>
      </c>
      <c r="E30">
        <f>IF($B30="FY2026", IF(INDEX(Scenarios!$D:$D, MATCH($A30, Scenarios!$A:$A, 0))=0, IF(LEFT(INDEX(Scenarios!$O:$O, MATCH($A30, Scenarios!$A:$A, 0)),4)="Arts", Parameters_Public!$C$30, IF(LEFT(INDEX(Scenarios!$O:$O, MATCH($A30, Scenarios!$A:$A, 0)),5)="Innov", Parameters_Public!$C$31, 0)), 0), 0)</f>
        <v/>
      </c>
      <c r="F30">
        <f>IF($B30="FY2026", IF(INDEX(Scenarios!$E:$E, MATCH($A30, Scenarios!$A:$A, 0))=0, IF(LEFT(INDEX(Scenarios!$P:$P, MATCH($A30, Scenarios!$A:$A, 0)),4)="Arts", Parameters_Public!$C$30, IF(LEFT(INDEX(Scenarios!$P:$P, MATCH($A30, Scenarios!$A:$A, 0)),5)="Innov", Parameters_Public!$C$31, 0)), 0), 0)</f>
        <v/>
      </c>
      <c r="G30">
        <f>IF($B30="FY2026", INDEX(Receiving_Capacity!$L:$L, MATCH($A30, Receiving_Capacity!$A:$A, 0)), 0)</f>
        <v/>
      </c>
      <c r="H30">
        <f>SUM(D30:G30)</f>
        <v/>
      </c>
    </row>
    <row r="31">
      <c r="A31">
        <f>Scenarios!$A$8</f>
        <v/>
      </c>
      <c r="B31" t="inlineStr">
        <is>
          <t>FY2028</t>
        </is>
      </c>
      <c r="C31">
        <f>INDEX(Scenarios!$D:$D, MATCH($A31, Scenarios!$A:$A, 0)) + INDEX(Scenarios!$E:$E, MATCH($A31, Scenarios!$A:$A, 0))</f>
        <v/>
      </c>
      <c r="D31">
        <f>IF($B31="FY2026",$C31*IF(INDEX(Scenarios!$N:$N, MATCH($A31, Scenarios!$A:$A, 0))="lease", Parameters_Public!$C$33, Parameters_Public!$C$31),0)</f>
        <v/>
      </c>
      <c r="E31">
        <f>IF($B31="FY2026", IF(INDEX(Scenarios!$D:$D, MATCH($A31, Scenarios!$A:$A, 0))=0, IF(LEFT(INDEX(Scenarios!$O:$O, MATCH($A31, Scenarios!$A:$A, 0)),4)="Arts", Parameters_Public!$C$30, IF(LEFT(INDEX(Scenarios!$O:$O, MATCH($A31, Scenarios!$A:$A, 0)),5)="Innov", Parameters_Public!$C$31, 0)), 0), 0)</f>
        <v/>
      </c>
      <c r="F31">
        <f>IF($B31="FY2026", IF(INDEX(Scenarios!$E:$E, MATCH($A31, Scenarios!$A:$A, 0))=0, IF(LEFT(INDEX(Scenarios!$P:$P, MATCH($A31, Scenarios!$A:$A, 0)),4)="Arts", Parameters_Public!$C$30, IF(LEFT(INDEX(Scenarios!$P:$P, MATCH($A31, Scenarios!$A:$A, 0)),5)="Innov", Parameters_Public!$C$31, 0)), 0), 0)</f>
        <v/>
      </c>
      <c r="G31">
        <f>IF($B31="FY2026", INDEX(Receiving_Capacity!$L:$L, MATCH($A31, Receiving_Capacity!$A:$A, 0)), 0)</f>
        <v/>
      </c>
      <c r="H31">
        <f>SUM(D31:G31)</f>
        <v/>
      </c>
    </row>
    <row r="32">
      <c r="A32">
        <f>Scenarios!$A$8</f>
        <v/>
      </c>
      <c r="B32" t="inlineStr">
        <is>
          <t>FY2029</t>
        </is>
      </c>
      <c r="C32">
        <f>INDEX(Scenarios!$D:$D, MATCH($A32, Scenarios!$A:$A, 0)) + INDEX(Scenarios!$E:$E, MATCH($A32, Scenarios!$A:$A, 0))</f>
        <v/>
      </c>
      <c r="D32">
        <f>IF($B32="FY2026",$C32*IF(INDEX(Scenarios!$N:$N, MATCH($A32, Scenarios!$A:$A, 0))="lease", Parameters_Public!$C$33, Parameters_Public!$C$31),0)</f>
        <v/>
      </c>
      <c r="E32">
        <f>IF($B32="FY2026", IF(INDEX(Scenarios!$D:$D, MATCH($A32, Scenarios!$A:$A, 0))=0, IF(LEFT(INDEX(Scenarios!$O:$O, MATCH($A32, Scenarios!$A:$A, 0)),4)="Arts", Parameters_Public!$C$30, IF(LEFT(INDEX(Scenarios!$O:$O, MATCH($A32, Scenarios!$A:$A, 0)),5)="Innov", Parameters_Public!$C$31, 0)), 0), 0)</f>
        <v/>
      </c>
      <c r="F32">
        <f>IF($B32="FY2026", IF(INDEX(Scenarios!$E:$E, MATCH($A32, Scenarios!$A:$A, 0))=0, IF(LEFT(INDEX(Scenarios!$P:$P, MATCH($A32, Scenarios!$A:$A, 0)),4)="Arts", Parameters_Public!$C$30, IF(LEFT(INDEX(Scenarios!$P:$P, MATCH($A32, Scenarios!$A:$A, 0)),5)="Innov", Parameters_Public!$C$31, 0)), 0), 0)</f>
        <v/>
      </c>
      <c r="G32">
        <f>IF($B32="FY2026", INDEX(Receiving_Capacity!$L:$L, MATCH($A32, Receiving_Capacity!$A:$A, 0)), 0)</f>
        <v/>
      </c>
      <c r="H32">
        <f>SUM(D32:G32)</f>
        <v/>
      </c>
    </row>
    <row r="33">
      <c r="A33">
        <f>Scenarios!$A$8</f>
        <v/>
      </c>
      <c r="B33" t="inlineStr">
        <is>
          <t>FY2030</t>
        </is>
      </c>
      <c r="C33">
        <f>INDEX(Scenarios!$D:$D, MATCH($A33, Scenarios!$A:$A, 0)) + INDEX(Scenarios!$E:$E, MATCH($A33, Scenarios!$A:$A, 0))</f>
        <v/>
      </c>
      <c r="D33">
        <f>IF($B33="FY2026",$C33*IF(INDEX(Scenarios!$N:$N, MATCH($A33, Scenarios!$A:$A, 0))="lease", Parameters_Public!$C$33, Parameters_Public!$C$31),0)</f>
        <v/>
      </c>
      <c r="E33">
        <f>IF($B33="FY2026", IF(INDEX(Scenarios!$D:$D, MATCH($A33, Scenarios!$A:$A, 0))=0, IF(LEFT(INDEX(Scenarios!$O:$O, MATCH($A33, Scenarios!$A:$A, 0)),4)="Arts", Parameters_Public!$C$30, IF(LEFT(INDEX(Scenarios!$O:$O, MATCH($A33, Scenarios!$A:$A, 0)),5)="Innov", Parameters_Public!$C$31, 0)), 0), 0)</f>
        <v/>
      </c>
      <c r="F33">
        <f>IF($B33="FY2026", IF(INDEX(Scenarios!$E:$E, MATCH($A33, Scenarios!$A:$A, 0))=0, IF(LEFT(INDEX(Scenarios!$P:$P, MATCH($A33, Scenarios!$A:$A, 0)),4)="Arts", Parameters_Public!$C$30, IF(LEFT(INDEX(Scenarios!$P:$P, MATCH($A33, Scenarios!$A:$A, 0)),5)="Innov", Parameters_Public!$C$31, 0)), 0), 0)</f>
        <v/>
      </c>
      <c r="G33">
        <f>IF($B33="FY2026", INDEX(Receiving_Capacity!$L:$L, MATCH($A33, Receiving_Capacity!$A:$A, 0)), 0)</f>
        <v/>
      </c>
      <c r="H33">
        <f>SUM(D33:G33)</f>
        <v/>
      </c>
    </row>
    <row r="34">
      <c r="A34">
        <f>Scenarios!$A$9</f>
        <v/>
      </c>
      <c r="B34" t="inlineStr">
        <is>
          <t>FY2026</t>
        </is>
      </c>
      <c r="C34">
        <f>INDEX(Scenarios!$D:$D, MATCH($A34, Scenarios!$A:$A, 0)) + INDEX(Scenarios!$E:$E, MATCH($A34, Scenarios!$A:$A, 0))</f>
        <v/>
      </c>
      <c r="D34">
        <f>IF($B34="FY2026",$C34*IF(INDEX(Scenarios!$N:$N, MATCH($A34, Scenarios!$A:$A, 0))="lease", Parameters_Public!$C$33, Parameters_Public!$C$31),0)</f>
        <v/>
      </c>
      <c r="E34">
        <f>IF($B34="FY2026", IF(INDEX(Scenarios!$D:$D, MATCH($A34, Scenarios!$A:$A, 0))=0, IF(LEFT(INDEX(Scenarios!$O:$O, MATCH($A34, Scenarios!$A:$A, 0)),4)="Arts", Parameters_Public!$C$30, IF(LEFT(INDEX(Scenarios!$O:$O, MATCH($A34, Scenarios!$A:$A, 0)),5)="Innov", Parameters_Public!$C$31, 0)), 0), 0)</f>
        <v/>
      </c>
      <c r="F34">
        <f>IF($B34="FY2026", IF(INDEX(Scenarios!$E:$E, MATCH($A34, Scenarios!$A:$A, 0))=0, IF(LEFT(INDEX(Scenarios!$P:$P, MATCH($A34, Scenarios!$A:$A, 0)),4)="Arts", Parameters_Public!$C$30, IF(LEFT(INDEX(Scenarios!$P:$P, MATCH($A34, Scenarios!$A:$A, 0)),5)="Innov", Parameters_Public!$C$31, 0)), 0), 0)</f>
        <v/>
      </c>
      <c r="G34">
        <f>IF($B34="FY2026", INDEX(Receiving_Capacity!$L:$L, MATCH($A34, Receiving_Capacity!$A:$A, 0)), 0)</f>
        <v/>
      </c>
      <c r="H34">
        <f>SUM(D34:G34)</f>
        <v/>
      </c>
    </row>
    <row r="35">
      <c r="A35">
        <f>Scenarios!$A$9</f>
        <v/>
      </c>
      <c r="B35" t="inlineStr">
        <is>
          <t>FY2027</t>
        </is>
      </c>
      <c r="C35">
        <f>INDEX(Scenarios!$D:$D, MATCH($A35, Scenarios!$A:$A, 0)) + INDEX(Scenarios!$E:$E, MATCH($A35, Scenarios!$A:$A, 0))</f>
        <v/>
      </c>
      <c r="D35">
        <f>IF($B35="FY2026",$C35*IF(INDEX(Scenarios!$N:$N, MATCH($A35, Scenarios!$A:$A, 0))="lease", Parameters_Public!$C$33, Parameters_Public!$C$31),0)</f>
        <v/>
      </c>
      <c r="E35">
        <f>IF($B35="FY2026", IF(INDEX(Scenarios!$D:$D, MATCH($A35, Scenarios!$A:$A, 0))=0, IF(LEFT(INDEX(Scenarios!$O:$O, MATCH($A35, Scenarios!$A:$A, 0)),4)="Arts", Parameters_Public!$C$30, IF(LEFT(INDEX(Scenarios!$O:$O, MATCH($A35, Scenarios!$A:$A, 0)),5)="Innov", Parameters_Public!$C$31, 0)), 0), 0)</f>
        <v/>
      </c>
      <c r="F35">
        <f>IF($B35="FY2026", IF(INDEX(Scenarios!$E:$E, MATCH($A35, Scenarios!$A:$A, 0))=0, IF(LEFT(INDEX(Scenarios!$P:$P, MATCH($A35, Scenarios!$A:$A, 0)),4)="Arts", Parameters_Public!$C$30, IF(LEFT(INDEX(Scenarios!$P:$P, MATCH($A35, Scenarios!$A:$A, 0)),5)="Innov", Parameters_Public!$C$31, 0)), 0), 0)</f>
        <v/>
      </c>
      <c r="G35">
        <f>IF($B35="FY2026", INDEX(Receiving_Capacity!$L:$L, MATCH($A35, Receiving_Capacity!$A:$A, 0)), 0)</f>
        <v/>
      </c>
      <c r="H35">
        <f>SUM(D35:G35)</f>
        <v/>
      </c>
    </row>
    <row r="36">
      <c r="A36">
        <f>Scenarios!$A$9</f>
        <v/>
      </c>
      <c r="B36" t="inlineStr">
        <is>
          <t>FY2028</t>
        </is>
      </c>
      <c r="C36">
        <f>INDEX(Scenarios!$D:$D, MATCH($A36, Scenarios!$A:$A, 0)) + INDEX(Scenarios!$E:$E, MATCH($A36, Scenarios!$A:$A, 0))</f>
        <v/>
      </c>
      <c r="D36">
        <f>IF($B36="FY2026",$C36*IF(INDEX(Scenarios!$N:$N, MATCH($A36, Scenarios!$A:$A, 0))="lease", Parameters_Public!$C$33, Parameters_Public!$C$31),0)</f>
        <v/>
      </c>
      <c r="E36">
        <f>IF($B36="FY2026", IF(INDEX(Scenarios!$D:$D, MATCH($A36, Scenarios!$A:$A, 0))=0, IF(LEFT(INDEX(Scenarios!$O:$O, MATCH($A36, Scenarios!$A:$A, 0)),4)="Arts", Parameters_Public!$C$30, IF(LEFT(INDEX(Scenarios!$O:$O, MATCH($A36, Scenarios!$A:$A, 0)),5)="Innov", Parameters_Public!$C$31, 0)), 0), 0)</f>
        <v/>
      </c>
      <c r="F36">
        <f>IF($B36="FY2026", IF(INDEX(Scenarios!$E:$E, MATCH($A36, Scenarios!$A:$A, 0))=0, IF(LEFT(INDEX(Scenarios!$P:$P, MATCH($A36, Scenarios!$A:$A, 0)),4)="Arts", Parameters_Public!$C$30, IF(LEFT(INDEX(Scenarios!$P:$P, MATCH($A36, Scenarios!$A:$A, 0)),5)="Innov", Parameters_Public!$C$31, 0)), 0), 0)</f>
        <v/>
      </c>
      <c r="G36">
        <f>IF($B36="FY2026", INDEX(Receiving_Capacity!$L:$L, MATCH($A36, Receiving_Capacity!$A:$A, 0)), 0)</f>
        <v/>
      </c>
      <c r="H36">
        <f>SUM(D36:G36)</f>
        <v/>
      </c>
    </row>
    <row r="37">
      <c r="A37">
        <f>Scenarios!$A$9</f>
        <v/>
      </c>
      <c r="B37" t="inlineStr">
        <is>
          <t>FY2029</t>
        </is>
      </c>
      <c r="C37">
        <f>INDEX(Scenarios!$D:$D, MATCH($A37, Scenarios!$A:$A, 0)) + INDEX(Scenarios!$E:$E, MATCH($A37, Scenarios!$A:$A, 0))</f>
        <v/>
      </c>
      <c r="D37">
        <f>IF($B37="FY2026",$C37*IF(INDEX(Scenarios!$N:$N, MATCH($A37, Scenarios!$A:$A, 0))="lease", Parameters_Public!$C$33, Parameters_Public!$C$31),0)</f>
        <v/>
      </c>
      <c r="E37">
        <f>IF($B37="FY2026", IF(INDEX(Scenarios!$D:$D, MATCH($A37, Scenarios!$A:$A, 0))=0, IF(LEFT(INDEX(Scenarios!$O:$O, MATCH($A37, Scenarios!$A:$A, 0)),4)="Arts", Parameters_Public!$C$30, IF(LEFT(INDEX(Scenarios!$O:$O, MATCH($A37, Scenarios!$A:$A, 0)),5)="Innov", Parameters_Public!$C$31, 0)), 0), 0)</f>
        <v/>
      </c>
      <c r="F37">
        <f>IF($B37="FY2026", IF(INDEX(Scenarios!$E:$E, MATCH($A37, Scenarios!$A:$A, 0))=0, IF(LEFT(INDEX(Scenarios!$P:$P, MATCH($A37, Scenarios!$A:$A, 0)),4)="Arts", Parameters_Public!$C$30, IF(LEFT(INDEX(Scenarios!$P:$P, MATCH($A37, Scenarios!$A:$A, 0)),5)="Innov", Parameters_Public!$C$31, 0)), 0), 0)</f>
        <v/>
      </c>
      <c r="G37">
        <f>IF($B37="FY2026", INDEX(Receiving_Capacity!$L:$L, MATCH($A37, Receiving_Capacity!$A:$A, 0)), 0)</f>
        <v/>
      </c>
      <c r="H37">
        <f>SUM(D37:G37)</f>
        <v/>
      </c>
    </row>
    <row r="38">
      <c r="A38">
        <f>Scenarios!$A$9</f>
        <v/>
      </c>
      <c r="B38" t="inlineStr">
        <is>
          <t>FY2030</t>
        </is>
      </c>
      <c r="C38">
        <f>INDEX(Scenarios!$D:$D, MATCH($A38, Scenarios!$A:$A, 0)) + INDEX(Scenarios!$E:$E, MATCH($A38, Scenarios!$A:$A, 0))</f>
        <v/>
      </c>
      <c r="D38">
        <f>IF($B38="FY2026",$C38*IF(INDEX(Scenarios!$N:$N, MATCH($A38, Scenarios!$A:$A, 0))="lease", Parameters_Public!$C$33, Parameters_Public!$C$31),0)</f>
        <v/>
      </c>
      <c r="E38">
        <f>IF($B38="FY2026", IF(INDEX(Scenarios!$D:$D, MATCH($A38, Scenarios!$A:$A, 0))=0, IF(LEFT(INDEX(Scenarios!$O:$O, MATCH($A38, Scenarios!$A:$A, 0)),4)="Arts", Parameters_Public!$C$30, IF(LEFT(INDEX(Scenarios!$O:$O, MATCH($A38, Scenarios!$A:$A, 0)),5)="Innov", Parameters_Public!$C$31, 0)), 0), 0)</f>
        <v/>
      </c>
      <c r="F38">
        <f>IF($B38="FY2026", IF(INDEX(Scenarios!$E:$E, MATCH($A38, Scenarios!$A:$A, 0))=0, IF(LEFT(INDEX(Scenarios!$P:$P, MATCH($A38, Scenarios!$A:$A, 0)),4)="Arts", Parameters_Public!$C$30, IF(LEFT(INDEX(Scenarios!$P:$P, MATCH($A38, Scenarios!$A:$A, 0)),5)="Innov", Parameters_Public!$C$31, 0)), 0), 0)</f>
        <v/>
      </c>
      <c r="G38">
        <f>IF($B38="FY2026", INDEX(Receiving_Capacity!$L:$L, MATCH($A38, Receiving_Capacity!$A:$A, 0)), 0)</f>
        <v/>
      </c>
      <c r="H38">
        <f>SUM(D38:G38)</f>
        <v/>
      </c>
    </row>
    <row r="39">
      <c r="A39">
        <f>Scenarios!$A$10</f>
        <v/>
      </c>
      <c r="B39" t="inlineStr">
        <is>
          <t>FY2026</t>
        </is>
      </c>
      <c r="C39">
        <f>INDEX(Scenarios!$D:$D, MATCH($A39, Scenarios!$A:$A, 0)) + INDEX(Scenarios!$E:$E, MATCH($A39, Scenarios!$A:$A, 0))</f>
        <v/>
      </c>
      <c r="D39">
        <f>IF($B39="FY2026",$C39*IF(INDEX(Scenarios!$N:$N, MATCH($A39, Scenarios!$A:$A, 0))="lease", Parameters_Public!$C$33, Parameters_Public!$C$31),0)</f>
        <v/>
      </c>
      <c r="E39">
        <f>IF($B39="FY2026", IF(INDEX(Scenarios!$D:$D, MATCH($A39, Scenarios!$A:$A, 0))=0, IF(LEFT(INDEX(Scenarios!$O:$O, MATCH($A39, Scenarios!$A:$A, 0)),4)="Arts", Parameters_Public!$C$30, IF(LEFT(INDEX(Scenarios!$O:$O, MATCH($A39, Scenarios!$A:$A, 0)),5)="Innov", Parameters_Public!$C$31, 0)), 0), 0)</f>
        <v/>
      </c>
      <c r="F39">
        <f>IF($B39="FY2026", IF(INDEX(Scenarios!$E:$E, MATCH($A39, Scenarios!$A:$A, 0))=0, IF(LEFT(INDEX(Scenarios!$P:$P, MATCH($A39, Scenarios!$A:$A, 0)),4)="Arts", Parameters_Public!$C$30, IF(LEFT(INDEX(Scenarios!$P:$P, MATCH($A39, Scenarios!$A:$A, 0)),5)="Innov", Parameters_Public!$C$31, 0)), 0), 0)</f>
        <v/>
      </c>
      <c r="G39">
        <f>IF($B39="FY2026", INDEX(Receiving_Capacity!$L:$L, MATCH($A39, Receiving_Capacity!$A:$A, 0)), 0)</f>
        <v/>
      </c>
      <c r="H39">
        <f>SUM(D39:G39)</f>
        <v/>
      </c>
    </row>
    <row r="40">
      <c r="A40">
        <f>Scenarios!$A$10</f>
        <v/>
      </c>
      <c r="B40" t="inlineStr">
        <is>
          <t>FY2027</t>
        </is>
      </c>
      <c r="C40">
        <f>INDEX(Scenarios!$D:$D, MATCH($A40, Scenarios!$A:$A, 0)) + INDEX(Scenarios!$E:$E, MATCH($A40, Scenarios!$A:$A, 0))</f>
        <v/>
      </c>
      <c r="D40">
        <f>IF($B40="FY2026",$C40*IF(INDEX(Scenarios!$N:$N, MATCH($A40, Scenarios!$A:$A, 0))="lease", Parameters_Public!$C$33, Parameters_Public!$C$31),0)</f>
        <v/>
      </c>
      <c r="E40">
        <f>IF($B40="FY2026", IF(INDEX(Scenarios!$D:$D, MATCH($A40, Scenarios!$A:$A, 0))=0, IF(LEFT(INDEX(Scenarios!$O:$O, MATCH($A40, Scenarios!$A:$A, 0)),4)="Arts", Parameters_Public!$C$30, IF(LEFT(INDEX(Scenarios!$O:$O, MATCH($A40, Scenarios!$A:$A, 0)),5)="Innov", Parameters_Public!$C$31, 0)), 0), 0)</f>
        <v/>
      </c>
      <c r="F40">
        <f>IF($B40="FY2026", IF(INDEX(Scenarios!$E:$E, MATCH($A40, Scenarios!$A:$A, 0))=0, IF(LEFT(INDEX(Scenarios!$P:$P, MATCH($A40, Scenarios!$A:$A, 0)),4)="Arts", Parameters_Public!$C$30, IF(LEFT(INDEX(Scenarios!$P:$P, MATCH($A40, Scenarios!$A:$A, 0)),5)="Innov", Parameters_Public!$C$31, 0)), 0), 0)</f>
        <v/>
      </c>
      <c r="G40">
        <f>IF($B40="FY2026", INDEX(Receiving_Capacity!$L:$L, MATCH($A40, Receiving_Capacity!$A:$A, 0)), 0)</f>
        <v/>
      </c>
      <c r="H40">
        <f>SUM(D40:G40)</f>
        <v/>
      </c>
    </row>
    <row r="41">
      <c r="A41">
        <f>Scenarios!$A$10</f>
        <v/>
      </c>
      <c r="B41" t="inlineStr">
        <is>
          <t>FY2028</t>
        </is>
      </c>
      <c r="C41">
        <f>INDEX(Scenarios!$D:$D, MATCH($A41, Scenarios!$A:$A, 0)) + INDEX(Scenarios!$E:$E, MATCH($A41, Scenarios!$A:$A, 0))</f>
        <v/>
      </c>
      <c r="D41">
        <f>IF($B41="FY2026",$C41*IF(INDEX(Scenarios!$N:$N, MATCH($A41, Scenarios!$A:$A, 0))="lease", Parameters_Public!$C$33, Parameters_Public!$C$31),0)</f>
        <v/>
      </c>
      <c r="E41">
        <f>IF($B41="FY2026", IF(INDEX(Scenarios!$D:$D, MATCH($A41, Scenarios!$A:$A, 0))=0, IF(LEFT(INDEX(Scenarios!$O:$O, MATCH($A41, Scenarios!$A:$A, 0)),4)="Arts", Parameters_Public!$C$30, IF(LEFT(INDEX(Scenarios!$O:$O, MATCH($A41, Scenarios!$A:$A, 0)),5)="Innov", Parameters_Public!$C$31, 0)), 0), 0)</f>
        <v/>
      </c>
      <c r="F41">
        <f>IF($B41="FY2026", IF(INDEX(Scenarios!$E:$E, MATCH($A41, Scenarios!$A:$A, 0))=0, IF(LEFT(INDEX(Scenarios!$P:$P, MATCH($A41, Scenarios!$A:$A, 0)),4)="Arts", Parameters_Public!$C$30, IF(LEFT(INDEX(Scenarios!$P:$P, MATCH($A41, Scenarios!$A:$A, 0)),5)="Innov", Parameters_Public!$C$31, 0)), 0), 0)</f>
        <v/>
      </c>
      <c r="G41">
        <f>IF($B41="FY2026", INDEX(Receiving_Capacity!$L:$L, MATCH($A41, Receiving_Capacity!$A:$A, 0)), 0)</f>
        <v/>
      </c>
      <c r="H41">
        <f>SUM(D41:G41)</f>
        <v/>
      </c>
    </row>
    <row r="42">
      <c r="A42">
        <f>Scenarios!$A$10</f>
        <v/>
      </c>
      <c r="B42" t="inlineStr">
        <is>
          <t>FY2029</t>
        </is>
      </c>
      <c r="C42">
        <f>INDEX(Scenarios!$D:$D, MATCH($A42, Scenarios!$A:$A, 0)) + INDEX(Scenarios!$E:$E, MATCH($A42, Scenarios!$A:$A, 0))</f>
        <v/>
      </c>
      <c r="D42">
        <f>IF($B42="FY2026",$C42*IF(INDEX(Scenarios!$N:$N, MATCH($A42, Scenarios!$A:$A, 0))="lease", Parameters_Public!$C$33, Parameters_Public!$C$31),0)</f>
        <v/>
      </c>
      <c r="E42">
        <f>IF($B42="FY2026", IF(INDEX(Scenarios!$D:$D, MATCH($A42, Scenarios!$A:$A, 0))=0, IF(LEFT(INDEX(Scenarios!$O:$O, MATCH($A42, Scenarios!$A:$A, 0)),4)="Arts", Parameters_Public!$C$30, IF(LEFT(INDEX(Scenarios!$O:$O, MATCH($A42, Scenarios!$A:$A, 0)),5)="Innov", Parameters_Public!$C$31, 0)), 0), 0)</f>
        <v/>
      </c>
      <c r="F42">
        <f>IF($B42="FY2026", IF(INDEX(Scenarios!$E:$E, MATCH($A42, Scenarios!$A:$A, 0))=0, IF(LEFT(INDEX(Scenarios!$P:$P, MATCH($A42, Scenarios!$A:$A, 0)),4)="Arts", Parameters_Public!$C$30, IF(LEFT(INDEX(Scenarios!$P:$P, MATCH($A42, Scenarios!$A:$A, 0)),5)="Innov", Parameters_Public!$C$31, 0)), 0), 0)</f>
        <v/>
      </c>
      <c r="G42">
        <f>IF($B42="FY2026", INDEX(Receiving_Capacity!$L:$L, MATCH($A42, Receiving_Capacity!$A:$A, 0)), 0)</f>
        <v/>
      </c>
      <c r="H42">
        <f>SUM(D42:G42)</f>
        <v/>
      </c>
    </row>
    <row r="43">
      <c r="A43">
        <f>Scenarios!$A$10</f>
        <v/>
      </c>
      <c r="B43" t="inlineStr">
        <is>
          <t>FY2030</t>
        </is>
      </c>
      <c r="C43">
        <f>INDEX(Scenarios!$D:$D, MATCH($A43, Scenarios!$A:$A, 0)) + INDEX(Scenarios!$E:$E, MATCH($A43, Scenarios!$A:$A, 0))</f>
        <v/>
      </c>
      <c r="D43">
        <f>IF($B43="FY2026",$C43*IF(INDEX(Scenarios!$N:$N, MATCH($A43, Scenarios!$A:$A, 0))="lease", Parameters_Public!$C$33, Parameters_Public!$C$31),0)</f>
        <v/>
      </c>
      <c r="E43">
        <f>IF($B43="FY2026", IF(INDEX(Scenarios!$D:$D, MATCH($A43, Scenarios!$A:$A, 0))=0, IF(LEFT(INDEX(Scenarios!$O:$O, MATCH($A43, Scenarios!$A:$A, 0)),4)="Arts", Parameters_Public!$C$30, IF(LEFT(INDEX(Scenarios!$O:$O, MATCH($A43, Scenarios!$A:$A, 0)),5)="Innov", Parameters_Public!$C$31, 0)), 0), 0)</f>
        <v/>
      </c>
      <c r="F43">
        <f>IF($B43="FY2026", IF(INDEX(Scenarios!$E:$E, MATCH($A43, Scenarios!$A:$A, 0))=0, IF(LEFT(INDEX(Scenarios!$P:$P, MATCH($A43, Scenarios!$A:$A, 0)),4)="Arts", Parameters_Public!$C$30, IF(LEFT(INDEX(Scenarios!$P:$P, MATCH($A43, Scenarios!$A:$A, 0)),5)="Innov", Parameters_Public!$C$31, 0)), 0), 0)</f>
        <v/>
      </c>
      <c r="G43">
        <f>IF($B43="FY2026", INDEX(Receiving_Capacity!$L:$L, MATCH($A43, Receiving_Capacity!$A:$A, 0)), 0)</f>
        <v/>
      </c>
      <c r="H43">
        <f>SUM(D43:G43)</f>
        <v/>
      </c>
    </row>
    <row r="44">
      <c r="A44">
        <f>Scenarios!$A$11</f>
        <v/>
      </c>
      <c r="B44" t="inlineStr">
        <is>
          <t>FY2026</t>
        </is>
      </c>
      <c r="C44">
        <f>INDEX(Scenarios!$D:$D, MATCH($A44, Scenarios!$A:$A, 0)) + INDEX(Scenarios!$E:$E, MATCH($A44, Scenarios!$A:$A, 0))</f>
        <v/>
      </c>
      <c r="D44">
        <f>IF($B44="FY2026",$C44*IF(INDEX(Scenarios!$N:$N, MATCH($A44, Scenarios!$A:$A, 0))="lease", Parameters_Public!$C$33, Parameters_Public!$C$31),0)</f>
        <v/>
      </c>
      <c r="E44">
        <f>IF($B44="FY2026", IF(INDEX(Scenarios!$D:$D, MATCH($A44, Scenarios!$A:$A, 0))=0, IF(LEFT(INDEX(Scenarios!$O:$O, MATCH($A44, Scenarios!$A:$A, 0)),4)="Arts", Parameters_Public!$C$30, IF(LEFT(INDEX(Scenarios!$O:$O, MATCH($A44, Scenarios!$A:$A, 0)),5)="Innov", Parameters_Public!$C$31, 0)), 0), 0)</f>
        <v/>
      </c>
      <c r="F44">
        <f>IF($B44="FY2026", IF(INDEX(Scenarios!$E:$E, MATCH($A44, Scenarios!$A:$A, 0))=0, IF(LEFT(INDEX(Scenarios!$P:$P, MATCH($A44, Scenarios!$A:$A, 0)),4)="Arts", Parameters_Public!$C$30, IF(LEFT(INDEX(Scenarios!$P:$P, MATCH($A44, Scenarios!$A:$A, 0)),5)="Innov", Parameters_Public!$C$31, 0)), 0), 0)</f>
        <v/>
      </c>
      <c r="G44">
        <f>IF($B44="FY2026", INDEX(Receiving_Capacity!$L:$L, MATCH($A44, Receiving_Capacity!$A:$A, 0)), 0)</f>
        <v/>
      </c>
      <c r="H44">
        <f>SUM(D44:G44)</f>
        <v/>
      </c>
    </row>
    <row r="45">
      <c r="A45">
        <f>Scenarios!$A$11</f>
        <v/>
      </c>
      <c r="B45" t="inlineStr">
        <is>
          <t>FY2027</t>
        </is>
      </c>
      <c r="C45">
        <f>INDEX(Scenarios!$D:$D, MATCH($A45, Scenarios!$A:$A, 0)) + INDEX(Scenarios!$E:$E, MATCH($A45, Scenarios!$A:$A, 0))</f>
        <v/>
      </c>
      <c r="D45">
        <f>IF($B45="FY2026",$C45*IF(INDEX(Scenarios!$N:$N, MATCH($A45, Scenarios!$A:$A, 0))="lease", Parameters_Public!$C$33, Parameters_Public!$C$31),0)</f>
        <v/>
      </c>
      <c r="E45">
        <f>IF($B45="FY2026", IF(INDEX(Scenarios!$D:$D, MATCH($A45, Scenarios!$A:$A, 0))=0, IF(LEFT(INDEX(Scenarios!$O:$O, MATCH($A45, Scenarios!$A:$A, 0)),4)="Arts", Parameters_Public!$C$30, IF(LEFT(INDEX(Scenarios!$O:$O, MATCH($A45, Scenarios!$A:$A, 0)),5)="Innov", Parameters_Public!$C$31, 0)), 0), 0)</f>
        <v/>
      </c>
      <c r="F45">
        <f>IF($B45="FY2026", IF(INDEX(Scenarios!$E:$E, MATCH($A45, Scenarios!$A:$A, 0))=0, IF(LEFT(INDEX(Scenarios!$P:$P, MATCH($A45, Scenarios!$A:$A, 0)),4)="Arts", Parameters_Public!$C$30, IF(LEFT(INDEX(Scenarios!$P:$P, MATCH($A45, Scenarios!$A:$A, 0)),5)="Innov", Parameters_Public!$C$31, 0)), 0), 0)</f>
        <v/>
      </c>
      <c r="G45">
        <f>IF($B45="FY2026", INDEX(Receiving_Capacity!$L:$L, MATCH($A45, Receiving_Capacity!$A:$A, 0)), 0)</f>
        <v/>
      </c>
      <c r="H45">
        <f>SUM(D45:G45)</f>
        <v/>
      </c>
    </row>
    <row r="46">
      <c r="A46">
        <f>Scenarios!$A$11</f>
        <v/>
      </c>
      <c r="B46" t="inlineStr">
        <is>
          <t>FY2028</t>
        </is>
      </c>
      <c r="C46">
        <f>INDEX(Scenarios!$D:$D, MATCH($A46, Scenarios!$A:$A, 0)) + INDEX(Scenarios!$E:$E, MATCH($A46, Scenarios!$A:$A, 0))</f>
        <v/>
      </c>
      <c r="D46">
        <f>IF($B46="FY2026",$C46*IF(INDEX(Scenarios!$N:$N, MATCH($A46, Scenarios!$A:$A, 0))="lease", Parameters_Public!$C$33, Parameters_Public!$C$31),0)</f>
        <v/>
      </c>
      <c r="E46">
        <f>IF($B46="FY2026", IF(INDEX(Scenarios!$D:$D, MATCH($A46, Scenarios!$A:$A, 0))=0, IF(LEFT(INDEX(Scenarios!$O:$O, MATCH($A46, Scenarios!$A:$A, 0)),4)="Arts", Parameters_Public!$C$30, IF(LEFT(INDEX(Scenarios!$O:$O, MATCH($A46, Scenarios!$A:$A, 0)),5)="Innov", Parameters_Public!$C$31, 0)), 0), 0)</f>
        <v/>
      </c>
      <c r="F46">
        <f>IF($B46="FY2026", IF(INDEX(Scenarios!$E:$E, MATCH($A46, Scenarios!$A:$A, 0))=0, IF(LEFT(INDEX(Scenarios!$P:$P, MATCH($A46, Scenarios!$A:$A, 0)),4)="Arts", Parameters_Public!$C$30, IF(LEFT(INDEX(Scenarios!$P:$P, MATCH($A46, Scenarios!$A:$A, 0)),5)="Innov", Parameters_Public!$C$31, 0)), 0), 0)</f>
        <v/>
      </c>
      <c r="G46">
        <f>IF($B46="FY2026", INDEX(Receiving_Capacity!$L:$L, MATCH($A46, Receiving_Capacity!$A:$A, 0)), 0)</f>
        <v/>
      </c>
      <c r="H46">
        <f>SUM(D46:G46)</f>
        <v/>
      </c>
    </row>
    <row r="47">
      <c r="A47">
        <f>Scenarios!$A$11</f>
        <v/>
      </c>
      <c r="B47" t="inlineStr">
        <is>
          <t>FY2029</t>
        </is>
      </c>
      <c r="C47">
        <f>INDEX(Scenarios!$D:$D, MATCH($A47, Scenarios!$A:$A, 0)) + INDEX(Scenarios!$E:$E, MATCH($A47, Scenarios!$A:$A, 0))</f>
        <v/>
      </c>
      <c r="D47">
        <f>IF($B47="FY2026",$C47*IF(INDEX(Scenarios!$N:$N, MATCH($A47, Scenarios!$A:$A, 0))="lease", Parameters_Public!$C$33, Parameters_Public!$C$31),0)</f>
        <v/>
      </c>
      <c r="E47">
        <f>IF($B47="FY2026", IF(INDEX(Scenarios!$D:$D, MATCH($A47, Scenarios!$A:$A, 0))=0, IF(LEFT(INDEX(Scenarios!$O:$O, MATCH($A47, Scenarios!$A:$A, 0)),4)="Arts", Parameters_Public!$C$30, IF(LEFT(INDEX(Scenarios!$O:$O, MATCH($A47, Scenarios!$A:$A, 0)),5)="Innov", Parameters_Public!$C$31, 0)), 0), 0)</f>
        <v/>
      </c>
      <c r="F47">
        <f>IF($B47="FY2026", IF(INDEX(Scenarios!$E:$E, MATCH($A47, Scenarios!$A:$A, 0))=0, IF(LEFT(INDEX(Scenarios!$P:$P, MATCH($A47, Scenarios!$A:$A, 0)),4)="Arts", Parameters_Public!$C$30, IF(LEFT(INDEX(Scenarios!$P:$P, MATCH($A47, Scenarios!$A:$A, 0)),5)="Innov", Parameters_Public!$C$31, 0)), 0), 0)</f>
        <v/>
      </c>
      <c r="G47">
        <f>IF($B47="FY2026", INDEX(Receiving_Capacity!$L:$L, MATCH($A47, Receiving_Capacity!$A:$A, 0)), 0)</f>
        <v/>
      </c>
      <c r="H47">
        <f>SUM(D47:G47)</f>
        <v/>
      </c>
    </row>
    <row r="48">
      <c r="A48">
        <f>Scenarios!$A$11</f>
        <v/>
      </c>
      <c r="B48" t="inlineStr">
        <is>
          <t>FY2030</t>
        </is>
      </c>
      <c r="C48">
        <f>INDEX(Scenarios!$D:$D, MATCH($A48, Scenarios!$A:$A, 0)) + INDEX(Scenarios!$E:$E, MATCH($A48, Scenarios!$A:$A, 0))</f>
        <v/>
      </c>
      <c r="D48">
        <f>IF($B48="FY2026",$C48*IF(INDEX(Scenarios!$N:$N, MATCH($A48, Scenarios!$A:$A, 0))="lease", Parameters_Public!$C$33, Parameters_Public!$C$31),0)</f>
        <v/>
      </c>
      <c r="E48">
        <f>IF($B48="FY2026", IF(INDEX(Scenarios!$D:$D, MATCH($A48, Scenarios!$A:$A, 0))=0, IF(LEFT(INDEX(Scenarios!$O:$O, MATCH($A48, Scenarios!$A:$A, 0)),4)="Arts", Parameters_Public!$C$30, IF(LEFT(INDEX(Scenarios!$O:$O, MATCH($A48, Scenarios!$A:$A, 0)),5)="Innov", Parameters_Public!$C$31, 0)), 0), 0)</f>
        <v/>
      </c>
      <c r="F48">
        <f>IF($B48="FY2026", IF(INDEX(Scenarios!$E:$E, MATCH($A48, Scenarios!$A:$A, 0))=0, IF(LEFT(INDEX(Scenarios!$P:$P, MATCH($A48, Scenarios!$A:$A, 0)),4)="Arts", Parameters_Public!$C$30, IF(LEFT(INDEX(Scenarios!$P:$P, MATCH($A48, Scenarios!$A:$A, 0)),5)="Innov", Parameters_Public!$C$31, 0)), 0), 0)</f>
        <v/>
      </c>
      <c r="G48">
        <f>IF($B48="FY2026", INDEX(Receiving_Capacity!$L:$L, MATCH($A48, Receiving_Capacity!$A:$A, 0)), 0)</f>
        <v/>
      </c>
      <c r="H48">
        <f>SUM(D48:G48)</f>
        <v/>
      </c>
    </row>
    <row r="49">
      <c r="A49">
        <f>Scenarios!$A$12</f>
        <v/>
      </c>
      <c r="B49" t="inlineStr">
        <is>
          <t>FY2026</t>
        </is>
      </c>
      <c r="C49">
        <f>INDEX(Scenarios!$D:$D, MATCH($A49, Scenarios!$A:$A, 0)) + INDEX(Scenarios!$E:$E, MATCH($A49, Scenarios!$A:$A, 0))</f>
        <v/>
      </c>
      <c r="D49">
        <f>IF($B49="FY2026",$C49*IF(INDEX(Scenarios!$N:$N, MATCH($A49, Scenarios!$A:$A, 0))="lease", Parameters_Public!$C$33, Parameters_Public!$C$31),0)</f>
        <v/>
      </c>
      <c r="E49">
        <f>IF($B49="FY2026", IF(INDEX(Scenarios!$D:$D, MATCH($A49, Scenarios!$A:$A, 0))=0, IF(LEFT(INDEX(Scenarios!$O:$O, MATCH($A49, Scenarios!$A:$A, 0)),4)="Arts", Parameters_Public!$C$30, IF(LEFT(INDEX(Scenarios!$O:$O, MATCH($A49, Scenarios!$A:$A, 0)),5)="Innov", Parameters_Public!$C$31, 0)), 0), 0)</f>
        <v/>
      </c>
      <c r="F49">
        <f>IF($B49="FY2026", IF(INDEX(Scenarios!$E:$E, MATCH($A49, Scenarios!$A:$A, 0))=0, IF(LEFT(INDEX(Scenarios!$P:$P, MATCH($A49, Scenarios!$A:$A, 0)),4)="Arts", Parameters_Public!$C$30, IF(LEFT(INDEX(Scenarios!$P:$P, MATCH($A49, Scenarios!$A:$A, 0)),5)="Innov", Parameters_Public!$C$31, 0)), 0), 0)</f>
        <v/>
      </c>
      <c r="G49">
        <f>IF($B49="FY2026", INDEX(Receiving_Capacity!$L:$L, MATCH($A49, Receiving_Capacity!$A:$A, 0)), 0)</f>
        <v/>
      </c>
      <c r="H49">
        <f>SUM(D49:G49)</f>
        <v/>
      </c>
    </row>
    <row r="50">
      <c r="A50">
        <f>Scenarios!$A$12</f>
        <v/>
      </c>
      <c r="B50" t="inlineStr">
        <is>
          <t>FY2027</t>
        </is>
      </c>
      <c r="C50">
        <f>INDEX(Scenarios!$D:$D, MATCH($A50, Scenarios!$A:$A, 0)) + INDEX(Scenarios!$E:$E, MATCH($A50, Scenarios!$A:$A, 0))</f>
        <v/>
      </c>
      <c r="D50">
        <f>IF($B50="FY2026",$C50*IF(INDEX(Scenarios!$N:$N, MATCH($A50, Scenarios!$A:$A, 0))="lease", Parameters_Public!$C$33, Parameters_Public!$C$31),0)</f>
        <v/>
      </c>
      <c r="E50">
        <f>IF($B50="FY2026", IF(INDEX(Scenarios!$D:$D, MATCH($A50, Scenarios!$A:$A, 0))=0, IF(LEFT(INDEX(Scenarios!$O:$O, MATCH($A50, Scenarios!$A:$A, 0)),4)="Arts", Parameters_Public!$C$30, IF(LEFT(INDEX(Scenarios!$O:$O, MATCH($A50, Scenarios!$A:$A, 0)),5)="Innov", Parameters_Public!$C$31, 0)), 0), 0)</f>
        <v/>
      </c>
      <c r="F50">
        <f>IF($B50="FY2026", IF(INDEX(Scenarios!$E:$E, MATCH($A50, Scenarios!$A:$A, 0))=0, IF(LEFT(INDEX(Scenarios!$P:$P, MATCH($A50, Scenarios!$A:$A, 0)),4)="Arts", Parameters_Public!$C$30, IF(LEFT(INDEX(Scenarios!$P:$P, MATCH($A50, Scenarios!$A:$A, 0)),5)="Innov", Parameters_Public!$C$31, 0)), 0), 0)</f>
        <v/>
      </c>
      <c r="G50">
        <f>IF($B50="FY2026", INDEX(Receiving_Capacity!$L:$L, MATCH($A50, Receiving_Capacity!$A:$A, 0)), 0)</f>
        <v/>
      </c>
      <c r="H50">
        <f>SUM(D50:G50)</f>
        <v/>
      </c>
    </row>
    <row r="51">
      <c r="A51">
        <f>Scenarios!$A$12</f>
        <v/>
      </c>
      <c r="B51" t="inlineStr">
        <is>
          <t>FY2028</t>
        </is>
      </c>
      <c r="C51">
        <f>INDEX(Scenarios!$D:$D, MATCH($A51, Scenarios!$A:$A, 0)) + INDEX(Scenarios!$E:$E, MATCH($A51, Scenarios!$A:$A, 0))</f>
        <v/>
      </c>
      <c r="D51">
        <f>IF($B51="FY2026",$C51*IF(INDEX(Scenarios!$N:$N, MATCH($A51, Scenarios!$A:$A, 0))="lease", Parameters_Public!$C$33, Parameters_Public!$C$31),0)</f>
        <v/>
      </c>
      <c r="E51">
        <f>IF($B51="FY2026", IF(INDEX(Scenarios!$D:$D, MATCH($A51, Scenarios!$A:$A, 0))=0, IF(LEFT(INDEX(Scenarios!$O:$O, MATCH($A51, Scenarios!$A:$A, 0)),4)="Arts", Parameters_Public!$C$30, IF(LEFT(INDEX(Scenarios!$O:$O, MATCH($A51, Scenarios!$A:$A, 0)),5)="Innov", Parameters_Public!$C$31, 0)), 0), 0)</f>
        <v/>
      </c>
      <c r="F51">
        <f>IF($B51="FY2026", IF(INDEX(Scenarios!$E:$E, MATCH($A51, Scenarios!$A:$A, 0))=0, IF(LEFT(INDEX(Scenarios!$P:$P, MATCH($A51, Scenarios!$A:$A, 0)),4)="Arts", Parameters_Public!$C$30, IF(LEFT(INDEX(Scenarios!$P:$P, MATCH($A51, Scenarios!$A:$A, 0)),5)="Innov", Parameters_Public!$C$31, 0)), 0), 0)</f>
        <v/>
      </c>
      <c r="G51">
        <f>IF($B51="FY2026", INDEX(Receiving_Capacity!$L:$L, MATCH($A51, Receiving_Capacity!$A:$A, 0)), 0)</f>
        <v/>
      </c>
      <c r="H51">
        <f>SUM(D51:G51)</f>
        <v/>
      </c>
    </row>
    <row r="52">
      <c r="A52">
        <f>Scenarios!$A$12</f>
        <v/>
      </c>
      <c r="B52" t="inlineStr">
        <is>
          <t>FY2029</t>
        </is>
      </c>
      <c r="C52">
        <f>INDEX(Scenarios!$D:$D, MATCH($A52, Scenarios!$A:$A, 0)) + INDEX(Scenarios!$E:$E, MATCH($A52, Scenarios!$A:$A, 0))</f>
        <v/>
      </c>
      <c r="D52">
        <f>IF($B52="FY2026",$C52*IF(INDEX(Scenarios!$N:$N, MATCH($A52, Scenarios!$A:$A, 0))="lease", Parameters_Public!$C$33, Parameters_Public!$C$31),0)</f>
        <v/>
      </c>
      <c r="E52">
        <f>IF($B52="FY2026", IF(INDEX(Scenarios!$D:$D, MATCH($A52, Scenarios!$A:$A, 0))=0, IF(LEFT(INDEX(Scenarios!$O:$O, MATCH($A52, Scenarios!$A:$A, 0)),4)="Arts", Parameters_Public!$C$30, IF(LEFT(INDEX(Scenarios!$O:$O, MATCH($A52, Scenarios!$A:$A, 0)),5)="Innov", Parameters_Public!$C$31, 0)), 0), 0)</f>
        <v/>
      </c>
      <c r="F52">
        <f>IF($B52="FY2026", IF(INDEX(Scenarios!$E:$E, MATCH($A52, Scenarios!$A:$A, 0))=0, IF(LEFT(INDEX(Scenarios!$P:$P, MATCH($A52, Scenarios!$A:$A, 0)),4)="Arts", Parameters_Public!$C$30, IF(LEFT(INDEX(Scenarios!$P:$P, MATCH($A52, Scenarios!$A:$A, 0)),5)="Innov", Parameters_Public!$C$31, 0)), 0), 0)</f>
        <v/>
      </c>
      <c r="G52">
        <f>IF($B52="FY2026", INDEX(Receiving_Capacity!$L:$L, MATCH($A52, Receiving_Capacity!$A:$A, 0)), 0)</f>
        <v/>
      </c>
      <c r="H52">
        <f>SUM(D52:G52)</f>
        <v/>
      </c>
    </row>
    <row r="53">
      <c r="A53">
        <f>Scenarios!$A$12</f>
        <v/>
      </c>
      <c r="B53" t="inlineStr">
        <is>
          <t>FY2030</t>
        </is>
      </c>
      <c r="C53">
        <f>INDEX(Scenarios!$D:$D, MATCH($A53, Scenarios!$A:$A, 0)) + INDEX(Scenarios!$E:$E, MATCH($A53, Scenarios!$A:$A, 0))</f>
        <v/>
      </c>
      <c r="D53">
        <f>IF($B53="FY2026",$C53*IF(INDEX(Scenarios!$N:$N, MATCH($A53, Scenarios!$A:$A, 0))="lease", Parameters_Public!$C$33, Parameters_Public!$C$31),0)</f>
        <v/>
      </c>
      <c r="E53">
        <f>IF($B53="FY2026", IF(INDEX(Scenarios!$D:$D, MATCH($A53, Scenarios!$A:$A, 0))=0, IF(LEFT(INDEX(Scenarios!$O:$O, MATCH($A53, Scenarios!$A:$A, 0)),4)="Arts", Parameters_Public!$C$30, IF(LEFT(INDEX(Scenarios!$O:$O, MATCH($A53, Scenarios!$A:$A, 0)),5)="Innov", Parameters_Public!$C$31, 0)), 0), 0)</f>
        <v/>
      </c>
      <c r="F53">
        <f>IF($B53="FY2026", IF(INDEX(Scenarios!$E:$E, MATCH($A53, Scenarios!$A:$A, 0))=0, IF(LEFT(INDEX(Scenarios!$P:$P, MATCH($A53, Scenarios!$A:$A, 0)),4)="Arts", Parameters_Public!$C$30, IF(LEFT(INDEX(Scenarios!$P:$P, MATCH($A53, Scenarios!$A:$A, 0)),5)="Innov", Parameters_Public!$C$31, 0)), 0), 0)</f>
        <v/>
      </c>
      <c r="G53">
        <f>IF($B53="FY2026", INDEX(Receiving_Capacity!$L:$L, MATCH($A53, Receiving_Capacity!$A:$A, 0)), 0)</f>
        <v/>
      </c>
      <c r="H53">
        <f>SUM(D53:G53)</f>
        <v/>
      </c>
    </row>
    <row r="54">
      <c r="A54">
        <f>Scenarios!$A$13</f>
        <v/>
      </c>
      <c r="B54" t="inlineStr">
        <is>
          <t>FY2026</t>
        </is>
      </c>
      <c r="C54">
        <f>INDEX(Scenarios!$D:$D, MATCH($A54, Scenarios!$A:$A, 0)) + INDEX(Scenarios!$E:$E, MATCH($A54, Scenarios!$A:$A, 0))</f>
        <v/>
      </c>
      <c r="D54">
        <f>IF($B54="FY2026",$C54*IF(INDEX(Scenarios!$N:$N, MATCH($A54, Scenarios!$A:$A, 0))="lease", Parameters_Public!$C$33, Parameters_Public!$C$31),0)</f>
        <v/>
      </c>
      <c r="E54">
        <f>IF($B54="FY2026", IF(INDEX(Scenarios!$D:$D, MATCH($A54, Scenarios!$A:$A, 0))=0, IF(LEFT(INDEX(Scenarios!$O:$O, MATCH($A54, Scenarios!$A:$A, 0)),4)="Arts", Parameters_Public!$C$30, IF(LEFT(INDEX(Scenarios!$O:$O, MATCH($A54, Scenarios!$A:$A, 0)),5)="Innov", Parameters_Public!$C$31, 0)), 0), 0)</f>
        <v/>
      </c>
      <c r="F54">
        <f>IF($B54="FY2026", IF(INDEX(Scenarios!$E:$E, MATCH($A54, Scenarios!$A:$A, 0))=0, IF(LEFT(INDEX(Scenarios!$P:$P, MATCH($A54, Scenarios!$A:$A, 0)),4)="Arts", Parameters_Public!$C$30, IF(LEFT(INDEX(Scenarios!$P:$P, MATCH($A54, Scenarios!$A:$A, 0)),5)="Innov", Parameters_Public!$C$31, 0)), 0), 0)</f>
        <v/>
      </c>
      <c r="G54">
        <f>IF($B54="FY2026", INDEX(Receiving_Capacity!$L:$L, MATCH($A54, Receiving_Capacity!$A:$A, 0)), 0)</f>
        <v/>
      </c>
      <c r="H54">
        <f>SUM(D54:G54)</f>
        <v/>
      </c>
    </row>
    <row r="55">
      <c r="A55">
        <f>Scenarios!$A$13</f>
        <v/>
      </c>
      <c r="B55" t="inlineStr">
        <is>
          <t>FY2027</t>
        </is>
      </c>
      <c r="C55">
        <f>INDEX(Scenarios!$D:$D, MATCH($A55, Scenarios!$A:$A, 0)) + INDEX(Scenarios!$E:$E, MATCH($A55, Scenarios!$A:$A, 0))</f>
        <v/>
      </c>
      <c r="D55">
        <f>IF($B55="FY2026",$C55*IF(INDEX(Scenarios!$N:$N, MATCH($A55, Scenarios!$A:$A, 0))="lease", Parameters_Public!$C$33, Parameters_Public!$C$31),0)</f>
        <v/>
      </c>
      <c r="E55">
        <f>IF($B55="FY2026", IF(INDEX(Scenarios!$D:$D, MATCH($A55, Scenarios!$A:$A, 0))=0, IF(LEFT(INDEX(Scenarios!$O:$O, MATCH($A55, Scenarios!$A:$A, 0)),4)="Arts", Parameters_Public!$C$30, IF(LEFT(INDEX(Scenarios!$O:$O, MATCH($A55, Scenarios!$A:$A, 0)),5)="Innov", Parameters_Public!$C$31, 0)), 0), 0)</f>
        <v/>
      </c>
      <c r="F55">
        <f>IF($B55="FY2026", IF(INDEX(Scenarios!$E:$E, MATCH($A55, Scenarios!$A:$A, 0))=0, IF(LEFT(INDEX(Scenarios!$P:$P, MATCH($A55, Scenarios!$A:$A, 0)),4)="Arts", Parameters_Public!$C$30, IF(LEFT(INDEX(Scenarios!$P:$P, MATCH($A55, Scenarios!$A:$A, 0)),5)="Innov", Parameters_Public!$C$31, 0)), 0), 0)</f>
        <v/>
      </c>
      <c r="G55">
        <f>IF($B55="FY2026", INDEX(Receiving_Capacity!$L:$L, MATCH($A55, Receiving_Capacity!$A:$A, 0)), 0)</f>
        <v/>
      </c>
      <c r="H55">
        <f>SUM(D55:G55)</f>
        <v/>
      </c>
    </row>
    <row r="56">
      <c r="A56">
        <f>Scenarios!$A$13</f>
        <v/>
      </c>
      <c r="B56" t="inlineStr">
        <is>
          <t>FY2028</t>
        </is>
      </c>
      <c r="C56">
        <f>INDEX(Scenarios!$D:$D, MATCH($A56, Scenarios!$A:$A, 0)) + INDEX(Scenarios!$E:$E, MATCH($A56, Scenarios!$A:$A, 0))</f>
        <v/>
      </c>
      <c r="D56">
        <f>IF($B56="FY2026",$C56*IF(INDEX(Scenarios!$N:$N, MATCH($A56, Scenarios!$A:$A, 0))="lease", Parameters_Public!$C$33, Parameters_Public!$C$31),0)</f>
        <v/>
      </c>
      <c r="E56">
        <f>IF($B56="FY2026", IF(INDEX(Scenarios!$D:$D, MATCH($A56, Scenarios!$A:$A, 0))=0, IF(LEFT(INDEX(Scenarios!$O:$O, MATCH($A56, Scenarios!$A:$A, 0)),4)="Arts", Parameters_Public!$C$30, IF(LEFT(INDEX(Scenarios!$O:$O, MATCH($A56, Scenarios!$A:$A, 0)),5)="Innov", Parameters_Public!$C$31, 0)), 0), 0)</f>
        <v/>
      </c>
      <c r="F56">
        <f>IF($B56="FY2026", IF(INDEX(Scenarios!$E:$E, MATCH($A56, Scenarios!$A:$A, 0))=0, IF(LEFT(INDEX(Scenarios!$P:$P, MATCH($A56, Scenarios!$A:$A, 0)),4)="Arts", Parameters_Public!$C$30, IF(LEFT(INDEX(Scenarios!$P:$P, MATCH($A56, Scenarios!$A:$A, 0)),5)="Innov", Parameters_Public!$C$31, 0)), 0), 0)</f>
        <v/>
      </c>
      <c r="G56">
        <f>IF($B56="FY2026", INDEX(Receiving_Capacity!$L:$L, MATCH($A56, Receiving_Capacity!$A:$A, 0)), 0)</f>
        <v/>
      </c>
      <c r="H56">
        <f>SUM(D56:G56)</f>
        <v/>
      </c>
    </row>
    <row r="57">
      <c r="A57">
        <f>Scenarios!$A$13</f>
        <v/>
      </c>
      <c r="B57" t="inlineStr">
        <is>
          <t>FY2029</t>
        </is>
      </c>
      <c r="C57">
        <f>INDEX(Scenarios!$D:$D, MATCH($A57, Scenarios!$A:$A, 0)) + INDEX(Scenarios!$E:$E, MATCH($A57, Scenarios!$A:$A, 0))</f>
        <v/>
      </c>
      <c r="D57">
        <f>IF($B57="FY2026",$C57*IF(INDEX(Scenarios!$N:$N, MATCH($A57, Scenarios!$A:$A, 0))="lease", Parameters_Public!$C$33, Parameters_Public!$C$31),0)</f>
        <v/>
      </c>
      <c r="E57">
        <f>IF($B57="FY2026", IF(INDEX(Scenarios!$D:$D, MATCH($A57, Scenarios!$A:$A, 0))=0, IF(LEFT(INDEX(Scenarios!$O:$O, MATCH($A57, Scenarios!$A:$A, 0)),4)="Arts", Parameters_Public!$C$30, IF(LEFT(INDEX(Scenarios!$O:$O, MATCH($A57, Scenarios!$A:$A, 0)),5)="Innov", Parameters_Public!$C$31, 0)), 0), 0)</f>
        <v/>
      </c>
      <c r="F57">
        <f>IF($B57="FY2026", IF(INDEX(Scenarios!$E:$E, MATCH($A57, Scenarios!$A:$A, 0))=0, IF(LEFT(INDEX(Scenarios!$P:$P, MATCH($A57, Scenarios!$A:$A, 0)),4)="Arts", Parameters_Public!$C$30, IF(LEFT(INDEX(Scenarios!$P:$P, MATCH($A57, Scenarios!$A:$A, 0)),5)="Innov", Parameters_Public!$C$31, 0)), 0), 0)</f>
        <v/>
      </c>
      <c r="G57">
        <f>IF($B57="FY2026", INDEX(Receiving_Capacity!$L:$L, MATCH($A57, Receiving_Capacity!$A:$A, 0)), 0)</f>
        <v/>
      </c>
      <c r="H57">
        <f>SUM(D57:G57)</f>
        <v/>
      </c>
    </row>
    <row r="58">
      <c r="A58">
        <f>Scenarios!$A$13</f>
        <v/>
      </c>
      <c r="B58" t="inlineStr">
        <is>
          <t>FY2030</t>
        </is>
      </c>
      <c r="C58">
        <f>INDEX(Scenarios!$D:$D, MATCH($A58, Scenarios!$A:$A, 0)) + INDEX(Scenarios!$E:$E, MATCH($A58, Scenarios!$A:$A, 0))</f>
        <v/>
      </c>
      <c r="D58">
        <f>IF($B58="FY2026",$C58*IF(INDEX(Scenarios!$N:$N, MATCH($A58, Scenarios!$A:$A, 0))="lease", Parameters_Public!$C$33, Parameters_Public!$C$31),0)</f>
        <v/>
      </c>
      <c r="E58">
        <f>IF($B58="FY2026", IF(INDEX(Scenarios!$D:$D, MATCH($A58, Scenarios!$A:$A, 0))=0, IF(LEFT(INDEX(Scenarios!$O:$O, MATCH($A58, Scenarios!$A:$A, 0)),4)="Arts", Parameters_Public!$C$30, IF(LEFT(INDEX(Scenarios!$O:$O, MATCH($A58, Scenarios!$A:$A, 0)),5)="Innov", Parameters_Public!$C$31, 0)), 0), 0)</f>
        <v/>
      </c>
      <c r="F58">
        <f>IF($B58="FY2026", IF(INDEX(Scenarios!$E:$E, MATCH($A58, Scenarios!$A:$A, 0))=0, IF(LEFT(INDEX(Scenarios!$P:$P, MATCH($A58, Scenarios!$A:$A, 0)),4)="Arts", Parameters_Public!$C$30, IF(LEFT(INDEX(Scenarios!$P:$P, MATCH($A58, Scenarios!$A:$A, 0)),5)="Innov", Parameters_Public!$C$31, 0)), 0), 0)</f>
        <v/>
      </c>
      <c r="G58">
        <f>IF($B58="FY2026", INDEX(Receiving_Capacity!$L:$L, MATCH($A58, Receiving_Capacity!$A:$A, 0)), 0)</f>
        <v/>
      </c>
      <c r="H58">
        <f>SUM(D58:G58)</f>
        <v/>
      </c>
    </row>
    <row r="59">
      <c r="A59">
        <f>Scenarios!$A$14</f>
        <v/>
      </c>
      <c r="B59" t="inlineStr">
        <is>
          <t>FY2026</t>
        </is>
      </c>
      <c r="C59">
        <f>INDEX(Scenarios!$D:$D, MATCH($A59, Scenarios!$A:$A, 0)) + INDEX(Scenarios!$E:$E, MATCH($A59, Scenarios!$A:$A, 0))</f>
        <v/>
      </c>
      <c r="D59">
        <f>IF($B59="FY2026",$C59*IF(INDEX(Scenarios!$N:$N, MATCH($A59, Scenarios!$A:$A, 0))="lease", Parameters_Public!$C$33, Parameters_Public!$C$31),0)</f>
        <v/>
      </c>
      <c r="E59">
        <f>IF($B59="FY2026", IF(INDEX(Scenarios!$D:$D, MATCH($A59, Scenarios!$A:$A, 0))=0, IF(LEFT(INDEX(Scenarios!$O:$O, MATCH($A59, Scenarios!$A:$A, 0)),4)="Arts", Parameters_Public!$C$30, IF(LEFT(INDEX(Scenarios!$O:$O, MATCH($A59, Scenarios!$A:$A, 0)),5)="Innov", Parameters_Public!$C$31, 0)), 0), 0)</f>
        <v/>
      </c>
      <c r="F59">
        <f>IF($B59="FY2026", IF(INDEX(Scenarios!$E:$E, MATCH($A59, Scenarios!$A:$A, 0))=0, IF(LEFT(INDEX(Scenarios!$P:$P, MATCH($A59, Scenarios!$A:$A, 0)),4)="Arts", Parameters_Public!$C$30, IF(LEFT(INDEX(Scenarios!$P:$P, MATCH($A59, Scenarios!$A:$A, 0)),5)="Innov", Parameters_Public!$C$31, 0)), 0), 0)</f>
        <v/>
      </c>
      <c r="G59">
        <f>IF($B59="FY2026", INDEX(Receiving_Capacity!$L:$L, MATCH($A59, Receiving_Capacity!$A:$A, 0)), 0)</f>
        <v/>
      </c>
      <c r="H59">
        <f>SUM(D59:G59)</f>
        <v/>
      </c>
    </row>
    <row r="60">
      <c r="A60">
        <f>Scenarios!$A$14</f>
        <v/>
      </c>
      <c r="B60" t="inlineStr">
        <is>
          <t>FY2027</t>
        </is>
      </c>
      <c r="C60">
        <f>INDEX(Scenarios!$D:$D, MATCH($A60, Scenarios!$A:$A, 0)) + INDEX(Scenarios!$E:$E, MATCH($A60, Scenarios!$A:$A, 0))</f>
        <v/>
      </c>
      <c r="D60">
        <f>IF($B60="FY2026",$C60*IF(INDEX(Scenarios!$N:$N, MATCH($A60, Scenarios!$A:$A, 0))="lease", Parameters_Public!$C$33, Parameters_Public!$C$31),0)</f>
        <v/>
      </c>
      <c r="E60">
        <f>IF($B60="FY2026", IF(INDEX(Scenarios!$D:$D, MATCH($A60, Scenarios!$A:$A, 0))=0, IF(LEFT(INDEX(Scenarios!$O:$O, MATCH($A60, Scenarios!$A:$A, 0)),4)="Arts", Parameters_Public!$C$30, IF(LEFT(INDEX(Scenarios!$O:$O, MATCH($A60, Scenarios!$A:$A, 0)),5)="Innov", Parameters_Public!$C$31, 0)), 0), 0)</f>
        <v/>
      </c>
      <c r="F60">
        <f>IF($B60="FY2026", IF(INDEX(Scenarios!$E:$E, MATCH($A60, Scenarios!$A:$A, 0))=0, IF(LEFT(INDEX(Scenarios!$P:$P, MATCH($A60, Scenarios!$A:$A, 0)),4)="Arts", Parameters_Public!$C$30, IF(LEFT(INDEX(Scenarios!$P:$P, MATCH($A60, Scenarios!$A:$A, 0)),5)="Innov", Parameters_Public!$C$31, 0)), 0), 0)</f>
        <v/>
      </c>
      <c r="G60">
        <f>IF($B60="FY2026", INDEX(Receiving_Capacity!$L:$L, MATCH($A60, Receiving_Capacity!$A:$A, 0)), 0)</f>
        <v/>
      </c>
      <c r="H60">
        <f>SUM(D60:G60)</f>
        <v/>
      </c>
    </row>
    <row r="61">
      <c r="A61">
        <f>Scenarios!$A$14</f>
        <v/>
      </c>
      <c r="B61" t="inlineStr">
        <is>
          <t>FY2028</t>
        </is>
      </c>
      <c r="C61">
        <f>INDEX(Scenarios!$D:$D, MATCH($A61, Scenarios!$A:$A, 0)) + INDEX(Scenarios!$E:$E, MATCH($A61, Scenarios!$A:$A, 0))</f>
        <v/>
      </c>
      <c r="D61">
        <f>IF($B61="FY2026",$C61*IF(INDEX(Scenarios!$N:$N, MATCH($A61, Scenarios!$A:$A, 0))="lease", Parameters_Public!$C$33, Parameters_Public!$C$31),0)</f>
        <v/>
      </c>
      <c r="E61">
        <f>IF($B61="FY2026", IF(INDEX(Scenarios!$D:$D, MATCH($A61, Scenarios!$A:$A, 0))=0, IF(LEFT(INDEX(Scenarios!$O:$O, MATCH($A61, Scenarios!$A:$A, 0)),4)="Arts", Parameters_Public!$C$30, IF(LEFT(INDEX(Scenarios!$O:$O, MATCH($A61, Scenarios!$A:$A, 0)),5)="Innov", Parameters_Public!$C$31, 0)), 0), 0)</f>
        <v/>
      </c>
      <c r="F61">
        <f>IF($B61="FY2026", IF(INDEX(Scenarios!$E:$E, MATCH($A61, Scenarios!$A:$A, 0))=0, IF(LEFT(INDEX(Scenarios!$P:$P, MATCH($A61, Scenarios!$A:$A, 0)),4)="Arts", Parameters_Public!$C$30, IF(LEFT(INDEX(Scenarios!$P:$P, MATCH($A61, Scenarios!$A:$A, 0)),5)="Innov", Parameters_Public!$C$31, 0)), 0), 0)</f>
        <v/>
      </c>
      <c r="G61">
        <f>IF($B61="FY2026", INDEX(Receiving_Capacity!$L:$L, MATCH($A61, Receiving_Capacity!$A:$A, 0)), 0)</f>
        <v/>
      </c>
      <c r="H61">
        <f>SUM(D61:G61)</f>
        <v/>
      </c>
    </row>
    <row r="62">
      <c r="A62">
        <f>Scenarios!$A$14</f>
        <v/>
      </c>
      <c r="B62" t="inlineStr">
        <is>
          <t>FY2029</t>
        </is>
      </c>
      <c r="C62">
        <f>INDEX(Scenarios!$D:$D, MATCH($A62, Scenarios!$A:$A, 0)) + INDEX(Scenarios!$E:$E, MATCH($A62, Scenarios!$A:$A, 0))</f>
        <v/>
      </c>
      <c r="D62">
        <f>IF($B62="FY2026",$C62*IF(INDEX(Scenarios!$N:$N, MATCH($A62, Scenarios!$A:$A, 0))="lease", Parameters_Public!$C$33, Parameters_Public!$C$31),0)</f>
        <v/>
      </c>
      <c r="E62">
        <f>IF($B62="FY2026", IF(INDEX(Scenarios!$D:$D, MATCH($A62, Scenarios!$A:$A, 0))=0, IF(LEFT(INDEX(Scenarios!$O:$O, MATCH($A62, Scenarios!$A:$A, 0)),4)="Arts", Parameters_Public!$C$30, IF(LEFT(INDEX(Scenarios!$O:$O, MATCH($A62, Scenarios!$A:$A, 0)),5)="Innov", Parameters_Public!$C$31, 0)), 0), 0)</f>
        <v/>
      </c>
      <c r="F62">
        <f>IF($B62="FY2026", IF(INDEX(Scenarios!$E:$E, MATCH($A62, Scenarios!$A:$A, 0))=0, IF(LEFT(INDEX(Scenarios!$P:$P, MATCH($A62, Scenarios!$A:$A, 0)),4)="Arts", Parameters_Public!$C$30, IF(LEFT(INDEX(Scenarios!$P:$P, MATCH($A62, Scenarios!$A:$A, 0)),5)="Innov", Parameters_Public!$C$31, 0)), 0), 0)</f>
        <v/>
      </c>
      <c r="G62">
        <f>IF($B62="FY2026", INDEX(Receiving_Capacity!$L:$L, MATCH($A62, Receiving_Capacity!$A:$A, 0)), 0)</f>
        <v/>
      </c>
      <c r="H62">
        <f>SUM(D62:G62)</f>
        <v/>
      </c>
    </row>
    <row r="63">
      <c r="A63">
        <f>Scenarios!$A$14</f>
        <v/>
      </c>
      <c r="B63" t="inlineStr">
        <is>
          <t>FY2030</t>
        </is>
      </c>
      <c r="C63">
        <f>INDEX(Scenarios!$D:$D, MATCH($A63, Scenarios!$A:$A, 0)) + INDEX(Scenarios!$E:$E, MATCH($A63, Scenarios!$A:$A, 0))</f>
        <v/>
      </c>
      <c r="D63">
        <f>IF($B63="FY2026",$C63*IF(INDEX(Scenarios!$N:$N, MATCH($A63, Scenarios!$A:$A, 0))="lease", Parameters_Public!$C$33, Parameters_Public!$C$31),0)</f>
        <v/>
      </c>
      <c r="E63">
        <f>IF($B63="FY2026", IF(INDEX(Scenarios!$D:$D, MATCH($A63, Scenarios!$A:$A, 0))=0, IF(LEFT(INDEX(Scenarios!$O:$O, MATCH($A63, Scenarios!$A:$A, 0)),4)="Arts", Parameters_Public!$C$30, IF(LEFT(INDEX(Scenarios!$O:$O, MATCH($A63, Scenarios!$A:$A, 0)),5)="Innov", Parameters_Public!$C$31, 0)), 0), 0)</f>
        <v/>
      </c>
      <c r="F63">
        <f>IF($B63="FY2026", IF(INDEX(Scenarios!$E:$E, MATCH($A63, Scenarios!$A:$A, 0))=0, IF(LEFT(INDEX(Scenarios!$P:$P, MATCH($A63, Scenarios!$A:$A, 0)),4)="Arts", Parameters_Public!$C$30, IF(LEFT(INDEX(Scenarios!$P:$P, MATCH($A63, Scenarios!$A:$A, 0)),5)="Innov", Parameters_Public!$C$31, 0)), 0), 0)</f>
        <v/>
      </c>
      <c r="G63">
        <f>IF($B63="FY2026", INDEX(Receiving_Capacity!$L:$L, MATCH($A63, Receiving_Capacity!$A:$A, 0)), 0)</f>
        <v/>
      </c>
      <c r="H63">
        <f>SUM(D63:G63)</f>
        <v/>
      </c>
    </row>
    <row r="64">
      <c r="A64">
        <f>Scenarios!$A$15</f>
        <v/>
      </c>
      <c r="B64" t="inlineStr">
        <is>
          <t>FY2026</t>
        </is>
      </c>
      <c r="C64">
        <f>INDEX(Scenarios!$D:$D, MATCH($A64, Scenarios!$A:$A, 0)) + INDEX(Scenarios!$E:$E, MATCH($A64, Scenarios!$A:$A, 0))</f>
        <v/>
      </c>
      <c r="D64">
        <f>IF($B64="FY2026",$C64*IF(INDEX(Scenarios!$N:$N, MATCH($A64, Scenarios!$A:$A, 0))="lease", Parameters_Public!$C$33, Parameters_Public!$C$31),0)</f>
        <v/>
      </c>
      <c r="E64">
        <f>IF($B64="FY2026", IF(INDEX(Scenarios!$D:$D, MATCH($A64, Scenarios!$A:$A, 0))=0, IF(LEFT(INDEX(Scenarios!$O:$O, MATCH($A64, Scenarios!$A:$A, 0)),4)="Arts", Parameters_Public!$C$30, IF(LEFT(INDEX(Scenarios!$O:$O, MATCH($A64, Scenarios!$A:$A, 0)),5)="Innov", Parameters_Public!$C$31, 0)), 0), 0)</f>
        <v/>
      </c>
      <c r="F64">
        <f>IF($B64="FY2026", IF(INDEX(Scenarios!$E:$E, MATCH($A64, Scenarios!$A:$A, 0))=0, IF(LEFT(INDEX(Scenarios!$P:$P, MATCH($A64, Scenarios!$A:$A, 0)),4)="Arts", Parameters_Public!$C$30, IF(LEFT(INDEX(Scenarios!$P:$P, MATCH($A64, Scenarios!$A:$A, 0)),5)="Innov", Parameters_Public!$C$31, 0)), 0), 0)</f>
        <v/>
      </c>
      <c r="G64">
        <f>IF($B64="FY2026", INDEX(Receiving_Capacity!$L:$L, MATCH($A64, Receiving_Capacity!$A:$A, 0)), 0)</f>
        <v/>
      </c>
      <c r="H64">
        <f>SUM(D64:G64)</f>
        <v/>
      </c>
    </row>
    <row r="65">
      <c r="A65">
        <f>Scenarios!$A$15</f>
        <v/>
      </c>
      <c r="B65" t="inlineStr">
        <is>
          <t>FY2027</t>
        </is>
      </c>
      <c r="C65">
        <f>INDEX(Scenarios!$D:$D, MATCH($A65, Scenarios!$A:$A, 0)) + INDEX(Scenarios!$E:$E, MATCH($A65, Scenarios!$A:$A, 0))</f>
        <v/>
      </c>
      <c r="D65">
        <f>IF($B65="FY2026",$C65*IF(INDEX(Scenarios!$N:$N, MATCH($A65, Scenarios!$A:$A, 0))="lease", Parameters_Public!$C$33, Parameters_Public!$C$31),0)</f>
        <v/>
      </c>
      <c r="E65">
        <f>IF($B65="FY2026", IF(INDEX(Scenarios!$D:$D, MATCH($A65, Scenarios!$A:$A, 0))=0, IF(LEFT(INDEX(Scenarios!$O:$O, MATCH($A65, Scenarios!$A:$A, 0)),4)="Arts", Parameters_Public!$C$30, IF(LEFT(INDEX(Scenarios!$O:$O, MATCH($A65, Scenarios!$A:$A, 0)),5)="Innov", Parameters_Public!$C$31, 0)), 0), 0)</f>
        <v/>
      </c>
      <c r="F65">
        <f>IF($B65="FY2026", IF(INDEX(Scenarios!$E:$E, MATCH($A65, Scenarios!$A:$A, 0))=0, IF(LEFT(INDEX(Scenarios!$P:$P, MATCH($A65, Scenarios!$A:$A, 0)),4)="Arts", Parameters_Public!$C$30, IF(LEFT(INDEX(Scenarios!$P:$P, MATCH($A65, Scenarios!$A:$A, 0)),5)="Innov", Parameters_Public!$C$31, 0)), 0), 0)</f>
        <v/>
      </c>
      <c r="G65">
        <f>IF($B65="FY2026", INDEX(Receiving_Capacity!$L:$L, MATCH($A65, Receiving_Capacity!$A:$A, 0)), 0)</f>
        <v/>
      </c>
      <c r="H65">
        <f>SUM(D65:G65)</f>
        <v/>
      </c>
    </row>
    <row r="66">
      <c r="A66">
        <f>Scenarios!$A$15</f>
        <v/>
      </c>
      <c r="B66" t="inlineStr">
        <is>
          <t>FY2028</t>
        </is>
      </c>
      <c r="C66">
        <f>INDEX(Scenarios!$D:$D, MATCH($A66, Scenarios!$A:$A, 0)) + INDEX(Scenarios!$E:$E, MATCH($A66, Scenarios!$A:$A, 0))</f>
        <v/>
      </c>
      <c r="D66">
        <f>IF($B66="FY2026",$C66*IF(INDEX(Scenarios!$N:$N, MATCH($A66, Scenarios!$A:$A, 0))="lease", Parameters_Public!$C$33, Parameters_Public!$C$31),0)</f>
        <v/>
      </c>
      <c r="E66">
        <f>IF($B66="FY2026", IF(INDEX(Scenarios!$D:$D, MATCH($A66, Scenarios!$A:$A, 0))=0, IF(LEFT(INDEX(Scenarios!$O:$O, MATCH($A66, Scenarios!$A:$A, 0)),4)="Arts", Parameters_Public!$C$30, IF(LEFT(INDEX(Scenarios!$O:$O, MATCH($A66, Scenarios!$A:$A, 0)),5)="Innov", Parameters_Public!$C$31, 0)), 0), 0)</f>
        <v/>
      </c>
      <c r="F66">
        <f>IF($B66="FY2026", IF(INDEX(Scenarios!$E:$E, MATCH($A66, Scenarios!$A:$A, 0))=0, IF(LEFT(INDEX(Scenarios!$P:$P, MATCH($A66, Scenarios!$A:$A, 0)),4)="Arts", Parameters_Public!$C$30, IF(LEFT(INDEX(Scenarios!$P:$P, MATCH($A66, Scenarios!$A:$A, 0)),5)="Innov", Parameters_Public!$C$31, 0)), 0), 0)</f>
        <v/>
      </c>
      <c r="G66">
        <f>IF($B66="FY2026", INDEX(Receiving_Capacity!$L:$L, MATCH($A66, Receiving_Capacity!$A:$A, 0)), 0)</f>
        <v/>
      </c>
      <c r="H66">
        <f>SUM(D66:G66)</f>
        <v/>
      </c>
    </row>
    <row r="67">
      <c r="A67">
        <f>Scenarios!$A$15</f>
        <v/>
      </c>
      <c r="B67" t="inlineStr">
        <is>
          <t>FY2029</t>
        </is>
      </c>
      <c r="C67">
        <f>INDEX(Scenarios!$D:$D, MATCH($A67, Scenarios!$A:$A, 0)) + INDEX(Scenarios!$E:$E, MATCH($A67, Scenarios!$A:$A, 0))</f>
        <v/>
      </c>
      <c r="D67">
        <f>IF($B67="FY2026",$C67*IF(INDEX(Scenarios!$N:$N, MATCH($A67, Scenarios!$A:$A, 0))="lease", Parameters_Public!$C$33, Parameters_Public!$C$31),0)</f>
        <v/>
      </c>
      <c r="E67">
        <f>IF($B67="FY2026", IF(INDEX(Scenarios!$D:$D, MATCH($A67, Scenarios!$A:$A, 0))=0, IF(LEFT(INDEX(Scenarios!$O:$O, MATCH($A67, Scenarios!$A:$A, 0)),4)="Arts", Parameters_Public!$C$30, IF(LEFT(INDEX(Scenarios!$O:$O, MATCH($A67, Scenarios!$A:$A, 0)),5)="Innov", Parameters_Public!$C$31, 0)), 0), 0)</f>
        <v/>
      </c>
      <c r="F67">
        <f>IF($B67="FY2026", IF(INDEX(Scenarios!$E:$E, MATCH($A67, Scenarios!$A:$A, 0))=0, IF(LEFT(INDEX(Scenarios!$P:$P, MATCH($A67, Scenarios!$A:$A, 0)),4)="Arts", Parameters_Public!$C$30, IF(LEFT(INDEX(Scenarios!$P:$P, MATCH($A67, Scenarios!$A:$A, 0)),5)="Innov", Parameters_Public!$C$31, 0)), 0), 0)</f>
        <v/>
      </c>
      <c r="G67">
        <f>IF($B67="FY2026", INDEX(Receiving_Capacity!$L:$L, MATCH($A67, Receiving_Capacity!$A:$A, 0)), 0)</f>
        <v/>
      </c>
      <c r="H67">
        <f>SUM(D67:G67)</f>
        <v/>
      </c>
    </row>
    <row r="68">
      <c r="A68">
        <f>Scenarios!$A$15</f>
        <v/>
      </c>
      <c r="B68" t="inlineStr">
        <is>
          <t>FY2030</t>
        </is>
      </c>
      <c r="C68">
        <f>INDEX(Scenarios!$D:$D, MATCH($A68, Scenarios!$A:$A, 0)) + INDEX(Scenarios!$E:$E, MATCH($A68, Scenarios!$A:$A, 0))</f>
        <v/>
      </c>
      <c r="D68">
        <f>IF($B68="FY2026",$C68*IF(INDEX(Scenarios!$N:$N, MATCH($A68, Scenarios!$A:$A, 0))="lease", Parameters_Public!$C$33, Parameters_Public!$C$31),0)</f>
        <v/>
      </c>
      <c r="E68">
        <f>IF($B68="FY2026", IF(INDEX(Scenarios!$D:$D, MATCH($A68, Scenarios!$A:$A, 0))=0, IF(LEFT(INDEX(Scenarios!$O:$O, MATCH($A68, Scenarios!$A:$A, 0)),4)="Arts", Parameters_Public!$C$30, IF(LEFT(INDEX(Scenarios!$O:$O, MATCH($A68, Scenarios!$A:$A, 0)),5)="Innov", Parameters_Public!$C$31, 0)), 0), 0)</f>
        <v/>
      </c>
      <c r="F68">
        <f>IF($B68="FY2026", IF(INDEX(Scenarios!$E:$E, MATCH($A68, Scenarios!$A:$A, 0))=0, IF(LEFT(INDEX(Scenarios!$P:$P, MATCH($A68, Scenarios!$A:$A, 0)),4)="Arts", Parameters_Public!$C$30, IF(LEFT(INDEX(Scenarios!$P:$P, MATCH($A68, Scenarios!$A:$A, 0)),5)="Innov", Parameters_Public!$C$31, 0)), 0), 0)</f>
        <v/>
      </c>
      <c r="G68">
        <f>IF($B68="FY2026", INDEX(Receiving_Capacity!$L:$L, MATCH($A68, Receiving_Capacity!$A:$A, 0)), 0)</f>
        <v/>
      </c>
      <c r="H68">
        <f>SUM(D68:G68)</f>
        <v/>
      </c>
    </row>
    <row r="70">
      <c r="A70" s="4" t="inlineStr">
        <is>
          <t>ScenarioKey</t>
        </is>
      </c>
      <c r="B70" s="4" t="inlineStr">
        <is>
          <t>Total_Capital_FY26$</t>
        </is>
      </c>
    </row>
    <row r="71">
      <c r="A71">
        <f t="array" ref="A71:A83">_xlfn.UNIQUE(A4:A68)</f>
        <v/>
      </c>
      <c r="B71" s="29">
        <f>VLOOKUP(A71,A4:H63, 8, 0)</f>
        <v/>
      </c>
    </row>
    <row r="72">
      <c r="A72" t="inlineStr">
        <is>
          <t>D4_StatusQuo_Targets</t>
        </is>
      </c>
      <c r="B72" s="29">
        <f>VLOOKUP(A72,A5:H64, 8, 0)</f>
        <v/>
      </c>
    </row>
    <row r="73">
      <c r="A73" t="inlineStr">
        <is>
          <t>D3_CoLocation_Echo_Targets</t>
        </is>
      </c>
      <c r="B73" s="29">
        <f>VLOOKUP(A73,A6:H65, 8, 0)</f>
        <v/>
      </c>
    </row>
    <row r="74">
      <c r="A74" t="inlineStr">
        <is>
          <t>D1_Grow_Both_Targets</t>
        </is>
      </c>
      <c r="B74" s="29">
        <f>VLOOKUP(A74,A7:H66, 8, 0)</f>
        <v/>
      </c>
    </row>
    <row r="75">
      <c r="A75" t="inlineStr">
        <is>
          <t>E2_StatusQuo_Steady</t>
        </is>
      </c>
      <c r="B75" s="29">
        <f>VLOOKUP(A75,A8:H67, 8, 0)</f>
        <v/>
      </c>
    </row>
    <row r="76">
      <c r="A76" t="inlineStr">
        <is>
          <t>D2_EchoGHubRamp_PimaTargets</t>
        </is>
      </c>
      <c r="B76" s="29">
        <f>VLOOKUP(A76,A9:H68, 8, 0)</f>
        <v/>
      </c>
    </row>
    <row r="77">
      <c r="A77" t="inlineStr">
        <is>
          <t>A2_Repurpose_Both_lease</t>
        </is>
      </c>
      <c r="B77" s="29">
        <f>VLOOKUP(A77,A10:H69, 8, 0)</f>
        <v/>
      </c>
    </row>
    <row r="78">
      <c r="A78" t="inlineStr">
        <is>
          <t>A1_Repurpose_Both_ops</t>
        </is>
      </c>
      <c r="B78" s="29">
        <f>VLOOKUP(A78,A11:H70, 8, 0)</f>
        <v/>
      </c>
    </row>
    <row r="79">
      <c r="A79" t="inlineStr">
        <is>
          <t>B2_Repurpose_Echo_lease_PimaTargets</t>
        </is>
      </c>
      <c r="B79" s="29">
        <f>VLOOKUP(A79,A12:H71, 8, 0)</f>
        <v/>
      </c>
    </row>
    <row r="80">
      <c r="A80" t="inlineStr">
        <is>
          <t>B1_Repurpose_Echo_ops_PimaTargets</t>
        </is>
      </c>
      <c r="B80" s="29">
        <f>VLOOKUP(A80,A13:H72, 8, 0)</f>
        <v/>
      </c>
    </row>
    <row r="81">
      <c r="A81" t="inlineStr">
        <is>
          <t>C2_Repurpose_Pima_lease_EchoGHub_EchoTargets</t>
        </is>
      </c>
      <c r="B81" s="29">
        <f>VLOOKUP(A81,A14:H73, 8, 0)</f>
        <v/>
      </c>
    </row>
    <row r="82">
      <c r="A82" t="inlineStr">
        <is>
          <t>C1_Repurpose_Pima_ops_EchoGHub_EchoTargets</t>
        </is>
      </c>
      <c r="B82" s="29">
        <f>VLOOKUP(A82,A15:H74, 8, 0)</f>
        <v/>
      </c>
    </row>
    <row r="83">
      <c r="A83" t="inlineStr">
        <is>
          <t>E1_StatusQuo_Decline</t>
        </is>
      </c>
      <c r="B83" s="29">
        <f>VLOOKUP(A83,A16:H75, 8, 0)</f>
        <v/>
      </c>
    </row>
  </sheetData>
  <mergeCells count="1">
    <mergeCell ref="A1:H1"/>
  </mergeCells>
  <pageMargins left="0.75" right="0.75" top="1" bottom="1" header="0.5" footer="0.5"/>
  <pageSetup orientation="portrait" paperSize="0" horizontalDpi="0" verticalDpi="0" copies="0"/>
</worksheet>
</file>

<file path=xl/worksheets/sheet14.xml><?xml version="1.0" encoding="utf-8"?>
<worksheet xmlns="http://schemas.openxmlformats.org/spreadsheetml/2006/main">
  <sheetPr>
    <outlinePr summaryBelow="1" summaryRight="1"/>
    <pageSetUpPr/>
  </sheetPr>
  <dimension ref="A1:L18"/>
  <sheetViews>
    <sheetView topLeftCell="A4" zoomScale="80" zoomScaleNormal="80" workbookViewId="0">
      <selection activeCell="L10" sqref="L10"/>
    </sheetView>
  </sheetViews>
  <sheetFormatPr baseColWidth="8" defaultRowHeight="14.5"/>
  <cols>
    <col width="44.26953125" bestFit="1" customWidth="1" style="137" min="1" max="1"/>
    <col width="9.6328125" bestFit="1" customWidth="1" style="137" min="2" max="3"/>
    <col width="7.26953125" bestFit="1" customWidth="1" style="137" min="4" max="4"/>
    <col width="8.26953125" bestFit="1" customWidth="1" style="137" min="5" max="5"/>
    <col width="9.7265625" bestFit="1" customWidth="1" style="137" min="8" max="8"/>
    <col width="8.54296875" bestFit="1" customWidth="1" style="137" min="10" max="10"/>
    <col width="9.54296875" bestFit="1" customWidth="1" style="137" min="11" max="11"/>
    <col width="9.90625" bestFit="1" customWidth="1" style="137" min="12" max="12"/>
  </cols>
  <sheetData>
    <row r="1">
      <c r="A1" t="inlineStr">
        <is>
          <t>Receiving Capacity &amp; Feasibility — FY2026 absorption of retained students (by grade band)</t>
        </is>
      </c>
    </row>
    <row r="3">
      <c r="A3" t="inlineStr">
        <is>
          <t>ScenarioKey</t>
        </is>
      </c>
      <c r="B3" t="inlineStr">
        <is>
          <t>CloseEcho</t>
        </is>
      </c>
      <c r="C3" t="inlineStr">
        <is>
          <t>ClosePima</t>
        </is>
      </c>
      <c r="D3" t="inlineStr">
        <is>
          <t>Req_K5</t>
        </is>
      </c>
      <c r="E3" t="inlineStr">
        <is>
          <t>Req_6_8</t>
        </is>
      </c>
      <c r="G3" t="inlineStr">
        <is>
          <t>Spare_K5</t>
        </is>
      </c>
      <c r="H3" t="inlineStr">
        <is>
          <t>Spare_6_8</t>
        </is>
      </c>
      <c r="J3" t="inlineStr">
        <is>
          <t>Short_K5</t>
        </is>
      </c>
      <c r="K3" t="inlineStr">
        <is>
          <t>Short_6_8</t>
        </is>
      </c>
      <c r="L3" t="inlineStr">
        <is>
          <t>Portables$</t>
        </is>
      </c>
    </row>
    <row r="4">
      <c r="A4">
        <f>Scenarios!$A$3</f>
        <v/>
      </c>
      <c r="B4">
        <f>INDEX(Scenarios!$D:$D, MATCH($A4, Scenarios!$A:$A, 0))</f>
        <v/>
      </c>
      <c r="C4">
        <f>INDEX(Scenarios!$E:$E, MATCH($A4, Scenarios!$A:$A, 0))</f>
        <v/>
      </c>
      <c r="D4" s="11">
        <f>INDEX(Scenarios!$D:$D, MATCH($A4, Scenarios!$A:$A, 0))*Parameters_Public!$C$23*Parameters_Public!$C$10*Parameters_Public!$C$38 + INDEX(Scenarios!$E:$E, MATCH($A4, Scenarios!$A:$A, 0))*Parameters_Public!$C$24*Parameters_Public!$C$11*Parameters_Public!$C$40</f>
        <v/>
      </c>
      <c r="E4" s="11">
        <f>INDEX(Scenarios!$D:$D, MATCH($A4, Scenarios!$A:$A, 0))*Parameters_Public!$C$23*Parameters_Public!$C$10*Parameters_Public!$C$39 + INDEX(Scenarios!$E:$E, MATCH($A4, Scenarios!$A:$A, 0))*Parameters_Public!$C$24*Parameters_Public!$C$11*Parameters_Public!$C$41</f>
        <v/>
      </c>
      <c r="G4">
        <f>Parameters_Public!$C$35</f>
        <v/>
      </c>
      <c r="H4">
        <f>Parameters_Public!$C$36</f>
        <v/>
      </c>
      <c r="J4" s="11">
        <f>MAX(0, D4-G4)</f>
        <v/>
      </c>
      <c r="K4" s="11">
        <f>MAX(0, E4-H4)</f>
        <v/>
      </c>
      <c r="L4">
        <f>(J4+K4)*Parameters_Public!$C$34</f>
        <v/>
      </c>
    </row>
    <row r="5">
      <c r="A5">
        <f>Scenarios!$A$4</f>
        <v/>
      </c>
      <c r="B5">
        <f>INDEX(Scenarios!$D:$D, MATCH($A5, Scenarios!$A:$A, 0))</f>
        <v/>
      </c>
      <c r="C5">
        <f>INDEX(Scenarios!$E:$E, MATCH($A5, Scenarios!$A:$A, 0))</f>
        <v/>
      </c>
      <c r="D5" s="11">
        <f>INDEX(Scenarios!$D:$D, MATCH($A5, Scenarios!$A:$A, 0))*Parameters_Public!$C$23*Parameters_Public!$C$10*Parameters_Public!$C$38 + INDEX(Scenarios!$E:$E, MATCH($A5, Scenarios!$A:$A, 0))*Parameters_Public!$C$24*Parameters_Public!$C$11*Parameters_Public!$C$40</f>
        <v/>
      </c>
      <c r="E5" s="11">
        <f>INDEX(Scenarios!$D:$D, MATCH($A5, Scenarios!$A:$A, 0))*Parameters_Public!$C$23*Parameters_Public!$C$10*Parameters_Public!$C$39 + INDEX(Scenarios!$E:$E, MATCH($A5, Scenarios!$A:$A, 0))*Parameters_Public!$C$24*Parameters_Public!$C$11*Parameters_Public!$C$41</f>
        <v/>
      </c>
      <c r="G5">
        <f>Parameters_Public!$C$35</f>
        <v/>
      </c>
      <c r="H5">
        <f>Parameters_Public!$C$36</f>
        <v/>
      </c>
      <c r="J5" s="11">
        <f>MAX(0, D5-G5)</f>
        <v/>
      </c>
      <c r="K5" s="11">
        <f>MAX(0, E5-H5)</f>
        <v/>
      </c>
      <c r="L5">
        <f>(J5+K5)*Parameters_Public!$C$34</f>
        <v/>
      </c>
    </row>
    <row r="6">
      <c r="A6">
        <f>Scenarios!$A$5</f>
        <v/>
      </c>
      <c r="B6">
        <f>INDEX(Scenarios!$D:$D, MATCH($A6, Scenarios!$A:$A, 0))</f>
        <v/>
      </c>
      <c r="C6">
        <f>INDEX(Scenarios!$E:$E, MATCH($A6, Scenarios!$A:$A, 0))</f>
        <v/>
      </c>
      <c r="D6" s="11">
        <f>INDEX(Scenarios!$D:$D, MATCH($A6, Scenarios!$A:$A, 0))*Parameters_Public!$C$23*Parameters_Public!$C$10*Parameters_Public!$C$38 + INDEX(Scenarios!$E:$E, MATCH($A6, Scenarios!$A:$A, 0))*Parameters_Public!$C$24*Parameters_Public!$C$11*Parameters_Public!$C$40</f>
        <v/>
      </c>
      <c r="E6" s="11">
        <f>INDEX(Scenarios!$D:$D, MATCH($A6, Scenarios!$A:$A, 0))*Parameters_Public!$C$23*Parameters_Public!$C$10*Parameters_Public!$C$39 + INDEX(Scenarios!$E:$E, MATCH($A6, Scenarios!$A:$A, 0))*Parameters_Public!$C$24*Parameters_Public!$C$11*Parameters_Public!$C$41</f>
        <v/>
      </c>
      <c r="G6">
        <f>Parameters_Public!$C$35</f>
        <v/>
      </c>
      <c r="H6">
        <f>Parameters_Public!$C$36</f>
        <v/>
      </c>
      <c r="J6" s="11">
        <f>MAX(0, D6-G6)</f>
        <v/>
      </c>
      <c r="K6" s="11">
        <f>MAX(0, E6-H6)</f>
        <v/>
      </c>
      <c r="L6">
        <f>(J6+K6)*Parameters_Public!$C$34</f>
        <v/>
      </c>
    </row>
    <row r="7">
      <c r="A7">
        <f>Scenarios!$A$6</f>
        <v/>
      </c>
      <c r="B7">
        <f>INDEX(Scenarios!$D:$D, MATCH($A7, Scenarios!$A:$A, 0))</f>
        <v/>
      </c>
      <c r="C7">
        <f>INDEX(Scenarios!$E:$E, MATCH($A7, Scenarios!$A:$A, 0))</f>
        <v/>
      </c>
      <c r="D7" s="11">
        <f>INDEX(Scenarios!$D:$D, MATCH($A7, Scenarios!$A:$A, 0))*Parameters_Public!$C$23*Parameters_Public!$C$10*Parameters_Public!$C$38 + INDEX(Scenarios!$E:$E, MATCH($A7, Scenarios!$A:$A, 0))*Parameters_Public!$C$24*Parameters_Public!$C$11*Parameters_Public!$C$40</f>
        <v/>
      </c>
      <c r="E7" s="11">
        <f>INDEX(Scenarios!$D:$D, MATCH($A7, Scenarios!$A:$A, 0))*Parameters_Public!$C$23*Parameters_Public!$C$10*Parameters_Public!$C$39 + INDEX(Scenarios!$E:$E, MATCH($A7, Scenarios!$A:$A, 0))*Parameters_Public!$C$24*Parameters_Public!$C$11*Parameters_Public!$C$41</f>
        <v/>
      </c>
      <c r="G7">
        <f>Parameters_Public!$C$35</f>
        <v/>
      </c>
      <c r="H7">
        <f>Parameters_Public!$C$36</f>
        <v/>
      </c>
      <c r="J7" s="11">
        <f>MAX(0, D7-G7)</f>
        <v/>
      </c>
      <c r="K7" s="11">
        <f>MAX(0, E7-H7)</f>
        <v/>
      </c>
      <c r="L7">
        <f>(J7+K7)*Parameters_Public!$C$34</f>
        <v/>
      </c>
    </row>
    <row r="8">
      <c r="A8">
        <f>Scenarios!$A$7</f>
        <v/>
      </c>
      <c r="B8">
        <f>INDEX(Scenarios!$D:$D, MATCH($A8, Scenarios!$A:$A, 0))</f>
        <v/>
      </c>
      <c r="C8">
        <f>INDEX(Scenarios!$E:$E, MATCH($A8, Scenarios!$A:$A, 0))</f>
        <v/>
      </c>
      <c r="D8" s="11">
        <f>INDEX(Scenarios!$D:$D, MATCH($A8, Scenarios!$A:$A, 0))*Parameters_Public!$C$23*Parameters_Public!$C$10*Parameters_Public!$C$38 + INDEX(Scenarios!$E:$E, MATCH($A8, Scenarios!$A:$A, 0))*Parameters_Public!$C$24*Parameters_Public!$C$11*Parameters_Public!$C$40</f>
        <v/>
      </c>
      <c r="E8" s="11">
        <f>INDEX(Scenarios!$D:$D, MATCH($A8, Scenarios!$A:$A, 0))*Parameters_Public!$C$23*Parameters_Public!$C$10*Parameters_Public!$C$39 + INDEX(Scenarios!$E:$E, MATCH($A8, Scenarios!$A:$A, 0))*Parameters_Public!$C$24*Parameters_Public!$C$11*Parameters_Public!$C$41</f>
        <v/>
      </c>
      <c r="G8">
        <f>Parameters_Public!$C$35</f>
        <v/>
      </c>
      <c r="H8">
        <f>Parameters_Public!$C$36</f>
        <v/>
      </c>
      <c r="J8" s="11">
        <f>MAX(0, D8-G8)</f>
        <v/>
      </c>
      <c r="K8" s="11">
        <f>MAX(0, E8-H8)</f>
        <v/>
      </c>
      <c r="L8">
        <f>(J8+K8)*Parameters_Public!$C$34</f>
        <v/>
      </c>
    </row>
    <row r="9">
      <c r="A9">
        <f>Scenarios!$A$8</f>
        <v/>
      </c>
      <c r="B9">
        <f>INDEX(Scenarios!$D:$D, MATCH($A9, Scenarios!$A:$A, 0))</f>
        <v/>
      </c>
      <c r="C9">
        <f>INDEX(Scenarios!$E:$E, MATCH($A9, Scenarios!$A:$A, 0))</f>
        <v/>
      </c>
      <c r="D9" s="11">
        <f>INDEX(Scenarios!$D:$D, MATCH($A9, Scenarios!$A:$A, 0))*Parameters_Public!$C$23*Parameters_Public!$C$10*Parameters_Public!$C$38 + INDEX(Scenarios!$E:$E, MATCH($A9, Scenarios!$A:$A, 0))*Parameters_Public!$C$24*Parameters_Public!$C$11*Parameters_Public!$C$40</f>
        <v/>
      </c>
      <c r="E9" s="11">
        <f>INDEX(Scenarios!$D:$D, MATCH($A9, Scenarios!$A:$A, 0))*Parameters_Public!$C$23*Parameters_Public!$C$10*Parameters_Public!$C$39 + INDEX(Scenarios!$E:$E, MATCH($A9, Scenarios!$A:$A, 0))*Parameters_Public!$C$24*Parameters_Public!$C$11*Parameters_Public!$C$41</f>
        <v/>
      </c>
      <c r="G9">
        <f>Parameters_Public!$C$35</f>
        <v/>
      </c>
      <c r="H9">
        <f>Parameters_Public!$C$36</f>
        <v/>
      </c>
      <c r="J9" s="11">
        <f>MAX(0, D9-G9)</f>
        <v/>
      </c>
      <c r="K9" s="11">
        <f>MAX(0, E9-H9)</f>
        <v/>
      </c>
      <c r="L9">
        <f>(J9+K9)*Parameters_Public!$C$34</f>
        <v/>
      </c>
    </row>
    <row r="10">
      <c r="A10">
        <f>Scenarios!$A$9</f>
        <v/>
      </c>
      <c r="B10">
        <f>INDEX(Scenarios!$D:$D, MATCH($A10, Scenarios!$A:$A, 0))</f>
        <v/>
      </c>
      <c r="C10">
        <f>INDEX(Scenarios!$E:$E, MATCH($A10, Scenarios!$A:$A, 0))</f>
        <v/>
      </c>
      <c r="D10" s="11">
        <f>INDEX(Scenarios!$D:$D, MATCH($A10, Scenarios!$A:$A, 0))*Parameters_Public!$C$23*Parameters_Public!$C$10*Parameters_Public!$C$38 + INDEX(Scenarios!$E:$E, MATCH($A10, Scenarios!$A:$A, 0))*Parameters_Public!$C$24*Parameters_Public!$C$11*Parameters_Public!$C$40</f>
        <v/>
      </c>
      <c r="E10" s="11">
        <f>INDEX(Scenarios!$D:$D, MATCH($A10, Scenarios!$A:$A, 0))*Parameters_Public!$C$23*Parameters_Public!$C$10*Parameters_Public!$C$39 + INDEX(Scenarios!$E:$E, MATCH($A10, Scenarios!$A:$A, 0))*Parameters_Public!$C$24*Parameters_Public!$C$11*Parameters_Public!$C$41</f>
        <v/>
      </c>
      <c r="G10">
        <f>Parameters_Public!$C$35</f>
        <v/>
      </c>
      <c r="H10">
        <f>Parameters_Public!$C$36</f>
        <v/>
      </c>
      <c r="J10" s="11">
        <f>MAX(0, D10-G10)</f>
        <v/>
      </c>
      <c r="K10" s="11">
        <f>MAX(0, E10-H10)</f>
        <v/>
      </c>
      <c r="L10">
        <f>(J10+K10)*Parameters_Public!$C$34</f>
        <v/>
      </c>
    </row>
    <row r="11">
      <c r="A11">
        <f>Scenarios!$A$10</f>
        <v/>
      </c>
      <c r="B11">
        <f>INDEX(Scenarios!$D:$D, MATCH($A11, Scenarios!$A:$A, 0))</f>
        <v/>
      </c>
      <c r="C11">
        <f>INDEX(Scenarios!$E:$E, MATCH($A11, Scenarios!$A:$A, 0))</f>
        <v/>
      </c>
      <c r="D11" s="11">
        <f>INDEX(Scenarios!$D:$D, MATCH($A11, Scenarios!$A:$A, 0))*Parameters_Public!$C$23*Parameters_Public!$C$10*Parameters_Public!$C$38 + INDEX(Scenarios!$E:$E, MATCH($A11, Scenarios!$A:$A, 0))*Parameters_Public!$C$24*Parameters_Public!$C$11*Parameters_Public!$C$40</f>
        <v/>
      </c>
      <c r="E11" s="11">
        <f>INDEX(Scenarios!$D:$D, MATCH($A11, Scenarios!$A:$A, 0))*Parameters_Public!$C$23*Parameters_Public!$C$10*Parameters_Public!$C$39 + INDEX(Scenarios!$E:$E, MATCH($A11, Scenarios!$A:$A, 0))*Parameters_Public!$C$24*Parameters_Public!$C$11*Parameters_Public!$C$41</f>
        <v/>
      </c>
      <c r="G11">
        <f>Parameters_Public!$C$35</f>
        <v/>
      </c>
      <c r="H11">
        <f>Parameters_Public!$C$36</f>
        <v/>
      </c>
      <c r="J11" s="11">
        <f>MAX(0, D11-G11)</f>
        <v/>
      </c>
      <c r="K11" s="11">
        <f>MAX(0, E11-H11)</f>
        <v/>
      </c>
      <c r="L11">
        <f>(J11+K11)*Parameters_Public!$C$34</f>
        <v/>
      </c>
    </row>
    <row r="12">
      <c r="A12">
        <f>Scenarios!$A$11</f>
        <v/>
      </c>
      <c r="B12">
        <f>INDEX(Scenarios!$D:$D, MATCH($A12, Scenarios!$A:$A, 0))</f>
        <v/>
      </c>
      <c r="C12">
        <f>INDEX(Scenarios!$E:$E, MATCH($A12, Scenarios!$A:$A, 0))</f>
        <v/>
      </c>
      <c r="D12" s="11">
        <f>INDEX(Scenarios!$D:$D, MATCH($A12, Scenarios!$A:$A, 0))*Parameters_Public!$C$23*Parameters_Public!$C$10*Parameters_Public!$C$38 + INDEX(Scenarios!$E:$E, MATCH($A12, Scenarios!$A:$A, 0))*Parameters_Public!$C$24*Parameters_Public!$C$11*Parameters_Public!$C$40</f>
        <v/>
      </c>
      <c r="E12" s="11">
        <f>INDEX(Scenarios!$D:$D, MATCH($A12, Scenarios!$A:$A, 0))*Parameters_Public!$C$23*Parameters_Public!$C$10*Parameters_Public!$C$39 + INDEX(Scenarios!$E:$E, MATCH($A12, Scenarios!$A:$A, 0))*Parameters_Public!$C$24*Parameters_Public!$C$11*Parameters_Public!$C$41</f>
        <v/>
      </c>
      <c r="G12">
        <f>Parameters_Public!$C$35</f>
        <v/>
      </c>
      <c r="H12">
        <f>Parameters_Public!$C$36</f>
        <v/>
      </c>
      <c r="J12" s="11">
        <f>MAX(0, D12-G12)</f>
        <v/>
      </c>
      <c r="K12" s="11">
        <f>MAX(0, E12-H12)</f>
        <v/>
      </c>
      <c r="L12">
        <f>(J12+K12)*Parameters_Public!$C$34</f>
        <v/>
      </c>
    </row>
    <row r="13">
      <c r="A13">
        <f>Scenarios!$A$12</f>
        <v/>
      </c>
      <c r="B13">
        <f>INDEX(Scenarios!$D:$D, MATCH($A13, Scenarios!$A:$A, 0))</f>
        <v/>
      </c>
      <c r="C13">
        <f>INDEX(Scenarios!$E:$E, MATCH($A13, Scenarios!$A:$A, 0))</f>
        <v/>
      </c>
      <c r="D13" s="11">
        <f>INDEX(Scenarios!$D:$D, MATCH($A13, Scenarios!$A:$A, 0))*Parameters_Public!$C$23*Parameters_Public!$C$10*Parameters_Public!$C$38 + INDEX(Scenarios!$E:$E, MATCH($A13, Scenarios!$A:$A, 0))*Parameters_Public!$C$24*Parameters_Public!$C$11*Parameters_Public!$C$40</f>
        <v/>
      </c>
      <c r="E13" s="11">
        <f>INDEX(Scenarios!$D:$D, MATCH($A13, Scenarios!$A:$A, 0))*Parameters_Public!$C$23*Parameters_Public!$C$10*Parameters_Public!$C$39 + INDEX(Scenarios!$E:$E, MATCH($A13, Scenarios!$A:$A, 0))*Parameters_Public!$C$24*Parameters_Public!$C$11*Parameters_Public!$C$41</f>
        <v/>
      </c>
      <c r="G13">
        <f>Parameters_Public!$C$35</f>
        <v/>
      </c>
      <c r="H13">
        <f>Parameters_Public!$C$36</f>
        <v/>
      </c>
      <c r="J13" s="11">
        <f>MAX(0, D13-G13)</f>
        <v/>
      </c>
      <c r="K13" s="11">
        <f>MAX(0, E13-H13)</f>
        <v/>
      </c>
      <c r="L13">
        <f>(J13+K13)*Parameters_Public!$C$34</f>
        <v/>
      </c>
    </row>
    <row r="14">
      <c r="A14">
        <f>Scenarios!$A$13</f>
        <v/>
      </c>
      <c r="B14">
        <f>INDEX(Scenarios!$D:$D, MATCH($A14, Scenarios!$A:$A, 0))</f>
        <v/>
      </c>
      <c r="C14">
        <f>INDEX(Scenarios!$E:$E, MATCH($A14, Scenarios!$A:$A, 0))</f>
        <v/>
      </c>
      <c r="D14" s="11">
        <f>INDEX(Scenarios!$D:$D, MATCH($A14, Scenarios!$A:$A, 0))*Parameters_Public!$C$23*Parameters_Public!$C$10*Parameters_Public!$C$38 + INDEX(Scenarios!$E:$E, MATCH($A14, Scenarios!$A:$A, 0))*Parameters_Public!$C$24*Parameters_Public!$C$11*Parameters_Public!$C$40</f>
        <v/>
      </c>
      <c r="E14" s="11">
        <f>INDEX(Scenarios!$D:$D, MATCH($A14, Scenarios!$A:$A, 0))*Parameters_Public!$C$23*Parameters_Public!$C$10*Parameters_Public!$C$39 + INDEX(Scenarios!$E:$E, MATCH($A14, Scenarios!$A:$A, 0))*Parameters_Public!$C$24*Parameters_Public!$C$11*Parameters_Public!$C$41</f>
        <v/>
      </c>
      <c r="G14">
        <f>Parameters_Public!$C$35</f>
        <v/>
      </c>
      <c r="H14">
        <f>Parameters_Public!$C$36</f>
        <v/>
      </c>
      <c r="J14" s="11">
        <f>MAX(0, D14-G14)</f>
        <v/>
      </c>
      <c r="K14" s="11">
        <f>MAX(0, E14-H14)</f>
        <v/>
      </c>
      <c r="L14">
        <f>(J14+K14)*Parameters_Public!$C$34</f>
        <v/>
      </c>
    </row>
    <row r="15">
      <c r="A15">
        <f>Scenarios!$A$14</f>
        <v/>
      </c>
      <c r="B15">
        <f>INDEX(Scenarios!$D:$D, MATCH($A15, Scenarios!$A:$A, 0))</f>
        <v/>
      </c>
      <c r="C15">
        <f>INDEX(Scenarios!$E:$E, MATCH($A15, Scenarios!$A:$A, 0))</f>
        <v/>
      </c>
      <c r="D15" s="11">
        <f>INDEX(Scenarios!$D:$D, MATCH($A15, Scenarios!$A:$A, 0))*Parameters_Public!$C$23*Parameters_Public!$C$10*Parameters_Public!$C$38 + INDEX(Scenarios!$E:$E, MATCH($A15, Scenarios!$A:$A, 0))*Parameters_Public!$C$24*Parameters_Public!$C$11*Parameters_Public!$C$40</f>
        <v/>
      </c>
      <c r="E15" s="11">
        <f>INDEX(Scenarios!$D:$D, MATCH($A15, Scenarios!$A:$A, 0))*Parameters_Public!$C$23*Parameters_Public!$C$10*Parameters_Public!$C$39 + INDEX(Scenarios!$E:$E, MATCH($A15, Scenarios!$A:$A, 0))*Parameters_Public!$C$24*Parameters_Public!$C$11*Parameters_Public!$C$41</f>
        <v/>
      </c>
      <c r="G15">
        <f>Parameters_Public!$C$35</f>
        <v/>
      </c>
      <c r="H15">
        <f>Parameters_Public!$C$36</f>
        <v/>
      </c>
      <c r="J15" s="11">
        <f>MAX(0, D15-G15)</f>
        <v/>
      </c>
      <c r="K15" s="11">
        <f>MAX(0, E15-H15)</f>
        <v/>
      </c>
      <c r="L15">
        <f>(J15+K15)*Parameters_Public!$C$34</f>
        <v/>
      </c>
    </row>
    <row r="16">
      <c r="A16">
        <f>Scenarios!$A$15</f>
        <v/>
      </c>
      <c r="B16">
        <f>INDEX(Scenarios!$D:$D, MATCH($A16, Scenarios!$A:$A, 0))</f>
        <v/>
      </c>
      <c r="C16">
        <f>INDEX(Scenarios!$E:$E, MATCH($A16, Scenarios!$A:$A, 0))</f>
        <v/>
      </c>
      <c r="D16" s="11">
        <f>INDEX(Scenarios!$D:$D, MATCH($A16, Scenarios!$A:$A, 0))*Parameters_Public!$C$23*Parameters_Public!$C$10*Parameters_Public!$C$38 + INDEX(Scenarios!$E:$E, MATCH($A16, Scenarios!$A:$A, 0))*Parameters_Public!$C$24*Parameters_Public!$C$11*Parameters_Public!$C$40</f>
        <v/>
      </c>
      <c r="E16" s="11">
        <f>INDEX(Scenarios!$D:$D, MATCH($A16, Scenarios!$A:$A, 0))*Parameters_Public!$C$23*Parameters_Public!$C$10*Parameters_Public!$C$39 + INDEX(Scenarios!$E:$E, MATCH($A16, Scenarios!$A:$A, 0))*Parameters_Public!$C$24*Parameters_Public!$C$11*Parameters_Public!$C$41</f>
        <v/>
      </c>
      <c r="G16">
        <f>Parameters_Public!$C$35</f>
        <v/>
      </c>
      <c r="H16">
        <f>Parameters_Public!$C$36</f>
        <v/>
      </c>
      <c r="J16" s="11">
        <f>MAX(0, D16-G16)</f>
        <v/>
      </c>
      <c r="K16" s="11">
        <f>MAX(0, E16-H16)</f>
        <v/>
      </c>
      <c r="L16">
        <f>(J16+K16)*Parameters_Public!$C$34</f>
        <v/>
      </c>
    </row>
    <row r="18">
      <c r="D18">
        <f>INDEX(Scenarios!$D:$D, MATCH($A4, Scenarios!$A:$A, 0))*Parameters_Public!$C$22*Echo_ADM0*Parameters_Public!$C$36 + INDEX(Scenarios!$E:$E, MATCH($A4, Scenarios!$A:$A, 0))*Parameters_Public!$C$23*Pima_ADM0*Parameters_Public!$C$38</f>
        <v/>
      </c>
    </row>
  </sheetData>
  <mergeCells count="1">
    <mergeCell ref="A1:L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59"/>
  <sheetViews>
    <sheetView zoomScale="80" zoomScaleNormal="80" workbookViewId="0">
      <pane xSplit="2" ySplit="1" topLeftCell="C2" activePane="bottomRight" state="frozen"/>
      <selection pane="topRight" activeCell="A1" sqref="A1"/>
      <selection pane="bottomLeft" activeCell="A1" sqref="A1"/>
      <selection pane="bottomRight" activeCell="D23" sqref="D23"/>
    </sheetView>
  </sheetViews>
  <sheetFormatPr baseColWidth="8" defaultRowHeight="14.5"/>
  <cols>
    <col width="3.90625" customWidth="1" style="137" min="1" max="1"/>
    <col width="66.54296875" customWidth="1" style="137" min="2" max="2"/>
    <col width="15.54296875" bestFit="1" customWidth="1" style="137" min="3" max="3"/>
    <col width="15.90625" bestFit="1" customWidth="1" style="137" min="4" max="4"/>
    <col width="16" bestFit="1" customWidth="1" style="137" min="5" max="5"/>
    <col width="22.1796875" bestFit="1" customWidth="1" style="137" min="6" max="6"/>
    <col width="19.90625" bestFit="1" customWidth="1" style="137" min="7" max="7"/>
    <col width="146.54296875" bestFit="1" customWidth="1" style="137" min="8" max="8"/>
    <col width="34.36328125" bestFit="1" customWidth="1" style="137" min="11" max="11"/>
  </cols>
  <sheetData>
    <row r="1" ht="15.5" customHeight="1" s="137">
      <c r="A1" s="17" t="inlineStr">
        <is>
          <t>Control center - yellow shaded fields are editable inputs</t>
        </is>
      </c>
    </row>
    <row r="3">
      <c r="A3" s="4" t="inlineStr">
        <is>
          <t>Foundational inputs</t>
        </is>
      </c>
      <c r="B3" s="153" t="n"/>
    </row>
    <row r="4">
      <c r="A4" s="4" t="n"/>
    </row>
    <row r="5">
      <c r="B5" s="6" t="inlineStr">
        <is>
          <t>Parameter</t>
        </is>
      </c>
      <c r="C5" s="155" t="inlineStr">
        <is>
          <t>Value</t>
        </is>
      </c>
      <c r="D5" s="156" t="n"/>
      <c r="E5" s="156" t="n"/>
      <c r="F5" s="156" t="n"/>
      <c r="G5" s="157" t="n"/>
      <c r="H5" s="6" t="inlineStr">
        <is>
          <t>Notes</t>
        </is>
      </c>
      <c r="J5" s="4" t="n"/>
      <c r="K5" s="4" t="n"/>
      <c r="L5" s="4" t="n"/>
      <c r="M5" s="4" t="n"/>
      <c r="N5" s="4" t="n"/>
      <c r="O5" s="4" t="n"/>
      <c r="P5" s="4" t="n"/>
    </row>
    <row r="6">
      <c r="B6" s="153" t="inlineStr">
        <is>
          <t>MO inflation</t>
        </is>
      </c>
      <c r="C6" s="14" t="n">
        <v>0.025</v>
      </c>
      <c r="D6" s="153" t="n"/>
      <c r="E6" s="153" t="n"/>
      <c r="F6" s="153" t="n"/>
      <c r="G6" s="153" t="n"/>
      <c r="H6" s="8" t="inlineStr">
        <is>
          <t>Annual inflation factor.</t>
        </is>
      </c>
    </row>
    <row r="7">
      <c r="B7" s="153" t="inlineStr">
        <is>
          <t>Base MO per ADM (FY25)</t>
        </is>
      </c>
      <c r="C7" s="14" t="n">
        <v>9936</v>
      </c>
      <c r="D7" s="153" t="n"/>
      <c r="E7" s="153" t="n"/>
      <c r="F7" s="153" t="n"/>
      <c r="G7" s="153" t="n"/>
      <c r="H7" s="8" t="inlineStr">
        <is>
          <t>"MO" = xx.  Working base for FY25.  Calculated from reported budget data and enrollment estimates - as relates to Echo Canyon and Pima only.</t>
        </is>
      </c>
    </row>
    <row r="8">
      <c r="B8" s="153" t="inlineStr">
        <is>
          <t>Fixed share of MO</t>
        </is>
      </c>
      <c r="C8" s="14" t="n">
        <v>0.46</v>
      </c>
      <c r="D8" s="153" t="n"/>
      <c r="E8" s="153" t="n"/>
      <c r="F8" s="153" t="n"/>
      <c r="G8" s="153" t="n"/>
      <c r="H8" s="8" t="inlineStr">
        <is>
          <t>Share of MO treated as semi‑fixed (plant/insurance).</t>
        </is>
      </c>
    </row>
    <row r="9">
      <c r="B9" s="153" t="inlineStr">
        <is>
          <t>Base State Aid per ADM (FY26)</t>
        </is>
      </c>
      <c r="C9" s="14" t="n">
        <v>5013</v>
      </c>
      <c r="D9" s="153" t="n"/>
      <c r="E9" s="153" t="n"/>
      <c r="F9" s="153" t="n"/>
      <c r="G9" s="153" t="n"/>
      <c r="H9" s="8" t="inlineStr">
        <is>
          <t>Editable; ADE base aid.</t>
        </is>
      </c>
    </row>
    <row r="10">
      <c r="B10" s="153" t="inlineStr">
        <is>
          <t>Ops savings (keep‑open)</t>
        </is>
      </c>
      <c r="C10" s="14" t="n">
        <v>0.007</v>
      </c>
      <c r="D10" s="153" t="n"/>
      <c r="E10" s="153" t="n"/>
      <c r="F10" s="153" t="n"/>
      <c r="G10" s="153" t="n"/>
      <c r="H10" s="8" t="inlineStr">
        <is>
          <t>Light discipline if sites remain open (not used here).</t>
        </is>
      </c>
    </row>
    <row r="11">
      <c r="B11" s="153" t="inlineStr">
        <is>
          <t>Extra savings (Co‑location)</t>
        </is>
      </c>
      <c r="C11" s="14" t="n">
        <v>0.015</v>
      </c>
      <c r="D11" s="153" t="n"/>
      <c r="E11" s="153" t="n"/>
      <c r="F11" s="153" t="n"/>
      <c r="G11" s="153" t="n"/>
      <c r="H11" s="8" t="inlineStr">
        <is>
          <t>Incremental savings for co‑location (not used here).</t>
        </is>
      </c>
    </row>
    <row r="12">
      <c r="B12" s="153" t="inlineStr">
        <is>
          <t>Echo base ADM</t>
        </is>
      </c>
      <c r="C12" s="14" t="n">
        <v>257</v>
      </c>
      <c r="D12" s="153" t="n"/>
      <c r="E12" s="153" t="n"/>
      <c r="F12" s="153" t="n"/>
      <c r="G12" s="153" t="n"/>
      <c r="H12" s="8" t="inlineStr">
        <is>
          <t>"ADM" = average daily membership; roughly equivalent to enrollment.  Approximate current Echo enrollment</t>
        </is>
      </c>
    </row>
    <row r="13">
      <c r="B13" s="153" t="inlineStr">
        <is>
          <t>Pima base ADM</t>
        </is>
      </c>
      <c r="C13" s="14" t="n">
        <v>296</v>
      </c>
      <c r="D13" s="153" t="n"/>
      <c r="E13" s="153" t="n"/>
      <c r="F13" s="153" t="n"/>
      <c r="G13" s="153" t="n"/>
      <c r="H13" s="8" t="inlineStr">
        <is>
          <t>Approximate current Pima enrollment</t>
        </is>
      </c>
    </row>
    <row r="14">
      <c r="B14" s="153" t="inlineStr">
        <is>
          <t>Total base ADM</t>
        </is>
      </c>
      <c r="C14" s="153">
        <f>C12+C13</f>
        <v/>
      </c>
      <c r="D14" s="153" t="n"/>
      <c r="E14" s="153" t="n"/>
      <c r="F14" s="153" t="n"/>
      <c r="G14" s="153" t="n"/>
      <c r="H14" s="8" t="inlineStr">
        <is>
          <t>Echo base ADM + Pima base ADM</t>
        </is>
      </c>
    </row>
    <row r="15">
      <c r="B15" s="153" t="inlineStr">
        <is>
          <t>Repurpose TI per closed site (FY26)</t>
        </is>
      </c>
      <c r="C15" s="13" t="n">
        <v>1200000</v>
      </c>
      <c r="D15" s="153" t="n"/>
      <c r="E15" s="153" t="n"/>
      <c r="F15" s="153" t="n"/>
      <c r="G15" s="153" t="n"/>
      <c r="H15" s="8" t="inlineStr">
        <is>
          <t>Research suggests a xx</t>
        </is>
      </c>
    </row>
    <row r="16">
      <c r="B16" s="153" t="inlineStr">
        <is>
          <t>Retention r (in case of repurpose)</t>
        </is>
      </c>
      <c r="C16" s="14" t="n">
        <v>0.75</v>
      </c>
      <c r="D16" s="153" t="n"/>
      <c r="E16" s="153" t="n"/>
      <c r="F16" s="153" t="n"/>
      <c r="G16" s="153" t="n"/>
      <c r="H16" s="8" t="inlineStr">
        <is>
          <t>Research suggests a range in the 0.5-0.8 range.  Since Echo is a choice school with high % of families from out of district, reality might be lower?</t>
        </is>
      </c>
    </row>
    <row r="17">
      <c r="B17" s="153" t="inlineStr">
        <is>
          <t>MarginalFactor_for_Overlay</t>
        </is>
      </c>
      <c r="C17" s="14">
        <f>Parameters_Public!$C41</f>
        <v/>
      </c>
      <c r="D17" s="153" t="n"/>
      <c r="E17" s="153" t="n"/>
      <c r="F17" s="153" t="n"/>
      <c r="G17" s="153" t="n"/>
      <c r="H17" s="8" t="inlineStr">
        <is>
          <t>Assuming there is a reduced marginal cost of adding new (growth) students, especially when the schools (Echo and Pima) have capacity.  In reality this is probably a complicated step function, but we can approximate.</t>
        </is>
      </c>
    </row>
    <row r="18">
      <c r="B18" s="153" t="n"/>
      <c r="C18" s="153" t="n"/>
      <c r="D18" s="153" t="n"/>
      <c r="E18" s="153" t="n"/>
      <c r="F18" s="153" t="n"/>
      <c r="G18" s="153" t="n"/>
      <c r="H18" s="9" t="n"/>
    </row>
    <row r="19">
      <c r="A19" s="4" t="inlineStr">
        <is>
          <t>Repurpose trajectory assumptions</t>
        </is>
      </c>
      <c r="B19" s="153" t="n"/>
      <c r="C19" s="153" t="n"/>
      <c r="D19" s="153" t="n"/>
      <c r="E19" s="153" t="n"/>
      <c r="F19" s="153" t="n"/>
      <c r="G19" s="153" t="n"/>
      <c r="H19" s="9" t="n"/>
    </row>
    <row r="20">
      <c r="A20" s="4" t="n"/>
      <c r="B20" s="153" t="n"/>
      <c r="C20" s="153" t="n"/>
      <c r="D20" s="153" t="n"/>
      <c r="E20" s="153" t="n"/>
      <c r="F20" s="153" t="n"/>
      <c r="G20" s="153" t="n"/>
      <c r="H20" s="9" t="n"/>
    </row>
    <row r="21">
      <c r="B21" s="6" t="inlineStr">
        <is>
          <t>Year</t>
        </is>
      </c>
      <c r="C21" s="6" t="inlineStr">
        <is>
          <t>h</t>
        </is>
      </c>
      <c r="D21" s="6" t="inlineStr">
        <is>
          <t>f_lease</t>
        </is>
      </c>
      <c r="E21" s="6" t="inlineStr">
        <is>
          <t>f_ops</t>
        </is>
      </c>
      <c r="F21" s="15" t="n"/>
      <c r="G21" s="15" t="n"/>
      <c r="H21" s="9" t="n"/>
    </row>
    <row r="22">
      <c r="B22" s="153" t="inlineStr">
        <is>
          <t>FY2026</t>
        </is>
      </c>
      <c r="C22" s="14" t="n">
        <v>1000</v>
      </c>
      <c r="D22" s="14" t="n">
        <v>0.2</v>
      </c>
      <c r="E22" s="14" t="n">
        <v>0.45</v>
      </c>
      <c r="F22" s="153" t="n"/>
      <c r="G22" s="153" t="n"/>
      <c r="H22" s="8" t="inlineStr">
        <is>
          <t>(For 'h') Research suggests an incremental transition cost (largely related to bus transportation) that can start higher than $1000. Assumption is this is managed down over time</t>
        </is>
      </c>
    </row>
    <row r="23">
      <c r="B23" s="153" t="inlineStr">
        <is>
          <t>FY2027</t>
        </is>
      </c>
      <c r="C23" s="14" t="n">
        <v>800</v>
      </c>
      <c r="D23" s="14" t="n">
        <v>0.2</v>
      </c>
      <c r="E23" s="14" t="n">
        <v>0.4</v>
      </c>
      <c r="F23" s="153" t="n"/>
      <c r="G23" s="153" t="n"/>
      <c r="H23" s="8" t="inlineStr">
        <is>
          <t>(For 'f_lease') Assuming repurpose = lease… depending on lease timing and type / arrangement (e.g. triple net?), district will carry some percentage of fixed and semi-fixed costs for a certain period of time</t>
        </is>
      </c>
    </row>
    <row r="24">
      <c r="B24" s="153" t="inlineStr">
        <is>
          <t>FY2028</t>
        </is>
      </c>
      <c r="C24" s="14" t="n">
        <v>600</v>
      </c>
      <c r="D24" s="14" t="n">
        <v>0.15</v>
      </c>
      <c r="E24" s="14" t="n">
        <v>0.35</v>
      </c>
      <c r="F24" s="153" t="n"/>
      <c r="G24" s="153" t="n"/>
      <c r="H24" s="8" t="inlineStr">
        <is>
          <t>(For 'f_ops') Assuming repurpose = some operational repurpose (not lease or sale)… depending on timing and type of repurpose, district will still carry some percentage of fixed and semi-fixed costs</t>
        </is>
      </c>
    </row>
    <row r="25">
      <c r="B25" s="153" t="inlineStr">
        <is>
          <t>FY2029</t>
        </is>
      </c>
      <c r="C25" s="14" t="n">
        <v>500</v>
      </c>
      <c r="D25" s="14" t="n">
        <v>0.1</v>
      </c>
      <c r="E25" s="14" t="n">
        <v>0.3</v>
      </c>
      <c r="F25" s="153" t="n"/>
      <c r="G25" s="153" t="n"/>
      <c r="H25" s="9" t="n"/>
    </row>
    <row r="26">
      <c r="B26" s="153" t="inlineStr">
        <is>
          <t>FY2030</t>
        </is>
      </c>
      <c r="C26" s="14" t="n">
        <v>300</v>
      </c>
      <c r="D26" s="14" t="n">
        <v>0.1</v>
      </c>
      <c r="E26" s="14" t="n">
        <v>0.3</v>
      </c>
      <c r="F26" s="153" t="n"/>
      <c r="G26" s="153" t="n"/>
      <c r="H26" s="9" t="n"/>
    </row>
    <row r="27">
      <c r="B27" s="153" t="n"/>
      <c r="C27" s="153" t="n"/>
      <c r="D27" s="153" t="n"/>
      <c r="E27" s="153" t="n"/>
      <c r="F27" s="153" t="n"/>
      <c r="G27" s="153" t="n"/>
      <c r="H27" s="9" t="n"/>
    </row>
    <row r="28">
      <c r="A28" s="4" t="inlineStr">
        <is>
          <t>Scenario assumptions</t>
        </is>
      </c>
      <c r="B28" s="153" t="n"/>
      <c r="C28" s="153" t="n"/>
      <c r="D28" s="153" t="n"/>
      <c r="E28" s="153" t="n"/>
      <c r="F28" s="153" t="n"/>
      <c r="G28" s="153" t="n"/>
      <c r="H28" s="9" t="n"/>
    </row>
    <row r="29">
      <c r="A29" s="4" t="n"/>
      <c r="B29" s="153" t="n"/>
      <c r="C29" s="153" t="n"/>
      <c r="D29" s="153" t="n"/>
      <c r="E29" s="153" t="n"/>
      <c r="F29" s="153" t="n"/>
      <c r="G29" s="153" t="n"/>
      <c r="H29" s="9" t="n"/>
    </row>
    <row r="30">
      <c r="A30" s="10" t="inlineStr">
        <is>
          <t>(Reference)</t>
        </is>
      </c>
      <c r="B30" s="6" t="inlineStr">
        <is>
          <t>Scenario title</t>
        </is>
      </c>
      <c r="C30" s="6" t="inlineStr">
        <is>
          <t>TargetGrowth (#)</t>
        </is>
      </c>
      <c r="D30" s="6" t="inlineStr">
        <is>
          <t>CloseEcho (0 or 1)</t>
        </is>
      </c>
      <c r="E30" s="6" t="inlineStr">
        <is>
          <t>ClosePima (0 or 1)</t>
        </is>
      </c>
      <c r="F30" s="6" t="inlineStr">
        <is>
          <t>EchoShareGrowth (ratio)</t>
        </is>
      </c>
      <c r="G30" s="6" t="inlineStr">
        <is>
          <t>ExtraOpSavings (ratio)</t>
        </is>
      </c>
      <c r="H30" s="9" t="n"/>
    </row>
    <row r="31">
      <c r="A31" s="10" t="inlineStr">
        <is>
          <t>D. Grow Both (Overlay 0)</t>
        </is>
      </c>
      <c r="B31" s="153" t="inlineStr">
        <is>
          <t>CUSTOM_KeepOpen_v1</t>
        </is>
      </c>
      <c r="C31" s="14" t="n">
        <v>0</v>
      </c>
      <c r="D31" s="14" t="n">
        <v>0</v>
      </c>
      <c r="E31" s="14" t="n">
        <v>0</v>
      </c>
      <c r="F31" s="14" t="n">
        <v>0.5</v>
      </c>
      <c r="G31" s="14" t="n">
        <v>0</v>
      </c>
      <c r="H31" s="9" t="n"/>
    </row>
    <row r="32">
      <c r="A32" s="10" t="inlineStr">
        <is>
          <t>E. Status‑Quo + Targets (0)</t>
        </is>
      </c>
      <c r="B32" s="9" t="inlineStr">
        <is>
          <t>Echo &amp; Pima open; uplift warm handoff effort (intra-SUSD); initiate cross-district marketing</t>
        </is>
      </c>
      <c r="C32" s="14" t="n">
        <v>75</v>
      </c>
      <c r="D32" s="14" t="n">
        <v>0</v>
      </c>
      <c r="E32" s="14" t="n">
        <v>0</v>
      </c>
      <c r="F32" s="14" t="n">
        <v>0.5</v>
      </c>
      <c r="G32" s="14" t="n">
        <v>0</v>
      </c>
      <c r="H32" s="153" t="inlineStr">
        <is>
          <t>Status‑Quo + Op Growth Targets</t>
        </is>
      </c>
    </row>
    <row r="33">
      <c r="A33" s="10" t="inlineStr">
        <is>
          <t>F. Co‑Location @ Echo (0)</t>
        </is>
      </c>
      <c r="B33" s="9" t="inlineStr">
        <is>
          <t>Echo &amp; Pima open; co-locate e.g. district teacher learning center at Echo; uplift warm handoff effort (intra-SUSD); initiate cross-district marketing</t>
        </is>
      </c>
      <c r="C33" s="14" t="n">
        <v>50</v>
      </c>
      <c r="D33" s="14" t="n">
        <v>0</v>
      </c>
      <c r="E33" s="14" t="n">
        <v>0</v>
      </c>
      <c r="F33" s="14" t="n">
        <v>0.5</v>
      </c>
      <c r="G33" s="14" t="n">
        <v>0.05</v>
      </c>
      <c r="H33" s="153" t="inlineStr">
        <is>
          <t>Co‑Location @ Echo + Op Growth Targets</t>
        </is>
      </c>
    </row>
    <row r="34">
      <c r="A34" s="10" t="inlineStr">
        <is>
          <t>D. Grow Both (Overlay 100)</t>
        </is>
      </c>
      <c r="B34" s="9" t="inlineStr">
        <is>
          <t>Echo &amp; Pima open; growth initiatives Echo (e.g. innovation) &amp; Pima (e.g. arts); uplift warm handoff effort (intra-SUSD); initiate cross-district marketing</t>
        </is>
      </c>
      <c r="C34" s="14" t="n">
        <v>150</v>
      </c>
      <c r="D34" s="14" t="n">
        <v>0</v>
      </c>
      <c r="E34" s="14" t="n">
        <v>0</v>
      </c>
      <c r="F34" s="14" t="n">
        <v>0.5</v>
      </c>
      <c r="G34" s="14" t="n">
        <v>0</v>
      </c>
      <c r="H34" s="153" t="inlineStr">
        <is>
          <t>Grow Both + Op Growth Targets</t>
        </is>
      </c>
    </row>
    <row r="35">
      <c r="A35" s="10" t="inlineStr">
        <is>
          <t>D. Grow Both (Overlay 150)</t>
        </is>
      </c>
      <c r="B35" s="9" t="inlineStr">
        <is>
          <t>Echo &amp; Pima open; no operational or strategic growth actions; no change in enrollment</t>
        </is>
      </c>
      <c r="C35" s="14" t="n">
        <v>0</v>
      </c>
      <c r="D35" s="14" t="n">
        <v>0</v>
      </c>
      <c r="E35" s="14" t="n">
        <v>0</v>
      </c>
      <c r="F35" s="14" t="n">
        <v>0.5</v>
      </c>
      <c r="G35" s="14" t="n">
        <v>0</v>
      </c>
      <c r="H35" s="153" t="inlineStr">
        <is>
          <t>CUSTOM_KeepOpen_v2</t>
        </is>
      </c>
    </row>
    <row r="36">
      <c r="A36" s="10" t="inlineStr">
        <is>
          <t>G. D‑Hub @ Echo (Ramp 50→100→150)</t>
        </is>
      </c>
      <c r="B36" s="9" t="inlineStr">
        <is>
          <t>Echo &amp; Pima open; growth initiative Echo (e.g. innovation); no growth initiative Pima; uplift warm handoff effort (intra-SUSD); initiate cross-district marketing</t>
        </is>
      </c>
      <c r="C36" s="14" t="n">
        <v>125</v>
      </c>
      <c r="D36" s="14" t="n">
        <v>0</v>
      </c>
      <c r="E36" s="14" t="n">
        <v>0</v>
      </c>
      <c r="F36" s="14" t="n">
        <v>0.7</v>
      </c>
      <c r="G36" s="14" t="n">
        <v>0</v>
      </c>
      <c r="H36" s="153" t="inlineStr">
        <is>
          <t>Growth Hub @ Echo + Status-Quo Pima + Op Growth Targets</t>
        </is>
      </c>
    </row>
    <row r="37">
      <c r="A37" s="10" t="inlineStr">
        <is>
          <t>A. Repurpose BOTH (lease)</t>
        </is>
      </c>
      <c r="B37" s="153" t="inlineStr">
        <is>
          <t>Repurpose both Echo &amp; Pima; lease both properties; fixed cost reduction rate, retention %, and transition cost assumptions are key drivers</t>
        </is>
      </c>
      <c r="C37" s="14" t="n">
        <v>0</v>
      </c>
      <c r="D37" s="14" t="n">
        <v>1</v>
      </c>
      <c r="E37" s="14" t="n">
        <v>1</v>
      </c>
      <c r="F37" s="14" t="n">
        <v>0.5</v>
      </c>
      <c r="G37" s="14" t="n">
        <v>0</v>
      </c>
      <c r="H37" s="153" t="inlineStr">
        <is>
          <t>Repurpose BOTH (lease)</t>
        </is>
      </c>
    </row>
    <row r="38">
      <c r="A38" s="10" t="inlineStr">
        <is>
          <t>A. Repurpose BOTH (ops)</t>
        </is>
      </c>
      <c r="B38" s="153" t="inlineStr">
        <is>
          <t>Repurpose both Echo &amp; Pima; operationally convert both properties (e.g. early learning center); fixed cost reduction rate, retention %, and transition cost assumptions are key drivers</t>
        </is>
      </c>
      <c r="C38" s="14" t="n">
        <v>0</v>
      </c>
      <c r="D38" s="14" t="n">
        <v>1</v>
      </c>
      <c r="E38" s="14" t="n">
        <v>1</v>
      </c>
      <c r="F38" s="14" t="n">
        <v>0.5</v>
      </c>
      <c r="G38" s="14" t="n">
        <v>0</v>
      </c>
      <c r="H38" s="153" t="inlineStr">
        <is>
          <t>Repurpose BOTH (ops)</t>
        </is>
      </c>
    </row>
    <row r="39">
      <c r="A39" s="10" t="inlineStr">
        <is>
          <t>B. Repurpose ECHO (lease)</t>
        </is>
      </c>
      <c r="B39" s="153" t="inlineStr">
        <is>
          <t>Repurpose ECHO (lease) + Status-Quo Pima + Pima Op Growth Targets</t>
        </is>
      </c>
      <c r="C39" s="14" t="n">
        <v>0</v>
      </c>
      <c r="D39" s="14" t="n">
        <v>1</v>
      </c>
      <c r="E39" s="14" t="n">
        <v>0</v>
      </c>
      <c r="F39" s="14" t="n">
        <v>0</v>
      </c>
      <c r="G39" s="14" t="n">
        <v>0</v>
      </c>
      <c r="H39" s="153" t="inlineStr">
        <is>
          <t>Repurpose ECHO (lease) + Status-Quo Pima + Pima Op Growth Targets</t>
        </is>
      </c>
    </row>
    <row r="40">
      <c r="A40" s="10" t="inlineStr">
        <is>
          <t>B. Repurpose ECHO (ops)</t>
        </is>
      </c>
      <c r="B40" s="153" t="inlineStr">
        <is>
          <t>Repurpose ECHO (ops) + Status-Quo Pima + Pima Op Growth Targets</t>
        </is>
      </c>
      <c r="C40" s="14" t="n">
        <v>37</v>
      </c>
      <c r="D40" s="14" t="n">
        <v>1</v>
      </c>
      <c r="E40" s="14" t="n">
        <v>0</v>
      </c>
      <c r="F40" s="14" t="n">
        <v>0</v>
      </c>
      <c r="G40" s="14" t="n">
        <v>0</v>
      </c>
      <c r="H40" s="153" t="inlineStr">
        <is>
          <t>Repurpose ECHO (ops) + Status-Quo Pima + Pima Op Growth Targets</t>
        </is>
      </c>
    </row>
    <row r="41">
      <c r="A41" s="10" t="inlineStr">
        <is>
          <t>C. Repurpose PIMA (lease)</t>
        </is>
      </c>
      <c r="B41" s="153" t="inlineStr">
        <is>
          <t>Repurpose PIMA (lease) + Growth Hub @ Echo + Echo Op Growth Targets</t>
        </is>
      </c>
      <c r="C41" s="14" t="n">
        <v>0</v>
      </c>
      <c r="D41" s="14" t="n">
        <v>0</v>
      </c>
      <c r="E41" s="14" t="n">
        <v>1</v>
      </c>
      <c r="F41" s="14" t="n">
        <v>1</v>
      </c>
      <c r="G41" s="14" t="n">
        <v>0</v>
      </c>
      <c r="H41" s="153" t="inlineStr">
        <is>
          <t>Repurpose PIMA (lease) + Growth Hub @ Echo + Echo Op Growth Targets</t>
        </is>
      </c>
    </row>
    <row r="42">
      <c r="A42" s="10" t="inlineStr">
        <is>
          <t>C. Repurpose PIMA (ops)</t>
        </is>
      </c>
      <c r="B42" s="153" t="inlineStr">
        <is>
          <t>Repurpose PIMA (ops) + Growth Hub @ Echo + Echo Op Growth Targets</t>
        </is>
      </c>
      <c r="C42" s="14" t="n">
        <v>50</v>
      </c>
      <c r="D42" s="14" t="n">
        <v>0</v>
      </c>
      <c r="E42" s="14" t="n">
        <v>1</v>
      </c>
      <c r="F42" s="14" t="n">
        <v>1</v>
      </c>
      <c r="G42" s="14" t="n">
        <v>0</v>
      </c>
      <c r="H42" s="153" t="inlineStr">
        <is>
          <t>Repurpose PIMA (ops) + Growth Hub @ Echo + Echo Op Growth Targets</t>
        </is>
      </c>
    </row>
    <row r="43">
      <c r="B43" s="153" t="n"/>
      <c r="C43" s="153" t="n"/>
      <c r="D43" s="153" t="n"/>
      <c r="E43" s="153" t="n"/>
      <c r="F43" s="153" t="n"/>
      <c r="G43" s="153" t="n"/>
    </row>
    <row r="44">
      <c r="A44" s="4" t="inlineStr">
        <is>
          <t>Qualitative assessment</t>
        </is>
      </c>
      <c r="B44" s="153" t="n"/>
      <c r="C44" s="153" t="n"/>
      <c r="D44" s="153" t="n"/>
      <c r="E44" s="153" t="n"/>
      <c r="F44" s="153" t="n"/>
      <c r="G44" s="153" t="n"/>
    </row>
    <row r="45">
      <c r="B45" s="153" t="n"/>
      <c r="C45" s="153" t="n"/>
      <c r="D45" s="153" t="n"/>
      <c r="E45" s="153" t="n"/>
      <c r="F45" s="153" t="n"/>
      <c r="G45" s="153" t="n"/>
    </row>
    <row r="46">
      <c r="B46" s="6" t="inlineStr">
        <is>
          <t>Scenario title</t>
        </is>
      </c>
      <c r="C46" s="6" t="inlineStr">
        <is>
          <t>Distinctiveness</t>
        </is>
      </c>
      <c r="D46" s="6" t="inlineStr">
        <is>
          <t>Reversibility</t>
        </is>
      </c>
      <c r="E46" s="153" t="n"/>
      <c r="F46" s="153" t="n"/>
      <c r="G46" s="153" t="n"/>
      <c r="H46" s="9" t="inlineStr">
        <is>
          <t>Example qualitative metrics to consider. Possibly interesting as part of overall story.</t>
        </is>
      </c>
    </row>
    <row r="47">
      <c r="B47" s="153" t="inlineStr">
        <is>
          <t>CUSTOM1</t>
        </is>
      </c>
      <c r="C47" s="14" t="inlineStr">
        <is>
          <t>+</t>
        </is>
      </c>
      <c r="D47" s="14" t="inlineStr">
        <is>
          <t>Med</t>
        </is>
      </c>
      <c r="E47" s="153" t="n"/>
      <c r="F47" s="153" t="n"/>
      <c r="G47" s="153" t="n"/>
      <c r="H47" s="9" t="n"/>
    </row>
    <row r="48">
      <c r="B48" s="153" t="inlineStr">
        <is>
          <t>Status‑Quo + Op Growth Targets</t>
        </is>
      </c>
      <c r="C48" s="14" t="inlineStr">
        <is>
          <t>o</t>
        </is>
      </c>
      <c r="D48" s="14" t="inlineStr">
        <is>
          <t>High</t>
        </is>
      </c>
      <c r="E48" s="153" t="n"/>
      <c r="F48" s="153" t="n"/>
      <c r="G48" s="153" t="n"/>
      <c r="H48" s="9" t="n"/>
    </row>
    <row r="49">
      <c r="B49" s="153" t="inlineStr">
        <is>
          <t>Co‑Location @ Echo + Op Growth Targets</t>
        </is>
      </c>
      <c r="C49" s="16" t="inlineStr">
        <is>
          <t>++</t>
        </is>
      </c>
      <c r="D49" s="14" t="inlineStr">
        <is>
          <t>Med</t>
        </is>
      </c>
      <c r="E49" s="153" t="n"/>
      <c r="F49" s="153" t="n"/>
      <c r="G49" s="153" t="n"/>
      <c r="H49" s="9" t="n"/>
    </row>
    <row r="50">
      <c r="B50" s="153" t="inlineStr">
        <is>
          <t>Grow Both + Op Growth Targets</t>
        </is>
      </c>
      <c r="C50" s="16" t="inlineStr">
        <is>
          <t>++</t>
        </is>
      </c>
      <c r="D50" s="14" t="inlineStr">
        <is>
          <t>Med</t>
        </is>
      </c>
      <c r="E50" s="153" t="n"/>
      <c r="F50" s="153" t="n"/>
      <c r="G50" s="153" t="n"/>
      <c r="H50" s="9" t="n"/>
    </row>
    <row r="51">
      <c r="B51" s="153" t="inlineStr">
        <is>
          <t>CUSTOM2</t>
        </is>
      </c>
      <c r="C51" s="14" t="inlineStr">
        <is>
          <t>+</t>
        </is>
      </c>
      <c r="D51" s="14" t="inlineStr">
        <is>
          <t>Med</t>
        </is>
      </c>
      <c r="E51" s="153" t="n"/>
      <c r="F51" s="153" t="n"/>
      <c r="G51" s="153" t="n"/>
      <c r="H51" s="9" t="n"/>
    </row>
    <row r="52">
      <c r="B52" s="153" t="inlineStr">
        <is>
          <t>Growth Hub @ Echo + Status-Quo Pima + Op Growth Targets</t>
        </is>
      </c>
      <c r="C52" s="16" t="inlineStr">
        <is>
          <t>++</t>
        </is>
      </c>
      <c r="D52" s="14" t="inlineStr">
        <is>
          <t>Med</t>
        </is>
      </c>
      <c r="E52" s="153" t="n"/>
      <c r="F52" s="153" t="n"/>
      <c r="G52" s="153" t="n"/>
      <c r="H52" s="9" t="n"/>
    </row>
    <row r="53">
      <c r="B53" s="153" t="inlineStr">
        <is>
          <t>Repurpose BOTH (lease)</t>
        </is>
      </c>
      <c r="C53" s="16" t="inlineStr">
        <is>
          <t>--</t>
        </is>
      </c>
      <c r="D53" s="14" t="inlineStr">
        <is>
          <t>Low</t>
        </is>
      </c>
      <c r="E53" s="153" t="n"/>
      <c r="F53" s="153" t="n"/>
      <c r="G53" s="153" t="n"/>
      <c r="H53" s="9" t="n"/>
    </row>
    <row r="54">
      <c r="B54" s="153" t="inlineStr">
        <is>
          <t>Repurpose BOTH (ops)</t>
        </is>
      </c>
      <c r="C54" s="16" t="inlineStr">
        <is>
          <t>-</t>
        </is>
      </c>
      <c r="D54" s="14" t="inlineStr">
        <is>
          <t>Low-Med</t>
        </is>
      </c>
      <c r="E54" s="153" t="n"/>
      <c r="F54" s="153" t="n"/>
      <c r="G54" s="153" t="n"/>
      <c r="H54" s="9" t="n"/>
    </row>
    <row r="55">
      <c r="B55" s="153" t="inlineStr">
        <is>
          <t>Repurpose ECHO (lease) + Status-Quo Pima + Pima Op Growth Targets</t>
        </is>
      </c>
      <c r="C55" s="16" t="inlineStr">
        <is>
          <t>-</t>
        </is>
      </c>
      <c r="D55" s="14" t="inlineStr">
        <is>
          <t>Low-Med</t>
        </is>
      </c>
      <c r="E55" s="153" t="n"/>
      <c r="F55" s="153" t="n"/>
      <c r="G55" s="153" t="n"/>
      <c r="H55" s="9" t="n"/>
    </row>
    <row r="56">
      <c r="B56" s="153" t="inlineStr">
        <is>
          <t>Repurpose ECHO (ops) + Status-Quo Pima + Pima Op Growth Targets</t>
        </is>
      </c>
      <c r="C56" s="14" t="inlineStr">
        <is>
          <t>o</t>
        </is>
      </c>
      <c r="D56" s="14" t="inlineStr">
        <is>
          <t>Low-Med</t>
        </is>
      </c>
      <c r="E56" s="153" t="n"/>
      <c r="F56" s="153" t="n"/>
      <c r="G56" s="153" t="n"/>
      <c r="H56" s="9" t="n"/>
    </row>
    <row r="57">
      <c r="B57" s="153" t="inlineStr">
        <is>
          <t>Repurpose PIMA (lease) + Growth Hub @ Echo + Echo Op Growth Targets</t>
        </is>
      </c>
      <c r="C57" s="16" t="inlineStr">
        <is>
          <t>-</t>
        </is>
      </c>
      <c r="D57" s="14" t="inlineStr">
        <is>
          <t>Low-Med</t>
        </is>
      </c>
      <c r="E57" s="153" t="n"/>
      <c r="F57" s="153" t="n"/>
      <c r="G57" s="153" t="n"/>
      <c r="H57" s="9" t="n"/>
    </row>
    <row r="58">
      <c r="B58" s="153" t="inlineStr">
        <is>
          <t>Repurpose PIMA (ops) + Growth Hub @ Echo + Echo Op Growth Targets</t>
        </is>
      </c>
      <c r="C58" s="14" t="inlineStr">
        <is>
          <t>o</t>
        </is>
      </c>
      <c r="D58" s="14" t="inlineStr">
        <is>
          <t>Low-Med</t>
        </is>
      </c>
      <c r="E58" s="153" t="n"/>
      <c r="F58" s="153" t="n"/>
      <c r="G58" s="153" t="n"/>
      <c r="H58" s="9" t="n"/>
    </row>
    <row r="59">
      <c r="H59" s="9" t="n"/>
    </row>
  </sheetData>
  <mergeCells count="1">
    <mergeCell ref="C5:G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8"/>
  <sheetViews>
    <sheetView zoomScale="85" zoomScaleNormal="85" workbookViewId="0">
      <pane ySplit="1" topLeftCell="A2" activePane="bottomLeft" state="frozen"/>
      <selection activeCell="B2" sqref="B2"/>
      <selection pane="bottomLeft" activeCell="B5" sqref="B5"/>
    </sheetView>
  </sheetViews>
  <sheetFormatPr baseColWidth="8" defaultRowHeight="14.5"/>
  <cols>
    <col width="25.1796875" customWidth="1" style="137" min="1" max="1"/>
    <col width="10.54296875" bestFit="1" customWidth="1" style="137" min="2" max="2"/>
    <col width="11" customWidth="1" style="137" min="3" max="3"/>
    <col width="11.90625" customWidth="1" style="137" min="4" max="4"/>
    <col width="11.1796875" customWidth="1" style="137" min="5" max="5"/>
    <col width="11.36328125" customWidth="1" style="137" min="6" max="6"/>
  </cols>
  <sheetData>
    <row r="1">
      <c r="A1" s="1" t="inlineStr">
        <is>
          <t>Parameter</t>
        </is>
      </c>
      <c r="B1" s="1" t="inlineStr">
        <is>
          <t>Value</t>
        </is>
      </c>
      <c r="C1" s="1" t="inlineStr">
        <is>
          <t>Notes</t>
        </is>
      </c>
    </row>
    <row r="2">
      <c r="A2" t="inlineStr">
        <is>
          <t>MO inflation</t>
        </is>
      </c>
      <c r="B2">
        <f>Control_Center!C6</f>
        <v/>
      </c>
      <c r="C2" t="inlineStr">
        <is>
          <t>Annual inflation factor.</t>
        </is>
      </c>
    </row>
    <row r="3">
      <c r="A3" t="inlineStr">
        <is>
          <t>Base MO per ADM (FY25)</t>
        </is>
      </c>
      <c r="B3">
        <f>Parameters_Public!$C$14</f>
        <v/>
      </c>
      <c r="C3" t="inlineStr">
        <is>
          <t>Working base for FY25.</t>
        </is>
      </c>
    </row>
    <row r="4">
      <c r="A4" t="inlineStr">
        <is>
          <t>Fixed share of MO</t>
        </is>
      </c>
      <c r="B4">
        <f>Control_Center!C8</f>
        <v/>
      </c>
      <c r="C4" t="inlineStr">
        <is>
          <t>Share treated as semi‑fixed (plant/insurance).  Used only if site_fixed figures and not populated in site_fixed tab</t>
        </is>
      </c>
    </row>
    <row r="5">
      <c r="A5" s="92" t="inlineStr">
        <is>
          <t>Ops savings (keep‑open)</t>
        </is>
      </c>
      <c r="B5" s="92">
        <f>Control_Center!C10</f>
        <v/>
      </c>
      <c r="C5" s="92" t="inlineStr">
        <is>
          <t>Light discipline if sites remain open.</t>
        </is>
      </c>
    </row>
    <row r="6">
      <c r="A6" s="92" t="inlineStr">
        <is>
          <t>Extra savings (Co‑location)</t>
        </is>
      </c>
      <c r="B6" s="92">
        <f>Control_Center!C11</f>
        <v/>
      </c>
      <c r="C6" s="92" t="inlineStr">
        <is>
          <t>Incremental savings for co‑location (not used here).</t>
        </is>
      </c>
    </row>
    <row r="7">
      <c r="A7" t="inlineStr">
        <is>
          <t>Echo base ADM</t>
        </is>
      </c>
      <c r="B7">
        <f>Parameters_Public!$C$10</f>
        <v/>
      </c>
    </row>
    <row r="8">
      <c r="A8" t="inlineStr">
        <is>
          <t>Pima base ADM</t>
        </is>
      </c>
      <c r="B8">
        <f>Parameters_Public!$C$11</f>
        <v/>
      </c>
    </row>
    <row r="9">
      <c r="A9" t="inlineStr">
        <is>
          <t>Total base ADM</t>
        </is>
      </c>
      <c r="B9">
        <f>B7+B8</f>
        <v/>
      </c>
      <c r="C9" t="inlineStr">
        <is>
          <t>Echo base ADM + Pima base ADM</t>
        </is>
      </c>
    </row>
    <row r="12">
      <c r="A12" s="1" t="inlineStr">
        <is>
          <t>Helper / Derivation</t>
        </is>
      </c>
      <c r="B12" s="1" t="inlineStr">
        <is>
          <t>FY26</t>
        </is>
      </c>
      <c r="C12" s="1" t="inlineStr">
        <is>
          <t>FY27</t>
        </is>
      </c>
      <c r="D12" s="1" t="inlineStr">
        <is>
          <t>FY28</t>
        </is>
      </c>
      <c r="E12" s="1" t="inlineStr">
        <is>
          <t>FY29</t>
        </is>
      </c>
      <c r="F12" s="1" t="inlineStr">
        <is>
          <t>FY30</t>
        </is>
      </c>
      <c r="G12" s="1" t="inlineStr">
        <is>
          <t>Notes</t>
        </is>
      </c>
    </row>
    <row r="13">
      <c r="A13" t="inlineStr">
        <is>
          <t>Base total MO (FY25)</t>
        </is>
      </c>
      <c r="B13" s="2">
        <f>B9*B3</f>
        <v/>
      </c>
      <c r="C13" s="2">
        <f>C14/$B$4</f>
        <v/>
      </c>
      <c r="D13" s="2">
        <f>D14/$B$4</f>
        <v/>
      </c>
      <c r="E13" s="2">
        <f>E14/$B$4</f>
        <v/>
      </c>
      <c r="F13" s="2">
        <f>F14/$B$4</f>
        <v/>
      </c>
      <c r="G13" t="inlineStr">
        <is>
          <t>Total ADM × Base MO/ADM</t>
        </is>
      </c>
      <c r="K13" t="inlineStr">
        <is>
          <t>B13 = B9*B3 (Base total MO, FY25)</t>
        </is>
      </c>
    </row>
    <row r="14">
      <c r="A14" t="inlineStr">
        <is>
          <t>Fixed MO (FY25)</t>
        </is>
      </c>
      <c r="B14" s="94">
        <f>IF((Site_Fixed!$D$10+Site_Fixed!$D$17)&gt;0, Site_Fixed!$D$10+Site_Fixed!$D$17, B13*B4)</f>
        <v/>
      </c>
      <c r="C14" s="2">
        <f>B17</f>
        <v/>
      </c>
      <c r="D14" s="2">
        <f>C17</f>
        <v/>
      </c>
      <c r="E14" s="2">
        <f>D17</f>
        <v/>
      </c>
      <c r="F14" s="2">
        <f>E17</f>
        <v/>
      </c>
      <c r="G14" t="inlineStr">
        <is>
          <t>Fixed = Base total × Fixed share</t>
        </is>
      </c>
      <c r="K14" t="inlineStr">
        <is>
          <t>B14 = B13*B4 (Fixed MO, FY25)</t>
        </is>
      </c>
    </row>
    <row r="15">
      <c r="A15" t="inlineStr">
        <is>
          <t>Var per student (FY25)</t>
        </is>
      </c>
      <c r="B15" s="2">
        <f>(B13-B14)/B9</f>
        <v/>
      </c>
      <c r="C15" s="2">
        <f>B18</f>
        <v/>
      </c>
      <c r="D15" s="2">
        <f>C18</f>
        <v/>
      </c>
      <c r="E15" s="2">
        <f>D18</f>
        <v/>
      </c>
      <c r="F15" s="2">
        <f>E18</f>
        <v/>
      </c>
      <c r="G15" t="inlineStr">
        <is>
          <t>Variable = (Base total − Fixed)/Total ADM</t>
        </is>
      </c>
      <c r="K15" t="inlineStr">
        <is>
          <t>B15 = (B13–B14)/B9 (Variable $/student, FY25)</t>
        </is>
      </c>
    </row>
    <row r="17">
      <c r="A17" t="inlineStr">
        <is>
          <t>Fixed total ($)</t>
        </is>
      </c>
      <c r="B17" s="2">
        <f>$B$14*(1+$B$2)^1</f>
        <v/>
      </c>
      <c r="C17" s="2">
        <f>$B$14*(1+$B$2)^2</f>
        <v/>
      </c>
      <c r="D17" s="2">
        <f>$B$14*(1+$B$2)^3</f>
        <v/>
      </c>
      <c r="E17" s="2">
        <f>$B$14*(1+$B$2)^4</f>
        <v/>
      </c>
      <c r="F17" s="2">
        <f>$B$14*(1+$B$2)^5</f>
        <v/>
      </c>
    </row>
    <row r="18">
      <c r="A18" t="inlineStr">
        <is>
          <t>Var unit ($/student)</t>
        </is>
      </c>
      <c r="B18" s="2">
        <f>$B$15*(1+$B$2)^1</f>
        <v/>
      </c>
      <c r="C18" s="2">
        <f>$B$15*(1+$B$2)^2</f>
        <v/>
      </c>
      <c r="D18" s="2">
        <f>$B$15*(1+$B$2)^3</f>
        <v/>
      </c>
      <c r="E18" s="2">
        <f>$B$15*(1+$B$2)^4</f>
        <v/>
      </c>
      <c r="F18" s="2">
        <f>$B$15*(1+$B$2)^5</f>
        <v/>
      </c>
    </row>
    <row r="19">
      <c r="A19" t="inlineStr">
        <is>
          <t>Echo fixed ($)</t>
        </is>
      </c>
      <c r="B19" s="2">
        <f>IF(Site_Fixed!$D$10&gt;0, Site_Fixed!$D$10*(1+$B$2)^1, B17*($B$7/$B$9))</f>
        <v/>
      </c>
      <c r="C19" s="2">
        <f>C17*($B$7/$B$9)</f>
        <v/>
      </c>
      <c r="D19" s="2">
        <f>D17*($B$7/$B$9)</f>
        <v/>
      </c>
      <c r="E19" s="2">
        <f>E17*($B$7/$B$9)</f>
        <v/>
      </c>
      <c r="F19" s="2">
        <f>F17*($B$7/$B$9)</f>
        <v/>
      </c>
    </row>
    <row r="20">
      <c r="A20" t="inlineStr">
        <is>
          <t>Pima fixed ($)</t>
        </is>
      </c>
      <c r="B20" s="2">
        <f>IF(Site_Fixed!$D$17&gt;0, Site_Fixed!$D$17*(1+$B$2)^1, B17*($B$8/$B$9))</f>
        <v/>
      </c>
      <c r="C20" s="2">
        <f>C17*($B$8/$B$9)</f>
        <v/>
      </c>
      <c r="D20" s="2">
        <f>D17*($B$8/$B$9)</f>
        <v/>
      </c>
      <c r="E20" s="2">
        <f>E17*($B$8/$B$9)</f>
        <v/>
      </c>
      <c r="F20" s="2">
        <f>F17*($B$8/$B$9)</f>
        <v/>
      </c>
    </row>
    <row r="21">
      <c r="B21" s="2" t="n"/>
      <c r="C21" s="2" t="n"/>
      <c r="D21" s="2" t="n"/>
      <c r="E21" s="2" t="n"/>
      <c r="F21" s="2" t="n"/>
    </row>
    <row r="22">
      <c r="A22" t="inlineStr">
        <is>
          <t>Repurpose TI per closed site (FY26)</t>
        </is>
      </c>
      <c r="B22">
        <f>Control_Center!C15</f>
        <v/>
      </c>
    </row>
    <row r="23">
      <c r="A23" t="inlineStr">
        <is>
          <t>Retention r (central)</t>
        </is>
      </c>
      <c r="B23">
        <f>Control_Center!C16</f>
        <v/>
      </c>
    </row>
    <row r="25">
      <c r="A25" s="1" t="inlineStr">
        <is>
          <t>Notes</t>
        </is>
      </c>
    </row>
    <row r="26">
      <c r="A26" s="3" t="inlineStr">
        <is>
          <t>All formulas are same‑sheet and reference the Parameter cells above.</t>
        </is>
      </c>
    </row>
    <row r="27">
      <c r="A27" t="inlineStr">
        <is>
          <t>Base State Aid per ADM (FY26)</t>
        </is>
      </c>
      <c r="B27">
        <f>Parameters_Public!$C18</f>
        <v/>
      </c>
      <c r="C27" t="inlineStr">
        <is>
          <t>Editable; ADE base aid.</t>
        </is>
      </c>
    </row>
    <row r="28">
      <c r="A28" t="inlineStr">
        <is>
          <t>Aid inflation (annual)</t>
        </is>
      </c>
      <c r="B28">
        <f>Parameters_Public!$C22</f>
        <v/>
      </c>
      <c r="C28" t="inlineStr">
        <is>
          <t>Editable; assumed growth in base aid.  Setting equal to assumed inflation rate as starting point assumption</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6"/>
  <sheetViews>
    <sheetView zoomScale="80" zoomScaleNormal="80" workbookViewId="0">
      <selection activeCell="Q2" sqref="Q2"/>
    </sheetView>
  </sheetViews>
  <sheetFormatPr baseColWidth="8" defaultRowHeight="14.5"/>
  <cols>
    <col width="6.7265625" bestFit="1" customWidth="1" style="137" min="1" max="1"/>
    <col width="11.81640625" bestFit="1" customWidth="1" style="137" min="2" max="4"/>
    <col width="6.81640625" bestFit="1" customWidth="1" style="137" min="5" max="5"/>
    <col width="7.08984375" bestFit="1" customWidth="1" style="137" min="6" max="6"/>
    <col width="5.54296875" bestFit="1" customWidth="1" style="137" min="7" max="7"/>
    <col width="7.1796875" bestFit="1" customWidth="1" style="137" min="8" max="8"/>
    <col width="17.36328125" bestFit="1" customWidth="1" style="137" min="15" max="15"/>
    <col width="14.7265625" bestFit="1" customWidth="1" style="137" min="16" max="16"/>
    <col width="25.6328125" bestFit="1" customWidth="1" style="137" min="17" max="17"/>
    <col width="19" bestFit="1" customWidth="1" style="137" min="18" max="18"/>
  </cols>
  <sheetData>
    <row r="1">
      <c r="A1" s="1" t="inlineStr">
        <is>
          <t>Year</t>
        </is>
      </c>
      <c r="B1" s="1" t="inlineStr">
        <is>
          <t>VarUnit$</t>
        </is>
      </c>
      <c r="C1" s="1" t="inlineStr">
        <is>
          <t>EchoFixed$</t>
        </is>
      </c>
      <c r="D1" s="1" t="inlineStr">
        <is>
          <t>PimaFixed$</t>
        </is>
      </c>
      <c r="E1" s="1" t="inlineStr">
        <is>
          <t>h</t>
        </is>
      </c>
      <c r="F1" s="1" t="inlineStr">
        <is>
          <t>f_lease</t>
        </is>
      </c>
      <c r="G1" s="1" t="inlineStr">
        <is>
          <t>f_ops</t>
        </is>
      </c>
      <c r="H1" s="1" t="inlineStr">
        <is>
          <t>YearIdx</t>
        </is>
      </c>
      <c r="I1" s="1" t="inlineStr">
        <is>
          <t>Aid$</t>
        </is>
      </c>
      <c r="L1" s="1" t="inlineStr">
        <is>
          <t>Orig h</t>
        </is>
      </c>
      <c r="M1" s="1" t="inlineStr">
        <is>
          <t>Orig f_lease</t>
        </is>
      </c>
      <c r="N1" s="1" t="inlineStr">
        <is>
          <t>Orig f_ops</t>
        </is>
      </c>
      <c r="O1" t="inlineStr">
        <is>
          <t>Override_per_ADM</t>
        </is>
      </c>
      <c r="P1" t="inlineStr">
        <is>
          <t>GeneralFund_uplift_per_ADM</t>
        </is>
      </c>
      <c r="Q1" t="inlineStr">
        <is>
          <t>Growth_overhead_per_ADM</t>
        </is>
      </c>
      <c r="R1" t="inlineStr">
        <is>
          <t>Uplift_incr_per_ADM</t>
        </is>
      </c>
    </row>
    <row r="2">
      <c r="A2" t="inlineStr">
        <is>
          <t>FY2026</t>
        </is>
      </c>
      <c r="B2" s="2">
        <f>BaselineCalc!B18</f>
        <v/>
      </c>
      <c r="C2" s="2">
        <f>BaselineCalc!B19</f>
        <v/>
      </c>
      <c r="D2" s="2">
        <f>BaselineCalc!B20</f>
        <v/>
      </c>
      <c r="E2" s="2">
        <f>Control_Center!C22</f>
        <v/>
      </c>
      <c r="F2">
        <f>Control_Center!D22</f>
        <v/>
      </c>
      <c r="G2">
        <f>Control_Center!E22</f>
        <v/>
      </c>
      <c r="H2" t="n">
        <v>1</v>
      </c>
      <c r="I2" s="2">
        <f>BaselineCalc!$B$27*(1+BaselineCalc!$B$28)^(H2-1)</f>
        <v/>
      </c>
      <c r="L2" s="5" t="n">
        <v>1000</v>
      </c>
      <c r="M2" s="5" t="n">
        <v>0.4</v>
      </c>
      <c r="N2" s="5" t="n">
        <v>0.4</v>
      </c>
      <c r="O2">
        <f>Parameters_Public!$C$17*I2</f>
        <v/>
      </c>
      <c r="P2">
        <f>Parameters_Public!$C$21*(1+Parameters_Public!$C22)^(H2-1)</f>
        <v/>
      </c>
      <c r="Q2">
        <f>Parameters_Public!$C47*E2</f>
        <v/>
      </c>
      <c r="R2">
        <f>Parameters_Public!$C49*P2</f>
        <v/>
      </c>
    </row>
    <row r="3">
      <c r="A3" t="inlineStr">
        <is>
          <t>FY2027</t>
        </is>
      </c>
      <c r="B3" s="2">
        <f>BaselineCalc!C18</f>
        <v/>
      </c>
      <c r="C3" s="2">
        <f>BaselineCalc!C19</f>
        <v/>
      </c>
      <c r="D3" s="2">
        <f>BaselineCalc!C20</f>
        <v/>
      </c>
      <c r="E3" s="2">
        <f>Control_Center!C23</f>
        <v/>
      </c>
      <c r="F3">
        <f>Control_Center!D23</f>
        <v/>
      </c>
      <c r="G3">
        <f>Control_Center!E23</f>
        <v/>
      </c>
      <c r="H3" t="n">
        <v>2</v>
      </c>
      <c r="I3" s="2">
        <f>BaselineCalc!$B$27*(1+BaselineCalc!$B$28)^(H3-1)</f>
        <v/>
      </c>
      <c r="L3" s="5" t="n">
        <v>800</v>
      </c>
      <c r="M3" s="5" t="n">
        <v>0.3</v>
      </c>
      <c r="N3" s="5" t="n">
        <v>0.35</v>
      </c>
      <c r="O3">
        <f>Parameters_Public!$C$17*I3</f>
        <v/>
      </c>
      <c r="P3">
        <f>Parameters_Public!$C$21*(1+Parameters_Public!$C22)^(H3-1)</f>
        <v/>
      </c>
      <c r="Q3">
        <f>Parameters_Public!$C47*E3</f>
        <v/>
      </c>
      <c r="R3">
        <f>Parameters_Public!$C49*P3</f>
        <v/>
      </c>
    </row>
    <row r="4">
      <c r="A4" t="inlineStr">
        <is>
          <t>FY2028</t>
        </is>
      </c>
      <c r="B4" s="2">
        <f>BaselineCalc!D18</f>
        <v/>
      </c>
      <c r="C4" s="2">
        <f>BaselineCalc!D19</f>
        <v/>
      </c>
      <c r="D4" s="2">
        <f>BaselineCalc!D20</f>
        <v/>
      </c>
      <c r="E4" s="2">
        <f>Control_Center!C24</f>
        <v/>
      </c>
      <c r="F4">
        <f>Control_Center!D24</f>
        <v/>
      </c>
      <c r="G4">
        <f>Control_Center!E24</f>
        <v/>
      </c>
      <c r="H4" t="n">
        <v>3</v>
      </c>
      <c r="I4" s="2">
        <f>BaselineCalc!$B$27*(1+BaselineCalc!$B$28)^(H4-1)</f>
        <v/>
      </c>
      <c r="L4" s="5" t="n">
        <v>600</v>
      </c>
      <c r="M4" s="5" t="n">
        <v>0.2</v>
      </c>
      <c r="N4" s="5" t="n">
        <v>0.3</v>
      </c>
      <c r="O4">
        <f>Parameters_Public!$C$17*I4</f>
        <v/>
      </c>
      <c r="P4">
        <f>Parameters_Public!$C$21*(1+Parameters_Public!$C22)^(H4-1)</f>
        <v/>
      </c>
      <c r="Q4">
        <f>Parameters_Public!$C47*E4</f>
        <v/>
      </c>
      <c r="R4">
        <f>Parameters_Public!$C49*P4</f>
        <v/>
      </c>
    </row>
    <row r="5">
      <c r="A5" t="inlineStr">
        <is>
          <t>FY2029</t>
        </is>
      </c>
      <c r="B5" s="2">
        <f>BaselineCalc!E18</f>
        <v/>
      </c>
      <c r="C5" s="2">
        <f>BaselineCalc!E19</f>
        <v/>
      </c>
      <c r="D5" s="2">
        <f>BaselineCalc!E20</f>
        <v/>
      </c>
      <c r="E5" s="2">
        <f>Control_Center!C25</f>
        <v/>
      </c>
      <c r="F5">
        <f>Control_Center!D25</f>
        <v/>
      </c>
      <c r="G5">
        <f>Control_Center!E25</f>
        <v/>
      </c>
      <c r="H5" t="n">
        <v>4</v>
      </c>
      <c r="I5" s="2">
        <f>BaselineCalc!$B$27*(1+BaselineCalc!$B$28)^(H5-1)</f>
        <v/>
      </c>
      <c r="L5" s="5" t="n">
        <v>400</v>
      </c>
      <c r="M5" s="5" t="n">
        <v>0.1</v>
      </c>
      <c r="N5" s="5" t="n">
        <v>0.25</v>
      </c>
      <c r="O5">
        <f>Parameters_Public!$C$17*I5</f>
        <v/>
      </c>
      <c r="P5">
        <f>Parameters_Public!$C$21*(1+Parameters_Public!$C22)^(H5-1)</f>
        <v/>
      </c>
      <c r="Q5">
        <f>Parameters_Public!$C47*E5</f>
        <v/>
      </c>
      <c r="R5">
        <f>Parameters_Public!$C49*P5</f>
        <v/>
      </c>
    </row>
    <row r="6">
      <c r="A6" t="inlineStr">
        <is>
          <t>FY2030</t>
        </is>
      </c>
      <c r="B6" s="2">
        <f>BaselineCalc!F18</f>
        <v/>
      </c>
      <c r="C6" s="2">
        <f>BaselineCalc!F19</f>
        <v/>
      </c>
      <c r="D6" s="2">
        <f>BaselineCalc!F20</f>
        <v/>
      </c>
      <c r="E6" s="2">
        <f>Control_Center!C26</f>
        <v/>
      </c>
      <c r="F6">
        <f>Control_Center!D26</f>
        <v/>
      </c>
      <c r="G6">
        <f>Control_Center!E26</f>
        <v/>
      </c>
      <c r="H6" t="n">
        <v>5</v>
      </c>
      <c r="I6" s="2">
        <f>BaselineCalc!$B$27*(1+BaselineCalc!$B$28)^(H6-1)</f>
        <v/>
      </c>
      <c r="L6" s="5" t="n">
        <v>300</v>
      </c>
      <c r="M6" s="5" t="n">
        <v>0</v>
      </c>
      <c r="N6" s="5" t="n">
        <v>0.2</v>
      </c>
      <c r="O6">
        <f>Parameters_Public!$C$17*I6</f>
        <v/>
      </c>
      <c r="P6">
        <f>Parameters_Public!$C$21*(1+Parameters_Public!$C22)^(H6-1)</f>
        <v/>
      </c>
      <c r="Q6">
        <f>Parameters_Public!$C47*E6</f>
        <v/>
      </c>
      <c r="R6">
        <f>Parameters_Public!$C49*P6</f>
        <v/>
      </c>
    </row>
  </sheetData>
  <pageMargins left="0.75" right="0.75" top="1" bottom="1" header="0.5" footer="0.5"/>
  <pageSetup orientation="portrait" paperSize="0" horizontalDpi="0" verticalDpi="0" copies="0"/>
</worksheet>
</file>

<file path=xl/worksheets/sheet18.xml><?xml version="1.0" encoding="utf-8"?>
<worksheet xmlns="http://schemas.openxmlformats.org/spreadsheetml/2006/main">
  <sheetPr>
    <outlinePr summaryBelow="1" summaryRight="1"/>
    <pageSetUpPr/>
  </sheetPr>
  <dimension ref="A1:E19"/>
  <sheetViews>
    <sheetView topLeftCell="A4" zoomScale="85" zoomScaleNormal="85" workbookViewId="0">
      <selection activeCell="F19" sqref="F19"/>
    </sheetView>
  </sheetViews>
  <sheetFormatPr baseColWidth="8" defaultRowHeight="14.5"/>
  <cols>
    <col width="59.1796875" bestFit="1" customWidth="1" style="137" min="2" max="2"/>
    <col width="7.90625" bestFit="1" customWidth="1" style="137" min="3" max="4"/>
  </cols>
  <sheetData>
    <row r="1">
      <c r="B1" s="4" t="inlineStr">
        <is>
          <t>Site-level Fixed M&amp;O (FY25 baseline amounts) — Fund 001 categories</t>
        </is>
      </c>
    </row>
    <row r="3" ht="45" customHeight="1" s="137">
      <c r="A3" s="92" t="inlineStr">
        <is>
          <t>Note</t>
        </is>
      </c>
      <c r="B3" s="158" t="inlineStr">
        <is>
          <t>Figures below are not from audited district sources (unable to find); They are estimated* based on SUSD’s FY26 budget function totals and campus square footage, and they are similar to the board‑discussed savings band (~$1.0M/site).</t>
        </is>
      </c>
    </row>
    <row r="4">
      <c r="E4" s="4" t="inlineStr">
        <is>
          <t>Note</t>
        </is>
      </c>
    </row>
    <row r="5">
      <c r="B5" t="inlineStr">
        <is>
          <t>Echo — Plant Ops/Maintenance</t>
        </is>
      </c>
      <c r="C5" s="91" t="n">
        <v>505000</v>
      </c>
    </row>
    <row r="6">
      <c r="B6" t="inlineStr">
        <is>
          <t>Echo — Utilities</t>
        </is>
      </c>
      <c r="C6" t="n">
        <v>0</v>
      </c>
      <c r="E6" t="inlineStr">
        <is>
          <t>Utilities are included in plant ops sub-cateogry for now, as an educated estimate was made from district budget information that does not de-couple utilities from plant ops.</t>
        </is>
      </c>
    </row>
    <row r="7">
      <c r="B7" t="inlineStr">
        <is>
          <t>Echo — Insurance</t>
        </is>
      </c>
      <c r="C7" s="91" t="n">
        <v>45000</v>
      </c>
    </row>
    <row r="8">
      <c r="B8" t="inlineStr">
        <is>
          <t>Echo — Site Admin (FTE+benefits)</t>
        </is>
      </c>
      <c r="C8" s="91" t="n">
        <v>350000</v>
      </c>
    </row>
    <row r="9">
      <c r="B9" t="inlineStr">
        <is>
          <t>Echo — Other Fixed</t>
        </is>
      </c>
      <c r="C9" t="n">
        <v>0</v>
      </c>
    </row>
    <row r="10">
      <c r="B10" t="inlineStr">
        <is>
          <t>Echo Fixed Total (FY25)</t>
        </is>
      </c>
      <c r="D10" s="90">
        <f>SUM(C5:C9)</f>
        <v/>
      </c>
      <c r="E10" t="inlineStr">
        <is>
          <t>SUM(C5:C9)</t>
        </is>
      </c>
    </row>
    <row r="12">
      <c r="B12" t="inlineStr">
        <is>
          <t>Pima — Plant Ops/Maintenance</t>
        </is>
      </c>
      <c r="C12" s="91" t="n">
        <v>576000</v>
      </c>
    </row>
    <row r="13">
      <c r="B13" t="inlineStr">
        <is>
          <t>Pima — Utilities</t>
        </is>
      </c>
      <c r="C13" t="n">
        <v>0</v>
      </c>
      <c r="E13" t="inlineStr">
        <is>
          <t>Utilities are included in plant ops sub-cateogry for now, as an educated estimate was made from district budget information that does not de-couple utilities from plant ops.</t>
        </is>
      </c>
    </row>
    <row r="14">
      <c r="B14" t="inlineStr">
        <is>
          <t>Pima — Insurance</t>
        </is>
      </c>
      <c r="C14" s="91" t="n">
        <v>49000</v>
      </c>
    </row>
    <row r="15">
      <c r="B15" t="inlineStr">
        <is>
          <t>Pima — Site Admin (FTE+benefits)</t>
        </is>
      </c>
      <c r="C15" s="91" t="n">
        <v>350000</v>
      </c>
    </row>
    <row r="16">
      <c r="B16" t="inlineStr">
        <is>
          <t>Pima — Other Fixed</t>
        </is>
      </c>
      <c r="C16" t="n">
        <v>0</v>
      </c>
    </row>
    <row r="17">
      <c r="B17" t="inlineStr">
        <is>
          <t>Pima Fixed Total (FY25)</t>
        </is>
      </c>
      <c r="D17" s="90">
        <f>SUM(C12:C16)</f>
        <v/>
      </c>
      <c r="E17" t="inlineStr">
        <is>
          <t>SUM(C12:C16)</t>
        </is>
      </c>
    </row>
    <row r="19" ht="192" customHeight="1" s="137">
      <c r="A19" s="93" t="inlineStr">
        <is>
          <t>*</t>
        </is>
      </c>
      <c r="B19" s="158" t="inlineStr">
        <is>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is>
      </c>
    </row>
  </sheetData>
  <mergeCells count="2">
    <mergeCell ref="B3:D3"/>
    <mergeCell ref="B19:D19"/>
  </mergeCells>
  <pageMargins left="0.75" right="0.75" top="1" bottom="1" header="0.5" footer="0.5"/>
  <pageSetup orientation="portrait" paperSize="0" horizontalDpi="0" verticalDpi="0" copies="0"/>
</worksheet>
</file>

<file path=xl/worksheets/sheet1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4.5"/>
  <cols>
    <col width="44" customWidth="1" style="137" min="1" max="1"/>
    <col width="22" customWidth="1" style="137" min="2" max="2"/>
  </cols>
  <sheetData>
    <row r="1">
      <c r="A1" s="23" t="inlineStr">
        <is>
          <t>Consistency checks: Served_ADM vs (Total_ADM + Retained_ADM)</t>
        </is>
      </c>
    </row>
    <row r="2">
      <c r="A2" t="inlineStr">
        <is>
          <t>Baseline FY2030</t>
        </is>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
      </c>
    </row>
    <row r="3">
      <c r="A3" t="inlineStr">
        <is>
          <t>Baseline FY2026</t>
        </is>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
      </c>
    </row>
    <row r="4">
      <c r="A4" t="inlineStr">
        <is>
          <t>Comparator FY2030</t>
        </is>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
      </c>
    </row>
    <row r="5">
      <c r="A5" t="inlineStr">
        <is>
          <t>Comparator FY2026</t>
        </is>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0"/>
  <sheetViews>
    <sheetView workbookViewId="0">
      <selection activeCell="A2" sqref="A2"/>
    </sheetView>
  </sheetViews>
  <sheetFormatPr baseColWidth="8" defaultRowHeight="14.5"/>
  <cols>
    <col width="15" bestFit="1" customWidth="1" style="137" min="1" max="1"/>
    <col width="16.36328125" bestFit="1" customWidth="1" style="137" min="2" max="2"/>
    <col width="9.7265625" bestFit="1" customWidth="1" style="137" min="3" max="3"/>
    <col width="20.26953125" bestFit="1" customWidth="1" style="137" min="4" max="4"/>
  </cols>
  <sheetData>
    <row r="1">
      <c r="A1" s="52" t="inlineStr">
        <is>
          <t>Parameter name</t>
        </is>
      </c>
      <c r="B1" s="52" t="inlineStr">
        <is>
          <t>Current sheet</t>
        </is>
      </c>
      <c r="C1" s="52" t="inlineStr">
        <is>
          <t>Cell/Range</t>
        </is>
      </c>
      <c r="D1" s="52" t="inlineStr">
        <is>
          <t>Named range (created)</t>
        </is>
      </c>
      <c r="E1" s="52" t="inlineStr">
        <is>
          <t>Notes / role</t>
        </is>
      </c>
    </row>
    <row r="2">
      <c r="A2" t="inlineStr">
        <is>
          <t>Override_toggle</t>
        </is>
      </c>
      <c r="B2" t="inlineStr">
        <is>
          <t>Parameters_Public</t>
        </is>
      </c>
      <c r="C2" t="inlineStr">
        <is>
          <t>C20</t>
        </is>
      </c>
      <c r="D2" t="inlineStr">
        <is>
          <t>Override_toggle</t>
        </is>
      </c>
      <c r="E2" t="inlineStr">
        <is>
          <t>Override on/off toggle used in Revenue$</t>
        </is>
      </c>
    </row>
    <row r="3">
      <c r="A3" t="inlineStr">
        <is>
          <t>MO_inflation</t>
        </is>
      </c>
      <c r="B3" t="inlineStr">
        <is>
          <t>Control_Center</t>
        </is>
      </c>
      <c r="C3" t="inlineStr">
        <is>
          <t>C6</t>
        </is>
      </c>
      <c r="D3" t="inlineStr">
        <is>
          <t>MO_inflation</t>
        </is>
      </c>
      <c r="E3" t="inlineStr">
        <is>
          <t>Annual M&amp;O inflation (scalar)</t>
        </is>
      </c>
    </row>
    <row r="4">
      <c r="A4" t="inlineStr">
        <is>
          <t>Aid_growth</t>
        </is>
      </c>
      <c r="B4" t="inlineStr">
        <is>
          <t>BaselineCalc</t>
        </is>
      </c>
      <c r="C4" t="inlineStr">
        <is>
          <t>B28</t>
        </is>
      </c>
      <c r="D4" t="inlineStr">
        <is>
          <t>Aid_growth</t>
        </is>
      </c>
      <c r="E4" t="inlineStr">
        <is>
          <t>Annual BLA (aid) growth factor</t>
        </is>
      </c>
    </row>
    <row r="5">
      <c r="A5" t="inlineStr">
        <is>
          <t>Base_Aid_per_ADM</t>
        </is>
      </c>
      <c r="B5" t="inlineStr">
        <is>
          <t>Parameters_Public</t>
        </is>
      </c>
      <c r="C5" t="inlineStr">
        <is>
          <t>C18</t>
        </is>
      </c>
      <c r="D5" t="inlineStr">
        <is>
          <t>Base_Aid_per_ADM</t>
        </is>
      </c>
      <c r="E5" t="inlineStr">
        <is>
          <t>ADE base aid per ADM (FY basis).</t>
        </is>
      </c>
    </row>
    <row r="6">
      <c r="A6" t="inlineStr">
        <is>
          <t>Override_percent</t>
        </is>
      </c>
      <c r="B6" t="inlineStr">
        <is>
          <t>Parameters_Public</t>
        </is>
      </c>
      <c r="C6" t="inlineStr">
        <is>
          <t>C17</t>
        </is>
      </c>
      <c r="D6" t="inlineStr">
        <is>
          <t>Override_percent</t>
        </is>
      </c>
      <c r="E6" t="inlineStr">
        <is>
          <t>Board‑approved override % of RCL.</t>
        </is>
      </c>
    </row>
    <row r="7">
      <c r="A7" t="inlineStr">
        <is>
          <t>Override_per_ADM_proxy</t>
        </is>
      </c>
      <c r="B7" t="inlineStr">
        <is>
          <t>Parameters_Public</t>
        </is>
      </c>
      <c r="C7" t="inlineStr">
        <is>
          <t>C19</t>
        </is>
      </c>
      <c r="D7" t="inlineStr">
        <is>
          <t>Override_per_ADM_proxy</t>
        </is>
      </c>
      <c r="E7" t="inlineStr">
        <is>
          <t>Derived per‑ADM override proxy (for quick checks).</t>
        </is>
      </c>
    </row>
    <row r="8">
      <c r="A8" t="inlineStr">
        <is>
          <t>M_O_per_ADM_Audited</t>
        </is>
      </c>
      <c r="B8" t="inlineStr">
        <is>
          <t>Parameters_Public</t>
        </is>
      </c>
      <c r="C8" t="inlineStr">
        <is>
          <t>C14</t>
        </is>
      </c>
      <c r="D8" t="inlineStr">
        <is>
          <t>M_O_per_ADM_Audited</t>
        </is>
      </c>
      <c r="E8" t="inlineStr">
        <is>
          <t>District M&amp;O per ADM (audited).</t>
        </is>
      </c>
    </row>
    <row r="9">
      <c r="A9" t="inlineStr">
        <is>
          <t>Uplift_base_per_ADM</t>
        </is>
      </c>
      <c r="B9" t="inlineStr">
        <is>
          <t>Parameters_Public</t>
        </is>
      </c>
      <c r="C9" t="inlineStr">
        <is>
          <t>C21</t>
        </is>
      </c>
      <c r="D9" t="inlineStr">
        <is>
          <t>Uplift_base_per_ADM</t>
        </is>
      </c>
      <c r="E9" t="inlineStr">
        <is>
          <t>Other GF revenue per served ADM (base uplift).</t>
        </is>
      </c>
    </row>
    <row r="10">
      <c r="A10" t="inlineStr">
        <is>
          <t>Incremental_uplift_alpha</t>
        </is>
      </c>
      <c r="B10" t="inlineStr">
        <is>
          <t>Parameters_Public</t>
        </is>
      </c>
      <c r="C10" t="inlineStr">
        <is>
          <t>C49</t>
        </is>
      </c>
      <c r="D10" t="inlineStr">
        <is>
          <t>Incremental_uplift_alpha</t>
        </is>
      </c>
      <c r="E10" t="inlineStr">
        <is>
          <t>Share applied to overlay students only.</t>
        </is>
      </c>
    </row>
    <row r="11">
      <c r="A11" t="inlineStr">
        <is>
          <t>Growth_overhead_alpha</t>
        </is>
      </c>
      <c r="B11" t="inlineStr">
        <is>
          <t>Parameters_Public</t>
        </is>
      </c>
      <c r="C11" t="inlineStr">
        <is>
          <t>C47</t>
        </is>
      </c>
      <c r="D11" t="inlineStr">
        <is>
          <t>Growth_overhead_alpha</t>
        </is>
      </c>
      <c r="E11" t="inlineStr">
        <is>
          <t>α for g = α × h (growth overhead).</t>
        </is>
      </c>
    </row>
    <row r="12">
      <c r="A12" t="inlineStr">
        <is>
          <t>Echo_retention_r</t>
        </is>
      </c>
      <c r="B12" t="inlineStr">
        <is>
          <t>Parameters_Public</t>
        </is>
      </c>
      <c r="C12" t="inlineStr">
        <is>
          <t>C23</t>
        </is>
      </c>
      <c r="D12" t="inlineStr">
        <is>
          <t>Echo_retention_r</t>
        </is>
      </c>
      <c r="E12" t="inlineStr">
        <is>
          <t>Retention r — Echo (central).</t>
        </is>
      </c>
    </row>
    <row r="13">
      <c r="A13" t="inlineStr">
        <is>
          <t>Pima_retention_r</t>
        </is>
      </c>
      <c r="B13" t="inlineStr">
        <is>
          <t>Parameters_Public</t>
        </is>
      </c>
      <c r="C13" t="inlineStr">
        <is>
          <t>C24</t>
        </is>
      </c>
      <c r="D13" t="inlineStr">
        <is>
          <t>Pima_retention_r</t>
        </is>
      </c>
      <c r="E13" t="inlineStr">
        <is>
          <t>Retention r — Pima (central).</t>
        </is>
      </c>
    </row>
    <row r="14">
      <c r="A14" t="inlineStr">
        <is>
          <t>MarginalFactor_for_Overlay</t>
        </is>
      </c>
      <c r="B14" t="inlineStr">
        <is>
          <t>Parameters_Public</t>
        </is>
      </c>
      <c r="C14" t="inlineStr">
        <is>
          <t>C43</t>
        </is>
      </c>
      <c r="D14" t="inlineStr">
        <is>
          <t>MarginalFactor_for_Overlay</t>
        </is>
      </c>
      <c r="E14" t="inlineStr">
        <is>
          <t>Marginal factor scaling variable cost for overlay ADM.</t>
        </is>
      </c>
    </row>
    <row r="15">
      <c r="A15" t="inlineStr">
        <is>
          <t>Echo_ADM0_selected</t>
        </is>
      </c>
      <c r="B15" t="inlineStr">
        <is>
          <t>Parameters_Public</t>
        </is>
      </c>
      <c r="C15" t="inlineStr">
        <is>
          <t>C10</t>
        </is>
      </c>
      <c r="D15" t="inlineStr">
        <is>
          <t>Echo_ADM0_selected</t>
        </is>
      </c>
      <c r="E15" t="inlineStr">
        <is>
          <t>Echo base ADM (selected 40th/100th).</t>
        </is>
      </c>
    </row>
    <row r="16">
      <c r="A16" t="inlineStr">
        <is>
          <t>Pima_ADM0_selected</t>
        </is>
      </c>
      <c r="B16" t="inlineStr">
        <is>
          <t>Parameters_Public</t>
        </is>
      </c>
      <c r="C16" t="inlineStr">
        <is>
          <t>C11</t>
        </is>
      </c>
      <c r="D16" t="inlineStr">
        <is>
          <t>Pima_ADM0_selected</t>
        </is>
      </c>
      <c r="E16" t="inlineStr">
        <is>
          <t>Pima base ADM (selected 40th/100th).</t>
        </is>
      </c>
    </row>
    <row r="17">
      <c r="A17" t="inlineStr">
        <is>
          <t>Portable_seat_cost</t>
        </is>
      </c>
      <c r="B17" t="inlineStr">
        <is>
          <t>Parameters_Public</t>
        </is>
      </c>
      <c r="C17" t="inlineStr">
        <is>
          <t>C34</t>
        </is>
      </c>
      <c r="D17" t="inlineStr">
        <is>
          <t>Portable_seat_cost</t>
        </is>
      </c>
      <c r="E17" t="inlineStr">
        <is>
          <t>Inclusive capital seat cost for portables.</t>
        </is>
      </c>
    </row>
    <row r="18">
      <c r="A18" t="inlineStr">
        <is>
          <t>h_taper_profile</t>
        </is>
      </c>
      <c r="B18" t="inlineStr">
        <is>
          <t>Control_Center</t>
        </is>
      </c>
      <c r="C18" t="inlineStr">
        <is>
          <t>$C$22:$G$26</t>
        </is>
      </c>
      <c r="D18" t="inlineStr">
        <is>
          <t>h_taper_profile</t>
        </is>
      </c>
      <c r="E18" t="inlineStr">
        <is>
          <t>Retention overhead schedule FY26→FY30.</t>
        </is>
      </c>
    </row>
    <row r="19">
      <c r="A19" t="inlineStr">
        <is>
          <t>f_ops_profile</t>
        </is>
      </c>
      <c r="B19" t="inlineStr">
        <is>
          <t>Control_Center</t>
        </is>
      </c>
      <c r="C19" t="inlineStr">
        <is>
          <t>$D$22:$H$22</t>
        </is>
      </c>
      <c r="D19" t="inlineStr">
        <is>
          <t>f_ops_profile</t>
        </is>
      </c>
      <c r="E19" t="inlineStr">
        <is>
          <t>Residual fixed cost fraction—ops FY26→FY30.</t>
        </is>
      </c>
    </row>
    <row r="20">
      <c r="A20" t="inlineStr">
        <is>
          <t>f_lease_profile</t>
        </is>
      </c>
      <c r="B20" t="inlineStr">
        <is>
          <t>Control_Center</t>
        </is>
      </c>
      <c r="C20" t="inlineStr">
        <is>
          <t>$D$23:$H$23</t>
        </is>
      </c>
      <c r="D20" t="inlineStr">
        <is>
          <t>f_lease_profile</t>
        </is>
      </c>
      <c r="E20" t="inlineStr">
        <is>
          <t>Residual fixed cost fraction—lease FY26→FY30.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Brian Hohl</dc:creator>
  <dcterms:created xmlns:dcterms="http://purl.org/dc/terms/" xmlns:xsi="http://www.w3.org/2001/XMLSchema-instance" xsi:type="dcterms:W3CDTF">2025-10-21T22:31:51Z</dcterms:created>
  <dcterms:modified xmlns:dcterms="http://purl.org/dc/terms/" xmlns:xsi="http://www.w3.org/2001/XMLSchema-instance" xsi:type="dcterms:W3CDTF">2025-11-10T18:53:41Z</dcterms:modified>
  <cp:lastModifiedBy>Brian Hohl</cp:lastModifiedBy>
</cp:coreProperties>
</file>