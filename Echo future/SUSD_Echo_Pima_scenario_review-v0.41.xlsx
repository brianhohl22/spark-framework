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53" documentId="11_4AF49CFC330FBB6CEA23C5ECF6A85EB5A304006B" xr6:coauthVersionLast="47" xr6:coauthVersionMax="47" xr10:uidLastSave="{C77FA7A9-45E1-4CC3-8161-6CD4AA8B8E31}"/>
  <bookViews>
    <workbookView xWindow="29385" yWindow="330" windowWidth="17415" windowHeight="14685" xr2:uid="{00000000-000D-0000-FFFF-FFFF00000000}"/>
  </bookViews>
  <sheets>
    <sheet name="Workbook_Purpose_Overview" sheetId="1" r:id="rId1"/>
    <sheet name="Scenario_Comparison" sheetId="2" r:id="rId2"/>
    <sheet name="BreakEven" sheetId="3" r:id="rId3"/>
    <sheet name="Summary_Figures" sheetId="4" r:id="rId4"/>
    <sheet name="Scenarios" sheetId="5" r:id="rId5"/>
    <sheet name="MultiYear_ProForma" sheetId="6" r:id="rId6"/>
    <sheet name="Capital_Summary" sheetId="7" r:id="rId7"/>
    <sheet name="Receiving_Capacity" sheetId="8" r:id="rId8"/>
    <sheet name="Parameters_Public" sheetId="9" r:id="rId9"/>
    <sheet name="Control_Center" sheetId="10" r:id="rId10"/>
    <sheet name="BaselineCalc" sheetId="11" r:id="rId11"/>
    <sheet name="YearMap" sheetId="12" r:id="rId12"/>
    <sheet name="Site_Fixed" sheetId="13" r:id="rId13"/>
    <sheet name="Definitions_Sources" sheetId="14" r:id="rId14"/>
    <sheet name="Needs" sheetId="15" r:id="rId15"/>
    <sheet name="Q&amp;A" sheetId="16" r:id="rId16"/>
    <sheet name="QA_Checks" sheetId="17" r:id="rId17"/>
  </sheets>
  <definedNames>
    <definedName name="ADM_Day_Select">Parameters_Public!C8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Fixed_FY25_Total">Site_Fixed!C8</definedName>
    <definedName name="M_O_per_ADM_Audited">Parameters_Public!C14</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Fixed_FY25_Total">Site_Fixed!C15</definedName>
    <definedName name="TI_in_MO_Toggle">Parameters_Public!C26</definedName>
    <definedName name="TI_per_Site">Parameters_Public!C27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14" l="1"/>
  <c r="B27" i="14"/>
  <c r="B26" i="14"/>
  <c r="B25" i="14"/>
  <c r="B24" i="14"/>
  <c r="B23" i="14"/>
  <c r="B22" i="14"/>
  <c r="B21" i="14"/>
  <c r="B20" i="14"/>
  <c r="B19" i="14"/>
  <c r="B18" i="14"/>
  <c r="B17" i="14"/>
  <c r="B16" i="14"/>
  <c r="B15" i="14"/>
  <c r="B14" i="14"/>
  <c r="B13" i="14"/>
  <c r="B12" i="14"/>
  <c r="B11" i="14"/>
  <c r="B10" i="14"/>
  <c r="B9" i="14"/>
  <c r="B8" i="14"/>
  <c r="B7" i="14"/>
  <c r="B6" i="14"/>
  <c r="B5" i="14"/>
  <c r="B4" i="14"/>
  <c r="B3" i="14"/>
  <c r="C15" i="13"/>
  <c r="C8" i="13"/>
  <c r="Q6" i="12"/>
  <c r="P6" i="12"/>
  <c r="R6" i="12" s="1"/>
  <c r="G6" i="12"/>
  <c r="F6" i="12"/>
  <c r="E6" i="12"/>
  <c r="R5" i="12"/>
  <c r="P5" i="12"/>
  <c r="G5" i="12"/>
  <c r="F5" i="12"/>
  <c r="E5" i="12"/>
  <c r="R4" i="12"/>
  <c r="Q4" i="12"/>
  <c r="P4" i="12"/>
  <c r="I4" i="12"/>
  <c r="G4" i="12"/>
  <c r="F4" i="12"/>
  <c r="E4" i="12"/>
  <c r="Q3" i="12"/>
  <c r="P3" i="12"/>
  <c r="R3" i="12" s="1"/>
  <c r="G3" i="12"/>
  <c r="F3" i="12"/>
  <c r="E3" i="12"/>
  <c r="P2" i="12"/>
  <c r="R2" i="12" s="1"/>
  <c r="G2" i="12"/>
  <c r="F2" i="12"/>
  <c r="E2" i="12"/>
  <c r="Q2" i="12" s="1"/>
  <c r="B28" i="11"/>
  <c r="B27" i="11"/>
  <c r="I2" i="12" s="1"/>
  <c r="O2" i="12" s="1"/>
  <c r="B23" i="11"/>
  <c r="B22" i="11"/>
  <c r="C29" i="9" s="1"/>
  <c r="B6" i="11"/>
  <c r="B5" i="11"/>
  <c r="B4" i="11"/>
  <c r="B3" i="11"/>
  <c r="B2" i="11"/>
  <c r="C17" i="10"/>
  <c r="C14" i="10"/>
  <c r="C19" i="9"/>
  <c r="C11" i="9"/>
  <c r="C10" i="9"/>
  <c r="H16" i="8"/>
  <c r="G16" i="8"/>
  <c r="A16" i="8"/>
  <c r="H15" i="8"/>
  <c r="G15" i="8"/>
  <c r="A15" i="8"/>
  <c r="H14" i="8"/>
  <c r="G14" i="8"/>
  <c r="A14" i="8"/>
  <c r="H13" i="8"/>
  <c r="G13" i="8"/>
  <c r="A13" i="8"/>
  <c r="H12" i="8"/>
  <c r="G12" i="8"/>
  <c r="A12" i="8"/>
  <c r="H11" i="8"/>
  <c r="G11" i="8"/>
  <c r="A11" i="8"/>
  <c r="H10" i="8"/>
  <c r="G10" i="8"/>
  <c r="A10" i="8"/>
  <c r="H9" i="8"/>
  <c r="G9" i="8"/>
  <c r="A9" i="8"/>
  <c r="H8" i="8"/>
  <c r="G8" i="8"/>
  <c r="A8" i="8"/>
  <c r="H7" i="8"/>
  <c r="G7" i="8"/>
  <c r="A7" i="8"/>
  <c r="H6" i="8"/>
  <c r="G6" i="8"/>
  <c r="A6" i="8"/>
  <c r="H5" i="8"/>
  <c r="G5" i="8"/>
  <c r="A5" i="8"/>
  <c r="H4" i="8"/>
  <c r="G4" i="8"/>
  <c r="A4" i="8"/>
  <c r="G68" i="7"/>
  <c r="F68" i="7"/>
  <c r="E68" i="7"/>
  <c r="D68" i="7"/>
  <c r="H68" i="7" s="1"/>
  <c r="A68" i="7"/>
  <c r="C68" i="7" s="1"/>
  <c r="G67" i="7"/>
  <c r="F67" i="7"/>
  <c r="E67" i="7"/>
  <c r="D67" i="7"/>
  <c r="C67" i="7"/>
  <c r="A67" i="7"/>
  <c r="H66" i="7"/>
  <c r="G66" i="7"/>
  <c r="F66" i="7"/>
  <c r="E66" i="7"/>
  <c r="D66" i="7"/>
  <c r="A66" i="7"/>
  <c r="C66" i="7" s="1"/>
  <c r="G65" i="7"/>
  <c r="F65" i="7"/>
  <c r="E65" i="7"/>
  <c r="D65" i="7"/>
  <c r="H65" i="7" s="1"/>
  <c r="C65" i="7"/>
  <c r="A65" i="7"/>
  <c r="A64" i="7"/>
  <c r="G63" i="7"/>
  <c r="F63" i="7"/>
  <c r="E63" i="7"/>
  <c r="D63" i="7"/>
  <c r="A63" i="7"/>
  <c r="G62" i="7"/>
  <c r="F62" i="7"/>
  <c r="E62" i="7"/>
  <c r="D62" i="7"/>
  <c r="H62" i="7" s="1"/>
  <c r="A62" i="7"/>
  <c r="G61" i="7"/>
  <c r="F61" i="7"/>
  <c r="E61" i="7"/>
  <c r="D61" i="7"/>
  <c r="A61" i="7"/>
  <c r="G60" i="7"/>
  <c r="F60" i="7"/>
  <c r="E60" i="7"/>
  <c r="D60" i="7"/>
  <c r="A60" i="7"/>
  <c r="A59" i="7"/>
  <c r="G58" i="7"/>
  <c r="F58" i="7"/>
  <c r="E58" i="7"/>
  <c r="D58" i="7"/>
  <c r="H58" i="7" s="1"/>
  <c r="A58" i="7"/>
  <c r="G57" i="7"/>
  <c r="F57" i="7"/>
  <c r="E57" i="7"/>
  <c r="D57" i="7"/>
  <c r="H57" i="7" s="1"/>
  <c r="A57" i="7"/>
  <c r="G56" i="7"/>
  <c r="F56" i="7"/>
  <c r="H56" i="7" s="1"/>
  <c r="E56" i="7"/>
  <c r="D56" i="7"/>
  <c r="A56" i="7"/>
  <c r="G55" i="7"/>
  <c r="F55" i="7"/>
  <c r="E55" i="7"/>
  <c r="D55" i="7"/>
  <c r="A55" i="7"/>
  <c r="A54" i="7"/>
  <c r="H53" i="7"/>
  <c r="G53" i="7"/>
  <c r="F53" i="7"/>
  <c r="E53" i="7"/>
  <c r="D53" i="7"/>
  <c r="A53" i="7"/>
  <c r="G52" i="7"/>
  <c r="F52" i="7"/>
  <c r="H52" i="7" s="1"/>
  <c r="E52" i="7"/>
  <c r="D52" i="7"/>
  <c r="A52" i="7"/>
  <c r="G51" i="7"/>
  <c r="F51" i="7"/>
  <c r="E51" i="7"/>
  <c r="D51" i="7"/>
  <c r="A51" i="7"/>
  <c r="G50" i="7"/>
  <c r="F50" i="7"/>
  <c r="E50" i="7"/>
  <c r="D50" i="7"/>
  <c r="A50" i="7"/>
  <c r="A49" i="7"/>
  <c r="G48" i="7"/>
  <c r="F48" i="7"/>
  <c r="E48" i="7"/>
  <c r="D48" i="7"/>
  <c r="H48" i="7" s="1"/>
  <c r="A48" i="7"/>
  <c r="G47" i="7"/>
  <c r="F47" i="7"/>
  <c r="E47" i="7"/>
  <c r="D47" i="7"/>
  <c r="A47" i="7"/>
  <c r="G46" i="7"/>
  <c r="F46" i="7"/>
  <c r="E46" i="7"/>
  <c r="D46" i="7"/>
  <c r="H46" i="7" s="1"/>
  <c r="A46" i="7"/>
  <c r="G45" i="7"/>
  <c r="F45" i="7"/>
  <c r="E45" i="7"/>
  <c r="H45" i="7" s="1"/>
  <c r="D45" i="7"/>
  <c r="A45" i="7"/>
  <c r="A44" i="7"/>
  <c r="G43" i="7"/>
  <c r="F43" i="7"/>
  <c r="E43" i="7"/>
  <c r="H43" i="7" s="1"/>
  <c r="D43" i="7"/>
  <c r="A43" i="7"/>
  <c r="H42" i="7"/>
  <c r="G42" i="7"/>
  <c r="F42" i="7"/>
  <c r="E42" i="7"/>
  <c r="D42" i="7"/>
  <c r="A42" i="7"/>
  <c r="G41" i="7"/>
  <c r="F41" i="7"/>
  <c r="E41" i="7"/>
  <c r="D41" i="7"/>
  <c r="A41" i="7"/>
  <c r="G40" i="7"/>
  <c r="F40" i="7"/>
  <c r="E40" i="7"/>
  <c r="D40" i="7"/>
  <c r="A40" i="7"/>
  <c r="A39" i="7"/>
  <c r="H38" i="7"/>
  <c r="G38" i="7"/>
  <c r="F38" i="7"/>
  <c r="E38" i="7"/>
  <c r="D38" i="7"/>
  <c r="A38" i="7"/>
  <c r="G37" i="7"/>
  <c r="H37" i="7" s="1"/>
  <c r="F37" i="7"/>
  <c r="E37" i="7"/>
  <c r="D37" i="7"/>
  <c r="A37" i="7"/>
  <c r="G36" i="7"/>
  <c r="F36" i="7"/>
  <c r="E36" i="7"/>
  <c r="D36" i="7"/>
  <c r="A36" i="7"/>
  <c r="G35" i="7"/>
  <c r="F35" i="7"/>
  <c r="E35" i="7"/>
  <c r="D35" i="7"/>
  <c r="A35" i="7"/>
  <c r="A34" i="7"/>
  <c r="G33" i="7"/>
  <c r="F33" i="7"/>
  <c r="E33" i="7"/>
  <c r="D33" i="7"/>
  <c r="A33" i="7"/>
  <c r="H32" i="7"/>
  <c r="G32" i="7"/>
  <c r="F32" i="7"/>
  <c r="E32" i="7"/>
  <c r="D32" i="7"/>
  <c r="A32" i="7"/>
  <c r="G31" i="7"/>
  <c r="F31" i="7"/>
  <c r="E31" i="7"/>
  <c r="D31" i="7"/>
  <c r="A31" i="7"/>
  <c r="G30" i="7"/>
  <c r="F30" i="7"/>
  <c r="E30" i="7"/>
  <c r="D30" i="7"/>
  <c r="H30" i="7" s="1"/>
  <c r="A30" i="7"/>
  <c r="A29" i="7"/>
  <c r="H28" i="7"/>
  <c r="G28" i="7"/>
  <c r="F28" i="7"/>
  <c r="E28" i="7"/>
  <c r="D28" i="7"/>
  <c r="A28" i="7"/>
  <c r="G27" i="7"/>
  <c r="F27" i="7"/>
  <c r="E27" i="7"/>
  <c r="H27" i="7" s="1"/>
  <c r="D27" i="7"/>
  <c r="A27" i="7"/>
  <c r="H26" i="7"/>
  <c r="G26" i="7"/>
  <c r="F26" i="7"/>
  <c r="E26" i="7"/>
  <c r="D26" i="7"/>
  <c r="A26" i="7"/>
  <c r="G25" i="7"/>
  <c r="F25" i="7"/>
  <c r="E25" i="7"/>
  <c r="D25" i="7"/>
  <c r="A25" i="7"/>
  <c r="A24" i="7"/>
  <c r="G23" i="7"/>
  <c r="F23" i="7"/>
  <c r="E23" i="7"/>
  <c r="D23" i="7"/>
  <c r="A23" i="7"/>
  <c r="G22" i="7"/>
  <c r="F22" i="7"/>
  <c r="H22" i="7" s="1"/>
  <c r="E22" i="7"/>
  <c r="D22" i="7"/>
  <c r="A22" i="7"/>
  <c r="G21" i="7"/>
  <c r="F21" i="7"/>
  <c r="E21" i="7"/>
  <c r="D21" i="7"/>
  <c r="A21" i="7"/>
  <c r="G20" i="7"/>
  <c r="F20" i="7"/>
  <c r="E20" i="7"/>
  <c r="D20" i="7"/>
  <c r="H20" i="7" s="1"/>
  <c r="A20" i="7"/>
  <c r="A19" i="7"/>
  <c r="G18" i="7"/>
  <c r="H18" i="7" s="1"/>
  <c r="F18" i="7"/>
  <c r="E18" i="7"/>
  <c r="D18" i="7"/>
  <c r="A18" i="7"/>
  <c r="G17" i="7"/>
  <c r="F17" i="7"/>
  <c r="E17" i="7"/>
  <c r="D17" i="7"/>
  <c r="H17" i="7" s="1"/>
  <c r="A17" i="7"/>
  <c r="G16" i="7"/>
  <c r="F16" i="7"/>
  <c r="E16" i="7"/>
  <c r="D16" i="7"/>
  <c r="A16" i="7"/>
  <c r="G15" i="7"/>
  <c r="F15" i="7"/>
  <c r="E15" i="7"/>
  <c r="D15" i="7"/>
  <c r="H15" i="7" s="1"/>
  <c r="A15" i="7"/>
  <c r="A14" i="7"/>
  <c r="H13" i="7"/>
  <c r="G13" i="7"/>
  <c r="F13" i="7"/>
  <c r="E13" i="7"/>
  <c r="D13" i="7"/>
  <c r="A13" i="7"/>
  <c r="G12" i="7"/>
  <c r="F12" i="7"/>
  <c r="E12" i="7"/>
  <c r="D12" i="7"/>
  <c r="H12" i="7" s="1"/>
  <c r="A12" i="7"/>
  <c r="G11" i="7"/>
  <c r="F11" i="7"/>
  <c r="E11" i="7"/>
  <c r="H11" i="7" s="1"/>
  <c r="D11" i="7"/>
  <c r="A11" i="7"/>
  <c r="G10" i="7"/>
  <c r="F10" i="7"/>
  <c r="E10" i="7"/>
  <c r="D10" i="7"/>
  <c r="H10" i="7" s="1"/>
  <c r="A10" i="7"/>
  <c r="A9" i="7"/>
  <c r="H8" i="7"/>
  <c r="G8" i="7"/>
  <c r="F8" i="7"/>
  <c r="E8" i="7"/>
  <c r="D8" i="7"/>
  <c r="A8" i="7"/>
  <c r="G7" i="7"/>
  <c r="F7" i="7"/>
  <c r="E7" i="7"/>
  <c r="D7" i="7"/>
  <c r="H7" i="7" s="1"/>
  <c r="A7" i="7"/>
  <c r="G6" i="7"/>
  <c r="F6" i="7"/>
  <c r="H6" i="7" s="1"/>
  <c r="E6" i="7"/>
  <c r="D6" i="7"/>
  <c r="A6" i="7"/>
  <c r="G5" i="7"/>
  <c r="F5" i="7"/>
  <c r="E5" i="7"/>
  <c r="H5" i="7" s="1"/>
  <c r="D5" i="7"/>
  <c r="A5" i="7"/>
  <c r="A4" i="7"/>
  <c r="T66" i="6"/>
  <c r="Q66" i="6"/>
  <c r="P66" i="6"/>
  <c r="K66" i="6"/>
  <c r="J66" i="6"/>
  <c r="B66" i="6"/>
  <c r="AG66" i="6" s="1"/>
  <c r="A66" i="6" s="1"/>
  <c r="AG65" i="6"/>
  <c r="A65" i="6" s="1"/>
  <c r="T65" i="6"/>
  <c r="Q65" i="6"/>
  <c r="K65" i="6"/>
  <c r="J65" i="6"/>
  <c r="B65" i="6"/>
  <c r="T64" i="6"/>
  <c r="Q64" i="6"/>
  <c r="P64" i="6"/>
  <c r="K64" i="6"/>
  <c r="J64" i="6"/>
  <c r="B64" i="6"/>
  <c r="AG64" i="6" s="1"/>
  <c r="A64" i="6" s="1"/>
  <c r="AG63" i="6"/>
  <c r="A63" i="6" s="1"/>
  <c r="T63" i="6"/>
  <c r="Q63" i="6"/>
  <c r="P63" i="6"/>
  <c r="K63" i="6"/>
  <c r="J63" i="6"/>
  <c r="B63" i="6"/>
  <c r="Y62" i="6"/>
  <c r="T62" i="6"/>
  <c r="Q62" i="6"/>
  <c r="P62" i="6"/>
  <c r="K62" i="6"/>
  <c r="J62" i="6"/>
  <c r="B62" i="6"/>
  <c r="AG62" i="6" s="1"/>
  <c r="A62" i="6" s="1"/>
  <c r="AG61" i="6"/>
  <c r="A61" i="6" s="1"/>
  <c r="T61" i="6"/>
  <c r="Q61" i="6"/>
  <c r="P61" i="6"/>
  <c r="J61" i="6"/>
  <c r="B61" i="6"/>
  <c r="T60" i="6"/>
  <c r="Q60" i="6"/>
  <c r="J60" i="6"/>
  <c r="B60" i="6"/>
  <c r="AG60" i="6" s="1"/>
  <c r="A60" i="6" s="1"/>
  <c r="AG59" i="6"/>
  <c r="A59" i="6" s="1"/>
  <c r="T59" i="6"/>
  <c r="Q59" i="6"/>
  <c r="P59" i="6"/>
  <c r="J59" i="6"/>
  <c r="B59" i="6"/>
  <c r="T58" i="6"/>
  <c r="Q58" i="6"/>
  <c r="P58" i="6"/>
  <c r="J58" i="6"/>
  <c r="B58" i="6"/>
  <c r="AG58" i="6" s="1"/>
  <c r="A58" i="6" s="1"/>
  <c r="Y57" i="6"/>
  <c r="Q57" i="6"/>
  <c r="P57" i="6"/>
  <c r="J57" i="6"/>
  <c r="B57" i="6"/>
  <c r="AG57" i="6" s="1"/>
  <c r="A57" i="6" s="1"/>
  <c r="T56" i="6"/>
  <c r="Q56" i="6"/>
  <c r="P56" i="6"/>
  <c r="J56" i="6"/>
  <c r="B56" i="6"/>
  <c r="AG56" i="6" s="1"/>
  <c r="A56" i="6" s="1"/>
  <c r="T55" i="6"/>
  <c r="Q55" i="6"/>
  <c r="P55" i="6"/>
  <c r="J55" i="6"/>
  <c r="B55" i="6"/>
  <c r="AG55" i="6" s="1"/>
  <c r="A55" i="6" s="1"/>
  <c r="AG54" i="6"/>
  <c r="A54" i="6" s="1"/>
  <c r="Y54" i="6"/>
  <c r="T54" i="6"/>
  <c r="Q54" i="6"/>
  <c r="P54" i="6"/>
  <c r="J54" i="6"/>
  <c r="B54" i="6"/>
  <c r="AG53" i="6"/>
  <c r="A53" i="6" s="1"/>
  <c r="T53" i="6"/>
  <c r="Q53" i="6"/>
  <c r="P53" i="6"/>
  <c r="J53" i="6"/>
  <c r="B53" i="6"/>
  <c r="AG52" i="6"/>
  <c r="A52" i="6" s="1"/>
  <c r="Y52" i="6"/>
  <c r="Q52" i="6"/>
  <c r="P52" i="6"/>
  <c r="J52" i="6"/>
  <c r="B52" i="6"/>
  <c r="T51" i="6"/>
  <c r="Q51" i="6"/>
  <c r="P51" i="6"/>
  <c r="J51" i="6"/>
  <c r="B51" i="6"/>
  <c r="AG51" i="6" s="1"/>
  <c r="A51" i="6" s="1"/>
  <c r="T50" i="6"/>
  <c r="Q50" i="6"/>
  <c r="P50" i="6"/>
  <c r="J50" i="6"/>
  <c r="B50" i="6"/>
  <c r="AG50" i="6" s="1"/>
  <c r="A50" i="6" s="1"/>
  <c r="Y49" i="6"/>
  <c r="T49" i="6"/>
  <c r="Q49" i="6"/>
  <c r="P49" i="6"/>
  <c r="J49" i="6"/>
  <c r="B49" i="6"/>
  <c r="AG49" i="6" s="1"/>
  <c r="A49" i="6"/>
  <c r="AG48" i="6"/>
  <c r="T48" i="6"/>
  <c r="Q48" i="6"/>
  <c r="P48" i="6"/>
  <c r="J48" i="6"/>
  <c r="B48" i="6"/>
  <c r="A48" i="6"/>
  <c r="Y47" i="6"/>
  <c r="Q47" i="6"/>
  <c r="P47" i="6"/>
  <c r="J47" i="6"/>
  <c r="B47" i="6"/>
  <c r="AG47" i="6" s="1"/>
  <c r="A47" i="6" s="1"/>
  <c r="T46" i="6"/>
  <c r="Q46" i="6"/>
  <c r="P46" i="6"/>
  <c r="J46" i="6"/>
  <c r="B46" i="6"/>
  <c r="AG46" i="6" s="1"/>
  <c r="A46" i="6" s="1"/>
  <c r="T45" i="6"/>
  <c r="Q45" i="6"/>
  <c r="P45" i="6"/>
  <c r="J45" i="6"/>
  <c r="B45" i="6"/>
  <c r="AG45" i="6" s="1"/>
  <c r="A45" i="6" s="1"/>
  <c r="Y44" i="6"/>
  <c r="T44" i="6"/>
  <c r="Q44" i="6"/>
  <c r="P44" i="6"/>
  <c r="J44" i="6"/>
  <c r="B44" i="6"/>
  <c r="AG44" i="6" s="1"/>
  <c r="A44" i="6" s="1"/>
  <c r="T43" i="6"/>
  <c r="Q43" i="6"/>
  <c r="P43" i="6"/>
  <c r="J43" i="6"/>
  <c r="B43" i="6"/>
  <c r="AG43" i="6" s="1"/>
  <c r="A43" i="6" s="1"/>
  <c r="Y42" i="6"/>
  <c r="Q42" i="6"/>
  <c r="P42" i="6"/>
  <c r="J42" i="6"/>
  <c r="B42" i="6"/>
  <c r="AG42" i="6" s="1"/>
  <c r="A42" i="6"/>
  <c r="T41" i="6"/>
  <c r="Q41" i="6"/>
  <c r="P41" i="6"/>
  <c r="J41" i="6"/>
  <c r="B41" i="6"/>
  <c r="AG41" i="6" s="1"/>
  <c r="A41" i="6" s="1"/>
  <c r="T40" i="6"/>
  <c r="Q40" i="6"/>
  <c r="P40" i="6"/>
  <c r="K40" i="6"/>
  <c r="J40" i="6"/>
  <c r="B40" i="6"/>
  <c r="AG40" i="6" s="1"/>
  <c r="A40" i="6"/>
  <c r="Y39" i="6"/>
  <c r="T39" i="6"/>
  <c r="Q39" i="6"/>
  <c r="P39" i="6"/>
  <c r="J39" i="6"/>
  <c r="B39" i="6"/>
  <c r="AG39" i="6" s="1"/>
  <c r="A39" i="6" s="1"/>
  <c r="T38" i="6"/>
  <c r="Q38" i="6"/>
  <c r="P38" i="6"/>
  <c r="J38" i="6"/>
  <c r="B38" i="6"/>
  <c r="AG38" i="6" s="1"/>
  <c r="A38" i="6" s="1"/>
  <c r="Y37" i="6"/>
  <c r="Q37" i="6"/>
  <c r="P37" i="6"/>
  <c r="K37" i="6"/>
  <c r="J37" i="6"/>
  <c r="B37" i="6"/>
  <c r="AG37" i="6" s="1"/>
  <c r="A37" i="6" s="1"/>
  <c r="T36" i="6"/>
  <c r="Q36" i="6"/>
  <c r="P36" i="6"/>
  <c r="J36" i="6"/>
  <c r="B36" i="6"/>
  <c r="AG36" i="6" s="1"/>
  <c r="A36" i="6" s="1"/>
  <c r="T35" i="6"/>
  <c r="Q35" i="6"/>
  <c r="P35" i="6"/>
  <c r="J35" i="6"/>
  <c r="B35" i="6"/>
  <c r="AG35" i="6" s="1"/>
  <c r="A35" i="6" s="1"/>
  <c r="Y34" i="6"/>
  <c r="T34" i="6"/>
  <c r="Q34" i="6"/>
  <c r="P34" i="6"/>
  <c r="J34" i="6"/>
  <c r="B34" i="6"/>
  <c r="AG34" i="6" s="1"/>
  <c r="A34" i="6" s="1"/>
  <c r="T33" i="6"/>
  <c r="Q33" i="6"/>
  <c r="P33" i="6"/>
  <c r="J33" i="6"/>
  <c r="B33" i="6"/>
  <c r="AG33" i="6" s="1"/>
  <c r="A33" i="6" s="1"/>
  <c r="Y32" i="6"/>
  <c r="Q32" i="6"/>
  <c r="P32" i="6"/>
  <c r="K32" i="6"/>
  <c r="J32" i="6"/>
  <c r="B32" i="6"/>
  <c r="AG32" i="6" s="1"/>
  <c r="A32" i="6" s="1"/>
  <c r="T31" i="6"/>
  <c r="Q31" i="6"/>
  <c r="P31" i="6"/>
  <c r="J31" i="6"/>
  <c r="B31" i="6"/>
  <c r="AG31" i="6" s="1"/>
  <c r="A31" i="6" s="1"/>
  <c r="T30" i="6"/>
  <c r="Q30" i="6"/>
  <c r="P30" i="6"/>
  <c r="J30" i="6"/>
  <c r="B30" i="6"/>
  <c r="AG30" i="6" s="1"/>
  <c r="A30" i="6" s="1"/>
  <c r="AG29" i="6"/>
  <c r="A29" i="6" s="1"/>
  <c r="Y29" i="6"/>
  <c r="T29" i="6"/>
  <c r="Q29" i="6"/>
  <c r="P29" i="6"/>
  <c r="J29" i="6"/>
  <c r="B29" i="6"/>
  <c r="AG28" i="6"/>
  <c r="A28" i="6" s="1"/>
  <c r="T28" i="6"/>
  <c r="Q28" i="6"/>
  <c r="P28" i="6"/>
  <c r="J28" i="6"/>
  <c r="B28" i="6"/>
  <c r="AG27" i="6"/>
  <c r="A27" i="6" s="1"/>
  <c r="Y27" i="6"/>
  <c r="Q27" i="6"/>
  <c r="P27" i="6"/>
  <c r="J27" i="6"/>
  <c r="B27" i="6"/>
  <c r="AG26" i="6"/>
  <c r="A26" i="6" s="1"/>
  <c r="T26" i="6"/>
  <c r="Q26" i="6"/>
  <c r="P26" i="6"/>
  <c r="J26" i="6"/>
  <c r="B26" i="6"/>
  <c r="AG25" i="6"/>
  <c r="A25" i="6" s="1"/>
  <c r="T25" i="6"/>
  <c r="Q25" i="6"/>
  <c r="P25" i="6"/>
  <c r="J25" i="6"/>
  <c r="B25" i="6"/>
  <c r="Y24" i="6"/>
  <c r="T24" i="6"/>
  <c r="Q24" i="6"/>
  <c r="P24" i="6"/>
  <c r="J24" i="6"/>
  <c r="B24" i="6"/>
  <c r="AG24" i="6" s="1"/>
  <c r="A24" i="6" s="1"/>
  <c r="T23" i="6"/>
  <c r="Q23" i="6"/>
  <c r="P23" i="6"/>
  <c r="J23" i="6"/>
  <c r="B23" i="6"/>
  <c r="AG23" i="6" s="1"/>
  <c r="A23" i="6" s="1"/>
  <c r="AG22" i="6"/>
  <c r="Y22" i="6"/>
  <c r="Q22" i="6"/>
  <c r="P22" i="6"/>
  <c r="J22" i="6"/>
  <c r="B22" i="6"/>
  <c r="A22" i="6"/>
  <c r="T21" i="6"/>
  <c r="Q21" i="6"/>
  <c r="P21" i="6"/>
  <c r="J21" i="6"/>
  <c r="B21" i="6"/>
  <c r="AG21" i="6" s="1"/>
  <c r="A21" i="6" s="1"/>
  <c r="T20" i="6"/>
  <c r="Q20" i="6"/>
  <c r="P20" i="6"/>
  <c r="J20" i="6"/>
  <c r="B20" i="6"/>
  <c r="AG20" i="6" s="1"/>
  <c r="A20" i="6" s="1"/>
  <c r="Y19" i="6"/>
  <c r="T19" i="6"/>
  <c r="Q19" i="6"/>
  <c r="P19" i="6"/>
  <c r="J19" i="6"/>
  <c r="B19" i="6"/>
  <c r="AG19" i="6" s="1"/>
  <c r="A19" i="6" s="1"/>
  <c r="T18" i="6"/>
  <c r="Q18" i="6"/>
  <c r="P18" i="6"/>
  <c r="K18" i="6"/>
  <c r="J18" i="6"/>
  <c r="B18" i="6"/>
  <c r="AG18" i="6" s="1"/>
  <c r="A18" i="6" s="1"/>
  <c r="Y17" i="6"/>
  <c r="Q17" i="6"/>
  <c r="P17" i="6"/>
  <c r="K17" i="6"/>
  <c r="J17" i="6"/>
  <c r="B17" i="6"/>
  <c r="AG17" i="6" s="1"/>
  <c r="A17" i="6" s="1"/>
  <c r="T16" i="6"/>
  <c r="Q16" i="6"/>
  <c r="P16" i="6"/>
  <c r="J16" i="6"/>
  <c r="B16" i="6"/>
  <c r="AG16" i="6" s="1"/>
  <c r="A16" i="6" s="1"/>
  <c r="T15" i="6"/>
  <c r="Q15" i="6"/>
  <c r="P15" i="6"/>
  <c r="J15" i="6"/>
  <c r="B15" i="6"/>
  <c r="AG15" i="6" s="1"/>
  <c r="A15" i="6" s="1"/>
  <c r="AG14" i="6"/>
  <c r="A14" i="6" s="1"/>
  <c r="Y14" i="6"/>
  <c r="T14" i="6"/>
  <c r="Q14" i="6"/>
  <c r="P14" i="6"/>
  <c r="J14" i="6"/>
  <c r="B14" i="6"/>
  <c r="AG13" i="6"/>
  <c r="A13" i="6" s="1"/>
  <c r="T13" i="6"/>
  <c r="Q13" i="6"/>
  <c r="P13" i="6"/>
  <c r="J13" i="6"/>
  <c r="B13" i="6"/>
  <c r="AG12" i="6"/>
  <c r="A12" i="6" s="1"/>
  <c r="Y12" i="6"/>
  <c r="Q12" i="6"/>
  <c r="P12" i="6"/>
  <c r="J12" i="6"/>
  <c r="B12" i="6"/>
  <c r="AG11" i="6"/>
  <c r="A11" i="6" s="1"/>
  <c r="T11" i="6"/>
  <c r="Q11" i="6"/>
  <c r="P11" i="6"/>
  <c r="J11" i="6"/>
  <c r="B11" i="6"/>
  <c r="T10" i="6"/>
  <c r="Q10" i="6"/>
  <c r="P10" i="6"/>
  <c r="J10" i="6"/>
  <c r="B10" i="6"/>
  <c r="AG10" i="6" s="1"/>
  <c r="A10" i="6" s="1"/>
  <c r="Y9" i="6"/>
  <c r="T9" i="6"/>
  <c r="Q9" i="6"/>
  <c r="P9" i="6"/>
  <c r="J9" i="6"/>
  <c r="B9" i="6"/>
  <c r="AG9" i="6" s="1"/>
  <c r="A9" i="6" s="1"/>
  <c r="T8" i="6"/>
  <c r="Q8" i="6"/>
  <c r="P8" i="6"/>
  <c r="J8" i="6"/>
  <c r="B8" i="6"/>
  <c r="AG8" i="6" s="1"/>
  <c r="A8" i="6" s="1"/>
  <c r="Y7" i="6"/>
  <c r="T7" i="6"/>
  <c r="Q7" i="6"/>
  <c r="P7" i="6"/>
  <c r="J7" i="6"/>
  <c r="B7" i="6"/>
  <c r="AG7" i="6" s="1"/>
  <c r="A7" i="6" s="1"/>
  <c r="T6" i="6"/>
  <c r="Q6" i="6"/>
  <c r="P6" i="6"/>
  <c r="J6" i="6"/>
  <c r="B6" i="6"/>
  <c r="AG6" i="6" s="1"/>
  <c r="A6" i="6" s="1"/>
  <c r="AG5" i="6"/>
  <c r="A5" i="6" s="1"/>
  <c r="T5" i="6"/>
  <c r="Q5" i="6"/>
  <c r="P5" i="6"/>
  <c r="J5" i="6"/>
  <c r="B5" i="6"/>
  <c r="Y4" i="6"/>
  <c r="T4" i="6"/>
  <c r="Q4" i="6"/>
  <c r="P4" i="6"/>
  <c r="J4" i="6"/>
  <c r="B4" i="6"/>
  <c r="AG3" i="6"/>
  <c r="A3" i="6" s="1"/>
  <c r="T3" i="6"/>
  <c r="Q3" i="6"/>
  <c r="P3" i="6"/>
  <c r="J3" i="6"/>
  <c r="B3" i="6"/>
  <c r="AG2" i="6"/>
  <c r="Y2" i="6"/>
  <c r="Q2" i="6"/>
  <c r="P2" i="6"/>
  <c r="J2" i="6"/>
  <c r="B2" i="6"/>
  <c r="A2" i="6"/>
  <c r="A1" i="6"/>
  <c r="A76" i="5"/>
  <c r="I76" i="5" s="1"/>
  <c r="A75" i="5"/>
  <c r="I75" i="5" s="1"/>
  <c r="A74" i="5"/>
  <c r="I74" i="5" s="1"/>
  <c r="A73" i="5"/>
  <c r="I73" i="5" s="1"/>
  <c r="A72" i="5"/>
  <c r="I72" i="5" s="1"/>
  <c r="A71" i="5"/>
  <c r="I71" i="5" s="1"/>
  <c r="A70" i="5"/>
  <c r="I70" i="5" s="1"/>
  <c r="A69" i="5"/>
  <c r="I69" i="5" s="1"/>
  <c r="A68" i="5"/>
  <c r="I68" i="5" s="1"/>
  <c r="A67" i="5"/>
  <c r="I67" i="5" s="1"/>
  <c r="C66" i="5"/>
  <c r="A66" i="5"/>
  <c r="I66" i="5" s="1"/>
  <c r="C65" i="5"/>
  <c r="A65" i="5"/>
  <c r="I65" i="5" s="1"/>
  <c r="C64" i="5"/>
  <c r="A64" i="5"/>
  <c r="I64" i="5" s="1"/>
  <c r="C63" i="5"/>
  <c r="A63" i="5"/>
  <c r="I63" i="5" s="1"/>
  <c r="C62" i="5"/>
  <c r="A62" i="5"/>
  <c r="I62" i="5" s="1"/>
  <c r="A61" i="5"/>
  <c r="I61" i="5" s="1"/>
  <c r="A60" i="5"/>
  <c r="I60" i="5" s="1"/>
  <c r="A59" i="5"/>
  <c r="I59" i="5" s="1"/>
  <c r="A58" i="5"/>
  <c r="I58" i="5" s="1"/>
  <c r="A57" i="5"/>
  <c r="I57" i="5" s="1"/>
  <c r="C56" i="5"/>
  <c r="A56" i="5"/>
  <c r="I56" i="5" s="1"/>
  <c r="C55" i="5"/>
  <c r="A55" i="5"/>
  <c r="I55" i="5" s="1"/>
  <c r="C54" i="5"/>
  <c r="A54" i="5"/>
  <c r="I54" i="5" s="1"/>
  <c r="C53" i="5"/>
  <c r="A53" i="5"/>
  <c r="I53" i="5" s="1"/>
  <c r="C52" i="5"/>
  <c r="A52" i="5"/>
  <c r="I52" i="5" s="1"/>
  <c r="A51" i="5"/>
  <c r="I51" i="5" s="1"/>
  <c r="A50" i="5"/>
  <c r="I50" i="5" s="1"/>
  <c r="A49" i="5"/>
  <c r="I49" i="5" s="1"/>
  <c r="A48" i="5"/>
  <c r="I48" i="5" s="1"/>
  <c r="A47" i="5"/>
  <c r="I47" i="5" s="1"/>
  <c r="A46" i="5"/>
  <c r="I46" i="5" s="1"/>
  <c r="A45" i="5"/>
  <c r="I45" i="5" s="1"/>
  <c r="A44" i="5"/>
  <c r="I44" i="5" s="1"/>
  <c r="A43" i="5"/>
  <c r="I43" i="5" s="1"/>
  <c r="A42" i="5"/>
  <c r="I42" i="5" s="1"/>
  <c r="A41" i="5"/>
  <c r="I41" i="5" s="1"/>
  <c r="A40" i="5"/>
  <c r="I40" i="5" s="1"/>
  <c r="A39" i="5"/>
  <c r="I39" i="5" s="1"/>
  <c r="A38" i="5"/>
  <c r="I38" i="5" s="1"/>
  <c r="A37" i="5"/>
  <c r="I37" i="5" s="1"/>
  <c r="A36" i="5"/>
  <c r="I36" i="5" s="1"/>
  <c r="A35" i="5"/>
  <c r="I35" i="5" s="1"/>
  <c r="A34" i="5"/>
  <c r="I34" i="5" s="1"/>
  <c r="A33" i="5"/>
  <c r="I33" i="5" s="1"/>
  <c r="A32" i="5"/>
  <c r="I32" i="5" s="1"/>
  <c r="A31" i="5"/>
  <c r="I31" i="5" s="1"/>
  <c r="A30" i="5"/>
  <c r="I30" i="5" s="1"/>
  <c r="A29" i="5"/>
  <c r="I29" i="5" s="1"/>
  <c r="A28" i="5"/>
  <c r="I28" i="5" s="1"/>
  <c r="A27" i="5"/>
  <c r="I27" i="5" s="1"/>
  <c r="A26" i="5"/>
  <c r="I26" i="5" s="1"/>
  <c r="A25" i="5"/>
  <c r="I25" i="5" s="1"/>
  <c r="A24" i="5"/>
  <c r="I24" i="5" s="1"/>
  <c r="A23" i="5"/>
  <c r="I23" i="5" s="1"/>
  <c r="A22" i="5"/>
  <c r="I22" i="5" s="1"/>
  <c r="A21" i="5"/>
  <c r="I21" i="5" s="1"/>
  <c r="A20" i="5"/>
  <c r="I20" i="5" s="1"/>
  <c r="A19" i="5"/>
  <c r="I19" i="5" s="1"/>
  <c r="A18" i="5"/>
  <c r="I18" i="5" s="1"/>
  <c r="A17" i="5"/>
  <c r="I17" i="5" s="1"/>
  <c r="M14" i="5"/>
  <c r="L14" i="5"/>
  <c r="I14" i="5"/>
  <c r="J14" i="5" s="1"/>
  <c r="K14" i="5" s="1"/>
  <c r="G13" i="5"/>
  <c r="F13" i="5"/>
  <c r="E13" i="5"/>
  <c r="D13" i="5"/>
  <c r="C13" i="5"/>
  <c r="I13" i="5" s="1"/>
  <c r="J13" i="5" s="1"/>
  <c r="K13" i="5" s="1"/>
  <c r="B13" i="5"/>
  <c r="M12" i="5"/>
  <c r="I12" i="5"/>
  <c r="J12" i="5" s="1"/>
  <c r="K12" i="5" s="1"/>
  <c r="G12" i="5"/>
  <c r="F12" i="5"/>
  <c r="E12" i="5"/>
  <c r="D12" i="5"/>
  <c r="C12" i="5"/>
  <c r="L12" i="5" s="1"/>
  <c r="B12" i="5"/>
  <c r="G11" i="5"/>
  <c r="F11" i="5"/>
  <c r="E11" i="5"/>
  <c r="D11" i="5"/>
  <c r="C11" i="5"/>
  <c r="M11" i="5" s="1"/>
  <c r="B11" i="5"/>
  <c r="G10" i="5"/>
  <c r="F10" i="5"/>
  <c r="E10" i="5"/>
  <c r="D10" i="5"/>
  <c r="C10" i="5"/>
  <c r="B10" i="5"/>
  <c r="G9" i="5"/>
  <c r="F9" i="5"/>
  <c r="E9" i="5"/>
  <c r="D56" i="5" s="1"/>
  <c r="E56" i="5" s="1"/>
  <c r="D9" i="5"/>
  <c r="C9" i="5"/>
  <c r="M9" i="5" s="1"/>
  <c r="B9" i="5"/>
  <c r="M8" i="5"/>
  <c r="J8" i="5"/>
  <c r="K8" i="5" s="1"/>
  <c r="I8" i="5"/>
  <c r="G8" i="5"/>
  <c r="F8" i="5"/>
  <c r="E8" i="5"/>
  <c r="D51" i="5" s="1"/>
  <c r="D8" i="5"/>
  <c r="C8" i="5"/>
  <c r="L8" i="5" s="1"/>
  <c r="B8" i="5"/>
  <c r="G7" i="5"/>
  <c r="F7" i="5"/>
  <c r="E7" i="5"/>
  <c r="D7" i="5"/>
  <c r="C7" i="5"/>
  <c r="I7" i="5" s="1"/>
  <c r="J7" i="5" s="1"/>
  <c r="K7" i="5" s="1"/>
  <c r="B7" i="5"/>
  <c r="M6" i="5"/>
  <c r="I6" i="5"/>
  <c r="J6" i="5" s="1"/>
  <c r="K6" i="5" s="1"/>
  <c r="G6" i="5"/>
  <c r="F6" i="5"/>
  <c r="E6" i="5"/>
  <c r="D6" i="5"/>
  <c r="C6" i="5"/>
  <c r="L6" i="5" s="1"/>
  <c r="B6" i="5"/>
  <c r="G5" i="5"/>
  <c r="K21" i="6" s="1"/>
  <c r="F5" i="5"/>
  <c r="E5" i="5"/>
  <c r="D5" i="5"/>
  <c r="C5" i="5"/>
  <c r="I5" i="5" s="1"/>
  <c r="J5" i="5" s="1"/>
  <c r="K5" i="5" s="1"/>
  <c r="B5" i="5"/>
  <c r="M4" i="5"/>
  <c r="I4" i="5"/>
  <c r="J4" i="5" s="1"/>
  <c r="K4" i="5" s="1"/>
  <c r="G4" i="5"/>
  <c r="K14" i="6" s="1"/>
  <c r="F4" i="5"/>
  <c r="E4" i="5"/>
  <c r="D4" i="5"/>
  <c r="C4" i="5"/>
  <c r="L4" i="5" s="1"/>
  <c r="B4" i="5"/>
  <c r="G3" i="5"/>
  <c r="F3" i="5"/>
  <c r="E3" i="5"/>
  <c r="D3" i="5"/>
  <c r="C3" i="5"/>
  <c r="M3" i="5" s="1"/>
  <c r="B3" i="5"/>
  <c r="G2" i="5"/>
  <c r="K5" i="6" s="1"/>
  <c r="F2" i="5"/>
  <c r="E2" i="5"/>
  <c r="D2" i="5"/>
  <c r="C2" i="5"/>
  <c r="L2" i="5" s="1"/>
  <c r="B2" i="5"/>
  <c r="A17" i="4"/>
  <c r="A16" i="4"/>
  <c r="A15" i="4"/>
  <c r="A14" i="4"/>
  <c r="A13" i="4"/>
  <c r="A12" i="4"/>
  <c r="A11" i="4"/>
  <c r="A10" i="4"/>
  <c r="A9" i="4"/>
  <c r="A8" i="4"/>
  <c r="A7" i="4"/>
  <c r="A6" i="4"/>
  <c r="A5" i="4"/>
  <c r="N3" i="4"/>
  <c r="N2" i="4"/>
  <c r="C40" i="2"/>
  <c r="C39" i="2"/>
  <c r="C38" i="2"/>
  <c r="C37" i="2"/>
  <c r="C36" i="2"/>
  <c r="C35" i="2"/>
  <c r="C34" i="2"/>
  <c r="C5" i="2"/>
  <c r="C4" i="2"/>
  <c r="F19" i="7" l="1"/>
  <c r="C7" i="8"/>
  <c r="C30" i="7"/>
  <c r="B9" i="8"/>
  <c r="E29" i="7"/>
  <c r="C33" i="7"/>
  <c r="T27" i="6"/>
  <c r="C35" i="7"/>
  <c r="C38" i="7"/>
  <c r="D36" i="6"/>
  <c r="D34" i="6"/>
  <c r="D33" i="6"/>
  <c r="T32" i="6"/>
  <c r="D32" i="6"/>
  <c r="D35" i="6"/>
  <c r="C50" i="5"/>
  <c r="C48" i="5"/>
  <c r="C51" i="5"/>
  <c r="E51" i="5" s="1"/>
  <c r="C49" i="5"/>
  <c r="C47" i="5"/>
  <c r="E56" i="6"/>
  <c r="E55" i="6"/>
  <c r="E53" i="6"/>
  <c r="E54" i="6"/>
  <c r="E52" i="6"/>
  <c r="F54" i="7"/>
  <c r="D71" i="5"/>
  <c r="D70" i="5"/>
  <c r="D69" i="5"/>
  <c r="D68" i="5"/>
  <c r="D67" i="5"/>
  <c r="E61" i="6"/>
  <c r="E60" i="6"/>
  <c r="E59" i="6"/>
  <c r="E58" i="6"/>
  <c r="C15" i="8"/>
  <c r="F59" i="7"/>
  <c r="E57" i="6"/>
  <c r="D76" i="5"/>
  <c r="D75" i="5"/>
  <c r="D74" i="5"/>
  <c r="D73" i="5"/>
  <c r="D72" i="5"/>
  <c r="I10" i="5"/>
  <c r="J10" i="5" s="1"/>
  <c r="K10" i="5" s="1"/>
  <c r="M10" i="5"/>
  <c r="K9" i="6"/>
  <c r="K10" i="6"/>
  <c r="K8" i="6"/>
  <c r="K7" i="6"/>
  <c r="I3" i="5"/>
  <c r="J3" i="5" s="1"/>
  <c r="K3" i="5" s="1"/>
  <c r="K30" i="6"/>
  <c r="K29" i="6"/>
  <c r="K27" i="6"/>
  <c r="K28" i="6"/>
  <c r="K31" i="6"/>
  <c r="I11" i="5"/>
  <c r="J11" i="5" s="1"/>
  <c r="K11" i="5" s="1"/>
  <c r="K24" i="6"/>
  <c r="K23" i="6"/>
  <c r="K26" i="6"/>
  <c r="K22" i="6"/>
  <c r="K25" i="6"/>
  <c r="L3" i="5"/>
  <c r="L7" i="5"/>
  <c r="L10" i="5"/>
  <c r="L11" i="5"/>
  <c r="K11" i="6"/>
  <c r="M7" i="5"/>
  <c r="C17" i="7"/>
  <c r="C16" i="7"/>
  <c r="T12" i="6"/>
  <c r="I2" i="5"/>
  <c r="J2" i="5" s="1"/>
  <c r="K2" i="5" s="1"/>
  <c r="M2" i="5"/>
  <c r="C9" i="8"/>
  <c r="D46" i="6"/>
  <c r="D44" i="6"/>
  <c r="D42" i="6"/>
  <c r="T42" i="6"/>
  <c r="D45" i="6"/>
  <c r="D43" i="6"/>
  <c r="L13" i="5"/>
  <c r="C57" i="5"/>
  <c r="C60" i="5"/>
  <c r="K16" i="6"/>
  <c r="T22" i="6"/>
  <c r="C7" i="7"/>
  <c r="C6" i="7"/>
  <c r="L5" i="5"/>
  <c r="K41" i="6"/>
  <c r="K39" i="6"/>
  <c r="K38" i="6"/>
  <c r="C58" i="5"/>
  <c r="C59" i="5"/>
  <c r="C61" i="5"/>
  <c r="E19" i="7"/>
  <c r="C19" i="7"/>
  <c r="D19" i="7" s="1"/>
  <c r="M5" i="5"/>
  <c r="I9" i="5"/>
  <c r="J9" i="5" s="1"/>
  <c r="K9" i="5" s="1"/>
  <c r="K55" i="6"/>
  <c r="K53" i="6"/>
  <c r="K56" i="6"/>
  <c r="K54" i="6"/>
  <c r="K52" i="6"/>
  <c r="C61" i="7"/>
  <c r="E59" i="7"/>
  <c r="C59" i="7"/>
  <c r="D59" i="7" s="1"/>
  <c r="T57" i="6"/>
  <c r="M13" i="5"/>
  <c r="D47" i="5"/>
  <c r="D48" i="5"/>
  <c r="D49" i="5"/>
  <c r="D50" i="5"/>
  <c r="D52" i="5"/>
  <c r="E52" i="5" s="1"/>
  <c r="D53" i="5"/>
  <c r="E53" i="5" s="1"/>
  <c r="D54" i="5"/>
  <c r="E54" i="5" s="1"/>
  <c r="D55" i="5"/>
  <c r="E55" i="5" s="1"/>
  <c r="D60" i="5"/>
  <c r="B5" i="17"/>
  <c r="B4" i="17"/>
  <c r="B3" i="17"/>
  <c r="B2" i="17"/>
  <c r="K2" i="6"/>
  <c r="T2" i="6"/>
  <c r="K4" i="6"/>
  <c r="K6" i="6"/>
  <c r="K13" i="6"/>
  <c r="E9" i="7"/>
  <c r="B5" i="8"/>
  <c r="C9" i="7"/>
  <c r="D9" i="7" s="1"/>
  <c r="C11" i="7"/>
  <c r="F34" i="7"/>
  <c r="E36" i="6"/>
  <c r="E35" i="6"/>
  <c r="E34" i="6"/>
  <c r="E33" i="6"/>
  <c r="E32" i="6"/>
  <c r="K45" i="6"/>
  <c r="K43" i="6"/>
  <c r="K46" i="6"/>
  <c r="K44" i="6"/>
  <c r="C51" i="7"/>
  <c r="B13" i="8"/>
  <c r="C49" i="7"/>
  <c r="D49" i="7" s="1"/>
  <c r="C53" i="7"/>
  <c r="T47" i="6"/>
  <c r="E49" i="7"/>
  <c r="D51" i="6"/>
  <c r="D49" i="6"/>
  <c r="D48" i="6"/>
  <c r="D50" i="6"/>
  <c r="D47" i="6"/>
  <c r="K15" i="6"/>
  <c r="C5" i="8"/>
  <c r="F9" i="7"/>
  <c r="C27" i="7"/>
  <c r="E24" i="7"/>
  <c r="C25" i="7"/>
  <c r="C24" i="7"/>
  <c r="D24" i="7" s="1"/>
  <c r="L9" i="5"/>
  <c r="F49" i="7"/>
  <c r="C13" i="8"/>
  <c r="K61" i="6"/>
  <c r="K59" i="6"/>
  <c r="K60" i="6"/>
  <c r="K58" i="6"/>
  <c r="K57" i="6"/>
  <c r="AG4" i="6"/>
  <c r="A4" i="6" s="1"/>
  <c r="K12" i="6"/>
  <c r="F24" i="7"/>
  <c r="K35" i="6"/>
  <c r="K34" i="6"/>
  <c r="K36" i="6"/>
  <c r="K33" i="6"/>
  <c r="C41" i="7"/>
  <c r="C43" i="7"/>
  <c r="D40" i="6"/>
  <c r="D41" i="6"/>
  <c r="D39" i="6"/>
  <c r="T37" i="6"/>
  <c r="D37" i="6"/>
  <c r="D38" i="6"/>
  <c r="K3" i="6"/>
  <c r="T17" i="6"/>
  <c r="E40" i="6"/>
  <c r="C11" i="8"/>
  <c r="E38" i="6"/>
  <c r="E37" i="6"/>
  <c r="E41" i="6"/>
  <c r="E39" i="6"/>
  <c r="K50" i="6"/>
  <c r="K49" i="6"/>
  <c r="K48" i="6"/>
  <c r="K47" i="6"/>
  <c r="K51" i="6"/>
  <c r="C57" i="7"/>
  <c r="C55" i="7"/>
  <c r="T52" i="6"/>
  <c r="E14" i="8"/>
  <c r="K14" i="8" s="1"/>
  <c r="K19" i="6"/>
  <c r="K20" i="6"/>
  <c r="K42" i="6"/>
  <c r="C12" i="8"/>
  <c r="B12" i="8"/>
  <c r="E12" i="8"/>
  <c r="K12" i="8" s="1"/>
  <c r="D12" i="8"/>
  <c r="J12" i="8" s="1"/>
  <c r="L12" i="8" s="1"/>
  <c r="G44" i="7" s="1"/>
  <c r="C47" i="7"/>
  <c r="C60" i="7"/>
  <c r="C42" i="7"/>
  <c r="C21" i="7"/>
  <c r="B8" i="11"/>
  <c r="D27" i="5" s="1"/>
  <c r="E4" i="8"/>
  <c r="K4" i="8" s="1"/>
  <c r="D4" i="8"/>
  <c r="J4" i="8" s="1"/>
  <c r="C31" i="7"/>
  <c r="E16" i="8"/>
  <c r="K16" i="8" s="1"/>
  <c r="C22" i="7"/>
  <c r="C32" i="7"/>
  <c r="C40" i="7"/>
  <c r="C45" i="7"/>
  <c r="C48" i="7"/>
  <c r="H60" i="7"/>
  <c r="H35" i="7"/>
  <c r="C37" i="7"/>
  <c r="H40" i="7"/>
  <c r="H50" i="7"/>
  <c r="Q5" i="12"/>
  <c r="P60" i="6"/>
  <c r="P65" i="6"/>
  <c r="C5" i="7"/>
  <c r="F29" i="7"/>
  <c r="C29" i="7"/>
  <c r="D29" i="7" s="1"/>
  <c r="C34" i="7"/>
  <c r="D34" i="7" s="1"/>
  <c r="E34" i="7"/>
  <c r="C8" i="7"/>
  <c r="H16" i="7"/>
  <c r="H21" i="7"/>
  <c r="H36" i="7"/>
  <c r="E44" i="7"/>
  <c r="C44" i="7"/>
  <c r="D44" i="7" s="1"/>
  <c r="F44" i="7"/>
  <c r="C6" i="8"/>
  <c r="B6" i="8"/>
  <c r="D6" i="8"/>
  <c r="J6" i="8" s="1"/>
  <c r="L6" i="8" s="1"/>
  <c r="E6" i="8"/>
  <c r="K6" i="8" s="1"/>
  <c r="O4" i="12"/>
  <c r="Y64" i="6"/>
  <c r="Y59" i="6"/>
  <c r="C13" i="7"/>
  <c r="C15" i="7"/>
  <c r="C20" i="7"/>
  <c r="C23" i="7"/>
  <c r="C28" i="7"/>
  <c r="F39" i="7"/>
  <c r="E39" i="7"/>
  <c r="C39" i="7"/>
  <c r="D39" i="7" s="1"/>
  <c r="C46" i="7"/>
  <c r="C56" i="7"/>
  <c r="H61" i="7"/>
  <c r="C63" i="7"/>
  <c r="C52" i="7"/>
  <c r="E64" i="7"/>
  <c r="E7" i="8"/>
  <c r="K7" i="8" s="1"/>
  <c r="C10" i="8"/>
  <c r="B10" i="8"/>
  <c r="D10" i="8"/>
  <c r="J10" i="8" s="1"/>
  <c r="L10" i="8" s="1"/>
  <c r="G34" i="7" s="1"/>
  <c r="C16" i="8"/>
  <c r="B16" i="8"/>
  <c r="C10" i="7"/>
  <c r="H25" i="7"/>
  <c r="C64" i="7"/>
  <c r="D64" i="7" s="1"/>
  <c r="E10" i="8"/>
  <c r="K10" i="8" s="1"/>
  <c r="D16" i="8"/>
  <c r="J16" i="8" s="1"/>
  <c r="A71" i="7" a="1"/>
  <c r="E4" i="7"/>
  <c r="C4" i="7"/>
  <c r="D4" i="7" s="1"/>
  <c r="G14" i="7"/>
  <c r="E14" i="7"/>
  <c r="C18" i="7"/>
  <c r="H33" i="7"/>
  <c r="H55" i="7"/>
  <c r="F64" i="7"/>
  <c r="C14" i="7"/>
  <c r="D14" i="7" s="1"/>
  <c r="C36" i="7"/>
  <c r="H47" i="7"/>
  <c r="C50" i="7"/>
  <c r="C58" i="7"/>
  <c r="C62" i="7"/>
  <c r="H63" i="7"/>
  <c r="C8" i="8"/>
  <c r="B8" i="8"/>
  <c r="E15" i="8"/>
  <c r="K15" i="8" s="1"/>
  <c r="F4" i="7"/>
  <c r="H23" i="7"/>
  <c r="C26" i="7"/>
  <c r="H51" i="7"/>
  <c r="C54" i="7"/>
  <c r="D54" i="7" s="1"/>
  <c r="E54" i="7"/>
  <c r="H67" i="7"/>
  <c r="D8" i="8"/>
  <c r="J8" i="8" s="1"/>
  <c r="L8" i="8" s="1"/>
  <c r="G24" i="7" s="1"/>
  <c r="C12" i="7"/>
  <c r="F14" i="7"/>
  <c r="H31" i="7"/>
  <c r="H41" i="7"/>
  <c r="D18" i="8"/>
  <c r="C4" i="8"/>
  <c r="B4" i="8"/>
  <c r="E8" i="8"/>
  <c r="K8" i="8" s="1"/>
  <c r="E11" i="8"/>
  <c r="K11" i="8" s="1"/>
  <c r="C14" i="8"/>
  <c r="B14" i="8"/>
  <c r="D14" i="8"/>
  <c r="J14" i="8" s="1"/>
  <c r="L14" i="8" s="1"/>
  <c r="G54" i="7" s="1"/>
  <c r="B7" i="11"/>
  <c r="C43" i="5" s="1"/>
  <c r="E13" i="8"/>
  <c r="K13" i="8" s="1"/>
  <c r="E9" i="8"/>
  <c r="K9" i="8" s="1"/>
  <c r="E5" i="8"/>
  <c r="K5" i="8" s="1"/>
  <c r="D13" i="8"/>
  <c r="J13" i="8" s="1"/>
  <c r="L13" i="8" s="1"/>
  <c r="G49" i="7" s="1"/>
  <c r="D9" i="8"/>
  <c r="J9" i="8" s="1"/>
  <c r="D5" i="8"/>
  <c r="J5" i="8" s="1"/>
  <c r="B7" i="8"/>
  <c r="B11" i="8"/>
  <c r="B15" i="8"/>
  <c r="I5" i="12"/>
  <c r="D7" i="8"/>
  <c r="J7" i="8" s="1"/>
  <c r="L7" i="8" s="1"/>
  <c r="G19" i="7" s="1"/>
  <c r="D11" i="8"/>
  <c r="J11" i="8" s="1"/>
  <c r="L11" i="8" s="1"/>
  <c r="G39" i="7" s="1"/>
  <c r="D15" i="8"/>
  <c r="J15" i="8" s="1"/>
  <c r="I3" i="12"/>
  <c r="I6" i="12"/>
  <c r="F41" i="6" l="1"/>
  <c r="AB41" i="6"/>
  <c r="AB50" i="6"/>
  <c r="D61" i="5"/>
  <c r="E61" i="5" s="1"/>
  <c r="D43" i="5"/>
  <c r="E43" i="5" s="1"/>
  <c r="D25" i="5"/>
  <c r="D17" i="5"/>
  <c r="C18" i="5"/>
  <c r="AB42" i="6"/>
  <c r="E50" i="5"/>
  <c r="D30" i="5"/>
  <c r="H39" i="7"/>
  <c r="D42" i="5"/>
  <c r="D24" i="5"/>
  <c r="C20" i="5"/>
  <c r="E20" i="5" s="1"/>
  <c r="F35" i="6"/>
  <c r="AB35" i="6"/>
  <c r="C42" i="5"/>
  <c r="E42" i="5" s="1"/>
  <c r="D31" i="5"/>
  <c r="H49" i="7"/>
  <c r="D59" i="5"/>
  <c r="D41" i="5"/>
  <c r="D23" i="5"/>
  <c r="C19" i="5"/>
  <c r="F32" i="6"/>
  <c r="AB32" i="6"/>
  <c r="C44" i="5"/>
  <c r="E44" i="5" s="1"/>
  <c r="H4" i="7"/>
  <c r="F37" i="6"/>
  <c r="AB37" i="6"/>
  <c r="F40" i="6"/>
  <c r="AB40" i="6"/>
  <c r="D58" i="5"/>
  <c r="E58" i="5" s="1"/>
  <c r="D40" i="5"/>
  <c r="D22" i="5"/>
  <c r="C17" i="5"/>
  <c r="E17" i="5" s="1"/>
  <c r="C28" i="5"/>
  <c r="D66" i="5"/>
  <c r="E66" i="5" s="1"/>
  <c r="C46" i="5"/>
  <c r="D32" i="5"/>
  <c r="H14" i="7"/>
  <c r="L4" i="8"/>
  <c r="G4" i="7" s="1"/>
  <c r="D65" i="5"/>
  <c r="E65" i="5" s="1"/>
  <c r="D57" i="5"/>
  <c r="D39" i="5"/>
  <c r="D21" i="5"/>
  <c r="F46" i="6"/>
  <c r="AB46" i="6"/>
  <c r="C27" i="5"/>
  <c r="E27" i="5" s="1"/>
  <c r="C21" i="5"/>
  <c r="E47" i="5"/>
  <c r="F33" i="6"/>
  <c r="AB33" i="6"/>
  <c r="D33" i="5"/>
  <c r="A79" i="7"/>
  <c r="B79" i="7" s="1"/>
  <c r="A78" i="7"/>
  <c r="B78" i="7" s="1"/>
  <c r="A71" i="7"/>
  <c r="A83" i="7"/>
  <c r="A75" i="7"/>
  <c r="A82" i="7"/>
  <c r="A74" i="7"/>
  <c r="B74" i="7" s="1"/>
  <c r="A80" i="7"/>
  <c r="B80" i="7" s="1"/>
  <c r="A72" i="7"/>
  <c r="A76" i="7"/>
  <c r="A73" i="7"/>
  <c r="A81" i="7"/>
  <c r="A77" i="7"/>
  <c r="H44" i="7"/>
  <c r="H34" i="7"/>
  <c r="D64" i="5"/>
  <c r="E64" i="5" s="1"/>
  <c r="D46" i="5"/>
  <c r="D38" i="5"/>
  <c r="D20" i="5"/>
  <c r="AB45" i="6"/>
  <c r="C29" i="5"/>
  <c r="E49" i="5"/>
  <c r="F34" i="6"/>
  <c r="AB34" i="6"/>
  <c r="D34" i="5"/>
  <c r="O5" i="12"/>
  <c r="Y60" i="6"/>
  <c r="Y65" i="6"/>
  <c r="Y55" i="6"/>
  <c r="Y50" i="6"/>
  <c r="Y40" i="6"/>
  <c r="Y45" i="6"/>
  <c r="Y35" i="6"/>
  <c r="Y30" i="6"/>
  <c r="Y20" i="6"/>
  <c r="Y25" i="6"/>
  <c r="Y15" i="6"/>
  <c r="Y10" i="6"/>
  <c r="Y5" i="6"/>
  <c r="O3" i="12"/>
  <c r="Y58" i="6"/>
  <c r="Y63" i="6"/>
  <c r="Y38" i="6"/>
  <c r="Y43" i="6"/>
  <c r="Y48" i="6"/>
  <c r="Y53" i="6"/>
  <c r="Y18" i="6"/>
  <c r="Y28" i="6"/>
  <c r="Y13" i="6"/>
  <c r="Y33" i="6"/>
  <c r="Y3" i="6"/>
  <c r="Y23" i="6"/>
  <c r="Y8" i="6"/>
  <c r="L5" i="8"/>
  <c r="G9" i="7" s="1"/>
  <c r="H9" i="7" s="1"/>
  <c r="H54" i="7"/>
  <c r="L16" i="8"/>
  <c r="G64" i="7" s="1"/>
  <c r="H64" i="7" s="1"/>
  <c r="M66" i="6"/>
  <c r="E66" i="6" s="1"/>
  <c r="M65" i="6"/>
  <c r="E65" i="6" s="1"/>
  <c r="M64" i="6"/>
  <c r="E64" i="6" s="1"/>
  <c r="M63" i="6"/>
  <c r="E63" i="6" s="1"/>
  <c r="M62" i="6"/>
  <c r="E62" i="6" s="1"/>
  <c r="M61" i="6"/>
  <c r="M60" i="6"/>
  <c r="M59" i="6"/>
  <c r="M58" i="6"/>
  <c r="M57" i="6"/>
  <c r="M56" i="6"/>
  <c r="M55" i="6"/>
  <c r="M54" i="6"/>
  <c r="M52" i="6"/>
  <c r="M50" i="6"/>
  <c r="E50" i="6" s="1"/>
  <c r="F50" i="6" s="1"/>
  <c r="M46" i="6"/>
  <c r="E46" i="6" s="1"/>
  <c r="M44" i="6"/>
  <c r="E44" i="6" s="1"/>
  <c r="F44" i="6" s="1"/>
  <c r="M42" i="6"/>
  <c r="E42" i="6" s="1"/>
  <c r="F42" i="6" s="1"/>
  <c r="M40" i="6"/>
  <c r="M38" i="6"/>
  <c r="M37" i="6"/>
  <c r="M36" i="6"/>
  <c r="M35" i="6"/>
  <c r="M34" i="6"/>
  <c r="M33" i="6"/>
  <c r="M32" i="6"/>
  <c r="M31" i="6"/>
  <c r="E31" i="6" s="1"/>
  <c r="M30" i="6"/>
  <c r="E30" i="6" s="1"/>
  <c r="M29" i="6"/>
  <c r="E29" i="6" s="1"/>
  <c r="M28" i="6"/>
  <c r="E28" i="6" s="1"/>
  <c r="M27" i="6"/>
  <c r="E27" i="6" s="1"/>
  <c r="M26" i="6"/>
  <c r="E26" i="6" s="1"/>
  <c r="M25" i="6"/>
  <c r="E25" i="6" s="1"/>
  <c r="M24" i="6"/>
  <c r="E24" i="6" s="1"/>
  <c r="M23" i="6"/>
  <c r="E23" i="6" s="1"/>
  <c r="M53" i="6"/>
  <c r="M51" i="6"/>
  <c r="E51" i="6" s="1"/>
  <c r="F51" i="6" s="1"/>
  <c r="M49" i="6"/>
  <c r="E49" i="6" s="1"/>
  <c r="F49" i="6" s="1"/>
  <c r="M48" i="6"/>
  <c r="E48" i="6" s="1"/>
  <c r="F48" i="6" s="1"/>
  <c r="M45" i="6"/>
  <c r="E45" i="6" s="1"/>
  <c r="F45" i="6" s="1"/>
  <c r="M43" i="6"/>
  <c r="E43" i="6" s="1"/>
  <c r="F43" i="6" s="1"/>
  <c r="M41" i="6"/>
  <c r="M39" i="6"/>
  <c r="M47" i="6"/>
  <c r="E47" i="6" s="1"/>
  <c r="F47" i="6" s="1"/>
  <c r="M22" i="6"/>
  <c r="E22" i="6" s="1"/>
  <c r="M20" i="6"/>
  <c r="E20" i="6" s="1"/>
  <c r="M19" i="6"/>
  <c r="E19" i="6" s="1"/>
  <c r="M18" i="6"/>
  <c r="E18" i="6" s="1"/>
  <c r="M17" i="6"/>
  <c r="E17" i="6" s="1"/>
  <c r="M16" i="6"/>
  <c r="E16" i="6" s="1"/>
  <c r="M15" i="6"/>
  <c r="E15" i="6" s="1"/>
  <c r="M14" i="6"/>
  <c r="E14" i="6" s="1"/>
  <c r="M13" i="6"/>
  <c r="E13" i="6" s="1"/>
  <c r="M12" i="6"/>
  <c r="E12" i="6" s="1"/>
  <c r="M11" i="6"/>
  <c r="E11" i="6" s="1"/>
  <c r="M10" i="6"/>
  <c r="E10" i="6" s="1"/>
  <c r="M9" i="6"/>
  <c r="E9" i="6" s="1"/>
  <c r="M8" i="6"/>
  <c r="E8" i="6" s="1"/>
  <c r="M7" i="6"/>
  <c r="E7" i="6" s="1"/>
  <c r="M6" i="6"/>
  <c r="E6" i="6" s="1"/>
  <c r="M5" i="6"/>
  <c r="E5" i="6" s="1"/>
  <c r="M4" i="6"/>
  <c r="E4" i="6" s="1"/>
  <c r="M3" i="6"/>
  <c r="E3" i="6" s="1"/>
  <c r="M2" i="6"/>
  <c r="E2" i="6" s="1"/>
  <c r="M21" i="6"/>
  <c r="E21" i="6" s="1"/>
  <c r="F39" i="6"/>
  <c r="AB39" i="6"/>
  <c r="H24" i="7"/>
  <c r="D63" i="5"/>
  <c r="E63" i="5" s="1"/>
  <c r="D45" i="5"/>
  <c r="D37" i="5"/>
  <c r="D19" i="5"/>
  <c r="H19" i="7"/>
  <c r="E60" i="5"/>
  <c r="C30" i="5"/>
  <c r="E30" i="5" s="1"/>
  <c r="F36" i="6"/>
  <c r="AB36" i="6"/>
  <c r="D35" i="5"/>
  <c r="D28" i="5"/>
  <c r="F38" i="6"/>
  <c r="AB38" i="6"/>
  <c r="L65" i="6"/>
  <c r="L63" i="6"/>
  <c r="L61" i="6"/>
  <c r="L59" i="6"/>
  <c r="B9" i="11"/>
  <c r="L62" i="6"/>
  <c r="L64" i="6"/>
  <c r="L57" i="6"/>
  <c r="L47" i="6"/>
  <c r="L58" i="6"/>
  <c r="L50" i="6"/>
  <c r="L60" i="6"/>
  <c r="L66" i="6"/>
  <c r="L46" i="6"/>
  <c r="L44" i="6"/>
  <c r="L42" i="6"/>
  <c r="L56" i="6"/>
  <c r="L54" i="6"/>
  <c r="L53" i="6"/>
  <c r="L52" i="6"/>
  <c r="L51" i="6"/>
  <c r="L49" i="6"/>
  <c r="L45" i="6"/>
  <c r="L43" i="6"/>
  <c r="L29" i="6"/>
  <c r="L24" i="6"/>
  <c r="L23" i="6"/>
  <c r="L48" i="6"/>
  <c r="L27" i="6"/>
  <c r="L41" i="6"/>
  <c r="L35" i="6"/>
  <c r="L55" i="6"/>
  <c r="L39" i="6"/>
  <c r="L34" i="6"/>
  <c r="L25" i="6"/>
  <c r="L22" i="6"/>
  <c r="L36" i="6"/>
  <c r="L33" i="6"/>
  <c r="L32" i="6"/>
  <c r="L30" i="6"/>
  <c r="L28" i="6"/>
  <c r="L9" i="6"/>
  <c r="L5" i="6"/>
  <c r="L3" i="6"/>
  <c r="L21" i="6"/>
  <c r="L12" i="6"/>
  <c r="L8" i="6"/>
  <c r="L6" i="6"/>
  <c r="L4" i="6"/>
  <c r="L2" i="6"/>
  <c r="L15" i="6"/>
  <c r="L7" i="6"/>
  <c r="L10" i="6"/>
  <c r="L13" i="6"/>
  <c r="L16" i="6"/>
  <c r="C75" i="5"/>
  <c r="E75" i="5" s="1"/>
  <c r="C40" i="5"/>
  <c r="C38" i="5"/>
  <c r="E38" i="5" s="1"/>
  <c r="C37" i="5"/>
  <c r="E37" i="5" s="1"/>
  <c r="C35" i="5"/>
  <c r="E35" i="5" s="1"/>
  <c r="C33" i="5"/>
  <c r="C25" i="5"/>
  <c r="E25" i="5" s="1"/>
  <c r="C24" i="5"/>
  <c r="E24" i="5" s="1"/>
  <c r="C22" i="5"/>
  <c r="E22" i="5" s="1"/>
  <c r="L40" i="6"/>
  <c r="L38" i="6"/>
  <c r="L37" i="6"/>
  <c r="L18" i="6"/>
  <c r="L17" i="6"/>
  <c r="L11" i="6"/>
  <c r="C76" i="5"/>
  <c r="E76" i="5" s="1"/>
  <c r="C74" i="5"/>
  <c r="E74" i="5" s="1"/>
  <c r="C73" i="5"/>
  <c r="E73" i="5" s="1"/>
  <c r="C72" i="5"/>
  <c r="E72" i="5" s="1"/>
  <c r="C71" i="5"/>
  <c r="E71" i="5" s="1"/>
  <c r="C70" i="5"/>
  <c r="E70" i="5" s="1"/>
  <c r="C69" i="5"/>
  <c r="E69" i="5" s="1"/>
  <c r="C68" i="5"/>
  <c r="E68" i="5" s="1"/>
  <c r="C67" i="5"/>
  <c r="E67" i="5" s="1"/>
  <c r="C41" i="5"/>
  <c r="C39" i="5"/>
  <c r="E39" i="5" s="1"/>
  <c r="C36" i="5"/>
  <c r="E36" i="5" s="1"/>
  <c r="C34" i="5"/>
  <c r="E34" i="5" s="1"/>
  <c r="C32" i="5"/>
  <c r="C26" i="5"/>
  <c r="C23" i="5"/>
  <c r="L20" i="6"/>
  <c r="L19" i="6"/>
  <c r="L26" i="6"/>
  <c r="L31" i="6"/>
  <c r="L14" i="6"/>
  <c r="Y66" i="6"/>
  <c r="Y61" i="6"/>
  <c r="O6" i="12"/>
  <c r="Y56" i="6"/>
  <c r="Y51" i="6"/>
  <c r="Y46" i="6"/>
  <c r="Y36" i="6"/>
  <c r="Y31" i="6"/>
  <c r="Y16" i="6"/>
  <c r="Y41" i="6"/>
  <c r="Y6" i="6"/>
  <c r="Y26" i="6"/>
  <c r="Y21" i="6"/>
  <c r="Y11" i="6"/>
  <c r="L15" i="8"/>
  <c r="G59" i="7" s="1"/>
  <c r="H59" i="7" s="1"/>
  <c r="L9" i="8"/>
  <c r="G29" i="7" s="1"/>
  <c r="H29" i="7" s="1"/>
  <c r="D62" i="5"/>
  <c r="E62" i="5" s="1"/>
  <c r="D44" i="5"/>
  <c r="D26" i="5"/>
  <c r="D18" i="5"/>
  <c r="E59" i="5"/>
  <c r="E57" i="5"/>
  <c r="C31" i="5"/>
  <c r="E31" i="5" s="1"/>
  <c r="E48" i="5"/>
  <c r="C45" i="5"/>
  <c r="D36" i="5"/>
  <c r="D29" i="5"/>
  <c r="C15" i="4" l="1"/>
  <c r="B72" i="7"/>
  <c r="C6" i="4" s="1"/>
  <c r="O14" i="6"/>
  <c r="AC14" i="6"/>
  <c r="N14" i="6"/>
  <c r="D14" i="6"/>
  <c r="D15" i="6"/>
  <c r="O61" i="6"/>
  <c r="AC61" i="6" s="1"/>
  <c r="N61" i="6"/>
  <c r="D61" i="6"/>
  <c r="D9" i="6"/>
  <c r="N9" i="6" s="1"/>
  <c r="E40" i="5"/>
  <c r="D65" i="6"/>
  <c r="N65" i="6"/>
  <c r="E41" i="5"/>
  <c r="O6" i="6"/>
  <c r="N6" i="6"/>
  <c r="D6" i="6"/>
  <c r="C13" i="4"/>
  <c r="B82" i="7"/>
  <c r="C16" i="4" s="1"/>
  <c r="C14" i="4"/>
  <c r="O37" i="6"/>
  <c r="N37" i="6"/>
  <c r="H12" i="4" s="1"/>
  <c r="AC37" i="6"/>
  <c r="O53" i="6"/>
  <c r="N53" i="6"/>
  <c r="AC53" i="6" s="1"/>
  <c r="D53" i="6"/>
  <c r="D2" i="6"/>
  <c r="N24" i="6"/>
  <c r="D24" i="6"/>
  <c r="E29" i="5"/>
  <c r="E46" i="5"/>
  <c r="O55" i="6"/>
  <c r="N55" i="6"/>
  <c r="D55" i="6"/>
  <c r="N43" i="6"/>
  <c r="AC43" i="6" s="1"/>
  <c r="O43" i="6"/>
  <c r="N42" i="6"/>
  <c r="H13" i="4" s="1"/>
  <c r="O42" i="6"/>
  <c r="E45" i="5"/>
  <c r="D20" i="6"/>
  <c r="N20" i="6" s="1"/>
  <c r="D16" i="6"/>
  <c r="D8" i="6"/>
  <c r="O8" i="6" s="1"/>
  <c r="O32" i="6"/>
  <c r="N32" i="6"/>
  <c r="AC32" i="6" s="1"/>
  <c r="O35" i="6"/>
  <c r="N35" i="6"/>
  <c r="AC35" i="6"/>
  <c r="N45" i="6"/>
  <c r="AC45" i="6"/>
  <c r="O45" i="6"/>
  <c r="N44" i="6"/>
  <c r="O44" i="6"/>
  <c r="AC44" i="6"/>
  <c r="D64" i="6"/>
  <c r="O64" i="6" s="1"/>
  <c r="B77" i="7"/>
  <c r="C11" i="4" s="1"/>
  <c r="B75" i="7"/>
  <c r="C9" i="4" s="1"/>
  <c r="E28" i="5"/>
  <c r="AB49" i="6"/>
  <c r="E18" i="5"/>
  <c r="D23" i="6"/>
  <c r="O23" i="6" s="1"/>
  <c r="D63" i="6"/>
  <c r="O63" i="6"/>
  <c r="N63" i="6"/>
  <c r="AC63" i="6" s="1"/>
  <c r="O26" i="6"/>
  <c r="D26" i="6"/>
  <c r="N40" i="6"/>
  <c r="O40" i="6"/>
  <c r="AC40" i="6"/>
  <c r="AD40" i="6" s="1"/>
  <c r="D28" i="6"/>
  <c r="D56" i="6"/>
  <c r="O56" i="6" s="1"/>
  <c r="C8" i="4"/>
  <c r="B81" i="7"/>
  <c r="B83" i="7"/>
  <c r="C17" i="4" s="1"/>
  <c r="E21" i="5"/>
  <c r="AB51" i="6"/>
  <c r="AB43" i="6"/>
  <c r="AB44" i="6"/>
  <c r="AB48" i="6"/>
  <c r="N25" i="6"/>
  <c r="D25" i="6"/>
  <c r="N38" i="6"/>
  <c r="O38" i="6"/>
  <c r="AC38" i="6" s="1"/>
  <c r="O34" i="6"/>
  <c r="N34" i="6"/>
  <c r="AC34" i="6"/>
  <c r="D54" i="6"/>
  <c r="N39" i="6"/>
  <c r="O39" i="6"/>
  <c r="D19" i="6"/>
  <c r="O19" i="6" s="1"/>
  <c r="N30" i="6"/>
  <c r="D30" i="6"/>
  <c r="D57" i="6"/>
  <c r="AB47" i="6"/>
  <c r="E23" i="5"/>
  <c r="D11" i="6"/>
  <c r="N11" i="6"/>
  <c r="O13" i="6"/>
  <c r="N13" i="6"/>
  <c r="AC13" i="6" s="1"/>
  <c r="D13" i="6"/>
  <c r="D12" i="6"/>
  <c r="O33" i="6"/>
  <c r="AC33" i="6" s="1"/>
  <c r="N33" i="6"/>
  <c r="N41" i="6"/>
  <c r="AC41" i="6"/>
  <c r="O41" i="6"/>
  <c r="N49" i="6"/>
  <c r="O49" i="6"/>
  <c r="AC49" i="6"/>
  <c r="N46" i="6"/>
  <c r="O46" i="6"/>
  <c r="AC46" i="6" s="1"/>
  <c r="D62" i="6"/>
  <c r="O62" i="6" s="1"/>
  <c r="N62" i="6"/>
  <c r="AD41" i="6"/>
  <c r="E26" i="5"/>
  <c r="D17" i="6"/>
  <c r="N17" i="6" s="1"/>
  <c r="E33" i="5"/>
  <c r="O10" i="6"/>
  <c r="N10" i="6"/>
  <c r="AC10" i="6" s="1"/>
  <c r="D10" i="6"/>
  <c r="D21" i="6"/>
  <c r="O36" i="6"/>
  <c r="AC36" i="6" s="1"/>
  <c r="N36" i="6"/>
  <c r="C9" i="3" s="1"/>
  <c r="D27" i="6"/>
  <c r="O27" i="6" s="1"/>
  <c r="N51" i="6"/>
  <c r="AC51" i="6"/>
  <c r="O51" i="6"/>
  <c r="D66" i="6"/>
  <c r="N66" i="6" s="1"/>
  <c r="B13" i="11"/>
  <c r="B73" i="7"/>
  <c r="C7" i="4" s="1"/>
  <c r="B71" i="7"/>
  <c r="O5" i="6"/>
  <c r="N5" i="6"/>
  <c r="AC5" i="6" s="1"/>
  <c r="D5" i="6"/>
  <c r="N50" i="6"/>
  <c r="AC50" i="6" s="1"/>
  <c r="O50" i="6"/>
  <c r="D31" i="6"/>
  <c r="N31" i="6" s="1"/>
  <c r="O58" i="6"/>
  <c r="D58" i="6"/>
  <c r="C5" i="4"/>
  <c r="O4" i="6"/>
  <c r="N4" i="6"/>
  <c r="AC4" i="6" s="1"/>
  <c r="D4" i="6"/>
  <c r="O29" i="6"/>
  <c r="D29" i="6"/>
  <c r="N47" i="6"/>
  <c r="H14" i="4" s="1"/>
  <c r="O47" i="6"/>
  <c r="E32" i="5"/>
  <c r="D18" i="6"/>
  <c r="O18" i="6" s="1"/>
  <c r="O7" i="6"/>
  <c r="D7" i="6"/>
  <c r="D3" i="6"/>
  <c r="N3" i="6"/>
  <c r="O22" i="6"/>
  <c r="D22" i="6"/>
  <c r="N48" i="6"/>
  <c r="O48" i="6"/>
  <c r="AC48" i="6" s="1"/>
  <c r="N52" i="6"/>
  <c r="H15" i="4" s="1"/>
  <c r="O52" i="6"/>
  <c r="D52" i="6"/>
  <c r="D60" i="6"/>
  <c r="AC59" i="6"/>
  <c r="O59" i="6"/>
  <c r="N59" i="6"/>
  <c r="D59" i="6"/>
  <c r="B76" i="7"/>
  <c r="C10" i="4" s="1"/>
  <c r="E19" i="5"/>
  <c r="C12" i="4"/>
  <c r="I16" i="4" l="1"/>
  <c r="I13" i="4"/>
  <c r="AD46" i="6"/>
  <c r="AD32" i="6"/>
  <c r="AD50" i="6"/>
  <c r="AD4" i="6"/>
  <c r="AD33" i="6"/>
  <c r="AD48" i="6"/>
  <c r="AD5" i="6"/>
  <c r="H8" i="4"/>
  <c r="AD43" i="6"/>
  <c r="AD13" i="6"/>
  <c r="AD38" i="6"/>
  <c r="AC9" i="6"/>
  <c r="C60" i="2"/>
  <c r="I11" i="4"/>
  <c r="AD36" i="6"/>
  <c r="J5" i="2"/>
  <c r="AC3" i="6"/>
  <c r="AC62" i="6"/>
  <c r="AC20" i="6"/>
  <c r="F12" i="6"/>
  <c r="AB12" i="6"/>
  <c r="N56" i="6"/>
  <c r="AC56" i="6" s="1"/>
  <c r="N8" i="6"/>
  <c r="AC8" i="6" s="1"/>
  <c r="F2" i="6"/>
  <c r="AB2" i="6"/>
  <c r="AD37" i="6"/>
  <c r="AB15" i="6"/>
  <c r="F15" i="6"/>
  <c r="I14" i="4"/>
  <c r="F57" i="6"/>
  <c r="AB57" i="6"/>
  <c r="F64" i="6"/>
  <c r="AB64" i="6"/>
  <c r="F60" i="6"/>
  <c r="AB60" i="6"/>
  <c r="F21" i="6"/>
  <c r="AB21" i="6"/>
  <c r="AB9" i="6"/>
  <c r="F9" i="6"/>
  <c r="O31" i="6"/>
  <c r="AC31" i="6" s="1"/>
  <c r="O57" i="6"/>
  <c r="F26" i="6"/>
  <c r="AB26" i="6"/>
  <c r="N23" i="6"/>
  <c r="AC23" i="6" s="1"/>
  <c r="O20" i="6"/>
  <c r="N2" i="6"/>
  <c r="N15" i="6"/>
  <c r="C44" i="2"/>
  <c r="AD49" i="6"/>
  <c r="F19" i="6"/>
  <c r="AB19" i="6"/>
  <c r="F56" i="6"/>
  <c r="AB56" i="6"/>
  <c r="AB3" i="6"/>
  <c r="F3" i="6"/>
  <c r="N18" i="6"/>
  <c r="AC18" i="6" s="1"/>
  <c r="AC47" i="6"/>
  <c r="N19" i="6"/>
  <c r="AC19" i="6" s="1"/>
  <c r="AC39" i="6"/>
  <c r="N64" i="6"/>
  <c r="AC64" i="6" s="1"/>
  <c r="AC6" i="6"/>
  <c r="B14" i="11"/>
  <c r="O21" i="6"/>
  <c r="F62" i="6"/>
  <c r="AB62" i="6"/>
  <c r="AB11" i="6"/>
  <c r="F11" i="6"/>
  <c r="AD45" i="6"/>
  <c r="O60" i="6"/>
  <c r="F29" i="6"/>
  <c r="AB29" i="6"/>
  <c r="F7" i="6"/>
  <c r="AB7" i="6"/>
  <c r="F58" i="6"/>
  <c r="AB58" i="6"/>
  <c r="N21" i="6"/>
  <c r="AC21" i="6" s="1"/>
  <c r="F54" i="6"/>
  <c r="AB54" i="6"/>
  <c r="O2" i="6"/>
  <c r="O9" i="6"/>
  <c r="AD34" i="6"/>
  <c r="F27" i="6"/>
  <c r="AB27" i="6"/>
  <c r="F17" i="6"/>
  <c r="AB17" i="6"/>
  <c r="N12" i="6"/>
  <c r="N57" i="6"/>
  <c r="F22" i="6"/>
  <c r="AB22" i="6"/>
  <c r="AB66" i="6"/>
  <c r="F66" i="6"/>
  <c r="I12" i="4"/>
  <c r="O12" i="6"/>
  <c r="O11" i="6"/>
  <c r="F30" i="6"/>
  <c r="AB30" i="6"/>
  <c r="AD51" i="6"/>
  <c r="F28" i="6"/>
  <c r="AB28" i="6"/>
  <c r="AD44" i="6"/>
  <c r="F16" i="6"/>
  <c r="AB16" i="6"/>
  <c r="AB59" i="6"/>
  <c r="AD59" i="6" s="1"/>
  <c r="F59" i="6"/>
  <c r="F52" i="6"/>
  <c r="AB52" i="6"/>
  <c r="N7" i="6"/>
  <c r="N29" i="6"/>
  <c r="AC29" i="6" s="1"/>
  <c r="N58" i="6"/>
  <c r="AC58" i="6" s="1"/>
  <c r="AD35" i="6"/>
  <c r="O66" i="6"/>
  <c r="AC66" i="6" s="1"/>
  <c r="N27" i="6"/>
  <c r="F10" i="6"/>
  <c r="AB10" i="6"/>
  <c r="AD10" i="6" s="1"/>
  <c r="O17" i="6"/>
  <c r="AC17" i="6" s="1"/>
  <c r="F13" i="6"/>
  <c r="AB13" i="6"/>
  <c r="C45" i="2"/>
  <c r="D44" i="2" s="1"/>
  <c r="O28" i="6"/>
  <c r="AB63" i="6"/>
  <c r="AD63" i="6" s="1"/>
  <c r="F63" i="6"/>
  <c r="N16" i="6"/>
  <c r="F55" i="6"/>
  <c r="AB55" i="6"/>
  <c r="AB65" i="6"/>
  <c r="F65" i="6"/>
  <c r="O15" i="6"/>
  <c r="F20" i="6"/>
  <c r="AB20" i="6"/>
  <c r="O3" i="6"/>
  <c r="N54" i="6"/>
  <c r="F25" i="6"/>
  <c r="AB25" i="6"/>
  <c r="N26" i="6"/>
  <c r="AC26" i="6" s="1"/>
  <c r="H11" i="4"/>
  <c r="C57" i="2"/>
  <c r="D56" i="2" s="1"/>
  <c r="B9" i="3"/>
  <c r="AC55" i="6"/>
  <c r="F24" i="6"/>
  <c r="AB24" i="6"/>
  <c r="F53" i="6"/>
  <c r="AB53" i="6"/>
  <c r="AD53" i="6" s="1"/>
  <c r="F6" i="6"/>
  <c r="AB6" i="6"/>
  <c r="O65" i="6"/>
  <c r="AB61" i="6"/>
  <c r="AD61" i="6" s="1"/>
  <c r="F61" i="6"/>
  <c r="F14" i="6"/>
  <c r="AB14" i="6"/>
  <c r="AD14" i="6" s="1"/>
  <c r="F18" i="6"/>
  <c r="AB18" i="6"/>
  <c r="F31" i="6"/>
  <c r="AB31" i="6"/>
  <c r="F23" i="6"/>
  <c r="AB23" i="6"/>
  <c r="AB8" i="6"/>
  <c r="F8" i="6"/>
  <c r="H17" i="4"/>
  <c r="C56" i="2"/>
  <c r="N60" i="6"/>
  <c r="AC60" i="6" s="1"/>
  <c r="AC52" i="6"/>
  <c r="N22" i="6"/>
  <c r="F4" i="6"/>
  <c r="AB4" i="6"/>
  <c r="AB5" i="6"/>
  <c r="F5" i="6"/>
  <c r="O30" i="6"/>
  <c r="O54" i="6"/>
  <c r="O25" i="6"/>
  <c r="N28" i="6"/>
  <c r="AC28" i="6" s="1"/>
  <c r="O16" i="6"/>
  <c r="AC42" i="6"/>
  <c r="O24" i="6"/>
  <c r="AD17" i="6" l="1"/>
  <c r="I10" i="4"/>
  <c r="AD31" i="6"/>
  <c r="I17" i="4"/>
  <c r="C59" i="2"/>
  <c r="D59" i="2" s="1"/>
  <c r="J4" i="2"/>
  <c r="AD66" i="6"/>
  <c r="I8" i="4"/>
  <c r="AD21" i="6"/>
  <c r="D17" i="11"/>
  <c r="C17" i="11"/>
  <c r="B17" i="11"/>
  <c r="F17" i="11"/>
  <c r="E17" i="11"/>
  <c r="AD47" i="6"/>
  <c r="I15" i="4"/>
  <c r="AD56" i="6"/>
  <c r="AD60" i="6"/>
  <c r="AD9" i="6"/>
  <c r="AD18" i="6"/>
  <c r="H10" i="4"/>
  <c r="AC27" i="6"/>
  <c r="H16" i="4"/>
  <c r="AC57" i="6"/>
  <c r="I5" i="4"/>
  <c r="AD6" i="6"/>
  <c r="I9" i="4"/>
  <c r="AD26" i="6"/>
  <c r="H7" i="4"/>
  <c r="AC12" i="6"/>
  <c r="AD64" i="6"/>
  <c r="AD39" i="6"/>
  <c r="AC15" i="6"/>
  <c r="AD20" i="6"/>
  <c r="AC25" i="6"/>
  <c r="H9" i="4"/>
  <c r="AC22" i="6"/>
  <c r="AD58" i="6"/>
  <c r="AD19" i="6"/>
  <c r="H5" i="4"/>
  <c r="AC2" i="6"/>
  <c r="AD8" i="6"/>
  <c r="AC11" i="6"/>
  <c r="AC65" i="6"/>
  <c r="AD3" i="6"/>
  <c r="AD28" i="6"/>
  <c r="AC24" i="6"/>
  <c r="AD52" i="6"/>
  <c r="AC54" i="6"/>
  <c r="AD29" i="6"/>
  <c r="AD42" i="6"/>
  <c r="AD55" i="6"/>
  <c r="AC16" i="6"/>
  <c r="H6" i="4"/>
  <c r="AC7" i="6"/>
  <c r="B15" i="11"/>
  <c r="AD23" i="6"/>
  <c r="AD62" i="6"/>
  <c r="AC30" i="6"/>
  <c r="AD65" i="6" l="1"/>
  <c r="F19" i="11"/>
  <c r="C6" i="12" s="1"/>
  <c r="F20" i="11"/>
  <c r="D6" i="12" s="1"/>
  <c r="B19" i="11"/>
  <c r="C2" i="12" s="1"/>
  <c r="B20" i="11"/>
  <c r="D2" i="12" s="1"/>
  <c r="C14" i="11"/>
  <c r="C13" i="11" s="1"/>
  <c r="AD7" i="6"/>
  <c r="AD27" i="6"/>
  <c r="E19" i="11"/>
  <c r="C5" i="12" s="1"/>
  <c r="E20" i="11"/>
  <c r="D5" i="12" s="1"/>
  <c r="F14" i="11"/>
  <c r="F13" i="11" s="1"/>
  <c r="AD22" i="6"/>
  <c r="C18" i="11"/>
  <c r="B18" i="11"/>
  <c r="F18" i="11"/>
  <c r="B6" i="12" s="1"/>
  <c r="D18" i="11"/>
  <c r="E18" i="11"/>
  <c r="I7" i="4"/>
  <c r="AD16" i="6"/>
  <c r="I6" i="4"/>
  <c r="AD11" i="6"/>
  <c r="AD2" i="6"/>
  <c r="AD25" i="6"/>
  <c r="AD15" i="6"/>
  <c r="C20" i="11"/>
  <c r="D3" i="12" s="1"/>
  <c r="D14" i="11"/>
  <c r="D13" i="11" s="1"/>
  <c r="C19" i="11"/>
  <c r="C3" i="12" s="1"/>
  <c r="AD57" i="6"/>
  <c r="D20" i="11"/>
  <c r="D4" i="12" s="1"/>
  <c r="E14" i="11"/>
  <c r="E13" i="11" s="1"/>
  <c r="D19" i="11"/>
  <c r="C4" i="12" s="1"/>
  <c r="AD30" i="6"/>
  <c r="AD24" i="6"/>
  <c r="AD54" i="6"/>
  <c r="AD12" i="6"/>
  <c r="D15" i="11" l="1"/>
  <c r="B3" i="12"/>
  <c r="H62" i="6"/>
  <c r="R62" i="6" s="1"/>
  <c r="H57" i="6"/>
  <c r="R57" i="6" s="1"/>
  <c r="H52" i="6"/>
  <c r="R52" i="6" s="1"/>
  <c r="H47" i="6"/>
  <c r="R47" i="6" s="1"/>
  <c r="H42" i="6"/>
  <c r="R42" i="6" s="1"/>
  <c r="H37" i="6"/>
  <c r="R37" i="6" s="1"/>
  <c r="H32" i="6"/>
  <c r="H17" i="6"/>
  <c r="R17" i="6" s="1"/>
  <c r="H27" i="6"/>
  <c r="R27" i="6" s="1"/>
  <c r="H2" i="6"/>
  <c r="R2" i="6" s="1"/>
  <c r="G72" i="5"/>
  <c r="G67" i="5"/>
  <c r="G62" i="5"/>
  <c r="G57" i="5"/>
  <c r="G52" i="5"/>
  <c r="G47" i="5"/>
  <c r="G42" i="5"/>
  <c r="G37" i="5"/>
  <c r="G32" i="5"/>
  <c r="G27" i="5"/>
  <c r="G22" i="5"/>
  <c r="G17" i="5"/>
  <c r="H22" i="6"/>
  <c r="R22" i="6" s="1"/>
  <c r="H12" i="6"/>
  <c r="R12" i="6" s="1"/>
  <c r="H7" i="6"/>
  <c r="R7" i="6" s="1"/>
  <c r="H58" i="6"/>
  <c r="R58" i="6" s="1"/>
  <c r="H53" i="6"/>
  <c r="R53" i="6" s="1"/>
  <c r="H63" i="6"/>
  <c r="R63" i="6" s="1"/>
  <c r="H48" i="6"/>
  <c r="R48" i="6" s="1"/>
  <c r="H43" i="6"/>
  <c r="R43" i="6" s="1"/>
  <c r="H33" i="6"/>
  <c r="R33" i="6" s="1"/>
  <c r="H28" i="6"/>
  <c r="R28" i="6" s="1"/>
  <c r="H38" i="6"/>
  <c r="R38" i="6" s="1"/>
  <c r="H18" i="6"/>
  <c r="R18" i="6" s="1"/>
  <c r="H13" i="6"/>
  <c r="R13" i="6" s="1"/>
  <c r="H3" i="6"/>
  <c r="R3" i="6" s="1"/>
  <c r="G73" i="5"/>
  <c r="G68" i="5"/>
  <c r="G63" i="5"/>
  <c r="G58" i="5"/>
  <c r="G53" i="5"/>
  <c r="G48" i="5"/>
  <c r="G43" i="5"/>
  <c r="G38" i="5"/>
  <c r="G33" i="5"/>
  <c r="G28" i="5"/>
  <c r="G23" i="5"/>
  <c r="G18" i="5"/>
  <c r="H8" i="6"/>
  <c r="R8" i="6" s="1"/>
  <c r="H23" i="6"/>
  <c r="R23" i="6" s="1"/>
  <c r="I66" i="6"/>
  <c r="S66" i="6" s="1"/>
  <c r="I56" i="6"/>
  <c r="S56" i="6" s="1"/>
  <c r="I51" i="6"/>
  <c r="S51" i="6" s="1"/>
  <c r="I61" i="6"/>
  <c r="S61" i="6" s="1"/>
  <c r="I41" i="6"/>
  <c r="S41" i="6" s="1"/>
  <c r="I46" i="6"/>
  <c r="S46" i="6" s="1"/>
  <c r="I36" i="6"/>
  <c r="S36" i="6" s="1"/>
  <c r="I31" i="6"/>
  <c r="S31" i="6" s="1"/>
  <c r="I26" i="6"/>
  <c r="S26" i="6" s="1"/>
  <c r="I21" i="6"/>
  <c r="S21" i="6" s="1"/>
  <c r="I16" i="6"/>
  <c r="S16" i="6" s="1"/>
  <c r="I11" i="6"/>
  <c r="S11" i="6" s="1"/>
  <c r="H76" i="5"/>
  <c r="H71" i="5"/>
  <c r="H66" i="5"/>
  <c r="H61" i="5"/>
  <c r="H56" i="5"/>
  <c r="H51" i="5"/>
  <c r="H46" i="5"/>
  <c r="H41" i="5"/>
  <c r="H36" i="5"/>
  <c r="H31" i="5"/>
  <c r="H26" i="5"/>
  <c r="H21" i="5"/>
  <c r="I6" i="6"/>
  <c r="S6" i="6" s="1"/>
  <c r="C15" i="11"/>
  <c r="B2" i="12"/>
  <c r="H64" i="6"/>
  <c r="R64" i="6" s="1"/>
  <c r="H54" i="6"/>
  <c r="R54" i="6" s="1"/>
  <c r="H49" i="6"/>
  <c r="R49" i="6" s="1"/>
  <c r="H44" i="6"/>
  <c r="R44" i="6" s="1"/>
  <c r="H19" i="6"/>
  <c r="R19" i="6" s="1"/>
  <c r="H29" i="6"/>
  <c r="R29" i="6" s="1"/>
  <c r="H59" i="6"/>
  <c r="R59" i="6" s="1"/>
  <c r="H39" i="6"/>
  <c r="R39" i="6" s="1"/>
  <c r="H4" i="6"/>
  <c r="R4" i="6" s="1"/>
  <c r="H34" i="6"/>
  <c r="R34" i="6" s="1"/>
  <c r="H9" i="6"/>
  <c r="R9" i="6" s="1"/>
  <c r="H24" i="6"/>
  <c r="R24" i="6" s="1"/>
  <c r="G74" i="5"/>
  <c r="G69" i="5"/>
  <c r="G64" i="5"/>
  <c r="G59" i="5"/>
  <c r="G54" i="5"/>
  <c r="G49" i="5"/>
  <c r="G44" i="5"/>
  <c r="G39" i="5"/>
  <c r="G34" i="5"/>
  <c r="G29" i="5"/>
  <c r="G24" i="5"/>
  <c r="G19" i="5"/>
  <c r="H14" i="6"/>
  <c r="R14" i="6" s="1"/>
  <c r="I64" i="6"/>
  <c r="S64" i="6" s="1"/>
  <c r="I59" i="6"/>
  <c r="S59" i="6" s="1"/>
  <c r="I49" i="6"/>
  <c r="S49" i="6" s="1"/>
  <c r="I39" i="6"/>
  <c r="S39" i="6" s="1"/>
  <c r="I44" i="6"/>
  <c r="S44" i="6" s="1"/>
  <c r="I19" i="6"/>
  <c r="S19" i="6" s="1"/>
  <c r="I29" i="6"/>
  <c r="S29" i="6" s="1"/>
  <c r="I24" i="6"/>
  <c r="S24" i="6" s="1"/>
  <c r="I54" i="6"/>
  <c r="S54" i="6" s="1"/>
  <c r="I34" i="6"/>
  <c r="S34" i="6" s="1"/>
  <c r="H74" i="5"/>
  <c r="H69" i="5"/>
  <c r="H64" i="5"/>
  <c r="H59" i="5"/>
  <c r="H54" i="5"/>
  <c r="H49" i="5"/>
  <c r="H44" i="5"/>
  <c r="H39" i="5"/>
  <c r="H34" i="5"/>
  <c r="H29" i="5"/>
  <c r="H24" i="5"/>
  <c r="H19" i="5"/>
  <c r="I14" i="6"/>
  <c r="S14" i="6" s="1"/>
  <c r="I9" i="6"/>
  <c r="S9" i="6" s="1"/>
  <c r="I4" i="6"/>
  <c r="S4" i="6" s="1"/>
  <c r="B5" i="12"/>
  <c r="F15" i="11"/>
  <c r="H66" i="6"/>
  <c r="R66" i="6" s="1"/>
  <c r="H56" i="6"/>
  <c r="R56" i="6" s="1"/>
  <c r="U56" i="6" s="1"/>
  <c r="W56" i="6" s="1"/>
  <c r="H51" i="6"/>
  <c r="R51" i="6" s="1"/>
  <c r="U51" i="6" s="1"/>
  <c r="W51" i="6" s="1"/>
  <c r="H61" i="6"/>
  <c r="R61" i="6" s="1"/>
  <c r="H46" i="6"/>
  <c r="R46" i="6" s="1"/>
  <c r="H31" i="6"/>
  <c r="R31" i="6" s="1"/>
  <c r="H26" i="6"/>
  <c r="R26" i="6" s="1"/>
  <c r="U26" i="6" s="1"/>
  <c r="W26" i="6" s="1"/>
  <c r="H21" i="6"/>
  <c r="R21" i="6" s="1"/>
  <c r="U21" i="6" s="1"/>
  <c r="W21" i="6" s="1"/>
  <c r="H41" i="6"/>
  <c r="R41" i="6" s="1"/>
  <c r="H36" i="6"/>
  <c r="H6" i="6"/>
  <c r="R6" i="6" s="1"/>
  <c r="U6" i="6" s="1"/>
  <c r="W6" i="6" s="1"/>
  <c r="H16" i="6"/>
  <c r="R16" i="6" s="1"/>
  <c r="H11" i="6"/>
  <c r="R11" i="6" s="1"/>
  <c r="G76" i="5"/>
  <c r="G71" i="5"/>
  <c r="G66" i="5"/>
  <c r="G61" i="5"/>
  <c r="G56" i="5"/>
  <c r="G51" i="5"/>
  <c r="G46" i="5"/>
  <c r="G41" i="5"/>
  <c r="G36" i="5"/>
  <c r="G31" i="5"/>
  <c r="G26" i="5"/>
  <c r="G21" i="5"/>
  <c r="B4" i="12"/>
  <c r="E15" i="11"/>
  <c r="I65" i="6"/>
  <c r="S65" i="6" s="1"/>
  <c r="I55" i="6"/>
  <c r="S55" i="6" s="1"/>
  <c r="I60" i="6"/>
  <c r="S60" i="6" s="1"/>
  <c r="I45" i="6"/>
  <c r="S45" i="6" s="1"/>
  <c r="I50" i="6"/>
  <c r="S50" i="6" s="1"/>
  <c r="I40" i="6"/>
  <c r="S40" i="6" s="1"/>
  <c r="I20" i="6"/>
  <c r="S20" i="6" s="1"/>
  <c r="I30" i="6"/>
  <c r="S30" i="6" s="1"/>
  <c r="I35" i="6"/>
  <c r="S35" i="6" s="1"/>
  <c r="H75" i="5"/>
  <c r="H70" i="5"/>
  <c r="H65" i="5"/>
  <c r="H60" i="5"/>
  <c r="H55" i="5"/>
  <c r="H50" i="5"/>
  <c r="H45" i="5"/>
  <c r="H40" i="5"/>
  <c r="H35" i="5"/>
  <c r="H30" i="5"/>
  <c r="H25" i="5"/>
  <c r="H20" i="5"/>
  <c r="I5" i="6"/>
  <c r="S5" i="6" s="1"/>
  <c r="I25" i="6"/>
  <c r="S25" i="6" s="1"/>
  <c r="I15" i="6"/>
  <c r="S15" i="6" s="1"/>
  <c r="I10" i="6"/>
  <c r="S10" i="6" s="1"/>
  <c r="I58" i="6"/>
  <c r="S58" i="6" s="1"/>
  <c r="I63" i="6"/>
  <c r="S63" i="6" s="1"/>
  <c r="I48" i="6"/>
  <c r="S48" i="6" s="1"/>
  <c r="I43" i="6"/>
  <c r="S43" i="6" s="1"/>
  <c r="I38" i="6"/>
  <c r="S38" i="6" s="1"/>
  <c r="I18" i="6"/>
  <c r="S18" i="6" s="1"/>
  <c r="I23" i="6"/>
  <c r="S23" i="6" s="1"/>
  <c r="I53" i="6"/>
  <c r="S53" i="6" s="1"/>
  <c r="I33" i="6"/>
  <c r="S33" i="6" s="1"/>
  <c r="H73" i="5"/>
  <c r="H68" i="5"/>
  <c r="H63" i="5"/>
  <c r="H58" i="5"/>
  <c r="H53" i="5"/>
  <c r="H48" i="5"/>
  <c r="H43" i="5"/>
  <c r="H38" i="5"/>
  <c r="H33" i="5"/>
  <c r="H28" i="5"/>
  <c r="H23" i="5"/>
  <c r="H18" i="5"/>
  <c r="I28" i="6"/>
  <c r="S28" i="6" s="1"/>
  <c r="I3" i="6"/>
  <c r="S3" i="6" s="1"/>
  <c r="I8" i="6"/>
  <c r="S8" i="6" s="1"/>
  <c r="I13" i="6"/>
  <c r="S13" i="6" s="1"/>
  <c r="G56" i="6"/>
  <c r="V56" i="6" s="1"/>
  <c r="G66" i="6"/>
  <c r="V66" i="6" s="1"/>
  <c r="G61" i="6"/>
  <c r="V61" i="6" s="1"/>
  <c r="G46" i="6"/>
  <c r="V46" i="6" s="1"/>
  <c r="G36" i="6"/>
  <c r="V36" i="6" s="1"/>
  <c r="G31" i="6"/>
  <c r="V31" i="6" s="1"/>
  <c r="G51" i="6"/>
  <c r="V51" i="6" s="1"/>
  <c r="G26" i="6"/>
  <c r="V26" i="6" s="1"/>
  <c r="G16" i="6"/>
  <c r="V16" i="6" s="1"/>
  <c r="G11" i="6"/>
  <c r="V11" i="6" s="1"/>
  <c r="G41" i="6"/>
  <c r="V41" i="6" s="1"/>
  <c r="G6" i="6"/>
  <c r="V6" i="6" s="1"/>
  <c r="G21" i="6"/>
  <c r="V21" i="6" s="1"/>
  <c r="F76" i="5"/>
  <c r="F71" i="5"/>
  <c r="F66" i="5"/>
  <c r="F61" i="5"/>
  <c r="F56" i="5"/>
  <c r="F51" i="5"/>
  <c r="F46" i="5"/>
  <c r="F41" i="5"/>
  <c r="F36" i="5"/>
  <c r="F31" i="5"/>
  <c r="F26" i="5"/>
  <c r="F21" i="5"/>
  <c r="C7" i="3"/>
  <c r="H60" i="6"/>
  <c r="R60" i="6" s="1"/>
  <c r="H65" i="6"/>
  <c r="R65" i="6" s="1"/>
  <c r="H55" i="6"/>
  <c r="R55" i="6" s="1"/>
  <c r="H45" i="6"/>
  <c r="R45" i="6" s="1"/>
  <c r="H50" i="6"/>
  <c r="R50" i="6" s="1"/>
  <c r="H40" i="6"/>
  <c r="R40" i="6" s="1"/>
  <c r="H20" i="6"/>
  <c r="R20" i="6" s="1"/>
  <c r="H30" i="6"/>
  <c r="R30" i="6" s="1"/>
  <c r="H5" i="6"/>
  <c r="R5" i="6" s="1"/>
  <c r="G75" i="5"/>
  <c r="G70" i="5"/>
  <c r="G65" i="5"/>
  <c r="G60" i="5"/>
  <c r="G55" i="5"/>
  <c r="G50" i="5"/>
  <c r="G45" i="5"/>
  <c r="G40" i="5"/>
  <c r="G35" i="5"/>
  <c r="G30" i="5"/>
  <c r="G25" i="5"/>
  <c r="G20" i="5"/>
  <c r="H25" i="6"/>
  <c r="R25" i="6" s="1"/>
  <c r="H15" i="6"/>
  <c r="R15" i="6" s="1"/>
  <c r="H10" i="6"/>
  <c r="R10" i="6" s="1"/>
  <c r="H35" i="6"/>
  <c r="R35" i="6" s="1"/>
  <c r="I57" i="6"/>
  <c r="S57" i="6" s="1"/>
  <c r="I52" i="6"/>
  <c r="S52" i="6" s="1"/>
  <c r="I47" i="6"/>
  <c r="S47" i="6" s="1"/>
  <c r="I42" i="6"/>
  <c r="S42" i="6" s="1"/>
  <c r="I37" i="6"/>
  <c r="S37" i="6" s="1"/>
  <c r="I32" i="6"/>
  <c r="S32" i="6" s="1"/>
  <c r="I17" i="6"/>
  <c r="S17" i="6" s="1"/>
  <c r="I62" i="6"/>
  <c r="S62" i="6" s="1"/>
  <c r="H72" i="5"/>
  <c r="H67" i="5"/>
  <c r="H62" i="5"/>
  <c r="H57" i="5"/>
  <c r="H52" i="5"/>
  <c r="H47" i="5"/>
  <c r="H42" i="5"/>
  <c r="H37" i="5"/>
  <c r="H32" i="5"/>
  <c r="H27" i="5"/>
  <c r="H22" i="5"/>
  <c r="H17" i="5"/>
  <c r="I22" i="6"/>
  <c r="S22" i="6" s="1"/>
  <c r="I27" i="6"/>
  <c r="S27" i="6" s="1"/>
  <c r="I12" i="6"/>
  <c r="S12" i="6" s="1"/>
  <c r="I7" i="6"/>
  <c r="S7" i="6" s="1"/>
  <c r="I2" i="6"/>
  <c r="S2" i="6" s="1"/>
  <c r="G57" i="6" l="1"/>
  <c r="V57" i="6" s="1"/>
  <c r="G62" i="6"/>
  <c r="V62" i="6" s="1"/>
  <c r="G52" i="6"/>
  <c r="V52" i="6" s="1"/>
  <c r="G42" i="6"/>
  <c r="V42" i="6" s="1"/>
  <c r="G37" i="6"/>
  <c r="V37" i="6" s="1"/>
  <c r="G32" i="6"/>
  <c r="V32" i="6" s="1"/>
  <c r="G47" i="6"/>
  <c r="V47" i="6" s="1"/>
  <c r="G22" i="6"/>
  <c r="V22" i="6" s="1"/>
  <c r="G17" i="6"/>
  <c r="V17" i="6" s="1"/>
  <c r="G12" i="6"/>
  <c r="V12" i="6" s="1"/>
  <c r="G2" i="6"/>
  <c r="V2" i="6" s="1"/>
  <c r="F72" i="5"/>
  <c r="F67" i="5"/>
  <c r="F62" i="5"/>
  <c r="F57" i="5"/>
  <c r="F52" i="5"/>
  <c r="F47" i="5"/>
  <c r="F42" i="5"/>
  <c r="F37" i="5"/>
  <c r="F32" i="5"/>
  <c r="F27" i="5"/>
  <c r="F22" i="5"/>
  <c r="F17" i="5"/>
  <c r="G27" i="6"/>
  <c r="V27" i="6" s="1"/>
  <c r="B7" i="3"/>
  <c r="G7" i="6"/>
  <c r="V7" i="6" s="1"/>
  <c r="U57" i="6"/>
  <c r="W57" i="6" s="1"/>
  <c r="U5" i="6"/>
  <c r="W5" i="6" s="1"/>
  <c r="Z51" i="6"/>
  <c r="AA51" i="6" s="1"/>
  <c r="AE51" i="6"/>
  <c r="AF51" i="6" s="1"/>
  <c r="X51" i="6"/>
  <c r="U10" i="6"/>
  <c r="W10" i="6" s="1"/>
  <c r="R36" i="6"/>
  <c r="U36" i="6" s="1"/>
  <c r="W36" i="6" s="1"/>
  <c r="C8" i="3"/>
  <c r="U23" i="6"/>
  <c r="W23" i="6" s="1"/>
  <c r="U52" i="6"/>
  <c r="W52" i="6" s="1"/>
  <c r="U66" i="6"/>
  <c r="W66" i="6" s="1"/>
  <c r="Z21" i="6"/>
  <c r="AA21" i="6" s="1"/>
  <c r="AE21" i="6"/>
  <c r="AF21" i="6" s="1"/>
  <c r="X21" i="6"/>
  <c r="U7" i="6"/>
  <c r="W7" i="6" s="1"/>
  <c r="U27" i="6"/>
  <c r="W27" i="6" s="1"/>
  <c r="U62" i="6"/>
  <c r="W62" i="6" s="1"/>
  <c r="U33" i="6"/>
  <c r="W33" i="6" s="1"/>
  <c r="U43" i="6"/>
  <c r="W43" i="6" s="1"/>
  <c r="U22" i="6"/>
  <c r="W22" i="6" s="1"/>
  <c r="B8" i="3"/>
  <c r="R32" i="6"/>
  <c r="G54" i="6"/>
  <c r="V54" i="6" s="1"/>
  <c r="G64" i="6"/>
  <c r="V64" i="6" s="1"/>
  <c r="G59" i="6"/>
  <c r="V59" i="6" s="1"/>
  <c r="G44" i="6"/>
  <c r="V44" i="6" s="1"/>
  <c r="G34" i="6"/>
  <c r="V34" i="6" s="1"/>
  <c r="G29" i="6"/>
  <c r="V29" i="6" s="1"/>
  <c r="G49" i="6"/>
  <c r="V49" i="6" s="1"/>
  <c r="G19" i="6"/>
  <c r="V19" i="6" s="1"/>
  <c r="G14" i="6"/>
  <c r="V14" i="6" s="1"/>
  <c r="G24" i="6"/>
  <c r="V24" i="6" s="1"/>
  <c r="G39" i="6"/>
  <c r="V39" i="6" s="1"/>
  <c r="G4" i="6"/>
  <c r="V4" i="6" s="1"/>
  <c r="F74" i="5"/>
  <c r="F69" i="5"/>
  <c r="F64" i="5"/>
  <c r="F59" i="5"/>
  <c r="F54" i="5"/>
  <c r="F49" i="5"/>
  <c r="F44" i="5"/>
  <c r="F39" i="5"/>
  <c r="F34" i="5"/>
  <c r="F29" i="5"/>
  <c r="F24" i="5"/>
  <c r="F19" i="5"/>
  <c r="G9" i="6"/>
  <c r="V9" i="6" s="1"/>
  <c r="Z6" i="6"/>
  <c r="AA6" i="6" s="1"/>
  <c r="AE6" i="6"/>
  <c r="AF6" i="6" s="1"/>
  <c r="F5" i="4" s="1"/>
  <c r="X6" i="6"/>
  <c r="U30" i="6"/>
  <c r="W30" i="6" s="1"/>
  <c r="AE56" i="6"/>
  <c r="AF56" i="6" s="1"/>
  <c r="Z56" i="6"/>
  <c r="AA56" i="6" s="1"/>
  <c r="X56" i="6"/>
  <c r="U14" i="6"/>
  <c r="W14" i="6" s="1"/>
  <c r="U4" i="6"/>
  <c r="W4" i="6" s="1"/>
  <c r="U41" i="6"/>
  <c r="W41" i="6" s="1"/>
  <c r="U50" i="6"/>
  <c r="W50" i="6" s="1"/>
  <c r="U29" i="6"/>
  <c r="W29" i="6" s="1"/>
  <c r="U17" i="6"/>
  <c r="W17" i="6" s="1"/>
  <c r="G55" i="6"/>
  <c r="V55" i="6" s="1"/>
  <c r="G60" i="6"/>
  <c r="V60" i="6" s="1"/>
  <c r="G65" i="6"/>
  <c r="V65" i="6" s="1"/>
  <c r="G50" i="6"/>
  <c r="V50" i="6" s="1"/>
  <c r="G40" i="6"/>
  <c r="V40" i="6" s="1"/>
  <c r="G35" i="6"/>
  <c r="V35" i="6" s="1"/>
  <c r="G30" i="6"/>
  <c r="V30" i="6" s="1"/>
  <c r="G45" i="6"/>
  <c r="V45" i="6" s="1"/>
  <c r="G25" i="6"/>
  <c r="V25" i="6" s="1"/>
  <c r="G20" i="6"/>
  <c r="V20" i="6" s="1"/>
  <c r="G15" i="6"/>
  <c r="V15" i="6" s="1"/>
  <c r="G10" i="6"/>
  <c r="V10" i="6" s="1"/>
  <c r="F75" i="5"/>
  <c r="F70" i="5"/>
  <c r="F65" i="5"/>
  <c r="F60" i="5"/>
  <c r="F55" i="5"/>
  <c r="F50" i="5"/>
  <c r="F45" i="5"/>
  <c r="F40" i="5"/>
  <c r="F35" i="5"/>
  <c r="F30" i="5"/>
  <c r="F25" i="5"/>
  <c r="F20" i="5"/>
  <c r="G5" i="6"/>
  <c r="V5" i="6" s="1"/>
  <c r="U19" i="6"/>
  <c r="W19" i="6" s="1"/>
  <c r="U55" i="6"/>
  <c r="W55" i="6" s="1"/>
  <c r="U11" i="6"/>
  <c r="W11" i="6" s="1"/>
  <c r="U46" i="6"/>
  <c r="W46" i="6" s="1"/>
  <c r="U44" i="6"/>
  <c r="W44" i="6" s="1"/>
  <c r="U48" i="6"/>
  <c r="W48" i="6" s="1"/>
  <c r="U37" i="6"/>
  <c r="W37" i="6" s="1"/>
  <c r="G53" i="6"/>
  <c r="V53" i="6" s="1"/>
  <c r="G58" i="6"/>
  <c r="V58" i="6" s="1"/>
  <c r="G63" i="6"/>
  <c r="V63" i="6" s="1"/>
  <c r="G38" i="6"/>
  <c r="V38" i="6" s="1"/>
  <c r="G33" i="6"/>
  <c r="V33" i="6" s="1"/>
  <c r="G48" i="6"/>
  <c r="V48" i="6" s="1"/>
  <c r="G43" i="6"/>
  <c r="V43" i="6" s="1"/>
  <c r="G28" i="6"/>
  <c r="V28" i="6" s="1"/>
  <c r="G18" i="6"/>
  <c r="V18" i="6" s="1"/>
  <c r="G13" i="6"/>
  <c r="V13" i="6" s="1"/>
  <c r="G23" i="6"/>
  <c r="V23" i="6" s="1"/>
  <c r="F73" i="5"/>
  <c r="F68" i="5"/>
  <c r="F63" i="5"/>
  <c r="F58" i="5"/>
  <c r="F53" i="5"/>
  <c r="F48" i="5"/>
  <c r="F43" i="5"/>
  <c r="F38" i="5"/>
  <c r="F33" i="5"/>
  <c r="F28" i="5"/>
  <c r="F23" i="5"/>
  <c r="F18" i="5"/>
  <c r="G3" i="6"/>
  <c r="V3" i="6" s="1"/>
  <c r="G8" i="6"/>
  <c r="V8" i="6" s="1"/>
  <c r="Z26" i="6"/>
  <c r="AA26" i="6" s="1"/>
  <c r="AE26" i="6"/>
  <c r="AF26" i="6" s="1"/>
  <c r="X26" i="6"/>
  <c r="U12" i="6"/>
  <c r="W12" i="6" s="1"/>
  <c r="U31" i="6"/>
  <c r="W31" i="6" s="1"/>
  <c r="U16" i="6"/>
  <c r="W16" i="6" s="1"/>
  <c r="U61" i="6"/>
  <c r="W61" i="6" s="1"/>
  <c r="U49" i="6"/>
  <c r="W49" i="6" s="1"/>
  <c r="U63" i="6"/>
  <c r="W63" i="6" s="1"/>
  <c r="U42" i="6"/>
  <c r="W42" i="6" s="1"/>
  <c r="U34" i="6"/>
  <c r="W34" i="6" s="1"/>
  <c r="U54" i="6"/>
  <c r="W54" i="6" s="1"/>
  <c r="U13" i="6"/>
  <c r="W13" i="6" s="1"/>
  <c r="C12" i="3" l="1"/>
  <c r="C11" i="3"/>
  <c r="U2" i="6"/>
  <c r="W2" i="6" s="1"/>
  <c r="Z16" i="6"/>
  <c r="AA16" i="6" s="1"/>
  <c r="AE16" i="6"/>
  <c r="AF16" i="6" s="1"/>
  <c r="X16" i="6"/>
  <c r="F8" i="4"/>
  <c r="D8" i="4"/>
  <c r="U64" i="6"/>
  <c r="W64" i="6" s="1"/>
  <c r="U65" i="6"/>
  <c r="W65" i="6" s="1"/>
  <c r="AE42" i="6"/>
  <c r="AF42" i="6" s="1"/>
  <c r="Z42" i="6"/>
  <c r="AA42" i="6" s="1"/>
  <c r="X42" i="6"/>
  <c r="Z62" i="6"/>
  <c r="AA62" i="6" s="1"/>
  <c r="AE62" i="6"/>
  <c r="AF62" i="6" s="1"/>
  <c r="X62" i="6"/>
  <c r="U40" i="6"/>
  <c r="W40" i="6" s="1"/>
  <c r="U38" i="6"/>
  <c r="W38" i="6" s="1"/>
  <c r="AE23" i="6"/>
  <c r="AF23" i="6" s="1"/>
  <c r="Z23" i="6"/>
  <c r="AA23" i="6" s="1"/>
  <c r="X23" i="6"/>
  <c r="AE33" i="6"/>
  <c r="AF33" i="6" s="1"/>
  <c r="D28" i="2" s="1"/>
  <c r="Z33" i="6"/>
  <c r="AA33" i="6" s="1"/>
  <c r="X33" i="6"/>
  <c r="AE37" i="6"/>
  <c r="AF37" i="6" s="1"/>
  <c r="Z37" i="6"/>
  <c r="AA37" i="6" s="1"/>
  <c r="X37" i="6"/>
  <c r="AE48" i="6"/>
  <c r="AF48" i="6" s="1"/>
  <c r="Z48" i="6"/>
  <c r="AA48" i="6" s="1"/>
  <c r="X48" i="6"/>
  <c r="Z17" i="6"/>
  <c r="AA17" i="6" s="1"/>
  <c r="AE17" i="6"/>
  <c r="AF17" i="6" s="1"/>
  <c r="X17" i="6"/>
  <c r="U60" i="6"/>
  <c r="W60" i="6" s="1"/>
  <c r="AE63" i="6"/>
  <c r="AF63" i="6" s="1"/>
  <c r="C28" i="2" s="1"/>
  <c r="Z63" i="6"/>
  <c r="AA63" i="6" s="1"/>
  <c r="X63" i="6"/>
  <c r="AE44" i="6"/>
  <c r="AF44" i="6" s="1"/>
  <c r="E13" i="4" s="1"/>
  <c r="Z44" i="6"/>
  <c r="AA44" i="6" s="1"/>
  <c r="X44" i="6"/>
  <c r="AE29" i="6"/>
  <c r="AF29" i="6" s="1"/>
  <c r="E10" i="4" s="1"/>
  <c r="Z29" i="6"/>
  <c r="AA29" i="6" s="1"/>
  <c r="X29" i="6"/>
  <c r="U35" i="6"/>
  <c r="W35" i="6" s="1"/>
  <c r="Z27" i="6"/>
  <c r="AA27" i="6" s="1"/>
  <c r="AE27" i="6"/>
  <c r="AF27" i="6" s="1"/>
  <c r="X27" i="6"/>
  <c r="U25" i="6"/>
  <c r="W25" i="6" s="1"/>
  <c r="Z10" i="6"/>
  <c r="AA10" i="6" s="1"/>
  <c r="AE10" i="6"/>
  <c r="AF10" i="6" s="1"/>
  <c r="X10" i="6"/>
  <c r="U8" i="6"/>
  <c r="W8" i="6" s="1"/>
  <c r="Z13" i="6"/>
  <c r="AA13" i="6" s="1"/>
  <c r="AE13" i="6"/>
  <c r="AF13" i="6" s="1"/>
  <c r="X13" i="6"/>
  <c r="Z43" i="6"/>
  <c r="AA43" i="6" s="1"/>
  <c r="AE43" i="6"/>
  <c r="AF43" i="6" s="1"/>
  <c r="X43" i="6"/>
  <c r="AE54" i="6"/>
  <c r="AF54" i="6" s="1"/>
  <c r="E15" i="4" s="1"/>
  <c r="Z54" i="6"/>
  <c r="AA54" i="6" s="1"/>
  <c r="X54" i="6"/>
  <c r="AE57" i="6"/>
  <c r="AF57" i="6" s="1"/>
  <c r="Z57" i="6"/>
  <c r="AA57" i="6" s="1"/>
  <c r="X57" i="6"/>
  <c r="AE34" i="6"/>
  <c r="AF34" i="6" s="1"/>
  <c r="Z34" i="6"/>
  <c r="AA34" i="6" s="1"/>
  <c r="X34" i="6"/>
  <c r="Z14" i="6"/>
  <c r="AA14" i="6" s="1"/>
  <c r="AE14" i="6"/>
  <c r="AF14" i="6" s="1"/>
  <c r="E7" i="4" s="1"/>
  <c r="X14" i="6"/>
  <c r="U15" i="6"/>
  <c r="W15" i="6" s="1"/>
  <c r="AE31" i="6"/>
  <c r="AF31" i="6" s="1"/>
  <c r="Z31" i="6"/>
  <c r="AA31" i="6" s="1"/>
  <c r="X31" i="6"/>
  <c r="AE36" i="6"/>
  <c r="AF36" i="6" s="1"/>
  <c r="Z36" i="6"/>
  <c r="AA36" i="6" s="1"/>
  <c r="X36" i="6"/>
  <c r="U45" i="6"/>
  <c r="W45" i="6" s="1"/>
  <c r="U3" i="6"/>
  <c r="W3" i="6" s="1"/>
  <c r="Z12" i="6"/>
  <c r="AA12" i="6" s="1"/>
  <c r="AE12" i="6"/>
  <c r="AF12" i="6" s="1"/>
  <c r="X12" i="6"/>
  <c r="U24" i="6"/>
  <c r="W24" i="6" s="1"/>
  <c r="Z50" i="6"/>
  <c r="AA50" i="6" s="1"/>
  <c r="AE50" i="6"/>
  <c r="AF50" i="6" s="1"/>
  <c r="X50" i="6"/>
  <c r="D15" i="4"/>
  <c r="F15" i="4"/>
  <c r="U32" i="6"/>
  <c r="W32" i="6" s="1"/>
  <c r="Z7" i="6"/>
  <c r="AA7" i="6" s="1"/>
  <c r="AE7" i="6"/>
  <c r="AF7" i="6" s="1"/>
  <c r="X7" i="6"/>
  <c r="Z66" i="6"/>
  <c r="AA66" i="6" s="1"/>
  <c r="AE66" i="6"/>
  <c r="AF66" i="6" s="1"/>
  <c r="X66" i="6"/>
  <c r="B12" i="3"/>
  <c r="B11" i="3"/>
  <c r="U28" i="6"/>
  <c r="W28" i="6" s="1"/>
  <c r="AE52" i="6"/>
  <c r="AF52" i="6" s="1"/>
  <c r="Z52" i="6"/>
  <c r="AA52" i="6" s="1"/>
  <c r="X52" i="6"/>
  <c r="D14" i="4"/>
  <c r="F14" i="4"/>
  <c r="AE61" i="6"/>
  <c r="AF61" i="6" s="1"/>
  <c r="Z61" i="6"/>
  <c r="AA61" i="6" s="1"/>
  <c r="X61" i="6"/>
  <c r="AE55" i="6"/>
  <c r="AF55" i="6" s="1"/>
  <c r="Z55" i="6"/>
  <c r="AA55" i="6" s="1"/>
  <c r="X55" i="6"/>
  <c r="U58" i="6"/>
  <c r="W58" i="6" s="1"/>
  <c r="AE5" i="6"/>
  <c r="AF5" i="6" s="1"/>
  <c r="Z5" i="6"/>
  <c r="AA5" i="6" s="1"/>
  <c r="X5" i="6"/>
  <c r="Z19" i="6"/>
  <c r="AA19" i="6" s="1"/>
  <c r="AE19" i="6"/>
  <c r="AF19" i="6" s="1"/>
  <c r="E8" i="4" s="1"/>
  <c r="X19" i="6"/>
  <c r="Z4" i="6"/>
  <c r="AA4" i="6" s="1"/>
  <c r="AE4" i="6"/>
  <c r="AF4" i="6" s="1"/>
  <c r="E5" i="4" s="1"/>
  <c r="X4" i="6"/>
  <c r="U47" i="6"/>
  <c r="W47" i="6" s="1"/>
  <c r="AE49" i="6"/>
  <c r="AF49" i="6" s="1"/>
  <c r="E14" i="4" s="1"/>
  <c r="Z49" i="6"/>
  <c r="AA49" i="6" s="1"/>
  <c r="X49" i="6"/>
  <c r="AE46" i="6"/>
  <c r="AF46" i="6" s="1"/>
  <c r="Z46" i="6"/>
  <c r="AA46" i="6" s="1"/>
  <c r="X46" i="6"/>
  <c r="Z41" i="6"/>
  <c r="AA41" i="6" s="1"/>
  <c r="AE41" i="6"/>
  <c r="AF41" i="6" s="1"/>
  <c r="X41" i="6"/>
  <c r="AE30" i="6"/>
  <c r="AF30" i="6" s="1"/>
  <c r="Z30" i="6"/>
  <c r="AA30" i="6" s="1"/>
  <c r="X30" i="6"/>
  <c r="U53" i="6"/>
  <c r="W53" i="6" s="1"/>
  <c r="U9" i="6"/>
  <c r="W9" i="6" s="1"/>
  <c r="F9" i="4"/>
  <c r="D9" i="4"/>
  <c r="Z11" i="6"/>
  <c r="AA11" i="6" s="1"/>
  <c r="AE11" i="6"/>
  <c r="AF11" i="6" s="1"/>
  <c r="X11" i="6"/>
  <c r="U20" i="6"/>
  <c r="W20" i="6" s="1"/>
  <c r="AE22" i="6"/>
  <c r="AF22" i="6" s="1"/>
  <c r="Z22" i="6"/>
  <c r="AA22" i="6" s="1"/>
  <c r="X22" i="6"/>
  <c r="U59" i="6"/>
  <c r="W59" i="6" s="1"/>
  <c r="U18" i="6"/>
  <c r="W18" i="6" s="1"/>
  <c r="U39" i="6"/>
  <c r="W39" i="6" s="1"/>
  <c r="D17" i="4" l="1"/>
  <c r="C31" i="2"/>
  <c r="C52" i="2"/>
  <c r="F17" i="4"/>
  <c r="Z45" i="6"/>
  <c r="AA45" i="6" s="1"/>
  <c r="AE45" i="6"/>
  <c r="AF45" i="6" s="1"/>
  <c r="X45" i="6"/>
  <c r="G10" i="4"/>
  <c r="C27" i="2"/>
  <c r="J8" i="4"/>
  <c r="J9" i="4"/>
  <c r="G9" i="4"/>
  <c r="AE53" i="6"/>
  <c r="AF53" i="6" s="1"/>
  <c r="G15" i="4" s="1"/>
  <c r="Z53" i="6"/>
  <c r="AA53" i="6" s="1"/>
  <c r="X53" i="6"/>
  <c r="F13" i="4"/>
  <c r="J13" i="4" s="1"/>
  <c r="D13" i="4"/>
  <c r="Z24" i="6"/>
  <c r="AA24" i="6" s="1"/>
  <c r="AE24" i="6"/>
  <c r="AF24" i="6" s="1"/>
  <c r="E9" i="4" s="1"/>
  <c r="X24" i="6"/>
  <c r="D11" i="4"/>
  <c r="D31" i="2"/>
  <c r="C53" i="2"/>
  <c r="C54" i="2" s="1"/>
  <c r="D52" i="2" s="1"/>
  <c r="F11" i="4"/>
  <c r="J11" i="4" s="1"/>
  <c r="Z15" i="6"/>
  <c r="AA15" i="6" s="1"/>
  <c r="AE15" i="6"/>
  <c r="AF15" i="6" s="1"/>
  <c r="X15" i="6"/>
  <c r="Z9" i="6"/>
  <c r="AA9" i="6" s="1"/>
  <c r="AE9" i="6"/>
  <c r="AF9" i="6" s="1"/>
  <c r="E6" i="4" s="1"/>
  <c r="X9" i="6"/>
  <c r="Z58" i="6"/>
  <c r="AA58" i="6" s="1"/>
  <c r="AE58" i="6"/>
  <c r="AF58" i="6" s="1"/>
  <c r="G16" i="4" s="1"/>
  <c r="K16" i="4" s="1"/>
  <c r="X58" i="6"/>
  <c r="Z8" i="6"/>
  <c r="AA8" i="6" s="1"/>
  <c r="AE8" i="6"/>
  <c r="AF8" i="6" s="1"/>
  <c r="G6" i="4" s="1"/>
  <c r="X8" i="6"/>
  <c r="D7" i="4"/>
  <c r="F7" i="4"/>
  <c r="J7" i="4" s="1"/>
  <c r="AE39" i="6"/>
  <c r="AF39" i="6" s="1"/>
  <c r="E12" i="4" s="1"/>
  <c r="Z39" i="6"/>
  <c r="AA39" i="6" s="1"/>
  <c r="X39" i="6"/>
  <c r="F6" i="4"/>
  <c r="J6" i="4" s="1"/>
  <c r="D6" i="4"/>
  <c r="Z28" i="6"/>
  <c r="AA28" i="6" s="1"/>
  <c r="AE28" i="6"/>
  <c r="AF28" i="6" s="1"/>
  <c r="X28" i="6"/>
  <c r="Z60" i="6"/>
  <c r="AA60" i="6" s="1"/>
  <c r="AE60" i="6"/>
  <c r="AF60" i="6" s="1"/>
  <c r="X60" i="6"/>
  <c r="G13" i="4"/>
  <c r="Z2" i="6"/>
  <c r="AA2" i="6" s="1"/>
  <c r="AE2" i="6"/>
  <c r="AF2" i="6" s="1"/>
  <c r="X2" i="6"/>
  <c r="AE32" i="6"/>
  <c r="AF32" i="6" s="1"/>
  <c r="Z32" i="6"/>
  <c r="AA32" i="6" s="1"/>
  <c r="X32" i="6"/>
  <c r="G7" i="4"/>
  <c r="E11" i="4"/>
  <c r="D29" i="2"/>
  <c r="AE38" i="6"/>
  <c r="AF38" i="6" s="1"/>
  <c r="Z38" i="6"/>
  <c r="AA38" i="6" s="1"/>
  <c r="X38" i="6"/>
  <c r="AE65" i="6"/>
  <c r="AF65" i="6" s="1"/>
  <c r="C30" i="2" s="1"/>
  <c r="Z65" i="6"/>
  <c r="AA65" i="6" s="1"/>
  <c r="X65" i="6"/>
  <c r="J14" i="4"/>
  <c r="AE3" i="6"/>
  <c r="AF3" i="6" s="1"/>
  <c r="Z3" i="6"/>
  <c r="AA3" i="6" s="1"/>
  <c r="X3" i="6"/>
  <c r="Z20" i="6"/>
  <c r="AA20" i="6" s="1"/>
  <c r="AE20" i="6"/>
  <c r="AF20" i="6" s="1"/>
  <c r="X20" i="6"/>
  <c r="AE35" i="6"/>
  <c r="AF35" i="6" s="1"/>
  <c r="D30" i="2" s="1"/>
  <c r="Z35" i="6"/>
  <c r="AA35" i="6" s="1"/>
  <c r="X35" i="6"/>
  <c r="Z18" i="6"/>
  <c r="AA18" i="6" s="1"/>
  <c r="AE18" i="6"/>
  <c r="AF18" i="6" s="1"/>
  <c r="X18" i="6"/>
  <c r="AE59" i="6"/>
  <c r="AF59" i="6" s="1"/>
  <c r="E16" i="4" s="1"/>
  <c r="Z59" i="6"/>
  <c r="AA59" i="6" s="1"/>
  <c r="X59" i="6"/>
  <c r="F12" i="4"/>
  <c r="J12" i="4" s="1"/>
  <c r="D12" i="4"/>
  <c r="AE47" i="6"/>
  <c r="AF47" i="6" s="1"/>
  <c r="G14" i="4" s="1"/>
  <c r="Z47" i="6"/>
  <c r="AA47" i="6" s="1"/>
  <c r="X47" i="6"/>
  <c r="F16" i="4"/>
  <c r="J16" i="4" s="1"/>
  <c r="D16" i="4"/>
  <c r="J15" i="4"/>
  <c r="F10" i="4"/>
  <c r="J10" i="4" s="1"/>
  <c r="D10" i="4"/>
  <c r="Z25" i="6"/>
  <c r="AA25" i="6" s="1"/>
  <c r="AE25" i="6"/>
  <c r="AF25" i="6" s="1"/>
  <c r="X25" i="6"/>
  <c r="G8" i="4"/>
  <c r="Z40" i="6"/>
  <c r="AA40" i="6" s="1"/>
  <c r="AE40" i="6"/>
  <c r="AF40" i="6" s="1"/>
  <c r="G12" i="4" s="1"/>
  <c r="X40" i="6"/>
  <c r="Z64" i="6"/>
  <c r="AA64" i="6" s="1"/>
  <c r="AE64" i="6"/>
  <c r="AF64" i="6" s="1"/>
  <c r="G17" i="4" s="1"/>
  <c r="K17" i="4" s="1"/>
  <c r="X64" i="6"/>
  <c r="K15" i="4" l="1"/>
  <c r="K6" i="4"/>
  <c r="K12" i="4"/>
  <c r="K9" i="4"/>
  <c r="K7" i="4"/>
  <c r="K8" i="4"/>
  <c r="J17" i="4"/>
  <c r="J5" i="4"/>
  <c r="K10" i="4"/>
  <c r="D27" i="2"/>
  <c r="G11" i="4"/>
  <c r="K11" i="4" s="1"/>
  <c r="C48" i="2"/>
  <c r="K13" i="4"/>
  <c r="C29" i="2"/>
  <c r="E17" i="4"/>
  <c r="K14" i="4"/>
  <c r="G5" i="4"/>
  <c r="K5" i="4" s="1"/>
  <c r="D5" i="4"/>
  <c r="C47" i="2"/>
  <c r="C49" i="2" l="1"/>
  <c r="D47" i="2" s="1"/>
</calcChain>
</file>

<file path=xl/sharedStrings.xml><?xml version="1.0" encoding="utf-8"?>
<sst xmlns="http://schemas.openxmlformats.org/spreadsheetml/2006/main" count="1334" uniqueCount="832">
  <si>
    <t>Revenue matters too. The budget hole isn’t just costs; it’s also top line (ADM). Capturing even 100 additional K‑8 students ≈ $511k/year in base state aid (ignoring weights) at the FY26 base of $5,113 is real money; 200 ≈ $1.02M. (Add grade/need weights and it’s higher.) That’s why a growth lane belongs next to a fiscal discipline lane. Arizona Department of Education</t>
  </si>
  <si>
    <t>Chicago (2013): Long‑term negative math effects for students from closed schools; many displaced students did not land in top‑tier schools. Lesson: Overshoot has real, lasting costs. UChicago Consortium on School Research+2WTTW News+2</t>
  </si>
  <si>
    <t>Denver (2024–25): Rapid closures triggered community/legal blowback and ongoing governance churn; boards are now haggling over pauses and re‑plans midstream. Lesson: Force without consensus begets drag. Denver Public Schools+2Chalkbeat+2</t>
  </si>
  <si>
    <t>Kyrene (2025): Revision after hearings and feedback. Lesson: Iterate, publish, adjust—before the final vote. Kyrene Elementary School District+</t>
  </si>
  <si>
    <t>Campbell School of Innovation (2018→): District‑run innovation hub with design‑thinking focus that grew and exported practices. Lesson: A credible hub can strengthen a district’s brand and enrollment pull. Campbell Union School District+2Campbell Union School District+2</t>
  </si>
  <si>
    <t>As the Summary_Figures tab shows, maintaining the status quo is projected to be a persistent financial drain. This context makes difficult choices—whether investment or closure—more understandable as responses to an unsustainable trajectory.</t>
  </si>
  <si>
    <t>The central question is not simply whether closing a school saves more money than an optimistic growth plan might generate. Instead, the model frames the decision around three distinct strategic postures:</t>
  </si>
  <si>
    <t>1. Managed Decline: What is the financial cost of doing nothing and allowing trends to continue? (Scenario H)</t>
  </si>
  <si>
    <t>2. Strategic Consolidation: Can repurposing one or both schools produce a better financial outcome than managed decline? (Scenarios A, B, C)</t>
  </si>
  <si>
    <t>3. Strategic Investment: Can a focused investment in growth (e.g., an arts hub) reverse the decline and create a financial outcome superior to both other options? (Scenarios D, E, F, G)</t>
  </si>
  <si>
    <t xml:space="preserve">The model focuses on the "two-school universe" of Echo Canyon and Pima, but makes a connection to the wider district system via the new Receiving_Capacity tab. This worksheet calculates the number of K-5 and 6-8 students who would be displaced in each closure scenario and compares it against user-defined "spare seat" capacity across the district.   </t>
  </si>
  <si>
    <t>It allows decision-makers to consider the logistical consequences of closure. While the spare seat numbers themselves are currently unverified placeholders, the framework is in place. It suggests that a decision to close a school is simultaneously a decision to place a specific number of students into other, unnamed schools. This structure makes it clear that the model's financial outputs are contingent on the (to be explored) assumption that this absorption is logistically feasible and can be accomplished at the modeled cost.</t>
  </si>
  <si>
    <t xml:space="preserve">With the new baseline, the scenario rankings tell a compelling story. The most financially attractive options are now the "keep-open and grow" scenarios, such as D_Grow_Both_Targets, which projects a 5-year average financial improvement of nearly $2 million over the decline baseline. Even the most favorable closure scenario, A_Repurpose_Both_lease, offers a smaller improvement of only ~$671,000 over the same baseline.   </t>
  </si>
  <si>
    <t>This leads to a clear, albeit challenging, conclusion: the model shows that if the ambitious enrollment growth targets can be achieved, a strategy of investment and revitalization is financially superior to both managed decline and consolidation.</t>
  </si>
  <si>
    <t xml:space="preserve">The validity of the results, therefore, hinges almost entirely on the plausibility of those growth assumptions. The model correctly identifies this as the pivotal question. It no longer presents a single "best" answer but instead highlights that the optimal financial path is contingent on the district's confidence in its ability to attract and retain new students in a climate of overall enrollment decline. </t>
  </si>
  <si>
    <t>xxxxxxxxxxxxxxx</t>
  </si>
  <si>
    <t>Frame the Problem with the Baseline: Begin by presenting the H_StatusQuo_Decline scenario. This establishes the shared problem: the current trajectory is not financially sustainable. This is the "why" behind the need for a difficult conversation.</t>
  </si>
  <si>
    <t xml:space="preserve">Present Scenarios as Strategic Choices: Group the scenarios into the three strategic postures: "Manage Decline," "Consolidate," and "Invest to Grow." Walk through one example from each category, using the One_to_One_Comparison sheet to show how the different assumptions (especially retention and growth) drive the different financial outcomes.   </t>
  </si>
  <si>
    <t>Focus on the "Swing" Variables: The discussion should be guided toward the model's most influential and uncertain assumptions. The key questions for the community and Board are not about the spreadsheet's formulas, but about the real-world inputs:</t>
  </si>
  <si>
    <t>How realistic are the enrollment growth targets for a new arts or innovation hub?</t>
  </si>
  <si>
    <t>What is a realistic post-closure retention rate for a choice school like Echo Canyon?</t>
  </si>
  <si>
    <t>Which specific schools have the capacity to receive students, and what are the true costs associated with that transition?</t>
  </si>
  <si>
    <t>xxxxxxxxx</t>
  </si>
  <si>
    <t>district administration to pursue the following data-gathering initiatives:</t>
  </si>
  <si>
    <t>1. Validate Enrollment Projections: Commission a formal market and feasibility study to assess the realism of the growth targets in the "Invest to Grow" scenarios.</t>
  </si>
  <si>
    <t>2. Conduct a System-Wide Capacity Analysis: Move beyond the placeholder numbers and perform a detailed, school-by-school audit of available classroom space at potential receiving schools to determine the logistical feasibility and true cost of consolidation.</t>
  </si>
  <si>
    <t>3. Refine Site-Level Costs: Task the finance department with populating the Site_Fixed tab with actual FY25 fixed M&amp;O expenditures for Echo Canyon and Pima. This will replace the last major cost proxy with hard data.</t>
  </si>
  <si>
    <t>Two more existential concerns:</t>
  </si>
  <si>
    <t>(1) When moving to the valley, we were school-led for our daughters.  We toured schools in Phoenix, Mesa, and Scottsdale.  We decided to live in Scottsdale after we found Echo Canyon.  This is not to specifically say that SUSD should not close Echo Canyon.  It is to say - there are I think more people like us &lt;&lt;tie to research / statistics... if possible link to Scottsdale benchmarks historically&gt;&gt;, who are somewhat school-led when they move to the greater Phoenix area.  If we believed that SUSD was not a 'stable' district with a clear vision and plan for the next e.g. 5 years that we could rely on, we would not have chosen to live here.  Even if you close Echo, you need to have a clear and transparently published plan for the future, or I think your forecast for declining enrollment will very much become a viscious cycle.  A forecast for decline plus unplanned relatively extreme actions (like closing) I think make the decline a self-fulfilling prophecy.</t>
  </si>
  <si>
    <t>(2) If multiple adjacent districts in greater Phoenix are, simultaneously, responding to an 'inevitable' enrollment cliff by closing schools, how many total displaced students will we have?  And - knowing that displacing students does have an effect on short to medium and even long term outcomes (negatively) &lt;&lt;link to general research here... also - any benchmarks on cross-district closings?&gt;&gt; - disproportionately so for under-resourced families - are we going to look back on this 1 or 2 year stretch of closures to see significant, unrecoverable negative outcome impacts?</t>
  </si>
  <si>
    <t>Closures across arizona - if we are displacing 1000s of kids within 1 or 2 years… and putting them in a situation that is probably not as good… I think we are at risk of having a very notable performance decline trend.  Is there any incentive for SUSD to look up one level to the state-wide or greater Phoenix level - to think about the trajectory and vision and strategy there?  … potentially to take a lead role in that effort?  &lt;&lt;find out what other districts are talking about closing schools… and outside-in hypothesize (look for analogs) what might happen if there are mass closures and displacements across greater Phoenix over the course of 1 or 2 years - will we look back on this with regret and realize we made a collective mistake when we see the effect on outcomes for our kids across greater Phoenix?… Is this a chance for SUSD to rise above and take the lead on having this conversation and exploring the potential overall implications here if there is no coordination across districts?  Isn’t it worth taking 1 year to do that while you get clarity on the numbers and expected outcomes for the different scenarios?  So you’ll be ready to go - with everyone on board - if you can’t hit targets and can’t come up with a higher level strategy that works..?&gt;&gt;</t>
  </si>
  <si>
    <t>xxxxxxx</t>
  </si>
  <si>
    <t>If someone can make the case on a growth strategy initiative (eg arts hub; innovation hub)… or if the  district has real questions about retention or rate of fixed cost reduction from a repurpose, then this is worth using to analyze keep-open scenarios.  Otherwise, this is useful to xx</t>
  </si>
  <si>
    <t>Not claiming it is perfectly accurate.  But - it is backed by real data (or I think reasonable assumptions when deriving data) - and, as a sense check - the difference is directionally close to the $900K per school quoted by the superintendent’s team when talking about how much they would save with a repurpose</t>
  </si>
  <si>
    <t>xxxx</t>
  </si>
  <si>
    <t>Right‑size with published gates. On the budget metric that matters locally—net M&amp;O after state aid—closing both schools (A) looks cheaper given today’s assumptions. But that hinges on two levers: (1) how quickly fixed carry truly burns off, and (2) how costly those additional students really are at under‑capacity sites.</t>
  </si>
  <si>
    <t>With realistic slack, the marginal cost of adding students is well below full average MO$, and co‑location or a focused growth lane can quickly close the gap while avoiding 250–550 forced moves and preserving district distinctiveness.</t>
  </si>
  <si>
    <t>Publish the gates (enrollment/utilization, carry‑down, and receiving overhead) and evaluate relevant repurpose / co-location / operational growth / strategic growth scenarios against the same scoreboard next fall. If the gates aren’t met, you still have A. If they are, parents and students avoid a disruptive move for almost no budget advantage.</t>
  </si>
  <si>
    <t>xxxxx</t>
  </si>
  <si>
    <t>Repurpose can “win” against steady‑state (or even operational growth scenarios) pretty easily if the district both (a) retains a high share of students and (b) actually de‑loads fixed cost quickly. If either wobbles, the financial edge shrinks—and you still absorb the disruption.  if someone can develop a credible growth strategy (e.g. arts hub; innovation hub) with moderate growth assumptions, then the financial edge might even flip -- and that would be a huge reputation and family and student outcome win for susd.</t>
  </si>
  <si>
    <t>Pushback pre‑answers (tightened):</t>
  </si>
  <si>
    <t>“Families might flee if we talk early.” → Phase‑2 schools already know; we’re closing anyway—engagement beats silence.</t>
  </si>
  <si>
    <t>“Pre‑K repurpose fixes it.” → Pre‑K isn’t in ADM; needs a tuition/grant pro forma or it reduces revenue capacity.</t>
  </si>
  <si>
    <t>“Demographics are destiny.” → Maybe—but scottsdale itself is still growing.  top line matters: a growth lane (captures + magnets) can sit beside fiscal discipline and help drive enrollment growth.</t>
  </si>
  <si>
    <t>xxxxxx</t>
  </si>
  <si>
    <t>Open: “We’re not asking you to never repurpose; we’re asking you to publish the gates and use Echo/Pima as your fast growth pilots.”</t>
  </si>
  <si>
    <t>Show one card: “To beat Co‑Location by FY2030 under these inputs, closures would need retention ≥ r* and carry down to f. If retention slips or carry lingers, the edge evaporates—and we’ve moved hundreds of students in the meantime.”</t>
  </si>
  <si>
    <t>Human tile: “This keep‑open path serves ~4xx–7xx kids in SUSD by FY2030 and avoids ~257–553 forced moves.”</t>
  </si>
  <si>
    <t>Close: “Adopt right‑size with guardrails. If we miss the published gates, we’ll support repurposing—earned.”</t>
  </si>
  <si>
    <t>This is not “save Echo at all costs.” It’s consistent with SUSD’s own emphasis on growing enrollment and future‑ready instruction—a growth/innovation lane next to fiscal discipline, with Echo/Pima as the lowest‑friction pilots.</t>
  </si>
  <si>
    <t>“This delays the inevitable.” → We’re asking for published gates (300+ students, utilization X%) with a date certain. If we miss, we’ll support the district’s decision.</t>
  </si>
  <si>
    <t xml:space="preserve">This plan sits in SUSD’s own lane: the district has public WIGs to grow enrollment and push on future‑ready instruction; Echo/Pima are Blue Zones Approved and already run like a pilot lab, making them logical places to prove the growth play with the least friction (and fastest read). (This matches the “right‑size with guardrails” strategy we drafted earlier.) </t>
  </si>
  <si>
    <t>Decline in SUSD enrollment over the past x years - from downward demographic trends on the demand side and an influx of new options (charter schools) on the supply side - is clear.</t>
  </si>
  <si>
    <t>A benchmark of school districts, both inside and outside of Arizona, facing similar challenges in recent years, provides a glimpse into key considerations and potential trajectories from here.  &lt;&lt;working note – can we find more cases - and we can see when it works and it doesn’t (whether it is ‘in our favor’ or not) - and maybe we can identify consistent threads across these cases.. And identify watch-outs and learnings&gt;&gt;</t>
  </si>
  <si>
    <t>Analysis of scenarios - including re-purpose - is enclosed.  Sources have been noted.  Where data (or context) were lacking, assumptions have been identified.  </t>
  </si>
  <si>
    <t>Findings point to the following refined strategy for SUSD:</t>
  </si>
  <si>
    <t>Right‑size with guardrails</t>
  </si>
  <si>
    <t>Publish a decision rubric and targets, establish a dedicated growth lane, and use Echo and / or Pima as the fastest, lowest‑friction place(s) to pilot a new growth initiative </t>
  </si>
  <si>
    <t>If targets are missed, the district will have the data and consensus to move forward</t>
  </si>
  <si>
    <t>If targets are hit, the district will have money, momentum, and a playbook for the rest of Phase I/II</t>
  </si>
  <si>
    <t>In any case - analysis suggests that, with assumed ‘bolt-on’ operational uplift actions (described below), a target miss for the growth strategy scenario is not ‘fatal’; it is only slightly worse than the re-purpose scenario in terms of estimated budget impact - and is, arguably, better in terms of student / family stability and presumed district image / perception</t>
  </si>
  <si>
    <t>Would a “growth lane” make sense as a district‑level pillar—or would we be forcing it for Echo / Pima?</t>
  </si>
  <si>
    <t>Growth is already explicitly on SUSD’s scoreboard.</t>
  </si>
  <si>
    <t>The Superintendent’s September message sets two Wildly Important Goals (WIGs) for 2025‑26: “strengthening math achievement and growing enrollment.” Scottsdale Unified School District</t>
  </si>
  <si>
    <t>SUSD’s Strategic Plan page shows a district WIG to increase student enrollment by +1% and links to the Strategic Plan artifacts. That’s literal “growth lane” language. Scottsdale Unified School District</t>
  </si>
  <si>
    <t>The district is publishing AI use guidelines (future‑facing instruction) and maintains a robust IT program (1:1, device checkout, digital literacy). Those are signals that innovation and future‑ready learning are district priorities—not niche extras. Cloudinary+1</t>
  </si>
  <si>
    <t>SUSD staff are also featured in national K‑12 innovation conversations (CoSN), which underscores an appetite for piloting and scaling what works. ScottsdaleAZ</t>
  </si>
  <si>
    <t>So a “growth + innovation” lane is not just about saving Echo; it’s aligned with SUSD’s stated direction. The question is where to operationalize it… </t>
  </si>
  <si>
    <t>Why would the Innovation Hub need to be at Echo?</t>
  </si>
  <si>
    <t>1. It’s already working here. Echo &amp; Pima are Blue Zones Approved—a recognized wellness/engagement platform that pairs naturally with design thinking/innovation narratives. That’s rare &amp; portable. Scottsdale Unified School District+1</t>
  </si>
  <si>
    <t>2. Purpose‑built K‑8 with space to pilot. Echo’s SFB capacity ~766 in a 77k sq. ft. plant lets you phase labs/studios without displacing fully‑utilized programs elsewhere. Under‑capacity, in this case, is a sandbox advantage. BoardDocs</t>
  </si>
  <si>
    <t>3. Open‑enrollment identity. Echo already pulls across boundaries, making it ideal for district‑wide pilots and “export” of practices. (That’s how CSI in Campbell USD scaled design‑thinking district‑wide.) Campbell School of Innovation</t>
  </si>
  <si>
    <t>4. Comparable precedent. Campbell School of Innovation (San Jose) opened in 2018 intentionally as a district innovation hub (TK‑8), grew enrollment, and spread practices to other schools—showing the “hub and export” model works. Campbell Union School District+2Campbell Union School District+2</t>
  </si>
  <si>
    <t>5. Staff culture &amp; family buy‑in. What you’re seeing on the ground (gardens, chef, looping, inclusion, close‑knit culture) is part of the “secret sauce.” Moving the hub elsewhere risks rebuild friction that burns time the district says it doesn’t have.</t>
  </si>
  <si>
    <t>If the question is “why not put the hub where there’s no enrollment problem?”—the answer is speed-to-value: Echo’s assets mean lower startup friction, faster prototypes, and cleaner measurement, while preserving community value.</t>
  </si>
  <si>
    <t>xxx</t>
  </si>
  <si>
    <t>Echo &amp; Pima — Go-forward scenario comparison view</t>
  </si>
  <si>
    <t>Scenarios (CHOOSE)</t>
  </si>
  <si>
    <t>Description</t>
  </si>
  <si>
    <t>Assumed enrollment change (over 3 yrs)</t>
  </si>
  <si>
    <t>E1_StatusQuo_Decline</t>
  </si>
  <si>
    <t>A2_Repurpose_Both_lease</t>
  </si>
  <si>
    <t>Notes:  Assumptions reflect: r (retention assumptions), override, marginal factor (e.g. assumed reduced variable cost to add new students), trend flags; h (receiving schools transportation route adjustment premium) tapers yearly.  Receiving site should not exceed spare seats + portables</t>
  </si>
  <si>
    <t>Year</t>
  </si>
  <si>
    <t>Operating Net$ (Base)</t>
  </si>
  <si>
    <t>Operating Net$ (Comparator)</t>
  </si>
  <si>
    <t>FY2026</t>
  </si>
  <si>
    <t>FY2027</t>
  </si>
  <si>
    <t>FY2028</t>
  </si>
  <si>
    <t>FY2029</t>
  </si>
  <si>
    <t>FY2030</t>
  </si>
  <si>
    <t>Assumptions (from Parameters_Public / Control_Center)</t>
  </si>
  <si>
    <t>Retention r (Echo central)</t>
  </si>
  <si>
    <t>Retention r (Pima central)</t>
  </si>
  <si>
    <t>MarginalFactor_for_Overlay</t>
  </si>
  <si>
    <t>Override %</t>
  </si>
  <si>
    <t>Override toggle (0/1)</t>
  </si>
  <si>
    <t>• Keep-open ops savings (fraction of MO):</t>
  </si>
  <si>
    <t>• Extra savings for co-location (fraction of MO):</t>
  </si>
  <si>
    <t>• Routing/admin overhead h tapers by year (see YearMap). Try ±20% sensitivity when routing assumptions are uncertain.</t>
  </si>
  <si>
    <t>Interpretation</t>
  </si>
  <si>
    <t>One-time Capital FY 2026 (Base)</t>
  </si>
  <si>
    <t>One-time Capital FY 2026 (Comparator)</t>
  </si>
  <si>
    <t>Avg Net (FY26–30) (Base)—rounded</t>
  </si>
  <si>
    <t>Avg Net (FY26–30) (Comparator)—rounded</t>
  </si>
  <si>
    <t>Δ vs Base (Avg FY26–30)—rounded</t>
  </si>
  <si>
    <t>FY2030 Net (Base)—rounded</t>
  </si>
  <si>
    <t>FY2030 Net (Comparator)—rounded</t>
  </si>
  <si>
    <t>Δ vs Base (FY2030)—rounded</t>
  </si>
  <si>
    <t>Students displaced (FY26) (Base)</t>
  </si>
  <si>
    <t>Students displaced (FY26) (Comparator)</t>
  </si>
  <si>
    <t>Students served (FY2030) (Base)</t>
  </si>
  <si>
    <t>Students served (FY2030) (Comparator)</t>
  </si>
  <si>
    <t>Break‑Even Calculator (Operating)</t>
  </si>
  <si>
    <t>Baseline (repurpose) Scenario</t>
  </si>
  <si>
    <t>Years shown</t>
  </si>
  <si>
    <t>FY2026 &amp; FY2030</t>
  </si>
  <si>
    <t>Metric</t>
  </si>
  <si>
    <t>mᵗ: Incremental margin per added ADM</t>
  </si>
  <si>
    <t>Sᵗ: Fixed savings − retention overhead</t>
  </si>
  <si>
    <t>ΔADM_disp: Displaced under baseline repurpose</t>
  </si>
  <si>
    <t>N*: Added students growth needs to tie baseline repurpose</t>
  </si>
  <si>
    <t>r*: Minimum retention for repurpose to tie growth</t>
  </si>
  <si>
    <t>Notes:</t>
  </si>
  <si>
    <t>Baseline must be a repurpose scenario (A1/A2).</t>
  </si>
  <si>
    <t>mᵗ uses YearMap (Aid + Override_if_on + Uplift − VarUnit$ − Growth_overhead).</t>
  </si>
  <si>
    <t>Sᵗ = fixed savings credited (Echo+Pima) minus retention overhead (Retained_ADM × h).</t>
  </si>
  <si>
    <t>N* and r* are shown for FY2026 (transition year) and FY2030 (steady state).</t>
  </si>
  <si>
    <t xml:space="preserve">Base (for comparison):  </t>
  </si>
  <si>
    <t>Chart titles</t>
  </si>
  <si>
    <t>Scenario key</t>
  </si>
  <si>
    <t>Scenario</t>
  </si>
  <si>
    <t>One-time Capital (FY26)</t>
  </si>
  <si>
    <t>Net FY26 Operational $</t>
  </si>
  <si>
    <t>Net FY28 Operational $</t>
  </si>
  <si>
    <t>Net FY30 Operational $</t>
  </si>
  <si>
    <t>AVG 5-yr net operational $</t>
  </si>
  <si>
    <t>Displaced students</t>
  </si>
  <si>
    <t>Served students FY30</t>
  </si>
  <si>
    <t>Δ vs Base (FY2030 Net)</t>
  </si>
  <si>
    <t>Δ vs Base (5-yr Avg Net)</t>
  </si>
  <si>
    <t>F1_CUSTOM1</t>
  </si>
  <si>
    <t>E3_StatusQuo_Targets</t>
  </si>
  <si>
    <t>D3_CoLocation_Echo_Targets</t>
  </si>
  <si>
    <t>D1_Grow_Both_Targets</t>
  </si>
  <si>
    <t>E2_StatusQuo_Steady</t>
  </si>
  <si>
    <t>D2_EchoGHubRamp_PimaTargets</t>
  </si>
  <si>
    <t>A1_Repurpose_Both_ops</t>
  </si>
  <si>
    <t>B2_Repurpose_Echo_lease_PimaTargets</t>
  </si>
  <si>
    <t>B1_Repurpose_Echo_ops_PimaTargets</t>
  </si>
  <si>
    <t>C2_Repurpose_Pima_lease_EchoGHub_EchoTargets</t>
  </si>
  <si>
    <t>C1_Repurpose_Pima_ops_EchoGHub_EchoTargets</t>
  </si>
  <si>
    <t>Note:  Displaced = FY26; Served = FY30. Net = M&amp;O − (Aid + Override + Uplift); showing one-time capital (fy26) as negative number for visualization purposes</t>
  </si>
  <si>
    <t>ScenarioKey</t>
  </si>
  <si>
    <t>Label</t>
  </si>
  <si>
    <t>Overlay</t>
  </si>
  <si>
    <t>CloseEcho</t>
  </si>
  <si>
    <t>ClosePima</t>
  </si>
  <si>
    <t>EchoShareDist</t>
  </si>
  <si>
    <t>ExtraSave</t>
  </si>
  <si>
    <t>Notes</t>
  </si>
  <si>
    <t>Overlay_FY26</t>
  </si>
  <si>
    <t>Overlay_FY27</t>
  </si>
  <si>
    <t>Overlay_FY28</t>
  </si>
  <si>
    <t>Overlay_FY29</t>
  </si>
  <si>
    <t>Overlay_FY30</t>
  </si>
  <si>
    <t>Carry</t>
  </si>
  <si>
    <t>Growth_Echo</t>
  </si>
  <si>
    <t>Growth_Pima</t>
  </si>
  <si>
    <t>Apply_Echo_Trend</t>
  </si>
  <si>
    <t>Apply_Pima_Trend</t>
  </si>
  <si>
    <t>Baseline + outreach; no closures</t>
  </si>
  <si>
    <t>None</t>
  </si>
  <si>
    <t>Baseline + targets; no closures</t>
  </si>
  <si>
    <t>Shared‑use efficiencies later (no closure)</t>
  </si>
  <si>
    <t>Baseline +100 overlay</t>
  </si>
  <si>
    <t>Innov</t>
  </si>
  <si>
    <t>Arts</t>
  </si>
  <si>
    <t>Baseline +150 overlay</t>
  </si>
  <si>
    <t>Time‑phased ramp (+50,+100,+150 years 1–3)</t>
  </si>
  <si>
    <t>Repurpose both; lease/sale glide</t>
  </si>
  <si>
    <t>lease</t>
  </si>
  <si>
    <t>Repurpose both; operations carry</t>
  </si>
  <si>
    <t>ops</t>
  </si>
  <si>
    <t>Repurpose Echo only; lease glide</t>
  </si>
  <si>
    <t>Repurpose Echo only; ops carry</t>
  </si>
  <si>
    <t>Repurpose Pima only; lease glide</t>
  </si>
  <si>
    <t>Repurpose Pima only; ops carry</t>
  </si>
  <si>
    <t>Echo &amp; Pima open; no operational or strategic growth actions; enrollment decline trend continues</t>
  </si>
  <si>
    <t>Keep open but decline per district forecast</t>
  </si>
  <si>
    <t>Echo_ADM</t>
  </si>
  <si>
    <t>Pima_ADM</t>
  </si>
  <si>
    <t>Total_ADM</t>
  </si>
  <si>
    <t>VarUnit$</t>
  </si>
  <si>
    <t>EchoFixed$</t>
  </si>
  <si>
    <t>PimaFixed$</t>
  </si>
  <si>
    <t>Key</t>
  </si>
  <si>
    <t>OpsFactor</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</si>
  <si>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</si>
  <si>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</si>
  <si>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</si>
  <si>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</si>
  <si>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</si>
  <si>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</si>
  <si>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</si>
  <si>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</si>
  <si>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</si>
  <si>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</si>
  <si>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</si>
  <si>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</si>
  <si>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</si>
  <si>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</si>
  <si>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</si>
  <si>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</si>
  <si>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</si>
  <si>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</si>
  <si>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</si>
  <si>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</si>
  <si>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Net$</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</si>
  <si>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</si>
  <si>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</si>
  <si>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</si>
  <si>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</si>
  <si>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</si>
  <si>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</si>
  <si>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</si>
  <si>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</si>
  <si>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</si>
  <si>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Req_K5</t>
  </si>
  <si>
    <t>Req_6_8</t>
  </si>
  <si>
    <t>Spare_K5</t>
  </si>
  <si>
    <t>Spare_6_8</t>
  </si>
  <si>
    <t>Short_K5</t>
  </si>
  <si>
    <t>Short_6_8</t>
  </si>
  <si>
    <t>Public Inputs — Audited Baselines and Overrides (Phase A)</t>
  </si>
  <si>
    <t>ADM (official)</t>
  </si>
  <si>
    <t>Values</t>
  </si>
  <si>
    <t>Notes2</t>
  </si>
  <si>
    <t>Echo 40th</t>
  </si>
  <si>
    <t>Use Day (40 or 100)</t>
  </si>
  <si>
    <t>Estimate used at this point; need to replace.  Find official 40th day ADM for Echo (enter audited)</t>
  </si>
  <si>
    <t>Echo 100th</t>
  </si>
  <si>
    <t>Echo_ADM0 (selected)</t>
  </si>
  <si>
    <t>Estimate used at this point; need to replace.  Find official 100th day ADM for Echo (enter audited)</t>
  </si>
  <si>
    <t>Pima 40th</t>
  </si>
  <si>
    <t>Pima_ADM0 (selected)</t>
  </si>
  <si>
    <t>Estimate used at this point; need to replace.  Find official 40th day ADM for Pima (enter audited)</t>
  </si>
  <si>
    <t>Pima 100th</t>
  </si>
  <si>
    <t>Estimate used at this point; need to replace.  Find official 100th day ADM for Pima (enter audited)</t>
  </si>
  <si>
    <t>Choose which count the model uses (40 or 100).</t>
  </si>
  <si>
    <t>Model‑read Echo_ADM0 selected based on 40/100 day switch.</t>
  </si>
  <si>
    <t>Model‑read Pima_ADM0 selected based on 40/100 day switch.</t>
  </si>
  <si>
    <t>M&amp;O/ADM (district), audited (ACFR)</t>
  </si>
  <si>
    <t>M_O_per_ADM_Audited</t>
  </si>
  <si>
    <t>Estimate used (based on xx) at this point.  Enter the audited districtwide Maintenance &amp; Operations cost per ADM from the latest ACFR/Adopted Budget. Used as the FY25 base.</t>
  </si>
  <si>
    <t>Override — property‑tax override</t>
  </si>
  <si>
    <t>Override percent</t>
  </si>
  <si>
    <t>Districtwide override percent (e.g., 15%; from xx).</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</si>
  <si>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</si>
  <si>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</si>
  <si>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</si>
  <si>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</si>
  <si>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</si>
  <si>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t>
  </si>
  <si>
    <t>Other General Fund revenue per served ADM (optional uplift)</t>
  </si>
  <si>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</si>
  <si>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</si>
  <si>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t>Aid per ADM annual growth</t>
  </si>
  <si>
    <t>Assuming aid grows around the same rate as cost inflation.</t>
  </si>
  <si>
    <t>Retention r — Echo (central)</t>
  </si>
  <si>
    <t>Share of displaced Echo students re-enrolling in SUSD (0–1).  As a choice school with 50% or more of families living outside the district, we can assume this will be lower than Pima.</t>
  </si>
  <si>
    <t>Retention r — Pima (central)</t>
  </si>
  <si>
    <t>Share of displaced Pima students re-enrolling in SUSD (0–1).  Not a significant amount of research on retention from closed schools; Chicago public retained 90%+ of students who were majority in boundaries when closing schools.</t>
  </si>
  <si>
    <t>Capital Treatment &amp; Growth Capex (DRAFT placeholders)</t>
  </si>
  <si>
    <t>Include TI in Operating M&amp;O? (0/1)</t>
  </si>
  <si>
    <t>0 = treat TI as capital (exclude from operating nets); 1 = include TI in Comparable_MO$</t>
  </si>
  <si>
    <t>TI per closed site (one-time)</t>
  </si>
  <si>
    <t>TI is xx; 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</si>
  <si>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</si>
  <si>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</si>
  <si>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</si>
  <si>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</si>
  <si>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</si>
  <si>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</si>
  <si>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</si>
  <si>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</si>
  <si>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</si>
  <si>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</si>
  <si>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</si>
  <si>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</si>
  <si>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</si>
  <si>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</si>
  <si>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</si>
  <si>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</si>
  <si>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</si>
  <si>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</si>
  <si>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</si>
  <si>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</si>
  <si>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Assuming marginal cost of new students from growth (assuming there is available capacity in Echo and Pima; ideally, this would be a step function)</t>
  </si>
  <si>
    <t>Echo ADM trend default</t>
  </si>
  <si>
    <t>Default enrollment trend from forecasts; placeholder value for now -- need to verify this</t>
  </si>
  <si>
    <t>Pima ADM trend default</t>
  </si>
  <si>
    <t>Growth overhead per added ADM (α × h)</t>
  </si>
  <si>
    <t>Assuming some incremental transportation overhead for growth-related new students; we model it as a percentage of closed school transition-related incremental transportation overhead</t>
  </si>
  <si>
    <t>Incremental uplift alpha (overlay share of base uplift)</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</si>
  <si>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</si>
  <si>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</si>
  <si>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</si>
  <si>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</si>
  <si>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</si>
  <si>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</si>
  <si>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</si>
  <si>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</si>
  <si>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</si>
  <si>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</si>
  <si>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</si>
  <si>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</si>
  <si>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</si>
  <si>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</si>
  <si>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</si>
  <si>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</si>
  <si>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</si>
  <si>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</si>
  <si>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</si>
  <si>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</si>
  <si>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</si>
  <si>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</si>
  <si>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</si>
  <si>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</si>
  <si>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</si>
  <si>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</si>
  <si>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</si>
  <si>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</si>
  <si>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</si>
  <si>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</si>
  <si>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</si>
  <si>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</si>
  <si>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</si>
  <si>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</si>
  <si>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</si>
  <si>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</si>
  <si>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</si>
  <si>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</si>
  <si>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</si>
  <si>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</si>
  <si>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</si>
  <si>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</si>
  <si>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</si>
  <si>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</si>
  <si>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Echo &amp; Pima open; uplift warm handoff effort (intra-SUSD); initiate cross-district marketing</t>
  </si>
  <si>
    <t>Status‑Quo + Op Growth Targets</t>
  </si>
  <si>
    <t>F. Co‑Location @ Echo (0)</t>
  </si>
  <si>
    <t>Echo &amp; Pima open; co-locate e.g. district teacher learning center at Echo; uplift warm handoff effort (intra-SUSD); initiate cross-district marketing</t>
  </si>
  <si>
    <t>Co‑Location @ Echo + Op Growth Targets</t>
  </si>
  <si>
    <t>D. Grow Both (Overlay 100)</t>
  </si>
  <si>
    <t>Echo &amp; Pima open; growth initiatives Echo (e.g. innovation) &amp; Pima (e.g. arts); uplift warm handoff effort (intra-SUSD); initiate cross-district marketing</t>
  </si>
  <si>
    <t>Grow Both + Op Growth Targets</t>
  </si>
  <si>
    <t>D. Grow Both (Overlay 150)</t>
  </si>
  <si>
    <t>Echo &amp; Pima open; no operational or strategic growth actions; no change in enrollment</t>
  </si>
  <si>
    <t>CUSTOM_KeepOpen_v2</t>
  </si>
  <si>
    <t>G. D‑Hub @ Echo (Ramp 50→100→150)</t>
  </si>
  <si>
    <t>Echo &amp; Pima open; growth initiative Echo (e.g. innovation); no growth initiative Pima; uplift warm handoff effort (intra-SUSD); initiate cross-district marketing</t>
  </si>
  <si>
    <t>Growth Hub @ Echo + Status-Quo Pima + Op Growth Targets</t>
  </si>
  <si>
    <t>A. Repurpose BOTH (lease)</t>
  </si>
  <si>
    <t>Repurpose both Echo &amp; Pima; lease both properties; fixed cost reduction rate, retention %, and transition cost assumptions are key drivers</t>
  </si>
  <si>
    <t>Repurpose BOTH (lease)</t>
  </si>
  <si>
    <t>A. Repurpose BOTH (ops)</t>
  </si>
  <si>
    <t>Repurpose both Echo &amp; Pima; operationally convert both properties (e.g. early learning center); fixed cost reduction rate, retention %, and transition cost assumptions are key drivers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</si>
  <si>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</si>
  <si>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</si>
  <si>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</si>
  <si>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</si>
  <si>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</si>
  <si>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</si>
  <si>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</si>
  <si>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</si>
  <si>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</si>
  <si>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</si>
  <si>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</si>
  <si>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</si>
  <si>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</si>
  <si>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</si>
  <si>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</si>
  <si>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</si>
  <si>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</si>
  <si>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</si>
  <si>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</si>
  <si>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</si>
  <si>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</si>
  <si>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</si>
  <si>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</si>
  <si>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</si>
  <si>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</si>
  <si>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Share treated as semi‑fixed (plant/insurance).</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</si>
  <si>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</si>
  <si>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</si>
  <si>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</si>
  <si>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</si>
  <si>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</si>
  <si>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</si>
  <si>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</si>
  <si>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</si>
  <si>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</si>
  <si>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</si>
  <si>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</si>
  <si>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</si>
  <si>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</si>
  <si>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</si>
  <si>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</si>
  <si>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</si>
  <si>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</si>
  <si>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</si>
  <si>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</si>
  <si>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</si>
  <si>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</si>
  <si>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</si>
  <si>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  Setting equal to assumed inflation rate as starting point assumption</t>
  </si>
  <si>
    <t>YearIdx</t>
  </si>
  <si>
    <t>Aid$</t>
  </si>
  <si>
    <t>Orig h</t>
  </si>
  <si>
    <t>Orig f_lease</t>
  </si>
  <si>
    <t>Orig f_ops</t>
  </si>
  <si>
    <t>Override_per_ADM</t>
  </si>
  <si>
    <t>Uplift_per_ADM</t>
  </si>
  <si>
    <t>Growth_overhead_per_ADM</t>
  </si>
  <si>
    <t>Uplift_incr_per_ADM</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</si>
  <si>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</si>
  <si>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</si>
  <si>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</si>
  <si>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</si>
  <si>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</si>
  <si>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</si>
  <si>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</si>
  <si>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</si>
  <si>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</si>
  <si>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</si>
  <si>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</si>
  <si>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</si>
  <si>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</si>
  <si>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t>
  </si>
  <si>
    <t>Parameter / input</t>
  </si>
  <si>
    <t>Description / how we used it</t>
  </si>
  <si>
    <t>How derived</t>
  </si>
  <si>
    <t>Public source link</t>
  </si>
  <si>
    <t>What to request to confirm / refine</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</si>
  <si>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</si>
  <si>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</si>
  <si>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</si>
  <si>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</si>
  <si>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</si>
  <si>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</si>
  <si>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</si>
  <si>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</si>
  <si>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Arizona Senate Issue Brief – K‑12 School Finance (official, widely used reference). Shows the Base Level Amount (FY 2024‑25 = $5,013.33), the factor that (with district weights) drives state aid. ADE lists the same figure in its finance materials.</t>
  </si>
  <si>
    <t>ADE School Finance memo for FY2025 base level (final), plus any FY2026 update; SUSD’s per‑pupil revenue schedule (by weight) if you want to add K‑8 weights locally.</t>
  </si>
  <si>
    <t>Echo Canyon base ADM (≈257)</t>
  </si>
  <si>
    <t>Baseline students “served” in keep‑open scenarios</t>
  </si>
  <si>
    <t>ADE School Report Cards / Arizona Education Profiles (school pages) + SUSD 40th‑day board reports for Echo Canyon’s latest K‑8 enrollment ADE school page data used.</t>
  </si>
  <si>
    <t>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</si>
  <si>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</si>
  <si>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</si>
  <si>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</si>
  <si>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</si>
  <si>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</si>
  <si>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</si>
  <si>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</si>
  <si>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“Fixed‑like” share of M&amp;O ≈ 30–40% (used 30% as a conservative placeholder)</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</si>
  <si>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</si>
  <si>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</si>
  <si>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SUSD site‑level: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</si>
  <si>
    <t>M&amp;O Inflation</t>
  </si>
  <si>
    <t>AID inflation</t>
  </si>
  <si>
    <t>Using this term in the spreadsheet to mean growth of new students</t>
  </si>
  <si>
    <t>Not an official district term; just using in this spreadsheet</t>
  </si>
  <si>
    <t>Variable unit cost (VarUnit$)</t>
  </si>
  <si>
    <t>$ per student applied to “served ADM,” plus marginal‑cost factor on overlay seats</t>
  </si>
  <si>
    <t>Assumption derived from Fund 001 minus fixed share, divided by total ADM; then Marginal factor (see below) reduces cost for overlay seats.</t>
  </si>
  <si>
    <t>SUSD staffing ratios &amp; actual sectioning at K–8; confirm what portion of M&amp;O truly scales with added sections (teachers, aides, supplies, a slice of transport).</t>
  </si>
  <si>
    <t>Marginal‑cost factor for overlay seats (0.50)</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</si>
  <si>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</si>
  <si>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</si>
  <si>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SUSD’s teacher‑section &amp; aide staffing rules, average class sizes, and any marginal staffing adders at K–8 (arts, specialists).</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</si>
  <si>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</si>
  <si>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</si>
  <si>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t>
  </si>
  <si>
    <t>SUSD transportation cost per route-hour, average riders per route, and the specific route changes proposed in the repurpose option.</t>
  </si>
  <si>
    <t>Transportation / receiving overhead order‑of‑magnitude</t>
  </si>
  <si>
    <t>Our h parameter adds incremental per‑retained‑student cost (routing/transition/admin) only when a repurpose occurs, tapering as routes stabilize</t>
  </si>
  <si>
    <t>AAG district audits show cost per rider varies (several audited districts fall near $900–$1,100 per rider; others higher depending on geography), demonstrating the right order of magnitude for incremental routing burden. Examples: Safford USD 2022 $893 per rider; Snowflake USD 2023 $1,008 per rider.</t>
  </si>
  <si>
    <t>Keeping h = $1,000 → $300 (FY26→FY30) is defensible as incremental overhead, not full bus cost. Leave Parameters!h_FY values editable; note they should be zero in keep‑open scenarios (no forced transfers).</t>
  </si>
  <si>
    <t>Retention rate “r” (central 0.75; sensitivities 0.65–0.85)</t>
  </si>
  <si>
    <t>Share of displaced Echo+Pima students who remain in SUSD (the rest leave to charters/other districts)</t>
  </si>
  <si>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</si>
  <si>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</si>
  <si>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</si>
  <si>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</si>
  <si>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</si>
  <si>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SUSD facilities memo: timeline to partial/full mothball, target lease/sale timing, and which cost lines truly zero out under each scenario.</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</si>
  <si>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</si>
  <si>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</si>
  <si>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Assumption (placeholder).</t>
  </si>
  <si>
    <t>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</si>
  <si>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</si>
  <si>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</si>
  <si>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Ops savings (for keep-open scenarios)</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</si>
  <si>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</si>
  <si>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Scenario overlays (+0 / +100 / +150 / +200)</t>
  </si>
  <si>
    <t>Size of growth push in keep‑open options (D, F, G)</t>
  </si>
  <si>
    <t>Assumption based on capacity headroom + practical recruitment targets.</t>
  </si>
  <si>
    <t>SUSD SFB capacity for Echo/Pima and neighboring receiving schools; actual classroom/wing availability by grade band.</t>
  </si>
  <si>
    <t xml:space="preserve"> </t>
  </si>
  <si>
    <t>K–8 capacity / square footage</t>
  </si>
  <si>
    <t>Context for “utilization” and whether overlay targets are feasible</t>
  </si>
  <si>
    <t>Not yet populated; to be anchored to SFB (AZ School Facilities Board) capacity files and SUSD construction docs.</t>
  </si>
  <si>
    <t>SUSD/SFB: design capacity and current utilization for Echo &amp; Pima (post‑rebuild specs for Pima).</t>
  </si>
  <si>
    <t>Pre‑K contribution</t>
  </si>
  <si>
    <t>Excluded from ADM and revenue in the model (unless tuition/lease modeled)</t>
  </si>
  <si>
    <t>Supported by statute &amp; ADE finance practice—general Pre‑K does not generate state ADM (exception: SPED preschool). (Arizona Department of Education)</t>
  </si>
  <si>
    <t>If SUSD intends district‑operated tuition Pre‑K on site, request pro forma for net contribution (tuition – staffing – TI).</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</si>
  <si>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</si>
  <si>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</si>
  <si>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</si>
  <si>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</si>
  <si>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Model input / claim</t>
  </si>
  <si>
    <t>How we’re using it in the model</t>
  </si>
  <si>
    <t>Public source to cite (what to grab)</t>
  </si>
  <si>
    <t>How to apply in the file</t>
  </si>
  <si>
    <t>Parameter / Input</t>
  </si>
  <si>
    <t>Where it lives</t>
  </si>
  <si>
    <t>Notes on logic / calculation</t>
  </si>
  <si>
    <t>Source to use for final vetting</t>
  </si>
  <si>
    <t>Working average M&amp;O per student at FY25</t>
  </si>
  <si>
    <t>BaselineCalc</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</si>
  <si>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</si>
  <si>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</si>
  <si>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</si>
  <si>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</si>
  <si>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</si>
  <si>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Notes on Pima &amp; Echo fixed $ placeholders: The file allocates the fixed share across the two schools pro‑rata (by base ADM) as a temporary step. Replace with the actual plant ops/insurance/utilities/admin for each site from Fund 001 to remove that simplification.</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</si>
  <si>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</si>
  <si>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</si>
  <si>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</si>
  <si>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</si>
  <si>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</si>
  <si>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</si>
  <si>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</si>
  <si>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</si>
  <si>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</si>
  <si>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</si>
  <si>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</si>
  <si>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</si>
  <si>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</si>
  <si>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</si>
  <si>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</si>
  <si>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</si>
  <si>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Used to net out revenue: Net_MO_after_aid$ / Served_ADM</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</si>
  <si>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</si>
  <si>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</si>
  <si>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</si>
  <si>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</si>
  <si>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</si>
  <si>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</si>
  <si>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</si>
  <si>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</si>
  <si>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</si>
  <si>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</si>
  <si>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</si>
  <si>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</si>
  <si>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</si>
  <si>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Share of VarUnit$ applied to overlay seats</t>
  </si>
  <si>
    <t>Other_Parameters (v6 = 0.30)</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</si>
  <si>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</si>
  <si>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</si>
  <si>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</si>
  <si>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</si>
  <si>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</si>
  <si>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</si>
  <si>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</si>
  <si>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Item</t>
  </si>
  <si>
    <t>What it is</t>
  </si>
  <si>
    <t>How computed / used in the model</t>
  </si>
  <si>
    <t>Source (title / link / date)</t>
  </si>
  <si>
    <t>Notes / open questions</t>
  </si>
  <si>
    <t>ADM (Average Daily Membership)</t>
  </si>
  <si>
    <t>Statutory count used for AZ K‑12 funding; based on membership days (not attendance). Typically calculated using 40th‑day (days 1–40) and 100th‑day (days 41–100) reporting periods for 180‑day districts.</t>
  </si>
  <si>
    <t>We accept Echo_ADM0 and Pima_ADM0 from official 40th/100th day reports; dashboard selector lets you choose 40th vs 100th. If 200‑day calendars are used, ADE reconciles accordingly.</t>
  </si>
  <si>
    <t>A.R.S. §15‑901 (Definitions); ADE “ADM &amp; Student Data” explainer (40th/100th), ADE SDADMS75 “Understanding…” (report logic). (Arizona Legislature)</t>
  </si>
  <si>
    <t>Paste official Echo &amp; Pima 40th/100th counts once you have them. If the district uses different calendars, confirm ADE limiting rules.</t>
  </si>
  <si>
    <t>Districtwide ADM</t>
  </si>
  <si>
    <t>Total ADM used for district revenue context.</t>
  </si>
  <si>
    <t>Used to sanity‑check aid per ADM and override math; not directly required for Echo/Pima deltas.</t>
  </si>
  <si>
    <t>ADE School Finance – Guidelines &amp; Manuals (funding mechanics overview). (Arizona Department of Education)</t>
  </si>
  <si>
    <t>Optional in this model; helpful for cross‑checks (aid × ADM ≈ state base support).</t>
  </si>
  <si>
    <t>Fund 001 – Maintenance &amp; Operation (M&amp;O)</t>
  </si>
  <si>
    <t>The operating fund for day‑to‑day costs: instruction, support services, plant operations, admin, transportation, etc.</t>
  </si>
  <si>
    <t>Comparable_MO$ is the model’s operating envelope. We divide into fixed/semi‑fixed (plant ops/insurance/admin) vs variable (staffing/sections/supplies/transport slice).</t>
  </si>
  <si>
    <t>USFR (Uniform System of Financial Records) and AAG Operational vs Nonoperational guidance; SUSD ACFR/AFR references to Fund 001. (Auditor General)</t>
  </si>
  <si>
    <t>Replace the 30% proxy with Site_Fixed tab once you paste Echo/Pima FY25 fixed ledgers (Fund 001 functions).</t>
  </si>
  <si>
    <t>M&amp;O per ADM (district)</t>
  </si>
  <si>
    <t>District’s audited M&amp;O spend per ADM.</t>
  </si>
  <si>
    <t>Used as Base_MO_per_ADM (Parameters_Public). Placeholder = working proxy until you paste audited figure; drives variable cost scaling.</t>
  </si>
  <si>
    <t>SUSD Adopted/Amended Budget &amp; AFR/ACFR pages (official spend &amp; enrollment); SUSD Budget page links to ADE budget files. (Scottsdale Unified School District)</t>
  </si>
  <si>
    <t>Paste FY24/25 audited M&amp;O/ADM when available to tighten variable cost.</t>
  </si>
  <si>
    <t>Fixed share of M&amp;O (proxy 30%)</t>
  </si>
  <si>
    <t>Temporary split to approximate plant ops, insurance, site admin, etc.</t>
  </si>
  <si>
    <t>Until site ledgers are provided, model treats 30% of Comparable_MO$ as fixed/semi‑fixed carry; remainder variable.</t>
  </si>
  <si>
    <t>Justification: AAG function splits and USFR mappings—plant ops/admin/central typically 30–40% statewide; we took low end to be conservative. (Auditor General)</t>
  </si>
  <si>
    <t>To replace: paste Echo/Pima Fund 001 function totals (plant ops/maintenance, insurance, utilities, site admin) into Site_Fixed. Model then retires the 30% proxy automatically.</t>
  </si>
  <si>
    <t>State Aid $ / ADM</t>
  </si>
  <si>
    <t>Equalization assistance (base state aid), simplified.</t>
  </si>
  <si>
    <t>We use a proxy per‑ADM value (Parameters_Public). In revenue, Aid = per‑ADM × Served_ADM (served = open students + retained after closure).</t>
  </si>
  <si>
    <t>Mechanics: A.R.S. Title 15 + ADE School Finance manuals/glossary. The model intentionally uses a proxy; paste district’s working per‑ADM if you have it. (SF Budget)</t>
  </si>
  <si>
    <t>If you prefer exact base support calculations (grade/weighting), we can add weighted ADM later; for now, a single per‑ADM aid is transparent and adequate for deltas.</t>
  </si>
  <si>
    <t>M&amp;O Override</t>
  </si>
  <si>
    <t>Voter‑approved authority up to 15% of the Revenue Control Limit (RCL), per statute.</t>
  </si>
  <si>
    <t>Toggle on/off in Parameters_Public. When ON, we apply a published override % and per‑ADM/RCL proxy to Served ADM.</t>
  </si>
  <si>
    <t>A.R.S. §15‑481 (override law); district budget pages note adopted overrides. (Arizona Legislature)</t>
  </si>
  <si>
    <t>Paste SUSD’s current override % and per‑ADM figure once you have it; keep the toggle exposed so trustees can see with/without.</t>
  </si>
  <si>
    <t>Retention r (Echo / Pima)</t>
  </si>
  <si>
    <t>Share of displaced students who remain in SUSD after a closure.</t>
  </si>
  <si>
    <t>Central case 0.75 (sensitivities 0.65–0.85). Retained students trigger receiving overhead (h) initially and add variable MO$ in receiving schools.</t>
  </si>
  <si>
    <t>Closures research shows majority stay in‑district; Chicago studies show &gt;50% remain and outcomes depend on receiving quality/distance. We bracket to 0.65–0.85 for AZ choice context. (UChicago Consortium; model notes) (ade.az.gov)</t>
  </si>
  <si>
    <t>AZ‑specific retention data would be stronger—ask SUSD to provide post‑closure re‑enrollment flows. For Echo (open‑enrollment heavy), retention may skew lower than a neighborhood school; we bracket that risk.</t>
  </si>
  <si>
    <t>Receiving overhead h ($/retained student)</t>
  </si>
  <si>
    <t>Incremental near‑term cost to reroute buses, scheduling/admin, etc., for retained students after closure.</t>
  </si>
  <si>
    <t>Schedule: $1,000 (FY26) → $300 (FY30) taper. It is incremental, not full transport spend, and in addition to marginal MO$ on the receiving side.</t>
  </si>
  <si>
    <t>AZ Auditor General “School District Spending” reports show cost per rider often $900–$1,100 in some districts; other districts are higher. This supports a $1,000 starting point as incremental overhead, not full cost. Examples: Skull Valley ESD (~$893), Blue Ridge USD (~$952–$1,025), Whiteriver peer avg ~$1,110. (Auditor General)</t>
  </si>
  <si>
    <t>This is not double‑counted: (a) h covers transition routing/admin friction; (b) marginal factor handles ongoing variable MO$ in receiving schools. If SUSD provides cost per route‑hour and riders/route, we’ll replace with a bespoke h‑profile.</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</si>
  <si>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</si>
  <si>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</si>
  <si>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</si>
  <si>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If you get class‑size/FTE trigger rules, we can upgrade this to step‑functions (sections) by grade.</t>
  </si>
  <si>
    <t>Carry (fixed/semi‑fixed) glide</t>
  </si>
  <si>
    <t>How fast fixed/semi‑fixed costs burn off after repurpose (ops vs lease/sale).</t>
  </si>
  <si>
    <t>Two umbrellas: ops (carry persists; e.g., 40%→30%→20% by FY28→10% FY29→0% FY30 only if board commits) vs lease (faster burn if third‑party or admin consolidation).</t>
  </si>
  <si>
    <t>USFR functions define the fixed‑like categories (plant/insurance/admin). ACFR/AFR confirm actual shares for SUSD. (Auditor General)</t>
  </si>
  <si>
    <t>Replace with Site_Fixed data and any lease MOUs once known (date‑certain burn‑down).</t>
  </si>
  <si>
    <t>TI per closed site (capital)</t>
  </si>
  <si>
    <t>One‑time transition improvements to enable repurpose (security/IT/build‑out).</t>
  </si>
  <si>
    <t>Treated as capital (not M&amp;O). Shows in Capital_Summary (FY26) only.</t>
  </si>
  <si>
    <t>Classification logic per AAG operational vs non‑operational guidance. (Auditor General)</t>
  </si>
  <si>
    <t>Use two TI parameters: ops‑repurpose TI vs lease TI (can differ by scope). Replace with vendor estimates if available.</t>
  </si>
  <si>
    <t>Growth Capex (Arts / Innovation)</t>
  </si>
  <si>
    <t>One‑time capital to stand up a programmatic lift (e.g., arts hub rooms, maker/innovation labs).</t>
  </si>
  <si>
    <t>Treated as capital (FY26). Parameterized per site and growth type.</t>
  </si>
  <si>
    <t>Benchmarks: district magnet builds and innovation campuses; local procurement estimates. (Cite your internal quotes when you have them.)</t>
  </si>
  <si>
    <t>Add a small scope sheet (spaces, FF&amp;E, networking, safety) and vendor quotes to firm this.</t>
  </si>
  <si>
    <t>Spare capacity (K‑5, 6–8)</t>
  </si>
  <si>
    <t>Seats available in likely receiving schools (by band).</t>
  </si>
  <si>
    <t>In Receiving_Capacity we compute Req from Close flags and band shares; Short = MAX(0, Req−Spare); Portables$ = Short×PortableSeat$.</t>
  </si>
  <si>
    <t>District capacity inventories; School Facilities (state) capacity references for context. Budget site provides district submissions. (Scottsdale Unified School District)</t>
  </si>
  <si>
    <t>Replace the band‑level placeholders with a by‑school matrix if you want routing feasibility and cost precision.</t>
  </si>
  <si>
    <t>Grade‑band shares</t>
  </si>
  <si>
    <t>Share of Echo/Pima cohorts in K‑5 vs 6‑8.</t>
  </si>
  <si>
    <t>Placeholder split; used to route retained students and compute portable needs.</t>
  </si>
  <si>
    <t>District enrollment by grade (ACFR or school profiles). (Scottsdale Unified School District)</t>
  </si>
  <si>
    <t>Paste actual Echo/Pima grade distributions to tighten portable math.</t>
  </si>
  <si>
    <t>Comparable $/student</t>
  </si>
  <si>
    <t>A neutralized cost metric for scenario comparisons.</t>
  </si>
  <si>
    <t>Operating MO$ – Aid$ – Override$, divided by served students (open + retained) for a given year, with 5‑yr average also shown.</t>
  </si>
  <si>
    <t>Model construct; grounded in Fund 001 definitions, ADE aid mechanics, and override law. (Auditor General)</t>
  </si>
  <si>
    <t>Use alongside Net ($) deltas and displacement/served to balance dollars with disruption.</t>
  </si>
  <si>
    <t>Net ($)</t>
  </si>
  <si>
    <t>Operating Comparable_MO$ – Aid$ – Override$ (excludes capital).</t>
  </si>
  <si>
    <t>Reported annual and as 5‑yr average; Dashboard shows Δ vs A.</t>
  </si>
  <si>
    <t>Model construct; see Fund 001 and aid/override cites above. (Auditor General)</t>
  </si>
  <si>
    <t>Capital is shown separately in Capital_Summary (FY26).</t>
  </si>
  <si>
    <t>USFR Function mapping</t>
  </si>
  <si>
    <t>Required accounting framework for districts.</t>
  </si>
  <si>
    <t>Confirms which costs live in plant ops (2600), admin (2300), etc.—helps classify fixed vs variable.</t>
  </si>
  <si>
    <t>USFR manual (latest). (Auditor General)</t>
  </si>
  <si>
    <t>Use this to back your fixed‑share replacement on Site_Fixed.</t>
  </si>
  <si>
    <t>SUSD ACFR / AFR</t>
  </si>
  <si>
    <t>Official audited reports.</t>
  </si>
  <si>
    <t>Use to validate Fund 001 totals, trends, and enrollment context.</t>
  </si>
  <si>
    <t>SUSD ACFR FY24; AFR FY25 (M&amp;O sections). (Scottsdale Unified School District)</t>
  </si>
  <si>
    <t>Pull site‑level fixed from the district’s Fund 001 detail if published; otherwise request from Finance.</t>
  </si>
  <si>
    <t>SUSD Adopted/Amended Budget</t>
  </si>
  <si>
    <t>Official adopted budgets &amp; summaries.</t>
  </si>
  <si>
    <t>Use to extract current per‑ADM aid proxies, override details, and function totals if AFR isn’t final.</t>
  </si>
  <si>
    <t>SUSD Budget page (links to ADE downloads). (Scottsdale Unified School District)</t>
  </si>
  <si>
    <t>Keep citation to the exact PDF/excel you used (title/date).</t>
  </si>
  <si>
    <t>Official ADM (Echo/Pima, 40th &amp; 100th) → Parameters_Public; set 40/100 switch.</t>
  </si>
  <si>
    <t>Audited district M&amp;O per ADM (ACFR/Adopted) → Parameters_Public C14.</t>
  </si>
  <si>
    <t>Override: published percent and dollar (or RCL) → Parameters_Public C17–C19 (toggle ON).</t>
  </si>
  <si>
    <t>Site‑level fixed M&amp;O (FY25) for Echo &amp; Pima (Fund 001 function totals) → Site_Fixed (retire the 30% fixed proxy).</t>
  </si>
  <si>
    <t>Receiving spare seats (K‑5 and 6–8) for FY26 (or a by‑school matrix if you want the deeper feasibility pass).</t>
  </si>
  <si>
    <t>1. Official ADM for Echo/Pima (40th &amp; 100th) → Parameters_Public; set 40/100 selector.</t>
  </si>
  <si>
    <t>2. Audited district M&amp;O per ADM (ACFR/Adopted) → Parameters_Public C14.</t>
  </si>
  <si>
    <t>3. Override: district’s published % and per‑ADM (or RCL) → Parameters_Public C17–C19 (toggle ON).</t>
  </si>
  <si>
    <t>4. Site‑level fixed M&amp;O (FY25) for Echo &amp; Pima (Fund 001: plant ops, utilities, insurance, site admin) → Site_Fixed (model will retire the 30% fixed proxy).</t>
  </si>
  <si>
    <t>5. Receiving spare seats (K–5 and 6–8) for FY26 → Parameters_Public (or we add a by‑school matrix later for deeper feasibility and routing costs).</t>
  </si>
  <si>
    <t>Model structure &amp; clarity:</t>
  </si>
  <si>
    <t>Dashboard (now): one comparator at a time, with Operating + Capital and assumptions on‑screen.</t>
  </si>
  <si>
    <t>Centralize trend logic: add ApplyTrend flag per scenario and a single Potential formula driven by ADM_Trend% in Parameters_Public (cleaner and easier to maintain).</t>
  </si>
  <si>
    <t>(Optional) Marginal realism: a simple sections/FTE trigger so marginal costs step when a new section is required.</t>
  </si>
  <si>
    <t>QA &amp; Documentation:</t>
  </si>
  <si>
    <t>Expand Definitions_Sources (you’ve started this—great). For each major input note: what it is, how computed, and the exact source (title/link/date).</t>
  </si>
  <si>
    <t>Add a QA grid (one row of checks):</t>
  </si>
  <si>
    <t>Keep‑open scenarios: Net ≈ Comparable_MO – Aid – Override</t>
  </si>
  <si>
    <t>Capital stays out of operating</t>
  </si>
  <si>
    <t>No receiving shortfalls unless Close flags are set</t>
  </si>
  <si>
    <t>Scenario keys unique and present in Summary_Costs / Capital_Summary</t>
  </si>
  <si>
    <t>1) Create a new sheet named Dashboard, then enter:</t>
  </si>
  <si>
    <t>Titles &amp; inputs</t>
  </si>
  <si>
    <t>A1: Echo &amp; Pima Decision Dashboard — one comparator vs A_Repurpose_Both_ops</t>
  </si>
  <si>
    <t>A3: Baseline (A)</t>
  </si>
  <si>
    <t>B3: A_Repurpose_Both_ops</t>
  </si>
  <si>
    <t>A4: Comparator (ScenarioKey)</t>
  </si>
  <si>
    <t>B4: E_StatusQuo_Decline (or any ScenarioKey from your top Scenarios block)</t>
  </si>
  <si>
    <t>(Optional) Data Validation list for B4</t>
  </si>
  <si>
    <t>Create a validation list from the top Scenarios block (A2:Alast):</t>
  </si>
  <si>
    <t>1. Find the last row of the top contiguous scenario list (before any blank): suppose it’s row R.</t>
  </si>
  <si>
    <t>2. In Excel: Data → Data Validation → List, Source:</t>
  </si>
  <si>
    <t>=Scenarios!$A$2:$A$R</t>
  </si>
  <si>
    <t>Operating outputs (from Summary_Costs)</t>
  </si>
  <si>
    <t>D2: OPERATING</t>
  </si>
  <si>
    <t>D3: FY2030 Net ($)</t>
  </si>
  <si>
    <t>E3: 5-yr Avg Net ($)</t>
  </si>
  <si>
    <t>F3: Δ vs A (FY2030)</t>
  </si>
  <si>
    <t>G3: Δ vs A (5-yr Avg)</t>
  </si>
  <si>
    <t>H3: Students displaced</t>
  </si>
  <si>
    <t>I3: FY2030 served</t>
  </si>
  <si>
    <t>Now paste the four lookup pairs + deltas (replace column letters if yours differ):</t>
  </si>
  <si>
    <t>D4: =INDEX(Summary_Costs!$[NET2030]:$[NET2030], MATCH($B$3, Summary_Costs!$[KEY]:$[KEY], 0))</t>
  </si>
  <si>
    <t>D5: =INDEX(Summary_Costs!$[NET2030]:$[NET2030], MATCH($B$4, Summary_Costs!$[KEY]:$[KEY], 0))</t>
  </si>
  <si>
    <t>F5: =D5-D4</t>
  </si>
  <si>
    <t>E4: =INDEX(Summary_Costs!$[AVG5]:$[AVG5], MATCH($B$3, Summary_Costs!$[KEY]:$[KEY], 0))</t>
  </si>
  <si>
    <t>E5: =INDEX(Summary_Costs!$[AVG5]:$[AVG5], MATCH($B$4, Summary_Costs!$[KEY]:$[KEY], 0))</t>
  </si>
  <si>
    <t>G5: =E5-E4</t>
  </si>
  <si>
    <t>H4: =INDEX(Summary_Costs!$[DISP]:$[DISP], MATCH($B$3, Summary_Costs!$[KEY]:$[KEY], 0))</t>
  </si>
  <si>
    <t>H5: =INDEX(Summary_Costs!$[DISP]:$[DISP], MATCH($B$4, Summary_Costs!$[KEY]:$[KEY], 0))</t>
  </si>
  <si>
    <t>I4: =INDEX(Summary_Costs!$[SRV2030]:$[SRV2030], MATCH($B$3, Summary_Costs!$[KEY]:$[KEY], 0))</t>
  </si>
  <si>
    <t>I5: =INDEX(Summary_Costs!$[SRV2030]:$[SRV2030], MATCH($B$4, Summary_Costs!$[KEY]:$[KEY], 0))</t>
  </si>
  <si>
    <t>Replace the placeholders with your actual column letters:</t>
  </si>
  <si>
    <t>• [KEY] = column of Summary_Costs!ScenarioKey</t>
  </si>
  <si>
    <t>• [NET2030] = column of FY2030 Net ($)</t>
  </si>
  <si>
    <t>• [AVG5] = column of 5‑yr Avg Net ($)</t>
  </si>
  <si>
    <t>• [DISP] = column of # students displaced</t>
  </si>
  <si>
    <t>• [SRV2030] = column of FY2030 # students served (open &amp; retained)</t>
  </si>
  <si>
    <t>Capital outputs (from Capital_Summary)</t>
  </si>
  <si>
    <t>K2: CAPITAL — FY2026 only</t>
  </si>
  <si>
    <t>K3: FY2026 Capital ($)</t>
  </si>
  <si>
    <t>L3: Δ vs A</t>
  </si>
  <si>
    <t>Paste:</t>
  </si>
  <si>
    <t>K4:</t>
  </si>
  <si>
    <t>=SUMPRODUCT((Capital_Summary!$[CKEY]:$[CKEY]=$B$3)*(Capital_Summary!$[CYEAR]:$[CYEAR]="FY2026")*(Capital_Summary!$[CTOT]:$[CTOT]))</t>
  </si>
  <si>
    <t>K5:</t>
  </si>
  <si>
    <t>=SUMPRODUCT((Capital_Summary!$[CKEY]:$[CKEY]=$B$4)*(Capital_Summary!$[CYEAR]:$[CYEAR]="FY2026")*(Capital_Summary!$[CTOT]:$[CTOT]))</t>
  </si>
  <si>
    <t>L5: =K5-K4</t>
  </si>
  <si>
    <t>Replace:</t>
  </si>
  <si>
    <t>• [CKEY] = Capital_Summary!ScenarioKey column letter</t>
  </si>
  <si>
    <t>• [CYEAR] = Capital_Summary!Year column letter</t>
  </si>
  <si>
    <t>• [CTOT] = Capital_Summary!Total_Capital$ column letter</t>
  </si>
  <si>
    <t>Assumptions (from Parameters_Public)</t>
  </si>
  <si>
    <t>A7: Assumptions (from Parameters_Public)</t>
  </si>
  <si>
    <t>A8: Retention r (Echo central) → B8: =Parameters_Public!C24 (adjust if needed)</t>
  </si>
  <si>
    <t>A9: Retention r (Pima central) → B9: =Parameters_Public!C25</t>
  </si>
  <si>
    <t>A10: MarginalFactor_for_Overlay → B10: =Parameters_Public!C21</t>
  </si>
  <si>
    <t>A11: Override toggle (%) → B11: =Parameters_Public!C17</t>
  </si>
  <si>
    <t>Need</t>
  </si>
  <si>
    <t>Why it matters</t>
  </si>
  <si>
    <t>Where to request / find</t>
  </si>
  <si>
    <t>Format we need</t>
  </si>
  <si>
    <t>Status</t>
  </si>
  <si>
    <t>Echo &amp; Pima 40th &amp; 100th day ADM (most recent 3 yrs)</t>
  </si>
  <si>
    <t>Locks the starting cohort; improves accuracy of Served_ADM and displacement math.</t>
  </si>
  <si>
    <t>ADE School Finance (SDADMS reports) or SUSD Enrollment/Research Office. (Arizona Department of Education)</t>
  </si>
  <si>
    <t>CSV/XLS or email with figures.</t>
  </si>
  <si>
    <t>—</t>
  </si>
  <si>
    <t>District M&amp;O per ADM (audited)</t>
  </si>
  <si>
    <t>Replaces proxy for variable cost scaling.</t>
  </si>
  <si>
    <t>SUSD ACFR/AFR M&amp;O totals ÷ district ADM; or Adopted Budget notes. (Scottsdale Unified School District)</t>
  </si>
  <si>
    <t>Citation + one number (FY).</t>
  </si>
  <si>
    <t>Override % and $/ADM or RCL</t>
  </si>
  <si>
    <t>Makes revenue line precise; trustees will ask.</t>
  </si>
  <si>
    <t>SUSD Budget page / ballot pamphlets; Finance office. (Scottsdale Unified School District)</t>
  </si>
  <si>
    <t>Percent and per‑ADM equivalent (or RCL).</t>
  </si>
  <si>
    <t>Site‑level fixed M&amp;O FY25 (Echo/Pima)</t>
  </si>
  <si>
    <t>Retires the 30% proxy; makes carry glide credible.</t>
  </si>
  <si>
    <t>SUSD Finance (Fund 001 by function for each site: plant ops, insurance, utilities, site admin). (Auditor General)</t>
  </si>
  <si>
    <t>Small table by function for each school.</t>
  </si>
  <si>
    <t>Transport unit costs</t>
  </si>
  <si>
    <t>Converts h from proxy to real incremental.</t>
  </si>
  <si>
    <t>SUSD Transportation: cost per route‑hour; riders/route; fuel/driver; planned route changes if closure.</t>
  </si>
  <si>
    <t>Route‑hour $ and avg riders/route.</t>
  </si>
  <si>
    <t>Receiving spare seats by school (K–5, 6–8)</t>
  </si>
  <si>
    <t>Validates feasibility; drives Portables$.</t>
  </si>
  <si>
    <t>SUSD Facilities / Planning; school principals.</t>
  </si>
  <si>
    <t>Table: school, band, spare seats.</t>
  </si>
  <si>
    <t>Echo/Pima grade distribution</t>
  </si>
  <si>
    <t>Splits displacement K–5 vs 6–8.</t>
  </si>
  <si>
    <t>SUSD Enrollment data.</t>
  </si>
  <si>
    <t>Two percentages (or counts) per site.</t>
  </si>
  <si>
    <t>Out‑of‑district share (Echo)</t>
  </si>
  <si>
    <t>Retention risk calibration (open enrollment heavy).</t>
  </si>
  <si>
    <t>SUSD Enrollment (residency flags).</t>
  </si>
  <si>
    <t>% of Echo not resident.</t>
  </si>
  <si>
    <t>Growth Capex scopes (Arts / Innov)</t>
  </si>
  <si>
    <t>Turns growth investments from placeholders to defensible asks.</t>
  </si>
  <si>
    <t>Principals + Facilities + vendors; cite comparable magnet/innovation builds.</t>
  </si>
  <si>
    <t>Scope + cost estimate per site.</t>
  </si>
  <si>
    <t>Lease / admin consolidation plan</t>
  </si>
  <si>
    <t>Determines carry glide under lease umbrella.</t>
  </si>
  <si>
    <t>Superintendent / COO; any MOU drafts.</t>
  </si>
  <si>
    <t>Timeline + functions to move + cost offsets.</t>
  </si>
  <si>
    <t>Class‑size/FTE triggers by grade</t>
  </si>
  <si>
    <t>Upgrades marginal factor (stepwise sections).</t>
  </si>
  <si>
    <t>HR/Teaching &amp; Learning; staffing guidelines.</t>
  </si>
  <si>
    <t>Triggers (e.g., section added at N).</t>
  </si>
  <si>
    <t>Legal/board policy constraints</t>
  </si>
  <si>
    <t>Flags feasibility (e.g., sale timelines, procurement).</t>
  </si>
  <si>
    <t>District legal/policy manual; USFR. (Auditor General)</t>
  </si>
  <si>
    <t>Link + notes.</t>
  </si>
  <si>
    <t>Comms/engagement metrics</t>
  </si>
  <si>
    <t>Supports “method problem” fix plan (warm handoffs).</t>
  </si>
  <si>
    <t>Family communications office; school logs.</t>
  </si>
  <si>
    <t>Baseline and target KPIs.</t>
  </si>
  <si>
    <t>Consistency checks: Served_ADM vs (Total_ADM + Retained_ADM)</t>
  </si>
  <si>
    <t>Baseline FY2030</t>
  </si>
  <si>
    <t>Baseline FY2026</t>
  </si>
  <si>
    <t>Comparator FY2030</t>
  </si>
  <si>
    <t>Comparator FY2026</t>
  </si>
  <si>
    <t>Why this workbook exists</t>
  </si>
  <si>
    <r>
      <t xml:space="preserve">This model helps the Board weigh three postures for Echo Canyon and Pima: </t>
    </r>
    <r>
      <rPr>
        <b/>
        <sz val="11"/>
        <color theme="1"/>
        <rFont val="Calibri"/>
        <family val="2"/>
        <scheme val="minor"/>
      </rPr>
      <t>managed decline</t>
    </r>
    <r>
      <rPr>
        <sz val="11"/>
        <color theme="1"/>
        <rFont val="Calibri"/>
        <family val="2"/>
        <scheme val="minor"/>
      </rPr>
      <t xml:space="preserve">, </t>
    </r>
    <r>
      <rPr>
        <b/>
        <sz val="11"/>
        <color theme="1"/>
        <rFont val="Calibri"/>
        <family val="2"/>
        <scheme val="minor"/>
      </rPr>
      <t>strategic consolidation (repurpose)</t>
    </r>
    <r>
      <rPr>
        <sz val="11"/>
        <color theme="1"/>
        <rFont val="Calibri"/>
        <family val="2"/>
        <scheme val="minor"/>
      </rPr>
      <t xml:space="preserve">, and </t>
    </r>
    <r>
      <rPr>
        <b/>
        <sz val="11"/>
        <color theme="1"/>
        <rFont val="Calibri"/>
        <family val="2"/>
        <scheme val="minor"/>
      </rPr>
      <t>strategic growth</t>
    </r>
    <r>
      <rPr>
        <sz val="11"/>
        <color theme="1"/>
        <rFont val="Calibri"/>
        <family val="2"/>
        <scheme val="minor"/>
      </rPr>
      <t xml:space="preserve">. It separates </t>
    </r>
    <r>
      <rPr>
        <b/>
        <sz val="11"/>
        <color theme="1"/>
        <rFont val="Calibri"/>
        <family val="2"/>
        <scheme val="minor"/>
      </rPr>
      <t>operating</t>
    </r>
    <r>
      <rPr>
        <sz val="11"/>
        <color theme="1"/>
        <rFont val="Calibri"/>
        <family val="2"/>
        <scheme val="minor"/>
      </rPr>
      <t xml:space="preserve"> (Fund 001) from </t>
    </r>
    <r>
      <rPr>
        <b/>
        <sz val="11"/>
        <color theme="1"/>
        <rFont val="Calibri"/>
        <family val="2"/>
        <scheme val="minor"/>
      </rPr>
      <t>one‑time capital</t>
    </r>
    <r>
      <rPr>
        <sz val="11"/>
        <color theme="1"/>
        <rFont val="Calibri"/>
        <family val="2"/>
        <scheme val="minor"/>
      </rPr>
      <t xml:space="preserve"> (FY26) and makes people impacts visible (</t>
    </r>
    <r>
      <rPr>
        <b/>
        <sz val="11"/>
        <color theme="1"/>
        <rFont val="Calibri"/>
        <family val="2"/>
        <scheme val="minor"/>
      </rPr>
      <t>Displaced FY26</t>
    </r>
    <r>
      <rPr>
        <sz val="11"/>
        <color theme="1"/>
        <rFont val="Calibri"/>
        <family val="2"/>
        <scheme val="minor"/>
      </rPr>
      <t xml:space="preserve">; </t>
    </r>
    <r>
      <rPr>
        <b/>
        <sz val="11"/>
        <color theme="1"/>
        <rFont val="Calibri"/>
        <family val="2"/>
        <scheme val="minor"/>
      </rPr>
      <t>Served FY30</t>
    </r>
    <r>
      <rPr>
        <sz val="11"/>
        <color theme="1"/>
        <rFont val="Calibri"/>
        <family val="2"/>
        <scheme val="minor"/>
      </rPr>
      <t xml:space="preserve">). </t>
    </r>
    <r>
      <rPr>
        <i/>
        <sz val="11"/>
        <color theme="1"/>
        <rFont val="Calibri"/>
        <family val="2"/>
        <scheme val="minor"/>
      </rPr>
      <t>Net (operating)</t>
    </r>
    <r>
      <rPr>
        <sz val="11"/>
        <color theme="1"/>
        <rFont val="Calibri"/>
        <family val="2"/>
        <scheme val="minor"/>
      </rPr>
      <t xml:space="preserve"> is </t>
    </r>
    <r>
      <rPr>
        <b/>
        <sz val="11"/>
        <color theme="1"/>
        <rFont val="Calibri"/>
        <family val="2"/>
        <scheme val="minor"/>
      </rPr>
      <t>M&amp;O − (Aid + Override + Uplift)</t>
    </r>
    <r>
      <rPr>
        <sz val="11"/>
        <color theme="1"/>
        <rFont val="Calibri"/>
        <family val="2"/>
        <scheme val="minor"/>
      </rPr>
      <t>; capital is shown separately. Assumptions (</t>
    </r>
    <r>
      <rPr>
        <b/>
        <sz val="11"/>
        <color theme="1"/>
        <rFont val="Calibri"/>
        <family val="2"/>
        <scheme val="minor"/>
      </rPr>
      <t>r</t>
    </r>
    <r>
      <rPr>
        <sz val="11"/>
        <color theme="1"/>
        <rFont val="Calibri"/>
        <family val="2"/>
        <scheme val="minor"/>
      </rPr>
      <t xml:space="preserve"> retention, </t>
    </r>
    <r>
      <rPr>
        <b/>
        <sz val="11"/>
        <color theme="1"/>
        <rFont val="Calibri"/>
        <family val="2"/>
        <scheme val="minor"/>
      </rPr>
      <t>h</t>
    </r>
    <r>
      <rPr>
        <sz val="11"/>
        <color theme="1"/>
        <rFont val="Calibri"/>
        <family val="2"/>
        <scheme val="minor"/>
      </rPr>
      <t xml:space="preserve"> overhead with taper, </t>
    </r>
    <r>
      <rPr>
        <b/>
        <sz val="11"/>
        <color theme="1"/>
        <rFont val="Calibri"/>
        <family val="2"/>
        <scheme val="minor"/>
      </rPr>
      <t>trend gates</t>
    </r>
    <r>
      <rPr>
        <sz val="11"/>
        <color theme="1"/>
        <rFont val="Calibri"/>
        <family val="2"/>
        <scheme val="minor"/>
      </rPr>
      <t xml:space="preserve">, </t>
    </r>
    <r>
      <rPr>
        <b/>
        <sz val="11"/>
        <color theme="1"/>
        <rFont val="Calibri"/>
        <family val="2"/>
        <scheme val="minor"/>
      </rPr>
      <t>override toggle</t>
    </r>
    <r>
      <rPr>
        <sz val="11"/>
        <color theme="1"/>
        <rFont val="Calibri"/>
        <family val="2"/>
        <scheme val="minor"/>
      </rPr>
      <t xml:space="preserve">) are visible on comparison views; </t>
    </r>
    <r>
      <rPr>
        <b/>
        <sz val="11"/>
        <color theme="1"/>
        <rFont val="Calibri"/>
        <family val="2"/>
        <scheme val="minor"/>
      </rPr>
      <t>receiving capacity gates</t>
    </r>
    <r>
      <rPr>
        <sz val="11"/>
        <color theme="1"/>
        <rFont val="Calibri"/>
        <family val="2"/>
        <scheme val="minor"/>
      </rPr>
      <t xml:space="preserve"> are enforced by band.</t>
    </r>
  </si>
  <si>
    <t>How to use it (start here)</t>
  </si>
  <si>
    <t>Scenario_Comparison – pick Base and Comparator to see the curves; Δ‑cards (FY2030 and 5‑yr avg); FY26 capital; Displaced FY26; Served FY30.
Summary_Figures – a ranked table of all scenarios with the same decision signals (useful for board packets).
BreakEven – see (i) how many students a growth lane must add to tie a repurpose baseline (N*), and (ii) the minimum retention a repurpose baseline needs to tie growth (r*), for FY26 and FY30.</t>
  </si>
  <si>
    <t>What the data say right now</t>
  </si>
  <si>
    <t xml:space="preserve">We assume a positive marginal contribution per added student where capacity exists (per‑ADM revenues indexed by policy exceed incremental operating cost). This is a reasonable working assumption in AZ’s funding structure. 
Arizona Legislature
• Repurpose is credited with conservative fixed‑savings via a fixed‑share fallback and carry fractions (f_ops, f_lease) that decline over time; we’ll replace those dollars with audited site‑fixed ledgers for Echo/Pima.
• To keep comparisons balanced, repurpose bears a tapering retention overhead (h) for displaced students who stay in SUSD, and growth bears a modest growth overhead (g = α × h) for routing/admin.
• Use BreakEven to read the trade space: fixed‑savings vs. retention overhead (repurpose) and growth‑driven contribution (growth).
Revenue matters too (why a growth lane belongs next to fiscal discipline)
The budget hole isn’t just costs; it’s also top line (ADM). At about $5.0k per pupil Base Level Amount (FY2025), 100 K‑8 students ≈ $0.50M/year in base aid ignoring weights; 200 ≈ $1.0M. Weights, override, and other GF elements lift the true marginal revenue further. </t>
  </si>
  <si>
    <t>Other important context (recent precedents &amp; lessons)</t>
  </si>
  <si>
    <t>• Chicago (2013 closures): studies report negative short‑term academic effects and no long‑term positive gains on average; some analyses note math effects persisting for students from closed schools, with better outcomes only when receiving schools were substantially higher‑performing. Lesson: overshoot/disruption has real costs. 
consortium.uchicago.edu
+2
consortium.uchicago.edu
+2
• Denver (2024–25): after a 2024 closure vote, the board paused further closures until 2030 amid community/legal pushback and governance churn. Lesson: force without consensus begets drag; iterate policy with stakeholders. 
Chalkbeat
+1
• Kyrene (2025): district scheduled multiple public hearings on consolidation/boundaries and revised proposals after feedback. Lesson: iterate, publish, adjust before the final vote. 
kyrene.org
+1
• Innovation hub option (analogy): Campbell School of Innovation (Campbell Union SD, CA) launched a district‑run innovation hub focused on design thinking, grew enrollment, and exported practices across the district. Lesson: a credible hub can strengthen brand and pull.</t>
  </si>
  <si>
    <t>Decision gates (apply before selecting a 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</si>
</sst>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
    <numFmt numFmtId="165" formatCode="_(&quot;$&quot;* #,##0_);_(&quot;$&quot;* \(#,##0\);_(&quot;$&quot;* &quot;-&quot;??_);_(@_)"/>
    <numFmt numFmtId="166" formatCode="_-\$* #,##0_-;\-\$* #,##0_-;_-* &quot;-&quot;??_-;_-@_-"/>
    <numFmt numFmtId="167" formatCode="0.0%"/>
  </numFmts>
  <fonts count="31">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b/>
      <sz val="10"/>
      <color theme="1"/>
      <name val="Aptos"/>
      <family val="2"/>
    </font>
    <font>
      <sz val="10"/>
      <color theme="1"/>
      <name val="Aptos"/>
      <family val="2"/>
    </font>
    <font>
      <u/>
      <sz val="11"/>
      <color theme="10"/>
      <name val="Calibri"/>
      <family val="2"/>
      <scheme val="minor"/>
    </font>
    <font>
      <u/>
      <sz val="10"/>
      <color theme="10"/>
      <name val="Calibri"/>
      <family val="2"/>
      <scheme val="minor"/>
    </font>
    <font>
      <b/>
      <sz val="18"/>
      <color theme="3"/>
      <name val="Cambria"/>
      <family val="2"/>
      <scheme val="major"/>
    </font>
    <font>
      <sz val="10"/>
      <color theme="1"/>
      <name val="Arial Unicode MS"/>
    </font>
    <font>
      <b/>
      <sz val="13.5"/>
      <color theme="1"/>
      <name val="Calibri"/>
      <family val="2"/>
      <scheme val="minor"/>
    </font>
    <font>
      <b/>
      <sz val="11"/>
      <name val="Calibri"/>
      <family val="2"/>
    </font>
    <font>
      <b/>
      <sz val="11"/>
      <name val="Calibri"/>
      <family val="2"/>
    </font>
    <font>
      <b/>
      <sz val="14"/>
      <name val="Calibri"/>
      <family val="2"/>
    </font>
    <font>
      <b/>
      <sz val="11"/>
      <name val="Calibri"/>
      <family val="2"/>
    </font>
    <font>
      <i/>
      <sz val="11"/>
      <color theme="1"/>
      <name val="Calibri"/>
      <family val="2"/>
      <scheme val="minor"/>
    </font>
    <font>
      <sz val="11"/>
      <color theme="0" tint="-0.249977111117893"/>
      <name val="Calibri"/>
      <family val="2"/>
      <scheme val="minor"/>
    </font>
    <font>
      <b/>
      <sz val="11"/>
      <name val="Calibri"/>
      <family val="2"/>
      <scheme val="minor"/>
    </font>
    <font>
      <sz val="12"/>
      <color theme="1"/>
      <name val="Aptos"/>
      <family val="2"/>
    </font>
    <font>
      <b/>
      <sz val="12"/>
      <color theme="1"/>
      <name val="Aptos"/>
      <family val="2"/>
    </font>
    <font>
      <b/>
      <sz val="11"/>
      <color rgb="FF000000"/>
      <name val="Arial"/>
      <family val="2"/>
    </font>
    <font>
      <sz val="11"/>
      <color rgb="FF000000"/>
      <name val="Arial"/>
      <family val="2"/>
    </font>
    <font>
      <b/>
      <sz val="17"/>
      <color rgb="FF000000"/>
      <name val="Arial"/>
      <family val="2"/>
    </font>
    <font>
      <b/>
      <sz val="11"/>
      <name val="Calibri"/>
      <family val="2"/>
    </font>
    <font>
      <sz val="11"/>
      <color theme="0"/>
      <name val="Calibri"/>
      <family val="2"/>
      <scheme val="minor"/>
    </font>
    <font>
      <b/>
      <sz val="10"/>
      <name val="Calibri"/>
      <family val="2"/>
    </font>
  </fonts>
  <fills count="10">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59999389629810485"/>
        <bgColor indexed="64"/>
      </patternFill>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top/>
      <bottom style="thin">
        <color indexed="64"/>
      </bottom>
      <diagonal/>
    </border>
    <border>
      <left/>
      <right/>
      <top style="thin">
        <color indexed="64"/>
      </top>
      <bottom/>
      <diagonal/>
    </border>
  </borders>
  <cellStyleXfs count="4">
    <xf numFmtId="0" fontId="0" fillId="0" borderId="0"/>
    <xf numFmtId="44" fontId="3" fillId="0" borderId="0"/>
    <xf numFmtId="0" fontId="11" fillId="0" borderId="0"/>
    <xf numFmtId="0" fontId="13" fillId="0" borderId="0"/>
  </cellStyleXfs>
  <cellXfs count="101">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2"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2" fillId="0" borderId="0" xfId="2" applyFont="1" applyAlignment="1">
      <alignment vertical="center" wrapText="1"/>
    </xf>
    <xf numFmtId="0" fontId="12" fillId="4" borderId="0" xfId="2" applyFont="1" applyFill="1" applyAlignment="1">
      <alignment vertical="center" wrapText="1"/>
    </xf>
    <xf numFmtId="0" fontId="5" fillId="4" borderId="0" xfId="0" applyFont="1" applyFill="1" applyAlignment="1">
      <alignment vertical="center" wrapText="1"/>
    </xf>
    <xf numFmtId="0" fontId="4" fillId="4" borderId="0" xfId="0" applyFont="1" applyFill="1" applyAlignment="1">
      <alignment vertical="center" wrapText="1"/>
    </xf>
    <xf numFmtId="0" fontId="5" fillId="7" borderId="0" xfId="0" applyFont="1" applyFill="1" applyAlignment="1">
      <alignment vertical="center" wrapText="1"/>
    </xf>
    <xf numFmtId="0" fontId="0" fillId="3" borderId="0" xfId="0" applyFill="1"/>
    <xf numFmtId="0" fontId="1" fillId="0" borderId="0" xfId="0" applyFont="1" applyAlignment="1">
      <alignment horizontal="left" vertical="center" indent="1"/>
    </xf>
    <xf numFmtId="0" fontId="0" fillId="0" borderId="0" xfId="0" applyAlignment="1">
      <alignment horizontal="left" vertical="center" indent="1"/>
    </xf>
    <xf numFmtId="0" fontId="0" fillId="0" borderId="0" xfId="0" applyAlignment="1">
      <alignment horizontal="left" vertical="center" indent="2"/>
    </xf>
    <xf numFmtId="0" fontId="0" fillId="0" borderId="0" xfId="0" applyAlignment="1">
      <alignment vertical="center"/>
    </xf>
    <xf numFmtId="0" fontId="15" fillId="0" borderId="0" xfId="0" applyFont="1" applyAlignment="1">
      <alignment vertical="center"/>
    </xf>
    <xf numFmtId="0" fontId="14" fillId="0" borderId="0" xfId="0" applyFont="1" applyAlignment="1">
      <alignment vertical="center"/>
    </xf>
    <xf numFmtId="0" fontId="14" fillId="0" borderId="0" xfId="0" applyFont="1" applyAlignment="1">
      <alignment horizontal="left" vertical="center" indent="1"/>
    </xf>
    <xf numFmtId="0" fontId="11" fillId="0" borderId="0" xfId="2"/>
    <xf numFmtId="0" fontId="16" fillId="0" borderId="0" xfId="0" applyFont="1"/>
    <xf numFmtId="0" fontId="17" fillId="2" borderId="1" xfId="0" applyFont="1" applyFill="1" applyBorder="1"/>
    <xf numFmtId="0" fontId="17" fillId="0" borderId="0" xfId="0" applyFont="1"/>
    <xf numFmtId="166" fontId="0" fillId="0" borderId="0" xfId="0" applyNumberFormat="1"/>
    <xf numFmtId="0" fontId="3" fillId="0" borderId="0" xfId="0" applyFont="1"/>
    <xf numFmtId="0" fontId="19" fillId="2" borderId="1" xfId="0" applyFont="1" applyFill="1" applyBorder="1"/>
    <xf numFmtId="0" fontId="0" fillId="4" borderId="0" xfId="0" applyFill="1"/>
    <xf numFmtId="165" fontId="3" fillId="0" borderId="0" xfId="1" applyNumberFormat="1"/>
    <xf numFmtId="0" fontId="1" fillId="0" borderId="0" xfId="0" applyFont="1" applyAlignment="1">
      <alignment horizontal="right"/>
    </xf>
    <xf numFmtId="0" fontId="1" fillId="3" borderId="0" xfId="0" applyFont="1" applyFill="1"/>
    <xf numFmtId="0" fontId="21" fillId="0" borderId="0" xfId="0" applyFont="1"/>
    <xf numFmtId="0" fontId="16" fillId="2" borderId="1" xfId="0" applyFont="1" applyFill="1" applyBorder="1"/>
    <xf numFmtId="0" fontId="18" fillId="6" borderId="0" xfId="0" applyFont="1" applyFill="1"/>
    <xf numFmtId="0" fontId="1" fillId="6" borderId="0" xfId="0" applyFont="1" applyFill="1"/>
    <xf numFmtId="0" fontId="17" fillId="6" borderId="0" xfId="0" applyFont="1" applyFill="1"/>
    <xf numFmtId="0" fontId="16" fillId="6" borderId="0" xfId="0" applyFont="1" applyFill="1"/>
    <xf numFmtId="166" fontId="0" fillId="6" borderId="0" xfId="0" applyNumberFormat="1" applyFill="1"/>
    <xf numFmtId="0" fontId="1" fillId="6" borderId="0" xfId="0" applyFont="1" applyFill="1" applyAlignment="1">
      <alignment horizontal="center"/>
    </xf>
    <xf numFmtId="1" fontId="0" fillId="6" borderId="0" xfId="0" applyNumberFormat="1" applyFill="1"/>
    <xf numFmtId="0" fontId="0" fillId="6" borderId="5" xfId="0" applyFill="1" applyBorder="1"/>
    <xf numFmtId="0" fontId="1" fillId="6" borderId="5" xfId="0" applyFont="1" applyFill="1" applyBorder="1"/>
    <xf numFmtId="0" fontId="20" fillId="0" borderId="0" xfId="0" applyFont="1" applyAlignment="1">
      <alignment horizontal="center"/>
    </xf>
    <xf numFmtId="0" fontId="4" fillId="8" borderId="0" xfId="0" applyFont="1" applyFill="1" applyAlignment="1">
      <alignment vertical="center"/>
    </xf>
    <xf numFmtId="0" fontId="4" fillId="9" borderId="0" xfId="0" applyFont="1" applyFill="1" applyAlignment="1">
      <alignment vertical="center"/>
    </xf>
    <xf numFmtId="0" fontId="22" fillId="0" borderId="5" xfId="0" applyFont="1" applyBorder="1" applyAlignment="1">
      <alignment horizontal="center" vertical="center"/>
    </xf>
    <xf numFmtId="0" fontId="16" fillId="8" borderId="0" xfId="0" applyFont="1" applyFill="1"/>
    <xf numFmtId="0" fontId="16" fillId="9" borderId="0" xfId="0" applyFont="1" applyFill="1"/>
    <xf numFmtId="0" fontId="5" fillId="6" borderId="0" xfId="0" applyFont="1" applyFill="1"/>
    <xf numFmtId="0" fontId="2" fillId="0" borderId="0" xfId="0" applyFont="1" applyAlignment="1">
      <alignment horizontal="left" vertical="center" indent="1"/>
    </xf>
    <xf numFmtId="0" fontId="24" fillId="0" borderId="0" xfId="0" applyFont="1"/>
    <xf numFmtId="0" fontId="24" fillId="0" borderId="0" xfId="0" applyFont="1" applyAlignment="1">
      <alignment vertical="center"/>
    </xf>
    <xf numFmtId="0" fontId="23" fillId="0" borderId="0" xfId="0" applyFont="1"/>
    <xf numFmtId="0" fontId="23" fillId="0" borderId="0" xfId="0" applyFont="1" applyAlignment="1">
      <alignment vertical="center"/>
    </xf>
    <xf numFmtId="0" fontId="23" fillId="0" borderId="0" xfId="0" applyFont="1" applyAlignment="1">
      <alignment horizontal="left" vertical="center" indent="1"/>
    </xf>
    <xf numFmtId="0" fontId="24" fillId="0" borderId="0" xfId="0" applyFont="1" applyAlignment="1">
      <alignment horizontal="left" vertical="center" indent="1"/>
    </xf>
    <xf numFmtId="0" fontId="24" fillId="3" borderId="0" xfId="0" applyFont="1" applyFill="1" applyAlignment="1">
      <alignment horizontal="left" vertical="center" indent="1"/>
    </xf>
    <xf numFmtId="0" fontId="25" fillId="0" borderId="0" xfId="0" applyFont="1" applyAlignment="1">
      <alignment vertical="center"/>
    </xf>
    <xf numFmtId="0" fontId="26" fillId="0" borderId="0" xfId="0" applyFont="1" applyAlignment="1">
      <alignment vertical="center"/>
    </xf>
    <xf numFmtId="0" fontId="25" fillId="0" borderId="0" xfId="0" applyFont="1" applyAlignment="1">
      <alignment horizontal="left" vertical="center" indent="1"/>
    </xf>
    <xf numFmtId="0" fontId="26" fillId="0" borderId="0" xfId="0" applyFont="1" applyAlignment="1">
      <alignment horizontal="left" vertical="center" indent="1"/>
    </xf>
    <xf numFmtId="0" fontId="27" fillId="0" borderId="0" xfId="0" applyFont="1" applyAlignment="1">
      <alignment vertical="center"/>
    </xf>
    <xf numFmtId="0" fontId="28" fillId="0" borderId="0" xfId="0" applyFont="1"/>
    <xf numFmtId="167" fontId="0" fillId="0" borderId="0" xfId="0" applyNumberFormat="1"/>
    <xf numFmtId="1" fontId="0" fillId="6" borderId="0" xfId="0" applyNumberFormat="1" applyFill="1" applyAlignment="1">
      <alignment horizontal="right" vertical="center"/>
    </xf>
    <xf numFmtId="0" fontId="29" fillId="6" borderId="0" xfId="0" applyFont="1" applyFill="1"/>
    <xf numFmtId="0" fontId="30" fillId="6" borderId="0" xfId="0" applyFont="1" applyFill="1"/>
    <xf numFmtId="0" fontId="5" fillId="6" borderId="0" xfId="0" applyFont="1" applyFill="1" applyAlignment="1">
      <alignment horizontal="left" vertical="center" wrapText="1"/>
    </xf>
    <xf numFmtId="0" fontId="0" fillId="0" borderId="0" xfId="0"/>
    <xf numFmtId="0" fontId="22" fillId="0" borderId="5" xfId="0" applyFont="1" applyBorder="1" applyAlignment="1">
      <alignment horizontal="center" vertical="center"/>
    </xf>
    <xf numFmtId="0" fontId="0" fillId="0" borderId="5" xfId="0" applyBorder="1"/>
    <xf numFmtId="0" fontId="4" fillId="6" borderId="4" xfId="0" applyFont="1" applyFill="1" applyBorder="1" applyAlignment="1">
      <alignment vertical="center" wrapText="1"/>
    </xf>
    <xf numFmtId="0" fontId="0" fillId="0" borderId="4" xfId="0" applyBorder="1"/>
    <xf numFmtId="0" fontId="0" fillId="6" borderId="0" xfId="0" applyFill="1" applyAlignment="1">
      <alignment horizontal="left" vertical="center" wrapText="1"/>
    </xf>
    <xf numFmtId="0" fontId="5" fillId="6" borderId="6" xfId="0" applyFont="1" applyFill="1" applyBorder="1" applyAlignment="1">
      <alignment horizontal="left" vertical="center" wrapText="1"/>
    </xf>
    <xf numFmtId="0" fontId="0" fillId="0" borderId="6" xfId="0" applyBorder="1"/>
    <xf numFmtId="0" fontId="4" fillId="6" borderId="4" xfId="0" applyFont="1" applyFill="1" applyBorder="1" applyAlignment="1">
      <alignment horizontal="left" vertical="center" wrapText="1"/>
    </xf>
    <xf numFmtId="0" fontId="13" fillId="0" borderId="0" xfId="3"/>
    <xf numFmtId="0" fontId="4" fillId="2" borderId="1" xfId="0" applyFont="1" applyFill="1" applyBorder="1" applyAlignment="1">
      <alignment horizontal="center"/>
    </xf>
    <xf numFmtId="0" fontId="0" fillId="0" borderId="3" xfId="0" applyBorder="1"/>
    <xf numFmtId="0" fontId="0" fillId="0" borderId="2" xfId="0" applyBorder="1"/>
    <xf numFmtId="0" fontId="0" fillId="6" borderId="0" xfId="0" applyFill="1" applyAlignment="1">
      <alignment vertical="center"/>
    </xf>
  </cellXfs>
  <cellStyles count="4">
    <cellStyle name="Currency" xfId="1" builtinId="4"/>
    <cellStyle name="Hyperlink" xfId="2" builtinId="8"/>
    <cellStyle name="Normal" xfId="0" builtinId="0"/>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One-time Capital</a:t>
            </a:r>
            <a:r>
              <a:rPr lang="en-US" sz="1000" b="1" baseline="0">
                <a:solidFill>
                  <a:sysClr val="windowText" lastClr="000000"/>
                </a:solidFill>
              </a:rPr>
              <a:t> $ FY26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887F-4E76-8D99-801C2A3BEB9B}"/>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887F-4E76-8D99-801C2A3BEB9B}"/>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Scenario_Comparison!$B$44:$B$45</c:f>
              <c:strCache>
                <c:ptCount val="2"/>
                <c:pt idx="0">
                  <c:v>One-time Capital FY 2026 (Base)</c:v>
                </c:pt>
                <c:pt idx="1">
                  <c:v>One-time Capital FY 2026 (Comparator)</c:v>
                </c:pt>
              </c:strCache>
            </c:strRef>
          </c:cat>
          <c:val>
            <c:numRef>
              <c:f>Scenario_Comparison!$C$44:$C$45</c:f>
              <c:numCache>
                <c:formatCode>_-\$* #,##0_-;\-\$* #,##0_-;_-* "-"??_-;_-@_-</c:formatCode>
                <c:ptCount val="2"/>
                <c:pt idx="0">
                  <c:v>0</c:v>
                </c:pt>
                <c:pt idx="1">
                  <c:v>1600000</c:v>
                </c:pt>
              </c:numCache>
            </c:numRef>
          </c:val>
          <c:extLst>
            <c:ext xmlns:c16="http://schemas.microsoft.com/office/drawing/2014/chart" uri="{C3380CC4-5D6E-409C-BE32-E72D297353CC}">
              <c16:uniqueId val="{00000004-887F-4E76-8D99-801C2A3BEB9B}"/>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Average</a:t>
            </a:r>
            <a:r>
              <a:rPr lang="en-US" sz="1000" b="1" baseline="0">
                <a:solidFill>
                  <a:sysClr val="windowText" lastClr="000000"/>
                </a:solidFill>
              </a:rPr>
              <a:t> Net Ops $ per year (FY26-30) -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0A73-4BFC-B4AB-9A4410722C0C}"/>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0A73-4BFC-B4AB-9A4410722C0C}"/>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Scenario_Comparison!$B$47:$B$48</c:f>
              <c:strCache>
                <c:ptCount val="2"/>
                <c:pt idx="0">
                  <c:v>Avg Net (FY26–30) (Base)—rounded</c:v>
                </c:pt>
                <c:pt idx="1">
                  <c:v>Avg Net (FY26–30) (Comparator)—rounded</c:v>
                </c:pt>
              </c:strCache>
            </c:strRef>
          </c:cat>
          <c:val>
            <c:numRef>
              <c:f>Scenario_Comparison!$C$47:$C$48</c:f>
              <c:numCache>
                <c:formatCode>_-\$* #,##0_-;\-\$* #,##0_-;_-* "-"??_-;_-@_-</c:formatCode>
                <c:ptCount val="2"/>
                <c:pt idx="0">
                  <c:v>-590000</c:v>
                </c:pt>
                <c:pt idx="1">
                  <c:v>1020000</c:v>
                </c:pt>
              </c:numCache>
            </c:numRef>
          </c:val>
          <c:extLst>
            <c:ext xmlns:c16="http://schemas.microsoft.com/office/drawing/2014/chart" uri="{C3380CC4-5D6E-409C-BE32-E72D297353CC}">
              <c16:uniqueId val="{00000004-0A73-4BFC-B4AB-9A4410722C0C}"/>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Operating Net ($) — Base vs Comparator</a:t>
            </a:r>
          </a:p>
        </c:rich>
      </c:tx>
      <c:overlay val="0"/>
    </c:title>
    <c:autoTitleDeleted val="0"/>
    <c:plotArea>
      <c:layout/>
      <c:lineChart>
        <c:grouping val="standard"/>
        <c:varyColors val="0"/>
        <c:ser>
          <c:idx val="0"/>
          <c:order val="0"/>
          <c:tx>
            <c:strRef>
              <c:f>Scenario_Comparison!$C$26</c:f>
              <c:strCache>
                <c:ptCount val="1"/>
                <c:pt idx="0">
                  <c:v>Operating Net$ (Base)</c:v>
                </c:pt>
              </c:strCache>
            </c:strRef>
          </c:tx>
          <c:spPr>
            <a:ln>
              <a:solidFill>
                <a:schemeClr val="accent4">
                  <a:lumMod val="40000"/>
                  <a:lumOff val="6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Scenario_Comparison!$C$27:$C$31</c:f>
              <c:numCache>
                <c:formatCode>_-\$* #,##0_-;\-\$* #,##0_-;_-* "-"??_-;_-@_-</c:formatCode>
                <c:ptCount val="5"/>
                <c:pt idx="0">
                  <c:v>-459335.0305249989</c:v>
                </c:pt>
                <c:pt idx="1">
                  <c:v>-522913.47911071405</c:v>
                </c:pt>
                <c:pt idx="2">
                  <c:v>-588315.81673877127</c:v>
                </c:pt>
                <c:pt idx="3">
                  <c:v>-655588.69556045718</c:v>
                </c:pt>
                <c:pt idx="4">
                  <c:v>-724779.93877799716</c:v>
                </c:pt>
              </c:numCache>
            </c:numRef>
          </c:val>
          <c:smooth val="0"/>
          <c:extLst>
            <c:ext xmlns:c16="http://schemas.microsoft.com/office/drawing/2014/chart" uri="{C3380CC4-5D6E-409C-BE32-E72D297353CC}">
              <c16:uniqueId val="{00000000-B01B-4719-B691-34BD6C221D51}"/>
            </c:ext>
          </c:extLst>
        </c:ser>
        <c:ser>
          <c:idx val="1"/>
          <c:order val="1"/>
          <c:tx>
            <c:strRef>
              <c:f>Scenario_Comparison!$D$26</c:f>
              <c:strCache>
                <c:ptCount val="1"/>
                <c:pt idx="0">
                  <c:v>Operating Net$ (Comparator)</c:v>
                </c:pt>
              </c:strCache>
            </c:strRef>
          </c:tx>
          <c:spPr>
            <a:ln>
              <a:solidFill>
                <a:schemeClr val="accent6">
                  <a:lumMod val="60000"/>
                  <a:lumOff val="4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Scenario_Comparison!$D$27:$D$31</c:f>
              <c:numCache>
                <c:formatCode>_-\$* #,##0_-;\-\$* #,##0_-;_-* "-"??_-;_-@_-</c:formatCode>
                <c:ptCount val="5"/>
                <c:pt idx="0">
                  <c:v>840656.32429169957</c:v>
                </c:pt>
                <c:pt idx="1">
                  <c:v>952977.73239899194</c:v>
                </c:pt>
                <c:pt idx="2">
                  <c:v>1223701.2431391166</c:v>
                </c:pt>
                <c:pt idx="3">
                  <c:v>1462524.4183334969</c:v>
                </c:pt>
                <c:pt idx="4">
                  <c:v>1585320.0287918346</c:v>
                </c:pt>
              </c:numCache>
            </c:numRef>
          </c:val>
          <c:smooth val="0"/>
          <c:extLst>
            <c:ext xmlns:c16="http://schemas.microsoft.com/office/drawing/2014/chart" uri="{C3380CC4-5D6E-409C-BE32-E72D297353CC}">
              <c16:uniqueId val="{00000001-B01B-4719-B691-34BD6C221D51}"/>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spPr>
            <a:ln>
              <a:solidFill>
                <a:schemeClr val="bg1">
                  <a:lumMod val="75000"/>
                </a:schemeClr>
              </a:solidFill>
              <a:prstDash val="solid"/>
            </a:ln>
          </c:spPr>
        </c:majorGridlines>
        <c:numFmt formatCode="_-\$* #,##0_-;\-\$* #,##0_-;_-* &quot;-&quot;??_-;_-@_-" sourceLinked="1"/>
        <c:majorTickMark val="none"/>
        <c:minorTickMark val="none"/>
        <c:tickLblPos val="nextTo"/>
        <c:spPr>
          <a:ln w="9525">
            <a:noFill/>
            <a:prstDash val="solid"/>
          </a:ln>
        </c:spPr>
        <c:crossAx val="1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Summary_Figures!$N$2</c:f>
          <c:strCache>
            <c:ptCount val="1"/>
            <c:pt idx="0">
              <c:v>(Comparison) Change in ops net $ by scenario compared to E1_StatusQuo_Decline (Positive = savings)</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Summary_Figures!$J$4</c:f>
              <c:strCache>
                <c:ptCount val="1"/>
                <c:pt idx="0">
                  <c:v>Δ vs Base (FY2030 Net)</c:v>
                </c:pt>
              </c:strCache>
            </c:strRef>
          </c:tx>
          <c:spPr>
            <a:solidFill>
              <a:schemeClr val="tx1">
                <a:lumMod val="75000"/>
                <a:lumOff val="25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Summary_Figures!$J$5:$J$17</c:f>
              <c:numCache>
                <c:formatCode>_-\$* #,##0_-;\-\$* #,##0_-;_-* "-"??_-;_-@_-</c:formatCode>
                <c:ptCount val="13"/>
                <c:pt idx="0">
                  <c:v>217760.01096887514</c:v>
                </c:pt>
                <c:pt idx="1">
                  <c:v>1056430.9434967069</c:v>
                </c:pt>
                <c:pt idx="2">
                  <c:v>1136879.9121152554</c:v>
                </c:pt>
                <c:pt idx="3">
                  <c:v>1895101.8760245387</c:v>
                </c:pt>
                <c:pt idx="4">
                  <c:v>217760.01096887514</c:v>
                </c:pt>
                <c:pt idx="5">
                  <c:v>1615544.8985152617</c:v>
                </c:pt>
                <c:pt idx="6">
                  <c:v>2310099.9675698318</c:v>
                </c:pt>
                <c:pt idx="7">
                  <c:v>1647689.0266946317</c:v>
                </c:pt>
                <c:pt idx="8">
                  <c:v>1027728.4323914405</c:v>
                </c:pt>
                <c:pt idx="9">
                  <c:v>1133625.3598195892</c:v>
                </c:pt>
                <c:pt idx="10">
                  <c:v>1500131.5461472655</c:v>
                </c:pt>
                <c:pt idx="11">
                  <c:v>1704681.9595762016</c:v>
                </c:pt>
                <c:pt idx="12">
                  <c:v>0</c:v>
                </c:pt>
              </c:numCache>
            </c:numRef>
          </c:val>
          <c:extLst>
            <c:ext xmlns:c16="http://schemas.microsoft.com/office/drawing/2014/chart" uri="{C3380CC4-5D6E-409C-BE32-E72D297353CC}">
              <c16:uniqueId val="{00000000-9BD1-430A-89BD-455C7F61D127}"/>
            </c:ext>
          </c:extLst>
        </c:ser>
        <c:ser>
          <c:idx val="2"/>
          <c:order val="1"/>
          <c:tx>
            <c:strRef>
              <c:f>Summary_Figures!$K$4</c:f>
              <c:strCache>
                <c:ptCount val="1"/>
                <c:pt idx="0">
                  <c:v>Δ vs Base (5-yr Avg Net)</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Summary_Figures!$K$5:$K$17</c:f>
              <c:numCache>
                <c:formatCode>_-\$* #,##0_-;\-\$* #,##0_-;_-* "-"??_-;_-@_-</c:formatCode>
                <c:ptCount val="13"/>
                <c:pt idx="0">
                  <c:v>107303.42830778088</c:v>
                </c:pt>
                <c:pt idx="1">
                  <c:v>749487.70628600346</c:v>
                </c:pt>
                <c:pt idx="2">
                  <c:v>878294.08633143816</c:v>
                </c:pt>
                <c:pt idx="3">
                  <c:v>1391671.9842642257</c:v>
                </c:pt>
                <c:pt idx="4">
                  <c:v>107303.42830778088</c:v>
                </c:pt>
                <c:pt idx="5">
                  <c:v>1177610.5582714854</c:v>
                </c:pt>
                <c:pt idx="6">
                  <c:v>1803222.5415336157</c:v>
                </c:pt>
                <c:pt idx="7">
                  <c:v>1142340.1974729584</c:v>
                </c:pt>
                <c:pt idx="8">
                  <c:v>752956.13442885038</c:v>
                </c:pt>
                <c:pt idx="9">
                  <c:v>762630.04232380493</c:v>
                </c:pt>
                <c:pt idx="10">
                  <c:v>1157569.8354125465</c:v>
                </c:pt>
                <c:pt idx="11">
                  <c:v>1231945.4841162139</c:v>
                </c:pt>
                <c:pt idx="12">
                  <c:v>0</c:v>
                </c:pt>
              </c:numCache>
            </c:numRef>
          </c:val>
          <c:extLst>
            <c:ext xmlns:c16="http://schemas.microsoft.com/office/drawing/2014/chart" uri="{C3380CC4-5D6E-409C-BE32-E72D297353CC}">
              <c16:uniqueId val="{00000001-9BD1-430A-89BD-455C7F61D127}"/>
            </c:ext>
          </c:extLst>
        </c:ser>
        <c:dLbls>
          <c:showLegendKey val="0"/>
          <c:showVal val="0"/>
          <c:showCatName val="0"/>
          <c:showSerName val="0"/>
          <c:showPercent val="0"/>
          <c:showBubbleSize val="0"/>
        </c:dLbls>
        <c:gapWidth val="182"/>
        <c:axId val="1760713472"/>
        <c:axId val="1760709152"/>
      </c:barChart>
      <c:catAx>
        <c:axId val="176071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9152"/>
        <c:crosses val="autoZero"/>
        <c:auto val="1"/>
        <c:lblAlgn val="ctr"/>
        <c:lblOffset val="100"/>
        <c:noMultiLvlLbl val="0"/>
      </c:catAx>
      <c:valAx>
        <c:axId val="1760709152"/>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13472"/>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Summary_Figures!$N$3</c:f>
          <c:strCache>
            <c:ptCount val="1"/>
            <c:pt idx="0">
              <c:v>(Nominal) One-time capital (FY26) &amp; Average 5-yr net ops $ by scenario</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Summary_Figures!$C$4</c:f>
              <c:strCache>
                <c:ptCount val="1"/>
                <c:pt idx="0">
                  <c:v>One-time Capital (FY26)</c:v>
                </c:pt>
              </c:strCache>
            </c:strRef>
          </c:tx>
          <c:spPr>
            <a:solidFill>
              <a:schemeClr val="accent2">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Summary_Figures!$C$5:$C$17</c:f>
              <c:numCache>
                <c:formatCode>_-\$* #,##0_-;\-\$* #,##0_-;_-* "-"??_-;_-@_-</c:formatCode>
                <c:ptCount val="13"/>
                <c:pt idx="0">
                  <c:v>0</c:v>
                </c:pt>
                <c:pt idx="1">
                  <c:v>0</c:v>
                </c:pt>
                <c:pt idx="2">
                  <c:v>0</c:v>
                </c:pt>
                <c:pt idx="3">
                  <c:v>-2000000</c:v>
                </c:pt>
                <c:pt idx="4">
                  <c:v>0</c:v>
                </c:pt>
                <c:pt idx="5">
                  <c:v>-800000</c:v>
                </c:pt>
                <c:pt idx="6">
                  <c:v>-1600000</c:v>
                </c:pt>
                <c:pt idx="7">
                  <c:v>-2400000</c:v>
                </c:pt>
                <c:pt idx="8">
                  <c:v>-800000</c:v>
                </c:pt>
                <c:pt idx="9">
                  <c:v>-1200000</c:v>
                </c:pt>
                <c:pt idx="10">
                  <c:v>-1600000</c:v>
                </c:pt>
                <c:pt idx="11">
                  <c:v>-2000000</c:v>
                </c:pt>
                <c:pt idx="12">
                  <c:v>0</c:v>
                </c:pt>
              </c:numCache>
            </c:numRef>
          </c:val>
          <c:extLst>
            <c:ext xmlns:c16="http://schemas.microsoft.com/office/drawing/2014/chart" uri="{C3380CC4-5D6E-409C-BE32-E72D297353CC}">
              <c16:uniqueId val="{00000000-5439-42C4-8695-CD546012E1DA}"/>
            </c:ext>
          </c:extLst>
        </c:ser>
        <c:ser>
          <c:idx val="1"/>
          <c:order val="1"/>
          <c:tx>
            <c:strRef>
              <c:f>Summary_Figures!$G$4</c:f>
              <c:strCache>
                <c:ptCount val="1"/>
                <c:pt idx="0">
                  <c:v>AVG 5-yr net operational $</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Summary_Figures!$G$5:$G$17</c:f>
              <c:numCache>
                <c:formatCode>_-\$* #,##0_-;\-\$* #,##0_-;_-* "-"??_-;_-@_-</c:formatCode>
                <c:ptCount val="13"/>
                <c:pt idx="0">
                  <c:v>-482883.16383480688</c:v>
                </c:pt>
                <c:pt idx="1">
                  <c:v>159301.11414341573</c:v>
                </c:pt>
                <c:pt idx="2">
                  <c:v>288107.4941888504</c:v>
                </c:pt>
                <c:pt idx="3">
                  <c:v>801485.39212163794</c:v>
                </c:pt>
                <c:pt idx="4">
                  <c:v>-482883.16383480688</c:v>
                </c:pt>
                <c:pt idx="5">
                  <c:v>587423.96612889762</c:v>
                </c:pt>
                <c:pt idx="6">
                  <c:v>1213035.9493910279</c:v>
                </c:pt>
                <c:pt idx="7">
                  <c:v>552153.60533037048</c:v>
                </c:pt>
                <c:pt idx="8">
                  <c:v>162769.54228626267</c:v>
                </c:pt>
                <c:pt idx="9">
                  <c:v>172443.45018121711</c:v>
                </c:pt>
                <c:pt idx="10">
                  <c:v>567383.24326995888</c:v>
                </c:pt>
                <c:pt idx="11">
                  <c:v>641758.89197362622</c:v>
                </c:pt>
                <c:pt idx="12">
                  <c:v>-590186.59214258776</c:v>
                </c:pt>
              </c:numCache>
            </c:numRef>
          </c:val>
          <c:extLst>
            <c:ext xmlns:c16="http://schemas.microsoft.com/office/drawing/2014/chart" uri="{C3380CC4-5D6E-409C-BE32-E72D297353CC}">
              <c16:uniqueId val="{00000001-5439-42C4-8695-CD546012E1DA}"/>
            </c:ext>
          </c:extLst>
        </c:ser>
        <c:dLbls>
          <c:showLegendKey val="0"/>
          <c:showVal val="0"/>
          <c:showCatName val="0"/>
          <c:showSerName val="0"/>
          <c:showPercent val="0"/>
          <c:showBubbleSize val="0"/>
        </c:dLbls>
        <c:gapWidth val="150"/>
        <c:axId val="1048394623"/>
        <c:axId val="1048380223"/>
      </c:barChart>
      <c:catAx>
        <c:axId val="104839462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80223"/>
        <c:crosses val="autoZero"/>
        <c:auto val="1"/>
        <c:lblAlgn val="ctr"/>
        <c:lblOffset val="100"/>
        <c:tickLblSkip val="1"/>
        <c:noMultiLvlLbl val="0"/>
      </c:catAx>
      <c:valAx>
        <c:axId val="1048380223"/>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9462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1397351</xdr:colOff>
      <xdr:row>6</xdr:row>
      <xdr:rowOff>45509</xdr:rowOff>
    </xdr:from>
    <xdr:to>
      <xdr:col>5</xdr:col>
      <xdr:colOff>402167</xdr:colOff>
      <xdr:row>22</xdr:row>
      <xdr:rowOff>70184</xdr:rowOff>
    </xdr:to>
    <xdr:graphicFrame macro="">
      <xdr:nvGraphicFramePr>
        <xdr:cNvPr id="2" name="Chart 2">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455083</xdr:colOff>
      <xdr:row>6</xdr:row>
      <xdr:rowOff>48683</xdr:rowOff>
    </xdr:from>
    <xdr:to>
      <xdr:col>12</xdr:col>
      <xdr:colOff>143544</xdr:colOff>
      <xdr:row>22</xdr:row>
      <xdr:rowOff>70184</xdr:rowOff>
    </xdr:to>
    <xdr:graphicFrame macro="">
      <xdr:nvGraphicFramePr>
        <xdr:cNvPr id="3" name="Chart 3">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140821</xdr:colOff>
      <xdr:row>6</xdr:row>
      <xdr:rowOff>46689</xdr:rowOff>
    </xdr:from>
    <xdr:ext cx="3666004" cy="2907731"/>
    <xdr:graphicFrame macro="">
      <xdr:nvGraphicFramePr>
        <xdr:cNvPr id="4" name="Chart 1">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xdr:from>
      <xdr:col>5</xdr:col>
      <xdr:colOff>335649</xdr:colOff>
      <xdr:row>19</xdr:row>
      <xdr:rowOff>127008</xdr:rowOff>
    </xdr:from>
    <xdr:to>
      <xdr:col>10</xdr:col>
      <xdr:colOff>1415149</xdr:colOff>
      <xdr:row>42</xdr:row>
      <xdr:rowOff>108856</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290285</xdr:colOff>
      <xdr:row>19</xdr:row>
      <xdr:rowOff>127007</xdr:rowOff>
    </xdr:from>
    <xdr:to>
      <xdr:col>5</xdr:col>
      <xdr:colOff>217715</xdr:colOff>
      <xdr:row>42</xdr:row>
      <xdr:rowOff>99786</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o.boarddocs.com/az/scottsdale/Board.nsf/files/BVP52G0E1FF5/%24file/2019-06-06%20Spec%20Mtg%20Board.pdf" TargetMode="External"/><Relationship Id="rId13" Type="http://schemas.openxmlformats.org/officeDocument/2006/relationships/hyperlink" Target="https://resources.finalsite.net/images/v1758726265/susdorg/nmwynhyavc8gougc7m4t/susd_info_USD_ACFR24.pdf?utm_source=chatgpt.com" TargetMode="External"/><Relationship Id="rId18" Type="http://schemas.openxmlformats.org/officeDocument/2006/relationships/hyperlink" Target="https://www.campbellusd.org/news/csi-announce-nov2017?utm_source=chatgpt.com" TargetMode="External"/><Relationship Id="rId3" Type="http://schemas.openxmlformats.org/officeDocument/2006/relationships/hyperlink" Target="https://www.susd.org/our-district/leadership/superintendent/superintendent-menzels-blog?utm_source=chatgpt.com" TargetMode="External"/><Relationship Id="rId21" Type="http://schemas.openxmlformats.org/officeDocument/2006/relationships/hyperlink" Target="https://www.azed.gov/finance/fy2026-school-finance-fiscal-operations-updates?utm_source=chatgpt.com" TargetMode="External"/><Relationship Id="rId7" Type="http://schemas.openxmlformats.org/officeDocument/2006/relationships/hyperlink" Target="https://www.susd.org/our-district/district-stories/~board/our-stories/post/scottsdale-school-becomes-first-in-arizona-to-be-blue-zones-approved?utm_source=chatgpt.com" TargetMode="External"/><Relationship Id="rId12" Type="http://schemas.openxmlformats.org/officeDocument/2006/relationships/hyperlink" Target="https://www.susd.org/departments/finance/annual-financial-reports?utm_source=chatgpt.com" TargetMode="External"/><Relationship Id="rId17" Type="http://schemas.openxmlformats.org/officeDocument/2006/relationships/hyperlink" Target="https://csi.campbellusd.org/news/district-news/design-thinking-approach-spreads-more-cusd-schools?utm_source=chatgpt.com" TargetMode="External"/><Relationship Id="rId2" Type="http://schemas.openxmlformats.org/officeDocument/2006/relationships/hyperlink" Target="https://www.campbellusd.org/news/csi-announce-nov2017?utm_source=chatgpt.com" TargetMode="External"/><Relationship Id="rId16" Type="http://schemas.openxmlformats.org/officeDocument/2006/relationships/hyperlink" Target="https://go.boarddocs.com/az/scottsdale/Board.nsf/files/BVP52G0E1FF5/%24file/2019-06-06%20Spec%20Mtg%20Board.pdf" TargetMode="External"/><Relationship Id="rId20" Type="http://schemas.openxmlformats.org/officeDocument/2006/relationships/hyperlink" Target="https://consortium.uchicago.edu/sites/default/files/2018-11/UChicago%20Consortium%20School%20Closings%20in%20Chicago%20press%20release.pdf?utm_source=chatgpt.com" TargetMode="External"/><Relationship Id="rId1" Type="http://schemas.openxmlformats.org/officeDocument/2006/relationships/hyperlink" Target="https://www.kyrene.org/about-kyrene/governing-board/long-range-planning-committee?utm_source=chatgpt.com" TargetMode="External"/><Relationship Id="rId6" Type="http://schemas.openxmlformats.org/officeDocument/2006/relationships/hyperlink" Target="https://www.scottsdaleaz.gov/finance/financial-reports?utm_source=chatgpt.com" TargetMode="External"/><Relationship Id="rId11" Type="http://schemas.openxmlformats.org/officeDocument/2006/relationships/hyperlink" Target="https://www.susd.org/our-district/leadership/superintendent/superintendent-menzels-blog?utm_source=chatgpt.com" TargetMode="External"/><Relationship Id="rId5" Type="http://schemas.openxmlformats.org/officeDocument/2006/relationships/hyperlink" Target="https://resources.finalsite.net/images/v1758726265/susdorg/nmwynhyavc8gougc7m4t/susd_info_USD_ACFR24.pdf?utm_source=chatgpt.com" TargetMode="External"/><Relationship Id="rId15" Type="http://schemas.openxmlformats.org/officeDocument/2006/relationships/hyperlink" Target="https://www.susd.org/our-district/district-stories/~board/our-stories/post/scottsdale-school-becomes-first-in-arizona-to-be-blue-zones-approved?utm_source=chatgpt.com" TargetMode="External"/><Relationship Id="rId10" Type="http://schemas.openxmlformats.org/officeDocument/2006/relationships/hyperlink" Target="https://www.campbellusd.org/news/csi-announce-nov2017?utm_source=chatgpt.com" TargetMode="External"/><Relationship Id="rId19" Type="http://schemas.openxmlformats.org/officeDocument/2006/relationships/hyperlink" Target="https://www.dpsk12.org/article/1889494?utm_source=chatgpt.com" TargetMode="External"/><Relationship Id="rId4" Type="http://schemas.openxmlformats.org/officeDocument/2006/relationships/hyperlink" Target="https://www.susd.org/departments/finance/annual-financial-reports?utm_source=chatgpt.com" TargetMode="External"/><Relationship Id="rId9" Type="http://schemas.openxmlformats.org/officeDocument/2006/relationships/hyperlink" Target="https://csi.campbellusd.org/news/district-news/design-thinking-approach-spreads-more-cusd-schools?utm_source=chatgpt.com" TargetMode="External"/><Relationship Id="rId14" Type="http://schemas.openxmlformats.org/officeDocument/2006/relationships/hyperlink" Target="https://www.scottsdaleaz.gov/finance/financial-reports?utm_source=chatgpt.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8" Type="http://schemas.openxmlformats.org/officeDocument/2006/relationships/hyperlink" Target="https://www.azed.gov/finance/school-finance-external-guidelines?utm_source=chatgpt.com" TargetMode="External"/><Relationship Id="rId13" Type="http://schemas.openxmlformats.org/officeDocument/2006/relationships/hyperlink" Target="https://www.azleg.gov/ars/15/00481.htm?utm_source=chatgpt.com" TargetMode="External"/><Relationship Id="rId18" Type="http://schemas.openxmlformats.org/officeDocument/2006/relationships/hyperlink" Target="https://www.azauditor.gov/sites/default/files/2023-09/HowToCalculateOperational-NonoperationalSpending.pdf?utm_source=chatgpt.com" TargetMode="External"/><Relationship Id="rId3" Type="http://schemas.openxmlformats.org/officeDocument/2006/relationships/hyperlink" Target="https://sundevilcentral.eoss.asu.edu/club_signup?category_tags=6551555&amp;group_type=&amp;view=all&amp;utm_source=chatgpt.com" TargetMode="External"/><Relationship Id="rId21" Type="http://schemas.openxmlformats.org/officeDocument/2006/relationships/hyperlink" Target="https://www.azauditor.gov/sites/default/files/2023-09/HowToCalculateOperational-NonoperationalSpending.pdf?utm_source=chatgpt.com" TargetMode="External"/><Relationship Id="rId7" Type="http://schemas.openxmlformats.org/officeDocument/2006/relationships/hyperlink" Target="https://www.azleg.gov/ars/15/00901.htm?utm_source=chatgpt.com" TargetMode="External"/><Relationship Id="rId12" Type="http://schemas.openxmlformats.org/officeDocument/2006/relationships/hyperlink" Target="https://sfbudget.ade.az.gov/Budget/Help/Introduction/Glossary.htm?utm_source=chatgpt.com" TargetMode="External"/><Relationship Id="rId17" Type="http://schemas.openxmlformats.org/officeDocument/2006/relationships/hyperlink" Target="https://www.azauditor.gov/sites/default/files/2023-11/USFR102323%282%29.pdf?utm_source=chatgpt.com" TargetMode="External"/><Relationship Id="rId25" Type="http://schemas.openxmlformats.org/officeDocument/2006/relationships/hyperlink" Target="https://www.susd.org/departments/finance/budget?utm_source=chatgpt.com" TargetMode="External"/><Relationship Id="rId2" Type="http://schemas.openxmlformats.org/officeDocument/2006/relationships/hyperlink" Target="https://sdspending.azauditor.gov/" TargetMode="External"/><Relationship Id="rId16" Type="http://schemas.openxmlformats.org/officeDocument/2006/relationships/hyperlink" Target="https://www.azauditor.gov/sites/default/files/2023-09/HowToCalculateOperational-NonoperationalSpending.pdf?utm_source=chatgpt.com" TargetMode="External"/><Relationship Id="rId20"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legiscan.com/AZ/text/HB2969/2025?utm_source=chatgpt.com" TargetMode="External"/><Relationship Id="rId11" Type="http://schemas.openxmlformats.org/officeDocument/2006/relationships/hyperlink" Target="https://www.azauditor.gov/sites/default/files/2023-09/HowToCalculateOperational-NonoperationalSpending.pdf?utm_source=chatgpt.com" TargetMode="External"/><Relationship Id="rId24" Type="http://schemas.openxmlformats.org/officeDocument/2006/relationships/hyperlink" Target="https://www.susd.org/fs/resource-manager/view/01a0856f-3a75-4ceb-9e90-02f85099b68d?utm_source=chatgpt.com" TargetMode="External"/><Relationship Id="rId5" Type="http://schemas.openxmlformats.org/officeDocument/2006/relationships/hyperlink" Target="https://ade.az.gov/schoolfinance/STaR/SAISInfoSeries/SIS16.pdf?utm_source=chatgpt.com" TargetMode="External"/><Relationship Id="rId15" Type="http://schemas.openxmlformats.org/officeDocument/2006/relationships/hyperlink" Target="https://www.azauditor.gov/sites/default/files/2023-11/Skull_Valley_ESD_12.pdf?utm_source=chatgpt.com" TargetMode="External"/><Relationship Id="rId23" Type="http://schemas.openxmlformats.org/officeDocument/2006/relationships/hyperlink" Target="https://www.azauditor.gov/sites/default/files/2023-11/USFR102323%282%29.pdf?utm_source=chatgpt.com" TargetMode="External"/><Relationship Id="rId10" Type="http://schemas.openxmlformats.org/officeDocument/2006/relationships/hyperlink" Target="https://www.susd.org/departments/finance/budget?utm_source=chatgpt.com" TargetMode="External"/><Relationship Id="rId19" Type="http://schemas.openxmlformats.org/officeDocument/2006/relationships/hyperlink" Target="https://www.susd.org/departments/finance/budget?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 Id="rId9" Type="http://schemas.openxmlformats.org/officeDocument/2006/relationships/hyperlink" Target="https://www.azauditor.gov/sites/default/files/2023-11/USFR102323%282%29.pdf?utm_source=chatgpt.com" TargetMode="External"/><Relationship Id="rId14" Type="http://schemas.openxmlformats.org/officeDocument/2006/relationships/hyperlink" Target="https://www.ade.az.gov/schoolfinance/star/SAISInfoSeries/SIS7.pdf?utm_source=chatgpt.com" TargetMode="External"/><Relationship Id="rId22" Type="http://schemas.openxmlformats.org/officeDocument/2006/relationships/hyperlink" Target="https://www.azauditor.gov/sites/default/files/2023-09/HowToCalculateOperational-NonoperationalSpending.pdf?utm_source=chatgpt.com"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www.susd.org/departments/finance/budget?utm_source=chatgpt.com" TargetMode="External"/><Relationship Id="rId2"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azed.gov/finance/school-finance-external-guidelines?utm_source=chatgpt.com" TargetMode="External"/><Relationship Id="rId5" Type="http://schemas.openxmlformats.org/officeDocument/2006/relationships/hyperlink" Target="https://www.azauditor.gov/sites/default/files/2023-11/USFR102323%282%29.pdf?utm_source=chatgpt.com" TargetMode="External"/><Relationship Id="rId4" Type="http://schemas.openxmlformats.org/officeDocument/2006/relationships/hyperlink" Target="https://www.azauditor.gov/sites/default/files/2023-11/USFR102323%282%29.pdf?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84"/>
  <sheetViews>
    <sheetView tabSelected="1" topLeftCell="A9" zoomScale="80" zoomScaleNormal="80" workbookViewId="0">
      <selection activeCell="A16" sqref="A16:XFD16"/>
    </sheetView>
  </sheetViews>
  <sheetFormatPr defaultRowHeight="14.5"/>
  <sheetData>
    <row r="1" spans="1:34">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c r="A2" s="12"/>
      <c r="B2" s="4" t="s">
        <v>823</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c r="A3" s="12"/>
      <c r="B3" s="35" t="s">
        <v>824</v>
      </c>
      <c r="C3" s="12"/>
      <c r="D3" s="12"/>
      <c r="E3" s="12"/>
      <c r="F3" s="100"/>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c r="A5" s="12"/>
      <c r="B5" s="4" t="s">
        <v>825</v>
      </c>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ht="88.5" customHeight="1">
      <c r="A6" s="12"/>
      <c r="B6" s="92" t="s">
        <v>826</v>
      </c>
      <c r="C6" s="92"/>
      <c r="D6" s="92"/>
      <c r="E6" s="92"/>
      <c r="F6" s="92"/>
      <c r="G6" s="92"/>
      <c r="H6" s="92"/>
      <c r="I6" s="92"/>
      <c r="J6" s="92"/>
      <c r="K6" s="92"/>
      <c r="L6" s="92"/>
      <c r="M6" s="92"/>
      <c r="N6" s="92"/>
      <c r="O6" s="92"/>
      <c r="P6" s="92"/>
      <c r="Q6" s="92"/>
      <c r="R6" s="92"/>
      <c r="S6" s="92"/>
      <c r="T6" s="12"/>
      <c r="U6" s="12"/>
      <c r="V6" s="12"/>
      <c r="W6" s="12"/>
      <c r="X6" s="12"/>
      <c r="Y6" s="12"/>
      <c r="Z6" s="12"/>
      <c r="AA6" s="12"/>
      <c r="AB6" s="12"/>
      <c r="AC6" s="12"/>
      <c r="AD6" s="12"/>
      <c r="AE6" s="12"/>
      <c r="AF6" s="12"/>
      <c r="AG6" s="12"/>
      <c r="AH6" s="12"/>
    </row>
    <row r="7" spans="1:34">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c r="A8" s="12"/>
      <c r="B8" s="4" t="s">
        <v>827</v>
      </c>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ht="181.5" customHeight="1">
      <c r="A9" s="12"/>
      <c r="B9" s="92" t="s">
        <v>828</v>
      </c>
      <c r="C9" s="92"/>
      <c r="D9" s="92"/>
      <c r="E9" s="92"/>
      <c r="F9" s="92"/>
      <c r="G9" s="92"/>
      <c r="H9" s="92"/>
      <c r="I9" s="92"/>
      <c r="J9" s="92"/>
      <c r="K9" s="92"/>
      <c r="L9" s="92"/>
      <c r="M9" s="92"/>
      <c r="N9" s="92"/>
      <c r="O9" s="92"/>
      <c r="P9" s="92"/>
      <c r="Q9" s="92"/>
      <c r="R9" s="92"/>
      <c r="S9" s="92"/>
      <c r="T9" s="12"/>
      <c r="U9" s="12"/>
      <c r="V9" s="12"/>
      <c r="W9" s="12"/>
      <c r="X9" s="12"/>
      <c r="Y9" s="12"/>
      <c r="Z9" s="12"/>
      <c r="AA9" s="12"/>
      <c r="AB9" s="12"/>
      <c r="AC9" s="12"/>
      <c r="AD9" s="12"/>
      <c r="AE9" s="12"/>
      <c r="AF9" s="12"/>
      <c r="AG9" s="12"/>
      <c r="AH9" s="12"/>
    </row>
    <row r="10" spans="1:34">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c r="A11" s="12"/>
      <c r="B11" s="4" t="s">
        <v>829</v>
      </c>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289.5" customHeight="1">
      <c r="A12" s="12"/>
      <c r="B12" s="92" t="s">
        <v>830</v>
      </c>
      <c r="C12" s="92"/>
      <c r="D12" s="92"/>
      <c r="E12" s="92"/>
      <c r="F12" s="92"/>
      <c r="G12" s="92"/>
      <c r="H12" s="92"/>
      <c r="I12" s="92"/>
      <c r="J12" s="92"/>
      <c r="K12" s="92"/>
      <c r="L12" s="92"/>
      <c r="M12" s="92"/>
      <c r="N12" s="92"/>
      <c r="O12" s="92"/>
      <c r="P12" s="92"/>
      <c r="Q12" s="92"/>
      <c r="R12" s="92"/>
      <c r="S12" s="92"/>
      <c r="T12" s="12"/>
      <c r="U12" s="12"/>
      <c r="V12" s="12"/>
      <c r="W12" s="12"/>
      <c r="X12" s="12"/>
      <c r="Y12" s="12"/>
      <c r="Z12" s="12"/>
      <c r="AA12" s="12"/>
      <c r="AB12" s="12"/>
      <c r="AC12" s="12"/>
      <c r="AD12" s="12"/>
      <c r="AE12" s="12"/>
      <c r="AF12" s="12"/>
      <c r="AG12" s="12"/>
      <c r="AH12" s="12"/>
    </row>
    <row r="13" spans="1:34">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c r="A14" s="12"/>
      <c r="B14" s="4" t="s">
        <v>831</v>
      </c>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c r="A19" s="12"/>
      <c r="B19" s="39" t="s">
        <v>0</v>
      </c>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c r="A20" s="12"/>
      <c r="B20" s="39" t="s">
        <v>1</v>
      </c>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c r="A21" s="12"/>
      <c r="B21" s="39" t="s">
        <v>2</v>
      </c>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c r="A22" s="12"/>
      <c r="B22" s="39" t="s">
        <v>3</v>
      </c>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c r="A23" s="12"/>
      <c r="B23" s="39" t="s">
        <v>4</v>
      </c>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c r="A34" s="12"/>
      <c r="B34" s="12" t="s">
        <v>5</v>
      </c>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c r="A36" s="12"/>
      <c r="B36" t="s">
        <v>6</v>
      </c>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c r="A37" s="12"/>
      <c r="B37" s="33"/>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c r="A38" s="12"/>
      <c r="B38" s="32" t="s">
        <v>7</v>
      </c>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c r="A39" s="12"/>
      <c r="B39" s="33"/>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c r="A40" s="12"/>
      <c r="B40" s="32" t="s">
        <v>8</v>
      </c>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c r="A41" s="12"/>
      <c r="B41" s="33"/>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c r="A42" s="12"/>
      <c r="B42" s="32" t="s">
        <v>9</v>
      </c>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c r="A45" s="12"/>
      <c r="B45" t="s">
        <v>10</v>
      </c>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c r="A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c r="A47" s="12"/>
      <c r="B47" t="s">
        <v>11</v>
      </c>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c r="A49" s="12"/>
      <c r="B49" t="s">
        <v>12</v>
      </c>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c r="A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c r="A51" s="12"/>
      <c r="B51" t="s">
        <v>13</v>
      </c>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c r="A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c r="A53" s="12"/>
      <c r="B53" t="s">
        <v>14</v>
      </c>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c r="A55" s="12"/>
      <c r="B55" s="12" t="s">
        <v>15</v>
      </c>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c r="A57" s="12"/>
      <c r="B57" s="4" t="s">
        <v>16</v>
      </c>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c r="A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c r="A59" s="12"/>
      <c r="B59" s="4" t="s">
        <v>17</v>
      </c>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c r="A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c r="A61" s="12"/>
      <c r="B61" s="4" t="s">
        <v>18</v>
      </c>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c r="A62" s="12"/>
      <c r="B62" s="33"/>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c r="A63" s="12"/>
      <c r="B63" s="33" t="s">
        <v>19</v>
      </c>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c r="A64" s="12"/>
      <c r="B64" s="33"/>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c r="A65" s="12"/>
      <c r="B65" s="33" t="s">
        <v>20</v>
      </c>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row r="66" spans="1:34">
      <c r="A66" s="12"/>
      <c r="B66" s="33"/>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row>
    <row r="67" spans="1:34">
      <c r="A67" s="12"/>
      <c r="B67" s="33" t="s">
        <v>21</v>
      </c>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row>
    <row r="68" spans="1:34">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row>
    <row r="69" spans="1:34">
      <c r="A69" s="12"/>
      <c r="B69" s="12" t="s">
        <v>22</v>
      </c>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row>
    <row r="70" spans="1:34">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row>
    <row r="71" spans="1:34">
      <c r="A71" s="12"/>
      <c r="B71" t="s">
        <v>23</v>
      </c>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row>
    <row r="72" spans="1:34">
      <c r="A72" s="12"/>
      <c r="B72" s="33"/>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row>
    <row r="73" spans="1:34">
      <c r="A73" s="12"/>
      <c r="B73" s="32" t="s">
        <v>24</v>
      </c>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row>
    <row r="74" spans="1:34">
      <c r="A74" s="12"/>
      <c r="B74" s="33"/>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row>
    <row r="75" spans="1:34">
      <c r="A75" s="12"/>
      <c r="B75" s="32" t="s">
        <v>25</v>
      </c>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row>
    <row r="76" spans="1:34">
      <c r="A76" s="12"/>
      <c r="B76" s="33"/>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row>
    <row r="77" spans="1:34">
      <c r="A77" s="12"/>
      <c r="B77" s="32" t="s">
        <v>26</v>
      </c>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row>
    <row r="78" spans="1:34">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row>
    <row r="79" spans="1:34">
      <c r="A79" s="12"/>
      <c r="B79" s="12" t="s">
        <v>22</v>
      </c>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row>
    <row r="80" spans="1:34">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row>
    <row r="81" spans="1:34">
      <c r="A81" s="12"/>
      <c r="B81" s="12" t="s">
        <v>27</v>
      </c>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row>
    <row r="82" spans="1:34">
      <c r="A82" s="12"/>
      <c r="B82" s="12" t="s">
        <v>28</v>
      </c>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row>
    <row r="83" spans="1:34">
      <c r="A83" s="12"/>
      <c r="B83" s="12" t="s">
        <v>29</v>
      </c>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row>
    <row r="84" spans="1:34">
      <c r="A84" s="12"/>
      <c r="B84" s="3" t="s">
        <v>30</v>
      </c>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row>
    <row r="85" spans="1:34">
      <c r="A85" s="12"/>
      <c r="B85" s="12" t="s">
        <v>31</v>
      </c>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row>
    <row r="86" spans="1:34">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row>
    <row r="87" spans="1:34">
      <c r="A87" s="12"/>
      <c r="B87" s="68" t="s">
        <v>32</v>
      </c>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row>
    <row r="88" spans="1:34">
      <c r="A88" s="12"/>
      <c r="B88" s="68" t="s">
        <v>33</v>
      </c>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row>
    <row r="89" spans="1:34">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row>
    <row r="90" spans="1:34">
      <c r="A90" s="12"/>
      <c r="B90" s="12" t="s">
        <v>34</v>
      </c>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row>
    <row r="91" spans="1:34">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row>
    <row r="92" spans="1:34" ht="16" customHeight="1">
      <c r="A92" s="12"/>
      <c r="B92" s="70" t="s">
        <v>35</v>
      </c>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row>
    <row r="93" spans="1:34" ht="16" customHeight="1">
      <c r="A93" s="12"/>
      <c r="B93" s="72" t="s">
        <v>36</v>
      </c>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row>
    <row r="94" spans="1:34" ht="16" customHeight="1">
      <c r="A94" s="12"/>
      <c r="B94" s="71" t="s">
        <v>37</v>
      </c>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row>
    <row r="95" spans="1:34">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row>
    <row r="96" spans="1:34">
      <c r="A96" s="12"/>
      <c r="B96" s="12" t="s">
        <v>38</v>
      </c>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row>
    <row r="97" spans="1:34">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row>
    <row r="98" spans="1:34" ht="16" customHeight="1">
      <c r="A98" s="12"/>
      <c r="B98" s="69" t="s">
        <v>39</v>
      </c>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row>
    <row r="99" spans="1:34">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row>
    <row r="100" spans="1:34">
      <c r="A100" s="12"/>
      <c r="B100" s="12" t="s">
        <v>34</v>
      </c>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row>
    <row r="101" spans="1:34">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row>
    <row r="102" spans="1:34" ht="16" customHeight="1">
      <c r="A102" s="12"/>
      <c r="B102" s="70" t="s">
        <v>40</v>
      </c>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row>
    <row r="103" spans="1:34" ht="16" customHeight="1">
      <c r="A103" s="12"/>
      <c r="B103" s="73" t="s">
        <v>41</v>
      </c>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row>
    <row r="104" spans="1:34" ht="16" customHeight="1">
      <c r="A104" s="12"/>
      <c r="B104" s="73" t="s">
        <v>42</v>
      </c>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row>
    <row r="105" spans="1:34" ht="16" customHeight="1">
      <c r="A105" s="12"/>
      <c r="B105" s="73" t="s">
        <v>43</v>
      </c>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row>
    <row r="106" spans="1:34">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row>
    <row r="107" spans="1:34">
      <c r="A107" s="12"/>
      <c r="B107" s="12" t="s">
        <v>44</v>
      </c>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row>
    <row r="108" spans="1:34">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row>
    <row r="109" spans="1:34" ht="16" customHeight="1">
      <c r="A109" s="12"/>
      <c r="B109" s="74" t="s">
        <v>45</v>
      </c>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row>
    <row r="110" spans="1:34" ht="16" customHeight="1">
      <c r="A110" s="12"/>
      <c r="B110" s="75" t="s">
        <v>46</v>
      </c>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row>
    <row r="111" spans="1:34" ht="16" customHeight="1">
      <c r="B111" s="74" t="s">
        <v>47</v>
      </c>
    </row>
    <row r="112" spans="1:34" ht="16" customHeight="1">
      <c r="B112" s="69" t="s">
        <v>48</v>
      </c>
    </row>
    <row r="114" spans="2:2" ht="16" customHeight="1">
      <c r="B114" s="74" t="s">
        <v>34</v>
      </c>
    </row>
    <row r="116" spans="2:2" ht="16" customHeight="1">
      <c r="B116" s="72" t="s">
        <v>49</v>
      </c>
    </row>
    <row r="118" spans="2:2" ht="16" customHeight="1">
      <c r="B118" s="73" t="s">
        <v>50</v>
      </c>
    </row>
    <row r="120" spans="2:2" ht="16" customHeight="1">
      <c r="B120" s="71" t="s">
        <v>51</v>
      </c>
    </row>
    <row r="122" spans="2:2">
      <c r="B122" t="s">
        <v>34</v>
      </c>
    </row>
    <row r="124" spans="2:2">
      <c r="B124" s="76" t="s">
        <v>52</v>
      </c>
    </row>
    <row r="125" spans="2:2">
      <c r="B125" s="77" t="s">
        <v>53</v>
      </c>
    </row>
    <row r="126" spans="2:2">
      <c r="B126" s="76" t="s">
        <v>54</v>
      </c>
    </row>
    <row r="127" spans="2:2">
      <c r="B127" s="77" t="s">
        <v>55</v>
      </c>
    </row>
    <row r="128" spans="2:2">
      <c r="B128" s="78" t="s">
        <v>56</v>
      </c>
    </row>
    <row r="129" spans="2:2">
      <c r="B129" s="79" t="s">
        <v>57</v>
      </c>
    </row>
    <row r="130" spans="2:2">
      <c r="B130" s="79" t="s">
        <v>58</v>
      </c>
    </row>
    <row r="131" spans="2:2">
      <c r="B131" s="79" t="s">
        <v>59</v>
      </c>
    </row>
    <row r="132" spans="2:2">
      <c r="B132" s="79" t="s">
        <v>60</v>
      </c>
    </row>
    <row r="133" spans="2:2">
      <c r="B133" s="77"/>
    </row>
    <row r="136" spans="2:2" ht="21.5" customHeight="1">
      <c r="B136" s="80" t="s">
        <v>61</v>
      </c>
    </row>
    <row r="137" spans="2:2">
      <c r="B137" s="76" t="s">
        <v>62</v>
      </c>
    </row>
    <row r="138" spans="2:2">
      <c r="B138" s="39" t="s">
        <v>63</v>
      </c>
    </row>
    <row r="139" spans="2:2">
      <c r="B139" s="33"/>
    </row>
    <row r="140" spans="2:2">
      <c r="B140" s="39" t="s">
        <v>64</v>
      </c>
    </row>
    <row r="141" spans="2:2">
      <c r="B141" s="33"/>
    </row>
    <row r="142" spans="2:2">
      <c r="B142" s="39" t="s">
        <v>65</v>
      </c>
    </row>
    <row r="143" spans="2:2">
      <c r="B143" s="33"/>
    </row>
    <row r="144" spans="2:2">
      <c r="B144" s="39" t="s">
        <v>66</v>
      </c>
    </row>
    <row r="146" spans="2:2">
      <c r="B146" s="76" t="s">
        <v>67</v>
      </c>
    </row>
    <row r="147" spans="2:2" ht="21.5" customHeight="1">
      <c r="B147" s="80" t="s">
        <v>68</v>
      </c>
    </row>
    <row r="148" spans="2:2">
      <c r="B148" s="39" t="s">
        <v>69</v>
      </c>
    </row>
    <row r="149" spans="2:2">
      <c r="B149" s="33"/>
    </row>
    <row r="150" spans="2:2">
      <c r="B150" s="39" t="s">
        <v>70</v>
      </c>
    </row>
    <row r="151" spans="2:2">
      <c r="B151" s="33"/>
    </row>
    <row r="152" spans="2:2">
      <c r="B152" s="39" t="s">
        <v>71</v>
      </c>
    </row>
    <row r="153" spans="2:2">
      <c r="B153" s="33"/>
    </row>
    <row r="154" spans="2:2">
      <c r="B154" s="39" t="s">
        <v>72</v>
      </c>
    </row>
    <row r="155" spans="2:2">
      <c r="B155" s="33"/>
    </row>
    <row r="156" spans="2:2">
      <c r="B156" s="78" t="s">
        <v>73</v>
      </c>
    </row>
    <row r="158" spans="2:2">
      <c r="B158" s="77" t="s">
        <v>74</v>
      </c>
    </row>
    <row r="160" spans="2:2">
      <c r="B160" t="s">
        <v>75</v>
      </c>
    </row>
    <row r="162" spans="2:2" ht="21.5" customHeight="1">
      <c r="B162" s="80" t="s">
        <v>61</v>
      </c>
    </row>
    <row r="163" spans="2:2">
      <c r="B163" s="76" t="s">
        <v>62</v>
      </c>
    </row>
    <row r="164" spans="2:2">
      <c r="B164" s="39" t="s">
        <v>63</v>
      </c>
    </row>
    <row r="165" spans="2:2">
      <c r="B165" s="33"/>
    </row>
    <row r="166" spans="2:2">
      <c r="B166" s="39" t="s">
        <v>64</v>
      </c>
    </row>
    <row r="167" spans="2:2">
      <c r="B167" s="33"/>
    </row>
    <row r="168" spans="2:2">
      <c r="B168" s="39" t="s">
        <v>65</v>
      </c>
    </row>
    <row r="169" spans="2:2">
      <c r="B169" s="33"/>
    </row>
    <row r="170" spans="2:2">
      <c r="B170" s="39" t="s">
        <v>66</v>
      </c>
    </row>
    <row r="172" spans="2:2">
      <c r="B172" s="76" t="s">
        <v>67</v>
      </c>
    </row>
    <row r="173" spans="2:2" ht="21.5" customHeight="1">
      <c r="B173" s="80" t="s">
        <v>68</v>
      </c>
    </row>
    <row r="174" spans="2:2">
      <c r="B174" s="39" t="s">
        <v>69</v>
      </c>
    </row>
    <row r="175" spans="2:2">
      <c r="B175" s="33"/>
    </row>
    <row r="176" spans="2:2">
      <c r="B176" s="39" t="s">
        <v>70</v>
      </c>
    </row>
    <row r="177" spans="2:2">
      <c r="B177" s="33"/>
    </row>
    <row r="178" spans="2:2">
      <c r="B178" s="39" t="s">
        <v>71</v>
      </c>
    </row>
    <row r="179" spans="2:2">
      <c r="B179" s="33"/>
    </row>
    <row r="180" spans="2:2">
      <c r="B180" s="39" t="s">
        <v>72</v>
      </c>
    </row>
    <row r="181" spans="2:2">
      <c r="B181" s="33"/>
    </row>
    <row r="182" spans="2:2">
      <c r="B182" s="78" t="s">
        <v>73</v>
      </c>
    </row>
    <row r="184" spans="2:2">
      <c r="B184" s="77" t="s">
        <v>74</v>
      </c>
    </row>
  </sheetData>
  <mergeCells count="3">
    <mergeCell ref="B6:S6"/>
    <mergeCell ref="B9:S9"/>
    <mergeCell ref="B12:S12"/>
  </mergeCells>
  <hyperlinks>
    <hyperlink ref="B22" r:id="rId1" display="https://www.kyrene.org/about-kyrene/governing-board/long-range-planning-committee?utm_source=chatgpt.com" xr:uid="{00000000-0004-0000-0000-000003000000}"/>
    <hyperlink ref="B23" r:id="rId2" display="https://www.campbellusd.org/news/csi-announce-nov2017?utm_source=chatgpt.com" xr:uid="{00000000-0004-0000-0000-000004000000}"/>
    <hyperlink ref="B138" r:id="rId3" display="https://www.susd.org/our-district/leadership/superintendent/superintendent-menzels-blog?utm_source=chatgpt.com" xr:uid="{00000000-0004-0000-0000-000005000000}"/>
    <hyperlink ref="B140" r:id="rId4" display="https://www.susd.org/departments/finance/annual-financial-reports?utm_source=chatgpt.com" xr:uid="{00000000-0004-0000-0000-000006000000}"/>
    <hyperlink ref="B142" r:id="rId5" display="https://resources.finalsite.net/images/v1758726265/susdorg/nmwynhyavc8gougc7m4t/susd_info_USD_ACFR24.pdf?utm_source=chatgpt.com" xr:uid="{00000000-0004-0000-0000-000007000000}"/>
    <hyperlink ref="B144" r:id="rId6" display="https://www.scottsdaleaz.gov/finance/financial-reports?utm_source=chatgpt.com" xr:uid="{00000000-0004-0000-0000-000008000000}"/>
    <hyperlink ref="B148" r:id="rId7" display="https://www.susd.org/our-district/district-stories/~board/our-stories/post/scottsdale-school-becomes-first-in-arizona-to-be-blue-zones-approved?utm_source=chatgpt.com" xr:uid="{00000000-0004-0000-0000-000009000000}"/>
    <hyperlink ref="B150" r:id="rId8" display="https://go.boarddocs.com/az/scottsdale/Board.nsf/files/BVP52G0E1FF5/%24file/2019-06-06 Spec Mtg Board.pdf" xr:uid="{00000000-0004-0000-0000-00000A000000}"/>
    <hyperlink ref="B152" r:id="rId9" display="https://csi.campbellusd.org/news/district-news/design-thinking-approach-spreads-more-cusd-schools?utm_source=chatgpt.com" xr:uid="{00000000-0004-0000-0000-00000B000000}"/>
    <hyperlink ref="B154" r:id="rId10" display="https://www.campbellusd.org/news/csi-announce-nov2017?utm_source=chatgpt.com" xr:uid="{00000000-0004-0000-0000-00000C000000}"/>
    <hyperlink ref="B164" r:id="rId11" display="https://www.susd.org/our-district/leadership/superintendent/superintendent-menzels-blog?utm_source=chatgpt.com" xr:uid="{00000000-0004-0000-0000-00000D000000}"/>
    <hyperlink ref="B166" r:id="rId12" display="https://www.susd.org/departments/finance/annual-financial-reports?utm_source=chatgpt.com" xr:uid="{00000000-0004-0000-0000-00000E000000}"/>
    <hyperlink ref="B168" r:id="rId13" display="https://resources.finalsite.net/images/v1758726265/susdorg/nmwynhyavc8gougc7m4t/susd_info_USD_ACFR24.pdf?utm_source=chatgpt.com" xr:uid="{00000000-0004-0000-0000-00000F000000}"/>
    <hyperlink ref="B170" r:id="rId14" display="https://www.scottsdaleaz.gov/finance/financial-reports?utm_source=chatgpt.com" xr:uid="{00000000-0004-0000-0000-000010000000}"/>
    <hyperlink ref="B174" r:id="rId15" display="https://www.susd.org/our-district/district-stories/~board/our-stories/post/scottsdale-school-becomes-first-in-arizona-to-be-blue-zones-approved?utm_source=chatgpt.com" xr:uid="{00000000-0004-0000-0000-000011000000}"/>
    <hyperlink ref="B176" r:id="rId16" display="https://go.boarddocs.com/az/scottsdale/Board.nsf/files/BVP52G0E1FF5/%24file/2019-06-06 Spec Mtg Board.pdf" xr:uid="{00000000-0004-0000-0000-000012000000}"/>
    <hyperlink ref="B178" r:id="rId17" display="https://csi.campbellusd.org/news/district-news/design-thinking-approach-spreads-more-cusd-schools?utm_source=chatgpt.com" xr:uid="{00000000-0004-0000-0000-000013000000}"/>
    <hyperlink ref="B180" r:id="rId18" display="https://www.campbellusd.org/news/csi-announce-nov2017?utm_source=chatgpt.com" xr:uid="{00000000-0004-0000-0000-000014000000}"/>
    <hyperlink ref="B21" r:id="rId19" display="https://www.dpsk12.org/article/1889494?utm_source=chatgpt.com" xr:uid="{00000000-0004-0000-0000-000002000000}"/>
    <hyperlink ref="B20" r:id="rId20" display="https://consortium.uchicago.edu/sites/default/files/2018-11/UChicago Consortium School Closings in Chicago press release.pdf?utm_source=chatgpt.com" xr:uid="{00000000-0004-0000-0000-000001000000}"/>
    <hyperlink ref="B19" r:id="rId21" display="https://www.azed.gov/finance/fy2026-school-finance-fiscal-operations-updates?utm_source=chatgpt.com" xr:uid="{00000000-0004-0000-0000-000000000000}"/>
  </hyperlink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68"/>
  <sheetViews>
    <sheetView zoomScale="95" zoomScaleNormal="95" workbookViewId="0">
      <selection activeCell="B24" sqref="B24:L24"/>
    </sheetView>
  </sheetViews>
  <sheetFormatPr defaultRowHeight="14.5"/>
  <cols>
    <col min="1" max="1" width="5.81640625" customWidth="1"/>
    <col min="2" max="2" width="35.26953125" customWidth="1"/>
    <col min="3" max="3" width="23" bestFit="1" customWidth="1"/>
    <col min="4" max="4" width="26.1796875" bestFit="1" customWidth="1"/>
    <col min="8" max="8" width="8.7265625" customWidth="1"/>
    <col min="11" max="11" width="5.1796875" customWidth="1"/>
  </cols>
  <sheetData>
    <row r="1" spans="1:19" ht="18.5" customHeight="1">
      <c r="A1" s="12"/>
      <c r="B1" s="52" t="s">
        <v>76</v>
      </c>
      <c r="C1" s="12"/>
      <c r="D1" s="61"/>
      <c r="E1" s="12"/>
      <c r="F1" s="12"/>
      <c r="G1" s="12"/>
      <c r="H1" s="12"/>
      <c r="I1" s="12"/>
      <c r="J1" s="12"/>
      <c r="K1" s="12"/>
      <c r="L1" s="12"/>
      <c r="M1" s="12"/>
      <c r="N1" s="12"/>
      <c r="O1" s="12"/>
      <c r="P1" s="12"/>
      <c r="Q1" s="12"/>
      <c r="R1" s="12"/>
      <c r="S1" s="12"/>
    </row>
    <row r="2" spans="1:19">
      <c r="A2" s="12"/>
      <c r="B2" s="12"/>
      <c r="C2" s="12"/>
      <c r="D2" s="12"/>
      <c r="E2" s="12"/>
      <c r="F2" s="12"/>
      <c r="G2" s="12"/>
      <c r="H2" s="12"/>
      <c r="I2" s="12"/>
      <c r="J2" s="12"/>
      <c r="K2" s="12"/>
      <c r="L2" s="12"/>
      <c r="M2" s="12"/>
      <c r="N2" s="12"/>
      <c r="O2" s="12"/>
      <c r="P2" s="12"/>
      <c r="Q2" s="12"/>
      <c r="R2" s="12"/>
      <c r="S2" s="12"/>
    </row>
    <row r="3" spans="1:19">
      <c r="A3" s="12"/>
      <c r="B3" s="64" t="s">
        <v>77</v>
      </c>
      <c r="C3" s="88" t="s">
        <v>78</v>
      </c>
      <c r="D3" s="89"/>
      <c r="E3" s="89"/>
      <c r="F3" s="89"/>
      <c r="G3" s="89"/>
      <c r="H3" s="89"/>
      <c r="I3" s="60" t="s">
        <v>79</v>
      </c>
      <c r="J3" s="59"/>
      <c r="K3" s="59"/>
      <c r="L3" s="59"/>
      <c r="M3" s="12"/>
      <c r="N3" s="12"/>
      <c r="O3" s="12"/>
      <c r="P3" s="12"/>
      <c r="Q3" s="12"/>
      <c r="R3" s="12"/>
      <c r="S3" s="12"/>
    </row>
    <row r="4" spans="1:19" ht="30" customHeight="1">
      <c r="A4" s="12"/>
      <c r="B4" s="62" t="s">
        <v>80</v>
      </c>
      <c r="C4" s="93" t="str">
        <f>VLOOKUP($B4,Scenarios!$A$1:$C$14, 2, 0)</f>
        <v>Echo &amp; Pima open; no operational or strategic growth actions; enrollment decline trend continues</v>
      </c>
      <c r="D4" s="94"/>
      <c r="E4" s="94"/>
      <c r="F4" s="94"/>
      <c r="G4" s="94"/>
      <c r="H4" s="94"/>
      <c r="I4" s="67"/>
      <c r="J4" s="83">
        <f>IF(ROUND(SUMIFS(MultiYear_ProForma!$AC:$AC,MultiYear_ProForma!$B:$B,$B4,MultiYear_ProForma!$C:$C,"FY2030")-BaselineCalc!$B$9, 0)&gt;0, "+"&amp;ROUND(SUMIFS(MultiYear_ProForma!$AC:$AC,MultiYear_ProForma!$B:$B,$B4,MultiYear_ProForma!$C:$C,"FY2030")-BaselineCalc!$B$9, 0), ROUND(SUMIFS(MultiYear_ProForma!$AC:$AC,MultiYear_ProForma!$B:$B,$B4,MultiYear_ProForma!$C:$C,"FY2030")-BaselineCalc!$B$9, 0))</f>
        <v>-43</v>
      </c>
      <c r="K4" s="84"/>
      <c r="L4" s="12"/>
      <c r="M4" s="12"/>
      <c r="N4" s="12"/>
      <c r="O4" s="12"/>
      <c r="P4" s="12"/>
      <c r="Q4" s="12"/>
      <c r="R4" s="12"/>
      <c r="S4" s="12"/>
    </row>
    <row r="5" spans="1:19" ht="31.5" customHeight="1">
      <c r="A5" s="12"/>
      <c r="B5" s="63" t="s">
        <v>81</v>
      </c>
      <c r="C5" s="86" t="str">
        <f>VLOOKUP($B5,Scenarios!$A$1:$C$14, 2, 0)</f>
        <v>Repurpose both Echo &amp; Pima; lease both properties; fixed cost reduction rate, retention %, and transition cost assumptions are key drivers</v>
      </c>
      <c r="D5" s="87"/>
      <c r="E5" s="87"/>
      <c r="F5" s="87"/>
      <c r="G5" s="87"/>
      <c r="H5" s="87"/>
      <c r="I5" s="67"/>
      <c r="J5" s="83">
        <f>IF(ROUND(SUMIFS(MultiYear_ProForma!$AC:$AC,MultiYear_ProForma!$B:$B,$B5,MultiYear_ProForma!$C:$C,"FY2030")-BaselineCalc!$B$9, 0)&gt;0, "+"&amp;ROUND(SUMIFS(MultiYear_ProForma!$AC:$AC,MultiYear_ProForma!$B:$B,$B5,MultiYear_ProForma!$C:$C,"FY2030")-BaselineCalc!$B$9, 0), ROUND(SUMIFS(MultiYear_ProForma!$AC:$AC,MultiYear_ProForma!$B:$B,$B5,MultiYear_ProForma!$C:$C,"FY2030")-BaselineCalc!$B$9, 0))</f>
        <v>-147</v>
      </c>
      <c r="K5" s="84"/>
      <c r="L5" s="12"/>
      <c r="M5" s="12"/>
      <c r="N5" s="12"/>
      <c r="O5" s="12"/>
      <c r="P5" s="12"/>
      <c r="Q5" s="12"/>
      <c r="R5" s="12"/>
      <c r="S5" s="12"/>
    </row>
    <row r="6" spans="1:19">
      <c r="A6" s="12"/>
      <c r="B6" s="53"/>
      <c r="C6" s="12"/>
      <c r="D6" s="12"/>
      <c r="E6" s="12"/>
      <c r="F6" s="12"/>
      <c r="G6" s="12"/>
      <c r="H6" s="12"/>
      <c r="I6" s="12"/>
      <c r="J6" s="12"/>
      <c r="K6" s="12"/>
      <c r="L6" s="12"/>
      <c r="M6" s="12"/>
      <c r="N6" s="12"/>
      <c r="O6" s="12"/>
      <c r="P6" s="12"/>
      <c r="Q6" s="12"/>
      <c r="R6" s="12"/>
      <c r="S6" s="12"/>
    </row>
    <row r="7" spans="1:19">
      <c r="A7" s="12"/>
      <c r="B7" s="12"/>
      <c r="C7" s="12"/>
      <c r="D7" s="12"/>
      <c r="E7" s="12"/>
      <c r="F7" s="12"/>
      <c r="G7" s="12"/>
      <c r="H7" s="12"/>
      <c r="I7" s="12"/>
      <c r="J7" s="12"/>
      <c r="K7" s="12"/>
      <c r="L7" s="12"/>
      <c r="M7" s="12"/>
      <c r="N7" s="12"/>
      <c r="O7" s="12"/>
      <c r="P7" s="12"/>
      <c r="Q7" s="12"/>
      <c r="R7" s="12"/>
      <c r="S7" s="12"/>
    </row>
    <row r="8" spans="1:19">
      <c r="A8" s="12"/>
      <c r="B8" s="12"/>
      <c r="C8" s="12"/>
      <c r="D8" s="12"/>
      <c r="E8" s="12"/>
      <c r="F8" s="12"/>
      <c r="G8" s="12"/>
      <c r="H8" s="12"/>
      <c r="I8" s="12"/>
      <c r="J8" s="12"/>
      <c r="K8" s="12"/>
      <c r="L8" s="12"/>
      <c r="M8" s="12"/>
      <c r="N8" s="12"/>
      <c r="O8" s="12"/>
      <c r="P8" s="12"/>
      <c r="Q8" s="12"/>
      <c r="R8" s="12"/>
      <c r="S8" s="12"/>
    </row>
    <row r="9" spans="1:19">
      <c r="A9" s="12"/>
      <c r="B9" s="12"/>
      <c r="C9" s="12"/>
      <c r="D9" s="12"/>
      <c r="E9" s="12"/>
      <c r="F9" s="12"/>
      <c r="G9" s="12"/>
      <c r="H9" s="12"/>
      <c r="I9" s="12"/>
      <c r="J9" s="12"/>
      <c r="K9" s="12"/>
      <c r="L9" s="12"/>
      <c r="M9" s="12"/>
      <c r="N9" s="12"/>
      <c r="O9" s="12"/>
      <c r="P9" s="12"/>
      <c r="Q9" s="12"/>
      <c r="R9" s="12"/>
      <c r="S9" s="12"/>
    </row>
    <row r="10" spans="1:19">
      <c r="A10" s="12"/>
      <c r="B10" s="12"/>
      <c r="C10" s="12"/>
      <c r="D10" s="12"/>
      <c r="E10" s="12"/>
      <c r="F10" s="12"/>
      <c r="G10" s="12"/>
      <c r="H10" s="12"/>
      <c r="I10" s="12"/>
      <c r="J10" s="12"/>
      <c r="K10" s="12"/>
      <c r="L10" s="12"/>
      <c r="M10" s="12"/>
      <c r="N10" s="12"/>
      <c r="O10" s="12"/>
      <c r="P10" s="12"/>
      <c r="Q10" s="12"/>
      <c r="R10" s="12"/>
      <c r="S10" s="12"/>
    </row>
    <row r="11" spans="1:19">
      <c r="A11" s="12"/>
      <c r="B11" s="12"/>
      <c r="C11" s="12"/>
      <c r="D11" s="12"/>
      <c r="E11" s="12"/>
      <c r="F11" s="12"/>
      <c r="G11" s="12"/>
      <c r="H11" s="12"/>
      <c r="I11" s="12"/>
      <c r="J11" s="12"/>
      <c r="K11" s="12"/>
      <c r="L11" s="12"/>
      <c r="M11" s="12"/>
      <c r="N11" s="12"/>
      <c r="O11" s="12"/>
      <c r="P11" s="12"/>
      <c r="Q11" s="12"/>
      <c r="R11" s="12"/>
      <c r="S11" s="12"/>
    </row>
    <row r="12" spans="1:19">
      <c r="A12" s="12"/>
      <c r="B12" s="12"/>
      <c r="C12" s="12"/>
      <c r="D12" s="12"/>
      <c r="E12" s="12"/>
      <c r="F12" s="12"/>
      <c r="G12" s="12"/>
      <c r="H12" s="12"/>
      <c r="I12" s="12"/>
      <c r="J12" s="12"/>
      <c r="K12" s="12"/>
      <c r="L12" s="12"/>
      <c r="M12" s="12"/>
      <c r="N12" s="12"/>
      <c r="O12" s="12"/>
      <c r="P12" s="12"/>
      <c r="Q12" s="12"/>
      <c r="R12" s="12"/>
      <c r="S12" s="12"/>
    </row>
    <row r="13" spans="1:19">
      <c r="A13" s="12"/>
      <c r="B13" s="12"/>
      <c r="C13" s="12"/>
      <c r="D13" s="12"/>
      <c r="E13" s="12"/>
      <c r="F13" s="12"/>
      <c r="G13" s="12"/>
      <c r="H13" s="12"/>
      <c r="I13" s="12"/>
      <c r="J13" s="12"/>
      <c r="K13" s="12"/>
      <c r="L13" s="12"/>
      <c r="M13" s="12"/>
      <c r="N13" s="12"/>
      <c r="O13" s="12"/>
      <c r="P13" s="12"/>
      <c r="Q13" s="12"/>
      <c r="R13" s="12"/>
      <c r="S13" s="12"/>
    </row>
    <row r="14" spans="1:19">
      <c r="A14" s="12"/>
      <c r="B14" s="12"/>
      <c r="C14" s="12"/>
      <c r="D14" s="12"/>
      <c r="E14" s="12"/>
      <c r="F14" s="12"/>
      <c r="G14" s="12"/>
      <c r="H14" s="12"/>
      <c r="I14" s="12"/>
      <c r="J14" s="12"/>
      <c r="K14" s="12"/>
      <c r="L14" s="12"/>
      <c r="M14" s="12"/>
      <c r="N14" s="12"/>
      <c r="O14" s="12"/>
      <c r="P14" s="12"/>
      <c r="Q14" s="12"/>
      <c r="R14" s="12"/>
      <c r="S14" s="12"/>
    </row>
    <row r="15" spans="1:19">
      <c r="A15" s="12"/>
      <c r="B15" s="12"/>
      <c r="C15" s="12"/>
      <c r="D15" s="12"/>
      <c r="E15" s="12"/>
      <c r="F15" s="12"/>
      <c r="G15" s="12"/>
      <c r="H15" s="12"/>
      <c r="I15" s="12"/>
      <c r="J15" s="12"/>
      <c r="K15" s="12"/>
      <c r="L15" s="12"/>
      <c r="M15" s="12"/>
      <c r="N15" s="12"/>
      <c r="O15" s="12"/>
      <c r="P15" s="12"/>
      <c r="Q15" s="12"/>
      <c r="R15" s="12"/>
      <c r="S15" s="12"/>
    </row>
    <row r="16" spans="1:19">
      <c r="A16" s="12"/>
      <c r="B16" s="12"/>
      <c r="C16" s="12"/>
      <c r="D16" s="12"/>
      <c r="E16" s="12"/>
      <c r="F16" s="12"/>
      <c r="G16" s="12"/>
      <c r="H16" s="12"/>
      <c r="I16" s="12"/>
      <c r="J16" s="12"/>
      <c r="K16" s="12"/>
      <c r="L16" s="12"/>
      <c r="M16" s="12"/>
      <c r="N16" s="12"/>
      <c r="O16" s="12"/>
      <c r="P16" s="12"/>
      <c r="Q16" s="12"/>
      <c r="R16" s="12"/>
      <c r="S16" s="12"/>
    </row>
    <row r="17" spans="1:19">
      <c r="A17" s="12"/>
      <c r="B17" s="12"/>
      <c r="C17" s="12"/>
      <c r="D17" s="12"/>
      <c r="E17" s="12"/>
      <c r="F17" s="12"/>
      <c r="G17" s="12"/>
      <c r="H17" s="12"/>
      <c r="I17" s="12"/>
      <c r="J17" s="12"/>
      <c r="K17" s="12"/>
      <c r="L17" s="12"/>
      <c r="M17" s="12"/>
      <c r="N17" s="12"/>
      <c r="O17" s="12"/>
      <c r="P17" s="12"/>
      <c r="Q17" s="12"/>
      <c r="R17" s="12"/>
      <c r="S17" s="12"/>
    </row>
    <row r="18" spans="1:19">
      <c r="A18" s="12"/>
      <c r="B18" s="12"/>
      <c r="C18" s="12"/>
      <c r="D18" s="12"/>
      <c r="E18" s="12"/>
      <c r="F18" s="12"/>
      <c r="G18" s="12"/>
      <c r="H18" s="12"/>
      <c r="I18" s="12"/>
      <c r="J18" s="12"/>
      <c r="K18" s="12"/>
      <c r="L18" s="12"/>
      <c r="M18" s="12"/>
      <c r="N18" s="12"/>
      <c r="O18" s="12"/>
      <c r="P18" s="12"/>
      <c r="Q18" s="12"/>
      <c r="R18" s="12"/>
      <c r="S18" s="12"/>
    </row>
    <row r="19" spans="1:19">
      <c r="A19" s="12"/>
      <c r="B19" s="12"/>
      <c r="C19" s="12"/>
      <c r="D19" s="12"/>
      <c r="E19" s="12"/>
      <c r="F19" s="12"/>
      <c r="G19" s="12"/>
      <c r="H19" s="12"/>
      <c r="I19" s="12"/>
      <c r="J19" s="12"/>
      <c r="K19" s="12"/>
      <c r="L19" s="12"/>
      <c r="M19" s="12"/>
      <c r="N19" s="12"/>
      <c r="O19" s="12"/>
      <c r="P19" s="12"/>
      <c r="Q19" s="12"/>
      <c r="R19" s="12"/>
      <c r="S19" s="12"/>
    </row>
    <row r="20" spans="1:19">
      <c r="A20" s="12"/>
      <c r="B20" s="12"/>
      <c r="C20" s="12"/>
      <c r="D20" s="12"/>
      <c r="E20" s="12"/>
      <c r="F20" s="12"/>
      <c r="G20" s="12"/>
      <c r="H20" s="12"/>
      <c r="I20" s="12"/>
      <c r="J20" s="12"/>
      <c r="K20" s="12"/>
      <c r="L20" s="12"/>
      <c r="M20" s="12"/>
      <c r="N20" s="12"/>
      <c r="O20" s="12"/>
      <c r="P20" s="12"/>
      <c r="Q20" s="12"/>
      <c r="R20" s="12"/>
      <c r="S20" s="12"/>
    </row>
    <row r="21" spans="1:19">
      <c r="A21" s="12"/>
      <c r="B21" s="12"/>
      <c r="C21" s="12"/>
      <c r="D21" s="12"/>
      <c r="E21" s="12"/>
      <c r="F21" s="12"/>
      <c r="G21" s="12"/>
      <c r="H21" s="12"/>
      <c r="I21" s="12"/>
      <c r="J21" s="12"/>
      <c r="K21" s="12"/>
      <c r="L21" s="12"/>
      <c r="M21" s="12"/>
      <c r="N21" s="12"/>
      <c r="O21" s="12"/>
      <c r="P21" s="12"/>
      <c r="Q21" s="12"/>
      <c r="R21" s="12"/>
      <c r="S21" s="12"/>
    </row>
    <row r="22" spans="1:19">
      <c r="A22" s="12"/>
      <c r="B22" s="12"/>
      <c r="C22" s="12"/>
      <c r="D22" s="12"/>
      <c r="E22" s="12"/>
      <c r="F22" s="12"/>
      <c r="G22" s="12"/>
      <c r="H22" s="12"/>
      <c r="I22" s="12"/>
      <c r="J22" s="12"/>
      <c r="K22" s="12"/>
      <c r="L22" s="12"/>
      <c r="M22" s="12"/>
      <c r="N22" s="12"/>
      <c r="O22" s="12"/>
      <c r="P22" s="12"/>
      <c r="Q22" s="12"/>
      <c r="R22" s="12"/>
      <c r="S22" s="12"/>
    </row>
    <row r="23" spans="1:19">
      <c r="A23" s="12"/>
      <c r="B23" s="12"/>
      <c r="C23" s="12"/>
      <c r="D23" s="12"/>
      <c r="E23" s="12"/>
      <c r="F23" s="12"/>
      <c r="G23" s="12"/>
      <c r="H23" s="12"/>
      <c r="I23" s="12"/>
      <c r="J23" s="12"/>
      <c r="K23" s="12"/>
      <c r="L23" s="12"/>
      <c r="M23" s="12"/>
      <c r="N23" s="12"/>
      <c r="O23" s="12"/>
      <c r="P23" s="12"/>
      <c r="Q23" s="12"/>
      <c r="R23" s="12"/>
      <c r="S23" s="12"/>
    </row>
    <row r="24" spans="1:19" ht="31" customHeight="1">
      <c r="A24" s="12"/>
      <c r="B24" s="92" t="s">
        <v>82</v>
      </c>
      <c r="C24" s="87"/>
      <c r="D24" s="87"/>
      <c r="E24" s="87"/>
      <c r="F24" s="87"/>
      <c r="G24" s="87"/>
      <c r="H24" s="87"/>
      <c r="I24" s="87"/>
      <c r="J24" s="87"/>
      <c r="K24" s="87"/>
      <c r="L24" s="87"/>
      <c r="M24" s="12"/>
      <c r="N24" s="12"/>
      <c r="O24" s="12"/>
      <c r="P24" s="12"/>
      <c r="Q24" s="12"/>
      <c r="R24" s="12"/>
      <c r="S24" s="12"/>
    </row>
    <row r="25" spans="1:19">
      <c r="A25" s="12"/>
      <c r="B25" s="12"/>
      <c r="C25" s="12"/>
      <c r="D25" s="12"/>
      <c r="E25" s="12"/>
      <c r="F25" s="12"/>
      <c r="G25" s="12"/>
      <c r="H25" s="12"/>
      <c r="I25" s="12"/>
      <c r="J25" s="12"/>
      <c r="K25" s="12"/>
      <c r="L25" s="12"/>
      <c r="M25" s="12"/>
      <c r="N25" s="12"/>
      <c r="O25" s="12"/>
      <c r="P25" s="12"/>
      <c r="Q25" s="12"/>
      <c r="R25" s="12"/>
      <c r="S25" s="12"/>
    </row>
    <row r="26" spans="1:19">
      <c r="A26" s="12"/>
      <c r="B26" s="54" t="s">
        <v>83</v>
      </c>
      <c r="C26" s="65" t="s">
        <v>84</v>
      </c>
      <c r="D26" s="66" t="s">
        <v>85</v>
      </c>
      <c r="E26" s="12"/>
      <c r="F26" s="12"/>
      <c r="G26" s="12"/>
      <c r="H26" s="12"/>
      <c r="I26" s="12"/>
      <c r="J26" s="12"/>
      <c r="K26" s="12"/>
      <c r="L26" s="12"/>
      <c r="M26" s="12"/>
      <c r="N26" s="12"/>
      <c r="O26" s="12"/>
      <c r="P26" s="12"/>
      <c r="Q26" s="12"/>
      <c r="R26" s="12"/>
      <c r="S26" s="12"/>
    </row>
    <row r="27" spans="1:19">
      <c r="A27" s="12"/>
      <c r="B27" s="12" t="s">
        <v>86</v>
      </c>
      <c r="C27" s="56">
        <f>SUMIFS(MultiYear_ProForma!$AF$2:$AF$66, MultiYear_ProForma!$B$2:$B$66, $B$4, MultiYear_ProForma!$C$2:$C$66, "FY2026")</f>
        <v>-459335.0305249989</v>
      </c>
      <c r="D27" s="56">
        <f>SUMIFS(MultiYear_ProForma!$AF$2:$AF$66, MultiYear_ProForma!$B$2:$B$66, $B$5, MultiYear_ProForma!$C$2:$C$66, "FY2026")</f>
        <v>840656.32429169957</v>
      </c>
      <c r="E27" s="12"/>
      <c r="F27" s="12"/>
      <c r="G27" s="12"/>
      <c r="H27" s="12"/>
      <c r="I27" s="12"/>
      <c r="J27" s="12"/>
      <c r="K27" s="12"/>
      <c r="L27" s="12"/>
      <c r="M27" s="12"/>
      <c r="N27" s="12"/>
      <c r="O27" s="12"/>
      <c r="P27" s="12"/>
      <c r="Q27" s="12"/>
      <c r="R27" s="12"/>
      <c r="S27" s="12"/>
    </row>
    <row r="28" spans="1:19">
      <c r="A28" s="12"/>
      <c r="B28" s="12" t="s">
        <v>87</v>
      </c>
      <c r="C28" s="56">
        <f>SUMIFS(MultiYear_ProForma!$AF$2:$AF$66, MultiYear_ProForma!$B$2:$B$66, $B$4, MultiYear_ProForma!$C$2:$C$66, "FY2027")</f>
        <v>-522913.47911071405</v>
      </c>
      <c r="D28" s="56">
        <f>SUMIFS(MultiYear_ProForma!$AF$2:$AF$66, MultiYear_ProForma!$B$2:$B$66, $B$5, MultiYear_ProForma!$C$2:$C$66, "FY2027")</f>
        <v>952977.73239899194</v>
      </c>
      <c r="E28" s="12"/>
      <c r="F28" s="12"/>
      <c r="G28" s="12"/>
      <c r="H28" s="12"/>
      <c r="I28" s="12"/>
      <c r="J28" s="12"/>
      <c r="K28" s="12"/>
      <c r="L28" s="12"/>
      <c r="M28" s="12"/>
      <c r="N28" s="12"/>
      <c r="O28" s="12"/>
      <c r="P28" s="12"/>
      <c r="Q28" s="12"/>
      <c r="R28" s="12"/>
      <c r="S28" s="12"/>
    </row>
    <row r="29" spans="1:19">
      <c r="A29" s="12"/>
      <c r="B29" s="12" t="s">
        <v>88</v>
      </c>
      <c r="C29" s="56">
        <f>SUMIFS(MultiYear_ProForma!$AF$2:$AF$66, MultiYear_ProForma!$B$2:$B$66, $B$4, MultiYear_ProForma!$C$2:$C$66, "FY2028")</f>
        <v>-588315.81673877127</v>
      </c>
      <c r="D29" s="56">
        <f>SUMIFS(MultiYear_ProForma!$AF$2:$AF$66, MultiYear_ProForma!$B$2:$B$66, $B$5, MultiYear_ProForma!$C$2:$C$66, "FY2028")</f>
        <v>1223701.2431391166</v>
      </c>
      <c r="E29" s="12"/>
      <c r="F29" s="12"/>
      <c r="G29" s="12"/>
      <c r="H29" s="12"/>
      <c r="I29" s="12"/>
      <c r="J29" s="12"/>
      <c r="K29" s="12"/>
      <c r="L29" s="12"/>
      <c r="M29" s="12"/>
      <c r="N29" s="12"/>
      <c r="O29" s="12"/>
      <c r="P29" s="12"/>
      <c r="Q29" s="12"/>
      <c r="R29" s="12"/>
      <c r="S29" s="12"/>
    </row>
    <row r="30" spans="1:19">
      <c r="A30" s="12"/>
      <c r="B30" s="12" t="s">
        <v>89</v>
      </c>
      <c r="C30" s="56">
        <f>SUMIFS(MultiYear_ProForma!$AF$2:$AF$66, MultiYear_ProForma!$B$2:$B$66, $B$4, MultiYear_ProForma!$C$2:$C$66, "FY2029")</f>
        <v>-655588.69556045718</v>
      </c>
      <c r="D30" s="56">
        <f>SUMIFS(MultiYear_ProForma!$AF$2:$AF$66, MultiYear_ProForma!$B$2:$B$66, $B$5, MultiYear_ProForma!$C$2:$C$66, "FY2029")</f>
        <v>1462524.4183334969</v>
      </c>
      <c r="E30" s="12"/>
      <c r="F30" s="12"/>
      <c r="G30" s="12"/>
      <c r="H30" s="12"/>
      <c r="I30" s="12"/>
      <c r="J30" s="12"/>
      <c r="K30" s="12"/>
      <c r="L30" s="12"/>
      <c r="M30" s="12"/>
      <c r="N30" s="12"/>
      <c r="O30" s="12"/>
      <c r="P30" s="12"/>
      <c r="Q30" s="12"/>
      <c r="R30" s="12"/>
      <c r="S30" s="12"/>
    </row>
    <row r="31" spans="1:19">
      <c r="A31" s="12"/>
      <c r="B31" s="12" t="s">
        <v>90</v>
      </c>
      <c r="C31" s="56">
        <f>SUMIFS(MultiYear_ProForma!$AF$2:$AF$66, MultiYear_ProForma!$B$2:$B$66, $B$4, MultiYear_ProForma!$C$2:$C$66, "FY2030")</f>
        <v>-724779.93877799716</v>
      </c>
      <c r="D31" s="56">
        <f>SUMIFS(MultiYear_ProForma!$AF$2:$AF$66, MultiYear_ProForma!$B$2:$B$66, $B$5, MultiYear_ProForma!$C$2:$C$66, "FY2030")</f>
        <v>1585320.0287918346</v>
      </c>
      <c r="E31" s="12"/>
      <c r="F31" s="12"/>
      <c r="G31" s="12"/>
      <c r="H31" s="12"/>
      <c r="I31" s="12"/>
      <c r="J31" s="12"/>
      <c r="K31" s="12"/>
      <c r="L31" s="12"/>
      <c r="M31" s="12"/>
      <c r="N31" s="12"/>
      <c r="O31" s="12"/>
      <c r="P31" s="12"/>
      <c r="Q31" s="12"/>
      <c r="R31" s="12"/>
      <c r="S31" s="12"/>
    </row>
    <row r="32" spans="1:19">
      <c r="A32" s="12"/>
      <c r="B32" s="12"/>
      <c r="C32" s="12"/>
      <c r="D32" s="12"/>
      <c r="E32" s="12"/>
      <c r="F32" s="12"/>
      <c r="G32" s="12"/>
      <c r="H32" s="12"/>
      <c r="I32" s="12"/>
      <c r="J32" s="12"/>
      <c r="K32" s="12"/>
      <c r="L32" s="12"/>
      <c r="M32" s="12"/>
      <c r="N32" s="12"/>
      <c r="O32" s="12"/>
      <c r="P32" s="12"/>
      <c r="Q32" s="12"/>
      <c r="R32" s="12"/>
      <c r="S32" s="12"/>
    </row>
    <row r="33" spans="1:19">
      <c r="A33" s="12"/>
      <c r="B33" s="85" t="s">
        <v>91</v>
      </c>
      <c r="C33" s="67"/>
      <c r="D33" s="12"/>
      <c r="E33" s="12"/>
      <c r="F33" s="12"/>
      <c r="G33" s="12"/>
      <c r="H33" s="12"/>
      <c r="I33" s="12"/>
      <c r="J33" s="12"/>
      <c r="K33" s="12"/>
      <c r="L33" s="12"/>
      <c r="M33" s="12"/>
      <c r="N33" s="12"/>
      <c r="O33" s="12"/>
      <c r="P33" s="12"/>
      <c r="Q33" s="12"/>
      <c r="R33" s="12"/>
      <c r="S33" s="12"/>
    </row>
    <row r="34" spans="1:19">
      <c r="A34" s="12"/>
      <c r="B34" s="67" t="s">
        <v>92</v>
      </c>
      <c r="C34" s="67">
        <f>Parameters_Public!C23</f>
        <v>0.6</v>
      </c>
      <c r="D34" s="12"/>
      <c r="E34" s="12"/>
      <c r="F34" s="12"/>
      <c r="G34" s="12"/>
      <c r="H34" s="12"/>
      <c r="I34" s="12"/>
      <c r="J34" s="12"/>
      <c r="K34" s="12"/>
      <c r="L34" s="12"/>
      <c r="M34" s="12"/>
      <c r="N34" s="12"/>
      <c r="O34" s="12"/>
      <c r="P34" s="12"/>
      <c r="Q34" s="12"/>
      <c r="R34" s="12"/>
      <c r="S34" s="12"/>
    </row>
    <row r="35" spans="1:19">
      <c r="A35" s="12"/>
      <c r="B35" s="67" t="s">
        <v>93</v>
      </c>
      <c r="C35" s="67">
        <f>Parameters_Public!C24</f>
        <v>0.85</v>
      </c>
      <c r="D35" s="12"/>
      <c r="E35" s="12"/>
      <c r="F35" s="12"/>
      <c r="G35" s="12"/>
      <c r="H35" s="12"/>
      <c r="I35" s="12"/>
      <c r="J35" s="12"/>
      <c r="K35" s="12"/>
      <c r="L35" s="12"/>
      <c r="M35" s="12"/>
      <c r="N35" s="12"/>
      <c r="O35" s="12"/>
      <c r="P35" s="12"/>
      <c r="Q35" s="12"/>
      <c r="R35" s="12"/>
      <c r="S35" s="12"/>
    </row>
    <row r="36" spans="1:19">
      <c r="A36" s="12"/>
      <c r="B36" s="67" t="s">
        <v>94</v>
      </c>
      <c r="C36" s="67">
        <f>Parameters_Public!C43</f>
        <v>0.6</v>
      </c>
      <c r="D36" s="12"/>
      <c r="E36" s="12"/>
      <c r="F36" s="12"/>
      <c r="G36" s="12"/>
      <c r="H36" s="12"/>
      <c r="I36" s="12"/>
      <c r="J36" s="12"/>
      <c r="K36" s="12"/>
      <c r="L36" s="12"/>
      <c r="M36" s="12"/>
      <c r="N36" s="12"/>
      <c r="O36" s="12"/>
      <c r="P36" s="12"/>
      <c r="Q36" s="12"/>
      <c r="R36" s="12"/>
      <c r="S36" s="12"/>
    </row>
    <row r="37" spans="1:19">
      <c r="A37" s="12"/>
      <c r="B37" s="67" t="s">
        <v>95</v>
      </c>
      <c r="C37" s="67">
        <f>Parameters_Public!C17</f>
        <v>0.15</v>
      </c>
      <c r="D37" s="12"/>
      <c r="E37" s="12"/>
      <c r="F37" s="12"/>
      <c r="G37" s="12"/>
      <c r="H37" s="12"/>
      <c r="I37" s="12"/>
      <c r="J37" s="12"/>
      <c r="K37" s="12"/>
      <c r="L37" s="12"/>
      <c r="M37" s="12"/>
      <c r="N37" s="12"/>
      <c r="O37" s="12"/>
      <c r="P37" s="12"/>
      <c r="Q37" s="12"/>
      <c r="R37" s="12"/>
      <c r="S37" s="12"/>
    </row>
    <row r="38" spans="1:19">
      <c r="A38" s="12"/>
      <c r="B38" s="67" t="s">
        <v>96</v>
      </c>
      <c r="C38" s="67">
        <f>Parameters_Public!C20</f>
        <v>1</v>
      </c>
      <c r="D38" s="12"/>
      <c r="E38" s="12"/>
      <c r="F38" s="12"/>
      <c r="G38" s="12"/>
      <c r="H38" s="12"/>
      <c r="I38" s="12"/>
      <c r="J38" s="12"/>
      <c r="K38" s="12"/>
      <c r="L38" s="12"/>
      <c r="M38" s="12"/>
      <c r="N38" s="12"/>
      <c r="O38" s="12"/>
      <c r="P38" s="12"/>
      <c r="Q38" s="12"/>
      <c r="R38" s="12"/>
      <c r="S38" s="12"/>
    </row>
    <row r="39" spans="1:19">
      <c r="A39" s="12"/>
      <c r="B39" s="67" t="s">
        <v>97</v>
      </c>
      <c r="C39" s="67">
        <f>Control_Center!C10</f>
        <v>7.0000000000000001E-3</v>
      </c>
      <c r="D39" s="12"/>
      <c r="E39" s="12"/>
      <c r="F39" s="12"/>
      <c r="G39" s="12"/>
      <c r="H39" s="12"/>
      <c r="I39" s="12"/>
      <c r="J39" s="12"/>
      <c r="K39" s="12"/>
      <c r="L39" s="12"/>
      <c r="M39" s="12"/>
      <c r="N39" s="12"/>
      <c r="O39" s="12"/>
      <c r="P39" s="12"/>
      <c r="Q39" s="12"/>
      <c r="R39" s="12"/>
      <c r="S39" s="12"/>
    </row>
    <row r="40" spans="1:19">
      <c r="A40" s="12"/>
      <c r="B40" s="67" t="s">
        <v>98</v>
      </c>
      <c r="C40" s="67">
        <f>Control_Center!C11</f>
        <v>1.4999999999999999E-2</v>
      </c>
      <c r="D40" s="12"/>
      <c r="E40" s="12"/>
      <c r="G40" s="12"/>
      <c r="H40" s="12"/>
      <c r="I40" s="12"/>
      <c r="J40" s="12"/>
      <c r="K40" s="12"/>
      <c r="L40" s="12"/>
      <c r="M40" s="12"/>
      <c r="N40" s="12"/>
      <c r="O40" s="12"/>
      <c r="P40" s="12"/>
      <c r="Q40" s="12"/>
      <c r="R40" s="12"/>
      <c r="S40" s="12"/>
    </row>
    <row r="41" spans="1:19">
      <c r="A41" s="12"/>
      <c r="B41" s="67" t="s">
        <v>99</v>
      </c>
      <c r="C41" s="67"/>
      <c r="D41" s="57"/>
      <c r="E41" s="12"/>
      <c r="F41" s="12"/>
      <c r="G41" s="12"/>
      <c r="H41" s="12"/>
      <c r="I41" s="12"/>
      <c r="J41" s="12"/>
      <c r="K41" s="12"/>
      <c r="L41" s="12"/>
      <c r="M41" s="12"/>
      <c r="N41" s="12"/>
      <c r="O41" s="12"/>
      <c r="P41" s="12"/>
      <c r="Q41" s="12"/>
      <c r="R41" s="12"/>
      <c r="S41" s="12"/>
    </row>
    <row r="42" spans="1:19">
      <c r="A42" s="12"/>
      <c r="B42" s="12"/>
      <c r="C42" s="12"/>
      <c r="D42" s="57"/>
      <c r="E42" s="12"/>
      <c r="F42" s="12"/>
      <c r="G42" s="12"/>
      <c r="H42" s="12"/>
      <c r="I42" s="12"/>
      <c r="J42" s="12"/>
      <c r="K42" s="12"/>
      <c r="L42" s="12"/>
      <c r="M42" s="12"/>
      <c r="N42" s="12"/>
      <c r="O42" s="12"/>
      <c r="P42" s="12"/>
      <c r="Q42" s="12"/>
      <c r="R42" s="12"/>
      <c r="S42" s="12"/>
    </row>
    <row r="43" spans="1:19">
      <c r="A43" s="12"/>
      <c r="B43" s="12"/>
      <c r="C43" s="12"/>
      <c r="D43" s="57" t="s">
        <v>100</v>
      </c>
      <c r="E43" s="12"/>
      <c r="F43" s="12"/>
      <c r="G43" s="12"/>
      <c r="H43" s="12"/>
      <c r="I43" s="12"/>
      <c r="J43" s="12"/>
      <c r="K43" s="12"/>
      <c r="L43" s="12"/>
      <c r="M43" s="12"/>
      <c r="N43" s="12"/>
      <c r="O43" s="12"/>
      <c r="P43" s="12"/>
      <c r="Q43" s="12"/>
      <c r="R43" s="12"/>
      <c r="S43" s="12"/>
    </row>
    <row r="44" spans="1:19">
      <c r="A44" s="12"/>
      <c r="B44" s="65" t="s">
        <v>101</v>
      </c>
      <c r="C44" s="56">
        <f>SUMIFS(Capital_Summary!$H$4:$H$83, Capital_Summary!$A$4:$A$83, B4, Capital_Summary!$B$4:$B$83, "FY2026")</f>
        <v>0</v>
      </c>
      <c r="D44" s="95" t="str">
        <f>""&amp;$B$5&amp;" will be $"&amp;TEXT(ROUND(ABS(C45-C44),0), "#,##0")&amp;" "&amp;IF(C45&gt;C44,"MORE COSTLY","LESS COSTLY")&amp;" than "&amp;$B$4&amp;" in terms of capital investment required "</f>
        <v xml:space="preserve">A2_Repurpose_Both_lease will be $1,600,000 MORE COSTLY than E1_StatusQuo_Decline in terms of capital investment required </v>
      </c>
      <c r="E44" s="87"/>
      <c r="F44" s="87"/>
      <c r="G44" s="87"/>
      <c r="H44" s="87"/>
      <c r="I44" s="87"/>
      <c r="J44" s="12"/>
      <c r="K44" s="12"/>
      <c r="L44" s="12"/>
      <c r="M44" s="12"/>
      <c r="N44" s="12"/>
      <c r="O44" s="12"/>
      <c r="P44" s="12"/>
      <c r="Q44" s="12"/>
      <c r="R44" s="12"/>
      <c r="S44" s="12"/>
    </row>
    <row r="45" spans="1:19">
      <c r="A45" s="12"/>
      <c r="B45" s="66" t="s">
        <v>102</v>
      </c>
      <c r="C45" s="56">
        <f>SUMIFS(Capital_Summary!$H$4:$H$83, Capital_Summary!$A$4:$A$83, B5, Capital_Summary!$B$4:$B$83, "FY2026")</f>
        <v>1600000</v>
      </c>
      <c r="D45" s="91"/>
      <c r="E45" s="87"/>
      <c r="F45" s="87"/>
      <c r="G45" s="87"/>
      <c r="H45" s="87"/>
      <c r="I45" s="87"/>
      <c r="J45" s="12"/>
      <c r="K45" s="12"/>
      <c r="L45" s="12"/>
      <c r="M45" s="12"/>
      <c r="N45" s="12"/>
      <c r="O45" s="12"/>
      <c r="P45" s="12"/>
      <c r="Q45" s="12"/>
      <c r="R45" s="12"/>
      <c r="S45" s="12"/>
    </row>
    <row r="46" spans="1:19">
      <c r="A46" s="12"/>
      <c r="B46" s="53"/>
      <c r="C46" s="12"/>
      <c r="D46" s="57"/>
      <c r="E46" s="12"/>
      <c r="F46" s="12"/>
      <c r="G46" s="12"/>
      <c r="H46" s="12"/>
      <c r="I46" s="12"/>
      <c r="J46" s="12"/>
      <c r="K46" s="12"/>
      <c r="L46" s="12"/>
      <c r="M46" s="12"/>
      <c r="N46" s="12"/>
      <c r="O46" s="12"/>
      <c r="P46" s="12"/>
      <c r="Q46" s="12"/>
      <c r="R46" s="12"/>
      <c r="S46" s="12"/>
    </row>
    <row r="47" spans="1:19">
      <c r="A47" s="12"/>
      <c r="B47" s="65" t="s">
        <v>103</v>
      </c>
      <c r="C47" s="56">
        <f>ROUND((SUMIFS(MultiYear_ProForma!$AF$2:$AF$66,MultiYear_ProForma!$B$2:$B$66,$B$4,MultiYear_ProForma!$C$2:$C$66,"FY2026")+SUMIFS(MultiYear_ProForma!$AF$2:$AF$66,MultiYear_ProForma!$B$2:$B$66,$B$4,MultiYear_ProForma!$C$2:$C$66,"FY2027")+SUMIFS(MultiYear_ProForma!$AF$2:$AF$66,MultiYear_ProForma!$B$2:$B$66,$B$4,MultiYear_ProForma!$C$2:$C$66,"FY2028")+SUMIFS(MultiYear_ProForma!$AF$2:$AF$66,MultiYear_ProForma!$B$2:$B$66,$B$4,MultiYear_ProForma!$C$2:$C$66,"FY2029")+SUMIFS(MultiYear_ProForma!$AF$2:$AF$66,MultiYear_ProForma!$B$2:$B$66,$B$4,MultiYear_ProForma!$C$2:$C$66,"FY2030"))/5,-4)</f>
        <v>-590000</v>
      </c>
      <c r="D47" s="95" t="str">
        <f>"On average from 2026 through 2030, "&amp;$B$5&amp;" will be $"&amp;TEXT(ABS(ROUND(C49,0)), "#,##0")&amp;" "&amp;IF(C49&lt;0,"MORE COSTLY","LESS COSTLY")&amp;" to operate annually than "&amp;$B$4&amp;""</f>
        <v>On average from 2026 through 2030, A2_Repurpose_Both_lease will be $1,610,000 LESS COSTLY to operate annually than E1_StatusQuo_Decline</v>
      </c>
      <c r="E47" s="87"/>
      <c r="F47" s="87"/>
      <c r="G47" s="87"/>
      <c r="H47" s="87"/>
      <c r="I47" s="87"/>
      <c r="J47" s="12"/>
      <c r="K47" s="12"/>
      <c r="L47" s="12"/>
      <c r="M47" s="12"/>
      <c r="N47" s="12"/>
      <c r="O47" s="12"/>
      <c r="P47" s="12"/>
      <c r="Q47" s="12"/>
      <c r="R47" s="12"/>
      <c r="S47" s="12"/>
    </row>
    <row r="48" spans="1:19">
      <c r="A48" s="12"/>
      <c r="B48" s="66" t="s">
        <v>104</v>
      </c>
      <c r="C48" s="56">
        <f>ROUND((SUMIFS(MultiYear_ProForma!$AF$2:$AF$66, MultiYear_ProForma!$B$2:$B$66, $B$5, MultiYear_ProForma!$C$2:$C$66, "FY2026")+SUMIFS(MultiYear_ProForma!$AF$2:$AF$66, MultiYear_ProForma!$B$2:$B$66, $C$5,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 -4)</f>
        <v>1020000</v>
      </c>
      <c r="D48" s="91"/>
      <c r="E48" s="87"/>
      <c r="F48" s="87"/>
      <c r="G48" s="87"/>
      <c r="H48" s="87"/>
      <c r="I48" s="87"/>
      <c r="J48" s="12"/>
      <c r="K48" s="12"/>
      <c r="L48" s="12"/>
      <c r="M48" s="12"/>
      <c r="N48" s="12"/>
      <c r="O48" s="12"/>
      <c r="P48" s="12"/>
      <c r="Q48" s="12"/>
      <c r="R48" s="12"/>
      <c r="S48" s="12"/>
    </row>
    <row r="49" spans="1:19">
      <c r="A49" s="12"/>
      <c r="B49" s="55" t="s">
        <v>105</v>
      </c>
      <c r="C49" s="56">
        <f>ROUND(C48-C47, -4)</f>
        <v>1610000</v>
      </c>
      <c r="D49" s="91"/>
      <c r="E49" s="87"/>
      <c r="F49" s="87"/>
      <c r="G49" s="87"/>
      <c r="H49" s="87"/>
      <c r="I49" s="87"/>
      <c r="J49" s="12"/>
      <c r="K49" s="12"/>
      <c r="L49" s="12"/>
      <c r="M49" s="12"/>
      <c r="N49" s="12"/>
      <c r="O49" s="12"/>
      <c r="P49" s="12"/>
      <c r="Q49" s="12"/>
      <c r="R49" s="12"/>
      <c r="S49" s="12"/>
    </row>
    <row r="50" spans="1:19">
      <c r="A50" s="12"/>
      <c r="B50" s="53"/>
      <c r="C50" s="12"/>
      <c r="D50" s="57"/>
      <c r="E50" s="12"/>
      <c r="F50" s="12"/>
      <c r="G50" s="12"/>
      <c r="H50" s="12"/>
      <c r="I50" s="12"/>
      <c r="J50" s="12"/>
      <c r="K50" s="12"/>
      <c r="L50" s="12"/>
      <c r="M50" s="12"/>
      <c r="N50" s="12"/>
      <c r="O50" s="12"/>
      <c r="P50" s="12"/>
      <c r="Q50" s="12"/>
      <c r="R50" s="12"/>
      <c r="S50" s="12"/>
    </row>
    <row r="51" spans="1:19">
      <c r="A51" s="12"/>
      <c r="B51" s="53"/>
      <c r="C51" s="12"/>
      <c r="D51" s="57"/>
      <c r="E51" s="12"/>
      <c r="F51" s="12"/>
      <c r="G51" s="12"/>
      <c r="H51" s="12"/>
      <c r="I51" s="12"/>
      <c r="J51" s="12"/>
      <c r="K51" s="12"/>
      <c r="L51" s="12"/>
      <c r="M51" s="12"/>
      <c r="N51" s="12"/>
      <c r="O51" s="12"/>
      <c r="P51" s="12"/>
      <c r="Q51" s="12"/>
      <c r="R51" s="12"/>
      <c r="S51" s="12"/>
    </row>
    <row r="52" spans="1:19" ht="14.5" customHeight="1">
      <c r="A52" s="12"/>
      <c r="B52" s="65" t="s">
        <v>106</v>
      </c>
      <c r="C52" s="56">
        <f>ROUND(SUMIFS(MultiYear_ProForma!$AF$2:$AF$66, MultiYear_ProForma!$B$2:$B$66, $B$4, MultiYear_ProForma!$C$2:$C$66, "FY2030"), -4)</f>
        <v>-720000</v>
      </c>
      <c r="D52" s="95" t="str">
        <f>"By 2030, "&amp;$B$5&amp;" will be $"&amp;TEXT(ABS(ROUND(C54,0)), "#,##0")&amp;" "&amp;IF(C54&lt;0,"MORE COSTLY","LESS COSTLY")&amp;" to operate annually than "&amp;$B$4&amp;""</f>
        <v>By 2030, A2_Repurpose_Both_lease will be $2,310,000 LESS COSTLY to operate annually than E1_StatusQuo_Decline</v>
      </c>
      <c r="E52" s="87"/>
      <c r="F52" s="87"/>
      <c r="G52" s="87"/>
      <c r="H52" s="87"/>
      <c r="I52" s="87"/>
      <c r="J52" s="12"/>
      <c r="K52" s="12"/>
      <c r="L52" s="12"/>
      <c r="M52" s="12"/>
      <c r="N52" s="12"/>
      <c r="O52" s="12"/>
      <c r="P52" s="12"/>
      <c r="Q52" s="12"/>
      <c r="R52" s="12"/>
      <c r="S52" s="12"/>
    </row>
    <row r="53" spans="1:19">
      <c r="A53" s="12"/>
      <c r="B53" s="66" t="s">
        <v>107</v>
      </c>
      <c r="C53" s="56">
        <f>ROUND(SUMIFS(MultiYear_ProForma!$AF$2:$AF$66, MultiYear_ProForma!$B$2:$B$66, $B$5, MultiYear_ProForma!$C$2:$C$66, "FY2030"), -4)</f>
        <v>1590000</v>
      </c>
      <c r="D53" s="91"/>
      <c r="E53" s="87"/>
      <c r="F53" s="87"/>
      <c r="G53" s="87"/>
      <c r="H53" s="87"/>
      <c r="I53" s="87"/>
      <c r="J53" s="12"/>
      <c r="K53" s="12"/>
      <c r="L53" s="12"/>
      <c r="M53" s="12"/>
      <c r="N53" s="12"/>
      <c r="O53" s="12"/>
      <c r="P53" s="12"/>
      <c r="Q53" s="12"/>
      <c r="R53" s="12"/>
      <c r="S53" s="12"/>
    </row>
    <row r="54" spans="1:19">
      <c r="A54" s="12"/>
      <c r="B54" s="55" t="s">
        <v>108</v>
      </c>
      <c r="C54" s="56">
        <f>ROUND(C53-C52, -4)</f>
        <v>2310000</v>
      </c>
      <c r="D54" s="91"/>
      <c r="E54" s="87"/>
      <c r="F54" s="87"/>
      <c r="G54" s="87"/>
      <c r="H54" s="87"/>
      <c r="I54" s="87"/>
      <c r="J54" s="12"/>
      <c r="K54" s="12"/>
      <c r="L54" s="12"/>
      <c r="M54" s="12"/>
      <c r="N54" s="12"/>
      <c r="O54" s="12"/>
      <c r="P54" s="12"/>
      <c r="Q54" s="12"/>
      <c r="R54" s="12"/>
      <c r="S54" s="12"/>
    </row>
    <row r="55" spans="1:19">
      <c r="A55" s="12"/>
      <c r="B55" s="55"/>
      <c r="C55" s="56"/>
      <c r="D55" s="12"/>
      <c r="E55" s="12"/>
      <c r="F55" s="12"/>
      <c r="G55" s="12"/>
      <c r="H55" s="12"/>
      <c r="I55" s="12"/>
      <c r="J55" s="12"/>
      <c r="K55" s="12"/>
      <c r="L55" s="12"/>
      <c r="M55" s="12"/>
      <c r="N55" s="12"/>
      <c r="O55" s="12"/>
      <c r="P55" s="12"/>
      <c r="Q55" s="12"/>
      <c r="R55" s="12"/>
      <c r="S55" s="12"/>
    </row>
    <row r="56" spans="1:19">
      <c r="A56" s="12"/>
      <c r="B56" s="65" t="s">
        <v>109</v>
      </c>
      <c r="C56" s="58">
        <f>SUMIFS(MultiYear_ProForma!$N$2:$N$66, MultiYear_ProForma!$B$2:$B$66, $B$4, MultiYear_ProForma!$C$2:$C$66, "FY2026")</f>
        <v>0</v>
      </c>
      <c r="D56" s="90" t="str">
        <f>""&amp;$B$5&amp;" will displace "&amp;ROUND(ABS(C57-C56),0)&amp;" "&amp;IF(C57&gt;C56,"MORE STUDENTS","FEWER STUDENTS")&amp;" than "&amp;$B$4&amp;""</f>
        <v>A2_Repurpose_Both_lease will displace 553 MORE STUDENTS than E1_StatusQuo_Decline</v>
      </c>
      <c r="E56" s="87"/>
      <c r="F56" s="87"/>
      <c r="G56" s="87"/>
      <c r="H56" s="87"/>
      <c r="I56" s="87"/>
      <c r="J56" s="12"/>
      <c r="K56" s="12"/>
      <c r="L56" s="12"/>
      <c r="M56" s="12"/>
      <c r="N56" s="12"/>
      <c r="O56" s="12"/>
      <c r="P56" s="12"/>
      <c r="Q56" s="12"/>
      <c r="R56" s="12"/>
      <c r="S56" s="12"/>
    </row>
    <row r="57" spans="1:19" ht="14.5" customHeight="1">
      <c r="A57" s="12"/>
      <c r="B57" s="66" t="s">
        <v>110</v>
      </c>
      <c r="C57" s="58">
        <f>SUMIFS(MultiYear_ProForma!$N$2:$N$66, MultiYear_ProForma!$B$2:$B$66, $B$5, MultiYear_ProForma!$C$2:$C$66, "FY2026")</f>
        <v>553</v>
      </c>
      <c r="D57" s="91"/>
      <c r="E57" s="87"/>
      <c r="F57" s="87"/>
      <c r="G57" s="87"/>
      <c r="H57" s="87"/>
      <c r="I57" s="87"/>
      <c r="J57" s="12"/>
      <c r="K57" s="12"/>
      <c r="L57" s="12"/>
      <c r="M57" s="12"/>
      <c r="N57" s="12"/>
      <c r="O57" s="12"/>
      <c r="P57" s="12"/>
      <c r="Q57" s="12"/>
      <c r="R57" s="12"/>
      <c r="S57" s="12"/>
    </row>
    <row r="58" spans="1:19">
      <c r="A58" s="12"/>
      <c r="B58" s="55"/>
      <c r="C58" s="58"/>
      <c r="D58" s="12"/>
      <c r="E58" s="12"/>
      <c r="F58" s="12"/>
      <c r="G58" s="12"/>
      <c r="H58" s="12"/>
      <c r="I58" s="12"/>
      <c r="J58" s="12"/>
      <c r="K58" s="12"/>
      <c r="L58" s="12"/>
      <c r="M58" s="12"/>
      <c r="N58" s="12"/>
      <c r="O58" s="12"/>
      <c r="P58" s="12"/>
      <c r="Q58" s="12"/>
      <c r="R58" s="12"/>
      <c r="S58" s="12"/>
    </row>
    <row r="59" spans="1:19">
      <c r="A59" s="12"/>
      <c r="B59" s="65" t="s">
        <v>111</v>
      </c>
      <c r="C59" s="58">
        <f>SUMIFS(MultiYear_ProForma!$AC$2:$AC$66, MultiYear_ProForma!$B$2:$B$66, $B$4, MultiYear_ProForma!$C$2:$C$66, "FY2030")</f>
        <v>510.06959247999993</v>
      </c>
      <c r="D59" s="90" t="str">
        <f>""&amp;$B$5&amp;" will serve "&amp;ROUND(ABS(C60-C59),0)&amp;" "&amp;IF(C60&gt;C59,"MORE STUDENTS","FEWER STUDENTS")&amp;" than "&amp;$B$4&amp;""</f>
        <v>A2_Repurpose_Both_lease will serve 104 FEWER STUDENTS than E1_StatusQuo_Decline</v>
      </c>
      <c r="E59" s="87"/>
      <c r="F59" s="87"/>
      <c r="G59" s="87"/>
      <c r="H59" s="87"/>
      <c r="I59" s="87"/>
      <c r="J59" s="12"/>
      <c r="K59" s="12"/>
      <c r="L59" s="12"/>
      <c r="M59" s="12"/>
      <c r="N59" s="12"/>
      <c r="O59" s="12"/>
      <c r="P59" s="12"/>
      <c r="Q59" s="12"/>
      <c r="R59" s="12"/>
      <c r="S59" s="12"/>
    </row>
    <row r="60" spans="1:19">
      <c r="A60" s="12"/>
      <c r="B60" s="66" t="s">
        <v>112</v>
      </c>
      <c r="C60" s="58">
        <f>SUMIFS(MultiYear_ProForma!$AC$2:$AC$66, MultiYear_ProForma!$B$2:$B$66, $B$5, MultiYear_ProForma!$C$2:$C$66, "FY2030")</f>
        <v>405.79999999999995</v>
      </c>
      <c r="D60" s="91"/>
      <c r="E60" s="87"/>
      <c r="F60" s="87"/>
      <c r="G60" s="87"/>
      <c r="H60" s="87"/>
      <c r="I60" s="87"/>
      <c r="J60" s="12"/>
      <c r="K60" s="12"/>
      <c r="L60" s="12"/>
      <c r="M60" s="12"/>
      <c r="N60" s="12"/>
      <c r="O60" s="12"/>
      <c r="P60" s="12"/>
      <c r="Q60" s="12"/>
      <c r="R60" s="12"/>
      <c r="S60" s="12"/>
    </row>
    <row r="61" spans="1:19">
      <c r="A61" s="12"/>
      <c r="B61" s="12"/>
      <c r="C61" s="12"/>
      <c r="D61" s="12"/>
      <c r="E61" s="12"/>
      <c r="F61" s="12"/>
      <c r="G61" s="12"/>
      <c r="H61" s="12"/>
      <c r="I61" s="12"/>
      <c r="J61" s="12"/>
      <c r="K61" s="12"/>
      <c r="L61" s="12"/>
      <c r="M61" s="12"/>
      <c r="N61" s="12"/>
      <c r="O61" s="12"/>
      <c r="P61" s="12"/>
      <c r="Q61" s="12"/>
      <c r="R61" s="12"/>
      <c r="S61" s="12"/>
    </row>
    <row r="62" spans="1:19">
      <c r="A62" s="12"/>
      <c r="B62" s="12"/>
      <c r="C62" s="12"/>
      <c r="D62" s="12"/>
      <c r="E62" s="12"/>
      <c r="F62" s="12"/>
      <c r="G62" s="12"/>
      <c r="H62" s="12"/>
      <c r="I62" s="12"/>
      <c r="J62" s="12"/>
      <c r="K62" s="12"/>
      <c r="L62" s="12"/>
      <c r="M62" s="12"/>
      <c r="N62" s="12"/>
      <c r="O62" s="12"/>
      <c r="P62" s="12"/>
      <c r="Q62" s="12"/>
      <c r="R62" s="12"/>
      <c r="S62" s="12"/>
    </row>
    <row r="63" spans="1:19">
      <c r="A63" s="12"/>
      <c r="B63" s="12"/>
      <c r="C63" s="12"/>
      <c r="D63" s="12"/>
      <c r="E63" s="12"/>
      <c r="F63" s="12"/>
      <c r="G63" s="12"/>
      <c r="H63" s="12"/>
      <c r="I63" s="12"/>
      <c r="J63" s="12"/>
      <c r="K63" s="12"/>
      <c r="L63" s="12"/>
      <c r="M63" s="12"/>
      <c r="N63" s="12"/>
      <c r="O63" s="12"/>
      <c r="P63" s="12"/>
      <c r="Q63" s="12"/>
      <c r="R63" s="12"/>
      <c r="S63" s="12"/>
    </row>
    <row r="64" spans="1:19">
      <c r="A64" s="12"/>
      <c r="B64" s="12"/>
      <c r="C64" s="12"/>
      <c r="D64" s="12"/>
      <c r="E64" s="12"/>
      <c r="F64" s="12"/>
      <c r="G64" s="12"/>
      <c r="H64" s="12"/>
      <c r="I64" s="12"/>
      <c r="J64" s="12"/>
      <c r="K64" s="12"/>
      <c r="L64" s="12"/>
      <c r="M64" s="12"/>
      <c r="N64" s="12"/>
      <c r="O64" s="12"/>
      <c r="P64" s="12"/>
      <c r="Q64" s="12"/>
      <c r="R64" s="12"/>
      <c r="S64" s="12"/>
    </row>
    <row r="65" spans="1:19">
      <c r="A65" s="12"/>
      <c r="B65" s="12"/>
      <c r="C65" s="12"/>
      <c r="D65" s="12"/>
      <c r="E65" s="12"/>
      <c r="F65" s="12"/>
      <c r="G65" s="12"/>
      <c r="H65" s="12"/>
      <c r="I65" s="12"/>
      <c r="J65" s="12"/>
      <c r="K65" s="12"/>
      <c r="L65" s="12"/>
      <c r="M65" s="12"/>
      <c r="N65" s="12"/>
      <c r="O65" s="12"/>
      <c r="P65" s="12"/>
      <c r="Q65" s="12"/>
      <c r="R65" s="12"/>
      <c r="S65" s="12"/>
    </row>
    <row r="66" spans="1:19">
      <c r="A66" s="12"/>
      <c r="B66" s="53"/>
      <c r="C66" s="12"/>
      <c r="D66" s="12"/>
      <c r="E66" s="12"/>
      <c r="F66" s="12"/>
      <c r="G66" s="12"/>
      <c r="H66" s="12"/>
      <c r="I66" s="12"/>
      <c r="J66" s="12"/>
      <c r="K66" s="12"/>
      <c r="L66" s="12"/>
      <c r="M66" s="12"/>
      <c r="N66" s="12"/>
      <c r="O66" s="12"/>
      <c r="P66" s="12"/>
      <c r="Q66" s="12"/>
      <c r="R66" s="12"/>
      <c r="S66" s="12"/>
    </row>
    <row r="67" spans="1:19">
      <c r="A67" s="12"/>
      <c r="B67" s="12"/>
      <c r="C67" s="12"/>
      <c r="D67" s="12"/>
      <c r="E67" s="12"/>
      <c r="F67" s="12"/>
      <c r="G67" s="12"/>
      <c r="H67" s="12"/>
      <c r="I67" s="12"/>
      <c r="J67" s="12"/>
      <c r="K67" s="12"/>
      <c r="L67" s="12"/>
      <c r="M67" s="12"/>
      <c r="N67" s="12"/>
      <c r="O67" s="12"/>
      <c r="P67" s="12"/>
      <c r="Q67" s="12"/>
      <c r="R67" s="12"/>
      <c r="S67" s="12"/>
    </row>
    <row r="68" spans="1:19">
      <c r="A68" s="12"/>
    </row>
  </sheetData>
  <mergeCells count="9">
    <mergeCell ref="C5:H5"/>
    <mergeCell ref="C3:H3"/>
    <mergeCell ref="D59:I60"/>
    <mergeCell ref="B24:L24"/>
    <mergeCell ref="C4:H4"/>
    <mergeCell ref="D44:I45"/>
    <mergeCell ref="D52:I54"/>
    <mergeCell ref="D47:I49"/>
    <mergeCell ref="D56:I57"/>
  </mergeCells>
  <conditionalFormatting sqref="C27:D31">
    <cfRule type="colorScale" priority="3">
      <colorScale>
        <cfvo type="min"/>
        <cfvo type="max"/>
        <color rgb="FFFFEF9C"/>
        <color rgb="FF63BE7B"/>
      </colorScale>
    </cfRule>
  </conditionalFormatting>
  <pageMargins left="0.75" right="0.75" top="1" bottom="1" header="0.5" footer="0.5"/>
  <pageSetup paperSize="0" orientation="portrait" horizontalDpi="0" verticalDpi="0" copie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8"/>
  <sheetViews>
    <sheetView workbookViewId="0">
      <selection activeCell="B8" sqref="B8"/>
    </sheetView>
  </sheetViews>
  <sheetFormatPr defaultRowHeight="14.5"/>
  <cols>
    <col min="1" max="1" width="93.36328125" bestFit="1" customWidth="1"/>
    <col min="2" max="2" width="21.1796875" bestFit="1" customWidth="1"/>
  </cols>
  <sheetData>
    <row r="1" spans="1:3">
      <c r="A1" s="81" t="s">
        <v>113</v>
      </c>
    </row>
    <row r="3" spans="1:3">
      <c r="A3" t="s">
        <v>114</v>
      </c>
      <c r="B3" t="s">
        <v>81</v>
      </c>
    </row>
    <row r="4" spans="1:3">
      <c r="A4" t="s">
        <v>115</v>
      </c>
      <c r="B4" t="s">
        <v>116</v>
      </c>
    </row>
    <row r="6" spans="1:3">
      <c r="A6" t="s">
        <v>117</v>
      </c>
      <c r="B6" t="s">
        <v>86</v>
      </c>
      <c r="C6" t="s">
        <v>90</v>
      </c>
    </row>
    <row r="7" spans="1:3">
      <c r="A7" t="s">
        <v>118</v>
      </c>
      <c r="B7">
        <f>INDEX(YearMap!$I$2:$I$6, MATCH("FY2026",YearMap!$A$2:$A$6,0))+IF(Parameters_Public!C20=1, INDEX(YearMap!$O$2:$O$6, MATCH("FY2026",YearMap!$A$2:$A$6,0)),0)+INDEX(YearMap!$P$2:$P$6, MATCH("FY2026",YearMap!$A$2:$A$6,0))-INDEX(YearMap!$B$2:$B$6, MATCH("FY2026",YearMap!$A$2:$A$6,0))-INDEX(YearMap!$Q$2:$Q$6, MATCH("FY2026",YearMap!$A$2:$A$6,0))</f>
        <v>4350.438500000002</v>
      </c>
      <c r="C7">
        <f>INDEX(YearMap!$I$2:$I$6, MATCH("FY2030",YearMap!$A$2:$A$6,0))+IF(Parameters_Public!C20=1, INDEX(YearMap!$O$2:$O$6, MATCH("FY2030",YearMap!$A$2:$A$6,0)),0)+INDEX(YearMap!$P$2:$P$6, MATCH("FY2030",YearMap!$A$2:$A$6,0))-INDEX(YearMap!$B$2:$B$6, MATCH("FY2030",YearMap!$A$2:$A$6,0))-INDEX(YearMap!$Q$2:$Q$6, MATCH("FY2030",YearMap!$A$2:$A$6,0))</f>
        <v>4962.83267429629</v>
      </c>
    </row>
    <row r="8" spans="1:3">
      <c r="A8" t="s">
        <v>119</v>
      </c>
      <c r="B8">
        <f>(SUMIFS(MultiYear_ProForma!$H$2:$H$66,MultiYear_ProForma!$B$2:$B$66,$B$3,MultiYear_ProForma!$C$2:$C$66,"FY2026")+SUMIFS(MultiYear_ProForma!$I$2:$I$66,MultiYear_ProForma!$B$2:$B$66,$B$3,MultiYear_ProForma!$C$2:$C$66,"FY2026")-SUMIFS(MultiYear_ProForma!$R$2:$R$66,MultiYear_ProForma!$B$2:$B$66,$B$3,MultiYear_ProForma!$C$2:$C$66,"FY2026")-SUMIFS(MultiYear_ProForma!$S$2:$S$66,MultiYear_ProForma!$B$2:$B$66,$B$3,MultiYear_ProForma!$C$2:$C$66,"FY2026"))-SUMIFS(MultiYear_ProForma!$O$2:$O$66,MultiYear_ProForma!$B$2:$B$66,$B$3,MultiYear_ProForma!$C$2:$C$66,"FY2026")*INDEX(YearMap!$E$2:$E$6, MATCH("FY2026",YearMap!$A$2:$A$6,0))</f>
        <v>2011568.0523999999</v>
      </c>
      <c r="C8">
        <f>(SUMIFS(MultiYear_ProForma!$H$2:$H$66,MultiYear_ProForma!$B$2:$B$66,$B$3,MultiYear_ProForma!$C$2:$C$66,"FY2030")+SUMIFS(MultiYear_ProForma!$I$2:$I$66,MultiYear_ProForma!$B$2:$B$66,$B$3,MultiYear_ProForma!$C$2:$C$66,"FY2030")-SUMIFS(MultiYear_ProForma!$R$2:$R$66,MultiYear_ProForma!$B$2:$B$66,$B$3,MultiYear_ProForma!$C$2:$C$66,"FY2030")-SUMIFS(MultiYear_ProForma!$S$2:$S$66,MultiYear_ProForma!$B$2:$B$66,$B$3,MultiYear_ProForma!$C$2:$C$66,"FY2030"))-SUMIFS(MultiYear_ProForma!$O$2:$O$66,MultiYear_ProForma!$B$2:$B$66,$B$3,MultiYear_ProForma!$C$2:$C$66,"FY2030")*INDEX(YearMap!$E$2:$E$6, MATCH("FY2030",YearMap!$A$2:$A$6,0))</f>
        <v>2880122.2698271913</v>
      </c>
    </row>
    <row r="9" spans="1:3">
      <c r="A9" t="s">
        <v>120</v>
      </c>
      <c r="B9">
        <f>SUMIFS(MultiYear_ProForma!$N$2:$N$66,MultiYear_ProForma!$B$2:$B$66,$B$3,MultiYear_ProForma!$C$2:$C$66,"FY2026")</f>
        <v>553</v>
      </c>
      <c r="C9">
        <f>SUMIFS(MultiYear_ProForma!$N$2:$N$66,MultiYear_ProForma!$B$2:$B$66,$B$3,MultiYear_ProForma!$C$2:$C$66,"FY2030")</f>
        <v>553</v>
      </c>
    </row>
    <row r="10" spans="1:3">
      <c r="B10" s="11"/>
    </row>
    <row r="11" spans="1:3">
      <c r="A11" t="s">
        <v>121</v>
      </c>
      <c r="B11" s="82">
        <f>IFERROR($B$8/$B$7,"")</f>
        <v>462.38282701847157</v>
      </c>
      <c r="C11">
        <f>IFERROR($C$8/$C$7,"")</f>
        <v>580.33837907613542</v>
      </c>
    </row>
    <row r="12" spans="1:3">
      <c r="A12" t="s">
        <v>122</v>
      </c>
      <c r="B12">
        <f>IFERROR(1 - $B$8/($B$9*$B$7),"")</f>
        <v>0.16386468893585615</v>
      </c>
      <c r="C12">
        <f>IFERROR(1 - $C$8/($C$9*$C$7),"")</f>
        <v>-4.9436490191926641E-2</v>
      </c>
    </row>
    <row r="14" spans="1:3">
      <c r="A14" t="s">
        <v>123</v>
      </c>
    </row>
    <row r="15" spans="1:3">
      <c r="A15" t="s">
        <v>124</v>
      </c>
    </row>
    <row r="16" spans="1:3">
      <c r="A16" t="s">
        <v>125</v>
      </c>
    </row>
    <row r="17" spans="1:1">
      <c r="A17" t="s">
        <v>126</v>
      </c>
    </row>
    <row r="18" spans="1:1">
      <c r="A18" t="s">
        <v>127</v>
      </c>
    </row>
  </sheetData>
  <dataValidations count="2">
    <dataValidation type="list" showInputMessage="1" showErrorMessage="1" sqref="B4" xr:uid="{00000000-0002-0000-0200-000000000000}">
      <formula1>"FY2026,FY2030"</formula1>
    </dataValidation>
    <dataValidation type="list" showInputMessage="1" showErrorMessage="1" sqref="B3" xr:uid="{00000000-0002-0000-0200-000001000000}">
      <formula1>"A2_Repurpose_Both_lease,A1_Repurpose_Both_ops,B2_Repurpose_Echo_lease_PimaTargets,B1_Repurpose_Echo_ops_PimaTargets,C2_Repurpose_Pima_lease_EchoGHub_EchoTargets,C1_Repurpose_Pima_ops_EchoGHub_EchoTargets"</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9"/>
  <sheetViews>
    <sheetView zoomScale="70" zoomScaleNormal="70" workbookViewId="0">
      <pane xSplit="2" ySplit="4" topLeftCell="C8" activePane="bottomRight" state="frozen"/>
      <selection pane="topRight"/>
      <selection pane="bottomLeft"/>
      <selection pane="bottomRight" activeCell="C1" sqref="C1"/>
    </sheetView>
  </sheetViews>
  <sheetFormatPr defaultRowHeight="14.5"/>
  <cols>
    <col min="1" max="1" width="4.26953125" customWidth="1"/>
    <col min="2" max="2" width="50.7265625" bestFit="1" customWidth="1"/>
    <col min="3" max="9" width="20.81640625" customWidth="1"/>
    <col min="10" max="10" width="19.81640625" bestFit="1" customWidth="1"/>
    <col min="11" max="11" width="20.6328125" bestFit="1" customWidth="1"/>
  </cols>
  <sheetData>
    <row r="1" spans="1:14">
      <c r="B1" s="48" t="s">
        <v>128</v>
      </c>
      <c r="C1" s="49" t="s">
        <v>80</v>
      </c>
      <c r="N1" s="4" t="s">
        <v>129</v>
      </c>
    </row>
    <row r="2" spans="1:14">
      <c r="N2" s="31" t="str">
        <f>"(Comparison) Change in ops net $ by scenario compared to "&amp;C1&amp;" (Positive = savings)"</f>
        <v>(Comparison) Change in ops net $ by scenario compared to E1_StatusQuo_Decline (Positive = savings)</v>
      </c>
    </row>
    <row r="3" spans="1:14">
      <c r="N3" s="31" t="str">
        <f>"(Nominal) One-time capital (FY26) &amp; Average 5-yr net ops $ by scenario"</f>
        <v>(Nominal) One-time capital (FY26) &amp; Average 5-yr net ops $ by scenario</v>
      </c>
    </row>
    <row r="4" spans="1:14">
      <c r="A4" s="50" t="s">
        <v>130</v>
      </c>
      <c r="B4" s="41" t="s">
        <v>131</v>
      </c>
      <c r="C4" s="45" t="s">
        <v>132</v>
      </c>
      <c r="D4" s="51" t="s">
        <v>133</v>
      </c>
      <c r="E4" s="51" t="s">
        <v>134</v>
      </c>
      <c r="F4" s="51" t="s">
        <v>135</v>
      </c>
      <c r="G4" s="51" t="s">
        <v>136</v>
      </c>
      <c r="H4" s="51" t="s">
        <v>137</v>
      </c>
      <c r="I4" s="51" t="s">
        <v>138</v>
      </c>
      <c r="J4" s="41" t="s">
        <v>139</v>
      </c>
      <c r="K4" s="41" t="s">
        <v>140</v>
      </c>
      <c r="L4" s="42"/>
      <c r="M4" s="42"/>
      <c r="N4" s="42"/>
    </row>
    <row r="5" spans="1:14">
      <c r="A5" s="50" t="str">
        <f t="shared" ref="A5:A17" si="0">LEFT(B5, 2)</f>
        <v>F1</v>
      </c>
      <c r="B5" t="s">
        <v>141</v>
      </c>
      <c r="C5" s="43">
        <f>SUMIFS(Capital_Summary!$H$4:$H$83, Capital_Summary!$A$4:$A$83, B5, Capital_Summary!$B$4:$B$83, "FY2026")*-1</f>
        <v>0</v>
      </c>
      <c r="D5" s="43">
        <f>SUMIFS(MultiYear_ProForma!$AF$2:$AF$66, MultiYear_ProForma!$B$2:$B$66, B5, MultiYear_ProForma!$C$2:$C$66, "FY2026")</f>
        <v>-459335.0305249989</v>
      </c>
      <c r="E5" s="43">
        <f>SUMIFS(MultiYear_ProForma!$AF$2:$AF$66, MultiYear_ProForma!$B$2:$B$66, B5, MultiYear_ProForma!$C$2:$C$66, "FY2028")</f>
        <v>-482588.86644532811</v>
      </c>
      <c r="F5" s="43">
        <f>SUMIFS(MultiYear_ProForma!$AF$2:$AF$66, MultiYear_ProForma!$B$2:$B$66, B5, MultiYear_ProForma!$C$2:$C$66, "FY2030")</f>
        <v>-507019.92780912202</v>
      </c>
      <c r="G5" s="43">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f>
        <v>-482883.16383480688</v>
      </c>
      <c r="H5" s="11">
        <f>SUMIFS(MultiYear_ProForma!$N$2:$N$66, MultiYear_ProForma!$B$2:$B$66, B5, MultiYear_ProForma!$C$2:$C$66, "FY2026")</f>
        <v>0</v>
      </c>
      <c r="I5" s="11">
        <f>SUMIFS(MultiYear_ProForma!$AC$2:$AC$66, MultiYear_ProForma!$B$2:$B$66, B5, MultiYear_ProForma!$C$2:$C$66, "FY2030")</f>
        <v>553</v>
      </c>
      <c r="J5" s="43">
        <f t="shared" ref="J5:J17" si="1">F5-(VLOOKUP($C$1,$B$5:$G$17,5, 0))</f>
        <v>217760.01096887514</v>
      </c>
      <c r="K5" s="43">
        <f t="shared" ref="K5:K17" si="2">G5-(VLOOKUP($C$1,$B$5:$I$17,6, 0))</f>
        <v>107303.42830778088</v>
      </c>
    </row>
    <row r="6" spans="1:14">
      <c r="A6" s="50" t="str">
        <f t="shared" si="0"/>
        <v>E3</v>
      </c>
      <c r="B6" t="s">
        <v>142</v>
      </c>
      <c r="C6" s="43">
        <f>SUMIFS(Capital_Summary!$H$4:$H$83, Capital_Summary!$A$4:$A$83, B6, Capital_Summary!$B$4:$B$83, "FY2026")*-1</f>
        <v>0</v>
      </c>
      <c r="D6" s="43">
        <f>SUMIFS(MultiYear_ProForma!$AF$2:$AF$66, MultiYear_ProForma!$B$2:$B$66, B6, MultiYear_ProForma!$C$2:$C$66, "FY2030")</f>
        <v>331651.00471870974</v>
      </c>
      <c r="E6" s="43">
        <f>SUMIFS(MultiYear_ProForma!$AF$2:$AF$66, MultiYear_ProForma!$B$2:$B$66, B6, MultiYear_ProForma!$C$2:$C$66, "FY2028")</f>
        <v>310953.36558592226</v>
      </c>
      <c r="F6" s="43">
        <f>SUMIFS(MultiYear_ProForma!$AF$2:$AF$66, MultiYear_ProForma!$B$2:$B$66, B6, MultiYear_ProForma!$C$2:$C$66, "FY2030")</f>
        <v>331651.00471870974</v>
      </c>
      <c r="G6" s="43">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"FY2030"))/5</f>
        <v>159301.11414341573</v>
      </c>
      <c r="H6" s="11">
        <f>SUMIFS(MultiYear_ProForma!$N$2:$N$66, MultiYear_ProForma!$B$2:$B$66, B6, MultiYear_ProForma!$C$2:$C$66, "FY2026")</f>
        <v>0</v>
      </c>
      <c r="I6" s="11">
        <f>SUMIFS(MultiYear_ProForma!$AC$2:$AC$66, MultiYear_ProForma!$B$2:$B$66, B6, MultiYear_ProForma!$C$2:$C$66, "FY2030")</f>
        <v>628</v>
      </c>
      <c r="J6" s="43">
        <f t="shared" si="1"/>
        <v>1056430.9434967069</v>
      </c>
      <c r="K6" s="43">
        <f t="shared" si="2"/>
        <v>749487.70628600346</v>
      </c>
    </row>
    <row r="7" spans="1:14">
      <c r="A7" s="50" t="str">
        <f t="shared" si="0"/>
        <v>D3</v>
      </c>
      <c r="B7" t="s">
        <v>143</v>
      </c>
      <c r="C7" s="43">
        <f>SUMIFS(Capital_Summary!$H$4:$H$83, Capital_Summary!$A$4:$A$83, B7, Capital_Summary!$B$4:$B$83, "FY2026")*-1</f>
        <v>0</v>
      </c>
      <c r="D7" s="43">
        <f>SUMIFS(MultiYear_ProForma!$AF$2:$AF$66, MultiYear_ProForma!$B$2:$B$66, B7, MultiYear_ProForma!$C$2:$C$66, "FY2030")</f>
        <v>412099.97333725821</v>
      </c>
      <c r="E7" s="43">
        <f>SUMIFS(MultiYear_ProForma!$AF$2:$AF$66, MultiYear_ProForma!$B$2:$B$66, B7, MultiYear_ProForma!$C$2:$C$66, "FY2028")</f>
        <v>389098.13048162591</v>
      </c>
      <c r="F7" s="43">
        <f>SUMIFS(MultiYear_ProForma!$AF$2:$AF$66, MultiYear_ProForma!$B$2:$B$66, B7, MultiYear_ProForma!$C$2:$C$66, "FY2030")</f>
        <v>412099.97333725821</v>
      </c>
      <c r="G7" s="43">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"FY2030"))/5</f>
        <v>288107.4941888504</v>
      </c>
      <c r="H7" s="11">
        <f>SUMIFS(MultiYear_ProForma!$N$2:$N$66, MultiYear_ProForma!$B$2:$B$66, B7, MultiYear_ProForma!$C$2:$C$66, "FY2026")</f>
        <v>0</v>
      </c>
      <c r="I7" s="11">
        <f>SUMIFS(MultiYear_ProForma!$AC$2:$AC$66, MultiYear_ProForma!$B$2:$B$66, B7, MultiYear_ProForma!$C$2:$C$66, "FY2030")</f>
        <v>603</v>
      </c>
      <c r="J7" s="43">
        <f t="shared" si="1"/>
        <v>1136879.9121152554</v>
      </c>
      <c r="K7" s="43">
        <f t="shared" si="2"/>
        <v>878294.08633143816</v>
      </c>
    </row>
    <row r="8" spans="1:14">
      <c r="A8" s="50" t="str">
        <f t="shared" si="0"/>
        <v>D1</v>
      </c>
      <c r="B8" t="s">
        <v>144</v>
      </c>
      <c r="C8" s="43">
        <f>SUMIFS(Capital_Summary!$H$4:$H$83, Capital_Summary!$A$4:$A$83, B8, Capital_Summary!$B$4:$B$83, "FY2026")*-1</f>
        <v>-2000000</v>
      </c>
      <c r="D8" s="43">
        <f>SUMIFS(MultiYear_ProForma!$AF$2:$AF$66, MultiYear_ProForma!$B$2:$B$66, B8, MultiYear_ProForma!$C$2:$C$66, "FY2030")</f>
        <v>1170321.9372465415</v>
      </c>
      <c r="E8" s="43">
        <f>SUMIFS(MultiYear_ProForma!$AF$2:$AF$66, MultiYear_ProForma!$B$2:$B$66, B8, MultiYear_ProForma!$C$2:$C$66, "FY2028")</f>
        <v>1104495.5976171717</v>
      </c>
      <c r="F8" s="43">
        <f>SUMIFS(MultiYear_ProForma!$AF$2:$AF$66, MultiYear_ProForma!$B$2:$B$66, B8, MultiYear_ProForma!$C$2:$C$66, "FY2030")</f>
        <v>1170321.9372465415</v>
      </c>
      <c r="G8" s="43">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"FY2030"))/5</f>
        <v>801485.39212163794</v>
      </c>
      <c r="H8" s="11">
        <f>SUMIFS(MultiYear_ProForma!$N$2:$N$66, MultiYear_ProForma!$B$2:$B$66, B8, MultiYear_ProForma!$C$2:$C$66, "FY2026")</f>
        <v>0</v>
      </c>
      <c r="I8" s="11">
        <f>SUMIFS(MultiYear_ProForma!$AC$2:$AC$66, MultiYear_ProForma!$B$2:$B$66, B8, MultiYear_ProForma!$C$2:$C$66, "FY2030")</f>
        <v>703</v>
      </c>
      <c r="J8" s="43">
        <f t="shared" si="1"/>
        <v>1895101.8760245387</v>
      </c>
      <c r="K8" s="43">
        <f t="shared" si="2"/>
        <v>1391671.9842642257</v>
      </c>
    </row>
    <row r="9" spans="1:14">
      <c r="A9" s="50" t="str">
        <f t="shared" si="0"/>
        <v>E2</v>
      </c>
      <c r="B9" t="s">
        <v>145</v>
      </c>
      <c r="C9" s="43">
        <f>SUMIFS(Capital_Summary!$H$4:$H$83, Capital_Summary!$A$4:$A$83, B9, Capital_Summary!$B$4:$B$83, "FY2026")*-1</f>
        <v>0</v>
      </c>
      <c r="D9" s="43">
        <f>SUMIFS(MultiYear_ProForma!$AF$2:$AF$66, MultiYear_ProForma!$B$2:$B$66, B9, MultiYear_ProForma!$C$2:$C$66, "FY2030")</f>
        <v>-507019.92780912202</v>
      </c>
      <c r="E9" s="43">
        <f>SUMIFS(MultiYear_ProForma!$AF$2:$AF$66, MultiYear_ProForma!$B$2:$B$66, B9, MultiYear_ProForma!$C$2:$C$66, "FY2028")</f>
        <v>-482588.86644532811</v>
      </c>
      <c r="F9" s="43">
        <f>SUMIFS(MultiYear_ProForma!$AF$2:$AF$66, MultiYear_ProForma!$B$2:$B$66, B9, MultiYear_ProForma!$C$2:$C$66, "FY2030")</f>
        <v>-507019.92780912202</v>
      </c>
      <c r="G9" s="43">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"FY2030"))/5</f>
        <v>-482883.16383480688</v>
      </c>
      <c r="H9" s="11">
        <f>SUMIFS(MultiYear_ProForma!$N$2:$N$66, MultiYear_ProForma!$B$2:$B$66, B9, MultiYear_ProForma!$C$2:$C$66, "FY2026")</f>
        <v>0</v>
      </c>
      <c r="I9" s="11">
        <f>SUMIFS(MultiYear_ProForma!$AC$2:$AC$66, MultiYear_ProForma!$B$2:$B$66, B9, MultiYear_ProForma!$C$2:$C$66, "FY2030")</f>
        <v>553</v>
      </c>
      <c r="J9" s="43">
        <f t="shared" si="1"/>
        <v>217760.01096887514</v>
      </c>
      <c r="K9" s="43">
        <f t="shared" si="2"/>
        <v>107303.42830778088</v>
      </c>
    </row>
    <row r="10" spans="1:14">
      <c r="A10" s="50" t="str">
        <f t="shared" si="0"/>
        <v>D2</v>
      </c>
      <c r="B10" t="s">
        <v>146</v>
      </c>
      <c r="C10" s="43">
        <f>SUMIFS(Capital_Summary!$H$4:$H$83, Capital_Summary!$A$4:$A$83, B10, Capital_Summary!$B$4:$B$83, "FY2026")*-1</f>
        <v>-800000</v>
      </c>
      <c r="D10" s="43">
        <f>SUMIFS(MultiYear_ProForma!$AF$2:$AF$66, MultiYear_ProForma!$B$2:$B$66, B10, MultiYear_ProForma!$C$2:$C$66, "FY2030")</f>
        <v>890764.95973726455</v>
      </c>
      <c r="E10" s="43">
        <f>SUMIFS(MultiYear_ProForma!$AF$2:$AF$66, MultiYear_ProForma!$B$2:$B$66, B10, MultiYear_ProForma!$C$2:$C$66, "FY2028")</f>
        <v>839981.52027342282</v>
      </c>
      <c r="F10" s="43">
        <f>SUMIFS(MultiYear_ProForma!$AF$2:$AF$66, MultiYear_ProForma!$B$2:$B$66, B10, MultiYear_ProForma!$C$2:$C$66, "FY2030")</f>
        <v>890764.95973726455</v>
      </c>
      <c r="G10" s="43">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"FY2030"))/5</f>
        <v>587423.96612889762</v>
      </c>
      <c r="H10" s="11">
        <f>SUMIFS(MultiYear_ProForma!$N$2:$N$66, MultiYear_ProForma!$B$2:$B$66, B10, MultiYear_ProForma!$C$2:$C$66, "FY2026")</f>
        <v>0</v>
      </c>
      <c r="I10" s="11">
        <f>SUMIFS(MultiYear_ProForma!$AC$2:$AC$66, MultiYear_ProForma!$B$2:$B$66, B10, MultiYear_ProForma!$C$2:$C$66, "FY2030")</f>
        <v>678</v>
      </c>
      <c r="J10" s="43">
        <f t="shared" si="1"/>
        <v>1615544.8985152617</v>
      </c>
      <c r="K10" s="43">
        <f t="shared" si="2"/>
        <v>1177610.5582714854</v>
      </c>
    </row>
    <row r="11" spans="1:14">
      <c r="A11" s="50" t="str">
        <f t="shared" si="0"/>
        <v>A2</v>
      </c>
      <c r="B11" t="s">
        <v>81</v>
      </c>
      <c r="C11" s="43">
        <f>SUMIFS(Capital_Summary!$H$4:$H$83, Capital_Summary!$A$4:$A$83, B11, Capital_Summary!$B$4:$B$83, "FY2026")*-1</f>
        <v>-1600000</v>
      </c>
      <c r="D11" s="43">
        <f>SUMIFS(MultiYear_ProForma!$AF$2:$AF$66, MultiYear_ProForma!$B$2:$B$66, B11, MultiYear_ProForma!$C$2:$C$66, "FY2030")</f>
        <v>1585320.0287918346</v>
      </c>
      <c r="E11" s="43">
        <f>SUMIFS(MultiYear_ProForma!$AF$2:$AF$66, MultiYear_ProForma!$B$2:$B$66, B11, MultiYear_ProForma!$C$2:$C$66, "FY2028")</f>
        <v>1223701.2431391166</v>
      </c>
      <c r="F11" s="43">
        <f>SUMIFS(MultiYear_ProForma!$AF$2:$AF$66, MultiYear_ProForma!$B$2:$B$66, B11, MultiYear_ProForma!$C$2:$C$66, "FY2030")</f>
        <v>1585320.0287918346</v>
      </c>
      <c r="G11" s="43">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"FY2030"))/5</f>
        <v>1213035.9493910279</v>
      </c>
      <c r="H11" s="11">
        <f>SUMIFS(MultiYear_ProForma!$N$2:$N$66, MultiYear_ProForma!$B$2:$B$66, B11, MultiYear_ProForma!$C$2:$C$66, "FY2026")</f>
        <v>553</v>
      </c>
      <c r="I11" s="11">
        <f>SUMIFS(MultiYear_ProForma!$AC$2:$AC$66, MultiYear_ProForma!$B$2:$B$66, B11, MultiYear_ProForma!$C$2:$C$66, "FY2030")</f>
        <v>405.79999999999995</v>
      </c>
      <c r="J11" s="43">
        <f t="shared" si="1"/>
        <v>2310099.9675698318</v>
      </c>
      <c r="K11" s="43">
        <f t="shared" si="2"/>
        <v>1803222.5415336157</v>
      </c>
    </row>
    <row r="12" spans="1:14">
      <c r="A12" s="50" t="str">
        <f t="shared" si="0"/>
        <v>A1</v>
      </c>
      <c r="B12" t="s">
        <v>147</v>
      </c>
      <c r="C12" s="43">
        <f>SUMIFS(Capital_Summary!$H$4:$H$83, Capital_Summary!$A$4:$A$83, B12, Capital_Summary!$B$4:$B$83, "FY2026")*-1</f>
        <v>-2400000</v>
      </c>
      <c r="D12" s="43">
        <f>SUMIFS(MultiYear_ProForma!$AF$2:$AF$66, MultiYear_ProForma!$B$2:$B$66, B12, MultiYear_ProForma!$C$2:$C$66, "FY2030")</f>
        <v>922909.08791663451</v>
      </c>
      <c r="E12" s="43">
        <f>SUMIFS(MultiYear_ProForma!$AF$2:$AF$66, MultiYear_ProForma!$B$2:$B$66, B12, MultiYear_ProForma!$C$2:$C$66, "FY2028")</f>
        <v>593208.97341852169</v>
      </c>
      <c r="F12" s="43">
        <f>SUMIFS(MultiYear_ProForma!$AF$2:$AF$66, MultiYear_ProForma!$B$2:$B$66, B12, MultiYear_ProForma!$C$2:$C$66, "FY2030")</f>
        <v>922909.08791663451</v>
      </c>
      <c r="G12" s="43">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"FY2030"))/5</f>
        <v>552153.60533037048</v>
      </c>
      <c r="H12" s="11">
        <f>SUMIFS(MultiYear_ProForma!$N$2:$N$66, MultiYear_ProForma!$B$2:$B$66, B12, MultiYear_ProForma!$C$2:$C$66, "FY2026")</f>
        <v>553</v>
      </c>
      <c r="I12" s="11">
        <f>SUMIFS(MultiYear_ProForma!$AC$2:$AC$66, MultiYear_ProForma!$B$2:$B$66, B12, MultiYear_ProForma!$C$2:$C$66, "FY2030")</f>
        <v>405.79999999999995</v>
      </c>
      <c r="J12" s="43">
        <f t="shared" si="1"/>
        <v>1647689.0266946317</v>
      </c>
      <c r="K12" s="43">
        <f t="shared" si="2"/>
        <v>1142340.1974729584</v>
      </c>
    </row>
    <row r="13" spans="1:14">
      <c r="A13" s="50" t="str">
        <f t="shared" si="0"/>
        <v>B2</v>
      </c>
      <c r="B13" t="s">
        <v>148</v>
      </c>
      <c r="C13" s="43">
        <f>SUMIFS(Capital_Summary!$H$4:$H$83, Capital_Summary!$A$4:$A$83, B13, Capital_Summary!$B$4:$B$83, "FY2026")*-1</f>
        <v>-800000</v>
      </c>
      <c r="D13" s="43">
        <f>SUMIFS(MultiYear_ProForma!$AF$2:$AF$66, MultiYear_ProForma!$B$2:$B$66, B13, MultiYear_ProForma!$C$2:$C$66, "FY2030")</f>
        <v>302948.49361344334</v>
      </c>
      <c r="E13" s="43">
        <f>SUMIFS(MultiYear_ProForma!$AF$2:$AF$66, MultiYear_ProForma!$B$2:$B$66, B13, MultiYear_ProForma!$C$2:$C$66, "FY2028")</f>
        <v>166608.27487642877</v>
      </c>
      <c r="F13" s="43">
        <f>SUMIFS(MultiYear_ProForma!$AF$2:$AF$66, MultiYear_ProForma!$B$2:$B$66, B13, MultiYear_ProForma!$C$2:$C$66, "FY2030")</f>
        <v>302948.49361344334</v>
      </c>
      <c r="G13" s="43">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"FY2030"))/5</f>
        <v>162769.54228626267</v>
      </c>
      <c r="H13" s="11">
        <f>SUMIFS(MultiYear_ProForma!$N$2:$N$66, MultiYear_ProForma!$B$2:$B$66, B13, MultiYear_ProForma!$C$2:$C$66, "FY2026")</f>
        <v>257</v>
      </c>
      <c r="I13" s="11">
        <f>SUMIFS(MultiYear_ProForma!$AC$2:$AC$66, MultiYear_ProForma!$B$2:$B$66, B13, MultiYear_ProForma!$C$2:$C$66, "FY2030")</f>
        <v>450.2</v>
      </c>
      <c r="J13" s="43">
        <f t="shared" si="1"/>
        <v>1027728.4323914405</v>
      </c>
      <c r="K13" s="43">
        <f t="shared" si="2"/>
        <v>752956.13442885038</v>
      </c>
    </row>
    <row r="14" spans="1:14">
      <c r="A14" s="50" t="str">
        <f t="shared" si="0"/>
        <v>B1</v>
      </c>
      <c r="B14" t="s">
        <v>149</v>
      </c>
      <c r="C14" s="43">
        <f>SUMIFS(Capital_Summary!$H$4:$H$83, Capital_Summary!$A$4:$A$83, B14, Capital_Summary!$B$4:$B$83, "FY2026")*-1</f>
        <v>-1200000</v>
      </c>
      <c r="D14" s="43">
        <f>SUMIFS(MultiYear_ProForma!$AF$2:$AF$66, MultiYear_ProForma!$B$2:$B$66, B14, MultiYear_ProForma!$C$2:$C$66, "FY2030")</f>
        <v>408845.42104159202</v>
      </c>
      <c r="E14" s="43">
        <f>SUMIFS(MultiYear_ProForma!$AF$2:$AF$66, MultiYear_ProForma!$B$2:$B$66, B14, MultiYear_ProForma!$C$2:$C$66, "FY2028")</f>
        <v>265075.52287466824</v>
      </c>
      <c r="F14" s="43">
        <f>SUMIFS(MultiYear_ProForma!$AF$2:$AF$66, MultiYear_ProForma!$B$2:$B$66, B14, MultiYear_ProForma!$C$2:$C$66, "FY2030")</f>
        <v>408845.42104159202</v>
      </c>
      <c r="G14" s="43">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"FY2030"))/5</f>
        <v>172443.45018121711</v>
      </c>
      <c r="H14" s="11">
        <f>SUMIFS(MultiYear_ProForma!$N$2:$N$66, MultiYear_ProForma!$B$2:$B$66, B14, MultiYear_ProForma!$C$2:$C$66, "FY2026")</f>
        <v>257</v>
      </c>
      <c r="I14" s="11">
        <f>SUMIFS(MultiYear_ProForma!$AC$2:$AC$66, MultiYear_ProForma!$B$2:$B$66, B14, MultiYear_ProForma!$C$2:$C$66, "FY2030")</f>
        <v>487.2</v>
      </c>
      <c r="J14" s="43">
        <f t="shared" si="1"/>
        <v>1133625.3598195892</v>
      </c>
      <c r="K14" s="43">
        <f t="shared" si="2"/>
        <v>762630.04232380493</v>
      </c>
    </row>
    <row r="15" spans="1:14">
      <c r="A15" s="50" t="str">
        <f t="shared" si="0"/>
        <v>C2</v>
      </c>
      <c r="B15" t="s">
        <v>150</v>
      </c>
      <c r="C15" s="43">
        <f>SUMIFS(Capital_Summary!$H$4:$H$83, Capital_Summary!$A$4:$A$83, B15, Capital_Summary!$B$4:$B$83, "FY2026")*-1</f>
        <v>-1600000</v>
      </c>
      <c r="D15" s="43">
        <f>SUMIFS(MultiYear_ProForma!$AF$2:$AF$66, MultiYear_ProForma!$B$2:$B$66, B15, MultiYear_ProForma!$C$2:$C$66, "FY2030")</f>
        <v>775351.60736926831</v>
      </c>
      <c r="E15" s="43">
        <f>SUMIFS(MultiYear_ProForma!$AF$2:$AF$66, MultiYear_ProForma!$B$2:$B$66, B15, MultiYear_ProForma!$C$2:$C$66, "FY2028")</f>
        <v>574504.10181736108</v>
      </c>
      <c r="F15" s="43">
        <f>SUMIFS(MultiYear_ProForma!$AF$2:$AF$66, MultiYear_ProForma!$B$2:$B$66, B15, MultiYear_ProForma!$C$2:$C$66, "FY2030")</f>
        <v>775351.60736926831</v>
      </c>
      <c r="G15" s="43">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"FY2030"))/5</f>
        <v>567383.24326995888</v>
      </c>
      <c r="H15" s="11">
        <f>SUMIFS(MultiYear_ProForma!$N$2:$N$66, MultiYear_ProForma!$B$2:$B$66, B15, MultiYear_ProForma!$C$2:$C$66, "FY2026")</f>
        <v>296</v>
      </c>
      <c r="I15" s="11">
        <f>SUMIFS(MultiYear_ProForma!$AC$2:$AC$66, MultiYear_ProForma!$B$2:$B$66, B15, MultiYear_ProForma!$C$2:$C$66, "FY2030")</f>
        <v>508.6</v>
      </c>
      <c r="J15" s="43">
        <f t="shared" si="1"/>
        <v>1500131.5461472655</v>
      </c>
      <c r="K15" s="43">
        <f t="shared" si="2"/>
        <v>1157569.8354125465</v>
      </c>
    </row>
    <row r="16" spans="1:14">
      <c r="A16" s="50" t="str">
        <f t="shared" si="0"/>
        <v>C1</v>
      </c>
      <c r="B16" t="s">
        <v>151</v>
      </c>
      <c r="C16" s="43">
        <f>SUMIFS(Capital_Summary!$H$4:$H$83, Capital_Summary!$A$4:$A$83, B16, Capital_Summary!$B$4:$B$83, "FY2026")*-1</f>
        <v>-2000000</v>
      </c>
      <c r="D16" s="43">
        <f>SUMIFS(MultiYear_ProForma!$AF$2:$AF$66, MultiYear_ProForma!$B$2:$B$66, B16, MultiYear_ProForma!$C$2:$C$66, "FY2030")</f>
        <v>979902.02079820447</v>
      </c>
      <c r="E16" s="43">
        <f>SUMIFS(MultiYear_ProForma!$AF$2:$AF$66, MultiYear_ProForma!$B$2:$B$66, B16, MultiYear_ProForma!$C$2:$C$66, "FY2028")</f>
        <v>766053.57325477712</v>
      </c>
      <c r="F16" s="43">
        <f>SUMIFS(MultiYear_ProForma!$AF$2:$AF$66, MultiYear_ProForma!$B$2:$B$66, B16, MultiYear_ProForma!$C$2:$C$66, "FY2030")</f>
        <v>979902.02079820447</v>
      </c>
      <c r="G16" s="43">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"FY2030"))/5</f>
        <v>641758.89197362622</v>
      </c>
      <c r="H16" s="11">
        <f>SUMIFS(MultiYear_ProForma!$N$2:$N$66, MultiYear_ProForma!$B$2:$B$66, B16, MultiYear_ProForma!$C$2:$C$66, "FY2026")</f>
        <v>295.66666666666669</v>
      </c>
      <c r="I16" s="11">
        <f>SUMIFS(MultiYear_ProForma!$AC$2:$AC$66, MultiYear_ProForma!$B$2:$B$66, B16, MultiYear_ProForma!$C$2:$C$66, "FY2030")</f>
        <v>558.6</v>
      </c>
      <c r="J16" s="43">
        <f t="shared" si="1"/>
        <v>1704681.9595762016</v>
      </c>
      <c r="K16" s="43">
        <f t="shared" si="2"/>
        <v>1231945.4841162139</v>
      </c>
    </row>
    <row r="17" spans="1:11">
      <c r="A17" s="50" t="str">
        <f t="shared" si="0"/>
        <v>E1</v>
      </c>
      <c r="B17" t="s">
        <v>80</v>
      </c>
      <c r="C17" s="43">
        <f>SUMIFS(Capital_Summary!$H$4:$H$83, Capital_Summary!$A$4:$A$83, B17, Capital_Summary!$B$4:$B$83, "FY2026")*-1</f>
        <v>0</v>
      </c>
      <c r="D17" s="43">
        <f>SUMIFS(MultiYear_ProForma!$AF$2:$AF$66, MultiYear_ProForma!$B$2:$B$66, B17, MultiYear_ProForma!$C$2:$C$66, "FY2030")</f>
        <v>-724779.93877799716</v>
      </c>
      <c r="E17" s="43">
        <f>SUMIFS(MultiYear_ProForma!$AF$2:$AF$66, MultiYear_ProForma!$B$2:$B$66, B17, MultiYear_ProForma!$C$2:$C$66, "FY2028")</f>
        <v>-588315.81673877127</v>
      </c>
      <c r="F17" s="43">
        <f>SUMIFS(MultiYear_ProForma!$AF$2:$AF$66, MultiYear_ProForma!$B$2:$B$66, B17, MultiYear_ProForma!$C$2:$C$66, "FY2030")</f>
        <v>-724779.93877799716</v>
      </c>
      <c r="G17" s="43">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"FY2030"))/5</f>
        <v>-590186.59214258776</v>
      </c>
      <c r="H17" s="11">
        <f>SUMIFS(MultiYear_ProForma!$N$2:$N$66, MultiYear_ProForma!$B$2:$B$66, B17, MultiYear_ProForma!$C$2:$C$66, "FY2026")</f>
        <v>0</v>
      </c>
      <c r="I17" s="11">
        <f>SUMIFS(MultiYear_ProForma!$AC$2:$AC$66, MultiYear_ProForma!$B$2:$B$66, B17, MultiYear_ProForma!$C$2:$C$66, "FY2030")</f>
        <v>510.06959247999993</v>
      </c>
      <c r="J17" s="43">
        <f t="shared" si="1"/>
        <v>0</v>
      </c>
      <c r="K17" s="43">
        <f t="shared" si="2"/>
        <v>0</v>
      </c>
    </row>
    <row r="19" spans="1:11">
      <c r="B19" s="4" t="s">
        <v>152</v>
      </c>
    </row>
  </sheetData>
  <conditionalFormatting sqref="J5:J17">
    <cfRule type="colorScale" priority="2">
      <colorScale>
        <cfvo type="min"/>
        <cfvo type="percentile" val="50"/>
        <cfvo type="max"/>
        <color rgb="FFF8696B"/>
        <color rgb="FFFFEB84"/>
        <color rgb="FF63BE7B"/>
      </colorScale>
    </cfRule>
  </conditionalFormatting>
  <conditionalFormatting sqref="K5:K17">
    <cfRule type="colorScale" priority="1">
      <colorScale>
        <cfvo type="min"/>
        <cfvo type="percentile" val="50"/>
        <cfvo type="max"/>
        <color rgb="FFF8696B"/>
        <color rgb="FFFFEB84"/>
        <color rgb="FF63BE7B"/>
      </colorScale>
    </cfRule>
  </conditionalFormatting>
  <pageMargins left="0.75" right="0.75" top="1" bottom="1" header="0.5" footer="0.5"/>
  <pageSetup paperSize="0" orientation="portrait" horizontalDpi="0" verticalDpi="0" copie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6"/>
  <sheetViews>
    <sheetView zoomScale="70" zoomScaleNormal="70" workbookViewId="0">
      <pane xSplit="2" ySplit="1" topLeftCell="H2" activePane="bottomRight" state="frozen"/>
      <selection pane="topRight" activeCell="C1" sqref="C1"/>
      <selection pane="bottomLeft" activeCell="A2" sqref="A2"/>
      <selection pane="bottomRight" activeCell="C4" sqref="C4"/>
    </sheetView>
  </sheetViews>
  <sheetFormatPr defaultRowHeight="14.5"/>
  <cols>
    <col min="1" max="1" width="26.1796875" bestFit="1" customWidth="1"/>
    <col min="2" max="2" width="59.54296875" customWidth="1"/>
    <col min="3" max="3" width="10" bestFit="1" customWidth="1"/>
    <col min="4"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c r="A1" s="1" t="s">
        <v>153</v>
      </c>
      <c r="B1" s="1" t="s">
        <v>154</v>
      </c>
      <c r="C1" s="1" t="s">
        <v>155</v>
      </c>
      <c r="D1" s="1" t="s">
        <v>156</v>
      </c>
      <c r="E1" s="1" t="s">
        <v>157</v>
      </c>
      <c r="F1" s="1" t="s">
        <v>158</v>
      </c>
      <c r="G1" s="1" t="s">
        <v>159</v>
      </c>
      <c r="H1" s="1" t="s">
        <v>160</v>
      </c>
      <c r="I1" t="s">
        <v>161</v>
      </c>
      <c r="J1" t="s">
        <v>162</v>
      </c>
      <c r="K1" t="s">
        <v>163</v>
      </c>
      <c r="L1" t="s">
        <v>164</v>
      </c>
      <c r="M1" t="s">
        <v>165</v>
      </c>
      <c r="N1" t="s">
        <v>166</v>
      </c>
      <c r="O1" t="s">
        <v>167</v>
      </c>
      <c r="P1" t="s">
        <v>168</v>
      </c>
      <c r="Q1" t="s">
        <v>169</v>
      </c>
      <c r="R1" t="s">
        <v>170</v>
      </c>
    </row>
    <row r="2" spans="1:18">
      <c r="A2" t="s">
        <v>141</v>
      </c>
      <c r="B2" t="str">
        <f>Control_Center!B31</f>
        <v>CUSTOM_KeepOpen_v1</v>
      </c>
      <c r="C2">
        <f>Control_Center!C31</f>
        <v>0</v>
      </c>
      <c r="D2">
        <f>Control_Center!D31</f>
        <v>0</v>
      </c>
      <c r="E2">
        <f>Control_Center!E31</f>
        <v>0</v>
      </c>
      <c r="F2">
        <f>Control_Center!F31</f>
        <v>0.5</v>
      </c>
      <c r="G2">
        <f>Control_Center!G31</f>
        <v>0</v>
      </c>
      <c r="H2" t="s">
        <v>171</v>
      </c>
      <c r="I2" s="11">
        <f t="shared" ref="I2:I14" si="0">C2/3</f>
        <v>0</v>
      </c>
      <c r="J2" s="11">
        <f t="shared" ref="J2:J14" si="1">I2+C2/3</f>
        <v>0</v>
      </c>
      <c r="K2" s="11">
        <f t="shared" ref="K2:K14" si="2">J2+C2/3</f>
        <v>0</v>
      </c>
      <c r="L2" s="11">
        <f t="shared" ref="L2:L14" si="3">C2</f>
        <v>0</v>
      </c>
      <c r="M2" s="11">
        <f t="shared" ref="M2:M14" si="4">C2</f>
        <v>0</v>
      </c>
      <c r="O2" t="s">
        <v>172</v>
      </c>
      <c r="P2" t="s">
        <v>172</v>
      </c>
      <c r="Q2">
        <v>0</v>
      </c>
      <c r="R2">
        <v>0</v>
      </c>
    </row>
    <row r="3" spans="1:18">
      <c r="A3" t="s">
        <v>142</v>
      </c>
      <c r="B3" t="str">
        <f>Control_Center!B32</f>
        <v>Echo &amp; Pima open; uplift warm handoff effort (intra-SUSD); initiate cross-district marketing</v>
      </c>
      <c r="C3">
        <f>Control_Center!C32</f>
        <v>75</v>
      </c>
      <c r="D3">
        <f>Control_Center!D32</f>
        <v>0</v>
      </c>
      <c r="E3">
        <f>Control_Center!E32</f>
        <v>0</v>
      </c>
      <c r="F3">
        <f>Control_Center!F32</f>
        <v>0.5</v>
      </c>
      <c r="G3">
        <f>Control_Center!G32</f>
        <v>0</v>
      </c>
      <c r="H3" t="s">
        <v>173</v>
      </c>
      <c r="I3" s="11">
        <f t="shared" si="0"/>
        <v>25</v>
      </c>
      <c r="J3" s="11">
        <f t="shared" si="1"/>
        <v>50</v>
      </c>
      <c r="K3" s="11">
        <f t="shared" si="2"/>
        <v>75</v>
      </c>
      <c r="L3" s="11">
        <f t="shared" si="3"/>
        <v>75</v>
      </c>
      <c r="M3" s="11">
        <f t="shared" si="4"/>
        <v>75</v>
      </c>
      <c r="O3" t="s">
        <v>172</v>
      </c>
      <c r="P3" t="s">
        <v>172</v>
      </c>
      <c r="Q3">
        <v>0</v>
      </c>
      <c r="R3">
        <v>0</v>
      </c>
    </row>
    <row r="4" spans="1:18">
      <c r="A4" t="s">
        <v>143</v>
      </c>
      <c r="B4" t="str">
        <f>Control_Center!B33</f>
        <v>Echo &amp; Pima open; co-locate e.g. district teacher learning center at Echo; uplift warm handoff effort (intra-SUSD); initiate cross-district marketing</v>
      </c>
      <c r="C4">
        <f>Control_Center!C33</f>
        <v>50</v>
      </c>
      <c r="D4">
        <f>Control_Center!D33</f>
        <v>0</v>
      </c>
      <c r="E4">
        <f>Control_Center!E33</f>
        <v>0</v>
      </c>
      <c r="F4">
        <f>Control_Center!F33</f>
        <v>0.5</v>
      </c>
      <c r="G4">
        <f>Control_Center!G33</f>
        <v>0.05</v>
      </c>
      <c r="H4" t="s">
        <v>174</v>
      </c>
      <c r="I4" s="11">
        <f t="shared" si="0"/>
        <v>16.666666666666668</v>
      </c>
      <c r="J4" s="11">
        <f t="shared" si="1"/>
        <v>33.333333333333336</v>
      </c>
      <c r="K4" s="11">
        <f t="shared" si="2"/>
        <v>50</v>
      </c>
      <c r="L4" s="11">
        <f t="shared" si="3"/>
        <v>50</v>
      </c>
      <c r="M4" s="11">
        <f t="shared" si="4"/>
        <v>50</v>
      </c>
      <c r="O4" t="s">
        <v>172</v>
      </c>
      <c r="P4" t="s">
        <v>172</v>
      </c>
      <c r="Q4">
        <v>0</v>
      </c>
      <c r="R4">
        <v>0</v>
      </c>
    </row>
    <row r="5" spans="1:18">
      <c r="A5" t="s">
        <v>144</v>
      </c>
      <c r="B5" t="str">
        <f>Control_Center!B34</f>
        <v>Echo &amp; Pima open; growth initiatives Echo (e.g. innovation) &amp; Pima (e.g. arts); uplift warm handoff effort (intra-SUSD); initiate cross-district marketing</v>
      </c>
      <c r="C5">
        <f>Control_Center!C34</f>
        <v>150</v>
      </c>
      <c r="D5">
        <f>Control_Center!D34</f>
        <v>0</v>
      </c>
      <c r="E5">
        <f>Control_Center!E34</f>
        <v>0</v>
      </c>
      <c r="F5">
        <f>Control_Center!F34</f>
        <v>0.5</v>
      </c>
      <c r="G5">
        <f>Control_Center!G34</f>
        <v>0</v>
      </c>
      <c r="H5" t="s">
        <v>175</v>
      </c>
      <c r="I5" s="11">
        <f t="shared" si="0"/>
        <v>50</v>
      </c>
      <c r="J5" s="11">
        <f t="shared" si="1"/>
        <v>100</v>
      </c>
      <c r="K5" s="11">
        <f t="shared" si="2"/>
        <v>150</v>
      </c>
      <c r="L5" s="11">
        <f t="shared" si="3"/>
        <v>150</v>
      </c>
      <c r="M5" s="11">
        <f t="shared" si="4"/>
        <v>150</v>
      </c>
      <c r="O5" t="s">
        <v>176</v>
      </c>
      <c r="P5" t="s">
        <v>177</v>
      </c>
      <c r="Q5">
        <v>0</v>
      </c>
      <c r="R5">
        <v>0</v>
      </c>
    </row>
    <row r="6" spans="1:18">
      <c r="A6" t="s">
        <v>145</v>
      </c>
      <c r="B6" t="str">
        <f>Control_Center!B35</f>
        <v>Echo &amp; Pima open; no operational or strategic growth actions; no change in enrollment</v>
      </c>
      <c r="C6">
        <f>Control_Center!C35</f>
        <v>0</v>
      </c>
      <c r="D6">
        <f>Control_Center!D35</f>
        <v>0</v>
      </c>
      <c r="E6">
        <f>Control_Center!E35</f>
        <v>0</v>
      </c>
      <c r="F6">
        <f>Control_Center!F35</f>
        <v>0.5</v>
      </c>
      <c r="G6">
        <f>Control_Center!G35</f>
        <v>0</v>
      </c>
      <c r="H6" t="s">
        <v>178</v>
      </c>
      <c r="I6" s="11">
        <f t="shared" si="0"/>
        <v>0</v>
      </c>
      <c r="J6" s="11">
        <f t="shared" si="1"/>
        <v>0</v>
      </c>
      <c r="K6" s="11">
        <f t="shared" si="2"/>
        <v>0</v>
      </c>
      <c r="L6" s="11">
        <f t="shared" si="3"/>
        <v>0</v>
      </c>
      <c r="M6" s="11">
        <f t="shared" si="4"/>
        <v>0</v>
      </c>
      <c r="O6" t="s">
        <v>172</v>
      </c>
      <c r="P6" t="s">
        <v>172</v>
      </c>
      <c r="Q6">
        <v>0</v>
      </c>
      <c r="R6">
        <v>0</v>
      </c>
    </row>
    <row r="7" spans="1:18">
      <c r="A7" t="s">
        <v>146</v>
      </c>
      <c r="B7" t="str">
        <f>Control_Center!B36</f>
        <v>Echo &amp; Pima open; growth initiative Echo (e.g. innovation); no growth initiative Pima; uplift warm handoff effort (intra-SUSD); initiate cross-district marketing</v>
      </c>
      <c r="C7">
        <f>Control_Center!C36</f>
        <v>125</v>
      </c>
      <c r="D7">
        <f>Control_Center!D36</f>
        <v>0</v>
      </c>
      <c r="E7">
        <f>Control_Center!E36</f>
        <v>0</v>
      </c>
      <c r="F7">
        <f>Control_Center!F36</f>
        <v>0.7</v>
      </c>
      <c r="G7">
        <f>Control_Center!G36</f>
        <v>0</v>
      </c>
      <c r="H7" t="s">
        <v>179</v>
      </c>
      <c r="I7" s="11">
        <f t="shared" si="0"/>
        <v>41.666666666666664</v>
      </c>
      <c r="J7" s="11">
        <f t="shared" si="1"/>
        <v>83.333333333333329</v>
      </c>
      <c r="K7" s="11">
        <f t="shared" si="2"/>
        <v>125</v>
      </c>
      <c r="L7" s="11">
        <f t="shared" si="3"/>
        <v>125</v>
      </c>
      <c r="M7" s="11">
        <f t="shared" si="4"/>
        <v>125</v>
      </c>
      <c r="O7" t="s">
        <v>177</v>
      </c>
      <c r="P7" t="s">
        <v>172</v>
      </c>
      <c r="Q7">
        <v>0</v>
      </c>
      <c r="R7">
        <v>0</v>
      </c>
    </row>
    <row r="8" spans="1:18">
      <c r="A8" t="s">
        <v>81</v>
      </c>
      <c r="B8" t="str">
        <f>Control_Center!B37</f>
        <v>Repurpose both Echo &amp; Pima; lease both properties; fixed cost reduction rate, retention %, and transition cost assumptions are key drivers</v>
      </c>
      <c r="C8">
        <f>Control_Center!C37</f>
        <v>0</v>
      </c>
      <c r="D8">
        <f>Control_Center!D37</f>
        <v>1</v>
      </c>
      <c r="E8">
        <f>Control_Center!E37</f>
        <v>1</v>
      </c>
      <c r="F8">
        <f>Control_Center!F37</f>
        <v>0.5</v>
      </c>
      <c r="G8">
        <f>Control_Center!G37</f>
        <v>0</v>
      </c>
      <c r="H8" t="s">
        <v>180</v>
      </c>
      <c r="I8" s="11">
        <f t="shared" si="0"/>
        <v>0</v>
      </c>
      <c r="J8" s="11">
        <f t="shared" si="1"/>
        <v>0</v>
      </c>
      <c r="K8" s="11">
        <f t="shared" si="2"/>
        <v>0</v>
      </c>
      <c r="L8" s="11">
        <f t="shared" si="3"/>
        <v>0</v>
      </c>
      <c r="M8" s="11">
        <f t="shared" si="4"/>
        <v>0</v>
      </c>
      <c r="N8" t="s">
        <v>181</v>
      </c>
      <c r="O8" t="s">
        <v>172</v>
      </c>
      <c r="P8" t="s">
        <v>172</v>
      </c>
      <c r="Q8">
        <v>0</v>
      </c>
      <c r="R8">
        <v>0</v>
      </c>
    </row>
    <row r="9" spans="1:18">
      <c r="A9" t="s">
        <v>147</v>
      </c>
      <c r="B9" t="str">
        <f>Control_Center!B38</f>
        <v>Repurpose both Echo &amp; Pima; operationally convert both properties (e.g. early learning center); fixed cost reduction rate, retention %, and transition cost assumptions are key drivers</v>
      </c>
      <c r="C9">
        <f>Control_Center!C38</f>
        <v>0</v>
      </c>
      <c r="D9">
        <f>Control_Center!D38</f>
        <v>1</v>
      </c>
      <c r="E9">
        <f>Control_Center!E38</f>
        <v>1</v>
      </c>
      <c r="F9">
        <f>Control_Center!F38</f>
        <v>0.5</v>
      </c>
      <c r="G9">
        <f>Control_Center!G38</f>
        <v>0</v>
      </c>
      <c r="H9" t="s">
        <v>182</v>
      </c>
      <c r="I9" s="11">
        <f t="shared" si="0"/>
        <v>0</v>
      </c>
      <c r="J9" s="11">
        <f t="shared" si="1"/>
        <v>0</v>
      </c>
      <c r="K9" s="11">
        <f t="shared" si="2"/>
        <v>0</v>
      </c>
      <c r="L9" s="11">
        <f t="shared" si="3"/>
        <v>0</v>
      </c>
      <c r="M9" s="11">
        <f t="shared" si="4"/>
        <v>0</v>
      </c>
      <c r="N9" t="s">
        <v>183</v>
      </c>
      <c r="O9" t="s">
        <v>172</v>
      </c>
      <c r="P9" t="s">
        <v>172</v>
      </c>
      <c r="Q9">
        <v>0</v>
      </c>
      <c r="R9">
        <v>0</v>
      </c>
    </row>
    <row r="10" spans="1:18">
      <c r="A10" t="s">
        <v>148</v>
      </c>
      <c r="B10" t="str">
        <f>Control_Center!B39</f>
        <v>Repurpose ECHO (lease) + Status-Quo Pima + Pima Op Growth Targets</v>
      </c>
      <c r="C10">
        <f>Control_Center!C39</f>
        <v>0</v>
      </c>
      <c r="D10">
        <f>Control_Center!D39</f>
        <v>1</v>
      </c>
      <c r="E10">
        <f>Control_Center!E39</f>
        <v>0</v>
      </c>
      <c r="F10">
        <f>Control_Center!F39</f>
        <v>0</v>
      </c>
      <c r="G10">
        <f>Control_Center!G39</f>
        <v>0</v>
      </c>
      <c r="H10" t="s">
        <v>184</v>
      </c>
      <c r="I10" s="11">
        <f t="shared" si="0"/>
        <v>0</v>
      </c>
      <c r="J10" s="11">
        <f t="shared" si="1"/>
        <v>0</v>
      </c>
      <c r="K10" s="11">
        <f t="shared" si="2"/>
        <v>0</v>
      </c>
      <c r="L10" s="11">
        <f t="shared" si="3"/>
        <v>0</v>
      </c>
      <c r="M10" s="11">
        <f t="shared" si="4"/>
        <v>0</v>
      </c>
      <c r="N10" t="s">
        <v>181</v>
      </c>
      <c r="O10" t="s">
        <v>172</v>
      </c>
      <c r="P10" t="s">
        <v>172</v>
      </c>
      <c r="Q10">
        <v>0</v>
      </c>
      <c r="R10">
        <v>0</v>
      </c>
    </row>
    <row r="11" spans="1:18">
      <c r="A11" t="s">
        <v>149</v>
      </c>
      <c r="B11" t="str">
        <f>Control_Center!B40</f>
        <v>Repurpose ECHO (ops) + Status-Quo Pima + Pima Op Growth Targets</v>
      </c>
      <c r="C11">
        <f>Control_Center!C40</f>
        <v>37</v>
      </c>
      <c r="D11">
        <f>Control_Center!D40</f>
        <v>1</v>
      </c>
      <c r="E11">
        <f>Control_Center!E40</f>
        <v>0</v>
      </c>
      <c r="F11">
        <f>Control_Center!F40</f>
        <v>0</v>
      </c>
      <c r="G11">
        <f>Control_Center!G40</f>
        <v>0</v>
      </c>
      <c r="H11" t="s">
        <v>185</v>
      </c>
      <c r="I11" s="11">
        <f t="shared" si="0"/>
        <v>12.333333333333334</v>
      </c>
      <c r="J11" s="11">
        <f t="shared" si="1"/>
        <v>24.666666666666668</v>
      </c>
      <c r="K11" s="11">
        <f t="shared" si="2"/>
        <v>37</v>
      </c>
      <c r="L11" s="11">
        <f t="shared" si="3"/>
        <v>37</v>
      </c>
      <c r="M11" s="11">
        <f t="shared" si="4"/>
        <v>37</v>
      </c>
      <c r="N11" t="s">
        <v>183</v>
      </c>
      <c r="O11" t="s">
        <v>172</v>
      </c>
      <c r="P11" t="s">
        <v>172</v>
      </c>
      <c r="Q11">
        <v>0</v>
      </c>
      <c r="R11">
        <v>0</v>
      </c>
    </row>
    <row r="12" spans="1:18">
      <c r="A12" t="s">
        <v>150</v>
      </c>
      <c r="B12" t="str">
        <f>Control_Center!B41</f>
        <v>Repurpose PIMA (lease) + Growth Hub @ Echo + Echo Op Growth Targets</v>
      </c>
      <c r="C12">
        <f>Control_Center!C41</f>
        <v>0</v>
      </c>
      <c r="D12">
        <f>Control_Center!D41</f>
        <v>0</v>
      </c>
      <c r="E12">
        <f>Control_Center!E41</f>
        <v>1</v>
      </c>
      <c r="F12">
        <f>Control_Center!F41</f>
        <v>1</v>
      </c>
      <c r="G12">
        <f>Control_Center!G41</f>
        <v>0</v>
      </c>
      <c r="H12" t="s">
        <v>186</v>
      </c>
      <c r="I12" s="11">
        <f t="shared" si="0"/>
        <v>0</v>
      </c>
      <c r="J12" s="11">
        <f t="shared" si="1"/>
        <v>0</v>
      </c>
      <c r="K12" s="11">
        <f t="shared" si="2"/>
        <v>0</v>
      </c>
      <c r="L12" s="11">
        <f t="shared" si="3"/>
        <v>0</v>
      </c>
      <c r="M12" s="11">
        <f t="shared" si="4"/>
        <v>0</v>
      </c>
      <c r="N12" t="s">
        <v>181</v>
      </c>
      <c r="O12" t="s">
        <v>177</v>
      </c>
      <c r="P12" t="s">
        <v>172</v>
      </c>
      <c r="Q12">
        <v>0</v>
      </c>
      <c r="R12">
        <v>0</v>
      </c>
    </row>
    <row r="13" spans="1:18">
      <c r="A13" t="s">
        <v>151</v>
      </c>
      <c r="B13" t="str">
        <f>Control_Center!B42</f>
        <v>Repurpose PIMA (ops) + Growth Hub @ Echo + Echo Op Growth Targets</v>
      </c>
      <c r="C13">
        <f>Control_Center!C42</f>
        <v>50</v>
      </c>
      <c r="D13">
        <f>Control_Center!D42</f>
        <v>0</v>
      </c>
      <c r="E13">
        <f>Control_Center!E42</f>
        <v>1</v>
      </c>
      <c r="F13">
        <f>Control_Center!F42</f>
        <v>1</v>
      </c>
      <c r="G13">
        <f>Control_Center!G42</f>
        <v>0</v>
      </c>
      <c r="H13" t="s">
        <v>187</v>
      </c>
      <c r="I13" s="11">
        <f t="shared" si="0"/>
        <v>16.666666666666668</v>
      </c>
      <c r="J13" s="11">
        <f t="shared" si="1"/>
        <v>33.333333333333336</v>
      </c>
      <c r="K13" s="11">
        <f t="shared" si="2"/>
        <v>50</v>
      </c>
      <c r="L13" s="11">
        <f t="shared" si="3"/>
        <v>50</v>
      </c>
      <c r="M13" s="11">
        <f t="shared" si="4"/>
        <v>50</v>
      </c>
      <c r="N13" t="s">
        <v>183</v>
      </c>
      <c r="O13" t="s">
        <v>177</v>
      </c>
      <c r="P13" t="s">
        <v>172</v>
      </c>
      <c r="Q13">
        <v>0</v>
      </c>
      <c r="R13">
        <v>0</v>
      </c>
    </row>
    <row r="14" spans="1:18">
      <c r="A14" t="s">
        <v>80</v>
      </c>
      <c r="B14" t="s">
        <v>188</v>
      </c>
      <c r="C14">
        <v>0</v>
      </c>
      <c r="D14">
        <v>0</v>
      </c>
      <c r="E14">
        <v>0</v>
      </c>
      <c r="F14">
        <v>0</v>
      </c>
      <c r="G14">
        <v>0</v>
      </c>
      <c r="H14" t="s">
        <v>189</v>
      </c>
      <c r="I14" s="11">
        <f t="shared" si="0"/>
        <v>0</v>
      </c>
      <c r="J14" s="11">
        <f t="shared" si="1"/>
        <v>0</v>
      </c>
      <c r="K14" s="11">
        <f t="shared" si="2"/>
        <v>0</v>
      </c>
      <c r="L14" s="11">
        <f t="shared" si="3"/>
        <v>0</v>
      </c>
      <c r="M14" s="11">
        <f t="shared" si="4"/>
        <v>0</v>
      </c>
      <c r="O14" t="s">
        <v>172</v>
      </c>
      <c r="P14" t="s">
        <v>172</v>
      </c>
      <c r="Q14">
        <v>1</v>
      </c>
      <c r="R14">
        <v>1</v>
      </c>
    </row>
    <row r="16" spans="1:18">
      <c r="A16" s="1" t="s">
        <v>153</v>
      </c>
      <c r="B16" s="1" t="s">
        <v>83</v>
      </c>
      <c r="C16" s="1" t="s">
        <v>190</v>
      </c>
      <c r="D16" s="1" t="s">
        <v>191</v>
      </c>
      <c r="E16" s="1" t="s">
        <v>192</v>
      </c>
      <c r="F16" s="1" t="s">
        <v>193</v>
      </c>
      <c r="G16" s="1" t="s">
        <v>194</v>
      </c>
      <c r="H16" s="1" t="s">
        <v>195</v>
      </c>
      <c r="I16" s="1" t="s">
        <v>196</v>
      </c>
      <c r="O16" t="s">
        <v>172</v>
      </c>
      <c r="P16" t="s">
        <v>172</v>
      </c>
    </row>
    <row r="17" spans="1:16">
      <c r="A17" t="str">
        <f>A2</f>
        <v>F1_CUSTOM1</v>
      </c>
      <c r="B17" t="s">
        <v>86</v>
      </c>
      <c r="C17">
        <f>IF(D2=1,0, BaselineCalc!$B$7 + ROUND(I2*F2,0))</f>
        <v>257</v>
      </c>
      <c r="D17">
        <f>IF(E2=1,0, BaselineCalc!$B$8 + I2 - ROUND(I2*F2,0))</f>
        <v>296</v>
      </c>
      <c r="E17">
        <f t="shared" ref="E17:E48" si="5">C17+D17</f>
        <v>553</v>
      </c>
      <c r="F17" s="2">
        <f>YearMap!B2</f>
        <v>6414.5114999999987</v>
      </c>
      <c r="G17" s="2">
        <f>YearMap!C2</f>
        <v>1404302.8695</v>
      </c>
      <c r="H17" s="2">
        <f>YearMap!D2</f>
        <v>1617407.196</v>
      </c>
      <c r="I17" t="str">
        <f t="shared" ref="I17:I48" si="6">A17&amp;"|"&amp;B17</f>
        <v>F1_CUSTOM1|FY2026</v>
      </c>
      <c r="O17" t="s">
        <v>172</v>
      </c>
      <c r="P17" t="s">
        <v>172</v>
      </c>
    </row>
    <row r="18" spans="1:16">
      <c r="A18" t="str">
        <f>A2</f>
        <v>F1_CUSTOM1</v>
      </c>
      <c r="B18" t="s">
        <v>87</v>
      </c>
      <c r="C18">
        <f>IF(D2=1,0, BaselineCalc!$B$7 + ROUND(J2*F2,0))</f>
        <v>257</v>
      </c>
      <c r="D18">
        <f>IF(E2=1,0, BaselineCalc!$B$8 + J2 - ROUND(J2*F2,0))</f>
        <v>296</v>
      </c>
      <c r="E18">
        <f t="shared" si="5"/>
        <v>553</v>
      </c>
      <c r="F18" s="2">
        <f>YearMap!B3</f>
        <v>6574.8742874999989</v>
      </c>
      <c r="G18" s="2">
        <f>YearMap!C3</f>
        <v>1439410.4412375002</v>
      </c>
      <c r="H18" s="2">
        <f>YearMap!D3</f>
        <v>1657842.3759000003</v>
      </c>
      <c r="I18" t="str">
        <f t="shared" si="6"/>
        <v>F1_CUSTOM1|FY2027</v>
      </c>
      <c r="O18" t="s">
        <v>172</v>
      </c>
      <c r="P18" t="s">
        <v>172</v>
      </c>
    </row>
    <row r="19" spans="1:16">
      <c r="A19" t="str">
        <f>A2</f>
        <v>F1_CUSTOM1</v>
      </c>
      <c r="B19" t="s">
        <v>88</v>
      </c>
      <c r="C19">
        <f>IF(D2=1,0, BaselineCalc!$B$7 + ROUND(K2*F2,0))</f>
        <v>257</v>
      </c>
      <c r="D19">
        <f>IF(E2=1,0, BaselineCalc!$B$8 + K2 - ROUND(K2*F2,0))</f>
        <v>296</v>
      </c>
      <c r="E19">
        <f t="shared" si="5"/>
        <v>553</v>
      </c>
      <c r="F19" s="2">
        <f>YearMap!B4</f>
        <v>6739.2461446874986</v>
      </c>
      <c r="G19" s="2">
        <f>YearMap!C4</f>
        <v>1475395.7022684375</v>
      </c>
      <c r="H19" s="2">
        <f>YearMap!D4</f>
        <v>1699288.4352975001</v>
      </c>
      <c r="I19" t="str">
        <f t="shared" si="6"/>
        <v>F1_CUSTOM1|FY2028</v>
      </c>
      <c r="O19" t="s">
        <v>172</v>
      </c>
      <c r="P19" t="s">
        <v>172</v>
      </c>
    </row>
    <row r="20" spans="1:16">
      <c r="A20" t="str">
        <f>A2</f>
        <v>F1_CUSTOM1</v>
      </c>
      <c r="B20" t="s">
        <v>89</v>
      </c>
      <c r="C20">
        <f>IF(D2=1,0, BaselineCalc!$B$7 + ROUND(L2*F2,0))</f>
        <v>257</v>
      </c>
      <c r="D20">
        <f>IF(E2=1,0, BaselineCalc!$B$8 + L2 - ROUND(L2*F2,0))</f>
        <v>296</v>
      </c>
      <c r="E20">
        <f t="shared" si="5"/>
        <v>553</v>
      </c>
      <c r="F20" s="2">
        <f>YearMap!B5</f>
        <v>6907.7272983046851</v>
      </c>
      <c r="G20" s="2">
        <f>YearMap!C5</f>
        <v>1512280.5948251483</v>
      </c>
      <c r="H20" s="2">
        <f>YearMap!D5</f>
        <v>1741770.6461799373</v>
      </c>
      <c r="I20" t="str">
        <f t="shared" si="6"/>
        <v>F1_CUSTOM1|FY2029</v>
      </c>
      <c r="O20" t="s">
        <v>172</v>
      </c>
      <c r="P20" t="s">
        <v>172</v>
      </c>
    </row>
    <row r="21" spans="1:16">
      <c r="A21" t="str">
        <f>A2</f>
        <v>F1_CUSTOM1</v>
      </c>
      <c r="B21" t="s">
        <v>90</v>
      </c>
      <c r="C21">
        <f>IF(D2=1,0, BaselineCalc!$B$7 + ROUND(M2*F2,0))</f>
        <v>257</v>
      </c>
      <c r="D21">
        <f>IF(E2=1,0, BaselineCalc!$B$8 + M2 - ROUND(M2*F2,0))</f>
        <v>296</v>
      </c>
      <c r="E21">
        <f t="shared" si="5"/>
        <v>553</v>
      </c>
      <c r="F21" s="2">
        <f>YearMap!B6</f>
        <v>7080.4204807623018</v>
      </c>
      <c r="G21" s="2">
        <f>YearMap!C6</f>
        <v>1550087.6096957768</v>
      </c>
      <c r="H21" s="2">
        <f>YearMap!D6</f>
        <v>1785314.9123344356</v>
      </c>
      <c r="I21" t="str">
        <f t="shared" si="6"/>
        <v>F1_CUSTOM1|FY2030</v>
      </c>
      <c r="O21" t="s">
        <v>172</v>
      </c>
      <c r="P21" t="s">
        <v>172</v>
      </c>
    </row>
    <row r="22" spans="1:16">
      <c r="A22" t="str">
        <f>A3</f>
        <v>E3_StatusQuo_Targets</v>
      </c>
      <c r="B22" t="s">
        <v>86</v>
      </c>
      <c r="C22">
        <f>IF(D3=1,0, BaselineCalc!$B$7 + ROUND(I3*F3,0))</f>
        <v>270</v>
      </c>
      <c r="D22">
        <f>IF(E3=1,0, BaselineCalc!$B$8 + I3 - ROUND(I3*F3,0))</f>
        <v>308</v>
      </c>
      <c r="E22">
        <f t="shared" si="5"/>
        <v>578</v>
      </c>
      <c r="F22" s="2">
        <f>YearMap!B2</f>
        <v>6414.5114999999987</v>
      </c>
      <c r="G22" s="2">
        <f>YearMap!C2</f>
        <v>1404302.8695</v>
      </c>
      <c r="H22" s="2">
        <f>YearMap!D2</f>
        <v>1617407.196</v>
      </c>
      <c r="I22" t="str">
        <f t="shared" si="6"/>
        <v>E3_StatusQuo_Targets|FY2026</v>
      </c>
      <c r="O22" t="s">
        <v>172</v>
      </c>
      <c r="P22" t="s">
        <v>172</v>
      </c>
    </row>
    <row r="23" spans="1:16">
      <c r="A23" t="str">
        <f>A3</f>
        <v>E3_StatusQuo_Targets</v>
      </c>
      <c r="B23" t="s">
        <v>87</v>
      </c>
      <c r="C23">
        <f>IF(D3=1,0, BaselineCalc!$B$7 + ROUND(J3*F3,0))</f>
        <v>282</v>
      </c>
      <c r="D23">
        <f>IF(E3=1,0, BaselineCalc!$B$8 + J3 - ROUND(J3*F3,0))</f>
        <v>321</v>
      </c>
      <c r="E23">
        <f t="shared" si="5"/>
        <v>603</v>
      </c>
      <c r="F23" s="2">
        <f>YearMap!B3</f>
        <v>6574.8742874999989</v>
      </c>
      <c r="G23" s="2">
        <f>YearMap!C3</f>
        <v>1439410.4412375002</v>
      </c>
      <c r="H23" s="2">
        <f>YearMap!D3</f>
        <v>1657842.3759000003</v>
      </c>
      <c r="I23" t="str">
        <f t="shared" si="6"/>
        <v>E3_StatusQuo_Targets|FY2027</v>
      </c>
      <c r="O23" t="s">
        <v>172</v>
      </c>
      <c r="P23" t="s">
        <v>172</v>
      </c>
    </row>
    <row r="24" spans="1:16">
      <c r="A24" t="str">
        <f>A3</f>
        <v>E3_StatusQuo_Targets</v>
      </c>
      <c r="B24" t="s">
        <v>88</v>
      </c>
      <c r="C24">
        <f>IF(D3=1,0, BaselineCalc!$B$7 + ROUND(K3*F3,0))</f>
        <v>295</v>
      </c>
      <c r="D24">
        <f>IF(E3=1,0, BaselineCalc!$B$8 + K3 - ROUND(K3*F3,0))</f>
        <v>333</v>
      </c>
      <c r="E24">
        <f t="shared" si="5"/>
        <v>628</v>
      </c>
      <c r="F24" s="2">
        <f>YearMap!B4</f>
        <v>6739.2461446874986</v>
      </c>
      <c r="G24" s="2">
        <f>YearMap!C4</f>
        <v>1475395.7022684375</v>
      </c>
      <c r="H24" s="2">
        <f>YearMap!D4</f>
        <v>1699288.4352975001</v>
      </c>
      <c r="I24" t="str">
        <f t="shared" si="6"/>
        <v>E3_StatusQuo_Targets|FY2028</v>
      </c>
      <c r="O24" t="s">
        <v>172</v>
      </c>
      <c r="P24" t="s">
        <v>172</v>
      </c>
    </row>
    <row r="25" spans="1:16">
      <c r="A25" t="str">
        <f>A3</f>
        <v>E3_StatusQuo_Targets</v>
      </c>
      <c r="B25" t="s">
        <v>89</v>
      </c>
      <c r="C25">
        <f>IF(D3=1,0, BaselineCalc!$B$7 + ROUND(L3*F3,0))</f>
        <v>295</v>
      </c>
      <c r="D25">
        <f>IF(E3=1,0, BaselineCalc!$B$8 + L3 - ROUND(L3*F3,0))</f>
        <v>333</v>
      </c>
      <c r="E25">
        <f t="shared" si="5"/>
        <v>628</v>
      </c>
      <c r="F25" s="2">
        <f>YearMap!B5</f>
        <v>6907.7272983046851</v>
      </c>
      <c r="G25" s="2">
        <f>YearMap!C5</f>
        <v>1512280.5948251483</v>
      </c>
      <c r="H25" s="2">
        <f>YearMap!D5</f>
        <v>1741770.6461799373</v>
      </c>
      <c r="I25" t="str">
        <f t="shared" si="6"/>
        <v>E3_StatusQuo_Targets|FY2029</v>
      </c>
      <c r="O25" t="s">
        <v>172</v>
      </c>
      <c r="P25" t="s">
        <v>172</v>
      </c>
    </row>
    <row r="26" spans="1:16">
      <c r="A26" t="str">
        <f>A3</f>
        <v>E3_StatusQuo_Targets</v>
      </c>
      <c r="B26" t="s">
        <v>90</v>
      </c>
      <c r="C26">
        <f>IF(D3=1,0, BaselineCalc!$B$7 + ROUND(M3*F3,0))</f>
        <v>295</v>
      </c>
      <c r="D26">
        <f>IF(E3=1,0, BaselineCalc!$B$8 + M3 - ROUND(M3*F3,0))</f>
        <v>333</v>
      </c>
      <c r="E26">
        <f t="shared" si="5"/>
        <v>628</v>
      </c>
      <c r="F26" s="2">
        <f>YearMap!B6</f>
        <v>7080.4204807623018</v>
      </c>
      <c r="G26" s="2">
        <f>YearMap!C6</f>
        <v>1550087.6096957768</v>
      </c>
      <c r="H26" s="2">
        <f>YearMap!D6</f>
        <v>1785314.9123344356</v>
      </c>
      <c r="I26" t="str">
        <f t="shared" si="6"/>
        <v>E3_StatusQuo_Targets|FY2030</v>
      </c>
      <c r="O26" t="s">
        <v>172</v>
      </c>
      <c r="P26" t="s">
        <v>172</v>
      </c>
    </row>
    <row r="27" spans="1:16">
      <c r="A27" t="str">
        <f>A4</f>
        <v>D3_CoLocation_Echo_Targets</v>
      </c>
      <c r="B27" t="s">
        <v>86</v>
      </c>
      <c r="C27">
        <f>IF(D4=1,0, BaselineCalc!$B$7 + ROUND(I4*F4,0))</f>
        <v>265</v>
      </c>
      <c r="D27">
        <f>IF(E4=1,0, BaselineCalc!$B$8 + I4 - ROUND(I4*F4,0))</f>
        <v>304.66666666666669</v>
      </c>
      <c r="E27">
        <f t="shared" si="5"/>
        <v>569.66666666666674</v>
      </c>
      <c r="F27" s="2">
        <f>YearMap!B2</f>
        <v>6414.5114999999987</v>
      </c>
      <c r="G27" s="2">
        <f>YearMap!C2</f>
        <v>1404302.8695</v>
      </c>
      <c r="H27" s="2">
        <f>YearMap!D2</f>
        <v>1617407.196</v>
      </c>
      <c r="I27" t="str">
        <f t="shared" si="6"/>
        <v>D3_CoLocation_Echo_Targets|FY2026</v>
      </c>
      <c r="O27" t="s">
        <v>172</v>
      </c>
      <c r="P27" t="s">
        <v>172</v>
      </c>
    </row>
    <row r="28" spans="1:16">
      <c r="A28" t="str">
        <f>A4</f>
        <v>D3_CoLocation_Echo_Targets</v>
      </c>
      <c r="B28" t="s">
        <v>87</v>
      </c>
      <c r="C28">
        <f>IF(D4=1,0, BaselineCalc!$B$7 + ROUND(J4*F4,0))</f>
        <v>274</v>
      </c>
      <c r="D28">
        <f>IF(E4=1,0, BaselineCalc!$B$8 + J4 - ROUND(J4*F4,0))</f>
        <v>312.33333333333331</v>
      </c>
      <c r="E28">
        <f t="shared" si="5"/>
        <v>586.33333333333326</v>
      </c>
      <c r="F28" s="2">
        <f>YearMap!B3</f>
        <v>6574.8742874999989</v>
      </c>
      <c r="G28" s="2">
        <f>YearMap!C3</f>
        <v>1439410.4412375002</v>
      </c>
      <c r="H28" s="2">
        <f>YearMap!D3</f>
        <v>1657842.3759000003</v>
      </c>
      <c r="I28" t="str">
        <f t="shared" si="6"/>
        <v>D3_CoLocation_Echo_Targets|FY2027</v>
      </c>
      <c r="O28" t="s">
        <v>172</v>
      </c>
      <c r="P28" t="s">
        <v>172</v>
      </c>
    </row>
    <row r="29" spans="1:16">
      <c r="A29" t="str">
        <f>A4</f>
        <v>D3_CoLocation_Echo_Targets</v>
      </c>
      <c r="B29" t="s">
        <v>88</v>
      </c>
      <c r="C29">
        <f>IF(D4=1,0, BaselineCalc!$B$7 + ROUND(K4*F4,0))</f>
        <v>282</v>
      </c>
      <c r="D29">
        <f>IF(E4=1,0, BaselineCalc!$B$8 + K4 - ROUND(K4*F4,0))</f>
        <v>321</v>
      </c>
      <c r="E29">
        <f t="shared" si="5"/>
        <v>603</v>
      </c>
      <c r="F29" s="2">
        <f>YearMap!B4</f>
        <v>6739.2461446874986</v>
      </c>
      <c r="G29" s="2">
        <f>YearMap!C4</f>
        <v>1475395.7022684375</v>
      </c>
      <c r="H29" s="2">
        <f>YearMap!D4</f>
        <v>1699288.4352975001</v>
      </c>
      <c r="I29" t="str">
        <f t="shared" si="6"/>
        <v>D3_CoLocation_Echo_Targets|FY2028</v>
      </c>
      <c r="O29" t="s">
        <v>172</v>
      </c>
      <c r="P29" t="s">
        <v>172</v>
      </c>
    </row>
    <row r="30" spans="1:16">
      <c r="A30" t="str">
        <f>A4</f>
        <v>D3_CoLocation_Echo_Targets</v>
      </c>
      <c r="B30" t="s">
        <v>89</v>
      </c>
      <c r="C30">
        <f>IF(D4=1,0, BaselineCalc!$B$7 + ROUND(L4*F4,0))</f>
        <v>282</v>
      </c>
      <c r="D30">
        <f>IF(E4=1,0, BaselineCalc!$B$8 + L4 - ROUND(L4*F4,0))</f>
        <v>321</v>
      </c>
      <c r="E30">
        <f t="shared" si="5"/>
        <v>603</v>
      </c>
      <c r="F30" s="2">
        <f>YearMap!B5</f>
        <v>6907.7272983046851</v>
      </c>
      <c r="G30" s="2">
        <f>YearMap!C5</f>
        <v>1512280.5948251483</v>
      </c>
      <c r="H30" s="2">
        <f>YearMap!D5</f>
        <v>1741770.6461799373</v>
      </c>
      <c r="I30" t="str">
        <f t="shared" si="6"/>
        <v>D3_CoLocation_Echo_Targets|FY2029</v>
      </c>
      <c r="O30" t="s">
        <v>172</v>
      </c>
      <c r="P30" t="s">
        <v>172</v>
      </c>
    </row>
    <row r="31" spans="1:16">
      <c r="A31" t="str">
        <f>A4</f>
        <v>D3_CoLocation_Echo_Targets</v>
      </c>
      <c r="B31" t="s">
        <v>90</v>
      </c>
      <c r="C31">
        <f>IF(D4=1,0, BaselineCalc!$B$7 + ROUND(M4*F4,0))</f>
        <v>282</v>
      </c>
      <c r="D31">
        <f>IF(E4=1,0, BaselineCalc!$B$8 + M4 - ROUND(M4*F4,0))</f>
        <v>321</v>
      </c>
      <c r="E31">
        <f t="shared" si="5"/>
        <v>603</v>
      </c>
      <c r="F31" s="2">
        <f>YearMap!B6</f>
        <v>7080.4204807623018</v>
      </c>
      <c r="G31" s="2">
        <f>YearMap!C6</f>
        <v>1550087.6096957768</v>
      </c>
      <c r="H31" s="2">
        <f>YearMap!D6</f>
        <v>1785314.9123344356</v>
      </c>
      <c r="I31" t="str">
        <f t="shared" si="6"/>
        <v>D3_CoLocation_Echo_Targets|FY2030</v>
      </c>
      <c r="O31" t="s">
        <v>172</v>
      </c>
      <c r="P31" t="s">
        <v>172</v>
      </c>
    </row>
    <row r="32" spans="1:16">
      <c r="A32" t="str">
        <f>A5</f>
        <v>D1_Grow_Both_Targets</v>
      </c>
      <c r="B32" t="s">
        <v>86</v>
      </c>
      <c r="C32">
        <f>IF(D5=1,0, BaselineCalc!$B$7 + ROUND(I5*F5,0))</f>
        <v>282</v>
      </c>
      <c r="D32">
        <f>IF(E5=1,0, BaselineCalc!$B$8 + I5 - ROUND(I5*F5,0))</f>
        <v>321</v>
      </c>
      <c r="E32">
        <f t="shared" si="5"/>
        <v>603</v>
      </c>
      <c r="F32" s="2">
        <f>YearMap!B2</f>
        <v>6414.5114999999987</v>
      </c>
      <c r="G32" s="2">
        <f>YearMap!C2</f>
        <v>1404302.8695</v>
      </c>
      <c r="H32" s="2">
        <f>YearMap!D2</f>
        <v>1617407.196</v>
      </c>
      <c r="I32" t="str">
        <f t="shared" si="6"/>
        <v>D1_Grow_Both_Targets|FY2026</v>
      </c>
      <c r="O32" t="s">
        <v>172</v>
      </c>
      <c r="P32" t="s">
        <v>172</v>
      </c>
    </row>
    <row r="33" spans="1:16">
      <c r="A33" t="str">
        <f>A5</f>
        <v>D1_Grow_Both_Targets</v>
      </c>
      <c r="B33" t="s">
        <v>87</v>
      </c>
      <c r="C33">
        <f>IF(D5=1,0, BaselineCalc!$B$7 + ROUND(J5*F5,0))</f>
        <v>307</v>
      </c>
      <c r="D33">
        <f>IF(E5=1,0, BaselineCalc!$B$8 + J5 - ROUND(J5*F5,0))</f>
        <v>346</v>
      </c>
      <c r="E33">
        <f t="shared" si="5"/>
        <v>653</v>
      </c>
      <c r="F33" s="2">
        <f>YearMap!B3</f>
        <v>6574.8742874999989</v>
      </c>
      <c r="G33" s="2">
        <f>YearMap!C3</f>
        <v>1439410.4412375002</v>
      </c>
      <c r="H33" s="2">
        <f>YearMap!D3</f>
        <v>1657842.3759000003</v>
      </c>
      <c r="I33" t="str">
        <f t="shared" si="6"/>
        <v>D1_Grow_Both_Targets|FY2027</v>
      </c>
      <c r="O33" t="s">
        <v>172</v>
      </c>
      <c r="P33" t="s">
        <v>172</v>
      </c>
    </row>
    <row r="34" spans="1:16">
      <c r="A34" t="str">
        <f>A5</f>
        <v>D1_Grow_Both_Targets</v>
      </c>
      <c r="B34" t="s">
        <v>88</v>
      </c>
      <c r="C34">
        <f>IF(D5=1,0, BaselineCalc!$B$7 + ROUND(K5*F5,0))</f>
        <v>332</v>
      </c>
      <c r="D34">
        <f>IF(E5=1,0, BaselineCalc!$B$8 + K5 - ROUND(K5*F5,0))</f>
        <v>371</v>
      </c>
      <c r="E34">
        <f t="shared" si="5"/>
        <v>703</v>
      </c>
      <c r="F34" s="2">
        <f>YearMap!B4</f>
        <v>6739.2461446874986</v>
      </c>
      <c r="G34" s="2">
        <f>YearMap!C4</f>
        <v>1475395.7022684375</v>
      </c>
      <c r="H34" s="2">
        <f>YearMap!D4</f>
        <v>1699288.4352975001</v>
      </c>
      <c r="I34" t="str">
        <f t="shared" si="6"/>
        <v>D1_Grow_Both_Targets|FY2028</v>
      </c>
      <c r="O34" t="s">
        <v>172</v>
      </c>
      <c r="P34" t="s">
        <v>172</v>
      </c>
    </row>
    <row r="35" spans="1:16">
      <c r="A35" t="str">
        <f>A5</f>
        <v>D1_Grow_Both_Targets</v>
      </c>
      <c r="B35" t="s">
        <v>89</v>
      </c>
      <c r="C35">
        <f>IF(D5=1,0, BaselineCalc!$B$7 + ROUND(L5*F5,0))</f>
        <v>332</v>
      </c>
      <c r="D35">
        <f>IF(E5=1,0, BaselineCalc!$B$8 + L5 - ROUND(L5*F5,0))</f>
        <v>371</v>
      </c>
      <c r="E35">
        <f t="shared" si="5"/>
        <v>703</v>
      </c>
      <c r="F35" s="2">
        <f>YearMap!B5</f>
        <v>6907.7272983046851</v>
      </c>
      <c r="G35" s="2">
        <f>YearMap!C5</f>
        <v>1512280.5948251483</v>
      </c>
      <c r="H35" s="2">
        <f>YearMap!D5</f>
        <v>1741770.6461799373</v>
      </c>
      <c r="I35" t="str">
        <f t="shared" si="6"/>
        <v>D1_Grow_Both_Targets|FY2029</v>
      </c>
      <c r="O35" t="s">
        <v>172</v>
      </c>
      <c r="P35" t="s">
        <v>172</v>
      </c>
    </row>
    <row r="36" spans="1:16">
      <c r="A36" t="str">
        <f>A5</f>
        <v>D1_Grow_Both_Targets</v>
      </c>
      <c r="B36" t="s">
        <v>90</v>
      </c>
      <c r="C36">
        <f>IF(D5=1,0, BaselineCalc!$B$7 + ROUND(M5*F5,0))</f>
        <v>332</v>
      </c>
      <c r="D36">
        <f>IF(E5=1,0, BaselineCalc!$B$8 + M5 - ROUND(M5*F5,0))</f>
        <v>371</v>
      </c>
      <c r="E36">
        <f t="shared" si="5"/>
        <v>703</v>
      </c>
      <c r="F36" s="2">
        <f>YearMap!B6</f>
        <v>7080.4204807623018</v>
      </c>
      <c r="G36" s="2">
        <f>YearMap!C6</f>
        <v>1550087.6096957768</v>
      </c>
      <c r="H36" s="2">
        <f>YearMap!D6</f>
        <v>1785314.9123344356</v>
      </c>
      <c r="I36" t="str">
        <f t="shared" si="6"/>
        <v>D1_Grow_Both_Targets|FY2030</v>
      </c>
      <c r="O36" t="s">
        <v>172</v>
      </c>
      <c r="P36" t="s">
        <v>172</v>
      </c>
    </row>
    <row r="37" spans="1:16">
      <c r="A37" t="str">
        <f>A6</f>
        <v>E2_StatusQuo_Steady</v>
      </c>
      <c r="B37" t="s">
        <v>86</v>
      </c>
      <c r="C37">
        <f>IF(D6=1,0, BaselineCalc!$B$7 + ROUND(I6*F6,0))</f>
        <v>257</v>
      </c>
      <c r="D37">
        <f>IF(E6=1,0, BaselineCalc!$B$8 + I6 - ROUND(I6*F6,0))</f>
        <v>296</v>
      </c>
      <c r="E37">
        <f t="shared" si="5"/>
        <v>553</v>
      </c>
      <c r="F37" s="2">
        <f>YearMap!B2</f>
        <v>6414.5114999999987</v>
      </c>
      <c r="G37" s="2">
        <f>YearMap!C2</f>
        <v>1404302.8695</v>
      </c>
      <c r="H37" s="2">
        <f>YearMap!D2</f>
        <v>1617407.196</v>
      </c>
      <c r="I37" t="str">
        <f t="shared" si="6"/>
        <v>E2_StatusQuo_Steady|FY2026</v>
      </c>
      <c r="O37" t="s">
        <v>172</v>
      </c>
      <c r="P37" t="s">
        <v>172</v>
      </c>
    </row>
    <row r="38" spans="1:16">
      <c r="A38" t="str">
        <f>A6</f>
        <v>E2_StatusQuo_Steady</v>
      </c>
      <c r="B38" t="s">
        <v>87</v>
      </c>
      <c r="C38">
        <f>IF(D6=1,0, BaselineCalc!$B$7 + ROUND(J6*F6,0))</f>
        <v>257</v>
      </c>
      <c r="D38">
        <f>IF(E6=1,0, BaselineCalc!$B$8 + J6 - ROUND(J6*F6,0))</f>
        <v>296</v>
      </c>
      <c r="E38">
        <f t="shared" si="5"/>
        <v>553</v>
      </c>
      <c r="F38" s="2">
        <f>YearMap!B3</f>
        <v>6574.8742874999989</v>
      </c>
      <c r="G38" s="2">
        <f>YearMap!C3</f>
        <v>1439410.4412375002</v>
      </c>
      <c r="H38" s="2">
        <f>YearMap!D3</f>
        <v>1657842.3759000003</v>
      </c>
      <c r="I38" t="str">
        <f t="shared" si="6"/>
        <v>E2_StatusQuo_Steady|FY2027</v>
      </c>
      <c r="O38" t="s">
        <v>172</v>
      </c>
      <c r="P38" t="s">
        <v>172</v>
      </c>
    </row>
    <row r="39" spans="1:16">
      <c r="A39" t="str">
        <f>A6</f>
        <v>E2_StatusQuo_Steady</v>
      </c>
      <c r="B39" t="s">
        <v>88</v>
      </c>
      <c r="C39">
        <f>IF(D6=1,0, BaselineCalc!$B$7 + ROUND(K6*F6,0))</f>
        <v>257</v>
      </c>
      <c r="D39">
        <f>IF(E6=1,0, BaselineCalc!$B$8 + K6 - ROUND(K6*F6,0))</f>
        <v>296</v>
      </c>
      <c r="E39">
        <f t="shared" si="5"/>
        <v>553</v>
      </c>
      <c r="F39" s="2">
        <f>YearMap!B4</f>
        <v>6739.2461446874986</v>
      </c>
      <c r="G39" s="2">
        <f>YearMap!C4</f>
        <v>1475395.7022684375</v>
      </c>
      <c r="H39" s="2">
        <f>YearMap!D4</f>
        <v>1699288.4352975001</v>
      </c>
      <c r="I39" t="str">
        <f t="shared" si="6"/>
        <v>E2_StatusQuo_Steady|FY2028</v>
      </c>
      <c r="O39" t="s">
        <v>172</v>
      </c>
      <c r="P39" t="s">
        <v>172</v>
      </c>
    </row>
    <row r="40" spans="1:16">
      <c r="A40" t="str">
        <f>A6</f>
        <v>E2_StatusQuo_Steady</v>
      </c>
      <c r="B40" t="s">
        <v>89</v>
      </c>
      <c r="C40">
        <f>IF(D6=1,0, BaselineCalc!$B$7 + ROUND(L6*F6,0))</f>
        <v>257</v>
      </c>
      <c r="D40">
        <f>IF(E6=1,0, BaselineCalc!$B$8 + L6 - ROUND(L6*F6,0))</f>
        <v>296</v>
      </c>
      <c r="E40">
        <f t="shared" si="5"/>
        <v>553</v>
      </c>
      <c r="F40" s="2">
        <f>YearMap!B5</f>
        <v>6907.7272983046851</v>
      </c>
      <c r="G40" s="2">
        <f>YearMap!C5</f>
        <v>1512280.5948251483</v>
      </c>
      <c r="H40" s="2">
        <f>YearMap!D5</f>
        <v>1741770.6461799373</v>
      </c>
      <c r="I40" t="str">
        <f t="shared" si="6"/>
        <v>E2_StatusQuo_Steady|FY2029</v>
      </c>
      <c r="O40" t="s">
        <v>172</v>
      </c>
      <c r="P40" t="s">
        <v>172</v>
      </c>
    </row>
    <row r="41" spans="1:16">
      <c r="A41" t="str">
        <f>A6</f>
        <v>E2_StatusQuo_Steady</v>
      </c>
      <c r="B41" t="s">
        <v>90</v>
      </c>
      <c r="C41">
        <f>IF(D6=1,0, BaselineCalc!$B$7 + ROUND(M6*F6,0))</f>
        <v>257</v>
      </c>
      <c r="D41">
        <f>IF(E6=1,0, BaselineCalc!$B$8 + M6 - ROUND(M6*F6,0))</f>
        <v>296</v>
      </c>
      <c r="E41">
        <f t="shared" si="5"/>
        <v>553</v>
      </c>
      <c r="F41" s="2">
        <f>YearMap!B6</f>
        <v>7080.4204807623018</v>
      </c>
      <c r="G41" s="2">
        <f>YearMap!C6</f>
        <v>1550087.6096957768</v>
      </c>
      <c r="H41" s="2">
        <f>YearMap!D6</f>
        <v>1785314.9123344356</v>
      </c>
      <c r="I41" t="str">
        <f t="shared" si="6"/>
        <v>E2_StatusQuo_Steady|FY2030</v>
      </c>
      <c r="O41" t="s">
        <v>172</v>
      </c>
      <c r="P41" t="s">
        <v>172</v>
      </c>
    </row>
    <row r="42" spans="1:16">
      <c r="A42" t="str">
        <f>A7</f>
        <v>D2_EchoGHubRamp_PimaTargets</v>
      </c>
      <c r="B42" t="s">
        <v>86</v>
      </c>
      <c r="C42">
        <f>IF(D7=1,0, BaselineCalc!$B$7 + ROUND(I7*F7,0))</f>
        <v>286</v>
      </c>
      <c r="D42">
        <f>IF(E7=1,0, BaselineCalc!$B$8 + I7 - ROUND(I7*F7,0))</f>
        <v>308.66666666666669</v>
      </c>
      <c r="E42">
        <f t="shared" si="5"/>
        <v>594.66666666666674</v>
      </c>
      <c r="F42" s="2">
        <f>YearMap!B2</f>
        <v>6414.5114999999987</v>
      </c>
      <c r="G42" s="2">
        <f>YearMap!C2</f>
        <v>1404302.8695</v>
      </c>
      <c r="H42" s="2">
        <f>YearMap!D2</f>
        <v>1617407.196</v>
      </c>
      <c r="I42" t="str">
        <f t="shared" si="6"/>
        <v>D2_EchoGHubRamp_PimaTargets|FY2026</v>
      </c>
      <c r="O42" t="s">
        <v>172</v>
      </c>
      <c r="P42" t="s">
        <v>172</v>
      </c>
    </row>
    <row r="43" spans="1:16">
      <c r="A43" t="str">
        <f>A7</f>
        <v>D2_EchoGHubRamp_PimaTargets</v>
      </c>
      <c r="B43" t="s">
        <v>87</v>
      </c>
      <c r="C43">
        <f>IF(D7=1,0, BaselineCalc!$B$7 + ROUND(J7*F7,0))</f>
        <v>315</v>
      </c>
      <c r="D43">
        <f>IF(E7=1,0, BaselineCalc!$B$8 + J7 - ROUND(J7*F7,0))</f>
        <v>321.33333333333331</v>
      </c>
      <c r="E43">
        <f t="shared" si="5"/>
        <v>636.33333333333326</v>
      </c>
      <c r="F43" s="2">
        <f>YearMap!B3</f>
        <v>6574.8742874999989</v>
      </c>
      <c r="G43" s="2">
        <f>YearMap!C3</f>
        <v>1439410.4412375002</v>
      </c>
      <c r="H43" s="2">
        <f>YearMap!D3</f>
        <v>1657842.3759000003</v>
      </c>
      <c r="I43" t="str">
        <f t="shared" si="6"/>
        <v>D2_EchoGHubRamp_PimaTargets|FY2027</v>
      </c>
      <c r="O43" t="s">
        <v>172</v>
      </c>
      <c r="P43" t="s">
        <v>172</v>
      </c>
    </row>
    <row r="44" spans="1:16">
      <c r="A44" t="str">
        <f>A7</f>
        <v>D2_EchoGHubRamp_PimaTargets</v>
      </c>
      <c r="B44" t="s">
        <v>88</v>
      </c>
      <c r="C44">
        <f>IF(D7=1,0, BaselineCalc!$B$7 + ROUND(K7*F7,0))</f>
        <v>345</v>
      </c>
      <c r="D44">
        <f>IF(E7=1,0, BaselineCalc!$B$8 + K7 - ROUND(K7*F7,0))</f>
        <v>333</v>
      </c>
      <c r="E44">
        <f t="shared" si="5"/>
        <v>678</v>
      </c>
      <c r="F44" s="2">
        <f>YearMap!B4</f>
        <v>6739.2461446874986</v>
      </c>
      <c r="G44" s="2">
        <f>YearMap!C4</f>
        <v>1475395.7022684375</v>
      </c>
      <c r="H44" s="2">
        <f>YearMap!D4</f>
        <v>1699288.4352975001</v>
      </c>
      <c r="I44" t="str">
        <f t="shared" si="6"/>
        <v>D2_EchoGHubRamp_PimaTargets|FY2028</v>
      </c>
      <c r="O44" t="s">
        <v>172</v>
      </c>
      <c r="P44" t="s">
        <v>172</v>
      </c>
    </row>
    <row r="45" spans="1:16">
      <c r="A45" t="str">
        <f>A7</f>
        <v>D2_EchoGHubRamp_PimaTargets</v>
      </c>
      <c r="B45" t="s">
        <v>89</v>
      </c>
      <c r="C45">
        <f>IF(D7=1,0, BaselineCalc!$B$7 + ROUND(L7*F7,0))</f>
        <v>345</v>
      </c>
      <c r="D45">
        <f>IF(E7=1,0, BaselineCalc!$B$8 + L7 - ROUND(L7*F7,0))</f>
        <v>333</v>
      </c>
      <c r="E45">
        <f t="shared" si="5"/>
        <v>678</v>
      </c>
      <c r="F45" s="2">
        <f>YearMap!B5</f>
        <v>6907.7272983046851</v>
      </c>
      <c r="G45" s="2">
        <f>YearMap!C5</f>
        <v>1512280.5948251483</v>
      </c>
      <c r="H45" s="2">
        <f>YearMap!D5</f>
        <v>1741770.6461799373</v>
      </c>
      <c r="I45" t="str">
        <f t="shared" si="6"/>
        <v>D2_EchoGHubRamp_PimaTargets|FY2029</v>
      </c>
      <c r="O45" t="s">
        <v>172</v>
      </c>
      <c r="P45" t="s">
        <v>172</v>
      </c>
    </row>
    <row r="46" spans="1:16">
      <c r="A46" t="str">
        <f>A7</f>
        <v>D2_EchoGHubRamp_PimaTargets</v>
      </c>
      <c r="B46" t="s">
        <v>90</v>
      </c>
      <c r="C46">
        <f>IF(D7=1,0, BaselineCalc!$B$7 + ROUND(M7*F7,0))</f>
        <v>345</v>
      </c>
      <c r="D46">
        <f>IF(E7=1,0, BaselineCalc!$B$8 + M7 - ROUND(M7*F7,0))</f>
        <v>333</v>
      </c>
      <c r="E46">
        <f t="shared" si="5"/>
        <v>678</v>
      </c>
      <c r="F46" s="2">
        <f>YearMap!B6</f>
        <v>7080.4204807623018</v>
      </c>
      <c r="G46" s="2">
        <f>YearMap!C6</f>
        <v>1550087.6096957768</v>
      </c>
      <c r="H46" s="2">
        <f>YearMap!D6</f>
        <v>1785314.9123344356</v>
      </c>
      <c r="I46" t="str">
        <f t="shared" si="6"/>
        <v>D2_EchoGHubRamp_PimaTargets|FY2030</v>
      </c>
      <c r="O46" t="s">
        <v>172</v>
      </c>
      <c r="P46" t="s">
        <v>172</v>
      </c>
    </row>
    <row r="47" spans="1:16">
      <c r="A47" t="str">
        <f>A8</f>
        <v>A2_Repurpose_Both_lease</v>
      </c>
      <c r="B47" t="s">
        <v>86</v>
      </c>
      <c r="C47">
        <f>IF(D8=1,0, BaselineCalc!$B$7 + ROUND(I8*F8,0))</f>
        <v>0</v>
      </c>
      <c r="D47">
        <f>IF(E8=1,0, BaselineCalc!$B$8 + I8 - ROUND(I8*F8,0))</f>
        <v>0</v>
      </c>
      <c r="E47">
        <f t="shared" si="5"/>
        <v>0</v>
      </c>
      <c r="F47" s="2">
        <f>YearMap!B2</f>
        <v>6414.5114999999987</v>
      </c>
      <c r="G47" s="2">
        <f>YearMap!C2</f>
        <v>1404302.8695</v>
      </c>
      <c r="H47" s="2">
        <f>YearMap!D2</f>
        <v>1617407.196</v>
      </c>
      <c r="I47" t="str">
        <f t="shared" si="6"/>
        <v>A2_Repurpose_Both_lease|FY2026</v>
      </c>
      <c r="O47" t="s">
        <v>172</v>
      </c>
      <c r="P47" t="s">
        <v>172</v>
      </c>
    </row>
    <row r="48" spans="1:16">
      <c r="A48" t="str">
        <f>A8</f>
        <v>A2_Repurpose_Both_lease</v>
      </c>
      <c r="B48" t="s">
        <v>87</v>
      </c>
      <c r="C48">
        <f>IF(D8=1,0, BaselineCalc!$B$7 + ROUND(J8*F8,0))</f>
        <v>0</v>
      </c>
      <c r="D48">
        <f>IF(E8=1,0, BaselineCalc!$B$8 + J8 - ROUND(J8*F8,0))</f>
        <v>0</v>
      </c>
      <c r="E48">
        <f t="shared" si="5"/>
        <v>0</v>
      </c>
      <c r="F48" s="2">
        <f>YearMap!B3</f>
        <v>6574.8742874999989</v>
      </c>
      <c r="G48" s="2">
        <f>YearMap!C3</f>
        <v>1439410.4412375002</v>
      </c>
      <c r="H48" s="2">
        <f>YearMap!D3</f>
        <v>1657842.3759000003</v>
      </c>
      <c r="I48" t="str">
        <f t="shared" si="6"/>
        <v>A2_Repurpose_Both_lease|FY2027</v>
      </c>
      <c r="O48" t="s">
        <v>172</v>
      </c>
      <c r="P48" t="s">
        <v>172</v>
      </c>
    </row>
    <row r="49" spans="1:16">
      <c r="A49" t="str">
        <f>A8</f>
        <v>A2_Repurpose_Both_lease</v>
      </c>
      <c r="B49" t="s">
        <v>88</v>
      </c>
      <c r="C49">
        <f>IF(D8=1,0, BaselineCalc!$B$7 + ROUND(K8*F8,0))</f>
        <v>0</v>
      </c>
      <c r="D49">
        <f>IF(E8=1,0, BaselineCalc!$B$8 + K8 - ROUND(K8*F8,0))</f>
        <v>0</v>
      </c>
      <c r="E49">
        <f t="shared" ref="E49:E80" si="7">C49+D49</f>
        <v>0</v>
      </c>
      <c r="F49" s="2">
        <f>YearMap!B4</f>
        <v>6739.2461446874986</v>
      </c>
      <c r="G49" s="2">
        <f>YearMap!C4</f>
        <v>1475395.7022684375</v>
      </c>
      <c r="H49" s="2">
        <f>YearMap!D4</f>
        <v>1699288.4352975001</v>
      </c>
      <c r="I49" t="str">
        <f t="shared" ref="I49:I76" si="8">A49&amp;"|"&amp;B49</f>
        <v>A2_Repurpose_Both_lease|FY2028</v>
      </c>
      <c r="O49" t="s">
        <v>172</v>
      </c>
      <c r="P49" t="s">
        <v>172</v>
      </c>
    </row>
    <row r="50" spans="1:16">
      <c r="A50" t="str">
        <f>A8</f>
        <v>A2_Repurpose_Both_lease</v>
      </c>
      <c r="B50" t="s">
        <v>89</v>
      </c>
      <c r="C50">
        <f>IF(D8=1,0, BaselineCalc!$B$7 + ROUND(L8*F8,0))</f>
        <v>0</v>
      </c>
      <c r="D50">
        <f>IF(E8=1,0, BaselineCalc!$B$8 + L8 - ROUND(L8*F8,0))</f>
        <v>0</v>
      </c>
      <c r="E50">
        <f t="shared" si="7"/>
        <v>0</v>
      </c>
      <c r="F50" s="2">
        <f>YearMap!B5</f>
        <v>6907.7272983046851</v>
      </c>
      <c r="G50" s="2">
        <f>YearMap!C5</f>
        <v>1512280.5948251483</v>
      </c>
      <c r="H50" s="2">
        <f>YearMap!D5</f>
        <v>1741770.6461799373</v>
      </c>
      <c r="I50" t="str">
        <f t="shared" si="8"/>
        <v>A2_Repurpose_Both_lease|FY2029</v>
      </c>
      <c r="O50" t="s">
        <v>172</v>
      </c>
      <c r="P50" t="s">
        <v>172</v>
      </c>
    </row>
    <row r="51" spans="1:16">
      <c r="A51" t="str">
        <f>A8</f>
        <v>A2_Repurpose_Both_lease</v>
      </c>
      <c r="B51" t="s">
        <v>90</v>
      </c>
      <c r="C51">
        <f>IF(D8=1,0, BaselineCalc!$B$7 + ROUND(M8*F8,0))</f>
        <v>0</v>
      </c>
      <c r="D51">
        <f>IF(E8=1,0, BaselineCalc!$B$8 + M8 - ROUND(M8*F8,0))</f>
        <v>0</v>
      </c>
      <c r="E51">
        <f t="shared" si="7"/>
        <v>0</v>
      </c>
      <c r="F51" s="2">
        <f>YearMap!B6</f>
        <v>7080.4204807623018</v>
      </c>
      <c r="G51" s="2">
        <f>YearMap!C6</f>
        <v>1550087.6096957768</v>
      </c>
      <c r="H51" s="2">
        <f>YearMap!D6</f>
        <v>1785314.9123344356</v>
      </c>
      <c r="I51" t="str">
        <f t="shared" si="8"/>
        <v>A2_Repurpose_Both_lease|FY2030</v>
      </c>
      <c r="O51" t="s">
        <v>172</v>
      </c>
      <c r="P51" t="s">
        <v>172</v>
      </c>
    </row>
    <row r="52" spans="1:16">
      <c r="A52" t="str">
        <f>A9</f>
        <v>A1_Repurpose_Both_ops</v>
      </c>
      <c r="B52" t="s">
        <v>86</v>
      </c>
      <c r="C52">
        <f>IF(D9=1,0, BaselineCalc!$B$7 + ROUND(I9*F9,0))</f>
        <v>0</v>
      </c>
      <c r="D52">
        <f>IF(E9=1,0, BaselineCalc!$B$8 + I9 - ROUND(I9*F9,0))</f>
        <v>0</v>
      </c>
      <c r="E52">
        <f t="shared" si="7"/>
        <v>0</v>
      </c>
      <c r="F52" s="2">
        <f>YearMap!B2</f>
        <v>6414.5114999999987</v>
      </c>
      <c r="G52" s="2">
        <f>YearMap!C2</f>
        <v>1404302.8695</v>
      </c>
      <c r="H52" s="2">
        <f>YearMap!D2</f>
        <v>1617407.196</v>
      </c>
      <c r="I52" t="str">
        <f t="shared" si="8"/>
        <v>A1_Repurpose_Both_ops|FY2026</v>
      </c>
      <c r="O52" t="s">
        <v>172</v>
      </c>
      <c r="P52" t="s">
        <v>172</v>
      </c>
    </row>
    <row r="53" spans="1:16">
      <c r="A53" t="str">
        <f>A9</f>
        <v>A1_Repurpose_Both_ops</v>
      </c>
      <c r="B53" t="s">
        <v>87</v>
      </c>
      <c r="C53">
        <f>IF(D9=1,0, BaselineCalc!$B$7 + ROUND(J9*F9,0))</f>
        <v>0</v>
      </c>
      <c r="D53">
        <f>IF(E9=1,0, BaselineCalc!$B$8 + J9 - ROUND(J9*F9,0))</f>
        <v>0</v>
      </c>
      <c r="E53">
        <f t="shared" si="7"/>
        <v>0</v>
      </c>
      <c r="F53" s="2">
        <f>YearMap!B3</f>
        <v>6574.8742874999989</v>
      </c>
      <c r="G53" s="2">
        <f>YearMap!C3</f>
        <v>1439410.4412375002</v>
      </c>
      <c r="H53" s="2">
        <f>YearMap!D3</f>
        <v>1657842.3759000003</v>
      </c>
      <c r="I53" t="str">
        <f t="shared" si="8"/>
        <v>A1_Repurpose_Both_ops|FY2027</v>
      </c>
      <c r="O53" t="s">
        <v>172</v>
      </c>
      <c r="P53" t="s">
        <v>172</v>
      </c>
    </row>
    <row r="54" spans="1:16">
      <c r="A54" t="str">
        <f>A9</f>
        <v>A1_Repurpose_Both_ops</v>
      </c>
      <c r="B54" t="s">
        <v>88</v>
      </c>
      <c r="C54">
        <f>IF(D9=1,0, BaselineCalc!$B$7 + ROUND(K9*F9,0))</f>
        <v>0</v>
      </c>
      <c r="D54">
        <f>IF(E9=1,0, BaselineCalc!$B$8 + K9 - ROUND(K9*F9,0))</f>
        <v>0</v>
      </c>
      <c r="E54">
        <f t="shared" si="7"/>
        <v>0</v>
      </c>
      <c r="F54" s="2">
        <f>YearMap!B4</f>
        <v>6739.2461446874986</v>
      </c>
      <c r="G54" s="2">
        <f>YearMap!C4</f>
        <v>1475395.7022684375</v>
      </c>
      <c r="H54" s="2">
        <f>YearMap!D4</f>
        <v>1699288.4352975001</v>
      </c>
      <c r="I54" t="str">
        <f t="shared" si="8"/>
        <v>A1_Repurpose_Both_ops|FY2028</v>
      </c>
      <c r="O54" t="s">
        <v>172</v>
      </c>
      <c r="P54" t="s">
        <v>172</v>
      </c>
    </row>
    <row r="55" spans="1:16">
      <c r="A55" t="str">
        <f>A9</f>
        <v>A1_Repurpose_Both_ops</v>
      </c>
      <c r="B55" t="s">
        <v>89</v>
      </c>
      <c r="C55">
        <f>IF(D9=1,0, BaselineCalc!$B$7 + ROUND(L9*F9,0))</f>
        <v>0</v>
      </c>
      <c r="D55">
        <f>IF(E9=1,0, BaselineCalc!$B$8 + L9 - ROUND(L9*F9,0))</f>
        <v>0</v>
      </c>
      <c r="E55">
        <f t="shared" si="7"/>
        <v>0</v>
      </c>
      <c r="F55" s="2">
        <f>YearMap!B5</f>
        <v>6907.7272983046851</v>
      </c>
      <c r="G55" s="2">
        <f>YearMap!C5</f>
        <v>1512280.5948251483</v>
      </c>
      <c r="H55" s="2">
        <f>YearMap!D5</f>
        <v>1741770.6461799373</v>
      </c>
      <c r="I55" t="str">
        <f t="shared" si="8"/>
        <v>A1_Repurpose_Both_ops|FY2029</v>
      </c>
      <c r="O55" t="s">
        <v>172</v>
      </c>
      <c r="P55" t="s">
        <v>172</v>
      </c>
    </row>
    <row r="56" spans="1:16">
      <c r="A56" t="str">
        <f>A9</f>
        <v>A1_Repurpose_Both_ops</v>
      </c>
      <c r="B56" t="s">
        <v>90</v>
      </c>
      <c r="C56">
        <f>IF(D9=1,0, BaselineCalc!$B$7 + ROUND(M9*F9,0))</f>
        <v>0</v>
      </c>
      <c r="D56">
        <f>IF(E9=1,0, BaselineCalc!$B$8 + M9 - ROUND(M9*F9,0))</f>
        <v>0</v>
      </c>
      <c r="E56">
        <f t="shared" si="7"/>
        <v>0</v>
      </c>
      <c r="F56" s="2">
        <f>YearMap!B6</f>
        <v>7080.4204807623018</v>
      </c>
      <c r="G56" s="2">
        <f>YearMap!C6</f>
        <v>1550087.6096957768</v>
      </c>
      <c r="H56" s="2">
        <f>YearMap!D6</f>
        <v>1785314.9123344356</v>
      </c>
      <c r="I56" t="str">
        <f t="shared" si="8"/>
        <v>A1_Repurpose_Both_ops|FY2030</v>
      </c>
      <c r="O56" t="s">
        <v>172</v>
      </c>
      <c r="P56" t="s">
        <v>172</v>
      </c>
    </row>
    <row r="57" spans="1:16">
      <c r="A57" t="str">
        <f>A10</f>
        <v>B2_Repurpose_Echo_lease_PimaTargets</v>
      </c>
      <c r="B57" t="s">
        <v>86</v>
      </c>
      <c r="C57">
        <f>IF(D10=1,0, BaselineCalc!$B$7 + ROUND(I10*F10,0))</f>
        <v>0</v>
      </c>
      <c r="D57">
        <f>IF(E10=1,0, BaselineCalc!$B$8 + I10 - ROUND(I10*F10,0))</f>
        <v>296</v>
      </c>
      <c r="E57">
        <f t="shared" si="7"/>
        <v>296</v>
      </c>
      <c r="F57" s="2">
        <f>YearMap!B2</f>
        <v>6414.5114999999987</v>
      </c>
      <c r="G57" s="2">
        <f>YearMap!C2</f>
        <v>1404302.8695</v>
      </c>
      <c r="H57" s="2">
        <f>YearMap!D2</f>
        <v>1617407.196</v>
      </c>
      <c r="I57" t="str">
        <f t="shared" si="8"/>
        <v>B2_Repurpose_Echo_lease_PimaTargets|FY2026</v>
      </c>
      <c r="O57" t="s">
        <v>172</v>
      </c>
      <c r="P57" t="s">
        <v>172</v>
      </c>
    </row>
    <row r="58" spans="1:16">
      <c r="A58" t="str">
        <f>A10</f>
        <v>B2_Repurpose_Echo_lease_PimaTargets</v>
      </c>
      <c r="B58" t="s">
        <v>87</v>
      </c>
      <c r="C58">
        <f>IF(D10=1,0, BaselineCalc!$B$7 + ROUND(J10*F10,0))</f>
        <v>0</v>
      </c>
      <c r="D58">
        <f>IF(E10=1,0, BaselineCalc!$B$8 + J10 - ROUND(J10*F10,0))</f>
        <v>296</v>
      </c>
      <c r="E58">
        <f t="shared" si="7"/>
        <v>296</v>
      </c>
      <c r="F58" s="2">
        <f>YearMap!B3</f>
        <v>6574.8742874999989</v>
      </c>
      <c r="G58" s="2">
        <f>YearMap!C3</f>
        <v>1439410.4412375002</v>
      </c>
      <c r="H58" s="2">
        <f>YearMap!D3</f>
        <v>1657842.3759000003</v>
      </c>
      <c r="I58" t="str">
        <f t="shared" si="8"/>
        <v>B2_Repurpose_Echo_lease_PimaTargets|FY2027</v>
      </c>
      <c r="O58" t="s">
        <v>172</v>
      </c>
      <c r="P58" t="s">
        <v>172</v>
      </c>
    </row>
    <row r="59" spans="1:16">
      <c r="A59" t="str">
        <f>A10</f>
        <v>B2_Repurpose_Echo_lease_PimaTargets</v>
      </c>
      <c r="B59" t="s">
        <v>88</v>
      </c>
      <c r="C59">
        <f>IF(D10=1,0, BaselineCalc!$B$7 + ROUND(K10*F10,0))</f>
        <v>0</v>
      </c>
      <c r="D59">
        <f>IF(E10=1,0, BaselineCalc!$B$8 + K10 - ROUND(K10*F10,0))</f>
        <v>296</v>
      </c>
      <c r="E59">
        <f t="shared" si="7"/>
        <v>296</v>
      </c>
      <c r="F59" s="2">
        <f>YearMap!B4</f>
        <v>6739.2461446874986</v>
      </c>
      <c r="G59" s="2">
        <f>YearMap!C4</f>
        <v>1475395.7022684375</v>
      </c>
      <c r="H59" s="2">
        <f>YearMap!D4</f>
        <v>1699288.4352975001</v>
      </c>
      <c r="I59" t="str">
        <f t="shared" si="8"/>
        <v>B2_Repurpose_Echo_lease_PimaTargets|FY2028</v>
      </c>
      <c r="O59" t="s">
        <v>172</v>
      </c>
      <c r="P59" t="s">
        <v>172</v>
      </c>
    </row>
    <row r="60" spans="1:16">
      <c r="A60" t="str">
        <f>A10</f>
        <v>B2_Repurpose_Echo_lease_PimaTargets</v>
      </c>
      <c r="B60" t="s">
        <v>89</v>
      </c>
      <c r="C60">
        <f>IF(D10=1,0, BaselineCalc!$B$7 + ROUND(L10*F10,0))</f>
        <v>0</v>
      </c>
      <c r="D60">
        <f>IF(E10=1,0, BaselineCalc!$B$8 + L10 - ROUND(L10*F10,0))</f>
        <v>296</v>
      </c>
      <c r="E60">
        <f t="shared" si="7"/>
        <v>296</v>
      </c>
      <c r="F60" s="2">
        <f>YearMap!B5</f>
        <v>6907.7272983046851</v>
      </c>
      <c r="G60" s="2">
        <f>YearMap!C5</f>
        <v>1512280.5948251483</v>
      </c>
      <c r="H60" s="2">
        <f>YearMap!D5</f>
        <v>1741770.6461799373</v>
      </c>
      <c r="I60" t="str">
        <f t="shared" si="8"/>
        <v>B2_Repurpose_Echo_lease_PimaTargets|FY2029</v>
      </c>
      <c r="O60" t="s">
        <v>172</v>
      </c>
      <c r="P60" t="s">
        <v>172</v>
      </c>
    </row>
    <row r="61" spans="1:16">
      <c r="A61" t="str">
        <f>A10</f>
        <v>B2_Repurpose_Echo_lease_PimaTargets</v>
      </c>
      <c r="B61" t="s">
        <v>90</v>
      </c>
      <c r="C61">
        <f>IF(D10=1,0, BaselineCalc!$B$7 + ROUND(M10*F10,0))</f>
        <v>0</v>
      </c>
      <c r="D61">
        <f>IF(E10=1,0, BaselineCalc!$B$8 + M10 - ROUND(M10*F10,0))</f>
        <v>296</v>
      </c>
      <c r="E61">
        <f t="shared" si="7"/>
        <v>296</v>
      </c>
      <c r="F61" s="2">
        <f>YearMap!B6</f>
        <v>7080.4204807623018</v>
      </c>
      <c r="G61" s="2">
        <f>YearMap!C6</f>
        <v>1550087.6096957768</v>
      </c>
      <c r="H61" s="2">
        <f>YearMap!D6</f>
        <v>1785314.9123344356</v>
      </c>
      <c r="I61" t="str">
        <f t="shared" si="8"/>
        <v>B2_Repurpose_Echo_lease_PimaTargets|FY2030</v>
      </c>
      <c r="O61" t="s">
        <v>172</v>
      </c>
      <c r="P61" t="s">
        <v>172</v>
      </c>
    </row>
    <row r="62" spans="1:16">
      <c r="A62" t="str">
        <f>A11</f>
        <v>B1_Repurpose_Echo_ops_PimaTargets</v>
      </c>
      <c r="B62" t="s">
        <v>86</v>
      </c>
      <c r="C62">
        <f>IF(D11=1,0, BaselineCalc!$B$7 + ROUND(I11*F11,0))</f>
        <v>0</v>
      </c>
      <c r="D62">
        <f>IF(E11=1,0, BaselineCalc!$B$8 + I11 - ROUND(I11*F11,0))</f>
        <v>308.33333333333331</v>
      </c>
      <c r="E62">
        <f t="shared" si="7"/>
        <v>308.33333333333331</v>
      </c>
      <c r="F62" s="2">
        <f>YearMap!B2</f>
        <v>6414.5114999999987</v>
      </c>
      <c r="G62" s="2">
        <f>YearMap!C2</f>
        <v>1404302.8695</v>
      </c>
      <c r="H62" s="2">
        <f>YearMap!D2</f>
        <v>1617407.196</v>
      </c>
      <c r="I62" t="str">
        <f t="shared" si="8"/>
        <v>B1_Repurpose_Echo_ops_PimaTargets|FY2026</v>
      </c>
      <c r="O62" t="s">
        <v>172</v>
      </c>
      <c r="P62" t="s">
        <v>172</v>
      </c>
    </row>
    <row r="63" spans="1:16">
      <c r="A63" t="str">
        <f>A11</f>
        <v>B1_Repurpose_Echo_ops_PimaTargets</v>
      </c>
      <c r="B63" t="s">
        <v>87</v>
      </c>
      <c r="C63">
        <f>IF(D11=1,0, BaselineCalc!$B$7 + ROUND(J11*F11,0))</f>
        <v>0</v>
      </c>
      <c r="D63">
        <f>IF(E11=1,0, BaselineCalc!$B$8 + J11 - ROUND(J11*F11,0))</f>
        <v>320.66666666666669</v>
      </c>
      <c r="E63">
        <f t="shared" si="7"/>
        <v>320.66666666666669</v>
      </c>
      <c r="F63" s="2">
        <f>YearMap!B3</f>
        <v>6574.8742874999989</v>
      </c>
      <c r="G63" s="2">
        <f>YearMap!C3</f>
        <v>1439410.4412375002</v>
      </c>
      <c r="H63" s="2">
        <f>YearMap!D3</f>
        <v>1657842.3759000003</v>
      </c>
      <c r="I63" t="str">
        <f t="shared" si="8"/>
        <v>B1_Repurpose_Echo_ops_PimaTargets|FY2027</v>
      </c>
      <c r="O63" t="s">
        <v>172</v>
      </c>
      <c r="P63" t="s">
        <v>172</v>
      </c>
    </row>
    <row r="64" spans="1:16">
      <c r="A64" t="str">
        <f>A11</f>
        <v>B1_Repurpose_Echo_ops_PimaTargets</v>
      </c>
      <c r="B64" t="s">
        <v>88</v>
      </c>
      <c r="C64">
        <f>IF(D11=1,0, BaselineCalc!$B$7 + ROUND(K11*F11,0))</f>
        <v>0</v>
      </c>
      <c r="D64">
        <f>IF(E11=1,0, BaselineCalc!$B$8 + K11 - ROUND(K11*F11,0))</f>
        <v>333</v>
      </c>
      <c r="E64">
        <f t="shared" si="7"/>
        <v>333</v>
      </c>
      <c r="F64" s="2">
        <f>YearMap!B4</f>
        <v>6739.2461446874986</v>
      </c>
      <c r="G64" s="2">
        <f>YearMap!C4</f>
        <v>1475395.7022684375</v>
      </c>
      <c r="H64" s="2">
        <f>YearMap!D4</f>
        <v>1699288.4352975001</v>
      </c>
      <c r="I64" t="str">
        <f t="shared" si="8"/>
        <v>B1_Repurpose_Echo_ops_PimaTargets|FY2028</v>
      </c>
      <c r="O64" t="s">
        <v>172</v>
      </c>
      <c r="P64" t="s">
        <v>172</v>
      </c>
    </row>
    <row r="65" spans="1:16">
      <c r="A65" t="str">
        <f>A11</f>
        <v>B1_Repurpose_Echo_ops_PimaTargets</v>
      </c>
      <c r="B65" t="s">
        <v>89</v>
      </c>
      <c r="C65">
        <f>IF(D11=1,0, BaselineCalc!$B$7 + ROUND(L11*F11,0))</f>
        <v>0</v>
      </c>
      <c r="D65">
        <f>IF(E11=1,0, BaselineCalc!$B$8 + L11 - ROUND(L11*F11,0))</f>
        <v>333</v>
      </c>
      <c r="E65">
        <f t="shared" si="7"/>
        <v>333</v>
      </c>
      <c r="F65" s="2">
        <f>YearMap!B5</f>
        <v>6907.7272983046851</v>
      </c>
      <c r="G65" s="2">
        <f>YearMap!C5</f>
        <v>1512280.5948251483</v>
      </c>
      <c r="H65" s="2">
        <f>YearMap!D5</f>
        <v>1741770.6461799373</v>
      </c>
      <c r="I65" t="str">
        <f t="shared" si="8"/>
        <v>B1_Repurpose_Echo_ops_PimaTargets|FY2029</v>
      </c>
      <c r="O65" t="s">
        <v>172</v>
      </c>
      <c r="P65" t="s">
        <v>172</v>
      </c>
    </row>
    <row r="66" spans="1:16">
      <c r="A66" t="str">
        <f>A11</f>
        <v>B1_Repurpose_Echo_ops_PimaTargets</v>
      </c>
      <c r="B66" t="s">
        <v>90</v>
      </c>
      <c r="C66">
        <f>IF(D11=1,0, BaselineCalc!$B$7 + ROUND(M11*F11,0))</f>
        <v>0</v>
      </c>
      <c r="D66">
        <f>IF(E11=1,0, BaselineCalc!$B$8 + M11 - ROUND(M11*F11,0))</f>
        <v>333</v>
      </c>
      <c r="E66">
        <f t="shared" si="7"/>
        <v>333</v>
      </c>
      <c r="F66" s="2">
        <f>YearMap!B6</f>
        <v>7080.4204807623018</v>
      </c>
      <c r="G66" s="2">
        <f>YearMap!C6</f>
        <v>1550087.6096957768</v>
      </c>
      <c r="H66" s="2">
        <f>YearMap!D6</f>
        <v>1785314.9123344356</v>
      </c>
      <c r="I66" t="str">
        <f t="shared" si="8"/>
        <v>B1_Repurpose_Echo_ops_PimaTargets|FY2030</v>
      </c>
      <c r="O66" t="s">
        <v>172</v>
      </c>
      <c r="P66" t="s">
        <v>172</v>
      </c>
    </row>
    <row r="67" spans="1:16">
      <c r="A67" t="str">
        <f>A12</f>
        <v>C2_Repurpose_Pima_lease_EchoGHub_EchoTargets</v>
      </c>
      <c r="B67" t="s">
        <v>86</v>
      </c>
      <c r="C67">
        <f>IF(D12=1,0, BaselineCalc!$B$7 + ROUND(I12*F12,0))</f>
        <v>257</v>
      </c>
      <c r="D67">
        <f>IF(E12=1,0, BaselineCalc!$B$8 + I12 - ROUND(I12*F12,0))</f>
        <v>0</v>
      </c>
      <c r="E67">
        <f t="shared" si="7"/>
        <v>257</v>
      </c>
      <c r="F67" s="2">
        <f>YearMap!B2</f>
        <v>6414.5114999999987</v>
      </c>
      <c r="G67" s="2">
        <f>YearMap!C2</f>
        <v>1404302.8695</v>
      </c>
      <c r="H67" s="2">
        <f>YearMap!D2</f>
        <v>1617407.196</v>
      </c>
      <c r="I67" t="str">
        <f t="shared" si="8"/>
        <v>C2_Repurpose_Pima_lease_EchoGHub_EchoTargets|FY2026</v>
      </c>
      <c r="O67" t="s">
        <v>172</v>
      </c>
      <c r="P67" t="s">
        <v>172</v>
      </c>
    </row>
    <row r="68" spans="1:16">
      <c r="A68" t="str">
        <f>A12</f>
        <v>C2_Repurpose_Pima_lease_EchoGHub_EchoTargets</v>
      </c>
      <c r="B68" t="s">
        <v>87</v>
      </c>
      <c r="C68">
        <f>IF(D12=1,0, BaselineCalc!$B$7 + ROUND(J12*F12,0))</f>
        <v>257</v>
      </c>
      <c r="D68">
        <f>IF(E12=1,0, BaselineCalc!$B$8 + J12 - ROUND(J12*F12,0))</f>
        <v>0</v>
      </c>
      <c r="E68">
        <f t="shared" si="7"/>
        <v>257</v>
      </c>
      <c r="F68" s="2">
        <f>YearMap!B3</f>
        <v>6574.8742874999989</v>
      </c>
      <c r="G68" s="2">
        <f>YearMap!C3</f>
        <v>1439410.4412375002</v>
      </c>
      <c r="H68" s="2">
        <f>YearMap!D3</f>
        <v>1657842.3759000003</v>
      </c>
      <c r="I68" t="str">
        <f t="shared" si="8"/>
        <v>C2_Repurpose_Pima_lease_EchoGHub_EchoTargets|FY2027</v>
      </c>
      <c r="O68" t="s">
        <v>172</v>
      </c>
      <c r="P68" t="s">
        <v>172</v>
      </c>
    </row>
    <row r="69" spans="1:16">
      <c r="A69" t="str">
        <f>A12</f>
        <v>C2_Repurpose_Pima_lease_EchoGHub_EchoTargets</v>
      </c>
      <c r="B69" t="s">
        <v>88</v>
      </c>
      <c r="C69">
        <f>IF(D12=1,0, BaselineCalc!$B$7 + ROUND(K12*F12,0))</f>
        <v>257</v>
      </c>
      <c r="D69">
        <f>IF(E12=1,0, BaselineCalc!$B$8 + K12 - ROUND(K12*F12,0))</f>
        <v>0</v>
      </c>
      <c r="E69">
        <f t="shared" si="7"/>
        <v>257</v>
      </c>
      <c r="F69" s="2">
        <f>YearMap!B4</f>
        <v>6739.2461446874986</v>
      </c>
      <c r="G69" s="2">
        <f>YearMap!C4</f>
        <v>1475395.7022684375</v>
      </c>
      <c r="H69" s="2">
        <f>YearMap!D4</f>
        <v>1699288.4352975001</v>
      </c>
      <c r="I69" t="str">
        <f t="shared" si="8"/>
        <v>C2_Repurpose_Pima_lease_EchoGHub_EchoTargets|FY2028</v>
      </c>
      <c r="O69" t="s">
        <v>172</v>
      </c>
      <c r="P69" t="s">
        <v>172</v>
      </c>
    </row>
    <row r="70" spans="1:16">
      <c r="A70" t="str">
        <f>A12</f>
        <v>C2_Repurpose_Pima_lease_EchoGHub_EchoTargets</v>
      </c>
      <c r="B70" t="s">
        <v>89</v>
      </c>
      <c r="C70">
        <f>IF(D12=1,0, BaselineCalc!$B$7 + ROUND(L12*F12,0))</f>
        <v>257</v>
      </c>
      <c r="D70">
        <f>IF(E12=1,0, BaselineCalc!$B$8 + L12 - ROUND(L12*F12,0))</f>
        <v>0</v>
      </c>
      <c r="E70">
        <f t="shared" si="7"/>
        <v>257</v>
      </c>
      <c r="F70" s="2">
        <f>YearMap!B5</f>
        <v>6907.7272983046851</v>
      </c>
      <c r="G70" s="2">
        <f>YearMap!C5</f>
        <v>1512280.5948251483</v>
      </c>
      <c r="H70" s="2">
        <f>YearMap!D5</f>
        <v>1741770.6461799373</v>
      </c>
      <c r="I70" t="str">
        <f t="shared" si="8"/>
        <v>C2_Repurpose_Pima_lease_EchoGHub_EchoTargets|FY2029</v>
      </c>
      <c r="O70" t="s">
        <v>172</v>
      </c>
      <c r="P70" t="s">
        <v>172</v>
      </c>
    </row>
    <row r="71" spans="1:16">
      <c r="A71" t="str">
        <f>A12</f>
        <v>C2_Repurpose_Pima_lease_EchoGHub_EchoTargets</v>
      </c>
      <c r="B71" t="s">
        <v>90</v>
      </c>
      <c r="C71">
        <f>IF(D12=1,0, BaselineCalc!$B$7 + ROUND(M12*F12,0))</f>
        <v>257</v>
      </c>
      <c r="D71">
        <f>IF(E12=1,0, BaselineCalc!$B$8 + M12 - ROUND(M12*F12,0))</f>
        <v>0</v>
      </c>
      <c r="E71">
        <f t="shared" si="7"/>
        <v>257</v>
      </c>
      <c r="F71" s="2">
        <f>YearMap!B6</f>
        <v>7080.4204807623018</v>
      </c>
      <c r="G71" s="2">
        <f>YearMap!C6</f>
        <v>1550087.6096957768</v>
      </c>
      <c r="H71" s="2">
        <f>YearMap!D6</f>
        <v>1785314.9123344356</v>
      </c>
      <c r="I71" t="str">
        <f t="shared" si="8"/>
        <v>C2_Repurpose_Pima_lease_EchoGHub_EchoTargets|FY2030</v>
      </c>
      <c r="O71" t="s">
        <v>172</v>
      </c>
      <c r="P71" t="s">
        <v>172</v>
      </c>
    </row>
    <row r="72" spans="1:16">
      <c r="A72" t="str">
        <f>A13</f>
        <v>C1_Repurpose_Pima_ops_EchoGHub_EchoTargets</v>
      </c>
      <c r="B72" t="s">
        <v>86</v>
      </c>
      <c r="C72">
        <f>IF(D13=1,0, BaselineCalc!$B$7 + ROUND(I13*F13,0))</f>
        <v>274</v>
      </c>
      <c r="D72">
        <f>IF(E13=1,0, BaselineCalc!$B$8 + I13 - ROUND(I13*F13,0))</f>
        <v>0</v>
      </c>
      <c r="E72">
        <f t="shared" si="7"/>
        <v>274</v>
      </c>
      <c r="F72" s="2">
        <f>YearMap!B2</f>
        <v>6414.5114999999987</v>
      </c>
      <c r="G72" s="2">
        <f>YearMap!C2</f>
        <v>1404302.8695</v>
      </c>
      <c r="H72" s="2">
        <f>YearMap!D2</f>
        <v>1617407.196</v>
      </c>
      <c r="I72" t="str">
        <f t="shared" si="8"/>
        <v>C1_Repurpose_Pima_ops_EchoGHub_EchoTargets|FY2026</v>
      </c>
      <c r="O72" t="s">
        <v>172</v>
      </c>
      <c r="P72" t="s">
        <v>172</v>
      </c>
    </row>
    <row r="73" spans="1:16">
      <c r="A73" t="str">
        <f>A13</f>
        <v>C1_Repurpose_Pima_ops_EchoGHub_EchoTargets</v>
      </c>
      <c r="B73" t="s">
        <v>87</v>
      </c>
      <c r="C73">
        <f>IF(D13=1,0, BaselineCalc!$B$7 + ROUND(J13*F13,0))</f>
        <v>290</v>
      </c>
      <c r="D73">
        <f>IF(E13=1,0, BaselineCalc!$B$8 + J13 - ROUND(J13*F13,0))</f>
        <v>0</v>
      </c>
      <c r="E73">
        <f t="shared" si="7"/>
        <v>290</v>
      </c>
      <c r="F73" s="2">
        <f>YearMap!B3</f>
        <v>6574.8742874999989</v>
      </c>
      <c r="G73" s="2">
        <f>YearMap!C3</f>
        <v>1439410.4412375002</v>
      </c>
      <c r="H73" s="2">
        <f>YearMap!D3</f>
        <v>1657842.3759000003</v>
      </c>
      <c r="I73" t="str">
        <f t="shared" si="8"/>
        <v>C1_Repurpose_Pima_ops_EchoGHub_EchoTargets|FY2027</v>
      </c>
      <c r="O73" t="s">
        <v>172</v>
      </c>
      <c r="P73" t="s">
        <v>172</v>
      </c>
    </row>
    <row r="74" spans="1:16">
      <c r="A74" t="str">
        <f>A13</f>
        <v>C1_Repurpose_Pima_ops_EchoGHub_EchoTargets</v>
      </c>
      <c r="B74" t="s">
        <v>88</v>
      </c>
      <c r="C74">
        <f>IF(D13=1,0, BaselineCalc!$B$7 + ROUND(K13*F13,0))</f>
        <v>307</v>
      </c>
      <c r="D74">
        <f>IF(E13=1,0, BaselineCalc!$B$8 + K13 - ROUND(K13*F13,0))</f>
        <v>0</v>
      </c>
      <c r="E74">
        <f t="shared" si="7"/>
        <v>307</v>
      </c>
      <c r="F74" s="2">
        <f>YearMap!B4</f>
        <v>6739.2461446874986</v>
      </c>
      <c r="G74" s="2">
        <f>YearMap!C4</f>
        <v>1475395.7022684375</v>
      </c>
      <c r="H74" s="2">
        <f>YearMap!D4</f>
        <v>1699288.4352975001</v>
      </c>
      <c r="I74" t="str">
        <f t="shared" si="8"/>
        <v>C1_Repurpose_Pima_ops_EchoGHub_EchoTargets|FY2028</v>
      </c>
      <c r="O74" t="s">
        <v>172</v>
      </c>
      <c r="P74" t="s">
        <v>172</v>
      </c>
    </row>
    <row r="75" spans="1:16">
      <c r="A75" t="str">
        <f>A13</f>
        <v>C1_Repurpose_Pima_ops_EchoGHub_EchoTargets</v>
      </c>
      <c r="B75" t="s">
        <v>89</v>
      </c>
      <c r="C75">
        <f>IF(D13=1,0, BaselineCalc!$B$7 + ROUND(L13*F13,0))</f>
        <v>307</v>
      </c>
      <c r="D75">
        <f>IF(E13=1,0, BaselineCalc!$B$8 + L13 - ROUND(L13*F13,0))</f>
        <v>0</v>
      </c>
      <c r="E75">
        <f t="shared" si="7"/>
        <v>307</v>
      </c>
      <c r="F75" s="2">
        <f>YearMap!B5</f>
        <v>6907.7272983046851</v>
      </c>
      <c r="G75" s="2">
        <f>YearMap!C5</f>
        <v>1512280.5948251483</v>
      </c>
      <c r="H75" s="2">
        <f>YearMap!D5</f>
        <v>1741770.6461799373</v>
      </c>
      <c r="I75" t="str">
        <f t="shared" si="8"/>
        <v>C1_Repurpose_Pima_ops_EchoGHub_EchoTargets|FY2029</v>
      </c>
      <c r="O75" t="s">
        <v>172</v>
      </c>
      <c r="P75" t="s">
        <v>172</v>
      </c>
    </row>
    <row r="76" spans="1:16">
      <c r="A76" t="str">
        <f>A13</f>
        <v>C1_Repurpose_Pima_ops_EchoGHub_EchoTargets</v>
      </c>
      <c r="B76" t="s">
        <v>90</v>
      </c>
      <c r="C76">
        <f>IF(D13=1,0, BaselineCalc!$B$7 + ROUND(M13*F13,0))</f>
        <v>307</v>
      </c>
      <c r="D76">
        <f>IF(E13=1,0, BaselineCalc!$B$8 + M13 - ROUND(M13*F13,0))</f>
        <v>0</v>
      </c>
      <c r="E76">
        <f t="shared" si="7"/>
        <v>307</v>
      </c>
      <c r="F76" s="2">
        <f>YearMap!B6</f>
        <v>7080.4204807623018</v>
      </c>
      <c r="G76" s="2">
        <f>YearMap!C6</f>
        <v>1550087.6096957768</v>
      </c>
      <c r="H76" s="2">
        <f>YearMap!D6</f>
        <v>1785314.9123344356</v>
      </c>
      <c r="I76" t="str">
        <f t="shared" si="8"/>
        <v>C1_Repurpose_Pima_ops_EchoGHub_EchoTargets|FY2030</v>
      </c>
      <c r="O76" t="s">
        <v>172</v>
      </c>
      <c r="P76" t="s">
        <v>172</v>
      </c>
    </row>
  </sheetData>
  <dataValidations count="1">
    <dataValidation type="list" allowBlank="1" showInputMessage="1" showErrorMessage="1" sqref="O2:P14" xr:uid="{00000000-0002-0000-0400-000000000000}">
      <formula1>"None, Arts, Innov"</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66"/>
  <sheetViews>
    <sheetView zoomScale="60" zoomScaleNormal="60" workbookViewId="0">
      <pane xSplit="2" ySplit="1" topLeftCell="C2" activePane="bottomRight" state="frozen"/>
      <selection activeCell="B2" sqref="B2"/>
      <selection pane="topRight" activeCell="B2" sqref="B2"/>
      <selection pane="bottomLeft" activeCell="B2" sqref="B2"/>
      <selection pane="bottomRight" activeCell="H10" sqref="H10"/>
    </sheetView>
  </sheetViews>
  <sheetFormatPr defaultRowHeight="14.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c r="A1" t="str">
        <f t="shared" ref="A1:A32" si="0">AG1</f>
        <v>Key</v>
      </c>
      <c r="B1" s="1" t="s">
        <v>153</v>
      </c>
      <c r="C1" s="1" t="s">
        <v>83</v>
      </c>
      <c r="D1" s="1" t="s">
        <v>190</v>
      </c>
      <c r="E1" s="1" t="s">
        <v>191</v>
      </c>
      <c r="F1" s="1" t="s">
        <v>192</v>
      </c>
      <c r="G1" s="1" t="s">
        <v>193</v>
      </c>
      <c r="H1" s="1" t="s">
        <v>194</v>
      </c>
      <c r="I1" s="1" t="s">
        <v>195</v>
      </c>
      <c r="J1" s="1" t="s">
        <v>197</v>
      </c>
      <c r="K1" s="1" t="s">
        <v>159</v>
      </c>
      <c r="L1" s="1" t="s">
        <v>198</v>
      </c>
      <c r="M1" s="1" t="s">
        <v>199</v>
      </c>
      <c r="N1" s="1" t="s">
        <v>200</v>
      </c>
      <c r="O1" s="1" t="s">
        <v>201</v>
      </c>
      <c r="P1" s="1" t="s">
        <v>202</v>
      </c>
      <c r="Q1" s="1" t="s">
        <v>203</v>
      </c>
      <c r="R1" s="1" t="s">
        <v>204</v>
      </c>
      <c r="S1" s="1" t="s">
        <v>205</v>
      </c>
      <c r="T1" s="1" t="s">
        <v>206</v>
      </c>
      <c r="U1" s="1" t="s">
        <v>207</v>
      </c>
      <c r="V1" s="1" t="s">
        <v>208</v>
      </c>
      <c r="W1" s="1" t="s">
        <v>209</v>
      </c>
      <c r="X1" s="1" t="s">
        <v>210</v>
      </c>
      <c r="Y1" t="s">
        <v>211</v>
      </c>
      <c r="Z1" t="s">
        <v>212</v>
      </c>
      <c r="AA1" t="s">
        <v>213</v>
      </c>
      <c r="AB1" t="s">
        <v>214</v>
      </c>
      <c r="AC1" t="s">
        <v>215</v>
      </c>
      <c r="AD1" t="s">
        <v>216</v>
      </c>
      <c r="AE1" t="s">
        <v>217</v>
      </c>
      <c r="AF1" t="s">
        <v>218</v>
      </c>
      <c r="AG1" s="1" t="s">
        <v>196</v>
      </c>
    </row>
    <row r="2" spans="1:33">
      <c r="A2" t="str">
        <f t="shared" si="0"/>
        <v>F1_CUSTOM1|FY2026</v>
      </c>
      <c r="B2" t="str">
        <f>Scenarios!A2</f>
        <v>F1_CUSTOM1</v>
      </c>
      <c r="C2" t="s">
        <v>86</v>
      </c>
      <c r="D2">
        <f>IF(Scenarios!D2=1,0, L2)</f>
        <v>257</v>
      </c>
      <c r="E2">
        <f>IF(Scenarios!E2=1,0, M2)</f>
        <v>296</v>
      </c>
      <c r="F2">
        <f t="shared" ref="F2:F33" si="1">D2+E2</f>
        <v>553</v>
      </c>
      <c r="G2" s="2">
        <f>YearMap!B2</f>
        <v>6414.5114999999987</v>
      </c>
      <c r="H2" s="2">
        <f>YearMap!C2</f>
        <v>1404302.8695</v>
      </c>
      <c r="I2" s="2">
        <f>YearMap!D2</f>
        <v>1617407.196</v>
      </c>
      <c r="J2">
        <f>1-BaselineCalc!$B$5</f>
        <v>0.99299999999999999</v>
      </c>
      <c r="K2">
        <f>Scenarios!G2</f>
        <v>0</v>
      </c>
      <c r="L2">
        <f>IF(Scenarios!$Q2=1,BaselineCalc!$B$7*(1+Parameters_Public!$C44)^(IF($C2="FY2026",0,IF($C2="FY2027",1,IF($C2="FY2028",2,IF($C2="FY2029",3,IF($C2="FY2030",4,0))))))+ROUND(Scenarios!I2*Scenarios!$F2,0),BaselineCalc!$B$7+ROUND(Scenarios!I2*Scenarios!$F2,0))</f>
        <v>257</v>
      </c>
      <c r="M2">
        <f>IF(Scenarios!$R2=1,BaselineCalc!$B$8*(1+Parameters_Public!$C45)^(IF($C2="FY2026",0,IF($C2="FY2027",1,IF($C2="FY2028",2,IF($C2="FY2029",3,IF($C2="FY2030",4,0))))))+Scenarios!I2-ROUND(Scenarios!I2*Scenarios!$F2,0),BaselineCalc!$B$8+Scenarios!I2-ROUND(Scenarios!I2*Scenarios!$F2,0))</f>
        <v>296</v>
      </c>
      <c r="N2" s="11">
        <f t="shared" ref="N2:N33" si="2">(L2-D2) + (M2-E2)</f>
        <v>0</v>
      </c>
      <c r="O2" s="11">
        <f>(Parameters_Public!$C$23*(L2-D2)+Parameters_Public!$C$24*(M2-E2))</f>
        <v>0</v>
      </c>
      <c r="P2">
        <f>YearMap!E2</f>
        <v>1000</v>
      </c>
      <c r="Q2">
        <f>IF(Scenarios!N2="lease", YearMap!F2, YearMap!G2)</f>
        <v>0.45</v>
      </c>
      <c r="R2" s="2">
        <f>IF(Scenarios!D2=1, Q2*H2, H2)</f>
        <v>1404302.8695</v>
      </c>
      <c r="S2" s="2">
        <f>IF(Scenarios!E2=1, Q2*I2, I2)</f>
        <v>1617407.196</v>
      </c>
      <c r="T2" s="2">
        <f>IF(C2="FY2026", (Scenarios!D2+Scenarios!E2)*BaselineCalc!$B$22, 0)</f>
        <v>0</v>
      </c>
      <c r="U2" s="2">
        <f t="shared" ref="U2:U33" si="3">(R2+S2+G2*F2)*J2*(1-K2)</f>
        <v>6522952.3805249985</v>
      </c>
      <c r="V2" s="2">
        <f t="shared" ref="V2:V33" si="4">O2*(G2+P2)</f>
        <v>0</v>
      </c>
      <c r="W2" s="2">
        <f>U2+V2+IF(Parameters_Public!$C$26=1, T2, 0)</f>
        <v>6522952.3805249985</v>
      </c>
      <c r="X2" s="2">
        <f t="shared" ref="X2:X33" si="5">IF(F2+O2&gt;0, W2/(F2+O2),"")</f>
        <v>11795.573924999997</v>
      </c>
      <c r="Y2" s="2">
        <f>INDEX(YearMap!$I$2:$I$6, MATCH(C2, YearMap!$A$2:$A$6, 0))</f>
        <v>5013</v>
      </c>
      <c r="Z2" s="2">
        <f>W2 - ((Y2 + IF(Parameters_Public!$C$20=1, Parameters_Public!$C$19, 0))*AC2)</f>
        <v>3334935.0305249984</v>
      </c>
      <c r="AA2" s="2">
        <f t="shared" ref="AA2:AA33" si="6">IF($AC2&gt;0, $Z2/$AC2, 0)</f>
        <v>6030.6239249999971</v>
      </c>
      <c r="AB2">
        <f>MAX(0, (MAX(0, $D2-BaselineCalc!$B$7) + MAX(0, $E2-BaselineCalc!$B$8)))</f>
        <v>0</v>
      </c>
      <c r="AC2" s="11">
        <f t="shared" ref="AC2:AC33" si="7">L2+M2-N2+O2</f>
        <v>553</v>
      </c>
      <c r="AD2" s="2">
        <f>( (Y2 + IF(Parameters_Public!$C20=1, INDEX(YearMap!$O$2:$O$6, MATCH(C2, YearMap!$A$2:$A$6, 0)), 0)) * AC2 ) + AC2*INDEX(YearMap!$P$2:$P$6, MATCH(C2, YearMap!$A$2:$A$6, 0)) + AB2*( INDEX(YearMap!$R$2:$R$6, MATCH(C2, YearMap!$A$2:$A$6, 0)) - INDEX(YearMap!$P$2:$P$6, MATCH(C2, YearMap!$A$2:$A$6, 0)) )</f>
        <v>6063617.3499999996</v>
      </c>
      <c r="AE2" s="2">
        <f>(W2 - (1-Parameters_Public!$C42)*$G2*$AB2*$J2*(1-$K2)) + AB2*INDEX(YearMap!$Q$2:$Q$6, MATCH(C2, YearMap!$A$2:$A$6, 0))</f>
        <v>6522952.3805249985</v>
      </c>
      <c r="AF2" s="2">
        <f t="shared" ref="AF2:AF33" si="8">AD2-AE2</f>
        <v>-459335.0305249989</v>
      </c>
      <c r="AG2" t="str">
        <f t="shared" ref="AG2:AG33" si="9">B2&amp;"|"&amp;C2</f>
        <v>F1_CUSTOM1|FY2026</v>
      </c>
    </row>
    <row r="3" spans="1:33">
      <c r="A3" t="str">
        <f t="shared" si="0"/>
        <v>F1_CUSTOM1|FY2027</v>
      </c>
      <c r="B3" t="str">
        <f>Scenarios!A2</f>
        <v>F1_CUSTOM1</v>
      </c>
      <c r="C3" t="s">
        <v>87</v>
      </c>
      <c r="D3">
        <f>IF(Scenarios!D2=1,0, L3)</f>
        <v>257</v>
      </c>
      <c r="E3">
        <f>IF(Scenarios!E2=1,0, M3)</f>
        <v>296</v>
      </c>
      <c r="F3">
        <f t="shared" si="1"/>
        <v>553</v>
      </c>
      <c r="G3" s="2">
        <f>YearMap!B3</f>
        <v>6574.8742874999989</v>
      </c>
      <c r="H3" s="2">
        <f>YearMap!C3</f>
        <v>1439410.4412375002</v>
      </c>
      <c r="I3" s="2">
        <f>YearMap!D3</f>
        <v>1657842.3759000003</v>
      </c>
      <c r="J3">
        <f>1-BaselineCalc!$B$5</f>
        <v>0.99299999999999999</v>
      </c>
      <c r="K3">
        <f>Scenarios!G2</f>
        <v>0</v>
      </c>
      <c r="L3">
        <f>IF(Scenarios!$Q2=1,BaselineCalc!$B$7*(1+Parameters_Public!$C44)^(IF($C3="FY2026",0,IF($C3="FY2027",1,IF($C3="FY2028",2,IF($C3="FY2029",3,IF($C3="FY2030",4,0))))))+ROUND(Scenarios!J2*Scenarios!$F2,0),BaselineCalc!$B$7+ROUND(Scenarios!J2*Scenarios!$F2,0))</f>
        <v>257</v>
      </c>
      <c r="M3">
        <f>IF(Scenarios!$R2=1,BaselineCalc!$B$8*(1+Parameters_Public!$C45)^(IF($C3="FY2026",0,IF($C3="FY2027",1,IF($C3="FY2028",2,IF($C3="FY2029",3,IF($C3="FY2030",4,0))))))+Scenarios!J2-ROUND(Scenarios!J2*Scenarios!$F2,0),BaselineCalc!$B$8+Scenarios!J2-ROUND(Scenarios!J2*Scenarios!$F2,0))</f>
        <v>296</v>
      </c>
      <c r="N3" s="11">
        <f t="shared" si="2"/>
        <v>0</v>
      </c>
      <c r="O3" s="11">
        <f>(Parameters_Public!$C$23*(L3-D3)+Parameters_Public!$C$24*(M3-E3))</f>
        <v>0</v>
      </c>
      <c r="P3">
        <f>YearMap!E3</f>
        <v>800</v>
      </c>
      <c r="Q3">
        <f>IF(Scenarios!N2="lease", YearMap!F3, YearMap!G3)</f>
        <v>0.4</v>
      </c>
      <c r="R3" s="2">
        <f>IF(Scenarios!D2=1, Q3*H3, H3)</f>
        <v>1439410.4412375002</v>
      </c>
      <c r="S3" s="2">
        <f>IF(Scenarios!E2=1, Q3*I3, I3)</f>
        <v>1657842.3759000003</v>
      </c>
      <c r="T3" s="2">
        <f>IF(C3="FY2026", (Scenarios!D2+Scenarios!E2)*BaselineCalc!$B$22, 0)</f>
        <v>0</v>
      </c>
      <c r="U3" s="2">
        <f t="shared" si="3"/>
        <v>6686026.190038125</v>
      </c>
      <c r="V3" s="2">
        <f t="shared" si="4"/>
        <v>0</v>
      </c>
      <c r="W3" s="2">
        <f>U3+V3+IF(Parameters_Public!$C$26=1, T3, 0)</f>
        <v>6686026.190038125</v>
      </c>
      <c r="X3" s="2">
        <f t="shared" si="5"/>
        <v>12090.463273125</v>
      </c>
      <c r="Y3" s="2">
        <f>INDEX(YearMap!$I$2:$I$6, MATCH(C3, YearMap!$A$2:$A$6, 0))</f>
        <v>5138.3249999999998</v>
      </c>
      <c r="Z3" s="2">
        <f>W3 - ((Y3 + IF(Parameters_Public!$C$20=1, Parameters_Public!$C$19, 0))*AC3)</f>
        <v>3428704.1150381253</v>
      </c>
      <c r="AA3" s="2">
        <f t="shared" si="6"/>
        <v>6200.1882731250007</v>
      </c>
      <c r="AB3">
        <f>MAX(0, (MAX(0, $D3-BaselineCalc!$B$7) + MAX(0, $E3-BaselineCalc!$B$8)))</f>
        <v>0</v>
      </c>
      <c r="AC3" s="11">
        <f t="shared" si="7"/>
        <v>553</v>
      </c>
      <c r="AD3" s="2">
        <f>( (Y3 + IF(Parameters_Public!$C20=1, INDEX(YearMap!$O$2:$O$6, MATCH(C3, YearMap!$A$2:$A$6, 0)), 0)) * AC3 ) + AC3*INDEX(YearMap!$P$2:$P$6, MATCH(C3, YearMap!$A$2:$A$6, 0)) + AB3*( INDEX(YearMap!$R$2:$R$6, MATCH(C3, YearMap!$A$2:$A$6, 0)) - INDEX(YearMap!$P$2:$P$6, MATCH(C3, YearMap!$A$2:$A$6, 0)) )</f>
        <v>6215207.7837499995</v>
      </c>
      <c r="AE3" s="2">
        <f>(W3 - (1-Parameters_Public!$C42)*$G3*$AB3*$J3*(1-$K3)) + AB3*INDEX(YearMap!$Q$2:$Q$6, MATCH(C3, YearMap!$A$2:$A$6, 0))</f>
        <v>6686026.190038125</v>
      </c>
      <c r="AF3" s="2">
        <f t="shared" si="8"/>
        <v>-470818.40628812555</v>
      </c>
      <c r="AG3" t="str">
        <f t="shared" si="9"/>
        <v>F1_CUSTOM1|FY2027</v>
      </c>
    </row>
    <row r="4" spans="1:33">
      <c r="A4" t="str">
        <f t="shared" si="0"/>
        <v>F1_CUSTOM1|FY2028</v>
      </c>
      <c r="B4" t="str">
        <f>Scenarios!A2</f>
        <v>F1_CUSTOM1</v>
      </c>
      <c r="C4" t="s">
        <v>88</v>
      </c>
      <c r="D4">
        <f>IF(Scenarios!D2=1,0, L4)</f>
        <v>257</v>
      </c>
      <c r="E4">
        <f>IF(Scenarios!E2=1,0, M4)</f>
        <v>296</v>
      </c>
      <c r="F4">
        <f t="shared" si="1"/>
        <v>553</v>
      </c>
      <c r="G4" s="2">
        <f>YearMap!B4</f>
        <v>6739.2461446874986</v>
      </c>
      <c r="H4" s="2">
        <f>YearMap!C4</f>
        <v>1475395.7022684375</v>
      </c>
      <c r="I4" s="2">
        <f>YearMap!D4</f>
        <v>1699288.4352975001</v>
      </c>
      <c r="J4">
        <f>1-BaselineCalc!$B$5</f>
        <v>0.99299999999999999</v>
      </c>
      <c r="K4">
        <f>Scenarios!G2</f>
        <v>0</v>
      </c>
      <c r="L4">
        <f>IF(Scenarios!$Q2=1,BaselineCalc!$B$7*(1+Parameters_Public!$C44)^(IF($C4="FY2026",0,IF($C4="FY2027",1,IF($C4="FY2028",2,IF($C4="FY2029",3,IF($C4="FY2030",4,0))))))+ROUND(Scenarios!K2*Scenarios!$F2,0),BaselineCalc!$B$7+ROUND(Scenarios!K2*Scenarios!$F2,0))</f>
        <v>257</v>
      </c>
      <c r="M4">
        <f>IF(Scenarios!$R2=1,BaselineCalc!$B$8*(1+Parameters_Public!$C45)^(IF($C4="FY2026",0,IF($C4="FY2027",1,IF($C4="FY2028",2,IF($C4="FY2029",3,IF($C4="FY2030",4,0))))))+Scenarios!K2-ROUND(Scenarios!K2*Scenarios!$F2,0),BaselineCalc!$B$8+Scenarios!K2-ROUND(Scenarios!K2*Scenarios!$F2,0))</f>
        <v>296</v>
      </c>
      <c r="N4" s="11">
        <f t="shared" si="2"/>
        <v>0</v>
      </c>
      <c r="O4" s="11">
        <f>(Parameters_Public!$C$23*(L4-D4)+Parameters_Public!$C$24*(M4-E4))</f>
        <v>0</v>
      </c>
      <c r="P4">
        <f>YearMap!E4</f>
        <v>600</v>
      </c>
      <c r="Q4">
        <f>IF(Scenarios!N2="lease", YearMap!F4, YearMap!G4)</f>
        <v>0.35</v>
      </c>
      <c r="R4" s="2">
        <f>IF(Scenarios!D2=1, Q4*H4, H4)</f>
        <v>1475395.7022684375</v>
      </c>
      <c r="S4" s="2">
        <f>IF(Scenarios!E2=1, Q4*I4, I4)</f>
        <v>1699288.4352975001</v>
      </c>
      <c r="T4" s="2">
        <f>IF(C4="FY2026", (Scenarios!D2+Scenarios!E2)*BaselineCalc!$B$22, 0)</f>
        <v>0</v>
      </c>
      <c r="U4" s="2">
        <f t="shared" si="3"/>
        <v>6853176.8447890775</v>
      </c>
      <c r="V4" s="2">
        <f t="shared" si="4"/>
        <v>0</v>
      </c>
      <c r="W4" s="2">
        <f>U4+V4+IF(Parameters_Public!$C$26=1, T4, 0)</f>
        <v>6853176.8447890775</v>
      </c>
      <c r="X4" s="2">
        <f t="shared" si="5"/>
        <v>12392.724854953123</v>
      </c>
      <c r="Y4" s="2">
        <f>INDEX(YearMap!$I$2:$I$6, MATCH(C4, YearMap!$A$2:$A$6, 0))</f>
        <v>5266.7831249999999</v>
      </c>
      <c r="Z4" s="2">
        <f>W4 - ((Y4 + IF(Parameters_Public!$C$20=1, Parameters_Public!$C$19, 0))*AC4)</f>
        <v>3524817.4266640777</v>
      </c>
      <c r="AA4" s="2">
        <f t="shared" si="6"/>
        <v>6373.9917299531244</v>
      </c>
      <c r="AB4">
        <f>MAX(0, (MAX(0, $D4-BaselineCalc!$B$7) + MAX(0, $E4-BaselineCalc!$B$8)))</f>
        <v>0</v>
      </c>
      <c r="AC4" s="11">
        <f t="shared" si="7"/>
        <v>553</v>
      </c>
      <c r="AD4" s="2">
        <f>( (Y4 + IF(Parameters_Public!$C20=1, INDEX(YearMap!$O$2:$O$6, MATCH(C4, YearMap!$A$2:$A$6, 0)), 0)) * AC4 ) + AC4*INDEX(YearMap!$P$2:$P$6, MATCH(C4, YearMap!$A$2:$A$6, 0)) + AB4*( INDEX(YearMap!$R$2:$R$6, MATCH(C4, YearMap!$A$2:$A$6, 0)) - INDEX(YearMap!$P$2:$P$6, MATCH(C4, YearMap!$A$2:$A$6, 0)) )</f>
        <v>6370587.9783437494</v>
      </c>
      <c r="AE4" s="2">
        <f>(W4 - (1-Parameters_Public!$C42)*$G4*$AB4*$J4*(1-$K4)) + AB4*INDEX(YearMap!$Q$2:$Q$6, MATCH(C4, YearMap!$A$2:$A$6, 0))</f>
        <v>6853176.8447890775</v>
      </c>
      <c r="AF4" s="2">
        <f t="shared" si="8"/>
        <v>-482588.86644532811</v>
      </c>
      <c r="AG4" t="str">
        <f t="shared" si="9"/>
        <v>F1_CUSTOM1|FY2028</v>
      </c>
    </row>
    <row r="5" spans="1:33">
      <c r="A5" t="str">
        <f t="shared" si="0"/>
        <v>F1_CUSTOM1|FY2029</v>
      </c>
      <c r="B5" t="str">
        <f>Scenarios!A2</f>
        <v>F1_CUSTOM1</v>
      </c>
      <c r="C5" t="s">
        <v>89</v>
      </c>
      <c r="D5">
        <f>IF(Scenarios!D2=1,0, L5)</f>
        <v>257</v>
      </c>
      <c r="E5">
        <f>IF(Scenarios!E2=1,0, M5)</f>
        <v>296</v>
      </c>
      <c r="F5">
        <f t="shared" si="1"/>
        <v>553</v>
      </c>
      <c r="G5" s="2">
        <f>YearMap!B5</f>
        <v>6907.7272983046851</v>
      </c>
      <c r="H5" s="2">
        <f>YearMap!C5</f>
        <v>1512280.5948251483</v>
      </c>
      <c r="I5" s="2">
        <f>YearMap!D5</f>
        <v>1741770.6461799373</v>
      </c>
      <c r="J5">
        <f>1-BaselineCalc!$B$5</f>
        <v>0.99299999999999999</v>
      </c>
      <c r="K5">
        <f>Scenarios!G2</f>
        <v>0</v>
      </c>
      <c r="L5">
        <f>IF(Scenarios!$Q2=1,BaselineCalc!$B$7*(1+Parameters_Public!$C44)^(IF($C5="FY2026",0,IF($C5="FY2027",1,IF($C5="FY2028",2,IF($C5="FY2029",3,IF($C5="FY2030",4,0))))))+ROUND(Scenarios!L2*Scenarios!$F2,0),BaselineCalc!$B$7+ROUND(Scenarios!L2*Scenarios!$F2,0))</f>
        <v>257</v>
      </c>
      <c r="M5">
        <f>IF(Scenarios!$R2=1,BaselineCalc!$B$8*(1+Parameters_Public!$C45)^(IF($C5="FY2026",0,IF($C5="FY2027",1,IF($C5="FY2028",2,IF($C5="FY2029",3,IF($C5="FY2030",4,0))))))+Scenarios!L2-ROUND(Scenarios!L2*Scenarios!$F2,0),BaselineCalc!$B$8+Scenarios!L2-ROUND(Scenarios!L2*Scenarios!$F2,0))</f>
        <v>296</v>
      </c>
      <c r="N5" s="11">
        <f t="shared" si="2"/>
        <v>0</v>
      </c>
      <c r="O5" s="11">
        <f>(Parameters_Public!$C$23*(L5-D5)+Parameters_Public!$C$24*(M5-E5))</f>
        <v>0</v>
      </c>
      <c r="P5">
        <f>YearMap!E5</f>
        <v>500</v>
      </c>
      <c r="Q5">
        <f>IF(Scenarios!N2="lease", YearMap!F5, YearMap!G5)</f>
        <v>0.3</v>
      </c>
      <c r="R5" s="2">
        <f>IF(Scenarios!D2=1, Q5*H5, H5)</f>
        <v>1512280.5948251483</v>
      </c>
      <c r="S5" s="2">
        <f>IF(Scenarios!E2=1, Q5*I5, I5)</f>
        <v>1741770.6461799373</v>
      </c>
      <c r="T5" s="2">
        <f>IF(C5="FY2026", (Scenarios!D2+Scenarios!E2)*BaselineCalc!$B$22, 0)</f>
        <v>0</v>
      </c>
      <c r="U5" s="2">
        <f t="shared" si="3"/>
        <v>7024506.2659088029</v>
      </c>
      <c r="V5" s="2">
        <f t="shared" si="4"/>
        <v>0</v>
      </c>
      <c r="W5" s="2">
        <f>U5+V5+IF(Parameters_Public!$C$26=1,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s="11">
        <f t="shared" si="7"/>
        <v>553</v>
      </c>
      <c r="AD5" s="2">
        <f>( (Y5 + IF(Parameters_Public!$C20=1, INDEX(YearMap!$O$2:$O$6, MATCH(C5, YearMap!$A$2:$A$6, 0)), 0)) * AC5 ) + AC5*INDEX(YearMap!$P$2:$P$6, MATCH(C5, YearMap!$A$2:$A$6, 0)) + AB5*( INDEX(YearMap!$R$2:$R$6, MATCH(C5, YearMap!$A$2:$A$6, 0)) - INDEX(YearMap!$P$2:$P$6, MATCH(C5, YearMap!$A$2:$A$6, 0)) )</f>
        <v>6529852.6778023429</v>
      </c>
      <c r="AE5" s="2">
        <f>(W5 - (1-Parameters_Public!$C42)*$G5*$AB5*$J5*(1-$K5)) + AB5*INDEX(YearMap!$Q$2:$Q$6, MATCH(C5, YearMap!$A$2:$A$6, 0))</f>
        <v>7024506.2659088029</v>
      </c>
      <c r="AF5" s="2">
        <f t="shared" si="8"/>
        <v>-494653.58810645994</v>
      </c>
      <c r="AG5" t="str">
        <f t="shared" si="9"/>
        <v>F1_CUSTOM1|FY2029</v>
      </c>
    </row>
    <row r="6" spans="1:33">
      <c r="A6" t="str">
        <f t="shared" si="0"/>
        <v>F1_CUSTOM1|FY2030</v>
      </c>
      <c r="B6" t="str">
        <f>Scenarios!A2</f>
        <v>F1_CUSTOM1</v>
      </c>
      <c r="C6" t="s">
        <v>90</v>
      </c>
      <c r="D6">
        <f>IF(Scenarios!D2=1,0, L6)</f>
        <v>257</v>
      </c>
      <c r="E6">
        <f>IF(Scenarios!E2=1,0, M6)</f>
        <v>296</v>
      </c>
      <c r="F6">
        <f t="shared" si="1"/>
        <v>553</v>
      </c>
      <c r="G6" s="2">
        <f>YearMap!B6</f>
        <v>7080.4204807623018</v>
      </c>
      <c r="H6" s="2">
        <f>YearMap!C6</f>
        <v>1550087.6096957768</v>
      </c>
      <c r="I6" s="2">
        <f>YearMap!D6</f>
        <v>1785314.9123344356</v>
      </c>
      <c r="J6">
        <f>1-BaselineCalc!$B$5</f>
        <v>0.99299999999999999</v>
      </c>
      <c r="K6">
        <f>Scenarios!G2</f>
        <v>0</v>
      </c>
      <c r="L6">
        <f>IF(Scenarios!$Q2=1,BaselineCalc!$B$7*(1+Parameters_Public!$C44)^(IF($C6="FY2026",0,IF($C6="FY2027",1,IF($C6="FY2028",2,IF($C6="FY2029",3,IF($C6="FY2030",4,0))))))+ROUND(Scenarios!M2*Scenarios!$F2,0),BaselineCalc!$B$7+ROUND(Scenarios!M2*Scenarios!$F2,0))</f>
        <v>257</v>
      </c>
      <c r="M6">
        <f>IF(Scenarios!$R2=1,BaselineCalc!$B$8*(1+Parameters_Public!$C45)^(IF($C6="FY2026",0,IF($C6="FY2027",1,IF($C6="FY2028",2,IF($C6="FY2029",3,IF($C6="FY2030",4,0))))))+Scenarios!M2-ROUND(Scenarios!M2*Scenarios!$F2,0),BaselineCalc!$B$8+Scenarios!M2-ROUND(Scenarios!M2*Scenarios!$F2,0))</f>
        <v>296</v>
      </c>
      <c r="N6" s="11">
        <f t="shared" si="2"/>
        <v>0</v>
      </c>
      <c r="O6" s="11">
        <f>(Parameters_Public!$C$23*(L6-D6)+Parameters_Public!$C$24*(M6-E6))</f>
        <v>0</v>
      </c>
      <c r="P6">
        <f>YearMap!E6</f>
        <v>300</v>
      </c>
      <c r="Q6">
        <f>IF(Scenarios!N2="lease", YearMap!F6, YearMap!G6)</f>
        <v>0.3</v>
      </c>
      <c r="R6" s="2">
        <f>IF(Scenarios!D2=1, Q6*H6, H6)</f>
        <v>1550087.6096957768</v>
      </c>
      <c r="S6" s="2">
        <f>IF(Scenarios!E2=1, Q6*I6, I6)</f>
        <v>1785314.9123344356</v>
      </c>
      <c r="T6" s="2">
        <f>IF(C6="FY2026", (Scenarios!D2+Scenarios!E2)*BaselineCalc!$B$22, 0)</f>
        <v>0</v>
      </c>
      <c r="U6" s="2">
        <f t="shared" si="3"/>
        <v>7200118.9225565232</v>
      </c>
      <c r="V6" s="2">
        <f t="shared" si="4"/>
        <v>0</v>
      </c>
      <c r="W6" s="2">
        <f>U6+V6+IF(Parameters_Public!$C$26=1,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s="11">
        <f t="shared" si="7"/>
        <v>553</v>
      </c>
      <c r="AD6" s="2">
        <f>( (Y6 + IF(Parameters_Public!$C20=1, INDEX(YearMap!$O$2:$O$6, MATCH(C6, YearMap!$A$2:$A$6, 0)), 0)) * AC6 ) + AC6*INDEX(YearMap!$P$2:$P$6, MATCH(C6, YearMap!$A$2:$A$6, 0)) + AB6*( INDEX(YearMap!$R$2:$R$6, MATCH(C6, YearMap!$A$2:$A$6, 0)) - INDEX(YearMap!$P$2:$P$6, MATCH(C6, YearMap!$A$2:$A$6, 0)) )</f>
        <v>6693098.9947474012</v>
      </c>
      <c r="AE6" s="2">
        <f>(W6 - (1-Parameters_Public!$C42)*$G6*$AB6*$J6*(1-$K6)) + AB6*INDEX(YearMap!$Q$2:$Q$6, MATCH(C6, YearMap!$A$2:$A$6, 0))</f>
        <v>7200118.9225565232</v>
      </c>
      <c r="AF6" s="2">
        <f t="shared" si="8"/>
        <v>-507019.92780912202</v>
      </c>
      <c r="AG6" t="str">
        <f t="shared" si="9"/>
        <v>F1_CUSTOM1|FY2030</v>
      </c>
    </row>
    <row r="7" spans="1:33">
      <c r="A7" t="str">
        <f t="shared" si="0"/>
        <v>E3_StatusQuo_Targets|FY2026</v>
      </c>
      <c r="B7" t="str">
        <f>Scenarios!A3</f>
        <v>E3_StatusQuo_Targets</v>
      </c>
      <c r="C7" t="s">
        <v>86</v>
      </c>
      <c r="D7">
        <f>IF(Scenarios!D3=1,0, L7)</f>
        <v>270</v>
      </c>
      <c r="E7">
        <f>IF(Scenarios!E3=1,0, M7)</f>
        <v>308</v>
      </c>
      <c r="F7">
        <f t="shared" si="1"/>
        <v>578</v>
      </c>
      <c r="G7" s="2">
        <f>YearMap!B2</f>
        <v>6414.5114999999987</v>
      </c>
      <c r="H7" s="2">
        <f>YearMap!C2</f>
        <v>1404302.8695</v>
      </c>
      <c r="I7" s="2">
        <f>YearMap!D2</f>
        <v>1617407.196</v>
      </c>
      <c r="J7">
        <f>1-BaselineCalc!$B$5</f>
        <v>0.99299999999999999</v>
      </c>
      <c r="K7">
        <f>Scenarios!G3</f>
        <v>0</v>
      </c>
      <c r="L7">
        <f>IF(Scenarios!$Q3=1,BaselineCalc!$B$7*(1+Parameters_Public!$C44)^(IF($C7="FY2026",0,IF($C7="FY2027",1,IF($C7="FY2028",2,IF($C7="FY2029",3,IF($C7="FY2030",4,0))))))+ROUND(Scenarios!I3*Scenarios!$F3,0),BaselineCalc!$B$7+ROUND(Scenarios!I3*Scenarios!$F3,0))</f>
        <v>270</v>
      </c>
      <c r="M7">
        <f>IF(Scenarios!$R3=1,BaselineCalc!$B$8*(1+Parameters_Public!$C45)^(IF($C7="FY2026",0,IF($C7="FY2027",1,IF($C7="FY2028",2,IF($C7="FY2029",3,IF($C7="FY2030",4,0))))))+Scenarios!I3-ROUND(Scenarios!I3*Scenarios!$F3,0),BaselineCalc!$B$8+Scenarios!I3-ROUND(Scenarios!I3*Scenarios!$F3,0))</f>
        <v>308</v>
      </c>
      <c r="N7" s="11">
        <f t="shared" si="2"/>
        <v>0</v>
      </c>
      <c r="O7" s="11">
        <f>(Parameters_Public!$C$23*(L7-D7)+Parameters_Public!$C$24*(M7-E7))</f>
        <v>0</v>
      </c>
      <c r="P7">
        <f>YearMap!E2</f>
        <v>1000</v>
      </c>
      <c r="Q7">
        <f>IF(Scenarios!N3="lease", YearMap!F2, YearMap!G2)</f>
        <v>0.45</v>
      </c>
      <c r="R7" s="2">
        <f>IF(Scenarios!D3=1, Q7*H7, H7)</f>
        <v>1404302.8695</v>
      </c>
      <c r="S7" s="2">
        <f>IF(Scenarios!E3=1, Q7*I7, I7)</f>
        <v>1617407.196</v>
      </c>
      <c r="T7" s="2">
        <f>IF(C7="FY2026", (Scenarios!D3+Scenarios!E3)*BaselineCalc!$B$22, 0)</f>
        <v>0</v>
      </c>
      <c r="U7" s="2">
        <f t="shared" si="3"/>
        <v>6682192.6285124999</v>
      </c>
      <c r="V7" s="2">
        <f t="shared" si="4"/>
        <v>0</v>
      </c>
      <c r="W7" s="2">
        <f>U7+V7+IF(Parameters_Public!$C$26=1, T7, 0)</f>
        <v>6682192.6285124999</v>
      </c>
      <c r="X7" s="2">
        <f t="shared" si="5"/>
        <v>11560.886900540658</v>
      </c>
      <c r="Y7" s="2">
        <f>INDEX(YearMap!$I$2:$I$6, MATCH(C7, YearMap!$A$2:$A$6, 0))</f>
        <v>5013</v>
      </c>
      <c r="Z7" s="2">
        <f>W7 - ((Y7 + IF(Parameters_Public!$C$20=1, Parameters_Public!$C$19, 0))*AC7)</f>
        <v>3350051.5285124998</v>
      </c>
      <c r="AA7" s="2">
        <f t="shared" si="6"/>
        <v>5795.936900540657</v>
      </c>
      <c r="AB7">
        <f>MAX(0, (MAX(0, $D7-BaselineCalc!$B$7) + MAX(0, $E7-BaselineCalc!$B$8)))</f>
        <v>25</v>
      </c>
      <c r="AC7" s="11">
        <f t="shared" si="7"/>
        <v>578</v>
      </c>
      <c r="AD7" s="2">
        <f>( (Y7 + IF(Parameters_Public!$C20=1, INDEX(YearMap!$O$2:$O$6, MATCH(C7, YearMap!$A$2:$A$6, 0)), 0)) * AC7 ) + AC7*INDEX(YearMap!$P$2:$P$6, MATCH(C7, YearMap!$A$2:$A$6, 0)) + AB7*( INDEX(YearMap!$R$2:$R$6, MATCH(C7, YearMap!$A$2:$A$6, 0)) - INDEX(YearMap!$P$2:$P$6, MATCH(C7, YearMap!$A$2:$A$6, 0)) )</f>
        <v>6318241.0999999996</v>
      </c>
      <c r="AE7" s="2">
        <f>(W7 - (1-Parameters_Public!$C42)*$G7*$AB7*$J7*(1-$K7)) + AB7*INDEX(YearMap!$Q$2:$Q$6, MATCH(C7, YearMap!$A$2:$A$6, 0))</f>
        <v>6527952.3805249995</v>
      </c>
      <c r="AF7" s="2">
        <f t="shared" si="8"/>
        <v>-209711.28052499983</v>
      </c>
      <c r="AG7" t="str">
        <f t="shared" si="9"/>
        <v>E3_StatusQuo_Targets|FY2026</v>
      </c>
    </row>
    <row r="8" spans="1:33">
      <c r="A8" t="str">
        <f t="shared" si="0"/>
        <v>E3_StatusQuo_Targets|FY2027</v>
      </c>
      <c r="B8" t="str">
        <f>Scenarios!A3</f>
        <v>E3_StatusQuo_Targets</v>
      </c>
      <c r="C8" t="s">
        <v>87</v>
      </c>
      <c r="D8">
        <f>IF(Scenarios!D3=1,0, L8)</f>
        <v>282</v>
      </c>
      <c r="E8">
        <f>IF(Scenarios!E3=1,0, M8)</f>
        <v>321</v>
      </c>
      <c r="F8">
        <f t="shared" si="1"/>
        <v>603</v>
      </c>
      <c r="G8" s="2">
        <f>YearMap!B3</f>
        <v>6574.8742874999989</v>
      </c>
      <c r="H8" s="2">
        <f>YearMap!C3</f>
        <v>1439410.4412375002</v>
      </c>
      <c r="I8" s="2">
        <f>YearMap!D3</f>
        <v>1657842.3759000003</v>
      </c>
      <c r="J8">
        <f>1-BaselineCalc!$B$5</f>
        <v>0.99299999999999999</v>
      </c>
      <c r="K8">
        <f>Scenarios!G3</f>
        <v>0</v>
      </c>
      <c r="L8">
        <f>IF(Scenarios!$Q3=1,BaselineCalc!$B$7*(1+Parameters_Public!$C44)^(IF($C8="FY2026",0,IF($C8="FY2027",1,IF($C8="FY2028",2,IF($C8="FY2029",3,IF($C8="FY2030",4,0))))))+ROUND(Scenarios!J3*Scenarios!$F3,0),BaselineCalc!$B$7+ROUND(Scenarios!J3*Scenarios!$F3,0))</f>
        <v>282</v>
      </c>
      <c r="M8">
        <f>IF(Scenarios!$R3=1,BaselineCalc!$B$8*(1+Parameters_Public!$C45)^(IF($C8="FY2026",0,IF($C8="FY2027",1,IF($C8="FY2028",2,IF($C8="FY2029",3,IF($C8="FY2030",4,0))))))+Scenarios!J3-ROUND(Scenarios!J3*Scenarios!$F3,0),BaselineCalc!$B$8+Scenarios!J3-ROUND(Scenarios!J3*Scenarios!$F3,0))</f>
        <v>321</v>
      </c>
      <c r="N8" s="11">
        <f t="shared" si="2"/>
        <v>0</v>
      </c>
      <c r="O8" s="11">
        <f>(Parameters_Public!$C$23*(L8-D8)+Parameters_Public!$C$24*(M8-E8))</f>
        <v>0</v>
      </c>
      <c r="P8">
        <f>YearMap!E3</f>
        <v>800</v>
      </c>
      <c r="Q8">
        <f>IF(Scenarios!N3="lease", YearMap!F3, YearMap!G3)</f>
        <v>0.4</v>
      </c>
      <c r="R8" s="2">
        <f>IF(Scenarios!D3=1, Q8*H8, H8)</f>
        <v>1439410.4412375002</v>
      </c>
      <c r="S8" s="2">
        <f>IF(Scenarios!E3=1, Q8*I8, I8)</f>
        <v>1657842.3759000003</v>
      </c>
      <c r="T8" s="2">
        <f>IF(C8="FY2026", (Scenarios!D3+Scenarios!E3)*BaselineCalc!$B$22, 0)</f>
        <v>0</v>
      </c>
      <c r="U8" s="2">
        <f t="shared" si="3"/>
        <v>7012468.6984124994</v>
      </c>
      <c r="V8" s="2">
        <f t="shared" si="4"/>
        <v>0</v>
      </c>
      <c r="W8" s="2">
        <f>U8+V8+IF(Parameters_Public!$C$26=1, T8, 0)</f>
        <v>7012468.6984124994</v>
      </c>
      <c r="X8" s="2">
        <f t="shared" si="5"/>
        <v>11629.301324067163</v>
      </c>
      <c r="Y8" s="2">
        <f>INDEX(YearMap!$I$2:$I$6, MATCH(C8, YearMap!$A$2:$A$6, 0))</f>
        <v>5138.3249999999998</v>
      </c>
      <c r="Z8" s="2">
        <f>W8 - ((Y8 + IF(Parameters_Public!$C$20=1, Parameters_Public!$C$19, 0))*AC8)</f>
        <v>3460632.8734124997</v>
      </c>
      <c r="AA8" s="2">
        <f t="shared" si="6"/>
        <v>5739.0263240671638</v>
      </c>
      <c r="AB8">
        <f>MAX(0, (MAX(0, $D8-BaselineCalc!$B$7) + MAX(0, $E8-BaselineCalc!$B$8)))</f>
        <v>50</v>
      </c>
      <c r="AC8" s="11">
        <f t="shared" si="7"/>
        <v>603</v>
      </c>
      <c r="AD8" s="2">
        <f>( (Y8 + IF(Parameters_Public!$C20=1, INDEX(YearMap!$O$2:$O$6, MATCH(C8, YearMap!$A$2:$A$6, 0)), 0)) * AC8 ) + AC8*INDEX(YearMap!$P$2:$P$6, MATCH(C8, YearMap!$A$2:$A$6, 0)) + AB8*( INDEX(YearMap!$R$2:$R$6, MATCH(C8, YearMap!$A$2:$A$6, 0)) - INDEX(YearMap!$P$2:$P$6, MATCH(C8, YearMap!$A$2:$A$6, 0)) )</f>
        <v>6737186.4712499995</v>
      </c>
      <c r="AE8" s="2">
        <f>(W8 - (1-Parameters_Public!$C42)*$G8*$AB8*$J8*(1-$K8)) + AB8*INDEX(YearMap!$Q$2:$Q$6, MATCH(C8, YearMap!$A$2:$A$6, 0))</f>
        <v>6694026.1900381241</v>
      </c>
      <c r="AF8" s="2">
        <f t="shared" si="8"/>
        <v>43160.281211875379</v>
      </c>
      <c r="AG8" t="str">
        <f t="shared" si="9"/>
        <v>E3_StatusQuo_Targets|FY2027</v>
      </c>
    </row>
    <row r="9" spans="1:33">
      <c r="A9" t="str">
        <f t="shared" si="0"/>
        <v>E3_StatusQuo_Targets|FY2028</v>
      </c>
      <c r="B9" t="str">
        <f>Scenarios!A3</f>
        <v>E3_StatusQuo_Targets</v>
      </c>
      <c r="C9" t="s">
        <v>88</v>
      </c>
      <c r="D9">
        <f>IF(Scenarios!D3=1,0, L9)</f>
        <v>295</v>
      </c>
      <c r="E9">
        <f>IF(Scenarios!E3=1,0, M9)</f>
        <v>333</v>
      </c>
      <c r="F9">
        <f t="shared" si="1"/>
        <v>628</v>
      </c>
      <c r="G9" s="2">
        <f>YearMap!B4</f>
        <v>6739.2461446874986</v>
      </c>
      <c r="H9" s="2">
        <f>YearMap!C4</f>
        <v>1475395.7022684375</v>
      </c>
      <c r="I9" s="2">
        <f>YearMap!D4</f>
        <v>1699288.4352975001</v>
      </c>
      <c r="J9">
        <f>1-BaselineCalc!$B$5</f>
        <v>0.99299999999999999</v>
      </c>
      <c r="K9">
        <f>Scenarios!G3</f>
        <v>0</v>
      </c>
      <c r="L9">
        <f>IF(Scenarios!$Q3=1,BaselineCalc!$B$7*(1+Parameters_Public!$C44)^(IF($C9="FY2026",0,IF($C9="FY2027",1,IF($C9="FY2028",2,IF($C9="FY2029",3,IF($C9="FY2030",4,0))))))+ROUND(Scenarios!K3*Scenarios!$F3,0),BaselineCalc!$B$7+ROUND(Scenarios!K3*Scenarios!$F3,0))</f>
        <v>295</v>
      </c>
      <c r="M9">
        <f>IF(Scenarios!$R3=1,BaselineCalc!$B$8*(1+Parameters_Public!$C45)^(IF($C9="FY2026",0,IF($C9="FY2027",1,IF($C9="FY2028",2,IF($C9="FY2029",3,IF($C9="FY2030",4,0))))))+Scenarios!K3-ROUND(Scenarios!K3*Scenarios!$F3,0),BaselineCalc!$B$8+Scenarios!K3-ROUND(Scenarios!K3*Scenarios!$F3,0))</f>
        <v>333</v>
      </c>
      <c r="N9" s="11">
        <f t="shared" si="2"/>
        <v>0</v>
      </c>
      <c r="O9" s="11">
        <f>(Parameters_Public!$C$23*(L9-D9)+Parameters_Public!$C$24*(M9-E9))</f>
        <v>0</v>
      </c>
      <c r="P9">
        <f>YearMap!E4</f>
        <v>600</v>
      </c>
      <c r="Q9">
        <f>IF(Scenarios!N3="lease", YearMap!F4, YearMap!G4)</f>
        <v>0.35</v>
      </c>
      <c r="R9" s="2">
        <f>IF(Scenarios!D3=1, Q9*H9, H9)</f>
        <v>1475395.7022684375</v>
      </c>
      <c r="S9" s="2">
        <f>IF(Scenarios!E3=1, Q9*I9, I9)</f>
        <v>1699288.4352975001</v>
      </c>
      <c r="T9" s="2">
        <f>IF(C9="FY2026", (Scenarios!D3+Scenarios!E3)*BaselineCalc!$B$22, 0)</f>
        <v>0</v>
      </c>
      <c r="U9" s="2">
        <f t="shared" si="3"/>
        <v>7355082.2014146792</v>
      </c>
      <c r="V9" s="2">
        <f t="shared" si="4"/>
        <v>0</v>
      </c>
      <c r="W9" s="2">
        <f>U9+V9+IF(Parameters_Public!$C$26=1, T9, 0)</f>
        <v>7355082.2014146792</v>
      </c>
      <c r="X9" s="2">
        <f t="shared" si="5"/>
        <v>11711.914333462864</v>
      </c>
      <c r="Y9" s="2">
        <f>INDEX(YearMap!$I$2:$I$6, MATCH(C9, YearMap!$A$2:$A$6, 0))</f>
        <v>5266.7831249999999</v>
      </c>
      <c r="Z9" s="2">
        <f>W9 - ((Y9 + IF(Parameters_Public!$C$20=1, Parameters_Public!$C$19, 0))*AC9)</f>
        <v>3575317.7989146793</v>
      </c>
      <c r="AA9" s="2">
        <f t="shared" si="6"/>
        <v>5693.1812084628655</v>
      </c>
      <c r="AB9">
        <f>MAX(0, (MAX(0, $D9-BaselineCalc!$B$7) + MAX(0, $E9-BaselineCalc!$B$8)))</f>
        <v>75</v>
      </c>
      <c r="AC9" s="11">
        <f t="shared" si="7"/>
        <v>628</v>
      </c>
      <c r="AD9" s="2">
        <f>( (Y9 + IF(Parameters_Public!$C20=1, INDEX(YearMap!$O$2:$O$6, MATCH(C9, YearMap!$A$2:$A$6, 0)), 0)) * AC9 ) + AC9*INDEX(YearMap!$P$2:$P$6, MATCH(C9, YearMap!$A$2:$A$6, 0)) + AB9*( INDEX(YearMap!$R$2:$R$6, MATCH(C9, YearMap!$A$2:$A$6, 0)) - INDEX(YearMap!$P$2:$P$6, MATCH(C9, YearMap!$A$2:$A$6, 0)) )</f>
        <v>7173130.2103749998</v>
      </c>
      <c r="AE9" s="2">
        <f>(W9 - (1-Parameters_Public!$C42)*$G9*$AB9*$J9*(1-$K9)) + AB9*INDEX(YearMap!$Q$2:$Q$6, MATCH(C9, YearMap!$A$2:$A$6, 0))</f>
        <v>6862176.8447890775</v>
      </c>
      <c r="AF9" s="2">
        <f t="shared" si="8"/>
        <v>310953.36558592226</v>
      </c>
      <c r="AG9" t="str">
        <f t="shared" si="9"/>
        <v>E3_StatusQuo_Targets|FY2028</v>
      </c>
    </row>
    <row r="10" spans="1:33">
      <c r="A10" t="str">
        <f t="shared" si="0"/>
        <v>E3_StatusQuo_Targets|FY2029</v>
      </c>
      <c r="B10" t="str">
        <f>Scenarios!A3</f>
        <v>E3_StatusQuo_Targets</v>
      </c>
      <c r="C10" t="s">
        <v>89</v>
      </c>
      <c r="D10">
        <f>IF(Scenarios!D3=1,0, L10)</f>
        <v>295</v>
      </c>
      <c r="E10">
        <f>IF(Scenarios!E3=1,0, M10)</f>
        <v>333</v>
      </c>
      <c r="F10">
        <f t="shared" si="1"/>
        <v>628</v>
      </c>
      <c r="G10" s="2">
        <f>YearMap!B5</f>
        <v>6907.7272983046851</v>
      </c>
      <c r="H10" s="2">
        <f>YearMap!C5</f>
        <v>1512280.5948251483</v>
      </c>
      <c r="I10" s="2">
        <f>YearMap!D5</f>
        <v>1741770.6461799373</v>
      </c>
      <c r="J10">
        <f>1-BaselineCalc!$B$5</f>
        <v>0.99299999999999999</v>
      </c>
      <c r="K10">
        <f>Scenarios!G3</f>
        <v>0</v>
      </c>
      <c r="L10">
        <f>IF(Scenarios!$Q3=1,BaselineCalc!$B$7*(1+Parameters_Public!$C44)^(IF($C10="FY2026",0,IF($C10="FY2027",1,IF($C10="FY2028",2,IF($C10="FY2029",3,IF($C10="FY2030",4,0))))))+ROUND(Scenarios!L3*Scenarios!$F3,0),BaselineCalc!$B$7+ROUND(Scenarios!L3*Scenarios!$F3,0))</f>
        <v>295</v>
      </c>
      <c r="M10">
        <f>IF(Scenarios!$R3=1,BaselineCalc!$B$8*(1+Parameters_Public!$C45)^(IF($C10="FY2026",0,IF($C10="FY2027",1,IF($C10="FY2028",2,IF($C10="FY2029",3,IF($C10="FY2030",4,0))))))+Scenarios!L3-ROUND(Scenarios!L3*Scenarios!$F3,0),BaselineCalc!$B$8+Scenarios!L3-ROUND(Scenarios!L3*Scenarios!$F3,0))</f>
        <v>333</v>
      </c>
      <c r="N10" s="11">
        <f t="shared" si="2"/>
        <v>0</v>
      </c>
      <c r="O10" s="11">
        <f>(Parameters_Public!$C$23*(L10-D10)+Parameters_Public!$C$24*(M10-E10))</f>
        <v>0</v>
      </c>
      <c r="P10">
        <f>YearMap!E5</f>
        <v>500</v>
      </c>
      <c r="Q10">
        <f>IF(Scenarios!N3="lease", YearMap!F5, YearMap!G5)</f>
        <v>0.3</v>
      </c>
      <c r="R10" s="2">
        <f>IF(Scenarios!D3=1, Q10*H10, H10)</f>
        <v>1512280.5948251483</v>
      </c>
      <c r="S10" s="2">
        <f>IF(Scenarios!E3=1, Q10*I10, I10)</f>
        <v>1741770.6461799373</v>
      </c>
      <c r="T10" s="2">
        <f>IF(C10="FY2026", (Scenarios!D3+Scenarios!E3)*BaselineCalc!$B$22, 0)</f>
        <v>0</v>
      </c>
      <c r="U10" s="2">
        <f t="shared" si="3"/>
        <v>7538959.256450044</v>
      </c>
      <c r="V10" s="2">
        <f t="shared" si="4"/>
        <v>0</v>
      </c>
      <c r="W10" s="2">
        <f>U10+V10+IF(Parameters_Public!$C$26=1, T10, 0)</f>
        <v>7538959.256450044</v>
      </c>
      <c r="X10" s="2">
        <f t="shared" si="5"/>
        <v>12004.712191799434</v>
      </c>
      <c r="Y10" s="2">
        <f>INDEX(YearMap!$I$2:$I$6, MATCH(C10, YearMap!$A$2:$A$6, 0))</f>
        <v>5398.4527031249991</v>
      </c>
      <c r="Z10" s="2">
        <f>W10 - ((Y10 + IF(Parameters_Public!$C$20=1, Parameters_Public!$C$19, 0))*AC10)</f>
        <v>3676506.3588875448</v>
      </c>
      <c r="AA10" s="2">
        <f t="shared" si="6"/>
        <v>5854.3094886744348</v>
      </c>
      <c r="AB10">
        <f>MAX(0, (MAX(0, $D10-BaselineCalc!$B$7) + MAX(0, $E10-BaselineCalc!$B$8)))</f>
        <v>75</v>
      </c>
      <c r="AC10" s="11">
        <f t="shared" si="7"/>
        <v>628</v>
      </c>
      <c r="AD10" s="2">
        <f>( (Y10 + IF(Parameters_Public!$C20=1, INDEX(YearMap!$O$2:$O$6, MATCH(C10, YearMap!$A$2:$A$6, 0)), 0)) * AC10 ) + AC10*INDEX(YearMap!$P$2:$P$6, MATCH(C10, YearMap!$A$2:$A$6, 0)) + AB10*( INDEX(YearMap!$R$2:$R$6, MATCH(C10, YearMap!$A$2:$A$6, 0)) - INDEX(YearMap!$P$2:$P$6, MATCH(C10, YearMap!$A$2:$A$6, 0)) )</f>
        <v>7352458.4656343739</v>
      </c>
      <c r="AE10" s="2">
        <f>(W10 - (1-Parameters_Public!$C42)*$G10*$AB10*$J10*(1-$K10)) + AB10*INDEX(YearMap!$Q$2:$Q$6, MATCH(C10, YearMap!$A$2:$A$6, 0))</f>
        <v>7032006.2659088029</v>
      </c>
      <c r="AF10" s="2">
        <f t="shared" si="8"/>
        <v>320452.19972557109</v>
      </c>
      <c r="AG10" t="str">
        <f t="shared" si="9"/>
        <v>E3_StatusQuo_Targets|FY2029</v>
      </c>
    </row>
    <row r="11" spans="1:33">
      <c r="A11" t="str">
        <f t="shared" si="0"/>
        <v>E3_StatusQuo_Targets|FY2030</v>
      </c>
      <c r="B11" t="str">
        <f>Scenarios!A3</f>
        <v>E3_StatusQuo_Targets</v>
      </c>
      <c r="C11" t="s">
        <v>90</v>
      </c>
      <c r="D11">
        <f>IF(Scenarios!D3=1,0, L11)</f>
        <v>295</v>
      </c>
      <c r="E11">
        <f>IF(Scenarios!E3=1,0, M11)</f>
        <v>333</v>
      </c>
      <c r="F11">
        <f t="shared" si="1"/>
        <v>628</v>
      </c>
      <c r="G11" s="2">
        <f>YearMap!B6</f>
        <v>7080.4204807623018</v>
      </c>
      <c r="H11" s="2">
        <f>YearMap!C6</f>
        <v>1550087.6096957768</v>
      </c>
      <c r="I11" s="2">
        <f>YearMap!D6</f>
        <v>1785314.9123344356</v>
      </c>
      <c r="J11">
        <f>1-BaselineCalc!$B$5</f>
        <v>0.99299999999999999</v>
      </c>
      <c r="K11">
        <f>Scenarios!G3</f>
        <v>0</v>
      </c>
      <c r="L11">
        <f>IF(Scenarios!$Q3=1,BaselineCalc!$B$7*(1+Parameters_Public!$C44)^(IF($C11="FY2026",0,IF($C11="FY2027",1,IF($C11="FY2028",2,IF($C11="FY2029",3,IF($C11="FY2030",4,0))))))+ROUND(Scenarios!M3*Scenarios!$F3,0),BaselineCalc!$B$7+ROUND(Scenarios!M3*Scenarios!$F3,0))</f>
        <v>295</v>
      </c>
      <c r="M11">
        <f>IF(Scenarios!$R3=1,BaselineCalc!$B$8*(1+Parameters_Public!$C45)^(IF($C11="FY2026",0,IF($C11="FY2027",1,IF($C11="FY2028",2,IF($C11="FY2029",3,IF($C11="FY2030",4,0))))))+Scenarios!M3-ROUND(Scenarios!M3*Scenarios!$F3,0),BaselineCalc!$B$8+Scenarios!M3-ROUND(Scenarios!M3*Scenarios!$F3,0))</f>
        <v>333</v>
      </c>
      <c r="N11" s="11">
        <f t="shared" si="2"/>
        <v>0</v>
      </c>
      <c r="O11" s="11">
        <f>(Parameters_Public!$C$23*(L11-D11)+Parameters_Public!$C$24*(M11-E11))</f>
        <v>0</v>
      </c>
      <c r="P11">
        <f>YearMap!E6</f>
        <v>300</v>
      </c>
      <c r="Q11">
        <f>IF(Scenarios!N3="lease", YearMap!F6, YearMap!G6)</f>
        <v>0.3</v>
      </c>
      <c r="R11" s="2">
        <f>IF(Scenarios!D3=1, Q11*H11, H11)</f>
        <v>1550087.6096957768</v>
      </c>
      <c r="S11" s="2">
        <f>IF(Scenarios!E3=1, Q11*I11, I11)</f>
        <v>1785314.9123344356</v>
      </c>
      <c r="T11" s="2">
        <f>IF(C11="FY2026", (Scenarios!D3+Scenarios!E3)*BaselineCalc!$B$22, 0)</f>
        <v>0</v>
      </c>
      <c r="U11" s="2">
        <f t="shared" si="3"/>
        <v>7727433.2378612952</v>
      </c>
      <c r="V11" s="2">
        <f t="shared" si="4"/>
        <v>0</v>
      </c>
      <c r="W11" s="2">
        <f>U11+V11+IF(Parameters_Public!$C$26=1, T11, 0)</f>
        <v>7727433.2378612952</v>
      </c>
      <c r="X11" s="2">
        <f t="shared" si="5"/>
        <v>12304.829996594419</v>
      </c>
      <c r="Y11" s="2">
        <f>INDEX(YearMap!$I$2:$I$6, MATCH(C11, YearMap!$A$2:$A$6, 0))</f>
        <v>5533.4140207031242</v>
      </c>
      <c r="Z11" s="2">
        <f>W11 - ((Y11 + IF(Parameters_Public!$C$20=1, Parameters_Public!$C$19, 0))*AC11)</f>
        <v>3780224.6328597334</v>
      </c>
      <c r="AA11" s="2">
        <f t="shared" si="6"/>
        <v>6019.4659758912949</v>
      </c>
      <c r="AB11">
        <f>MAX(0, (MAX(0, $D11-BaselineCalc!$B$7) + MAX(0, $E11-BaselineCalc!$B$8)))</f>
        <v>75</v>
      </c>
      <c r="AC11" s="11">
        <f t="shared" si="7"/>
        <v>628</v>
      </c>
      <c r="AD11" s="2">
        <f>( (Y11 + IF(Parameters_Public!$C20=1, INDEX(YearMap!$O$2:$O$6, MATCH(C11, YearMap!$A$2:$A$6, 0)), 0)) * AC11 ) + AC11*INDEX(YearMap!$P$2:$P$6, MATCH(C11, YearMap!$A$2:$A$6, 0)) + AB11*( INDEX(YearMap!$R$2:$R$6, MATCH(C11, YearMap!$A$2:$A$6, 0)) - INDEX(YearMap!$P$2:$P$6, MATCH(C11, YearMap!$A$2:$A$6, 0)) )</f>
        <v>7536269.927275233</v>
      </c>
      <c r="AE11" s="2">
        <f>(W11 - (1-Parameters_Public!$C42)*$G11*$AB11*$J11*(1-$K11)) + AB11*INDEX(YearMap!$Q$2:$Q$6, MATCH(C11, YearMap!$A$2:$A$6, 0))</f>
        <v>7204618.9225565232</v>
      </c>
      <c r="AF11" s="2">
        <f t="shared" si="8"/>
        <v>331651.00471870974</v>
      </c>
      <c r="AG11" t="str">
        <f t="shared" si="9"/>
        <v>E3_StatusQuo_Targets|FY2030</v>
      </c>
    </row>
    <row r="12" spans="1:33">
      <c r="A12" t="str">
        <f t="shared" si="0"/>
        <v>D3_CoLocation_Echo_Targets|FY2026</v>
      </c>
      <c r="B12" t="str">
        <f>Scenarios!A4</f>
        <v>D3_CoLocation_Echo_Targets</v>
      </c>
      <c r="C12" t="s">
        <v>86</v>
      </c>
      <c r="D12">
        <f>IF(Scenarios!D4=1,0, L12)</f>
        <v>265</v>
      </c>
      <c r="E12">
        <f>IF(Scenarios!E4=1,0, M12)</f>
        <v>304.66666666666669</v>
      </c>
      <c r="F12">
        <f t="shared" si="1"/>
        <v>569.66666666666674</v>
      </c>
      <c r="G12" s="2">
        <f>YearMap!B2</f>
        <v>6414.5114999999987</v>
      </c>
      <c r="H12" s="2">
        <f>YearMap!C2</f>
        <v>1404302.8695</v>
      </c>
      <c r="I12" s="2">
        <f>YearMap!D2</f>
        <v>1617407.196</v>
      </c>
      <c r="J12">
        <f>1-BaselineCalc!$B$5</f>
        <v>0.99299999999999999</v>
      </c>
      <c r="K12">
        <f>Scenarios!G4</f>
        <v>0.05</v>
      </c>
      <c r="L12">
        <f>IF(Scenarios!$Q4=1,BaselineCalc!$B$7*(1+Parameters_Public!$C44)^(IF($C12="FY2026",0,IF($C12="FY2027",1,IF($C12="FY2028",2,IF($C12="FY2029",3,IF($C12="FY2030",4,0))))))+ROUND(Scenarios!I4*Scenarios!$F4,0),BaselineCalc!$B$7+ROUND(Scenarios!I4*Scenarios!$F4,0))</f>
        <v>265</v>
      </c>
      <c r="M12">
        <f>IF(Scenarios!$R4=1,BaselineCalc!$B$8*(1+Parameters_Public!$C45)^(IF($C12="FY2026",0,IF($C12="FY2027",1,IF($C12="FY2028",2,IF($C12="FY2029",3,IF($C12="FY2030",4,0))))))+Scenarios!I4-ROUND(Scenarios!I4*Scenarios!$F4,0),BaselineCalc!$B$8+Scenarios!I4-ROUND(Scenarios!I4*Scenarios!$F4,0))</f>
        <v>304.66666666666669</v>
      </c>
      <c r="N12" s="11">
        <f t="shared" si="2"/>
        <v>0</v>
      </c>
      <c r="O12" s="11">
        <f>(Parameters_Public!$C$23*(L12-D12)+Parameters_Public!$C$24*(M12-E12))</f>
        <v>0</v>
      </c>
      <c r="P12">
        <f>YearMap!E2</f>
        <v>1000</v>
      </c>
      <c r="Q12">
        <f>IF(Scenarios!N4="lease", YearMap!F2, YearMap!G2)</f>
        <v>0.45</v>
      </c>
      <c r="R12" s="2">
        <f>IF(Scenarios!D4=1, Q12*H12, H12)</f>
        <v>1404302.8695</v>
      </c>
      <c r="S12" s="2">
        <f>IF(Scenarios!E4=1, Q12*I12, I12)</f>
        <v>1617407.196</v>
      </c>
      <c r="T12" s="2">
        <f>IF(C12="FY2026", (Scenarios!D4+Scenarios!E4)*BaselineCalc!$B$22, 0)</f>
        <v>0</v>
      </c>
      <c r="U12" s="2">
        <f t="shared" si="3"/>
        <v>6297656.9185574995</v>
      </c>
      <c r="V12" s="2">
        <f t="shared" si="4"/>
        <v>0</v>
      </c>
      <c r="W12" s="2">
        <f>U12+V12+IF(Parameters_Public!$C$26=1, T12, 0)</f>
        <v>6297656.9185574995</v>
      </c>
      <c r="X12" s="2">
        <f t="shared" si="5"/>
        <v>11054.985813734638</v>
      </c>
      <c r="Y12" s="2">
        <f>INDEX(YearMap!$I$2:$I$6, MATCH(C12, YearMap!$A$2:$A$6, 0))</f>
        <v>5013</v>
      </c>
      <c r="Z12" s="2">
        <f>W12 - ((Y12 + IF(Parameters_Public!$C$20=1, Parameters_Public!$C$19, 0))*AC12)</f>
        <v>3013557.068557499</v>
      </c>
      <c r="AA12" s="2">
        <f t="shared" si="6"/>
        <v>5290.0358137346375</v>
      </c>
      <c r="AB12">
        <f>MAX(0, (MAX(0, $D12-BaselineCalc!$B$7) + MAX(0, $E12-BaselineCalc!$B$8)))</f>
        <v>16.666666666666686</v>
      </c>
      <c r="AC12" s="11">
        <f t="shared" si="7"/>
        <v>569.66666666666674</v>
      </c>
      <c r="AD12" s="2">
        <f>( (Y12 + IF(Parameters_Public!$C20=1, INDEX(YearMap!$O$2:$O$6, MATCH(C12, YearMap!$A$2:$A$6, 0)), 0)) * AC12 ) + AC12*INDEX(YearMap!$P$2:$P$6, MATCH(C12, YearMap!$A$2:$A$6, 0)) + AB12*( INDEX(YearMap!$R$2:$R$6, MATCH(C12, YearMap!$A$2:$A$6, 0)) - INDEX(YearMap!$P$2:$P$6, MATCH(C12, YearMap!$A$2:$A$6, 0)) )</f>
        <v>6233366.5166666675</v>
      </c>
      <c r="AE12" s="2">
        <f>(W12 - (1-Parameters_Public!$C42)*$G12*$AB12*$J12*(1-$K12)) + AB12*INDEX(YearMap!$Q$2:$Q$6, MATCH(C12, YearMap!$A$2:$A$6, 0))</f>
        <v>6200138.0948320823</v>
      </c>
      <c r="AF12" s="2">
        <f t="shared" si="8"/>
        <v>33228.421834585257</v>
      </c>
      <c r="AG12" t="str">
        <f t="shared" si="9"/>
        <v>D3_CoLocation_Echo_Targets|FY2026</v>
      </c>
    </row>
    <row r="13" spans="1:33">
      <c r="A13" t="str">
        <f t="shared" si="0"/>
        <v>D3_CoLocation_Echo_Targets|FY2027</v>
      </c>
      <c r="B13" t="str">
        <f>Scenarios!A4</f>
        <v>D3_CoLocation_Echo_Targets</v>
      </c>
      <c r="C13" t="s">
        <v>87</v>
      </c>
      <c r="D13">
        <f>IF(Scenarios!D4=1,0, L13)</f>
        <v>274</v>
      </c>
      <c r="E13">
        <f>IF(Scenarios!E4=1,0, M13)</f>
        <v>312.33333333333331</v>
      </c>
      <c r="F13">
        <f t="shared" si="1"/>
        <v>586.33333333333326</v>
      </c>
      <c r="G13" s="2">
        <f>YearMap!B3</f>
        <v>6574.8742874999989</v>
      </c>
      <c r="H13" s="2">
        <f>YearMap!C3</f>
        <v>1439410.4412375002</v>
      </c>
      <c r="I13" s="2">
        <f>YearMap!D3</f>
        <v>1657842.3759000003</v>
      </c>
      <c r="J13">
        <f>1-BaselineCalc!$B$5</f>
        <v>0.99299999999999999</v>
      </c>
      <c r="K13">
        <f>Scenarios!G4</f>
        <v>0.05</v>
      </c>
      <c r="L13">
        <f>IF(Scenarios!$Q4=1,BaselineCalc!$B$7*(1+Parameters_Public!$C44)^(IF($C13="FY2026",0,IF($C13="FY2027",1,IF($C13="FY2028",2,IF($C13="FY2029",3,IF($C13="FY2030",4,0))))))+ROUND(Scenarios!J4*Scenarios!$F4,0),BaselineCalc!$B$7+ROUND(Scenarios!J4*Scenarios!$F4,0))</f>
        <v>274</v>
      </c>
      <c r="M13">
        <f>IF(Scenarios!$R4=1,BaselineCalc!$B$8*(1+Parameters_Public!$C45)^(IF($C13="FY2026",0,IF($C13="FY2027",1,IF($C13="FY2028",2,IF($C13="FY2029",3,IF($C13="FY2030",4,0))))))+Scenarios!J4-ROUND(Scenarios!J4*Scenarios!$F4,0),BaselineCalc!$B$8+Scenarios!J4-ROUND(Scenarios!J4*Scenarios!$F4,0))</f>
        <v>312.33333333333331</v>
      </c>
      <c r="N13" s="11">
        <f t="shared" si="2"/>
        <v>0</v>
      </c>
      <c r="O13" s="11">
        <f>(Parameters_Public!$C$23*(L13-D13)+Parameters_Public!$C$24*(M13-E13))</f>
        <v>0</v>
      </c>
      <c r="P13">
        <f>YearMap!E3</f>
        <v>800</v>
      </c>
      <c r="Q13">
        <f>IF(Scenarios!N4="lease", YearMap!F3, YearMap!G3)</f>
        <v>0.4</v>
      </c>
      <c r="R13" s="2">
        <f>IF(Scenarios!D4=1, Q13*H13, H13)</f>
        <v>1439410.4412375002</v>
      </c>
      <c r="S13" s="2">
        <f>IF(Scenarios!E4=1, Q13*I13, I13)</f>
        <v>1657842.3759000003</v>
      </c>
      <c r="T13" s="2">
        <f>IF(C13="FY2026", (Scenarios!D4+Scenarios!E4)*BaselineCalc!$B$22, 0)</f>
        <v>0</v>
      </c>
      <c r="U13" s="2">
        <f t="shared" si="3"/>
        <v>6558471.8025066545</v>
      </c>
      <c r="V13" s="2">
        <f t="shared" si="4"/>
        <v>0</v>
      </c>
      <c r="W13" s="2">
        <f>U13+V13+IF(Parameters_Public!$C$26=1, T13, 0)</f>
        <v>6558471.8025066545</v>
      </c>
      <c r="X13" s="2">
        <f t="shared" si="5"/>
        <v>11185.568736509362</v>
      </c>
      <c r="Y13" s="2">
        <f>INDEX(YearMap!$I$2:$I$6, MATCH(C13, YearMap!$A$2:$A$6, 0))</f>
        <v>5138.3249999999998</v>
      </c>
      <c r="Z13" s="2">
        <f>W13 - ((Y13 + IF(Parameters_Public!$C$20=1, Parameters_Public!$C$19, 0))*AC13)</f>
        <v>3104807.2275066553</v>
      </c>
      <c r="AA13" s="2">
        <f t="shared" si="6"/>
        <v>5295.2937365093612</v>
      </c>
      <c r="AB13">
        <f>MAX(0, (MAX(0, $D13-BaselineCalc!$B$7) + MAX(0, $E13-BaselineCalc!$B$8)))</f>
        <v>33.333333333333314</v>
      </c>
      <c r="AC13" s="11">
        <f t="shared" si="7"/>
        <v>586.33333333333326</v>
      </c>
      <c r="AD13" s="2">
        <f>( (Y13 + IF(Parameters_Public!$C20=1, INDEX(YearMap!$O$2:$O$6, MATCH(C13, YearMap!$A$2:$A$6, 0)), 0)) * AC13 ) + AC13*INDEX(YearMap!$P$2:$P$6, MATCH(C13, YearMap!$A$2:$A$6, 0)) + AB13*( INDEX(YearMap!$R$2:$R$6, MATCH(C13, YearMap!$A$2:$A$6, 0)) - INDEX(YearMap!$P$2:$P$6, MATCH(C13, YearMap!$A$2:$A$6, 0)) )</f>
        <v>6563193.5754166655</v>
      </c>
      <c r="AE13" s="2">
        <f>(W13 - (1-Parameters_Public!$C42)*$G13*$AB13*$J13*(1-$K13)) + AB13*INDEX(YearMap!$Q$2:$Q$6, MATCH(C13, YearMap!$A$2:$A$6, 0))</f>
        <v>6357058.2138695503</v>
      </c>
      <c r="AF13" s="2">
        <f t="shared" si="8"/>
        <v>206135.36154711526</v>
      </c>
      <c r="AG13" t="str">
        <f t="shared" si="9"/>
        <v>D3_CoLocation_Echo_Targets|FY2027</v>
      </c>
    </row>
    <row r="14" spans="1:33">
      <c r="A14" t="str">
        <f t="shared" si="0"/>
        <v>D3_CoLocation_Echo_Targets|FY2028</v>
      </c>
      <c r="B14" t="str">
        <f>Scenarios!A4</f>
        <v>D3_CoLocation_Echo_Targets</v>
      </c>
      <c r="C14" t="s">
        <v>88</v>
      </c>
      <c r="D14">
        <f>IF(Scenarios!D4=1,0, L14)</f>
        <v>282</v>
      </c>
      <c r="E14">
        <f>IF(Scenarios!E4=1,0, M14)</f>
        <v>321</v>
      </c>
      <c r="F14">
        <f t="shared" si="1"/>
        <v>603</v>
      </c>
      <c r="G14" s="2">
        <f>YearMap!B4</f>
        <v>6739.2461446874986</v>
      </c>
      <c r="H14" s="2">
        <f>YearMap!C4</f>
        <v>1475395.7022684375</v>
      </c>
      <c r="I14" s="2">
        <f>YearMap!D4</f>
        <v>1699288.4352975001</v>
      </c>
      <c r="J14">
        <f>1-BaselineCalc!$B$5</f>
        <v>0.99299999999999999</v>
      </c>
      <c r="K14">
        <f>Scenarios!G4</f>
        <v>0.05</v>
      </c>
      <c r="L14">
        <f>IF(Scenarios!$Q4=1,BaselineCalc!$B$7*(1+Parameters_Public!$C44)^(IF($C14="FY2026",0,IF($C14="FY2027",1,IF($C14="FY2028",2,IF($C14="FY2029",3,IF($C14="FY2030",4,0))))))+ROUND(Scenarios!K4*Scenarios!$F4,0),BaselineCalc!$B$7+ROUND(Scenarios!K4*Scenarios!$F4,0))</f>
        <v>282</v>
      </c>
      <c r="M14">
        <f>IF(Scenarios!$R4=1,BaselineCalc!$B$8*(1+Parameters_Public!$C45)^(IF($C14="FY2026",0,IF($C14="FY2027",1,IF($C14="FY2028",2,IF($C14="FY2029",3,IF($C14="FY2030",4,0))))))+Scenarios!K4-ROUND(Scenarios!K4*Scenarios!$F4,0),BaselineCalc!$B$8+Scenarios!K4-ROUND(Scenarios!K4*Scenarios!$F4,0))</f>
        <v>321</v>
      </c>
      <c r="N14" s="11">
        <f t="shared" si="2"/>
        <v>0</v>
      </c>
      <c r="O14" s="11">
        <f>(Parameters_Public!$C$23*(L14-D14)+Parameters_Public!$C$24*(M14-E14))</f>
        <v>0</v>
      </c>
      <c r="P14">
        <f>YearMap!E4</f>
        <v>600</v>
      </c>
      <c r="Q14">
        <f>IF(Scenarios!N4="lease", YearMap!F4, YearMap!G4)</f>
        <v>0.35</v>
      </c>
      <c r="R14" s="2">
        <f>IF(Scenarios!D4=1, Q14*H14, H14)</f>
        <v>1475395.7022684375</v>
      </c>
      <c r="S14" s="2">
        <f>IF(Scenarios!E4=1, Q14*I14, I14)</f>
        <v>1699288.4352975001</v>
      </c>
      <c r="T14" s="2">
        <f>IF(C14="FY2026", (Scenarios!D4+Scenarios!E4)*BaselineCalc!$B$22, 0)</f>
        <v>0</v>
      </c>
      <c r="U14" s="2">
        <f t="shared" si="3"/>
        <v>6828391.3950791713</v>
      </c>
      <c r="V14" s="2">
        <f t="shared" si="4"/>
        <v>0</v>
      </c>
      <c r="W14" s="2">
        <f>U14+V14+IF(Parameters_Public!$C$26=1, T14, 0)</f>
        <v>6828391.3950791713</v>
      </c>
      <c r="X14" s="2">
        <f t="shared" si="5"/>
        <v>11324.0321643104</v>
      </c>
      <c r="Y14" s="2">
        <f>INDEX(YearMap!$I$2:$I$6, MATCH(C14, YearMap!$A$2:$A$6, 0))</f>
        <v>5266.7831249999999</v>
      </c>
      <c r="Z14" s="2">
        <f>W14 - ((Y14 + IF(Parameters_Public!$C$20=1, Parameters_Public!$C$19, 0))*AC14)</f>
        <v>3199095.3207041714</v>
      </c>
      <c r="AA14" s="2">
        <f t="shared" si="6"/>
        <v>5305.2990393104001</v>
      </c>
      <c r="AB14">
        <f>MAX(0, (MAX(0, $D14-BaselineCalc!$B$7) + MAX(0, $E14-BaselineCalc!$B$8)))</f>
        <v>50</v>
      </c>
      <c r="AC14" s="11">
        <f t="shared" si="7"/>
        <v>603</v>
      </c>
      <c r="AD14" s="2">
        <f>( (Y14 + IF(Parameters_Public!$C20=1, INDEX(YearMap!$O$2:$O$6, MATCH(C14, YearMap!$A$2:$A$6, 0)), 0)) * AC14 ) + AC14*INDEX(YearMap!$P$2:$P$6, MATCH(C14, YearMap!$A$2:$A$6, 0)) + AB14*( INDEX(YearMap!$R$2:$R$6, MATCH(C14, YearMap!$A$2:$A$6, 0)) - INDEX(YearMap!$P$2:$P$6, MATCH(C14, YearMap!$A$2:$A$6, 0)) )</f>
        <v>6905616.13303125</v>
      </c>
      <c r="AE14" s="2">
        <f>(W14 - (1-Parameters_Public!$C42)*$G14*$AB14*$J14*(1-$K14)) + AB14*INDEX(YearMap!$Q$2:$Q$6, MATCH(C14, YearMap!$A$2:$A$6, 0))</f>
        <v>6516518.0025496241</v>
      </c>
      <c r="AF14" s="2">
        <f t="shared" si="8"/>
        <v>389098.13048162591</v>
      </c>
      <c r="AG14" t="str">
        <f t="shared" si="9"/>
        <v>D3_CoLocation_Echo_Targets|FY2028</v>
      </c>
    </row>
    <row r="15" spans="1:33">
      <c r="A15" t="str">
        <f t="shared" si="0"/>
        <v>D3_CoLocation_Echo_Targets|FY2029</v>
      </c>
      <c r="B15" t="str">
        <f>Scenarios!A4</f>
        <v>D3_CoLocation_Echo_Targets</v>
      </c>
      <c r="C15" t="s">
        <v>89</v>
      </c>
      <c r="D15">
        <f>IF(Scenarios!D4=1,0, L15)</f>
        <v>282</v>
      </c>
      <c r="E15">
        <f>IF(Scenarios!E4=1,0, M15)</f>
        <v>321</v>
      </c>
      <c r="F15">
        <f t="shared" si="1"/>
        <v>603</v>
      </c>
      <c r="G15" s="2">
        <f>YearMap!B5</f>
        <v>6907.7272983046851</v>
      </c>
      <c r="H15" s="2">
        <f>YearMap!C5</f>
        <v>1512280.5948251483</v>
      </c>
      <c r="I15" s="2">
        <f>YearMap!D5</f>
        <v>1741770.6461799373</v>
      </c>
      <c r="J15">
        <f>1-BaselineCalc!$B$5</f>
        <v>0.99299999999999999</v>
      </c>
      <c r="K15">
        <f>Scenarios!G4</f>
        <v>0.05</v>
      </c>
      <c r="L15">
        <f>IF(Scenarios!$Q4=1,BaselineCalc!$B$7*(1+Parameters_Public!$C44)^(IF($C15="FY2026",0,IF($C15="FY2027",1,IF($C15="FY2028",2,IF($C15="FY2029",3,IF($C15="FY2030",4,0))))))+ROUND(Scenarios!L4*Scenarios!$F4,0),BaselineCalc!$B$7+ROUND(Scenarios!L4*Scenarios!$F4,0))</f>
        <v>282</v>
      </c>
      <c r="M15">
        <f>IF(Scenarios!$R4=1,BaselineCalc!$B$8*(1+Parameters_Public!$C45)^(IF($C15="FY2026",0,IF($C15="FY2027",1,IF($C15="FY2028",2,IF($C15="FY2029",3,IF($C15="FY2030",4,0))))))+Scenarios!L4-ROUND(Scenarios!L4*Scenarios!$F4,0),BaselineCalc!$B$8+Scenarios!L4-ROUND(Scenarios!L4*Scenarios!$F4,0))</f>
        <v>321</v>
      </c>
      <c r="N15" s="11">
        <f t="shared" si="2"/>
        <v>0</v>
      </c>
      <c r="O15" s="11">
        <f>(Parameters_Public!$C$23*(L15-D15)+Parameters_Public!$C$24*(M15-E15))</f>
        <v>0</v>
      </c>
      <c r="P15">
        <f>YearMap!E5</f>
        <v>500</v>
      </c>
      <c r="Q15">
        <f>IF(Scenarios!N4="lease", YearMap!F5, YearMap!G5)</f>
        <v>0.3</v>
      </c>
      <c r="R15" s="2">
        <f>IF(Scenarios!D4=1, Q15*H15, H15)</f>
        <v>1512280.5948251483</v>
      </c>
      <c r="S15" s="2">
        <f>IF(Scenarios!E4=1, Q15*I15, I15)</f>
        <v>1741770.6461799373</v>
      </c>
      <c r="T15" s="2">
        <f>IF(C15="FY2026", (Scenarios!D4+Scenarios!E4)*BaselineCalc!$B$22, 0)</f>
        <v>0</v>
      </c>
      <c r="U15" s="2">
        <f t="shared" si="3"/>
        <v>6999101.1799561493</v>
      </c>
      <c r="V15" s="2">
        <f t="shared" si="4"/>
        <v>0</v>
      </c>
      <c r="W15" s="2">
        <f>U15+V15+IF(Parameters_Public!$C$26=1, T15, 0)</f>
        <v>6999101.1799561493</v>
      </c>
      <c r="X15" s="2">
        <f t="shared" si="5"/>
        <v>11607.132968418158</v>
      </c>
      <c r="Y15" s="2">
        <f>INDEX(YearMap!$I$2:$I$6, MATCH(C15, YearMap!$A$2:$A$6, 0))</f>
        <v>5398.4527031249991</v>
      </c>
      <c r="Z15" s="2">
        <f>W15 - ((Y15 + IF(Parameters_Public!$C$20=1, Parameters_Public!$C$19, 0))*AC15)</f>
        <v>3290408.349971775</v>
      </c>
      <c r="AA15" s="2">
        <f t="shared" si="6"/>
        <v>5456.7302652931594</v>
      </c>
      <c r="AB15">
        <f>MAX(0, (MAX(0, $D15-BaselineCalc!$B$7) + MAX(0, $E15-BaselineCalc!$B$8)))</f>
        <v>50</v>
      </c>
      <c r="AC15" s="11">
        <f t="shared" si="7"/>
        <v>603</v>
      </c>
      <c r="AD15" s="2">
        <f>( (Y15 + IF(Parameters_Public!$C20=1, INDEX(YearMap!$O$2:$O$6, MATCH(C15, YearMap!$A$2:$A$6, 0)), 0)) * AC15 ) + AC15*INDEX(YearMap!$P$2:$P$6, MATCH(C15, YearMap!$A$2:$A$6, 0)) + AB15*( INDEX(YearMap!$R$2:$R$6, MATCH(C15, YearMap!$A$2:$A$6, 0)) - INDEX(YearMap!$P$2:$P$6, MATCH(C15, YearMap!$A$2:$A$6, 0)) )</f>
        <v>7078256.5363570303</v>
      </c>
      <c r="AE15" s="2">
        <f>(W15 - (1-Parameters_Public!$C42)*$G15*$AB15*$J15*(1-$K15)) + AB15*INDEX(YearMap!$Q$2:$Q$6, MATCH(C15, YearMap!$A$2:$A$6, 0))</f>
        <v>6678280.952613363</v>
      </c>
      <c r="AF15" s="2">
        <f t="shared" si="8"/>
        <v>399975.58374366723</v>
      </c>
      <c r="AG15" t="str">
        <f t="shared" si="9"/>
        <v>D3_CoLocation_Echo_Targets|FY2029</v>
      </c>
    </row>
    <row r="16" spans="1:33">
      <c r="A16" t="str">
        <f t="shared" si="0"/>
        <v>D3_CoLocation_Echo_Targets|FY2030</v>
      </c>
      <c r="B16" t="str">
        <f>Scenarios!A4</f>
        <v>D3_CoLocation_Echo_Targets</v>
      </c>
      <c r="C16" t="s">
        <v>90</v>
      </c>
      <c r="D16">
        <f>IF(Scenarios!D4=1,0, L16)</f>
        <v>282</v>
      </c>
      <c r="E16">
        <f>IF(Scenarios!E4=1,0, M16)</f>
        <v>321</v>
      </c>
      <c r="F16">
        <f t="shared" si="1"/>
        <v>603</v>
      </c>
      <c r="G16" s="2">
        <f>YearMap!B6</f>
        <v>7080.4204807623018</v>
      </c>
      <c r="H16" s="2">
        <f>YearMap!C6</f>
        <v>1550087.6096957768</v>
      </c>
      <c r="I16" s="2">
        <f>YearMap!D6</f>
        <v>1785314.9123344356</v>
      </c>
      <c r="J16">
        <f>1-BaselineCalc!$B$5</f>
        <v>0.99299999999999999</v>
      </c>
      <c r="K16">
        <f>Scenarios!G4</f>
        <v>0.05</v>
      </c>
      <c r="L16">
        <f>IF(Scenarios!$Q4=1,BaselineCalc!$B$7*(1+Parameters_Public!$C44)^(IF($C16="FY2026",0,IF($C16="FY2027",1,IF($C16="FY2028",2,IF($C16="FY2029",3,IF($C16="FY2030",4,0))))))+ROUND(Scenarios!M4*Scenarios!$F4,0),BaselineCalc!$B$7+ROUND(Scenarios!M4*Scenarios!$F4,0))</f>
        <v>282</v>
      </c>
      <c r="M16">
        <f>IF(Scenarios!$R4=1,BaselineCalc!$B$8*(1+Parameters_Public!$C45)^(IF($C16="FY2026",0,IF($C16="FY2027",1,IF($C16="FY2028",2,IF($C16="FY2029",3,IF($C16="FY2030",4,0))))))+Scenarios!M4-ROUND(Scenarios!M4*Scenarios!$F4,0),BaselineCalc!$B$8+Scenarios!M4-ROUND(Scenarios!M4*Scenarios!$F4,0))</f>
        <v>321</v>
      </c>
      <c r="N16" s="11">
        <f t="shared" si="2"/>
        <v>0</v>
      </c>
      <c r="O16" s="11">
        <f>(Parameters_Public!$C$23*(L16-D16)+Parameters_Public!$C$24*(M16-E16))</f>
        <v>0</v>
      </c>
      <c r="P16">
        <f>YearMap!E6</f>
        <v>300</v>
      </c>
      <c r="Q16">
        <f>IF(Scenarios!N4="lease", YearMap!F6, YearMap!G6)</f>
        <v>0.3</v>
      </c>
      <c r="R16" s="2">
        <f>IF(Scenarios!D4=1, Q16*H16, H16)</f>
        <v>1550087.6096957768</v>
      </c>
      <c r="S16" s="2">
        <f>IF(Scenarios!E4=1, Q16*I16, I16)</f>
        <v>1785314.9123344356</v>
      </c>
      <c r="T16" s="2">
        <f>IF(C16="FY2026", (Scenarios!D4+Scenarios!E4)*BaselineCalc!$B$22, 0)</f>
        <v>0</v>
      </c>
      <c r="U16" s="2">
        <f t="shared" si="3"/>
        <v>7174078.7094550533</v>
      </c>
      <c r="V16" s="2">
        <f t="shared" si="4"/>
        <v>0</v>
      </c>
      <c r="W16" s="2">
        <f>U16+V16+IF(Parameters_Public!$C$26=1, T16, 0)</f>
        <v>7174078.7094550533</v>
      </c>
      <c r="X16" s="2">
        <f t="shared" si="5"/>
        <v>11897.311292628612</v>
      </c>
      <c r="Y16" s="2">
        <f>INDEX(YearMap!$I$2:$I$6, MATCH(C16, YearMap!$A$2:$A$6, 0))</f>
        <v>5533.4140207031242</v>
      </c>
      <c r="Z16" s="2">
        <f>W16 - ((Y16 + IF(Parameters_Public!$C$20=1, Parameters_Public!$C$19, 0))*AC16)</f>
        <v>3384004.2049710695</v>
      </c>
      <c r="AA16" s="2">
        <f t="shared" si="6"/>
        <v>5611.9472719254882</v>
      </c>
      <c r="AB16">
        <f>MAX(0, (MAX(0, $D16-BaselineCalc!$B$7) + MAX(0, $E16-BaselineCalc!$B$8)))</f>
        <v>50</v>
      </c>
      <c r="AC16" s="11">
        <f t="shared" si="7"/>
        <v>603</v>
      </c>
      <c r="AD16" s="2">
        <f>( (Y16 + IF(Parameters_Public!$C20=1, INDEX(YearMap!$O$2:$O$6, MATCH(C16, YearMap!$A$2:$A$6, 0)), 0)) * AC16 ) + AC16*INDEX(YearMap!$P$2:$P$6, MATCH(C16, YearMap!$A$2:$A$6, 0)) + AB16*( INDEX(YearMap!$R$2:$R$6, MATCH(C16, YearMap!$A$2:$A$6, 0)) - INDEX(YearMap!$P$2:$P$6, MATCH(C16, YearMap!$A$2:$A$6, 0)) )</f>
        <v>7255212.949765956</v>
      </c>
      <c r="AE16" s="2">
        <f>(W16 - (1-Parameters_Public!$C42)*$G16*$AB16*$J16*(1-$K16)) + AB16*INDEX(YearMap!$Q$2:$Q$6, MATCH(C16, YearMap!$A$2:$A$6, 0))</f>
        <v>6843112.9764286978</v>
      </c>
      <c r="AF16" s="2">
        <f t="shared" si="8"/>
        <v>412099.97333725821</v>
      </c>
      <c r="AG16" t="str">
        <f t="shared" si="9"/>
        <v>D3_CoLocation_Echo_Targets|FY2030</v>
      </c>
    </row>
    <row r="17" spans="1:33">
      <c r="A17" t="str">
        <f t="shared" si="0"/>
        <v>D1_Grow_Both_Targets|FY2026</v>
      </c>
      <c r="B17" t="str">
        <f>Scenarios!A5</f>
        <v>D1_Grow_Both_Targets</v>
      </c>
      <c r="C17" t="s">
        <v>86</v>
      </c>
      <c r="D17">
        <f>IF(Scenarios!D5=1,0, L17)</f>
        <v>282</v>
      </c>
      <c r="E17">
        <f>IF(Scenarios!E5=1,0, M17)</f>
        <v>321</v>
      </c>
      <c r="F17">
        <f t="shared" si="1"/>
        <v>603</v>
      </c>
      <c r="G17" s="2">
        <f>YearMap!B2</f>
        <v>6414.5114999999987</v>
      </c>
      <c r="H17" s="2">
        <f>YearMap!C2</f>
        <v>1404302.8695</v>
      </c>
      <c r="I17" s="2">
        <f>YearMap!D2</f>
        <v>1617407.196</v>
      </c>
      <c r="J17">
        <f>1-BaselineCalc!$B$5</f>
        <v>0.99299999999999999</v>
      </c>
      <c r="K17">
        <f>Scenarios!G5</f>
        <v>0</v>
      </c>
      <c r="L17">
        <f>IF(Scenarios!$Q5=1,BaselineCalc!$B$7*(1+Parameters_Public!$C44)^(IF($C17="FY2026",0,IF($C17="FY2027",1,IF($C17="FY2028",2,IF($C17="FY2029",3,IF($C17="FY2030",4,0))))))+ROUND(Scenarios!I5*Scenarios!$F5,0),BaselineCalc!$B$7+ROUND(Scenarios!I5*Scenarios!$F5,0))</f>
        <v>282</v>
      </c>
      <c r="M17">
        <f>IF(Scenarios!$R5=1,BaselineCalc!$B$8*(1+Parameters_Public!$C45)^(IF($C17="FY2026",0,IF($C17="FY2027",1,IF($C17="FY2028",2,IF($C17="FY2029",3,IF($C17="FY2030",4,0))))))+Scenarios!I5-ROUND(Scenarios!I5*Scenarios!$F5,0),BaselineCalc!$B$8+Scenarios!I5-ROUND(Scenarios!I5*Scenarios!$F5,0))</f>
        <v>321</v>
      </c>
      <c r="N17" s="11">
        <f t="shared" si="2"/>
        <v>0</v>
      </c>
      <c r="O17" s="11">
        <f>(Parameters_Public!$C$23*(L17-D17)+Parameters_Public!$C$24*(M17-E17))</f>
        <v>0</v>
      </c>
      <c r="P17">
        <f>YearMap!E2</f>
        <v>1000</v>
      </c>
      <c r="Q17">
        <f>IF(Scenarios!N5="lease", YearMap!F2, YearMap!G2)</f>
        <v>0.45</v>
      </c>
      <c r="R17" s="2">
        <f>IF(Scenarios!D5=1, Q17*H17, H17)</f>
        <v>1404302.8695</v>
      </c>
      <c r="S17" s="2">
        <f>IF(Scenarios!E5=1, Q17*I17, I17)</f>
        <v>1617407.196</v>
      </c>
      <c r="T17" s="2">
        <f>IF(C17="FY2026", (Scenarios!D5+Scenarios!E5)*BaselineCalc!$B$22, 0)</f>
        <v>0</v>
      </c>
      <c r="U17" s="2">
        <f t="shared" si="3"/>
        <v>6841432.8764999993</v>
      </c>
      <c r="V17" s="2">
        <f t="shared" si="4"/>
        <v>0</v>
      </c>
      <c r="W17" s="2">
        <f>U17+V17+IF(Parameters_Public!$C$26=1, T17, 0)</f>
        <v>6841432.8764999993</v>
      </c>
      <c r="X17" s="2">
        <f t="shared" si="5"/>
        <v>11345.659828358208</v>
      </c>
      <c r="Y17" s="2">
        <f>INDEX(YearMap!$I$2:$I$6, MATCH(C17, YearMap!$A$2:$A$6, 0))</f>
        <v>5013</v>
      </c>
      <c r="Z17" s="2">
        <f>W17 - ((Y17 + IF(Parameters_Public!$C$20=1, Parameters_Public!$C$19, 0))*AC17)</f>
        <v>3365168.0264999992</v>
      </c>
      <c r="AA17" s="2">
        <f t="shared" si="6"/>
        <v>5580.7098283582072</v>
      </c>
      <c r="AB17">
        <f>MAX(0, (MAX(0, $D17-BaselineCalc!$B$7) + MAX(0, $E17-BaselineCalc!$B$8)))</f>
        <v>50</v>
      </c>
      <c r="AC17" s="11">
        <f t="shared" si="7"/>
        <v>603</v>
      </c>
      <c r="AD17" s="2">
        <f>( (Y17 + IF(Parameters_Public!$C20=1, INDEX(YearMap!$O$2:$O$6, MATCH(C17, YearMap!$A$2:$A$6, 0)), 0)) * AC17 ) + AC17*INDEX(YearMap!$P$2:$P$6, MATCH(C17, YearMap!$A$2:$A$6, 0)) + AB17*( INDEX(YearMap!$R$2:$R$6, MATCH(C17, YearMap!$A$2:$A$6, 0)) - INDEX(YearMap!$P$2:$P$6, MATCH(C17, YearMap!$A$2:$A$6, 0)) )</f>
        <v>6572864.8499999996</v>
      </c>
      <c r="AE17" s="2">
        <f>(W17 - (1-Parameters_Public!$C42)*$G17*$AB17*$J17*(1-$K17)) + AB17*INDEX(YearMap!$Q$2:$Q$6, MATCH(C17, YearMap!$A$2:$A$6, 0))</f>
        <v>6532952.3805249995</v>
      </c>
      <c r="AF17" s="2">
        <f t="shared" si="8"/>
        <v>39912.469475000165</v>
      </c>
      <c r="AG17" t="str">
        <f t="shared" si="9"/>
        <v>D1_Grow_Both_Targets|FY2026</v>
      </c>
    </row>
    <row r="18" spans="1:33">
      <c r="A18" t="str">
        <f t="shared" si="0"/>
        <v>D1_Grow_Both_Targets|FY2027</v>
      </c>
      <c r="B18" t="str">
        <f>Scenarios!A5</f>
        <v>D1_Grow_Both_Targets</v>
      </c>
      <c r="C18" t="s">
        <v>87</v>
      </c>
      <c r="D18">
        <f>IF(Scenarios!D5=1,0, L18)</f>
        <v>307</v>
      </c>
      <c r="E18">
        <f>IF(Scenarios!E5=1,0, M18)</f>
        <v>346</v>
      </c>
      <c r="F18">
        <f t="shared" si="1"/>
        <v>653</v>
      </c>
      <c r="G18" s="2">
        <f>YearMap!B3</f>
        <v>6574.8742874999989</v>
      </c>
      <c r="H18" s="2">
        <f>YearMap!C3</f>
        <v>1439410.4412375002</v>
      </c>
      <c r="I18" s="2">
        <f>YearMap!D3</f>
        <v>1657842.3759000003</v>
      </c>
      <c r="J18">
        <f>1-BaselineCalc!$B$5</f>
        <v>0.99299999999999999</v>
      </c>
      <c r="K18">
        <f>Scenarios!G5</f>
        <v>0</v>
      </c>
      <c r="L18">
        <f>IF(Scenarios!$Q5=1,BaselineCalc!$B$7*(1+Parameters_Public!$C44)^(IF($C18="FY2026",0,IF($C18="FY2027",1,IF($C18="FY2028",2,IF($C18="FY2029",3,IF($C18="FY2030",4,0))))))+ROUND(Scenarios!J5*Scenarios!$F5,0),BaselineCalc!$B$7+ROUND(Scenarios!J5*Scenarios!$F5,0))</f>
        <v>307</v>
      </c>
      <c r="M18">
        <f>IF(Scenarios!$R5=1,BaselineCalc!$B$8*(1+Parameters_Public!$C45)^(IF($C18="FY2026",0,IF($C18="FY2027",1,IF($C18="FY2028",2,IF($C18="FY2029",3,IF($C18="FY2030",4,0))))))+Scenarios!J5-ROUND(Scenarios!J5*Scenarios!$F5,0),BaselineCalc!$B$8+Scenarios!J5-ROUND(Scenarios!J5*Scenarios!$F5,0))</f>
        <v>346</v>
      </c>
      <c r="N18" s="11">
        <f t="shared" si="2"/>
        <v>0</v>
      </c>
      <c r="O18" s="11">
        <f>(Parameters_Public!$C$23*(L18-D18)+Parameters_Public!$C$24*(M18-E18))</f>
        <v>0</v>
      </c>
      <c r="P18">
        <f>YearMap!E3</f>
        <v>800</v>
      </c>
      <c r="Q18">
        <f>IF(Scenarios!N5="lease", YearMap!F3, YearMap!G3)</f>
        <v>0.4</v>
      </c>
      <c r="R18" s="2">
        <f>IF(Scenarios!D5=1, Q18*H18, H18)</f>
        <v>1439410.4412375002</v>
      </c>
      <c r="S18" s="2">
        <f>IF(Scenarios!E5=1, Q18*I18, I18)</f>
        <v>1657842.3759000003</v>
      </c>
      <c r="T18" s="2">
        <f>IF(C18="FY2026", (Scenarios!D5+Scenarios!E5)*BaselineCalc!$B$22, 0)</f>
        <v>0</v>
      </c>
      <c r="U18" s="2">
        <f t="shared" si="3"/>
        <v>7338911.2067868747</v>
      </c>
      <c r="V18" s="2">
        <f t="shared" si="4"/>
        <v>0</v>
      </c>
      <c r="W18" s="2">
        <f>U18+V18+IF(Parameters_Public!$C$26=1, T18, 0)</f>
        <v>7338911.2067868747</v>
      </c>
      <c r="X18" s="2">
        <f t="shared" si="5"/>
        <v>11238.761419275459</v>
      </c>
      <c r="Y18" s="2">
        <f>INDEX(YearMap!$I$2:$I$6, MATCH(C18, YearMap!$A$2:$A$6, 0))</f>
        <v>5138.3249999999998</v>
      </c>
      <c r="Z18" s="2">
        <f>W18 - ((Y18 + IF(Parameters_Public!$C$20=1, Parameters_Public!$C$19, 0))*AC18)</f>
        <v>3492561.631786875</v>
      </c>
      <c r="AA18" s="2">
        <f t="shared" si="6"/>
        <v>5348.4864192754594</v>
      </c>
      <c r="AB18">
        <f>MAX(0, (MAX(0, $D18-BaselineCalc!$B$7) + MAX(0, $E18-BaselineCalc!$B$8)))</f>
        <v>100</v>
      </c>
      <c r="AC18" s="11">
        <f t="shared" si="7"/>
        <v>653</v>
      </c>
      <c r="AD18" s="2">
        <f>( (Y18 + IF(Parameters_Public!$C20=1, INDEX(YearMap!$O$2:$O$6, MATCH(C18, YearMap!$A$2:$A$6, 0)), 0)) * AC18 ) + AC18*INDEX(YearMap!$P$2:$P$6, MATCH(C18, YearMap!$A$2:$A$6, 0)) + AB18*( INDEX(YearMap!$R$2:$R$6, MATCH(C18, YearMap!$A$2:$A$6, 0)) - INDEX(YearMap!$P$2:$P$6, MATCH(C18, YearMap!$A$2:$A$6, 0)) )</f>
        <v>7259165.1587499995</v>
      </c>
      <c r="AE18" s="2">
        <f>(W18 - (1-Parameters_Public!$C42)*$G18*$AB18*$J18*(1-$K18)) + AB18*INDEX(YearMap!$Q$2:$Q$6, MATCH(C18, YearMap!$A$2:$A$6, 0))</f>
        <v>6702026.190038125</v>
      </c>
      <c r="AF18" s="2">
        <f t="shared" si="8"/>
        <v>557138.96871187445</v>
      </c>
      <c r="AG18" t="str">
        <f t="shared" si="9"/>
        <v>D1_Grow_Both_Targets|FY2027</v>
      </c>
    </row>
    <row r="19" spans="1:33">
      <c r="A19" t="str">
        <f t="shared" si="0"/>
        <v>D1_Grow_Both_Targets|FY2028</v>
      </c>
      <c r="B19" t="str">
        <f>Scenarios!A5</f>
        <v>D1_Grow_Both_Targets</v>
      </c>
      <c r="C19" t="s">
        <v>88</v>
      </c>
      <c r="D19">
        <f>IF(Scenarios!D5=1,0, L19)</f>
        <v>332</v>
      </c>
      <c r="E19">
        <f>IF(Scenarios!E5=1,0, M19)</f>
        <v>371</v>
      </c>
      <c r="F19">
        <f t="shared" si="1"/>
        <v>703</v>
      </c>
      <c r="G19" s="2">
        <f>YearMap!B4</f>
        <v>6739.2461446874986</v>
      </c>
      <c r="H19" s="2">
        <f>YearMap!C4</f>
        <v>1475395.7022684375</v>
      </c>
      <c r="I19" s="2">
        <f>YearMap!D4</f>
        <v>1699288.4352975001</v>
      </c>
      <c r="J19">
        <f>1-BaselineCalc!$B$5</f>
        <v>0.99299999999999999</v>
      </c>
      <c r="K19">
        <f>Scenarios!G5</f>
        <v>0</v>
      </c>
      <c r="L19">
        <f>IF(Scenarios!$Q5=1,BaselineCalc!$B$7*(1+Parameters_Public!$C44)^(IF($C19="FY2026",0,IF($C19="FY2027",1,IF($C19="FY2028",2,IF($C19="FY2029",3,IF($C19="FY2030",4,0))))))+ROUND(Scenarios!K5*Scenarios!$F5,0),BaselineCalc!$B$7+ROUND(Scenarios!K5*Scenarios!$F5,0))</f>
        <v>332</v>
      </c>
      <c r="M19">
        <f>IF(Scenarios!$R5=1,BaselineCalc!$B$8*(1+Parameters_Public!$C45)^(IF($C19="FY2026",0,IF($C19="FY2027",1,IF($C19="FY2028",2,IF($C19="FY2029",3,IF($C19="FY2030",4,0))))))+Scenarios!K5-ROUND(Scenarios!K5*Scenarios!$F5,0),BaselineCalc!$B$8+Scenarios!K5-ROUND(Scenarios!K5*Scenarios!$F5,0))</f>
        <v>371</v>
      </c>
      <c r="N19" s="11">
        <f t="shared" si="2"/>
        <v>0</v>
      </c>
      <c r="O19" s="11">
        <f>(Parameters_Public!$C$23*(L19-D19)+Parameters_Public!$C$24*(M19-E19))</f>
        <v>0</v>
      </c>
      <c r="P19">
        <f>YearMap!E4</f>
        <v>600</v>
      </c>
      <c r="Q19">
        <f>IF(Scenarios!N5="lease", YearMap!F4, YearMap!G4)</f>
        <v>0.35</v>
      </c>
      <c r="R19" s="2">
        <f>IF(Scenarios!D5=1, Q19*H19, H19)</f>
        <v>1475395.7022684375</v>
      </c>
      <c r="S19" s="2">
        <f>IF(Scenarios!E5=1, Q19*I19, I19)</f>
        <v>1699288.4352975001</v>
      </c>
      <c r="T19" s="2">
        <f>IF(C19="FY2026", (Scenarios!D5+Scenarios!E5)*BaselineCalc!$B$22, 0)</f>
        <v>0</v>
      </c>
      <c r="U19" s="2">
        <f t="shared" si="3"/>
        <v>7856987.5580402808</v>
      </c>
      <c r="V19" s="2">
        <f t="shared" si="4"/>
        <v>0</v>
      </c>
      <c r="W19" s="2">
        <f>U19+V19+IF(Parameters_Public!$C$26=1, T19, 0)</f>
        <v>7856987.5580402808</v>
      </c>
      <c r="X19" s="2">
        <f t="shared" si="5"/>
        <v>11176.36921485104</v>
      </c>
      <c r="Y19" s="2">
        <f>INDEX(YearMap!$I$2:$I$6, MATCH(C19, YearMap!$A$2:$A$6, 0))</f>
        <v>5266.7831249999999</v>
      </c>
      <c r="Z19" s="2">
        <f>W19 - ((Y19 + IF(Parameters_Public!$C$20=1, Parameters_Public!$C$19, 0))*AC19)</f>
        <v>3625818.171165281</v>
      </c>
      <c r="AA19" s="2">
        <f t="shared" si="6"/>
        <v>5157.6360898510402</v>
      </c>
      <c r="AB19">
        <f>MAX(0, (MAX(0, $D19-BaselineCalc!$B$7) + MAX(0, $E19-BaselineCalc!$B$8)))</f>
        <v>150</v>
      </c>
      <c r="AC19" s="11">
        <f t="shared" si="7"/>
        <v>703</v>
      </c>
      <c r="AD19" s="2">
        <f>( (Y19 + IF(Parameters_Public!$C20=1, INDEX(YearMap!$O$2:$O$6, MATCH(C19, YearMap!$A$2:$A$6, 0)), 0)) * AC19 ) + AC19*INDEX(YearMap!$P$2:$P$6, MATCH(C19, YearMap!$A$2:$A$6, 0)) + AB19*( INDEX(YearMap!$R$2:$R$6, MATCH(C19, YearMap!$A$2:$A$6, 0)) - INDEX(YearMap!$P$2:$P$6, MATCH(C19, YearMap!$A$2:$A$6, 0)) )</f>
        <v>7975672.4424062502</v>
      </c>
      <c r="AE19" s="2">
        <f>(W19 - (1-Parameters_Public!$C42)*$G19*$AB19*$J19*(1-$K19)) + AB19*INDEX(YearMap!$Q$2:$Q$6, MATCH(C19, YearMap!$A$2:$A$6, 0))</f>
        <v>6871176.8447890785</v>
      </c>
      <c r="AF19" s="2">
        <f t="shared" si="8"/>
        <v>1104495.5976171717</v>
      </c>
      <c r="AG19" t="str">
        <f t="shared" si="9"/>
        <v>D1_Grow_Both_Targets|FY2028</v>
      </c>
    </row>
    <row r="20" spans="1:33">
      <c r="A20" t="str">
        <f t="shared" si="0"/>
        <v>D1_Grow_Both_Targets|FY2029</v>
      </c>
      <c r="B20" t="str">
        <f>Scenarios!A5</f>
        <v>D1_Grow_Both_Targets</v>
      </c>
      <c r="C20" t="s">
        <v>89</v>
      </c>
      <c r="D20">
        <f>IF(Scenarios!D5=1,0, L20)</f>
        <v>332</v>
      </c>
      <c r="E20">
        <f>IF(Scenarios!E5=1,0, M20)</f>
        <v>371</v>
      </c>
      <c r="F20">
        <f t="shared" si="1"/>
        <v>703</v>
      </c>
      <c r="G20" s="2">
        <f>YearMap!B5</f>
        <v>6907.7272983046851</v>
      </c>
      <c r="H20" s="2">
        <f>YearMap!C5</f>
        <v>1512280.5948251483</v>
      </c>
      <c r="I20" s="2">
        <f>YearMap!D5</f>
        <v>1741770.6461799373</v>
      </c>
      <c r="J20">
        <f>1-BaselineCalc!$B$5</f>
        <v>0.99299999999999999</v>
      </c>
      <c r="K20">
        <f>Scenarios!G5</f>
        <v>0</v>
      </c>
      <c r="L20">
        <f>IF(Scenarios!$Q5=1,BaselineCalc!$B$7*(1+Parameters_Public!$C44)^(IF($C20="FY2026",0,IF($C20="FY2027",1,IF($C20="FY2028",2,IF($C20="FY2029",3,IF($C20="FY2030",4,0))))))+ROUND(Scenarios!L5*Scenarios!$F5,0),BaselineCalc!$B$7+ROUND(Scenarios!L5*Scenarios!$F5,0))</f>
        <v>332</v>
      </c>
      <c r="M20">
        <f>IF(Scenarios!$R5=1,BaselineCalc!$B$8*(1+Parameters_Public!$C45)^(IF($C20="FY2026",0,IF($C20="FY2027",1,IF($C20="FY2028",2,IF($C20="FY2029",3,IF($C20="FY2030",4,0))))))+Scenarios!L5-ROUND(Scenarios!L5*Scenarios!$F5,0),BaselineCalc!$B$8+Scenarios!L5-ROUND(Scenarios!L5*Scenarios!$F5,0))</f>
        <v>371</v>
      </c>
      <c r="N20" s="11">
        <f t="shared" si="2"/>
        <v>0</v>
      </c>
      <c r="O20" s="11">
        <f>(Parameters_Public!$C$23*(L20-D20)+Parameters_Public!$C$24*(M20-E20))</f>
        <v>0</v>
      </c>
      <c r="P20">
        <f>YearMap!E5</f>
        <v>500</v>
      </c>
      <c r="Q20">
        <f>IF(Scenarios!N5="lease", YearMap!F5, YearMap!G5)</f>
        <v>0.3</v>
      </c>
      <c r="R20" s="2">
        <f>IF(Scenarios!D5=1, Q20*H20, H20)</f>
        <v>1512280.5948251483</v>
      </c>
      <c r="S20" s="2">
        <f>IF(Scenarios!E5=1, Q20*I20, I20)</f>
        <v>1741770.6461799373</v>
      </c>
      <c r="T20" s="2">
        <f>IF(C20="FY2026", (Scenarios!D5+Scenarios!E5)*BaselineCalc!$B$22, 0)</f>
        <v>0</v>
      </c>
      <c r="U20" s="2">
        <f t="shared" si="3"/>
        <v>8053412.2469912861</v>
      </c>
      <c r="V20" s="2">
        <f t="shared" si="4"/>
        <v>0</v>
      </c>
      <c r="W20" s="2">
        <f>U20+V20+IF(Parameters_Public!$C$26=1, T20, 0)</f>
        <v>8053412.2469912861</v>
      </c>
      <c r="X20" s="2">
        <f t="shared" si="5"/>
        <v>11455.778445222313</v>
      </c>
      <c r="Y20" s="2">
        <f>INDEX(YearMap!$I$2:$I$6, MATCH(C20, YearMap!$A$2:$A$6, 0))</f>
        <v>5398.4527031249991</v>
      </c>
      <c r="Z20" s="2">
        <f>W20 - ((Y20 + IF(Parameters_Public!$C$20=1, Parameters_Public!$C$19, 0))*AC20)</f>
        <v>3729679.1466944115</v>
      </c>
      <c r="AA20" s="2">
        <f t="shared" si="6"/>
        <v>5305.3757420973134</v>
      </c>
      <c r="AB20">
        <f>MAX(0, (MAX(0, $D20-BaselineCalc!$B$7) + MAX(0, $E20-BaselineCalc!$B$8)))</f>
        <v>150</v>
      </c>
      <c r="AC20" s="11">
        <f t="shared" si="7"/>
        <v>703</v>
      </c>
      <c r="AD20" s="2">
        <f>( (Y20 + IF(Parameters_Public!$C20=1, INDEX(YearMap!$O$2:$O$6, MATCH(C20, YearMap!$A$2:$A$6, 0)), 0)) * AC20 ) + AC20*INDEX(YearMap!$P$2:$P$6, MATCH(C20, YearMap!$A$2:$A$6, 0)) + AB20*( INDEX(YearMap!$R$2:$R$6, MATCH(C20, YearMap!$A$2:$A$6, 0)) - INDEX(YearMap!$P$2:$P$6, MATCH(C20, YearMap!$A$2:$A$6, 0)) )</f>
        <v>8175064.253466405</v>
      </c>
      <c r="AE20" s="2">
        <f>(W20 - (1-Parameters_Public!$C42)*$G20*$AB20*$J20*(1-$K20)) + AB20*INDEX(YearMap!$Q$2:$Q$6, MATCH(C20, YearMap!$A$2:$A$6, 0))</f>
        <v>7039506.2659088029</v>
      </c>
      <c r="AF20" s="2">
        <f t="shared" si="8"/>
        <v>1135557.9875576021</v>
      </c>
      <c r="AG20" t="str">
        <f t="shared" si="9"/>
        <v>D1_Grow_Both_Targets|FY2029</v>
      </c>
    </row>
    <row r="21" spans="1:33">
      <c r="A21" t="str">
        <f t="shared" si="0"/>
        <v>D1_Grow_Both_Targets|FY2030</v>
      </c>
      <c r="B21" t="str">
        <f>Scenarios!A5</f>
        <v>D1_Grow_Both_Targets</v>
      </c>
      <c r="C21" t="s">
        <v>90</v>
      </c>
      <c r="D21">
        <f>IF(Scenarios!D5=1,0, L21)</f>
        <v>332</v>
      </c>
      <c r="E21">
        <f>IF(Scenarios!E5=1,0, M21)</f>
        <v>371</v>
      </c>
      <c r="F21">
        <f t="shared" si="1"/>
        <v>703</v>
      </c>
      <c r="G21" s="2">
        <f>YearMap!B6</f>
        <v>7080.4204807623018</v>
      </c>
      <c r="H21" s="2">
        <f>YearMap!C6</f>
        <v>1550087.6096957768</v>
      </c>
      <c r="I21" s="2">
        <f>YearMap!D6</f>
        <v>1785314.9123344356</v>
      </c>
      <c r="J21">
        <f>1-BaselineCalc!$B$5</f>
        <v>0.99299999999999999</v>
      </c>
      <c r="K21">
        <f>Scenarios!G5</f>
        <v>0</v>
      </c>
      <c r="L21">
        <f>IF(Scenarios!$Q5=1,BaselineCalc!$B$7*(1+Parameters_Public!$C44)^(IF($C21="FY2026",0,IF($C21="FY2027",1,IF($C21="FY2028",2,IF($C21="FY2029",3,IF($C21="FY2030",4,0))))))+ROUND(Scenarios!M5*Scenarios!$F5,0),BaselineCalc!$B$7+ROUND(Scenarios!M5*Scenarios!$F5,0))</f>
        <v>332</v>
      </c>
      <c r="M21">
        <f>IF(Scenarios!$R5=1,BaselineCalc!$B$8*(1+Parameters_Public!$C45)^(IF($C21="FY2026",0,IF($C21="FY2027",1,IF($C21="FY2028",2,IF($C21="FY2029",3,IF($C21="FY2030",4,0))))))+Scenarios!M5-ROUND(Scenarios!M5*Scenarios!$F5,0),BaselineCalc!$B$8+Scenarios!M5-ROUND(Scenarios!M5*Scenarios!$F5,0))</f>
        <v>371</v>
      </c>
      <c r="N21" s="11">
        <f t="shared" si="2"/>
        <v>0</v>
      </c>
      <c r="O21" s="11">
        <f>(Parameters_Public!$C$23*(L21-D21)+Parameters_Public!$C$24*(M21-E21))</f>
        <v>0</v>
      </c>
      <c r="P21">
        <f>YearMap!E6</f>
        <v>300</v>
      </c>
      <c r="Q21">
        <f>IF(Scenarios!N5="lease", YearMap!F6, YearMap!G6)</f>
        <v>0.3</v>
      </c>
      <c r="R21" s="2">
        <f>IF(Scenarios!D5=1, Q21*H21, H21)</f>
        <v>1550087.6096957768</v>
      </c>
      <c r="S21" s="2">
        <f>IF(Scenarios!E5=1, Q21*I21, I21)</f>
        <v>1785314.9123344356</v>
      </c>
      <c r="T21" s="2">
        <f>IF(C21="FY2026", (Scenarios!D5+Scenarios!E5)*BaselineCalc!$B$22, 0)</f>
        <v>0</v>
      </c>
      <c r="U21" s="2">
        <f t="shared" si="3"/>
        <v>8254747.5531660682</v>
      </c>
      <c r="V21" s="2">
        <f t="shared" si="4"/>
        <v>0</v>
      </c>
      <c r="W21" s="2">
        <f>U21+V21+IF(Parameters_Public!$C$26=1, T21, 0)</f>
        <v>8254747.5531660682</v>
      </c>
      <c r="X21" s="2">
        <f t="shared" si="5"/>
        <v>11742.172906352871</v>
      </c>
      <c r="Y21" s="2">
        <f>INDEX(YearMap!$I$2:$I$6, MATCH(C21, YearMap!$A$2:$A$6, 0))</f>
        <v>5533.4140207031242</v>
      </c>
      <c r="Z21" s="2">
        <f>W21 - ((Y21 + IF(Parameters_Public!$C$20=1, Parameters_Public!$C$19, 0))*AC21)</f>
        <v>3836136.6466117715</v>
      </c>
      <c r="AA21" s="2">
        <f t="shared" si="6"/>
        <v>5456.8088856497461</v>
      </c>
      <c r="AB21">
        <f>MAX(0, (MAX(0, $D21-BaselineCalc!$B$7) + MAX(0, $E21-BaselineCalc!$B$8)))</f>
        <v>150</v>
      </c>
      <c r="AC21" s="11">
        <f t="shared" si="7"/>
        <v>703</v>
      </c>
      <c r="AD21" s="2">
        <f>( (Y21 + IF(Parameters_Public!$C20=1, INDEX(YearMap!$O$2:$O$6, MATCH(C21, YearMap!$A$2:$A$6, 0)), 0)) * AC21 ) + AC21*INDEX(YearMap!$P$2:$P$6, MATCH(C21, YearMap!$A$2:$A$6, 0)) + AB21*( INDEX(YearMap!$R$2:$R$6, MATCH(C21, YearMap!$A$2:$A$6, 0)) - INDEX(YearMap!$P$2:$P$6, MATCH(C21, YearMap!$A$2:$A$6, 0)) )</f>
        <v>8379440.8598030647</v>
      </c>
      <c r="AE21" s="2">
        <f>(W21 - (1-Parameters_Public!$C42)*$G21*$AB21*$J21*(1-$K21)) + AB21*INDEX(YearMap!$Q$2:$Q$6, MATCH(C21, YearMap!$A$2:$A$6, 0))</f>
        <v>7209118.9225565232</v>
      </c>
      <c r="AF21" s="2">
        <f t="shared" si="8"/>
        <v>1170321.9372465415</v>
      </c>
      <c r="AG21" t="str">
        <f t="shared" si="9"/>
        <v>D1_Grow_Both_Targets|FY2030</v>
      </c>
    </row>
    <row r="22" spans="1:33">
      <c r="A22" t="str">
        <f t="shared" si="0"/>
        <v>E2_StatusQuo_Steady|FY2026</v>
      </c>
      <c r="B22" t="str">
        <f>Scenarios!A6</f>
        <v>E2_StatusQuo_Steady</v>
      </c>
      <c r="C22" t="s">
        <v>86</v>
      </c>
      <c r="D22">
        <f>IF(Scenarios!D6=1,0, L22)</f>
        <v>257</v>
      </c>
      <c r="E22">
        <f>IF(Scenarios!E6=1,0, M22)</f>
        <v>296</v>
      </c>
      <c r="F22">
        <f t="shared" si="1"/>
        <v>553</v>
      </c>
      <c r="G22" s="2">
        <f>YearMap!B2</f>
        <v>6414.5114999999987</v>
      </c>
      <c r="H22" s="2">
        <f>YearMap!C2</f>
        <v>1404302.8695</v>
      </c>
      <c r="I22" s="2">
        <f>YearMap!D2</f>
        <v>1617407.196</v>
      </c>
      <c r="J22">
        <f>1-BaselineCalc!$B$5</f>
        <v>0.99299999999999999</v>
      </c>
      <c r="K22">
        <f>Scenarios!G6</f>
        <v>0</v>
      </c>
      <c r="L22">
        <f>IF(Scenarios!$Q6=1,BaselineCalc!$B$7*(1+Parameters_Public!$C44)^(IF($C22="FY2026",0,IF($C22="FY2027",1,IF($C22="FY2028",2,IF($C22="FY2029",3,IF($C22="FY2030",4,0))))))+ROUND(Scenarios!I6*Scenarios!$F6,0),BaselineCalc!$B$7+ROUND(Scenarios!I6*Scenarios!$F6,0))</f>
        <v>257</v>
      </c>
      <c r="M22">
        <f>IF(Scenarios!$R6=1,BaselineCalc!$B$8*(1+Parameters_Public!$C45)^(IF($C22="FY2026",0,IF($C22="FY2027",1,IF($C22="FY2028",2,IF($C22="FY2029",3,IF($C22="FY2030",4,0))))))+Scenarios!I6-ROUND(Scenarios!I6*Scenarios!$F6,0),BaselineCalc!$B$8+Scenarios!I6-ROUND(Scenarios!I6*Scenarios!$F6,0))</f>
        <v>296</v>
      </c>
      <c r="N22" s="11">
        <f t="shared" si="2"/>
        <v>0</v>
      </c>
      <c r="O22" s="11">
        <f>(Parameters_Public!$C$23*(L22-D22)+Parameters_Public!$C$24*(M22-E22))</f>
        <v>0</v>
      </c>
      <c r="P22">
        <f>YearMap!E2</f>
        <v>1000</v>
      </c>
      <c r="Q22">
        <f>IF(Scenarios!N6="lease", YearMap!F2, YearMap!G2)</f>
        <v>0.45</v>
      </c>
      <c r="R22" s="2">
        <f>IF(Scenarios!D6=1, Q22*H22, H22)</f>
        <v>1404302.8695</v>
      </c>
      <c r="S22" s="2">
        <f>IF(Scenarios!E6=1, Q22*I22, I22)</f>
        <v>1617407.196</v>
      </c>
      <c r="T22" s="2">
        <f>IF(C22="FY2026", (Scenarios!D6+Scenarios!E6)*BaselineCalc!$B$22, 0)</f>
        <v>0</v>
      </c>
      <c r="U22" s="2">
        <f t="shared" si="3"/>
        <v>6522952.3805249985</v>
      </c>
      <c r="V22" s="2">
        <f t="shared" si="4"/>
        <v>0</v>
      </c>
      <c r="W22" s="2">
        <f>U22+V22+IF(Parameters_Public!$C$26=1, T22, 0)</f>
        <v>6522952.3805249985</v>
      </c>
      <c r="X22" s="2">
        <f t="shared" si="5"/>
        <v>11795.573924999997</v>
      </c>
      <c r="Y22" s="2">
        <f>INDEX(YearMap!$I$2:$I$6, MATCH(C22, YearMap!$A$2:$A$6, 0))</f>
        <v>5013</v>
      </c>
      <c r="Z22" s="2">
        <f>W22 - ((Y22 + IF(Parameters_Public!$C$20=1, Parameters_Public!$C$19, 0))*AC22)</f>
        <v>3334935.0305249984</v>
      </c>
      <c r="AA22" s="2">
        <f t="shared" si="6"/>
        <v>6030.6239249999971</v>
      </c>
      <c r="AB22">
        <f>MAX(0, (MAX(0, $D22-BaselineCalc!$B$7) + MAX(0, $E22-BaselineCalc!$B$8)))</f>
        <v>0</v>
      </c>
      <c r="AC22" s="11">
        <f t="shared" si="7"/>
        <v>553</v>
      </c>
      <c r="AD22" s="2">
        <f>( (Y22 + IF(Parameters_Public!$C20=1, INDEX(YearMap!$O$2:$O$6, MATCH(C22, YearMap!$A$2:$A$6, 0)), 0)) * AC22 ) + AC22*INDEX(YearMap!$P$2:$P$6, MATCH(C22, YearMap!$A$2:$A$6, 0)) + AB22*( INDEX(YearMap!$R$2:$R$6, MATCH(C22, YearMap!$A$2:$A$6, 0)) - INDEX(YearMap!$P$2:$P$6, MATCH(C22, YearMap!$A$2:$A$6, 0)) )</f>
        <v>6063617.3499999996</v>
      </c>
      <c r="AE22" s="2">
        <f>(W22 - (1-Parameters_Public!$C42)*$G22*$AB22*$J22*(1-$K22)) + AB22*INDEX(YearMap!$Q$2:$Q$6, MATCH(C22, YearMap!$A$2:$A$6, 0))</f>
        <v>6522952.3805249985</v>
      </c>
      <c r="AF22" s="2">
        <f t="shared" si="8"/>
        <v>-459335.0305249989</v>
      </c>
      <c r="AG22" t="str">
        <f t="shared" si="9"/>
        <v>E2_StatusQuo_Steady|FY2026</v>
      </c>
    </row>
    <row r="23" spans="1:33">
      <c r="A23" t="str">
        <f t="shared" si="0"/>
        <v>E2_StatusQuo_Steady|FY2027</v>
      </c>
      <c r="B23" t="str">
        <f>Scenarios!A6</f>
        <v>E2_StatusQuo_Steady</v>
      </c>
      <c r="C23" t="s">
        <v>87</v>
      </c>
      <c r="D23">
        <f>IF(Scenarios!D6=1,0, L23)</f>
        <v>257</v>
      </c>
      <c r="E23">
        <f>IF(Scenarios!E6=1,0, M23)</f>
        <v>296</v>
      </c>
      <c r="F23">
        <f t="shared" si="1"/>
        <v>553</v>
      </c>
      <c r="G23" s="2">
        <f>YearMap!B3</f>
        <v>6574.8742874999989</v>
      </c>
      <c r="H23" s="2">
        <f>YearMap!C3</f>
        <v>1439410.4412375002</v>
      </c>
      <c r="I23" s="2">
        <f>YearMap!D3</f>
        <v>1657842.3759000003</v>
      </c>
      <c r="J23">
        <f>1-BaselineCalc!$B$5</f>
        <v>0.99299999999999999</v>
      </c>
      <c r="K23">
        <f>Scenarios!G6</f>
        <v>0</v>
      </c>
      <c r="L23">
        <f>IF(Scenarios!$Q6=1,BaselineCalc!$B$7*(1+Parameters_Public!$C44)^(IF($C23="FY2026",0,IF($C23="FY2027",1,IF($C23="FY2028",2,IF($C23="FY2029",3,IF($C23="FY2030",4,0))))))+ROUND(Scenarios!J6*Scenarios!$F6,0),BaselineCalc!$B$7+ROUND(Scenarios!J6*Scenarios!$F6,0))</f>
        <v>257</v>
      </c>
      <c r="M23">
        <f>IF(Scenarios!$R6=1,BaselineCalc!$B$8*(1+Parameters_Public!$C45)^(IF($C23="FY2026",0,IF($C23="FY2027",1,IF($C23="FY2028",2,IF($C23="FY2029",3,IF($C23="FY2030",4,0))))))+Scenarios!J6-ROUND(Scenarios!J6*Scenarios!$F6,0),BaselineCalc!$B$8+Scenarios!J6-ROUND(Scenarios!J6*Scenarios!$F6,0))</f>
        <v>296</v>
      </c>
      <c r="N23" s="11">
        <f t="shared" si="2"/>
        <v>0</v>
      </c>
      <c r="O23" s="11">
        <f>(Parameters_Public!$C$23*(L23-D23)+Parameters_Public!$C$24*(M23-E23))</f>
        <v>0</v>
      </c>
      <c r="P23">
        <f>YearMap!E3</f>
        <v>800</v>
      </c>
      <c r="Q23">
        <f>IF(Scenarios!N6="lease", YearMap!F3, YearMap!G3)</f>
        <v>0.4</v>
      </c>
      <c r="R23" s="2">
        <f>IF(Scenarios!D6=1, Q23*H23, H23)</f>
        <v>1439410.4412375002</v>
      </c>
      <c r="S23" s="2">
        <f>IF(Scenarios!E6=1, Q23*I23, I23)</f>
        <v>1657842.3759000003</v>
      </c>
      <c r="T23" s="2">
        <f>IF(C23="FY2026", (Scenarios!D6+Scenarios!E6)*BaselineCalc!$B$22, 0)</f>
        <v>0</v>
      </c>
      <c r="U23" s="2">
        <f t="shared" si="3"/>
        <v>6686026.190038125</v>
      </c>
      <c r="V23" s="2">
        <f t="shared" si="4"/>
        <v>0</v>
      </c>
      <c r="W23" s="2">
        <f>U23+V23+IF(Parameters_Public!$C$26=1, T23, 0)</f>
        <v>6686026.190038125</v>
      </c>
      <c r="X23" s="2">
        <f t="shared" si="5"/>
        <v>12090.463273125</v>
      </c>
      <c r="Y23" s="2">
        <f>INDEX(YearMap!$I$2:$I$6, MATCH(C23, YearMap!$A$2:$A$6, 0))</f>
        <v>5138.3249999999998</v>
      </c>
      <c r="Z23" s="2">
        <f>W23 - ((Y23 + IF(Parameters_Public!$C$20=1, Parameters_Public!$C$19, 0))*AC23)</f>
        <v>3428704.1150381253</v>
      </c>
      <c r="AA23" s="2">
        <f t="shared" si="6"/>
        <v>6200.1882731250007</v>
      </c>
      <c r="AB23">
        <f>MAX(0, (MAX(0, $D23-BaselineCalc!$B$7) + MAX(0, $E23-BaselineCalc!$B$8)))</f>
        <v>0</v>
      </c>
      <c r="AC23" s="11">
        <f t="shared" si="7"/>
        <v>553</v>
      </c>
      <c r="AD23" s="2">
        <f>( (Y23 + IF(Parameters_Public!$C20=1, INDEX(YearMap!$O$2:$O$6, MATCH(C23, YearMap!$A$2:$A$6, 0)), 0)) * AC23 ) + AC23*INDEX(YearMap!$P$2:$P$6, MATCH(C23, YearMap!$A$2:$A$6, 0)) + AB23*( INDEX(YearMap!$R$2:$R$6, MATCH(C23, YearMap!$A$2:$A$6, 0)) - INDEX(YearMap!$P$2:$P$6, MATCH(C23, YearMap!$A$2:$A$6, 0)) )</f>
        <v>6215207.7837499995</v>
      </c>
      <c r="AE23" s="2">
        <f>(W23 - (1-Parameters_Public!$C42)*$G23*$AB23*$J23*(1-$K23)) + AB23*INDEX(YearMap!$Q$2:$Q$6, MATCH(C23, YearMap!$A$2:$A$6, 0))</f>
        <v>6686026.190038125</v>
      </c>
      <c r="AF23" s="2">
        <f t="shared" si="8"/>
        <v>-470818.40628812555</v>
      </c>
      <c r="AG23" t="str">
        <f t="shared" si="9"/>
        <v>E2_StatusQuo_Steady|FY2027</v>
      </c>
    </row>
    <row r="24" spans="1:33">
      <c r="A24" t="str">
        <f t="shared" si="0"/>
        <v>E2_StatusQuo_Steady|FY2028</v>
      </c>
      <c r="B24" t="str">
        <f>Scenarios!A6</f>
        <v>E2_StatusQuo_Steady</v>
      </c>
      <c r="C24" t="s">
        <v>88</v>
      </c>
      <c r="D24">
        <f>IF(Scenarios!D6=1,0, L24)</f>
        <v>257</v>
      </c>
      <c r="E24">
        <f>IF(Scenarios!E6=1,0, M24)</f>
        <v>296</v>
      </c>
      <c r="F24">
        <f t="shared" si="1"/>
        <v>553</v>
      </c>
      <c r="G24" s="2">
        <f>YearMap!B4</f>
        <v>6739.2461446874986</v>
      </c>
      <c r="H24" s="2">
        <f>YearMap!C4</f>
        <v>1475395.7022684375</v>
      </c>
      <c r="I24" s="2">
        <f>YearMap!D4</f>
        <v>1699288.4352975001</v>
      </c>
      <c r="J24">
        <f>1-BaselineCalc!$B$5</f>
        <v>0.99299999999999999</v>
      </c>
      <c r="K24">
        <f>Scenarios!G6</f>
        <v>0</v>
      </c>
      <c r="L24">
        <f>IF(Scenarios!$Q6=1,BaselineCalc!$B$7*(1+Parameters_Public!$C44)^(IF($C24="FY2026",0,IF($C24="FY2027",1,IF($C24="FY2028",2,IF($C24="FY2029",3,IF($C24="FY2030",4,0))))))+ROUND(Scenarios!K6*Scenarios!$F6,0),BaselineCalc!$B$7+ROUND(Scenarios!K6*Scenarios!$F6,0))</f>
        <v>257</v>
      </c>
      <c r="M24">
        <f>IF(Scenarios!$R6=1,BaselineCalc!$B$8*(1+Parameters_Public!$C45)^(IF($C24="FY2026",0,IF($C24="FY2027",1,IF($C24="FY2028",2,IF($C24="FY2029",3,IF($C24="FY2030",4,0))))))+Scenarios!K6-ROUND(Scenarios!K6*Scenarios!$F6,0),BaselineCalc!$B$8+Scenarios!K6-ROUND(Scenarios!K6*Scenarios!$F6,0))</f>
        <v>296</v>
      </c>
      <c r="N24" s="11">
        <f t="shared" si="2"/>
        <v>0</v>
      </c>
      <c r="O24" s="11">
        <f>(Parameters_Public!$C$23*(L24-D24)+Parameters_Public!$C$24*(M24-E24))</f>
        <v>0</v>
      </c>
      <c r="P24">
        <f>YearMap!E4</f>
        <v>600</v>
      </c>
      <c r="Q24">
        <f>IF(Scenarios!N6="lease", YearMap!F4, YearMap!G4)</f>
        <v>0.35</v>
      </c>
      <c r="R24" s="2">
        <f>IF(Scenarios!D6=1, Q24*H24, H24)</f>
        <v>1475395.7022684375</v>
      </c>
      <c r="S24" s="2">
        <f>IF(Scenarios!E6=1, Q24*I24, I24)</f>
        <v>1699288.4352975001</v>
      </c>
      <c r="T24" s="2">
        <f>IF(C24="FY2026", (Scenarios!D6+Scenarios!E6)*BaselineCalc!$B$22, 0)</f>
        <v>0</v>
      </c>
      <c r="U24" s="2">
        <f t="shared" si="3"/>
        <v>6853176.8447890775</v>
      </c>
      <c r="V24" s="2">
        <f t="shared" si="4"/>
        <v>0</v>
      </c>
      <c r="W24" s="2">
        <f>U24+V24+IF(Parameters_Public!$C$26=1, T24, 0)</f>
        <v>6853176.8447890775</v>
      </c>
      <c r="X24" s="2">
        <f t="shared" si="5"/>
        <v>12392.724854953123</v>
      </c>
      <c r="Y24" s="2">
        <f>INDEX(YearMap!$I$2:$I$6, MATCH(C24, YearMap!$A$2:$A$6, 0))</f>
        <v>5266.7831249999999</v>
      </c>
      <c r="Z24" s="2">
        <f>W24 - ((Y24 + IF(Parameters_Public!$C$20=1, Parameters_Public!$C$19, 0))*AC24)</f>
        <v>3524817.4266640777</v>
      </c>
      <c r="AA24" s="2">
        <f t="shared" si="6"/>
        <v>6373.9917299531244</v>
      </c>
      <c r="AB24">
        <f>MAX(0, (MAX(0, $D24-BaselineCalc!$B$7) + MAX(0, $E24-BaselineCalc!$B$8)))</f>
        <v>0</v>
      </c>
      <c r="AC24" s="11">
        <f t="shared" si="7"/>
        <v>553</v>
      </c>
      <c r="AD24" s="2">
        <f>( (Y24 + IF(Parameters_Public!$C20=1, INDEX(YearMap!$O$2:$O$6, MATCH(C24, YearMap!$A$2:$A$6, 0)), 0)) * AC24 ) + AC24*INDEX(YearMap!$P$2:$P$6, MATCH(C24, YearMap!$A$2:$A$6, 0)) + AB24*( INDEX(YearMap!$R$2:$R$6, MATCH(C24, YearMap!$A$2:$A$6, 0)) - INDEX(YearMap!$P$2:$P$6, MATCH(C24, YearMap!$A$2:$A$6, 0)) )</f>
        <v>6370587.9783437494</v>
      </c>
      <c r="AE24" s="2">
        <f>(W24 - (1-Parameters_Public!$C42)*$G24*$AB24*$J24*(1-$K24)) + AB24*INDEX(YearMap!$Q$2:$Q$6, MATCH(C24, YearMap!$A$2:$A$6, 0))</f>
        <v>6853176.8447890775</v>
      </c>
      <c r="AF24" s="2">
        <f t="shared" si="8"/>
        <v>-482588.86644532811</v>
      </c>
      <c r="AG24" t="str">
        <f t="shared" si="9"/>
        <v>E2_StatusQuo_Steady|FY2028</v>
      </c>
    </row>
    <row r="25" spans="1:33">
      <c r="A25" t="str">
        <f t="shared" si="0"/>
        <v>E2_StatusQuo_Steady|FY2029</v>
      </c>
      <c r="B25" t="str">
        <f>Scenarios!A6</f>
        <v>E2_StatusQuo_Steady</v>
      </c>
      <c r="C25" t="s">
        <v>89</v>
      </c>
      <c r="D25">
        <f>IF(Scenarios!D6=1,0, L25)</f>
        <v>257</v>
      </c>
      <c r="E25">
        <f>IF(Scenarios!E6=1,0, M25)</f>
        <v>296</v>
      </c>
      <c r="F25">
        <f t="shared" si="1"/>
        <v>553</v>
      </c>
      <c r="G25" s="2">
        <f>YearMap!B5</f>
        <v>6907.7272983046851</v>
      </c>
      <c r="H25" s="2">
        <f>YearMap!C5</f>
        <v>1512280.5948251483</v>
      </c>
      <c r="I25" s="2">
        <f>YearMap!D5</f>
        <v>1741770.6461799373</v>
      </c>
      <c r="J25">
        <f>1-BaselineCalc!$B$5</f>
        <v>0.99299999999999999</v>
      </c>
      <c r="K25">
        <f>Scenarios!G6</f>
        <v>0</v>
      </c>
      <c r="L25">
        <f>IF(Scenarios!$Q6=1,BaselineCalc!$B$7*(1+Parameters_Public!$C44)^(IF($C25="FY2026",0,IF($C25="FY2027",1,IF($C25="FY2028",2,IF($C25="FY2029",3,IF($C25="FY2030",4,0))))))+ROUND(Scenarios!L6*Scenarios!$F6,0),BaselineCalc!$B$7+ROUND(Scenarios!L6*Scenarios!$F6,0))</f>
        <v>257</v>
      </c>
      <c r="M25">
        <f>IF(Scenarios!$R6=1,BaselineCalc!$B$8*(1+Parameters_Public!$C45)^(IF($C25="FY2026",0,IF($C25="FY2027",1,IF($C25="FY2028",2,IF($C25="FY2029",3,IF($C25="FY2030",4,0))))))+Scenarios!L6-ROUND(Scenarios!L6*Scenarios!$F6,0),BaselineCalc!$B$8+Scenarios!L6-ROUND(Scenarios!L6*Scenarios!$F6,0))</f>
        <v>296</v>
      </c>
      <c r="N25" s="11">
        <f t="shared" si="2"/>
        <v>0</v>
      </c>
      <c r="O25" s="11">
        <f>(Parameters_Public!$C$23*(L25-D25)+Parameters_Public!$C$24*(M25-E25))</f>
        <v>0</v>
      </c>
      <c r="P25">
        <f>YearMap!E5</f>
        <v>500</v>
      </c>
      <c r="Q25">
        <f>IF(Scenarios!N6="lease", YearMap!F5, YearMap!G5)</f>
        <v>0.3</v>
      </c>
      <c r="R25" s="2">
        <f>IF(Scenarios!D6=1, Q25*H25, H25)</f>
        <v>1512280.5948251483</v>
      </c>
      <c r="S25" s="2">
        <f>IF(Scenarios!E6=1, Q25*I25, I25)</f>
        <v>1741770.6461799373</v>
      </c>
      <c r="T25" s="2">
        <f>IF(C25="FY2026", (Scenarios!D6+Scenarios!E6)*BaselineCalc!$B$22, 0)</f>
        <v>0</v>
      </c>
      <c r="U25" s="2">
        <f t="shared" si="3"/>
        <v>7024506.2659088029</v>
      </c>
      <c r="V25" s="2">
        <f t="shared" si="4"/>
        <v>0</v>
      </c>
      <c r="W25" s="2">
        <f>U25+V25+IF(Parameters_Public!$C$26=1,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s="11">
        <f t="shared" si="7"/>
        <v>553</v>
      </c>
      <c r="AD25" s="2">
        <f>( (Y25 + IF(Parameters_Public!$C20=1, INDEX(YearMap!$O$2:$O$6, MATCH(C25, YearMap!$A$2:$A$6, 0)), 0)) * AC25 ) + AC25*INDEX(YearMap!$P$2:$P$6, MATCH(C25, YearMap!$A$2:$A$6, 0)) + AB25*( INDEX(YearMap!$R$2:$R$6, MATCH(C25, YearMap!$A$2:$A$6, 0)) - INDEX(YearMap!$P$2:$P$6, MATCH(C25, YearMap!$A$2:$A$6, 0)) )</f>
        <v>6529852.6778023429</v>
      </c>
      <c r="AE25" s="2">
        <f>(W25 - (1-Parameters_Public!$C42)*$G25*$AB25*$J25*(1-$K25)) + AB25*INDEX(YearMap!$Q$2:$Q$6, MATCH(C25, YearMap!$A$2:$A$6, 0))</f>
        <v>7024506.2659088029</v>
      </c>
      <c r="AF25" s="2">
        <f t="shared" si="8"/>
        <v>-494653.58810645994</v>
      </c>
      <c r="AG25" t="str">
        <f t="shared" si="9"/>
        <v>E2_StatusQuo_Steady|FY2029</v>
      </c>
    </row>
    <row r="26" spans="1:33">
      <c r="A26" t="str">
        <f t="shared" si="0"/>
        <v>E2_StatusQuo_Steady|FY2030</v>
      </c>
      <c r="B26" t="str">
        <f>Scenarios!A6</f>
        <v>E2_StatusQuo_Steady</v>
      </c>
      <c r="C26" t="s">
        <v>90</v>
      </c>
      <c r="D26">
        <f>IF(Scenarios!D6=1,0, L26)</f>
        <v>257</v>
      </c>
      <c r="E26">
        <f>IF(Scenarios!E6=1,0, M26)</f>
        <v>296</v>
      </c>
      <c r="F26">
        <f t="shared" si="1"/>
        <v>553</v>
      </c>
      <c r="G26" s="2">
        <f>YearMap!B6</f>
        <v>7080.4204807623018</v>
      </c>
      <c r="H26" s="2">
        <f>YearMap!C6</f>
        <v>1550087.6096957768</v>
      </c>
      <c r="I26" s="2">
        <f>YearMap!D6</f>
        <v>1785314.9123344356</v>
      </c>
      <c r="J26">
        <f>1-BaselineCalc!$B$5</f>
        <v>0.99299999999999999</v>
      </c>
      <c r="K26">
        <f>Scenarios!G6</f>
        <v>0</v>
      </c>
      <c r="L26">
        <f>IF(Scenarios!$Q6=1,BaselineCalc!$B$7*(1+Parameters_Public!$C44)^(IF($C26="FY2026",0,IF($C26="FY2027",1,IF($C26="FY2028",2,IF($C26="FY2029",3,IF($C26="FY2030",4,0))))))+ROUND(Scenarios!M6*Scenarios!$F6,0),BaselineCalc!$B$7+ROUND(Scenarios!M6*Scenarios!$F6,0))</f>
        <v>257</v>
      </c>
      <c r="M26">
        <f>IF(Scenarios!$R6=1,BaselineCalc!$B$8*(1+Parameters_Public!$C45)^(IF($C26="FY2026",0,IF($C26="FY2027",1,IF($C26="FY2028",2,IF($C26="FY2029",3,IF($C26="FY2030",4,0))))))+Scenarios!M6-ROUND(Scenarios!M6*Scenarios!$F6,0),BaselineCalc!$B$8+Scenarios!M6-ROUND(Scenarios!M6*Scenarios!$F6,0))</f>
        <v>296</v>
      </c>
      <c r="N26" s="11">
        <f t="shared" si="2"/>
        <v>0</v>
      </c>
      <c r="O26" s="11">
        <f>(Parameters_Public!$C$23*(L26-D26)+Parameters_Public!$C$24*(M26-E26))</f>
        <v>0</v>
      </c>
      <c r="P26">
        <f>YearMap!E6</f>
        <v>300</v>
      </c>
      <c r="Q26">
        <f>IF(Scenarios!N6="lease", YearMap!F6, YearMap!G6)</f>
        <v>0.3</v>
      </c>
      <c r="R26" s="2">
        <f>IF(Scenarios!D6=1, Q26*H26, H26)</f>
        <v>1550087.6096957768</v>
      </c>
      <c r="S26" s="2">
        <f>IF(Scenarios!E6=1, Q26*I26, I26)</f>
        <v>1785314.9123344356</v>
      </c>
      <c r="T26" s="2">
        <f>IF(C26="FY2026", (Scenarios!D6+Scenarios!E6)*BaselineCalc!$B$22, 0)</f>
        <v>0</v>
      </c>
      <c r="U26" s="2">
        <f t="shared" si="3"/>
        <v>7200118.9225565232</v>
      </c>
      <c r="V26" s="2">
        <f t="shared" si="4"/>
        <v>0</v>
      </c>
      <c r="W26" s="2">
        <f>U26+V26+IF(Parameters_Public!$C$26=1,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s="11">
        <f t="shared" si="7"/>
        <v>553</v>
      </c>
      <c r="AD26" s="2">
        <f>( (Y26 + IF(Parameters_Public!$C20=1, INDEX(YearMap!$O$2:$O$6, MATCH(C26, YearMap!$A$2:$A$6, 0)), 0)) * AC26 ) + AC26*INDEX(YearMap!$P$2:$P$6, MATCH(C26, YearMap!$A$2:$A$6, 0)) + AB26*( INDEX(YearMap!$R$2:$R$6, MATCH(C26, YearMap!$A$2:$A$6, 0)) - INDEX(YearMap!$P$2:$P$6, MATCH(C26, YearMap!$A$2:$A$6, 0)) )</f>
        <v>6693098.9947474012</v>
      </c>
      <c r="AE26" s="2">
        <f>(W26 - (1-Parameters_Public!$C42)*$G26*$AB26*$J26*(1-$K26)) + AB26*INDEX(YearMap!$Q$2:$Q$6, MATCH(C26, YearMap!$A$2:$A$6, 0))</f>
        <v>7200118.9225565232</v>
      </c>
      <c r="AF26" s="2">
        <f t="shared" si="8"/>
        <v>-507019.92780912202</v>
      </c>
      <c r="AG26" t="str">
        <f t="shared" si="9"/>
        <v>E2_StatusQuo_Steady|FY2030</v>
      </c>
    </row>
    <row r="27" spans="1:33">
      <c r="A27" t="str">
        <f t="shared" si="0"/>
        <v>D2_EchoGHubRamp_PimaTargets|FY2026</v>
      </c>
      <c r="B27" t="str">
        <f>Scenarios!A7</f>
        <v>D2_EchoGHubRamp_PimaTargets</v>
      </c>
      <c r="C27" t="s">
        <v>86</v>
      </c>
      <c r="D27">
        <f>IF(Scenarios!D7=1,0, L27)</f>
        <v>286</v>
      </c>
      <c r="E27">
        <f>IF(Scenarios!E7=1,0, M27)</f>
        <v>308.66666666666669</v>
      </c>
      <c r="F27">
        <f t="shared" si="1"/>
        <v>594.66666666666674</v>
      </c>
      <c r="G27" s="2">
        <f>YearMap!B2</f>
        <v>6414.5114999999987</v>
      </c>
      <c r="H27" s="2">
        <f>YearMap!C2</f>
        <v>1404302.8695</v>
      </c>
      <c r="I27" s="2">
        <f>YearMap!D2</f>
        <v>1617407.196</v>
      </c>
      <c r="J27">
        <f>1-BaselineCalc!$B$5</f>
        <v>0.99299999999999999</v>
      </c>
      <c r="K27">
        <f>Scenarios!G7</f>
        <v>0</v>
      </c>
      <c r="L27">
        <f>IF(Scenarios!$Q7=1,BaselineCalc!$B$7*(1+Parameters_Public!$C44)^(IF($C27="FY2026",0,IF($C27="FY2027",1,IF($C27="FY2028",2,IF($C27="FY2029",3,IF($C27="FY2030",4,0))))))+ROUND(Scenarios!I7*Scenarios!$F7,0),BaselineCalc!$B$7+ROUND(Scenarios!I7*Scenarios!$F7,0))</f>
        <v>286</v>
      </c>
      <c r="M27">
        <f>IF(Scenarios!$R7=1,BaselineCalc!$B$8*(1+Parameters_Public!$C45)^(IF($C27="FY2026",0,IF($C27="FY2027",1,IF($C27="FY2028",2,IF($C27="FY2029",3,IF($C27="FY2030",4,0))))))+Scenarios!I7-ROUND(Scenarios!I7*Scenarios!$F7,0),BaselineCalc!$B$8+Scenarios!I7-ROUND(Scenarios!I7*Scenarios!$F7,0))</f>
        <v>308.66666666666669</v>
      </c>
      <c r="N27" s="11">
        <f t="shared" si="2"/>
        <v>0</v>
      </c>
      <c r="O27" s="11">
        <f>(Parameters_Public!$C$23*(L27-D27)+Parameters_Public!$C$24*(M27-E27))</f>
        <v>0</v>
      </c>
      <c r="P27">
        <f>YearMap!E2</f>
        <v>1000</v>
      </c>
      <c r="Q27">
        <f>IF(Scenarios!N7="lease", YearMap!F2, YearMap!G2)</f>
        <v>0.45</v>
      </c>
      <c r="R27" s="2">
        <f>IF(Scenarios!D7=1, Q27*H27, H27)</f>
        <v>1404302.8695</v>
      </c>
      <c r="S27" s="2">
        <f>IF(Scenarios!E7=1, Q27*I27, I27)</f>
        <v>1617407.196</v>
      </c>
      <c r="T27" s="2">
        <f>IF(C27="FY2026", (Scenarios!D7+Scenarios!E7)*BaselineCalc!$B$22, 0)</f>
        <v>0</v>
      </c>
      <c r="U27" s="2">
        <f t="shared" si="3"/>
        <v>6788352.7938374998</v>
      </c>
      <c r="V27" s="2">
        <f t="shared" si="4"/>
        <v>0</v>
      </c>
      <c r="W27" s="2">
        <f>U27+V27+IF(Parameters_Public!$C$26=1, T27, 0)</f>
        <v>6788352.7938374998</v>
      </c>
      <c r="X27" s="2">
        <f t="shared" si="5"/>
        <v>11415.391469457678</v>
      </c>
      <c r="Y27" s="2">
        <f>INDEX(YearMap!$I$2:$I$6, MATCH(C27, YearMap!$A$2:$A$6, 0))</f>
        <v>5013</v>
      </c>
      <c r="Z27" s="2">
        <f>W27 - ((Y27 + IF(Parameters_Public!$C$20=1, Parameters_Public!$C$19, 0))*AC27)</f>
        <v>3360129.1938374992</v>
      </c>
      <c r="AA27" s="2">
        <f t="shared" si="6"/>
        <v>5650.4414694576772</v>
      </c>
      <c r="AB27">
        <f>MAX(0, (MAX(0, $D27-BaselineCalc!$B$7) + MAX(0, $E27-BaselineCalc!$B$8)))</f>
        <v>41.666666666666686</v>
      </c>
      <c r="AC27" s="11">
        <f t="shared" si="7"/>
        <v>594.66666666666674</v>
      </c>
      <c r="AD27" s="2">
        <f>( (Y27 + IF(Parameters_Public!$C20=1, INDEX(YearMap!$O$2:$O$6, MATCH(C27, YearMap!$A$2:$A$6, 0)), 0)) * AC27 ) + AC27*INDEX(YearMap!$P$2:$P$6, MATCH(C27, YearMap!$A$2:$A$6, 0)) + AB27*( INDEX(YearMap!$R$2:$R$6, MATCH(C27, YearMap!$A$2:$A$6, 0)) - INDEX(YearMap!$P$2:$P$6, MATCH(C27, YearMap!$A$2:$A$6, 0)) )</f>
        <v>6487990.2666666675</v>
      </c>
      <c r="AE27" s="2">
        <f>(W27 - (1-Parameters_Public!$C42)*$G27*$AB27*$J27*(1-$K27)) + AB27*INDEX(YearMap!$Q$2:$Q$6, MATCH(C27, YearMap!$A$2:$A$6, 0))</f>
        <v>6531285.7138583325</v>
      </c>
      <c r="AF27" s="2">
        <f t="shared" si="8"/>
        <v>-43295.447191664949</v>
      </c>
      <c r="AG27" t="str">
        <f t="shared" si="9"/>
        <v>D2_EchoGHubRamp_PimaTargets|FY2026</v>
      </c>
    </row>
    <row r="28" spans="1:33">
      <c r="A28" t="str">
        <f t="shared" si="0"/>
        <v>D2_EchoGHubRamp_PimaTargets|FY2027</v>
      </c>
      <c r="B28" t="str">
        <f>Scenarios!A7</f>
        <v>D2_EchoGHubRamp_PimaTargets</v>
      </c>
      <c r="C28" t="s">
        <v>87</v>
      </c>
      <c r="D28">
        <f>IF(Scenarios!D7=1,0, L28)</f>
        <v>315</v>
      </c>
      <c r="E28">
        <f>IF(Scenarios!E7=1,0, M28)</f>
        <v>321.33333333333331</v>
      </c>
      <c r="F28">
        <f t="shared" si="1"/>
        <v>636.33333333333326</v>
      </c>
      <c r="G28" s="2">
        <f>YearMap!B3</f>
        <v>6574.8742874999989</v>
      </c>
      <c r="H28" s="2">
        <f>YearMap!C3</f>
        <v>1439410.4412375002</v>
      </c>
      <c r="I28" s="2">
        <f>YearMap!D3</f>
        <v>1657842.3759000003</v>
      </c>
      <c r="J28">
        <f>1-BaselineCalc!$B$5</f>
        <v>0.99299999999999999</v>
      </c>
      <c r="K28">
        <f>Scenarios!G7</f>
        <v>0</v>
      </c>
      <c r="L28">
        <f>IF(Scenarios!$Q7=1,BaselineCalc!$B$7*(1+Parameters_Public!$C44)^(IF($C28="FY2026",0,IF($C28="FY2027",1,IF($C28="FY2028",2,IF($C28="FY2029",3,IF($C28="FY2030",4,0))))))+ROUND(Scenarios!J7*Scenarios!$F7,0),BaselineCalc!$B$7+ROUND(Scenarios!J7*Scenarios!$F7,0))</f>
        <v>315</v>
      </c>
      <c r="M28">
        <f>IF(Scenarios!$R7=1,BaselineCalc!$B$8*(1+Parameters_Public!$C45)^(IF($C28="FY2026",0,IF($C28="FY2027",1,IF($C28="FY2028",2,IF($C28="FY2029",3,IF($C28="FY2030",4,0))))))+Scenarios!J7-ROUND(Scenarios!J7*Scenarios!$F7,0),BaselineCalc!$B$8+Scenarios!J7-ROUND(Scenarios!J7*Scenarios!$F7,0))</f>
        <v>321.33333333333331</v>
      </c>
      <c r="N28" s="11">
        <f t="shared" si="2"/>
        <v>0</v>
      </c>
      <c r="O28" s="11">
        <f>(Parameters_Public!$C$23*(L28-D28)+Parameters_Public!$C$24*(M28-E28))</f>
        <v>0</v>
      </c>
      <c r="P28">
        <f>YearMap!E3</f>
        <v>800</v>
      </c>
      <c r="Q28">
        <f>IF(Scenarios!N7="lease", YearMap!F3, YearMap!G3)</f>
        <v>0.4</v>
      </c>
      <c r="R28" s="2">
        <f>IF(Scenarios!D7=1, Q28*H28, H28)</f>
        <v>1439410.4412375002</v>
      </c>
      <c r="S28" s="2">
        <f>IF(Scenarios!E7=1, Q28*I28, I28)</f>
        <v>1657842.3759000003</v>
      </c>
      <c r="T28" s="2">
        <f>IF(C28="FY2026", (Scenarios!D7+Scenarios!E7)*BaselineCalc!$B$22, 0)</f>
        <v>0</v>
      </c>
      <c r="U28" s="2">
        <f t="shared" si="3"/>
        <v>7230097.0373287499</v>
      </c>
      <c r="V28" s="2">
        <f t="shared" si="4"/>
        <v>0</v>
      </c>
      <c r="W28" s="2">
        <f>U28+V28+IF(Parameters_Public!$C$26=1, T28, 0)</f>
        <v>7230097.0373287499</v>
      </c>
      <c r="X28" s="2">
        <f t="shared" si="5"/>
        <v>11362.122112093375</v>
      </c>
      <c r="Y28" s="2">
        <f>INDEX(YearMap!$I$2:$I$6, MATCH(C28, YearMap!$A$2:$A$6, 0))</f>
        <v>5138.3249999999998</v>
      </c>
      <c r="Z28" s="2">
        <f>W28 - ((Y28 + IF(Parameters_Public!$C$20=1, Parameters_Public!$C$19, 0))*AC28)</f>
        <v>3481918.7123287506</v>
      </c>
      <c r="AA28" s="2">
        <f t="shared" si="6"/>
        <v>5471.8471120933755</v>
      </c>
      <c r="AB28">
        <f>MAX(0, (MAX(0, $D28-BaselineCalc!$B$7) + MAX(0, $E28-BaselineCalc!$B$8)))</f>
        <v>83.333333333333314</v>
      </c>
      <c r="AC28" s="11">
        <f t="shared" si="7"/>
        <v>636.33333333333326</v>
      </c>
      <c r="AD28" s="2">
        <f>( (Y28 + IF(Parameters_Public!$C20=1, INDEX(YearMap!$O$2:$O$6, MATCH(C28, YearMap!$A$2:$A$6, 0)), 0)) * AC28 ) + AC28*INDEX(YearMap!$P$2:$P$6, MATCH(C28, YearMap!$A$2:$A$6, 0)) + AB28*( INDEX(YearMap!$R$2:$R$6, MATCH(C28, YearMap!$A$2:$A$6, 0)) - INDEX(YearMap!$P$2:$P$6, MATCH(C28, YearMap!$A$2:$A$6, 0)) )</f>
        <v>7085172.2629166655</v>
      </c>
      <c r="AE28" s="2">
        <f>(W28 - (1-Parameters_Public!$C42)*$G28*$AB28*$J28*(1-$K28)) + AB28*INDEX(YearMap!$Q$2:$Q$6, MATCH(C28, YearMap!$A$2:$A$6, 0))</f>
        <v>6699359.5233714581</v>
      </c>
      <c r="AF28" s="2">
        <f t="shared" si="8"/>
        <v>385812.73954520747</v>
      </c>
      <c r="AG28" t="str">
        <f t="shared" si="9"/>
        <v>D2_EchoGHubRamp_PimaTargets|FY2027</v>
      </c>
    </row>
    <row r="29" spans="1:33">
      <c r="A29" t="str">
        <f t="shared" si="0"/>
        <v>D2_EchoGHubRamp_PimaTargets|FY2028</v>
      </c>
      <c r="B29" t="str">
        <f>Scenarios!A7</f>
        <v>D2_EchoGHubRamp_PimaTargets</v>
      </c>
      <c r="C29" t="s">
        <v>88</v>
      </c>
      <c r="D29">
        <f>IF(Scenarios!D7=1,0, L29)</f>
        <v>345</v>
      </c>
      <c r="E29">
        <f>IF(Scenarios!E7=1,0, M29)</f>
        <v>333</v>
      </c>
      <c r="F29">
        <f t="shared" si="1"/>
        <v>678</v>
      </c>
      <c r="G29" s="2">
        <f>YearMap!B4</f>
        <v>6739.2461446874986</v>
      </c>
      <c r="H29" s="2">
        <f>YearMap!C4</f>
        <v>1475395.7022684375</v>
      </c>
      <c r="I29" s="2">
        <f>YearMap!D4</f>
        <v>1699288.4352975001</v>
      </c>
      <c r="J29">
        <f>1-BaselineCalc!$B$5</f>
        <v>0.99299999999999999</v>
      </c>
      <c r="K29">
        <f>Scenarios!G7</f>
        <v>0</v>
      </c>
      <c r="L29">
        <f>IF(Scenarios!$Q7=1,BaselineCalc!$B$7*(1+Parameters_Public!$C44)^(IF($C29="FY2026",0,IF($C29="FY2027",1,IF($C29="FY2028",2,IF($C29="FY2029",3,IF($C29="FY2030",4,0))))))+ROUND(Scenarios!K7*Scenarios!$F7,0),BaselineCalc!$B$7+ROUND(Scenarios!K7*Scenarios!$F7,0))</f>
        <v>345</v>
      </c>
      <c r="M29">
        <f>IF(Scenarios!$R7=1,BaselineCalc!$B$8*(1+Parameters_Public!$C45)^(IF($C29="FY2026",0,IF($C29="FY2027",1,IF($C29="FY2028",2,IF($C29="FY2029",3,IF($C29="FY2030",4,0))))))+Scenarios!K7-ROUND(Scenarios!K7*Scenarios!$F7,0),BaselineCalc!$B$8+Scenarios!K7-ROUND(Scenarios!K7*Scenarios!$F7,0))</f>
        <v>333</v>
      </c>
      <c r="N29" s="11">
        <f t="shared" si="2"/>
        <v>0</v>
      </c>
      <c r="O29" s="11">
        <f>(Parameters_Public!$C$23*(L29-D29)+Parameters_Public!$C$24*(M29-E29))</f>
        <v>0</v>
      </c>
      <c r="P29">
        <f>YearMap!E4</f>
        <v>600</v>
      </c>
      <c r="Q29">
        <f>IF(Scenarios!N7="lease", YearMap!F4, YearMap!G4)</f>
        <v>0.35</v>
      </c>
      <c r="R29" s="2">
        <f>IF(Scenarios!D7=1, Q29*H29, H29)</f>
        <v>1475395.7022684375</v>
      </c>
      <c r="S29" s="2">
        <f>IF(Scenarios!E7=1, Q29*I29, I29)</f>
        <v>1699288.4352975001</v>
      </c>
      <c r="T29" s="2">
        <f>IF(C29="FY2026", (Scenarios!D7+Scenarios!E7)*BaselineCalc!$B$22, 0)</f>
        <v>0</v>
      </c>
      <c r="U29" s="2">
        <f t="shared" si="3"/>
        <v>7689685.772498413</v>
      </c>
      <c r="V29" s="2">
        <f t="shared" si="4"/>
        <v>0</v>
      </c>
      <c r="W29" s="2">
        <f>U29+V29+IF(Parameters_Public!$C$26=1, T29, 0)</f>
        <v>7689685.772498413</v>
      </c>
      <c r="X29" s="2">
        <f t="shared" si="5"/>
        <v>11341.719428463735</v>
      </c>
      <c r="Y29" s="2">
        <f>INDEX(YearMap!$I$2:$I$6, MATCH(C29, YearMap!$A$2:$A$6, 0))</f>
        <v>5266.7831249999999</v>
      </c>
      <c r="Z29" s="2">
        <f>W29 - ((Y29 + IF(Parameters_Public!$C$20=1, Parameters_Public!$C$19, 0))*AC29)</f>
        <v>3608984.7137484131</v>
      </c>
      <c r="AA29" s="2">
        <f t="shared" si="6"/>
        <v>5322.9863034637365</v>
      </c>
      <c r="AB29">
        <f>MAX(0, (MAX(0, $D29-BaselineCalc!$B$7) + MAX(0, $E29-BaselineCalc!$B$8)))</f>
        <v>125</v>
      </c>
      <c r="AC29" s="11">
        <f t="shared" si="7"/>
        <v>678</v>
      </c>
      <c r="AD29" s="2">
        <f>( (Y29 + IF(Parameters_Public!$C20=1, INDEX(YearMap!$O$2:$O$6, MATCH(C29, YearMap!$A$2:$A$6, 0)), 0)) * AC29 ) + AC29*INDEX(YearMap!$P$2:$P$6, MATCH(C29, YearMap!$A$2:$A$6, 0)) + AB29*( INDEX(YearMap!$R$2:$R$6, MATCH(C29, YearMap!$A$2:$A$6, 0)) - INDEX(YearMap!$P$2:$P$6, MATCH(C29, YearMap!$A$2:$A$6, 0)) )</f>
        <v>7708158.3650625004</v>
      </c>
      <c r="AE29" s="2">
        <f>(W29 - (1-Parameters_Public!$C42)*$G29*$AB29*$J29*(1-$K29)) + AB29*INDEX(YearMap!$Q$2:$Q$6, MATCH(C29, YearMap!$A$2:$A$6, 0))</f>
        <v>6868176.8447890775</v>
      </c>
      <c r="AF29" s="2">
        <f t="shared" si="8"/>
        <v>839981.52027342282</v>
      </c>
      <c r="AG29" t="str">
        <f t="shared" si="9"/>
        <v>D2_EchoGHubRamp_PimaTargets|FY2028</v>
      </c>
    </row>
    <row r="30" spans="1:33">
      <c r="A30" t="str">
        <f t="shared" si="0"/>
        <v>D2_EchoGHubRamp_PimaTargets|FY2029</v>
      </c>
      <c r="B30" t="str">
        <f>Scenarios!A7</f>
        <v>D2_EchoGHubRamp_PimaTargets</v>
      </c>
      <c r="C30" t="s">
        <v>89</v>
      </c>
      <c r="D30">
        <f>IF(Scenarios!D7=1,0, L30)</f>
        <v>345</v>
      </c>
      <c r="E30">
        <f>IF(Scenarios!E7=1,0, M30)</f>
        <v>333</v>
      </c>
      <c r="F30">
        <f t="shared" si="1"/>
        <v>678</v>
      </c>
      <c r="G30" s="2">
        <f>YearMap!B5</f>
        <v>6907.7272983046851</v>
      </c>
      <c r="H30" s="2">
        <f>YearMap!C5</f>
        <v>1512280.5948251483</v>
      </c>
      <c r="I30" s="2">
        <f>YearMap!D5</f>
        <v>1741770.6461799373</v>
      </c>
      <c r="J30">
        <f>1-BaselineCalc!$B$5</f>
        <v>0.99299999999999999</v>
      </c>
      <c r="K30">
        <f>Scenarios!G7</f>
        <v>0</v>
      </c>
      <c r="L30">
        <f>IF(Scenarios!$Q7=1,BaselineCalc!$B$7*(1+Parameters_Public!$C44)^(IF($C30="FY2026",0,IF($C30="FY2027",1,IF($C30="FY2028",2,IF($C30="FY2029",3,IF($C30="FY2030",4,0))))))+ROUND(Scenarios!L7*Scenarios!$F7,0),BaselineCalc!$B$7+ROUND(Scenarios!L7*Scenarios!$F7,0))</f>
        <v>345</v>
      </c>
      <c r="M30">
        <f>IF(Scenarios!$R7=1,BaselineCalc!$B$8*(1+Parameters_Public!$C45)^(IF($C30="FY2026",0,IF($C30="FY2027",1,IF($C30="FY2028",2,IF($C30="FY2029",3,IF($C30="FY2030",4,0))))))+Scenarios!L7-ROUND(Scenarios!L7*Scenarios!$F7,0),BaselineCalc!$B$8+Scenarios!L7-ROUND(Scenarios!L7*Scenarios!$F7,0))</f>
        <v>333</v>
      </c>
      <c r="N30" s="11">
        <f t="shared" si="2"/>
        <v>0</v>
      </c>
      <c r="O30" s="11">
        <f>(Parameters_Public!$C$23*(L30-D30)+Parameters_Public!$C$24*(M30-E30))</f>
        <v>0</v>
      </c>
      <c r="P30">
        <f>YearMap!E5</f>
        <v>500</v>
      </c>
      <c r="Q30">
        <f>IF(Scenarios!N7="lease", YearMap!F5, YearMap!G5)</f>
        <v>0.3</v>
      </c>
      <c r="R30" s="2">
        <f>IF(Scenarios!D7=1, Q30*H30, H30)</f>
        <v>1512280.5948251483</v>
      </c>
      <c r="S30" s="2">
        <f>IF(Scenarios!E7=1, Q30*I30, I30)</f>
        <v>1741770.6461799373</v>
      </c>
      <c r="T30" s="2">
        <f>IF(C30="FY2026", (Scenarios!D7+Scenarios!E7)*BaselineCalc!$B$22, 0)</f>
        <v>0</v>
      </c>
      <c r="U30" s="2">
        <f t="shared" si="3"/>
        <v>7881927.916810872</v>
      </c>
      <c r="V30" s="2">
        <f t="shared" si="4"/>
        <v>0</v>
      </c>
      <c r="W30" s="2">
        <f>U30+V30+IF(Parameters_Public!$C$26=1, T30, 0)</f>
        <v>7881927.916810872</v>
      </c>
      <c r="X30" s="2">
        <f t="shared" si="5"/>
        <v>11625.262414175328</v>
      </c>
      <c r="Y30" s="2">
        <f>INDEX(YearMap!$I$2:$I$6, MATCH(C30, YearMap!$A$2:$A$6, 0))</f>
        <v>5398.4527031249991</v>
      </c>
      <c r="Z30" s="2">
        <f>W30 - ((Y30 + IF(Parameters_Public!$C$20=1, Parameters_Public!$C$19, 0))*AC30)</f>
        <v>3711954.8840921228</v>
      </c>
      <c r="AA30" s="2">
        <f t="shared" si="6"/>
        <v>5474.8597110503288</v>
      </c>
      <c r="AB30">
        <f>MAX(0, (MAX(0, $D30-BaselineCalc!$B$7) + MAX(0, $E30-BaselineCalc!$B$8)))</f>
        <v>125</v>
      </c>
      <c r="AC30" s="11">
        <f t="shared" si="7"/>
        <v>678</v>
      </c>
      <c r="AD30" s="2">
        <f>( (Y30 + IF(Parameters_Public!$C20=1, INDEX(YearMap!$O$2:$O$6, MATCH(C30, YearMap!$A$2:$A$6, 0)), 0)) * AC30 ) + AC30*INDEX(YearMap!$P$2:$P$6, MATCH(C30, YearMap!$A$2:$A$6, 0)) + AB30*( INDEX(YearMap!$R$2:$R$6, MATCH(C30, YearMap!$A$2:$A$6, 0)) - INDEX(YearMap!$P$2:$P$6, MATCH(C30, YearMap!$A$2:$A$6, 0)) )</f>
        <v>7900862.3241890613</v>
      </c>
      <c r="AE30" s="2">
        <f>(W30 - (1-Parameters_Public!$C42)*$G30*$AB30*$J30*(1-$K30)) + AB30*INDEX(YearMap!$Q$2:$Q$6, MATCH(C30, YearMap!$A$2:$A$6, 0))</f>
        <v>7037006.2659088029</v>
      </c>
      <c r="AF30" s="2">
        <f t="shared" si="8"/>
        <v>863856.05828025844</v>
      </c>
      <c r="AG30" t="str">
        <f t="shared" si="9"/>
        <v>D2_EchoGHubRamp_PimaTargets|FY2029</v>
      </c>
    </row>
    <row r="31" spans="1:33">
      <c r="A31" t="str">
        <f t="shared" si="0"/>
        <v>D2_EchoGHubRamp_PimaTargets|FY2030</v>
      </c>
      <c r="B31" t="str">
        <f>Scenarios!A7</f>
        <v>D2_EchoGHubRamp_PimaTargets</v>
      </c>
      <c r="C31" t="s">
        <v>90</v>
      </c>
      <c r="D31">
        <f>IF(Scenarios!D7=1,0, L31)</f>
        <v>345</v>
      </c>
      <c r="E31">
        <f>IF(Scenarios!E7=1,0, M31)</f>
        <v>333</v>
      </c>
      <c r="F31">
        <f t="shared" si="1"/>
        <v>678</v>
      </c>
      <c r="G31" s="2">
        <f>YearMap!B6</f>
        <v>7080.4204807623018</v>
      </c>
      <c r="H31" s="2">
        <f>YearMap!C6</f>
        <v>1550087.6096957768</v>
      </c>
      <c r="I31" s="2">
        <f>YearMap!D6</f>
        <v>1785314.9123344356</v>
      </c>
      <c r="J31">
        <f>1-BaselineCalc!$B$5</f>
        <v>0.99299999999999999</v>
      </c>
      <c r="K31">
        <f>Scenarios!G7</f>
        <v>0</v>
      </c>
      <c r="L31">
        <f>IF(Scenarios!$Q7=1,BaselineCalc!$B$7*(1+Parameters_Public!$C44)^(IF($C31="FY2026",0,IF($C31="FY2027",1,IF($C31="FY2028",2,IF($C31="FY2029",3,IF($C31="FY2030",4,0))))))+ROUND(Scenarios!M7*Scenarios!$F7,0),BaselineCalc!$B$7+ROUND(Scenarios!M7*Scenarios!$F7,0))</f>
        <v>345</v>
      </c>
      <c r="M31">
        <f>IF(Scenarios!$R7=1,BaselineCalc!$B$8*(1+Parameters_Public!$C45)^(IF($C31="FY2026",0,IF($C31="FY2027",1,IF($C31="FY2028",2,IF($C31="FY2029",3,IF($C31="FY2030",4,0))))))+Scenarios!M7-ROUND(Scenarios!M7*Scenarios!$F7,0),BaselineCalc!$B$8+Scenarios!M7-ROUND(Scenarios!M7*Scenarios!$F7,0))</f>
        <v>333</v>
      </c>
      <c r="N31" s="11">
        <f t="shared" si="2"/>
        <v>0</v>
      </c>
      <c r="O31" s="11">
        <f>(Parameters_Public!$C$23*(L31-D31)+Parameters_Public!$C$24*(M31-E31))</f>
        <v>0</v>
      </c>
      <c r="P31">
        <f>YearMap!E6</f>
        <v>300</v>
      </c>
      <c r="Q31">
        <f>IF(Scenarios!N7="lease", YearMap!F6, YearMap!G6)</f>
        <v>0.3</v>
      </c>
      <c r="R31" s="2">
        <f>IF(Scenarios!D7=1, Q31*H31, H31)</f>
        <v>1550087.6096957768</v>
      </c>
      <c r="S31" s="2">
        <f>IF(Scenarios!E7=1, Q31*I31, I31)</f>
        <v>1785314.9123344356</v>
      </c>
      <c r="T31" s="2">
        <f>IF(C31="FY2026", (Scenarios!D7+Scenarios!E7)*BaselineCalc!$B$22, 0)</f>
        <v>0</v>
      </c>
      <c r="U31" s="2">
        <f t="shared" si="3"/>
        <v>8078976.1147311442</v>
      </c>
      <c r="V31" s="2">
        <f t="shared" si="4"/>
        <v>0</v>
      </c>
      <c r="W31" s="2">
        <f>U31+V31+IF(Parameters_Public!$C$26=1, T31, 0)</f>
        <v>8078976.1147311442</v>
      </c>
      <c r="X31" s="2">
        <f t="shared" si="5"/>
        <v>11915.89397452971</v>
      </c>
      <c r="Y31" s="2">
        <f>INDEX(YearMap!$I$2:$I$6, MATCH(C31, YearMap!$A$2:$A$6, 0))</f>
        <v>5533.4140207031242</v>
      </c>
      <c r="Z31" s="2">
        <f>W31 - ((Y31 + IF(Parameters_Public!$C$20=1, Parameters_Public!$C$19, 0))*AC31)</f>
        <v>3817499.308694426</v>
      </c>
      <c r="AA31" s="2">
        <f t="shared" si="6"/>
        <v>5630.5299538265872</v>
      </c>
      <c r="AB31">
        <f>MAX(0, (MAX(0, $D31-BaselineCalc!$B$7) + MAX(0, $E31-BaselineCalc!$B$8)))</f>
        <v>125</v>
      </c>
      <c r="AC31" s="11">
        <f t="shared" si="7"/>
        <v>678</v>
      </c>
      <c r="AD31" s="2">
        <f>( (Y31 + IF(Parameters_Public!$C20=1, INDEX(YearMap!$O$2:$O$6, MATCH(C31, YearMap!$A$2:$A$6, 0)), 0)) * AC31 ) + AC31*INDEX(YearMap!$P$2:$P$6, MATCH(C31, YearMap!$A$2:$A$6, 0)) + AB31*( INDEX(YearMap!$R$2:$R$6, MATCH(C31, YearMap!$A$2:$A$6, 0)) - INDEX(YearMap!$P$2:$P$6, MATCH(C31, YearMap!$A$2:$A$6, 0)) )</f>
        <v>8098383.8822937878</v>
      </c>
      <c r="AE31" s="2">
        <f>(W31 - (1-Parameters_Public!$C42)*$G31*$AB31*$J31*(1-$K31)) + AB31*INDEX(YearMap!$Q$2:$Q$6, MATCH(C31, YearMap!$A$2:$A$6, 0))</f>
        <v>7207618.9225565232</v>
      </c>
      <c r="AF31" s="2">
        <f t="shared" si="8"/>
        <v>890764.95973726455</v>
      </c>
      <c r="AG31" t="str">
        <f t="shared" si="9"/>
        <v>D2_EchoGHubRamp_PimaTargets|FY2030</v>
      </c>
    </row>
    <row r="32" spans="1:33">
      <c r="A32" t="str">
        <f t="shared" si="0"/>
        <v>A2_Repurpose_Both_lease|FY2026</v>
      </c>
      <c r="B32" t="str">
        <f>Scenarios!A8</f>
        <v>A2_Repurpose_Both_lease</v>
      </c>
      <c r="C32" t="s">
        <v>86</v>
      </c>
      <c r="D32">
        <f>IF(Scenarios!D8=1,0, L32)</f>
        <v>0</v>
      </c>
      <c r="E32">
        <f>IF(Scenarios!E8=1,0, M32)</f>
        <v>0</v>
      </c>
      <c r="F32">
        <f t="shared" si="1"/>
        <v>0</v>
      </c>
      <c r="G32" s="2">
        <f>YearMap!B2</f>
        <v>6414.5114999999987</v>
      </c>
      <c r="H32" s="2">
        <f>YearMap!C2</f>
        <v>1404302.8695</v>
      </c>
      <c r="I32" s="2">
        <f>YearMap!D2</f>
        <v>1617407.196</v>
      </c>
      <c r="J32">
        <f>1-BaselineCalc!$B$5</f>
        <v>0.99299999999999999</v>
      </c>
      <c r="K32">
        <f>Scenarios!G8</f>
        <v>0</v>
      </c>
      <c r="L32">
        <f>IF(Scenarios!$Q8=1,BaselineCalc!$B$7*(1+Parameters_Public!$C44)^(IF($C32="FY2026",0,IF($C32="FY2027",1,IF($C32="FY2028",2,IF($C32="FY2029",3,IF($C32="FY2030",4,0))))))+ROUND(Scenarios!I8*Scenarios!$F8,0),BaselineCalc!$B$7+ROUND(Scenarios!I8*Scenarios!$F8,0))</f>
        <v>257</v>
      </c>
      <c r="M32">
        <f>IF(Scenarios!$R8=1,BaselineCalc!$B$8*(1+Parameters_Public!$C45)^(IF($C32="FY2026",0,IF($C32="FY2027",1,IF($C32="FY2028",2,IF($C32="FY2029",3,IF($C32="FY2030",4,0))))))+Scenarios!I8-ROUND(Scenarios!I8*Scenarios!$F8,0),BaselineCalc!$B$8+Scenarios!I8-ROUND(Scenarios!I8*Scenarios!$F8,0))</f>
        <v>296</v>
      </c>
      <c r="N32" s="11">
        <f t="shared" si="2"/>
        <v>553</v>
      </c>
      <c r="O32" s="11">
        <f>(Parameters_Public!$C$23*(L32-D32)+Parameters_Public!$C$24*(M32-E32))</f>
        <v>405.79999999999995</v>
      </c>
      <c r="P32">
        <f>YearMap!E2</f>
        <v>1000</v>
      </c>
      <c r="Q32">
        <f>IF(Scenarios!N8="lease", YearMap!F2, YearMap!G2)</f>
        <v>0.2</v>
      </c>
      <c r="R32" s="2">
        <f>IF(Scenarios!D8=1, Q32*H32, H32)</f>
        <v>280860.57390000002</v>
      </c>
      <c r="S32" s="2">
        <f>IF(Scenarios!E8=1, Q32*I32, I32)</f>
        <v>323481.43920000002</v>
      </c>
      <c r="T32" s="2">
        <f>IF(C32="FY2026", (Scenarios!D8+Scenarios!E8)*BaselineCalc!$B$22, 0)</f>
        <v>2400000</v>
      </c>
      <c r="U32" s="2">
        <f t="shared" si="3"/>
        <v>600111.61900830013</v>
      </c>
      <c r="V32" s="2">
        <f t="shared" si="4"/>
        <v>3008808.7666999991</v>
      </c>
      <c r="W32" s="2">
        <f>U32+V32+IF(Parameters_Public!$C$26=1, T32, 0)</f>
        <v>3608920.3857082995</v>
      </c>
      <c r="X32" s="2">
        <f t="shared" si="5"/>
        <v>8893.3474265852637</v>
      </c>
      <c r="Y32" s="2">
        <f>INDEX(YearMap!$I$2:$I$6, MATCH(C32, YearMap!$A$2:$A$6, 0))</f>
        <v>5013</v>
      </c>
      <c r="Z32" s="2">
        <f>W32 - ((Y32 + IF(Parameters_Public!$C$20=1, Parameters_Public!$C$19, 0))*AC32)</f>
        <v>1269503.6757083</v>
      </c>
      <c r="AA32" s="2">
        <f t="shared" si="6"/>
        <v>3128.3974265852639</v>
      </c>
      <c r="AB32">
        <f>MAX(0, (MAX(0, $D32-BaselineCalc!$B$7) + MAX(0, $E32-BaselineCalc!$B$8)))</f>
        <v>0</v>
      </c>
      <c r="AC32" s="11">
        <f t="shared" si="7"/>
        <v>405.79999999999995</v>
      </c>
      <c r="AD32" s="2">
        <f>( (Y32 + IF(Parameters_Public!$C20=1, INDEX(YearMap!$O$2:$O$6, MATCH(C32, YearMap!$A$2:$A$6, 0)), 0)) * AC32 ) + AC32*INDEX(YearMap!$P$2:$P$6, MATCH(C32, YearMap!$A$2:$A$6, 0)) + AB32*( INDEX(YearMap!$R$2:$R$6, MATCH(C32, YearMap!$A$2:$A$6, 0)) - INDEX(YearMap!$P$2:$P$6, MATCH(C32, YearMap!$A$2:$A$6, 0)) )</f>
        <v>4449576.709999999</v>
      </c>
      <c r="AE32" s="2">
        <f>(W32 - (1-Parameters_Public!$C42)*$G32*$AB32*$J32*(1-$K32)) + AB32*INDEX(YearMap!$Q$2:$Q$6, MATCH(C32, YearMap!$A$2:$A$6, 0))</f>
        <v>3608920.3857082995</v>
      </c>
      <c r="AF32" s="2">
        <f t="shared" si="8"/>
        <v>840656.32429169957</v>
      </c>
      <c r="AG32" t="str">
        <f t="shared" si="9"/>
        <v>A2_Repurpose_Both_lease|FY2026</v>
      </c>
    </row>
    <row r="33" spans="1:33">
      <c r="A33" t="str">
        <f t="shared" ref="A33:A66" si="10">AG33</f>
        <v>A2_Repurpose_Both_lease|FY2027</v>
      </c>
      <c r="B33" t="str">
        <f>Scenarios!A8</f>
        <v>A2_Repurpose_Both_lease</v>
      </c>
      <c r="C33" t="s">
        <v>87</v>
      </c>
      <c r="D33">
        <f>IF(Scenarios!D8=1,0, L33)</f>
        <v>0</v>
      </c>
      <c r="E33">
        <f>IF(Scenarios!E8=1,0, M33)</f>
        <v>0</v>
      </c>
      <c r="F33">
        <f t="shared" si="1"/>
        <v>0</v>
      </c>
      <c r="G33" s="2">
        <f>YearMap!B3</f>
        <v>6574.8742874999989</v>
      </c>
      <c r="H33" s="2">
        <f>YearMap!C3</f>
        <v>1439410.4412375002</v>
      </c>
      <c r="I33" s="2">
        <f>YearMap!D3</f>
        <v>1657842.3759000003</v>
      </c>
      <c r="J33">
        <f>1-BaselineCalc!$B$5</f>
        <v>0.99299999999999999</v>
      </c>
      <c r="K33">
        <f>Scenarios!G8</f>
        <v>0</v>
      </c>
      <c r="L33">
        <f>IF(Scenarios!$Q8=1,BaselineCalc!$B$7*(1+Parameters_Public!$C44)^(IF($C33="FY2026",0,IF($C33="FY2027",1,IF($C33="FY2028",2,IF($C33="FY2029",3,IF($C33="FY2030",4,0))))))+ROUND(Scenarios!J8*Scenarios!$F8,0),BaselineCalc!$B$7+ROUND(Scenarios!J8*Scenarios!$F8,0))</f>
        <v>257</v>
      </c>
      <c r="M33">
        <f>IF(Scenarios!$R8=1,BaselineCalc!$B$8*(1+Parameters_Public!$C45)^(IF($C33="FY2026",0,IF($C33="FY2027",1,IF($C33="FY2028",2,IF($C33="FY2029",3,IF($C33="FY2030",4,0))))))+Scenarios!J8-ROUND(Scenarios!J8*Scenarios!$F8,0),BaselineCalc!$B$8+Scenarios!J8-ROUND(Scenarios!J8*Scenarios!$F8,0))</f>
        <v>296</v>
      </c>
      <c r="N33" s="11">
        <f t="shared" si="2"/>
        <v>553</v>
      </c>
      <c r="O33" s="11">
        <f>(Parameters_Public!$C$23*(L33-D33)+Parameters_Public!$C$24*(M33-E33))</f>
        <v>405.79999999999995</v>
      </c>
      <c r="P33">
        <f>YearMap!E3</f>
        <v>800</v>
      </c>
      <c r="Q33">
        <f>IF(Scenarios!N8="lease", YearMap!F3, YearMap!G3)</f>
        <v>0.2</v>
      </c>
      <c r="R33" s="2">
        <f>IF(Scenarios!D8=1, Q33*H33, H33)</f>
        <v>287882.08824750007</v>
      </c>
      <c r="S33" s="2">
        <f>IF(Scenarios!E8=1, Q33*I33, I33)</f>
        <v>331568.47518000007</v>
      </c>
      <c r="T33" s="2">
        <f>IF(C33="FY2026", (Scenarios!D8+Scenarios!E8)*BaselineCalc!$B$22, 0)</f>
        <v>0</v>
      </c>
      <c r="U33" s="2">
        <f t="shared" si="3"/>
        <v>615114.40948350774</v>
      </c>
      <c r="V33" s="2">
        <f t="shared" si="4"/>
        <v>2992723.9858674994</v>
      </c>
      <c r="W33" s="2">
        <f>U33+V33+IF(Parameters_Public!$C$26=1, T33, 0)</f>
        <v>3607838.3953510071</v>
      </c>
      <c r="X33" s="2">
        <f t="shared" si="5"/>
        <v>8890.6811122498948</v>
      </c>
      <c r="Y33" s="2">
        <f>INDEX(YearMap!$I$2:$I$6, MATCH(C33, YearMap!$A$2:$A$6, 0))</f>
        <v>5138.3249999999998</v>
      </c>
      <c r="Z33" s="2">
        <f>W33 - ((Y33 + IF(Parameters_Public!$C$20=1, Parameters_Public!$C$19, 0))*AC33)</f>
        <v>1217564.8003510074</v>
      </c>
      <c r="AA33" s="2">
        <f t="shared" si="6"/>
        <v>3000.4061122498952</v>
      </c>
      <c r="AB33">
        <f>MAX(0, (MAX(0, $D33-BaselineCalc!$B$7) + MAX(0, $E33-BaselineCalc!$B$8)))</f>
        <v>0</v>
      </c>
      <c r="AC33" s="11">
        <f t="shared" si="7"/>
        <v>405.79999999999995</v>
      </c>
      <c r="AD33" s="2">
        <f>( (Y33 + IF(Parameters_Public!$C20=1, INDEX(YearMap!$O$2:$O$6, MATCH(C33, YearMap!$A$2:$A$6, 0)), 0)) * AC33 ) + AC33*INDEX(YearMap!$P$2:$P$6, MATCH(C33, YearMap!$A$2:$A$6, 0)) + AB33*( INDEX(YearMap!$R$2:$R$6, MATCH(C33, YearMap!$A$2:$A$6, 0)) - INDEX(YearMap!$P$2:$P$6, MATCH(C33, YearMap!$A$2:$A$6, 0)) )</f>
        <v>4560816.1277499991</v>
      </c>
      <c r="AE33" s="2">
        <f>(W33 - (1-Parameters_Public!$C42)*$G33*$AB33*$J33*(1-$K33)) + AB33*INDEX(YearMap!$Q$2:$Q$6, MATCH(C33, YearMap!$A$2:$A$6, 0))</f>
        <v>3607838.3953510071</v>
      </c>
      <c r="AF33" s="2">
        <f t="shared" si="8"/>
        <v>952977.73239899194</v>
      </c>
      <c r="AG33" t="str">
        <f t="shared" si="9"/>
        <v>A2_Repurpose_Both_lease|FY2027</v>
      </c>
    </row>
    <row r="34" spans="1:33">
      <c r="A34" t="str">
        <f t="shared" si="10"/>
        <v>A2_Repurpose_Both_lease|FY2028</v>
      </c>
      <c r="B34" t="str">
        <f>Scenarios!A8</f>
        <v>A2_Repurpose_Both_lease</v>
      </c>
      <c r="C34" t="s">
        <v>88</v>
      </c>
      <c r="D34">
        <f>IF(Scenarios!D8=1,0, L34)</f>
        <v>0</v>
      </c>
      <c r="E34">
        <f>IF(Scenarios!E8=1,0, M34)</f>
        <v>0</v>
      </c>
      <c r="F34">
        <f t="shared" ref="F34:F65" si="11">D34+E34</f>
        <v>0</v>
      </c>
      <c r="G34" s="2">
        <f>YearMap!B4</f>
        <v>6739.2461446874986</v>
      </c>
      <c r="H34" s="2">
        <f>YearMap!C4</f>
        <v>1475395.7022684375</v>
      </c>
      <c r="I34" s="2">
        <f>YearMap!D4</f>
        <v>1699288.4352975001</v>
      </c>
      <c r="J34">
        <f>1-BaselineCalc!$B$5</f>
        <v>0.99299999999999999</v>
      </c>
      <c r="K34">
        <f>Scenarios!G8</f>
        <v>0</v>
      </c>
      <c r="L34">
        <f>IF(Scenarios!$Q8=1,BaselineCalc!$B$7*(1+Parameters_Public!$C44)^(IF($C34="FY2026",0,IF($C34="FY2027",1,IF($C34="FY2028",2,IF($C34="FY2029",3,IF($C34="FY2030",4,0))))))+ROUND(Scenarios!K8*Scenarios!$F8,0),BaselineCalc!$B$7+ROUND(Scenarios!K8*Scenarios!$F8,0))</f>
        <v>257</v>
      </c>
      <c r="M34">
        <f>IF(Scenarios!$R8=1,BaselineCalc!$B$8*(1+Parameters_Public!$C45)^(IF($C34="FY2026",0,IF($C34="FY2027",1,IF($C34="FY2028",2,IF($C34="FY2029",3,IF($C34="FY2030",4,0))))))+Scenarios!K8-ROUND(Scenarios!K8*Scenarios!$F8,0),BaselineCalc!$B$8+Scenarios!K8-ROUND(Scenarios!K8*Scenarios!$F8,0))</f>
        <v>296</v>
      </c>
      <c r="N34" s="11">
        <f t="shared" ref="N34:N65" si="12">(L34-D34) + (M34-E34)</f>
        <v>553</v>
      </c>
      <c r="O34" s="11">
        <f>(Parameters_Public!$C$23*(L34-D34)+Parameters_Public!$C$24*(M34-E34))</f>
        <v>405.79999999999995</v>
      </c>
      <c r="P34">
        <f>YearMap!E4</f>
        <v>600</v>
      </c>
      <c r="Q34">
        <f>IF(Scenarios!N8="lease", YearMap!F4, YearMap!G4)</f>
        <v>0.15</v>
      </c>
      <c r="R34" s="2">
        <f>IF(Scenarios!D8=1, Q34*H34, H34)</f>
        <v>221309.35534026561</v>
      </c>
      <c r="S34" s="2">
        <f>IF(Scenarios!E8=1, Q34*I34, I34)</f>
        <v>254893.26529462502</v>
      </c>
      <c r="T34" s="2">
        <f>IF(C34="FY2026", (Scenarios!D8+Scenarios!E8)*BaselineCalc!$B$22, 0)</f>
        <v>0</v>
      </c>
      <c r="U34" s="2">
        <f t="shared" ref="U34:U66" si="13">(R34+S34+G34*F34)*J34*(1-K34)</f>
        <v>472869.20229044638</v>
      </c>
      <c r="V34" s="2">
        <f t="shared" ref="V34:V66" si="14">O34*(G34+P34)</f>
        <v>2978266.0855141864</v>
      </c>
      <c r="W34" s="2">
        <f>U34+V34+IF(Parameters_Public!$C$26=1, T34, 0)</f>
        <v>3451135.2878046329</v>
      </c>
      <c r="X34" s="2">
        <f t="shared" ref="X34:X65" si="15">IF(F34+O34&gt;0, W34/(F34+O34),"")</f>
        <v>8504.52264121398</v>
      </c>
      <c r="Y34" s="2">
        <f>INDEX(YearMap!$I$2:$I$6, MATCH(C34, YearMap!$A$2:$A$6, 0))</f>
        <v>5266.7831249999999</v>
      </c>
      <c r="Z34" s="2">
        <f>W34 - ((Y34 + IF(Parameters_Public!$C$20=1, Parameters_Public!$C$19, 0))*AC34)</f>
        <v>1008733.3856796334</v>
      </c>
      <c r="AA34" s="2">
        <f t="shared" ref="AA34:AA66" si="16">IF($AC34&gt;0, $Z34/$AC34, 0)</f>
        <v>2485.7895162139807</v>
      </c>
      <c r="AB34">
        <f>MAX(0, (MAX(0, $D34-BaselineCalc!$B$7) + MAX(0, $E34-BaselineCalc!$B$8)))</f>
        <v>0</v>
      </c>
      <c r="AC34" s="11">
        <f t="shared" ref="AC34:AC66" si="17">L34+M34-N34+O34</f>
        <v>405.79999999999995</v>
      </c>
      <c r="AD34" s="2">
        <f>( (Y34 + IF(Parameters_Public!$C20=1, INDEX(YearMap!$O$2:$O$6, MATCH(C34, YearMap!$A$2:$A$6, 0)), 0)) * AC34 ) + AC34*INDEX(YearMap!$P$2:$P$6, MATCH(C34, YearMap!$A$2:$A$6, 0)) + AB34*( INDEX(YearMap!$R$2:$R$6, MATCH(C34, YearMap!$A$2:$A$6, 0)) - INDEX(YearMap!$P$2:$P$6, MATCH(C34, YearMap!$A$2:$A$6, 0)) )</f>
        <v>4674836.5309437495</v>
      </c>
      <c r="AE34" s="2">
        <f>(W34 - (1-Parameters_Public!$C42)*$G34*$AB34*$J34*(1-$K34)) + AB34*INDEX(YearMap!$Q$2:$Q$6, MATCH(C34, YearMap!$A$2:$A$6, 0))</f>
        <v>3451135.2878046329</v>
      </c>
      <c r="AF34" s="2">
        <f t="shared" ref="AF34:AF65" si="18">AD34-AE34</f>
        <v>1223701.2431391166</v>
      </c>
      <c r="AG34" t="str">
        <f t="shared" ref="AG34:AG66" si="19">B34&amp;"|"&amp;C34</f>
        <v>A2_Repurpose_Both_lease|FY2028</v>
      </c>
    </row>
    <row r="35" spans="1:33">
      <c r="A35" t="str">
        <f t="shared" si="10"/>
        <v>A2_Repurpose_Both_lease|FY2029</v>
      </c>
      <c r="B35" t="str">
        <f>Scenarios!A8</f>
        <v>A2_Repurpose_Both_lease</v>
      </c>
      <c r="C35" t="s">
        <v>89</v>
      </c>
      <c r="D35">
        <f>IF(Scenarios!D8=1,0, L35)</f>
        <v>0</v>
      </c>
      <c r="E35">
        <f>IF(Scenarios!E8=1,0, M35)</f>
        <v>0</v>
      </c>
      <c r="F35">
        <f t="shared" si="11"/>
        <v>0</v>
      </c>
      <c r="G35" s="2">
        <f>YearMap!B5</f>
        <v>6907.7272983046851</v>
      </c>
      <c r="H35" s="2">
        <f>YearMap!C5</f>
        <v>1512280.5948251483</v>
      </c>
      <c r="I35" s="2">
        <f>YearMap!D5</f>
        <v>1741770.6461799373</v>
      </c>
      <c r="J35">
        <f>1-BaselineCalc!$B$5</f>
        <v>0.99299999999999999</v>
      </c>
      <c r="K35">
        <f>Scenarios!G8</f>
        <v>0</v>
      </c>
      <c r="L35">
        <f>IF(Scenarios!$Q8=1,BaselineCalc!$B$7*(1+Parameters_Public!$C44)^(IF($C35="FY2026",0,IF($C35="FY2027",1,IF($C35="FY2028",2,IF($C35="FY2029",3,IF($C35="FY2030",4,0))))))+ROUND(Scenarios!L8*Scenarios!$F8,0),BaselineCalc!$B$7+ROUND(Scenarios!L8*Scenarios!$F8,0))</f>
        <v>257</v>
      </c>
      <c r="M35">
        <f>IF(Scenarios!$R8=1,BaselineCalc!$B$8*(1+Parameters_Public!$C45)^(IF($C35="FY2026",0,IF($C35="FY2027",1,IF($C35="FY2028",2,IF($C35="FY2029",3,IF($C35="FY2030",4,0))))))+Scenarios!L8-ROUND(Scenarios!L8*Scenarios!$F8,0),BaselineCalc!$B$8+Scenarios!L8-ROUND(Scenarios!L8*Scenarios!$F8,0))</f>
        <v>296</v>
      </c>
      <c r="N35" s="11">
        <f t="shared" si="12"/>
        <v>553</v>
      </c>
      <c r="O35" s="11">
        <f>(Parameters_Public!$C$23*(L35-D35)+Parameters_Public!$C$24*(M35-E35))</f>
        <v>405.79999999999995</v>
      </c>
      <c r="P35">
        <f>YearMap!E5</f>
        <v>500</v>
      </c>
      <c r="Q35">
        <f>IF(Scenarios!N8="lease", YearMap!F5, YearMap!G5)</f>
        <v>0.1</v>
      </c>
      <c r="R35" s="2">
        <f>IF(Scenarios!D8=1, Q35*H35, H35)</f>
        <v>151228.05948251483</v>
      </c>
      <c r="S35" s="2">
        <f>IF(Scenarios!E8=1, Q35*I35, I35)</f>
        <v>174177.06461799375</v>
      </c>
      <c r="T35" s="2">
        <f>IF(C35="FY2026", (Scenarios!D8+Scenarios!E8)*BaselineCalc!$B$22, 0)</f>
        <v>0</v>
      </c>
      <c r="U35" s="2">
        <f t="shared" si="13"/>
        <v>323127.28823180503</v>
      </c>
      <c r="V35" s="2">
        <f t="shared" si="14"/>
        <v>3006055.737652041</v>
      </c>
      <c r="W35" s="2">
        <f>U35+V35+IF(Parameters_Public!$C$26=1, T35, 0)</f>
        <v>3329183.025883846</v>
      </c>
      <c r="X35" s="2">
        <f t="shared" si="15"/>
        <v>8203.9995709311152</v>
      </c>
      <c r="Y35" s="2">
        <f>INDEX(YearMap!$I$2:$I$6, MATCH(C35, YearMap!$A$2:$A$6, 0))</f>
        <v>5398.4527031249991</v>
      </c>
      <c r="Z35" s="2">
        <f>W35 - ((Y35 + IF(Parameters_Public!$C$20=1, Parameters_Public!$C$19, 0))*AC35)</f>
        <v>833349.60895572184</v>
      </c>
      <c r="AA35" s="2">
        <f t="shared" si="16"/>
        <v>2053.5968678061163</v>
      </c>
      <c r="AB35">
        <f>MAX(0, (MAX(0, $D35-BaselineCalc!$B$7) + MAX(0, $E35-BaselineCalc!$B$8)))</f>
        <v>0</v>
      </c>
      <c r="AC35" s="11">
        <f t="shared" si="17"/>
        <v>405.79999999999995</v>
      </c>
      <c r="AD35" s="2">
        <f>( (Y35 + IF(Parameters_Public!$C20=1, INDEX(YearMap!$O$2:$O$6, MATCH(C35, YearMap!$A$2:$A$6, 0)), 0)) * AC35 ) + AC35*INDEX(YearMap!$P$2:$P$6, MATCH(C35, YearMap!$A$2:$A$6, 0)) + AB35*( INDEX(YearMap!$R$2:$R$6, MATCH(C35, YearMap!$A$2:$A$6, 0)) - INDEX(YearMap!$P$2:$P$6, MATCH(C35, YearMap!$A$2:$A$6, 0)) )</f>
        <v>4791707.4442173429</v>
      </c>
      <c r="AE35" s="2">
        <f>(W35 - (1-Parameters_Public!$C42)*$G35*$AB35*$J35*(1-$K35)) + AB35*INDEX(YearMap!$Q$2:$Q$6, MATCH(C35, YearMap!$A$2:$A$6, 0))</f>
        <v>3329183.025883846</v>
      </c>
      <c r="AF35" s="2">
        <f t="shared" si="18"/>
        <v>1462524.4183334969</v>
      </c>
      <c r="AG35" t="str">
        <f t="shared" si="19"/>
        <v>A2_Repurpose_Both_lease|FY2029</v>
      </c>
    </row>
    <row r="36" spans="1:33">
      <c r="A36" t="str">
        <f t="shared" si="10"/>
        <v>A2_Repurpose_Both_lease|FY2030</v>
      </c>
      <c r="B36" t="str">
        <f>Scenarios!A8</f>
        <v>A2_Repurpose_Both_lease</v>
      </c>
      <c r="C36" t="s">
        <v>90</v>
      </c>
      <c r="D36">
        <f>IF(Scenarios!D8=1,0, L36)</f>
        <v>0</v>
      </c>
      <c r="E36">
        <f>IF(Scenarios!E8=1,0, M36)</f>
        <v>0</v>
      </c>
      <c r="F36">
        <f t="shared" si="11"/>
        <v>0</v>
      </c>
      <c r="G36" s="2">
        <f>YearMap!B6</f>
        <v>7080.4204807623018</v>
      </c>
      <c r="H36" s="2">
        <f>YearMap!C6</f>
        <v>1550087.6096957768</v>
      </c>
      <c r="I36" s="2">
        <f>YearMap!D6</f>
        <v>1785314.9123344356</v>
      </c>
      <c r="J36">
        <f>1-BaselineCalc!$B$5</f>
        <v>0.99299999999999999</v>
      </c>
      <c r="K36">
        <f>Scenarios!G8</f>
        <v>0</v>
      </c>
      <c r="L36">
        <f>IF(Scenarios!$Q8=1,BaselineCalc!$B$7*(1+Parameters_Public!$C44)^(IF($C36="FY2026",0,IF($C36="FY2027",1,IF($C36="FY2028",2,IF($C36="FY2029",3,IF($C36="FY2030",4,0))))))+ROUND(Scenarios!M8*Scenarios!$F8,0),BaselineCalc!$B$7+ROUND(Scenarios!M8*Scenarios!$F8,0))</f>
        <v>257</v>
      </c>
      <c r="M36">
        <f>IF(Scenarios!$R8=1,BaselineCalc!$B$8*(1+Parameters_Public!$C45)^(IF($C36="FY2026",0,IF($C36="FY2027",1,IF($C36="FY2028",2,IF($C36="FY2029",3,IF($C36="FY2030",4,0))))))+Scenarios!M8-ROUND(Scenarios!M8*Scenarios!$F8,0),BaselineCalc!$B$8+Scenarios!M8-ROUND(Scenarios!M8*Scenarios!$F8,0))</f>
        <v>296</v>
      </c>
      <c r="N36" s="11">
        <f t="shared" si="12"/>
        <v>553</v>
      </c>
      <c r="O36" s="11">
        <f>(Parameters_Public!$C$23*(L36-D36)+Parameters_Public!$C$24*(M36-E36))</f>
        <v>405.79999999999995</v>
      </c>
      <c r="P36">
        <f>YearMap!E6</f>
        <v>300</v>
      </c>
      <c r="Q36">
        <f>IF(Scenarios!N8="lease", YearMap!F6, YearMap!G6)</f>
        <v>0.1</v>
      </c>
      <c r="R36" s="2">
        <f>IF(Scenarios!D8=1, Q36*H36, H36)</f>
        <v>155008.76096957768</v>
      </c>
      <c r="S36" s="2">
        <f>IF(Scenarios!E8=1, Q36*I36, I36)</f>
        <v>178531.49123344358</v>
      </c>
      <c r="T36" s="2">
        <f>IF(C36="FY2026", (Scenarios!D8+Scenarios!E8)*BaselineCalc!$B$22, 0)</f>
        <v>0</v>
      </c>
      <c r="U36" s="2">
        <f t="shared" si="13"/>
        <v>331205.4704376001</v>
      </c>
      <c r="V36" s="2">
        <f t="shared" si="14"/>
        <v>2994974.6310933419</v>
      </c>
      <c r="W36" s="2">
        <f>U36+V36+IF(Parameters_Public!$C$26=1, T36, 0)</f>
        <v>3326180.1015309421</v>
      </c>
      <c r="X36" s="2">
        <f t="shared" si="15"/>
        <v>8196.5995602043931</v>
      </c>
      <c r="Y36" s="2">
        <f>INDEX(YearMap!$I$2:$I$6, MATCH(C36, YearMap!$A$2:$A$6, 0))</f>
        <v>5533.4140207031242</v>
      </c>
      <c r="Z36" s="2">
        <f>W36 - ((Y36 + IF(Parameters_Public!$C$20=1, Parameters_Public!$C$19, 0))*AC36)</f>
        <v>775579.38192961458</v>
      </c>
      <c r="AA36" s="2">
        <f t="shared" si="16"/>
        <v>1911.2355395012682</v>
      </c>
      <c r="AB36">
        <f>MAX(0, (MAX(0, $D36-BaselineCalc!$B$7) + MAX(0, $E36-BaselineCalc!$B$8)))</f>
        <v>0</v>
      </c>
      <c r="AC36" s="11">
        <f t="shared" si="17"/>
        <v>405.79999999999995</v>
      </c>
      <c r="AD36" s="2">
        <f>( (Y36 + IF(Parameters_Public!$C20=1, INDEX(YearMap!$O$2:$O$6, MATCH(C36, YearMap!$A$2:$A$6, 0)), 0)) * AC36 ) + AC36*INDEX(YearMap!$P$2:$P$6, MATCH(C36, YearMap!$A$2:$A$6, 0)) + AB36*( INDEX(YearMap!$R$2:$R$6, MATCH(C36, YearMap!$A$2:$A$6, 0)) - INDEX(YearMap!$P$2:$P$6, MATCH(C36, YearMap!$A$2:$A$6, 0)) )</f>
        <v>4911500.1303227767</v>
      </c>
      <c r="AE36" s="2">
        <f>(W36 - (1-Parameters_Public!$C42)*$G36*$AB36*$J36*(1-$K36)) + AB36*INDEX(YearMap!$Q$2:$Q$6, MATCH(C36, YearMap!$A$2:$A$6, 0))</f>
        <v>3326180.1015309421</v>
      </c>
      <c r="AF36" s="2">
        <f t="shared" si="18"/>
        <v>1585320.0287918346</v>
      </c>
      <c r="AG36" t="str">
        <f t="shared" si="19"/>
        <v>A2_Repurpose_Both_lease|FY2030</v>
      </c>
    </row>
    <row r="37" spans="1:33">
      <c r="A37" t="str">
        <f t="shared" si="10"/>
        <v>A1_Repurpose_Both_ops|FY2026</v>
      </c>
      <c r="B37" t="str">
        <f>Scenarios!A9</f>
        <v>A1_Repurpose_Both_ops</v>
      </c>
      <c r="C37" t="s">
        <v>86</v>
      </c>
      <c r="D37">
        <f>IF(Scenarios!D9=1,0, L37)</f>
        <v>0</v>
      </c>
      <c r="E37">
        <f>IF(Scenarios!E9=1,0, M37)</f>
        <v>0</v>
      </c>
      <c r="F37">
        <f t="shared" si="11"/>
        <v>0</v>
      </c>
      <c r="G37" s="2">
        <f>YearMap!B2</f>
        <v>6414.5114999999987</v>
      </c>
      <c r="H37" s="2">
        <f>YearMap!C2</f>
        <v>1404302.8695</v>
      </c>
      <c r="I37" s="2">
        <f>YearMap!D2</f>
        <v>1617407.196</v>
      </c>
      <c r="J37">
        <f>1-BaselineCalc!$B$5</f>
        <v>0.99299999999999999</v>
      </c>
      <c r="K37">
        <f>Scenarios!G9</f>
        <v>0</v>
      </c>
      <c r="L37">
        <f>IF(Scenarios!$Q9=1,BaselineCalc!$B$7*(1+Parameters_Public!$C44)^(IF($C37="FY2026",0,IF($C37="FY2027",1,IF($C37="FY2028",2,IF($C37="FY2029",3,IF($C37="FY2030",4,0))))))+ROUND(Scenarios!I9*Scenarios!$F9,0),BaselineCalc!$B$7+ROUND(Scenarios!I9*Scenarios!$F9,0))</f>
        <v>257</v>
      </c>
      <c r="M37">
        <f>IF(Scenarios!$R9=1,BaselineCalc!$B$8*(1+Parameters_Public!$C45)^(IF($C37="FY2026",0,IF($C37="FY2027",1,IF($C37="FY2028",2,IF($C37="FY2029",3,IF($C37="FY2030",4,0))))))+Scenarios!I9-ROUND(Scenarios!I9*Scenarios!$F9,0),BaselineCalc!$B$8+Scenarios!I9-ROUND(Scenarios!I9*Scenarios!$F9,0))</f>
        <v>296</v>
      </c>
      <c r="N37" s="11">
        <f t="shared" si="12"/>
        <v>553</v>
      </c>
      <c r="O37" s="11">
        <f>(Parameters_Public!$C$23*(L37-D37)+Parameters_Public!$C$24*(M37-E37))</f>
        <v>405.79999999999995</v>
      </c>
      <c r="P37">
        <f>YearMap!E2</f>
        <v>1000</v>
      </c>
      <c r="Q37">
        <f>IF(Scenarios!N9="lease", YearMap!F2, YearMap!G2)</f>
        <v>0.45</v>
      </c>
      <c r="R37" s="2">
        <f>IF(Scenarios!D9=1, Q37*H37, H37)</f>
        <v>631936.29127500008</v>
      </c>
      <c r="S37" s="2">
        <f>IF(Scenarios!E9=1, Q37*I37, I37)</f>
        <v>727833.23820000002</v>
      </c>
      <c r="T37" s="2">
        <f>IF(C37="FY2026", (Scenarios!D9+Scenarios!E9)*BaselineCalc!$B$22, 0)</f>
        <v>2400000</v>
      </c>
      <c r="U37" s="2">
        <f t="shared" si="13"/>
        <v>1350251.1427686752</v>
      </c>
      <c r="V37" s="2">
        <f t="shared" si="14"/>
        <v>3008808.7666999991</v>
      </c>
      <c r="W37" s="2">
        <f>U37+V37+IF(Parameters_Public!$C$26=1, T37, 0)</f>
        <v>4359059.9094686741</v>
      </c>
      <c r="X37" s="2">
        <f t="shared" si="15"/>
        <v>10741.892334816843</v>
      </c>
      <c r="Y37" s="2">
        <f>INDEX(YearMap!$I$2:$I$6, MATCH(C37, YearMap!$A$2:$A$6, 0))</f>
        <v>5013</v>
      </c>
      <c r="Z37" s="2">
        <f>W37 - ((Y37 + IF(Parameters_Public!$C$20=1, Parameters_Public!$C$19, 0))*AC37)</f>
        <v>2019643.1994686746</v>
      </c>
      <c r="AA37" s="2">
        <f t="shared" si="16"/>
        <v>4976.942334816843</v>
      </c>
      <c r="AB37">
        <f>MAX(0, (MAX(0, $D37-BaselineCalc!$B$7) + MAX(0, $E37-BaselineCalc!$B$8)))</f>
        <v>0</v>
      </c>
      <c r="AC37" s="11">
        <f t="shared" si="17"/>
        <v>405.79999999999995</v>
      </c>
      <c r="AD37" s="2">
        <f>( (Y37 + IF(Parameters_Public!$C20=1, INDEX(YearMap!$O$2:$O$6, MATCH(C37, YearMap!$A$2:$A$6, 0)), 0)) * AC37 ) + AC37*INDEX(YearMap!$P$2:$P$6, MATCH(C37, YearMap!$A$2:$A$6, 0)) + AB37*( INDEX(YearMap!$R$2:$R$6, MATCH(C37, YearMap!$A$2:$A$6, 0)) - INDEX(YearMap!$P$2:$P$6, MATCH(C37, YearMap!$A$2:$A$6, 0)) )</f>
        <v>4449576.709999999</v>
      </c>
      <c r="AE37" s="2">
        <f>(W37 - (1-Parameters_Public!$C42)*$G37*$AB37*$J37*(1-$K37)) + AB37*INDEX(YearMap!$Q$2:$Q$6, MATCH(C37, YearMap!$A$2:$A$6, 0))</f>
        <v>4359059.9094686741</v>
      </c>
      <c r="AF37" s="2">
        <f t="shared" si="18"/>
        <v>90516.80053132493</v>
      </c>
      <c r="AG37" t="str">
        <f t="shared" si="19"/>
        <v>A1_Repurpose_Both_ops|FY2026</v>
      </c>
    </row>
    <row r="38" spans="1:33">
      <c r="A38" t="str">
        <f t="shared" si="10"/>
        <v>A1_Repurpose_Both_ops|FY2027</v>
      </c>
      <c r="B38" t="str">
        <f>Scenarios!A9</f>
        <v>A1_Repurpose_Both_ops</v>
      </c>
      <c r="C38" t="s">
        <v>87</v>
      </c>
      <c r="D38">
        <f>IF(Scenarios!D9=1,0, L38)</f>
        <v>0</v>
      </c>
      <c r="E38">
        <f>IF(Scenarios!E9=1,0, M38)</f>
        <v>0</v>
      </c>
      <c r="F38">
        <f t="shared" si="11"/>
        <v>0</v>
      </c>
      <c r="G38" s="2">
        <f>YearMap!B3</f>
        <v>6574.8742874999989</v>
      </c>
      <c r="H38" s="2">
        <f>YearMap!C3</f>
        <v>1439410.4412375002</v>
      </c>
      <c r="I38" s="2">
        <f>YearMap!D3</f>
        <v>1657842.3759000003</v>
      </c>
      <c r="J38">
        <f>1-BaselineCalc!$B$5</f>
        <v>0.99299999999999999</v>
      </c>
      <c r="K38">
        <f>Scenarios!G9</f>
        <v>0</v>
      </c>
      <c r="L38">
        <f>IF(Scenarios!$Q9=1,BaselineCalc!$B$7*(1+Parameters_Public!$C44)^(IF($C38="FY2026",0,IF($C38="FY2027",1,IF($C38="FY2028",2,IF($C38="FY2029",3,IF($C38="FY2030",4,0))))))+ROUND(Scenarios!J9*Scenarios!$F9,0),BaselineCalc!$B$7+ROUND(Scenarios!J9*Scenarios!$F9,0))</f>
        <v>257</v>
      </c>
      <c r="M38">
        <f>IF(Scenarios!$R9=1,BaselineCalc!$B$8*(1+Parameters_Public!$C45)^(IF($C38="FY2026",0,IF($C38="FY2027",1,IF($C38="FY2028",2,IF($C38="FY2029",3,IF($C38="FY2030",4,0))))))+Scenarios!J9-ROUND(Scenarios!J9*Scenarios!$F9,0),BaselineCalc!$B$8+Scenarios!J9-ROUND(Scenarios!J9*Scenarios!$F9,0))</f>
        <v>296</v>
      </c>
      <c r="N38" s="11">
        <f t="shared" si="12"/>
        <v>553</v>
      </c>
      <c r="O38" s="11">
        <f>(Parameters_Public!$C$23*(L38-D38)+Parameters_Public!$C$24*(M38-E38))</f>
        <v>405.79999999999995</v>
      </c>
      <c r="P38">
        <f>YearMap!E3</f>
        <v>800</v>
      </c>
      <c r="Q38">
        <f>IF(Scenarios!N9="lease", YearMap!F3, YearMap!G3)</f>
        <v>0.4</v>
      </c>
      <c r="R38" s="2">
        <f>IF(Scenarios!D9=1, Q38*H38, H38)</f>
        <v>575764.17649500014</v>
      </c>
      <c r="S38" s="2">
        <f>IF(Scenarios!E9=1, Q38*I38, I38)</f>
        <v>663136.95036000013</v>
      </c>
      <c r="T38" s="2">
        <f>IF(C38="FY2026", (Scenarios!D9+Scenarios!E9)*BaselineCalc!$B$22, 0)</f>
        <v>0</v>
      </c>
      <c r="U38" s="2">
        <f t="shared" si="13"/>
        <v>1230228.8189670155</v>
      </c>
      <c r="V38" s="2">
        <f t="shared" si="14"/>
        <v>2992723.9858674994</v>
      </c>
      <c r="W38" s="2">
        <f>U38+V38+IF(Parameters_Public!$C$26=1, T38, 0)</f>
        <v>4222952.8048345149</v>
      </c>
      <c r="X38" s="2">
        <f t="shared" si="15"/>
        <v>10406.487936999791</v>
      </c>
      <c r="Y38" s="2">
        <f>INDEX(YearMap!$I$2:$I$6, MATCH(C38, YearMap!$A$2:$A$6, 0))</f>
        <v>5138.3249999999998</v>
      </c>
      <c r="Z38" s="2">
        <f>W38 - ((Y38 + IF(Parameters_Public!$C$20=1, Parameters_Public!$C$19, 0))*AC38)</f>
        <v>1832679.2098345151</v>
      </c>
      <c r="AA38" s="2">
        <f t="shared" si="16"/>
        <v>4516.2129369997911</v>
      </c>
      <c r="AB38">
        <f>MAX(0, (MAX(0, $D38-BaselineCalc!$B$7) + MAX(0, $E38-BaselineCalc!$B$8)))</f>
        <v>0</v>
      </c>
      <c r="AC38" s="11">
        <f t="shared" si="17"/>
        <v>405.79999999999995</v>
      </c>
      <c r="AD38" s="2">
        <f>( (Y38 + IF(Parameters_Public!$C20=1, INDEX(YearMap!$O$2:$O$6, MATCH(C38, YearMap!$A$2:$A$6, 0)), 0)) * AC38 ) + AC38*INDEX(YearMap!$P$2:$P$6, MATCH(C38, YearMap!$A$2:$A$6, 0)) + AB38*( INDEX(YearMap!$R$2:$R$6, MATCH(C38, YearMap!$A$2:$A$6, 0)) - INDEX(YearMap!$P$2:$P$6, MATCH(C38, YearMap!$A$2:$A$6, 0)) )</f>
        <v>4560816.1277499991</v>
      </c>
      <c r="AE38" s="2">
        <f>(W38 - (1-Parameters_Public!$C42)*$G38*$AB38*$J38*(1-$K38)) + AB38*INDEX(YearMap!$Q$2:$Q$6, MATCH(C38, YearMap!$A$2:$A$6, 0))</f>
        <v>4222952.8048345149</v>
      </c>
      <c r="AF38" s="2">
        <f t="shared" si="18"/>
        <v>337863.3229154842</v>
      </c>
      <c r="AG38" t="str">
        <f t="shared" si="19"/>
        <v>A1_Repurpose_Both_ops|FY2027</v>
      </c>
    </row>
    <row r="39" spans="1:33">
      <c r="A39" t="str">
        <f t="shared" si="10"/>
        <v>A1_Repurpose_Both_ops|FY2028</v>
      </c>
      <c r="B39" t="str">
        <f>Scenarios!A9</f>
        <v>A1_Repurpose_Both_ops</v>
      </c>
      <c r="C39" t="s">
        <v>88</v>
      </c>
      <c r="D39">
        <f>IF(Scenarios!D9=1,0, L39)</f>
        <v>0</v>
      </c>
      <c r="E39">
        <f>IF(Scenarios!E9=1,0, M39)</f>
        <v>0</v>
      </c>
      <c r="F39">
        <f t="shared" si="11"/>
        <v>0</v>
      </c>
      <c r="G39" s="2">
        <f>YearMap!B4</f>
        <v>6739.2461446874986</v>
      </c>
      <c r="H39" s="2">
        <f>YearMap!C4</f>
        <v>1475395.7022684375</v>
      </c>
      <c r="I39" s="2">
        <f>YearMap!D4</f>
        <v>1699288.4352975001</v>
      </c>
      <c r="J39">
        <f>1-BaselineCalc!$B$5</f>
        <v>0.99299999999999999</v>
      </c>
      <c r="K39">
        <f>Scenarios!G9</f>
        <v>0</v>
      </c>
      <c r="L39">
        <f>IF(Scenarios!$Q9=1,BaselineCalc!$B$7*(1+Parameters_Public!$C44)^(IF($C39="FY2026",0,IF($C39="FY2027",1,IF($C39="FY2028",2,IF($C39="FY2029",3,IF($C39="FY2030",4,0))))))+ROUND(Scenarios!K9*Scenarios!$F9,0),BaselineCalc!$B$7+ROUND(Scenarios!K9*Scenarios!$F9,0))</f>
        <v>257</v>
      </c>
      <c r="M39">
        <f>IF(Scenarios!$R9=1,BaselineCalc!$B$8*(1+Parameters_Public!$C45)^(IF($C39="FY2026",0,IF($C39="FY2027",1,IF($C39="FY2028",2,IF($C39="FY2029",3,IF($C39="FY2030",4,0))))))+Scenarios!K9-ROUND(Scenarios!K9*Scenarios!$F9,0),BaselineCalc!$B$8+Scenarios!K9-ROUND(Scenarios!K9*Scenarios!$F9,0))</f>
        <v>296</v>
      </c>
      <c r="N39" s="11">
        <f t="shared" si="12"/>
        <v>553</v>
      </c>
      <c r="O39" s="11">
        <f>(Parameters_Public!$C$23*(L39-D39)+Parameters_Public!$C$24*(M39-E39))</f>
        <v>405.79999999999995</v>
      </c>
      <c r="P39">
        <f>YearMap!E4</f>
        <v>600</v>
      </c>
      <c r="Q39">
        <f>IF(Scenarios!N9="lease", YearMap!F4, YearMap!G4)</f>
        <v>0.35</v>
      </c>
      <c r="R39" s="2">
        <f>IF(Scenarios!D9=1, Q39*H39, H39)</f>
        <v>516388.49579395307</v>
      </c>
      <c r="S39" s="2">
        <f>IF(Scenarios!E9=1, Q39*I39, I39)</f>
        <v>594750.95235412498</v>
      </c>
      <c r="T39" s="2">
        <f>IF(C39="FY2026", (Scenarios!D9+Scenarios!E9)*BaselineCalc!$B$22, 0)</f>
        <v>0</v>
      </c>
      <c r="U39" s="2">
        <f t="shared" si="13"/>
        <v>1103361.4720110416</v>
      </c>
      <c r="V39" s="2">
        <f t="shared" si="14"/>
        <v>2978266.0855141864</v>
      </c>
      <c r="W39" s="2">
        <f>U39+V39+IF(Parameters_Public!$C$26=1, T39, 0)</f>
        <v>4081627.5575252278</v>
      </c>
      <c r="X39" s="2">
        <f t="shared" si="15"/>
        <v>10058.224636582623</v>
      </c>
      <c r="Y39" s="2">
        <f>INDEX(YearMap!$I$2:$I$6, MATCH(C39, YearMap!$A$2:$A$6, 0))</f>
        <v>5266.7831249999999</v>
      </c>
      <c r="Z39" s="2">
        <f>W39 - ((Y39 + IF(Parameters_Public!$C$20=1, Parameters_Public!$C$19, 0))*AC39)</f>
        <v>1639225.6554002282</v>
      </c>
      <c r="AA39" s="2">
        <f t="shared" si="16"/>
        <v>4039.4915115826229</v>
      </c>
      <c r="AB39">
        <f>MAX(0, (MAX(0, $D39-BaselineCalc!$B$7) + MAX(0, $E39-BaselineCalc!$B$8)))</f>
        <v>0</v>
      </c>
      <c r="AC39" s="11">
        <f t="shared" si="17"/>
        <v>405.79999999999995</v>
      </c>
      <c r="AD39" s="2">
        <f>( (Y39 + IF(Parameters_Public!$C20=1, INDEX(YearMap!$O$2:$O$6, MATCH(C39, YearMap!$A$2:$A$6, 0)), 0)) * AC39 ) + AC39*INDEX(YearMap!$P$2:$P$6, MATCH(C39, YearMap!$A$2:$A$6, 0)) + AB39*( INDEX(YearMap!$R$2:$R$6, MATCH(C39, YearMap!$A$2:$A$6, 0)) - INDEX(YearMap!$P$2:$P$6, MATCH(C39, YearMap!$A$2:$A$6, 0)) )</f>
        <v>4674836.5309437495</v>
      </c>
      <c r="AE39" s="2">
        <f>(W39 - (1-Parameters_Public!$C42)*$G39*$AB39*$J39*(1-$K39)) + AB39*INDEX(YearMap!$Q$2:$Q$6, MATCH(C39, YearMap!$A$2:$A$6, 0))</f>
        <v>4081627.5575252278</v>
      </c>
      <c r="AF39" s="2">
        <f t="shared" si="18"/>
        <v>593208.97341852169</v>
      </c>
      <c r="AG39" t="str">
        <f t="shared" si="19"/>
        <v>A1_Repurpose_Both_ops|FY2028</v>
      </c>
    </row>
    <row r="40" spans="1:33">
      <c r="A40" t="str">
        <f t="shared" si="10"/>
        <v>A1_Repurpose_Both_ops|FY2029</v>
      </c>
      <c r="B40" t="str">
        <f>Scenarios!A9</f>
        <v>A1_Repurpose_Both_ops</v>
      </c>
      <c r="C40" t="s">
        <v>89</v>
      </c>
      <c r="D40">
        <f>IF(Scenarios!D9=1,0, L40)</f>
        <v>0</v>
      </c>
      <c r="E40">
        <f>IF(Scenarios!E9=1,0, M40)</f>
        <v>0</v>
      </c>
      <c r="F40">
        <f t="shared" si="11"/>
        <v>0</v>
      </c>
      <c r="G40" s="2">
        <f>YearMap!B5</f>
        <v>6907.7272983046851</v>
      </c>
      <c r="H40" s="2">
        <f>YearMap!C5</f>
        <v>1512280.5948251483</v>
      </c>
      <c r="I40" s="2">
        <f>YearMap!D5</f>
        <v>1741770.6461799373</v>
      </c>
      <c r="J40">
        <f>1-BaselineCalc!$B$5</f>
        <v>0.99299999999999999</v>
      </c>
      <c r="K40">
        <f>Scenarios!G9</f>
        <v>0</v>
      </c>
      <c r="L40">
        <f>IF(Scenarios!$Q9=1,BaselineCalc!$B$7*(1+Parameters_Public!$C44)^(IF($C40="FY2026",0,IF($C40="FY2027",1,IF($C40="FY2028",2,IF($C40="FY2029",3,IF($C40="FY2030",4,0))))))+ROUND(Scenarios!L9*Scenarios!$F9,0),BaselineCalc!$B$7+ROUND(Scenarios!L9*Scenarios!$F9,0))</f>
        <v>257</v>
      </c>
      <c r="M40">
        <f>IF(Scenarios!$R9=1,BaselineCalc!$B$8*(1+Parameters_Public!$C45)^(IF($C40="FY2026",0,IF($C40="FY2027",1,IF($C40="FY2028",2,IF($C40="FY2029",3,IF($C40="FY2030",4,0))))))+Scenarios!L9-ROUND(Scenarios!L9*Scenarios!$F9,0),BaselineCalc!$B$8+Scenarios!L9-ROUND(Scenarios!L9*Scenarios!$F9,0))</f>
        <v>296</v>
      </c>
      <c r="N40" s="11">
        <f t="shared" si="12"/>
        <v>553</v>
      </c>
      <c r="O40" s="11">
        <f>(Parameters_Public!$C$23*(L40-D40)+Parameters_Public!$C$24*(M40-E40))</f>
        <v>405.79999999999995</v>
      </c>
      <c r="P40">
        <f>YearMap!E5</f>
        <v>500</v>
      </c>
      <c r="Q40">
        <f>IF(Scenarios!N9="lease", YearMap!F5, YearMap!G5)</f>
        <v>0.3</v>
      </c>
      <c r="R40" s="2">
        <f>IF(Scenarios!D9=1, Q40*H40, H40)</f>
        <v>453684.17844754452</v>
      </c>
      <c r="S40" s="2">
        <f>IF(Scenarios!E9=1, Q40*I40, I40)</f>
        <v>522531.19385398115</v>
      </c>
      <c r="T40" s="2">
        <f>IF(C40="FY2026", (Scenarios!D9+Scenarios!E9)*BaselineCalc!$B$22, 0)</f>
        <v>0</v>
      </c>
      <c r="U40" s="2">
        <f t="shared" si="13"/>
        <v>969381.86469541502</v>
      </c>
      <c r="V40" s="2">
        <f t="shared" si="14"/>
        <v>3006055.737652041</v>
      </c>
      <c r="W40" s="2">
        <f>U40+V40+IF(Parameters_Public!$C$26=1, T40, 0)</f>
        <v>3975437.6023474559</v>
      </c>
      <c r="X40" s="2">
        <f t="shared" si="15"/>
        <v>9796.5441161839735</v>
      </c>
      <c r="Y40" s="2">
        <f>INDEX(YearMap!$I$2:$I$6, MATCH(C40, YearMap!$A$2:$A$6, 0))</f>
        <v>5398.4527031249991</v>
      </c>
      <c r="Z40" s="2">
        <f>W40 - ((Y40 + IF(Parameters_Public!$C$20=1, Parameters_Public!$C$19, 0))*AC40)</f>
        <v>1479604.1854193318</v>
      </c>
      <c r="AA40" s="2">
        <f t="shared" si="16"/>
        <v>3646.1414130589746</v>
      </c>
      <c r="AB40">
        <f>MAX(0, (MAX(0, $D40-BaselineCalc!$B$7) + MAX(0, $E40-BaselineCalc!$B$8)))</f>
        <v>0</v>
      </c>
      <c r="AC40" s="11">
        <f t="shared" si="17"/>
        <v>405.79999999999995</v>
      </c>
      <c r="AD40" s="2">
        <f>( (Y40 + IF(Parameters_Public!$C20=1, INDEX(YearMap!$O$2:$O$6, MATCH(C40, YearMap!$A$2:$A$6, 0)), 0)) * AC40 ) + AC40*INDEX(YearMap!$P$2:$P$6, MATCH(C40, YearMap!$A$2:$A$6, 0)) + AB40*( INDEX(YearMap!$R$2:$R$6, MATCH(C40, YearMap!$A$2:$A$6, 0)) - INDEX(YearMap!$P$2:$P$6, MATCH(C40, YearMap!$A$2:$A$6, 0)) )</f>
        <v>4791707.4442173429</v>
      </c>
      <c r="AE40" s="2">
        <f>(W40 - (1-Parameters_Public!$C42)*$G40*$AB40*$J40*(1-$K40)) + AB40*INDEX(YearMap!$Q$2:$Q$6, MATCH(C40, YearMap!$A$2:$A$6, 0))</f>
        <v>3975437.6023474559</v>
      </c>
      <c r="AF40" s="2">
        <f t="shared" si="18"/>
        <v>816269.84186988696</v>
      </c>
      <c r="AG40" t="str">
        <f t="shared" si="19"/>
        <v>A1_Repurpose_Both_ops|FY2029</v>
      </c>
    </row>
    <row r="41" spans="1:33">
      <c r="A41" t="str">
        <f t="shared" si="10"/>
        <v>A1_Repurpose_Both_ops|FY2030</v>
      </c>
      <c r="B41" t="str">
        <f>Scenarios!A9</f>
        <v>A1_Repurpose_Both_ops</v>
      </c>
      <c r="C41" t="s">
        <v>90</v>
      </c>
      <c r="D41">
        <f>IF(Scenarios!D9=1,0, L41)</f>
        <v>0</v>
      </c>
      <c r="E41">
        <f>IF(Scenarios!E9=1,0, M41)</f>
        <v>0</v>
      </c>
      <c r="F41">
        <f t="shared" si="11"/>
        <v>0</v>
      </c>
      <c r="G41" s="2">
        <f>YearMap!B6</f>
        <v>7080.4204807623018</v>
      </c>
      <c r="H41" s="2">
        <f>YearMap!C6</f>
        <v>1550087.6096957768</v>
      </c>
      <c r="I41" s="2">
        <f>YearMap!D6</f>
        <v>1785314.9123344356</v>
      </c>
      <c r="J41">
        <f>1-BaselineCalc!$B$5</f>
        <v>0.99299999999999999</v>
      </c>
      <c r="K41">
        <f>Scenarios!G9</f>
        <v>0</v>
      </c>
      <c r="L41">
        <f>IF(Scenarios!$Q9=1,BaselineCalc!$B$7*(1+Parameters_Public!$C44)^(IF($C41="FY2026",0,IF($C41="FY2027",1,IF($C41="FY2028",2,IF($C41="FY2029",3,IF($C41="FY2030",4,0))))))+ROUND(Scenarios!M9*Scenarios!$F9,0),BaselineCalc!$B$7+ROUND(Scenarios!M9*Scenarios!$F9,0))</f>
        <v>257</v>
      </c>
      <c r="M41">
        <f>IF(Scenarios!$R9=1,BaselineCalc!$B$8*(1+Parameters_Public!$C45)^(IF($C41="FY2026",0,IF($C41="FY2027",1,IF($C41="FY2028",2,IF($C41="FY2029",3,IF($C41="FY2030",4,0))))))+Scenarios!M9-ROUND(Scenarios!M9*Scenarios!$F9,0),BaselineCalc!$B$8+Scenarios!M9-ROUND(Scenarios!M9*Scenarios!$F9,0))</f>
        <v>296</v>
      </c>
      <c r="N41" s="11">
        <f t="shared" si="12"/>
        <v>553</v>
      </c>
      <c r="O41" s="11">
        <f>(Parameters_Public!$C$23*(L41-D41)+Parameters_Public!$C$24*(M41-E41))</f>
        <v>405.79999999999995</v>
      </c>
      <c r="P41">
        <f>YearMap!E6</f>
        <v>300</v>
      </c>
      <c r="Q41">
        <f>IF(Scenarios!N9="lease", YearMap!F6, YearMap!G6)</f>
        <v>0.3</v>
      </c>
      <c r="R41" s="2">
        <f>IF(Scenarios!D9=1, Q41*H41, H41)</f>
        <v>465026.28290873306</v>
      </c>
      <c r="S41" s="2">
        <f>IF(Scenarios!E9=1, Q41*I41, I41)</f>
        <v>535594.47370033071</v>
      </c>
      <c r="T41" s="2">
        <f>IF(C41="FY2026", (Scenarios!D9+Scenarios!E9)*BaselineCalc!$B$22, 0)</f>
        <v>0</v>
      </c>
      <c r="U41" s="2">
        <f t="shared" si="13"/>
        <v>993616.41131280037</v>
      </c>
      <c r="V41" s="2">
        <f t="shared" si="14"/>
        <v>2994974.6310933419</v>
      </c>
      <c r="W41" s="2">
        <f>U41+V41+IF(Parameters_Public!$C$26=1, T41, 0)</f>
        <v>3988591.0424061422</v>
      </c>
      <c r="X41" s="2">
        <f t="shared" si="15"/>
        <v>9828.957719088572</v>
      </c>
      <c r="Y41" s="2">
        <f>INDEX(YearMap!$I$2:$I$6, MATCH(C41, YearMap!$A$2:$A$6, 0))</f>
        <v>5533.4140207031242</v>
      </c>
      <c r="Z41" s="2">
        <f>W41 - ((Y41 + IF(Parameters_Public!$C$20=1, Parameters_Public!$C$19, 0))*AC41)</f>
        <v>1437990.3228048147</v>
      </c>
      <c r="AA41" s="2">
        <f t="shared" si="16"/>
        <v>3543.5936983854481</v>
      </c>
      <c r="AB41">
        <f>MAX(0, (MAX(0, $D41-BaselineCalc!$B$7) + MAX(0, $E41-BaselineCalc!$B$8)))</f>
        <v>0</v>
      </c>
      <c r="AC41" s="11">
        <f t="shared" si="17"/>
        <v>405.79999999999995</v>
      </c>
      <c r="AD41" s="2">
        <f>( (Y41 + IF(Parameters_Public!$C20=1, INDEX(YearMap!$O$2:$O$6, MATCH(C41, YearMap!$A$2:$A$6, 0)), 0)) * AC41 ) + AC41*INDEX(YearMap!$P$2:$P$6, MATCH(C41, YearMap!$A$2:$A$6, 0)) + AB41*( INDEX(YearMap!$R$2:$R$6, MATCH(C41, YearMap!$A$2:$A$6, 0)) - INDEX(YearMap!$P$2:$P$6, MATCH(C41, YearMap!$A$2:$A$6, 0)) )</f>
        <v>4911500.1303227767</v>
      </c>
      <c r="AE41" s="2">
        <f>(W41 - (1-Parameters_Public!$C42)*$G41*$AB41*$J41*(1-$K41)) + AB41*INDEX(YearMap!$Q$2:$Q$6, MATCH(C41, YearMap!$A$2:$A$6, 0))</f>
        <v>3988591.0424061422</v>
      </c>
      <c r="AF41" s="2">
        <f t="shared" si="18"/>
        <v>922909.08791663451</v>
      </c>
      <c r="AG41" t="str">
        <f t="shared" si="19"/>
        <v>A1_Repurpose_Both_ops|FY2030</v>
      </c>
    </row>
    <row r="42" spans="1:33">
      <c r="A42" t="str">
        <f t="shared" si="10"/>
        <v>B2_Repurpose_Echo_lease_PimaTargets|FY2026</v>
      </c>
      <c r="B42" t="str">
        <f>Scenarios!A10</f>
        <v>B2_Repurpose_Echo_lease_PimaTargets</v>
      </c>
      <c r="C42" t="s">
        <v>86</v>
      </c>
      <c r="D42">
        <f>IF(Scenarios!D10=1,0, L42)</f>
        <v>0</v>
      </c>
      <c r="E42">
        <f>IF(Scenarios!E10=1,0, M42)</f>
        <v>296</v>
      </c>
      <c r="F42">
        <f t="shared" si="11"/>
        <v>296</v>
      </c>
      <c r="G42" s="2">
        <f>YearMap!B2</f>
        <v>6414.5114999999987</v>
      </c>
      <c r="H42" s="2">
        <f>YearMap!C2</f>
        <v>1404302.8695</v>
      </c>
      <c r="I42" s="2">
        <f>YearMap!D2</f>
        <v>1617407.196</v>
      </c>
      <c r="J42">
        <f>1-BaselineCalc!$B$5</f>
        <v>0.99299999999999999</v>
      </c>
      <c r="K42">
        <f>Scenarios!G10</f>
        <v>0</v>
      </c>
      <c r="L42">
        <f>IF(Scenarios!$Q10=1,BaselineCalc!$B$7*(1+Parameters_Public!$C44)^(IF($C42="FY2026",0,IF($C42="FY2027",1,IF($C42="FY2028",2,IF($C42="FY2029",3,IF($C42="FY2030",4,0))))))+ROUND(Scenarios!I10*Scenarios!$F10,0),BaselineCalc!$B$7+ROUND(Scenarios!I10*Scenarios!$F10,0))</f>
        <v>257</v>
      </c>
      <c r="M42">
        <f>IF(Scenarios!$R10=1,BaselineCalc!$B$8*(1+Parameters_Public!$C45)^(IF($C42="FY2026",0,IF($C42="FY2027",1,IF($C42="FY2028",2,IF($C42="FY2029",3,IF($C42="FY2030",4,0))))))+Scenarios!I10-ROUND(Scenarios!I10*Scenarios!$F10,0),BaselineCalc!$B$8+Scenarios!I10-ROUND(Scenarios!I10*Scenarios!$F10,0))</f>
        <v>296</v>
      </c>
      <c r="N42" s="11">
        <f t="shared" si="12"/>
        <v>257</v>
      </c>
      <c r="O42" s="11">
        <f>(Parameters_Public!$C$23*(L42-D42)+Parameters_Public!$C$24*(M42-E42))</f>
        <v>154.19999999999999</v>
      </c>
      <c r="P42">
        <f>YearMap!E2</f>
        <v>1000</v>
      </c>
      <c r="Q42">
        <f>IF(Scenarios!N10="lease", YearMap!F2, YearMap!G2)</f>
        <v>0.2</v>
      </c>
      <c r="R42" s="2">
        <f>IF(Scenarios!D10=1, Q42*H42, H42)</f>
        <v>280860.57390000002</v>
      </c>
      <c r="S42" s="2">
        <f>IF(Scenarios!E10=1, Q42*I42, I42)</f>
        <v>1617407.196</v>
      </c>
      <c r="T42" s="2">
        <f>IF(C42="FY2026", (Scenarios!D10+Scenarios!E10)*BaselineCalc!$B$22, 0)</f>
        <v>1200000</v>
      </c>
      <c r="U42" s="2">
        <f t="shared" si="13"/>
        <v>3770384.4316826998</v>
      </c>
      <c r="V42" s="2">
        <f t="shared" si="14"/>
        <v>1143317.6732999997</v>
      </c>
      <c r="W42" s="2">
        <f>U42+V42+IF(Parameters_Public!$C$26=1, T42, 0)</f>
        <v>4913702.1049826993</v>
      </c>
      <c r="X42" s="2">
        <f t="shared" si="15"/>
        <v>10914.487127904707</v>
      </c>
      <c r="Y42" s="2">
        <f>INDEX(YearMap!$I$2:$I$6, MATCH(C42, YearMap!$A$2:$A$6, 0))</f>
        <v>5013</v>
      </c>
      <c r="Z42" s="2">
        <f>W42 - ((Y42 + IF(Parameters_Public!$C$20=1, Parameters_Public!$C$19, 0))*AC42)</f>
        <v>2318321.6149826995</v>
      </c>
      <c r="AA42" s="2">
        <f t="shared" si="16"/>
        <v>5149.5371279047076</v>
      </c>
      <c r="AB42">
        <f>MAX(0, (MAX(0, $D42-BaselineCalc!$B$7) + MAX(0, $E42-BaselineCalc!$B$8)))</f>
        <v>0</v>
      </c>
      <c r="AC42" s="11">
        <f t="shared" si="17"/>
        <v>450.2</v>
      </c>
      <c r="AD42" s="2">
        <f>( (Y42 + IF(Parameters_Public!$C20=1, INDEX(YearMap!$O$2:$O$6, MATCH(C42, YearMap!$A$2:$A$6, 0)), 0)) * AC42 ) + AC42*INDEX(YearMap!$P$2:$P$6, MATCH(C42, YearMap!$A$2:$A$6, 0)) + AB42*( INDEX(YearMap!$R$2:$R$6, MATCH(C42, YearMap!$A$2:$A$6, 0)) - INDEX(YearMap!$P$2:$P$6, MATCH(C42, YearMap!$A$2:$A$6, 0)) )</f>
        <v>4936420.49</v>
      </c>
      <c r="AE42" s="2">
        <f>(W42 - (1-Parameters_Public!$C42)*$G42*$AB42*$J42*(1-$K42)) + AB42*INDEX(YearMap!$Q$2:$Q$6, MATCH(C42, YearMap!$A$2:$A$6, 0))</f>
        <v>4913702.1049826993</v>
      </c>
      <c r="AF42" s="2">
        <f t="shared" si="18"/>
        <v>22718.385017300956</v>
      </c>
      <c r="AG42" t="str">
        <f t="shared" si="19"/>
        <v>B2_Repurpose_Echo_lease_PimaTargets|FY2026</v>
      </c>
    </row>
    <row r="43" spans="1:33">
      <c r="A43" t="str">
        <f t="shared" si="10"/>
        <v>B2_Repurpose_Echo_lease_PimaTargets|FY2027</v>
      </c>
      <c r="B43" t="str">
        <f>Scenarios!A10</f>
        <v>B2_Repurpose_Echo_lease_PimaTargets</v>
      </c>
      <c r="C43" t="s">
        <v>87</v>
      </c>
      <c r="D43">
        <f>IF(Scenarios!D10=1,0, L43)</f>
        <v>0</v>
      </c>
      <c r="E43">
        <f>IF(Scenarios!E10=1,0, M43)</f>
        <v>296</v>
      </c>
      <c r="F43">
        <f t="shared" si="11"/>
        <v>296</v>
      </c>
      <c r="G43" s="2">
        <f>YearMap!B3</f>
        <v>6574.8742874999989</v>
      </c>
      <c r="H43" s="2">
        <f>YearMap!C3</f>
        <v>1439410.4412375002</v>
      </c>
      <c r="I43" s="2">
        <f>YearMap!D3</f>
        <v>1657842.3759000003</v>
      </c>
      <c r="J43">
        <f>1-BaselineCalc!$B$5</f>
        <v>0.99299999999999999</v>
      </c>
      <c r="K43">
        <f>Scenarios!G10</f>
        <v>0</v>
      </c>
      <c r="L43">
        <f>IF(Scenarios!$Q10=1,BaselineCalc!$B$7*(1+Parameters_Public!$C44)^(IF($C43="FY2026",0,IF($C43="FY2027",1,IF($C43="FY2028",2,IF($C43="FY2029",3,IF($C43="FY2030",4,0))))))+ROUND(Scenarios!J10*Scenarios!$F10,0),BaselineCalc!$B$7+ROUND(Scenarios!J10*Scenarios!$F10,0))</f>
        <v>257</v>
      </c>
      <c r="M43">
        <f>IF(Scenarios!$R10=1,BaselineCalc!$B$8*(1+Parameters_Public!$C45)^(IF($C43="FY2026",0,IF($C43="FY2027",1,IF($C43="FY2028",2,IF($C43="FY2029",3,IF($C43="FY2030",4,0))))))+Scenarios!J10-ROUND(Scenarios!J10*Scenarios!$F10,0),BaselineCalc!$B$8+Scenarios!J10-ROUND(Scenarios!J10*Scenarios!$F10,0))</f>
        <v>296</v>
      </c>
      <c r="N43" s="11">
        <f t="shared" si="12"/>
        <v>257</v>
      </c>
      <c r="O43" s="11">
        <f>(Parameters_Public!$C$23*(L43-D43)+Parameters_Public!$C$24*(M43-E43))</f>
        <v>154.19999999999999</v>
      </c>
      <c r="P43">
        <f>YearMap!E3</f>
        <v>800</v>
      </c>
      <c r="Q43">
        <f>IF(Scenarios!N10="lease", YearMap!F3, YearMap!G3)</f>
        <v>0.2</v>
      </c>
      <c r="R43" s="2">
        <f>IF(Scenarios!D10=1, Q43*H43, H43)</f>
        <v>287882.08824750007</v>
      </c>
      <c r="S43" s="2">
        <f>IF(Scenarios!E10=1, Q43*I43, I43)</f>
        <v>1657842.3759000003</v>
      </c>
      <c r="T43" s="2">
        <f>IF(C43="FY2026", (Scenarios!D10+Scenarios!E10)*BaselineCalc!$B$22, 0)</f>
        <v>0</v>
      </c>
      <c r="U43" s="2">
        <f t="shared" si="13"/>
        <v>3864644.0424747677</v>
      </c>
      <c r="V43" s="2">
        <f t="shared" si="14"/>
        <v>1137205.6151324997</v>
      </c>
      <c r="W43" s="2">
        <f>U43+V43+IF(Parameters_Public!$C$26=1, T43, 0)</f>
        <v>5001849.6576072676</v>
      </c>
      <c r="X43" s="2">
        <f t="shared" si="15"/>
        <v>11110.28355754613</v>
      </c>
      <c r="Y43" s="2">
        <f>INDEX(YearMap!$I$2:$I$6, MATCH(C43, YearMap!$A$2:$A$6, 0))</f>
        <v>5138.3249999999998</v>
      </c>
      <c r="Z43" s="2">
        <f>W43 - ((Y43 + IF(Parameters_Public!$C$20=1, Parameters_Public!$C$19, 0))*AC43)</f>
        <v>2350047.8526072679</v>
      </c>
      <c r="AA43" s="2">
        <f t="shared" si="16"/>
        <v>5220.0085575461308</v>
      </c>
      <c r="AB43">
        <f>MAX(0, (MAX(0, $D43-BaselineCalc!$B$7) + MAX(0, $E43-BaselineCalc!$B$8)))</f>
        <v>0</v>
      </c>
      <c r="AC43" s="11">
        <f t="shared" si="17"/>
        <v>450.2</v>
      </c>
      <c r="AD43" s="2">
        <f>( (Y43 + IF(Parameters_Public!$C20=1, INDEX(YearMap!$O$2:$O$6, MATCH(C43, YearMap!$A$2:$A$6, 0)), 0)) * AC43 ) + AC43*INDEX(YearMap!$P$2:$P$6, MATCH(C43, YearMap!$A$2:$A$6, 0)) + AB43*( INDEX(YearMap!$R$2:$R$6, MATCH(C43, YearMap!$A$2:$A$6, 0)) - INDEX(YearMap!$P$2:$P$6, MATCH(C43, YearMap!$A$2:$A$6, 0)) )</f>
        <v>5059831.002249999</v>
      </c>
      <c r="AE43" s="2">
        <f>(W43 - (1-Parameters_Public!$C42)*$G43*$AB43*$J43*(1-$K43)) + AB43*INDEX(YearMap!$Q$2:$Q$6, MATCH(C43, YearMap!$A$2:$A$6, 0))</f>
        <v>5001849.6576072676</v>
      </c>
      <c r="AF43" s="2">
        <f t="shared" si="18"/>
        <v>57981.344642731361</v>
      </c>
      <c r="AG43" t="str">
        <f t="shared" si="19"/>
        <v>B2_Repurpose_Echo_lease_PimaTargets|FY2027</v>
      </c>
    </row>
    <row r="44" spans="1:33">
      <c r="A44" t="str">
        <f t="shared" si="10"/>
        <v>B2_Repurpose_Echo_lease_PimaTargets|FY2028</v>
      </c>
      <c r="B44" t="str">
        <f>Scenarios!A10</f>
        <v>B2_Repurpose_Echo_lease_PimaTargets</v>
      </c>
      <c r="C44" t="s">
        <v>88</v>
      </c>
      <c r="D44">
        <f>IF(Scenarios!D10=1,0, L44)</f>
        <v>0</v>
      </c>
      <c r="E44">
        <f>IF(Scenarios!E10=1,0, M44)</f>
        <v>296</v>
      </c>
      <c r="F44">
        <f t="shared" si="11"/>
        <v>296</v>
      </c>
      <c r="G44" s="2">
        <f>YearMap!B4</f>
        <v>6739.2461446874986</v>
      </c>
      <c r="H44" s="2">
        <f>YearMap!C4</f>
        <v>1475395.7022684375</v>
      </c>
      <c r="I44" s="2">
        <f>YearMap!D4</f>
        <v>1699288.4352975001</v>
      </c>
      <c r="J44">
        <f>1-BaselineCalc!$B$5</f>
        <v>0.99299999999999999</v>
      </c>
      <c r="K44">
        <f>Scenarios!G10</f>
        <v>0</v>
      </c>
      <c r="L44">
        <f>IF(Scenarios!$Q10=1,BaselineCalc!$B$7*(1+Parameters_Public!$C44)^(IF($C44="FY2026",0,IF($C44="FY2027",1,IF($C44="FY2028",2,IF($C44="FY2029",3,IF($C44="FY2030",4,0))))))+ROUND(Scenarios!K10*Scenarios!$F10,0),BaselineCalc!$B$7+ROUND(Scenarios!K10*Scenarios!$F10,0))</f>
        <v>257</v>
      </c>
      <c r="M44">
        <f>IF(Scenarios!$R10=1,BaselineCalc!$B$8*(1+Parameters_Public!$C45)^(IF($C44="FY2026",0,IF($C44="FY2027",1,IF($C44="FY2028",2,IF($C44="FY2029",3,IF($C44="FY2030",4,0))))))+Scenarios!K10-ROUND(Scenarios!K10*Scenarios!$F10,0),BaselineCalc!$B$8+Scenarios!K10-ROUND(Scenarios!K10*Scenarios!$F10,0))</f>
        <v>296</v>
      </c>
      <c r="N44" s="11">
        <f t="shared" si="12"/>
        <v>257</v>
      </c>
      <c r="O44" s="11">
        <f>(Parameters_Public!$C$23*(L44-D44)+Parameters_Public!$C$24*(M44-E44))</f>
        <v>154.19999999999999</v>
      </c>
      <c r="P44">
        <f>YearMap!E4</f>
        <v>600</v>
      </c>
      <c r="Q44">
        <f>IF(Scenarios!N10="lease", YearMap!F4, YearMap!G4)</f>
        <v>0.15</v>
      </c>
      <c r="R44" s="2">
        <f>IF(Scenarios!D10=1, Q44*H44, H44)</f>
        <v>221309.35534026561</v>
      </c>
      <c r="S44" s="2">
        <f>IF(Scenarios!E10=1, Q44*I44, I44)</f>
        <v>1699288.4352975001</v>
      </c>
      <c r="T44" s="2">
        <f>IF(C44="FY2026", (Scenarios!D10+Scenarios!E10)*BaselineCalc!$B$22, 0)</f>
        <v>0</v>
      </c>
      <c r="U44" s="2">
        <f t="shared" si="13"/>
        <v>3888006.7469190089</v>
      </c>
      <c r="V44" s="2">
        <f t="shared" si="14"/>
        <v>1131711.7555108122</v>
      </c>
      <c r="W44" s="2">
        <f>U44+V44+IF(Parameters_Public!$C$26=1, T44, 0)</f>
        <v>5019718.5024298206</v>
      </c>
      <c r="X44" s="2">
        <f t="shared" si="15"/>
        <v>11149.974461194626</v>
      </c>
      <c r="Y44" s="2">
        <f>INDEX(YearMap!$I$2:$I$6, MATCH(C44, YearMap!$A$2:$A$6, 0))</f>
        <v>5266.7831249999999</v>
      </c>
      <c r="Z44" s="2">
        <f>W44 - ((Y44 + IF(Parameters_Public!$C$20=1, Parameters_Public!$C$19, 0))*AC44)</f>
        <v>2310084.8495548209</v>
      </c>
      <c r="AA44" s="2">
        <f t="shared" si="16"/>
        <v>5131.2413361946265</v>
      </c>
      <c r="AB44">
        <f>MAX(0, (MAX(0, $D44-BaselineCalc!$B$7) + MAX(0, $E44-BaselineCalc!$B$8)))</f>
        <v>0</v>
      </c>
      <c r="AC44" s="11">
        <f t="shared" si="17"/>
        <v>450.2</v>
      </c>
      <c r="AD44" s="2">
        <f>( (Y44 + IF(Parameters_Public!$C20=1, INDEX(YearMap!$O$2:$O$6, MATCH(C44, YearMap!$A$2:$A$6, 0)), 0)) * AC44 ) + AC44*INDEX(YearMap!$P$2:$P$6, MATCH(C44, YearMap!$A$2:$A$6, 0)) + AB44*( INDEX(YearMap!$R$2:$R$6, MATCH(C44, YearMap!$A$2:$A$6, 0)) - INDEX(YearMap!$P$2:$P$6, MATCH(C44, YearMap!$A$2:$A$6, 0)) )</f>
        <v>5186326.7773062494</v>
      </c>
      <c r="AE44" s="2">
        <f>(W44 - (1-Parameters_Public!$C42)*$G44*$AB44*$J44*(1-$K44)) + AB44*INDEX(YearMap!$Q$2:$Q$6, MATCH(C44, YearMap!$A$2:$A$6, 0))</f>
        <v>5019718.5024298206</v>
      </c>
      <c r="AF44" s="2">
        <f t="shared" si="18"/>
        <v>166608.27487642877</v>
      </c>
      <c r="AG44" t="str">
        <f t="shared" si="19"/>
        <v>B2_Repurpose_Echo_lease_PimaTargets|FY2028</v>
      </c>
    </row>
    <row r="45" spans="1:33">
      <c r="A45" t="str">
        <f t="shared" si="10"/>
        <v>B2_Repurpose_Echo_lease_PimaTargets|FY2029</v>
      </c>
      <c r="B45" t="str">
        <f>Scenarios!A10</f>
        <v>B2_Repurpose_Echo_lease_PimaTargets</v>
      </c>
      <c r="C45" t="s">
        <v>89</v>
      </c>
      <c r="D45">
        <f>IF(Scenarios!D10=1,0, L45)</f>
        <v>0</v>
      </c>
      <c r="E45">
        <f>IF(Scenarios!E10=1,0, M45)</f>
        <v>296</v>
      </c>
      <c r="F45">
        <f t="shared" si="11"/>
        <v>296</v>
      </c>
      <c r="G45" s="2">
        <f>YearMap!B5</f>
        <v>6907.7272983046851</v>
      </c>
      <c r="H45" s="2">
        <f>YearMap!C5</f>
        <v>1512280.5948251483</v>
      </c>
      <c r="I45" s="2">
        <f>YearMap!D5</f>
        <v>1741770.6461799373</v>
      </c>
      <c r="J45">
        <f>1-BaselineCalc!$B$5</f>
        <v>0.99299999999999999</v>
      </c>
      <c r="K45">
        <f>Scenarios!G10</f>
        <v>0</v>
      </c>
      <c r="L45">
        <f>IF(Scenarios!$Q10=1,BaselineCalc!$B$7*(1+Parameters_Public!$C44)^(IF($C45="FY2026",0,IF($C45="FY2027",1,IF($C45="FY2028",2,IF($C45="FY2029",3,IF($C45="FY2030",4,0))))))+ROUND(Scenarios!L10*Scenarios!$F10,0),BaselineCalc!$B$7+ROUND(Scenarios!L10*Scenarios!$F10,0))</f>
        <v>257</v>
      </c>
      <c r="M45">
        <f>IF(Scenarios!$R10=1,BaselineCalc!$B$8*(1+Parameters_Public!$C45)^(IF($C45="FY2026",0,IF($C45="FY2027",1,IF($C45="FY2028",2,IF($C45="FY2029",3,IF($C45="FY2030",4,0))))))+Scenarios!L10-ROUND(Scenarios!L10*Scenarios!$F10,0),BaselineCalc!$B$8+Scenarios!L10-ROUND(Scenarios!L10*Scenarios!$F10,0))</f>
        <v>296</v>
      </c>
      <c r="N45" s="11">
        <f t="shared" si="12"/>
        <v>257</v>
      </c>
      <c r="O45" s="11">
        <f>(Parameters_Public!$C$23*(L45-D45)+Parameters_Public!$C$24*(M45-E45))</f>
        <v>154.19999999999999</v>
      </c>
      <c r="P45">
        <f>YearMap!E5</f>
        <v>500</v>
      </c>
      <c r="Q45">
        <f>IF(Scenarios!N10="lease", YearMap!F5, YearMap!G5)</f>
        <v>0.1</v>
      </c>
      <c r="R45" s="2">
        <f>IF(Scenarios!D10=1, Q45*H45, H45)</f>
        <v>151228.05948251483</v>
      </c>
      <c r="S45" s="2">
        <f>IF(Scenarios!E10=1, Q45*I45, I45)</f>
        <v>1741770.6461799373</v>
      </c>
      <c r="T45" s="2">
        <f>IF(C45="FY2026", (Scenarios!D10+Scenarios!E10)*BaselineCalc!$B$22, 0)</f>
        <v>0</v>
      </c>
      <c r="U45" s="2">
        <f t="shared" si="13"/>
        <v>3910122.1840589144</v>
      </c>
      <c r="V45" s="2">
        <f t="shared" si="14"/>
        <v>1142271.5493985824</v>
      </c>
      <c r="W45" s="2">
        <f>U45+V45+IF(Parameters_Public!$C$26=1, T45, 0)</f>
        <v>5052393.7334574964</v>
      </c>
      <c r="X45" s="2">
        <f t="shared" si="15"/>
        <v>11222.553828204123</v>
      </c>
      <c r="Y45" s="2">
        <f>INDEX(YearMap!$I$2:$I$6, MATCH(C45, YearMap!$A$2:$A$6, 0))</f>
        <v>5398.4527031249991</v>
      </c>
      <c r="Z45" s="2">
        <f>W45 - ((Y45 + IF(Parameters_Public!$C$20=1, Parameters_Public!$C$19, 0))*AC45)</f>
        <v>2283482.436510622</v>
      </c>
      <c r="AA45" s="2">
        <f t="shared" si="16"/>
        <v>5072.1511250791254</v>
      </c>
      <c r="AB45">
        <f>MAX(0, (MAX(0, $D45-BaselineCalc!$B$7) + MAX(0, $E45-BaselineCalc!$B$8)))</f>
        <v>0</v>
      </c>
      <c r="AC45" s="11">
        <f t="shared" si="17"/>
        <v>450.2</v>
      </c>
      <c r="AD45" s="2">
        <f>( (Y45 + IF(Parameters_Public!$C20=1, INDEX(YearMap!$O$2:$O$6, MATCH(C45, YearMap!$A$2:$A$6, 0)), 0)) * AC45 ) + AC45*INDEX(YearMap!$P$2:$P$6, MATCH(C45, YearMap!$A$2:$A$6, 0)) + AB45*( INDEX(YearMap!$R$2:$R$6, MATCH(C45, YearMap!$A$2:$A$6, 0)) - INDEX(YearMap!$P$2:$P$6, MATCH(C45, YearMap!$A$2:$A$6, 0)) )</f>
        <v>5315984.9467389053</v>
      </c>
      <c r="AE45" s="2">
        <f>(W45 - (1-Parameters_Public!$C42)*$G45*$AB45*$J45*(1-$K45)) + AB45*INDEX(YearMap!$Q$2:$Q$6, MATCH(C45, YearMap!$A$2:$A$6, 0))</f>
        <v>5052393.7334574964</v>
      </c>
      <c r="AF45" s="2">
        <f t="shared" si="18"/>
        <v>263591.21328140888</v>
      </c>
      <c r="AG45" t="str">
        <f t="shared" si="19"/>
        <v>B2_Repurpose_Echo_lease_PimaTargets|FY2029</v>
      </c>
    </row>
    <row r="46" spans="1:33">
      <c r="A46" t="str">
        <f t="shared" si="10"/>
        <v>B2_Repurpose_Echo_lease_PimaTargets|FY2030</v>
      </c>
      <c r="B46" t="str">
        <f>Scenarios!A10</f>
        <v>B2_Repurpose_Echo_lease_PimaTargets</v>
      </c>
      <c r="C46" t="s">
        <v>90</v>
      </c>
      <c r="D46">
        <f>IF(Scenarios!D10=1,0, L46)</f>
        <v>0</v>
      </c>
      <c r="E46">
        <f>IF(Scenarios!E10=1,0, M46)</f>
        <v>296</v>
      </c>
      <c r="F46">
        <f t="shared" si="11"/>
        <v>296</v>
      </c>
      <c r="G46" s="2">
        <f>YearMap!B6</f>
        <v>7080.4204807623018</v>
      </c>
      <c r="H46" s="2">
        <f>YearMap!C6</f>
        <v>1550087.6096957768</v>
      </c>
      <c r="I46" s="2">
        <f>YearMap!D6</f>
        <v>1785314.9123344356</v>
      </c>
      <c r="J46">
        <f>1-BaselineCalc!$B$5</f>
        <v>0.99299999999999999</v>
      </c>
      <c r="K46">
        <f>Scenarios!G10</f>
        <v>0</v>
      </c>
      <c r="L46">
        <f>IF(Scenarios!$Q10=1,BaselineCalc!$B$7*(1+Parameters_Public!$C44)^(IF($C46="FY2026",0,IF($C46="FY2027",1,IF($C46="FY2028",2,IF($C46="FY2029",3,IF($C46="FY2030",4,0))))))+ROUND(Scenarios!M10*Scenarios!$F10,0),BaselineCalc!$B$7+ROUND(Scenarios!M10*Scenarios!$F10,0))</f>
        <v>257</v>
      </c>
      <c r="M46">
        <f>IF(Scenarios!$R10=1,BaselineCalc!$B$8*(1+Parameters_Public!$C45)^(IF($C46="FY2026",0,IF($C46="FY2027",1,IF($C46="FY2028",2,IF($C46="FY2029",3,IF($C46="FY2030",4,0))))))+Scenarios!M10-ROUND(Scenarios!M10*Scenarios!$F10,0),BaselineCalc!$B$8+Scenarios!M10-ROUND(Scenarios!M10*Scenarios!$F10,0))</f>
        <v>296</v>
      </c>
      <c r="N46" s="11">
        <f t="shared" si="12"/>
        <v>257</v>
      </c>
      <c r="O46" s="11">
        <f>(Parameters_Public!$C$23*(L46-D46)+Parameters_Public!$C$24*(M46-E46))</f>
        <v>154.19999999999999</v>
      </c>
      <c r="P46">
        <f>YearMap!E6</f>
        <v>300</v>
      </c>
      <c r="Q46">
        <f>IF(Scenarios!N10="lease", YearMap!F6, YearMap!G6)</f>
        <v>0.1</v>
      </c>
      <c r="R46" s="2">
        <f>IF(Scenarios!D10=1, Q46*H46, H46)</f>
        <v>155008.76096957768</v>
      </c>
      <c r="S46" s="2">
        <f>IF(Scenarios!E10=1, Q46*I46, I46)</f>
        <v>1785314.9123344356</v>
      </c>
      <c r="T46" s="2">
        <f>IF(C46="FY2026", (Scenarios!D10+Scenarios!E10)*BaselineCalc!$B$22, 0)</f>
        <v>0</v>
      </c>
      <c r="U46" s="2">
        <f t="shared" si="13"/>
        <v>4007875.2386603872</v>
      </c>
      <c r="V46" s="2">
        <f t="shared" si="14"/>
        <v>1138060.8381335468</v>
      </c>
      <c r="W46" s="2">
        <f>U46+V46+IF(Parameters_Public!$C$26=1, T46, 0)</f>
        <v>5145936.0767939342</v>
      </c>
      <c r="X46" s="2">
        <f t="shared" si="15"/>
        <v>11430.333355828376</v>
      </c>
      <c r="Y46" s="2">
        <f>INDEX(YearMap!$I$2:$I$6, MATCH(C46, YearMap!$A$2:$A$6, 0))</f>
        <v>5533.4140207031242</v>
      </c>
      <c r="Z46" s="2">
        <f>W46 - ((Y46 + IF(Parameters_Public!$C$20=1, Parameters_Public!$C$19, 0))*AC46)</f>
        <v>2316265.1946733878</v>
      </c>
      <c r="AA46" s="2">
        <f t="shared" si="16"/>
        <v>5144.9693351252508</v>
      </c>
      <c r="AB46">
        <f>MAX(0, (MAX(0, $D46-BaselineCalc!$B$7) + MAX(0, $E46-BaselineCalc!$B$8)))</f>
        <v>0</v>
      </c>
      <c r="AC46" s="11">
        <f t="shared" si="17"/>
        <v>450.2</v>
      </c>
      <c r="AD46" s="2">
        <f>( (Y46 + IF(Parameters_Public!$C20=1, INDEX(YearMap!$O$2:$O$6, MATCH(C46, YearMap!$A$2:$A$6, 0)), 0)) * AC46 ) + AC46*INDEX(YearMap!$P$2:$P$6, MATCH(C46, YearMap!$A$2:$A$6, 0)) + AB46*( INDEX(YearMap!$R$2:$R$6, MATCH(C46, YearMap!$A$2:$A$6, 0)) - INDEX(YearMap!$P$2:$P$6, MATCH(C46, YearMap!$A$2:$A$6, 0)) )</f>
        <v>5448884.5704073776</v>
      </c>
      <c r="AE46" s="2">
        <f>(W46 - (1-Parameters_Public!$C42)*$G46*$AB46*$J46*(1-$K46)) + AB46*INDEX(YearMap!$Q$2:$Q$6, MATCH(C46, YearMap!$A$2:$A$6, 0))</f>
        <v>5145936.0767939342</v>
      </c>
      <c r="AF46" s="2">
        <f t="shared" si="18"/>
        <v>302948.49361344334</v>
      </c>
      <c r="AG46" t="str">
        <f t="shared" si="19"/>
        <v>B2_Repurpose_Echo_lease_PimaTargets|FY2030</v>
      </c>
    </row>
    <row r="47" spans="1:33">
      <c r="A47" t="str">
        <f t="shared" si="10"/>
        <v>B1_Repurpose_Echo_ops_PimaTargets|FY2026</v>
      </c>
      <c r="B47" t="str">
        <f>Scenarios!A11</f>
        <v>B1_Repurpose_Echo_ops_PimaTargets</v>
      </c>
      <c r="C47" t="s">
        <v>86</v>
      </c>
      <c r="D47">
        <f>IF(Scenarios!D11=1,0, L47)</f>
        <v>0</v>
      </c>
      <c r="E47">
        <f>IF(Scenarios!E11=1,0, M47)</f>
        <v>308.33333333333331</v>
      </c>
      <c r="F47">
        <f t="shared" si="11"/>
        <v>308.33333333333331</v>
      </c>
      <c r="G47" s="2">
        <f>YearMap!B2</f>
        <v>6414.5114999999987</v>
      </c>
      <c r="H47" s="2">
        <f>YearMap!C2</f>
        <v>1404302.8695</v>
      </c>
      <c r="I47" s="2">
        <f>YearMap!D2</f>
        <v>1617407.196</v>
      </c>
      <c r="J47">
        <f>1-BaselineCalc!$B$5</f>
        <v>0.99299999999999999</v>
      </c>
      <c r="K47">
        <f>Scenarios!G11</f>
        <v>0</v>
      </c>
      <c r="L47">
        <f>IF(Scenarios!$Q11=1,BaselineCalc!$B$7*(1+Parameters_Public!$C44)^(IF($C47="FY2026",0,IF($C47="FY2027",1,IF($C47="FY2028",2,IF($C47="FY2029",3,IF($C47="FY2030",4,0))))))+ROUND(Scenarios!I11*Scenarios!$F11,0),BaselineCalc!$B$7+ROUND(Scenarios!I11*Scenarios!$F11,0))</f>
        <v>257</v>
      </c>
      <c r="M47">
        <f>IF(Scenarios!$R11=1,BaselineCalc!$B$8*(1+Parameters_Public!$C45)^(IF($C47="FY2026",0,IF($C47="FY2027",1,IF($C47="FY2028",2,IF($C47="FY2029",3,IF($C47="FY2030",4,0))))))+Scenarios!I11-ROUND(Scenarios!I11*Scenarios!$F11,0),BaselineCalc!$B$8+Scenarios!I11-ROUND(Scenarios!I11*Scenarios!$F11,0))</f>
        <v>308.33333333333331</v>
      </c>
      <c r="N47" s="11">
        <f t="shared" si="12"/>
        <v>257</v>
      </c>
      <c r="O47" s="11">
        <f>(Parameters_Public!$C$23*(L47-D47)+Parameters_Public!$C$24*(M47-E47))</f>
        <v>154.19999999999999</v>
      </c>
      <c r="P47">
        <f>YearMap!E2</f>
        <v>1000</v>
      </c>
      <c r="Q47">
        <f>IF(Scenarios!N11="lease", YearMap!F2, YearMap!G2)</f>
        <v>0.45</v>
      </c>
      <c r="R47" s="2">
        <f>IF(Scenarios!D11=1, Q47*H47, H47)</f>
        <v>631936.29127500008</v>
      </c>
      <c r="S47" s="2">
        <f>IF(Scenarios!E11=1, Q47*I47, I47)</f>
        <v>1617407.196</v>
      </c>
      <c r="T47" s="2">
        <f>IF(C47="FY2026", (Scenarios!D11+Scenarios!E11)*BaselineCalc!$B$22, 0)</f>
        <v>1200000</v>
      </c>
      <c r="U47" s="2">
        <f t="shared" si="13"/>
        <v>4197561.1413765745</v>
      </c>
      <c r="V47" s="2">
        <f t="shared" si="14"/>
        <v>1143317.6732999997</v>
      </c>
      <c r="W47" s="2">
        <f>U47+V47+IF(Parameters_Public!$C$26=1, T47, 0)</f>
        <v>5340878.8146765744</v>
      </c>
      <c r="X47" s="2">
        <f t="shared" si="15"/>
        <v>11547.013868571436</v>
      </c>
      <c r="Y47" s="2">
        <f>INDEX(YearMap!$I$2:$I$6, MATCH(C47, YearMap!$A$2:$A$6, 0))</f>
        <v>5013</v>
      </c>
      <c r="Z47" s="2">
        <f>W47 - ((Y47 + IF(Parameters_Public!$C$20=1, Parameters_Public!$C$19, 0))*AC47)</f>
        <v>2674397.2746765749</v>
      </c>
      <c r="AA47" s="2">
        <f t="shared" si="16"/>
        <v>5782.0638685714375</v>
      </c>
      <c r="AB47">
        <f>MAX(0, (MAX(0, $D47-BaselineCalc!$B$7) + MAX(0, $E47-BaselineCalc!$B$8)))</f>
        <v>12.333333333333314</v>
      </c>
      <c r="AC47" s="11">
        <f t="shared" si="17"/>
        <v>462.53333333333325</v>
      </c>
      <c r="AD47" s="2">
        <f>( (Y47 + IF(Parameters_Public!$C20=1, INDEX(YearMap!$O$2:$O$6, MATCH(C47, YearMap!$A$2:$A$6, 0)), 0)) * AC47 ) + AC47*INDEX(YearMap!$P$2:$P$6, MATCH(C47, YearMap!$A$2:$A$6, 0)) + AB47*( INDEX(YearMap!$R$2:$R$6, MATCH(C47, YearMap!$A$2:$A$6, 0)) - INDEX(YearMap!$P$2:$P$6, MATCH(C47, YearMap!$A$2:$A$6, 0)) )</f>
        <v>5062034.8733333331</v>
      </c>
      <c r="AE47" s="2">
        <f>(W47 - (1-Parameters_Public!$C42)*$G47*$AB47*$J47*(1-$K47)) + AB47*INDEX(YearMap!$Q$2:$Q$6, MATCH(C47, YearMap!$A$2:$A$6, 0))</f>
        <v>5264786.9590027416</v>
      </c>
      <c r="AF47" s="2">
        <f t="shared" si="18"/>
        <v>-202752.08566940855</v>
      </c>
      <c r="AG47" t="str">
        <f t="shared" si="19"/>
        <v>B1_Repurpose_Echo_ops_PimaTargets|FY2026</v>
      </c>
    </row>
    <row r="48" spans="1:33">
      <c r="A48" t="str">
        <f t="shared" si="10"/>
        <v>B1_Repurpose_Echo_ops_PimaTargets|FY2027</v>
      </c>
      <c r="B48" t="str">
        <f>Scenarios!A11</f>
        <v>B1_Repurpose_Echo_ops_PimaTargets</v>
      </c>
      <c r="C48" t="s">
        <v>87</v>
      </c>
      <c r="D48">
        <f>IF(Scenarios!D11=1,0, L48)</f>
        <v>0</v>
      </c>
      <c r="E48">
        <f>IF(Scenarios!E11=1,0, M48)</f>
        <v>320.66666666666669</v>
      </c>
      <c r="F48">
        <f t="shared" si="11"/>
        <v>320.66666666666669</v>
      </c>
      <c r="G48" s="2">
        <f>YearMap!B3</f>
        <v>6574.8742874999989</v>
      </c>
      <c r="H48" s="2">
        <f>YearMap!C3</f>
        <v>1439410.4412375002</v>
      </c>
      <c r="I48" s="2">
        <f>YearMap!D3</f>
        <v>1657842.3759000003</v>
      </c>
      <c r="J48">
        <f>1-BaselineCalc!$B$5</f>
        <v>0.99299999999999999</v>
      </c>
      <c r="K48">
        <f>Scenarios!G11</f>
        <v>0</v>
      </c>
      <c r="L48">
        <f>IF(Scenarios!$Q11=1,BaselineCalc!$B$7*(1+Parameters_Public!$C44)^(IF($C48="FY2026",0,IF($C48="FY2027",1,IF($C48="FY2028",2,IF($C48="FY2029",3,IF($C48="FY2030",4,0))))))+ROUND(Scenarios!J11*Scenarios!$F11,0),BaselineCalc!$B$7+ROUND(Scenarios!J11*Scenarios!$F11,0))</f>
        <v>257</v>
      </c>
      <c r="M48">
        <f>IF(Scenarios!$R11=1,BaselineCalc!$B$8*(1+Parameters_Public!$C45)^(IF($C48="FY2026",0,IF($C48="FY2027",1,IF($C48="FY2028",2,IF($C48="FY2029",3,IF($C48="FY2030",4,0))))))+Scenarios!J11-ROUND(Scenarios!J11*Scenarios!$F11,0),BaselineCalc!$B$8+Scenarios!J11-ROUND(Scenarios!J11*Scenarios!$F11,0))</f>
        <v>320.66666666666669</v>
      </c>
      <c r="N48" s="11">
        <f t="shared" si="12"/>
        <v>257</v>
      </c>
      <c r="O48" s="11">
        <f>(Parameters_Public!$C$23*(L48-D48)+Parameters_Public!$C$24*(M48-E48))</f>
        <v>154.19999999999999</v>
      </c>
      <c r="P48">
        <f>YearMap!E3</f>
        <v>800</v>
      </c>
      <c r="Q48">
        <f>IF(Scenarios!N11="lease", YearMap!F3, YearMap!G3)</f>
        <v>0.4</v>
      </c>
      <c r="R48" s="2">
        <f>IF(Scenarios!D11=1, Q48*H48, H48)</f>
        <v>575764.17649500014</v>
      </c>
      <c r="S48" s="2">
        <f>IF(Scenarios!E11=1, Q48*I48, I48)</f>
        <v>1657842.3759000003</v>
      </c>
      <c r="T48" s="2">
        <f>IF(C48="FY2026", (Scenarios!D11+Scenarios!E11)*BaselineCalc!$B$22, 0)</f>
        <v>0</v>
      </c>
      <c r="U48" s="2">
        <f t="shared" si="13"/>
        <v>4311555.9269025605</v>
      </c>
      <c r="V48" s="2">
        <f t="shared" si="14"/>
        <v>1137205.6151324997</v>
      </c>
      <c r="W48" s="2">
        <f>U48+V48+IF(Parameters_Public!$C$26=1, T48, 0)</f>
        <v>5448761.54203506</v>
      </c>
      <c r="X48" s="2">
        <f t="shared" si="15"/>
        <v>11474.297786119037</v>
      </c>
      <c r="Y48" s="2">
        <f>INDEX(YearMap!$I$2:$I$6, MATCH(C48, YearMap!$A$2:$A$6, 0))</f>
        <v>5138.3249999999998</v>
      </c>
      <c r="Z48" s="2">
        <f>W48 - ((Y48 + IF(Parameters_Public!$C$20=1, Parameters_Public!$C$19, 0))*AC48)</f>
        <v>2651666.2870350596</v>
      </c>
      <c r="AA48" s="2">
        <f t="shared" si="16"/>
        <v>5584.0227861190351</v>
      </c>
      <c r="AB48">
        <f>MAX(0, (MAX(0, $D48-BaselineCalc!$B$7) + MAX(0, $E48-BaselineCalc!$B$8)))</f>
        <v>24.666666666666686</v>
      </c>
      <c r="AC48" s="11">
        <f t="shared" si="17"/>
        <v>474.86666666666673</v>
      </c>
      <c r="AD48" s="2">
        <f>( (Y48 + IF(Parameters_Public!$C20=1, INDEX(YearMap!$O$2:$O$6, MATCH(C48, YearMap!$A$2:$A$6, 0)), 0)) * AC48 ) + AC48*INDEX(YearMap!$P$2:$P$6, MATCH(C48, YearMap!$A$2:$A$6, 0)) + AB48*( INDEX(YearMap!$R$2:$R$6, MATCH(C48, YearMap!$A$2:$A$6, 0)) - INDEX(YearMap!$P$2:$P$6, MATCH(C48, YearMap!$A$2:$A$6, 0)) )</f>
        <v>5317340.4880833328</v>
      </c>
      <c r="AE48" s="2">
        <f>(W48 - (1-Parameters_Public!$C42)*$G48*$AB48*$J48*(1-$K48)) + AB48*INDEX(YearMap!$Q$2:$Q$6, MATCH(C48, YearMap!$A$2:$A$6, 0))</f>
        <v>5291663.2379037021</v>
      </c>
      <c r="AF48" s="2">
        <f t="shared" si="18"/>
        <v>25677.250179630704</v>
      </c>
      <c r="AG48" t="str">
        <f t="shared" si="19"/>
        <v>B1_Repurpose_Echo_ops_PimaTargets|FY2027</v>
      </c>
    </row>
    <row r="49" spans="1:33">
      <c r="A49" t="str">
        <f t="shared" si="10"/>
        <v>B1_Repurpose_Echo_ops_PimaTargets|FY2028</v>
      </c>
      <c r="B49" t="str">
        <f>Scenarios!A11</f>
        <v>B1_Repurpose_Echo_ops_PimaTargets</v>
      </c>
      <c r="C49" t="s">
        <v>88</v>
      </c>
      <c r="D49">
        <f>IF(Scenarios!D11=1,0, L49)</f>
        <v>0</v>
      </c>
      <c r="E49">
        <f>IF(Scenarios!E11=1,0, M49)</f>
        <v>333</v>
      </c>
      <c r="F49">
        <f t="shared" si="11"/>
        <v>333</v>
      </c>
      <c r="G49" s="2">
        <f>YearMap!B4</f>
        <v>6739.2461446874986</v>
      </c>
      <c r="H49" s="2">
        <f>YearMap!C4</f>
        <v>1475395.7022684375</v>
      </c>
      <c r="I49" s="2">
        <f>YearMap!D4</f>
        <v>1699288.4352975001</v>
      </c>
      <c r="J49">
        <f>1-BaselineCalc!$B$5</f>
        <v>0.99299999999999999</v>
      </c>
      <c r="K49">
        <f>Scenarios!G11</f>
        <v>0</v>
      </c>
      <c r="L49">
        <f>IF(Scenarios!$Q11=1,BaselineCalc!$B$7*(1+Parameters_Public!$C44)^(IF($C49="FY2026",0,IF($C49="FY2027",1,IF($C49="FY2028",2,IF($C49="FY2029",3,IF($C49="FY2030",4,0))))))+ROUND(Scenarios!K11*Scenarios!$F11,0),BaselineCalc!$B$7+ROUND(Scenarios!K11*Scenarios!$F11,0))</f>
        <v>257</v>
      </c>
      <c r="M49">
        <f>IF(Scenarios!$R11=1,BaselineCalc!$B$8*(1+Parameters_Public!$C45)^(IF($C49="FY2026",0,IF($C49="FY2027",1,IF($C49="FY2028",2,IF($C49="FY2029",3,IF($C49="FY2030",4,0))))))+Scenarios!K11-ROUND(Scenarios!K11*Scenarios!$F11,0),BaselineCalc!$B$8+Scenarios!K11-ROUND(Scenarios!K11*Scenarios!$F11,0))</f>
        <v>333</v>
      </c>
      <c r="N49" s="11">
        <f t="shared" si="12"/>
        <v>257</v>
      </c>
      <c r="O49" s="11">
        <f>(Parameters_Public!$C$23*(L49-D49)+Parameters_Public!$C$24*(M49-E49))</f>
        <v>154.19999999999999</v>
      </c>
      <c r="P49">
        <f>YearMap!E4</f>
        <v>600</v>
      </c>
      <c r="Q49">
        <f>IF(Scenarios!N11="lease", YearMap!F4, YearMap!G4)</f>
        <v>0.35</v>
      </c>
      <c r="R49" s="2">
        <f>IF(Scenarios!D11=1, Q49*H49, H49)</f>
        <v>516388.49579395307</v>
      </c>
      <c r="S49" s="2">
        <f>IF(Scenarios!E11=1, Q49*I49, I49)</f>
        <v>1699288.4352975001</v>
      </c>
      <c r="T49" s="2">
        <f>IF(C49="FY2026", (Scenarios!D11+Scenarios!E11)*BaselineCalc!$B$22, 0)</f>
        <v>0</v>
      </c>
      <c r="U49" s="2">
        <f t="shared" si="13"/>
        <v>4428626.9759914828</v>
      </c>
      <c r="V49" s="2">
        <f t="shared" si="14"/>
        <v>1131711.7555108122</v>
      </c>
      <c r="W49" s="2">
        <f>U49+V49+IF(Parameters_Public!$C$26=1, T49, 0)</f>
        <v>5560338.7315022945</v>
      </c>
      <c r="X49" s="2">
        <f t="shared" si="15"/>
        <v>11412.846329027698</v>
      </c>
      <c r="Y49" s="2">
        <f>INDEX(YearMap!$I$2:$I$6, MATCH(C49, YearMap!$A$2:$A$6, 0))</f>
        <v>5266.7831249999999</v>
      </c>
      <c r="Z49" s="2">
        <f>W49 - ((Y49 + IF(Parameters_Public!$C$20=1, Parameters_Public!$C$19, 0))*AC49)</f>
        <v>2628011.9530022945</v>
      </c>
      <c r="AA49" s="2">
        <f t="shared" si="16"/>
        <v>5394.113204027698</v>
      </c>
      <c r="AB49">
        <f>MAX(0, (MAX(0, $D49-BaselineCalc!$B$7) + MAX(0, $E49-BaselineCalc!$B$8)))</f>
        <v>37</v>
      </c>
      <c r="AC49" s="11">
        <f t="shared" si="17"/>
        <v>487.2</v>
      </c>
      <c r="AD49" s="2">
        <f>( (Y49 + IF(Parameters_Public!$C20=1, INDEX(YearMap!$O$2:$O$6, MATCH(C49, YearMap!$A$2:$A$6, 0)), 0)) * AC49 ) + AC49*INDEX(YearMap!$P$2:$P$6, MATCH(C49, YearMap!$A$2:$A$6, 0)) + AB49*( INDEX(YearMap!$R$2:$R$6, MATCH(C49, YearMap!$A$2:$A$6, 0)) - INDEX(YearMap!$P$2:$P$6, MATCH(C49, YearMap!$A$2:$A$6, 0)) )</f>
        <v>5582247.6117749996</v>
      </c>
      <c r="AE49" s="2">
        <f>(W49 - (1-Parameters_Public!$C42)*$G49*$AB49*$J49*(1-$K49)) + AB49*INDEX(YearMap!$Q$2:$Q$6, MATCH(C49, YearMap!$A$2:$A$6, 0))</f>
        <v>5317172.0889003314</v>
      </c>
      <c r="AF49" s="2">
        <f t="shared" si="18"/>
        <v>265075.52287466824</v>
      </c>
      <c r="AG49" t="str">
        <f t="shared" si="19"/>
        <v>B1_Repurpose_Echo_ops_PimaTargets|FY2028</v>
      </c>
    </row>
    <row r="50" spans="1:33">
      <c r="A50" t="str">
        <f t="shared" si="10"/>
        <v>B1_Repurpose_Echo_ops_PimaTargets|FY2029</v>
      </c>
      <c r="B50" t="str">
        <f>Scenarios!A11</f>
        <v>B1_Repurpose_Echo_ops_PimaTargets</v>
      </c>
      <c r="C50" t="s">
        <v>89</v>
      </c>
      <c r="D50">
        <f>IF(Scenarios!D11=1,0, L50)</f>
        <v>0</v>
      </c>
      <c r="E50">
        <f>IF(Scenarios!E11=1,0, M50)</f>
        <v>333</v>
      </c>
      <c r="F50">
        <f t="shared" si="11"/>
        <v>333</v>
      </c>
      <c r="G50" s="2">
        <f>YearMap!B5</f>
        <v>6907.7272983046851</v>
      </c>
      <c r="H50" s="2">
        <f>YearMap!C5</f>
        <v>1512280.5948251483</v>
      </c>
      <c r="I50" s="2">
        <f>YearMap!D5</f>
        <v>1741770.6461799373</v>
      </c>
      <c r="J50">
        <f>1-BaselineCalc!$B$5</f>
        <v>0.99299999999999999</v>
      </c>
      <c r="K50">
        <f>Scenarios!G11</f>
        <v>0</v>
      </c>
      <c r="L50">
        <f>IF(Scenarios!$Q11=1,BaselineCalc!$B$7*(1+Parameters_Public!$C44)^(IF($C50="FY2026",0,IF($C50="FY2027",1,IF($C50="FY2028",2,IF($C50="FY2029",3,IF($C50="FY2030",4,0))))))+ROUND(Scenarios!L11*Scenarios!$F11,0),BaselineCalc!$B$7+ROUND(Scenarios!L11*Scenarios!$F11,0))</f>
        <v>257</v>
      </c>
      <c r="M50">
        <f>IF(Scenarios!$R11=1,BaselineCalc!$B$8*(1+Parameters_Public!$C45)^(IF($C50="FY2026",0,IF($C50="FY2027",1,IF($C50="FY2028",2,IF($C50="FY2029",3,IF($C50="FY2030",4,0))))))+Scenarios!L11-ROUND(Scenarios!L11*Scenarios!$F11,0),BaselineCalc!$B$8+Scenarios!L11-ROUND(Scenarios!L11*Scenarios!$F11,0))</f>
        <v>333</v>
      </c>
      <c r="N50" s="11">
        <f t="shared" si="12"/>
        <v>257</v>
      </c>
      <c r="O50" s="11">
        <f>(Parameters_Public!$C$23*(L50-D50)+Parameters_Public!$C$24*(M50-E50))</f>
        <v>154.19999999999999</v>
      </c>
      <c r="P50">
        <f>YearMap!E5</f>
        <v>500</v>
      </c>
      <c r="Q50">
        <f>IF(Scenarios!N11="lease", YearMap!F5, YearMap!G5)</f>
        <v>0.3</v>
      </c>
      <c r="R50" s="2">
        <f>IF(Scenarios!D11=1, Q50*H50, H50)</f>
        <v>453684.17844754452</v>
      </c>
      <c r="S50" s="2">
        <f>IF(Scenarios!E11=1, Q50*I50, I50)</f>
        <v>1741770.6461799373</v>
      </c>
      <c r="T50" s="2">
        <f>IF(C50="FY2026", (Scenarios!D11+Scenarios!E11)*BaselineCalc!$B$22, 0)</f>
        <v>0</v>
      </c>
      <c r="U50" s="2">
        <f t="shared" si="13"/>
        <v>4464257.9188582012</v>
      </c>
      <c r="V50" s="2">
        <f t="shared" si="14"/>
        <v>1142271.5493985824</v>
      </c>
      <c r="W50" s="2">
        <f>U50+V50+IF(Parameters_Public!$C$26=1, T50, 0)</f>
        <v>5606529.4682567837</v>
      </c>
      <c r="X50" s="2">
        <f t="shared" si="15"/>
        <v>11507.654902004893</v>
      </c>
      <c r="Y50" s="2">
        <f>INDEX(YearMap!$I$2:$I$6, MATCH(C50, YearMap!$A$2:$A$6, 0))</f>
        <v>5398.4527031249991</v>
      </c>
      <c r="Z50" s="2">
        <f>W50 - ((Y50 + IF(Parameters_Public!$C$20=1, Parameters_Public!$C$19, 0))*AC50)</f>
        <v>2610053.2712942841</v>
      </c>
      <c r="AA50" s="2">
        <f t="shared" si="16"/>
        <v>5357.2521988798935</v>
      </c>
      <c r="AB50">
        <f>MAX(0, (MAX(0, $D50-BaselineCalc!$B$7) + MAX(0, $E50-BaselineCalc!$B$8)))</f>
        <v>37</v>
      </c>
      <c r="AC50" s="11">
        <f t="shared" si="17"/>
        <v>487.2</v>
      </c>
      <c r="AD50" s="2">
        <f>( (Y50 + IF(Parameters_Public!$C20=1, INDEX(YearMap!$O$2:$O$6, MATCH(C50, YearMap!$A$2:$A$6, 0)), 0)) * AC50 ) + AC50*INDEX(YearMap!$P$2:$P$6, MATCH(C50, YearMap!$A$2:$A$6, 0)) + AB50*( INDEX(YearMap!$R$2:$R$6, MATCH(C50, YearMap!$A$2:$A$6, 0)) - INDEX(YearMap!$P$2:$P$6, MATCH(C50, YearMap!$A$2:$A$6, 0)) )</f>
        <v>5721803.8020693744</v>
      </c>
      <c r="AE50" s="2">
        <f>(W50 - (1-Parameters_Public!$C42)*$G50*$AB50*$J50*(1-$K50)) + AB50*INDEX(YearMap!$Q$2:$Q$6, MATCH(C50, YearMap!$A$2:$A$6, 0))</f>
        <v>5356432.6595897712</v>
      </c>
      <c r="AF50" s="2">
        <f t="shared" si="18"/>
        <v>365371.14247960318</v>
      </c>
      <c r="AG50" t="str">
        <f t="shared" si="19"/>
        <v>B1_Repurpose_Echo_ops_PimaTargets|FY2029</v>
      </c>
    </row>
    <row r="51" spans="1:33">
      <c r="A51" t="str">
        <f t="shared" si="10"/>
        <v>B1_Repurpose_Echo_ops_PimaTargets|FY2030</v>
      </c>
      <c r="B51" t="str">
        <f>Scenarios!A11</f>
        <v>B1_Repurpose_Echo_ops_PimaTargets</v>
      </c>
      <c r="C51" t="s">
        <v>90</v>
      </c>
      <c r="D51">
        <f>IF(Scenarios!D11=1,0, L51)</f>
        <v>0</v>
      </c>
      <c r="E51">
        <f>IF(Scenarios!E11=1,0, M51)</f>
        <v>333</v>
      </c>
      <c r="F51">
        <f t="shared" si="11"/>
        <v>333</v>
      </c>
      <c r="G51" s="2">
        <f>YearMap!B6</f>
        <v>7080.4204807623018</v>
      </c>
      <c r="H51" s="2">
        <f>YearMap!C6</f>
        <v>1550087.6096957768</v>
      </c>
      <c r="I51" s="2">
        <f>YearMap!D6</f>
        <v>1785314.9123344356</v>
      </c>
      <c r="J51">
        <f>1-BaselineCalc!$B$5</f>
        <v>0.99299999999999999</v>
      </c>
      <c r="K51">
        <f>Scenarios!G11</f>
        <v>0</v>
      </c>
      <c r="L51">
        <f>IF(Scenarios!$Q11=1,BaselineCalc!$B$7*(1+Parameters_Public!$C44)^(IF($C51="FY2026",0,IF($C51="FY2027",1,IF($C51="FY2028",2,IF($C51="FY2029",3,IF($C51="FY2030",4,0))))))+ROUND(Scenarios!M11*Scenarios!$F11,0),BaselineCalc!$B$7+ROUND(Scenarios!M11*Scenarios!$F11,0))</f>
        <v>257</v>
      </c>
      <c r="M51">
        <f>IF(Scenarios!$R11=1,BaselineCalc!$B$8*(1+Parameters_Public!$C45)^(IF($C51="FY2026",0,IF($C51="FY2027",1,IF($C51="FY2028",2,IF($C51="FY2029",3,IF($C51="FY2030",4,0))))))+Scenarios!M11-ROUND(Scenarios!M11*Scenarios!$F11,0),BaselineCalc!$B$8+Scenarios!M11-ROUND(Scenarios!M11*Scenarios!$F11,0))</f>
        <v>333</v>
      </c>
      <c r="N51" s="11">
        <f t="shared" si="12"/>
        <v>257</v>
      </c>
      <c r="O51" s="11">
        <f>(Parameters_Public!$C$23*(L51-D51)+Parameters_Public!$C$24*(M51-E51))</f>
        <v>154.19999999999999</v>
      </c>
      <c r="P51">
        <f>YearMap!E6</f>
        <v>300</v>
      </c>
      <c r="Q51">
        <f>IF(Scenarios!N11="lease", YearMap!F6, YearMap!G6)</f>
        <v>0.3</v>
      </c>
      <c r="R51" s="2">
        <f>IF(Scenarios!D11=1, Q51*H51, H51)</f>
        <v>465026.28290873306</v>
      </c>
      <c r="S51" s="2">
        <f>IF(Scenarios!E11=1, Q51*I51, I51)</f>
        <v>1785314.9123344356</v>
      </c>
      <c r="T51" s="2">
        <f>IF(C51="FY2026", (Scenarios!D11+Scenarios!E11)*BaselineCalc!$B$22, 0)</f>
        <v>0</v>
      </c>
      <c r="U51" s="2">
        <f t="shared" si="13"/>
        <v>4575864.366829657</v>
      </c>
      <c r="V51" s="2">
        <f t="shared" si="14"/>
        <v>1138060.8381335468</v>
      </c>
      <c r="W51" s="2">
        <f>U51+V51+IF(Parameters_Public!$C$26=1, T51, 0)</f>
        <v>5713925.2049632035</v>
      </c>
      <c r="X51" s="2">
        <f t="shared" si="15"/>
        <v>11728.089501156001</v>
      </c>
      <c r="Y51" s="2">
        <f>INDEX(YearMap!$I$2:$I$6, MATCH(C51, YearMap!$A$2:$A$6, 0))</f>
        <v>5533.4140207031242</v>
      </c>
      <c r="Z51" s="2">
        <f>W51 - ((Y51 + IF(Parameters_Public!$C$20=1, Parameters_Public!$C$19, 0))*AC51)</f>
        <v>2651695.8540766416</v>
      </c>
      <c r="AA51" s="2">
        <f t="shared" si="16"/>
        <v>5442.7254804528766</v>
      </c>
      <c r="AB51">
        <f>MAX(0, (MAX(0, $D51-BaselineCalc!$B$7) + MAX(0, $E51-BaselineCalc!$B$8)))</f>
        <v>37</v>
      </c>
      <c r="AC51" s="11">
        <f t="shared" si="17"/>
        <v>487.2</v>
      </c>
      <c r="AD51" s="2">
        <f>( (Y51 + IF(Parameters_Public!$C20=1, INDEX(YearMap!$O$2:$O$6, MATCH(C51, YearMap!$A$2:$A$6, 0)), 0)) * AC51 ) + AC51*INDEX(YearMap!$P$2:$P$6, MATCH(C51, YearMap!$A$2:$A$6, 0)) + AB51*( INDEX(YearMap!$R$2:$R$6, MATCH(C51, YearMap!$A$2:$A$6, 0)) - INDEX(YearMap!$P$2:$P$6, MATCH(C51, YearMap!$A$2:$A$6, 0)) )</f>
        <v>5864848.8971211081</v>
      </c>
      <c r="AE51" s="2">
        <f>(W51 - (1-Parameters_Public!$C42)*$G51*$AB51*$J51*(1-$K51)) + AB51*INDEX(YearMap!$Q$2:$Q$6, MATCH(C51, YearMap!$A$2:$A$6, 0))</f>
        <v>5456003.4760795161</v>
      </c>
      <c r="AF51" s="2">
        <f t="shared" si="18"/>
        <v>408845.42104159202</v>
      </c>
      <c r="AG51" t="str">
        <f t="shared" si="19"/>
        <v>B1_Repurpose_Echo_ops_PimaTargets|FY2030</v>
      </c>
    </row>
    <row r="52" spans="1:33">
      <c r="A52" t="str">
        <f t="shared" si="10"/>
        <v>C2_Repurpose_Pima_lease_EchoGHub_EchoTargets|FY2026</v>
      </c>
      <c r="B52" t="str">
        <f>Scenarios!A12</f>
        <v>C2_Repurpose_Pima_lease_EchoGHub_EchoTargets</v>
      </c>
      <c r="C52" t="s">
        <v>86</v>
      </c>
      <c r="D52">
        <f>IF(Scenarios!D12=1,0, L52)</f>
        <v>257</v>
      </c>
      <c r="E52">
        <f>IF(Scenarios!E12=1,0, M52)</f>
        <v>0</v>
      </c>
      <c r="F52">
        <f t="shared" si="11"/>
        <v>257</v>
      </c>
      <c r="G52" s="2">
        <f>YearMap!B2</f>
        <v>6414.5114999999987</v>
      </c>
      <c r="H52" s="2">
        <f>YearMap!C2</f>
        <v>1404302.8695</v>
      </c>
      <c r="I52" s="2">
        <f>YearMap!D2</f>
        <v>1617407.196</v>
      </c>
      <c r="J52">
        <f>1-BaselineCalc!$B$5</f>
        <v>0.99299999999999999</v>
      </c>
      <c r="K52">
        <f>Scenarios!G12</f>
        <v>0</v>
      </c>
      <c r="L52">
        <f>IF(Scenarios!$Q12=1,BaselineCalc!$B$7*(1+Parameters_Public!$C44)^(IF($C52="FY2026",0,IF($C52="FY2027",1,IF($C52="FY2028",2,IF($C52="FY2029",3,IF($C52="FY2030",4,0))))))+ROUND(Scenarios!I12*Scenarios!$F12,0),BaselineCalc!$B$7+ROUND(Scenarios!I12*Scenarios!$F12,0))</f>
        <v>257</v>
      </c>
      <c r="M52">
        <f>IF(Scenarios!$R12=1,BaselineCalc!$B$8*(1+Parameters_Public!$C45)^(IF($C52="FY2026",0,IF($C52="FY2027",1,IF($C52="FY2028",2,IF($C52="FY2029",3,IF($C52="FY2030",4,0))))))+Scenarios!I12-ROUND(Scenarios!I12*Scenarios!$F12,0),BaselineCalc!$B$8+Scenarios!I12-ROUND(Scenarios!I12*Scenarios!$F12,0))</f>
        <v>296</v>
      </c>
      <c r="N52" s="11">
        <f t="shared" si="12"/>
        <v>296</v>
      </c>
      <c r="O52" s="11">
        <f>(Parameters_Public!$C$23*(L52-D52)+Parameters_Public!$C$24*(M52-E52))</f>
        <v>251.6</v>
      </c>
      <c r="P52">
        <f>YearMap!E2</f>
        <v>1000</v>
      </c>
      <c r="Q52">
        <f>IF(Scenarios!N12="lease", YearMap!F2, YearMap!G2)</f>
        <v>0.2</v>
      </c>
      <c r="R52" s="2">
        <f>IF(Scenarios!D12=1, Q52*H52, H52)</f>
        <v>1404302.8695</v>
      </c>
      <c r="S52" s="2">
        <f>IF(Scenarios!E12=1, Q52*I52, I52)</f>
        <v>323481.43920000002</v>
      </c>
      <c r="T52" s="2">
        <f>IF(C52="FY2026", (Scenarios!D12+Scenarios!E12)*BaselineCalc!$B$22, 0)</f>
        <v>1200000</v>
      </c>
      <c r="U52" s="2">
        <f t="shared" si="13"/>
        <v>3352679.5678505995</v>
      </c>
      <c r="V52" s="2">
        <f t="shared" si="14"/>
        <v>1865491.0933999997</v>
      </c>
      <c r="W52" s="2">
        <f>U52+V52+IF(Parameters_Public!$C$26=1, T52, 0)</f>
        <v>5218170.6612505987</v>
      </c>
      <c r="X52" s="2">
        <f t="shared" si="15"/>
        <v>10259.871532148247</v>
      </c>
      <c r="Y52" s="2">
        <f>INDEX(YearMap!$I$2:$I$6, MATCH(C52, YearMap!$A$2:$A$6, 0))</f>
        <v>5013</v>
      </c>
      <c r="Z52" s="2">
        <f>W52 - ((Y52 + IF(Parameters_Public!$C$20=1, Parameters_Public!$C$19, 0))*AC52)</f>
        <v>2286117.0912505989</v>
      </c>
      <c r="AA52" s="2">
        <f t="shared" si="16"/>
        <v>4494.9215321482479</v>
      </c>
      <c r="AB52">
        <f>MAX(0, (MAX(0, $D52-BaselineCalc!$B$7) + MAX(0, $E52-BaselineCalc!$B$8)))</f>
        <v>0</v>
      </c>
      <c r="AC52" s="11">
        <f t="shared" si="17"/>
        <v>508.6</v>
      </c>
      <c r="AD52" s="2">
        <f>( (Y52 + IF(Parameters_Public!$C20=1, INDEX(YearMap!$O$2:$O$6, MATCH(C52, YearMap!$A$2:$A$6, 0)), 0)) * AC52 ) + AC52*INDEX(YearMap!$P$2:$P$6, MATCH(C52, YearMap!$A$2:$A$6, 0)) + AB52*( INDEX(YearMap!$R$2:$R$6, MATCH(C52, YearMap!$A$2:$A$6, 0)) - INDEX(YearMap!$P$2:$P$6, MATCH(C52, YearMap!$A$2:$A$6, 0)) )</f>
        <v>5576773.5700000003</v>
      </c>
      <c r="AE52" s="2">
        <f>(W52 - (1-Parameters_Public!$C42)*$G52*$AB52*$J52*(1-$K52)) + AB52*INDEX(YearMap!$Q$2:$Q$6, MATCH(C52, YearMap!$A$2:$A$6, 0))</f>
        <v>5218170.6612505987</v>
      </c>
      <c r="AF52" s="2">
        <f t="shared" si="18"/>
        <v>358602.90874940157</v>
      </c>
      <c r="AG52" t="str">
        <f t="shared" si="19"/>
        <v>C2_Repurpose_Pima_lease_EchoGHub_EchoTargets|FY2026</v>
      </c>
    </row>
    <row r="53" spans="1:33">
      <c r="A53" t="str">
        <f t="shared" si="10"/>
        <v>C2_Repurpose_Pima_lease_EchoGHub_EchoTargets|FY2027</v>
      </c>
      <c r="B53" t="str">
        <f>Scenarios!A12</f>
        <v>C2_Repurpose_Pima_lease_EchoGHub_EchoTargets</v>
      </c>
      <c r="C53" t="s">
        <v>87</v>
      </c>
      <c r="D53">
        <f>IF(Scenarios!D12=1,0, L53)</f>
        <v>257</v>
      </c>
      <c r="E53">
        <f>IF(Scenarios!E12=1,0, M53)</f>
        <v>0</v>
      </c>
      <c r="F53">
        <f t="shared" si="11"/>
        <v>257</v>
      </c>
      <c r="G53" s="2">
        <f>YearMap!B3</f>
        <v>6574.8742874999989</v>
      </c>
      <c r="H53" s="2">
        <f>YearMap!C3</f>
        <v>1439410.4412375002</v>
      </c>
      <c r="I53" s="2">
        <f>YearMap!D3</f>
        <v>1657842.3759000003</v>
      </c>
      <c r="J53">
        <f>1-BaselineCalc!$B$5</f>
        <v>0.99299999999999999</v>
      </c>
      <c r="K53">
        <f>Scenarios!G12</f>
        <v>0</v>
      </c>
      <c r="L53">
        <f>IF(Scenarios!$Q12=1,BaselineCalc!$B$7*(1+Parameters_Public!$C44)^(IF($C53="FY2026",0,IF($C53="FY2027",1,IF($C53="FY2028",2,IF($C53="FY2029",3,IF($C53="FY2030",4,0))))))+ROUND(Scenarios!J12*Scenarios!$F12,0),BaselineCalc!$B$7+ROUND(Scenarios!J12*Scenarios!$F12,0))</f>
        <v>257</v>
      </c>
      <c r="M53">
        <f>IF(Scenarios!$R12=1,BaselineCalc!$B$8*(1+Parameters_Public!$C45)^(IF($C53="FY2026",0,IF($C53="FY2027",1,IF($C53="FY2028",2,IF($C53="FY2029",3,IF($C53="FY2030",4,0))))))+Scenarios!J12-ROUND(Scenarios!J12*Scenarios!$F12,0),BaselineCalc!$B$8+Scenarios!J12-ROUND(Scenarios!J12*Scenarios!$F12,0))</f>
        <v>296</v>
      </c>
      <c r="N53" s="11">
        <f t="shared" si="12"/>
        <v>296</v>
      </c>
      <c r="O53" s="11">
        <f>(Parameters_Public!$C$23*(L53-D53)+Parameters_Public!$C$24*(M53-E53))</f>
        <v>251.6</v>
      </c>
      <c r="P53">
        <f>YearMap!E3</f>
        <v>800</v>
      </c>
      <c r="Q53">
        <f>IF(Scenarios!N12="lease", YearMap!F3, YearMap!G3)</f>
        <v>0.2</v>
      </c>
      <c r="R53" s="2">
        <f>IF(Scenarios!D12=1, Q53*H53, H53)</f>
        <v>1439410.4412375002</v>
      </c>
      <c r="S53" s="2">
        <f>IF(Scenarios!E12=1, Q53*I53, I53)</f>
        <v>331568.47518000007</v>
      </c>
      <c r="T53" s="2">
        <f>IF(C53="FY2026", (Scenarios!D12+Scenarios!E12)*BaselineCalc!$B$22, 0)</f>
        <v>0</v>
      </c>
      <c r="U53" s="2">
        <f t="shared" si="13"/>
        <v>3436496.5570468646</v>
      </c>
      <c r="V53" s="2">
        <f t="shared" si="14"/>
        <v>1855518.3707349997</v>
      </c>
      <c r="W53" s="2">
        <f>U53+V53+IF(Parameters_Public!$C$26=1, T53, 0)</f>
        <v>5292014.9277818641</v>
      </c>
      <c r="X53" s="2">
        <f t="shared" si="15"/>
        <v>10405.06277581963</v>
      </c>
      <c r="Y53" s="2">
        <f>INDEX(YearMap!$I$2:$I$6, MATCH(C53, YearMap!$A$2:$A$6, 0))</f>
        <v>5138.3249999999998</v>
      </c>
      <c r="Z53" s="2">
        <f>W53 - ((Y53 + IF(Parameters_Public!$C$20=1, Parameters_Public!$C$19, 0))*AC53)</f>
        <v>2296221.0627818643</v>
      </c>
      <c r="AA53" s="2">
        <f t="shared" si="16"/>
        <v>4514.787775819631</v>
      </c>
      <c r="AB53">
        <f>MAX(0, (MAX(0, $D53-BaselineCalc!$B$7) + MAX(0, $E53-BaselineCalc!$B$8)))</f>
        <v>0</v>
      </c>
      <c r="AC53" s="11">
        <f t="shared" si="17"/>
        <v>508.6</v>
      </c>
      <c r="AD53" s="2">
        <f>( (Y53 + IF(Parameters_Public!$C20=1, INDEX(YearMap!$O$2:$O$6, MATCH(C53, YearMap!$A$2:$A$6, 0)), 0)) * AC53 ) + AC53*INDEX(YearMap!$P$2:$P$6, MATCH(C53, YearMap!$A$2:$A$6, 0)) + AB53*( INDEX(YearMap!$R$2:$R$6, MATCH(C53, YearMap!$A$2:$A$6, 0)) - INDEX(YearMap!$P$2:$P$6, MATCH(C53, YearMap!$A$2:$A$6, 0)) )</f>
        <v>5716192.9092499996</v>
      </c>
      <c r="AE53" s="2">
        <f>(W53 - (1-Parameters_Public!$C42)*$G53*$AB53*$J53*(1-$K53)) + AB53*INDEX(YearMap!$Q$2:$Q$6, MATCH(C53, YearMap!$A$2:$A$6, 0))</f>
        <v>5292014.9277818641</v>
      </c>
      <c r="AF53" s="2">
        <f t="shared" si="18"/>
        <v>424177.98146813549</v>
      </c>
      <c r="AG53" t="str">
        <f t="shared" si="19"/>
        <v>C2_Repurpose_Pima_lease_EchoGHub_EchoTargets|FY2027</v>
      </c>
    </row>
    <row r="54" spans="1:33">
      <c r="A54" t="str">
        <f t="shared" si="10"/>
        <v>C2_Repurpose_Pima_lease_EchoGHub_EchoTargets|FY2028</v>
      </c>
      <c r="B54" t="str">
        <f>Scenarios!A12</f>
        <v>C2_Repurpose_Pima_lease_EchoGHub_EchoTargets</v>
      </c>
      <c r="C54" t="s">
        <v>88</v>
      </c>
      <c r="D54">
        <f>IF(Scenarios!D12=1,0, L54)</f>
        <v>257</v>
      </c>
      <c r="E54">
        <f>IF(Scenarios!E12=1,0, M54)</f>
        <v>0</v>
      </c>
      <c r="F54">
        <f t="shared" si="11"/>
        <v>257</v>
      </c>
      <c r="G54" s="2">
        <f>YearMap!B4</f>
        <v>6739.2461446874986</v>
      </c>
      <c r="H54" s="2">
        <f>YearMap!C4</f>
        <v>1475395.7022684375</v>
      </c>
      <c r="I54" s="2">
        <f>YearMap!D4</f>
        <v>1699288.4352975001</v>
      </c>
      <c r="J54">
        <f>1-BaselineCalc!$B$5</f>
        <v>0.99299999999999999</v>
      </c>
      <c r="K54">
        <f>Scenarios!G12</f>
        <v>0</v>
      </c>
      <c r="L54">
        <f>IF(Scenarios!$Q12=1,BaselineCalc!$B$7*(1+Parameters_Public!$C44)^(IF($C54="FY2026",0,IF($C54="FY2027",1,IF($C54="FY2028",2,IF($C54="FY2029",3,IF($C54="FY2030",4,0))))))+ROUND(Scenarios!K12*Scenarios!$F12,0),BaselineCalc!$B$7+ROUND(Scenarios!K12*Scenarios!$F12,0))</f>
        <v>257</v>
      </c>
      <c r="M54">
        <f>IF(Scenarios!$R12=1,BaselineCalc!$B$8*(1+Parameters_Public!$C45)^(IF($C54="FY2026",0,IF($C54="FY2027",1,IF($C54="FY2028",2,IF($C54="FY2029",3,IF($C54="FY2030",4,0))))))+Scenarios!K12-ROUND(Scenarios!K12*Scenarios!$F12,0),BaselineCalc!$B$8+Scenarios!K12-ROUND(Scenarios!K12*Scenarios!$F12,0))</f>
        <v>296</v>
      </c>
      <c r="N54" s="11">
        <f t="shared" si="12"/>
        <v>296</v>
      </c>
      <c r="O54" s="11">
        <f>(Parameters_Public!$C$23*(L54-D54)+Parameters_Public!$C$24*(M54-E54))</f>
        <v>251.6</v>
      </c>
      <c r="P54">
        <f>YearMap!E4</f>
        <v>600</v>
      </c>
      <c r="Q54">
        <f>IF(Scenarios!N12="lease", YearMap!F4, YearMap!G4)</f>
        <v>0.15</v>
      </c>
      <c r="R54" s="2">
        <f>IF(Scenarios!D12=1, Q54*H54, H54)</f>
        <v>1475395.7022684375</v>
      </c>
      <c r="S54" s="2">
        <f>IF(Scenarios!E12=1, Q54*I54, I54)</f>
        <v>254893.26529462502</v>
      </c>
      <c r="T54" s="2">
        <f>IF(C54="FY2026", (Scenarios!D12+Scenarios!E12)*BaselineCalc!$B$22, 0)</f>
        <v>0</v>
      </c>
      <c r="U54" s="2">
        <f t="shared" si="13"/>
        <v>3438039.3001605151</v>
      </c>
      <c r="V54" s="2">
        <f t="shared" si="14"/>
        <v>1846554.3300033747</v>
      </c>
      <c r="W54" s="2">
        <f>U54+V54+IF(Parameters_Public!$C$26=1, T54, 0)</f>
        <v>5284593.6301638894</v>
      </c>
      <c r="X54" s="2">
        <f t="shared" si="15"/>
        <v>10390.471156437061</v>
      </c>
      <c r="Y54" s="2">
        <f>INDEX(YearMap!$I$2:$I$6, MATCH(C54, YearMap!$A$2:$A$6, 0))</f>
        <v>5266.7831249999999</v>
      </c>
      <c r="Z54" s="2">
        <f>W54 - ((Y54 + IF(Parameters_Public!$C$20=1, Parameters_Public!$C$19, 0))*AC54)</f>
        <v>2223465.9627888892</v>
      </c>
      <c r="AA54" s="2">
        <f t="shared" si="16"/>
        <v>4371.7380314370603</v>
      </c>
      <c r="AB54">
        <f>MAX(0, (MAX(0, $D54-BaselineCalc!$B$7) + MAX(0, $E54-BaselineCalc!$B$8)))</f>
        <v>0</v>
      </c>
      <c r="AC54" s="11">
        <f t="shared" si="17"/>
        <v>508.6</v>
      </c>
      <c r="AD54" s="2">
        <f>( (Y54 + IF(Parameters_Public!$C20=1, INDEX(YearMap!$O$2:$O$6, MATCH(C54, YearMap!$A$2:$A$6, 0)), 0)) * AC54 ) + AC54*INDEX(YearMap!$P$2:$P$6, MATCH(C54, YearMap!$A$2:$A$6, 0)) + AB54*( INDEX(YearMap!$R$2:$R$6, MATCH(C54, YearMap!$A$2:$A$6, 0)) - INDEX(YearMap!$P$2:$P$6, MATCH(C54, YearMap!$A$2:$A$6, 0)) )</f>
        <v>5859097.7319812505</v>
      </c>
      <c r="AE54" s="2">
        <f>(W54 - (1-Parameters_Public!$C42)*$G54*$AB54*$J54*(1-$K54)) + AB54*INDEX(YearMap!$Q$2:$Q$6, MATCH(C54, YearMap!$A$2:$A$6, 0))</f>
        <v>5284593.6301638894</v>
      </c>
      <c r="AF54" s="2">
        <f t="shared" si="18"/>
        <v>574504.10181736108</v>
      </c>
      <c r="AG54" t="str">
        <f t="shared" si="19"/>
        <v>C2_Repurpose_Pima_lease_EchoGHub_EchoTargets|FY2028</v>
      </c>
    </row>
    <row r="55" spans="1:33">
      <c r="A55" t="str">
        <f t="shared" si="10"/>
        <v>C2_Repurpose_Pima_lease_EchoGHub_EchoTargets|FY2029</v>
      </c>
      <c r="B55" t="str">
        <f>Scenarios!A12</f>
        <v>C2_Repurpose_Pima_lease_EchoGHub_EchoTargets</v>
      </c>
      <c r="C55" t="s">
        <v>89</v>
      </c>
      <c r="D55">
        <f>IF(Scenarios!D12=1,0, L55)</f>
        <v>257</v>
      </c>
      <c r="E55">
        <f>IF(Scenarios!E12=1,0, M55)</f>
        <v>0</v>
      </c>
      <c r="F55">
        <f t="shared" si="11"/>
        <v>257</v>
      </c>
      <c r="G55" s="2">
        <f>YearMap!B5</f>
        <v>6907.7272983046851</v>
      </c>
      <c r="H55" s="2">
        <f>YearMap!C5</f>
        <v>1512280.5948251483</v>
      </c>
      <c r="I55" s="2">
        <f>YearMap!D5</f>
        <v>1741770.6461799373</v>
      </c>
      <c r="J55">
        <f>1-BaselineCalc!$B$5</f>
        <v>0.99299999999999999</v>
      </c>
      <c r="K55">
        <f>Scenarios!G12</f>
        <v>0</v>
      </c>
      <c r="L55">
        <f>IF(Scenarios!$Q12=1,BaselineCalc!$B$7*(1+Parameters_Public!$C44)^(IF($C55="FY2026",0,IF($C55="FY2027",1,IF($C55="FY2028",2,IF($C55="FY2029",3,IF($C55="FY2030",4,0))))))+ROUND(Scenarios!L12*Scenarios!$F12,0),BaselineCalc!$B$7+ROUND(Scenarios!L12*Scenarios!$F12,0))</f>
        <v>257</v>
      </c>
      <c r="M55">
        <f>IF(Scenarios!$R12=1,BaselineCalc!$B$8*(1+Parameters_Public!$C45)^(IF($C55="FY2026",0,IF($C55="FY2027",1,IF($C55="FY2028",2,IF($C55="FY2029",3,IF($C55="FY2030",4,0))))))+Scenarios!L12-ROUND(Scenarios!L12*Scenarios!$F12,0),BaselineCalc!$B$8+Scenarios!L12-ROUND(Scenarios!L12*Scenarios!$F12,0))</f>
        <v>296</v>
      </c>
      <c r="N55" s="11">
        <f t="shared" si="12"/>
        <v>296</v>
      </c>
      <c r="O55" s="11">
        <f>(Parameters_Public!$C$23*(L55-D55)+Parameters_Public!$C$24*(M55-E55))</f>
        <v>251.6</v>
      </c>
      <c r="P55">
        <f>YearMap!E5</f>
        <v>500</v>
      </c>
      <c r="Q55">
        <f>IF(Scenarios!N12="lease", YearMap!F5, YearMap!G5)</f>
        <v>0.1</v>
      </c>
      <c r="R55" s="2">
        <f>IF(Scenarios!D12=1, Q55*H55, H55)</f>
        <v>1512280.5948251483</v>
      </c>
      <c r="S55" s="2">
        <f>IF(Scenarios!E12=1, Q55*I55, I55)</f>
        <v>174177.06461799375</v>
      </c>
      <c r="T55" s="2">
        <f>IF(C55="FY2026", (Scenarios!D12+Scenarios!E12)*BaselineCalc!$B$22, 0)</f>
        <v>0</v>
      </c>
      <c r="U55" s="2">
        <f t="shared" si="13"/>
        <v>3437511.3700816939</v>
      </c>
      <c r="V55" s="2">
        <f t="shared" si="14"/>
        <v>1863784.1882534588</v>
      </c>
      <c r="W55" s="2">
        <f>U55+V55+IF(Parameters_Public!$C$26=1, T55, 0)</f>
        <v>5301295.5583351525</v>
      </c>
      <c r="X55" s="2">
        <f t="shared" si="15"/>
        <v>10423.310181547684</v>
      </c>
      <c r="Y55" s="2">
        <f>INDEX(YearMap!$I$2:$I$6, MATCH(C55, YearMap!$A$2:$A$6, 0))</f>
        <v>5398.4527031249991</v>
      </c>
      <c r="Z55" s="2">
        <f>W55 - ((Y55 + IF(Parameters_Public!$C$20=1, Parameters_Public!$C$19, 0))*AC55)</f>
        <v>2173200.7435257779</v>
      </c>
      <c r="AA55" s="2">
        <f t="shared" si="16"/>
        <v>4272.9074784226859</v>
      </c>
      <c r="AB55">
        <f>MAX(0, (MAX(0, $D55-BaselineCalc!$B$7) + MAX(0, $E55-BaselineCalc!$B$8)))</f>
        <v>0</v>
      </c>
      <c r="AC55" s="11">
        <f t="shared" si="17"/>
        <v>508.6</v>
      </c>
      <c r="AD55" s="2">
        <f>( (Y55 + IF(Parameters_Public!$C20=1, INDEX(YearMap!$O$2:$O$6, MATCH(C55, YearMap!$A$2:$A$6, 0)), 0)) * AC55 ) + AC55*INDEX(YearMap!$P$2:$P$6, MATCH(C55, YearMap!$A$2:$A$6, 0)) + AB55*( INDEX(YearMap!$R$2:$R$6, MATCH(C55, YearMap!$A$2:$A$6, 0)) - INDEX(YearMap!$P$2:$P$6, MATCH(C55, YearMap!$A$2:$A$6, 0)) )</f>
        <v>6005575.1752807805</v>
      </c>
      <c r="AE55" s="2">
        <f>(W55 - (1-Parameters_Public!$C42)*$G55*$AB55*$J55*(1-$K55)) + AB55*INDEX(YearMap!$Q$2:$Q$6, MATCH(C55, YearMap!$A$2:$A$6, 0))</f>
        <v>5301295.5583351525</v>
      </c>
      <c r="AF55" s="2">
        <f t="shared" si="18"/>
        <v>704279.61694562808</v>
      </c>
      <c r="AG55" t="str">
        <f t="shared" si="19"/>
        <v>C2_Repurpose_Pima_lease_EchoGHub_EchoTargets|FY2029</v>
      </c>
    </row>
    <row r="56" spans="1:33">
      <c r="A56" t="str">
        <f t="shared" si="10"/>
        <v>C2_Repurpose_Pima_lease_EchoGHub_EchoTargets|FY2030</v>
      </c>
      <c r="B56" t="str">
        <f>Scenarios!A12</f>
        <v>C2_Repurpose_Pima_lease_EchoGHub_EchoTargets</v>
      </c>
      <c r="C56" t="s">
        <v>90</v>
      </c>
      <c r="D56">
        <f>IF(Scenarios!D12=1,0, L56)</f>
        <v>257</v>
      </c>
      <c r="E56">
        <f>IF(Scenarios!E12=1,0, M56)</f>
        <v>0</v>
      </c>
      <c r="F56">
        <f t="shared" si="11"/>
        <v>257</v>
      </c>
      <c r="G56" s="2">
        <f>YearMap!B6</f>
        <v>7080.4204807623018</v>
      </c>
      <c r="H56" s="2">
        <f>YearMap!C6</f>
        <v>1550087.6096957768</v>
      </c>
      <c r="I56" s="2">
        <f>YearMap!D6</f>
        <v>1785314.9123344356</v>
      </c>
      <c r="J56">
        <f>1-BaselineCalc!$B$5</f>
        <v>0.99299999999999999</v>
      </c>
      <c r="K56">
        <f>Scenarios!G12</f>
        <v>0</v>
      </c>
      <c r="L56">
        <f>IF(Scenarios!$Q12=1,BaselineCalc!$B$7*(1+Parameters_Public!$C44)^(IF($C56="FY2026",0,IF($C56="FY2027",1,IF($C56="FY2028",2,IF($C56="FY2029",3,IF($C56="FY2030",4,0))))))+ROUND(Scenarios!M12*Scenarios!$F12,0),BaselineCalc!$B$7+ROUND(Scenarios!M12*Scenarios!$F12,0))</f>
        <v>257</v>
      </c>
      <c r="M56">
        <f>IF(Scenarios!$R12=1,BaselineCalc!$B$8*(1+Parameters_Public!$C45)^(IF($C56="FY2026",0,IF($C56="FY2027",1,IF($C56="FY2028",2,IF($C56="FY2029",3,IF($C56="FY2030",4,0))))))+Scenarios!M12-ROUND(Scenarios!M12*Scenarios!$F12,0),BaselineCalc!$B$8+Scenarios!M12-ROUND(Scenarios!M12*Scenarios!$F12,0))</f>
        <v>296</v>
      </c>
      <c r="N56" s="11">
        <f t="shared" si="12"/>
        <v>296</v>
      </c>
      <c r="O56" s="11">
        <f>(Parameters_Public!$C$23*(L56-D56)+Parameters_Public!$C$24*(M56-E56))</f>
        <v>251.6</v>
      </c>
      <c r="P56">
        <f>YearMap!E6</f>
        <v>300</v>
      </c>
      <c r="Q56">
        <f>IF(Scenarios!N12="lease", YearMap!F6, YearMap!G6)</f>
        <v>0.1</v>
      </c>
      <c r="R56" s="2">
        <f>IF(Scenarios!D12=1, Q56*H56, H56)</f>
        <v>1550087.6096957768</v>
      </c>
      <c r="S56" s="2">
        <f>IF(Scenarios!E12=1, Q56*I56, I56)</f>
        <v>178531.49123344358</v>
      </c>
      <c r="T56" s="2">
        <f>IF(C56="FY2026", (Scenarios!D12+Scenarios!E12)*BaselineCalc!$B$22, 0)</f>
        <v>0</v>
      </c>
      <c r="U56" s="2">
        <f t="shared" si="13"/>
        <v>3523449.1543337363</v>
      </c>
      <c r="V56" s="2">
        <f t="shared" si="14"/>
        <v>1856913.7929597951</v>
      </c>
      <c r="W56" s="2">
        <f>U56+V56+IF(Parameters_Public!$C$26=1, T56, 0)</f>
        <v>5380362.9472935311</v>
      </c>
      <c r="X56" s="2">
        <f t="shared" si="15"/>
        <v>10578.771032822515</v>
      </c>
      <c r="Y56" s="2">
        <f>INDEX(YearMap!$I$2:$I$6, MATCH(C56, YearMap!$A$2:$A$6, 0))</f>
        <v>5533.4140207031242</v>
      </c>
      <c r="Z56" s="2">
        <f>W56 - ((Y56 + IF(Parameters_Public!$C$20=1, Parameters_Public!$C$19, 0))*AC56)</f>
        <v>2183626.8063639221</v>
      </c>
      <c r="AA56" s="2">
        <f t="shared" si="16"/>
        <v>4293.4070121193909</v>
      </c>
      <c r="AB56">
        <f>MAX(0, (MAX(0, $D56-BaselineCalc!$B$7) + MAX(0, $E56-BaselineCalc!$B$8)))</f>
        <v>0</v>
      </c>
      <c r="AC56" s="11">
        <f t="shared" si="17"/>
        <v>508.6</v>
      </c>
      <c r="AD56" s="2">
        <f>( (Y56 + IF(Parameters_Public!$C20=1, INDEX(YearMap!$O$2:$O$6, MATCH(C56, YearMap!$A$2:$A$6, 0)), 0)) * AC56 ) + AC56*INDEX(YearMap!$P$2:$P$6, MATCH(C56, YearMap!$A$2:$A$6, 0)) + AB56*( INDEX(YearMap!$R$2:$R$6, MATCH(C56, YearMap!$A$2:$A$6, 0)) - INDEX(YearMap!$P$2:$P$6, MATCH(C56, YearMap!$A$2:$A$6, 0)) )</f>
        <v>6155714.5546627995</v>
      </c>
      <c r="AE56" s="2">
        <f>(W56 - (1-Parameters_Public!$C42)*$G56*$AB56*$J56*(1-$K56)) + AB56*INDEX(YearMap!$Q$2:$Q$6, MATCH(C56, YearMap!$A$2:$A$6, 0))</f>
        <v>5380362.9472935311</v>
      </c>
      <c r="AF56" s="2">
        <f t="shared" si="18"/>
        <v>775351.60736926831</v>
      </c>
      <c r="AG56" t="str">
        <f t="shared" si="19"/>
        <v>C2_Repurpose_Pima_lease_EchoGHub_EchoTargets|FY2030</v>
      </c>
    </row>
    <row r="57" spans="1:33">
      <c r="A57" t="str">
        <f t="shared" si="10"/>
        <v>C1_Repurpose_Pima_ops_EchoGHub_EchoTargets|FY2026</v>
      </c>
      <c r="B57" t="str">
        <f>Scenarios!A13</f>
        <v>C1_Repurpose_Pima_ops_EchoGHub_EchoTargets</v>
      </c>
      <c r="C57" t="s">
        <v>86</v>
      </c>
      <c r="D57">
        <f>IF(Scenarios!D13=1,0, L57)</f>
        <v>274</v>
      </c>
      <c r="E57">
        <f>IF(Scenarios!E13=1,0, M57)</f>
        <v>0</v>
      </c>
      <c r="F57">
        <f t="shared" si="11"/>
        <v>274</v>
      </c>
      <c r="G57" s="2">
        <f>YearMap!B2</f>
        <v>6414.5114999999987</v>
      </c>
      <c r="H57" s="2">
        <f>YearMap!C2</f>
        <v>1404302.8695</v>
      </c>
      <c r="I57" s="2">
        <f>YearMap!D2</f>
        <v>1617407.196</v>
      </c>
      <c r="J57">
        <f>1-BaselineCalc!$B$5</f>
        <v>0.99299999999999999</v>
      </c>
      <c r="K57">
        <f>Scenarios!G13</f>
        <v>0</v>
      </c>
      <c r="L57">
        <f>IF(Scenarios!$Q13=1,BaselineCalc!$B$7*(1+Parameters_Public!$C44)^(IF($C57="FY2026",0,IF($C57="FY2027",1,IF($C57="FY2028",2,IF($C57="FY2029",3,IF($C57="FY2030",4,0))))))+ROUND(Scenarios!I13*Scenarios!$F13,0),BaselineCalc!$B$7+ROUND(Scenarios!I13*Scenarios!$F13,0))</f>
        <v>274</v>
      </c>
      <c r="M57">
        <f>IF(Scenarios!$R13=1,BaselineCalc!$B$8*(1+Parameters_Public!$C45)^(IF($C57="FY2026",0,IF($C57="FY2027",1,IF($C57="FY2028",2,IF($C57="FY2029",3,IF($C57="FY2030",4,0))))))+Scenarios!I13-ROUND(Scenarios!I13*Scenarios!$F13,0),BaselineCalc!$B$8+Scenarios!I13-ROUND(Scenarios!I13*Scenarios!$F13,0))</f>
        <v>295.66666666666669</v>
      </c>
      <c r="N57" s="11">
        <f t="shared" si="12"/>
        <v>295.66666666666669</v>
      </c>
      <c r="O57" s="11">
        <f>(Parameters_Public!$C$23*(L57-D57)+Parameters_Public!$C$24*(M57-E57))</f>
        <v>251.31666666666666</v>
      </c>
      <c r="P57">
        <f>YearMap!E2</f>
        <v>1000</v>
      </c>
      <c r="Q57">
        <f>IF(Scenarios!N13="lease", YearMap!F2, YearMap!G2)</f>
        <v>0.45</v>
      </c>
      <c r="R57" s="2">
        <f>IF(Scenarios!D13=1, Q57*H57, H57)</f>
        <v>1404302.8695</v>
      </c>
      <c r="S57" s="2">
        <f>IF(Scenarios!E13=1, Q57*I57, I57)</f>
        <v>727833.23820000002</v>
      </c>
      <c r="T57" s="2">
        <f>IF(C57="FY2026", (Scenarios!D13+Scenarios!E13)*BaselineCalc!$B$22, 0)</f>
        <v>1200000</v>
      </c>
      <c r="U57" s="2">
        <f t="shared" si="13"/>
        <v>3862484.2728890995</v>
      </c>
      <c r="V57" s="2">
        <f t="shared" si="14"/>
        <v>1863390.3151416662</v>
      </c>
      <c r="W57" s="2">
        <f>U57+V57+IF(Parameters_Public!$C$26=1, T57, 0)</f>
        <v>5725874.5880307658</v>
      </c>
      <c r="X57" s="2">
        <f t="shared" si="15"/>
        <v>10899.853272053237</v>
      </c>
      <c r="Y57" s="2">
        <f>INDEX(YearMap!$I$2:$I$6, MATCH(C57, YearMap!$A$2:$A$6, 0))</f>
        <v>5013</v>
      </c>
      <c r="Z57" s="2">
        <f>W57 - ((Y57 + IF(Parameters_Public!$C$20=1, Parameters_Public!$C$19, 0))*AC57)</f>
        <v>2697450.2705307654</v>
      </c>
      <c r="AA57" s="2">
        <f t="shared" si="16"/>
        <v>5134.903272053235</v>
      </c>
      <c r="AB57">
        <f>MAX(0, (MAX(0, $D57-BaselineCalc!$B$7) + MAX(0, $E57-BaselineCalc!$B$8)))</f>
        <v>17</v>
      </c>
      <c r="AC57" s="11">
        <f t="shared" si="17"/>
        <v>525.31666666666672</v>
      </c>
      <c r="AD57" s="2">
        <f>( (Y57 + IF(Parameters_Public!$C20=1, INDEX(YearMap!$O$2:$O$6, MATCH(C57, YearMap!$A$2:$A$6, 0)), 0)) * AC57 ) + AC57*INDEX(YearMap!$P$2:$P$6, MATCH(C57, YearMap!$A$2:$A$6, 0)) + AB57*( INDEX(YearMap!$R$2:$R$6, MATCH(C57, YearMap!$A$2:$A$6, 0)) - INDEX(YearMap!$P$2:$P$6, MATCH(C57, YearMap!$A$2:$A$6, 0)) )</f>
        <v>5746810.9841666669</v>
      </c>
      <c r="AE57" s="2">
        <f>(W57 - (1-Parameters_Public!$C42)*$G57*$AB57*$J57*(1-$K57)) + AB57*INDEX(YearMap!$Q$2:$Q$6, MATCH(C57, YearMap!$A$2:$A$6, 0))</f>
        <v>5620991.2193992659</v>
      </c>
      <c r="AF57" s="2">
        <f t="shared" si="18"/>
        <v>125819.76476740092</v>
      </c>
      <c r="AG57" t="str">
        <f t="shared" si="19"/>
        <v>C1_Repurpose_Pima_ops_EchoGHub_EchoTargets|FY2026</v>
      </c>
    </row>
    <row r="58" spans="1:33">
      <c r="A58" t="str">
        <f t="shared" si="10"/>
        <v>C1_Repurpose_Pima_ops_EchoGHub_EchoTargets|FY2027</v>
      </c>
      <c r="B58" t="str">
        <f>Scenarios!A13</f>
        <v>C1_Repurpose_Pima_ops_EchoGHub_EchoTargets</v>
      </c>
      <c r="C58" t="s">
        <v>87</v>
      </c>
      <c r="D58">
        <f>IF(Scenarios!D13=1,0, L58)</f>
        <v>290</v>
      </c>
      <c r="E58">
        <f>IF(Scenarios!E13=1,0, M58)</f>
        <v>0</v>
      </c>
      <c r="F58">
        <f t="shared" si="11"/>
        <v>290</v>
      </c>
      <c r="G58" s="2">
        <f>YearMap!B3</f>
        <v>6574.8742874999989</v>
      </c>
      <c r="H58" s="2">
        <f>YearMap!C3</f>
        <v>1439410.4412375002</v>
      </c>
      <c r="I58" s="2">
        <f>YearMap!D3</f>
        <v>1657842.3759000003</v>
      </c>
      <c r="J58">
        <f>1-BaselineCalc!$B$5</f>
        <v>0.99299999999999999</v>
      </c>
      <c r="K58">
        <f>Scenarios!G13</f>
        <v>0</v>
      </c>
      <c r="L58">
        <f>IF(Scenarios!$Q13=1,BaselineCalc!$B$7*(1+Parameters_Public!$C44)^(IF($C58="FY2026",0,IF($C58="FY2027",1,IF($C58="FY2028",2,IF($C58="FY2029",3,IF($C58="FY2030",4,0))))))+ROUND(Scenarios!J13*Scenarios!$F13,0),BaselineCalc!$B$7+ROUND(Scenarios!J13*Scenarios!$F13,0))</f>
        <v>290</v>
      </c>
      <c r="M58">
        <f>IF(Scenarios!$R13=1,BaselineCalc!$B$8*(1+Parameters_Public!$C45)^(IF($C58="FY2026",0,IF($C58="FY2027",1,IF($C58="FY2028",2,IF($C58="FY2029",3,IF($C58="FY2030",4,0))))))+Scenarios!J13-ROUND(Scenarios!J13*Scenarios!$F13,0),BaselineCalc!$B$8+Scenarios!J13-ROUND(Scenarios!J13*Scenarios!$F13,0))</f>
        <v>296.33333333333331</v>
      </c>
      <c r="N58" s="11">
        <f t="shared" si="12"/>
        <v>296.33333333333331</v>
      </c>
      <c r="O58" s="11">
        <f>(Parameters_Public!$C$23*(L58-D58)+Parameters_Public!$C$24*(M58-E58))</f>
        <v>251.8833333333333</v>
      </c>
      <c r="P58">
        <f>YearMap!E3</f>
        <v>800</v>
      </c>
      <c r="Q58">
        <f>IF(Scenarios!N13="lease", YearMap!F3, YearMap!G3)</f>
        <v>0.4</v>
      </c>
      <c r="R58" s="2">
        <f>IF(Scenarios!D13=1, Q58*H58, H58)</f>
        <v>1439410.4412375002</v>
      </c>
      <c r="S58" s="2">
        <f>IF(Scenarios!E13=1, Q58*I58, I58)</f>
        <v>663136.95036000013</v>
      </c>
      <c r="T58" s="2">
        <f>IF(C58="FY2026", (Scenarios!D13+Scenarios!E13)*BaselineCalc!$B$22, 0)</f>
        <v>0</v>
      </c>
      <c r="U58" s="2">
        <f t="shared" si="13"/>
        <v>3981196.1084276922</v>
      </c>
      <c r="V58" s="2">
        <f t="shared" si="14"/>
        <v>1857607.9184497911</v>
      </c>
      <c r="W58" s="2">
        <f>U58+V58+IF(Parameters_Public!$C$26=1, T58, 0)</f>
        <v>5838804.0268774834</v>
      </c>
      <c r="X58" s="2">
        <f t="shared" si="15"/>
        <v>10775.020502957248</v>
      </c>
      <c r="Y58" s="2">
        <f>INDEX(YearMap!$I$2:$I$6, MATCH(C58, YearMap!$A$2:$A$6, 0))</f>
        <v>5138.3249999999998</v>
      </c>
      <c r="Z58" s="2">
        <f>W58 - ((Y58 + IF(Parameters_Public!$C$20=1, Parameters_Public!$C$19, 0))*AC58)</f>
        <v>2646962.1756274845</v>
      </c>
      <c r="AA58" s="2">
        <f t="shared" si="16"/>
        <v>4884.7455029572511</v>
      </c>
      <c r="AB58">
        <f>MAX(0, (MAX(0, $D58-BaselineCalc!$B$7) + MAX(0, $E58-BaselineCalc!$B$8)))</f>
        <v>33</v>
      </c>
      <c r="AC58" s="11">
        <f t="shared" si="17"/>
        <v>541.88333333333321</v>
      </c>
      <c r="AD58" s="2">
        <f>( (Y58 + IF(Parameters_Public!$C20=1, INDEX(YearMap!$O$2:$O$6, MATCH(C58, YearMap!$A$2:$A$6, 0)), 0)) * AC58 ) + AC58*INDEX(YearMap!$P$2:$P$6, MATCH(C58, YearMap!$A$2:$A$6, 0)) + AB58*( INDEX(YearMap!$R$2:$R$6, MATCH(C58, YearMap!$A$2:$A$6, 0)) - INDEX(YearMap!$P$2:$P$6, MATCH(C58, YearMap!$A$2:$A$6, 0)) )</f>
        <v>6063883.2472291645</v>
      </c>
      <c r="AE58" s="2">
        <f>(W58 - (1-Parameters_Public!$C42)*$G58*$AB58*$J58*(1-$K58)) + AB58*INDEX(YearMap!$Q$2:$Q$6, MATCH(C58, YearMap!$A$2:$A$6, 0))</f>
        <v>5628631.9713503961</v>
      </c>
      <c r="AF58" s="2">
        <f t="shared" si="18"/>
        <v>435251.27587876841</v>
      </c>
      <c r="AG58" t="str">
        <f t="shared" si="19"/>
        <v>C1_Repurpose_Pima_ops_EchoGHub_EchoTargets|FY2027</v>
      </c>
    </row>
    <row r="59" spans="1:33">
      <c r="A59" t="str">
        <f t="shared" si="10"/>
        <v>C1_Repurpose_Pima_ops_EchoGHub_EchoTargets|FY2028</v>
      </c>
      <c r="B59" t="str">
        <f>Scenarios!A13</f>
        <v>C1_Repurpose_Pima_ops_EchoGHub_EchoTargets</v>
      </c>
      <c r="C59" t="s">
        <v>88</v>
      </c>
      <c r="D59">
        <f>IF(Scenarios!D13=1,0, L59)</f>
        <v>307</v>
      </c>
      <c r="E59">
        <f>IF(Scenarios!E13=1,0, M59)</f>
        <v>0</v>
      </c>
      <c r="F59">
        <f t="shared" si="11"/>
        <v>307</v>
      </c>
      <c r="G59" s="2">
        <f>YearMap!B4</f>
        <v>6739.2461446874986</v>
      </c>
      <c r="H59" s="2">
        <f>YearMap!C4</f>
        <v>1475395.7022684375</v>
      </c>
      <c r="I59" s="2">
        <f>YearMap!D4</f>
        <v>1699288.4352975001</v>
      </c>
      <c r="J59">
        <f>1-BaselineCalc!$B$5</f>
        <v>0.99299999999999999</v>
      </c>
      <c r="K59">
        <f>Scenarios!G13</f>
        <v>0</v>
      </c>
      <c r="L59">
        <f>IF(Scenarios!$Q13=1,BaselineCalc!$B$7*(1+Parameters_Public!$C44)^(IF($C59="FY2026",0,IF($C59="FY2027",1,IF($C59="FY2028",2,IF($C59="FY2029",3,IF($C59="FY2030",4,0))))))+ROUND(Scenarios!K13*Scenarios!$F13,0),BaselineCalc!$B$7+ROUND(Scenarios!K13*Scenarios!$F13,0))</f>
        <v>307</v>
      </c>
      <c r="M59">
        <f>IF(Scenarios!$R13=1,BaselineCalc!$B$8*(1+Parameters_Public!$C45)^(IF($C59="FY2026",0,IF($C59="FY2027",1,IF($C59="FY2028",2,IF($C59="FY2029",3,IF($C59="FY2030",4,0))))))+Scenarios!K13-ROUND(Scenarios!K13*Scenarios!$F13,0),BaselineCalc!$B$8+Scenarios!K13-ROUND(Scenarios!K13*Scenarios!$F13,0))</f>
        <v>296</v>
      </c>
      <c r="N59" s="11">
        <f t="shared" si="12"/>
        <v>296</v>
      </c>
      <c r="O59" s="11">
        <f>(Parameters_Public!$C$23*(L59-D59)+Parameters_Public!$C$24*(M59-E59))</f>
        <v>251.6</v>
      </c>
      <c r="P59">
        <f>YearMap!E4</f>
        <v>600</v>
      </c>
      <c r="Q59">
        <f>IF(Scenarios!N13="lease", YearMap!F4, YearMap!G4)</f>
        <v>0.35</v>
      </c>
      <c r="R59" s="2">
        <f>IF(Scenarios!D13=1, Q59*H59, H59)</f>
        <v>1475395.7022684375</v>
      </c>
      <c r="S59" s="2">
        <f>IF(Scenarios!E13=1, Q59*I59, I59)</f>
        <v>594750.95235412498</v>
      </c>
      <c r="T59" s="2">
        <f>IF(C59="FY2026", (Scenarios!D13+Scenarios!E13)*BaselineCalc!$B$22, 0)</f>
        <v>0</v>
      </c>
      <c r="U59" s="2">
        <f t="shared" si="13"/>
        <v>4110121.554494333</v>
      </c>
      <c r="V59" s="2">
        <f t="shared" si="14"/>
        <v>1846554.3300033747</v>
      </c>
      <c r="W59" s="2">
        <f>U59+V59+IF(Parameters_Public!$C$26=1, T59, 0)</f>
        <v>5956675.8844977077</v>
      </c>
      <c r="X59" s="2">
        <f t="shared" si="15"/>
        <v>10663.580172749207</v>
      </c>
      <c r="Y59" s="2">
        <f>INDEX(YearMap!$I$2:$I$6, MATCH(C59, YearMap!$A$2:$A$6, 0))</f>
        <v>5266.7831249999999</v>
      </c>
      <c r="Z59" s="2">
        <f>W59 - ((Y59 + IF(Parameters_Public!$C$20=1, Parameters_Public!$C$19, 0))*AC59)</f>
        <v>2594611.5608727075</v>
      </c>
      <c r="AA59" s="2">
        <f t="shared" si="16"/>
        <v>4644.8470477492074</v>
      </c>
      <c r="AB59">
        <f>MAX(0, (MAX(0, $D59-BaselineCalc!$B$7) + MAX(0, $E59-BaselineCalc!$B$8)))</f>
        <v>50</v>
      </c>
      <c r="AC59" s="11">
        <f t="shared" si="17"/>
        <v>558.6</v>
      </c>
      <c r="AD59" s="2">
        <f>( (Y59 + IF(Parameters_Public!$C20=1, INDEX(YearMap!$O$2:$O$6, MATCH(C59, YearMap!$A$2:$A$6, 0)), 0)) * AC59 ) + AC59*INDEX(YearMap!$P$2:$P$6, MATCH(C59, YearMap!$A$2:$A$6, 0)) + AB59*( INDEX(YearMap!$R$2:$R$6, MATCH(C59, YearMap!$A$2:$A$6, 0)) - INDEX(YearMap!$P$2:$P$6, MATCH(C59, YearMap!$A$2:$A$6, 0)) )</f>
        <v>6394125.886668751</v>
      </c>
      <c r="AE59" s="2">
        <f>(W59 - (1-Parameters_Public!$C42)*$G59*$AB59*$J59*(1-$K59)) + AB59*INDEX(YearMap!$Q$2:$Q$6, MATCH(C59, YearMap!$A$2:$A$6, 0))</f>
        <v>5628072.3134139739</v>
      </c>
      <c r="AF59" s="2">
        <f t="shared" si="18"/>
        <v>766053.57325477712</v>
      </c>
      <c r="AG59" t="str">
        <f t="shared" si="19"/>
        <v>C1_Repurpose_Pima_ops_EchoGHub_EchoTargets|FY2028</v>
      </c>
    </row>
    <row r="60" spans="1:33">
      <c r="A60" t="str">
        <f t="shared" si="10"/>
        <v>C1_Repurpose_Pima_ops_EchoGHub_EchoTargets|FY2029</v>
      </c>
      <c r="B60" t="str">
        <f>Scenarios!A13</f>
        <v>C1_Repurpose_Pima_ops_EchoGHub_EchoTargets</v>
      </c>
      <c r="C60" t="s">
        <v>89</v>
      </c>
      <c r="D60">
        <f>IF(Scenarios!D13=1,0, L60)</f>
        <v>307</v>
      </c>
      <c r="E60">
        <f>IF(Scenarios!E13=1,0, M60)</f>
        <v>0</v>
      </c>
      <c r="F60">
        <f t="shared" si="11"/>
        <v>307</v>
      </c>
      <c r="G60" s="2">
        <f>YearMap!B5</f>
        <v>6907.7272983046851</v>
      </c>
      <c r="H60" s="2">
        <f>YearMap!C5</f>
        <v>1512280.5948251483</v>
      </c>
      <c r="I60" s="2">
        <f>YearMap!D5</f>
        <v>1741770.6461799373</v>
      </c>
      <c r="J60">
        <f>1-BaselineCalc!$B$5</f>
        <v>0.99299999999999999</v>
      </c>
      <c r="K60">
        <f>Scenarios!G13</f>
        <v>0</v>
      </c>
      <c r="L60">
        <f>IF(Scenarios!$Q13=1,BaselineCalc!$B$7*(1+Parameters_Public!$C44)^(IF($C60="FY2026",0,IF($C60="FY2027",1,IF($C60="FY2028",2,IF($C60="FY2029",3,IF($C60="FY2030",4,0))))))+ROUND(Scenarios!L13*Scenarios!$F13,0),BaselineCalc!$B$7+ROUND(Scenarios!L13*Scenarios!$F13,0))</f>
        <v>307</v>
      </c>
      <c r="M60">
        <f>IF(Scenarios!$R13=1,BaselineCalc!$B$8*(1+Parameters_Public!$C45)^(IF($C60="FY2026",0,IF($C60="FY2027",1,IF($C60="FY2028",2,IF($C60="FY2029",3,IF($C60="FY2030",4,0))))))+Scenarios!L13-ROUND(Scenarios!L13*Scenarios!$F13,0),BaselineCalc!$B$8+Scenarios!L13-ROUND(Scenarios!L13*Scenarios!$F13,0))</f>
        <v>296</v>
      </c>
      <c r="N60" s="11">
        <f t="shared" si="12"/>
        <v>296</v>
      </c>
      <c r="O60" s="11">
        <f>(Parameters_Public!$C$23*(L60-D60)+Parameters_Public!$C$24*(M60-E60))</f>
        <v>251.6</v>
      </c>
      <c r="P60">
        <f>YearMap!E5</f>
        <v>500</v>
      </c>
      <c r="Q60">
        <f>IF(Scenarios!N13="lease", YearMap!F5, YearMap!G5)</f>
        <v>0.3</v>
      </c>
      <c r="R60" s="2">
        <f>IF(Scenarios!D13=1, Q60*H60, H60)</f>
        <v>1512280.5948251483</v>
      </c>
      <c r="S60" s="2">
        <f>IF(Scenarios!E13=1, Q60*I60, I60)</f>
        <v>522531.19385398115</v>
      </c>
      <c r="T60" s="2">
        <f>IF(C60="FY2026", (Scenarios!D13+Scenarios!E13)*BaselineCalc!$B$22, 0)</f>
        <v>0</v>
      </c>
      <c r="U60" s="2">
        <f t="shared" si="13"/>
        <v>4126395.680773857</v>
      </c>
      <c r="V60" s="2">
        <f t="shared" si="14"/>
        <v>1863784.1882534588</v>
      </c>
      <c r="W60" s="2">
        <f>U60+V60+IF(Parameters_Public!$C$26=1, T60, 0)</f>
        <v>5990179.8690273156</v>
      </c>
      <c r="X60" s="2">
        <f t="shared" si="15"/>
        <v>10723.558662777148</v>
      </c>
      <c r="Y60" s="2">
        <f>INDEX(YearMap!$I$2:$I$6, MATCH(C60, YearMap!$A$2:$A$6, 0))</f>
        <v>5398.4527031249991</v>
      </c>
      <c r="Z60" s="2">
        <f>W60 - ((Y60 + IF(Parameters_Public!$C$20=1, Parameters_Public!$C$19, 0))*AC60)</f>
        <v>2554564.919061691</v>
      </c>
      <c r="AA60" s="2">
        <f t="shared" si="16"/>
        <v>4573.1559596521502</v>
      </c>
      <c r="AB60">
        <f>MAX(0, (MAX(0, $D60-BaselineCalc!$B$7) + MAX(0, $E60-BaselineCalc!$B$8)))</f>
        <v>50</v>
      </c>
      <c r="AC60" s="11">
        <f t="shared" si="17"/>
        <v>558.6</v>
      </c>
      <c r="AD60" s="2">
        <f>( (Y60 + IF(Parameters_Public!$C20=1, INDEX(YearMap!$O$2:$O$6, MATCH(C60, YearMap!$A$2:$A$6, 0)), 0)) * AC60 ) + AC60*INDEX(YearMap!$P$2:$P$6, MATCH(C60, YearMap!$A$2:$A$6, 0)) + AB60*( INDEX(YearMap!$R$2:$R$6, MATCH(C60, YearMap!$A$2:$A$6, 0)) - INDEX(YearMap!$P$2:$P$6, MATCH(C60, YearMap!$A$2:$A$6, 0)) )</f>
        <v>6553979.0338354679</v>
      </c>
      <c r="AE60" s="2">
        <f>(W60 - (1-Parameters_Public!$C42)*$G60*$AB60*$J60*(1-$K60)) + AB60*INDEX(YearMap!$Q$2:$Q$6, MATCH(C60, YearMap!$A$2:$A$6, 0))</f>
        <v>5652211.2086664876</v>
      </c>
      <c r="AF60" s="2">
        <f t="shared" si="18"/>
        <v>901767.82516898029</v>
      </c>
      <c r="AG60" t="str">
        <f t="shared" si="19"/>
        <v>C1_Repurpose_Pima_ops_EchoGHub_EchoTargets|FY2029</v>
      </c>
    </row>
    <row r="61" spans="1:33">
      <c r="A61" t="str">
        <f t="shared" si="10"/>
        <v>C1_Repurpose_Pima_ops_EchoGHub_EchoTargets|FY2030</v>
      </c>
      <c r="B61" t="str">
        <f>Scenarios!A13</f>
        <v>C1_Repurpose_Pima_ops_EchoGHub_EchoTargets</v>
      </c>
      <c r="C61" t="s">
        <v>90</v>
      </c>
      <c r="D61">
        <f>IF(Scenarios!D13=1,0, L61)</f>
        <v>307</v>
      </c>
      <c r="E61">
        <f>IF(Scenarios!E13=1,0, M61)</f>
        <v>0</v>
      </c>
      <c r="F61">
        <f t="shared" si="11"/>
        <v>307</v>
      </c>
      <c r="G61" s="2">
        <f>YearMap!B6</f>
        <v>7080.4204807623018</v>
      </c>
      <c r="H61" s="2">
        <f>YearMap!C6</f>
        <v>1550087.6096957768</v>
      </c>
      <c r="I61" s="2">
        <f>YearMap!D6</f>
        <v>1785314.9123344356</v>
      </c>
      <c r="J61">
        <f>1-BaselineCalc!$B$5</f>
        <v>0.99299999999999999</v>
      </c>
      <c r="K61">
        <f>Scenarios!G13</f>
        <v>0</v>
      </c>
      <c r="L61">
        <f>IF(Scenarios!$Q13=1,BaselineCalc!$B$7*(1+Parameters_Public!$C44)^(IF($C61="FY2026",0,IF($C61="FY2027",1,IF($C61="FY2028",2,IF($C61="FY2029",3,IF($C61="FY2030",4,0))))))+ROUND(Scenarios!M13*Scenarios!$F13,0),BaselineCalc!$B$7+ROUND(Scenarios!M13*Scenarios!$F13,0))</f>
        <v>307</v>
      </c>
      <c r="M61">
        <f>IF(Scenarios!$R13=1,BaselineCalc!$B$8*(1+Parameters_Public!$C45)^(IF($C61="FY2026",0,IF($C61="FY2027",1,IF($C61="FY2028",2,IF($C61="FY2029",3,IF($C61="FY2030",4,0))))))+Scenarios!M13-ROUND(Scenarios!M13*Scenarios!$F13,0),BaselineCalc!$B$8+Scenarios!M13-ROUND(Scenarios!M13*Scenarios!$F13,0))</f>
        <v>296</v>
      </c>
      <c r="N61" s="11">
        <f t="shared" si="12"/>
        <v>296</v>
      </c>
      <c r="O61" s="11">
        <f>(Parameters_Public!$C$23*(L61-D61)+Parameters_Public!$C$24*(M61-E61))</f>
        <v>251.6</v>
      </c>
      <c r="P61">
        <f>YearMap!E6</f>
        <v>300</v>
      </c>
      <c r="Q61">
        <f>IF(Scenarios!N13="lease", YearMap!F6, YearMap!G6)</f>
        <v>0.3</v>
      </c>
      <c r="R61" s="2">
        <f>IF(Scenarios!D13=1, Q61*H61, H61)</f>
        <v>1550087.6096957768</v>
      </c>
      <c r="S61" s="2">
        <f>IF(Scenarios!E13=1, Q61*I61, I61)</f>
        <v>535594.47370033071</v>
      </c>
      <c r="T61" s="2">
        <f>IF(C61="FY2026", (Scenarios!D13+Scenarios!E13)*BaselineCalc!$B$22, 0)</f>
        <v>0</v>
      </c>
      <c r="U61" s="2">
        <f t="shared" si="13"/>
        <v>4229555.5727932025</v>
      </c>
      <c r="V61" s="2">
        <f t="shared" si="14"/>
        <v>1856913.7929597951</v>
      </c>
      <c r="W61" s="2">
        <f>U61+V61+IF(Parameters_Public!$C$26=1, T61, 0)</f>
        <v>6086469.3657529978</v>
      </c>
      <c r="X61" s="2">
        <f t="shared" si="15"/>
        <v>10895.935133822051</v>
      </c>
      <c r="Y61" s="2">
        <f>INDEX(YearMap!$I$2:$I$6, MATCH(C61, YearMap!$A$2:$A$6, 0))</f>
        <v>5533.4140207031242</v>
      </c>
      <c r="Z61" s="2">
        <f>W61 - ((Y61 + IF(Parameters_Public!$C$20=1, Parameters_Public!$C$19, 0))*AC61)</f>
        <v>2575465.0237882328</v>
      </c>
      <c r="AA61" s="2">
        <f t="shared" si="16"/>
        <v>4610.5711131189273</v>
      </c>
      <c r="AB61">
        <f>MAX(0, (MAX(0, $D61-BaselineCalc!$B$7) + MAX(0, $E61-BaselineCalc!$B$8)))</f>
        <v>50</v>
      </c>
      <c r="AC61" s="11">
        <f t="shared" si="17"/>
        <v>558.6</v>
      </c>
      <c r="AD61" s="2">
        <f>( (Y61 + IF(Parameters_Public!$C20=1, INDEX(YearMap!$O$2:$O$6, MATCH(C61, YearMap!$A$2:$A$6, 0)), 0)) * AC61 ) + AC61*INDEX(YearMap!$P$2:$P$6, MATCH(C61, YearMap!$A$2:$A$6, 0)) + AB61*( INDEX(YearMap!$R$2:$R$6, MATCH(C61, YearMap!$A$2:$A$6, 0)) - INDEX(YearMap!$P$2:$P$6, MATCH(C61, YearMap!$A$2:$A$6, 0)) )</f>
        <v>6717828.5096813543</v>
      </c>
      <c r="AE61" s="2">
        <f>(W61 - (1-Parameters_Public!$C42)*$G61*$AB61*$J61*(1-$K61)) + AB61*INDEX(YearMap!$Q$2:$Q$6, MATCH(C61, YearMap!$A$2:$A$6, 0))</f>
        <v>5737926.4888831498</v>
      </c>
      <c r="AF61" s="2">
        <f t="shared" si="18"/>
        <v>979902.02079820447</v>
      </c>
      <c r="AG61" t="str">
        <f t="shared" si="19"/>
        <v>C1_Repurpose_Pima_ops_EchoGHub_EchoTargets|FY2030</v>
      </c>
    </row>
    <row r="62" spans="1:33">
      <c r="A62" t="str">
        <f t="shared" si="10"/>
        <v>E1_StatusQuo_Decline|FY2026</v>
      </c>
      <c r="B62" t="str">
        <f>Scenarios!A14</f>
        <v>E1_StatusQuo_Decline</v>
      </c>
      <c r="C62" t="s">
        <v>86</v>
      </c>
      <c r="D62">
        <f>IF(Scenarios!D14=1,0, L62)</f>
        <v>257</v>
      </c>
      <c r="E62">
        <f>IF(Scenarios!E14=1,0, M62)</f>
        <v>296</v>
      </c>
      <c r="F62">
        <f t="shared" si="11"/>
        <v>553</v>
      </c>
      <c r="G62" s="2">
        <f>YearMap!B2</f>
        <v>6414.5114999999987</v>
      </c>
      <c r="H62" s="2">
        <f>YearMap!C2</f>
        <v>1404302.8695</v>
      </c>
      <c r="I62" s="2">
        <f>YearMap!D2</f>
        <v>1617407.196</v>
      </c>
      <c r="J62">
        <f>1-BaselineCalc!$B$5</f>
        <v>0.99299999999999999</v>
      </c>
      <c r="K62">
        <f>Scenarios!G14</f>
        <v>0</v>
      </c>
      <c r="L62">
        <f>IF(Scenarios!$Q14=1,BaselineCalc!$B$7*(1+Parameters_Public!$C44)^(IF($C62="FY2026",0,IF($C62="FY2027",1,IF($C62="FY2028",2,IF($C62="FY2029",3,IF($C62="FY2030",4,0))))))+ROUND(Scenarios!I14*Scenarios!$F14,0),BaselineCalc!$B$7+ROUND(Scenarios!I14*Scenarios!$F14,0))</f>
        <v>257</v>
      </c>
      <c r="M62">
        <f>IF(Scenarios!$R14=1,BaselineCalc!$B$8*(1+Parameters_Public!$C45)^(IF($C62="FY2026",0,IF($C62="FY2027",1,IF($C62="FY2028",2,IF($C62="FY2029",3,IF($C62="FY2030",4,0))))))+Scenarios!I14-ROUND(Scenarios!I14*Scenarios!$F14,0),BaselineCalc!$B$8+Scenarios!I14-ROUND(Scenarios!I14*Scenarios!$F14,0))</f>
        <v>296</v>
      </c>
      <c r="N62" s="11">
        <f t="shared" si="12"/>
        <v>0</v>
      </c>
      <c r="O62" s="11">
        <f>(Parameters_Public!$C$23*(L62-D62)+Parameters_Public!$C$24*(M62-E62))</f>
        <v>0</v>
      </c>
      <c r="P62">
        <f>YearMap!E2</f>
        <v>1000</v>
      </c>
      <c r="Q62">
        <f>IF(Scenarios!N14="lease", YearMap!F2, YearMap!G2)</f>
        <v>0.45</v>
      </c>
      <c r="R62" s="2">
        <f>IF(Scenarios!D14=1, Q62*H62, H62)</f>
        <v>1404302.8695</v>
      </c>
      <c r="S62" s="2">
        <f>IF(Scenarios!E14=1, Q62*I62, I62)</f>
        <v>1617407.196</v>
      </c>
      <c r="T62" s="2">
        <f>IF(C62="FY2026", (Scenarios!D14+Scenarios!E14)*BaselineCalc!$B$22, 0)</f>
        <v>0</v>
      </c>
      <c r="U62" s="2">
        <f t="shared" si="13"/>
        <v>6522952.3805249985</v>
      </c>
      <c r="V62" s="2">
        <f t="shared" si="14"/>
        <v>0</v>
      </c>
      <c r="W62" s="2">
        <f>U62+V62+IF(Parameters_Public!$C$26=1, T62, 0)</f>
        <v>6522952.3805249985</v>
      </c>
      <c r="X62" s="2">
        <f t="shared" si="15"/>
        <v>11795.573924999997</v>
      </c>
      <c r="Y62" s="2">
        <f>INDEX(YearMap!$I$2:$I$6, MATCH(C62, YearMap!$A$2:$A$6, 0))</f>
        <v>5013</v>
      </c>
      <c r="Z62" s="2">
        <f>W62 - ((Y62 + IF(Parameters_Public!$C$20=1, Parameters_Public!$C$19, 0))*AC62)</f>
        <v>3334935.0305249984</v>
      </c>
      <c r="AA62" s="2">
        <f t="shared" si="16"/>
        <v>6030.6239249999971</v>
      </c>
      <c r="AB62">
        <f>MAX(0, (MAX(0, $D62-BaselineCalc!$B$7) + MAX(0, $E62-BaselineCalc!$B$8)))</f>
        <v>0</v>
      </c>
      <c r="AC62" s="11">
        <f t="shared" si="17"/>
        <v>553</v>
      </c>
      <c r="AD62" s="2">
        <f>( (Y62 + IF(Parameters_Public!$C20=1, INDEX(YearMap!$O$2:$O$6, MATCH(C62, YearMap!$A$2:$A$6, 0)), 0)) * AC62 ) + AC62*INDEX(YearMap!$P$2:$P$6, MATCH(C62, YearMap!$A$2:$A$6, 0)) + AB62*( INDEX(YearMap!$R$2:$R$6, MATCH(C62, YearMap!$A$2:$A$6, 0)) - INDEX(YearMap!$P$2:$P$6, MATCH(C62, YearMap!$A$2:$A$6, 0)) )</f>
        <v>6063617.3499999996</v>
      </c>
      <c r="AE62" s="2">
        <f>(W62 - (1-Parameters_Public!$C42)*$G62*$AB62*$J62*(1-$K62)) + AB62*INDEX(YearMap!$Q$2:$Q$6, MATCH(C62, YearMap!$A$2:$A$6, 0))</f>
        <v>6522952.3805249985</v>
      </c>
      <c r="AF62" s="2">
        <f t="shared" si="18"/>
        <v>-459335.0305249989</v>
      </c>
      <c r="AG62" t="str">
        <f t="shared" si="19"/>
        <v>E1_StatusQuo_Decline|FY2026</v>
      </c>
    </row>
    <row r="63" spans="1:33">
      <c r="A63" t="str">
        <f t="shared" si="10"/>
        <v>E1_StatusQuo_Decline|FY2027</v>
      </c>
      <c r="B63" t="str">
        <f>Scenarios!A14</f>
        <v>E1_StatusQuo_Decline</v>
      </c>
      <c r="C63" t="s">
        <v>87</v>
      </c>
      <c r="D63" s="11">
        <f>IF(Scenarios!D14=1,0, L63)</f>
        <v>251.85999999999999</v>
      </c>
      <c r="E63" s="11">
        <f>IF(Scenarios!E14=1,0, M63)</f>
        <v>290.08</v>
      </c>
      <c r="F63" s="11">
        <f t="shared" si="11"/>
        <v>541.93999999999994</v>
      </c>
      <c r="G63" s="2">
        <f>YearMap!B3</f>
        <v>6574.8742874999989</v>
      </c>
      <c r="H63" s="2">
        <f>YearMap!C3</f>
        <v>1439410.4412375002</v>
      </c>
      <c r="I63" s="2">
        <f>YearMap!D3</f>
        <v>1657842.3759000003</v>
      </c>
      <c r="J63">
        <f>1-BaselineCalc!$B$5</f>
        <v>0.99299999999999999</v>
      </c>
      <c r="K63">
        <f>Scenarios!G14</f>
        <v>0</v>
      </c>
      <c r="L63" s="11">
        <f>IF(Scenarios!$Q14=1,BaselineCalc!$B$7*(1+Parameters_Public!$C44)^(IF($C63="FY2026",0,IF($C63="FY2027",1,IF($C63="FY2028",2,IF($C63="FY2029",3,IF($C63="FY2030",4,0))))))+ROUND(Scenarios!J14*Scenarios!$F14,0),BaselineCalc!$B$7+ROUND(Scenarios!J14*Scenarios!$F14,0))</f>
        <v>251.85999999999999</v>
      </c>
      <c r="M63" s="11">
        <f>IF(Scenarios!$R14=1,BaselineCalc!$B$8*(1+Parameters_Public!$C45)^(IF($C63="FY2026",0,IF($C63="FY2027",1,IF($C63="FY2028",2,IF($C63="FY2029",3,IF($C63="FY2030",4,0))))))+Scenarios!J14-ROUND(Scenarios!J14*Scenarios!$F14,0),BaselineCalc!$B$8+Scenarios!J14-ROUND(Scenarios!J14*Scenarios!$F14,0))</f>
        <v>290.08</v>
      </c>
      <c r="N63" s="11">
        <f t="shared" si="12"/>
        <v>0</v>
      </c>
      <c r="O63" s="11">
        <f>(Parameters_Public!$C$23*(L63-D63)+Parameters_Public!$C$24*(M63-E63))</f>
        <v>0</v>
      </c>
      <c r="P63">
        <f>YearMap!E3</f>
        <v>800</v>
      </c>
      <c r="Q63">
        <f>IF(Scenarios!N14="lease", YearMap!F3, YearMap!G3)</f>
        <v>0.4</v>
      </c>
      <c r="R63" s="2">
        <f>IF(Scenarios!D14=1, Q63*H63, H63)</f>
        <v>1439410.4412375002</v>
      </c>
      <c r="S63" s="2">
        <f>IF(Scenarios!E14=1, Q63*I63, I63)</f>
        <v>1657842.3759000003</v>
      </c>
      <c r="T63" s="2">
        <f>IF(C63="FY2026", (Scenarios!D14+Scenarios!E14)*BaselineCalc!$B$22, 0)</f>
        <v>0</v>
      </c>
      <c r="U63" s="2">
        <f t="shared" si="13"/>
        <v>6613817.1071857121</v>
      </c>
      <c r="V63" s="2">
        <f t="shared" si="14"/>
        <v>0</v>
      </c>
      <c r="W63" s="2">
        <f>U63+V63+IF(Parameters_Public!$C$26=1, T63, 0)</f>
        <v>6613817.1071857121</v>
      </c>
      <c r="X63" s="2">
        <f t="shared" si="15"/>
        <v>12203.965581403316</v>
      </c>
      <c r="Y63" s="2">
        <f>INDEX(YearMap!$I$2:$I$6, MATCH(C63, YearMap!$A$2:$A$6, 0))</f>
        <v>5138.3249999999998</v>
      </c>
      <c r="Z63" s="2">
        <f>W63 - ((Y63 + IF(Parameters_Public!$C$20=1, Parameters_Public!$C$19, 0))*AC63)</f>
        <v>3421641.4736857126</v>
      </c>
      <c r="AA63" s="2">
        <f t="shared" si="16"/>
        <v>6313.6905814033162</v>
      </c>
      <c r="AB63">
        <f>MAX(0, (MAX(0, $D63-BaselineCalc!$B$7) + MAX(0, $E63-BaselineCalc!$B$8)))</f>
        <v>0</v>
      </c>
      <c r="AC63" s="11">
        <f t="shared" si="17"/>
        <v>541.93999999999994</v>
      </c>
      <c r="AD63" s="2">
        <f>( (Y63 + IF(Parameters_Public!$C20=1, INDEX(YearMap!$O$2:$O$6, MATCH(C63, YearMap!$A$2:$A$6, 0)), 0)) * AC63 ) + AC63*INDEX(YearMap!$P$2:$P$6, MATCH(C63, YearMap!$A$2:$A$6, 0)) + AB63*( INDEX(YearMap!$R$2:$R$6, MATCH(C63, YearMap!$A$2:$A$6, 0)) - INDEX(YearMap!$P$2:$P$6, MATCH(C63, YearMap!$A$2:$A$6, 0)) )</f>
        <v>6090903.628074998</v>
      </c>
      <c r="AE63" s="2">
        <f>(W63 - (1-Parameters_Public!$C42)*$G63*$AB63*$J63*(1-$K63)) + AB63*INDEX(YearMap!$Q$2:$Q$6, MATCH(C63, YearMap!$A$2:$A$6, 0))</f>
        <v>6613817.1071857121</v>
      </c>
      <c r="AF63" s="2">
        <f t="shared" si="18"/>
        <v>-522913.47911071405</v>
      </c>
      <c r="AG63" t="str">
        <f t="shared" si="19"/>
        <v>E1_StatusQuo_Decline|FY2027</v>
      </c>
    </row>
    <row r="64" spans="1:33">
      <c r="A64" t="str">
        <f t="shared" si="10"/>
        <v>E1_StatusQuo_Decline|FY2028</v>
      </c>
      <c r="B64" t="str">
        <f>Scenarios!A14</f>
        <v>E1_StatusQuo_Decline</v>
      </c>
      <c r="C64" t="s">
        <v>88</v>
      </c>
      <c r="D64" s="11">
        <f>IF(Scenarios!D14=1,0, L64)</f>
        <v>246.82279999999997</v>
      </c>
      <c r="E64" s="11">
        <f>IF(Scenarios!E14=1,0, M64)</f>
        <v>284.27839999999998</v>
      </c>
      <c r="F64" s="11">
        <f t="shared" si="11"/>
        <v>531.10119999999995</v>
      </c>
      <c r="G64" s="2">
        <f>YearMap!B4</f>
        <v>6739.2461446874986</v>
      </c>
      <c r="H64" s="2">
        <f>YearMap!C4</f>
        <v>1475395.7022684375</v>
      </c>
      <c r="I64" s="2">
        <f>YearMap!D4</f>
        <v>1699288.4352975001</v>
      </c>
      <c r="J64">
        <f>1-BaselineCalc!$B$5</f>
        <v>0.99299999999999999</v>
      </c>
      <c r="K64">
        <f>Scenarios!G14</f>
        <v>0</v>
      </c>
      <c r="L64" s="11">
        <f>IF(Scenarios!$Q14=1,BaselineCalc!$B$7*(1+Parameters_Public!$C44)^(IF($C64="FY2026",0,IF($C64="FY2027",1,IF($C64="FY2028",2,IF($C64="FY2029",3,IF($C64="FY2030",4,0))))))+ROUND(Scenarios!K14*Scenarios!$F14,0),BaselineCalc!$B$7+ROUND(Scenarios!K14*Scenarios!$F14,0))</f>
        <v>246.82279999999997</v>
      </c>
      <c r="M64" s="11">
        <f>IF(Scenarios!$R14=1,BaselineCalc!$B$8*(1+Parameters_Public!$C45)^(IF($C64="FY2026",0,IF($C64="FY2027",1,IF($C64="FY2028",2,IF($C64="FY2029",3,IF($C64="FY2030",4,0))))))+Scenarios!K14-ROUND(Scenarios!K14*Scenarios!$F14,0),BaselineCalc!$B$8+Scenarios!K14-ROUND(Scenarios!K14*Scenarios!$F14,0))</f>
        <v>284.27839999999998</v>
      </c>
      <c r="N64" s="11">
        <f t="shared" si="12"/>
        <v>0</v>
      </c>
      <c r="O64" s="11">
        <f>(Parameters_Public!$C$23*(L64-D64)+Parameters_Public!$C$24*(M64-E64))</f>
        <v>0</v>
      </c>
      <c r="P64">
        <f>YearMap!E4</f>
        <v>600</v>
      </c>
      <c r="Q64">
        <f>IF(Scenarios!N14="lease", YearMap!F4, YearMap!G4)</f>
        <v>0.35</v>
      </c>
      <c r="R64" s="2">
        <f>IF(Scenarios!D14=1, Q64*H64, H64)</f>
        <v>1475395.7022684375</v>
      </c>
      <c r="S64" s="2">
        <f>IF(Scenarios!E14=1, Q64*I64, I64)</f>
        <v>1699288.4352975001</v>
      </c>
      <c r="T64" s="2">
        <f>IF(C64="FY2026", (Scenarios!D14+Scenarios!E14)*BaselineCalc!$B$22, 0)</f>
        <v>0</v>
      </c>
      <c r="U64" s="2">
        <f t="shared" si="13"/>
        <v>6706628.5111401081</v>
      </c>
      <c r="V64" s="2">
        <f t="shared" si="14"/>
        <v>0</v>
      </c>
      <c r="W64" s="2">
        <f>U64+V64+IF(Parameters_Public!$C$26=1, T64, 0)</f>
        <v>6706628.5111401081</v>
      </c>
      <c r="X64" s="2">
        <f t="shared" si="15"/>
        <v>12627.778869902966</v>
      </c>
      <c r="Y64" s="2">
        <f>INDEX(YearMap!$I$2:$I$6, MATCH(C64, YearMap!$A$2:$A$6, 0))</f>
        <v>5266.7831249999999</v>
      </c>
      <c r="Z64" s="2">
        <f>W64 - ((Y64 + IF(Parameters_Public!$C$20=1, Parameters_Public!$C$19, 0))*AC64)</f>
        <v>3510072.1259728586</v>
      </c>
      <c r="AA64" s="2">
        <f t="shared" si="16"/>
        <v>6609.0457449029655</v>
      </c>
      <c r="AB64">
        <f>MAX(0, (MAX(0, $D64-BaselineCalc!$B$7) + MAX(0, $E64-BaselineCalc!$B$8)))</f>
        <v>0</v>
      </c>
      <c r="AC64" s="11">
        <f t="shared" si="17"/>
        <v>531.10119999999995</v>
      </c>
      <c r="AD64" s="2">
        <f>( (Y64 + IF(Parameters_Public!$C20=1, INDEX(YearMap!$O$2:$O$6, MATCH(C64, YearMap!$A$2:$A$6, 0)), 0)) * AC64 ) + AC64*INDEX(YearMap!$P$2:$P$6, MATCH(C64, YearMap!$A$2:$A$6, 0)) + AB64*( INDEX(YearMap!$R$2:$R$6, MATCH(C64, YearMap!$A$2:$A$6, 0)) - INDEX(YearMap!$P$2:$P$6, MATCH(C64, YearMap!$A$2:$A$6, 0)) )</f>
        <v>6118312.6944013368</v>
      </c>
      <c r="AE64" s="2">
        <f>(W64 - (1-Parameters_Public!$C42)*$G64*$AB64*$J64*(1-$K64)) + AB64*INDEX(YearMap!$Q$2:$Q$6, MATCH(C64, YearMap!$A$2:$A$6, 0))</f>
        <v>6706628.5111401081</v>
      </c>
      <c r="AF64" s="2">
        <f t="shared" si="18"/>
        <v>-588315.81673877127</v>
      </c>
      <c r="AG64" t="str">
        <f t="shared" si="19"/>
        <v>E1_StatusQuo_Decline|FY2028</v>
      </c>
    </row>
    <row r="65" spans="1:33">
      <c r="A65" t="str">
        <f t="shared" si="10"/>
        <v>E1_StatusQuo_Decline|FY2029</v>
      </c>
      <c r="B65" t="str">
        <f>Scenarios!A14</f>
        <v>E1_StatusQuo_Decline</v>
      </c>
      <c r="C65" t="s">
        <v>89</v>
      </c>
      <c r="D65" s="11">
        <f>IF(Scenarios!D14=1,0, L65)</f>
        <v>241.88634399999998</v>
      </c>
      <c r="E65" s="11">
        <f>IF(Scenarios!E14=1,0, M65)</f>
        <v>278.59283199999999</v>
      </c>
      <c r="F65" s="11">
        <f t="shared" si="11"/>
        <v>520.47917599999994</v>
      </c>
      <c r="G65" s="2">
        <f>YearMap!B5</f>
        <v>6907.7272983046851</v>
      </c>
      <c r="H65" s="2">
        <f>YearMap!C5</f>
        <v>1512280.5948251483</v>
      </c>
      <c r="I65" s="2">
        <f>YearMap!D5</f>
        <v>1741770.6461799373</v>
      </c>
      <c r="J65">
        <f>1-BaselineCalc!$B$5</f>
        <v>0.99299999999999999</v>
      </c>
      <c r="K65">
        <f>Scenarios!G14</f>
        <v>0</v>
      </c>
      <c r="L65" s="11">
        <f>IF(Scenarios!$Q14=1,BaselineCalc!$B$7*(1+Parameters_Public!$C44)^(IF($C65="FY2026",0,IF($C65="FY2027",1,IF($C65="FY2028",2,IF($C65="FY2029",3,IF($C65="FY2030",4,0))))))+ROUND(Scenarios!L14*Scenarios!$F14,0),BaselineCalc!$B$7+ROUND(Scenarios!L14*Scenarios!$F14,0))</f>
        <v>241.88634399999998</v>
      </c>
      <c r="M65" s="11">
        <f>IF(Scenarios!$R14=1,BaselineCalc!$B$8*(1+Parameters_Public!$C45)^(IF($C65="FY2026",0,IF($C65="FY2027",1,IF($C65="FY2028",2,IF($C65="FY2029",3,IF($C65="FY2030",4,0))))))+Scenarios!L14-ROUND(Scenarios!L14*Scenarios!$F14,0),BaselineCalc!$B$8+Scenarios!L14-ROUND(Scenarios!L14*Scenarios!$F14,0))</f>
        <v>278.59283199999999</v>
      </c>
      <c r="N65" s="11">
        <f t="shared" si="12"/>
        <v>0</v>
      </c>
      <c r="O65" s="11">
        <f>(Parameters_Public!$C$23*(L65-D65)+Parameters_Public!$C$24*(M65-E65))</f>
        <v>0</v>
      </c>
      <c r="P65">
        <f>YearMap!E5</f>
        <v>500</v>
      </c>
      <c r="Q65">
        <f>IF(Scenarios!N14="lease", YearMap!F5, YearMap!G5)</f>
        <v>0.3</v>
      </c>
      <c r="R65" s="2">
        <f>IF(Scenarios!D14=1, Q65*H65, H65)</f>
        <v>1512280.5948251483</v>
      </c>
      <c r="S65" s="2">
        <f>IF(Scenarios!E14=1, Q65*I65, I65)</f>
        <v>1741770.6461799373</v>
      </c>
      <c r="T65" s="2">
        <f>IF(C65="FY2026", (Scenarios!D14+Scenarios!E14)*BaselineCalc!$B$22, 0)</f>
        <v>0</v>
      </c>
      <c r="U65" s="2">
        <f t="shared" si="13"/>
        <v>6801433.7970865984</v>
      </c>
      <c r="V65" s="2">
        <f t="shared" si="14"/>
        <v>0</v>
      </c>
      <c r="W65" s="2">
        <f>U65+V65+IF(Parameters_Public!$C$26=1, T65, 0)</f>
        <v>6801433.7970865984</v>
      </c>
      <c r="X65" s="2">
        <f t="shared" si="15"/>
        <v>13067.638650516537</v>
      </c>
      <c r="Y65" s="2">
        <f>INDEX(YearMap!$I$2:$I$6, MATCH(C65, YearMap!$A$2:$A$6, 0))</f>
        <v>5398.4527031249991</v>
      </c>
      <c r="Z65" s="2">
        <f>W65 - ((Y65 + IF(Parameters_Public!$C$20=1, Parameters_Public!$C$19, 0))*AC65)</f>
        <v>3600277.2660959265</v>
      </c>
      <c r="AA65" s="2">
        <f t="shared" si="16"/>
        <v>6917.2359473915376</v>
      </c>
      <c r="AB65">
        <f>MAX(0, (MAX(0, $D65-BaselineCalc!$B$7) + MAX(0, $E65-BaselineCalc!$B$8)))</f>
        <v>0</v>
      </c>
      <c r="AC65" s="11">
        <f t="shared" si="17"/>
        <v>520.47917599999994</v>
      </c>
      <c r="AD65" s="2">
        <f>( (Y65 + IF(Parameters_Public!$C20=1, INDEX(YearMap!$O$2:$O$6, MATCH(C65, YearMap!$A$2:$A$6, 0)), 0)) * AC65 ) + AC65*INDEX(YearMap!$P$2:$P$6, MATCH(C65, YearMap!$A$2:$A$6, 0)) + AB65*( INDEX(YearMap!$R$2:$R$6, MATCH(C65, YearMap!$A$2:$A$6, 0)) - INDEX(YearMap!$P$2:$P$6, MATCH(C65, YearMap!$A$2:$A$6, 0)) )</f>
        <v>6145845.1015261412</v>
      </c>
      <c r="AE65" s="2">
        <f>(W65 - (1-Parameters_Public!$C42)*$G65*$AB65*$J65*(1-$K65)) + AB65*INDEX(YearMap!$Q$2:$Q$6, MATCH(C65, YearMap!$A$2:$A$6, 0))</f>
        <v>6801433.7970865984</v>
      </c>
      <c r="AF65" s="2">
        <f t="shared" si="18"/>
        <v>-655588.69556045718</v>
      </c>
      <c r="AG65" t="str">
        <f t="shared" si="19"/>
        <v>E1_StatusQuo_Decline|FY2029</v>
      </c>
    </row>
    <row r="66" spans="1:33">
      <c r="A66" t="str">
        <f t="shared" si="10"/>
        <v>E1_StatusQuo_Decline|FY2030</v>
      </c>
      <c r="B66" t="str">
        <f>Scenarios!A14</f>
        <v>E1_StatusQuo_Decline</v>
      </c>
      <c r="C66" t="s">
        <v>90</v>
      </c>
      <c r="D66" s="11">
        <f>IF(Scenarios!D14=1,0, L66)</f>
        <v>237.04861711999996</v>
      </c>
      <c r="E66" s="11">
        <f>IF(Scenarios!E14=1,0, M66)</f>
        <v>273.02097535999997</v>
      </c>
      <c r="F66" s="11">
        <f t="shared" ref="F66:F97" si="20">D66+E66</f>
        <v>510.06959247999993</v>
      </c>
      <c r="G66" s="2">
        <f>YearMap!B6</f>
        <v>7080.4204807623018</v>
      </c>
      <c r="H66" s="2">
        <f>YearMap!C6</f>
        <v>1550087.6096957768</v>
      </c>
      <c r="I66" s="2">
        <f>YearMap!D6</f>
        <v>1785314.9123344356</v>
      </c>
      <c r="J66">
        <f>1-BaselineCalc!$B$5</f>
        <v>0.99299999999999999</v>
      </c>
      <c r="K66">
        <f>Scenarios!G14</f>
        <v>0</v>
      </c>
      <c r="L66" s="11">
        <f>IF(Scenarios!$Q14=1,BaselineCalc!$B$7*(1+Parameters_Public!$C44)^(IF($C66="FY2026",0,IF($C66="FY2027",1,IF($C66="FY2028",2,IF($C66="FY2029",3,IF($C66="FY2030",4,0))))))+ROUND(Scenarios!M14*Scenarios!$F14,0),BaselineCalc!$B$7+ROUND(Scenarios!M14*Scenarios!$F14,0))</f>
        <v>237.04861711999996</v>
      </c>
      <c r="M66" s="11">
        <f>IF(Scenarios!$R14=1,BaselineCalc!$B$8*(1+Parameters_Public!$C45)^(IF($C66="FY2026",0,IF($C66="FY2027",1,IF($C66="FY2028",2,IF($C66="FY2029",3,IF($C66="FY2030",4,0))))))+Scenarios!M14-ROUND(Scenarios!M14*Scenarios!$F14,0),BaselineCalc!$B$8+Scenarios!M14-ROUND(Scenarios!M14*Scenarios!$F14,0))</f>
        <v>273.02097535999997</v>
      </c>
      <c r="N66" s="11">
        <f t="shared" ref="N66:N97" si="21">(L66-D66) + (M66-E66)</f>
        <v>0</v>
      </c>
      <c r="O66" s="11">
        <f>(Parameters_Public!$C$23*(L66-D66)+Parameters_Public!$C$24*(M66-E66))</f>
        <v>0</v>
      </c>
      <c r="P66">
        <f>YearMap!E6</f>
        <v>300</v>
      </c>
      <c r="Q66">
        <f>IF(Scenarios!N14="lease", YearMap!F6, YearMap!G6)</f>
        <v>0.3</v>
      </c>
      <c r="R66" s="2">
        <f>IF(Scenarios!D14=1, Q66*H66, H66)</f>
        <v>1550087.6096957768</v>
      </c>
      <c r="S66" s="2">
        <f>IF(Scenarios!E14=1, Q66*I66, I66)</f>
        <v>1785314.9123344356</v>
      </c>
      <c r="T66" s="2">
        <f>IF(C66="FY2026", (Scenarios!D14+Scenarios!E14)*BaselineCalc!$B$22, 0)</f>
        <v>0</v>
      </c>
      <c r="U66" s="2">
        <f t="shared" si="13"/>
        <v>6898281.3432610063</v>
      </c>
      <c r="V66" s="2">
        <f t="shared" si="14"/>
        <v>0</v>
      </c>
      <c r="W66" s="2">
        <f>U66+V66+IF(Parameters_Public!$C$26=1, T66, 0)</f>
        <v>6898281.3432610063</v>
      </c>
      <c r="X66" s="2">
        <f t="shared" ref="X66:X97" si="22">IF(F66+O66&gt;0, W66/(F66+O66),"")</f>
        <v>13524.196393909702</v>
      </c>
      <c r="Y66" s="2">
        <f>INDEX(YearMap!$I$2:$I$6, MATCH(C66, YearMap!$A$2:$A$6, 0))</f>
        <v>5533.4140207031242</v>
      </c>
      <c r="Z66" s="2">
        <f>W66 - ((Y66 + IF(Parameters_Public!$C$20=1, Parameters_Public!$C$19, 0))*AC66)</f>
        <v>3692308.27863251</v>
      </c>
      <c r="AA66" s="2">
        <f t="shared" si="16"/>
        <v>7238.8323732065783</v>
      </c>
      <c r="AB66">
        <f>MAX(0, (MAX(0, $D66-BaselineCalc!$B$7) + MAX(0, $E66-BaselineCalc!$B$8)))</f>
        <v>0</v>
      </c>
      <c r="AC66" s="11">
        <f t="shared" si="17"/>
        <v>510.06959247999993</v>
      </c>
      <c r="AD66" s="2">
        <f>( (Y66 + IF(Parameters_Public!$C20=1, INDEX(YearMap!$O$2:$O$6, MATCH(C66, YearMap!$A$2:$A$6, 0)), 0)) * AC66 ) + AC66*INDEX(YearMap!$P$2:$P$6, MATCH(C66, YearMap!$A$2:$A$6, 0)) + AB66*( INDEX(YearMap!$R$2:$R$6, MATCH(C66, YearMap!$A$2:$A$6, 0)) - INDEX(YearMap!$P$2:$P$6, MATCH(C66, YearMap!$A$2:$A$6, 0)) )</f>
        <v>6173501.4044830091</v>
      </c>
      <c r="AE66" s="2">
        <f>(W66 - (1-Parameters_Public!$C42)*$G66*$AB66*$J66*(1-$K66)) + AB66*INDEX(YearMap!$Q$2:$Q$6, MATCH(C66, YearMap!$A$2:$A$6, 0))</f>
        <v>6898281.3432610063</v>
      </c>
      <c r="AF66" s="2">
        <f t="shared" ref="AF66:AF97" si="23">AD66-AE66</f>
        <v>-724779.93877799716</v>
      </c>
      <c r="AG66" t="str">
        <f t="shared" si="19"/>
        <v>E1_StatusQuo_Decline|FY2030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3"/>
  <sheetViews>
    <sheetView zoomScale="80" zoomScaleNormal="80" workbookViewId="0">
      <pane xSplit="1" ySplit="3" topLeftCell="B4" activePane="bottomRight" state="frozen"/>
      <selection pane="topRight" activeCell="B1" sqref="B1"/>
      <selection pane="bottomLeft" activeCell="A4" sqref="A4"/>
      <selection pane="bottomRight" activeCell="A4" sqref="A4"/>
    </sheetView>
  </sheetViews>
  <sheetFormatPr defaultRowHeight="14.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c r="A1" s="87" t="s">
        <v>219</v>
      </c>
      <c r="B1" s="87"/>
      <c r="C1" s="87"/>
      <c r="D1" s="87"/>
      <c r="E1" s="87"/>
      <c r="F1" s="87"/>
      <c r="G1" s="87"/>
      <c r="H1" s="87"/>
    </row>
    <row r="3" spans="1:8">
      <c r="A3" s="4" t="s">
        <v>153</v>
      </c>
      <c r="B3" s="4" t="s">
        <v>83</v>
      </c>
      <c r="C3" s="4" t="s">
        <v>220</v>
      </c>
      <c r="D3" s="4" t="s">
        <v>221</v>
      </c>
      <c r="E3" s="4" t="s">
        <v>222</v>
      </c>
      <c r="F3" s="4" t="s">
        <v>223</v>
      </c>
      <c r="G3" s="4" t="s">
        <v>224</v>
      </c>
      <c r="H3" s="4" t="s">
        <v>225</v>
      </c>
    </row>
    <row r="4" spans="1:8">
      <c r="A4" t="str">
        <f>Scenarios!$A$2</f>
        <v>F1_CUSTOM1</v>
      </c>
      <c r="B4" t="s">
        <v>86</v>
      </c>
      <c r="C4">
        <f>INDEX(Scenarios!$D:$D, MATCH($A4, Scenarios!$A:$A, 0)) + INDEX(Scenarios!$E:$E, MATCH($A4, Scenarios!$A:$A, 0))</f>
        <v>0</v>
      </c>
      <c r="D4">
        <f>IF($B4="FY2026",$C4*IF(INDEX(Scenarios!$N:$N, MATCH($A4, Scenarios!$A:$A, 0))="lease", Parameters_Public!$C$33, Parameters_Public!$C$31),0)</f>
        <v>0</v>
      </c>
      <c r="E4">
        <f>IF($B4="FY2026", IF(INDEX(Scenarios!$D:$D, MATCH($A4, Scenarios!$A:$A, 0))=0, IF(LEFT(INDEX(Scenarios!$O:$O, MATCH($A4, Scenarios!$A:$A, 0)),4)="Arts", Parameters_Public!$C$30, IF(LEFT(INDEX(Scenarios!$O:$O, MATCH($A4, Scenarios!$A:$A, 0)),5)="Innov", Parameters_Public!$C$31, 0)), 0), 0)</f>
        <v>0</v>
      </c>
      <c r="F4">
        <f>IF($B4="FY2026", IF(INDEX(Scenarios!$E:$E, MATCH($A4, Scenarios!$A:$A, 0))=0, IF(LEFT(INDEX(Scenarios!$P:$P, MATCH($A4, Scenarios!$A:$A, 0)),4)="Arts", Parameters_Public!$C$30, IF(LEFT(INDEX(Scenarios!$P:$P, MATCH($A4, Scenarios!$A:$A, 0)),5)="Innov", Parameters_Public!$C$31, 0)), 0), 0)</f>
        <v>0</v>
      </c>
      <c r="G4">
        <f>IF($B4="FY2026", INDEX(Receiving_Capacity!$L:$L, MATCH($A4, Receiving_Capacity!$A:$A, 0)), 0)</f>
        <v>0</v>
      </c>
      <c r="H4">
        <f t="shared" ref="H4:H35" si="0">SUM(D4:G4)</f>
        <v>0</v>
      </c>
    </row>
    <row r="5" spans="1:8">
      <c r="A5" t="str">
        <f>Scenarios!$A$2</f>
        <v>F1_CUSTOM1</v>
      </c>
      <c r="B5" t="s">
        <v>87</v>
      </c>
      <c r="C5">
        <f>INDEX(Scenarios!$D:$D, MATCH($A5, Scenarios!$A:$A, 0)) + INDEX(Scenarios!$E:$E, MATCH($A5, Scenarios!$A:$A, 0))</f>
        <v>0</v>
      </c>
      <c r="D5">
        <f>IF($B5="FY2026",$C5*IF(INDEX(Scenarios!$N:$N, MATCH($A5, Scenarios!$A:$A, 0))="lease", Parameters_Public!$C$33, Parameters_Public!$C$31),0)</f>
        <v>0</v>
      </c>
      <c r="E5">
        <f>IF($B5="FY2026", IF(INDEX(Scenarios!$D:$D, MATCH($A5, Scenarios!$A:$A, 0))=0, IF(LEFT(INDEX(Scenarios!$O:$O, MATCH($A5, Scenarios!$A:$A, 0)),4)="Arts", Parameters_Public!$C$30, IF(LEFT(INDEX(Scenarios!$O:$O, MATCH($A5, Scenarios!$A:$A, 0)),5)="Innov", Parameters_Public!$C$31, 0)), 0), 0)</f>
        <v>0</v>
      </c>
      <c r="F5">
        <f>IF($B5="FY2026", IF(INDEX(Scenarios!$E:$E, MATCH($A5, Scenarios!$A:$A, 0))=0, IF(LEFT(INDEX(Scenarios!$P:$P, MATCH($A5, Scenarios!$A:$A, 0)),4)="Arts", Parameters_Public!$C$30, IF(LEFT(INDEX(Scenarios!$P:$P, MATCH($A5, Scenarios!$A:$A, 0)),5)="Innov", Parameters_Public!$C$31, 0)), 0), 0)</f>
        <v>0</v>
      </c>
      <c r="G5">
        <f>IF($B5="FY2026", INDEX(Receiving_Capacity!$L:$L, MATCH($A5, Receiving_Capacity!$A:$A, 0)), 0)</f>
        <v>0</v>
      </c>
      <c r="H5">
        <f t="shared" si="0"/>
        <v>0</v>
      </c>
    </row>
    <row r="6" spans="1:8">
      <c r="A6" t="str">
        <f>Scenarios!$A$2</f>
        <v>F1_CUSTOM1</v>
      </c>
      <c r="B6" t="s">
        <v>88</v>
      </c>
      <c r="C6">
        <f>INDEX(Scenarios!$D:$D, MATCH($A6, Scenarios!$A:$A, 0)) + INDEX(Scenarios!$E:$E, MATCH($A6, Scenarios!$A:$A, 0))</f>
        <v>0</v>
      </c>
      <c r="D6">
        <f>IF($B6="FY2026",$C6*IF(INDEX(Scenarios!$N:$N, MATCH($A6, Scenarios!$A:$A, 0))="lease", Parameters_Public!$C$33, Parameters_Public!$C$31),0)</f>
        <v>0</v>
      </c>
      <c r="E6">
        <f>IF($B6="FY2026", IF(INDEX(Scenarios!$D:$D, MATCH($A6, Scenarios!$A:$A, 0))=0, IF(LEFT(INDEX(Scenarios!$O:$O, MATCH($A6, Scenarios!$A:$A, 0)),4)="Arts", Parameters_Public!$C$30, IF(LEFT(INDEX(Scenarios!$O:$O, MATCH($A6, Scenarios!$A:$A, 0)),5)="Innov", Parameters_Public!$C$31, 0)), 0), 0)</f>
        <v>0</v>
      </c>
      <c r="F6">
        <f>IF($B6="FY2026", IF(INDEX(Scenarios!$E:$E, MATCH($A6, Scenarios!$A:$A, 0))=0, IF(LEFT(INDEX(Scenarios!$P:$P, MATCH($A6, Scenarios!$A:$A, 0)),4)="Arts", Parameters_Public!$C$30, IF(LEFT(INDEX(Scenarios!$P:$P, MATCH($A6, Scenarios!$A:$A, 0)),5)="Innov", Parameters_Public!$C$31, 0)), 0), 0)</f>
        <v>0</v>
      </c>
      <c r="G6">
        <f>IF($B6="FY2026", INDEX(Receiving_Capacity!$L:$L, MATCH($A6, Receiving_Capacity!$A:$A, 0)), 0)</f>
        <v>0</v>
      </c>
      <c r="H6">
        <f t="shared" si="0"/>
        <v>0</v>
      </c>
    </row>
    <row r="7" spans="1:8">
      <c r="A7" t="str">
        <f>Scenarios!$A$2</f>
        <v>F1_CUSTOM1</v>
      </c>
      <c r="B7" t="s">
        <v>89</v>
      </c>
      <c r="C7">
        <f>INDEX(Scenarios!$D:$D, MATCH($A7, Scenarios!$A:$A, 0)) + INDEX(Scenarios!$E:$E, MATCH($A7, Scenarios!$A:$A, 0))</f>
        <v>0</v>
      </c>
      <c r="D7">
        <f>IF($B7="FY2026",$C7*IF(INDEX(Scenarios!$N:$N, MATCH($A7, Scenarios!$A:$A, 0))="lease", Parameters_Public!$C$33, Parameters_Public!$C$31),0)</f>
        <v>0</v>
      </c>
      <c r="E7">
        <f>IF($B7="FY2026", IF(INDEX(Scenarios!$D:$D, MATCH($A7, Scenarios!$A:$A, 0))=0, IF(LEFT(INDEX(Scenarios!$O:$O, MATCH($A7, Scenarios!$A:$A, 0)),4)="Arts", Parameters_Public!$C$30, IF(LEFT(INDEX(Scenarios!$O:$O, MATCH($A7, Scenarios!$A:$A, 0)),5)="Innov", Parameters_Public!$C$31, 0)), 0), 0)</f>
        <v>0</v>
      </c>
      <c r="F7">
        <f>IF($B7="FY2026", IF(INDEX(Scenarios!$E:$E, MATCH($A7, Scenarios!$A:$A, 0))=0, IF(LEFT(INDEX(Scenarios!$P:$P, MATCH($A7, Scenarios!$A:$A, 0)),4)="Arts", Parameters_Public!$C$30, IF(LEFT(INDEX(Scenarios!$P:$P, MATCH($A7, Scenarios!$A:$A, 0)),5)="Innov", Parameters_Public!$C$31, 0)), 0), 0)</f>
        <v>0</v>
      </c>
      <c r="G7">
        <f>IF($B7="FY2026", INDEX(Receiving_Capacity!$L:$L, MATCH($A7, Receiving_Capacity!$A:$A, 0)), 0)</f>
        <v>0</v>
      </c>
      <c r="H7">
        <f t="shared" si="0"/>
        <v>0</v>
      </c>
    </row>
    <row r="8" spans="1:8">
      <c r="A8" t="str">
        <f>Scenarios!$A$2</f>
        <v>F1_CUSTOM1</v>
      </c>
      <c r="B8" t="s">
        <v>90</v>
      </c>
      <c r="C8">
        <f>INDEX(Scenarios!$D:$D, MATCH($A8, Scenarios!$A:$A, 0)) + INDEX(Scenarios!$E:$E, MATCH($A8, Scenarios!$A:$A, 0))</f>
        <v>0</v>
      </c>
      <c r="D8">
        <f>IF($B8="FY2026",$C8*IF(INDEX(Scenarios!$N:$N, MATCH($A8, Scenarios!$A:$A, 0))="lease", Parameters_Public!$C$33, Parameters_Public!$C$31),0)</f>
        <v>0</v>
      </c>
      <c r="E8">
        <f>IF($B8="FY2026", IF(INDEX(Scenarios!$D:$D, MATCH($A8, Scenarios!$A:$A, 0))=0, IF(LEFT(INDEX(Scenarios!$O:$O, MATCH($A8, Scenarios!$A:$A, 0)),4)="Arts", Parameters_Public!$C$30, IF(LEFT(INDEX(Scenarios!$O:$O, MATCH($A8, Scenarios!$A:$A, 0)),5)="Innov", Parameters_Public!$C$31, 0)), 0), 0)</f>
        <v>0</v>
      </c>
      <c r="F8">
        <f>IF($B8="FY2026", IF(INDEX(Scenarios!$E:$E, MATCH($A8, Scenarios!$A:$A, 0))=0, IF(LEFT(INDEX(Scenarios!$P:$P, MATCH($A8, Scenarios!$A:$A, 0)),4)="Arts", Parameters_Public!$C$30, IF(LEFT(INDEX(Scenarios!$P:$P, MATCH($A8, Scenarios!$A:$A, 0)),5)="Innov", Parameters_Public!$C$31, 0)), 0), 0)</f>
        <v>0</v>
      </c>
      <c r="G8">
        <f>IF($B8="FY2026", INDEX(Receiving_Capacity!$L:$L, MATCH($A8, Receiving_Capacity!$A:$A, 0)), 0)</f>
        <v>0</v>
      </c>
      <c r="H8">
        <f t="shared" si="0"/>
        <v>0</v>
      </c>
    </row>
    <row r="9" spans="1:8">
      <c r="A9" t="str">
        <f>Scenarios!$A$3</f>
        <v>E3_StatusQuo_Targets</v>
      </c>
      <c r="B9" t="s">
        <v>86</v>
      </c>
      <c r="C9">
        <f>INDEX(Scenarios!$D:$D, MATCH($A9, Scenarios!$A:$A, 0)) + INDEX(Scenarios!$E:$E, MATCH($A9, Scenarios!$A:$A, 0))</f>
        <v>0</v>
      </c>
      <c r="D9">
        <f>IF($B9="FY2026",$C9*IF(INDEX(Scenarios!$N:$N, MATCH($A9, Scenarios!$A:$A, 0))="lease", Parameters_Public!$C$33, Parameters_Public!$C$31),0)</f>
        <v>0</v>
      </c>
      <c r="E9">
        <f>IF($B9="FY2026", IF(INDEX(Scenarios!$D:$D, MATCH($A9, Scenarios!$A:$A, 0))=0, IF(LEFT(INDEX(Scenarios!$O:$O, MATCH($A9, Scenarios!$A:$A, 0)),4)="Arts", Parameters_Public!$C$30, IF(LEFT(INDEX(Scenarios!$O:$O, MATCH($A9, Scenarios!$A:$A, 0)),5)="Innov", Parameters_Public!$C$31, 0)), 0), 0)</f>
        <v>0</v>
      </c>
      <c r="F9">
        <f>IF($B9="FY2026", IF(INDEX(Scenarios!$E:$E, MATCH($A9, Scenarios!$A:$A, 0))=0, IF(LEFT(INDEX(Scenarios!$P:$P, MATCH($A9, Scenarios!$A:$A, 0)),4)="Arts", Parameters_Public!$C$30, IF(LEFT(INDEX(Scenarios!$P:$P, MATCH($A9, Scenarios!$A:$A, 0)),5)="Innov", Parameters_Public!$C$31, 0)), 0), 0)</f>
        <v>0</v>
      </c>
      <c r="G9">
        <f>IF($B9="FY2026", INDEX(Receiving_Capacity!$L:$L, MATCH($A9, Receiving_Capacity!$A:$A, 0)), 0)</f>
        <v>0</v>
      </c>
      <c r="H9">
        <f t="shared" si="0"/>
        <v>0</v>
      </c>
    </row>
    <row r="10" spans="1:8">
      <c r="A10" t="str">
        <f>Scenarios!$A$3</f>
        <v>E3_StatusQuo_Targets</v>
      </c>
      <c r="B10" t="s">
        <v>87</v>
      </c>
      <c r="C10">
        <f>INDEX(Scenarios!$D:$D, MATCH($A10, Scenarios!$A:$A, 0)) + INDEX(Scenarios!$E:$E, MATCH($A10, Scenarios!$A:$A, 0))</f>
        <v>0</v>
      </c>
      <c r="D10">
        <f>IF($B10="FY2026",$C10*IF(INDEX(Scenarios!$N:$N, MATCH($A10, Scenarios!$A:$A, 0))="lease", Parameters_Public!$C$33, Parameters_Public!$C$31),0)</f>
        <v>0</v>
      </c>
      <c r="E10">
        <f>IF($B10="FY2026", IF(INDEX(Scenarios!$D:$D, MATCH($A10, Scenarios!$A:$A, 0))=0, IF(LEFT(INDEX(Scenarios!$O:$O, MATCH($A10, Scenarios!$A:$A, 0)),4)="Arts", Parameters_Public!$C$30, IF(LEFT(INDEX(Scenarios!$O:$O, MATCH($A10, Scenarios!$A:$A, 0)),5)="Innov", Parameters_Public!$C$31, 0)), 0), 0)</f>
        <v>0</v>
      </c>
      <c r="F10">
        <f>IF($B10="FY2026", IF(INDEX(Scenarios!$E:$E, MATCH($A10, Scenarios!$A:$A, 0))=0, IF(LEFT(INDEX(Scenarios!$P:$P, MATCH($A10, Scenarios!$A:$A, 0)),4)="Arts", Parameters_Public!$C$30, IF(LEFT(INDEX(Scenarios!$P:$P, MATCH($A10, Scenarios!$A:$A, 0)),5)="Innov", Parameters_Public!$C$31, 0)), 0), 0)</f>
        <v>0</v>
      </c>
      <c r="G10">
        <f>IF($B10="FY2026", INDEX(Receiving_Capacity!$L:$L, MATCH($A10, Receiving_Capacity!$A:$A, 0)), 0)</f>
        <v>0</v>
      </c>
      <c r="H10">
        <f t="shared" si="0"/>
        <v>0</v>
      </c>
    </row>
    <row r="11" spans="1:8">
      <c r="A11" t="str">
        <f>Scenarios!$A$3</f>
        <v>E3_StatusQuo_Targets</v>
      </c>
      <c r="B11" t="s">
        <v>88</v>
      </c>
      <c r="C11">
        <f>INDEX(Scenarios!$D:$D, MATCH($A11, Scenarios!$A:$A, 0)) + INDEX(Scenarios!$E:$E, MATCH($A11, Scenarios!$A:$A, 0))</f>
        <v>0</v>
      </c>
      <c r="D11">
        <f>IF($B11="FY2026",$C11*IF(INDEX(Scenarios!$N:$N, MATCH($A11, Scenarios!$A:$A, 0))="lease", Parameters_Public!$C$33, Parameters_Public!$C$31),0)</f>
        <v>0</v>
      </c>
      <c r="E11">
        <f>IF($B11="FY2026", IF(INDEX(Scenarios!$D:$D, MATCH($A11, Scenarios!$A:$A, 0))=0, IF(LEFT(INDEX(Scenarios!$O:$O, MATCH($A11, Scenarios!$A:$A, 0)),4)="Arts", Parameters_Public!$C$30, IF(LEFT(INDEX(Scenarios!$O:$O, MATCH($A11, Scenarios!$A:$A, 0)),5)="Innov", Parameters_Public!$C$31, 0)), 0), 0)</f>
        <v>0</v>
      </c>
      <c r="F11">
        <f>IF($B11="FY2026", IF(INDEX(Scenarios!$E:$E, MATCH($A11, Scenarios!$A:$A, 0))=0, IF(LEFT(INDEX(Scenarios!$P:$P, MATCH($A11, Scenarios!$A:$A, 0)),4)="Arts", Parameters_Public!$C$30, IF(LEFT(INDEX(Scenarios!$P:$P, MATCH($A11, Scenarios!$A:$A, 0)),5)="Innov", Parameters_Public!$C$31, 0)), 0), 0)</f>
        <v>0</v>
      </c>
      <c r="G11">
        <f>IF($B11="FY2026", INDEX(Receiving_Capacity!$L:$L, MATCH($A11, Receiving_Capacity!$A:$A, 0)), 0)</f>
        <v>0</v>
      </c>
      <c r="H11">
        <f t="shared" si="0"/>
        <v>0</v>
      </c>
    </row>
    <row r="12" spans="1:8">
      <c r="A12" t="str">
        <f>Scenarios!$A$3</f>
        <v>E3_StatusQuo_Targets</v>
      </c>
      <c r="B12" t="s">
        <v>89</v>
      </c>
      <c r="C12">
        <f>INDEX(Scenarios!$D:$D, MATCH($A12, Scenarios!$A:$A, 0)) + INDEX(Scenarios!$E:$E, MATCH($A12, Scenarios!$A:$A, 0))</f>
        <v>0</v>
      </c>
      <c r="D12">
        <f>IF($B12="FY2026",$C12*IF(INDEX(Scenarios!$N:$N, MATCH($A12, Scenarios!$A:$A, 0))="lease", Parameters_Public!$C$33, Parameters_Public!$C$31),0)</f>
        <v>0</v>
      </c>
      <c r="E12">
        <f>IF($B12="FY2026", IF(INDEX(Scenarios!$D:$D, MATCH($A12, Scenarios!$A:$A, 0))=0, IF(LEFT(INDEX(Scenarios!$O:$O, MATCH($A12, Scenarios!$A:$A, 0)),4)="Arts", Parameters_Public!$C$30, IF(LEFT(INDEX(Scenarios!$O:$O, MATCH($A12, Scenarios!$A:$A, 0)),5)="Innov", Parameters_Public!$C$31, 0)), 0), 0)</f>
        <v>0</v>
      </c>
      <c r="F12">
        <f>IF($B12="FY2026", IF(INDEX(Scenarios!$E:$E, MATCH($A12, Scenarios!$A:$A, 0))=0, IF(LEFT(INDEX(Scenarios!$P:$P, MATCH($A12, Scenarios!$A:$A, 0)),4)="Arts", Parameters_Public!$C$30, IF(LEFT(INDEX(Scenarios!$P:$P, MATCH($A12, Scenarios!$A:$A, 0)),5)="Innov", Parameters_Public!$C$31, 0)), 0), 0)</f>
        <v>0</v>
      </c>
      <c r="G12">
        <f>IF($B12="FY2026", INDEX(Receiving_Capacity!$L:$L, MATCH($A12, Receiving_Capacity!$A:$A, 0)), 0)</f>
        <v>0</v>
      </c>
      <c r="H12">
        <f t="shared" si="0"/>
        <v>0</v>
      </c>
    </row>
    <row r="13" spans="1:8">
      <c r="A13" t="str">
        <f>Scenarios!$A$3</f>
        <v>E3_StatusQuo_Targets</v>
      </c>
      <c r="B13" t="s">
        <v>90</v>
      </c>
      <c r="C13">
        <f>INDEX(Scenarios!$D:$D, MATCH($A13, Scenarios!$A:$A, 0)) + INDEX(Scenarios!$E:$E, MATCH($A13, Scenarios!$A:$A, 0))</f>
        <v>0</v>
      </c>
      <c r="D13">
        <f>IF($B13="FY2026",$C13*IF(INDEX(Scenarios!$N:$N, MATCH($A13, Scenarios!$A:$A, 0))="lease", Parameters_Public!$C$33, Parameters_Public!$C$31),0)</f>
        <v>0</v>
      </c>
      <c r="E13">
        <f>IF($B13="FY2026", IF(INDEX(Scenarios!$D:$D, MATCH($A13, Scenarios!$A:$A, 0))=0, IF(LEFT(INDEX(Scenarios!$O:$O, MATCH($A13, Scenarios!$A:$A, 0)),4)="Arts", Parameters_Public!$C$30, IF(LEFT(INDEX(Scenarios!$O:$O, MATCH($A13, Scenarios!$A:$A, 0)),5)="Innov", Parameters_Public!$C$31, 0)), 0), 0)</f>
        <v>0</v>
      </c>
      <c r="F13">
        <f>IF($B13="FY2026", IF(INDEX(Scenarios!$E:$E, MATCH($A13, Scenarios!$A:$A, 0))=0, IF(LEFT(INDEX(Scenarios!$P:$P, MATCH($A13, Scenarios!$A:$A, 0)),4)="Arts", Parameters_Public!$C$30, IF(LEFT(INDEX(Scenarios!$P:$P, MATCH($A13, Scenarios!$A:$A, 0)),5)="Innov", Parameters_Public!$C$31, 0)), 0), 0)</f>
        <v>0</v>
      </c>
      <c r="G13">
        <f>IF($B13="FY2026", INDEX(Receiving_Capacity!$L:$L, MATCH($A13, Receiving_Capacity!$A:$A, 0)), 0)</f>
        <v>0</v>
      </c>
      <c r="H13">
        <f t="shared" si="0"/>
        <v>0</v>
      </c>
    </row>
    <row r="14" spans="1:8">
      <c r="A14" t="str">
        <f>Scenarios!$A$4</f>
        <v>D3_CoLocation_Echo_Targets</v>
      </c>
      <c r="B14" t="s">
        <v>86</v>
      </c>
      <c r="C14">
        <f>INDEX(Scenarios!$D:$D, MATCH($A14, Scenarios!$A:$A, 0)) + INDEX(Scenarios!$E:$E, MATCH($A14, Scenarios!$A:$A, 0))</f>
        <v>0</v>
      </c>
      <c r="D14">
        <f>IF($B14="FY2026",$C14*IF(INDEX(Scenarios!$N:$N, MATCH($A14, Scenarios!$A:$A, 0))="lease", Parameters_Public!$C$33, Parameters_Public!$C$31),0)</f>
        <v>0</v>
      </c>
      <c r="E14">
        <f>IF($B14="FY2026", IF(INDEX(Scenarios!$D:$D, MATCH($A14, Scenarios!$A:$A, 0))=0, IF(LEFT(INDEX(Scenarios!$O:$O, MATCH($A14, Scenarios!$A:$A, 0)),4)="Arts", Parameters_Public!$C$30, IF(LEFT(INDEX(Scenarios!$O:$O, MATCH($A14, Scenarios!$A:$A, 0)),5)="Innov", Parameters_Public!$C$31, 0)), 0), 0)</f>
        <v>0</v>
      </c>
      <c r="F14">
        <f>IF($B14="FY2026", IF(INDEX(Scenarios!$E:$E, MATCH($A14, Scenarios!$A:$A, 0))=0, IF(LEFT(INDEX(Scenarios!$P:$P, MATCH($A14, Scenarios!$A:$A, 0)),4)="Arts", Parameters_Public!$C$30, IF(LEFT(INDEX(Scenarios!$P:$P, MATCH($A14, Scenarios!$A:$A, 0)),5)="Innov", Parameters_Public!$C$31, 0)), 0), 0)</f>
        <v>0</v>
      </c>
      <c r="G14">
        <f>IF($B14="FY2026", INDEX(Receiving_Capacity!$L:$L, MATCH($A14, Receiving_Capacity!$A:$A, 0)), 0)</f>
        <v>0</v>
      </c>
      <c r="H14">
        <f t="shared" si="0"/>
        <v>0</v>
      </c>
    </row>
    <row r="15" spans="1:8">
      <c r="A15" t="str">
        <f>Scenarios!$A$4</f>
        <v>D3_CoLocation_Echo_Targets</v>
      </c>
      <c r="B15" t="s">
        <v>87</v>
      </c>
      <c r="C15">
        <f>INDEX(Scenarios!$D:$D, MATCH($A15, Scenarios!$A:$A, 0)) + INDEX(Scenarios!$E:$E, MATCH($A15, Scenarios!$A:$A, 0))</f>
        <v>0</v>
      </c>
      <c r="D15">
        <f>IF($B15="FY2026",$C15*IF(INDEX(Scenarios!$N:$N, MATCH($A15, Scenarios!$A:$A, 0))="lease", Parameters_Public!$C$33, Parameters_Public!$C$31),0)</f>
        <v>0</v>
      </c>
      <c r="E15">
        <f>IF($B15="FY2026", IF(INDEX(Scenarios!$D:$D, MATCH($A15, Scenarios!$A:$A, 0))=0, IF(LEFT(INDEX(Scenarios!$O:$O, MATCH($A15, Scenarios!$A:$A, 0)),4)="Arts", Parameters_Public!$C$30, IF(LEFT(INDEX(Scenarios!$O:$O, MATCH($A15, Scenarios!$A:$A, 0)),5)="Innov", Parameters_Public!$C$31, 0)), 0), 0)</f>
        <v>0</v>
      </c>
      <c r="F15">
        <f>IF($B15="FY2026", IF(INDEX(Scenarios!$E:$E, MATCH($A15, Scenarios!$A:$A, 0))=0, IF(LEFT(INDEX(Scenarios!$P:$P, MATCH($A15, Scenarios!$A:$A, 0)),4)="Arts", Parameters_Public!$C$30, IF(LEFT(INDEX(Scenarios!$P:$P, MATCH($A15, Scenarios!$A:$A, 0)),5)="Innov", Parameters_Public!$C$31, 0)), 0), 0)</f>
        <v>0</v>
      </c>
      <c r="G15">
        <f>IF($B15="FY2026", INDEX(Receiving_Capacity!$L:$L, MATCH($A15, Receiving_Capacity!$A:$A, 0)), 0)</f>
        <v>0</v>
      </c>
      <c r="H15">
        <f t="shared" si="0"/>
        <v>0</v>
      </c>
    </row>
    <row r="16" spans="1:8">
      <c r="A16" t="str">
        <f>Scenarios!$A$4</f>
        <v>D3_CoLocation_Echo_Targets</v>
      </c>
      <c r="B16" t="s">
        <v>88</v>
      </c>
      <c r="C16">
        <f>INDEX(Scenarios!$D:$D, MATCH($A16, Scenarios!$A:$A, 0)) + INDEX(Scenarios!$E:$E, MATCH($A16, Scenarios!$A:$A, 0))</f>
        <v>0</v>
      </c>
      <c r="D16">
        <f>IF($B16="FY2026",$C16*IF(INDEX(Scenarios!$N:$N, MATCH($A16, Scenarios!$A:$A, 0))="lease", Parameters_Public!$C$33, Parameters_Public!$C$31),0)</f>
        <v>0</v>
      </c>
      <c r="E16">
        <f>IF($B16="FY2026", IF(INDEX(Scenarios!$D:$D, MATCH($A16, Scenarios!$A:$A, 0))=0, IF(LEFT(INDEX(Scenarios!$O:$O, MATCH($A16, Scenarios!$A:$A, 0)),4)="Arts", Parameters_Public!$C$30, IF(LEFT(INDEX(Scenarios!$O:$O, MATCH($A16, Scenarios!$A:$A, 0)),5)="Innov", Parameters_Public!$C$31, 0)), 0), 0)</f>
        <v>0</v>
      </c>
      <c r="F16">
        <f>IF($B16="FY2026", IF(INDEX(Scenarios!$E:$E, MATCH($A16, Scenarios!$A:$A, 0))=0, IF(LEFT(INDEX(Scenarios!$P:$P, MATCH($A16, Scenarios!$A:$A, 0)),4)="Arts", Parameters_Public!$C$30, IF(LEFT(INDEX(Scenarios!$P:$P, MATCH($A16, Scenarios!$A:$A, 0)),5)="Innov", Parameters_Public!$C$31, 0)), 0), 0)</f>
        <v>0</v>
      </c>
      <c r="G16">
        <f>IF($B16="FY2026", INDEX(Receiving_Capacity!$L:$L, MATCH($A16, Receiving_Capacity!$A:$A, 0)), 0)</f>
        <v>0</v>
      </c>
      <c r="H16">
        <f t="shared" si="0"/>
        <v>0</v>
      </c>
    </row>
    <row r="17" spans="1:8">
      <c r="A17" t="str">
        <f>Scenarios!$A$4</f>
        <v>D3_CoLocation_Echo_Targets</v>
      </c>
      <c r="B17" t="s">
        <v>89</v>
      </c>
      <c r="C17">
        <f>INDEX(Scenarios!$D:$D, MATCH($A17, Scenarios!$A:$A, 0)) + INDEX(Scenarios!$E:$E, MATCH($A17, Scenarios!$A:$A, 0))</f>
        <v>0</v>
      </c>
      <c r="D17">
        <f>IF($B17="FY2026",$C17*IF(INDEX(Scenarios!$N:$N, MATCH($A17, Scenarios!$A:$A, 0))="lease", Parameters_Public!$C$33, Parameters_Public!$C$31),0)</f>
        <v>0</v>
      </c>
      <c r="E17">
        <f>IF($B17="FY2026", IF(INDEX(Scenarios!$D:$D, MATCH($A17, Scenarios!$A:$A, 0))=0, IF(LEFT(INDEX(Scenarios!$O:$O, MATCH($A17, Scenarios!$A:$A, 0)),4)="Arts", Parameters_Public!$C$30, IF(LEFT(INDEX(Scenarios!$O:$O, MATCH($A17, Scenarios!$A:$A, 0)),5)="Innov", Parameters_Public!$C$31, 0)), 0), 0)</f>
        <v>0</v>
      </c>
      <c r="F17">
        <f>IF($B17="FY2026", IF(INDEX(Scenarios!$E:$E, MATCH($A17, Scenarios!$A:$A, 0))=0, IF(LEFT(INDEX(Scenarios!$P:$P, MATCH($A17, Scenarios!$A:$A, 0)),4)="Arts", Parameters_Public!$C$30, IF(LEFT(INDEX(Scenarios!$P:$P, MATCH($A17, Scenarios!$A:$A, 0)),5)="Innov", Parameters_Public!$C$31, 0)), 0), 0)</f>
        <v>0</v>
      </c>
      <c r="G17">
        <f>IF($B17="FY2026", INDEX(Receiving_Capacity!$L:$L, MATCH($A17, Receiving_Capacity!$A:$A, 0)), 0)</f>
        <v>0</v>
      </c>
      <c r="H17">
        <f t="shared" si="0"/>
        <v>0</v>
      </c>
    </row>
    <row r="18" spans="1:8">
      <c r="A18" t="str">
        <f>Scenarios!$A$4</f>
        <v>D3_CoLocation_Echo_Targets</v>
      </c>
      <c r="B18" t="s">
        <v>90</v>
      </c>
      <c r="C18">
        <f>INDEX(Scenarios!$D:$D, MATCH($A18, Scenarios!$A:$A, 0)) + INDEX(Scenarios!$E:$E, MATCH($A18, Scenarios!$A:$A, 0))</f>
        <v>0</v>
      </c>
      <c r="D18">
        <f>IF($B18="FY2026",$C18*IF(INDEX(Scenarios!$N:$N, MATCH($A18, Scenarios!$A:$A, 0))="lease", Parameters_Public!$C$33, Parameters_Public!$C$31),0)</f>
        <v>0</v>
      </c>
      <c r="E18">
        <f>IF($B18="FY2026", IF(INDEX(Scenarios!$D:$D, MATCH($A18, Scenarios!$A:$A, 0))=0, IF(LEFT(INDEX(Scenarios!$O:$O, MATCH($A18, Scenarios!$A:$A, 0)),4)="Arts", Parameters_Public!$C$30, IF(LEFT(INDEX(Scenarios!$O:$O, MATCH($A18, Scenarios!$A:$A, 0)),5)="Innov", Parameters_Public!$C$31, 0)), 0), 0)</f>
        <v>0</v>
      </c>
      <c r="F18">
        <f>IF($B18="FY2026", IF(INDEX(Scenarios!$E:$E, MATCH($A18, Scenarios!$A:$A, 0))=0, IF(LEFT(INDEX(Scenarios!$P:$P, MATCH($A18, Scenarios!$A:$A, 0)),4)="Arts", Parameters_Public!$C$30, IF(LEFT(INDEX(Scenarios!$P:$P, MATCH($A18, Scenarios!$A:$A, 0)),5)="Innov", Parameters_Public!$C$31, 0)), 0), 0)</f>
        <v>0</v>
      </c>
      <c r="G18">
        <f>IF($B18="FY2026", INDEX(Receiving_Capacity!$L:$L, MATCH($A18, Receiving_Capacity!$A:$A, 0)), 0)</f>
        <v>0</v>
      </c>
      <c r="H18">
        <f t="shared" si="0"/>
        <v>0</v>
      </c>
    </row>
    <row r="19" spans="1:8">
      <c r="A19" t="str">
        <f>Scenarios!$A$5</f>
        <v>D1_Grow_Both_Targets</v>
      </c>
      <c r="B19" t="s">
        <v>86</v>
      </c>
      <c r="C19">
        <f>INDEX(Scenarios!$D:$D, MATCH($A19, Scenarios!$A:$A, 0)) + INDEX(Scenarios!$E:$E, MATCH($A19, Scenarios!$A:$A, 0))</f>
        <v>0</v>
      </c>
      <c r="D19">
        <f>IF($B19="FY2026",$C19*IF(INDEX(Scenarios!$N:$N, MATCH($A19, Scenarios!$A:$A, 0))="lease", Parameters_Public!$C$33, Parameters_Public!$C$31),0)</f>
        <v>0</v>
      </c>
      <c r="E19">
        <f>IF($B19="FY2026", IF(INDEX(Scenarios!$D:$D, MATCH($A19, Scenarios!$A:$A, 0))=0, IF(LEFT(INDEX(Scenarios!$O:$O, MATCH($A19, Scenarios!$A:$A, 0)),4)="Arts", Parameters_Public!$C$30, IF(LEFT(INDEX(Scenarios!$O:$O, MATCH($A19, Scenarios!$A:$A, 0)),5)="Innov", Parameters_Public!$C$31, 0)), 0), 0)</f>
        <v>1200000</v>
      </c>
      <c r="F19">
        <f>IF($B19="FY2026", IF(INDEX(Scenarios!$E:$E, MATCH($A19, Scenarios!$A:$A, 0))=0, IF(LEFT(INDEX(Scenarios!$P:$P, MATCH($A19, Scenarios!$A:$A, 0)),4)="Arts", Parameters_Public!$C$30, IF(LEFT(INDEX(Scenarios!$P:$P, MATCH($A19, Scenarios!$A:$A, 0)),5)="Innov", Parameters_Public!$C$31, 0)), 0), 0)</f>
        <v>800000</v>
      </c>
      <c r="G19">
        <f>IF($B19="FY2026", INDEX(Receiving_Capacity!$L:$L, MATCH($A19, Receiving_Capacity!$A:$A, 0)), 0)</f>
        <v>0</v>
      </c>
      <c r="H19">
        <f t="shared" si="0"/>
        <v>2000000</v>
      </c>
    </row>
    <row r="20" spans="1:8">
      <c r="A20" t="str">
        <f>Scenarios!$A$5</f>
        <v>D1_Grow_Both_Targets</v>
      </c>
      <c r="B20" t="s">
        <v>87</v>
      </c>
      <c r="C20">
        <f>INDEX(Scenarios!$D:$D, MATCH($A20, Scenarios!$A:$A, 0)) + INDEX(Scenarios!$E:$E, MATCH($A20, Scenarios!$A:$A, 0))</f>
        <v>0</v>
      </c>
      <c r="D20">
        <f>IF($B20="FY2026",$C20*IF(INDEX(Scenarios!$N:$N, MATCH($A20, Scenarios!$A:$A, 0))="lease", Parameters_Public!$C$33, Parameters_Public!$C$31),0)</f>
        <v>0</v>
      </c>
      <c r="E20">
        <f>IF($B20="FY2026", IF(INDEX(Scenarios!$D:$D, MATCH($A20, Scenarios!$A:$A, 0))=0, IF(LEFT(INDEX(Scenarios!$O:$O, MATCH($A20, Scenarios!$A:$A, 0)),4)="Arts", Parameters_Public!$C$30, IF(LEFT(INDEX(Scenarios!$O:$O, MATCH($A20, Scenarios!$A:$A, 0)),5)="Innov", Parameters_Public!$C$31, 0)), 0), 0)</f>
        <v>0</v>
      </c>
      <c r="F20">
        <f>IF($B20="FY2026", IF(INDEX(Scenarios!$E:$E, MATCH($A20, Scenarios!$A:$A, 0))=0, IF(LEFT(INDEX(Scenarios!$P:$P, MATCH($A20, Scenarios!$A:$A, 0)),4)="Arts", Parameters_Public!$C$30, IF(LEFT(INDEX(Scenarios!$P:$P, MATCH($A20, Scenarios!$A:$A, 0)),5)="Innov", Parameters_Public!$C$31, 0)), 0), 0)</f>
        <v>0</v>
      </c>
      <c r="G20">
        <f>IF($B20="FY2026", INDEX(Receiving_Capacity!$L:$L, MATCH($A20, Receiving_Capacity!$A:$A, 0)), 0)</f>
        <v>0</v>
      </c>
      <c r="H20">
        <f t="shared" si="0"/>
        <v>0</v>
      </c>
    </row>
    <row r="21" spans="1:8">
      <c r="A21" t="str">
        <f>Scenarios!$A$5</f>
        <v>D1_Grow_Both_Targets</v>
      </c>
      <c r="B21" t="s">
        <v>88</v>
      </c>
      <c r="C21">
        <f>INDEX(Scenarios!$D:$D, MATCH($A21, Scenarios!$A:$A, 0)) + INDEX(Scenarios!$E:$E, MATCH($A21, Scenarios!$A:$A, 0))</f>
        <v>0</v>
      </c>
      <c r="D21">
        <f>IF($B21="FY2026",$C21*IF(INDEX(Scenarios!$N:$N, MATCH($A21, Scenarios!$A:$A, 0))="lease", Parameters_Public!$C$33, Parameters_Public!$C$31),0)</f>
        <v>0</v>
      </c>
      <c r="E21">
        <f>IF($B21="FY2026", IF(INDEX(Scenarios!$D:$D, MATCH($A21, Scenarios!$A:$A, 0))=0, IF(LEFT(INDEX(Scenarios!$O:$O, MATCH($A21, Scenarios!$A:$A, 0)),4)="Arts", Parameters_Public!$C$30, IF(LEFT(INDEX(Scenarios!$O:$O, MATCH($A21, Scenarios!$A:$A, 0)),5)="Innov", Parameters_Public!$C$31, 0)), 0), 0)</f>
        <v>0</v>
      </c>
      <c r="F21">
        <f>IF($B21="FY2026", IF(INDEX(Scenarios!$E:$E, MATCH($A21, Scenarios!$A:$A, 0))=0, IF(LEFT(INDEX(Scenarios!$P:$P, MATCH($A21, Scenarios!$A:$A, 0)),4)="Arts", Parameters_Public!$C$30, IF(LEFT(INDEX(Scenarios!$P:$P, MATCH($A21, Scenarios!$A:$A, 0)),5)="Innov", Parameters_Public!$C$31, 0)), 0), 0)</f>
        <v>0</v>
      </c>
      <c r="G21">
        <f>IF($B21="FY2026", INDEX(Receiving_Capacity!$L:$L, MATCH($A21, Receiving_Capacity!$A:$A, 0)), 0)</f>
        <v>0</v>
      </c>
      <c r="H21">
        <f t="shared" si="0"/>
        <v>0</v>
      </c>
    </row>
    <row r="22" spans="1:8">
      <c r="A22" t="str">
        <f>Scenarios!$A$5</f>
        <v>D1_Grow_Both_Targets</v>
      </c>
      <c r="B22" t="s">
        <v>89</v>
      </c>
      <c r="C22">
        <f>INDEX(Scenarios!$D:$D, MATCH($A22, Scenarios!$A:$A, 0)) + INDEX(Scenarios!$E:$E, MATCH($A22, Scenarios!$A:$A, 0))</f>
        <v>0</v>
      </c>
      <c r="D22">
        <f>IF($B22="FY2026",$C22*IF(INDEX(Scenarios!$N:$N, MATCH($A22, Scenarios!$A:$A, 0))="lease", Parameters_Public!$C$33, Parameters_Public!$C$31),0)</f>
        <v>0</v>
      </c>
      <c r="E22">
        <f>IF($B22="FY2026", IF(INDEX(Scenarios!$D:$D, MATCH($A22, Scenarios!$A:$A, 0))=0, IF(LEFT(INDEX(Scenarios!$O:$O, MATCH($A22, Scenarios!$A:$A, 0)),4)="Arts", Parameters_Public!$C$30, IF(LEFT(INDEX(Scenarios!$O:$O, MATCH($A22, Scenarios!$A:$A, 0)),5)="Innov", Parameters_Public!$C$31, 0)), 0), 0)</f>
        <v>0</v>
      </c>
      <c r="F22">
        <f>IF($B22="FY2026", IF(INDEX(Scenarios!$E:$E, MATCH($A22, Scenarios!$A:$A, 0))=0, IF(LEFT(INDEX(Scenarios!$P:$P, MATCH($A22, Scenarios!$A:$A, 0)),4)="Arts", Parameters_Public!$C$30, IF(LEFT(INDEX(Scenarios!$P:$P, MATCH($A22, Scenarios!$A:$A, 0)),5)="Innov", Parameters_Public!$C$31, 0)), 0), 0)</f>
        <v>0</v>
      </c>
      <c r="G22">
        <f>IF($B22="FY2026", INDEX(Receiving_Capacity!$L:$L, MATCH($A22, Receiving_Capacity!$A:$A, 0)), 0)</f>
        <v>0</v>
      </c>
      <c r="H22">
        <f t="shared" si="0"/>
        <v>0</v>
      </c>
    </row>
    <row r="23" spans="1:8">
      <c r="A23" t="str">
        <f>Scenarios!$A$5</f>
        <v>D1_Grow_Both_Targets</v>
      </c>
      <c r="B23" t="s">
        <v>90</v>
      </c>
      <c r="C23">
        <f>INDEX(Scenarios!$D:$D, MATCH($A23, Scenarios!$A:$A, 0)) + INDEX(Scenarios!$E:$E, MATCH($A23, Scenarios!$A:$A, 0))</f>
        <v>0</v>
      </c>
      <c r="D23">
        <f>IF($B23="FY2026",$C23*IF(INDEX(Scenarios!$N:$N, MATCH($A23, Scenarios!$A:$A, 0))="lease", Parameters_Public!$C$33, Parameters_Public!$C$31),0)</f>
        <v>0</v>
      </c>
      <c r="E23">
        <f>IF($B23="FY2026", IF(INDEX(Scenarios!$D:$D, MATCH($A23, Scenarios!$A:$A, 0))=0, IF(LEFT(INDEX(Scenarios!$O:$O, MATCH($A23, Scenarios!$A:$A, 0)),4)="Arts", Parameters_Public!$C$30, IF(LEFT(INDEX(Scenarios!$O:$O, MATCH($A23, Scenarios!$A:$A, 0)),5)="Innov", Parameters_Public!$C$31, 0)), 0), 0)</f>
        <v>0</v>
      </c>
      <c r="F23">
        <f>IF($B23="FY2026", IF(INDEX(Scenarios!$E:$E, MATCH($A23, Scenarios!$A:$A, 0))=0, IF(LEFT(INDEX(Scenarios!$P:$P, MATCH($A23, Scenarios!$A:$A, 0)),4)="Arts", Parameters_Public!$C$30, IF(LEFT(INDEX(Scenarios!$P:$P, MATCH($A23, Scenarios!$A:$A, 0)),5)="Innov", Parameters_Public!$C$31, 0)), 0), 0)</f>
        <v>0</v>
      </c>
      <c r="G23">
        <f>IF($B23="FY2026", INDEX(Receiving_Capacity!$L:$L, MATCH($A23, Receiving_Capacity!$A:$A, 0)), 0)</f>
        <v>0</v>
      </c>
      <c r="H23">
        <f t="shared" si="0"/>
        <v>0</v>
      </c>
    </row>
    <row r="24" spans="1:8">
      <c r="A24" t="str">
        <f>Scenarios!$A$6</f>
        <v>E2_StatusQuo_Steady</v>
      </c>
      <c r="B24" t="s">
        <v>86</v>
      </c>
      <c r="C24">
        <f>INDEX(Scenarios!$D:$D, MATCH($A24, Scenarios!$A:$A, 0)) + INDEX(Scenarios!$E:$E, MATCH($A24, Scenarios!$A:$A, 0))</f>
        <v>0</v>
      </c>
      <c r="D24">
        <f>IF($B24="FY2026",$C24*IF(INDEX(Scenarios!$N:$N, MATCH($A24, Scenarios!$A:$A, 0))="lease", Parameters_Public!$C$33, Parameters_Public!$C$31),0)</f>
        <v>0</v>
      </c>
      <c r="E24">
        <f>IF($B24="FY2026", IF(INDEX(Scenarios!$D:$D, MATCH($A24, Scenarios!$A:$A, 0))=0, IF(LEFT(INDEX(Scenarios!$O:$O, MATCH($A24, Scenarios!$A:$A, 0)),4)="Arts", Parameters_Public!$C$30, IF(LEFT(INDEX(Scenarios!$O:$O, MATCH($A24, Scenarios!$A:$A, 0)),5)="Innov", Parameters_Public!$C$31, 0)), 0), 0)</f>
        <v>0</v>
      </c>
      <c r="F24">
        <f>IF($B24="FY2026", IF(INDEX(Scenarios!$E:$E, MATCH($A24, Scenarios!$A:$A, 0))=0, IF(LEFT(INDEX(Scenarios!$P:$P, MATCH($A24, Scenarios!$A:$A, 0)),4)="Arts", Parameters_Public!$C$30, IF(LEFT(INDEX(Scenarios!$P:$P, MATCH($A24, Scenarios!$A:$A, 0)),5)="Innov", Parameters_Public!$C$31, 0)), 0), 0)</f>
        <v>0</v>
      </c>
      <c r="G24">
        <f>IF($B24="FY2026", INDEX(Receiving_Capacity!$L:$L, MATCH($A24, Receiving_Capacity!$A:$A, 0)), 0)</f>
        <v>0</v>
      </c>
      <c r="H24">
        <f t="shared" si="0"/>
        <v>0</v>
      </c>
    </row>
    <row r="25" spans="1:8">
      <c r="A25" t="str">
        <f>Scenarios!$A$6</f>
        <v>E2_StatusQuo_Steady</v>
      </c>
      <c r="B25" t="s">
        <v>87</v>
      </c>
      <c r="C25">
        <f>INDEX(Scenarios!$D:$D, MATCH($A25, Scenarios!$A:$A, 0)) + INDEX(Scenarios!$E:$E, MATCH($A25, Scenarios!$A:$A, 0))</f>
        <v>0</v>
      </c>
      <c r="D25">
        <f>IF($B25="FY2026",$C25*IF(INDEX(Scenarios!$N:$N, MATCH($A25, Scenarios!$A:$A, 0))="lease", Parameters_Public!$C$33, Parameters_Public!$C$31),0)</f>
        <v>0</v>
      </c>
      <c r="E25">
        <f>IF($B25="FY2026", IF(INDEX(Scenarios!$D:$D, MATCH($A25, Scenarios!$A:$A, 0))=0, IF(LEFT(INDEX(Scenarios!$O:$O, MATCH($A25, Scenarios!$A:$A, 0)),4)="Arts", Parameters_Public!$C$30, IF(LEFT(INDEX(Scenarios!$O:$O, MATCH($A25, Scenarios!$A:$A, 0)),5)="Innov", Parameters_Public!$C$31, 0)), 0), 0)</f>
        <v>0</v>
      </c>
      <c r="F25">
        <f>IF($B25="FY2026", IF(INDEX(Scenarios!$E:$E, MATCH($A25, Scenarios!$A:$A, 0))=0, IF(LEFT(INDEX(Scenarios!$P:$P, MATCH($A25, Scenarios!$A:$A, 0)),4)="Arts", Parameters_Public!$C$30, IF(LEFT(INDEX(Scenarios!$P:$P, MATCH($A25, Scenarios!$A:$A, 0)),5)="Innov", Parameters_Public!$C$31, 0)), 0), 0)</f>
        <v>0</v>
      </c>
      <c r="G25">
        <f>IF($B25="FY2026", INDEX(Receiving_Capacity!$L:$L, MATCH($A25, Receiving_Capacity!$A:$A, 0)), 0)</f>
        <v>0</v>
      </c>
      <c r="H25">
        <f t="shared" si="0"/>
        <v>0</v>
      </c>
    </row>
    <row r="26" spans="1:8">
      <c r="A26" t="str">
        <f>Scenarios!$A$6</f>
        <v>E2_StatusQuo_Steady</v>
      </c>
      <c r="B26" t="s">
        <v>88</v>
      </c>
      <c r="C26">
        <f>INDEX(Scenarios!$D:$D, MATCH($A26, Scenarios!$A:$A, 0)) + INDEX(Scenarios!$E:$E, MATCH($A26, Scenarios!$A:$A, 0))</f>
        <v>0</v>
      </c>
      <c r="D26">
        <f>IF($B26="FY2026",$C26*IF(INDEX(Scenarios!$N:$N, MATCH($A26, Scenarios!$A:$A, 0))="lease", Parameters_Public!$C$33, Parameters_Public!$C$31),0)</f>
        <v>0</v>
      </c>
      <c r="E26">
        <f>IF($B26="FY2026", IF(INDEX(Scenarios!$D:$D, MATCH($A26, Scenarios!$A:$A, 0))=0, IF(LEFT(INDEX(Scenarios!$O:$O, MATCH($A26, Scenarios!$A:$A, 0)),4)="Arts", Parameters_Public!$C$30, IF(LEFT(INDEX(Scenarios!$O:$O, MATCH($A26, Scenarios!$A:$A, 0)),5)="Innov", Parameters_Public!$C$31, 0)), 0), 0)</f>
        <v>0</v>
      </c>
      <c r="F26">
        <f>IF($B26="FY2026", IF(INDEX(Scenarios!$E:$E, MATCH($A26, Scenarios!$A:$A, 0))=0, IF(LEFT(INDEX(Scenarios!$P:$P, MATCH($A26, Scenarios!$A:$A, 0)),4)="Arts", Parameters_Public!$C$30, IF(LEFT(INDEX(Scenarios!$P:$P, MATCH($A26, Scenarios!$A:$A, 0)),5)="Innov", Parameters_Public!$C$31, 0)), 0), 0)</f>
        <v>0</v>
      </c>
      <c r="G26">
        <f>IF($B26="FY2026", INDEX(Receiving_Capacity!$L:$L, MATCH($A26, Receiving_Capacity!$A:$A, 0)), 0)</f>
        <v>0</v>
      </c>
      <c r="H26">
        <f t="shared" si="0"/>
        <v>0</v>
      </c>
    </row>
    <row r="27" spans="1:8">
      <c r="A27" t="str">
        <f>Scenarios!$A$6</f>
        <v>E2_StatusQuo_Steady</v>
      </c>
      <c r="B27" t="s">
        <v>89</v>
      </c>
      <c r="C27">
        <f>INDEX(Scenarios!$D:$D, MATCH($A27, Scenarios!$A:$A, 0)) + INDEX(Scenarios!$E:$E, MATCH($A27, Scenarios!$A:$A, 0))</f>
        <v>0</v>
      </c>
      <c r="D27">
        <f>IF($B27="FY2026",$C27*IF(INDEX(Scenarios!$N:$N, MATCH($A27, Scenarios!$A:$A, 0))="lease", Parameters_Public!$C$33, Parameters_Public!$C$31),0)</f>
        <v>0</v>
      </c>
      <c r="E27">
        <f>IF($B27="FY2026", IF(INDEX(Scenarios!$D:$D, MATCH($A27, Scenarios!$A:$A, 0))=0, IF(LEFT(INDEX(Scenarios!$O:$O, MATCH($A27, Scenarios!$A:$A, 0)),4)="Arts", Parameters_Public!$C$30, IF(LEFT(INDEX(Scenarios!$O:$O, MATCH($A27, Scenarios!$A:$A, 0)),5)="Innov", Parameters_Public!$C$31, 0)), 0), 0)</f>
        <v>0</v>
      </c>
      <c r="F27">
        <f>IF($B27="FY2026", IF(INDEX(Scenarios!$E:$E, MATCH($A27, Scenarios!$A:$A, 0))=0, IF(LEFT(INDEX(Scenarios!$P:$P, MATCH($A27, Scenarios!$A:$A, 0)),4)="Arts", Parameters_Public!$C$30, IF(LEFT(INDEX(Scenarios!$P:$P, MATCH($A27, Scenarios!$A:$A, 0)),5)="Innov", Parameters_Public!$C$31, 0)), 0), 0)</f>
        <v>0</v>
      </c>
      <c r="G27">
        <f>IF($B27="FY2026", INDEX(Receiving_Capacity!$L:$L, MATCH($A27, Receiving_Capacity!$A:$A, 0)), 0)</f>
        <v>0</v>
      </c>
      <c r="H27">
        <f t="shared" si="0"/>
        <v>0</v>
      </c>
    </row>
    <row r="28" spans="1:8">
      <c r="A28" t="str">
        <f>Scenarios!$A$6</f>
        <v>E2_StatusQuo_Steady</v>
      </c>
      <c r="B28" t="s">
        <v>90</v>
      </c>
      <c r="C28">
        <f>INDEX(Scenarios!$D:$D, MATCH($A28, Scenarios!$A:$A, 0)) + INDEX(Scenarios!$E:$E, MATCH($A28, Scenarios!$A:$A, 0))</f>
        <v>0</v>
      </c>
      <c r="D28">
        <f>IF($B28="FY2026",$C28*IF(INDEX(Scenarios!$N:$N, MATCH($A28, Scenarios!$A:$A, 0))="lease", Parameters_Public!$C$33, Parameters_Public!$C$31),0)</f>
        <v>0</v>
      </c>
      <c r="E28">
        <f>IF($B28="FY2026", IF(INDEX(Scenarios!$D:$D, MATCH($A28, Scenarios!$A:$A, 0))=0, IF(LEFT(INDEX(Scenarios!$O:$O, MATCH($A28, Scenarios!$A:$A, 0)),4)="Arts", Parameters_Public!$C$30, IF(LEFT(INDEX(Scenarios!$O:$O, MATCH($A28, Scenarios!$A:$A, 0)),5)="Innov", Parameters_Public!$C$31, 0)), 0), 0)</f>
        <v>0</v>
      </c>
      <c r="F28">
        <f>IF($B28="FY2026", IF(INDEX(Scenarios!$E:$E, MATCH($A28, Scenarios!$A:$A, 0))=0, IF(LEFT(INDEX(Scenarios!$P:$P, MATCH($A28, Scenarios!$A:$A, 0)),4)="Arts", Parameters_Public!$C$30, IF(LEFT(INDEX(Scenarios!$P:$P, MATCH($A28, Scenarios!$A:$A, 0)),5)="Innov", Parameters_Public!$C$31, 0)), 0), 0)</f>
        <v>0</v>
      </c>
      <c r="G28">
        <f>IF($B28="FY2026", INDEX(Receiving_Capacity!$L:$L, MATCH($A28, Receiving_Capacity!$A:$A, 0)), 0)</f>
        <v>0</v>
      </c>
      <c r="H28">
        <f t="shared" si="0"/>
        <v>0</v>
      </c>
    </row>
    <row r="29" spans="1:8">
      <c r="A29" t="str">
        <f>Scenarios!$A$7</f>
        <v>D2_EchoGHubRamp_PimaTargets</v>
      </c>
      <c r="B29" t="s">
        <v>86</v>
      </c>
      <c r="C29">
        <f>INDEX(Scenarios!$D:$D, MATCH($A29, Scenarios!$A:$A, 0)) + INDEX(Scenarios!$E:$E, MATCH($A29, Scenarios!$A:$A, 0))</f>
        <v>0</v>
      </c>
      <c r="D29">
        <f>IF($B29="FY2026",$C29*IF(INDEX(Scenarios!$N:$N, MATCH($A29, Scenarios!$A:$A, 0))="lease", Parameters_Public!$C$33, Parameters_Public!$C$31),0)</f>
        <v>0</v>
      </c>
      <c r="E29">
        <f>IF($B29="FY2026", IF(INDEX(Scenarios!$D:$D, MATCH($A29, Scenarios!$A:$A, 0))=0, IF(LEFT(INDEX(Scenarios!$O:$O, MATCH($A29, Scenarios!$A:$A, 0)),4)="Arts", Parameters_Public!$C$30, IF(LEFT(INDEX(Scenarios!$O:$O, MATCH($A29, Scenarios!$A:$A, 0)),5)="Innov", Parameters_Public!$C$31, 0)), 0), 0)</f>
        <v>800000</v>
      </c>
      <c r="F29">
        <f>IF($B29="FY2026", IF(INDEX(Scenarios!$E:$E, MATCH($A29, Scenarios!$A:$A, 0))=0, IF(LEFT(INDEX(Scenarios!$P:$P, MATCH($A29, Scenarios!$A:$A, 0)),4)="Arts", Parameters_Public!$C$30, IF(LEFT(INDEX(Scenarios!$P:$P, MATCH($A29, Scenarios!$A:$A, 0)),5)="Innov", Parameters_Public!$C$31, 0)), 0), 0)</f>
        <v>0</v>
      </c>
      <c r="G29">
        <f>IF($B29="FY2026", INDEX(Receiving_Capacity!$L:$L, MATCH($A29, Receiving_Capacity!$A:$A, 0)), 0)</f>
        <v>0</v>
      </c>
      <c r="H29">
        <f t="shared" si="0"/>
        <v>800000</v>
      </c>
    </row>
    <row r="30" spans="1:8">
      <c r="A30" t="str">
        <f>Scenarios!$A$7</f>
        <v>D2_EchoGHubRamp_PimaTargets</v>
      </c>
      <c r="B30" t="s">
        <v>87</v>
      </c>
      <c r="C30">
        <f>INDEX(Scenarios!$D:$D, MATCH($A30, Scenarios!$A:$A, 0)) + INDEX(Scenarios!$E:$E, MATCH($A30, Scenarios!$A:$A, 0))</f>
        <v>0</v>
      </c>
      <c r="D30">
        <f>IF($B30="FY2026",$C30*IF(INDEX(Scenarios!$N:$N, MATCH($A30, Scenarios!$A:$A, 0))="lease", Parameters_Public!$C$33, Parameters_Public!$C$31),0)</f>
        <v>0</v>
      </c>
      <c r="E30">
        <f>IF($B30="FY2026", IF(INDEX(Scenarios!$D:$D, MATCH($A30, Scenarios!$A:$A, 0))=0, IF(LEFT(INDEX(Scenarios!$O:$O, MATCH($A30, Scenarios!$A:$A, 0)),4)="Arts", Parameters_Public!$C$30, IF(LEFT(INDEX(Scenarios!$O:$O, MATCH($A30, Scenarios!$A:$A, 0)),5)="Innov", Parameters_Public!$C$31, 0)), 0), 0)</f>
        <v>0</v>
      </c>
      <c r="F30">
        <f>IF($B30="FY2026", IF(INDEX(Scenarios!$E:$E, MATCH($A30, Scenarios!$A:$A, 0))=0, IF(LEFT(INDEX(Scenarios!$P:$P, MATCH($A30, Scenarios!$A:$A, 0)),4)="Arts", Parameters_Public!$C$30, IF(LEFT(INDEX(Scenarios!$P:$P, MATCH($A30, Scenarios!$A:$A, 0)),5)="Innov", Parameters_Public!$C$31, 0)), 0), 0)</f>
        <v>0</v>
      </c>
      <c r="G30">
        <f>IF($B30="FY2026", INDEX(Receiving_Capacity!$L:$L, MATCH($A30, Receiving_Capacity!$A:$A, 0)), 0)</f>
        <v>0</v>
      </c>
      <c r="H30">
        <f t="shared" si="0"/>
        <v>0</v>
      </c>
    </row>
    <row r="31" spans="1:8">
      <c r="A31" t="str">
        <f>Scenarios!$A$7</f>
        <v>D2_EchoGHubRamp_PimaTargets</v>
      </c>
      <c r="B31" t="s">
        <v>88</v>
      </c>
      <c r="C31">
        <f>INDEX(Scenarios!$D:$D, MATCH($A31, Scenarios!$A:$A, 0)) + INDEX(Scenarios!$E:$E, MATCH($A31, Scenarios!$A:$A, 0))</f>
        <v>0</v>
      </c>
      <c r="D31">
        <f>IF($B31="FY2026",$C31*IF(INDEX(Scenarios!$N:$N, MATCH($A31, Scenarios!$A:$A, 0))="lease", Parameters_Public!$C$33, Parameters_Public!$C$31),0)</f>
        <v>0</v>
      </c>
      <c r="E31">
        <f>IF($B31="FY2026", IF(INDEX(Scenarios!$D:$D, MATCH($A31, Scenarios!$A:$A, 0))=0, IF(LEFT(INDEX(Scenarios!$O:$O, MATCH($A31, Scenarios!$A:$A, 0)),4)="Arts", Parameters_Public!$C$30, IF(LEFT(INDEX(Scenarios!$O:$O, MATCH($A31, Scenarios!$A:$A, 0)),5)="Innov", Parameters_Public!$C$31, 0)), 0), 0)</f>
        <v>0</v>
      </c>
      <c r="F31">
        <f>IF($B31="FY2026", IF(INDEX(Scenarios!$E:$E, MATCH($A31, Scenarios!$A:$A, 0))=0, IF(LEFT(INDEX(Scenarios!$P:$P, MATCH($A31, Scenarios!$A:$A, 0)),4)="Arts", Parameters_Public!$C$30, IF(LEFT(INDEX(Scenarios!$P:$P, MATCH($A31, Scenarios!$A:$A, 0)),5)="Innov", Parameters_Public!$C$31, 0)), 0), 0)</f>
        <v>0</v>
      </c>
      <c r="G31">
        <f>IF($B31="FY2026", INDEX(Receiving_Capacity!$L:$L, MATCH($A31, Receiving_Capacity!$A:$A, 0)), 0)</f>
        <v>0</v>
      </c>
      <c r="H31">
        <f t="shared" si="0"/>
        <v>0</v>
      </c>
    </row>
    <row r="32" spans="1:8">
      <c r="A32" t="str">
        <f>Scenarios!$A$7</f>
        <v>D2_EchoGHubRamp_PimaTargets</v>
      </c>
      <c r="B32" t="s">
        <v>89</v>
      </c>
      <c r="C32">
        <f>INDEX(Scenarios!$D:$D, MATCH($A32, Scenarios!$A:$A, 0)) + INDEX(Scenarios!$E:$E, MATCH($A32, Scenarios!$A:$A, 0))</f>
        <v>0</v>
      </c>
      <c r="D32">
        <f>IF($B32="FY2026",$C32*IF(INDEX(Scenarios!$N:$N, MATCH($A32, Scenarios!$A:$A, 0))="lease", Parameters_Public!$C$33, Parameters_Public!$C$31),0)</f>
        <v>0</v>
      </c>
      <c r="E32">
        <f>IF($B32="FY2026", IF(INDEX(Scenarios!$D:$D, MATCH($A32, Scenarios!$A:$A, 0))=0, IF(LEFT(INDEX(Scenarios!$O:$O, MATCH($A32, Scenarios!$A:$A, 0)),4)="Arts", Parameters_Public!$C$30, IF(LEFT(INDEX(Scenarios!$O:$O, MATCH($A32, Scenarios!$A:$A, 0)),5)="Innov", Parameters_Public!$C$31, 0)), 0), 0)</f>
        <v>0</v>
      </c>
      <c r="F32">
        <f>IF($B32="FY2026", IF(INDEX(Scenarios!$E:$E, MATCH($A32, Scenarios!$A:$A, 0))=0, IF(LEFT(INDEX(Scenarios!$P:$P, MATCH($A32, Scenarios!$A:$A, 0)),4)="Arts", Parameters_Public!$C$30, IF(LEFT(INDEX(Scenarios!$P:$P, MATCH($A32, Scenarios!$A:$A, 0)),5)="Innov", Parameters_Public!$C$31, 0)), 0), 0)</f>
        <v>0</v>
      </c>
      <c r="G32">
        <f>IF($B32="FY2026", INDEX(Receiving_Capacity!$L:$L, MATCH($A32, Receiving_Capacity!$A:$A, 0)), 0)</f>
        <v>0</v>
      </c>
      <c r="H32">
        <f t="shared" si="0"/>
        <v>0</v>
      </c>
    </row>
    <row r="33" spans="1:8">
      <c r="A33" t="str">
        <f>Scenarios!$A$7</f>
        <v>D2_EchoGHubRamp_PimaTargets</v>
      </c>
      <c r="B33" t="s">
        <v>90</v>
      </c>
      <c r="C33">
        <f>INDEX(Scenarios!$D:$D, MATCH($A33, Scenarios!$A:$A, 0)) + INDEX(Scenarios!$E:$E, MATCH($A33, Scenarios!$A:$A, 0))</f>
        <v>0</v>
      </c>
      <c r="D33">
        <f>IF($B33="FY2026",$C33*IF(INDEX(Scenarios!$N:$N, MATCH($A33, Scenarios!$A:$A, 0))="lease", Parameters_Public!$C$33, Parameters_Public!$C$31),0)</f>
        <v>0</v>
      </c>
      <c r="E33">
        <f>IF($B33="FY2026", IF(INDEX(Scenarios!$D:$D, MATCH($A33, Scenarios!$A:$A, 0))=0, IF(LEFT(INDEX(Scenarios!$O:$O, MATCH($A33, Scenarios!$A:$A, 0)),4)="Arts", Parameters_Public!$C$30, IF(LEFT(INDEX(Scenarios!$O:$O, MATCH($A33, Scenarios!$A:$A, 0)),5)="Innov", Parameters_Public!$C$31, 0)), 0), 0)</f>
        <v>0</v>
      </c>
      <c r="F33">
        <f>IF($B33="FY2026", IF(INDEX(Scenarios!$E:$E, MATCH($A33, Scenarios!$A:$A, 0))=0, IF(LEFT(INDEX(Scenarios!$P:$P, MATCH($A33, Scenarios!$A:$A, 0)),4)="Arts", Parameters_Public!$C$30, IF(LEFT(INDEX(Scenarios!$P:$P, MATCH($A33, Scenarios!$A:$A, 0)),5)="Innov", Parameters_Public!$C$31, 0)), 0), 0)</f>
        <v>0</v>
      </c>
      <c r="G33">
        <f>IF($B33="FY2026", INDEX(Receiving_Capacity!$L:$L, MATCH($A33, Receiving_Capacity!$A:$A, 0)), 0)</f>
        <v>0</v>
      </c>
      <c r="H33">
        <f t="shared" si="0"/>
        <v>0</v>
      </c>
    </row>
    <row r="34" spans="1:8">
      <c r="A34" t="str">
        <f>Scenarios!$A$8</f>
        <v>A2_Repurpose_Both_lease</v>
      </c>
      <c r="B34" t="s">
        <v>86</v>
      </c>
      <c r="C34">
        <f>INDEX(Scenarios!$D:$D, MATCH($A34, Scenarios!$A:$A, 0)) + INDEX(Scenarios!$E:$E, MATCH($A34, Scenarios!$A:$A, 0))</f>
        <v>2</v>
      </c>
      <c r="D34">
        <f>IF($B34="FY2026",$C34*IF(INDEX(Scenarios!$N:$N, MATCH($A34, Scenarios!$A:$A, 0))="lease", Parameters_Public!$C$33, Parameters_Public!$C$31),0)</f>
        <v>1600000</v>
      </c>
      <c r="E34">
        <f>IF($B34="FY2026", IF(INDEX(Scenarios!$D:$D, MATCH($A34, Scenarios!$A:$A, 0))=0, IF(LEFT(INDEX(Scenarios!$O:$O, MATCH($A34, Scenarios!$A:$A, 0)),4)="Arts", Parameters_Public!$C$30, IF(LEFT(INDEX(Scenarios!$O:$O, MATCH($A34, Scenarios!$A:$A, 0)),5)="Innov", Parameters_Public!$C$31, 0)), 0), 0)</f>
        <v>0</v>
      </c>
      <c r="F34">
        <f>IF($B34="FY2026", IF(INDEX(Scenarios!$E:$E, MATCH($A34, Scenarios!$A:$A, 0))=0, IF(LEFT(INDEX(Scenarios!$P:$P, MATCH($A34, Scenarios!$A:$A, 0)),4)="Arts", Parameters_Public!$C$30, IF(LEFT(INDEX(Scenarios!$P:$P, MATCH($A34, Scenarios!$A:$A, 0)),5)="Innov", Parameters_Public!$C$31, 0)), 0), 0)</f>
        <v>0</v>
      </c>
      <c r="G34">
        <f>IF($B34="FY2026", INDEX(Receiving_Capacity!$L:$L, MATCH($A34, Receiving_Capacity!$A:$A, 0)), 0)</f>
        <v>0</v>
      </c>
      <c r="H34">
        <f t="shared" si="0"/>
        <v>1600000</v>
      </c>
    </row>
    <row r="35" spans="1:8">
      <c r="A35" t="str">
        <f>Scenarios!$A$8</f>
        <v>A2_Repurpose_Both_lease</v>
      </c>
      <c r="B35" t="s">
        <v>87</v>
      </c>
      <c r="C35">
        <f>INDEX(Scenarios!$D:$D, MATCH($A35, Scenarios!$A:$A, 0)) + INDEX(Scenarios!$E:$E, MATCH($A35, Scenarios!$A:$A, 0))</f>
        <v>2</v>
      </c>
      <c r="D35">
        <f>IF($B35="FY2026",$C35*IF(INDEX(Scenarios!$N:$N, MATCH($A35, Scenarios!$A:$A, 0))="lease", Parameters_Public!$C$33, Parameters_Public!$C$31),0)</f>
        <v>0</v>
      </c>
      <c r="E35">
        <f>IF($B35="FY2026", IF(INDEX(Scenarios!$D:$D, MATCH($A35, Scenarios!$A:$A, 0))=0, IF(LEFT(INDEX(Scenarios!$O:$O, MATCH($A35, Scenarios!$A:$A, 0)),4)="Arts", Parameters_Public!$C$30, IF(LEFT(INDEX(Scenarios!$O:$O, MATCH($A35, Scenarios!$A:$A, 0)),5)="Innov", Parameters_Public!$C$31, 0)), 0), 0)</f>
        <v>0</v>
      </c>
      <c r="F35">
        <f>IF($B35="FY2026", IF(INDEX(Scenarios!$E:$E, MATCH($A35, Scenarios!$A:$A, 0))=0, IF(LEFT(INDEX(Scenarios!$P:$P, MATCH($A35, Scenarios!$A:$A, 0)),4)="Arts", Parameters_Public!$C$30, IF(LEFT(INDEX(Scenarios!$P:$P, MATCH($A35, Scenarios!$A:$A, 0)),5)="Innov", Parameters_Public!$C$31, 0)), 0), 0)</f>
        <v>0</v>
      </c>
      <c r="G35">
        <f>IF($B35="FY2026", INDEX(Receiving_Capacity!$L:$L, MATCH($A35, Receiving_Capacity!$A:$A, 0)), 0)</f>
        <v>0</v>
      </c>
      <c r="H35">
        <f t="shared" si="0"/>
        <v>0</v>
      </c>
    </row>
    <row r="36" spans="1:8">
      <c r="A36" t="str">
        <f>Scenarios!$A$8</f>
        <v>A2_Repurpose_Both_lease</v>
      </c>
      <c r="B36" t="s">
        <v>88</v>
      </c>
      <c r="C36">
        <f>INDEX(Scenarios!$D:$D, MATCH($A36, Scenarios!$A:$A, 0)) + INDEX(Scenarios!$E:$E, MATCH($A36, Scenarios!$A:$A, 0))</f>
        <v>2</v>
      </c>
      <c r="D36">
        <f>IF($B36="FY2026",$C36*IF(INDEX(Scenarios!$N:$N, MATCH($A36, Scenarios!$A:$A, 0))="lease", Parameters_Public!$C$33, Parameters_Public!$C$31),0)</f>
        <v>0</v>
      </c>
      <c r="E36">
        <f>IF($B36="FY2026", IF(INDEX(Scenarios!$D:$D, MATCH($A36, Scenarios!$A:$A, 0))=0, IF(LEFT(INDEX(Scenarios!$O:$O, MATCH($A36, Scenarios!$A:$A, 0)),4)="Arts", Parameters_Public!$C$30, IF(LEFT(INDEX(Scenarios!$O:$O, MATCH($A36, Scenarios!$A:$A, 0)),5)="Innov", Parameters_Public!$C$31, 0)), 0), 0)</f>
        <v>0</v>
      </c>
      <c r="F36">
        <f>IF($B36="FY2026", IF(INDEX(Scenarios!$E:$E, MATCH($A36, Scenarios!$A:$A, 0))=0, IF(LEFT(INDEX(Scenarios!$P:$P, MATCH($A36, Scenarios!$A:$A, 0)),4)="Arts", Parameters_Public!$C$30, IF(LEFT(INDEX(Scenarios!$P:$P, MATCH($A36, Scenarios!$A:$A, 0)),5)="Innov", Parameters_Public!$C$31, 0)), 0), 0)</f>
        <v>0</v>
      </c>
      <c r="G36">
        <f>IF($B36="FY2026", INDEX(Receiving_Capacity!$L:$L, MATCH($A36, Receiving_Capacity!$A:$A, 0)), 0)</f>
        <v>0</v>
      </c>
      <c r="H36">
        <f t="shared" ref="H36:H67" si="1">SUM(D36:G36)</f>
        <v>0</v>
      </c>
    </row>
    <row r="37" spans="1:8">
      <c r="A37" t="str">
        <f>Scenarios!$A$8</f>
        <v>A2_Repurpose_Both_lease</v>
      </c>
      <c r="B37" t="s">
        <v>89</v>
      </c>
      <c r="C37">
        <f>INDEX(Scenarios!$D:$D, MATCH($A37, Scenarios!$A:$A, 0)) + INDEX(Scenarios!$E:$E, MATCH($A37, Scenarios!$A:$A, 0))</f>
        <v>2</v>
      </c>
      <c r="D37">
        <f>IF($B37="FY2026",$C37*IF(INDEX(Scenarios!$N:$N, MATCH($A37, Scenarios!$A:$A, 0))="lease", Parameters_Public!$C$33, Parameters_Public!$C$31),0)</f>
        <v>0</v>
      </c>
      <c r="E37">
        <f>IF($B37="FY2026", IF(INDEX(Scenarios!$D:$D, MATCH($A37, Scenarios!$A:$A, 0))=0, IF(LEFT(INDEX(Scenarios!$O:$O, MATCH($A37, Scenarios!$A:$A, 0)),4)="Arts", Parameters_Public!$C$30, IF(LEFT(INDEX(Scenarios!$O:$O, MATCH($A37, Scenarios!$A:$A, 0)),5)="Innov", Parameters_Public!$C$31, 0)), 0), 0)</f>
        <v>0</v>
      </c>
      <c r="F37">
        <f>IF($B37="FY2026", IF(INDEX(Scenarios!$E:$E, MATCH($A37, Scenarios!$A:$A, 0))=0, IF(LEFT(INDEX(Scenarios!$P:$P, MATCH($A37, Scenarios!$A:$A, 0)),4)="Arts", Parameters_Public!$C$30, IF(LEFT(INDEX(Scenarios!$P:$P, MATCH($A37, Scenarios!$A:$A, 0)),5)="Innov", Parameters_Public!$C$31, 0)), 0), 0)</f>
        <v>0</v>
      </c>
      <c r="G37">
        <f>IF($B37="FY2026", INDEX(Receiving_Capacity!$L:$L, MATCH($A37, Receiving_Capacity!$A:$A, 0)), 0)</f>
        <v>0</v>
      </c>
      <c r="H37">
        <f t="shared" si="1"/>
        <v>0</v>
      </c>
    </row>
    <row r="38" spans="1:8">
      <c r="A38" t="str">
        <f>Scenarios!$A$8</f>
        <v>A2_Repurpose_Both_lease</v>
      </c>
      <c r="B38" t="s">
        <v>90</v>
      </c>
      <c r="C38">
        <f>INDEX(Scenarios!$D:$D, MATCH($A38, Scenarios!$A:$A, 0)) + INDEX(Scenarios!$E:$E, MATCH($A38, Scenarios!$A:$A, 0))</f>
        <v>2</v>
      </c>
      <c r="D38">
        <f>IF($B38="FY2026",$C38*IF(INDEX(Scenarios!$N:$N, MATCH($A38, Scenarios!$A:$A, 0))="lease", Parameters_Public!$C$33, Parameters_Public!$C$31),0)</f>
        <v>0</v>
      </c>
      <c r="E38">
        <f>IF($B38="FY2026", IF(INDEX(Scenarios!$D:$D, MATCH($A38, Scenarios!$A:$A, 0))=0, IF(LEFT(INDEX(Scenarios!$O:$O, MATCH($A38, Scenarios!$A:$A, 0)),4)="Arts", Parameters_Public!$C$30, IF(LEFT(INDEX(Scenarios!$O:$O, MATCH($A38, Scenarios!$A:$A, 0)),5)="Innov", Parameters_Public!$C$31, 0)), 0), 0)</f>
        <v>0</v>
      </c>
      <c r="F38">
        <f>IF($B38="FY2026", IF(INDEX(Scenarios!$E:$E, MATCH($A38, Scenarios!$A:$A, 0))=0, IF(LEFT(INDEX(Scenarios!$P:$P, MATCH($A38, Scenarios!$A:$A, 0)),4)="Arts", Parameters_Public!$C$30, IF(LEFT(INDEX(Scenarios!$P:$P, MATCH($A38, Scenarios!$A:$A, 0)),5)="Innov", Parameters_Public!$C$31, 0)), 0), 0)</f>
        <v>0</v>
      </c>
      <c r="G38">
        <f>IF($B38="FY2026", INDEX(Receiving_Capacity!$L:$L, MATCH($A38, Receiving_Capacity!$A:$A, 0)), 0)</f>
        <v>0</v>
      </c>
      <c r="H38">
        <f t="shared" si="1"/>
        <v>0</v>
      </c>
    </row>
    <row r="39" spans="1:8">
      <c r="A39" t="str">
        <f>Scenarios!$A$9</f>
        <v>A1_Repurpose_Both_ops</v>
      </c>
      <c r="B39" t="s">
        <v>86</v>
      </c>
      <c r="C39">
        <f>INDEX(Scenarios!$D:$D, MATCH($A39, Scenarios!$A:$A, 0)) + INDEX(Scenarios!$E:$E, MATCH($A39, Scenarios!$A:$A, 0))</f>
        <v>2</v>
      </c>
      <c r="D39">
        <f>IF($B39="FY2026",$C39*IF(INDEX(Scenarios!$N:$N, MATCH($A39, Scenarios!$A:$A, 0))="lease", Parameters_Public!$C$33, Parameters_Public!$C$31),0)</f>
        <v>2400000</v>
      </c>
      <c r="E39">
        <f>IF($B39="FY2026", IF(INDEX(Scenarios!$D:$D, MATCH($A39, Scenarios!$A:$A, 0))=0, IF(LEFT(INDEX(Scenarios!$O:$O, MATCH($A39, Scenarios!$A:$A, 0)),4)="Arts", Parameters_Public!$C$30, IF(LEFT(INDEX(Scenarios!$O:$O, MATCH($A39, Scenarios!$A:$A, 0)),5)="Innov", Parameters_Public!$C$31, 0)), 0), 0)</f>
        <v>0</v>
      </c>
      <c r="F39">
        <f>IF($B39="FY2026", IF(INDEX(Scenarios!$E:$E, MATCH($A39, Scenarios!$A:$A, 0))=0, IF(LEFT(INDEX(Scenarios!$P:$P, MATCH($A39, Scenarios!$A:$A, 0)),4)="Arts", Parameters_Public!$C$30, IF(LEFT(INDEX(Scenarios!$P:$P, MATCH($A39, Scenarios!$A:$A, 0)),5)="Innov", Parameters_Public!$C$31, 0)), 0), 0)</f>
        <v>0</v>
      </c>
      <c r="G39">
        <f>IF($B39="FY2026", INDEX(Receiving_Capacity!$L:$L, MATCH($A39, Receiving_Capacity!$A:$A, 0)), 0)</f>
        <v>0</v>
      </c>
      <c r="H39">
        <f t="shared" si="1"/>
        <v>2400000</v>
      </c>
    </row>
    <row r="40" spans="1:8">
      <c r="A40" t="str">
        <f>Scenarios!$A$9</f>
        <v>A1_Repurpose_Both_ops</v>
      </c>
      <c r="B40" t="s">
        <v>87</v>
      </c>
      <c r="C40">
        <f>INDEX(Scenarios!$D:$D, MATCH($A40, Scenarios!$A:$A, 0)) + INDEX(Scenarios!$E:$E, MATCH($A40, Scenarios!$A:$A, 0))</f>
        <v>2</v>
      </c>
      <c r="D40">
        <f>IF($B40="FY2026",$C40*IF(INDEX(Scenarios!$N:$N, MATCH($A40, Scenarios!$A:$A, 0))="lease", Parameters_Public!$C$33, Parameters_Public!$C$31),0)</f>
        <v>0</v>
      </c>
      <c r="E40">
        <f>IF($B40="FY2026", IF(INDEX(Scenarios!$D:$D, MATCH($A40, Scenarios!$A:$A, 0))=0, IF(LEFT(INDEX(Scenarios!$O:$O, MATCH($A40, Scenarios!$A:$A, 0)),4)="Arts", Parameters_Public!$C$30, IF(LEFT(INDEX(Scenarios!$O:$O, MATCH($A40, Scenarios!$A:$A, 0)),5)="Innov", Parameters_Public!$C$31, 0)), 0), 0)</f>
        <v>0</v>
      </c>
      <c r="F40">
        <f>IF($B40="FY2026", IF(INDEX(Scenarios!$E:$E, MATCH($A40, Scenarios!$A:$A, 0))=0, IF(LEFT(INDEX(Scenarios!$P:$P, MATCH($A40, Scenarios!$A:$A, 0)),4)="Arts", Parameters_Public!$C$30, IF(LEFT(INDEX(Scenarios!$P:$P, MATCH($A40, Scenarios!$A:$A, 0)),5)="Innov", Parameters_Public!$C$31, 0)), 0), 0)</f>
        <v>0</v>
      </c>
      <c r="G40">
        <f>IF($B40="FY2026", INDEX(Receiving_Capacity!$L:$L, MATCH($A40, Receiving_Capacity!$A:$A, 0)), 0)</f>
        <v>0</v>
      </c>
      <c r="H40">
        <f t="shared" si="1"/>
        <v>0</v>
      </c>
    </row>
    <row r="41" spans="1:8">
      <c r="A41" t="str">
        <f>Scenarios!$A$9</f>
        <v>A1_Repurpose_Both_ops</v>
      </c>
      <c r="B41" t="s">
        <v>88</v>
      </c>
      <c r="C41">
        <f>INDEX(Scenarios!$D:$D, MATCH($A41, Scenarios!$A:$A, 0)) + INDEX(Scenarios!$E:$E, MATCH($A41, Scenarios!$A:$A, 0))</f>
        <v>2</v>
      </c>
      <c r="D41">
        <f>IF($B41="FY2026",$C41*IF(INDEX(Scenarios!$N:$N, MATCH($A41, Scenarios!$A:$A, 0))="lease", Parameters_Public!$C$33, Parameters_Public!$C$31),0)</f>
        <v>0</v>
      </c>
      <c r="E41">
        <f>IF($B41="FY2026", IF(INDEX(Scenarios!$D:$D, MATCH($A41, Scenarios!$A:$A, 0))=0, IF(LEFT(INDEX(Scenarios!$O:$O, MATCH($A41, Scenarios!$A:$A, 0)),4)="Arts", Parameters_Public!$C$30, IF(LEFT(INDEX(Scenarios!$O:$O, MATCH($A41, Scenarios!$A:$A, 0)),5)="Innov", Parameters_Public!$C$31, 0)), 0), 0)</f>
        <v>0</v>
      </c>
      <c r="F41">
        <f>IF($B41="FY2026", IF(INDEX(Scenarios!$E:$E, MATCH($A41, Scenarios!$A:$A, 0))=0, IF(LEFT(INDEX(Scenarios!$P:$P, MATCH($A41, Scenarios!$A:$A, 0)),4)="Arts", Parameters_Public!$C$30, IF(LEFT(INDEX(Scenarios!$P:$P, MATCH($A41, Scenarios!$A:$A, 0)),5)="Innov", Parameters_Public!$C$31, 0)), 0), 0)</f>
        <v>0</v>
      </c>
      <c r="G41">
        <f>IF($B41="FY2026", INDEX(Receiving_Capacity!$L:$L, MATCH($A41, Receiving_Capacity!$A:$A, 0)), 0)</f>
        <v>0</v>
      </c>
      <c r="H41">
        <f t="shared" si="1"/>
        <v>0</v>
      </c>
    </row>
    <row r="42" spans="1:8">
      <c r="A42" t="str">
        <f>Scenarios!$A$9</f>
        <v>A1_Repurpose_Both_ops</v>
      </c>
      <c r="B42" t="s">
        <v>89</v>
      </c>
      <c r="C42">
        <f>INDEX(Scenarios!$D:$D, MATCH($A42, Scenarios!$A:$A, 0)) + INDEX(Scenarios!$E:$E, MATCH($A42, Scenarios!$A:$A, 0))</f>
        <v>2</v>
      </c>
      <c r="D42">
        <f>IF($B42="FY2026",$C42*IF(INDEX(Scenarios!$N:$N, MATCH($A42, Scenarios!$A:$A, 0))="lease", Parameters_Public!$C$33, Parameters_Public!$C$31),0)</f>
        <v>0</v>
      </c>
      <c r="E42">
        <f>IF($B42="FY2026", IF(INDEX(Scenarios!$D:$D, MATCH($A42, Scenarios!$A:$A, 0))=0, IF(LEFT(INDEX(Scenarios!$O:$O, MATCH($A42, Scenarios!$A:$A, 0)),4)="Arts", Parameters_Public!$C$30, IF(LEFT(INDEX(Scenarios!$O:$O, MATCH($A42, Scenarios!$A:$A, 0)),5)="Innov", Parameters_Public!$C$31, 0)), 0), 0)</f>
        <v>0</v>
      </c>
      <c r="F42">
        <f>IF($B42="FY2026", IF(INDEX(Scenarios!$E:$E, MATCH($A42, Scenarios!$A:$A, 0))=0, IF(LEFT(INDEX(Scenarios!$P:$P, MATCH($A42, Scenarios!$A:$A, 0)),4)="Arts", Parameters_Public!$C$30, IF(LEFT(INDEX(Scenarios!$P:$P, MATCH($A42, Scenarios!$A:$A, 0)),5)="Innov", Parameters_Public!$C$31, 0)), 0), 0)</f>
        <v>0</v>
      </c>
      <c r="G42">
        <f>IF($B42="FY2026", INDEX(Receiving_Capacity!$L:$L, MATCH($A42, Receiving_Capacity!$A:$A, 0)), 0)</f>
        <v>0</v>
      </c>
      <c r="H42">
        <f t="shared" si="1"/>
        <v>0</v>
      </c>
    </row>
    <row r="43" spans="1:8">
      <c r="A43" t="str">
        <f>Scenarios!$A$9</f>
        <v>A1_Repurpose_Both_ops</v>
      </c>
      <c r="B43" t="s">
        <v>90</v>
      </c>
      <c r="C43">
        <f>INDEX(Scenarios!$D:$D, MATCH($A43, Scenarios!$A:$A, 0)) + INDEX(Scenarios!$E:$E, MATCH($A43, Scenarios!$A:$A, 0))</f>
        <v>2</v>
      </c>
      <c r="D43">
        <f>IF($B43="FY2026",$C43*IF(INDEX(Scenarios!$N:$N, MATCH($A43, Scenarios!$A:$A, 0))="lease", Parameters_Public!$C$33, Parameters_Public!$C$31),0)</f>
        <v>0</v>
      </c>
      <c r="E43">
        <f>IF($B43="FY2026", IF(INDEX(Scenarios!$D:$D, MATCH($A43, Scenarios!$A:$A, 0))=0, IF(LEFT(INDEX(Scenarios!$O:$O, MATCH($A43, Scenarios!$A:$A, 0)),4)="Arts", Parameters_Public!$C$30, IF(LEFT(INDEX(Scenarios!$O:$O, MATCH($A43, Scenarios!$A:$A, 0)),5)="Innov", Parameters_Public!$C$31, 0)), 0), 0)</f>
        <v>0</v>
      </c>
      <c r="F43">
        <f>IF($B43="FY2026", IF(INDEX(Scenarios!$E:$E, MATCH($A43, Scenarios!$A:$A, 0))=0, IF(LEFT(INDEX(Scenarios!$P:$P, MATCH($A43, Scenarios!$A:$A, 0)),4)="Arts", Parameters_Public!$C$30, IF(LEFT(INDEX(Scenarios!$P:$P, MATCH($A43, Scenarios!$A:$A, 0)),5)="Innov", Parameters_Public!$C$31, 0)), 0), 0)</f>
        <v>0</v>
      </c>
      <c r="G43">
        <f>IF($B43="FY2026", INDEX(Receiving_Capacity!$L:$L, MATCH($A43, Receiving_Capacity!$A:$A, 0)), 0)</f>
        <v>0</v>
      </c>
      <c r="H43">
        <f t="shared" si="1"/>
        <v>0</v>
      </c>
    </row>
    <row r="44" spans="1:8">
      <c r="A44" t="str">
        <f>Scenarios!$A$10</f>
        <v>B2_Repurpose_Echo_lease_PimaTargets</v>
      </c>
      <c r="B44" t="s">
        <v>86</v>
      </c>
      <c r="C44">
        <f>INDEX(Scenarios!$D:$D, MATCH($A44, Scenarios!$A:$A, 0)) + INDEX(Scenarios!$E:$E, MATCH($A44, Scenarios!$A:$A, 0))</f>
        <v>1</v>
      </c>
      <c r="D44">
        <f>IF($B44="FY2026",$C44*IF(INDEX(Scenarios!$N:$N, MATCH($A44, Scenarios!$A:$A, 0))="lease", Parameters_Public!$C$33, Parameters_Public!$C$31),0)</f>
        <v>800000</v>
      </c>
      <c r="E44">
        <f>IF($B44="FY2026", IF(INDEX(Scenarios!$D:$D, MATCH($A44, Scenarios!$A:$A, 0))=0, IF(LEFT(INDEX(Scenarios!$O:$O, MATCH($A44, Scenarios!$A:$A, 0)),4)="Arts", Parameters_Public!$C$30, IF(LEFT(INDEX(Scenarios!$O:$O, MATCH($A44, Scenarios!$A:$A, 0)),5)="Innov", Parameters_Public!$C$31, 0)), 0), 0)</f>
        <v>0</v>
      </c>
      <c r="F44">
        <f>IF($B44="FY2026", IF(INDEX(Scenarios!$E:$E, MATCH($A44, Scenarios!$A:$A, 0))=0, IF(LEFT(INDEX(Scenarios!$P:$P, MATCH($A44, Scenarios!$A:$A, 0)),4)="Arts", Parameters_Public!$C$30, IF(LEFT(INDEX(Scenarios!$P:$P, MATCH($A44, Scenarios!$A:$A, 0)),5)="Innov", Parameters_Public!$C$31, 0)), 0), 0)</f>
        <v>0</v>
      </c>
      <c r="G44">
        <f>IF($B44="FY2026", INDEX(Receiving_Capacity!$L:$L, MATCH($A44, Receiving_Capacity!$A:$A, 0)), 0)</f>
        <v>0</v>
      </c>
      <c r="H44">
        <f t="shared" si="1"/>
        <v>800000</v>
      </c>
    </row>
    <row r="45" spans="1:8">
      <c r="A45" t="str">
        <f>Scenarios!$A$10</f>
        <v>B2_Repurpose_Echo_lease_PimaTargets</v>
      </c>
      <c r="B45" t="s">
        <v>87</v>
      </c>
      <c r="C45">
        <f>INDEX(Scenarios!$D:$D, MATCH($A45, Scenarios!$A:$A, 0)) + INDEX(Scenarios!$E:$E, MATCH($A45, Scenarios!$A:$A, 0))</f>
        <v>1</v>
      </c>
      <c r="D45">
        <f>IF($B45="FY2026",$C45*IF(INDEX(Scenarios!$N:$N, MATCH($A45, Scenarios!$A:$A, 0))="lease", Parameters_Public!$C$33, Parameters_Public!$C$31),0)</f>
        <v>0</v>
      </c>
      <c r="E45">
        <f>IF($B45="FY2026", IF(INDEX(Scenarios!$D:$D, MATCH($A45, Scenarios!$A:$A, 0))=0, IF(LEFT(INDEX(Scenarios!$O:$O, MATCH($A45, Scenarios!$A:$A, 0)),4)="Arts", Parameters_Public!$C$30, IF(LEFT(INDEX(Scenarios!$O:$O, MATCH($A45, Scenarios!$A:$A, 0)),5)="Innov", Parameters_Public!$C$31, 0)), 0), 0)</f>
        <v>0</v>
      </c>
      <c r="F45">
        <f>IF($B45="FY2026", IF(INDEX(Scenarios!$E:$E, MATCH($A45, Scenarios!$A:$A, 0))=0, IF(LEFT(INDEX(Scenarios!$P:$P, MATCH($A45, Scenarios!$A:$A, 0)),4)="Arts", Parameters_Public!$C$30, IF(LEFT(INDEX(Scenarios!$P:$P, MATCH($A45, Scenarios!$A:$A, 0)),5)="Innov", Parameters_Public!$C$31, 0)), 0), 0)</f>
        <v>0</v>
      </c>
      <c r="G45">
        <f>IF($B45="FY2026", INDEX(Receiving_Capacity!$L:$L, MATCH($A45, Receiving_Capacity!$A:$A, 0)), 0)</f>
        <v>0</v>
      </c>
      <c r="H45">
        <f t="shared" si="1"/>
        <v>0</v>
      </c>
    </row>
    <row r="46" spans="1:8">
      <c r="A46" t="str">
        <f>Scenarios!$A$10</f>
        <v>B2_Repurpose_Echo_lease_PimaTargets</v>
      </c>
      <c r="B46" t="s">
        <v>88</v>
      </c>
      <c r="C46">
        <f>INDEX(Scenarios!$D:$D, MATCH($A46, Scenarios!$A:$A, 0)) + INDEX(Scenarios!$E:$E, MATCH($A46, Scenarios!$A:$A, 0))</f>
        <v>1</v>
      </c>
      <c r="D46">
        <f>IF($B46="FY2026",$C46*IF(INDEX(Scenarios!$N:$N, MATCH($A46, Scenarios!$A:$A, 0))="lease", Parameters_Public!$C$33, Parameters_Public!$C$31),0)</f>
        <v>0</v>
      </c>
      <c r="E46">
        <f>IF($B46="FY2026", IF(INDEX(Scenarios!$D:$D, MATCH($A46, Scenarios!$A:$A, 0))=0, IF(LEFT(INDEX(Scenarios!$O:$O, MATCH($A46, Scenarios!$A:$A, 0)),4)="Arts", Parameters_Public!$C$30, IF(LEFT(INDEX(Scenarios!$O:$O, MATCH($A46, Scenarios!$A:$A, 0)),5)="Innov", Parameters_Public!$C$31, 0)), 0), 0)</f>
        <v>0</v>
      </c>
      <c r="F46">
        <f>IF($B46="FY2026", IF(INDEX(Scenarios!$E:$E, MATCH($A46, Scenarios!$A:$A, 0))=0, IF(LEFT(INDEX(Scenarios!$P:$P, MATCH($A46, Scenarios!$A:$A, 0)),4)="Arts", Parameters_Public!$C$30, IF(LEFT(INDEX(Scenarios!$P:$P, MATCH($A46, Scenarios!$A:$A, 0)),5)="Innov", Parameters_Public!$C$31, 0)), 0), 0)</f>
        <v>0</v>
      </c>
      <c r="G46">
        <f>IF($B46="FY2026", INDEX(Receiving_Capacity!$L:$L, MATCH($A46, Receiving_Capacity!$A:$A, 0)), 0)</f>
        <v>0</v>
      </c>
      <c r="H46">
        <f t="shared" si="1"/>
        <v>0</v>
      </c>
    </row>
    <row r="47" spans="1:8">
      <c r="A47" t="str">
        <f>Scenarios!$A$10</f>
        <v>B2_Repurpose_Echo_lease_PimaTargets</v>
      </c>
      <c r="B47" t="s">
        <v>89</v>
      </c>
      <c r="C47">
        <f>INDEX(Scenarios!$D:$D, MATCH($A47, Scenarios!$A:$A, 0)) + INDEX(Scenarios!$E:$E, MATCH($A47, Scenarios!$A:$A, 0))</f>
        <v>1</v>
      </c>
      <c r="D47">
        <f>IF($B47="FY2026",$C47*IF(INDEX(Scenarios!$N:$N, MATCH($A47, Scenarios!$A:$A, 0))="lease", Parameters_Public!$C$33, Parameters_Public!$C$31),0)</f>
        <v>0</v>
      </c>
      <c r="E47">
        <f>IF($B47="FY2026", IF(INDEX(Scenarios!$D:$D, MATCH($A47, Scenarios!$A:$A, 0))=0, IF(LEFT(INDEX(Scenarios!$O:$O, MATCH($A47, Scenarios!$A:$A, 0)),4)="Arts", Parameters_Public!$C$30, IF(LEFT(INDEX(Scenarios!$O:$O, MATCH($A47, Scenarios!$A:$A, 0)),5)="Innov", Parameters_Public!$C$31, 0)), 0), 0)</f>
        <v>0</v>
      </c>
      <c r="F47">
        <f>IF($B47="FY2026", IF(INDEX(Scenarios!$E:$E, MATCH($A47, Scenarios!$A:$A, 0))=0, IF(LEFT(INDEX(Scenarios!$P:$P, MATCH($A47, Scenarios!$A:$A, 0)),4)="Arts", Parameters_Public!$C$30, IF(LEFT(INDEX(Scenarios!$P:$P, MATCH($A47, Scenarios!$A:$A, 0)),5)="Innov", Parameters_Public!$C$31, 0)), 0), 0)</f>
        <v>0</v>
      </c>
      <c r="G47">
        <f>IF($B47="FY2026", INDEX(Receiving_Capacity!$L:$L, MATCH($A47, Receiving_Capacity!$A:$A, 0)), 0)</f>
        <v>0</v>
      </c>
      <c r="H47">
        <f t="shared" si="1"/>
        <v>0</v>
      </c>
    </row>
    <row r="48" spans="1:8">
      <c r="A48" t="str">
        <f>Scenarios!$A$10</f>
        <v>B2_Repurpose_Echo_lease_PimaTargets</v>
      </c>
      <c r="B48" t="s">
        <v>90</v>
      </c>
      <c r="C48">
        <f>INDEX(Scenarios!$D:$D, MATCH($A48, Scenarios!$A:$A, 0)) + INDEX(Scenarios!$E:$E, MATCH($A48, Scenarios!$A:$A, 0))</f>
        <v>1</v>
      </c>
      <c r="D48">
        <f>IF($B48="FY2026",$C48*IF(INDEX(Scenarios!$N:$N, MATCH($A48, Scenarios!$A:$A, 0))="lease", Parameters_Public!$C$33, Parameters_Public!$C$31),0)</f>
        <v>0</v>
      </c>
      <c r="E48">
        <f>IF($B48="FY2026", IF(INDEX(Scenarios!$D:$D, MATCH($A48, Scenarios!$A:$A, 0))=0, IF(LEFT(INDEX(Scenarios!$O:$O, MATCH($A48, Scenarios!$A:$A, 0)),4)="Arts", Parameters_Public!$C$30, IF(LEFT(INDEX(Scenarios!$O:$O, MATCH($A48, Scenarios!$A:$A, 0)),5)="Innov", Parameters_Public!$C$31, 0)), 0), 0)</f>
        <v>0</v>
      </c>
      <c r="F48">
        <f>IF($B48="FY2026", IF(INDEX(Scenarios!$E:$E, MATCH($A48, Scenarios!$A:$A, 0))=0, IF(LEFT(INDEX(Scenarios!$P:$P, MATCH($A48, Scenarios!$A:$A, 0)),4)="Arts", Parameters_Public!$C$30, IF(LEFT(INDEX(Scenarios!$P:$P, MATCH($A48, Scenarios!$A:$A, 0)),5)="Innov", Parameters_Public!$C$31, 0)), 0), 0)</f>
        <v>0</v>
      </c>
      <c r="G48">
        <f>IF($B48="FY2026", INDEX(Receiving_Capacity!$L:$L, MATCH($A48, Receiving_Capacity!$A:$A, 0)), 0)</f>
        <v>0</v>
      </c>
      <c r="H48">
        <f t="shared" si="1"/>
        <v>0</v>
      </c>
    </row>
    <row r="49" spans="1:8">
      <c r="A49" t="str">
        <f>Scenarios!$A$11</f>
        <v>B1_Repurpose_Echo_ops_PimaTargets</v>
      </c>
      <c r="B49" t="s">
        <v>86</v>
      </c>
      <c r="C49">
        <f>INDEX(Scenarios!$D:$D, MATCH($A49, Scenarios!$A:$A, 0)) + INDEX(Scenarios!$E:$E, MATCH($A49, Scenarios!$A:$A, 0))</f>
        <v>1</v>
      </c>
      <c r="D49">
        <f>IF($B49="FY2026",$C49*IF(INDEX(Scenarios!$N:$N, MATCH($A49, Scenarios!$A:$A, 0))="lease", Parameters_Public!$C$33, Parameters_Public!$C$31),0)</f>
        <v>1200000</v>
      </c>
      <c r="E49">
        <f>IF($B49="FY2026", IF(INDEX(Scenarios!$D:$D, MATCH($A49, Scenarios!$A:$A, 0))=0, IF(LEFT(INDEX(Scenarios!$O:$O, MATCH($A49, Scenarios!$A:$A, 0)),4)="Arts", Parameters_Public!$C$30, IF(LEFT(INDEX(Scenarios!$O:$O, MATCH($A49, Scenarios!$A:$A, 0)),5)="Innov", Parameters_Public!$C$31, 0)), 0), 0)</f>
        <v>0</v>
      </c>
      <c r="F49">
        <f>IF($B49="FY2026", IF(INDEX(Scenarios!$E:$E, MATCH($A49, Scenarios!$A:$A, 0))=0, IF(LEFT(INDEX(Scenarios!$P:$P, MATCH($A49, Scenarios!$A:$A, 0)),4)="Arts", Parameters_Public!$C$30, IF(LEFT(INDEX(Scenarios!$P:$P, MATCH($A49, Scenarios!$A:$A, 0)),5)="Innov", Parameters_Public!$C$31, 0)), 0), 0)</f>
        <v>0</v>
      </c>
      <c r="G49">
        <f>IF($B49="FY2026", INDEX(Receiving_Capacity!$L:$L, MATCH($A49, Receiving_Capacity!$A:$A, 0)), 0)</f>
        <v>0</v>
      </c>
      <c r="H49">
        <f t="shared" si="1"/>
        <v>1200000</v>
      </c>
    </row>
    <row r="50" spans="1:8">
      <c r="A50" t="str">
        <f>Scenarios!$A$11</f>
        <v>B1_Repurpose_Echo_ops_PimaTargets</v>
      </c>
      <c r="B50" t="s">
        <v>87</v>
      </c>
      <c r="C50">
        <f>INDEX(Scenarios!$D:$D, MATCH($A50, Scenarios!$A:$A, 0)) + INDEX(Scenarios!$E:$E, MATCH($A50, Scenarios!$A:$A, 0))</f>
        <v>1</v>
      </c>
      <c r="D50">
        <f>IF($B50="FY2026",$C50*IF(INDEX(Scenarios!$N:$N, MATCH($A50, Scenarios!$A:$A, 0))="lease", Parameters_Public!$C$33, Parameters_Public!$C$31),0)</f>
        <v>0</v>
      </c>
      <c r="E50">
        <f>IF($B50="FY2026", IF(INDEX(Scenarios!$D:$D, MATCH($A50, Scenarios!$A:$A, 0))=0, IF(LEFT(INDEX(Scenarios!$O:$O, MATCH($A50, Scenarios!$A:$A, 0)),4)="Arts", Parameters_Public!$C$30, IF(LEFT(INDEX(Scenarios!$O:$O, MATCH($A50, Scenarios!$A:$A, 0)),5)="Innov", Parameters_Public!$C$31, 0)), 0), 0)</f>
        <v>0</v>
      </c>
      <c r="F50">
        <f>IF($B50="FY2026", IF(INDEX(Scenarios!$E:$E, MATCH($A50, Scenarios!$A:$A, 0))=0, IF(LEFT(INDEX(Scenarios!$P:$P, MATCH($A50, Scenarios!$A:$A, 0)),4)="Arts", Parameters_Public!$C$30, IF(LEFT(INDEX(Scenarios!$P:$P, MATCH($A50, Scenarios!$A:$A, 0)),5)="Innov", Parameters_Public!$C$31, 0)), 0), 0)</f>
        <v>0</v>
      </c>
      <c r="G50">
        <f>IF($B50="FY2026", INDEX(Receiving_Capacity!$L:$L, MATCH($A50, Receiving_Capacity!$A:$A, 0)), 0)</f>
        <v>0</v>
      </c>
      <c r="H50">
        <f t="shared" si="1"/>
        <v>0</v>
      </c>
    </row>
    <row r="51" spans="1:8">
      <c r="A51" t="str">
        <f>Scenarios!$A$11</f>
        <v>B1_Repurpose_Echo_ops_PimaTargets</v>
      </c>
      <c r="B51" t="s">
        <v>88</v>
      </c>
      <c r="C51">
        <f>INDEX(Scenarios!$D:$D, MATCH($A51, Scenarios!$A:$A, 0)) + INDEX(Scenarios!$E:$E, MATCH($A51, Scenarios!$A:$A, 0))</f>
        <v>1</v>
      </c>
      <c r="D51">
        <f>IF($B51="FY2026",$C51*IF(INDEX(Scenarios!$N:$N, MATCH($A51, Scenarios!$A:$A, 0))="lease", Parameters_Public!$C$33, Parameters_Public!$C$31),0)</f>
        <v>0</v>
      </c>
      <c r="E51">
        <f>IF($B51="FY2026", IF(INDEX(Scenarios!$D:$D, MATCH($A51, Scenarios!$A:$A, 0))=0, IF(LEFT(INDEX(Scenarios!$O:$O, MATCH($A51, Scenarios!$A:$A, 0)),4)="Arts", Parameters_Public!$C$30, IF(LEFT(INDEX(Scenarios!$O:$O, MATCH($A51, Scenarios!$A:$A, 0)),5)="Innov", Parameters_Public!$C$31, 0)), 0), 0)</f>
        <v>0</v>
      </c>
      <c r="F51">
        <f>IF($B51="FY2026", IF(INDEX(Scenarios!$E:$E, MATCH($A51, Scenarios!$A:$A, 0))=0, IF(LEFT(INDEX(Scenarios!$P:$P, MATCH($A51, Scenarios!$A:$A, 0)),4)="Arts", Parameters_Public!$C$30, IF(LEFT(INDEX(Scenarios!$P:$P, MATCH($A51, Scenarios!$A:$A, 0)),5)="Innov", Parameters_Public!$C$31, 0)), 0), 0)</f>
        <v>0</v>
      </c>
      <c r="G51">
        <f>IF($B51="FY2026", INDEX(Receiving_Capacity!$L:$L, MATCH($A51, Receiving_Capacity!$A:$A, 0)), 0)</f>
        <v>0</v>
      </c>
      <c r="H51">
        <f t="shared" si="1"/>
        <v>0</v>
      </c>
    </row>
    <row r="52" spans="1:8">
      <c r="A52" t="str">
        <f>Scenarios!$A$11</f>
        <v>B1_Repurpose_Echo_ops_PimaTargets</v>
      </c>
      <c r="B52" t="s">
        <v>89</v>
      </c>
      <c r="C52">
        <f>INDEX(Scenarios!$D:$D, MATCH($A52, Scenarios!$A:$A, 0)) + INDEX(Scenarios!$E:$E, MATCH($A52, Scenarios!$A:$A, 0))</f>
        <v>1</v>
      </c>
      <c r="D52">
        <f>IF($B52="FY2026",$C52*IF(INDEX(Scenarios!$N:$N, MATCH($A52, Scenarios!$A:$A, 0))="lease", Parameters_Public!$C$33, Parameters_Public!$C$31),0)</f>
        <v>0</v>
      </c>
      <c r="E52">
        <f>IF($B52="FY2026", IF(INDEX(Scenarios!$D:$D, MATCH($A52, Scenarios!$A:$A, 0))=0, IF(LEFT(INDEX(Scenarios!$O:$O, MATCH($A52, Scenarios!$A:$A, 0)),4)="Arts", Parameters_Public!$C$30, IF(LEFT(INDEX(Scenarios!$O:$O, MATCH($A52, Scenarios!$A:$A, 0)),5)="Innov", Parameters_Public!$C$31, 0)), 0), 0)</f>
        <v>0</v>
      </c>
      <c r="F52">
        <f>IF($B52="FY2026", IF(INDEX(Scenarios!$E:$E, MATCH($A52, Scenarios!$A:$A, 0))=0, IF(LEFT(INDEX(Scenarios!$P:$P, MATCH($A52, Scenarios!$A:$A, 0)),4)="Arts", Parameters_Public!$C$30, IF(LEFT(INDEX(Scenarios!$P:$P, MATCH($A52, Scenarios!$A:$A, 0)),5)="Innov", Parameters_Public!$C$31, 0)), 0), 0)</f>
        <v>0</v>
      </c>
      <c r="G52">
        <f>IF($B52="FY2026", INDEX(Receiving_Capacity!$L:$L, MATCH($A52, Receiving_Capacity!$A:$A, 0)), 0)</f>
        <v>0</v>
      </c>
      <c r="H52">
        <f t="shared" si="1"/>
        <v>0</v>
      </c>
    </row>
    <row r="53" spans="1:8">
      <c r="A53" t="str">
        <f>Scenarios!$A$11</f>
        <v>B1_Repurpose_Echo_ops_PimaTargets</v>
      </c>
      <c r="B53" t="s">
        <v>90</v>
      </c>
      <c r="C53">
        <f>INDEX(Scenarios!$D:$D, MATCH($A53, Scenarios!$A:$A, 0)) + INDEX(Scenarios!$E:$E, MATCH($A53, Scenarios!$A:$A, 0))</f>
        <v>1</v>
      </c>
      <c r="D53">
        <f>IF($B53="FY2026",$C53*IF(INDEX(Scenarios!$N:$N, MATCH($A53, Scenarios!$A:$A, 0))="lease", Parameters_Public!$C$33, Parameters_Public!$C$31),0)</f>
        <v>0</v>
      </c>
      <c r="E53">
        <f>IF($B53="FY2026", IF(INDEX(Scenarios!$D:$D, MATCH($A53, Scenarios!$A:$A, 0))=0, IF(LEFT(INDEX(Scenarios!$O:$O, MATCH($A53, Scenarios!$A:$A, 0)),4)="Arts", Parameters_Public!$C$30, IF(LEFT(INDEX(Scenarios!$O:$O, MATCH($A53, Scenarios!$A:$A, 0)),5)="Innov", Parameters_Public!$C$31, 0)), 0), 0)</f>
        <v>0</v>
      </c>
      <c r="F53">
        <f>IF($B53="FY2026", IF(INDEX(Scenarios!$E:$E, MATCH($A53, Scenarios!$A:$A, 0))=0, IF(LEFT(INDEX(Scenarios!$P:$P, MATCH($A53, Scenarios!$A:$A, 0)),4)="Arts", Parameters_Public!$C$30, IF(LEFT(INDEX(Scenarios!$P:$P, MATCH($A53, Scenarios!$A:$A, 0)),5)="Innov", Parameters_Public!$C$31, 0)), 0), 0)</f>
        <v>0</v>
      </c>
      <c r="G53">
        <f>IF($B53="FY2026", INDEX(Receiving_Capacity!$L:$L, MATCH($A53, Receiving_Capacity!$A:$A, 0)), 0)</f>
        <v>0</v>
      </c>
      <c r="H53">
        <f t="shared" si="1"/>
        <v>0</v>
      </c>
    </row>
    <row r="54" spans="1:8">
      <c r="A54" t="str">
        <f>Scenarios!$A$12</f>
        <v>C2_Repurpose_Pima_lease_EchoGHub_EchoTargets</v>
      </c>
      <c r="B54" t="s">
        <v>86</v>
      </c>
      <c r="C54">
        <f>INDEX(Scenarios!$D:$D, MATCH($A54, Scenarios!$A:$A, 0)) + INDEX(Scenarios!$E:$E, MATCH($A54, Scenarios!$A:$A, 0))</f>
        <v>1</v>
      </c>
      <c r="D54">
        <f>IF($B54="FY2026",$C54*IF(INDEX(Scenarios!$N:$N, MATCH($A54, Scenarios!$A:$A, 0))="lease", Parameters_Public!$C$33, Parameters_Public!$C$31),0)</f>
        <v>800000</v>
      </c>
      <c r="E54">
        <f>IF($B54="FY2026", IF(INDEX(Scenarios!$D:$D, MATCH($A54, Scenarios!$A:$A, 0))=0, IF(LEFT(INDEX(Scenarios!$O:$O, MATCH($A54, Scenarios!$A:$A, 0)),4)="Arts", Parameters_Public!$C$30, IF(LEFT(INDEX(Scenarios!$O:$O, MATCH($A54, Scenarios!$A:$A, 0)),5)="Innov", Parameters_Public!$C$31, 0)), 0), 0)</f>
        <v>800000</v>
      </c>
      <c r="F54">
        <f>IF($B54="FY2026", IF(INDEX(Scenarios!$E:$E, MATCH($A54, Scenarios!$A:$A, 0))=0, IF(LEFT(INDEX(Scenarios!$P:$P, MATCH($A54, Scenarios!$A:$A, 0)),4)="Arts", Parameters_Public!$C$30, IF(LEFT(INDEX(Scenarios!$P:$P, MATCH($A54, Scenarios!$A:$A, 0)),5)="Innov", Parameters_Public!$C$31, 0)), 0), 0)</f>
        <v>0</v>
      </c>
      <c r="G54">
        <f>IF($B54="FY2026", INDEX(Receiving_Capacity!$L:$L, MATCH($A54, Receiving_Capacity!$A:$A, 0)), 0)</f>
        <v>0</v>
      </c>
      <c r="H54">
        <f t="shared" si="1"/>
        <v>1600000</v>
      </c>
    </row>
    <row r="55" spans="1:8">
      <c r="A55" t="str">
        <f>Scenarios!$A$12</f>
        <v>C2_Repurpose_Pima_lease_EchoGHub_EchoTargets</v>
      </c>
      <c r="B55" t="s">
        <v>87</v>
      </c>
      <c r="C55">
        <f>INDEX(Scenarios!$D:$D, MATCH($A55, Scenarios!$A:$A, 0)) + INDEX(Scenarios!$E:$E, MATCH($A55, Scenarios!$A:$A, 0))</f>
        <v>1</v>
      </c>
      <c r="D55">
        <f>IF($B55="FY2026",$C55*IF(INDEX(Scenarios!$N:$N, MATCH($A55, Scenarios!$A:$A, 0))="lease", Parameters_Public!$C$33, Parameters_Public!$C$31),0)</f>
        <v>0</v>
      </c>
      <c r="E55">
        <f>IF($B55="FY2026", IF(INDEX(Scenarios!$D:$D, MATCH($A55, Scenarios!$A:$A, 0))=0, IF(LEFT(INDEX(Scenarios!$O:$O, MATCH($A55, Scenarios!$A:$A, 0)),4)="Arts", Parameters_Public!$C$30, IF(LEFT(INDEX(Scenarios!$O:$O, MATCH($A55, Scenarios!$A:$A, 0)),5)="Innov", Parameters_Public!$C$31, 0)), 0), 0)</f>
        <v>0</v>
      </c>
      <c r="F55">
        <f>IF($B55="FY2026", IF(INDEX(Scenarios!$E:$E, MATCH($A55, Scenarios!$A:$A, 0))=0, IF(LEFT(INDEX(Scenarios!$P:$P, MATCH($A55, Scenarios!$A:$A, 0)),4)="Arts", Parameters_Public!$C$30, IF(LEFT(INDEX(Scenarios!$P:$P, MATCH($A55, Scenarios!$A:$A, 0)),5)="Innov", Parameters_Public!$C$31, 0)), 0), 0)</f>
        <v>0</v>
      </c>
      <c r="G55">
        <f>IF($B55="FY2026", INDEX(Receiving_Capacity!$L:$L, MATCH($A55, Receiving_Capacity!$A:$A, 0)), 0)</f>
        <v>0</v>
      </c>
      <c r="H55">
        <f t="shared" si="1"/>
        <v>0</v>
      </c>
    </row>
    <row r="56" spans="1:8">
      <c r="A56" t="str">
        <f>Scenarios!$A$12</f>
        <v>C2_Repurpose_Pima_lease_EchoGHub_EchoTargets</v>
      </c>
      <c r="B56" t="s">
        <v>88</v>
      </c>
      <c r="C56">
        <f>INDEX(Scenarios!$D:$D, MATCH($A56, Scenarios!$A:$A, 0)) + INDEX(Scenarios!$E:$E, MATCH($A56, Scenarios!$A:$A, 0))</f>
        <v>1</v>
      </c>
      <c r="D56">
        <f>IF($B56="FY2026",$C56*IF(INDEX(Scenarios!$N:$N, MATCH($A56, Scenarios!$A:$A, 0))="lease", Parameters_Public!$C$33, Parameters_Public!$C$31),0)</f>
        <v>0</v>
      </c>
      <c r="E56">
        <f>IF($B56="FY2026", IF(INDEX(Scenarios!$D:$D, MATCH($A56, Scenarios!$A:$A, 0))=0, IF(LEFT(INDEX(Scenarios!$O:$O, MATCH($A56, Scenarios!$A:$A, 0)),4)="Arts", Parameters_Public!$C$30, IF(LEFT(INDEX(Scenarios!$O:$O, MATCH($A56, Scenarios!$A:$A, 0)),5)="Innov", Parameters_Public!$C$31, 0)), 0), 0)</f>
        <v>0</v>
      </c>
      <c r="F56">
        <f>IF($B56="FY2026", IF(INDEX(Scenarios!$E:$E, MATCH($A56, Scenarios!$A:$A, 0))=0, IF(LEFT(INDEX(Scenarios!$P:$P, MATCH($A56, Scenarios!$A:$A, 0)),4)="Arts", Parameters_Public!$C$30, IF(LEFT(INDEX(Scenarios!$P:$P, MATCH($A56, Scenarios!$A:$A, 0)),5)="Innov", Parameters_Public!$C$31, 0)), 0), 0)</f>
        <v>0</v>
      </c>
      <c r="G56">
        <f>IF($B56="FY2026", INDEX(Receiving_Capacity!$L:$L, MATCH($A56, Receiving_Capacity!$A:$A, 0)), 0)</f>
        <v>0</v>
      </c>
      <c r="H56">
        <f t="shared" si="1"/>
        <v>0</v>
      </c>
    </row>
    <row r="57" spans="1:8">
      <c r="A57" t="str">
        <f>Scenarios!$A$12</f>
        <v>C2_Repurpose_Pima_lease_EchoGHub_EchoTargets</v>
      </c>
      <c r="B57" t="s">
        <v>89</v>
      </c>
      <c r="C57">
        <f>INDEX(Scenarios!$D:$D, MATCH($A57, Scenarios!$A:$A, 0)) + INDEX(Scenarios!$E:$E, MATCH($A57, Scenarios!$A:$A, 0))</f>
        <v>1</v>
      </c>
      <c r="D57">
        <f>IF($B57="FY2026",$C57*IF(INDEX(Scenarios!$N:$N, MATCH($A57, Scenarios!$A:$A, 0))="lease", Parameters_Public!$C$33, Parameters_Public!$C$31),0)</f>
        <v>0</v>
      </c>
      <c r="E57">
        <f>IF($B57="FY2026", IF(INDEX(Scenarios!$D:$D, MATCH($A57, Scenarios!$A:$A, 0))=0, IF(LEFT(INDEX(Scenarios!$O:$O, MATCH($A57, Scenarios!$A:$A, 0)),4)="Arts", Parameters_Public!$C$30, IF(LEFT(INDEX(Scenarios!$O:$O, MATCH($A57, Scenarios!$A:$A, 0)),5)="Innov", Parameters_Public!$C$31, 0)), 0), 0)</f>
        <v>0</v>
      </c>
      <c r="F57">
        <f>IF($B57="FY2026", IF(INDEX(Scenarios!$E:$E, MATCH($A57, Scenarios!$A:$A, 0))=0, IF(LEFT(INDEX(Scenarios!$P:$P, MATCH($A57, Scenarios!$A:$A, 0)),4)="Arts", Parameters_Public!$C$30, IF(LEFT(INDEX(Scenarios!$P:$P, MATCH($A57, Scenarios!$A:$A, 0)),5)="Innov", Parameters_Public!$C$31, 0)), 0), 0)</f>
        <v>0</v>
      </c>
      <c r="G57">
        <f>IF($B57="FY2026", INDEX(Receiving_Capacity!$L:$L, MATCH($A57, Receiving_Capacity!$A:$A, 0)), 0)</f>
        <v>0</v>
      </c>
      <c r="H57">
        <f t="shared" si="1"/>
        <v>0</v>
      </c>
    </row>
    <row r="58" spans="1:8">
      <c r="A58" t="str">
        <f>Scenarios!$A$12</f>
        <v>C2_Repurpose_Pima_lease_EchoGHub_EchoTargets</v>
      </c>
      <c r="B58" t="s">
        <v>90</v>
      </c>
      <c r="C58">
        <f>INDEX(Scenarios!$D:$D, MATCH($A58, Scenarios!$A:$A, 0)) + INDEX(Scenarios!$E:$E, MATCH($A58, Scenarios!$A:$A, 0))</f>
        <v>1</v>
      </c>
      <c r="D58">
        <f>IF($B58="FY2026",$C58*IF(INDEX(Scenarios!$N:$N, MATCH($A58, Scenarios!$A:$A, 0))="lease", Parameters_Public!$C$33, Parameters_Public!$C$31),0)</f>
        <v>0</v>
      </c>
      <c r="E58">
        <f>IF($B58="FY2026", IF(INDEX(Scenarios!$D:$D, MATCH($A58, Scenarios!$A:$A, 0))=0, IF(LEFT(INDEX(Scenarios!$O:$O, MATCH($A58, Scenarios!$A:$A, 0)),4)="Arts", Parameters_Public!$C$30, IF(LEFT(INDEX(Scenarios!$O:$O, MATCH($A58, Scenarios!$A:$A, 0)),5)="Innov", Parameters_Public!$C$31, 0)), 0), 0)</f>
        <v>0</v>
      </c>
      <c r="F58">
        <f>IF($B58="FY2026", IF(INDEX(Scenarios!$E:$E, MATCH($A58, Scenarios!$A:$A, 0))=0, IF(LEFT(INDEX(Scenarios!$P:$P, MATCH($A58, Scenarios!$A:$A, 0)),4)="Arts", Parameters_Public!$C$30, IF(LEFT(INDEX(Scenarios!$P:$P, MATCH($A58, Scenarios!$A:$A, 0)),5)="Innov", Parameters_Public!$C$31, 0)), 0), 0)</f>
        <v>0</v>
      </c>
      <c r="G58">
        <f>IF($B58="FY2026", INDEX(Receiving_Capacity!$L:$L, MATCH($A58, Receiving_Capacity!$A:$A, 0)), 0)</f>
        <v>0</v>
      </c>
      <c r="H58">
        <f t="shared" si="1"/>
        <v>0</v>
      </c>
    </row>
    <row r="59" spans="1:8">
      <c r="A59" t="str">
        <f>Scenarios!$A$13</f>
        <v>C1_Repurpose_Pima_ops_EchoGHub_EchoTargets</v>
      </c>
      <c r="B59" t="s">
        <v>86</v>
      </c>
      <c r="C59">
        <f>INDEX(Scenarios!$D:$D, MATCH($A59, Scenarios!$A:$A, 0)) + INDEX(Scenarios!$E:$E, MATCH($A59, Scenarios!$A:$A, 0))</f>
        <v>1</v>
      </c>
      <c r="D59">
        <f>IF($B59="FY2026",$C59*IF(INDEX(Scenarios!$N:$N, MATCH($A59, Scenarios!$A:$A, 0))="lease", Parameters_Public!$C$33, Parameters_Public!$C$31),0)</f>
        <v>1200000</v>
      </c>
      <c r="E59">
        <f>IF($B59="FY2026", IF(INDEX(Scenarios!$D:$D, MATCH($A59, Scenarios!$A:$A, 0))=0, IF(LEFT(INDEX(Scenarios!$O:$O, MATCH($A59, Scenarios!$A:$A, 0)),4)="Arts", Parameters_Public!$C$30, IF(LEFT(INDEX(Scenarios!$O:$O, MATCH($A59, Scenarios!$A:$A, 0)),5)="Innov", Parameters_Public!$C$31, 0)), 0), 0)</f>
        <v>800000</v>
      </c>
      <c r="F59">
        <f>IF($B59="FY2026", IF(INDEX(Scenarios!$E:$E, MATCH($A59, Scenarios!$A:$A, 0))=0, IF(LEFT(INDEX(Scenarios!$P:$P, MATCH($A59, Scenarios!$A:$A, 0)),4)="Arts", Parameters_Public!$C$30, IF(LEFT(INDEX(Scenarios!$P:$P, MATCH($A59, Scenarios!$A:$A, 0)),5)="Innov", Parameters_Public!$C$31, 0)), 0), 0)</f>
        <v>0</v>
      </c>
      <c r="G59">
        <f>IF($B59="FY2026", INDEX(Receiving_Capacity!$L:$L, MATCH($A59, Receiving_Capacity!$A:$A, 0)), 0)</f>
        <v>0</v>
      </c>
      <c r="H59">
        <f t="shared" si="1"/>
        <v>2000000</v>
      </c>
    </row>
    <row r="60" spans="1:8">
      <c r="A60" t="str">
        <f>Scenarios!$A$13</f>
        <v>C1_Repurpose_Pima_ops_EchoGHub_EchoTargets</v>
      </c>
      <c r="B60" t="s">
        <v>87</v>
      </c>
      <c r="C60">
        <f>INDEX(Scenarios!$D:$D, MATCH($A60, Scenarios!$A:$A, 0)) + INDEX(Scenarios!$E:$E, MATCH($A60, Scenarios!$A:$A, 0))</f>
        <v>1</v>
      </c>
      <c r="D60">
        <f>IF($B60="FY2026",$C60*IF(INDEX(Scenarios!$N:$N, MATCH($A60, Scenarios!$A:$A, 0))="lease", Parameters_Public!$C$33, Parameters_Public!$C$31),0)</f>
        <v>0</v>
      </c>
      <c r="E60">
        <f>IF($B60="FY2026", IF(INDEX(Scenarios!$D:$D, MATCH($A60, Scenarios!$A:$A, 0))=0, IF(LEFT(INDEX(Scenarios!$O:$O, MATCH($A60, Scenarios!$A:$A, 0)),4)="Arts", Parameters_Public!$C$30, IF(LEFT(INDEX(Scenarios!$O:$O, MATCH($A60, Scenarios!$A:$A, 0)),5)="Innov", Parameters_Public!$C$31, 0)), 0), 0)</f>
        <v>0</v>
      </c>
      <c r="F60">
        <f>IF($B60="FY2026", IF(INDEX(Scenarios!$E:$E, MATCH($A60, Scenarios!$A:$A, 0))=0, IF(LEFT(INDEX(Scenarios!$P:$P, MATCH($A60, Scenarios!$A:$A, 0)),4)="Arts", Parameters_Public!$C$30, IF(LEFT(INDEX(Scenarios!$P:$P, MATCH($A60, Scenarios!$A:$A, 0)),5)="Innov", Parameters_Public!$C$31, 0)), 0), 0)</f>
        <v>0</v>
      </c>
      <c r="G60">
        <f>IF($B60="FY2026", INDEX(Receiving_Capacity!$L:$L, MATCH($A60, Receiving_Capacity!$A:$A, 0)), 0)</f>
        <v>0</v>
      </c>
      <c r="H60">
        <f t="shared" si="1"/>
        <v>0</v>
      </c>
    </row>
    <row r="61" spans="1:8">
      <c r="A61" t="str">
        <f>Scenarios!$A$13</f>
        <v>C1_Repurpose_Pima_ops_EchoGHub_EchoTargets</v>
      </c>
      <c r="B61" t="s">
        <v>88</v>
      </c>
      <c r="C61">
        <f>INDEX(Scenarios!$D:$D, MATCH($A61, Scenarios!$A:$A, 0)) + INDEX(Scenarios!$E:$E, MATCH($A61, Scenarios!$A:$A, 0))</f>
        <v>1</v>
      </c>
      <c r="D61">
        <f>IF($B61="FY2026",$C61*IF(INDEX(Scenarios!$N:$N, MATCH($A61, Scenarios!$A:$A, 0))="lease", Parameters_Public!$C$33, Parameters_Public!$C$31),0)</f>
        <v>0</v>
      </c>
      <c r="E61">
        <f>IF($B61="FY2026", IF(INDEX(Scenarios!$D:$D, MATCH($A61, Scenarios!$A:$A, 0))=0, IF(LEFT(INDEX(Scenarios!$O:$O, MATCH($A61, Scenarios!$A:$A, 0)),4)="Arts", Parameters_Public!$C$30, IF(LEFT(INDEX(Scenarios!$O:$O, MATCH($A61, Scenarios!$A:$A, 0)),5)="Innov", Parameters_Public!$C$31, 0)), 0), 0)</f>
        <v>0</v>
      </c>
      <c r="F61">
        <f>IF($B61="FY2026", IF(INDEX(Scenarios!$E:$E, MATCH($A61, Scenarios!$A:$A, 0))=0, IF(LEFT(INDEX(Scenarios!$P:$P, MATCH($A61, Scenarios!$A:$A, 0)),4)="Arts", Parameters_Public!$C$30, IF(LEFT(INDEX(Scenarios!$P:$P, MATCH($A61, Scenarios!$A:$A, 0)),5)="Innov", Parameters_Public!$C$31, 0)), 0), 0)</f>
        <v>0</v>
      </c>
      <c r="G61">
        <f>IF($B61="FY2026", INDEX(Receiving_Capacity!$L:$L, MATCH($A61, Receiving_Capacity!$A:$A, 0)), 0)</f>
        <v>0</v>
      </c>
      <c r="H61">
        <f t="shared" si="1"/>
        <v>0</v>
      </c>
    </row>
    <row r="62" spans="1:8">
      <c r="A62" t="str">
        <f>Scenarios!$A$13</f>
        <v>C1_Repurpose_Pima_ops_EchoGHub_EchoTargets</v>
      </c>
      <c r="B62" t="s">
        <v>89</v>
      </c>
      <c r="C62">
        <f>INDEX(Scenarios!$D:$D, MATCH($A62, Scenarios!$A:$A, 0)) + INDEX(Scenarios!$E:$E, MATCH($A62, Scenarios!$A:$A, 0))</f>
        <v>1</v>
      </c>
      <c r="D62">
        <f>IF($B62="FY2026",$C62*IF(INDEX(Scenarios!$N:$N, MATCH($A62, Scenarios!$A:$A, 0))="lease", Parameters_Public!$C$33, Parameters_Public!$C$31),0)</f>
        <v>0</v>
      </c>
      <c r="E62">
        <f>IF($B62="FY2026", IF(INDEX(Scenarios!$D:$D, MATCH($A62, Scenarios!$A:$A, 0))=0, IF(LEFT(INDEX(Scenarios!$O:$O, MATCH($A62, Scenarios!$A:$A, 0)),4)="Arts", Parameters_Public!$C$30, IF(LEFT(INDEX(Scenarios!$O:$O, MATCH($A62, Scenarios!$A:$A, 0)),5)="Innov", Parameters_Public!$C$31, 0)), 0), 0)</f>
        <v>0</v>
      </c>
      <c r="F62">
        <f>IF($B62="FY2026", IF(INDEX(Scenarios!$E:$E, MATCH($A62, Scenarios!$A:$A, 0))=0, IF(LEFT(INDEX(Scenarios!$P:$P, MATCH($A62, Scenarios!$A:$A, 0)),4)="Arts", Parameters_Public!$C$30, IF(LEFT(INDEX(Scenarios!$P:$P, MATCH($A62, Scenarios!$A:$A, 0)),5)="Innov", Parameters_Public!$C$31, 0)), 0), 0)</f>
        <v>0</v>
      </c>
      <c r="G62">
        <f>IF($B62="FY2026", INDEX(Receiving_Capacity!$L:$L, MATCH($A62, Receiving_Capacity!$A:$A, 0)), 0)</f>
        <v>0</v>
      </c>
      <c r="H62">
        <f t="shared" si="1"/>
        <v>0</v>
      </c>
    </row>
    <row r="63" spans="1:8">
      <c r="A63" t="str">
        <f>Scenarios!$A$13</f>
        <v>C1_Repurpose_Pima_ops_EchoGHub_EchoTargets</v>
      </c>
      <c r="B63" t="s">
        <v>90</v>
      </c>
      <c r="C63">
        <f>INDEX(Scenarios!$D:$D, MATCH($A63, Scenarios!$A:$A, 0)) + INDEX(Scenarios!$E:$E, MATCH($A63, Scenarios!$A:$A, 0))</f>
        <v>1</v>
      </c>
      <c r="D63">
        <f>IF($B63="FY2026",$C63*IF(INDEX(Scenarios!$N:$N, MATCH($A63, Scenarios!$A:$A, 0))="lease", Parameters_Public!$C$33, Parameters_Public!$C$31),0)</f>
        <v>0</v>
      </c>
      <c r="E63">
        <f>IF($B63="FY2026", IF(INDEX(Scenarios!$D:$D, MATCH($A63, Scenarios!$A:$A, 0))=0, IF(LEFT(INDEX(Scenarios!$O:$O, MATCH($A63, Scenarios!$A:$A, 0)),4)="Arts", Parameters_Public!$C$30, IF(LEFT(INDEX(Scenarios!$O:$O, MATCH($A63, Scenarios!$A:$A, 0)),5)="Innov", Parameters_Public!$C$31, 0)), 0), 0)</f>
        <v>0</v>
      </c>
      <c r="F63">
        <f>IF($B63="FY2026", IF(INDEX(Scenarios!$E:$E, MATCH($A63, Scenarios!$A:$A, 0))=0, IF(LEFT(INDEX(Scenarios!$P:$P, MATCH($A63, Scenarios!$A:$A, 0)),4)="Arts", Parameters_Public!$C$30, IF(LEFT(INDEX(Scenarios!$P:$P, MATCH($A63, Scenarios!$A:$A, 0)),5)="Innov", Parameters_Public!$C$31, 0)), 0), 0)</f>
        <v>0</v>
      </c>
      <c r="G63">
        <f>IF($B63="FY2026", INDEX(Receiving_Capacity!$L:$L, MATCH($A63, Receiving_Capacity!$A:$A, 0)), 0)</f>
        <v>0</v>
      </c>
      <c r="H63">
        <f t="shared" si="1"/>
        <v>0</v>
      </c>
    </row>
    <row r="64" spans="1:8">
      <c r="A64" t="str">
        <f>Scenarios!$A$14</f>
        <v>E1_StatusQuo_Decline</v>
      </c>
      <c r="B64" t="s">
        <v>86</v>
      </c>
      <c r="C64">
        <f>INDEX(Scenarios!$D:$D, MATCH($A64, Scenarios!$A:$A, 0)) + INDEX(Scenarios!$E:$E, MATCH($A64, Scenarios!$A:$A, 0))</f>
        <v>0</v>
      </c>
      <c r="D64">
        <f>IF($B64="FY2026",$C64*IF(INDEX(Scenarios!$N:$N, MATCH($A64, Scenarios!$A:$A, 0))="lease", Parameters_Public!$C$33, Parameters_Public!$C$31),0)</f>
        <v>0</v>
      </c>
      <c r="E64">
        <f>IF($B64="FY2026", IF(INDEX(Scenarios!$D:$D, MATCH($A64, Scenarios!$A:$A, 0))=0, IF(LEFT(INDEX(Scenarios!$O:$O, MATCH($A64, Scenarios!$A:$A, 0)),4)="Arts", Parameters_Public!$C$30, IF(LEFT(INDEX(Scenarios!$O:$O, MATCH($A64, Scenarios!$A:$A, 0)),5)="Innov", Parameters_Public!$C$31, 0)), 0), 0)</f>
        <v>0</v>
      </c>
      <c r="F64">
        <f>IF($B64="FY2026", IF(INDEX(Scenarios!$E:$E, MATCH($A64, Scenarios!$A:$A, 0))=0, IF(LEFT(INDEX(Scenarios!$P:$P, MATCH($A64, Scenarios!$A:$A, 0)),4)="Arts", Parameters_Public!$C$30, IF(LEFT(INDEX(Scenarios!$P:$P, MATCH($A64, Scenarios!$A:$A, 0)),5)="Innov", Parameters_Public!$C$31, 0)), 0), 0)</f>
        <v>0</v>
      </c>
      <c r="G64">
        <f>IF($B64="FY2026", INDEX(Receiving_Capacity!$L:$L, MATCH($A64, Receiving_Capacity!$A:$A, 0)), 0)</f>
        <v>0</v>
      </c>
      <c r="H64">
        <f t="shared" si="1"/>
        <v>0</v>
      </c>
    </row>
    <row r="65" spans="1:8">
      <c r="A65" t="str">
        <f>Scenarios!$A$14</f>
        <v>E1_StatusQuo_Decline</v>
      </c>
      <c r="B65" t="s">
        <v>87</v>
      </c>
      <c r="C65">
        <f>INDEX(Scenarios!$D:$D, MATCH($A65, Scenarios!$A:$A, 0)) + INDEX(Scenarios!$E:$E, MATCH($A65, Scenarios!$A:$A, 0))</f>
        <v>0</v>
      </c>
      <c r="D65">
        <f>IF($B65="FY2026",$C65*IF(INDEX(Scenarios!$N:$N, MATCH($A65, Scenarios!$A:$A, 0))="lease", Parameters_Public!$C$33, Parameters_Public!$C$31),0)</f>
        <v>0</v>
      </c>
      <c r="E65">
        <f>IF($B65="FY2026", IF(INDEX(Scenarios!$D:$D, MATCH($A65, Scenarios!$A:$A, 0))=0, IF(LEFT(INDEX(Scenarios!$O:$O, MATCH($A65, Scenarios!$A:$A, 0)),4)="Arts", Parameters_Public!$C$30, IF(LEFT(INDEX(Scenarios!$O:$O, MATCH($A65, Scenarios!$A:$A, 0)),5)="Innov", Parameters_Public!$C$31, 0)), 0), 0)</f>
        <v>0</v>
      </c>
      <c r="F65">
        <f>IF($B65="FY2026", IF(INDEX(Scenarios!$E:$E, MATCH($A65, Scenarios!$A:$A, 0))=0, IF(LEFT(INDEX(Scenarios!$P:$P, MATCH($A65, Scenarios!$A:$A, 0)),4)="Arts", Parameters_Public!$C$30, IF(LEFT(INDEX(Scenarios!$P:$P, MATCH($A65, Scenarios!$A:$A, 0)),5)="Innov", Parameters_Public!$C$31, 0)), 0), 0)</f>
        <v>0</v>
      </c>
      <c r="G65">
        <f>IF($B65="FY2026", INDEX(Receiving_Capacity!$L:$L, MATCH($A65, Receiving_Capacity!$A:$A, 0)), 0)</f>
        <v>0</v>
      </c>
      <c r="H65">
        <f t="shared" si="1"/>
        <v>0</v>
      </c>
    </row>
    <row r="66" spans="1:8">
      <c r="A66" t="str">
        <f>Scenarios!$A$14</f>
        <v>E1_StatusQuo_Decline</v>
      </c>
      <c r="B66" t="s">
        <v>88</v>
      </c>
      <c r="C66">
        <f>INDEX(Scenarios!$D:$D, MATCH($A66, Scenarios!$A:$A, 0)) + INDEX(Scenarios!$E:$E, MATCH($A66, Scenarios!$A:$A, 0))</f>
        <v>0</v>
      </c>
      <c r="D66">
        <f>IF($B66="FY2026",$C66*IF(INDEX(Scenarios!$N:$N, MATCH($A66, Scenarios!$A:$A, 0))="lease", Parameters_Public!$C$33, Parameters_Public!$C$31),0)</f>
        <v>0</v>
      </c>
      <c r="E66">
        <f>IF($B66="FY2026", IF(INDEX(Scenarios!$D:$D, MATCH($A66, Scenarios!$A:$A, 0))=0, IF(LEFT(INDEX(Scenarios!$O:$O, MATCH($A66, Scenarios!$A:$A, 0)),4)="Arts", Parameters_Public!$C$30, IF(LEFT(INDEX(Scenarios!$O:$O, MATCH($A66, Scenarios!$A:$A, 0)),5)="Innov", Parameters_Public!$C$31, 0)), 0), 0)</f>
        <v>0</v>
      </c>
      <c r="F66">
        <f>IF($B66="FY2026", IF(INDEX(Scenarios!$E:$E, MATCH($A66, Scenarios!$A:$A, 0))=0, IF(LEFT(INDEX(Scenarios!$P:$P, MATCH($A66, Scenarios!$A:$A, 0)),4)="Arts", Parameters_Public!$C$30, IF(LEFT(INDEX(Scenarios!$P:$P, MATCH($A66, Scenarios!$A:$A, 0)),5)="Innov", Parameters_Public!$C$31, 0)), 0), 0)</f>
        <v>0</v>
      </c>
      <c r="G66">
        <f>IF($B66="FY2026", INDEX(Receiving_Capacity!$L:$L, MATCH($A66, Receiving_Capacity!$A:$A, 0)), 0)</f>
        <v>0</v>
      </c>
      <c r="H66">
        <f t="shared" si="1"/>
        <v>0</v>
      </c>
    </row>
    <row r="67" spans="1:8">
      <c r="A67" t="str">
        <f>Scenarios!$A$14</f>
        <v>E1_StatusQuo_Decline</v>
      </c>
      <c r="B67" t="s">
        <v>89</v>
      </c>
      <c r="C67">
        <f>INDEX(Scenarios!$D:$D, MATCH($A67, Scenarios!$A:$A, 0)) + INDEX(Scenarios!$E:$E, MATCH($A67, Scenarios!$A:$A, 0))</f>
        <v>0</v>
      </c>
      <c r="D67">
        <f>IF($B67="FY2026",$C67*IF(INDEX(Scenarios!$N:$N, MATCH($A67, Scenarios!$A:$A, 0))="lease", Parameters_Public!$C$33, Parameters_Public!$C$31),0)</f>
        <v>0</v>
      </c>
      <c r="E67">
        <f>IF($B67="FY2026", IF(INDEX(Scenarios!$D:$D, MATCH($A67, Scenarios!$A:$A, 0))=0, IF(LEFT(INDEX(Scenarios!$O:$O, MATCH($A67, Scenarios!$A:$A, 0)),4)="Arts", Parameters_Public!$C$30, IF(LEFT(INDEX(Scenarios!$O:$O, MATCH($A67, Scenarios!$A:$A, 0)),5)="Innov", Parameters_Public!$C$31, 0)), 0), 0)</f>
        <v>0</v>
      </c>
      <c r="F67">
        <f>IF($B67="FY2026", IF(INDEX(Scenarios!$E:$E, MATCH($A67, Scenarios!$A:$A, 0))=0, IF(LEFT(INDEX(Scenarios!$P:$P, MATCH($A67, Scenarios!$A:$A, 0)),4)="Arts", Parameters_Public!$C$30, IF(LEFT(INDEX(Scenarios!$P:$P, MATCH($A67, Scenarios!$A:$A, 0)),5)="Innov", Parameters_Public!$C$31, 0)), 0), 0)</f>
        <v>0</v>
      </c>
      <c r="G67">
        <f>IF($B67="FY2026", INDEX(Receiving_Capacity!$L:$L, MATCH($A67, Receiving_Capacity!$A:$A, 0)), 0)</f>
        <v>0</v>
      </c>
      <c r="H67">
        <f t="shared" si="1"/>
        <v>0</v>
      </c>
    </row>
    <row r="68" spans="1:8">
      <c r="A68" t="str">
        <f>Scenarios!$A$14</f>
        <v>E1_StatusQuo_Decline</v>
      </c>
      <c r="B68" t="s">
        <v>90</v>
      </c>
      <c r="C68">
        <f>INDEX(Scenarios!$D:$D, MATCH($A68, Scenarios!$A:$A, 0)) + INDEX(Scenarios!$E:$E, MATCH($A68, Scenarios!$A:$A, 0))</f>
        <v>0</v>
      </c>
      <c r="D68">
        <f>IF($B68="FY2026",$C68*IF(INDEX(Scenarios!$N:$N, MATCH($A68, Scenarios!$A:$A, 0))="lease", Parameters_Public!$C$33, Parameters_Public!$C$31),0)</f>
        <v>0</v>
      </c>
      <c r="E68">
        <f>IF($B68="FY2026", IF(INDEX(Scenarios!$D:$D, MATCH($A68, Scenarios!$A:$A, 0))=0, IF(LEFT(INDEX(Scenarios!$O:$O, MATCH($A68, Scenarios!$A:$A, 0)),4)="Arts", Parameters_Public!$C$30, IF(LEFT(INDEX(Scenarios!$O:$O, MATCH($A68, Scenarios!$A:$A, 0)),5)="Innov", Parameters_Public!$C$31, 0)), 0), 0)</f>
        <v>0</v>
      </c>
      <c r="F68">
        <f>IF($B68="FY2026", IF(INDEX(Scenarios!$E:$E, MATCH($A68, Scenarios!$A:$A, 0))=0, IF(LEFT(INDEX(Scenarios!$P:$P, MATCH($A68, Scenarios!$A:$A, 0)),4)="Arts", Parameters_Public!$C$30, IF(LEFT(INDEX(Scenarios!$P:$P, MATCH($A68, Scenarios!$A:$A, 0)),5)="Innov", Parameters_Public!$C$31, 0)), 0), 0)</f>
        <v>0</v>
      </c>
      <c r="G68">
        <f>IF($B68="FY2026", INDEX(Receiving_Capacity!$L:$L, MATCH($A68, Receiving_Capacity!$A:$A, 0)), 0)</f>
        <v>0</v>
      </c>
      <c r="H68">
        <f t="shared" ref="H68:H99" si="2">SUM(D68:G68)</f>
        <v>0</v>
      </c>
    </row>
    <row r="70" spans="1:8">
      <c r="A70" s="4" t="s">
        <v>153</v>
      </c>
      <c r="B70" s="4" t="s">
        <v>226</v>
      </c>
    </row>
    <row r="71" spans="1:8">
      <c r="A71" t="str">
        <f t="array" ref="A71:A83">_xlfn.UNIQUE(A4:A68)</f>
        <v>F1_CUSTOM1</v>
      </c>
      <c r="B71" s="47">
        <f t="shared" ref="B71:B83" si="3">VLOOKUP(A71,A4:H63, 8, 0)</f>
        <v>0</v>
      </c>
    </row>
    <row r="72" spans="1:8">
      <c r="A72" t="str">
        <v>E3_StatusQuo_Targets</v>
      </c>
      <c r="B72" s="47">
        <f t="shared" si="3"/>
        <v>0</v>
      </c>
    </row>
    <row r="73" spans="1:8">
      <c r="A73" t="str">
        <v>D3_CoLocation_Echo_Targets</v>
      </c>
      <c r="B73" s="47">
        <f t="shared" si="3"/>
        <v>0</v>
      </c>
    </row>
    <row r="74" spans="1:8">
      <c r="A74" t="str">
        <v>D1_Grow_Both_Targets</v>
      </c>
      <c r="B74" s="47">
        <f t="shared" si="3"/>
        <v>2000000</v>
      </c>
    </row>
    <row r="75" spans="1:8">
      <c r="A75" t="str">
        <v>E2_StatusQuo_Steady</v>
      </c>
      <c r="B75" s="47">
        <f t="shared" si="3"/>
        <v>0</v>
      </c>
    </row>
    <row r="76" spans="1:8">
      <c r="A76" t="str">
        <v>D2_EchoGHubRamp_PimaTargets</v>
      </c>
      <c r="B76" s="47">
        <f t="shared" si="3"/>
        <v>800000</v>
      </c>
    </row>
    <row r="77" spans="1:8">
      <c r="A77" t="str">
        <v>A2_Repurpose_Both_lease</v>
      </c>
      <c r="B77" s="47">
        <f t="shared" si="3"/>
        <v>1600000</v>
      </c>
    </row>
    <row r="78" spans="1:8">
      <c r="A78" t="str">
        <v>A1_Repurpose_Both_ops</v>
      </c>
      <c r="B78" s="47">
        <f t="shared" si="3"/>
        <v>2400000</v>
      </c>
    </row>
    <row r="79" spans="1:8">
      <c r="A79" t="str">
        <v>B2_Repurpose_Echo_lease_PimaTargets</v>
      </c>
      <c r="B79" s="47">
        <f t="shared" si="3"/>
        <v>800000</v>
      </c>
    </row>
    <row r="80" spans="1:8">
      <c r="A80" t="str">
        <v>B1_Repurpose_Echo_ops_PimaTargets</v>
      </c>
      <c r="B80" s="47">
        <f t="shared" si="3"/>
        <v>1200000</v>
      </c>
    </row>
    <row r="81" spans="1:2">
      <c r="A81" t="str">
        <v>C2_Repurpose_Pima_lease_EchoGHub_EchoTargets</v>
      </c>
      <c r="B81" s="47">
        <f t="shared" si="3"/>
        <v>1600000</v>
      </c>
    </row>
    <row r="82" spans="1:2">
      <c r="A82" t="str">
        <v>C1_Repurpose_Pima_ops_EchoGHub_EchoTargets</v>
      </c>
      <c r="B82" s="47">
        <f t="shared" si="3"/>
        <v>2000000</v>
      </c>
    </row>
    <row r="83" spans="1:2">
      <c r="A83" t="str">
        <v>E1_StatusQuo_Decline</v>
      </c>
      <c r="B83" s="47">
        <f t="shared" si="3"/>
        <v>0</v>
      </c>
    </row>
  </sheetData>
  <mergeCells count="1">
    <mergeCell ref="A1:H1"/>
  </mergeCells>
  <pageMargins left="0.75" right="0.75" top="1" bottom="1"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8"/>
  <sheetViews>
    <sheetView zoomScale="80" zoomScaleNormal="80" workbookViewId="0">
      <selection activeCell="A4" sqref="A4"/>
    </sheetView>
  </sheetViews>
  <sheetFormatPr defaultRowHeight="14.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c r="A1" s="87" t="s">
        <v>227</v>
      </c>
      <c r="B1" s="87"/>
      <c r="C1" s="87"/>
      <c r="D1" s="87"/>
      <c r="E1" s="87"/>
      <c r="F1" s="87"/>
      <c r="G1" s="87"/>
      <c r="H1" s="87"/>
      <c r="I1" s="87"/>
      <c r="J1" s="87"/>
      <c r="K1" s="87"/>
      <c r="L1" s="87"/>
    </row>
    <row r="3" spans="1:12">
      <c r="A3" t="s">
        <v>153</v>
      </c>
      <c r="B3" t="s">
        <v>156</v>
      </c>
      <c r="C3" t="s">
        <v>157</v>
      </c>
      <c r="D3" t="s">
        <v>228</v>
      </c>
      <c r="E3" t="s">
        <v>229</v>
      </c>
      <c r="G3" t="s">
        <v>230</v>
      </c>
      <c r="H3" t="s">
        <v>231</v>
      </c>
      <c r="J3" t="s">
        <v>232</v>
      </c>
      <c r="K3" t="s">
        <v>233</v>
      </c>
      <c r="L3" t="s">
        <v>224</v>
      </c>
    </row>
    <row r="4" spans="1:12">
      <c r="A4" t="str">
        <f>Scenarios!$A$2</f>
        <v>F1_CUSTOM1</v>
      </c>
      <c r="B4">
        <f>INDEX(Scenarios!$D:$D, MATCH($A4, Scenarios!$A:$A, 0))</f>
        <v>0</v>
      </c>
      <c r="C4">
        <f>INDEX(Scenarios!$E:$E, MATCH($A4, Scenarios!$A:$A, 0))</f>
        <v>0</v>
      </c>
      <c r="D4" s="11">
        <f>INDEX(Scenarios!$D:$D, MATCH($A4, Scenarios!$A:$A, 0))*Parameters_Public!$C$22*Parameters_Public!$C$10*Parameters_Public!$C$36 + INDEX(Scenarios!$E:$E, MATCH($A4, Scenarios!$A:$A, 0))*Parameters_Public!$C$23*Parameters_Public!$C$11*Parameters_Public!$C$38</f>
        <v>0</v>
      </c>
      <c r="E4" s="11">
        <f>INDEX(Scenarios!$D:$D, MATCH($A4, Scenarios!$A:$A, 0))*Parameters_Public!$C$22*Parameters_Public!$C$10*Parameters_Public!$C$37 + INDEX(Scenarios!$E:$E, MATCH($A4, Scenarios!$A:$A, 0))*Parameters_Public!$C$23*Parameters_Public!$C$11*Parameters_Public!$C$39</f>
        <v>0</v>
      </c>
      <c r="G4">
        <f>Parameters_Public!$C$33</f>
        <v>800000</v>
      </c>
      <c r="H4">
        <f>Parameters_Public!$C$34</f>
        <v>12000</v>
      </c>
      <c r="J4" s="11">
        <f t="shared" ref="J4:J16" si="0">MAX(0, D4-G4)</f>
        <v>0</v>
      </c>
      <c r="K4" s="11">
        <f t="shared" ref="K4:K16" si="1">MAX(0, E4-H4)</f>
        <v>0</v>
      </c>
      <c r="L4">
        <f>(J4+K4)*Parameters_Public!$C$32</f>
        <v>0</v>
      </c>
    </row>
    <row r="5" spans="1:12">
      <c r="A5" t="str">
        <f>Scenarios!$A$3</f>
        <v>E3_StatusQuo_Targets</v>
      </c>
      <c r="B5">
        <f>INDEX(Scenarios!$D:$D, MATCH($A5, Scenarios!$A:$A, 0))</f>
        <v>0</v>
      </c>
      <c r="C5">
        <f>INDEX(Scenarios!$E:$E, MATCH($A5, Scenarios!$A:$A, 0))</f>
        <v>0</v>
      </c>
      <c r="D5" s="11">
        <f>INDEX(Scenarios!$D:$D, MATCH($A5, Scenarios!$A:$A, 0))*Parameters_Public!$C$22*Parameters_Public!$C$10*Parameters_Public!$C$36 + INDEX(Scenarios!$E:$E, MATCH($A5, Scenarios!$A:$A, 0))*Parameters_Public!$C$23*Parameters_Public!$C$11*Parameters_Public!$C$38</f>
        <v>0</v>
      </c>
      <c r="E5" s="11">
        <f>INDEX(Scenarios!$D:$D, MATCH($A5, Scenarios!$A:$A, 0))*Parameters_Public!$C$22*Parameters_Public!$C$10*Parameters_Public!$C$37 + INDEX(Scenarios!$E:$E, MATCH($A5, Scenarios!$A:$A, 0))*Parameters_Public!$C$23*Parameters_Public!$C$11*Parameters_Public!$C$39</f>
        <v>0</v>
      </c>
      <c r="G5">
        <f>Parameters_Public!$C$33</f>
        <v>800000</v>
      </c>
      <c r="H5">
        <f>Parameters_Public!$C$34</f>
        <v>12000</v>
      </c>
      <c r="J5" s="11">
        <f t="shared" si="0"/>
        <v>0</v>
      </c>
      <c r="K5" s="11">
        <f t="shared" si="1"/>
        <v>0</v>
      </c>
      <c r="L5">
        <f>(J5+K5)*Parameters_Public!$C$32</f>
        <v>0</v>
      </c>
    </row>
    <row r="6" spans="1:12">
      <c r="A6" t="str">
        <f>Scenarios!$A$4</f>
        <v>D3_CoLocation_Echo_Targets</v>
      </c>
      <c r="B6">
        <f>INDEX(Scenarios!$D:$D, MATCH($A6, Scenarios!$A:$A, 0))</f>
        <v>0</v>
      </c>
      <c r="C6">
        <f>INDEX(Scenarios!$E:$E, MATCH($A6, Scenarios!$A:$A, 0))</f>
        <v>0</v>
      </c>
      <c r="D6" s="11">
        <f>INDEX(Scenarios!$D:$D, MATCH($A6, Scenarios!$A:$A, 0))*Parameters_Public!$C$22*Parameters_Public!$C$10*Parameters_Public!$C$36 + INDEX(Scenarios!$E:$E, MATCH($A6, Scenarios!$A:$A, 0))*Parameters_Public!$C$23*Parameters_Public!$C$11*Parameters_Public!$C$38</f>
        <v>0</v>
      </c>
      <c r="E6" s="11">
        <f>INDEX(Scenarios!$D:$D, MATCH($A6, Scenarios!$A:$A, 0))*Parameters_Public!$C$22*Parameters_Public!$C$10*Parameters_Public!$C$37 + INDEX(Scenarios!$E:$E, MATCH($A6, Scenarios!$A:$A, 0))*Parameters_Public!$C$23*Parameters_Public!$C$11*Parameters_Public!$C$39</f>
        <v>0</v>
      </c>
      <c r="G6">
        <f>Parameters_Public!$C$33</f>
        <v>800000</v>
      </c>
      <c r="H6">
        <f>Parameters_Public!$C$34</f>
        <v>12000</v>
      </c>
      <c r="J6" s="11">
        <f t="shared" si="0"/>
        <v>0</v>
      </c>
      <c r="K6" s="11">
        <f t="shared" si="1"/>
        <v>0</v>
      </c>
      <c r="L6">
        <f>(J6+K6)*Parameters_Public!$C$32</f>
        <v>0</v>
      </c>
    </row>
    <row r="7" spans="1:12">
      <c r="A7" t="str">
        <f>Scenarios!$A$5</f>
        <v>D1_Grow_Both_Targets</v>
      </c>
      <c r="B7">
        <f>INDEX(Scenarios!$D:$D, MATCH($A7, Scenarios!$A:$A, 0))</f>
        <v>0</v>
      </c>
      <c r="C7">
        <f>INDEX(Scenarios!$E:$E, MATCH($A7, Scenarios!$A:$A, 0))</f>
        <v>0</v>
      </c>
      <c r="D7" s="11">
        <f>INDEX(Scenarios!$D:$D, MATCH($A7, Scenarios!$A:$A, 0))*Parameters_Public!$C$22*Parameters_Public!$C$10*Parameters_Public!$C$36 + INDEX(Scenarios!$E:$E, MATCH($A7, Scenarios!$A:$A, 0))*Parameters_Public!$C$23*Parameters_Public!$C$11*Parameters_Public!$C$38</f>
        <v>0</v>
      </c>
      <c r="E7" s="11">
        <f>INDEX(Scenarios!$D:$D, MATCH($A7, Scenarios!$A:$A, 0))*Parameters_Public!$C$22*Parameters_Public!$C$10*Parameters_Public!$C$37 + INDEX(Scenarios!$E:$E, MATCH($A7, Scenarios!$A:$A, 0))*Parameters_Public!$C$23*Parameters_Public!$C$11*Parameters_Public!$C$39</f>
        <v>0</v>
      </c>
      <c r="G7">
        <f>Parameters_Public!$C$33</f>
        <v>800000</v>
      </c>
      <c r="H7">
        <f>Parameters_Public!$C$34</f>
        <v>12000</v>
      </c>
      <c r="J7" s="11">
        <f t="shared" si="0"/>
        <v>0</v>
      </c>
      <c r="K7" s="11">
        <f t="shared" si="1"/>
        <v>0</v>
      </c>
      <c r="L7">
        <f>(J7+K7)*Parameters_Public!$C$32</f>
        <v>0</v>
      </c>
    </row>
    <row r="8" spans="1:12">
      <c r="A8" t="str">
        <f>Scenarios!$A$6</f>
        <v>E2_StatusQuo_Steady</v>
      </c>
      <c r="B8">
        <f>INDEX(Scenarios!$D:$D, MATCH($A8, Scenarios!$A:$A, 0))</f>
        <v>0</v>
      </c>
      <c r="C8">
        <f>INDEX(Scenarios!$E:$E, MATCH($A8, Scenarios!$A:$A, 0))</f>
        <v>0</v>
      </c>
      <c r="D8" s="11">
        <f>INDEX(Scenarios!$D:$D, MATCH($A8, Scenarios!$A:$A, 0))*Parameters_Public!$C$22*Parameters_Public!$C$10*Parameters_Public!$C$36 + INDEX(Scenarios!$E:$E, MATCH($A8, Scenarios!$A:$A, 0))*Parameters_Public!$C$23*Parameters_Public!$C$11*Parameters_Public!$C$38</f>
        <v>0</v>
      </c>
      <c r="E8" s="11">
        <f>INDEX(Scenarios!$D:$D, MATCH($A8, Scenarios!$A:$A, 0))*Parameters_Public!$C$22*Parameters_Public!$C$10*Parameters_Public!$C$37 + INDEX(Scenarios!$E:$E, MATCH($A8, Scenarios!$A:$A, 0))*Parameters_Public!$C$23*Parameters_Public!$C$11*Parameters_Public!$C$39</f>
        <v>0</v>
      </c>
      <c r="G8">
        <f>Parameters_Public!$C$33</f>
        <v>800000</v>
      </c>
      <c r="H8">
        <f>Parameters_Public!$C$34</f>
        <v>12000</v>
      </c>
      <c r="J8" s="11">
        <f t="shared" si="0"/>
        <v>0</v>
      </c>
      <c r="K8" s="11">
        <f t="shared" si="1"/>
        <v>0</v>
      </c>
      <c r="L8">
        <f>(J8+K8)*Parameters_Public!$C$32</f>
        <v>0</v>
      </c>
    </row>
    <row r="9" spans="1:12">
      <c r="A9" t="str">
        <f>Scenarios!$A$7</f>
        <v>D2_EchoGHubRamp_PimaTargets</v>
      </c>
      <c r="B9">
        <f>INDEX(Scenarios!$D:$D, MATCH($A9, Scenarios!$A:$A, 0))</f>
        <v>0</v>
      </c>
      <c r="C9">
        <f>INDEX(Scenarios!$E:$E, MATCH($A9, Scenarios!$A:$A, 0))</f>
        <v>0</v>
      </c>
      <c r="D9" s="11">
        <f>INDEX(Scenarios!$D:$D, MATCH($A9, Scenarios!$A:$A, 0))*Parameters_Public!$C$22*Parameters_Public!$C$10*Parameters_Public!$C$36 + INDEX(Scenarios!$E:$E, MATCH($A9, Scenarios!$A:$A, 0))*Parameters_Public!$C$23*Parameters_Public!$C$11*Parameters_Public!$C$38</f>
        <v>0</v>
      </c>
      <c r="E9" s="11">
        <f>INDEX(Scenarios!$D:$D, MATCH($A9, Scenarios!$A:$A, 0))*Parameters_Public!$C$22*Parameters_Public!$C$10*Parameters_Public!$C$37 + INDEX(Scenarios!$E:$E, MATCH($A9, Scenarios!$A:$A, 0))*Parameters_Public!$C$23*Parameters_Public!$C$11*Parameters_Public!$C$39</f>
        <v>0</v>
      </c>
      <c r="G9">
        <f>Parameters_Public!$C$33</f>
        <v>800000</v>
      </c>
      <c r="H9">
        <f>Parameters_Public!$C$34</f>
        <v>12000</v>
      </c>
      <c r="J9" s="11">
        <f t="shared" si="0"/>
        <v>0</v>
      </c>
      <c r="K9" s="11">
        <f t="shared" si="1"/>
        <v>0</v>
      </c>
      <c r="L9">
        <f>(J9+K9)*Parameters_Public!$C$32</f>
        <v>0</v>
      </c>
    </row>
    <row r="10" spans="1:12">
      <c r="A10" t="str">
        <f>Scenarios!$A$8</f>
        <v>A2_Repurpose_Both_lease</v>
      </c>
      <c r="B10">
        <f>INDEX(Scenarios!$D:$D, MATCH($A10, Scenarios!$A:$A, 0))</f>
        <v>1</v>
      </c>
      <c r="C10">
        <f>INDEX(Scenarios!$E:$E, MATCH($A10, Scenarios!$A:$A, 0))</f>
        <v>1</v>
      </c>
      <c r="D10" s="11">
        <f>INDEX(Scenarios!$D:$D, MATCH($A10, Scenarios!$A:$A, 0))*Parameters_Public!$C$22*Parameters_Public!$C$10*Parameters_Public!$C$36 + INDEX(Scenarios!$E:$E, MATCH($A10, Scenarios!$A:$A, 0))*Parameters_Public!$C$23*Parameters_Public!$C$11*Parameters_Public!$C$38</f>
        <v>1088.0700000000002</v>
      </c>
      <c r="E10" s="11">
        <f>INDEX(Scenarios!$D:$D, MATCH($A10, Scenarios!$A:$A, 0))*Parameters_Public!$C$22*Parameters_Public!$C$10*Parameters_Public!$C$37 + INDEX(Scenarios!$E:$E, MATCH($A10, Scenarios!$A:$A, 0))*Parameters_Public!$C$23*Parameters_Public!$C$11*Parameters_Public!$C$39</f>
        <v>53.279999999999994</v>
      </c>
      <c r="G10">
        <f>Parameters_Public!$C$33</f>
        <v>800000</v>
      </c>
      <c r="H10">
        <f>Parameters_Public!$C$34</f>
        <v>12000</v>
      </c>
      <c r="J10" s="11">
        <f t="shared" si="0"/>
        <v>0</v>
      </c>
      <c r="K10" s="11">
        <f t="shared" si="1"/>
        <v>0</v>
      </c>
      <c r="L10">
        <f>(J10+K10)*Parameters_Public!$C$32</f>
        <v>0</v>
      </c>
    </row>
    <row r="11" spans="1:12">
      <c r="A11" t="str">
        <f>Scenarios!$A$9</f>
        <v>A1_Repurpose_Both_ops</v>
      </c>
      <c r="B11">
        <f>INDEX(Scenarios!$D:$D, MATCH($A11, Scenarios!$A:$A, 0))</f>
        <v>1</v>
      </c>
      <c r="C11">
        <f>INDEX(Scenarios!$E:$E, MATCH($A11, Scenarios!$A:$A, 0))</f>
        <v>1</v>
      </c>
      <c r="D11" s="11">
        <f>INDEX(Scenarios!$D:$D, MATCH($A11, Scenarios!$A:$A, 0))*Parameters_Public!$C$22*Parameters_Public!$C$10*Parameters_Public!$C$36 + INDEX(Scenarios!$E:$E, MATCH($A11, Scenarios!$A:$A, 0))*Parameters_Public!$C$23*Parameters_Public!$C$11*Parameters_Public!$C$38</f>
        <v>1088.0700000000002</v>
      </c>
      <c r="E11" s="11">
        <f>INDEX(Scenarios!$D:$D, MATCH($A11, Scenarios!$A:$A, 0))*Parameters_Public!$C$22*Parameters_Public!$C$10*Parameters_Public!$C$37 + INDEX(Scenarios!$E:$E, MATCH($A11, Scenarios!$A:$A, 0))*Parameters_Public!$C$23*Parameters_Public!$C$11*Parameters_Public!$C$39</f>
        <v>53.279999999999994</v>
      </c>
      <c r="G11">
        <f>Parameters_Public!$C$33</f>
        <v>800000</v>
      </c>
      <c r="H11">
        <f>Parameters_Public!$C$34</f>
        <v>12000</v>
      </c>
      <c r="J11" s="11">
        <f t="shared" si="0"/>
        <v>0</v>
      </c>
      <c r="K11" s="11">
        <f t="shared" si="1"/>
        <v>0</v>
      </c>
      <c r="L11">
        <f>(J11+K11)*Parameters_Public!$C$32</f>
        <v>0</v>
      </c>
    </row>
    <row r="12" spans="1:12">
      <c r="A12" t="str">
        <f>Scenarios!$A$10</f>
        <v>B2_Repurpose_Echo_lease_PimaTargets</v>
      </c>
      <c r="B12">
        <f>INDEX(Scenarios!$D:$D, MATCH($A12, Scenarios!$A:$A, 0))</f>
        <v>1</v>
      </c>
      <c r="C12">
        <f>INDEX(Scenarios!$E:$E, MATCH($A12, Scenarios!$A:$A, 0))</f>
        <v>0</v>
      </c>
      <c r="D12" s="11">
        <f>INDEX(Scenarios!$D:$D, MATCH($A12, Scenarios!$A:$A, 0))*Parameters_Public!$C$22*Parameters_Public!$C$10*Parameters_Public!$C$36 + INDEX(Scenarios!$E:$E, MATCH($A12, Scenarios!$A:$A, 0))*Parameters_Public!$C$23*Parameters_Public!$C$11*Parameters_Public!$C$38</f>
        <v>963.75000000000011</v>
      </c>
      <c r="E12" s="11">
        <f>INDEX(Scenarios!$D:$D, MATCH($A12, Scenarios!$A:$A, 0))*Parameters_Public!$C$22*Parameters_Public!$C$10*Parameters_Public!$C$37 + INDEX(Scenarios!$E:$E, MATCH($A12, Scenarios!$A:$A, 0))*Parameters_Public!$C$23*Parameters_Public!$C$11*Parameters_Public!$C$39</f>
        <v>0</v>
      </c>
      <c r="G12">
        <f>Parameters_Public!$C$33</f>
        <v>800000</v>
      </c>
      <c r="H12">
        <f>Parameters_Public!$C$34</f>
        <v>12000</v>
      </c>
      <c r="J12" s="11">
        <f t="shared" si="0"/>
        <v>0</v>
      </c>
      <c r="K12" s="11">
        <f t="shared" si="1"/>
        <v>0</v>
      </c>
      <c r="L12">
        <f>(J12+K12)*Parameters_Public!$C$32</f>
        <v>0</v>
      </c>
    </row>
    <row r="13" spans="1:12">
      <c r="A13" t="str">
        <f>Scenarios!$A$11</f>
        <v>B1_Repurpose_Echo_ops_PimaTargets</v>
      </c>
      <c r="B13">
        <f>INDEX(Scenarios!$D:$D, MATCH($A13, Scenarios!$A:$A, 0))</f>
        <v>1</v>
      </c>
      <c r="C13">
        <f>INDEX(Scenarios!$E:$E, MATCH($A13, Scenarios!$A:$A, 0))</f>
        <v>0</v>
      </c>
      <c r="D13" s="11">
        <f>INDEX(Scenarios!$D:$D, MATCH($A13, Scenarios!$A:$A, 0))*Parameters_Public!$C$22*Parameters_Public!$C$10*Parameters_Public!$C$36 + INDEX(Scenarios!$E:$E, MATCH($A13, Scenarios!$A:$A, 0))*Parameters_Public!$C$23*Parameters_Public!$C$11*Parameters_Public!$C$38</f>
        <v>963.75000000000011</v>
      </c>
      <c r="E13" s="11">
        <f>INDEX(Scenarios!$D:$D, MATCH($A13, Scenarios!$A:$A, 0))*Parameters_Public!$C$22*Parameters_Public!$C$10*Parameters_Public!$C$37 + INDEX(Scenarios!$E:$E, MATCH($A13, Scenarios!$A:$A, 0))*Parameters_Public!$C$23*Parameters_Public!$C$11*Parameters_Public!$C$39</f>
        <v>0</v>
      </c>
      <c r="G13">
        <f>Parameters_Public!$C$33</f>
        <v>800000</v>
      </c>
      <c r="H13">
        <f>Parameters_Public!$C$34</f>
        <v>12000</v>
      </c>
      <c r="J13" s="11">
        <f t="shared" si="0"/>
        <v>0</v>
      </c>
      <c r="K13" s="11">
        <f t="shared" si="1"/>
        <v>0</v>
      </c>
      <c r="L13">
        <f>(J13+K13)*Parameters_Public!$C$32</f>
        <v>0</v>
      </c>
    </row>
    <row r="14" spans="1:12">
      <c r="A14" t="str">
        <f>Scenarios!$A$12</f>
        <v>C2_Repurpose_Pima_lease_EchoGHub_EchoTargets</v>
      </c>
      <c r="B14">
        <f>INDEX(Scenarios!$D:$D, MATCH($A14, Scenarios!$A:$A, 0))</f>
        <v>0</v>
      </c>
      <c r="C14">
        <f>INDEX(Scenarios!$E:$E, MATCH($A14, Scenarios!$A:$A, 0))</f>
        <v>1</v>
      </c>
      <c r="D14" s="11">
        <f>INDEX(Scenarios!$D:$D, MATCH($A14, Scenarios!$A:$A, 0))*Parameters_Public!$C$22*Parameters_Public!$C$10*Parameters_Public!$C$36 + INDEX(Scenarios!$E:$E, MATCH($A14, Scenarios!$A:$A, 0))*Parameters_Public!$C$23*Parameters_Public!$C$11*Parameters_Public!$C$38</f>
        <v>124.32</v>
      </c>
      <c r="E14" s="11">
        <f>INDEX(Scenarios!$D:$D, MATCH($A14, Scenarios!$A:$A, 0))*Parameters_Public!$C$22*Parameters_Public!$C$10*Parameters_Public!$C$37 + INDEX(Scenarios!$E:$E, MATCH($A14, Scenarios!$A:$A, 0))*Parameters_Public!$C$23*Parameters_Public!$C$11*Parameters_Public!$C$39</f>
        <v>53.279999999999994</v>
      </c>
      <c r="G14">
        <f>Parameters_Public!$C$33</f>
        <v>800000</v>
      </c>
      <c r="H14">
        <f>Parameters_Public!$C$34</f>
        <v>12000</v>
      </c>
      <c r="J14" s="11">
        <f t="shared" si="0"/>
        <v>0</v>
      </c>
      <c r="K14" s="11">
        <f t="shared" si="1"/>
        <v>0</v>
      </c>
      <c r="L14">
        <f>(J14+K14)*Parameters_Public!$C$32</f>
        <v>0</v>
      </c>
    </row>
    <row r="15" spans="1:12">
      <c r="A15" t="str">
        <f>Scenarios!$A$13</f>
        <v>C1_Repurpose_Pima_ops_EchoGHub_EchoTargets</v>
      </c>
      <c r="B15">
        <f>INDEX(Scenarios!$D:$D, MATCH($A15, Scenarios!$A:$A, 0))</f>
        <v>0</v>
      </c>
      <c r="C15">
        <f>INDEX(Scenarios!$E:$E, MATCH($A15, Scenarios!$A:$A, 0))</f>
        <v>1</v>
      </c>
      <c r="D15" s="11">
        <f>INDEX(Scenarios!$D:$D, MATCH($A15, Scenarios!$A:$A, 0))*Parameters_Public!$C$22*Parameters_Public!$C$10*Parameters_Public!$C$36 + INDEX(Scenarios!$E:$E, MATCH($A15, Scenarios!$A:$A, 0))*Parameters_Public!$C$23*Parameters_Public!$C$11*Parameters_Public!$C$38</f>
        <v>124.32</v>
      </c>
      <c r="E15" s="11">
        <f>INDEX(Scenarios!$D:$D, MATCH($A15, Scenarios!$A:$A, 0))*Parameters_Public!$C$22*Parameters_Public!$C$10*Parameters_Public!$C$37 + INDEX(Scenarios!$E:$E, MATCH($A15, Scenarios!$A:$A, 0))*Parameters_Public!$C$23*Parameters_Public!$C$11*Parameters_Public!$C$39</f>
        <v>53.279999999999994</v>
      </c>
      <c r="G15">
        <f>Parameters_Public!$C$33</f>
        <v>800000</v>
      </c>
      <c r="H15">
        <f>Parameters_Public!$C$34</f>
        <v>12000</v>
      </c>
      <c r="J15" s="11">
        <f t="shared" si="0"/>
        <v>0</v>
      </c>
      <c r="K15" s="11">
        <f t="shared" si="1"/>
        <v>0</v>
      </c>
      <c r="L15">
        <f>(J15+K15)*Parameters_Public!$C$32</f>
        <v>0</v>
      </c>
    </row>
    <row r="16" spans="1:12">
      <c r="A16" t="str">
        <f>Scenarios!$A$14</f>
        <v>E1_StatusQuo_Decline</v>
      </c>
      <c r="B16">
        <f>INDEX(Scenarios!$D:$D, MATCH($A16, Scenarios!$A:$A, 0))</f>
        <v>0</v>
      </c>
      <c r="C16">
        <f>INDEX(Scenarios!$E:$E, MATCH($A16, Scenarios!$A:$A, 0))</f>
        <v>0</v>
      </c>
      <c r="D16" s="11">
        <f>INDEX(Scenarios!$D:$D, MATCH($A16, Scenarios!$A:$A, 0))*Parameters_Public!$C$22*Parameters_Public!$C$10*Parameters_Public!$C$36 + INDEX(Scenarios!$E:$E, MATCH($A16, Scenarios!$A:$A, 0))*Parameters_Public!$C$23*Parameters_Public!$C$11*Parameters_Public!$C$38</f>
        <v>0</v>
      </c>
      <c r="E16" s="11">
        <f>INDEX(Scenarios!$D:$D, MATCH($A16, Scenarios!$A:$A, 0))*Parameters_Public!$C$22*Parameters_Public!$C$10*Parameters_Public!$C$37 + INDEX(Scenarios!$E:$E, MATCH($A16, Scenarios!$A:$A, 0))*Parameters_Public!$C$23*Parameters_Public!$C$11*Parameters_Public!$C$39</f>
        <v>0</v>
      </c>
      <c r="G16">
        <f>Parameters_Public!$C$33</f>
        <v>800000</v>
      </c>
      <c r="H16">
        <f>Parameters_Public!$C$34</f>
        <v>12000</v>
      </c>
      <c r="J16" s="11">
        <f t="shared" si="0"/>
        <v>0</v>
      </c>
      <c r="K16" s="11">
        <f t="shared" si="1"/>
        <v>0</v>
      </c>
      <c r="L16">
        <f>(J16+K16)*Parameters_Public!$C$32</f>
        <v>0</v>
      </c>
    </row>
    <row r="18" spans="4:4">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9"/>
  <sheetViews>
    <sheetView topLeftCell="A12" zoomScale="70" zoomScaleNormal="70" workbookViewId="0">
      <selection activeCell="C43" sqref="C43"/>
    </sheetView>
  </sheetViews>
  <sheetFormatPr defaultRowHeight="14.5"/>
  <cols>
    <col min="2" max="2" width="36.90625" bestFit="1" customWidth="1"/>
    <col min="4" max="4" width="19.81640625" bestFit="1" customWidth="1"/>
  </cols>
  <sheetData>
    <row r="1" spans="1:9" ht="22.5" customHeight="1">
      <c r="A1" s="96" t="s">
        <v>234</v>
      </c>
      <c r="B1" s="87"/>
      <c r="C1" s="87"/>
      <c r="D1" s="87"/>
      <c r="E1" s="87"/>
      <c r="F1" s="87"/>
    </row>
    <row r="3" spans="1:9">
      <c r="A3" t="s">
        <v>235</v>
      </c>
      <c r="C3" t="s">
        <v>236</v>
      </c>
      <c r="E3" t="s">
        <v>160</v>
      </c>
      <c r="I3" t="s">
        <v>237</v>
      </c>
    </row>
    <row r="4" spans="1:9">
      <c r="B4" t="s">
        <v>238</v>
      </c>
      <c r="C4">
        <v>257</v>
      </c>
      <c r="D4" t="s">
        <v>239</v>
      </c>
      <c r="E4" t="s">
        <v>240</v>
      </c>
    </row>
    <row r="5" spans="1:9">
      <c r="B5" t="s">
        <v>241</v>
      </c>
      <c r="C5">
        <v>257</v>
      </c>
      <c r="D5" t="s">
        <v>242</v>
      </c>
      <c r="E5" t="s">
        <v>243</v>
      </c>
    </row>
    <row r="6" spans="1:9">
      <c r="B6" t="s">
        <v>244</v>
      </c>
      <c r="C6">
        <v>296</v>
      </c>
      <c r="D6" t="s">
        <v>245</v>
      </c>
      <c r="E6" t="s">
        <v>246</v>
      </c>
    </row>
    <row r="7" spans="1:9">
      <c r="B7" t="s">
        <v>247</v>
      </c>
      <c r="C7">
        <v>296</v>
      </c>
      <c r="E7" t="s">
        <v>248</v>
      </c>
    </row>
    <row r="8" spans="1:9">
      <c r="B8" t="s">
        <v>239</v>
      </c>
      <c r="C8">
        <v>40</v>
      </c>
      <c r="E8" t="s">
        <v>249</v>
      </c>
    </row>
    <row r="10" spans="1:9">
      <c r="B10" t="s">
        <v>242</v>
      </c>
      <c r="C10">
        <f>IF(C8=40,C4,C5)</f>
        <v>257</v>
      </c>
      <c r="E10" t="s">
        <v>250</v>
      </c>
    </row>
    <row r="11" spans="1:9">
      <c r="B11" t="s">
        <v>245</v>
      </c>
      <c r="C11">
        <f>IF(C8=40,C6,C7)</f>
        <v>296</v>
      </c>
      <c r="E11" t="s">
        <v>251</v>
      </c>
    </row>
    <row r="13" spans="1:9">
      <c r="A13" t="s">
        <v>252</v>
      </c>
    </row>
    <row r="14" spans="1:9">
      <c r="B14" t="s">
        <v>253</v>
      </c>
      <c r="C14">
        <v>11589</v>
      </c>
      <c r="E14" s="46" t="s">
        <v>254</v>
      </c>
    </row>
    <row r="16" spans="1:9">
      <c r="A16" t="s">
        <v>255</v>
      </c>
    </row>
    <row r="17" spans="1:9">
      <c r="B17" t="s">
        <v>256</v>
      </c>
      <c r="C17">
        <v>0.15</v>
      </c>
      <c r="E17" s="46" t="s">
        <v>257</v>
      </c>
    </row>
    <row r="18" spans="1:9">
      <c r="B18" t="s">
        <v>258</v>
      </c>
      <c r="C18">
        <v>5013</v>
      </c>
      <c r="E18" s="46" t="s">
        <v>259</v>
      </c>
    </row>
    <row r="19" spans="1:9">
      <c r="B19" t="s">
        <v>260</v>
      </c>
      <c r="C19">
        <f>C17*C18</f>
        <v>751.94999999999993</v>
      </c>
      <c r="E19" t="s">
        <v>261</v>
      </c>
    </row>
    <row r="20" spans="1:9">
      <c r="B20" t="s">
        <v>262</v>
      </c>
      <c r="C20">
        <v>1</v>
      </c>
      <c r="E20" t="s">
        <v>263</v>
      </c>
    </row>
    <row r="21" spans="1:9">
      <c r="B21" t="s">
        <v>264</v>
      </c>
      <c r="C21">
        <v>5200</v>
      </c>
      <c r="E21" t="s">
        <v>265</v>
      </c>
      <c r="I21" s="46" t="s">
        <v>266</v>
      </c>
    </row>
    <row r="22" spans="1:9">
      <c r="B22" t="s">
        <v>267</v>
      </c>
      <c r="C22">
        <v>2.5000000000000001E-2</v>
      </c>
      <c r="E22" t="s">
        <v>268</v>
      </c>
    </row>
    <row r="23" spans="1:9">
      <c r="B23" t="s">
        <v>269</v>
      </c>
      <c r="C23">
        <v>0.6</v>
      </c>
      <c r="E23" t="s">
        <v>270</v>
      </c>
    </row>
    <row r="24" spans="1:9">
      <c r="B24" t="s">
        <v>271</v>
      </c>
      <c r="C24">
        <v>0.85</v>
      </c>
      <c r="E24" t="s">
        <v>272</v>
      </c>
    </row>
    <row r="26" spans="1:9">
      <c r="A26" s="44" t="s">
        <v>273</v>
      </c>
    </row>
    <row r="28" spans="1:9">
      <c r="B28" t="s">
        <v>274</v>
      </c>
      <c r="C28">
        <v>0</v>
      </c>
      <c r="E28" t="s">
        <v>275</v>
      </c>
    </row>
    <row r="29" spans="1:9">
      <c r="B29" t="s">
        <v>276</v>
      </c>
      <c r="C29">
        <f>BaselineCalc!$B$22</f>
        <v>1200000</v>
      </c>
      <c r="E29" s="46" t="s">
        <v>277</v>
      </c>
    </row>
    <row r="30" spans="1:9">
      <c r="B30" t="s">
        <v>278</v>
      </c>
      <c r="C30">
        <v>800000</v>
      </c>
      <c r="E30" t="s">
        <v>279</v>
      </c>
    </row>
    <row r="31" spans="1:9">
      <c r="B31" t="s">
        <v>280</v>
      </c>
      <c r="C31">
        <v>1200000</v>
      </c>
      <c r="E31" t="s">
        <v>281</v>
      </c>
    </row>
    <row r="32" spans="1:9">
      <c r="B32" t="s">
        <v>282</v>
      </c>
      <c r="C32">
        <v>0</v>
      </c>
      <c r="E32" t="s">
        <v>283</v>
      </c>
    </row>
    <row r="33" spans="2:5">
      <c r="B33" t="s">
        <v>284</v>
      </c>
      <c r="C33">
        <v>800000</v>
      </c>
      <c r="E33" t="s">
        <v>285</v>
      </c>
    </row>
    <row r="34" spans="2:5">
      <c r="B34" t="s">
        <v>286</v>
      </c>
      <c r="C34">
        <v>12000</v>
      </c>
      <c r="E34" t="s">
        <v>287</v>
      </c>
    </row>
    <row r="35" spans="2:5">
      <c r="B35" t="s">
        <v>288</v>
      </c>
      <c r="C35">
        <v>300</v>
      </c>
      <c r="E35" t="s">
        <v>289</v>
      </c>
    </row>
    <row r="36" spans="2:5">
      <c r="B36" t="s">
        <v>290</v>
      </c>
      <c r="C36">
        <v>150</v>
      </c>
      <c r="E36" t="s">
        <v>291</v>
      </c>
    </row>
    <row r="38" spans="2:5">
      <c r="B38" t="s">
        <v>292</v>
      </c>
      <c r="C38">
        <v>0.7</v>
      </c>
      <c r="E38" t="s">
        <v>293</v>
      </c>
    </row>
    <row r="39" spans="2:5">
      <c r="B39" t="s">
        <v>294</v>
      </c>
      <c r="C39">
        <v>0.3</v>
      </c>
    </row>
    <row r="40" spans="2:5">
      <c r="B40" t="s">
        <v>295</v>
      </c>
      <c r="C40">
        <v>1</v>
      </c>
    </row>
    <row r="41" spans="2:5">
      <c r="B41" t="s">
        <v>296</v>
      </c>
      <c r="C41">
        <v>0</v>
      </c>
    </row>
    <row r="43" spans="2:5">
      <c r="B43" t="s">
        <v>297</v>
      </c>
      <c r="C43">
        <v>0.6</v>
      </c>
      <c r="E43" t="s">
        <v>298</v>
      </c>
    </row>
    <row r="44" spans="2:5">
      <c r="B44" t="s">
        <v>299</v>
      </c>
      <c r="C44">
        <v>-0.02</v>
      </c>
      <c r="E44" t="s">
        <v>300</v>
      </c>
    </row>
    <row r="45" spans="2:5">
      <c r="B45" t="s">
        <v>301</v>
      </c>
      <c r="C45">
        <v>-0.02</v>
      </c>
      <c r="E45" t="s">
        <v>300</v>
      </c>
    </row>
    <row r="47" spans="2:5">
      <c r="B47" t="s">
        <v>302</v>
      </c>
      <c r="C47">
        <v>0.2</v>
      </c>
      <c r="E47" t="s">
        <v>303</v>
      </c>
    </row>
    <row r="49" spans="2:3">
      <c r="B49" t="s">
        <v>304</v>
      </c>
      <c r="C49">
        <v>0.85</v>
      </c>
    </row>
  </sheetData>
  <mergeCells count="1">
    <mergeCell ref="A1:F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59"/>
  <sheetViews>
    <sheetView zoomScale="80" zoomScaleNormal="80" workbookViewId="0">
      <pane xSplit="2" ySplit="1" topLeftCell="C9" activePane="bottomRight" state="frozen"/>
      <selection pane="topRight"/>
      <selection pane="bottomLeft"/>
      <selection pane="bottomRight" activeCell="C15" sqref="C15"/>
    </sheetView>
  </sheetViews>
  <sheetFormatPr defaultRowHeight="14.5"/>
  <cols>
    <col min="1" max="1" width="3.90625" customWidth="1"/>
    <col min="2" max="2" width="66.54296875"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c r="A1" s="17" t="s">
        <v>305</v>
      </c>
    </row>
    <row r="3" spans="1:16">
      <c r="A3" s="4" t="s">
        <v>306</v>
      </c>
      <c r="B3" s="7"/>
    </row>
    <row r="4" spans="1:16">
      <c r="A4" s="4"/>
    </row>
    <row r="5" spans="1:16">
      <c r="B5" s="6" t="s">
        <v>307</v>
      </c>
      <c r="C5" s="97" t="s">
        <v>308</v>
      </c>
      <c r="D5" s="98"/>
      <c r="E5" s="98"/>
      <c r="F5" s="98"/>
      <c r="G5" s="99"/>
      <c r="H5" s="6" t="s">
        <v>160</v>
      </c>
      <c r="J5" s="4"/>
      <c r="K5" s="4"/>
      <c r="L5" s="4"/>
      <c r="M5" s="4"/>
      <c r="N5" s="4"/>
      <c r="O5" s="4"/>
      <c r="P5" s="4"/>
    </row>
    <row r="6" spans="1:16">
      <c r="B6" s="7" t="s">
        <v>309</v>
      </c>
      <c r="C6" s="14">
        <v>2.5000000000000001E-2</v>
      </c>
      <c r="D6" s="7"/>
      <c r="E6" s="7"/>
      <c r="F6" s="7"/>
      <c r="G6" s="7"/>
      <c r="H6" s="8" t="s">
        <v>310</v>
      </c>
    </row>
    <row r="7" spans="1:16">
      <c r="B7" s="7" t="s">
        <v>311</v>
      </c>
      <c r="C7" s="14">
        <v>9936</v>
      </c>
      <c r="D7" s="7"/>
      <c r="E7" s="7"/>
      <c r="F7" s="7"/>
      <c r="G7" s="7"/>
      <c r="H7" s="8" t="s">
        <v>312</v>
      </c>
    </row>
    <row r="8" spans="1:16">
      <c r="B8" s="7" t="s">
        <v>313</v>
      </c>
      <c r="C8" s="14">
        <v>0.46</v>
      </c>
      <c r="D8" s="7"/>
      <c r="E8" s="7"/>
      <c r="F8" s="7"/>
      <c r="G8" s="7"/>
      <c r="H8" s="8" t="s">
        <v>314</v>
      </c>
    </row>
    <row r="9" spans="1:16">
      <c r="B9" s="7" t="s">
        <v>315</v>
      </c>
      <c r="C9" s="14">
        <v>5013</v>
      </c>
      <c r="D9" s="7"/>
      <c r="E9" s="7"/>
      <c r="F9" s="7"/>
      <c r="G9" s="7"/>
      <c r="H9" s="8" t="s">
        <v>316</v>
      </c>
    </row>
    <row r="10" spans="1:16">
      <c r="B10" s="7" t="s">
        <v>317</v>
      </c>
      <c r="C10" s="14">
        <v>7.0000000000000001E-3</v>
      </c>
      <c r="D10" s="7"/>
      <c r="E10" s="7"/>
      <c r="F10" s="7"/>
      <c r="G10" s="7"/>
      <c r="H10" s="8" t="s">
        <v>318</v>
      </c>
    </row>
    <row r="11" spans="1:16">
      <c r="B11" s="7" t="s">
        <v>319</v>
      </c>
      <c r="C11" s="14">
        <v>1.4999999999999999E-2</v>
      </c>
      <c r="D11" s="7"/>
      <c r="E11" s="7"/>
      <c r="F11" s="7"/>
      <c r="G11" s="7"/>
      <c r="H11" s="8" t="s">
        <v>320</v>
      </c>
    </row>
    <row r="12" spans="1:16">
      <c r="B12" s="7" t="s">
        <v>321</v>
      </c>
      <c r="C12" s="14">
        <v>257</v>
      </c>
      <c r="D12" s="7"/>
      <c r="E12" s="7"/>
      <c r="F12" s="7"/>
      <c r="G12" s="7"/>
      <c r="H12" s="8" t="s">
        <v>322</v>
      </c>
    </row>
    <row r="13" spans="1:16">
      <c r="B13" s="7" t="s">
        <v>323</v>
      </c>
      <c r="C13" s="14">
        <v>296</v>
      </c>
      <c r="D13" s="7"/>
      <c r="E13" s="7"/>
      <c r="F13" s="7"/>
      <c r="G13" s="7"/>
      <c r="H13" s="8" t="s">
        <v>324</v>
      </c>
    </row>
    <row r="14" spans="1:16">
      <c r="B14" s="7" t="s">
        <v>325</v>
      </c>
      <c r="C14" s="7">
        <f>C12+C13</f>
        <v>553</v>
      </c>
      <c r="D14" s="7"/>
      <c r="E14" s="7"/>
      <c r="F14" s="7"/>
      <c r="G14" s="7"/>
      <c r="H14" s="8" t="s">
        <v>326</v>
      </c>
    </row>
    <row r="15" spans="1:16">
      <c r="B15" s="7" t="s">
        <v>327</v>
      </c>
      <c r="C15" s="13">
        <v>1200000</v>
      </c>
      <c r="D15" s="7"/>
      <c r="E15" s="7"/>
      <c r="F15" s="7"/>
      <c r="G15" s="7"/>
      <c r="H15" s="8" t="s">
        <v>328</v>
      </c>
    </row>
    <row r="16" spans="1:16">
      <c r="B16" s="7" t="s">
        <v>329</v>
      </c>
      <c r="C16" s="14">
        <v>0.75</v>
      </c>
      <c r="D16" s="7"/>
      <c r="E16" s="7"/>
      <c r="F16" s="7"/>
      <c r="G16" s="7"/>
      <c r="H16" s="8" t="s">
        <v>330</v>
      </c>
    </row>
    <row r="17" spans="1:8">
      <c r="B17" s="7" t="s">
        <v>94</v>
      </c>
      <c r="C17" s="14">
        <f>Parameters_Public!$C41</f>
        <v>0</v>
      </c>
      <c r="D17" s="7"/>
      <c r="E17" s="7"/>
      <c r="F17" s="7"/>
      <c r="G17" s="7"/>
      <c r="H17" s="8" t="s">
        <v>331</v>
      </c>
    </row>
    <row r="18" spans="1:8">
      <c r="B18" s="7"/>
      <c r="C18" s="7"/>
      <c r="D18" s="7"/>
      <c r="E18" s="7"/>
      <c r="F18" s="7"/>
      <c r="G18" s="7"/>
      <c r="H18" s="9"/>
    </row>
    <row r="19" spans="1:8">
      <c r="A19" s="4" t="s">
        <v>332</v>
      </c>
      <c r="B19" s="7"/>
      <c r="C19" s="7"/>
      <c r="D19" s="7"/>
      <c r="E19" s="7"/>
      <c r="F19" s="7"/>
      <c r="G19" s="7"/>
      <c r="H19" s="9"/>
    </row>
    <row r="20" spans="1:8">
      <c r="A20" s="4"/>
      <c r="B20" s="7"/>
      <c r="C20" s="7"/>
      <c r="D20" s="7"/>
      <c r="E20" s="7"/>
      <c r="F20" s="7"/>
      <c r="G20" s="7"/>
      <c r="H20" s="9"/>
    </row>
    <row r="21" spans="1:8">
      <c r="B21" s="6" t="s">
        <v>83</v>
      </c>
      <c r="C21" s="6" t="s">
        <v>202</v>
      </c>
      <c r="D21" s="6" t="s">
        <v>333</v>
      </c>
      <c r="E21" s="6" t="s">
        <v>334</v>
      </c>
      <c r="F21" s="15"/>
      <c r="G21" s="15"/>
      <c r="H21" s="9"/>
    </row>
    <row r="22" spans="1:8">
      <c r="B22" s="7" t="s">
        <v>86</v>
      </c>
      <c r="C22" s="14">
        <v>1000</v>
      </c>
      <c r="D22" s="14">
        <v>0.2</v>
      </c>
      <c r="E22" s="14">
        <v>0.45</v>
      </c>
      <c r="F22" s="7"/>
      <c r="G22" s="7"/>
      <c r="H22" s="8" t="s">
        <v>335</v>
      </c>
    </row>
    <row r="23" spans="1:8">
      <c r="B23" s="7" t="s">
        <v>87</v>
      </c>
      <c r="C23" s="14">
        <v>800</v>
      </c>
      <c r="D23" s="14">
        <v>0.2</v>
      </c>
      <c r="E23" s="14">
        <v>0.4</v>
      </c>
      <c r="F23" s="7"/>
      <c r="G23" s="7"/>
      <c r="H23" s="8" t="s">
        <v>336</v>
      </c>
    </row>
    <row r="24" spans="1:8">
      <c r="B24" s="7" t="s">
        <v>88</v>
      </c>
      <c r="C24" s="14">
        <v>600</v>
      </c>
      <c r="D24" s="14">
        <v>0.15</v>
      </c>
      <c r="E24" s="14">
        <v>0.35</v>
      </c>
      <c r="F24" s="7"/>
      <c r="G24" s="7"/>
      <c r="H24" s="8" t="s">
        <v>337</v>
      </c>
    </row>
    <row r="25" spans="1:8">
      <c r="B25" s="7" t="s">
        <v>89</v>
      </c>
      <c r="C25" s="14">
        <v>500</v>
      </c>
      <c r="D25" s="14">
        <v>0.1</v>
      </c>
      <c r="E25" s="14">
        <v>0.3</v>
      </c>
      <c r="F25" s="7"/>
      <c r="G25" s="7"/>
      <c r="H25" s="9"/>
    </row>
    <row r="26" spans="1:8">
      <c r="B26" s="7" t="s">
        <v>90</v>
      </c>
      <c r="C26" s="14">
        <v>300</v>
      </c>
      <c r="D26" s="14">
        <v>0.1</v>
      </c>
      <c r="E26" s="14">
        <v>0.3</v>
      </c>
      <c r="F26" s="7"/>
      <c r="G26" s="7"/>
      <c r="H26" s="9"/>
    </row>
    <row r="27" spans="1:8">
      <c r="B27" s="7"/>
      <c r="C27" s="7"/>
      <c r="D27" s="7"/>
      <c r="E27" s="7"/>
      <c r="F27" s="7"/>
      <c r="G27" s="7"/>
      <c r="H27" s="9"/>
    </row>
    <row r="28" spans="1:8">
      <c r="A28" s="4" t="s">
        <v>338</v>
      </c>
      <c r="B28" s="7"/>
      <c r="C28" s="7"/>
      <c r="D28" s="7"/>
      <c r="E28" s="7"/>
      <c r="F28" s="7"/>
      <c r="G28" s="7"/>
      <c r="H28" s="9"/>
    </row>
    <row r="29" spans="1:8">
      <c r="A29" s="4"/>
      <c r="B29" s="7"/>
      <c r="C29" s="7"/>
      <c r="D29" s="7"/>
      <c r="E29" s="7"/>
      <c r="F29" s="7"/>
      <c r="G29" s="7"/>
      <c r="H29" s="9"/>
    </row>
    <row r="30" spans="1:8">
      <c r="A30" s="10" t="s">
        <v>339</v>
      </c>
      <c r="B30" s="6" t="s">
        <v>340</v>
      </c>
      <c r="C30" s="6" t="s">
        <v>341</v>
      </c>
      <c r="D30" s="6" t="s">
        <v>342</v>
      </c>
      <c r="E30" s="6" t="s">
        <v>343</v>
      </c>
      <c r="F30" s="6" t="s">
        <v>344</v>
      </c>
      <c r="G30" s="6" t="s">
        <v>345</v>
      </c>
      <c r="H30" s="9"/>
    </row>
    <row r="31" spans="1:8">
      <c r="A31" s="10" t="s">
        <v>346</v>
      </c>
      <c r="B31" s="7" t="s">
        <v>347</v>
      </c>
      <c r="C31" s="14">
        <v>0</v>
      </c>
      <c r="D31" s="14">
        <v>0</v>
      </c>
      <c r="E31" s="14">
        <v>0</v>
      </c>
      <c r="F31" s="14">
        <v>0.5</v>
      </c>
      <c r="G31" s="14">
        <v>0</v>
      </c>
      <c r="H31" s="9"/>
    </row>
    <row r="32" spans="1:8">
      <c r="A32" s="10" t="s">
        <v>348</v>
      </c>
      <c r="B32" s="9" t="s">
        <v>349</v>
      </c>
      <c r="C32" s="14">
        <v>75</v>
      </c>
      <c r="D32" s="14">
        <v>0</v>
      </c>
      <c r="E32" s="14">
        <v>0</v>
      </c>
      <c r="F32" s="14">
        <v>0.5</v>
      </c>
      <c r="G32" s="14">
        <v>0</v>
      </c>
      <c r="H32" s="7" t="s">
        <v>350</v>
      </c>
    </row>
    <row r="33" spans="1:8">
      <c r="A33" s="10" t="s">
        <v>351</v>
      </c>
      <c r="B33" s="9" t="s">
        <v>352</v>
      </c>
      <c r="C33" s="14">
        <v>50</v>
      </c>
      <c r="D33" s="14">
        <v>0</v>
      </c>
      <c r="E33" s="14">
        <v>0</v>
      </c>
      <c r="F33" s="14">
        <v>0.5</v>
      </c>
      <c r="G33" s="14">
        <v>0.05</v>
      </c>
      <c r="H33" s="7" t="s">
        <v>353</v>
      </c>
    </row>
    <row r="34" spans="1:8">
      <c r="A34" s="10" t="s">
        <v>354</v>
      </c>
      <c r="B34" s="9" t="s">
        <v>355</v>
      </c>
      <c r="C34" s="14">
        <v>150</v>
      </c>
      <c r="D34" s="14">
        <v>0</v>
      </c>
      <c r="E34" s="14">
        <v>0</v>
      </c>
      <c r="F34" s="14">
        <v>0.5</v>
      </c>
      <c r="G34" s="14">
        <v>0</v>
      </c>
      <c r="H34" s="7" t="s">
        <v>356</v>
      </c>
    </row>
    <row r="35" spans="1:8">
      <c r="A35" s="10" t="s">
        <v>357</v>
      </c>
      <c r="B35" s="9" t="s">
        <v>358</v>
      </c>
      <c r="C35" s="14">
        <v>0</v>
      </c>
      <c r="D35" s="14">
        <v>0</v>
      </c>
      <c r="E35" s="14">
        <v>0</v>
      </c>
      <c r="F35" s="14">
        <v>0.5</v>
      </c>
      <c r="G35" s="14">
        <v>0</v>
      </c>
      <c r="H35" s="7" t="s">
        <v>359</v>
      </c>
    </row>
    <row r="36" spans="1:8">
      <c r="A36" s="10" t="s">
        <v>360</v>
      </c>
      <c r="B36" s="9" t="s">
        <v>361</v>
      </c>
      <c r="C36" s="14">
        <v>125</v>
      </c>
      <c r="D36" s="14">
        <v>0</v>
      </c>
      <c r="E36" s="14">
        <v>0</v>
      </c>
      <c r="F36" s="14">
        <v>0.7</v>
      </c>
      <c r="G36" s="14">
        <v>0</v>
      </c>
      <c r="H36" s="7" t="s">
        <v>362</v>
      </c>
    </row>
    <row r="37" spans="1:8">
      <c r="A37" s="10" t="s">
        <v>363</v>
      </c>
      <c r="B37" s="7" t="s">
        <v>364</v>
      </c>
      <c r="C37" s="14">
        <v>0</v>
      </c>
      <c r="D37" s="14">
        <v>1</v>
      </c>
      <c r="E37" s="14">
        <v>1</v>
      </c>
      <c r="F37" s="14">
        <v>0.5</v>
      </c>
      <c r="G37" s="14">
        <v>0</v>
      </c>
      <c r="H37" s="7" t="s">
        <v>365</v>
      </c>
    </row>
    <row r="38" spans="1:8">
      <c r="A38" s="10" t="s">
        <v>366</v>
      </c>
      <c r="B38" s="7" t="s">
        <v>367</v>
      </c>
      <c r="C38" s="14">
        <v>0</v>
      </c>
      <c r="D38" s="14">
        <v>1</v>
      </c>
      <c r="E38" s="14">
        <v>1</v>
      </c>
      <c r="F38" s="14">
        <v>0.5</v>
      </c>
      <c r="G38" s="14">
        <v>0</v>
      </c>
      <c r="H38" s="7" t="s">
        <v>368</v>
      </c>
    </row>
    <row r="39" spans="1:8">
      <c r="A39" s="10" t="s">
        <v>369</v>
      </c>
      <c r="B39" s="7" t="s">
        <v>370</v>
      </c>
      <c r="C39" s="14">
        <v>0</v>
      </c>
      <c r="D39" s="14">
        <v>1</v>
      </c>
      <c r="E39" s="14">
        <v>0</v>
      </c>
      <c r="F39" s="14">
        <v>0</v>
      </c>
      <c r="G39" s="14">
        <v>0</v>
      </c>
      <c r="H39" s="7" t="s">
        <v>370</v>
      </c>
    </row>
    <row r="40" spans="1:8">
      <c r="A40" s="10" t="s">
        <v>371</v>
      </c>
      <c r="B40" s="7" t="s">
        <v>372</v>
      </c>
      <c r="C40" s="14">
        <v>37</v>
      </c>
      <c r="D40" s="14">
        <v>1</v>
      </c>
      <c r="E40" s="14">
        <v>0</v>
      </c>
      <c r="F40" s="14">
        <v>0</v>
      </c>
      <c r="G40" s="14">
        <v>0</v>
      </c>
      <c r="H40" s="7" t="s">
        <v>372</v>
      </c>
    </row>
    <row r="41" spans="1:8">
      <c r="A41" s="10" t="s">
        <v>373</v>
      </c>
      <c r="B41" s="7" t="s">
        <v>374</v>
      </c>
      <c r="C41" s="14">
        <v>0</v>
      </c>
      <c r="D41" s="14">
        <v>0</v>
      </c>
      <c r="E41" s="14">
        <v>1</v>
      </c>
      <c r="F41" s="14">
        <v>1</v>
      </c>
      <c r="G41" s="14">
        <v>0</v>
      </c>
      <c r="H41" s="7" t="s">
        <v>374</v>
      </c>
    </row>
    <row r="42" spans="1:8">
      <c r="A42" s="10" t="s">
        <v>375</v>
      </c>
      <c r="B42" s="7" t="s">
        <v>376</v>
      </c>
      <c r="C42" s="14">
        <v>50</v>
      </c>
      <c r="D42" s="14">
        <v>0</v>
      </c>
      <c r="E42" s="14">
        <v>1</v>
      </c>
      <c r="F42" s="14">
        <v>1</v>
      </c>
      <c r="G42" s="14">
        <v>0</v>
      </c>
      <c r="H42" s="7" t="s">
        <v>376</v>
      </c>
    </row>
    <row r="43" spans="1:8">
      <c r="B43" s="7"/>
      <c r="C43" s="7"/>
      <c r="D43" s="7"/>
      <c r="E43" s="7"/>
      <c r="F43" s="7"/>
      <c r="G43" s="7"/>
    </row>
    <row r="44" spans="1:8">
      <c r="A44" s="4" t="s">
        <v>377</v>
      </c>
      <c r="B44" s="7"/>
      <c r="C44" s="7"/>
      <c r="D44" s="7"/>
      <c r="E44" s="7"/>
      <c r="F44" s="7"/>
      <c r="G44" s="7"/>
    </row>
    <row r="45" spans="1:8">
      <c r="B45" s="7"/>
      <c r="C45" s="7"/>
      <c r="D45" s="7"/>
      <c r="E45" s="7"/>
      <c r="F45" s="7"/>
      <c r="G45" s="7"/>
    </row>
    <row r="46" spans="1:8">
      <c r="B46" s="6" t="s">
        <v>340</v>
      </c>
      <c r="C46" s="6" t="s">
        <v>378</v>
      </c>
      <c r="D46" s="6" t="s">
        <v>379</v>
      </c>
      <c r="E46" s="7"/>
      <c r="F46" s="7"/>
      <c r="G46" s="7"/>
      <c r="H46" s="9" t="s">
        <v>380</v>
      </c>
    </row>
    <row r="47" spans="1:8">
      <c r="B47" s="7" t="s">
        <v>381</v>
      </c>
      <c r="C47" s="14" t="s">
        <v>382</v>
      </c>
      <c r="D47" s="14" t="s">
        <v>383</v>
      </c>
      <c r="E47" s="7"/>
      <c r="F47" s="7"/>
      <c r="G47" s="7"/>
      <c r="H47" s="9"/>
    </row>
    <row r="48" spans="1:8">
      <c r="B48" s="7" t="s">
        <v>350</v>
      </c>
      <c r="C48" s="14" t="s">
        <v>384</v>
      </c>
      <c r="D48" s="14" t="s">
        <v>385</v>
      </c>
      <c r="E48" s="7"/>
      <c r="F48" s="7"/>
      <c r="G48" s="7"/>
      <c r="H48" s="9"/>
    </row>
    <row r="49" spans="2:8">
      <c r="B49" s="7" t="s">
        <v>353</v>
      </c>
      <c r="C49" s="16" t="s">
        <v>386</v>
      </c>
      <c r="D49" s="14" t="s">
        <v>383</v>
      </c>
      <c r="E49" s="7"/>
      <c r="F49" s="7"/>
      <c r="G49" s="7"/>
      <c r="H49" s="9"/>
    </row>
    <row r="50" spans="2:8">
      <c r="B50" s="7" t="s">
        <v>356</v>
      </c>
      <c r="C50" s="16" t="s">
        <v>386</v>
      </c>
      <c r="D50" s="14" t="s">
        <v>383</v>
      </c>
      <c r="E50" s="7"/>
      <c r="F50" s="7"/>
      <c r="G50" s="7"/>
      <c r="H50" s="9"/>
    </row>
    <row r="51" spans="2:8">
      <c r="B51" s="7" t="s">
        <v>387</v>
      </c>
      <c r="C51" s="14" t="s">
        <v>382</v>
      </c>
      <c r="D51" s="14" t="s">
        <v>383</v>
      </c>
      <c r="E51" s="7"/>
      <c r="F51" s="7"/>
      <c r="G51" s="7"/>
      <c r="H51" s="9"/>
    </row>
    <row r="52" spans="2:8">
      <c r="B52" s="7" t="s">
        <v>362</v>
      </c>
      <c r="C52" s="16" t="s">
        <v>386</v>
      </c>
      <c r="D52" s="14" t="s">
        <v>383</v>
      </c>
      <c r="E52" s="7"/>
      <c r="F52" s="7"/>
      <c r="G52" s="7"/>
      <c r="H52" s="9"/>
    </row>
    <row r="53" spans="2:8">
      <c r="B53" s="7" t="s">
        <v>365</v>
      </c>
      <c r="C53" s="16" t="s">
        <v>388</v>
      </c>
      <c r="D53" s="14" t="s">
        <v>389</v>
      </c>
      <c r="E53" s="7"/>
      <c r="F53" s="7"/>
      <c r="G53" s="7"/>
      <c r="H53" s="9"/>
    </row>
    <row r="54" spans="2:8">
      <c r="B54" s="7" t="s">
        <v>368</v>
      </c>
      <c r="C54" s="16" t="s">
        <v>390</v>
      </c>
      <c r="D54" s="14" t="s">
        <v>391</v>
      </c>
      <c r="E54" s="7"/>
      <c r="F54" s="7"/>
      <c r="G54" s="7"/>
      <c r="H54" s="9"/>
    </row>
    <row r="55" spans="2:8">
      <c r="B55" s="7" t="s">
        <v>370</v>
      </c>
      <c r="C55" s="16" t="s">
        <v>390</v>
      </c>
      <c r="D55" s="14" t="s">
        <v>391</v>
      </c>
      <c r="E55" s="7"/>
      <c r="F55" s="7"/>
      <c r="G55" s="7"/>
      <c r="H55" s="9"/>
    </row>
    <row r="56" spans="2:8">
      <c r="B56" s="7" t="s">
        <v>372</v>
      </c>
      <c r="C56" s="14" t="s">
        <v>384</v>
      </c>
      <c r="D56" s="14" t="s">
        <v>391</v>
      </c>
      <c r="E56" s="7"/>
      <c r="F56" s="7"/>
      <c r="G56" s="7"/>
      <c r="H56" s="9"/>
    </row>
    <row r="57" spans="2:8">
      <c r="B57" s="7" t="s">
        <v>374</v>
      </c>
      <c r="C57" s="16" t="s">
        <v>390</v>
      </c>
      <c r="D57" s="14" t="s">
        <v>391</v>
      </c>
      <c r="E57" s="7"/>
      <c r="F57" s="7"/>
      <c r="G57" s="7"/>
      <c r="H57" s="9"/>
    </row>
    <row r="58" spans="2:8">
      <c r="B58" s="7" t="s">
        <v>376</v>
      </c>
      <c r="C58" s="14" t="s">
        <v>384</v>
      </c>
      <c r="D58" s="14" t="s">
        <v>391</v>
      </c>
      <c r="E58" s="7"/>
      <c r="F58" s="7"/>
      <c r="G58" s="7"/>
      <c r="H58" s="9"/>
    </row>
    <row r="59" spans="2:8">
      <c r="H59" s="9"/>
    </row>
  </sheetData>
  <mergeCells count="1">
    <mergeCell ref="C5:G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85" zoomScaleNormal="85" workbookViewId="0">
      <pane ySplit="1" topLeftCell="A4" activePane="bottomLeft" state="frozen"/>
      <selection activeCell="B2" sqref="B2"/>
      <selection pane="bottomLeft" activeCell="B9" sqref="B9"/>
    </sheetView>
  </sheetViews>
  <sheetFormatPr defaultRowHeight="14.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c r="A1" s="1" t="s">
        <v>307</v>
      </c>
      <c r="B1" s="1" t="s">
        <v>308</v>
      </c>
      <c r="C1" s="1" t="s">
        <v>160</v>
      </c>
    </row>
    <row r="2" spans="1:11">
      <c r="A2" t="s">
        <v>309</v>
      </c>
      <c r="B2">
        <f>Control_Center!C6</f>
        <v>2.5000000000000001E-2</v>
      </c>
      <c r="C2" t="s">
        <v>310</v>
      </c>
    </row>
    <row r="3" spans="1:11">
      <c r="A3" t="s">
        <v>311</v>
      </c>
      <c r="B3">
        <f>Parameters_Public!$C$14</f>
        <v>11589</v>
      </c>
      <c r="C3" t="s">
        <v>392</v>
      </c>
    </row>
    <row r="4" spans="1:11">
      <c r="A4" t="s">
        <v>313</v>
      </c>
      <c r="B4">
        <f>Control_Center!C8</f>
        <v>0.46</v>
      </c>
      <c r="C4" t="s">
        <v>393</v>
      </c>
    </row>
    <row r="5" spans="1:11">
      <c r="A5" t="s">
        <v>317</v>
      </c>
      <c r="B5">
        <f>Control_Center!C10</f>
        <v>7.0000000000000001E-3</v>
      </c>
      <c r="C5" t="s">
        <v>318</v>
      </c>
    </row>
    <row r="6" spans="1:11">
      <c r="A6" t="s">
        <v>319</v>
      </c>
      <c r="B6">
        <f>Control_Center!C11</f>
        <v>1.4999999999999999E-2</v>
      </c>
      <c r="C6" t="s">
        <v>320</v>
      </c>
    </row>
    <row r="7" spans="1:11">
      <c r="A7" t="s">
        <v>321</v>
      </c>
      <c r="B7">
        <f>Parameters_Public!$C$10</f>
        <v>257</v>
      </c>
    </row>
    <row r="8" spans="1:11">
      <c r="A8" t="s">
        <v>323</v>
      </c>
      <c r="B8">
        <f>Parameters_Public!$C$11</f>
        <v>296</v>
      </c>
    </row>
    <row r="9" spans="1:11">
      <c r="A9" t="s">
        <v>325</v>
      </c>
      <c r="B9">
        <f>B7+B8</f>
        <v>553</v>
      </c>
      <c r="C9" t="s">
        <v>326</v>
      </c>
    </row>
    <row r="12" spans="1:11">
      <c r="A12" s="1" t="s">
        <v>394</v>
      </c>
      <c r="B12" s="1" t="s">
        <v>395</v>
      </c>
      <c r="C12" s="1" t="s">
        <v>396</v>
      </c>
      <c r="D12" s="1" t="s">
        <v>397</v>
      </c>
      <c r="E12" s="1" t="s">
        <v>398</v>
      </c>
      <c r="F12" s="1" t="s">
        <v>399</v>
      </c>
      <c r="G12" s="1" t="s">
        <v>160</v>
      </c>
    </row>
    <row r="13" spans="1:11">
      <c r="A13" t="s">
        <v>400</v>
      </c>
      <c r="B13" s="2">
        <f>B9*B3</f>
        <v>6408717</v>
      </c>
      <c r="C13" s="2">
        <f>C14/$B$4</f>
        <v>6568934.9249999998</v>
      </c>
      <c r="D13" s="2">
        <f>D14/$B$4</f>
        <v>6733158.2981250007</v>
      </c>
      <c r="E13" s="2">
        <f>E14/$B$4</f>
        <v>6901487.255578124</v>
      </c>
      <c r="F13" s="2">
        <f>F14/$B$4</f>
        <v>7074024.4369675769</v>
      </c>
      <c r="G13" t="s">
        <v>401</v>
      </c>
      <c r="K13" t="s">
        <v>402</v>
      </c>
    </row>
    <row r="14" spans="1:11">
      <c r="A14" t="s">
        <v>403</v>
      </c>
      <c r="B14" s="2">
        <f>IF((Site_Fixed!$C$8+Site_Fixed!$C$15)&gt;0, Site_Fixed!$C$8+Site_Fixed!$C$15, B13*B4)</f>
        <v>2948009.8200000003</v>
      </c>
      <c r="C14" s="2">
        <f t="shared" ref="C14:F15" si="0">B17</f>
        <v>3021710.0655</v>
      </c>
      <c r="D14" s="2">
        <f t="shared" si="0"/>
        <v>3097252.8171375003</v>
      </c>
      <c r="E14" s="2">
        <f t="shared" si="0"/>
        <v>3174684.1375659374</v>
      </c>
      <c r="F14" s="2">
        <f t="shared" si="0"/>
        <v>3254051.2410050854</v>
      </c>
      <c r="G14" t="s">
        <v>404</v>
      </c>
      <c r="K14" t="s">
        <v>405</v>
      </c>
    </row>
    <row r="15" spans="1:11">
      <c r="A15" t="s">
        <v>406</v>
      </c>
      <c r="B15" s="2">
        <f>(B13-B14)/B9</f>
        <v>6258.0599999999995</v>
      </c>
      <c r="C15" s="2">
        <f t="shared" si="0"/>
        <v>6414.5114999999987</v>
      </c>
      <c r="D15" s="2">
        <f t="shared" si="0"/>
        <v>6574.8742874999989</v>
      </c>
      <c r="E15" s="2">
        <f t="shared" si="0"/>
        <v>6739.2461446874986</v>
      </c>
      <c r="F15" s="2">
        <f t="shared" si="0"/>
        <v>6907.7272983046851</v>
      </c>
      <c r="G15" t="s">
        <v>407</v>
      </c>
      <c r="K15" t="s">
        <v>408</v>
      </c>
    </row>
    <row r="17" spans="1:6">
      <c r="A17" t="s">
        <v>409</v>
      </c>
      <c r="B17" s="2">
        <f>$B$14*(1+$B$2)^1</f>
        <v>3021710.0655</v>
      </c>
      <c r="C17" s="2">
        <f>$B$14*(1+$B$2)^2</f>
        <v>3097252.8171375003</v>
      </c>
      <c r="D17" s="2">
        <f>$B$14*(1+$B$2)^3</f>
        <v>3174684.1375659374</v>
      </c>
      <c r="E17" s="2">
        <f>$B$14*(1+$B$2)^4</f>
        <v>3254051.2410050854</v>
      </c>
      <c r="F17" s="2">
        <f>$B$14*(1+$B$2)^5</f>
        <v>3335402.5220302125</v>
      </c>
    </row>
    <row r="18" spans="1:6">
      <c r="A18" t="s">
        <v>410</v>
      </c>
      <c r="B18" s="2">
        <f>$B$15*(1+$B$2)^1</f>
        <v>6414.5114999999987</v>
      </c>
      <c r="C18" s="2">
        <f>$B$15*(1+$B$2)^2</f>
        <v>6574.8742874999989</v>
      </c>
      <c r="D18" s="2">
        <f>$B$15*(1+$B$2)^3</f>
        <v>6739.2461446874986</v>
      </c>
      <c r="E18" s="2">
        <f>$B$15*(1+$B$2)^4</f>
        <v>6907.7272983046851</v>
      </c>
      <c r="F18" s="2">
        <f>$B$15*(1+$B$2)^5</f>
        <v>7080.4204807623018</v>
      </c>
    </row>
    <row r="19" spans="1:6">
      <c r="A19" t="s">
        <v>411</v>
      </c>
      <c r="B19" s="2">
        <f>IF(Site_Fixed!$C$8&gt;0, Site_Fixed!$C$8*(1+$B$2)^1, B17*($B$7/$B$9))</f>
        <v>1404302.8695</v>
      </c>
      <c r="C19" s="2">
        <f>C17*($B$7/$B$9)</f>
        <v>1439410.4412375002</v>
      </c>
      <c r="D19" s="2">
        <f>D17*($B$7/$B$9)</f>
        <v>1475395.7022684375</v>
      </c>
      <c r="E19" s="2">
        <f>E17*($B$7/$B$9)</f>
        <v>1512280.5948251483</v>
      </c>
      <c r="F19" s="2">
        <f>F17*($B$7/$B$9)</f>
        <v>1550087.6096957768</v>
      </c>
    </row>
    <row r="20" spans="1:6">
      <c r="A20" t="s">
        <v>412</v>
      </c>
      <c r="B20" s="2">
        <f>IF(Site_Fixed!$C$15&gt;0, Site_Fixed!$C$15*(1+$B$2)^1, B17*($B$8/$B$9))</f>
        <v>1617407.196</v>
      </c>
      <c r="C20" s="2">
        <f>C17*($B$8/$B$9)</f>
        <v>1657842.3759000003</v>
      </c>
      <c r="D20" s="2">
        <f>D17*($B$8/$B$9)</f>
        <v>1699288.4352975001</v>
      </c>
      <c r="E20" s="2">
        <f>E17*($B$8/$B$9)</f>
        <v>1741770.6461799373</v>
      </c>
      <c r="F20" s="2">
        <f>F17*($B$8/$B$9)</f>
        <v>1785314.9123344356</v>
      </c>
    </row>
    <row r="21" spans="1:6">
      <c r="B21" s="2"/>
      <c r="C21" s="2"/>
      <c r="D21" s="2"/>
      <c r="E21" s="2"/>
      <c r="F21" s="2"/>
    </row>
    <row r="22" spans="1:6">
      <c r="A22" t="s">
        <v>327</v>
      </c>
      <c r="B22">
        <f>Control_Center!C15</f>
        <v>1200000</v>
      </c>
    </row>
    <row r="23" spans="1:6">
      <c r="A23" t="s">
        <v>413</v>
      </c>
      <c r="B23">
        <f>Control_Center!C16</f>
        <v>0.75</v>
      </c>
    </row>
    <row r="25" spans="1:6">
      <c r="A25" s="1" t="s">
        <v>160</v>
      </c>
    </row>
    <row r="26" spans="1:6">
      <c r="A26" s="3" t="s">
        <v>414</v>
      </c>
    </row>
    <row r="27" spans="1:6">
      <c r="A27" t="s">
        <v>315</v>
      </c>
      <c r="B27">
        <f>Parameters_Public!$C18</f>
        <v>5013</v>
      </c>
      <c r="C27" t="s">
        <v>316</v>
      </c>
    </row>
    <row r="28" spans="1:6">
      <c r="A28" t="s">
        <v>415</v>
      </c>
      <c r="B28">
        <f>Parameters_Public!$C22</f>
        <v>2.5000000000000001E-2</v>
      </c>
      <c r="C28" t="s">
        <v>416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6"/>
  <sheetViews>
    <sheetView zoomScale="90" zoomScaleNormal="90" workbookViewId="0">
      <selection activeCell="G2" sqref="G2"/>
    </sheetView>
  </sheetViews>
  <sheetFormatPr defaultRowHeight="14.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8">
      <c r="A1" s="1" t="s">
        <v>83</v>
      </c>
      <c r="B1" s="1" t="s">
        <v>193</v>
      </c>
      <c r="C1" s="1" t="s">
        <v>194</v>
      </c>
      <c r="D1" s="1" t="s">
        <v>195</v>
      </c>
      <c r="E1" s="1" t="s">
        <v>202</v>
      </c>
      <c r="F1" s="1" t="s">
        <v>333</v>
      </c>
      <c r="G1" s="1" t="s">
        <v>334</v>
      </c>
      <c r="H1" s="1" t="s">
        <v>417</v>
      </c>
      <c r="I1" s="1" t="s">
        <v>418</v>
      </c>
      <c r="L1" s="1" t="s">
        <v>419</v>
      </c>
      <c r="M1" s="1" t="s">
        <v>420</v>
      </c>
      <c r="N1" s="1" t="s">
        <v>421</v>
      </c>
      <c r="O1" t="s">
        <v>422</v>
      </c>
      <c r="P1" t="s">
        <v>423</v>
      </c>
      <c r="Q1" t="s">
        <v>424</v>
      </c>
      <c r="R1" t="s">
        <v>425</v>
      </c>
    </row>
    <row r="2" spans="1:18">
      <c r="A2" t="s">
        <v>86</v>
      </c>
      <c r="B2" s="2">
        <f>BaselineCalc!B18</f>
        <v>6414.5114999999987</v>
      </c>
      <c r="C2" s="2">
        <f>BaselineCalc!B19</f>
        <v>1404302.8695</v>
      </c>
      <c r="D2" s="2">
        <f>BaselineCalc!B20</f>
        <v>1617407.196</v>
      </c>
      <c r="E2" s="2">
        <f>Control_Center!C22</f>
        <v>1000</v>
      </c>
      <c r="F2">
        <f>Control_Center!D22</f>
        <v>0.2</v>
      </c>
      <c r="G2">
        <f>Control_Center!E22</f>
        <v>0.45</v>
      </c>
      <c r="H2">
        <v>1</v>
      </c>
      <c r="I2" s="2">
        <f>BaselineCalc!$B$27*(1+BaselineCalc!$B$28)^(H2-1)</f>
        <v>5013</v>
      </c>
      <c r="L2" s="5">
        <v>1000</v>
      </c>
      <c r="M2" s="5">
        <v>0.4</v>
      </c>
      <c r="N2" s="5">
        <v>0.4</v>
      </c>
      <c r="O2">
        <f>Parameters_Public!$C$17*I2</f>
        <v>751.94999999999993</v>
      </c>
      <c r="P2">
        <f>Parameters_Public!$C$21*(1+Parameters_Public!$C22)^(H2-1)</f>
        <v>5200</v>
      </c>
      <c r="Q2">
        <f>Parameters_Public!$C47*E2</f>
        <v>200</v>
      </c>
      <c r="R2">
        <f>Parameters_Public!$C49*P2</f>
        <v>4420</v>
      </c>
    </row>
    <row r="3" spans="1:18">
      <c r="A3" t="s">
        <v>87</v>
      </c>
      <c r="B3" s="2">
        <f>BaselineCalc!C18</f>
        <v>6574.8742874999989</v>
      </c>
      <c r="C3" s="2">
        <f>BaselineCalc!C19</f>
        <v>1439410.4412375002</v>
      </c>
      <c r="D3" s="2">
        <f>BaselineCalc!C20</f>
        <v>1657842.3759000003</v>
      </c>
      <c r="E3" s="2">
        <f>Control_Center!C23</f>
        <v>800</v>
      </c>
      <c r="F3">
        <f>Control_Center!D23</f>
        <v>0.2</v>
      </c>
      <c r="G3">
        <f>Control_Center!E23</f>
        <v>0.4</v>
      </c>
      <c r="H3">
        <v>2</v>
      </c>
      <c r="I3" s="2">
        <f>BaselineCalc!$B$27*(1+BaselineCalc!$B$28)^(H3-1)</f>
        <v>5138.3249999999998</v>
      </c>
      <c r="L3" s="5">
        <v>800</v>
      </c>
      <c r="M3" s="5">
        <v>0.3</v>
      </c>
      <c r="N3" s="5">
        <v>0.35</v>
      </c>
      <c r="O3">
        <f>Parameters_Public!$C$17*I3</f>
        <v>770.74874999999997</v>
      </c>
      <c r="P3">
        <f>Parameters_Public!$C$21*(1+Parameters_Public!$C22)^(H3-1)</f>
        <v>5329.9999999999991</v>
      </c>
      <c r="Q3">
        <f>Parameters_Public!$C47*E3</f>
        <v>160</v>
      </c>
      <c r="R3">
        <f>Parameters_Public!$C49*P3</f>
        <v>4530.4999999999991</v>
      </c>
    </row>
    <row r="4" spans="1:18">
      <c r="A4" t="s">
        <v>88</v>
      </c>
      <c r="B4" s="2">
        <f>BaselineCalc!D18</f>
        <v>6739.2461446874986</v>
      </c>
      <c r="C4" s="2">
        <f>BaselineCalc!D19</f>
        <v>1475395.7022684375</v>
      </c>
      <c r="D4" s="2">
        <f>BaselineCalc!D20</f>
        <v>1699288.4352975001</v>
      </c>
      <c r="E4" s="2">
        <f>Control_Center!C24</f>
        <v>600</v>
      </c>
      <c r="F4">
        <f>Control_Center!D24</f>
        <v>0.15</v>
      </c>
      <c r="G4">
        <f>Control_Center!E24</f>
        <v>0.35</v>
      </c>
      <c r="H4">
        <v>3</v>
      </c>
      <c r="I4" s="2">
        <f>BaselineCalc!$B$27*(1+BaselineCalc!$B$28)^(H4-1)</f>
        <v>5266.7831249999999</v>
      </c>
      <c r="L4" s="5">
        <v>600</v>
      </c>
      <c r="M4" s="5">
        <v>0.2</v>
      </c>
      <c r="N4" s="5">
        <v>0.3</v>
      </c>
      <c r="O4">
        <f>Parameters_Public!$C$17*I4</f>
        <v>790.01746874999992</v>
      </c>
      <c r="P4">
        <f>Parameters_Public!$C$21*(1+Parameters_Public!$C22)^(H4-1)</f>
        <v>5463.25</v>
      </c>
      <c r="Q4">
        <f>Parameters_Public!$C47*E4</f>
        <v>120</v>
      </c>
      <c r="R4">
        <f>Parameters_Public!$C49*P4</f>
        <v>4643.7624999999998</v>
      </c>
    </row>
    <row r="5" spans="1:18">
      <c r="A5" t="s">
        <v>89</v>
      </c>
      <c r="B5" s="2">
        <f>BaselineCalc!E18</f>
        <v>6907.7272983046851</v>
      </c>
      <c r="C5" s="2">
        <f>BaselineCalc!E19</f>
        <v>1512280.5948251483</v>
      </c>
      <c r="D5" s="2">
        <f>BaselineCalc!E20</f>
        <v>1741770.6461799373</v>
      </c>
      <c r="E5" s="2">
        <f>Control_Center!C25</f>
        <v>500</v>
      </c>
      <c r="F5">
        <f>Control_Center!D25</f>
        <v>0.1</v>
      </c>
      <c r="G5">
        <f>Control_Center!E25</f>
        <v>0.3</v>
      </c>
      <c r="H5">
        <v>4</v>
      </c>
      <c r="I5" s="2">
        <f>BaselineCalc!$B$27*(1+BaselineCalc!$B$28)^(H5-1)</f>
        <v>5398.4527031249991</v>
      </c>
      <c r="L5" s="5">
        <v>400</v>
      </c>
      <c r="M5" s="5">
        <v>0.1</v>
      </c>
      <c r="N5" s="5">
        <v>0.25</v>
      </c>
      <c r="O5">
        <f>Parameters_Public!$C$17*I5</f>
        <v>809.76790546874986</v>
      </c>
      <c r="P5">
        <f>Parameters_Public!$C$21*(1+Parameters_Public!$C22)^(H5-1)</f>
        <v>5599.8312499999993</v>
      </c>
      <c r="Q5">
        <f>Parameters_Public!$C47*E5</f>
        <v>100</v>
      </c>
      <c r="R5">
        <f>Parameters_Public!$C49*P5</f>
        <v>4759.8565624999992</v>
      </c>
    </row>
    <row r="6" spans="1:18">
      <c r="A6" t="s">
        <v>90</v>
      </c>
      <c r="B6" s="2">
        <f>BaselineCalc!F18</f>
        <v>7080.4204807623018</v>
      </c>
      <c r="C6" s="2">
        <f>BaselineCalc!F19</f>
        <v>1550087.6096957768</v>
      </c>
      <c r="D6" s="2">
        <f>BaselineCalc!F20</f>
        <v>1785314.9123344356</v>
      </c>
      <c r="E6" s="2">
        <f>Control_Center!C26</f>
        <v>300</v>
      </c>
      <c r="F6">
        <f>Control_Center!D26</f>
        <v>0.1</v>
      </c>
      <c r="G6">
        <f>Control_Center!E26</f>
        <v>0.3</v>
      </c>
      <c r="H6">
        <v>5</v>
      </c>
      <c r="I6" s="2">
        <f>BaselineCalc!$B$27*(1+BaselineCalc!$B$28)^(H6-1)</f>
        <v>5533.4140207031242</v>
      </c>
      <c r="L6" s="5">
        <v>300</v>
      </c>
      <c r="M6" s="5">
        <v>0</v>
      </c>
      <c r="N6" s="5">
        <v>0.2</v>
      </c>
      <c r="O6">
        <f>Parameters_Public!$C$17*I6</f>
        <v>830.01210310546855</v>
      </c>
      <c r="P6">
        <f>Parameters_Public!$C$21*(1+Parameters_Public!$C22)^(H6-1)</f>
        <v>5739.827031249999</v>
      </c>
      <c r="Q6">
        <f>Parameters_Public!$C47*E6</f>
        <v>60</v>
      </c>
      <c r="R6">
        <f>Parameters_Public!$C49*P6</f>
        <v>4878.852976562499</v>
      </c>
    </row>
  </sheetData>
  <pageMargins left="0.75" right="0.75" top="1" bottom="1"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5"/>
  <sheetViews>
    <sheetView workbookViewId="0">
      <selection activeCell="B14" sqref="B14"/>
    </sheetView>
  </sheetViews>
  <sheetFormatPr defaultRowHeight="14.5"/>
  <cols>
    <col min="1" max="1" width="59.1796875" bestFit="1" customWidth="1"/>
    <col min="2" max="2" width="5.6328125" customWidth="1"/>
    <col min="3" max="3" width="5.26953125" customWidth="1"/>
  </cols>
  <sheetData>
    <row r="1" spans="1:3">
      <c r="A1" t="s">
        <v>426</v>
      </c>
    </row>
    <row r="3" spans="1:3">
      <c r="A3" t="s">
        <v>427</v>
      </c>
      <c r="B3">
        <v>0</v>
      </c>
    </row>
    <row r="4" spans="1:3">
      <c r="A4" t="s">
        <v>428</v>
      </c>
      <c r="B4">
        <v>0</v>
      </c>
    </row>
    <row r="5" spans="1:3">
      <c r="A5" t="s">
        <v>429</v>
      </c>
      <c r="B5">
        <v>0</v>
      </c>
    </row>
    <row r="6" spans="1:3">
      <c r="A6" t="s">
        <v>430</v>
      </c>
      <c r="B6">
        <v>0</v>
      </c>
    </row>
    <row r="7" spans="1:3">
      <c r="A7" t="s">
        <v>431</v>
      </c>
      <c r="B7">
        <v>0</v>
      </c>
    </row>
    <row r="8" spans="1:3">
      <c r="A8" t="s">
        <v>432</v>
      </c>
      <c r="C8">
        <f>SUM(B3:B7)</f>
        <v>0</v>
      </c>
    </row>
    <row r="10" spans="1:3">
      <c r="A10" t="s">
        <v>433</v>
      </c>
      <c r="B10">
        <v>0</v>
      </c>
    </row>
    <row r="11" spans="1:3">
      <c r="A11" t="s">
        <v>434</v>
      </c>
      <c r="B11">
        <v>0</v>
      </c>
    </row>
    <row r="12" spans="1:3">
      <c r="A12" t="s">
        <v>435</v>
      </c>
      <c r="B12">
        <v>0</v>
      </c>
    </row>
    <row r="13" spans="1:3">
      <c r="A13" t="s">
        <v>436</v>
      </c>
      <c r="B13">
        <v>0</v>
      </c>
    </row>
    <row r="14" spans="1:3">
      <c r="A14" t="s">
        <v>437</v>
      </c>
      <c r="B14">
        <v>0</v>
      </c>
    </row>
    <row r="15" spans="1:3">
      <c r="A15" t="s">
        <v>438</v>
      </c>
      <c r="C15">
        <f>SUM(B10:B14)</f>
        <v>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64"/>
  <sheetViews>
    <sheetView zoomScale="70" zoomScaleNormal="70" workbookViewId="0">
      <pane xSplit="3" ySplit="2" topLeftCell="D3" activePane="bottomRight" state="frozen"/>
      <selection pane="topRight" activeCell="C1" sqref="C1"/>
      <selection pane="bottomLeft" activeCell="A3" sqref="A3"/>
      <selection pane="bottomRight" activeCell="D3" sqref="D3"/>
    </sheetView>
  </sheetViews>
  <sheetFormatPr defaultRowHeight="14.5"/>
  <cols>
    <col min="3" max="3" width="16.36328125" customWidth="1"/>
    <col min="4" max="7" width="35.54296875" customWidth="1"/>
    <col min="8" max="8" width="17.7265625" customWidth="1"/>
    <col min="9" max="9" width="17.26953125" customWidth="1"/>
    <col min="10" max="10" width="13.7265625" customWidth="1"/>
    <col min="11" max="11" width="12.36328125" customWidth="1"/>
  </cols>
  <sheetData>
    <row r="1" spans="1:11">
      <c r="A1" s="7"/>
      <c r="B1" s="7"/>
      <c r="C1" s="7"/>
      <c r="D1" s="7"/>
      <c r="E1" s="7"/>
      <c r="F1" s="7"/>
      <c r="G1" s="7"/>
      <c r="H1" s="7"/>
      <c r="I1" s="7"/>
    </row>
    <row r="2" spans="1:11">
      <c r="A2" s="7"/>
      <c r="B2" s="7" t="s">
        <v>439</v>
      </c>
      <c r="C2" s="6" t="s">
        <v>440</v>
      </c>
      <c r="D2" s="6" t="s">
        <v>441</v>
      </c>
      <c r="E2" s="6" t="s">
        <v>442</v>
      </c>
      <c r="F2" s="6" t="s">
        <v>443</v>
      </c>
      <c r="G2" s="6" t="s">
        <v>444</v>
      </c>
      <c r="H2" s="7"/>
      <c r="I2" s="7"/>
    </row>
    <row r="3" spans="1:11" ht="221" customHeight="1">
      <c r="A3" s="7"/>
      <c r="B3" s="7">
        <f t="shared" ref="B3:B28" si="0">ROW()-2</f>
        <v>1</v>
      </c>
      <c r="C3" s="24" t="s">
        <v>445</v>
      </c>
      <c r="D3" s="25" t="s">
        <v>446</v>
      </c>
      <c r="E3" s="25" t="s">
        <v>447</v>
      </c>
      <c r="F3" s="25"/>
      <c r="G3" s="25"/>
      <c r="H3" s="7"/>
      <c r="I3" s="7"/>
    </row>
    <row r="4" spans="1:11" ht="182" customHeight="1">
      <c r="A4" s="7"/>
      <c r="B4" s="7">
        <f t="shared" si="0"/>
        <v>2</v>
      </c>
      <c r="C4" s="24" t="s">
        <v>448</v>
      </c>
      <c r="D4" s="25" t="s">
        <v>449</v>
      </c>
      <c r="E4" s="25" t="s">
        <v>450</v>
      </c>
      <c r="F4" s="25"/>
      <c r="G4" s="25"/>
      <c r="H4" s="7"/>
      <c r="I4" s="7"/>
    </row>
    <row r="5" spans="1:11" ht="130" customHeight="1">
      <c r="A5" s="7"/>
      <c r="B5" s="7">
        <f t="shared" si="0"/>
        <v>3</v>
      </c>
      <c r="C5" s="24" t="s">
        <v>451</v>
      </c>
      <c r="D5" s="25" t="s">
        <v>452</v>
      </c>
      <c r="E5" s="24" t="s">
        <v>453</v>
      </c>
      <c r="F5" s="24"/>
      <c r="G5" s="25" t="s">
        <v>454</v>
      </c>
      <c r="H5" s="7"/>
      <c r="I5" s="7"/>
    </row>
    <row r="6" spans="1:11" ht="65" customHeight="1">
      <c r="A6" s="7"/>
      <c r="B6" s="7">
        <f t="shared" si="0"/>
        <v>4</v>
      </c>
      <c r="C6" s="24" t="s">
        <v>455</v>
      </c>
      <c r="D6" s="25" t="s">
        <v>456</v>
      </c>
      <c r="E6" s="25" t="s">
        <v>457</v>
      </c>
      <c r="F6" s="25"/>
      <c r="G6" s="25" t="s">
        <v>458</v>
      </c>
      <c r="H6" s="7"/>
      <c r="I6" s="7"/>
    </row>
    <row r="7" spans="1:11" ht="52" customHeight="1">
      <c r="A7" s="7"/>
      <c r="B7" s="7">
        <f t="shared" si="0"/>
        <v>5</v>
      </c>
      <c r="C7" s="24" t="s">
        <v>459</v>
      </c>
      <c r="D7" s="25" t="s">
        <v>456</v>
      </c>
      <c r="E7" s="24" t="s">
        <v>460</v>
      </c>
      <c r="F7" s="24"/>
      <c r="G7" s="25" t="s">
        <v>461</v>
      </c>
      <c r="H7" s="7"/>
      <c r="I7" s="7"/>
    </row>
    <row r="8" spans="1:11" ht="104" customHeight="1">
      <c r="A8" s="7"/>
      <c r="B8" s="7">
        <f t="shared" si="0"/>
        <v>6</v>
      </c>
      <c r="C8" s="24" t="s">
        <v>462</v>
      </c>
      <c r="D8" s="25" t="s">
        <v>463</v>
      </c>
      <c r="E8" s="26" t="s">
        <v>464</v>
      </c>
      <c r="F8" s="26"/>
      <c r="G8" s="25" t="s">
        <v>465</v>
      </c>
      <c r="H8" s="7"/>
      <c r="I8" s="7"/>
    </row>
    <row r="9" spans="1:11" ht="145" customHeight="1">
      <c r="A9" s="7"/>
      <c r="B9" s="7">
        <f t="shared" si="0"/>
        <v>7</v>
      </c>
      <c r="C9" s="20" t="s">
        <v>466</v>
      </c>
      <c r="D9" s="19" t="s">
        <v>467</v>
      </c>
      <c r="E9" s="23" t="s">
        <v>468</v>
      </c>
      <c r="F9" s="23"/>
      <c r="G9" s="25" t="s">
        <v>469</v>
      </c>
      <c r="H9" s="7"/>
      <c r="I9" s="7"/>
    </row>
    <row r="10" spans="1:11">
      <c r="A10" s="7"/>
      <c r="B10" s="7">
        <f t="shared" si="0"/>
        <v>8</v>
      </c>
      <c r="C10" s="24" t="s">
        <v>470</v>
      </c>
      <c r="D10" s="28"/>
      <c r="E10" s="27"/>
      <c r="F10" s="27"/>
      <c r="G10" s="28"/>
      <c r="H10" s="7"/>
      <c r="I10" s="7"/>
    </row>
    <row r="11" spans="1:11">
      <c r="A11" s="7"/>
      <c r="B11" s="7">
        <f t="shared" si="0"/>
        <v>9</v>
      </c>
      <c r="C11" s="24" t="s">
        <v>471</v>
      </c>
      <c r="D11" s="28"/>
      <c r="E11" s="27"/>
      <c r="F11" s="27"/>
      <c r="G11" s="28"/>
      <c r="H11" s="7"/>
      <c r="I11" s="7"/>
    </row>
    <row r="12" spans="1:11" ht="26" customHeight="1">
      <c r="A12" s="7"/>
      <c r="B12" s="7">
        <f t="shared" si="0"/>
        <v>10</v>
      </c>
      <c r="C12" s="24" t="s">
        <v>155</v>
      </c>
      <c r="D12" s="25" t="s">
        <v>472</v>
      </c>
      <c r="E12" s="25" t="s">
        <v>473</v>
      </c>
      <c r="F12" s="25"/>
      <c r="G12" s="25"/>
      <c r="H12" s="7"/>
      <c r="I12" s="7"/>
    </row>
    <row r="13" spans="1:11" ht="52" customHeight="1">
      <c r="A13" s="7"/>
      <c r="B13" s="7">
        <f t="shared" si="0"/>
        <v>11</v>
      </c>
      <c r="C13" s="24" t="s">
        <v>474</v>
      </c>
      <c r="D13" s="25" t="s">
        <v>475</v>
      </c>
      <c r="E13" s="24" t="s">
        <v>476</v>
      </c>
      <c r="F13" s="24"/>
      <c r="G13" s="25" t="s">
        <v>477</v>
      </c>
      <c r="H13" s="7"/>
      <c r="I13" s="7"/>
    </row>
    <row r="14" spans="1:11" ht="104" customHeight="1">
      <c r="A14" s="7"/>
      <c r="B14" s="7">
        <f t="shared" si="0"/>
        <v>12</v>
      </c>
      <c r="C14" s="24" t="s">
        <v>478</v>
      </c>
      <c r="D14" s="25" t="s">
        <v>479</v>
      </c>
      <c r="E14" s="27" t="s">
        <v>480</v>
      </c>
      <c r="F14" s="27"/>
      <c r="G14" s="25" t="s">
        <v>481</v>
      </c>
      <c r="H14" s="7"/>
      <c r="I14" s="7"/>
    </row>
    <row r="15" spans="1:11" ht="391.5" customHeight="1">
      <c r="A15" s="7"/>
      <c r="B15" s="7">
        <f t="shared" si="0"/>
        <v>13</v>
      </c>
      <c r="C15" s="24" t="s">
        <v>482</v>
      </c>
      <c r="D15" s="25" t="s">
        <v>483</v>
      </c>
      <c r="E15" s="24" t="s">
        <v>484</v>
      </c>
      <c r="F15" s="24"/>
      <c r="G15" s="25" t="s">
        <v>485</v>
      </c>
      <c r="H15" s="20" t="s">
        <v>486</v>
      </c>
      <c r="I15" s="19" t="s">
        <v>487</v>
      </c>
      <c r="J15" s="19" t="s">
        <v>488</v>
      </c>
      <c r="K15" s="19" t="s">
        <v>489</v>
      </c>
    </row>
    <row r="16" spans="1:11" ht="409.5" customHeight="1">
      <c r="A16" s="7"/>
      <c r="B16" s="7">
        <f t="shared" si="0"/>
        <v>14</v>
      </c>
      <c r="C16" s="24" t="s">
        <v>490</v>
      </c>
      <c r="D16" s="25" t="s">
        <v>491</v>
      </c>
      <c r="E16" s="27" t="s">
        <v>492</v>
      </c>
      <c r="F16" s="27"/>
      <c r="G16" s="25" t="s">
        <v>493</v>
      </c>
      <c r="H16" s="7"/>
      <c r="I16" s="7"/>
    </row>
    <row r="17" spans="1:11" ht="65" customHeight="1">
      <c r="A17" s="7"/>
      <c r="B17" s="7">
        <f t="shared" si="0"/>
        <v>15</v>
      </c>
      <c r="C17" s="24" t="s">
        <v>494</v>
      </c>
      <c r="D17" s="25" t="s">
        <v>495</v>
      </c>
      <c r="E17" s="24" t="s">
        <v>496</v>
      </c>
      <c r="F17" s="24"/>
      <c r="G17" s="25" t="s">
        <v>497</v>
      </c>
      <c r="H17" s="7"/>
      <c r="I17" s="7"/>
    </row>
    <row r="18" spans="1:11" ht="195" customHeight="1">
      <c r="A18" s="7"/>
      <c r="B18" s="7">
        <f t="shared" si="0"/>
        <v>16</v>
      </c>
      <c r="C18" s="24" t="s">
        <v>498</v>
      </c>
      <c r="D18" s="30" t="s">
        <v>499</v>
      </c>
      <c r="E18" s="24" t="s">
        <v>500</v>
      </c>
      <c r="F18" s="24"/>
      <c r="G18" s="25" t="s">
        <v>501</v>
      </c>
      <c r="H18" s="7"/>
      <c r="I18" s="7"/>
    </row>
    <row r="19" spans="1:11" ht="91" customHeight="1">
      <c r="A19" s="7"/>
      <c r="B19" s="7">
        <f t="shared" si="0"/>
        <v>17</v>
      </c>
      <c r="C19" s="24" t="s">
        <v>502</v>
      </c>
      <c r="D19" s="28" t="s">
        <v>503</v>
      </c>
      <c r="E19" s="29"/>
      <c r="F19" s="29"/>
      <c r="G19" s="28"/>
      <c r="H19" s="7"/>
      <c r="I19" s="7"/>
    </row>
    <row r="20" spans="1:11" ht="104" customHeight="1">
      <c r="A20" s="7"/>
      <c r="B20" s="7">
        <f t="shared" si="0"/>
        <v>18</v>
      </c>
      <c r="C20" s="24" t="s">
        <v>504</v>
      </c>
      <c r="D20" s="28" t="s">
        <v>505</v>
      </c>
      <c r="E20" s="29"/>
      <c r="F20" s="29"/>
      <c r="G20" s="28"/>
      <c r="H20" s="7"/>
      <c r="I20" s="7"/>
    </row>
    <row r="21" spans="1:11">
      <c r="A21" s="7"/>
      <c r="B21" s="7">
        <f t="shared" si="0"/>
        <v>19</v>
      </c>
      <c r="C21" s="24"/>
      <c r="D21" s="28"/>
      <c r="E21" s="29"/>
      <c r="F21" s="29"/>
      <c r="G21" s="28"/>
      <c r="H21" s="7"/>
      <c r="I21" s="7"/>
    </row>
    <row r="22" spans="1:11" ht="39" customHeight="1">
      <c r="A22" s="7"/>
      <c r="B22" s="7">
        <f t="shared" si="0"/>
        <v>20</v>
      </c>
      <c r="C22" s="24" t="s">
        <v>506</v>
      </c>
      <c r="D22" s="25" t="s">
        <v>507</v>
      </c>
      <c r="E22" s="24" t="s">
        <v>508</v>
      </c>
      <c r="F22" s="24"/>
      <c r="G22" s="25" t="s">
        <v>509</v>
      </c>
      <c r="H22" s="7" t="s">
        <v>510</v>
      </c>
      <c r="I22" s="7"/>
    </row>
    <row r="23" spans="1:11" ht="39" customHeight="1">
      <c r="A23" s="7"/>
      <c r="B23" s="7">
        <f t="shared" si="0"/>
        <v>21</v>
      </c>
      <c r="C23" s="24" t="s">
        <v>511</v>
      </c>
      <c r="D23" s="25" t="s">
        <v>512</v>
      </c>
      <c r="E23" s="25" t="s">
        <v>513</v>
      </c>
      <c r="F23" s="25"/>
      <c r="G23" s="25" t="s">
        <v>514</v>
      </c>
      <c r="H23" s="7"/>
      <c r="I23" s="7"/>
    </row>
    <row r="24" spans="1:11" ht="52" customHeight="1">
      <c r="A24" s="7"/>
      <c r="B24" s="7">
        <f t="shared" si="0"/>
        <v>22</v>
      </c>
      <c r="C24" s="24" t="s">
        <v>515</v>
      </c>
      <c r="D24" s="25" t="s">
        <v>516</v>
      </c>
      <c r="E24" s="26" t="s">
        <v>517</v>
      </c>
      <c r="F24" s="26"/>
      <c r="G24" s="25" t="s">
        <v>518</v>
      </c>
      <c r="H24" s="7"/>
      <c r="I24" s="7"/>
    </row>
    <row r="25" spans="1:11" ht="65" customHeight="1">
      <c r="A25" s="7"/>
      <c r="B25" s="7">
        <f t="shared" si="0"/>
        <v>23</v>
      </c>
      <c r="C25" s="24" t="s">
        <v>519</v>
      </c>
      <c r="D25" s="25" t="s">
        <v>520</v>
      </c>
      <c r="E25" s="26" t="s">
        <v>521</v>
      </c>
      <c r="F25" s="26"/>
      <c r="G25" s="25" t="s">
        <v>522</v>
      </c>
      <c r="H25" s="7"/>
      <c r="I25" s="7"/>
    </row>
    <row r="26" spans="1:11">
      <c r="A26" s="7"/>
      <c r="B26" s="7">
        <f t="shared" si="0"/>
        <v>24</v>
      </c>
      <c r="C26" s="24"/>
      <c r="D26" s="25"/>
      <c r="E26" s="26"/>
      <c r="F26" s="26"/>
      <c r="G26" s="25"/>
      <c r="H26" s="7"/>
      <c r="I26" s="7"/>
    </row>
    <row r="27" spans="1:11">
      <c r="A27" s="7"/>
      <c r="B27" s="7">
        <f t="shared" si="0"/>
        <v>25</v>
      </c>
      <c r="C27" s="24"/>
      <c r="D27" s="25"/>
      <c r="E27" s="26"/>
      <c r="F27" s="26"/>
      <c r="G27" s="25"/>
      <c r="H27" s="7"/>
      <c r="I27" s="7"/>
    </row>
    <row r="28" spans="1:11" ht="29" customHeight="1">
      <c r="A28" s="7"/>
      <c r="B28" s="7">
        <f t="shared" si="0"/>
        <v>26</v>
      </c>
      <c r="C28" s="18" t="s">
        <v>523</v>
      </c>
      <c r="D28" s="18" t="s">
        <v>524</v>
      </c>
      <c r="E28" s="18" t="s">
        <v>525</v>
      </c>
      <c r="F28" s="18"/>
      <c r="G28" s="18" t="s">
        <v>526</v>
      </c>
      <c r="H28" s="7"/>
      <c r="I28" s="7"/>
    </row>
    <row r="29" spans="1:11">
      <c r="A29" s="7"/>
      <c r="B29" s="7"/>
      <c r="H29" s="7"/>
      <c r="I29" s="7"/>
    </row>
    <row r="30" spans="1:11" ht="26" customHeight="1">
      <c r="A30" s="7"/>
      <c r="B30" s="7"/>
      <c r="C30" s="21" t="s">
        <v>527</v>
      </c>
      <c r="D30" s="21" t="s">
        <v>78</v>
      </c>
      <c r="E30" s="21" t="s">
        <v>528</v>
      </c>
      <c r="F30" s="21"/>
      <c r="G30" s="21" t="s">
        <v>529</v>
      </c>
      <c r="H30" s="21" t="s">
        <v>530</v>
      </c>
      <c r="I30" s="7"/>
    </row>
    <row r="31" spans="1:11" ht="52" customHeight="1">
      <c r="A31" s="7"/>
      <c r="B31" s="7"/>
      <c r="C31" s="21" t="s">
        <v>311</v>
      </c>
      <c r="D31" s="22" t="s">
        <v>531</v>
      </c>
      <c r="E31" s="22" t="s">
        <v>532</v>
      </c>
      <c r="F31" s="22"/>
      <c r="G31" s="22" t="s">
        <v>533</v>
      </c>
      <c r="H31" s="22" t="s">
        <v>534</v>
      </c>
      <c r="I31" s="7"/>
      <c r="K31" s="22" t="s">
        <v>510</v>
      </c>
    </row>
    <row r="32" spans="1:11" ht="52" customHeight="1">
      <c r="A32" s="7"/>
      <c r="B32" s="7"/>
      <c r="C32" s="21" t="s">
        <v>313</v>
      </c>
      <c r="D32" s="22" t="s">
        <v>535</v>
      </c>
      <c r="E32" s="22" t="s">
        <v>532</v>
      </c>
      <c r="F32" s="22"/>
      <c r="G32" s="22" t="s">
        <v>536</v>
      </c>
      <c r="H32" s="22" t="s">
        <v>537</v>
      </c>
      <c r="I32" s="15" t="s">
        <v>538</v>
      </c>
    </row>
    <row r="33" spans="1:9" ht="26" customHeight="1">
      <c r="A33" s="7"/>
      <c r="B33" s="7"/>
      <c r="C33" s="21" t="s">
        <v>406</v>
      </c>
      <c r="D33" s="22" t="s">
        <v>539</v>
      </c>
      <c r="E33" s="22" t="s">
        <v>532</v>
      </c>
      <c r="F33" s="22"/>
      <c r="G33" s="22" t="s">
        <v>540</v>
      </c>
      <c r="H33" s="22" t="s">
        <v>541</v>
      </c>
      <c r="I33" s="7"/>
    </row>
    <row r="34" spans="1:9" ht="26" customHeight="1">
      <c r="A34" s="7"/>
      <c r="B34" s="7"/>
      <c r="C34" s="21" t="s">
        <v>309</v>
      </c>
      <c r="D34" s="22" t="s">
        <v>542</v>
      </c>
      <c r="E34" s="22" t="s">
        <v>532</v>
      </c>
      <c r="F34" s="22"/>
      <c r="G34" s="22" t="s">
        <v>543</v>
      </c>
      <c r="H34" s="22" t="s">
        <v>544</v>
      </c>
      <c r="I34" s="7"/>
    </row>
    <row r="35" spans="1:9" ht="26" customHeight="1">
      <c r="A35" s="7"/>
      <c r="B35" s="7"/>
      <c r="C35" s="21" t="s">
        <v>545</v>
      </c>
      <c r="D35" s="22" t="s">
        <v>546</v>
      </c>
      <c r="E35" s="22" t="s">
        <v>532</v>
      </c>
      <c r="F35" s="22"/>
      <c r="G35" s="22" t="s">
        <v>547</v>
      </c>
      <c r="H35" s="22" t="s">
        <v>548</v>
      </c>
      <c r="I35" s="7"/>
    </row>
    <row r="36" spans="1:9" ht="26" customHeight="1">
      <c r="A36" s="7"/>
      <c r="B36" s="7"/>
      <c r="C36" s="21" t="s">
        <v>549</v>
      </c>
      <c r="D36" s="22" t="s">
        <v>550</v>
      </c>
      <c r="E36" s="22" t="s">
        <v>551</v>
      </c>
      <c r="F36" s="22"/>
      <c r="G36" s="22" t="s">
        <v>552</v>
      </c>
      <c r="H36" s="22" t="s">
        <v>541</v>
      </c>
      <c r="I36" s="7"/>
    </row>
    <row r="37" spans="1:9" ht="52" customHeight="1">
      <c r="A37" s="7"/>
      <c r="B37" s="7"/>
      <c r="C37" s="21" t="s">
        <v>553</v>
      </c>
      <c r="D37" s="22" t="s">
        <v>554</v>
      </c>
      <c r="E37" s="22" t="s">
        <v>551</v>
      </c>
      <c r="F37" s="22"/>
      <c r="G37" s="22" t="s">
        <v>555</v>
      </c>
      <c r="H37" s="22" t="s">
        <v>556</v>
      </c>
      <c r="I37" s="7"/>
    </row>
    <row r="38" spans="1:9" ht="26" customHeight="1">
      <c r="A38" s="7"/>
      <c r="B38" s="7"/>
      <c r="C38" s="21" t="s">
        <v>557</v>
      </c>
      <c r="D38" s="22" t="s">
        <v>558</v>
      </c>
      <c r="E38" s="22" t="s">
        <v>551</v>
      </c>
      <c r="F38" s="22"/>
      <c r="G38" s="22" t="s">
        <v>559</v>
      </c>
      <c r="H38" s="22" t="s">
        <v>560</v>
      </c>
      <c r="I38" s="7"/>
    </row>
    <row r="39" spans="1:9" ht="26" customHeight="1">
      <c r="A39" s="7"/>
      <c r="B39" s="7"/>
      <c r="C39" s="21" t="s">
        <v>561</v>
      </c>
      <c r="D39" s="22" t="s">
        <v>562</v>
      </c>
      <c r="E39" s="22" t="s">
        <v>551</v>
      </c>
      <c r="F39" s="22"/>
      <c r="G39" s="22" t="s">
        <v>563</v>
      </c>
      <c r="H39" s="22" t="s">
        <v>564</v>
      </c>
      <c r="I39" s="7"/>
    </row>
    <row r="40" spans="1:9" ht="26" customHeight="1">
      <c r="A40" s="7"/>
      <c r="B40" s="7"/>
      <c r="C40" s="21" t="s">
        <v>565</v>
      </c>
      <c r="D40" s="22" t="s">
        <v>566</v>
      </c>
      <c r="E40" s="22" t="s">
        <v>551</v>
      </c>
      <c r="F40" s="22"/>
      <c r="G40" s="22" t="s">
        <v>567</v>
      </c>
      <c r="H40" s="22" t="s">
        <v>568</v>
      </c>
      <c r="I40" s="7"/>
    </row>
    <row r="41" spans="1:9" ht="26" customHeight="1">
      <c r="A41" s="7"/>
      <c r="B41" s="7"/>
      <c r="C41" s="21" t="s">
        <v>94</v>
      </c>
      <c r="D41" s="22" t="s">
        <v>569</v>
      </c>
      <c r="E41" s="22" t="s">
        <v>570</v>
      </c>
      <c r="F41" s="22"/>
      <c r="G41" s="22" t="s">
        <v>571</v>
      </c>
      <c r="H41" s="22" t="s">
        <v>572</v>
      </c>
      <c r="I41" s="7"/>
    </row>
    <row r="42" spans="1:9" ht="39" customHeight="1">
      <c r="A42" s="7"/>
      <c r="B42" s="7"/>
      <c r="C42" s="21" t="s">
        <v>573</v>
      </c>
      <c r="D42" s="22" t="s">
        <v>574</v>
      </c>
      <c r="E42" s="22" t="s">
        <v>575</v>
      </c>
      <c r="F42" s="22"/>
      <c r="G42" s="22" t="s">
        <v>576</v>
      </c>
      <c r="H42" s="22" t="s">
        <v>577</v>
      </c>
      <c r="I42" s="7"/>
    </row>
    <row r="44" spans="1:9">
      <c r="C44" s="18" t="s">
        <v>578</v>
      </c>
      <c r="D44" s="18" t="s">
        <v>579</v>
      </c>
      <c r="E44" s="18" t="s">
        <v>580</v>
      </c>
      <c r="F44" s="18" t="s">
        <v>581</v>
      </c>
      <c r="G44" s="18" t="s">
        <v>582</v>
      </c>
    </row>
    <row r="45" spans="1:9" ht="87" customHeight="1">
      <c r="A45" s="7"/>
      <c r="B45" s="7"/>
      <c r="C45" s="20" t="s">
        <v>583</v>
      </c>
      <c r="D45" s="19" t="s">
        <v>584</v>
      </c>
      <c r="E45" s="19" t="s">
        <v>585</v>
      </c>
      <c r="F45" s="39" t="s">
        <v>586</v>
      </c>
      <c r="G45" s="19" t="s">
        <v>587</v>
      </c>
    </row>
    <row r="46" spans="1:9" ht="43.5" customHeight="1">
      <c r="A46" s="15"/>
      <c r="B46" s="15"/>
      <c r="C46" s="20" t="s">
        <v>588</v>
      </c>
      <c r="D46" s="19" t="s">
        <v>589</v>
      </c>
      <c r="E46" s="19" t="s">
        <v>590</v>
      </c>
      <c r="F46" s="39" t="s">
        <v>591</v>
      </c>
      <c r="G46" s="19" t="s">
        <v>592</v>
      </c>
    </row>
    <row r="47" spans="1:9" ht="87" customHeight="1">
      <c r="A47" s="7"/>
      <c r="B47" s="7"/>
      <c r="C47" s="20" t="s">
        <v>593</v>
      </c>
      <c r="D47" s="19" t="s">
        <v>594</v>
      </c>
      <c r="E47" s="20" t="s">
        <v>595</v>
      </c>
      <c r="F47" s="39" t="s">
        <v>596</v>
      </c>
      <c r="G47" s="19" t="s">
        <v>597</v>
      </c>
    </row>
    <row r="48" spans="1:9" ht="58" customHeight="1">
      <c r="A48" s="7"/>
      <c r="B48" s="7"/>
      <c r="C48" s="20" t="s">
        <v>598</v>
      </c>
      <c r="D48" s="19" t="s">
        <v>599</v>
      </c>
      <c r="E48" s="19" t="s">
        <v>600</v>
      </c>
      <c r="F48" s="39" t="s">
        <v>601</v>
      </c>
      <c r="G48" s="19" t="s">
        <v>602</v>
      </c>
    </row>
    <row r="49" spans="1:7" ht="72.5" customHeight="1">
      <c r="A49" s="7"/>
      <c r="B49" s="7"/>
      <c r="C49" s="20" t="s">
        <v>603</v>
      </c>
      <c r="D49" s="19" t="s">
        <v>604</v>
      </c>
      <c r="E49" s="19" t="s">
        <v>605</v>
      </c>
      <c r="F49" s="39" t="s">
        <v>606</v>
      </c>
      <c r="G49" s="20" t="s">
        <v>607</v>
      </c>
    </row>
    <row r="50" spans="1:7" ht="72.5" customHeight="1">
      <c r="A50" s="7"/>
      <c r="B50" s="7"/>
      <c r="C50" s="20" t="s">
        <v>608</v>
      </c>
      <c r="D50" s="19" t="s">
        <v>609</v>
      </c>
      <c r="E50" s="19" t="s">
        <v>610</v>
      </c>
      <c r="F50" s="39" t="s">
        <v>611</v>
      </c>
      <c r="G50" s="19" t="s">
        <v>612</v>
      </c>
    </row>
    <row r="51" spans="1:7" ht="58" customHeight="1">
      <c r="A51" s="7"/>
      <c r="B51" s="7"/>
      <c r="C51" s="20" t="s">
        <v>613</v>
      </c>
      <c r="D51" s="19" t="s">
        <v>614</v>
      </c>
      <c r="E51" s="20" t="s">
        <v>615</v>
      </c>
      <c r="F51" s="39" t="s">
        <v>616</v>
      </c>
      <c r="G51" s="19" t="s">
        <v>617</v>
      </c>
    </row>
    <row r="52" spans="1:7" ht="101.5" customHeight="1">
      <c r="A52" s="7"/>
      <c r="B52" s="7"/>
      <c r="C52" s="20" t="s">
        <v>618</v>
      </c>
      <c r="D52" s="19" t="s">
        <v>619</v>
      </c>
      <c r="E52" s="19" t="s">
        <v>620</v>
      </c>
      <c r="F52" s="39" t="s">
        <v>621</v>
      </c>
      <c r="G52" s="20" t="s">
        <v>622</v>
      </c>
    </row>
    <row r="53" spans="1:7" ht="101.5" customHeight="1">
      <c r="A53" s="7"/>
      <c r="B53" s="7"/>
      <c r="C53" s="20" t="s">
        <v>623</v>
      </c>
      <c r="D53" s="20" t="s">
        <v>624</v>
      </c>
      <c r="E53" s="19" t="s">
        <v>625</v>
      </c>
      <c r="F53" s="39" t="s">
        <v>626</v>
      </c>
      <c r="G53" s="19" t="s">
        <v>627</v>
      </c>
    </row>
    <row r="54" spans="1:7" ht="58" customHeight="1">
      <c r="A54" s="7"/>
      <c r="B54" s="7"/>
      <c r="C54" s="20" t="s">
        <v>94</v>
      </c>
      <c r="D54" s="19" t="s">
        <v>628</v>
      </c>
      <c r="E54" s="19" t="s">
        <v>629</v>
      </c>
      <c r="F54" s="39" t="s">
        <v>630</v>
      </c>
      <c r="G54" s="19" t="s">
        <v>631</v>
      </c>
    </row>
    <row r="55" spans="1:7" ht="72.5" customHeight="1">
      <c r="C55" s="20" t="s">
        <v>632</v>
      </c>
      <c r="D55" s="19" t="s">
        <v>633</v>
      </c>
      <c r="E55" s="19" t="s">
        <v>634</v>
      </c>
      <c r="F55" s="39" t="s">
        <v>635</v>
      </c>
      <c r="G55" s="19" t="s">
        <v>636</v>
      </c>
    </row>
    <row r="56" spans="1:7" ht="58" customHeight="1">
      <c r="C56" s="20" t="s">
        <v>637</v>
      </c>
      <c r="D56" s="19" t="s">
        <v>638</v>
      </c>
      <c r="E56" s="19" t="s">
        <v>639</v>
      </c>
      <c r="F56" s="39" t="s">
        <v>640</v>
      </c>
      <c r="G56" s="19" t="s">
        <v>641</v>
      </c>
    </row>
    <row r="57" spans="1:7" ht="58" customHeight="1">
      <c r="C57" s="20" t="s">
        <v>642</v>
      </c>
      <c r="D57" s="19" t="s">
        <v>643</v>
      </c>
      <c r="E57" s="19" t="s">
        <v>644</v>
      </c>
      <c r="F57" s="19" t="s">
        <v>645</v>
      </c>
      <c r="G57" s="19" t="s">
        <v>646</v>
      </c>
    </row>
    <row r="58" spans="1:7" ht="58" customHeight="1">
      <c r="C58" s="20" t="s">
        <v>647</v>
      </c>
      <c r="D58" s="19" t="s">
        <v>648</v>
      </c>
      <c r="E58" s="19" t="s">
        <v>649</v>
      </c>
      <c r="F58" s="39" t="s">
        <v>650</v>
      </c>
      <c r="G58" s="19" t="s">
        <v>651</v>
      </c>
    </row>
    <row r="59" spans="1:7" ht="29" customHeight="1">
      <c r="C59" s="20" t="s">
        <v>652</v>
      </c>
      <c r="D59" s="19" t="s">
        <v>653</v>
      </c>
      <c r="E59" s="19" t="s">
        <v>654</v>
      </c>
      <c r="F59" s="39" t="s">
        <v>655</v>
      </c>
      <c r="G59" s="19" t="s">
        <v>656</v>
      </c>
    </row>
    <row r="60" spans="1:7" ht="58" customHeight="1">
      <c r="C60" s="20" t="s">
        <v>657</v>
      </c>
      <c r="D60" s="19" t="s">
        <v>658</v>
      </c>
      <c r="E60" s="19" t="s">
        <v>659</v>
      </c>
      <c r="F60" s="39" t="s">
        <v>660</v>
      </c>
      <c r="G60" s="19" t="s">
        <v>661</v>
      </c>
    </row>
    <row r="61" spans="1:7" ht="29" customHeight="1">
      <c r="C61" s="20" t="s">
        <v>662</v>
      </c>
      <c r="D61" s="19" t="s">
        <v>663</v>
      </c>
      <c r="E61" s="19" t="s">
        <v>664</v>
      </c>
      <c r="F61" s="39" t="s">
        <v>665</v>
      </c>
      <c r="G61" s="19" t="s">
        <v>666</v>
      </c>
    </row>
    <row r="62" spans="1:7" ht="43.5" customHeight="1">
      <c r="C62" s="20" t="s">
        <v>667</v>
      </c>
      <c r="D62" s="19" t="s">
        <v>668</v>
      </c>
      <c r="E62" s="19" t="s">
        <v>669</v>
      </c>
      <c r="F62" s="39" t="s">
        <v>670</v>
      </c>
      <c r="G62" s="19" t="s">
        <v>671</v>
      </c>
    </row>
    <row r="63" spans="1:7" ht="43.5" customHeight="1">
      <c r="C63" s="20" t="s">
        <v>672</v>
      </c>
      <c r="D63" s="19" t="s">
        <v>673</v>
      </c>
      <c r="E63" s="19" t="s">
        <v>674</v>
      </c>
      <c r="F63" s="39" t="s">
        <v>675</v>
      </c>
      <c r="G63" s="19" t="s">
        <v>676</v>
      </c>
    </row>
    <row r="64" spans="1:7" ht="43.5" customHeight="1">
      <c r="C64" s="20" t="s">
        <v>677</v>
      </c>
      <c r="D64" s="19" t="s">
        <v>678</v>
      </c>
      <c r="E64" s="19" t="s">
        <v>679</v>
      </c>
      <c r="F64" s="39" t="s">
        <v>680</v>
      </c>
      <c r="G64" s="19" t="s">
        <v>681</v>
      </c>
    </row>
  </sheetData>
  <hyperlinks>
    <hyperlink ref="E8" r:id="rId1" tooltip="Microsoft Word - FS ACFR FY24 Scottsdale USD" display="https://www.susd.org/fs/resource-manager/view/01a0856f-3a75-4ceb-9e90-02f85099b68d" xr:uid="{00000000-0004-0000-0D00-000000000000}"/>
    <hyperlink ref="E9" r:id="rId2" tooltip="sdspending.azauditor.gov" display="https://sdspending.azauditor.gov/" xr:uid="{00000000-0004-0000-0D00-000001000000}"/>
    <hyperlink ref="E14" r:id="rId3" tooltip="List Of Groups - Sun Devil Central - Arizona State University" display="https://sundevilcentral.eoss.asu.edu/club_signup?category_tags=6551555&amp;group_type=&amp;view=all&amp;utm_source=chatgpt.com" xr:uid="{00000000-0004-0000-0D00-000002000000}"/>
    <hyperlink ref="E16" r:id="rId4" tooltip="School Closings in Chicago" display="https://consortium.uchicago.edu/publications/school-closings-chicago-staff-and-student-experiences-and-academic-outcomes?utm_source=chatgpt.com" xr:uid="{00000000-0004-0000-0D00-000003000000}"/>
    <hyperlink ref="E24" r:id="rId5" tooltip="School Finance Data Processing for Kindergarten Students" display="https://ade.az.gov/schoolfinance/STaR/SAISInfoSeries/SIS16.pdf?utm_source=chatgpt.com" xr:uid="{00000000-0004-0000-0D00-000004000000}"/>
    <hyperlink ref="E25" r:id="rId6" tooltip="Bill Text: AZ HB2969 | 2025 | Fifty-seventh Legislature 1st ..." display="https://legiscan.com/AZ/text/HB2969/2025?utm_source=chatgpt.com" xr:uid="{00000000-0004-0000-0D00-000005000000}"/>
    <hyperlink ref="F45" r:id="rId7" tooltip="15-901 - Definitions" display="https://www.azleg.gov/ars/15/00901.htm?utm_source=chatgpt.com" xr:uid="{00000000-0004-0000-0D00-000006000000}"/>
    <hyperlink ref="F46" r:id="rId8" tooltip="School Finance Guidelines &amp; Manuals" display="https://www.azed.gov/finance/school-finance-external-guidelines?utm_source=chatgpt.com" xr:uid="{00000000-0004-0000-0D00-000007000000}"/>
    <hyperlink ref="F47" r:id="rId9" tooltip="uniform system - financial records" display="https://www.azauditor.gov/sites/default/files/2023-11/USFR102323%282%29.pdf?utm_source=chatgpt.com" xr:uid="{00000000-0004-0000-0D00-000008000000}"/>
    <hyperlink ref="F48" r:id="rId10" tooltip="Budget - Scottsdale Unified School District 48" display="https://www.susd.org/departments/finance/budget?utm_source=chatgpt.com" xr:uid="{00000000-0004-0000-0D00-000009000000}"/>
    <hyperlink ref="F49" r:id="rId11" tooltip="HOW TO CALCULATE OPERATIONAL AND ..." display="https://www.azauditor.gov/sites/default/files/2023-09/HowToCalculateOperational-NonoperationalSpending.pdf?utm_source=chatgpt.com" xr:uid="{00000000-0004-0000-0D00-00000A000000}"/>
    <hyperlink ref="F50" r:id="rId12" tooltip="Glossary" display="https://sfbudget.ade.az.gov/Budget/Help/Introduction/Glossary.htm?utm_source=chatgpt.com" xr:uid="{00000000-0004-0000-0D00-00000B000000}"/>
    <hyperlink ref="F51" r:id="rId13" tooltip="15-481 - Override election; budget increases; informational ..." display="https://www.azleg.gov/ars/15/00481.htm?utm_source=chatgpt.com" xr:uid="{00000000-0004-0000-0D00-00000C000000}"/>
    <hyperlink ref="F52" r:id="rId14" tooltip="Understanding the SDADMS75 Report" display="https://www.ade.az.gov/schoolfinance/star/SAISInfoSeries/SIS7.pdf?utm_source=chatgpt.com" xr:uid="{00000000-0004-0000-0D00-00000D000000}"/>
    <hyperlink ref="F53" r:id="rId15" tooltip="School District Spending Report" display="https://www.azauditor.gov/sites/default/files/2023-11/Skull_Valley_ESD_12.pdf?utm_source=chatgpt.com" xr:uid="{00000000-0004-0000-0D00-00000E000000}"/>
    <hyperlink ref="F54" r:id="rId16" tooltip="HOW TO CALCULATE OPERATIONAL AND ..." display="https://www.azauditor.gov/sites/default/files/2023-09/HowToCalculateOperational-NonoperationalSpending.pdf?utm_source=chatgpt.com" xr:uid="{00000000-0004-0000-0D00-00000F000000}"/>
    <hyperlink ref="F55" r:id="rId17" tooltip="uniform system - financial records" display="https://www.azauditor.gov/sites/default/files/2023-11/USFR102323%282%29.pdf?utm_source=chatgpt.com" xr:uid="{00000000-0004-0000-0D00-000010000000}"/>
    <hyperlink ref="F56" r:id="rId18" tooltip="HOW TO CALCULATE OPERATIONAL AND ..." display="https://www.azauditor.gov/sites/default/files/2023-09/HowToCalculateOperational-NonoperationalSpending.pdf?utm_source=chatgpt.com" xr:uid="{00000000-0004-0000-0D00-000011000000}"/>
    <hyperlink ref="F58" r:id="rId19" tooltip="Budget - Scottsdale Unified School District 48" display="https://www.susd.org/departments/finance/budget?utm_source=chatgpt.com" xr:uid="{00000000-0004-0000-0D00-000012000000}"/>
    <hyperlink ref="F59" r:id="rId20" tooltip="Scottsdale Unified School District No. 48" display="https://www.susd.org/fs/resource-manager/view/01a0856f-3a75-4ceb-9e90-02f85099b68d?utm_source=chatgpt.com" xr:uid="{00000000-0004-0000-0D00-000013000000}"/>
    <hyperlink ref="F60" r:id="rId21" tooltip="HOW TO CALCULATE OPERATIONAL AND ..." display="https://www.azauditor.gov/sites/default/files/2023-09/HowToCalculateOperational-NonoperationalSpending.pdf?utm_source=chatgpt.com" xr:uid="{00000000-0004-0000-0D00-000014000000}"/>
    <hyperlink ref="F61" r:id="rId22" tooltip="HOW TO CALCULATE OPERATIONAL AND ..." display="https://www.azauditor.gov/sites/default/files/2023-09/HowToCalculateOperational-NonoperationalSpending.pdf?utm_source=chatgpt.com" xr:uid="{00000000-0004-0000-0D00-000015000000}"/>
    <hyperlink ref="F62" r:id="rId23" tooltip="uniform system - financial records" display="https://www.azauditor.gov/sites/default/files/2023-11/USFR102323%282%29.pdf?utm_source=chatgpt.com" xr:uid="{00000000-0004-0000-0D00-000016000000}"/>
    <hyperlink ref="F63" r:id="rId24" tooltip="Scottsdale Unified School District No. 48" display="https://www.susd.org/fs/resource-manager/view/01a0856f-3a75-4ceb-9e90-02f85099b68d?utm_source=chatgpt.com" xr:uid="{00000000-0004-0000-0D00-000017000000}"/>
    <hyperlink ref="F64" r:id="rId25" tooltip="Budget - Scottsdale Unified School District 48" display="https://www.susd.org/departments/finance/budget?utm_source=chatgpt.com" xr:uid="{00000000-0004-0000-0D00-000018000000}"/>
  </hyperlinks>
  <pageMargins left="0.7" right="0.7" top="0.75" bottom="0.75" header="0.3" footer="0.3"/>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F165"/>
  <sheetViews>
    <sheetView topLeftCell="A142" workbookViewId="0">
      <selection activeCell="B50" sqref="B50:B149"/>
    </sheetView>
  </sheetViews>
  <sheetFormatPr defaultRowHeight="14.5"/>
  <sheetData>
    <row r="2" spans="2:2">
      <c r="B2" s="4" t="s">
        <v>682</v>
      </c>
    </row>
    <row r="4" spans="2:2">
      <c r="B4" s="4" t="s">
        <v>683</v>
      </c>
    </row>
    <row r="6" spans="2:2">
      <c r="B6" s="4" t="s">
        <v>684</v>
      </c>
    </row>
    <row r="8" spans="2:2">
      <c r="B8" s="4" t="s">
        <v>685</v>
      </c>
    </row>
    <row r="10" spans="2:2">
      <c r="B10" s="4" t="s">
        <v>686</v>
      </c>
    </row>
    <row r="13" spans="2:2">
      <c r="B13" s="32" t="s">
        <v>687</v>
      </c>
    </row>
    <row r="14" spans="2:2">
      <c r="B14" s="33"/>
    </row>
    <row r="15" spans="2:2">
      <c r="B15" s="32" t="s">
        <v>688</v>
      </c>
    </row>
    <row r="16" spans="2:2">
      <c r="B16" s="33"/>
    </row>
    <row r="17" spans="2:2">
      <c r="B17" s="32" t="s">
        <v>689</v>
      </c>
    </row>
    <row r="18" spans="2:2">
      <c r="B18" s="33"/>
    </row>
    <row r="19" spans="2:2">
      <c r="B19" s="32" t="s">
        <v>690</v>
      </c>
    </row>
    <row r="20" spans="2:2">
      <c r="B20" s="33"/>
    </row>
    <row r="21" spans="2:2">
      <c r="B21" s="32" t="s">
        <v>691</v>
      </c>
    </row>
    <row r="23" spans="2:2">
      <c r="B23" s="4" t="s">
        <v>692</v>
      </c>
    </row>
    <row r="24" spans="2:2">
      <c r="B24" s="33"/>
    </row>
    <row r="25" spans="2:2">
      <c r="B25" s="32" t="s">
        <v>693</v>
      </c>
    </row>
    <row r="26" spans="2:2">
      <c r="B26" s="33"/>
    </row>
    <row r="27" spans="2:2">
      <c r="B27" s="32" t="s">
        <v>694</v>
      </c>
    </row>
    <row r="28" spans="2:2">
      <c r="B28" s="33"/>
    </row>
    <row r="29" spans="2:2">
      <c r="B29" s="33" t="s">
        <v>695</v>
      </c>
    </row>
    <row r="31" spans="2:2">
      <c r="B31" s="4" t="s">
        <v>696</v>
      </c>
    </row>
    <row r="32" spans="2:2">
      <c r="B32" s="33"/>
    </row>
    <row r="33" spans="2:2">
      <c r="B33" s="33" t="s">
        <v>697</v>
      </c>
    </row>
    <row r="34" spans="2:2">
      <c r="B34" s="33"/>
    </row>
    <row r="35" spans="2:2">
      <c r="B35" s="33" t="s">
        <v>698</v>
      </c>
    </row>
    <row r="36" spans="2:2">
      <c r="B36" s="33"/>
    </row>
    <row r="37" spans="2:2">
      <c r="B37" s="33"/>
    </row>
    <row r="38" spans="2:2">
      <c r="B38" s="34"/>
    </row>
    <row r="39" spans="2:2">
      <c r="B39" s="34" t="s">
        <v>699</v>
      </c>
    </row>
    <row r="40" spans="2:2">
      <c r="B40" s="34"/>
    </row>
    <row r="41" spans="2:2">
      <c r="B41" s="34" t="s">
        <v>700</v>
      </c>
    </row>
    <row r="42" spans="2:2">
      <c r="B42" s="34"/>
    </row>
    <row r="43" spans="2:2">
      <c r="B43" s="34" t="s">
        <v>701</v>
      </c>
    </row>
    <row r="44" spans="2:2">
      <c r="B44" s="34"/>
    </row>
    <row r="45" spans="2:2">
      <c r="B45" s="34" t="s">
        <v>702</v>
      </c>
    </row>
    <row r="48" spans="2:2" ht="17.5" customHeight="1">
      <c r="B48" s="36" t="s">
        <v>703</v>
      </c>
    </row>
    <row r="50" spans="2:2">
      <c r="B50" s="4" t="s">
        <v>704</v>
      </c>
    </row>
    <row r="51" spans="2:2">
      <c r="B51" s="33"/>
    </row>
    <row r="52" spans="2:2">
      <c r="B52" s="32" t="s">
        <v>705</v>
      </c>
    </row>
    <row r="53" spans="2:2">
      <c r="B53" s="33"/>
    </row>
    <row r="54" spans="2:2">
      <c r="B54" s="32" t="s">
        <v>706</v>
      </c>
    </row>
    <row r="55" spans="2:2">
      <c r="B55" s="33"/>
    </row>
    <row r="56" spans="2:2">
      <c r="B56" s="32" t="s">
        <v>707</v>
      </c>
    </row>
    <row r="57" spans="2:2">
      <c r="B57" s="33"/>
    </row>
    <row r="58" spans="2:2">
      <c r="B58" s="32" t="s">
        <v>708</v>
      </c>
    </row>
    <row r="59" spans="2:2">
      <c r="B59" s="33"/>
    </row>
    <row r="60" spans="2:2">
      <c r="B60" s="32" t="s">
        <v>709</v>
      </c>
    </row>
    <row r="62" spans="2:2">
      <c r="B62" s="4" t="s">
        <v>710</v>
      </c>
    </row>
    <row r="63" spans="2:2">
      <c r="B63" t="s">
        <v>711</v>
      </c>
    </row>
    <row r="64" spans="2:2">
      <c r="B64" s="33"/>
    </row>
    <row r="65" spans="2:2">
      <c r="B65" s="33" t="s">
        <v>712</v>
      </c>
    </row>
    <row r="66" spans="2:2">
      <c r="B66" s="33"/>
    </row>
    <row r="67" spans="2:2">
      <c r="B67" s="33" t="s">
        <v>713</v>
      </c>
    </row>
    <row r="68" spans="2:2">
      <c r="B68" s="35"/>
    </row>
    <row r="69" spans="2:2">
      <c r="B69" s="37" t="s">
        <v>714</v>
      </c>
    </row>
    <row r="71" spans="2:2">
      <c r="B71" s="4" t="s">
        <v>715</v>
      </c>
    </row>
    <row r="72" spans="2:2">
      <c r="B72" s="33"/>
    </row>
    <row r="73" spans="2:2">
      <c r="B73" s="32" t="s">
        <v>716</v>
      </c>
    </row>
    <row r="74" spans="2:2">
      <c r="B74" s="33"/>
    </row>
    <row r="75" spans="2:2">
      <c r="B75" s="32" t="s">
        <v>717</v>
      </c>
    </row>
    <row r="76" spans="2:2">
      <c r="B76" s="33"/>
    </row>
    <row r="77" spans="2:2">
      <c r="B77" s="32" t="s">
        <v>718</v>
      </c>
    </row>
    <row r="78" spans="2:2">
      <c r="B78" s="33"/>
    </row>
    <row r="79" spans="2:2">
      <c r="B79" s="32" t="s">
        <v>719</v>
      </c>
    </row>
    <row r="80" spans="2:2">
      <c r="B80" s="33"/>
    </row>
    <row r="81" spans="2:2">
      <c r="B81" s="32" t="s">
        <v>720</v>
      </c>
    </row>
    <row r="82" spans="2:2">
      <c r="B82" s="33"/>
    </row>
    <row r="83" spans="2:2">
      <c r="B83" s="32" t="s">
        <v>721</v>
      </c>
    </row>
    <row r="84" spans="2:2">
      <c r="B84" s="33"/>
    </row>
    <row r="85" spans="2:2">
      <c r="B85" s="32" t="s">
        <v>722</v>
      </c>
    </row>
    <row r="87" spans="2:2">
      <c r="B87" t="s">
        <v>723</v>
      </c>
    </row>
    <row r="88" spans="2:2">
      <c r="B88" s="33"/>
    </row>
    <row r="89" spans="2:2">
      <c r="B89" s="32" t="s">
        <v>724</v>
      </c>
    </row>
    <row r="90" spans="2:2">
      <c r="B90" s="33"/>
    </row>
    <row r="91" spans="2:2">
      <c r="B91" s="32" t="s">
        <v>725</v>
      </c>
    </row>
    <row r="92" spans="2:2">
      <c r="B92" s="33"/>
    </row>
    <row r="93" spans="2:2">
      <c r="B93" s="32" t="s">
        <v>726</v>
      </c>
    </row>
    <row r="94" spans="2:2">
      <c r="B94" s="33"/>
    </row>
    <row r="95" spans="2:2">
      <c r="B95" s="32" t="s">
        <v>727</v>
      </c>
    </row>
    <row r="96" spans="2:2">
      <c r="B96" s="33"/>
    </row>
    <row r="97" spans="2:2">
      <c r="B97" s="32" t="s">
        <v>728</v>
      </c>
    </row>
    <row r="98" spans="2:2">
      <c r="B98" s="33"/>
    </row>
    <row r="99" spans="2:2">
      <c r="B99" s="32" t="s">
        <v>729</v>
      </c>
    </row>
    <row r="100" spans="2:2">
      <c r="B100" s="33"/>
    </row>
    <row r="101" spans="2:2">
      <c r="B101" s="32" t="s">
        <v>730</v>
      </c>
    </row>
    <row r="102" spans="2:2">
      <c r="B102" s="33"/>
    </row>
    <row r="103" spans="2:2">
      <c r="B103" s="32" t="s">
        <v>731</v>
      </c>
    </row>
    <row r="104" spans="2:2">
      <c r="B104" s="33"/>
    </row>
    <row r="105" spans="2:2">
      <c r="B105" s="32" t="s">
        <v>732</v>
      </c>
    </row>
    <row r="106" spans="2:2">
      <c r="B106" s="33"/>
    </row>
    <row r="107" spans="2:2">
      <c r="B107" s="32" t="s">
        <v>733</v>
      </c>
    </row>
    <row r="108" spans="2:2">
      <c r="B108" s="33"/>
    </row>
    <row r="109" spans="2:2">
      <c r="B109" s="33" t="s">
        <v>734</v>
      </c>
    </row>
    <row r="110" spans="2:2">
      <c r="B110" s="33" t="s">
        <v>735</v>
      </c>
    </row>
    <row r="111" spans="2:2">
      <c r="B111" s="33" t="s">
        <v>736</v>
      </c>
    </row>
    <row r="112" spans="2:2">
      <c r="B112" s="33" t="s">
        <v>737</v>
      </c>
    </row>
    <row r="113" spans="2:2">
      <c r="B113" s="33" t="s">
        <v>738</v>
      </c>
    </row>
    <row r="114" spans="2:2">
      <c r="B114" s="33" t="s">
        <v>739</v>
      </c>
    </row>
    <row r="116" spans="2:2">
      <c r="B116" s="4" t="s">
        <v>740</v>
      </c>
    </row>
    <row r="117" spans="2:2">
      <c r="B117" s="33"/>
    </row>
    <row r="118" spans="2:2">
      <c r="B118" s="32" t="s">
        <v>741</v>
      </c>
    </row>
    <row r="119" spans="2:2">
      <c r="B119" s="33"/>
    </row>
    <row r="120" spans="2:2">
      <c r="B120" s="32" t="s">
        <v>742</v>
      </c>
    </row>
    <row r="121" spans="2:2">
      <c r="B121" s="33"/>
    </row>
    <row r="122" spans="2:2">
      <c r="B122" s="32" t="s">
        <v>743</v>
      </c>
    </row>
    <row r="124" spans="2:2">
      <c r="B124" t="s">
        <v>744</v>
      </c>
    </row>
    <row r="125" spans="2:2">
      <c r="B125" s="33"/>
    </row>
    <row r="126" spans="2:2">
      <c r="B126" s="32" t="s">
        <v>745</v>
      </c>
    </row>
    <row r="127" spans="2:2">
      <c r="B127" s="38" t="s">
        <v>746</v>
      </c>
    </row>
    <row r="128" spans="2:2">
      <c r="B128" s="33"/>
    </row>
    <row r="129" spans="2:2">
      <c r="B129" s="32" t="s">
        <v>747</v>
      </c>
    </row>
    <row r="130" spans="2:2">
      <c r="B130" s="38" t="s">
        <v>748</v>
      </c>
    </row>
    <row r="131" spans="2:2">
      <c r="B131" s="33"/>
    </row>
    <row r="132" spans="2:2">
      <c r="B132" s="32" t="s">
        <v>749</v>
      </c>
    </row>
    <row r="133" spans="2:2">
      <c r="B133" s="33"/>
    </row>
    <row r="134" spans="2:2">
      <c r="B134" s="33" t="s">
        <v>750</v>
      </c>
    </row>
    <row r="135" spans="2:2">
      <c r="B135" s="33" t="s">
        <v>751</v>
      </c>
    </row>
    <row r="136" spans="2:2">
      <c r="B136" s="33" t="s">
        <v>752</v>
      </c>
    </row>
    <row r="137" spans="2:2">
      <c r="B137" s="33" t="s">
        <v>753</v>
      </c>
    </row>
    <row r="139" spans="2:2">
      <c r="B139" s="4" t="s">
        <v>754</v>
      </c>
    </row>
    <row r="140" spans="2:2">
      <c r="B140" s="33"/>
    </row>
    <row r="141" spans="2:2">
      <c r="B141" s="32" t="s">
        <v>755</v>
      </c>
    </row>
    <row r="142" spans="2:2">
      <c r="B142" s="33"/>
    </row>
    <row r="143" spans="2:2">
      <c r="B143" s="32" t="s">
        <v>756</v>
      </c>
    </row>
    <row r="144" spans="2:2">
      <c r="B144" s="33"/>
    </row>
    <row r="145" spans="2:6">
      <c r="B145" s="32" t="s">
        <v>757</v>
      </c>
    </row>
    <row r="146" spans="2:6">
      <c r="B146" s="33"/>
    </row>
    <row r="147" spans="2:6">
      <c r="B147" s="32" t="s">
        <v>758</v>
      </c>
    </row>
    <row r="148" spans="2:6">
      <c r="B148" s="33"/>
    </row>
    <row r="149" spans="2:6">
      <c r="B149" s="32" t="s">
        <v>759</v>
      </c>
    </row>
    <row r="152" spans="2:6" ht="58" customHeight="1">
      <c r="B152" s="18" t="s">
        <v>760</v>
      </c>
      <c r="C152" s="18" t="s">
        <v>761</v>
      </c>
      <c r="D152" s="18" t="s">
        <v>762</v>
      </c>
      <c r="E152" s="18" t="s">
        <v>763</v>
      </c>
      <c r="F152" s="18" t="s">
        <v>764</v>
      </c>
    </row>
    <row r="153" spans="2:6" ht="188.5" customHeight="1">
      <c r="B153" s="19" t="s">
        <v>765</v>
      </c>
      <c r="C153" s="19" t="s">
        <v>766</v>
      </c>
      <c r="D153" s="39" t="s">
        <v>767</v>
      </c>
      <c r="E153" s="19" t="s">
        <v>768</v>
      </c>
      <c r="F153" s="19" t="s">
        <v>769</v>
      </c>
    </row>
    <row r="154" spans="2:6" ht="87" customHeight="1">
      <c r="B154" s="20" t="s">
        <v>770</v>
      </c>
      <c r="C154" s="19" t="s">
        <v>771</v>
      </c>
      <c r="D154" s="39" t="s">
        <v>772</v>
      </c>
      <c r="E154" s="19" t="s">
        <v>773</v>
      </c>
      <c r="F154" s="19" t="s">
        <v>769</v>
      </c>
    </row>
    <row r="155" spans="2:6" ht="101.5" customHeight="1">
      <c r="B155" s="20" t="s">
        <v>774</v>
      </c>
      <c r="C155" s="19" t="s">
        <v>775</v>
      </c>
      <c r="D155" s="39" t="s">
        <v>776</v>
      </c>
      <c r="E155" s="19" t="s">
        <v>777</v>
      </c>
      <c r="F155" s="19" t="s">
        <v>769</v>
      </c>
    </row>
    <row r="156" spans="2:6" ht="101.5" customHeight="1">
      <c r="B156" s="20" t="s">
        <v>778</v>
      </c>
      <c r="C156" s="19" t="s">
        <v>779</v>
      </c>
      <c r="D156" s="39" t="s">
        <v>780</v>
      </c>
      <c r="E156" s="19" t="s">
        <v>781</v>
      </c>
      <c r="F156" s="19" t="s">
        <v>769</v>
      </c>
    </row>
    <row r="157" spans="2:6" ht="217.5" customHeight="1">
      <c r="B157" s="20" t="s">
        <v>782</v>
      </c>
      <c r="C157" s="19" t="s">
        <v>783</v>
      </c>
      <c r="D157" s="19" t="s">
        <v>784</v>
      </c>
      <c r="E157" s="19" t="s">
        <v>785</v>
      </c>
      <c r="F157" s="19" t="s">
        <v>769</v>
      </c>
    </row>
    <row r="158" spans="2:6" ht="101.5" customHeight="1">
      <c r="B158" s="20" t="s">
        <v>786</v>
      </c>
      <c r="C158" s="19" t="s">
        <v>787</v>
      </c>
      <c r="D158" s="19" t="s">
        <v>788</v>
      </c>
      <c r="E158" s="19" t="s">
        <v>789</v>
      </c>
      <c r="F158" s="19" t="s">
        <v>769</v>
      </c>
    </row>
    <row r="159" spans="2:6" ht="72.5" customHeight="1">
      <c r="B159" s="20" t="s">
        <v>790</v>
      </c>
      <c r="C159" s="19" t="s">
        <v>791</v>
      </c>
      <c r="D159" s="19" t="s">
        <v>792</v>
      </c>
      <c r="E159" s="19" t="s">
        <v>793</v>
      </c>
      <c r="F159" s="19" t="s">
        <v>769</v>
      </c>
    </row>
    <row r="160" spans="2:6" ht="101.5" customHeight="1">
      <c r="B160" s="20" t="s">
        <v>794</v>
      </c>
      <c r="C160" s="19" t="s">
        <v>795</v>
      </c>
      <c r="D160" s="19" t="s">
        <v>796</v>
      </c>
      <c r="E160" s="19" t="s">
        <v>797</v>
      </c>
      <c r="F160" s="19" t="s">
        <v>769</v>
      </c>
    </row>
    <row r="161" spans="2:6" ht="159.5" customHeight="1">
      <c r="B161" s="20" t="s">
        <v>798</v>
      </c>
      <c r="C161" s="19" t="s">
        <v>799</v>
      </c>
      <c r="D161" s="19" t="s">
        <v>800</v>
      </c>
      <c r="E161" s="19" t="s">
        <v>801</v>
      </c>
      <c r="F161" s="19" t="s">
        <v>769</v>
      </c>
    </row>
    <row r="162" spans="2:6" ht="101.5" customHeight="1">
      <c r="B162" s="20" t="s">
        <v>802</v>
      </c>
      <c r="C162" s="19" t="s">
        <v>803</v>
      </c>
      <c r="D162" s="19" t="s">
        <v>804</v>
      </c>
      <c r="E162" s="19" t="s">
        <v>805</v>
      </c>
      <c r="F162" s="19" t="s">
        <v>769</v>
      </c>
    </row>
    <row r="163" spans="2:6" ht="101.5" customHeight="1">
      <c r="B163" s="20" t="s">
        <v>806</v>
      </c>
      <c r="C163" s="19" t="s">
        <v>807</v>
      </c>
      <c r="D163" s="19" t="s">
        <v>808</v>
      </c>
      <c r="E163" s="19" t="s">
        <v>809</v>
      </c>
      <c r="F163" s="19" t="s">
        <v>769</v>
      </c>
    </row>
    <row r="164" spans="2:6" ht="116" customHeight="1">
      <c r="B164" s="20" t="s">
        <v>810</v>
      </c>
      <c r="C164" s="19" t="s">
        <v>811</v>
      </c>
      <c r="D164" s="39" t="s">
        <v>812</v>
      </c>
      <c r="E164" s="19" t="s">
        <v>813</v>
      </c>
      <c r="F164" s="19" t="s">
        <v>769</v>
      </c>
    </row>
    <row r="165" spans="2:6" ht="101.5" customHeight="1">
      <c r="B165" s="20" t="s">
        <v>814</v>
      </c>
      <c r="C165" s="19" t="s">
        <v>815</v>
      </c>
      <c r="D165" s="19" t="s">
        <v>816</v>
      </c>
      <c r="E165" s="19" t="s">
        <v>817</v>
      </c>
      <c r="F165" s="19" t="s">
        <v>769</v>
      </c>
    </row>
  </sheetData>
  <hyperlinks>
    <hyperlink ref="D153" r:id="rId1" tooltip="School Finance Guidelines &amp; Manuals" display="https://www.azed.gov/finance/school-finance-external-guidelines?utm_source=chatgpt.com" xr:uid="{00000000-0004-0000-0E00-000000000000}"/>
    <hyperlink ref="D154" r:id="rId2" tooltip="Scottsdale Unified School District No. 48" display="https://www.susd.org/fs/resource-manager/view/01a0856f-3a75-4ceb-9e90-02f85099b68d?utm_source=chatgpt.com" xr:uid="{00000000-0004-0000-0E00-000001000000}"/>
    <hyperlink ref="D155" r:id="rId3" tooltip="Budget - Scottsdale Unified School District 48" display="https://www.susd.org/departments/finance/budget?utm_source=chatgpt.com" xr:uid="{00000000-0004-0000-0E00-000002000000}"/>
    <hyperlink ref="D156" r:id="rId4" tooltip="uniform system - financial records" display="https://www.azauditor.gov/sites/default/files/2023-11/USFR102323%282%29.pdf?utm_source=chatgpt.com" xr:uid="{00000000-0004-0000-0E00-000003000000}"/>
    <hyperlink ref="D164" r:id="rId5" tooltip="uniform system - financial records" display="https://www.azauditor.gov/sites/default/files/2023-11/USFR102323%282%29.pdf?utm_source=chatgpt.com" xr:uid="{00000000-0004-0000-0E00-000004000000}"/>
  </hyperlinks>
  <pageMargins left="0.7" right="0.7" top="0.75" bottom="0.75" header="0.3" footer="0.3"/>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topLeftCell="A52" workbookViewId="0">
      <selection activeCell="L13" sqref="L13"/>
    </sheetView>
  </sheetViews>
  <sheetFormatPr defaultRowHeight="14.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5"/>
  <sheetViews>
    <sheetView workbookViewId="0"/>
  </sheetViews>
  <sheetFormatPr defaultRowHeight="14.5"/>
  <cols>
    <col min="1" max="1" width="44" customWidth="1"/>
    <col min="2" max="2" width="22" customWidth="1"/>
  </cols>
  <sheetData>
    <row r="1" spans="1:2">
      <c r="A1" s="40" t="s">
        <v>818</v>
      </c>
    </row>
    <row r="2" spans="1:2">
      <c r="A2" t="s">
        <v>819</v>
      </c>
      <c r="B2">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3" spans="1:2">
      <c r="A3" t="s">
        <v>820</v>
      </c>
      <c r="B3">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row r="4" spans="1:2">
      <c r="A4" t="s">
        <v>821</v>
      </c>
      <c r="B4">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5" spans="1:2">
      <c r="A5" t="s">
        <v>822</v>
      </c>
      <c r="B5">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15</vt:i4>
      </vt:variant>
    </vt:vector>
  </HeadingPairs>
  <TitlesOfParts>
    <vt:vector size="32" baseType="lpstr">
      <vt:lpstr>Workbook_Purpose_Overview</vt:lpstr>
      <vt:lpstr>Scenario_Comparison</vt:lpstr>
      <vt:lpstr>BreakEven</vt:lpstr>
      <vt:lpstr>Summary_Figures</vt:lpstr>
      <vt:lpstr>Scenarios</vt:lpstr>
      <vt:lpstr>MultiYear_ProForma</vt:lpstr>
      <vt:lpstr>Capital_Summary</vt:lpstr>
      <vt:lpstr>Receiving_Capacity</vt:lpstr>
      <vt:lpstr>Parameters_Public</vt:lpstr>
      <vt:lpstr>Control_Center</vt:lpstr>
      <vt:lpstr>BaselineCalc</vt:lpstr>
      <vt:lpstr>YearMap</vt:lpstr>
      <vt:lpstr>Site_Fixed</vt:lpstr>
      <vt:lpstr>Definitions_Sources</vt:lpstr>
      <vt:lpstr>Needs</vt:lpstr>
      <vt:lpstr>Q&amp;A</vt:lpstr>
      <vt:lpstr>QA_Checks</vt:lpstr>
      <vt:lpstr>ADM_Day_Select</vt:lpstr>
      <vt:lpstr>BaseAid_per_ADM</vt:lpstr>
      <vt:lpstr>Capex_ArtsHub</vt:lpstr>
      <vt:lpstr>Capex_in_MO_Toggle</vt:lpstr>
      <vt:lpstr>Capex_InnovHub</vt:lpstr>
      <vt:lpstr>Echo_ADM0</vt:lpstr>
      <vt:lpstr>EchoFixed_FY25_Total</vt:lpstr>
      <vt:lpstr>M_O_per_ADM_Audited</vt:lpstr>
      <vt:lpstr>Override_per_ADM_proxy</vt:lpstr>
      <vt:lpstr>Override_Percent</vt:lpstr>
      <vt:lpstr>Override_Toggle</vt:lpstr>
      <vt:lpstr>Pima_ADM0</vt:lpstr>
      <vt:lpstr>PimaFixed_FY25_Total</vt:lpstr>
      <vt:lpstr>TI_in_MO_Toggle</vt:lpstr>
      <vt:lpstr>TI_per_Site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2025-11-03T22:57:09Z</dcterms:modified>
</cp:coreProperties>
</file>