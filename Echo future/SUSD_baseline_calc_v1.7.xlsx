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1A059F2D-A851-4768-82F5-587F6607086A}" xr6:coauthVersionLast="47" xr6:coauthVersionMax="47" xr10:uidLastSave="{00000000-0000-0000-0000-000000000000}"/>
  <bookViews>
    <workbookView xWindow="41550" yWindow="1290" windowWidth="14400" windowHeight="12525" xr2:uid="{00000000-000D-0000-FFFF-FFFF00000000}"/>
  </bookViews>
  <sheets>
    <sheet name="BaselineCalc" sheetId="1" r:id="rId1"/>
    <sheet name="YearMap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C14" i="1"/>
  <c r="C13" i="1" s="1"/>
  <c r="F14" i="1"/>
  <c r="F13" i="1" s="1"/>
  <c r="B15" i="1"/>
  <c r="B18" i="1" s="1"/>
  <c r="C15" i="1" s="1"/>
  <c r="B17" i="1"/>
  <c r="C17" i="1"/>
  <c r="D14" i="1" s="1"/>
  <c r="D13" i="1" s="1"/>
  <c r="D17" i="1"/>
  <c r="E14" i="1" s="1"/>
  <c r="E13" i="1" s="1"/>
  <c r="E17" i="1"/>
  <c r="F17" i="1"/>
  <c r="C18" i="1"/>
  <c r="D15" i="1" s="1"/>
  <c r="D18" i="1"/>
  <c r="E15" i="1" s="1"/>
  <c r="F18" i="1"/>
  <c r="F19" i="1"/>
  <c r="D20" i="1"/>
  <c r="C19" i="1"/>
  <c r="B9" i="1"/>
  <c r="E18" i="1" l="1"/>
  <c r="F15" i="1" s="1"/>
  <c r="B6" i="2"/>
  <c r="C6" i="2" l="1"/>
  <c r="F20" i="1"/>
  <c r="D6" i="2" s="1"/>
  <c r="B20" i="1"/>
  <c r="D2" i="2" s="1"/>
  <c r="B19" i="1"/>
  <c r="C2" i="2" s="1"/>
  <c r="D4" i="2"/>
  <c r="D19" i="1"/>
  <c r="C4" i="2" s="1"/>
  <c r="C20" i="1"/>
  <c r="D3" i="2" s="1"/>
  <c r="C3" i="2"/>
  <c r="B2" i="2"/>
  <c r="E19" i="1"/>
  <c r="C5" i="2" s="1"/>
  <c r="E20" i="1"/>
  <c r="D5" i="2" s="1"/>
  <c r="B3" i="2"/>
  <c r="B4" i="2"/>
  <c r="B5" i="2"/>
</calcChain>
</file>

<file path=xl/sharedStrings.xml><?xml version="1.0" encoding="utf-8"?>
<sst xmlns="http://schemas.openxmlformats.org/spreadsheetml/2006/main" count="69" uniqueCount="59">
  <si>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</si>
  <si>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</si>
  <si>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</si>
  <si>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</si>
  <si>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</si>
  <si>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</si>
  <si>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</si>
  <si>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</si>
  <si>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</si>
  <si>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</si>
  <si>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</si>
  <si>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</si>
  <si>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</si>
  <si>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</si>
  <si>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</si>
  <si>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</si>
  <si>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</si>
  <si>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</si>
  <si>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</si>
  <si>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</si>
  <si>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</si>
  <si>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</si>
  <si>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</si>
  <si>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</si>
  <si>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</si>
  <si>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Fixed MO (FY25)</t>
  </si>
  <si>
    <t>Fixed = Base total × Fixed share</t>
  </si>
  <si>
    <t>Var per student (FY25)</t>
  </si>
  <si>
    <t>Variable = (Base total − Fixed)/Total ADM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</si>
  <si>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</si>
  <si>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</si>
  <si>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</si>
  <si>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</si>
  <si>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</si>
  <si>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</si>
  <si>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</si>
  <si>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</si>
  <si>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</si>
  <si>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</si>
  <si>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</si>
  <si>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</si>
  <si>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FY2026</t>
  </si>
  <si>
    <t>FY2027</t>
  </si>
  <si>
    <t>FY2028</t>
  </si>
  <si>
    <t>FY2029</t>
  </si>
  <si>
    <t>FY2030</t>
  </si>
  <si>
    <t>B13 = B9*B3 (Base total MO, FY25)</t>
  </si>
  <si>
    <t>B14 = B13*B4 (Fixed MO, FY25)</t>
  </si>
  <si>
    <t>B15 = (B13–B14)/B9 (Variable $/student, FY25)</t>
  </si>
  <si>
    <t>Why “Fixed share of M&amp;O = 0.30”?</t>
  </si>
  <si>
    <r>
      <t xml:space="preserve">District M&amp;O typically has a sizable semi‑fixed component (plant ops/custodial/insurance/admin overhead). Without site‑level detail yet, </t>
    </r>
    <r>
      <rPr>
        <b/>
        <sz val="11"/>
        <color theme="1"/>
        <rFont val="Calibri"/>
        <family val="2"/>
        <scheme val="minor"/>
      </rPr>
      <t>30%</t>
    </r>
    <r>
      <rPr>
        <sz val="11"/>
        <color theme="1"/>
        <rFont val="Calibri"/>
        <family val="2"/>
        <scheme val="minor"/>
      </rPr>
      <t xml:space="preserve"> is a conservative placeholder in the middle of the 25–40% range many K‑12 systems sit in. We will replace it with SUSD plant ops + insurance shares when available.</t>
    </r>
  </si>
  <si>
    <t>Why “Ops savings (keep‑open) = 0.007 (0.7%)”?</t>
  </si>
  <si>
    <r>
      <t xml:space="preserve">This represents “light discipline” (utilities/purchasing tweaks, route smoothing) that does not depend on closing a site. I set it </t>
    </r>
    <r>
      <rPr>
        <b/>
        <sz val="11"/>
        <color theme="1"/>
        <rFont val="Calibri"/>
        <family val="2"/>
        <scheme val="minor"/>
      </rPr>
      <t>very low on purpose</t>
    </r>
    <r>
      <rPr>
        <sz val="11"/>
        <color theme="1"/>
        <rFont val="Calibri"/>
        <family val="2"/>
        <scheme val="minor"/>
      </rPr>
      <t xml:space="preserve"> so it doesn’t drive results. We’ll calibrate with SUSD data (e.g., last year’s utility audits) if provided.</t>
    </r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</si>
  <si>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</si>
  <si>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</si>
  <si>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</si>
  <si>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r>
      <t xml:space="preserve">“TI” = </t>
    </r>
    <r>
      <rPr>
        <b/>
        <sz val="11"/>
        <color theme="1"/>
        <rFont val="Calibri"/>
        <family val="2"/>
        <scheme val="minor"/>
      </rPr>
      <t>tenant improvements / transition investments</t>
    </r>
    <r>
      <rPr>
        <sz val="11"/>
        <color theme="1"/>
        <rFont val="Calibri"/>
        <family val="2"/>
        <scheme val="minor"/>
      </rPr>
      <t xml:space="preserve"> needed to convert a K‑8 to a different use (early learning, admin consolidation) and carry costs in year one (e.g., abatement, doors/security, low‑voltage re‑work, furniture, swing space). A light‑touch repurpose can easily run </t>
    </r>
    <r>
      <rPr>
        <b/>
        <sz val="11"/>
        <color theme="1"/>
        <rFont val="Calibri"/>
        <family val="2"/>
        <scheme val="minor"/>
      </rPr>
      <t>$10–$20/sq‑ft</t>
    </r>
    <r>
      <rPr>
        <sz val="11"/>
        <color theme="1"/>
        <rFont val="Calibri"/>
        <family val="2"/>
        <scheme val="minor"/>
      </rPr>
      <t xml:space="preserve">; Echo’s plant is ~77k sq ft, so </t>
    </r>
    <r>
      <rPr>
        <b/>
        <sz val="11"/>
        <color theme="1"/>
        <rFont val="Calibri"/>
        <family val="2"/>
        <scheme val="minor"/>
      </rPr>
      <t>$1.2M</t>
    </r>
    <r>
      <rPr>
        <sz val="11"/>
        <color theme="1"/>
        <rFont val="Calibri"/>
        <family val="2"/>
        <scheme val="minor"/>
      </rPr>
      <t xml:space="preserve"> is a reasonable placeholder (we are not assuming a gut remodel). We’ll replace this with SUSD’s scope/estimate if they have one.</t>
    </r>
  </si>
  <si>
    <t>FAQs</t>
  </si>
  <si>
    <t>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</si>
</sst>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pane ySplit="1" topLeftCell="A2" activePane="bottomLeft" state="frozen"/>
      <selection pane="bottomLeft" activeCell="A2" sqref="A2:A9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7" t="s">
        <v>4</v>
      </c>
    </row>
    <row r="3" spans="1:11" x14ac:dyDescent="0.35">
      <c r="A3" t="s">
        <v>5</v>
      </c>
      <c r="B3" s="4">
        <v>9936</v>
      </c>
      <c r="C3" s="7" t="s">
        <v>6</v>
      </c>
    </row>
    <row r="4" spans="1:11" x14ac:dyDescent="0.35">
      <c r="A4" t="s">
        <v>7</v>
      </c>
      <c r="B4" s="4">
        <v>0.3</v>
      </c>
      <c r="C4" s="7" t="s">
        <v>8</v>
      </c>
    </row>
    <row r="5" spans="1:11" x14ac:dyDescent="0.35">
      <c r="A5" t="s">
        <v>9</v>
      </c>
      <c r="B5" s="4">
        <v>7.0000000000000001E-3</v>
      </c>
      <c r="C5" s="7" t="s">
        <v>10</v>
      </c>
    </row>
    <row r="6" spans="1:11" x14ac:dyDescent="0.35">
      <c r="A6" t="s">
        <v>11</v>
      </c>
      <c r="B6" s="4">
        <v>1.4999999999999999E-2</v>
      </c>
      <c r="C6" s="7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 s="6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46</v>
      </c>
    </row>
    <row r="14" spans="1:11" x14ac:dyDescent="0.35">
      <c r="A14" t="s">
        <v>25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26</v>
      </c>
      <c r="K14" t="s">
        <v>47</v>
      </c>
    </row>
    <row r="15" spans="1:11" x14ac:dyDescent="0.35">
      <c r="A15" t="s">
        <v>27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28</v>
      </c>
      <c r="K15" t="s">
        <v>48</v>
      </c>
    </row>
    <row r="17" spans="1:6" x14ac:dyDescent="0.35">
      <c r="A17" t="s">
        <v>29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30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31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32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7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35">
      <c r="A2" t="s">
        <v>41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</row>
    <row r="3" spans="1:7" x14ac:dyDescent="0.35">
      <c r="A3" t="s">
        <v>42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</row>
    <row r="4" spans="1:7" x14ac:dyDescent="0.35">
      <c r="A4" t="s">
        <v>43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</row>
    <row r="5" spans="1:7" x14ac:dyDescent="0.35">
      <c r="A5" t="s">
        <v>44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</row>
    <row r="6" spans="1:7" x14ac:dyDescent="0.35">
      <c r="A6" t="s">
        <v>45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DD63-F9DA-479C-86D6-BF2A3771AFD7}">
  <dimension ref="A1:B2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s="5" t="s">
        <v>57</v>
      </c>
    </row>
    <row r="2" spans="1:2" x14ac:dyDescent="0.35">
      <c r="B2" s="5" t="s">
        <v>49</v>
      </c>
    </row>
    <row r="3" spans="1:2" x14ac:dyDescent="0.35">
      <c r="B3" t="s">
        <v>50</v>
      </c>
    </row>
    <row r="5" spans="1:2" x14ac:dyDescent="0.35">
      <c r="B5" s="5" t="s">
        <v>51</v>
      </c>
    </row>
    <row r="6" spans="1:2" x14ac:dyDescent="0.35">
      <c r="B6" t="s">
        <v>52</v>
      </c>
    </row>
    <row r="8" spans="1:2" x14ac:dyDescent="0.35">
      <c r="B8" s="5" t="s">
        <v>53</v>
      </c>
    </row>
    <row r="9" spans="1:2" x14ac:dyDescent="0.35">
      <c r="B9" t="s">
        <v>54</v>
      </c>
    </row>
    <row r="11" spans="1:2" x14ac:dyDescent="0.35">
      <c r="B11" s="5" t="s">
        <v>55</v>
      </c>
    </row>
    <row r="12" spans="1:2" x14ac:dyDescent="0.35">
      <c r="B12" t="s">
        <v>56</v>
      </c>
    </row>
    <row r="17" spans="1:2" x14ac:dyDescent="0.35">
      <c r="A17" s="5" t="s">
        <v>58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BaselineCalc</vt:lpstr>
      <vt:lpstr>YearMap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2025-10-21T23:34:10Z</dcterms:modified>
</cp:coreProperties>
</file>